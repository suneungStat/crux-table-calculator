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01" codeName="{5022B3EB-BCE5-7840-4BB8-8062D341818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hongik-my.sharepoint.com/personal/edc9566_mail_hongik_ac_kr/Documents/바탕 화면/모의고사&amp;수능 관련/2023/고1/"/>
    </mc:Choice>
  </mc:AlternateContent>
  <xr:revisionPtr revIDLastSave="133" documentId="13_ncr:1_{9F590A28-E2F3-4CBD-8B36-8BB9BF1CBA09}" xr6:coauthVersionLast="47" xr6:coauthVersionMax="47" xr10:uidLastSave="{CF4528BC-2AFF-49E9-9DB3-0E6CCFE6CF4E}"/>
  <bookViews>
    <workbookView xWindow="-110" yWindow="-110" windowWidth="19420" windowHeight="11620" firstSheet="1" activeTab="8" xr2:uid="{AB9EE284-95EA-49B1-8133-EE4E7651E7F1}"/>
  </bookViews>
  <sheets>
    <sheet name="통계 및 응시자 수 입력 기능" sheetId="67" r:id="rId1"/>
    <sheet name="표점등급&amp;절평인원 입력기능" sheetId="66" r:id="rId2"/>
    <sheet name="인원 입력 기능" sheetId="64" r:id="rId3"/>
    <sheet name="국어" sheetId="2" r:id="rId4"/>
    <sheet name="수학" sheetId="5" r:id="rId5"/>
    <sheet name="영어" sheetId="6" r:id="rId6"/>
    <sheet name="한국사" sheetId="25" r:id="rId7"/>
    <sheet name="사회" sheetId="69" r:id="rId8"/>
    <sheet name="과학" sheetId="68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68" l="1"/>
  <c r="H4" i="68"/>
  <c r="H3" i="68"/>
  <c r="J3" i="69"/>
  <c r="H4" i="69"/>
  <c r="H3" i="69"/>
  <c r="E15" i="68" l="1"/>
  <c r="F15" i="68" s="1"/>
  <c r="E9" i="68"/>
  <c r="F9" i="68" s="1"/>
  <c r="E10" i="68"/>
  <c r="F10" i="68" s="1"/>
  <c r="E11" i="68"/>
  <c r="F11" i="68" s="1"/>
  <c r="E12" i="68"/>
  <c r="F12" i="68" s="1"/>
  <c r="E13" i="68"/>
  <c r="F13" i="68" s="1"/>
  <c r="E14" i="68"/>
  <c r="F14" i="68" s="1"/>
  <c r="E8" i="68"/>
  <c r="F8" i="68" s="1"/>
  <c r="E7" i="68"/>
  <c r="F7" i="68" s="1"/>
  <c r="E15" i="69"/>
  <c r="F15" i="69" s="1"/>
  <c r="E14" i="69"/>
  <c r="F14" i="69" s="1"/>
  <c r="E9" i="69"/>
  <c r="F9" i="69" s="1"/>
  <c r="E10" i="69"/>
  <c r="F10" i="69" s="1"/>
  <c r="E11" i="69"/>
  <c r="F11" i="69" s="1"/>
  <c r="E12" i="69"/>
  <c r="F12" i="69" s="1"/>
  <c r="E13" i="69"/>
  <c r="F13" i="69" s="1"/>
  <c r="E8" i="69"/>
  <c r="F8" i="69" s="1"/>
  <c r="E7" i="69"/>
  <c r="F7" i="69" s="1"/>
  <c r="E15" i="25"/>
  <c r="E9" i="25"/>
  <c r="E10" i="25"/>
  <c r="E11" i="25"/>
  <c r="E12" i="25"/>
  <c r="E13" i="25"/>
  <c r="E14" i="25"/>
  <c r="E8" i="25"/>
  <c r="E7" i="25"/>
  <c r="E15" i="6"/>
  <c r="E14" i="6"/>
  <c r="E9" i="6"/>
  <c r="E10" i="6"/>
  <c r="E11" i="6"/>
  <c r="E12" i="6"/>
  <c r="E13" i="6"/>
  <c r="E8" i="6"/>
  <c r="E7" i="6"/>
  <c r="G13" i="68" l="1"/>
  <c r="H13" i="68" s="1"/>
  <c r="G7" i="68"/>
  <c r="H7" i="68" s="1"/>
  <c r="G11" i="68"/>
  <c r="H11" i="68" s="1"/>
  <c r="G15" i="68"/>
  <c r="H15" i="68" s="1"/>
  <c r="G10" i="68"/>
  <c r="H10" i="68" s="1"/>
  <c r="G14" i="68"/>
  <c r="H14" i="68" s="1"/>
  <c r="G8" i="68"/>
  <c r="H8" i="68" s="1"/>
  <c r="G12" i="68"/>
  <c r="H12" i="68" s="1"/>
  <c r="G9" i="68"/>
  <c r="H9" i="68" s="1"/>
  <c r="G13" i="69"/>
  <c r="H13" i="69" s="1"/>
  <c r="G11" i="69"/>
  <c r="H11" i="69" s="1"/>
  <c r="G7" i="69"/>
  <c r="H7" i="69" s="1"/>
  <c r="G10" i="69"/>
  <c r="H10" i="69" s="1"/>
  <c r="G14" i="69"/>
  <c r="H14" i="69" s="1"/>
  <c r="G8" i="69"/>
  <c r="H8" i="69" s="1"/>
  <c r="G12" i="69"/>
  <c r="H12" i="69" s="1"/>
  <c r="G9" i="69"/>
  <c r="H9" i="69" s="1"/>
  <c r="G15" i="69"/>
  <c r="H15" i="69" s="1"/>
  <c r="J3" i="2"/>
  <c r="J3" i="5"/>
  <c r="Q8" i="5" l="1"/>
  <c r="Q9" i="5"/>
  <c r="Q10" i="5"/>
  <c r="Q11" i="5"/>
  <c r="Q12" i="5"/>
  <c r="Q13" i="5"/>
  <c r="Q14" i="5"/>
  <c r="Q7" i="5"/>
  <c r="Q8" i="2"/>
  <c r="Q9" i="2"/>
  <c r="Q10" i="2"/>
  <c r="Q11" i="2"/>
  <c r="Q12" i="2"/>
  <c r="Q13" i="2"/>
  <c r="Q14" i="2"/>
  <c r="Q7" i="2"/>
  <c r="J3" i="25"/>
  <c r="J3" i="6"/>
  <c r="H4" i="25"/>
  <c r="H4" i="6"/>
  <c r="H4" i="5"/>
  <c r="H4" i="2"/>
  <c r="H3" i="25"/>
  <c r="H3" i="6"/>
  <c r="H3" i="5"/>
  <c r="H3" i="2"/>
  <c r="D107" i="2" l="1"/>
  <c r="G107" i="2" s="1"/>
  <c r="H107" i="2" s="1"/>
  <c r="Q17" i="2"/>
  <c r="Q17" i="5"/>
  <c r="F9" i="6"/>
  <c r="F13" i="6"/>
  <c r="F10" i="6"/>
  <c r="F14" i="6"/>
  <c r="F8" i="6"/>
  <c r="F15" i="6"/>
  <c r="F11" i="6"/>
  <c r="F7" i="6"/>
  <c r="F12" i="6"/>
  <c r="F9" i="25"/>
  <c r="F13" i="25"/>
  <c r="F10" i="25"/>
  <c r="F14" i="25"/>
  <c r="F8" i="25"/>
  <c r="F7" i="25"/>
  <c r="F11" i="25"/>
  <c r="F15" i="25"/>
  <c r="F12" i="25"/>
  <c r="D102" i="5"/>
  <c r="D102" i="2"/>
  <c r="L102" i="2" s="1"/>
  <c r="L107" i="2" l="1"/>
  <c r="E102" i="5"/>
  <c r="L102" i="5"/>
  <c r="E102" i="2"/>
  <c r="G15" i="25"/>
  <c r="H15" i="25" s="1"/>
  <c r="G14" i="25"/>
  <c r="H14" i="25" s="1"/>
  <c r="G13" i="25"/>
  <c r="H13" i="25" s="1"/>
  <c r="G12" i="25"/>
  <c r="H12" i="25" s="1"/>
  <c r="G11" i="25"/>
  <c r="H11" i="25" s="1"/>
  <c r="G10" i="25"/>
  <c r="H10" i="25" s="1"/>
  <c r="G9" i="25"/>
  <c r="H9" i="25" s="1"/>
  <c r="G8" i="25"/>
  <c r="H8" i="25" s="1"/>
  <c r="G7" i="25"/>
  <c r="H7" i="25" s="1"/>
  <c r="D107" i="5" l="1"/>
  <c r="D10" i="5"/>
  <c r="L10" i="5" s="1"/>
  <c r="D11" i="5"/>
  <c r="D12" i="5"/>
  <c r="D13" i="5"/>
  <c r="L13" i="5" s="1"/>
  <c r="D14" i="5"/>
  <c r="L14" i="5" s="1"/>
  <c r="D16" i="5"/>
  <c r="L16" i="5" s="1"/>
  <c r="D17" i="5"/>
  <c r="L17" i="5" s="1"/>
  <c r="D18" i="5"/>
  <c r="L18" i="5" s="1"/>
  <c r="D19" i="5"/>
  <c r="D20" i="5"/>
  <c r="L20" i="5" s="1"/>
  <c r="D21" i="5"/>
  <c r="L21" i="5" s="1"/>
  <c r="D22" i="5"/>
  <c r="L22" i="5" s="1"/>
  <c r="D24" i="5"/>
  <c r="L24" i="5" s="1"/>
  <c r="D25" i="5"/>
  <c r="L25" i="5" s="1"/>
  <c r="D26" i="5"/>
  <c r="L26" i="5" s="1"/>
  <c r="D27" i="5"/>
  <c r="D28" i="5"/>
  <c r="L28" i="5" s="1"/>
  <c r="D29" i="5"/>
  <c r="L29" i="5" s="1"/>
  <c r="L30" i="5"/>
  <c r="D31" i="5"/>
  <c r="D32" i="5"/>
  <c r="L32" i="5" s="1"/>
  <c r="D33" i="5"/>
  <c r="L33" i="5" s="1"/>
  <c r="D34" i="5"/>
  <c r="L34" i="5" s="1"/>
  <c r="D35" i="5"/>
  <c r="D36" i="5"/>
  <c r="L36" i="5" s="1"/>
  <c r="D37" i="5"/>
  <c r="L37" i="5" s="1"/>
  <c r="L38" i="5"/>
  <c r="D39" i="5"/>
  <c r="D40" i="5"/>
  <c r="L40" i="5" s="1"/>
  <c r="D41" i="5"/>
  <c r="L41" i="5" s="1"/>
  <c r="D42" i="5"/>
  <c r="L42" i="5" s="1"/>
  <c r="D43" i="5"/>
  <c r="D44" i="5"/>
  <c r="L44" i="5" s="1"/>
  <c r="L45" i="5"/>
  <c r="D46" i="5"/>
  <c r="L46" i="5" s="1"/>
  <c r="D47" i="5"/>
  <c r="D48" i="5"/>
  <c r="L48" i="5" s="1"/>
  <c r="D49" i="5"/>
  <c r="L49" i="5" s="1"/>
  <c r="D50" i="5"/>
  <c r="L50" i="5" s="1"/>
  <c r="D51" i="5"/>
  <c r="D52" i="5"/>
  <c r="L52" i="5" s="1"/>
  <c r="L53" i="5"/>
  <c r="D54" i="5"/>
  <c r="L54" i="5" s="1"/>
  <c r="D55" i="5"/>
  <c r="D56" i="5"/>
  <c r="L56" i="5" s="1"/>
  <c r="D57" i="5"/>
  <c r="L57" i="5" s="1"/>
  <c r="D58" i="5"/>
  <c r="L58" i="5" s="1"/>
  <c r="D59" i="5"/>
  <c r="D60" i="5"/>
  <c r="L60" i="5" s="1"/>
  <c r="L61" i="5"/>
  <c r="D62" i="5"/>
  <c r="L62" i="5" s="1"/>
  <c r="D63" i="5"/>
  <c r="D64" i="5"/>
  <c r="L64" i="5" s="1"/>
  <c r="D65" i="5"/>
  <c r="L65" i="5" s="1"/>
  <c r="D66" i="5"/>
  <c r="L66" i="5" s="1"/>
  <c r="D67" i="5"/>
  <c r="L68" i="5"/>
  <c r="D69" i="5"/>
  <c r="L69" i="5" s="1"/>
  <c r="D70" i="5"/>
  <c r="L70" i="5" s="1"/>
  <c r="D71" i="5"/>
  <c r="D72" i="5"/>
  <c r="L72" i="5" s="1"/>
  <c r="D73" i="5"/>
  <c r="L73" i="5" s="1"/>
  <c r="D74" i="5"/>
  <c r="L74" i="5" s="1"/>
  <c r="D75" i="5"/>
  <c r="L76" i="5"/>
  <c r="D77" i="5"/>
  <c r="L77" i="5" s="1"/>
  <c r="D78" i="5"/>
  <c r="L78" i="5" s="1"/>
  <c r="D79" i="5"/>
  <c r="D80" i="5"/>
  <c r="L80" i="5" s="1"/>
  <c r="D81" i="5"/>
  <c r="L81" i="5" s="1"/>
  <c r="D82" i="5"/>
  <c r="L82" i="5" s="1"/>
  <c r="D84" i="5"/>
  <c r="L84" i="5" s="1"/>
  <c r="D85" i="5"/>
  <c r="L85" i="5" s="1"/>
  <c r="D86" i="5"/>
  <c r="L86" i="5" s="1"/>
  <c r="D87" i="5"/>
  <c r="D88" i="5"/>
  <c r="L88" i="5" s="1"/>
  <c r="D89" i="5"/>
  <c r="L89" i="5" s="1"/>
  <c r="D90" i="5"/>
  <c r="L90" i="5" s="1"/>
  <c r="D92" i="5"/>
  <c r="L92" i="5" s="1"/>
  <c r="D93" i="5"/>
  <c r="L93" i="5" s="1"/>
  <c r="D94" i="5"/>
  <c r="L94" i="5" s="1"/>
  <c r="D95" i="5"/>
  <c r="D96" i="5"/>
  <c r="L96" i="5" s="1"/>
  <c r="D97" i="5"/>
  <c r="L97" i="5" s="1"/>
  <c r="L98" i="5"/>
  <c r="D99" i="5"/>
  <c r="D100" i="5"/>
  <c r="L100" i="5" s="1"/>
  <c r="D101" i="5"/>
  <c r="L101" i="5" s="1"/>
  <c r="D103" i="5"/>
  <c r="D104" i="5"/>
  <c r="D105" i="5"/>
  <c r="L105" i="5" s="1"/>
  <c r="D9" i="5"/>
  <c r="D7" i="5"/>
  <c r="G12" i="5" l="1"/>
  <c r="H12" i="5" s="1"/>
  <c r="L12" i="5"/>
  <c r="G104" i="5"/>
  <c r="H104" i="5" s="1"/>
  <c r="L104" i="5"/>
  <c r="G99" i="5"/>
  <c r="H99" i="5" s="1"/>
  <c r="L99" i="5"/>
  <c r="G95" i="5"/>
  <c r="H95" i="5" s="1"/>
  <c r="L95" i="5"/>
  <c r="L91" i="5"/>
  <c r="G87" i="5"/>
  <c r="H87" i="5" s="1"/>
  <c r="L87" i="5"/>
  <c r="L83" i="5"/>
  <c r="G79" i="5"/>
  <c r="H79" i="5" s="1"/>
  <c r="L79" i="5"/>
  <c r="G75" i="5"/>
  <c r="H75" i="5" s="1"/>
  <c r="L75" i="5"/>
  <c r="G71" i="5"/>
  <c r="H71" i="5" s="1"/>
  <c r="L71" i="5"/>
  <c r="G67" i="5"/>
  <c r="H67" i="5" s="1"/>
  <c r="L67" i="5"/>
  <c r="G63" i="5"/>
  <c r="H63" i="5" s="1"/>
  <c r="L63" i="5"/>
  <c r="G59" i="5"/>
  <c r="H59" i="5" s="1"/>
  <c r="L59" i="5"/>
  <c r="G55" i="5"/>
  <c r="H55" i="5" s="1"/>
  <c r="L55" i="5"/>
  <c r="G51" i="5"/>
  <c r="H51" i="5" s="1"/>
  <c r="L51" i="5"/>
  <c r="G47" i="5"/>
  <c r="H47" i="5" s="1"/>
  <c r="L47" i="5"/>
  <c r="G43" i="5"/>
  <c r="H43" i="5" s="1"/>
  <c r="L43" i="5"/>
  <c r="G39" i="5"/>
  <c r="H39" i="5" s="1"/>
  <c r="L39" i="5"/>
  <c r="G35" i="5"/>
  <c r="H35" i="5" s="1"/>
  <c r="L35" i="5"/>
  <c r="G31" i="5"/>
  <c r="H31" i="5" s="1"/>
  <c r="L31" i="5"/>
  <c r="G27" i="5"/>
  <c r="H27" i="5" s="1"/>
  <c r="L27" i="5"/>
  <c r="L23" i="5"/>
  <c r="G19" i="5"/>
  <c r="H19" i="5" s="1"/>
  <c r="L19" i="5"/>
  <c r="L15" i="5"/>
  <c r="G11" i="5"/>
  <c r="H11" i="5" s="1"/>
  <c r="L11" i="5"/>
  <c r="G7" i="5"/>
  <c r="H7" i="5" s="1"/>
  <c r="L7" i="5"/>
  <c r="G103" i="5"/>
  <c r="H103" i="5" s="1"/>
  <c r="L103" i="5"/>
  <c r="G9" i="5"/>
  <c r="H9" i="5" s="1"/>
  <c r="L9" i="5"/>
  <c r="G107" i="5"/>
  <c r="H107" i="5" s="1"/>
  <c r="L107" i="5"/>
  <c r="G80" i="5"/>
  <c r="H80" i="5" s="1"/>
  <c r="G72" i="5"/>
  <c r="H72" i="5" s="1"/>
  <c r="G64" i="5"/>
  <c r="H64" i="5" s="1"/>
  <c r="G60" i="5"/>
  <c r="H60" i="5" s="1"/>
  <c r="G56" i="5"/>
  <c r="H56" i="5" s="1"/>
  <c r="G52" i="5"/>
  <c r="H52" i="5" s="1"/>
  <c r="G48" i="5"/>
  <c r="H48" i="5" s="1"/>
  <c r="G44" i="5"/>
  <c r="H44" i="5" s="1"/>
  <c r="G40" i="5"/>
  <c r="H40" i="5" s="1"/>
  <c r="G36" i="5"/>
  <c r="H36" i="5" s="1"/>
  <c r="G32" i="5"/>
  <c r="H32" i="5" s="1"/>
  <c r="G28" i="5"/>
  <c r="H28" i="5" s="1"/>
  <c r="G24" i="5"/>
  <c r="H24" i="5" s="1"/>
  <c r="G20" i="5"/>
  <c r="H20" i="5" s="1"/>
  <c r="G16" i="5"/>
  <c r="H16" i="5" s="1"/>
  <c r="G105" i="5"/>
  <c r="H105" i="5" s="1"/>
  <c r="G100" i="5"/>
  <c r="H100" i="5" s="1"/>
  <c r="G96" i="5"/>
  <c r="H96" i="5" s="1"/>
  <c r="G92" i="5"/>
  <c r="H92" i="5" s="1"/>
  <c r="G88" i="5"/>
  <c r="H88" i="5" s="1"/>
  <c r="G84" i="5"/>
  <c r="H84" i="5" s="1"/>
  <c r="G94" i="5"/>
  <c r="H94" i="5" s="1"/>
  <c r="G90" i="5"/>
  <c r="H90" i="5" s="1"/>
  <c r="G86" i="5"/>
  <c r="H86" i="5" s="1"/>
  <c r="G82" i="5"/>
  <c r="H82" i="5" s="1"/>
  <c r="G78" i="5"/>
  <c r="H78" i="5" s="1"/>
  <c r="G74" i="5"/>
  <c r="H74" i="5" s="1"/>
  <c r="G70" i="5"/>
  <c r="H70" i="5" s="1"/>
  <c r="G66" i="5"/>
  <c r="H66" i="5" s="1"/>
  <c r="G62" i="5"/>
  <c r="H62" i="5" s="1"/>
  <c r="G58" i="5"/>
  <c r="H58" i="5" s="1"/>
  <c r="G54" i="5"/>
  <c r="H54" i="5" s="1"/>
  <c r="G50" i="5"/>
  <c r="H50" i="5" s="1"/>
  <c r="G46" i="5"/>
  <c r="H46" i="5" s="1"/>
  <c r="G42" i="5"/>
  <c r="H42" i="5" s="1"/>
  <c r="G34" i="5"/>
  <c r="H34" i="5" s="1"/>
  <c r="G26" i="5"/>
  <c r="H26" i="5" s="1"/>
  <c r="G22" i="5"/>
  <c r="H22" i="5" s="1"/>
  <c r="G18" i="5"/>
  <c r="H18" i="5" s="1"/>
  <c r="G14" i="5"/>
  <c r="H14" i="5" s="1"/>
  <c r="G10" i="5"/>
  <c r="H10" i="5" s="1"/>
  <c r="G101" i="5"/>
  <c r="H101" i="5" s="1"/>
  <c r="G102" i="5"/>
  <c r="H102" i="5" s="1"/>
  <c r="G97" i="5"/>
  <c r="H97" i="5" s="1"/>
  <c r="G93" i="5"/>
  <c r="H93" i="5" s="1"/>
  <c r="G89" i="5"/>
  <c r="H89" i="5" s="1"/>
  <c r="G85" i="5"/>
  <c r="H85" i="5" s="1"/>
  <c r="G81" i="5"/>
  <c r="H81" i="5" s="1"/>
  <c r="G77" i="5"/>
  <c r="H77" i="5" s="1"/>
  <c r="G73" i="5"/>
  <c r="H73" i="5" s="1"/>
  <c r="G69" i="5"/>
  <c r="H69" i="5" s="1"/>
  <c r="G65" i="5"/>
  <c r="H65" i="5" s="1"/>
  <c r="G57" i="5"/>
  <c r="H57" i="5" s="1"/>
  <c r="G49" i="5"/>
  <c r="H49" i="5" s="1"/>
  <c r="G41" i="5"/>
  <c r="H41" i="5" s="1"/>
  <c r="G37" i="5"/>
  <c r="H37" i="5" s="1"/>
  <c r="G33" i="5"/>
  <c r="H33" i="5" s="1"/>
  <c r="G29" i="5"/>
  <c r="H29" i="5" s="1"/>
  <c r="G25" i="5"/>
  <c r="H25" i="5" s="1"/>
  <c r="G21" i="5"/>
  <c r="H21" i="5" s="1"/>
  <c r="G17" i="5"/>
  <c r="H17" i="5" s="1"/>
  <c r="G13" i="5"/>
  <c r="H13" i="5" s="1"/>
  <c r="E96" i="5"/>
  <c r="E84" i="5"/>
  <c r="E72" i="5"/>
  <c r="E60" i="5"/>
  <c r="E48" i="5"/>
  <c r="E36" i="5"/>
  <c r="E24" i="5"/>
  <c r="E12" i="5"/>
  <c r="E7" i="5"/>
  <c r="E103" i="5"/>
  <c r="E99" i="5"/>
  <c r="E95" i="5"/>
  <c r="E87" i="5"/>
  <c r="E79" i="5"/>
  <c r="E75" i="5"/>
  <c r="E71" i="5"/>
  <c r="E67" i="5"/>
  <c r="E63" i="5"/>
  <c r="E59" i="5"/>
  <c r="E55" i="5"/>
  <c r="E51" i="5"/>
  <c r="E47" i="5"/>
  <c r="E43" i="5"/>
  <c r="E39" i="5"/>
  <c r="E35" i="5"/>
  <c r="E31" i="5"/>
  <c r="E27" i="5"/>
  <c r="E19" i="5"/>
  <c r="E11" i="5"/>
  <c r="E104" i="5"/>
  <c r="E92" i="5"/>
  <c r="E64" i="5"/>
  <c r="E52" i="5"/>
  <c r="E40" i="5"/>
  <c r="E28" i="5"/>
  <c r="E16" i="5"/>
  <c r="E9" i="5"/>
  <c r="E94" i="5"/>
  <c r="E90" i="5"/>
  <c r="E86" i="5"/>
  <c r="E82" i="5"/>
  <c r="E78" i="5"/>
  <c r="E74" i="5"/>
  <c r="E70" i="5"/>
  <c r="E66" i="5"/>
  <c r="E62" i="5"/>
  <c r="E58" i="5"/>
  <c r="E54" i="5"/>
  <c r="E50" i="5"/>
  <c r="E46" i="5"/>
  <c r="E42" i="5"/>
  <c r="E34" i="5"/>
  <c r="E26" i="5"/>
  <c r="E22" i="5"/>
  <c r="E18" i="5"/>
  <c r="E14" i="5"/>
  <c r="E10" i="5"/>
  <c r="E100" i="5"/>
  <c r="E88" i="5"/>
  <c r="E80" i="5"/>
  <c r="E56" i="5"/>
  <c r="E44" i="5"/>
  <c r="E32" i="5"/>
  <c r="E20" i="5"/>
  <c r="E105" i="5"/>
  <c r="E101" i="5"/>
  <c r="E97" i="5"/>
  <c r="E93" i="5"/>
  <c r="E89" i="5"/>
  <c r="E85" i="5"/>
  <c r="E81" i="5"/>
  <c r="E77" i="5"/>
  <c r="E73" i="5"/>
  <c r="E69" i="5"/>
  <c r="E65" i="5"/>
  <c r="E57" i="5"/>
  <c r="E49" i="5"/>
  <c r="E41" i="5"/>
  <c r="E37" i="5"/>
  <c r="E33" i="5"/>
  <c r="E29" i="5"/>
  <c r="E25" i="5"/>
  <c r="E21" i="5"/>
  <c r="E17" i="5"/>
  <c r="E13" i="5"/>
  <c r="E107" i="5"/>
  <c r="D10" i="2"/>
  <c r="L10" i="2" s="1"/>
  <c r="D11" i="2"/>
  <c r="L11" i="2" s="1"/>
  <c r="D12" i="2"/>
  <c r="L12" i="2" s="1"/>
  <c r="D13" i="2"/>
  <c r="L13" i="2" s="1"/>
  <c r="D14" i="2"/>
  <c r="L14" i="2" s="1"/>
  <c r="D15" i="2"/>
  <c r="L15" i="2" s="1"/>
  <c r="D16" i="2"/>
  <c r="L16" i="2" s="1"/>
  <c r="D17" i="2"/>
  <c r="L17" i="2" s="1"/>
  <c r="D18" i="2"/>
  <c r="L18" i="2" s="1"/>
  <c r="D19" i="2"/>
  <c r="L19" i="2" s="1"/>
  <c r="D20" i="2"/>
  <c r="L20" i="2" s="1"/>
  <c r="D21" i="2"/>
  <c r="L21" i="2" s="1"/>
  <c r="D22" i="2"/>
  <c r="L22" i="2" s="1"/>
  <c r="D23" i="2"/>
  <c r="L23" i="2" s="1"/>
  <c r="D24" i="2"/>
  <c r="L24" i="2" s="1"/>
  <c r="D25" i="2"/>
  <c r="L25" i="2" s="1"/>
  <c r="D26" i="2"/>
  <c r="L26" i="2" s="1"/>
  <c r="D27" i="2"/>
  <c r="L27" i="2" s="1"/>
  <c r="D28" i="2"/>
  <c r="L28" i="2" s="1"/>
  <c r="D29" i="2"/>
  <c r="L29" i="2" s="1"/>
  <c r="D30" i="2"/>
  <c r="L30" i="2" s="1"/>
  <c r="D31" i="2"/>
  <c r="L31" i="2" s="1"/>
  <c r="D32" i="2"/>
  <c r="L32" i="2" s="1"/>
  <c r="D33" i="2"/>
  <c r="L33" i="2" s="1"/>
  <c r="D34" i="2"/>
  <c r="L34" i="2" s="1"/>
  <c r="D35" i="2"/>
  <c r="L35" i="2" s="1"/>
  <c r="D36" i="2"/>
  <c r="L36" i="2" s="1"/>
  <c r="D37" i="2"/>
  <c r="L37" i="2" s="1"/>
  <c r="D38" i="2"/>
  <c r="L38" i="2" s="1"/>
  <c r="D39" i="2"/>
  <c r="L39" i="2" s="1"/>
  <c r="D40" i="2"/>
  <c r="L40" i="2" s="1"/>
  <c r="D41" i="2"/>
  <c r="L41" i="2" s="1"/>
  <c r="D42" i="2"/>
  <c r="L42" i="2" s="1"/>
  <c r="D43" i="2"/>
  <c r="L43" i="2" s="1"/>
  <c r="D44" i="2"/>
  <c r="L44" i="2" s="1"/>
  <c r="D45" i="2"/>
  <c r="L45" i="2" s="1"/>
  <c r="D46" i="2"/>
  <c r="L46" i="2" s="1"/>
  <c r="D47" i="2"/>
  <c r="L47" i="2" s="1"/>
  <c r="D48" i="2"/>
  <c r="L48" i="2" s="1"/>
  <c r="D49" i="2"/>
  <c r="L49" i="2" s="1"/>
  <c r="D50" i="2"/>
  <c r="L50" i="2" s="1"/>
  <c r="D51" i="2"/>
  <c r="L51" i="2" s="1"/>
  <c r="D52" i="2"/>
  <c r="L52" i="2" s="1"/>
  <c r="D53" i="2"/>
  <c r="L53" i="2" s="1"/>
  <c r="D54" i="2"/>
  <c r="L54" i="2" s="1"/>
  <c r="D55" i="2"/>
  <c r="L55" i="2" s="1"/>
  <c r="D56" i="2"/>
  <c r="L56" i="2" s="1"/>
  <c r="D57" i="2"/>
  <c r="L57" i="2" s="1"/>
  <c r="D58" i="2"/>
  <c r="L58" i="2" s="1"/>
  <c r="D59" i="2"/>
  <c r="L59" i="2" s="1"/>
  <c r="D60" i="2"/>
  <c r="L60" i="2" s="1"/>
  <c r="D61" i="2"/>
  <c r="L61" i="2" s="1"/>
  <c r="D62" i="2"/>
  <c r="L62" i="2" s="1"/>
  <c r="D63" i="2"/>
  <c r="L63" i="2" s="1"/>
  <c r="D64" i="2"/>
  <c r="L64" i="2" s="1"/>
  <c r="D65" i="2"/>
  <c r="L65" i="2" s="1"/>
  <c r="D66" i="2"/>
  <c r="L66" i="2" s="1"/>
  <c r="D67" i="2"/>
  <c r="L67" i="2" s="1"/>
  <c r="D68" i="2"/>
  <c r="L68" i="2" s="1"/>
  <c r="D69" i="2"/>
  <c r="L69" i="2" s="1"/>
  <c r="D70" i="2"/>
  <c r="L70" i="2" s="1"/>
  <c r="D71" i="2"/>
  <c r="L71" i="2" s="1"/>
  <c r="D72" i="2"/>
  <c r="L72" i="2" s="1"/>
  <c r="D73" i="2"/>
  <c r="L73" i="2" s="1"/>
  <c r="D74" i="2"/>
  <c r="L74" i="2" s="1"/>
  <c r="D75" i="2"/>
  <c r="L75" i="2" s="1"/>
  <c r="D76" i="2"/>
  <c r="L76" i="2" s="1"/>
  <c r="D77" i="2"/>
  <c r="L77" i="2" s="1"/>
  <c r="D78" i="2"/>
  <c r="L78" i="2" s="1"/>
  <c r="D79" i="2"/>
  <c r="L79" i="2" s="1"/>
  <c r="D80" i="2"/>
  <c r="L80" i="2" s="1"/>
  <c r="D81" i="2"/>
  <c r="L81" i="2" s="1"/>
  <c r="D82" i="2"/>
  <c r="L82" i="2" s="1"/>
  <c r="D83" i="2"/>
  <c r="L83" i="2" s="1"/>
  <c r="D84" i="2"/>
  <c r="L84" i="2" s="1"/>
  <c r="D85" i="2"/>
  <c r="L85" i="2" s="1"/>
  <c r="D86" i="2"/>
  <c r="L86" i="2" s="1"/>
  <c r="D87" i="2"/>
  <c r="L87" i="2" s="1"/>
  <c r="D88" i="2"/>
  <c r="L88" i="2" s="1"/>
  <c r="D89" i="2"/>
  <c r="L89" i="2" s="1"/>
  <c r="D90" i="2"/>
  <c r="L90" i="2" s="1"/>
  <c r="D91" i="2"/>
  <c r="L91" i="2" s="1"/>
  <c r="D92" i="2"/>
  <c r="L92" i="2" s="1"/>
  <c r="D93" i="2"/>
  <c r="L93" i="2" s="1"/>
  <c r="D94" i="2"/>
  <c r="L94" i="2" s="1"/>
  <c r="D95" i="2"/>
  <c r="L95" i="2" s="1"/>
  <c r="D96" i="2"/>
  <c r="L96" i="2" s="1"/>
  <c r="D97" i="2"/>
  <c r="L97" i="2" s="1"/>
  <c r="D98" i="2"/>
  <c r="L98" i="2" s="1"/>
  <c r="D99" i="2"/>
  <c r="L99" i="2" s="1"/>
  <c r="D100" i="2"/>
  <c r="L100" i="2" s="1"/>
  <c r="D101" i="2"/>
  <c r="L101" i="2" s="1"/>
  <c r="D103" i="2"/>
  <c r="D104" i="2"/>
  <c r="L104" i="2" s="1"/>
  <c r="D105" i="2"/>
  <c r="L105" i="2" s="1"/>
  <c r="D9" i="2"/>
  <c r="D7" i="2"/>
  <c r="G7" i="2" l="1"/>
  <c r="H7" i="2" s="1"/>
  <c r="L7" i="2"/>
  <c r="G103" i="2"/>
  <c r="H103" i="2" s="1"/>
  <c r="L103" i="2"/>
  <c r="G9" i="2"/>
  <c r="H9" i="2" s="1"/>
  <c r="L9" i="2"/>
  <c r="G104" i="2"/>
  <c r="H104" i="2" s="1"/>
  <c r="G99" i="2"/>
  <c r="H99" i="2" s="1"/>
  <c r="G95" i="2"/>
  <c r="H95" i="2" s="1"/>
  <c r="G91" i="2"/>
  <c r="H91" i="2" s="1"/>
  <c r="G87" i="2"/>
  <c r="H87" i="2" s="1"/>
  <c r="G83" i="2"/>
  <c r="H83" i="2" s="1"/>
  <c r="G79" i="2"/>
  <c r="H79" i="2" s="1"/>
  <c r="G75" i="2"/>
  <c r="H75" i="2" s="1"/>
  <c r="G71" i="2"/>
  <c r="H71" i="2" s="1"/>
  <c r="G67" i="2"/>
  <c r="H67" i="2" s="1"/>
  <c r="G63" i="2"/>
  <c r="H63" i="2" s="1"/>
  <c r="G59" i="2"/>
  <c r="H59" i="2" s="1"/>
  <c r="G55" i="2"/>
  <c r="H55" i="2" s="1"/>
  <c r="G51" i="2"/>
  <c r="H51" i="2" s="1"/>
  <c r="G47" i="2"/>
  <c r="H47" i="2" s="1"/>
  <c r="G43" i="2"/>
  <c r="H43" i="2" s="1"/>
  <c r="G39" i="2"/>
  <c r="H39" i="2" s="1"/>
  <c r="G35" i="2"/>
  <c r="H35" i="2" s="1"/>
  <c r="G31" i="2"/>
  <c r="H31" i="2" s="1"/>
  <c r="G27" i="2"/>
  <c r="H27" i="2" s="1"/>
  <c r="G23" i="2"/>
  <c r="H23" i="2" s="1"/>
  <c r="G19" i="2"/>
  <c r="H19" i="2" s="1"/>
  <c r="G15" i="2"/>
  <c r="H15" i="2" s="1"/>
  <c r="G11" i="2"/>
  <c r="H11" i="2" s="1"/>
  <c r="G97" i="2"/>
  <c r="H97" i="2" s="1"/>
  <c r="G93" i="2"/>
  <c r="H93" i="2" s="1"/>
  <c r="G89" i="2"/>
  <c r="H89" i="2" s="1"/>
  <c r="G85" i="2"/>
  <c r="H85" i="2" s="1"/>
  <c r="G81" i="2"/>
  <c r="H81" i="2" s="1"/>
  <c r="G77" i="2"/>
  <c r="H77" i="2" s="1"/>
  <c r="G69" i="2"/>
  <c r="H69" i="2" s="1"/>
  <c r="G65" i="2"/>
  <c r="H65" i="2" s="1"/>
  <c r="G61" i="2"/>
  <c r="H61" i="2" s="1"/>
  <c r="G57" i="2"/>
  <c r="H57" i="2" s="1"/>
  <c r="G53" i="2"/>
  <c r="H53" i="2" s="1"/>
  <c r="G49" i="2"/>
  <c r="H49" i="2" s="1"/>
  <c r="G45" i="2"/>
  <c r="H45" i="2" s="1"/>
  <c r="G41" i="2"/>
  <c r="H41" i="2" s="1"/>
  <c r="G37" i="2"/>
  <c r="H37" i="2" s="1"/>
  <c r="G33" i="2"/>
  <c r="H33" i="2" s="1"/>
  <c r="G29" i="2"/>
  <c r="H29" i="2" s="1"/>
  <c r="G25" i="2"/>
  <c r="H25" i="2" s="1"/>
  <c r="G21" i="2"/>
  <c r="H21" i="2" s="1"/>
  <c r="G17" i="2"/>
  <c r="H17" i="2" s="1"/>
  <c r="G13" i="2"/>
  <c r="H13" i="2" s="1"/>
  <c r="G73" i="2"/>
  <c r="H73" i="2" s="1"/>
  <c r="G98" i="2"/>
  <c r="H98" i="2" s="1"/>
  <c r="G94" i="2"/>
  <c r="H94" i="2" s="1"/>
  <c r="G90" i="2"/>
  <c r="H90" i="2" s="1"/>
  <c r="G86" i="2"/>
  <c r="H86" i="2" s="1"/>
  <c r="G82" i="2"/>
  <c r="H82" i="2" s="1"/>
  <c r="G78" i="2"/>
  <c r="H78" i="2" s="1"/>
  <c r="G74" i="2"/>
  <c r="H74" i="2" s="1"/>
  <c r="G70" i="2"/>
  <c r="H70" i="2" s="1"/>
  <c r="G66" i="2"/>
  <c r="H66" i="2" s="1"/>
  <c r="G62" i="2"/>
  <c r="H62" i="2" s="1"/>
  <c r="G58" i="2"/>
  <c r="H58" i="2" s="1"/>
  <c r="G54" i="2"/>
  <c r="H54" i="2" s="1"/>
  <c r="G50" i="2"/>
  <c r="H50" i="2" s="1"/>
  <c r="G46" i="2"/>
  <c r="H46" i="2" s="1"/>
  <c r="G42" i="2"/>
  <c r="H42" i="2" s="1"/>
  <c r="G38" i="2"/>
  <c r="H38" i="2" s="1"/>
  <c r="G34" i="2"/>
  <c r="H34" i="2" s="1"/>
  <c r="G30" i="2"/>
  <c r="H30" i="2" s="1"/>
  <c r="G26" i="2"/>
  <c r="H26" i="2" s="1"/>
  <c r="G22" i="2"/>
  <c r="H22" i="2" s="1"/>
  <c r="G18" i="2"/>
  <c r="H18" i="2" s="1"/>
  <c r="G14" i="2"/>
  <c r="H14" i="2" s="1"/>
  <c r="G10" i="2"/>
  <c r="H10" i="2" s="1"/>
  <c r="G101" i="2"/>
  <c r="H101" i="2" s="1"/>
  <c r="G102" i="2"/>
  <c r="H102" i="2" s="1"/>
  <c r="G105" i="2"/>
  <c r="H105" i="2" s="1"/>
  <c r="G100" i="2"/>
  <c r="H100" i="2" s="1"/>
  <c r="G96" i="2"/>
  <c r="H96" i="2" s="1"/>
  <c r="G92" i="2"/>
  <c r="H92" i="2" s="1"/>
  <c r="G88" i="2"/>
  <c r="H88" i="2" s="1"/>
  <c r="G84" i="2"/>
  <c r="H84" i="2" s="1"/>
  <c r="G80" i="2"/>
  <c r="H80" i="2" s="1"/>
  <c r="G76" i="2"/>
  <c r="H76" i="2" s="1"/>
  <c r="G72" i="2"/>
  <c r="H72" i="2" s="1"/>
  <c r="G68" i="2"/>
  <c r="H68" i="2" s="1"/>
  <c r="G64" i="2"/>
  <c r="H64" i="2" s="1"/>
  <c r="G60" i="2"/>
  <c r="H60" i="2" s="1"/>
  <c r="G56" i="2"/>
  <c r="H56" i="2" s="1"/>
  <c r="G52" i="2"/>
  <c r="H52" i="2" s="1"/>
  <c r="G48" i="2"/>
  <c r="H48" i="2" s="1"/>
  <c r="G44" i="2"/>
  <c r="H44" i="2" s="1"/>
  <c r="G40" i="2"/>
  <c r="H40" i="2" s="1"/>
  <c r="G36" i="2"/>
  <c r="H36" i="2" s="1"/>
  <c r="G32" i="2"/>
  <c r="H32" i="2" s="1"/>
  <c r="G28" i="2"/>
  <c r="H28" i="2" s="1"/>
  <c r="G24" i="2"/>
  <c r="H24" i="2" s="1"/>
  <c r="G20" i="2"/>
  <c r="H20" i="2" s="1"/>
  <c r="G16" i="2"/>
  <c r="H16" i="2" s="1"/>
  <c r="G12" i="2"/>
  <c r="H12" i="2" s="1"/>
  <c r="I102" i="5"/>
  <c r="J102" i="5" s="1"/>
  <c r="G15" i="6"/>
  <c r="H15" i="6" s="1"/>
  <c r="G14" i="6"/>
  <c r="H14" i="6" s="1"/>
  <c r="G13" i="6"/>
  <c r="H13" i="6" s="1"/>
  <c r="G12" i="6"/>
  <c r="H12" i="6" s="1"/>
  <c r="G11" i="6"/>
  <c r="H11" i="6" s="1"/>
  <c r="G10" i="6"/>
  <c r="H10" i="6" s="1"/>
  <c r="G9" i="6"/>
  <c r="H9" i="6" s="1"/>
  <c r="G8" i="6"/>
  <c r="H8" i="6" s="1"/>
  <c r="G7" i="6"/>
  <c r="H7" i="6" s="1"/>
  <c r="I102" i="2" l="1"/>
  <c r="J102" i="2" s="1"/>
  <c r="I14" i="2"/>
  <c r="J14" i="2" s="1"/>
  <c r="I27" i="2"/>
  <c r="J27" i="2" s="1"/>
  <c r="I107" i="5"/>
  <c r="J107" i="5" s="1"/>
  <c r="I105" i="5"/>
  <c r="J105" i="5" s="1"/>
  <c r="I104" i="5"/>
  <c r="J104" i="5" s="1"/>
  <c r="I103" i="5"/>
  <c r="J103" i="5" s="1"/>
  <c r="I101" i="5"/>
  <c r="J101" i="5" s="1"/>
  <c r="I100" i="5"/>
  <c r="J100" i="5" s="1"/>
  <c r="I99" i="5"/>
  <c r="J99" i="5" s="1"/>
  <c r="I97" i="5"/>
  <c r="J97" i="5" s="1"/>
  <c r="I96" i="5"/>
  <c r="J96" i="5" s="1"/>
  <c r="I95" i="5"/>
  <c r="J95" i="5" s="1"/>
  <c r="I94" i="5"/>
  <c r="J94" i="5" s="1"/>
  <c r="I93" i="5"/>
  <c r="J93" i="5" s="1"/>
  <c r="I92" i="5"/>
  <c r="J92" i="5" s="1"/>
  <c r="I90" i="5"/>
  <c r="J90" i="5" s="1"/>
  <c r="I89" i="5"/>
  <c r="J89" i="5" s="1"/>
  <c r="I88" i="5"/>
  <c r="J88" i="5" s="1"/>
  <c r="I87" i="5"/>
  <c r="J87" i="5" s="1"/>
  <c r="I86" i="5"/>
  <c r="J86" i="5" s="1"/>
  <c r="I85" i="5"/>
  <c r="J85" i="5" s="1"/>
  <c r="I84" i="5"/>
  <c r="J84" i="5" s="1"/>
  <c r="I82" i="5"/>
  <c r="J82" i="5" s="1"/>
  <c r="I81" i="5"/>
  <c r="J81" i="5" s="1"/>
  <c r="I80" i="5"/>
  <c r="J80" i="5" s="1"/>
  <c r="I79" i="5"/>
  <c r="J79" i="5" s="1"/>
  <c r="I78" i="5"/>
  <c r="J78" i="5" s="1"/>
  <c r="I77" i="5"/>
  <c r="J77" i="5" s="1"/>
  <c r="I75" i="5"/>
  <c r="J75" i="5" s="1"/>
  <c r="I74" i="5"/>
  <c r="J74" i="5" s="1"/>
  <c r="I73" i="5"/>
  <c r="J73" i="5" s="1"/>
  <c r="I72" i="5"/>
  <c r="J72" i="5" s="1"/>
  <c r="I71" i="5"/>
  <c r="J71" i="5" s="1"/>
  <c r="I70" i="5"/>
  <c r="J70" i="5" s="1"/>
  <c r="I69" i="5"/>
  <c r="J69" i="5" s="1"/>
  <c r="I67" i="5"/>
  <c r="J67" i="5" s="1"/>
  <c r="I66" i="5"/>
  <c r="J66" i="5" s="1"/>
  <c r="I65" i="5"/>
  <c r="J65" i="5" s="1"/>
  <c r="I64" i="5"/>
  <c r="J64" i="5" s="1"/>
  <c r="I63" i="5"/>
  <c r="J63" i="5" s="1"/>
  <c r="I62" i="5"/>
  <c r="J62" i="5" s="1"/>
  <c r="I60" i="5"/>
  <c r="J60" i="5" s="1"/>
  <c r="I59" i="5"/>
  <c r="J59" i="5" s="1"/>
  <c r="I58" i="5"/>
  <c r="J58" i="5" s="1"/>
  <c r="I57" i="5"/>
  <c r="J57" i="5" s="1"/>
  <c r="I56" i="5"/>
  <c r="J56" i="5" s="1"/>
  <c r="I55" i="5"/>
  <c r="J55" i="5" s="1"/>
  <c r="I54" i="5"/>
  <c r="J54" i="5" s="1"/>
  <c r="I52" i="5"/>
  <c r="J52" i="5" s="1"/>
  <c r="I51" i="5"/>
  <c r="J51" i="5" s="1"/>
  <c r="I50" i="5"/>
  <c r="J50" i="5" s="1"/>
  <c r="I49" i="5"/>
  <c r="J49" i="5" s="1"/>
  <c r="I48" i="5"/>
  <c r="J48" i="5" s="1"/>
  <c r="I47" i="5"/>
  <c r="J47" i="5" s="1"/>
  <c r="I46" i="5"/>
  <c r="J46" i="5" s="1"/>
  <c r="I44" i="5"/>
  <c r="J44" i="5" s="1"/>
  <c r="I43" i="5"/>
  <c r="J43" i="5" s="1"/>
  <c r="I42" i="5"/>
  <c r="J42" i="5" s="1"/>
  <c r="I41" i="5"/>
  <c r="J41" i="5" s="1"/>
  <c r="I40" i="5"/>
  <c r="J40" i="5" s="1"/>
  <c r="I39" i="5"/>
  <c r="J39" i="5" s="1"/>
  <c r="I37" i="5"/>
  <c r="J37" i="5" s="1"/>
  <c r="I36" i="5"/>
  <c r="J36" i="5" s="1"/>
  <c r="I35" i="5"/>
  <c r="J35" i="5" s="1"/>
  <c r="I34" i="5"/>
  <c r="J34" i="5" s="1"/>
  <c r="I33" i="5"/>
  <c r="J33" i="5" s="1"/>
  <c r="I32" i="5"/>
  <c r="J32" i="5" s="1"/>
  <c r="I31" i="5"/>
  <c r="J31" i="5" s="1"/>
  <c r="I29" i="5"/>
  <c r="J29" i="5" s="1"/>
  <c r="I28" i="5"/>
  <c r="J28" i="5" s="1"/>
  <c r="I27" i="5"/>
  <c r="J27" i="5" s="1"/>
  <c r="I26" i="5"/>
  <c r="J26" i="5" s="1"/>
  <c r="I25" i="5"/>
  <c r="J25" i="5" s="1"/>
  <c r="I24" i="5"/>
  <c r="J24" i="5" s="1"/>
  <c r="I22" i="5"/>
  <c r="J22" i="5" s="1"/>
  <c r="I21" i="5"/>
  <c r="J21" i="5" s="1"/>
  <c r="I20" i="5"/>
  <c r="J20" i="5" s="1"/>
  <c r="I19" i="5"/>
  <c r="J19" i="5" s="1"/>
  <c r="I18" i="5"/>
  <c r="J18" i="5" s="1"/>
  <c r="I17" i="5"/>
  <c r="J17" i="5" s="1"/>
  <c r="I16" i="5"/>
  <c r="J16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7" i="5"/>
  <c r="E7" i="2"/>
  <c r="I7" i="2"/>
  <c r="E9" i="2"/>
  <c r="I9" i="2"/>
  <c r="J9" i="2" s="1"/>
  <c r="E10" i="2"/>
  <c r="I10" i="2"/>
  <c r="J10" i="2" s="1"/>
  <c r="E11" i="2"/>
  <c r="I11" i="2"/>
  <c r="J11" i="2" s="1"/>
  <c r="E12" i="2"/>
  <c r="I12" i="2"/>
  <c r="J12" i="2" s="1"/>
  <c r="E13" i="2"/>
  <c r="I13" i="2"/>
  <c r="J13" i="2" s="1"/>
  <c r="E14" i="2"/>
  <c r="E15" i="2"/>
  <c r="I15" i="2"/>
  <c r="J15" i="2" s="1"/>
  <c r="E16" i="2"/>
  <c r="I16" i="2"/>
  <c r="J16" i="2" s="1"/>
  <c r="E17" i="2"/>
  <c r="I17" i="2"/>
  <c r="J17" i="2" s="1"/>
  <c r="E18" i="2"/>
  <c r="I18" i="2"/>
  <c r="J18" i="2" s="1"/>
  <c r="E19" i="2"/>
  <c r="I19" i="2"/>
  <c r="J19" i="2" s="1"/>
  <c r="E20" i="2"/>
  <c r="I20" i="2"/>
  <c r="J20" i="2" s="1"/>
  <c r="E21" i="2"/>
  <c r="I21" i="2"/>
  <c r="J21" i="2" s="1"/>
  <c r="E22" i="2"/>
  <c r="I22" i="2"/>
  <c r="J22" i="2" s="1"/>
  <c r="E23" i="2"/>
  <c r="I23" i="2"/>
  <c r="J23" i="2" s="1"/>
  <c r="E24" i="2"/>
  <c r="I24" i="2"/>
  <c r="J24" i="2" s="1"/>
  <c r="E25" i="2"/>
  <c r="I25" i="2"/>
  <c r="J25" i="2" s="1"/>
  <c r="E26" i="2"/>
  <c r="I26" i="2"/>
  <c r="J26" i="2" s="1"/>
  <c r="E27" i="2"/>
  <c r="E28" i="2"/>
  <c r="I28" i="2"/>
  <c r="J28" i="2" s="1"/>
  <c r="E29" i="2"/>
  <c r="I29" i="2"/>
  <c r="J29" i="2" s="1"/>
  <c r="E30" i="2"/>
  <c r="I30" i="2"/>
  <c r="J30" i="2" s="1"/>
  <c r="E31" i="2"/>
  <c r="I31" i="2"/>
  <c r="J31" i="2" s="1"/>
  <c r="E32" i="2"/>
  <c r="I32" i="2"/>
  <c r="J32" i="2" s="1"/>
  <c r="E33" i="2"/>
  <c r="I33" i="2"/>
  <c r="J33" i="2" s="1"/>
  <c r="E34" i="2"/>
  <c r="I34" i="2"/>
  <c r="J34" i="2" s="1"/>
  <c r="E35" i="2"/>
  <c r="I35" i="2"/>
  <c r="J35" i="2" s="1"/>
  <c r="E36" i="2"/>
  <c r="I36" i="2"/>
  <c r="J36" i="2" s="1"/>
  <c r="E37" i="2"/>
  <c r="I37" i="2"/>
  <c r="J37" i="2" s="1"/>
  <c r="E38" i="2"/>
  <c r="I38" i="2"/>
  <c r="J38" i="2" s="1"/>
  <c r="E39" i="2"/>
  <c r="I39" i="2"/>
  <c r="J39" i="2" s="1"/>
  <c r="E40" i="2"/>
  <c r="I40" i="2"/>
  <c r="J40" i="2" s="1"/>
  <c r="E41" i="2"/>
  <c r="I41" i="2"/>
  <c r="J41" i="2" s="1"/>
  <c r="E42" i="2"/>
  <c r="I42" i="2"/>
  <c r="J42" i="2" s="1"/>
  <c r="E43" i="2"/>
  <c r="I43" i="2"/>
  <c r="J43" i="2" s="1"/>
  <c r="E44" i="2"/>
  <c r="I44" i="2"/>
  <c r="J44" i="2" s="1"/>
  <c r="E45" i="2"/>
  <c r="I45" i="2"/>
  <c r="J45" i="2" s="1"/>
  <c r="E46" i="2"/>
  <c r="I46" i="2"/>
  <c r="J46" i="2" s="1"/>
  <c r="E47" i="2"/>
  <c r="I47" i="2"/>
  <c r="J47" i="2" s="1"/>
  <c r="E48" i="2"/>
  <c r="I48" i="2"/>
  <c r="J48" i="2" s="1"/>
  <c r="E49" i="2"/>
  <c r="I49" i="2"/>
  <c r="J49" i="2" s="1"/>
  <c r="E50" i="2"/>
  <c r="I50" i="2"/>
  <c r="J50" i="2" s="1"/>
  <c r="E51" i="2"/>
  <c r="I51" i="2"/>
  <c r="J51" i="2" s="1"/>
  <c r="E52" i="2"/>
  <c r="I52" i="2"/>
  <c r="J52" i="2" s="1"/>
  <c r="E53" i="2"/>
  <c r="I53" i="2"/>
  <c r="J53" i="2" s="1"/>
  <c r="E54" i="2"/>
  <c r="I54" i="2"/>
  <c r="J54" i="2" s="1"/>
  <c r="E55" i="2"/>
  <c r="I55" i="2"/>
  <c r="J55" i="2" s="1"/>
  <c r="E56" i="2"/>
  <c r="I56" i="2"/>
  <c r="J56" i="2" s="1"/>
  <c r="E57" i="2"/>
  <c r="I57" i="2"/>
  <c r="J57" i="2" s="1"/>
  <c r="E58" i="2"/>
  <c r="I58" i="2"/>
  <c r="J58" i="2" s="1"/>
  <c r="E59" i="2"/>
  <c r="I59" i="2"/>
  <c r="J59" i="2" s="1"/>
  <c r="E60" i="2"/>
  <c r="I60" i="2"/>
  <c r="J60" i="2" s="1"/>
  <c r="E61" i="2"/>
  <c r="I61" i="2"/>
  <c r="J61" i="2" s="1"/>
  <c r="E62" i="2"/>
  <c r="I62" i="2"/>
  <c r="J62" i="2" s="1"/>
  <c r="E63" i="2"/>
  <c r="I63" i="2"/>
  <c r="J63" i="2" s="1"/>
  <c r="E64" i="2"/>
  <c r="I64" i="2"/>
  <c r="J64" i="2" s="1"/>
  <c r="E65" i="2"/>
  <c r="I65" i="2"/>
  <c r="J65" i="2" s="1"/>
  <c r="E66" i="2"/>
  <c r="I66" i="2"/>
  <c r="J66" i="2" s="1"/>
  <c r="E67" i="2"/>
  <c r="I67" i="2"/>
  <c r="J67" i="2" s="1"/>
  <c r="E68" i="2"/>
  <c r="I68" i="2"/>
  <c r="J68" i="2" s="1"/>
  <c r="E69" i="2"/>
  <c r="I69" i="2"/>
  <c r="J69" i="2" s="1"/>
  <c r="E70" i="2"/>
  <c r="I70" i="2"/>
  <c r="J70" i="2" s="1"/>
  <c r="E71" i="2"/>
  <c r="I71" i="2"/>
  <c r="J71" i="2" s="1"/>
  <c r="E72" i="2"/>
  <c r="I72" i="2"/>
  <c r="J72" i="2" s="1"/>
  <c r="E73" i="2"/>
  <c r="I73" i="2"/>
  <c r="J73" i="2" s="1"/>
  <c r="E74" i="2"/>
  <c r="I74" i="2"/>
  <c r="J74" i="2" s="1"/>
  <c r="E75" i="2"/>
  <c r="I75" i="2"/>
  <c r="J75" i="2" s="1"/>
  <c r="E76" i="2"/>
  <c r="I76" i="2"/>
  <c r="J76" i="2" s="1"/>
  <c r="E77" i="2"/>
  <c r="I77" i="2"/>
  <c r="J77" i="2" s="1"/>
  <c r="E78" i="2"/>
  <c r="I78" i="2"/>
  <c r="J78" i="2" s="1"/>
  <c r="E79" i="2"/>
  <c r="I79" i="2"/>
  <c r="J79" i="2" s="1"/>
  <c r="E80" i="2"/>
  <c r="I80" i="2"/>
  <c r="J80" i="2" s="1"/>
  <c r="E81" i="2"/>
  <c r="I81" i="2"/>
  <c r="J81" i="2" s="1"/>
  <c r="E82" i="2"/>
  <c r="I82" i="2"/>
  <c r="J82" i="2" s="1"/>
  <c r="E83" i="2"/>
  <c r="I83" i="2"/>
  <c r="J83" i="2" s="1"/>
  <c r="E84" i="2"/>
  <c r="I84" i="2"/>
  <c r="J84" i="2" s="1"/>
  <c r="E85" i="2"/>
  <c r="I85" i="2"/>
  <c r="J85" i="2" s="1"/>
  <c r="E86" i="2"/>
  <c r="I86" i="2"/>
  <c r="J86" i="2" s="1"/>
  <c r="E87" i="2"/>
  <c r="I87" i="2"/>
  <c r="J87" i="2" s="1"/>
  <c r="E88" i="2"/>
  <c r="I88" i="2"/>
  <c r="J88" i="2" s="1"/>
  <c r="E89" i="2"/>
  <c r="I89" i="2"/>
  <c r="J89" i="2" s="1"/>
  <c r="E90" i="2"/>
  <c r="I90" i="2"/>
  <c r="J90" i="2" s="1"/>
  <c r="E91" i="2"/>
  <c r="I91" i="2"/>
  <c r="J91" i="2" s="1"/>
  <c r="E92" i="2"/>
  <c r="I92" i="2"/>
  <c r="J92" i="2" s="1"/>
  <c r="E93" i="2"/>
  <c r="I93" i="2"/>
  <c r="J93" i="2" s="1"/>
  <c r="E94" i="2"/>
  <c r="I94" i="2"/>
  <c r="J94" i="2" s="1"/>
  <c r="E95" i="2"/>
  <c r="I95" i="2"/>
  <c r="J95" i="2" s="1"/>
  <c r="E96" i="2"/>
  <c r="I96" i="2"/>
  <c r="J96" i="2" s="1"/>
  <c r="E97" i="2"/>
  <c r="I97" i="2"/>
  <c r="J97" i="2" s="1"/>
  <c r="E98" i="2"/>
  <c r="I98" i="2"/>
  <c r="J98" i="2" s="1"/>
  <c r="E99" i="2"/>
  <c r="I99" i="2"/>
  <c r="J99" i="2" s="1"/>
  <c r="E100" i="2"/>
  <c r="I100" i="2"/>
  <c r="J100" i="2" s="1"/>
  <c r="E101" i="2"/>
  <c r="I101" i="2"/>
  <c r="J101" i="2" s="1"/>
  <c r="E103" i="2"/>
  <c r="I103" i="2"/>
  <c r="J103" i="2" s="1"/>
  <c r="E104" i="2"/>
  <c r="I104" i="2"/>
  <c r="J104" i="2" s="1"/>
  <c r="E105" i="2"/>
  <c r="I105" i="2"/>
  <c r="J105" i="2" s="1"/>
  <c r="E107" i="2"/>
  <c r="I107" i="2"/>
  <c r="J107" i="2" s="1"/>
  <c r="F7" i="2" l="1"/>
  <c r="J7" i="2"/>
  <c r="F7" i="5"/>
  <c r="J7" i="5"/>
  <c r="F103" i="2"/>
  <c r="F25" i="2"/>
  <c r="F23" i="2"/>
  <c r="F21" i="2"/>
  <c r="F19" i="2"/>
  <c r="F18" i="5"/>
  <c r="F22" i="5"/>
  <c r="F46" i="5"/>
  <c r="F54" i="5"/>
  <c r="F58" i="5"/>
  <c r="F62" i="5"/>
  <c r="F70" i="5"/>
  <c r="F74" i="5"/>
  <c r="F78" i="5"/>
  <c r="F82" i="5"/>
  <c r="F86" i="5"/>
  <c r="F90" i="5"/>
  <c r="F94" i="5"/>
  <c r="F14" i="5"/>
  <c r="F26" i="5"/>
  <c r="F34" i="5"/>
  <c r="F42" i="5"/>
  <c r="F50" i="5"/>
  <c r="F66" i="5"/>
  <c r="F107" i="2"/>
  <c r="F104" i="2"/>
  <c r="F101" i="2"/>
  <c r="F99" i="2"/>
  <c r="F97" i="2"/>
  <c r="F95" i="2"/>
  <c r="F93" i="2"/>
  <c r="F91" i="2"/>
  <c r="F89" i="2"/>
  <c r="F87" i="2"/>
  <c r="F85" i="2"/>
  <c r="F83" i="2"/>
  <c r="F81" i="2"/>
  <c r="F79" i="2"/>
  <c r="F77" i="2"/>
  <c r="F75" i="2"/>
  <c r="F73" i="2"/>
  <c r="F71" i="2"/>
  <c r="F69" i="2"/>
  <c r="F67" i="2"/>
  <c r="F65" i="2"/>
  <c r="F63" i="2"/>
  <c r="F61" i="2"/>
  <c r="F59" i="2"/>
  <c r="F57" i="2"/>
  <c r="F55" i="2"/>
  <c r="F53" i="2"/>
  <c r="F51" i="2"/>
  <c r="F49" i="2"/>
  <c r="F47" i="2"/>
  <c r="F45" i="2"/>
  <c r="F43" i="2"/>
  <c r="F41" i="2"/>
  <c r="F39" i="2"/>
  <c r="F37" i="2"/>
  <c r="F35" i="2"/>
  <c r="F33" i="2"/>
  <c r="F31" i="2"/>
  <c r="F29" i="2"/>
  <c r="F12" i="2"/>
  <c r="F10" i="2"/>
  <c r="F104" i="5"/>
  <c r="F27" i="2"/>
  <c r="F14" i="2"/>
  <c r="F19" i="5"/>
  <c r="F27" i="5"/>
  <c r="F31" i="5"/>
  <c r="F35" i="5"/>
  <c r="F39" i="5"/>
  <c r="F43" i="5"/>
  <c r="F47" i="5"/>
  <c r="F51" i="5"/>
  <c r="F55" i="5"/>
  <c r="F59" i="5"/>
  <c r="F63" i="5"/>
  <c r="F67" i="5"/>
  <c r="F71" i="5"/>
  <c r="F75" i="5"/>
  <c r="F79" i="5"/>
  <c r="F87" i="5"/>
  <c r="F95" i="5"/>
  <c r="F99" i="5"/>
  <c r="F102" i="5"/>
  <c r="F103" i="5"/>
  <c r="F26" i="2"/>
  <c r="F24" i="2"/>
  <c r="F22" i="2"/>
  <c r="F20" i="2"/>
  <c r="F18" i="2"/>
  <c r="F16" i="2"/>
  <c r="F12" i="5"/>
  <c r="F16" i="5"/>
  <c r="F20" i="5"/>
  <c r="F24" i="5"/>
  <c r="F28" i="5"/>
  <c r="F32" i="5"/>
  <c r="F36" i="5"/>
  <c r="F40" i="5"/>
  <c r="F44" i="5"/>
  <c r="F48" i="5"/>
  <c r="F52" i="5"/>
  <c r="F56" i="5"/>
  <c r="F60" i="5"/>
  <c r="F64" i="5"/>
  <c r="F72" i="5"/>
  <c r="F80" i="5"/>
  <c r="F84" i="5"/>
  <c r="F88" i="5"/>
  <c r="F92" i="5"/>
  <c r="F96" i="5"/>
  <c r="F100" i="5"/>
  <c r="F105" i="5"/>
  <c r="F105" i="2"/>
  <c r="F102" i="2"/>
  <c r="F100" i="2"/>
  <c r="F98" i="2"/>
  <c r="F96" i="2"/>
  <c r="F94" i="2"/>
  <c r="F92" i="2"/>
  <c r="F90" i="2"/>
  <c r="F88" i="2"/>
  <c r="F86" i="2"/>
  <c r="F84" i="2"/>
  <c r="F82" i="2"/>
  <c r="F80" i="2"/>
  <c r="F78" i="2"/>
  <c r="F76" i="2"/>
  <c r="F74" i="2"/>
  <c r="F72" i="2"/>
  <c r="F70" i="2"/>
  <c r="F68" i="2"/>
  <c r="F66" i="2"/>
  <c r="F64" i="2"/>
  <c r="F62" i="2"/>
  <c r="F60" i="2"/>
  <c r="F58" i="2"/>
  <c r="F56" i="2"/>
  <c r="F54" i="2"/>
  <c r="F52" i="2"/>
  <c r="F50" i="2"/>
  <c r="F48" i="2"/>
  <c r="F46" i="2"/>
  <c r="F44" i="2"/>
  <c r="F42" i="2"/>
  <c r="F40" i="2"/>
  <c r="F38" i="2"/>
  <c r="F36" i="2"/>
  <c r="F34" i="2"/>
  <c r="F32" i="2"/>
  <c r="F30" i="2"/>
  <c r="F13" i="5"/>
  <c r="F17" i="5"/>
  <c r="F21" i="5"/>
  <c r="F25" i="5"/>
  <c r="F29" i="5"/>
  <c r="F33" i="5"/>
  <c r="F37" i="5"/>
  <c r="F41" i="5"/>
  <c r="F49" i="5"/>
  <c r="F57" i="5"/>
  <c r="F65" i="5"/>
  <c r="F69" i="5"/>
  <c r="F73" i="5"/>
  <c r="F77" i="5"/>
  <c r="F81" i="5"/>
  <c r="F85" i="5"/>
  <c r="F89" i="5"/>
  <c r="F93" i="5"/>
  <c r="F97" i="5"/>
  <c r="F101" i="5"/>
  <c r="F107" i="5"/>
  <c r="F28" i="2"/>
  <c r="F9" i="5"/>
  <c r="F15" i="2"/>
  <c r="F17" i="2"/>
  <c r="F13" i="2"/>
  <c r="F11" i="2"/>
  <c r="F10" i="5"/>
  <c r="F11" i="5"/>
  <c r="F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윤승혁</author>
  </authors>
  <commentList>
    <comment ref="B8" authorId="0" shapeId="0" xr:uid="{3485AEE5-E2B0-4118-B66D-8CE95F27DC0B}">
      <text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모의고사에서만</t>
        </r>
        <r>
          <rPr>
            <b/>
            <sz val="9"/>
            <color indexed="81"/>
            <rFont val="Tahoma"/>
            <family val="2"/>
          </rPr>
          <t xml:space="preserve"> '</t>
        </r>
        <r>
          <rPr>
            <b/>
            <sz val="9"/>
            <color indexed="81"/>
            <rFont val="돋움"/>
            <family val="3"/>
            <charset val="129"/>
          </rPr>
          <t>통합</t>
        </r>
        <r>
          <rPr>
            <b/>
            <sz val="9"/>
            <color indexed="81"/>
            <rFont val="Tahoma"/>
            <family val="2"/>
          </rPr>
          <t xml:space="preserve">' </t>
        </r>
        <r>
          <rPr>
            <b/>
            <sz val="9"/>
            <color indexed="81"/>
            <rFont val="돋움"/>
            <family val="3"/>
            <charset val="129"/>
          </rPr>
          <t>단어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빼기
</t>
        </r>
        <r>
          <rPr>
            <b/>
            <sz val="9"/>
            <color indexed="81"/>
            <rFont val="Tahoma"/>
            <family val="2"/>
          </rPr>
          <t>6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모의고사부터는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붙일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것</t>
        </r>
      </text>
    </comment>
  </commentList>
</comments>
</file>

<file path=xl/sharedStrings.xml><?xml version="1.0" encoding="utf-8"?>
<sst xmlns="http://schemas.openxmlformats.org/spreadsheetml/2006/main" count="183" uniqueCount="85">
  <si>
    <t>표준편차</t>
    <phoneticPr fontId="1" type="noConversion"/>
  </si>
  <si>
    <t>응시자 수</t>
    <phoneticPr fontId="1" type="noConversion"/>
  </si>
  <si>
    <t>평균</t>
    <phoneticPr fontId="1" type="noConversion"/>
  </si>
  <si>
    <t>국어</t>
    <phoneticPr fontId="1" type="noConversion"/>
  </si>
  <si>
    <t>영어</t>
    <phoneticPr fontId="1" type="noConversion"/>
  </si>
  <si>
    <t>한국사</t>
    <phoneticPr fontId="1" type="noConversion"/>
  </si>
  <si>
    <t>표준점수</t>
    <phoneticPr fontId="1" type="noConversion"/>
  </si>
  <si>
    <t>인원</t>
    <phoneticPr fontId="1" type="noConversion"/>
  </si>
  <si>
    <t>국어</t>
    <phoneticPr fontId="1" type="noConversion"/>
  </si>
  <si>
    <t>1등급</t>
    <phoneticPr fontId="1" type="noConversion"/>
  </si>
  <si>
    <t>2등급</t>
    <phoneticPr fontId="1" type="noConversion"/>
  </si>
  <si>
    <t>3등급</t>
    <phoneticPr fontId="1" type="noConversion"/>
  </si>
  <si>
    <t>4등급</t>
    <phoneticPr fontId="1" type="noConversion"/>
  </si>
  <si>
    <t>5등급</t>
    <phoneticPr fontId="1" type="noConversion"/>
  </si>
  <si>
    <t>6등급</t>
    <phoneticPr fontId="1" type="noConversion"/>
  </si>
  <si>
    <t>7등급</t>
    <phoneticPr fontId="1" type="noConversion"/>
  </si>
  <si>
    <t>8등급</t>
    <phoneticPr fontId="1" type="noConversion"/>
  </si>
  <si>
    <t>수학</t>
    <phoneticPr fontId="1" type="noConversion"/>
  </si>
  <si>
    <t>통합 사회</t>
    <phoneticPr fontId="1" type="noConversion"/>
  </si>
  <si>
    <t>통합 과학</t>
    <phoneticPr fontId="1" type="noConversion"/>
  </si>
  <si>
    <t>국</t>
    <phoneticPr fontId="1" type="noConversion"/>
  </si>
  <si>
    <t>수</t>
    <phoneticPr fontId="1" type="noConversion"/>
  </si>
  <si>
    <t>9등급</t>
  </si>
  <si>
    <t>9등급</t>
    <phoneticPr fontId="1" type="noConversion"/>
  </si>
  <si>
    <t>1등급</t>
    <phoneticPr fontId="1" type="noConversion"/>
  </si>
  <si>
    <t>2등급</t>
  </si>
  <si>
    <t>3등급</t>
  </si>
  <si>
    <t>4등급</t>
  </si>
  <si>
    <t>5등급</t>
  </si>
  <si>
    <t>6등급</t>
  </si>
  <si>
    <t>7등급</t>
  </si>
  <si>
    <t>8등급</t>
  </si>
  <si>
    <t>이 아래로 붙여넣기</t>
    <phoneticPr fontId="1" type="noConversion"/>
  </si>
  <si>
    <t>영</t>
    <phoneticPr fontId="1" type="noConversion"/>
  </si>
  <si>
    <t>한</t>
    <phoneticPr fontId="1" type="noConversion"/>
  </si>
  <si>
    <t>사</t>
    <phoneticPr fontId="1" type="noConversion"/>
  </si>
  <si>
    <t>과</t>
    <phoneticPr fontId="1" type="noConversion"/>
  </si>
  <si>
    <t>-</t>
    <phoneticPr fontId="1" type="noConversion"/>
  </si>
  <si>
    <r>
      <rPr>
        <sz val="12"/>
        <color theme="1"/>
        <rFont val="돋움"/>
        <family val="3"/>
        <charset val="129"/>
      </rPr>
      <t>오차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돋움"/>
        <family val="3"/>
        <charset val="129"/>
      </rPr>
      <t>경고</t>
    </r>
    <phoneticPr fontId="1" type="noConversion"/>
  </si>
  <si>
    <t>B2:K108</t>
    <phoneticPr fontId="1" type="noConversion"/>
  </si>
  <si>
    <t>B2:K16</t>
    <phoneticPr fontId="1" type="noConversion"/>
  </si>
  <si>
    <r>
      <rPr>
        <sz val="12"/>
        <color theme="1"/>
        <rFont val="맑은 고딕"/>
        <family val="3"/>
        <charset val="129"/>
      </rPr>
      <t>시험명</t>
    </r>
  </si>
  <si>
    <r>
      <rPr>
        <sz val="12"/>
        <color theme="1"/>
        <rFont val="맑은 고딕"/>
        <family val="3"/>
        <charset val="129"/>
      </rPr>
      <t>평균</t>
    </r>
    <phoneticPr fontId="1" type="noConversion"/>
  </si>
  <si>
    <r>
      <rPr>
        <sz val="12"/>
        <color theme="1"/>
        <rFont val="맑은 고딕"/>
        <family val="3"/>
        <charset val="129"/>
      </rPr>
      <t>응시자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3"/>
        <charset val="129"/>
      </rPr>
      <t>수</t>
    </r>
    <phoneticPr fontId="1" type="noConversion"/>
  </si>
  <si>
    <r>
      <rPr>
        <sz val="12"/>
        <color theme="1"/>
        <rFont val="맑은 고딕"/>
        <family val="3"/>
        <charset val="129"/>
      </rPr>
      <t>과목</t>
    </r>
    <phoneticPr fontId="1" type="noConversion"/>
  </si>
  <si>
    <r>
      <rPr>
        <sz val="12"/>
        <color theme="1"/>
        <rFont val="맑은 고딕"/>
        <family val="3"/>
        <charset val="129"/>
      </rPr>
      <t>국어</t>
    </r>
    <phoneticPr fontId="1" type="noConversion"/>
  </si>
  <si>
    <r>
      <rPr>
        <sz val="12"/>
        <color theme="1"/>
        <rFont val="맑은 고딕"/>
        <family val="3"/>
        <charset val="129"/>
      </rPr>
      <t>표준편차</t>
    </r>
    <phoneticPr fontId="1" type="noConversion"/>
  </si>
  <si>
    <r>
      <rPr>
        <sz val="12"/>
        <color theme="1"/>
        <rFont val="맑은 고딕"/>
        <family val="3"/>
        <charset val="129"/>
      </rPr>
      <t>수학</t>
    </r>
    <phoneticPr fontId="1" type="noConversion"/>
  </si>
  <si>
    <r>
      <rPr>
        <sz val="13"/>
        <color theme="1"/>
        <rFont val="맑은 고딕"/>
        <family val="3"/>
        <charset val="129"/>
      </rPr>
      <t>원점수</t>
    </r>
    <phoneticPr fontId="1" type="noConversion"/>
  </si>
  <si>
    <r>
      <rPr>
        <sz val="13"/>
        <color theme="1"/>
        <rFont val="맑은 고딕"/>
        <family val="3"/>
        <charset val="129"/>
      </rPr>
      <t>표준점수</t>
    </r>
    <phoneticPr fontId="1" type="noConversion"/>
  </si>
  <si>
    <r>
      <rPr>
        <sz val="13"/>
        <color theme="1"/>
        <rFont val="맑은 고딕"/>
        <family val="3"/>
        <charset val="129"/>
      </rPr>
      <t>등급</t>
    </r>
    <phoneticPr fontId="1" type="noConversion"/>
  </si>
  <si>
    <r>
      <rPr>
        <sz val="13"/>
        <color theme="1"/>
        <rFont val="맑은 고딕"/>
        <family val="3"/>
        <charset val="129"/>
      </rPr>
      <t>백분위</t>
    </r>
    <phoneticPr fontId="1" type="noConversion"/>
  </si>
  <si>
    <r>
      <rPr>
        <sz val="13"/>
        <color theme="1"/>
        <rFont val="맑은 고딕"/>
        <family val="3"/>
        <charset val="129"/>
      </rPr>
      <t>인원</t>
    </r>
    <phoneticPr fontId="1" type="noConversion"/>
  </si>
  <si>
    <r>
      <rPr>
        <sz val="13"/>
        <color theme="1"/>
        <rFont val="맑은 고딕"/>
        <family val="3"/>
        <charset val="129"/>
      </rPr>
      <t>비율</t>
    </r>
    <phoneticPr fontId="1" type="noConversion"/>
  </si>
  <si>
    <r>
      <rPr>
        <sz val="13"/>
        <color theme="1"/>
        <rFont val="맑은 고딕"/>
        <family val="3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3"/>
        <charset val="129"/>
      </rPr>
      <t>인원</t>
    </r>
    <phoneticPr fontId="1" type="noConversion"/>
  </si>
  <si>
    <r>
      <rPr>
        <sz val="13"/>
        <color theme="1"/>
        <rFont val="맑은 고딕"/>
        <family val="3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3"/>
        <charset val="129"/>
      </rPr>
      <t>비율</t>
    </r>
    <phoneticPr fontId="1" type="noConversion"/>
  </si>
  <si>
    <r>
      <rPr>
        <sz val="12"/>
        <color theme="1"/>
        <rFont val="맑은 고딕"/>
        <family val="2"/>
        <charset val="129"/>
      </rPr>
      <t>시험명</t>
    </r>
  </si>
  <si>
    <r>
      <rPr>
        <sz val="12"/>
        <color theme="1"/>
        <rFont val="맑은 고딕"/>
        <family val="2"/>
        <charset val="129"/>
      </rPr>
      <t>평균</t>
    </r>
    <phoneticPr fontId="1" type="noConversion"/>
  </si>
  <si>
    <r>
      <rPr>
        <sz val="12"/>
        <color theme="1"/>
        <rFont val="맑은 고딕"/>
        <family val="2"/>
        <charset val="129"/>
      </rPr>
      <t>응시자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수</t>
    </r>
    <phoneticPr fontId="1" type="noConversion"/>
  </si>
  <si>
    <r>
      <rPr>
        <sz val="12"/>
        <color theme="1"/>
        <rFont val="맑은 고딕"/>
        <family val="2"/>
        <charset val="129"/>
      </rPr>
      <t>과목</t>
    </r>
    <phoneticPr fontId="1" type="noConversion"/>
  </si>
  <si>
    <r>
      <rPr>
        <sz val="12"/>
        <color theme="1"/>
        <rFont val="맑은 고딕"/>
        <family val="2"/>
        <charset val="129"/>
      </rPr>
      <t>영어</t>
    </r>
    <phoneticPr fontId="1" type="noConversion"/>
  </si>
  <si>
    <r>
      <rPr>
        <sz val="12"/>
        <color theme="1"/>
        <rFont val="맑은 고딕"/>
        <family val="2"/>
        <charset val="129"/>
      </rPr>
      <t>표준편차</t>
    </r>
    <phoneticPr fontId="1" type="noConversion"/>
  </si>
  <si>
    <r>
      <rPr>
        <sz val="12"/>
        <color theme="1"/>
        <rFont val="맑은 고딕"/>
        <family val="2"/>
        <charset val="129"/>
      </rPr>
      <t>한국사</t>
    </r>
    <phoneticPr fontId="1" type="noConversion"/>
  </si>
  <si>
    <r>
      <rPr>
        <sz val="13"/>
        <color theme="1"/>
        <rFont val="맑은 고딕"/>
        <family val="2"/>
        <charset val="129"/>
      </rPr>
      <t>등급</t>
    </r>
    <phoneticPr fontId="1" type="noConversion"/>
  </si>
  <si>
    <r>
      <rPr>
        <sz val="13"/>
        <color theme="1"/>
        <rFont val="맑은 고딕"/>
        <family val="2"/>
        <charset val="129"/>
      </rPr>
      <t>원점수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2"/>
        <charset val="129"/>
      </rPr>
      <t>등급컷</t>
    </r>
    <phoneticPr fontId="1" type="noConversion"/>
  </si>
  <si>
    <r>
      <rPr>
        <sz val="13"/>
        <color theme="1"/>
        <rFont val="맑은 고딕"/>
        <family val="2"/>
        <charset val="129"/>
      </rPr>
      <t>인원</t>
    </r>
    <phoneticPr fontId="1" type="noConversion"/>
  </si>
  <si>
    <r>
      <rPr>
        <sz val="13"/>
        <color theme="1"/>
        <rFont val="맑은 고딕"/>
        <family val="2"/>
        <charset val="129"/>
      </rPr>
      <t>비율</t>
    </r>
    <phoneticPr fontId="1" type="noConversion"/>
  </si>
  <si>
    <r>
      <rPr>
        <sz val="13"/>
        <color theme="1"/>
        <rFont val="맑은 고딕"/>
        <family val="2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2"/>
        <charset val="129"/>
      </rPr>
      <t>인원</t>
    </r>
    <phoneticPr fontId="1" type="noConversion"/>
  </si>
  <si>
    <r>
      <rPr>
        <sz val="13"/>
        <color theme="1"/>
        <rFont val="맑은 고딕"/>
        <family val="2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2"/>
        <charset val="129"/>
      </rPr>
      <t>비율</t>
    </r>
    <phoneticPr fontId="1" type="noConversion"/>
  </si>
  <si>
    <t>2023학년도 6월 고1 전국연합학력평가</t>
  </si>
  <si>
    <r>
      <rPr>
        <sz val="12"/>
        <color theme="1"/>
        <rFont val="맑은 고딕"/>
        <family val="2"/>
        <charset val="129"/>
      </rPr>
      <t>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통합 사회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</si>
  <si>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통합 과학</t>
    </r>
    <r>
      <rPr>
        <sz val="12"/>
        <color theme="1"/>
        <rFont val="Microsoft Sans Serif"/>
        <family val="2"/>
      </rPr>
      <t>)</t>
    </r>
    <phoneticPr fontId="1" type="noConversion"/>
  </si>
  <si>
    <t>* 특이사항 : 12번 문항(2점) 오류로 인한 전원 정답 처리</t>
    <phoneticPr fontId="1" type="noConversion"/>
  </si>
  <si>
    <t>52.01</t>
  </si>
  <si>
    <t>19.50</t>
  </si>
  <si>
    <t>46.43</t>
  </si>
  <si>
    <t>23.05</t>
  </si>
  <si>
    <t>57.89</t>
  </si>
  <si>
    <t>22.63</t>
  </si>
  <si>
    <t>26.91</t>
  </si>
  <si>
    <t>11.84</t>
  </si>
  <si>
    <t>34.63</t>
  </si>
  <si>
    <t>10.93</t>
  </si>
  <si>
    <t>21.85</t>
  </si>
  <si>
    <t>11.71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</si>
</sst>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#,##0.00_ "/>
    <numFmt numFmtId="177" formatCode="#,##0_ "/>
    <numFmt numFmtId="178" formatCode="0.00_);[Red]\(0.00\)"/>
    <numFmt numFmtId="179" formatCode="#,##0_);[Red]\(#,##0\)"/>
  </numFmts>
  <fonts count="4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name val="Arial"/>
      <family val="2"/>
    </font>
    <font>
      <b/>
      <sz val="18"/>
      <color theme="3"/>
      <name val="맑은 고딕"/>
      <family val="2"/>
      <charset val="129"/>
      <scheme val="major"/>
    </font>
    <font>
      <sz val="11"/>
      <color rgb="FF9C6500"/>
      <name val="맑은 고딕"/>
      <family val="2"/>
      <charset val="129"/>
      <scheme val="minor"/>
    </font>
    <font>
      <u/>
      <sz val="11"/>
      <color rgb="FF0000FF"/>
      <name val="맑은 고딕"/>
      <family val="2"/>
      <charset val="129"/>
      <scheme val="minor"/>
    </font>
    <font>
      <u/>
      <sz val="11"/>
      <color rgb="FF800080"/>
      <name val="맑은 고딕"/>
      <family val="2"/>
      <charset val="129"/>
      <scheme val="minor"/>
    </font>
    <font>
      <sz val="12"/>
      <color theme="1"/>
      <name val="맑은 고딕"/>
      <family val="3"/>
      <charset val="129"/>
    </font>
    <font>
      <sz val="12"/>
      <color theme="1"/>
      <name val="Microsoft Sans Serif"/>
      <family val="2"/>
    </font>
    <font>
      <sz val="12"/>
      <name val="Microsoft Sans Serif"/>
      <family val="2"/>
    </font>
    <font>
      <sz val="11"/>
      <color theme="1"/>
      <name val="Microsoft Sans Serif"/>
      <family val="2"/>
    </font>
    <font>
      <sz val="12"/>
      <color theme="1"/>
      <name val="맑은 고딕"/>
      <family val="2"/>
      <charset val="129"/>
    </font>
    <font>
      <sz val="11"/>
      <color rgb="FF000000"/>
      <name val="맑은 고딕"/>
      <family val="3"/>
      <charset val="129"/>
    </font>
    <font>
      <sz val="12"/>
      <color theme="1"/>
      <name val="돋움"/>
      <family val="3"/>
      <charset val="129"/>
    </font>
    <font>
      <sz val="12"/>
      <color theme="1"/>
      <name val="Microsoft Sans Serif"/>
      <family val="3"/>
      <charset val="129"/>
    </font>
    <font>
      <sz val="13"/>
      <color theme="1"/>
      <name val="Microsoft Sans Serif"/>
      <family val="2"/>
    </font>
    <font>
      <sz val="13"/>
      <color theme="1"/>
      <name val="맑은 고딕"/>
      <family val="3"/>
      <charset val="129"/>
    </font>
    <font>
      <sz val="13"/>
      <name val="Microsoft Sans Serif"/>
      <family val="2"/>
    </font>
    <font>
      <sz val="13"/>
      <color theme="1"/>
      <name val="맑은 고딕"/>
      <family val="2"/>
      <charset val="129"/>
    </font>
    <font>
      <b/>
      <sz val="13"/>
      <color theme="1"/>
      <name val="Microsoft Sans Serif"/>
      <family val="2"/>
    </font>
    <font>
      <b/>
      <sz val="13"/>
      <color indexed="8"/>
      <name val="Microsoft Sans Serif"/>
      <family val="2"/>
    </font>
    <font>
      <b/>
      <sz val="12"/>
      <color theme="1"/>
      <name val="Microsoft Sans Serif"/>
      <family val="2"/>
    </font>
    <font>
      <b/>
      <sz val="12"/>
      <color indexed="8"/>
      <name val="Microsoft Sans Serif"/>
      <family val="2"/>
    </font>
    <font>
      <sz val="12"/>
      <color theme="1"/>
      <name val="Arial Unicode MS"/>
      <family val="2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2"/>
      <color theme="1"/>
      <name val="Microsoft Sans Serif"/>
      <family val="2"/>
      <charset val="129"/>
    </font>
    <font>
      <sz val="10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0"/>
      <name val="돋움"/>
      <family val="3"/>
      <charset val="129"/>
    </font>
  </fonts>
  <fills count="40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</fills>
  <borders count="61">
    <border>
      <left/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4D4D4"/>
      </left>
      <right/>
      <top style="thin">
        <color rgb="FFD4D4D4"/>
      </top>
      <bottom/>
      <diagonal/>
    </border>
    <border>
      <left/>
      <right/>
      <top style="thin">
        <color rgb="FFD4D4D4"/>
      </top>
      <bottom/>
      <diagonal/>
    </border>
    <border>
      <left/>
      <right style="thin">
        <color rgb="FFD4D4D4"/>
      </right>
      <top style="thin">
        <color rgb="FFD4D4D4"/>
      </top>
      <bottom/>
      <diagonal/>
    </border>
    <border>
      <left style="thin">
        <color rgb="FFD4D4D4"/>
      </left>
      <right/>
      <top/>
      <bottom/>
      <diagonal/>
    </border>
    <border>
      <left/>
      <right style="thin">
        <color rgb="FFD4D4D4"/>
      </right>
      <top/>
      <bottom/>
      <diagonal/>
    </border>
    <border>
      <left style="thin">
        <color rgb="FFD4D4D4"/>
      </left>
      <right/>
      <top/>
      <bottom style="thin">
        <color rgb="FFD4D4D4"/>
      </bottom>
      <diagonal/>
    </border>
    <border>
      <left/>
      <right/>
      <top/>
      <bottom style="thin">
        <color rgb="FFD4D4D4"/>
      </bottom>
      <diagonal/>
    </border>
    <border>
      <left/>
      <right style="thin">
        <color rgb="FFD4D4D4"/>
      </right>
      <top/>
      <bottom style="thin">
        <color rgb="FFD4D4D4"/>
      </bottom>
      <diagonal/>
    </border>
    <border>
      <left/>
      <right/>
      <top style="medium">
        <color indexed="64"/>
      </top>
      <bottom style="thin">
        <color rgb="FFD4D4D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54">
    <xf numFmtId="0" fontId="0" fillId="0" borderId="0">
      <alignment vertical="center"/>
    </xf>
    <xf numFmtId="0" fontId="2" fillId="0" borderId="0"/>
    <xf numFmtId="0" fontId="4" fillId="0" borderId="25" applyNumberFormat="0" applyFill="0" applyAlignment="0" applyProtection="0">
      <alignment vertical="center"/>
    </xf>
    <xf numFmtId="0" fontId="5" fillId="0" borderId="26" applyNumberFormat="0" applyFill="0" applyAlignment="0" applyProtection="0">
      <alignment vertical="center"/>
    </xf>
    <xf numFmtId="0" fontId="6" fillId="0" borderId="27" applyNumberFormat="0" applyFill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9" fillId="10" borderId="28" applyNumberFormat="0" applyAlignment="0" applyProtection="0">
      <alignment vertical="center"/>
    </xf>
    <xf numFmtId="0" fontId="10" fillId="11" borderId="29" applyNumberFormat="0" applyAlignment="0" applyProtection="0">
      <alignment vertical="center"/>
    </xf>
    <xf numFmtId="0" fontId="11" fillId="11" borderId="28" applyNumberFormat="0" applyAlignment="0" applyProtection="0">
      <alignment vertical="center"/>
    </xf>
    <xf numFmtId="0" fontId="12" fillId="0" borderId="30" applyNumberFormat="0" applyFill="0" applyAlignment="0" applyProtection="0">
      <alignment vertical="center"/>
    </xf>
    <xf numFmtId="0" fontId="13" fillId="12" borderId="31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33" applyNumberFormat="0" applyFill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17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17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17" fillId="34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6" borderId="0" applyNumberFormat="0" applyBorder="0" applyAlignment="0" applyProtection="0">
      <alignment vertical="center"/>
    </xf>
    <xf numFmtId="0" fontId="18" fillId="0" borderId="0"/>
    <xf numFmtId="0" fontId="19" fillId="0" borderId="0" applyNumberFormat="0" applyFill="0" applyBorder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17" fillId="37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13" borderId="32" applyNumberFormat="0" applyFont="0" applyAlignment="0" applyProtection="0">
      <alignment vertical="center"/>
    </xf>
    <xf numFmtId="0" fontId="2" fillId="0" borderId="0"/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3" fillId="0" borderId="0">
      <alignment vertical="center"/>
    </xf>
    <xf numFmtId="0" fontId="18" fillId="0" borderId="0"/>
    <xf numFmtId="9" fontId="3" fillId="0" borderId="0" applyFont="0" applyFill="0" applyBorder="0" applyAlignment="0" applyProtection="0">
      <alignment vertical="center"/>
    </xf>
    <xf numFmtId="0" fontId="18" fillId="0" borderId="0"/>
    <xf numFmtId="0" fontId="18" fillId="0" borderId="0"/>
    <xf numFmtId="0" fontId="18" fillId="0" borderId="0"/>
  </cellStyleXfs>
  <cellXfs count="15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6" borderId="0" xfId="0" applyFill="1">
      <alignment vertical="center"/>
    </xf>
    <xf numFmtId="0" fontId="0" fillId="0" borderId="37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8" xfId="0" applyBorder="1">
      <alignment vertical="center"/>
    </xf>
    <xf numFmtId="0" fontId="0" fillId="0" borderId="16" xfId="0" applyBorder="1">
      <alignment vertical="center"/>
    </xf>
    <xf numFmtId="0" fontId="0" fillId="0" borderId="40" xfId="0" applyBorder="1">
      <alignment vertical="center"/>
    </xf>
    <xf numFmtId="0" fontId="0" fillId="38" borderId="0" xfId="0" applyFill="1" applyAlignment="1">
      <alignment horizontal="center" vertical="center"/>
    </xf>
    <xf numFmtId="0" fontId="0" fillId="0" borderId="41" xfId="0" applyBorder="1">
      <alignment vertical="center"/>
    </xf>
    <xf numFmtId="3" fontId="0" fillId="0" borderId="0" xfId="0" applyNumberFormat="1">
      <alignment vertical="center"/>
    </xf>
    <xf numFmtId="0" fontId="24" fillId="6" borderId="0" xfId="0" applyFont="1" applyFill="1">
      <alignment vertical="center"/>
    </xf>
    <xf numFmtId="0" fontId="24" fillId="5" borderId="15" xfId="0" applyFont="1" applyFill="1" applyBorder="1" applyAlignment="1">
      <alignment horizontal="center" vertical="center"/>
    </xf>
    <xf numFmtId="0" fontId="24" fillId="0" borderId="0" xfId="0" applyFont="1">
      <alignment vertical="center"/>
    </xf>
    <xf numFmtId="0" fontId="24" fillId="6" borderId="0" xfId="0" applyFont="1" applyFill="1" applyAlignment="1">
      <alignment horizontal="center" vertical="center"/>
    </xf>
    <xf numFmtId="0" fontId="24" fillId="6" borderId="0" xfId="0" quotePrefix="1" applyFont="1" applyFill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6" fillId="6" borderId="0" xfId="0" applyFont="1" applyFill="1">
      <alignment vertical="center"/>
    </xf>
    <xf numFmtId="0" fontId="26" fillId="0" borderId="0" xfId="0" applyFont="1">
      <alignment vertical="center"/>
    </xf>
    <xf numFmtId="0" fontId="0" fillId="6" borderId="0" xfId="0" applyFill="1" applyAlignment="1">
      <alignment horizontal="center" vertical="center"/>
    </xf>
    <xf numFmtId="0" fontId="30" fillId="6" borderId="0" xfId="0" applyFont="1" applyFill="1" applyAlignment="1">
      <alignment horizontal="center" vertical="center"/>
    </xf>
    <xf numFmtId="0" fontId="0" fillId="6" borderId="49" xfId="0" applyFill="1" applyBorder="1">
      <alignment vertical="center"/>
    </xf>
    <xf numFmtId="0" fontId="0" fillId="6" borderId="50" xfId="0" applyFill="1" applyBorder="1">
      <alignment vertical="center"/>
    </xf>
    <xf numFmtId="0" fontId="0" fillId="6" borderId="51" xfId="0" applyFill="1" applyBorder="1">
      <alignment vertical="center"/>
    </xf>
    <xf numFmtId="0" fontId="24" fillId="6" borderId="52" xfId="0" applyFont="1" applyFill="1" applyBorder="1">
      <alignment vertical="center"/>
    </xf>
    <xf numFmtId="3" fontId="26" fillId="6" borderId="53" xfId="0" applyNumberFormat="1" applyFont="1" applyFill="1" applyBorder="1" applyAlignment="1">
      <alignment horizontal="center" vertical="center"/>
    </xf>
    <xf numFmtId="0" fontId="26" fillId="6" borderId="53" xfId="0" applyFont="1" applyFill="1" applyBorder="1">
      <alignment vertical="center"/>
    </xf>
    <xf numFmtId="0" fontId="24" fillId="6" borderId="53" xfId="0" applyFont="1" applyFill="1" applyBorder="1">
      <alignment vertical="center"/>
    </xf>
    <xf numFmtId="0" fontId="24" fillId="6" borderId="53" xfId="0" applyFont="1" applyFill="1" applyBorder="1" applyAlignment="1">
      <alignment horizontal="center" vertical="center"/>
    </xf>
    <xf numFmtId="10" fontId="25" fillId="6" borderId="53" xfId="1" applyNumberFormat="1" applyFont="1" applyFill="1" applyBorder="1" applyAlignment="1">
      <alignment horizontal="center" vertical="center"/>
    </xf>
    <xf numFmtId="176" fontId="25" fillId="6" borderId="53" xfId="1" applyNumberFormat="1" applyFont="1" applyFill="1" applyBorder="1" applyAlignment="1">
      <alignment horizontal="center" vertical="center"/>
    </xf>
    <xf numFmtId="0" fontId="0" fillId="6" borderId="54" xfId="0" applyFill="1" applyBorder="1">
      <alignment vertical="center"/>
    </xf>
    <xf numFmtId="0" fontId="0" fillId="6" borderId="55" xfId="0" applyFill="1" applyBorder="1">
      <alignment vertical="center"/>
    </xf>
    <xf numFmtId="0" fontId="0" fillId="6" borderId="56" xfId="0" applyFill="1" applyBorder="1">
      <alignment vertical="center"/>
    </xf>
    <xf numFmtId="10" fontId="25" fillId="6" borderId="53" xfId="50" applyNumberFormat="1" applyFont="1" applyFill="1" applyBorder="1" applyAlignment="1">
      <alignment horizontal="center" vertical="center"/>
    </xf>
    <xf numFmtId="0" fontId="26" fillId="6" borderId="52" xfId="0" applyFont="1" applyFill="1" applyBorder="1">
      <alignment vertical="center"/>
    </xf>
    <xf numFmtId="0" fontId="0" fillId="0" borderId="35" xfId="0" applyBorder="1">
      <alignment vertical="center"/>
    </xf>
    <xf numFmtId="0" fontId="0" fillId="0" borderId="39" xfId="0" applyBorder="1">
      <alignment vertical="center"/>
    </xf>
    <xf numFmtId="0" fontId="0" fillId="0" borderId="36" xfId="0" applyBorder="1">
      <alignment vertical="center"/>
    </xf>
    <xf numFmtId="0" fontId="24" fillId="5" borderId="21" xfId="0" applyFont="1" applyFill="1" applyBorder="1" applyAlignment="1">
      <alignment horizontal="center" vertical="center"/>
    </xf>
    <xf numFmtId="2" fontId="24" fillId="0" borderId="20" xfId="0" applyNumberFormat="1" applyFont="1" applyBorder="1" applyAlignment="1">
      <alignment horizontal="center" vertical="center"/>
    </xf>
    <xf numFmtId="3" fontId="24" fillId="0" borderId="19" xfId="0" applyNumberFormat="1" applyFont="1" applyBorder="1" applyAlignment="1">
      <alignment horizontal="center" vertical="center"/>
    </xf>
    <xf numFmtId="0" fontId="24" fillId="5" borderId="4" xfId="0" applyFont="1" applyFill="1" applyBorder="1" applyAlignment="1">
      <alignment horizontal="center" vertical="center"/>
    </xf>
    <xf numFmtId="0" fontId="24" fillId="5" borderId="17" xfId="0" applyFont="1" applyFill="1" applyBorder="1" applyAlignment="1">
      <alignment horizontal="center" vertical="center"/>
    </xf>
    <xf numFmtId="2" fontId="24" fillId="0" borderId="16" xfId="0" applyNumberFormat="1" applyFont="1" applyBorder="1" applyAlignment="1">
      <alignment horizontal="center" vertical="center"/>
    </xf>
    <xf numFmtId="0" fontId="31" fillId="5" borderId="15" xfId="0" applyFont="1" applyFill="1" applyBorder="1" applyAlignment="1">
      <alignment horizontal="center" vertical="center"/>
    </xf>
    <xf numFmtId="0" fontId="31" fillId="5" borderId="14" xfId="0" applyFont="1" applyFill="1" applyBorder="1" applyAlignment="1">
      <alignment horizontal="center" vertical="center"/>
    </xf>
    <xf numFmtId="0" fontId="31" fillId="5" borderId="13" xfId="0" applyFont="1" applyFill="1" applyBorder="1" applyAlignment="1">
      <alignment horizontal="center" vertical="center"/>
    </xf>
    <xf numFmtId="0" fontId="31" fillId="5" borderId="12" xfId="0" applyFont="1" applyFill="1" applyBorder="1" applyAlignment="1">
      <alignment horizontal="center" vertical="center"/>
    </xf>
    <xf numFmtId="0" fontId="31" fillId="0" borderId="11" xfId="0" applyFont="1" applyBorder="1" applyAlignment="1">
      <alignment horizontal="center" vertical="center"/>
    </xf>
    <xf numFmtId="0" fontId="31" fillId="0" borderId="8" xfId="0" applyFont="1" applyBorder="1" applyAlignment="1">
      <alignment horizontal="center" vertical="center"/>
    </xf>
    <xf numFmtId="178" fontId="31" fillId="0" borderId="8" xfId="0" applyNumberFormat="1" applyFont="1" applyBorder="1" applyAlignment="1">
      <alignment horizontal="center" vertical="center"/>
    </xf>
    <xf numFmtId="177" fontId="33" fillId="0" borderId="8" xfId="1" applyNumberFormat="1" applyFont="1" applyBorder="1" applyAlignment="1">
      <alignment horizontal="center" vertical="center"/>
    </xf>
    <xf numFmtId="10" fontId="33" fillId="0" borderId="7" xfId="1" applyNumberFormat="1" applyFont="1" applyBorder="1" applyAlignment="1">
      <alignment horizontal="center" vertical="center"/>
    </xf>
    <xf numFmtId="177" fontId="31" fillId="0" borderId="10" xfId="0" applyNumberFormat="1" applyFont="1" applyBorder="1" applyAlignment="1">
      <alignment horizontal="center" vertical="center"/>
    </xf>
    <xf numFmtId="10" fontId="33" fillId="0" borderId="5" xfId="1" applyNumberFormat="1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0" fontId="31" fillId="4" borderId="8" xfId="0" applyFont="1" applyFill="1" applyBorder="1" applyAlignment="1">
      <alignment horizontal="center" vertical="center"/>
    </xf>
    <xf numFmtId="178" fontId="31" fillId="4" borderId="8" xfId="0" applyNumberFormat="1" applyFont="1" applyFill="1" applyBorder="1" applyAlignment="1">
      <alignment horizontal="center" vertical="center"/>
    </xf>
    <xf numFmtId="0" fontId="31" fillId="4" borderId="6" xfId="0" applyFont="1" applyFill="1" applyBorder="1">
      <alignment vertical="center"/>
    </xf>
    <xf numFmtId="176" fontId="33" fillId="4" borderId="7" xfId="1" applyNumberFormat="1" applyFont="1" applyFill="1" applyBorder="1" applyAlignment="1">
      <alignment horizontal="center" vertical="center"/>
    </xf>
    <xf numFmtId="177" fontId="31" fillId="4" borderId="8" xfId="0" applyNumberFormat="1" applyFont="1" applyFill="1" applyBorder="1" applyAlignment="1">
      <alignment horizontal="center" vertical="center"/>
    </xf>
    <xf numFmtId="176" fontId="33" fillId="4" borderId="5" xfId="1" applyNumberFormat="1" applyFont="1" applyFill="1" applyBorder="1" applyAlignment="1">
      <alignment horizontal="center" vertical="center"/>
    </xf>
    <xf numFmtId="177" fontId="31" fillId="0" borderId="6" xfId="0" applyNumberFormat="1" applyFont="1" applyBorder="1" applyAlignment="1">
      <alignment horizontal="center" vertical="center"/>
    </xf>
    <xf numFmtId="0" fontId="31" fillId="6" borderId="9" xfId="0" applyFont="1" applyFill="1" applyBorder="1" applyAlignment="1">
      <alignment horizontal="center" vertical="center"/>
    </xf>
    <xf numFmtId="0" fontId="31" fillId="6" borderId="8" xfId="0" applyFont="1" applyFill="1" applyBorder="1" applyAlignment="1">
      <alignment horizontal="center" vertical="center"/>
    </xf>
    <xf numFmtId="177" fontId="31" fillId="6" borderId="6" xfId="0" applyNumberFormat="1" applyFont="1" applyFill="1" applyBorder="1" applyAlignment="1">
      <alignment horizontal="center" vertical="center"/>
    </xf>
    <xf numFmtId="177" fontId="31" fillId="4" borderId="6" xfId="0" applyNumberFormat="1" applyFont="1" applyFill="1" applyBorder="1" applyAlignment="1">
      <alignment horizontal="center" vertical="center"/>
    </xf>
    <xf numFmtId="0" fontId="31" fillId="3" borderId="4" xfId="0" applyFont="1" applyFill="1" applyBorder="1" applyAlignment="1">
      <alignment horizontal="center" vertical="center"/>
    </xf>
    <xf numFmtId="0" fontId="31" fillId="2" borderId="2" xfId="0" applyFont="1" applyFill="1" applyBorder="1" applyAlignment="1">
      <alignment horizontal="center" vertical="center"/>
    </xf>
    <xf numFmtId="178" fontId="31" fillId="2" borderId="2" xfId="0" applyNumberFormat="1" applyFont="1" applyFill="1" applyBorder="1" applyAlignment="1">
      <alignment horizontal="center" vertical="center"/>
    </xf>
    <xf numFmtId="177" fontId="33" fillId="2" borderId="2" xfId="1" applyNumberFormat="1" applyFont="1" applyFill="1" applyBorder="1" applyAlignment="1">
      <alignment horizontal="center" vertical="center"/>
    </xf>
    <xf numFmtId="10" fontId="33" fillId="2" borderId="2" xfId="1" applyNumberFormat="1" applyFont="1" applyFill="1" applyBorder="1" applyAlignment="1">
      <alignment horizontal="center" vertical="center"/>
    </xf>
    <xf numFmtId="177" fontId="31" fillId="2" borderId="2" xfId="0" applyNumberFormat="1" applyFont="1" applyFill="1" applyBorder="1" applyAlignment="1">
      <alignment horizontal="center" vertical="center"/>
    </xf>
    <xf numFmtId="10" fontId="33" fillId="2" borderId="1" xfId="1" applyNumberFormat="1" applyFont="1" applyFill="1" applyBorder="1" applyAlignment="1">
      <alignment horizontal="center" vertical="center"/>
    </xf>
    <xf numFmtId="0" fontId="31" fillId="5" borderId="19" xfId="0" applyFont="1" applyFill="1" applyBorder="1" applyAlignment="1">
      <alignment horizontal="center" vertical="center"/>
    </xf>
    <xf numFmtId="0" fontId="31" fillId="5" borderId="44" xfId="0" applyFont="1" applyFill="1" applyBorder="1" applyAlignment="1">
      <alignment horizontal="center" vertical="center"/>
    </xf>
    <xf numFmtId="0" fontId="35" fillId="39" borderId="21" xfId="0" applyFont="1" applyFill="1" applyBorder="1" applyAlignment="1">
      <alignment horizontal="center" vertical="center"/>
    </xf>
    <xf numFmtId="0" fontId="35" fillId="39" borderId="22" xfId="0" applyFont="1" applyFill="1" applyBorder="1" applyAlignment="1">
      <alignment horizontal="center" vertical="center"/>
    </xf>
    <xf numFmtId="3" fontId="31" fillId="0" borderId="45" xfId="0" applyNumberFormat="1" applyFont="1" applyBorder="1" applyAlignment="1">
      <alignment horizontal="center" vertical="center"/>
    </xf>
    <xf numFmtId="10" fontId="31" fillId="0" borderId="8" xfId="50" applyNumberFormat="1" applyFont="1" applyBorder="1" applyAlignment="1">
      <alignment horizontal="center" vertical="center"/>
    </xf>
    <xf numFmtId="3" fontId="31" fillId="0" borderId="10" xfId="0" applyNumberFormat="1" applyFont="1" applyBorder="1" applyAlignment="1">
      <alignment horizontal="center" vertical="center"/>
    </xf>
    <xf numFmtId="10" fontId="31" fillId="0" borderId="24" xfId="50" applyNumberFormat="1" applyFont="1" applyBorder="1" applyAlignment="1">
      <alignment horizontal="center" vertical="center"/>
    </xf>
    <xf numFmtId="0" fontId="35" fillId="39" borderId="9" xfId="0" applyFont="1" applyFill="1" applyBorder="1" applyAlignment="1">
      <alignment horizontal="center" vertical="center"/>
    </xf>
    <xf numFmtId="0" fontId="35" fillId="39" borderId="48" xfId="0" applyFont="1" applyFill="1" applyBorder="1" applyAlignment="1">
      <alignment horizontal="center" vertical="center"/>
    </xf>
    <xf numFmtId="3" fontId="31" fillId="0" borderId="46" xfId="0" applyNumberFormat="1" applyFont="1" applyBorder="1" applyAlignment="1">
      <alignment horizontal="center" vertical="center"/>
    </xf>
    <xf numFmtId="3" fontId="31" fillId="0" borderId="6" xfId="0" applyNumberFormat="1" applyFont="1" applyBorder="1" applyAlignment="1">
      <alignment horizontal="center" vertical="center"/>
    </xf>
    <xf numFmtId="0" fontId="35" fillId="39" borderId="4" xfId="0" applyFont="1" applyFill="1" applyBorder="1" applyAlignment="1">
      <alignment horizontal="center" vertical="center"/>
    </xf>
    <xf numFmtId="0" fontId="35" fillId="39" borderId="1" xfId="0" applyFont="1" applyFill="1" applyBorder="1" applyAlignment="1">
      <alignment horizontal="center" vertical="center"/>
    </xf>
    <xf numFmtId="3" fontId="31" fillId="0" borderId="47" xfId="0" applyNumberFormat="1" applyFont="1" applyBorder="1" applyAlignment="1">
      <alignment horizontal="center" vertical="center"/>
    </xf>
    <xf numFmtId="10" fontId="31" fillId="0" borderId="42" xfId="50" applyNumberFormat="1" applyFont="1" applyBorder="1" applyAlignment="1">
      <alignment horizontal="center" vertical="center"/>
    </xf>
    <xf numFmtId="3" fontId="31" fillId="0" borderId="2" xfId="0" applyNumberFormat="1" applyFont="1" applyBorder="1" applyAlignment="1">
      <alignment horizontal="center" vertical="center"/>
    </xf>
    <xf numFmtId="10" fontId="31" fillId="0" borderId="43" xfId="50" applyNumberFormat="1" applyFont="1" applyBorder="1" applyAlignment="1">
      <alignment horizontal="center" vertical="center"/>
    </xf>
    <xf numFmtId="0" fontId="36" fillId="39" borderId="21" xfId="0" applyFont="1" applyFill="1" applyBorder="1" applyAlignment="1">
      <alignment horizontal="center" vertical="center"/>
    </xf>
    <xf numFmtId="0" fontId="36" fillId="39" borderId="22" xfId="0" applyFont="1" applyFill="1" applyBorder="1" applyAlignment="1">
      <alignment horizontal="center" vertical="center"/>
    </xf>
    <xf numFmtId="0" fontId="36" fillId="39" borderId="9" xfId="0" applyFont="1" applyFill="1" applyBorder="1" applyAlignment="1">
      <alignment horizontal="center" vertical="center"/>
    </xf>
    <xf numFmtId="0" fontId="36" fillId="39" borderId="48" xfId="0" applyFont="1" applyFill="1" applyBorder="1" applyAlignment="1">
      <alignment horizontal="center" vertical="center"/>
    </xf>
    <xf numFmtId="0" fontId="36" fillId="39" borderId="4" xfId="0" applyFont="1" applyFill="1" applyBorder="1" applyAlignment="1">
      <alignment horizontal="center" vertical="center"/>
    </xf>
    <xf numFmtId="0" fontId="36" fillId="39" borderId="1" xfId="0" applyFont="1" applyFill="1" applyBorder="1" applyAlignment="1">
      <alignment horizontal="center" vertical="center"/>
    </xf>
    <xf numFmtId="0" fontId="37" fillId="6" borderId="0" xfId="0" applyFont="1" applyFill="1" applyAlignment="1">
      <alignment horizontal="center" vertical="center"/>
    </xf>
    <xf numFmtId="0" fontId="38" fillId="6" borderId="0" xfId="0" applyFont="1" applyFill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1" fillId="0" borderId="4" xfId="0" applyFont="1" applyBorder="1" applyAlignment="1">
      <alignment horizontal="center" vertical="center"/>
    </xf>
    <xf numFmtId="0" fontId="31" fillId="4" borderId="2" xfId="0" applyFont="1" applyFill="1" applyBorder="1" applyAlignment="1">
      <alignment horizontal="center" vertical="center"/>
    </xf>
    <xf numFmtId="178" fontId="31" fillId="4" borderId="2" xfId="0" applyNumberFormat="1" applyFont="1" applyFill="1" applyBorder="1" applyAlignment="1">
      <alignment horizontal="center" vertical="center"/>
    </xf>
    <xf numFmtId="177" fontId="33" fillId="4" borderId="2" xfId="1" applyNumberFormat="1" applyFont="1" applyFill="1" applyBorder="1" applyAlignment="1">
      <alignment horizontal="center" vertical="center"/>
    </xf>
    <xf numFmtId="10" fontId="33" fillId="4" borderId="2" xfId="1" applyNumberFormat="1" applyFont="1" applyFill="1" applyBorder="1" applyAlignment="1">
      <alignment horizontal="center" vertical="center"/>
    </xf>
    <xf numFmtId="177" fontId="31" fillId="4" borderId="2" xfId="0" applyNumberFormat="1" applyFont="1" applyFill="1" applyBorder="1" applyAlignment="1">
      <alignment horizontal="center" vertical="center"/>
    </xf>
    <xf numFmtId="10" fontId="33" fillId="4" borderId="1" xfId="50" applyNumberFormat="1" applyFont="1" applyFill="1" applyBorder="1" applyAlignment="1">
      <alignment horizontal="center" vertical="center"/>
    </xf>
    <xf numFmtId="177" fontId="33" fillId="4" borderId="8" xfId="1" applyNumberFormat="1" applyFont="1" applyFill="1" applyBorder="1" applyAlignment="1">
      <alignment horizontal="center" vertical="center"/>
    </xf>
    <xf numFmtId="10" fontId="33" fillId="4" borderId="7" xfId="1" applyNumberFormat="1" applyFont="1" applyFill="1" applyBorder="1" applyAlignment="1">
      <alignment horizontal="center" vertical="center"/>
    </xf>
    <xf numFmtId="10" fontId="33" fillId="4" borderId="5" xfId="1" applyNumberFormat="1" applyFont="1" applyFill="1" applyBorder="1" applyAlignment="1">
      <alignment horizontal="center" vertical="center"/>
    </xf>
    <xf numFmtId="0" fontId="31" fillId="3" borderId="9" xfId="0" applyFont="1" applyFill="1" applyBorder="1" applyAlignment="1">
      <alignment horizontal="center" vertical="center"/>
    </xf>
    <xf numFmtId="0" fontId="31" fillId="3" borderId="8" xfId="0" applyFont="1" applyFill="1" applyBorder="1" applyAlignment="1">
      <alignment horizontal="center" vertical="center"/>
    </xf>
    <xf numFmtId="178" fontId="31" fillId="3" borderId="8" xfId="0" applyNumberFormat="1" applyFont="1" applyFill="1" applyBorder="1" applyAlignment="1">
      <alignment horizontal="center" vertical="center"/>
    </xf>
    <xf numFmtId="177" fontId="33" fillId="3" borderId="8" xfId="1" applyNumberFormat="1" applyFont="1" applyFill="1" applyBorder="1" applyAlignment="1">
      <alignment horizontal="center" vertical="center"/>
    </xf>
    <xf numFmtId="10" fontId="33" fillId="3" borderId="7" xfId="1" applyNumberFormat="1" applyFont="1" applyFill="1" applyBorder="1" applyAlignment="1">
      <alignment horizontal="center" vertical="center"/>
    </xf>
    <xf numFmtId="177" fontId="31" fillId="3" borderId="6" xfId="0" applyNumberFormat="1" applyFont="1" applyFill="1" applyBorder="1" applyAlignment="1">
      <alignment horizontal="center" vertical="center"/>
    </xf>
    <xf numFmtId="10" fontId="33" fillId="3" borderId="5" xfId="1" applyNumberFormat="1" applyFont="1" applyFill="1" applyBorder="1" applyAlignment="1">
      <alignment horizontal="center" vertical="center"/>
    </xf>
    <xf numFmtId="0" fontId="0" fillId="38" borderId="0" xfId="0" applyFill="1" applyAlignment="1">
      <alignment horizontal="center" vertical="center"/>
    </xf>
    <xf numFmtId="0" fontId="24" fillId="6" borderId="23" xfId="0" applyFont="1" applyFill="1" applyBorder="1" applyAlignment="1">
      <alignment horizontal="center" vertical="center"/>
    </xf>
    <xf numFmtId="0" fontId="24" fillId="6" borderId="20" xfId="0" applyFont="1" applyFill="1" applyBorder="1" applyAlignment="1">
      <alignment horizontal="center" vertical="center"/>
    </xf>
    <xf numFmtId="0" fontId="24" fillId="6" borderId="22" xfId="0" applyFont="1" applyFill="1" applyBorder="1" applyAlignment="1">
      <alignment horizontal="center" vertical="center"/>
    </xf>
    <xf numFmtId="0" fontId="24" fillId="6" borderId="3" xfId="0" applyFont="1" applyFill="1" applyBorder="1" applyAlignment="1">
      <alignment horizontal="center" vertical="center"/>
    </xf>
    <xf numFmtId="0" fontId="24" fillId="6" borderId="18" xfId="0" applyFont="1" applyFill="1" applyBorder="1" applyAlignment="1">
      <alignment horizontal="center" vertical="center"/>
    </xf>
    <xf numFmtId="0" fontId="24" fillId="6" borderId="1" xfId="0" applyFont="1" applyFill="1" applyBorder="1" applyAlignment="1">
      <alignment horizontal="center" vertical="center"/>
    </xf>
    <xf numFmtId="0" fontId="43" fillId="6" borderId="39" xfId="0" applyFont="1" applyFill="1" applyBorder="1" applyAlignment="1">
      <alignment horizontal="center" vertical="center" wrapText="1"/>
    </xf>
    <xf numFmtId="0" fontId="43" fillId="6" borderId="39" xfId="0" applyFont="1" applyFill="1" applyBorder="1" applyAlignment="1">
      <alignment horizontal="center" vertical="center"/>
    </xf>
    <xf numFmtId="0" fontId="43" fillId="6" borderId="40" xfId="0" applyFont="1" applyFill="1" applyBorder="1" applyAlignment="1">
      <alignment horizontal="center" vertical="center"/>
    </xf>
    <xf numFmtId="0" fontId="44" fillId="6" borderId="57" xfId="0" applyFont="1" applyFill="1" applyBorder="1" applyAlignment="1">
      <alignment horizontal="left" vertical="center"/>
    </xf>
    <xf numFmtId="0" fontId="43" fillId="6" borderId="0" xfId="0" applyFont="1" applyFill="1" applyAlignment="1">
      <alignment horizontal="center" vertical="center"/>
    </xf>
    <xf numFmtId="0" fontId="42" fillId="6" borderId="3" xfId="0" applyFont="1" applyFill="1" applyBorder="1" applyAlignment="1">
      <alignment horizontal="center" vertical="center"/>
    </xf>
    <xf numFmtId="177" fontId="45" fillId="0" borderId="6" xfId="0" applyNumberFormat="1" applyFont="1" applyBorder="1" applyAlignment="1">
      <alignment horizontal="center" vertical="center"/>
    </xf>
    <xf numFmtId="0" fontId="45" fillId="0" borderId="6" xfId="0" applyFont="1" applyBorder="1" applyAlignment="1">
      <alignment horizontal="center" vertical="center"/>
    </xf>
    <xf numFmtId="179" fontId="45" fillId="0" borderId="6" xfId="0" applyNumberFormat="1" applyFont="1" applyBorder="1" applyAlignment="1">
      <alignment horizontal="center" vertical="center"/>
    </xf>
    <xf numFmtId="0" fontId="45" fillId="0" borderId="58" xfId="0" applyFont="1" applyBorder="1" applyAlignment="1">
      <alignment horizontal="center" vertical="center"/>
    </xf>
    <xf numFmtId="179" fontId="45" fillId="0" borderId="58" xfId="0" applyNumberFormat="1" applyFont="1" applyBorder="1" applyAlignment="1">
      <alignment horizontal="center" vertical="center"/>
    </xf>
    <xf numFmtId="0" fontId="31" fillId="0" borderId="8" xfId="0" applyFont="1" applyBorder="1" applyAlignment="1">
      <alignment horizontal="center" vertical="center"/>
    </xf>
    <xf numFmtId="0" fontId="31" fillId="0" borderId="59" xfId="0" applyFont="1" applyBorder="1" applyAlignment="1">
      <alignment horizontal="center" vertical="center"/>
    </xf>
    <xf numFmtId="178" fontId="31" fillId="0" borderId="8" xfId="0" applyNumberFormat="1" applyFont="1" applyBorder="1" applyAlignment="1">
      <alignment horizontal="center" vertical="center"/>
    </xf>
    <xf numFmtId="178" fontId="31" fillId="0" borderId="59" xfId="0" applyNumberFormat="1" applyFont="1" applyBorder="1" applyAlignment="1">
      <alignment horizontal="center" vertical="center"/>
    </xf>
    <xf numFmtId="177" fontId="33" fillId="0" borderId="8" xfId="1" applyNumberFormat="1" applyFont="1" applyBorder="1" applyAlignment="1">
      <alignment horizontal="center" vertical="center"/>
    </xf>
    <xf numFmtId="177" fontId="33" fillId="0" borderId="59" xfId="1" applyNumberFormat="1" applyFont="1" applyBorder="1" applyAlignment="1">
      <alignment horizontal="center" vertical="center"/>
    </xf>
    <xf numFmtId="10" fontId="33" fillId="0" borderId="59" xfId="1" applyNumberFormat="1" applyFont="1" applyBorder="1" applyAlignment="1">
      <alignment horizontal="center" vertical="center"/>
    </xf>
    <xf numFmtId="10" fontId="33" fillId="0" borderId="8" xfId="1" applyNumberFormat="1" applyFont="1" applyBorder="1" applyAlignment="1">
      <alignment horizontal="center" vertical="center"/>
    </xf>
    <xf numFmtId="177" fontId="31" fillId="0" borderId="59" xfId="0" applyNumberFormat="1" applyFont="1" applyBorder="1" applyAlignment="1">
      <alignment horizontal="center" vertical="center"/>
    </xf>
    <xf numFmtId="177" fontId="31" fillId="0" borderId="8" xfId="0" applyNumberFormat="1" applyFont="1" applyBorder="1" applyAlignment="1">
      <alignment horizontal="center" vertical="center"/>
    </xf>
    <xf numFmtId="10" fontId="33" fillId="0" borderId="60" xfId="1" applyNumberFormat="1" applyFont="1" applyBorder="1" applyAlignment="1">
      <alignment horizontal="center" vertical="center"/>
    </xf>
    <xf numFmtId="10" fontId="33" fillId="0" borderId="24" xfId="1" applyNumberFormat="1" applyFont="1" applyBorder="1" applyAlignment="1">
      <alignment horizontal="center" vertical="center"/>
    </xf>
    <xf numFmtId="0" fontId="31" fillId="6" borderId="8" xfId="0" applyFont="1" applyFill="1" applyBorder="1" applyAlignment="1">
      <alignment horizontal="center" vertical="center"/>
    </xf>
    <xf numFmtId="0" fontId="31" fillId="6" borderId="59" xfId="0" applyFont="1" applyFill="1" applyBorder="1" applyAlignment="1">
      <alignment horizontal="center" vertical="center"/>
    </xf>
    <xf numFmtId="177" fontId="31" fillId="6" borderId="59" xfId="0" applyNumberFormat="1" applyFont="1" applyFill="1" applyBorder="1" applyAlignment="1">
      <alignment horizontal="center" vertical="center"/>
    </xf>
    <xf numFmtId="177" fontId="31" fillId="6" borderId="8" xfId="0" applyNumberFormat="1" applyFont="1" applyFill="1" applyBorder="1" applyAlignment="1">
      <alignment horizontal="center" vertical="center"/>
    </xf>
  </cellXfs>
  <cellStyles count="54">
    <cellStyle name="20% - 강조색1" xfId="17" builtinId="30" customBuiltin="1"/>
    <cellStyle name="20% - 강조색2" xfId="20" builtinId="34" customBuiltin="1"/>
    <cellStyle name="20% - 강조색3" xfId="23" builtinId="38" customBuiltin="1"/>
    <cellStyle name="20% - 강조색4" xfId="26" builtinId="42" customBuiltin="1"/>
    <cellStyle name="20% - 강조색5" xfId="29" builtinId="46" customBuiltin="1"/>
    <cellStyle name="20% - 강조색6" xfId="32" builtinId="50" customBuiltin="1"/>
    <cellStyle name="40% - 강조색1" xfId="18" builtinId="31" customBuiltin="1"/>
    <cellStyle name="40% - 강조색2" xfId="21" builtinId="35" customBuiltin="1"/>
    <cellStyle name="40% - 강조색3" xfId="24" builtinId="39" customBuiltin="1"/>
    <cellStyle name="40% - 강조색4" xfId="27" builtinId="43" customBuiltin="1"/>
    <cellStyle name="40% - 강조색5" xfId="30" builtinId="47" customBuiltin="1"/>
    <cellStyle name="40% - 강조색6" xfId="33" builtinId="51" customBuiltin="1"/>
    <cellStyle name="60% - 강조색1 2" xfId="37" xr:uid="{00000000-0005-0000-0000-000032000000}"/>
    <cellStyle name="60% - 강조색2 2" xfId="38" xr:uid="{00000000-0005-0000-0000-000033000000}"/>
    <cellStyle name="60% - 강조색3 2" xfId="39" xr:uid="{00000000-0005-0000-0000-000034000000}"/>
    <cellStyle name="60% - 강조색4 2" xfId="40" xr:uid="{00000000-0005-0000-0000-000035000000}"/>
    <cellStyle name="60% - 강조색5 2" xfId="41" xr:uid="{00000000-0005-0000-0000-000036000000}"/>
    <cellStyle name="60% - 강조색6 2" xfId="42" xr:uid="{00000000-0005-0000-0000-000037000000}"/>
    <cellStyle name="강조색1" xfId="16" builtinId="29" customBuiltin="1"/>
    <cellStyle name="강조색2" xfId="19" builtinId="33" customBuiltin="1"/>
    <cellStyle name="강조색3" xfId="22" builtinId="37" customBuiltin="1"/>
    <cellStyle name="강조색4" xfId="25" builtinId="41" customBuiltin="1"/>
    <cellStyle name="강조색5" xfId="28" builtinId="45" customBuiltin="1"/>
    <cellStyle name="강조색6" xfId="31" builtinId="49" customBuiltin="1"/>
    <cellStyle name="경고문" xfId="13" builtinId="11" customBuiltin="1"/>
    <cellStyle name="계산" xfId="10" builtinId="22" customBuiltin="1"/>
    <cellStyle name="나쁨" xfId="7" builtinId="27" customBuiltin="1"/>
    <cellStyle name="메모 2" xfId="44" xr:uid="{00000000-0005-0000-0000-00001B000000}"/>
    <cellStyle name="백분율" xfId="50" builtinId="5"/>
    <cellStyle name="보통 2" xfId="36" xr:uid="{00000000-0005-0000-0000-000039000000}"/>
    <cellStyle name="설명 텍스트" xfId="14" builtinId="53" customBuiltin="1"/>
    <cellStyle name="셀 확인" xfId="12" builtinId="23" customBuiltin="1"/>
    <cellStyle name="연결된 셀" xfId="11" builtinId="24" customBuiltin="1"/>
    <cellStyle name="열어 본 하이퍼링크 2" xfId="47" xr:uid="{00000000-0005-0000-0000-000020000000}"/>
    <cellStyle name="요약" xfId="15" builtinId="25" customBuiltin="1"/>
    <cellStyle name="입력" xfId="8" builtinId="20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제목 5" xfId="35" xr:uid="{00000000-0005-0000-0000-00003B000000}"/>
    <cellStyle name="좋음" xfId="6" builtinId="26" customBuiltin="1"/>
    <cellStyle name="출력" xfId="9" builtinId="21" customBuiltin="1"/>
    <cellStyle name="표준" xfId="0" builtinId="0"/>
    <cellStyle name="표준 2" xfId="34" xr:uid="{00000000-0005-0000-0000-00002B000000}"/>
    <cellStyle name="표준 3" xfId="45" xr:uid="{00000000-0005-0000-0000-00002C000000}"/>
    <cellStyle name="표준 3 2" xfId="49" xr:uid="{00000000-0005-0000-0000-00002D000000}"/>
    <cellStyle name="표준 4" xfId="1" xr:uid="{2FF9B68B-8794-4F1F-9B6D-29886EAF3713}"/>
    <cellStyle name="표준 4 2" xfId="43" xr:uid="{00000000-0005-0000-0000-00002E000000}"/>
    <cellStyle name="표준 4 2 2" xfId="52" xr:uid="{A318B459-CA23-42E2-8ECC-411DF5A1766C}"/>
    <cellStyle name="표준 4 3" xfId="51" xr:uid="{B5FB9756-37D5-4E35-A31F-6F633157E1B2}"/>
    <cellStyle name="표준 5" xfId="48" xr:uid="{00000000-0005-0000-0000-00002F000000}"/>
    <cellStyle name="표준 5 2" xfId="53" xr:uid="{BD8C11C9-B385-4C7C-B99C-9E87BFEF6523}"/>
    <cellStyle name="하이퍼링크 2" xfId="46" xr:uid="{00000000-0005-0000-0000-000030000000}"/>
  </cellStyles>
  <dxfs count="6"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</dxfs>
  <tableStyles count="0" defaultTableStyle="TableStyleMedium2" defaultPivotStyle="PivotStyleLight16"/>
  <colors>
    <mruColors>
      <color rgb="FFFF99FF"/>
      <color rgb="FFCCFFCC"/>
      <color rgb="FF00FF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8</xdr:col>
          <xdr:colOff>6350</xdr:colOff>
          <xdr:row>6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자동 병합 기능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54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746125" y="1681162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34</xdr:row>
      <xdr:rowOff>0</xdr:rowOff>
    </xdr:from>
    <xdr:ext cx="8647200" cy="1602362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732118" y="10570882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74</xdr:row>
      <xdr:rowOff>0</xdr:rowOff>
    </xdr:from>
    <xdr:ext cx="8647200" cy="1602362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734786" y="2315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94</xdr:row>
      <xdr:rowOff>0</xdr:rowOff>
    </xdr:from>
    <xdr:ext cx="8647200" cy="1602362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734786" y="295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54</xdr:row>
      <xdr:rowOff>0</xdr:rowOff>
    </xdr:from>
    <xdr:ext cx="8647200" cy="1602362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736600" y="168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738909" y="417945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34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738909" y="10644909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74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738909" y="23575818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94</xdr:row>
      <xdr:rowOff>0</xdr:rowOff>
    </xdr:from>
    <xdr:ext cx="8647200" cy="1602362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738909" y="30041273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15290</xdr:colOff>
      <xdr:row>8</xdr:row>
      <xdr:rowOff>0</xdr:rowOff>
    </xdr:from>
    <xdr:ext cx="6476651" cy="162111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747408" y="2218765"/>
          <a:ext cx="6476651" cy="16211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7</xdr:row>
      <xdr:rowOff>311150</xdr:rowOff>
    </xdr:from>
    <xdr:ext cx="6476651" cy="162111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736600" y="2190750"/>
          <a:ext cx="6476651" cy="16211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8</xdr:row>
      <xdr:rowOff>0</xdr:rowOff>
    </xdr:from>
    <xdr:ext cx="6476651" cy="162111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732118" y="2218765"/>
          <a:ext cx="6476651" cy="16211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8</xdr:row>
      <xdr:rowOff>0</xdr:rowOff>
    </xdr:from>
    <xdr:ext cx="6476651" cy="162111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736600" y="2197100"/>
          <a:ext cx="6476651" cy="16211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F596D-1499-418A-8860-3C8EB1877B25}">
  <sheetPr codeName="Sheet1"/>
  <dimension ref="B3:E9"/>
  <sheetViews>
    <sheetView workbookViewId="0">
      <selection activeCell="C4" sqref="C4:E9"/>
    </sheetView>
  </sheetViews>
  <sheetFormatPr defaultRowHeight="17"/>
  <cols>
    <col min="2" max="5" width="12.58203125" style="1" customWidth="1"/>
  </cols>
  <sheetData>
    <row r="3" spans="2:5">
      <c r="C3" s="1" t="s">
        <v>1</v>
      </c>
      <c r="D3" s="1" t="s">
        <v>2</v>
      </c>
      <c r="E3" s="1" t="s">
        <v>0</v>
      </c>
    </row>
    <row r="4" spans="2:5">
      <c r="B4" s="1" t="s">
        <v>3</v>
      </c>
      <c r="C4" s="132">
        <v>322178</v>
      </c>
      <c r="D4" s="133" t="s">
        <v>73</v>
      </c>
      <c r="E4" s="133" t="s">
        <v>74</v>
      </c>
    </row>
    <row r="5" spans="2:5">
      <c r="B5" s="1" t="s">
        <v>17</v>
      </c>
      <c r="C5" s="132">
        <v>321562</v>
      </c>
      <c r="D5" s="133" t="s">
        <v>75</v>
      </c>
      <c r="E5" s="133" t="s">
        <v>76</v>
      </c>
    </row>
    <row r="6" spans="2:5">
      <c r="B6" s="1" t="s">
        <v>4</v>
      </c>
      <c r="C6" s="132">
        <v>320145</v>
      </c>
      <c r="D6" s="133" t="s">
        <v>77</v>
      </c>
      <c r="E6" s="133" t="s">
        <v>78</v>
      </c>
    </row>
    <row r="7" spans="2:5">
      <c r="B7" s="1" t="s">
        <v>5</v>
      </c>
      <c r="C7" s="132">
        <v>317835</v>
      </c>
      <c r="D7" s="133" t="s">
        <v>79</v>
      </c>
      <c r="E7" s="133" t="s">
        <v>80</v>
      </c>
    </row>
    <row r="8" spans="2:5">
      <c r="B8" s="1" t="s">
        <v>18</v>
      </c>
      <c r="C8" s="132">
        <v>318680</v>
      </c>
      <c r="D8" s="133" t="s">
        <v>81</v>
      </c>
      <c r="E8" s="133" t="s">
        <v>82</v>
      </c>
    </row>
    <row r="9" spans="2:5">
      <c r="B9" s="1" t="s">
        <v>19</v>
      </c>
      <c r="C9" s="132">
        <v>318306</v>
      </c>
      <c r="D9" s="133" t="s">
        <v>83</v>
      </c>
      <c r="E9" s="133" t="s">
        <v>84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표점증발병합_및_복사영역선택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8</xdr:col>
                    <xdr:colOff>6350</xdr:colOff>
                    <xdr:row>6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BFFD9-ECD1-4F20-92E4-14F247EF20FA}">
  <sheetPr codeName="Sheet2"/>
  <dimension ref="A3:F57"/>
  <sheetViews>
    <sheetView workbookViewId="0">
      <selection activeCell="C4" sqref="C4:D57"/>
    </sheetView>
  </sheetViews>
  <sheetFormatPr defaultRowHeight="17"/>
  <cols>
    <col min="2" max="2" width="12.58203125" customWidth="1"/>
    <col min="3" max="3" width="17.58203125" customWidth="1"/>
    <col min="4" max="4" width="18.08203125" customWidth="1"/>
    <col min="5" max="6" width="12.58203125" customWidth="1"/>
  </cols>
  <sheetData>
    <row r="3" spans="1:6">
      <c r="C3" s="119" t="s">
        <v>32</v>
      </c>
      <c r="D3" s="119"/>
      <c r="E3" s="1"/>
      <c r="F3" s="1"/>
    </row>
    <row r="4" spans="1:6">
      <c r="A4" t="s">
        <v>20</v>
      </c>
      <c r="B4" s="1" t="s">
        <v>9</v>
      </c>
      <c r="C4" s="133">
        <v>136</v>
      </c>
      <c r="D4" s="134">
        <v>13409</v>
      </c>
      <c r="E4" s="1"/>
      <c r="F4" s="1"/>
    </row>
    <row r="5" spans="1:6">
      <c r="B5" s="1" t="s">
        <v>10</v>
      </c>
      <c r="C5" s="133">
        <v>127</v>
      </c>
      <c r="D5" s="134">
        <v>22143</v>
      </c>
      <c r="E5" s="1"/>
      <c r="F5" s="1"/>
    </row>
    <row r="6" spans="1:6">
      <c r="B6" s="1" t="s">
        <v>11</v>
      </c>
      <c r="C6" s="133">
        <v>116</v>
      </c>
      <c r="D6" s="134">
        <v>38843</v>
      </c>
      <c r="E6" s="1"/>
      <c r="F6" s="1"/>
    </row>
    <row r="7" spans="1:6">
      <c r="B7" s="1" t="s">
        <v>12</v>
      </c>
      <c r="C7" s="133">
        <v>105</v>
      </c>
      <c r="D7" s="134">
        <v>58461</v>
      </c>
      <c r="E7" s="1"/>
      <c r="F7" s="1"/>
    </row>
    <row r="8" spans="1:6">
      <c r="B8" s="1" t="s">
        <v>13</v>
      </c>
      <c r="C8" s="133">
        <v>94</v>
      </c>
      <c r="D8" s="134">
        <v>64679</v>
      </c>
      <c r="E8" s="1"/>
      <c r="F8" s="1"/>
    </row>
    <row r="9" spans="1:6">
      <c r="B9" s="1" t="s">
        <v>14</v>
      </c>
      <c r="C9" s="133">
        <v>84</v>
      </c>
      <c r="D9" s="134">
        <v>51184</v>
      </c>
      <c r="E9" s="1"/>
      <c r="F9" s="1"/>
    </row>
    <row r="10" spans="1:6">
      <c r="B10" s="1" t="s">
        <v>15</v>
      </c>
      <c r="C10" s="133">
        <v>74</v>
      </c>
      <c r="D10" s="134">
        <v>39861</v>
      </c>
      <c r="E10" s="1"/>
      <c r="F10" s="1"/>
    </row>
    <row r="11" spans="1:6">
      <c r="B11" s="1" t="s">
        <v>16</v>
      </c>
      <c r="C11" s="133">
        <v>68</v>
      </c>
      <c r="D11" s="134">
        <v>20903</v>
      </c>
      <c r="E11" s="1"/>
      <c r="F11" s="1"/>
    </row>
    <row r="12" spans="1:6">
      <c r="B12" s="1" t="s">
        <v>23</v>
      </c>
      <c r="C12" s="133">
        <v>49</v>
      </c>
      <c r="D12" s="134">
        <v>12695</v>
      </c>
    </row>
    <row r="13" spans="1:6">
      <c r="A13" t="s">
        <v>21</v>
      </c>
      <c r="B13" s="1" t="s">
        <v>24</v>
      </c>
      <c r="C13" s="133">
        <v>136</v>
      </c>
      <c r="D13" s="134">
        <v>16067</v>
      </c>
    </row>
    <row r="14" spans="1:6">
      <c r="B14" s="1" t="s">
        <v>25</v>
      </c>
      <c r="C14" s="133">
        <v>126</v>
      </c>
      <c r="D14" s="134">
        <v>24357</v>
      </c>
    </row>
    <row r="15" spans="1:6">
      <c r="B15" s="1" t="s">
        <v>26</v>
      </c>
      <c r="C15" s="133">
        <v>116</v>
      </c>
      <c r="D15" s="134">
        <v>34859</v>
      </c>
    </row>
    <row r="16" spans="1:6">
      <c r="B16" s="1" t="s">
        <v>27</v>
      </c>
      <c r="C16" s="133">
        <v>106</v>
      </c>
      <c r="D16" s="134">
        <v>57383</v>
      </c>
    </row>
    <row r="17" spans="1:4">
      <c r="B17" s="1" t="s">
        <v>28</v>
      </c>
      <c r="C17" s="133">
        <v>94</v>
      </c>
      <c r="D17" s="134">
        <v>63319</v>
      </c>
    </row>
    <row r="18" spans="1:4">
      <c r="B18" s="1" t="s">
        <v>29</v>
      </c>
      <c r="C18" s="133">
        <v>81</v>
      </c>
      <c r="D18" s="134">
        <v>57637</v>
      </c>
    </row>
    <row r="19" spans="1:4">
      <c r="B19" s="1" t="s">
        <v>30</v>
      </c>
      <c r="C19" s="133">
        <v>74</v>
      </c>
      <c r="D19" s="134">
        <v>37487</v>
      </c>
    </row>
    <row r="20" spans="1:4">
      <c r="B20" s="1" t="s">
        <v>31</v>
      </c>
      <c r="C20" s="133">
        <v>70</v>
      </c>
      <c r="D20" s="134">
        <v>18809</v>
      </c>
    </row>
    <row r="21" spans="1:4">
      <c r="B21" s="1" t="s">
        <v>22</v>
      </c>
      <c r="C21" s="133">
        <v>60</v>
      </c>
      <c r="D21" s="134">
        <v>11644</v>
      </c>
    </row>
    <row r="22" spans="1:4">
      <c r="A22" t="s">
        <v>33</v>
      </c>
      <c r="B22" s="1" t="s">
        <v>9</v>
      </c>
      <c r="C22" s="133">
        <v>90</v>
      </c>
      <c r="D22" s="134">
        <v>33747</v>
      </c>
    </row>
    <row r="23" spans="1:4">
      <c r="B23" s="1" t="s">
        <v>10</v>
      </c>
      <c r="C23" s="133">
        <v>80</v>
      </c>
      <c r="D23" s="134">
        <v>30099</v>
      </c>
    </row>
    <row r="24" spans="1:4">
      <c r="B24" s="1" t="s">
        <v>11</v>
      </c>
      <c r="C24" s="133">
        <v>70</v>
      </c>
      <c r="D24" s="134">
        <v>39473</v>
      </c>
    </row>
    <row r="25" spans="1:4">
      <c r="B25" s="1" t="s">
        <v>12</v>
      </c>
      <c r="C25" s="133">
        <v>60</v>
      </c>
      <c r="D25" s="134">
        <v>48520</v>
      </c>
    </row>
    <row r="26" spans="1:4">
      <c r="B26" s="1" t="s">
        <v>13</v>
      </c>
      <c r="C26" s="133">
        <v>50</v>
      </c>
      <c r="D26" s="134">
        <v>48979</v>
      </c>
    </row>
    <row r="27" spans="1:4">
      <c r="B27" s="1" t="s">
        <v>14</v>
      </c>
      <c r="C27" s="133">
        <v>40</v>
      </c>
      <c r="D27" s="134">
        <v>43186</v>
      </c>
    </row>
    <row r="28" spans="1:4">
      <c r="B28" s="1" t="s">
        <v>15</v>
      </c>
      <c r="C28" s="133">
        <v>30</v>
      </c>
      <c r="D28" s="134">
        <v>35292</v>
      </c>
    </row>
    <row r="29" spans="1:4">
      <c r="B29" s="1" t="s">
        <v>16</v>
      </c>
      <c r="C29" s="133">
        <v>20</v>
      </c>
      <c r="D29" s="134">
        <v>29852</v>
      </c>
    </row>
    <row r="30" spans="1:4">
      <c r="B30" s="1" t="s">
        <v>23</v>
      </c>
      <c r="C30" s="133">
        <v>0</v>
      </c>
      <c r="D30" s="134">
        <v>10997</v>
      </c>
    </row>
    <row r="31" spans="1:4">
      <c r="A31" t="s">
        <v>34</v>
      </c>
      <c r="B31" s="1" t="s">
        <v>9</v>
      </c>
      <c r="C31" s="133">
        <v>40</v>
      </c>
      <c r="D31" s="134">
        <v>58060</v>
      </c>
    </row>
    <row r="32" spans="1:4">
      <c r="B32" s="1" t="s">
        <v>25</v>
      </c>
      <c r="C32" s="133">
        <v>35</v>
      </c>
      <c r="D32" s="134">
        <v>36417</v>
      </c>
    </row>
    <row r="33" spans="1:4">
      <c r="B33" s="1" t="s">
        <v>26</v>
      </c>
      <c r="C33" s="133">
        <v>30</v>
      </c>
      <c r="D33" s="134">
        <v>39076</v>
      </c>
    </row>
    <row r="34" spans="1:4">
      <c r="B34" s="1" t="s">
        <v>27</v>
      </c>
      <c r="C34" s="133">
        <v>25</v>
      </c>
      <c r="D34" s="134">
        <v>40396</v>
      </c>
    </row>
    <row r="35" spans="1:4">
      <c r="B35" s="1" t="s">
        <v>28</v>
      </c>
      <c r="C35" s="133">
        <v>20</v>
      </c>
      <c r="D35" s="134">
        <v>43405</v>
      </c>
    </row>
    <row r="36" spans="1:4">
      <c r="B36" s="1" t="s">
        <v>29</v>
      </c>
      <c r="C36" s="133">
        <v>15</v>
      </c>
      <c r="D36" s="134">
        <v>43282</v>
      </c>
    </row>
    <row r="37" spans="1:4">
      <c r="B37" s="1" t="s">
        <v>30</v>
      </c>
      <c r="C37" s="133">
        <v>10</v>
      </c>
      <c r="D37" s="134">
        <v>40656</v>
      </c>
    </row>
    <row r="38" spans="1:4">
      <c r="B38" s="1" t="s">
        <v>31</v>
      </c>
      <c r="C38" s="133">
        <v>5</v>
      </c>
      <c r="D38" s="134">
        <v>14033</v>
      </c>
    </row>
    <row r="39" spans="1:4">
      <c r="B39" s="1" t="s">
        <v>22</v>
      </c>
      <c r="C39" s="133">
        <v>0</v>
      </c>
      <c r="D39" s="134">
        <v>2510</v>
      </c>
    </row>
    <row r="40" spans="1:4">
      <c r="A40" t="s">
        <v>35</v>
      </c>
      <c r="B40" s="1" t="s">
        <v>9</v>
      </c>
      <c r="C40" s="133">
        <v>40</v>
      </c>
      <c r="D40" s="134">
        <v>125643</v>
      </c>
    </row>
    <row r="41" spans="1:4">
      <c r="B41" s="1" t="s">
        <v>10</v>
      </c>
      <c r="C41" s="133">
        <v>35</v>
      </c>
      <c r="D41" s="134">
        <v>67704</v>
      </c>
    </row>
    <row r="42" spans="1:4">
      <c r="B42" s="1" t="s">
        <v>11</v>
      </c>
      <c r="C42" s="133">
        <v>30</v>
      </c>
      <c r="D42" s="134">
        <v>43777</v>
      </c>
    </row>
    <row r="43" spans="1:4">
      <c r="B43" s="1" t="s">
        <v>12</v>
      </c>
      <c r="C43" s="133">
        <v>25</v>
      </c>
      <c r="D43" s="134">
        <v>25300</v>
      </c>
    </row>
    <row r="44" spans="1:4">
      <c r="B44" s="1" t="s">
        <v>13</v>
      </c>
      <c r="C44" s="133">
        <v>20</v>
      </c>
      <c r="D44" s="134">
        <v>15762</v>
      </c>
    </row>
    <row r="45" spans="1:4">
      <c r="B45" s="1" t="s">
        <v>14</v>
      </c>
      <c r="C45" s="133">
        <v>15</v>
      </c>
      <c r="D45" s="134">
        <v>12585</v>
      </c>
    </row>
    <row r="46" spans="1:4">
      <c r="B46" s="1" t="s">
        <v>15</v>
      </c>
      <c r="C46" s="133">
        <v>10</v>
      </c>
      <c r="D46" s="134">
        <v>18506</v>
      </c>
    </row>
    <row r="47" spans="1:4">
      <c r="B47" s="1" t="s">
        <v>16</v>
      </c>
      <c r="C47" s="133">
        <v>5</v>
      </c>
      <c r="D47" s="134">
        <v>8162</v>
      </c>
    </row>
    <row r="48" spans="1:4">
      <c r="B48" s="1" t="s">
        <v>23</v>
      </c>
      <c r="C48" s="133">
        <v>0</v>
      </c>
      <c r="D48" s="134">
        <v>1241</v>
      </c>
    </row>
    <row r="49" spans="1:4">
      <c r="A49" t="s">
        <v>36</v>
      </c>
      <c r="B49" s="1" t="s">
        <v>9</v>
      </c>
      <c r="C49" s="133">
        <v>40</v>
      </c>
      <c r="D49" s="134">
        <v>32213</v>
      </c>
    </row>
    <row r="50" spans="1:4">
      <c r="B50" s="1" t="s">
        <v>25</v>
      </c>
      <c r="C50" s="133">
        <v>35</v>
      </c>
      <c r="D50" s="134">
        <v>24004</v>
      </c>
    </row>
    <row r="51" spans="1:4">
      <c r="B51" s="1" t="s">
        <v>26</v>
      </c>
      <c r="C51" s="133">
        <v>30</v>
      </c>
      <c r="D51" s="134">
        <v>28452</v>
      </c>
    </row>
    <row r="52" spans="1:4">
      <c r="B52" s="1" t="s">
        <v>27</v>
      </c>
      <c r="C52" s="133">
        <v>25</v>
      </c>
      <c r="D52" s="134">
        <v>33294</v>
      </c>
    </row>
    <row r="53" spans="1:4">
      <c r="B53" s="1" t="s">
        <v>28</v>
      </c>
      <c r="C53" s="133">
        <v>20</v>
      </c>
      <c r="D53" s="134">
        <v>40429</v>
      </c>
    </row>
    <row r="54" spans="1:4">
      <c r="B54" s="1" t="s">
        <v>29</v>
      </c>
      <c r="C54" s="133">
        <v>15</v>
      </c>
      <c r="D54" s="134">
        <v>51209</v>
      </c>
    </row>
    <row r="55" spans="1:4">
      <c r="B55" s="1" t="s">
        <v>30</v>
      </c>
      <c r="C55" s="133">
        <v>10</v>
      </c>
      <c r="D55" s="134">
        <v>66608</v>
      </c>
    </row>
    <row r="56" spans="1:4">
      <c r="B56" s="1" t="s">
        <v>31</v>
      </c>
      <c r="C56" s="133">
        <v>5</v>
      </c>
      <c r="D56" s="134">
        <v>37063</v>
      </c>
    </row>
    <row r="57" spans="1:4">
      <c r="B57" s="1" t="s">
        <v>22</v>
      </c>
      <c r="C57" s="133">
        <v>0</v>
      </c>
      <c r="D57" s="134">
        <v>5034</v>
      </c>
    </row>
  </sheetData>
  <mergeCells count="1">
    <mergeCell ref="C3:D3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3C3CE-17EB-47DF-B598-C7487F2B56E7}">
  <sheetPr codeName="Sheet3"/>
  <dimension ref="A1:P102"/>
  <sheetViews>
    <sheetView workbookViewId="0">
      <selection activeCell="A5" sqref="A5:I101"/>
    </sheetView>
  </sheetViews>
  <sheetFormatPr defaultRowHeight="17"/>
  <sheetData>
    <row r="1" spans="1:16">
      <c r="A1" s="8"/>
    </row>
    <row r="2" spans="1:16" ht="17.5" thickBot="1"/>
    <row r="3" spans="1:16">
      <c r="A3" s="36" t="s">
        <v>8</v>
      </c>
      <c r="B3" s="37"/>
      <c r="C3" s="37"/>
      <c r="D3" s="38"/>
      <c r="F3" s="36" t="s">
        <v>17</v>
      </c>
      <c r="G3" s="37"/>
      <c r="H3" s="37"/>
      <c r="I3" s="38"/>
    </row>
    <row r="4" spans="1:16">
      <c r="A4" s="3" t="s">
        <v>6</v>
      </c>
      <c r="B4" s="1"/>
      <c r="C4" s="1"/>
      <c r="D4" s="4" t="s">
        <v>7</v>
      </c>
      <c r="E4" s="9"/>
      <c r="F4" s="1" t="s">
        <v>6</v>
      </c>
      <c r="G4" s="1"/>
      <c r="H4" s="1"/>
      <c r="I4" s="4" t="s">
        <v>7</v>
      </c>
      <c r="L4" s="1"/>
      <c r="M4" s="1"/>
      <c r="O4" s="1"/>
      <c r="P4" s="1"/>
    </row>
    <row r="5" spans="1:16">
      <c r="A5" s="135">
        <v>149</v>
      </c>
      <c r="B5" s="136">
        <v>171</v>
      </c>
      <c r="C5" s="136">
        <v>203</v>
      </c>
      <c r="D5" s="136">
        <v>384</v>
      </c>
      <c r="E5" s="136">
        <v>384</v>
      </c>
      <c r="F5" s="135">
        <v>146</v>
      </c>
      <c r="G5" s="136">
        <v>1422</v>
      </c>
      <c r="H5" s="136">
        <v>604</v>
      </c>
      <c r="I5" s="136">
        <v>2058</v>
      </c>
      <c r="J5" s="10"/>
      <c r="L5" s="1"/>
      <c r="M5" s="1"/>
      <c r="O5" s="1"/>
      <c r="P5" s="1"/>
    </row>
    <row r="6" spans="1:16">
      <c r="A6" s="135">
        <v>147</v>
      </c>
      <c r="B6" s="136">
        <v>315</v>
      </c>
      <c r="C6" s="136">
        <v>368</v>
      </c>
      <c r="D6" s="136">
        <v>702</v>
      </c>
      <c r="E6" s="136">
        <v>1086</v>
      </c>
      <c r="F6" s="135">
        <v>145</v>
      </c>
      <c r="G6" s="136">
        <v>21</v>
      </c>
      <c r="H6" s="136">
        <v>2</v>
      </c>
      <c r="I6" s="136">
        <v>23</v>
      </c>
      <c r="J6" s="10"/>
      <c r="L6" s="1"/>
      <c r="M6" s="1"/>
      <c r="O6" s="1"/>
      <c r="P6" s="1"/>
    </row>
    <row r="7" spans="1:16">
      <c r="A7" s="135">
        <v>146</v>
      </c>
      <c r="B7" s="136">
        <v>142</v>
      </c>
      <c r="C7" s="136">
        <v>167</v>
      </c>
      <c r="D7" s="136">
        <v>311</v>
      </c>
      <c r="E7" s="136">
        <v>1397</v>
      </c>
      <c r="F7" s="135">
        <v>144</v>
      </c>
      <c r="G7" s="136">
        <v>80</v>
      </c>
      <c r="H7" s="136">
        <v>39</v>
      </c>
      <c r="I7" s="136">
        <v>122</v>
      </c>
      <c r="J7" s="10"/>
      <c r="L7" s="1"/>
      <c r="M7" s="1"/>
      <c r="O7" s="1"/>
      <c r="P7" s="1"/>
    </row>
    <row r="8" spans="1:16">
      <c r="A8" s="135">
        <v>145</v>
      </c>
      <c r="B8" s="136">
        <v>351</v>
      </c>
      <c r="C8" s="136">
        <v>370</v>
      </c>
      <c r="D8" s="136">
        <v>730</v>
      </c>
      <c r="E8" s="136">
        <v>2127</v>
      </c>
      <c r="F8" s="135">
        <v>143</v>
      </c>
      <c r="G8" s="136">
        <v>1856</v>
      </c>
      <c r="H8" s="136">
        <v>1074</v>
      </c>
      <c r="I8" s="136">
        <v>2983</v>
      </c>
      <c r="J8" s="10"/>
      <c r="L8" s="1"/>
      <c r="M8" s="1"/>
      <c r="O8" s="1"/>
      <c r="P8" s="1"/>
    </row>
    <row r="9" spans="1:16">
      <c r="A9" s="135">
        <v>144</v>
      </c>
      <c r="B9" s="136">
        <v>377</v>
      </c>
      <c r="C9" s="136">
        <v>440</v>
      </c>
      <c r="D9" s="136">
        <v>822</v>
      </c>
      <c r="E9" s="136">
        <v>2949</v>
      </c>
      <c r="F9" s="135">
        <v>142</v>
      </c>
      <c r="G9" s="136">
        <v>2</v>
      </c>
      <c r="H9" s="136">
        <v>0</v>
      </c>
      <c r="I9" s="136">
        <v>2</v>
      </c>
      <c r="J9" s="10"/>
      <c r="L9" s="1"/>
      <c r="M9" s="1"/>
      <c r="O9" s="1"/>
      <c r="P9" s="1"/>
    </row>
    <row r="10" spans="1:16">
      <c r="A10" s="135">
        <v>143</v>
      </c>
      <c r="B10" s="136">
        <v>360</v>
      </c>
      <c r="C10" s="136">
        <v>413</v>
      </c>
      <c r="D10" s="136">
        <v>795</v>
      </c>
      <c r="E10" s="136">
        <v>3744</v>
      </c>
      <c r="F10" s="135">
        <v>141</v>
      </c>
      <c r="G10" s="136">
        <v>28</v>
      </c>
      <c r="H10" s="136">
        <v>10</v>
      </c>
      <c r="I10" s="136">
        <v>40</v>
      </c>
      <c r="J10" s="10"/>
      <c r="L10" s="1"/>
      <c r="M10" s="1"/>
      <c r="O10" s="1"/>
      <c r="P10" s="1"/>
    </row>
    <row r="11" spans="1:16">
      <c r="A11" s="135">
        <v>142</v>
      </c>
      <c r="B11" s="136">
        <v>557</v>
      </c>
      <c r="C11" s="136">
        <v>626</v>
      </c>
      <c r="D11" s="136">
        <v>1199</v>
      </c>
      <c r="E11" s="136">
        <v>4943</v>
      </c>
      <c r="F11" s="135">
        <v>140</v>
      </c>
      <c r="G11" s="136">
        <v>2787</v>
      </c>
      <c r="H11" s="136">
        <v>1785</v>
      </c>
      <c r="I11" s="136">
        <v>4689</v>
      </c>
      <c r="J11" s="10"/>
      <c r="L11" s="1"/>
      <c r="M11" s="1"/>
      <c r="O11" s="1"/>
      <c r="P11" s="1"/>
    </row>
    <row r="12" spans="1:16">
      <c r="A12" s="135">
        <v>141</v>
      </c>
      <c r="B12" s="136">
        <v>475</v>
      </c>
      <c r="C12" s="136">
        <v>543</v>
      </c>
      <c r="D12" s="136">
        <v>1040</v>
      </c>
      <c r="E12" s="136">
        <v>5983</v>
      </c>
      <c r="F12" s="135">
        <v>139</v>
      </c>
      <c r="G12" s="136">
        <v>7</v>
      </c>
      <c r="H12" s="136">
        <v>6</v>
      </c>
      <c r="I12" s="136">
        <v>13</v>
      </c>
      <c r="J12" s="10"/>
      <c r="L12" s="1"/>
      <c r="M12" s="1"/>
      <c r="O12" s="1"/>
      <c r="P12" s="1"/>
    </row>
    <row r="13" spans="1:16">
      <c r="A13" s="135">
        <v>140</v>
      </c>
      <c r="B13" s="136">
        <v>623</v>
      </c>
      <c r="C13" s="136">
        <v>732</v>
      </c>
      <c r="D13" s="136">
        <v>1375</v>
      </c>
      <c r="E13" s="136">
        <v>7358</v>
      </c>
      <c r="F13" s="135">
        <v>138</v>
      </c>
      <c r="G13" s="136">
        <v>96</v>
      </c>
      <c r="H13" s="136">
        <v>36</v>
      </c>
      <c r="I13" s="136">
        <v>135</v>
      </c>
      <c r="J13" s="10"/>
      <c r="L13" s="1"/>
      <c r="M13" s="1"/>
      <c r="O13" s="1"/>
      <c r="P13" s="1"/>
    </row>
    <row r="14" spans="1:16">
      <c r="A14" s="135">
        <v>139</v>
      </c>
      <c r="B14" s="136">
        <v>612</v>
      </c>
      <c r="C14" s="136">
        <v>693</v>
      </c>
      <c r="D14" s="136">
        <v>1337</v>
      </c>
      <c r="E14" s="136">
        <v>8695</v>
      </c>
      <c r="F14" s="135">
        <v>137</v>
      </c>
      <c r="G14" s="136">
        <v>581</v>
      </c>
      <c r="H14" s="136">
        <v>336</v>
      </c>
      <c r="I14" s="136">
        <v>930</v>
      </c>
      <c r="J14" s="10"/>
      <c r="L14" s="1"/>
      <c r="M14" s="1"/>
      <c r="O14" s="1"/>
      <c r="P14" s="1"/>
    </row>
    <row r="15" spans="1:16">
      <c r="A15" s="135">
        <v>138</v>
      </c>
      <c r="B15" s="136">
        <v>595</v>
      </c>
      <c r="C15" s="136">
        <v>763</v>
      </c>
      <c r="D15" s="136">
        <v>1388</v>
      </c>
      <c r="E15" s="136">
        <v>10083</v>
      </c>
      <c r="F15" s="135">
        <v>136</v>
      </c>
      <c r="G15" s="136">
        <v>2801</v>
      </c>
      <c r="H15" s="136">
        <v>2161</v>
      </c>
      <c r="I15" s="136">
        <v>5072</v>
      </c>
      <c r="J15" s="10"/>
      <c r="L15" s="1"/>
      <c r="M15" s="1"/>
      <c r="O15" s="1"/>
      <c r="P15" s="1"/>
    </row>
    <row r="16" spans="1:16">
      <c r="A16" s="135">
        <v>137</v>
      </c>
      <c r="B16" s="136">
        <v>703</v>
      </c>
      <c r="C16" s="136">
        <v>937</v>
      </c>
      <c r="D16" s="136">
        <v>1669</v>
      </c>
      <c r="E16" s="136">
        <v>11752</v>
      </c>
      <c r="F16" s="135">
        <v>135</v>
      </c>
      <c r="G16" s="136">
        <v>14</v>
      </c>
      <c r="H16" s="136">
        <v>5</v>
      </c>
      <c r="I16" s="136">
        <v>19</v>
      </c>
      <c r="J16" s="10"/>
      <c r="L16" s="1"/>
      <c r="M16" s="1"/>
      <c r="O16" s="1"/>
      <c r="P16" s="1"/>
    </row>
    <row r="17" spans="1:16">
      <c r="A17" s="135">
        <v>136</v>
      </c>
      <c r="B17" s="136">
        <v>693</v>
      </c>
      <c r="C17" s="136">
        <v>931</v>
      </c>
      <c r="D17" s="136">
        <v>1657</v>
      </c>
      <c r="E17" s="136">
        <v>13409</v>
      </c>
      <c r="F17" s="135">
        <v>134</v>
      </c>
      <c r="G17" s="136">
        <v>176</v>
      </c>
      <c r="H17" s="136">
        <v>83</v>
      </c>
      <c r="I17" s="136">
        <v>264</v>
      </c>
      <c r="J17" s="10"/>
      <c r="L17" s="1"/>
      <c r="M17" s="1"/>
      <c r="O17" s="1"/>
      <c r="P17" s="1"/>
    </row>
    <row r="18" spans="1:16">
      <c r="A18" s="135">
        <v>135</v>
      </c>
      <c r="B18" s="136">
        <v>852</v>
      </c>
      <c r="C18" s="136">
        <v>1060</v>
      </c>
      <c r="D18" s="136">
        <v>1964</v>
      </c>
      <c r="E18" s="136">
        <v>15373</v>
      </c>
      <c r="F18" s="135">
        <v>133</v>
      </c>
      <c r="G18" s="136">
        <v>3773</v>
      </c>
      <c r="H18" s="136">
        <v>2867</v>
      </c>
      <c r="I18" s="136">
        <v>6798</v>
      </c>
      <c r="J18" s="10"/>
      <c r="L18" s="1"/>
      <c r="M18" s="1"/>
      <c r="O18" s="1"/>
      <c r="P18" s="1"/>
    </row>
    <row r="19" spans="1:16">
      <c r="A19" s="135">
        <v>134</v>
      </c>
      <c r="B19" s="136">
        <v>804</v>
      </c>
      <c r="C19" s="136">
        <v>1063</v>
      </c>
      <c r="D19" s="136">
        <v>1899</v>
      </c>
      <c r="E19" s="136">
        <v>17272</v>
      </c>
      <c r="F19" s="135">
        <v>132</v>
      </c>
      <c r="G19" s="136">
        <v>42</v>
      </c>
      <c r="H19" s="136">
        <v>26</v>
      </c>
      <c r="I19" s="136">
        <v>72</v>
      </c>
      <c r="J19" s="10"/>
      <c r="L19" s="1"/>
      <c r="M19" s="1"/>
      <c r="O19" s="1"/>
      <c r="P19" s="1"/>
    </row>
    <row r="20" spans="1:16">
      <c r="A20" s="135">
        <v>133</v>
      </c>
      <c r="B20" s="136">
        <v>932</v>
      </c>
      <c r="C20" s="136">
        <v>1203</v>
      </c>
      <c r="D20" s="136">
        <v>2177</v>
      </c>
      <c r="E20" s="136">
        <v>19449</v>
      </c>
      <c r="F20" s="135">
        <v>131</v>
      </c>
      <c r="G20" s="136">
        <v>254</v>
      </c>
      <c r="H20" s="136">
        <v>142</v>
      </c>
      <c r="I20" s="136">
        <v>407</v>
      </c>
      <c r="J20" s="10"/>
      <c r="L20" s="1"/>
      <c r="M20" s="1"/>
      <c r="O20" s="1"/>
      <c r="P20" s="1"/>
    </row>
    <row r="21" spans="1:16">
      <c r="A21" s="135">
        <v>132</v>
      </c>
      <c r="B21" s="136">
        <v>992</v>
      </c>
      <c r="C21" s="136">
        <v>1214</v>
      </c>
      <c r="D21" s="136">
        <v>2257</v>
      </c>
      <c r="E21" s="136">
        <v>21706</v>
      </c>
      <c r="F21" s="135">
        <v>130</v>
      </c>
      <c r="G21" s="136">
        <v>1256</v>
      </c>
      <c r="H21" s="136">
        <v>975</v>
      </c>
      <c r="I21" s="136">
        <v>2287</v>
      </c>
      <c r="J21" s="10"/>
      <c r="L21" s="1"/>
      <c r="M21" s="1"/>
      <c r="O21" s="1"/>
      <c r="P21" s="1"/>
    </row>
    <row r="22" spans="1:16">
      <c r="A22" s="135">
        <v>131</v>
      </c>
      <c r="B22" s="136">
        <v>1062</v>
      </c>
      <c r="C22" s="136">
        <v>1336</v>
      </c>
      <c r="D22" s="136">
        <v>2455</v>
      </c>
      <c r="E22" s="136">
        <v>24161</v>
      </c>
      <c r="F22" s="135">
        <v>129</v>
      </c>
      <c r="G22" s="136">
        <v>2801</v>
      </c>
      <c r="H22" s="136">
        <v>2278</v>
      </c>
      <c r="I22" s="136">
        <v>5183</v>
      </c>
      <c r="J22" s="10"/>
      <c r="L22" s="1"/>
      <c r="M22" s="1"/>
      <c r="O22" s="1"/>
      <c r="P22" s="1"/>
    </row>
    <row r="23" spans="1:16">
      <c r="A23" s="135">
        <v>130</v>
      </c>
      <c r="B23" s="136">
        <v>1169</v>
      </c>
      <c r="C23" s="136">
        <v>1473</v>
      </c>
      <c r="D23" s="136">
        <v>2701</v>
      </c>
      <c r="E23" s="136">
        <v>26862</v>
      </c>
      <c r="F23" s="135">
        <v>128</v>
      </c>
      <c r="G23" s="136">
        <v>77</v>
      </c>
      <c r="H23" s="136">
        <v>45</v>
      </c>
      <c r="I23" s="136">
        <v>124</v>
      </c>
      <c r="J23" s="10"/>
      <c r="L23" s="1"/>
      <c r="M23" s="1"/>
      <c r="O23" s="1"/>
      <c r="P23" s="1"/>
    </row>
    <row r="24" spans="1:16">
      <c r="A24" s="135">
        <v>129</v>
      </c>
      <c r="B24" s="136">
        <v>1193</v>
      </c>
      <c r="C24" s="136">
        <v>1483</v>
      </c>
      <c r="D24" s="136">
        <v>2718</v>
      </c>
      <c r="E24" s="136">
        <v>29580</v>
      </c>
      <c r="F24" s="135">
        <v>127</v>
      </c>
      <c r="G24" s="136">
        <v>2072</v>
      </c>
      <c r="H24" s="136">
        <v>1655</v>
      </c>
      <c r="I24" s="136">
        <v>3825</v>
      </c>
      <c r="J24" s="10"/>
      <c r="L24" s="1"/>
      <c r="M24" s="1"/>
      <c r="O24" s="1"/>
      <c r="P24" s="1"/>
    </row>
    <row r="25" spans="1:16">
      <c r="A25" s="135">
        <v>128</v>
      </c>
      <c r="B25" s="136">
        <v>1231</v>
      </c>
      <c r="C25" s="136">
        <v>1640</v>
      </c>
      <c r="D25" s="136">
        <v>2923</v>
      </c>
      <c r="E25" s="136">
        <v>32503</v>
      </c>
      <c r="F25" s="135">
        <v>126</v>
      </c>
      <c r="G25" s="136">
        <v>2777</v>
      </c>
      <c r="H25" s="136">
        <v>2494</v>
      </c>
      <c r="I25" s="136">
        <v>5378</v>
      </c>
      <c r="J25" s="10"/>
      <c r="L25" s="1"/>
      <c r="M25" s="1"/>
      <c r="O25" s="1"/>
      <c r="P25" s="1"/>
    </row>
    <row r="26" spans="1:16">
      <c r="A26" s="135">
        <v>127</v>
      </c>
      <c r="B26" s="136">
        <v>1321</v>
      </c>
      <c r="C26" s="136">
        <v>1672</v>
      </c>
      <c r="D26" s="136">
        <v>3049</v>
      </c>
      <c r="E26" s="136">
        <v>35552</v>
      </c>
      <c r="F26" s="135">
        <v>125</v>
      </c>
      <c r="G26" s="136">
        <v>153</v>
      </c>
      <c r="H26" s="136">
        <v>92</v>
      </c>
      <c r="I26" s="136">
        <v>251</v>
      </c>
      <c r="J26" s="10"/>
      <c r="L26" s="1"/>
      <c r="M26" s="1"/>
      <c r="O26" s="1"/>
      <c r="P26" s="1"/>
    </row>
    <row r="27" spans="1:16">
      <c r="A27" s="135">
        <v>126</v>
      </c>
      <c r="B27" s="136">
        <v>1415</v>
      </c>
      <c r="C27" s="136">
        <v>1822</v>
      </c>
      <c r="D27" s="136">
        <v>3309</v>
      </c>
      <c r="E27" s="136">
        <v>38861</v>
      </c>
      <c r="F27" s="135">
        <v>124</v>
      </c>
      <c r="G27" s="136">
        <v>650</v>
      </c>
      <c r="H27" s="136">
        <v>522</v>
      </c>
      <c r="I27" s="136">
        <v>1197</v>
      </c>
      <c r="J27" s="10"/>
      <c r="L27" s="1"/>
      <c r="M27" s="1"/>
      <c r="O27" s="1"/>
      <c r="P27" s="1"/>
    </row>
    <row r="28" spans="1:16">
      <c r="A28" s="135">
        <v>125</v>
      </c>
      <c r="B28" s="136">
        <v>1404</v>
      </c>
      <c r="C28" s="136">
        <v>1846</v>
      </c>
      <c r="D28" s="136">
        <v>3321</v>
      </c>
      <c r="E28" s="136">
        <v>42182</v>
      </c>
      <c r="F28" s="135">
        <v>123</v>
      </c>
      <c r="G28" s="136">
        <v>2193</v>
      </c>
      <c r="H28" s="136">
        <v>1962</v>
      </c>
      <c r="I28" s="136">
        <v>4251</v>
      </c>
      <c r="J28" s="10"/>
      <c r="L28" s="1"/>
      <c r="M28" s="1"/>
      <c r="O28" s="1"/>
      <c r="P28" s="1"/>
    </row>
    <row r="29" spans="1:16">
      <c r="A29" s="135">
        <v>124</v>
      </c>
      <c r="B29" s="136">
        <v>1459</v>
      </c>
      <c r="C29" s="136">
        <v>1853</v>
      </c>
      <c r="D29" s="136">
        <v>3385</v>
      </c>
      <c r="E29" s="136">
        <v>45567</v>
      </c>
      <c r="F29" s="135">
        <v>122</v>
      </c>
      <c r="G29" s="136">
        <v>2615</v>
      </c>
      <c r="H29" s="136">
        <v>2655</v>
      </c>
      <c r="I29" s="136">
        <v>5374</v>
      </c>
      <c r="J29" s="10"/>
      <c r="L29" s="1"/>
      <c r="M29" s="1"/>
      <c r="O29" s="1"/>
      <c r="P29" s="1"/>
    </row>
    <row r="30" spans="1:16">
      <c r="A30" s="135">
        <v>123</v>
      </c>
      <c r="B30" s="136">
        <v>1581</v>
      </c>
      <c r="C30" s="136">
        <v>1991</v>
      </c>
      <c r="D30" s="136">
        <v>3653</v>
      </c>
      <c r="E30" s="136">
        <v>49220</v>
      </c>
      <c r="F30" s="135">
        <v>121</v>
      </c>
      <c r="G30" s="136">
        <v>218</v>
      </c>
      <c r="H30" s="136">
        <v>179</v>
      </c>
      <c r="I30" s="136">
        <v>404</v>
      </c>
      <c r="J30" s="10"/>
      <c r="L30" s="1"/>
      <c r="M30" s="1"/>
      <c r="O30" s="1"/>
      <c r="P30" s="1"/>
    </row>
    <row r="31" spans="1:16">
      <c r="A31" s="135">
        <v>122</v>
      </c>
      <c r="B31" s="136">
        <v>1610</v>
      </c>
      <c r="C31" s="136">
        <v>2107</v>
      </c>
      <c r="D31" s="136">
        <v>3793</v>
      </c>
      <c r="E31" s="136">
        <v>53013</v>
      </c>
      <c r="F31" s="135">
        <v>120</v>
      </c>
      <c r="G31" s="136">
        <v>3735</v>
      </c>
      <c r="H31" s="136">
        <v>3526</v>
      </c>
      <c r="I31" s="136">
        <v>7405</v>
      </c>
      <c r="J31" s="10"/>
      <c r="L31" s="1"/>
      <c r="M31" s="1"/>
      <c r="O31" s="1"/>
      <c r="P31" s="1"/>
    </row>
    <row r="32" spans="1:16">
      <c r="A32" s="135">
        <v>121</v>
      </c>
      <c r="B32" s="136">
        <v>1691</v>
      </c>
      <c r="C32" s="136">
        <v>2184</v>
      </c>
      <c r="D32" s="136">
        <v>3943</v>
      </c>
      <c r="E32" s="136">
        <v>56956</v>
      </c>
      <c r="F32" s="135">
        <v>119</v>
      </c>
      <c r="G32" s="136">
        <v>2413</v>
      </c>
      <c r="H32" s="136">
        <v>2544</v>
      </c>
      <c r="I32" s="136">
        <v>5041</v>
      </c>
      <c r="J32" s="10"/>
      <c r="L32" s="1"/>
      <c r="M32" s="1"/>
      <c r="O32" s="1"/>
      <c r="P32" s="1"/>
    </row>
    <row r="33" spans="1:16">
      <c r="A33" s="135">
        <v>119</v>
      </c>
      <c r="B33" s="136">
        <v>1735</v>
      </c>
      <c r="C33" s="136">
        <v>2284</v>
      </c>
      <c r="D33" s="136">
        <v>4098</v>
      </c>
      <c r="E33" s="136">
        <v>61054</v>
      </c>
      <c r="F33" s="135">
        <v>118</v>
      </c>
      <c r="G33" s="136">
        <v>477</v>
      </c>
      <c r="H33" s="136">
        <v>417</v>
      </c>
      <c r="I33" s="136">
        <v>921</v>
      </c>
      <c r="J33" s="10"/>
      <c r="L33" s="1"/>
      <c r="M33" s="1"/>
      <c r="O33" s="1"/>
      <c r="P33" s="1"/>
    </row>
    <row r="34" spans="1:16">
      <c r="A34" s="135">
        <v>118</v>
      </c>
      <c r="B34" s="136">
        <v>1826</v>
      </c>
      <c r="C34" s="136">
        <v>2446</v>
      </c>
      <c r="D34" s="136">
        <v>4369</v>
      </c>
      <c r="E34" s="136">
        <v>65423</v>
      </c>
      <c r="F34" s="135">
        <v>117</v>
      </c>
      <c r="G34" s="136">
        <v>1652</v>
      </c>
      <c r="H34" s="136">
        <v>1600</v>
      </c>
      <c r="I34" s="136">
        <v>3311</v>
      </c>
      <c r="J34" s="10"/>
      <c r="L34" s="1"/>
      <c r="M34" s="1"/>
      <c r="O34" s="1"/>
      <c r="P34" s="1"/>
    </row>
    <row r="35" spans="1:16">
      <c r="A35" s="135">
        <v>117</v>
      </c>
      <c r="B35" s="136">
        <v>1888</v>
      </c>
      <c r="C35" s="136">
        <v>2476</v>
      </c>
      <c r="D35" s="136">
        <v>4448</v>
      </c>
      <c r="E35" s="136">
        <v>69871</v>
      </c>
      <c r="F35" s="135">
        <v>116</v>
      </c>
      <c r="G35" s="136">
        <v>3152</v>
      </c>
      <c r="H35" s="136">
        <v>3414</v>
      </c>
      <c r="I35" s="136">
        <v>6704</v>
      </c>
      <c r="J35" s="10"/>
      <c r="L35" s="1"/>
      <c r="M35" s="1"/>
      <c r="O35" s="1"/>
      <c r="P35" s="1"/>
    </row>
    <row r="36" spans="1:16">
      <c r="A36" s="135">
        <v>116</v>
      </c>
      <c r="B36" s="136">
        <v>1932</v>
      </c>
      <c r="C36" s="136">
        <v>2508</v>
      </c>
      <c r="D36" s="136">
        <v>4524</v>
      </c>
      <c r="E36" s="136">
        <v>74395</v>
      </c>
      <c r="F36" s="135">
        <v>115</v>
      </c>
      <c r="G36" s="136">
        <v>2118</v>
      </c>
      <c r="H36" s="136">
        <v>2357</v>
      </c>
      <c r="I36" s="136">
        <v>4566</v>
      </c>
      <c r="J36" s="10"/>
      <c r="L36" s="1"/>
      <c r="M36" s="1"/>
      <c r="O36" s="1"/>
      <c r="P36" s="1"/>
    </row>
    <row r="37" spans="1:16">
      <c r="A37" s="135">
        <v>115</v>
      </c>
      <c r="B37" s="136">
        <v>2047</v>
      </c>
      <c r="C37" s="136">
        <v>2569</v>
      </c>
      <c r="D37" s="136">
        <v>4719</v>
      </c>
      <c r="E37" s="136">
        <v>79114</v>
      </c>
      <c r="F37" s="135">
        <v>114</v>
      </c>
      <c r="G37" s="136">
        <v>3200</v>
      </c>
      <c r="H37" s="136">
        <v>3436</v>
      </c>
      <c r="I37" s="136">
        <v>6780</v>
      </c>
      <c r="J37" s="10"/>
      <c r="L37" s="1"/>
      <c r="M37" s="1"/>
      <c r="O37" s="1"/>
      <c r="P37" s="1"/>
    </row>
    <row r="38" spans="1:16">
      <c r="A38" s="135">
        <v>114</v>
      </c>
      <c r="B38" s="136">
        <v>2036</v>
      </c>
      <c r="C38" s="136">
        <v>2650</v>
      </c>
      <c r="D38" s="136">
        <v>4775</v>
      </c>
      <c r="E38" s="136">
        <v>83889</v>
      </c>
      <c r="F38" s="135">
        <v>113</v>
      </c>
      <c r="G38" s="136">
        <v>3272</v>
      </c>
      <c r="H38" s="136">
        <v>3811</v>
      </c>
      <c r="I38" s="136">
        <v>7230</v>
      </c>
      <c r="J38" s="10"/>
      <c r="L38" s="1"/>
      <c r="M38" s="1"/>
      <c r="O38" s="1"/>
      <c r="P38" s="1"/>
    </row>
    <row r="39" spans="1:16">
      <c r="A39" s="135">
        <v>113</v>
      </c>
      <c r="B39" s="136">
        <v>2143</v>
      </c>
      <c r="C39" s="136">
        <v>2808</v>
      </c>
      <c r="D39" s="136">
        <v>5053</v>
      </c>
      <c r="E39" s="136">
        <v>88942</v>
      </c>
      <c r="F39" s="135">
        <v>112</v>
      </c>
      <c r="G39" s="136">
        <v>1625</v>
      </c>
      <c r="H39" s="136">
        <v>1871</v>
      </c>
      <c r="I39" s="136">
        <v>3576</v>
      </c>
      <c r="J39" s="10"/>
      <c r="L39" s="1"/>
      <c r="M39" s="1"/>
      <c r="O39" s="1"/>
      <c r="P39" s="1"/>
    </row>
    <row r="40" spans="1:16">
      <c r="A40" s="135">
        <v>112</v>
      </c>
      <c r="B40" s="136">
        <v>2195</v>
      </c>
      <c r="C40" s="136">
        <v>2829</v>
      </c>
      <c r="D40" s="136">
        <v>5131</v>
      </c>
      <c r="E40" s="136">
        <v>94073</v>
      </c>
      <c r="F40" s="135">
        <v>111</v>
      </c>
      <c r="G40" s="136">
        <v>1555</v>
      </c>
      <c r="H40" s="136">
        <v>1622</v>
      </c>
      <c r="I40" s="136">
        <v>3239</v>
      </c>
      <c r="J40" s="10"/>
      <c r="L40" s="1"/>
      <c r="M40" s="1"/>
      <c r="O40" s="1"/>
      <c r="P40" s="1"/>
    </row>
    <row r="41" spans="1:16">
      <c r="A41" s="135">
        <v>111</v>
      </c>
      <c r="B41" s="136">
        <v>2274</v>
      </c>
      <c r="C41" s="136">
        <v>2904</v>
      </c>
      <c r="D41" s="136">
        <v>5286</v>
      </c>
      <c r="E41" s="136">
        <v>99359</v>
      </c>
      <c r="F41" s="135">
        <v>110</v>
      </c>
      <c r="G41" s="136">
        <v>2967</v>
      </c>
      <c r="H41" s="136">
        <v>3571</v>
      </c>
      <c r="I41" s="136">
        <v>6658</v>
      </c>
      <c r="J41" s="10"/>
      <c r="L41" s="1"/>
      <c r="M41" s="1"/>
      <c r="O41" s="1"/>
      <c r="P41" s="1"/>
    </row>
    <row r="42" spans="1:16">
      <c r="A42" s="135">
        <v>110</v>
      </c>
      <c r="B42" s="136">
        <v>2310</v>
      </c>
      <c r="C42" s="136">
        <v>3012</v>
      </c>
      <c r="D42" s="136">
        <v>5429</v>
      </c>
      <c r="E42" s="136">
        <v>104788</v>
      </c>
      <c r="F42" s="135">
        <v>109</v>
      </c>
      <c r="G42" s="136">
        <v>2708</v>
      </c>
      <c r="H42" s="136">
        <v>3288</v>
      </c>
      <c r="I42" s="136">
        <v>6123</v>
      </c>
      <c r="J42" s="10"/>
      <c r="L42" s="1"/>
      <c r="M42" s="1"/>
      <c r="O42" s="1"/>
      <c r="P42" s="1"/>
    </row>
    <row r="43" spans="1:16">
      <c r="A43" s="135">
        <v>109</v>
      </c>
      <c r="B43" s="136">
        <v>2328</v>
      </c>
      <c r="C43" s="136">
        <v>3006</v>
      </c>
      <c r="D43" s="136">
        <v>5472</v>
      </c>
      <c r="E43" s="136">
        <v>110260</v>
      </c>
      <c r="F43" s="135">
        <v>108</v>
      </c>
      <c r="G43" s="136">
        <v>1494</v>
      </c>
      <c r="H43" s="136">
        <v>1648</v>
      </c>
      <c r="I43" s="136">
        <v>3212</v>
      </c>
      <c r="J43" s="10"/>
      <c r="L43" s="1"/>
      <c r="M43" s="1"/>
      <c r="O43" s="1"/>
      <c r="P43" s="1"/>
    </row>
    <row r="44" spans="1:16">
      <c r="A44" s="135">
        <v>108</v>
      </c>
      <c r="B44" s="136">
        <v>2337</v>
      </c>
      <c r="C44" s="136">
        <v>3053</v>
      </c>
      <c r="D44" s="136">
        <v>5522</v>
      </c>
      <c r="E44" s="136">
        <v>115782</v>
      </c>
      <c r="F44" s="135">
        <v>107</v>
      </c>
      <c r="G44" s="136">
        <v>5183</v>
      </c>
      <c r="H44" s="136">
        <v>6269</v>
      </c>
      <c r="I44" s="136">
        <v>11716</v>
      </c>
      <c r="J44" s="10"/>
      <c r="L44" s="1"/>
      <c r="M44" s="1"/>
      <c r="O44" s="1"/>
      <c r="P44" s="1"/>
    </row>
    <row r="45" spans="1:16">
      <c r="A45" s="135">
        <v>107</v>
      </c>
      <c r="B45" s="136">
        <v>2509</v>
      </c>
      <c r="C45" s="136">
        <v>3005</v>
      </c>
      <c r="D45" s="136">
        <v>5628</v>
      </c>
      <c r="E45" s="136">
        <v>121410</v>
      </c>
      <c r="F45" s="135">
        <v>106</v>
      </c>
      <c r="G45" s="136">
        <v>1880</v>
      </c>
      <c r="H45" s="136">
        <v>2320</v>
      </c>
      <c r="I45" s="136">
        <v>4283</v>
      </c>
      <c r="J45" s="10"/>
      <c r="L45" s="1"/>
      <c r="M45" s="1"/>
      <c r="O45" s="1"/>
      <c r="P45" s="1"/>
    </row>
    <row r="46" spans="1:16">
      <c r="A46" s="135">
        <v>106</v>
      </c>
      <c r="B46" s="136">
        <v>2504</v>
      </c>
      <c r="C46" s="136">
        <v>3142</v>
      </c>
      <c r="D46" s="136">
        <v>5768</v>
      </c>
      <c r="E46" s="136">
        <v>127178</v>
      </c>
      <c r="F46" s="135">
        <v>105</v>
      </c>
      <c r="G46" s="136">
        <v>1770</v>
      </c>
      <c r="H46" s="136">
        <v>2065</v>
      </c>
      <c r="I46" s="136">
        <v>3923</v>
      </c>
      <c r="J46" s="10"/>
      <c r="L46" s="1"/>
      <c r="M46" s="1"/>
      <c r="O46" s="1"/>
      <c r="P46" s="1"/>
    </row>
    <row r="47" spans="1:16">
      <c r="A47" s="135">
        <v>105</v>
      </c>
      <c r="B47" s="136">
        <v>2499</v>
      </c>
      <c r="C47" s="136">
        <v>3050</v>
      </c>
      <c r="D47" s="136">
        <v>5678</v>
      </c>
      <c r="E47" s="136">
        <v>132856</v>
      </c>
      <c r="F47" s="135">
        <v>104</v>
      </c>
      <c r="G47" s="136">
        <v>2696</v>
      </c>
      <c r="H47" s="136">
        <v>3459</v>
      </c>
      <c r="I47" s="136">
        <v>6301</v>
      </c>
      <c r="J47" s="10"/>
      <c r="L47" s="1"/>
      <c r="M47" s="1"/>
      <c r="O47" s="1"/>
      <c r="P47" s="1"/>
    </row>
    <row r="48" spans="1:16">
      <c r="A48" s="135">
        <v>104</v>
      </c>
      <c r="B48" s="136">
        <v>2505</v>
      </c>
      <c r="C48" s="136">
        <v>3161</v>
      </c>
      <c r="D48" s="136">
        <v>5800</v>
      </c>
      <c r="E48" s="136">
        <v>138656</v>
      </c>
      <c r="F48" s="135">
        <v>103</v>
      </c>
      <c r="G48" s="136">
        <v>2302</v>
      </c>
      <c r="H48" s="136">
        <v>2900</v>
      </c>
      <c r="I48" s="136">
        <v>5317</v>
      </c>
      <c r="J48" s="10"/>
      <c r="L48" s="1"/>
      <c r="M48" s="1"/>
      <c r="O48" s="1"/>
      <c r="P48" s="1"/>
    </row>
    <row r="49" spans="1:16">
      <c r="A49" s="135">
        <v>103</v>
      </c>
      <c r="B49" s="136">
        <v>2565</v>
      </c>
      <c r="C49" s="136">
        <v>3198</v>
      </c>
      <c r="D49" s="136">
        <v>5890</v>
      </c>
      <c r="E49" s="136">
        <v>144546</v>
      </c>
      <c r="F49" s="135">
        <v>102</v>
      </c>
      <c r="G49" s="136">
        <v>1576</v>
      </c>
      <c r="H49" s="136">
        <v>1892</v>
      </c>
      <c r="I49" s="136">
        <v>3550</v>
      </c>
      <c r="J49" s="10"/>
      <c r="L49" s="1"/>
      <c r="M49" s="1"/>
      <c r="O49" s="1"/>
      <c r="P49" s="1"/>
    </row>
    <row r="50" spans="1:16">
      <c r="A50" s="135">
        <v>102</v>
      </c>
      <c r="B50" s="136">
        <v>2647</v>
      </c>
      <c r="C50" s="136">
        <v>3149</v>
      </c>
      <c r="D50" s="136">
        <v>5932</v>
      </c>
      <c r="E50" s="136">
        <v>150478</v>
      </c>
      <c r="F50" s="135">
        <v>101</v>
      </c>
      <c r="G50" s="136">
        <v>2346</v>
      </c>
      <c r="H50" s="136">
        <v>2954</v>
      </c>
      <c r="I50" s="136">
        <v>5392</v>
      </c>
      <c r="J50" s="10"/>
      <c r="L50" s="1"/>
      <c r="M50" s="1"/>
      <c r="O50" s="1"/>
      <c r="P50" s="1"/>
    </row>
    <row r="51" spans="1:16">
      <c r="A51" s="135">
        <v>101</v>
      </c>
      <c r="B51" s="136">
        <v>2614</v>
      </c>
      <c r="C51" s="136">
        <v>3139</v>
      </c>
      <c r="D51" s="136">
        <v>5885</v>
      </c>
      <c r="E51" s="136">
        <v>156363</v>
      </c>
      <c r="F51" s="135">
        <v>100</v>
      </c>
      <c r="G51" s="136">
        <v>4136</v>
      </c>
      <c r="H51" s="136">
        <v>4847</v>
      </c>
      <c r="I51" s="136">
        <v>9172</v>
      </c>
      <c r="J51" s="10"/>
      <c r="L51" s="1"/>
      <c r="M51" s="1"/>
      <c r="O51" s="1"/>
      <c r="P51" s="1"/>
    </row>
    <row r="52" spans="1:16">
      <c r="A52" s="135">
        <v>100</v>
      </c>
      <c r="B52" s="136">
        <v>2649</v>
      </c>
      <c r="C52" s="136">
        <v>3251</v>
      </c>
      <c r="D52" s="136">
        <v>6043</v>
      </c>
      <c r="E52" s="136">
        <v>162406</v>
      </c>
      <c r="F52" s="135">
        <v>99</v>
      </c>
      <c r="G52" s="136">
        <v>1962</v>
      </c>
      <c r="H52" s="136">
        <v>2360</v>
      </c>
      <c r="I52" s="136">
        <v>4419</v>
      </c>
      <c r="J52" s="10"/>
      <c r="L52" s="1"/>
      <c r="M52" s="1"/>
      <c r="O52" s="1"/>
      <c r="P52" s="1"/>
    </row>
    <row r="53" spans="1:16">
      <c r="A53" s="135">
        <v>99</v>
      </c>
      <c r="B53" s="136">
        <v>2660</v>
      </c>
      <c r="C53" s="136">
        <v>3089</v>
      </c>
      <c r="D53" s="136">
        <v>5880</v>
      </c>
      <c r="E53" s="136">
        <v>168286</v>
      </c>
      <c r="F53" s="135">
        <v>98</v>
      </c>
      <c r="G53" s="136">
        <v>2278</v>
      </c>
      <c r="H53" s="136">
        <v>2953</v>
      </c>
      <c r="I53" s="136">
        <v>5337</v>
      </c>
      <c r="J53" s="10"/>
    </row>
    <row r="54" spans="1:16">
      <c r="A54" s="135">
        <v>98</v>
      </c>
      <c r="B54" s="136">
        <v>2659</v>
      </c>
      <c r="C54" s="136">
        <v>3148</v>
      </c>
      <c r="D54" s="136">
        <v>5954</v>
      </c>
      <c r="E54" s="136">
        <v>174240</v>
      </c>
      <c r="F54" s="135">
        <v>97</v>
      </c>
      <c r="G54" s="136">
        <v>1598</v>
      </c>
      <c r="H54" s="136">
        <v>1964</v>
      </c>
      <c r="I54" s="136">
        <v>3652</v>
      </c>
      <c r="J54" s="10"/>
    </row>
    <row r="55" spans="1:16">
      <c r="A55" s="135">
        <v>97</v>
      </c>
      <c r="B55" s="136">
        <v>2679</v>
      </c>
      <c r="C55" s="136">
        <v>3135</v>
      </c>
      <c r="D55" s="136">
        <v>5944</v>
      </c>
      <c r="E55" s="136">
        <v>180184</v>
      </c>
      <c r="F55" s="135">
        <v>96</v>
      </c>
      <c r="G55" s="136">
        <v>1697</v>
      </c>
      <c r="H55" s="136">
        <v>1958</v>
      </c>
      <c r="I55" s="136">
        <v>3741</v>
      </c>
      <c r="J55" s="10"/>
    </row>
    <row r="56" spans="1:16">
      <c r="A56" s="135">
        <v>96</v>
      </c>
      <c r="B56" s="136">
        <v>2616</v>
      </c>
      <c r="C56" s="136">
        <v>2923</v>
      </c>
      <c r="D56" s="136">
        <v>5686</v>
      </c>
      <c r="E56" s="136">
        <v>185870</v>
      </c>
      <c r="F56" s="135">
        <v>95</v>
      </c>
      <c r="G56" s="136">
        <v>2313</v>
      </c>
      <c r="H56" s="136">
        <v>2707</v>
      </c>
      <c r="I56" s="136">
        <v>5135</v>
      </c>
      <c r="J56" s="10"/>
    </row>
    <row r="57" spans="1:16">
      <c r="A57" s="135">
        <v>95</v>
      </c>
      <c r="B57" s="136">
        <v>2617</v>
      </c>
      <c r="C57" s="136">
        <v>3060</v>
      </c>
      <c r="D57" s="136">
        <v>5810</v>
      </c>
      <c r="E57" s="136">
        <v>191680</v>
      </c>
      <c r="F57" s="135">
        <v>94</v>
      </c>
      <c r="G57" s="136">
        <v>3232</v>
      </c>
      <c r="H57" s="136">
        <v>3985</v>
      </c>
      <c r="I57" s="136">
        <v>7380</v>
      </c>
      <c r="J57" s="10"/>
    </row>
    <row r="58" spans="1:16">
      <c r="A58" s="135">
        <v>94</v>
      </c>
      <c r="B58" s="136">
        <v>2659</v>
      </c>
      <c r="C58" s="136">
        <v>3077</v>
      </c>
      <c r="D58" s="136">
        <v>5855</v>
      </c>
      <c r="E58" s="136">
        <v>197535</v>
      </c>
      <c r="F58" s="135">
        <v>93</v>
      </c>
      <c r="G58" s="136">
        <v>2117</v>
      </c>
      <c r="H58" s="136">
        <v>2519</v>
      </c>
      <c r="I58" s="136">
        <v>4751</v>
      </c>
      <c r="J58" s="10"/>
    </row>
    <row r="59" spans="1:16">
      <c r="A59" s="135">
        <v>93</v>
      </c>
      <c r="B59" s="136">
        <v>2631</v>
      </c>
      <c r="C59" s="136">
        <v>2785</v>
      </c>
      <c r="D59" s="136">
        <v>5589</v>
      </c>
      <c r="E59" s="136">
        <v>203124</v>
      </c>
      <c r="F59" s="135">
        <v>92</v>
      </c>
      <c r="G59" s="136">
        <v>1611</v>
      </c>
      <c r="H59" s="136">
        <v>1885</v>
      </c>
      <c r="I59" s="136">
        <v>3584</v>
      </c>
      <c r="J59" s="10"/>
    </row>
    <row r="60" spans="1:16">
      <c r="A60" s="135">
        <v>92</v>
      </c>
      <c r="B60" s="136">
        <v>2615</v>
      </c>
      <c r="C60" s="136">
        <v>2792</v>
      </c>
      <c r="D60" s="136">
        <v>5556</v>
      </c>
      <c r="E60" s="136">
        <v>208680</v>
      </c>
      <c r="F60" s="135">
        <v>91</v>
      </c>
      <c r="G60" s="136">
        <v>1480</v>
      </c>
      <c r="H60" s="136">
        <v>1820</v>
      </c>
      <c r="I60" s="136">
        <v>3376</v>
      </c>
      <c r="J60" s="10"/>
    </row>
    <row r="61" spans="1:16">
      <c r="A61" s="135">
        <v>91</v>
      </c>
      <c r="B61" s="136">
        <v>2604</v>
      </c>
      <c r="C61" s="136">
        <v>2684</v>
      </c>
      <c r="D61" s="136">
        <v>5425</v>
      </c>
      <c r="E61" s="136">
        <v>214105</v>
      </c>
      <c r="F61" s="135">
        <v>90</v>
      </c>
      <c r="G61" s="136">
        <v>2104</v>
      </c>
      <c r="H61" s="136">
        <v>2395</v>
      </c>
      <c r="I61" s="136">
        <v>4604</v>
      </c>
      <c r="J61" s="10"/>
    </row>
    <row r="62" spans="1:16">
      <c r="A62" s="135">
        <v>90</v>
      </c>
      <c r="B62" s="136">
        <v>2508</v>
      </c>
      <c r="C62" s="136">
        <v>2657</v>
      </c>
      <c r="D62" s="136">
        <v>5308</v>
      </c>
      <c r="E62" s="136">
        <v>219413</v>
      </c>
      <c r="F62" s="135">
        <v>89</v>
      </c>
      <c r="G62" s="136">
        <v>1641</v>
      </c>
      <c r="H62" s="136">
        <v>1965</v>
      </c>
      <c r="I62" s="136">
        <v>3697</v>
      </c>
      <c r="J62" s="10"/>
    </row>
    <row r="63" spans="1:16">
      <c r="A63" s="135">
        <v>89</v>
      </c>
      <c r="B63" s="136">
        <v>2548</v>
      </c>
      <c r="C63" s="136">
        <v>2508</v>
      </c>
      <c r="D63" s="136">
        <v>5196</v>
      </c>
      <c r="E63" s="136">
        <v>224609</v>
      </c>
      <c r="F63" s="135">
        <v>88</v>
      </c>
      <c r="G63" s="136">
        <v>1396</v>
      </c>
      <c r="H63" s="136">
        <v>1677</v>
      </c>
      <c r="I63" s="136">
        <v>3159</v>
      </c>
      <c r="J63" s="10"/>
    </row>
    <row r="64" spans="1:16">
      <c r="A64" s="135">
        <v>88</v>
      </c>
      <c r="B64" s="136">
        <v>2539</v>
      </c>
      <c r="C64" s="136">
        <v>2491</v>
      </c>
      <c r="D64" s="136">
        <v>5161</v>
      </c>
      <c r="E64" s="136">
        <v>229770</v>
      </c>
      <c r="F64" s="135">
        <v>87</v>
      </c>
      <c r="G64" s="136">
        <v>3688</v>
      </c>
      <c r="H64" s="136">
        <v>4338</v>
      </c>
      <c r="I64" s="136">
        <v>8200</v>
      </c>
      <c r="J64" s="10"/>
    </row>
    <row r="65" spans="1:10">
      <c r="A65" s="135">
        <v>87</v>
      </c>
      <c r="B65" s="136">
        <v>2380</v>
      </c>
      <c r="C65" s="136">
        <v>2280</v>
      </c>
      <c r="D65" s="136">
        <v>4776</v>
      </c>
      <c r="E65" s="136">
        <v>234546</v>
      </c>
      <c r="F65" s="135">
        <v>86</v>
      </c>
      <c r="G65" s="136">
        <v>1419</v>
      </c>
      <c r="H65" s="136">
        <v>1664</v>
      </c>
      <c r="I65" s="136">
        <v>3155</v>
      </c>
      <c r="J65" s="10"/>
    </row>
    <row r="66" spans="1:10">
      <c r="A66" s="135">
        <v>86</v>
      </c>
      <c r="B66" s="136">
        <v>2447</v>
      </c>
      <c r="C66" s="136">
        <v>2312</v>
      </c>
      <c r="D66" s="136">
        <v>4887</v>
      </c>
      <c r="E66" s="136">
        <v>239433</v>
      </c>
      <c r="F66" s="135">
        <v>85</v>
      </c>
      <c r="G66" s="136">
        <v>1900</v>
      </c>
      <c r="H66" s="136">
        <v>2150</v>
      </c>
      <c r="I66" s="136">
        <v>4144</v>
      </c>
      <c r="J66" s="10"/>
    </row>
    <row r="67" spans="1:10">
      <c r="A67" s="135">
        <v>85</v>
      </c>
      <c r="B67" s="136">
        <v>2298</v>
      </c>
      <c r="C67" s="136">
        <v>2225</v>
      </c>
      <c r="D67" s="136">
        <v>4668</v>
      </c>
      <c r="E67" s="136">
        <v>244101</v>
      </c>
      <c r="F67" s="135">
        <v>84</v>
      </c>
      <c r="G67" s="136">
        <v>2043</v>
      </c>
      <c r="H67" s="136">
        <v>2113</v>
      </c>
      <c r="I67" s="136">
        <v>4261</v>
      </c>
      <c r="J67" s="10"/>
    </row>
    <row r="68" spans="1:10">
      <c r="A68" s="135">
        <v>84</v>
      </c>
      <c r="B68" s="136">
        <v>2303</v>
      </c>
      <c r="C68" s="136">
        <v>2168</v>
      </c>
      <c r="D68" s="136">
        <v>4618</v>
      </c>
      <c r="E68" s="136">
        <v>248719</v>
      </c>
      <c r="F68" s="135">
        <v>83</v>
      </c>
      <c r="G68" s="136">
        <v>1465</v>
      </c>
      <c r="H68" s="136">
        <v>1628</v>
      </c>
      <c r="I68" s="136">
        <v>3166</v>
      </c>
      <c r="J68" s="10"/>
    </row>
    <row r="69" spans="1:10">
      <c r="A69" s="135">
        <v>83</v>
      </c>
      <c r="B69" s="136">
        <v>2301</v>
      </c>
      <c r="C69" s="136">
        <v>1951</v>
      </c>
      <c r="D69" s="136">
        <v>4373</v>
      </c>
      <c r="E69" s="136">
        <v>253092</v>
      </c>
      <c r="F69" s="135">
        <v>82</v>
      </c>
      <c r="G69" s="136">
        <v>1820</v>
      </c>
      <c r="H69" s="136">
        <v>1994</v>
      </c>
      <c r="I69" s="136">
        <v>3919</v>
      </c>
      <c r="J69" s="10"/>
    </row>
    <row r="70" spans="1:10">
      <c r="A70" s="135">
        <v>82</v>
      </c>
      <c r="B70" s="136">
        <v>2292</v>
      </c>
      <c r="C70" s="136">
        <v>1870</v>
      </c>
      <c r="D70" s="136">
        <v>4286</v>
      </c>
      <c r="E70" s="136">
        <v>257378</v>
      </c>
      <c r="F70" s="135">
        <v>81</v>
      </c>
      <c r="G70" s="136">
        <v>3569</v>
      </c>
      <c r="H70" s="136">
        <v>3855</v>
      </c>
      <c r="I70" s="136">
        <v>7621</v>
      </c>
      <c r="J70" s="10"/>
    </row>
    <row r="71" spans="1:10">
      <c r="A71" s="135">
        <v>81</v>
      </c>
      <c r="B71" s="136">
        <v>2277</v>
      </c>
      <c r="C71" s="136">
        <v>1888</v>
      </c>
      <c r="D71" s="136">
        <v>4308</v>
      </c>
      <c r="E71" s="136">
        <v>261686</v>
      </c>
      <c r="F71" s="135">
        <v>80</v>
      </c>
      <c r="G71" s="136">
        <v>1970</v>
      </c>
      <c r="H71" s="136">
        <v>1998</v>
      </c>
      <c r="I71" s="136">
        <v>4070</v>
      </c>
      <c r="J71" s="10"/>
    </row>
    <row r="72" spans="1:10">
      <c r="A72" s="135">
        <v>79</v>
      </c>
      <c r="B72" s="136">
        <v>2215</v>
      </c>
      <c r="C72" s="136">
        <v>1677</v>
      </c>
      <c r="D72" s="136">
        <v>4042</v>
      </c>
      <c r="E72" s="136">
        <v>265728</v>
      </c>
      <c r="F72" s="135">
        <v>79</v>
      </c>
      <c r="G72" s="136">
        <v>2046</v>
      </c>
      <c r="H72" s="136">
        <v>2080</v>
      </c>
      <c r="I72" s="136">
        <v>4243</v>
      </c>
      <c r="J72" s="10"/>
    </row>
    <row r="73" spans="1:10">
      <c r="A73" s="135">
        <v>78</v>
      </c>
      <c r="B73" s="136">
        <v>2376</v>
      </c>
      <c r="C73" s="136">
        <v>1824</v>
      </c>
      <c r="D73" s="136">
        <v>4347</v>
      </c>
      <c r="E73" s="136">
        <v>270075</v>
      </c>
      <c r="F73" s="135">
        <v>78</v>
      </c>
      <c r="G73" s="136">
        <v>1672</v>
      </c>
      <c r="H73" s="136">
        <v>1908</v>
      </c>
      <c r="I73" s="136">
        <v>3689</v>
      </c>
      <c r="J73" s="10"/>
    </row>
    <row r="74" spans="1:10">
      <c r="A74" s="135">
        <v>77</v>
      </c>
      <c r="B74" s="136">
        <v>2194</v>
      </c>
      <c r="C74" s="136">
        <v>1547</v>
      </c>
      <c r="D74" s="136">
        <v>3863</v>
      </c>
      <c r="E74" s="136">
        <v>273938</v>
      </c>
      <c r="F74" s="135">
        <v>77</v>
      </c>
      <c r="G74" s="136">
        <v>1988</v>
      </c>
      <c r="H74" s="136">
        <v>2057</v>
      </c>
      <c r="I74" s="136">
        <v>4170</v>
      </c>
      <c r="J74" s="10"/>
    </row>
    <row r="75" spans="1:10">
      <c r="A75" s="135">
        <v>76</v>
      </c>
      <c r="B75" s="136">
        <v>2367</v>
      </c>
      <c r="C75" s="136">
        <v>1634</v>
      </c>
      <c r="D75" s="136">
        <v>4176</v>
      </c>
      <c r="E75" s="136">
        <v>278114</v>
      </c>
      <c r="F75" s="135">
        <v>76</v>
      </c>
      <c r="G75" s="136">
        <v>2096</v>
      </c>
      <c r="H75" s="136">
        <v>1997</v>
      </c>
      <c r="I75" s="136">
        <v>4237</v>
      </c>
      <c r="J75" s="10"/>
    </row>
    <row r="76" spans="1:10">
      <c r="A76" s="135">
        <v>75</v>
      </c>
      <c r="B76" s="136">
        <v>2131</v>
      </c>
      <c r="C76" s="136">
        <v>1437</v>
      </c>
      <c r="D76" s="136">
        <v>3715</v>
      </c>
      <c r="E76" s="136">
        <v>281829</v>
      </c>
      <c r="F76" s="135">
        <v>75</v>
      </c>
      <c r="G76" s="136">
        <v>2032</v>
      </c>
      <c r="H76" s="136">
        <v>2044</v>
      </c>
      <c r="I76" s="136">
        <v>4219</v>
      </c>
      <c r="J76" s="10"/>
    </row>
    <row r="77" spans="1:10">
      <c r="A77" s="135">
        <v>74</v>
      </c>
      <c r="B77" s="136">
        <v>4152</v>
      </c>
      <c r="C77" s="136">
        <v>2114</v>
      </c>
      <c r="D77" s="136">
        <v>6751</v>
      </c>
      <c r="E77" s="136">
        <v>288580</v>
      </c>
      <c r="F77" s="135">
        <v>74</v>
      </c>
      <c r="G77" s="136">
        <v>6656</v>
      </c>
      <c r="H77" s="136">
        <v>5592</v>
      </c>
      <c r="I77" s="136">
        <v>12859</v>
      </c>
      <c r="J77" s="10"/>
    </row>
    <row r="78" spans="1:10">
      <c r="A78" s="135">
        <v>73</v>
      </c>
      <c r="B78" s="136">
        <v>1925</v>
      </c>
      <c r="C78" s="136">
        <v>1312</v>
      </c>
      <c r="D78" s="136">
        <v>3397</v>
      </c>
      <c r="E78" s="136">
        <v>291977</v>
      </c>
      <c r="F78" s="135">
        <v>73</v>
      </c>
      <c r="G78" s="136">
        <v>1764</v>
      </c>
      <c r="H78" s="136">
        <v>1723</v>
      </c>
      <c r="I78" s="136">
        <v>3604</v>
      </c>
      <c r="J78" s="10"/>
    </row>
    <row r="79" spans="1:10">
      <c r="A79" s="135">
        <v>72</v>
      </c>
      <c r="B79" s="136">
        <v>2120</v>
      </c>
      <c r="C79" s="136">
        <v>1249</v>
      </c>
      <c r="D79" s="136">
        <v>3519</v>
      </c>
      <c r="E79" s="136">
        <v>295496</v>
      </c>
      <c r="F79" s="135">
        <v>72</v>
      </c>
      <c r="G79" s="136">
        <v>2301</v>
      </c>
      <c r="H79" s="136">
        <v>2072</v>
      </c>
      <c r="I79" s="136">
        <v>4552</v>
      </c>
      <c r="J79" s="10"/>
    </row>
    <row r="80" spans="1:10">
      <c r="A80" s="135">
        <v>71</v>
      </c>
      <c r="B80" s="136">
        <v>2374</v>
      </c>
      <c r="C80" s="136">
        <v>1324</v>
      </c>
      <c r="D80" s="136">
        <v>3896</v>
      </c>
      <c r="E80" s="136">
        <v>299392</v>
      </c>
      <c r="F80" s="135">
        <v>71</v>
      </c>
      <c r="G80" s="136">
        <v>2279</v>
      </c>
      <c r="H80" s="136">
        <v>1975</v>
      </c>
      <c r="I80" s="136">
        <v>4429</v>
      </c>
      <c r="J80" s="10"/>
    </row>
    <row r="81" spans="1:10">
      <c r="A81" s="135">
        <v>70</v>
      </c>
      <c r="B81" s="136">
        <v>1881</v>
      </c>
      <c r="C81" s="136">
        <v>1090</v>
      </c>
      <c r="D81" s="136">
        <v>3080</v>
      </c>
      <c r="E81" s="136">
        <v>302472</v>
      </c>
      <c r="F81" s="135">
        <v>70</v>
      </c>
      <c r="G81" s="136">
        <v>3293</v>
      </c>
      <c r="H81" s="136">
        <v>2665</v>
      </c>
      <c r="I81" s="136">
        <v>6224</v>
      </c>
      <c r="J81" s="10"/>
    </row>
    <row r="82" spans="1:10">
      <c r="A82" s="135">
        <v>69</v>
      </c>
      <c r="B82" s="136">
        <v>1632</v>
      </c>
      <c r="C82" s="136">
        <v>873</v>
      </c>
      <c r="D82" s="136">
        <v>2639</v>
      </c>
      <c r="E82" s="136">
        <v>305111</v>
      </c>
      <c r="F82" s="135">
        <v>69</v>
      </c>
      <c r="G82" s="136">
        <v>984</v>
      </c>
      <c r="H82" s="136">
        <v>976</v>
      </c>
      <c r="I82" s="136">
        <v>2043</v>
      </c>
      <c r="J82" s="10"/>
    </row>
    <row r="83" spans="1:10">
      <c r="A83" s="135">
        <v>68</v>
      </c>
      <c r="B83" s="136">
        <v>2757</v>
      </c>
      <c r="C83" s="136">
        <v>1326</v>
      </c>
      <c r="D83" s="136">
        <v>4372</v>
      </c>
      <c r="E83" s="136">
        <v>309483</v>
      </c>
      <c r="F83" s="135">
        <v>68</v>
      </c>
      <c r="G83" s="136">
        <v>2061</v>
      </c>
      <c r="H83" s="136">
        <v>1831</v>
      </c>
      <c r="I83" s="136">
        <v>4045</v>
      </c>
      <c r="J83" s="10"/>
    </row>
    <row r="84" spans="1:10">
      <c r="A84" s="135">
        <v>67</v>
      </c>
      <c r="B84" s="136">
        <v>1311</v>
      </c>
      <c r="C84" s="136">
        <v>699</v>
      </c>
      <c r="D84" s="136">
        <v>2108</v>
      </c>
      <c r="E84" s="136">
        <v>311591</v>
      </c>
      <c r="F84" s="135">
        <v>67</v>
      </c>
      <c r="G84" s="136">
        <v>570</v>
      </c>
      <c r="H84" s="136">
        <v>623</v>
      </c>
      <c r="I84" s="136">
        <v>1233</v>
      </c>
      <c r="J84" s="10"/>
    </row>
    <row r="85" spans="1:10">
      <c r="A85" s="135">
        <v>66</v>
      </c>
      <c r="B85" s="136">
        <v>1238</v>
      </c>
      <c r="C85" s="136">
        <v>575</v>
      </c>
      <c r="D85" s="136">
        <v>1915</v>
      </c>
      <c r="E85" s="136">
        <v>313506</v>
      </c>
      <c r="F85" s="135">
        <v>66</v>
      </c>
      <c r="G85" s="136">
        <v>633</v>
      </c>
      <c r="H85" s="136">
        <v>520</v>
      </c>
      <c r="I85" s="136">
        <v>1185</v>
      </c>
      <c r="J85" s="10"/>
    </row>
    <row r="86" spans="1:10">
      <c r="A86" s="135">
        <v>65</v>
      </c>
      <c r="B86" s="136">
        <v>1702</v>
      </c>
      <c r="C86" s="136">
        <v>716</v>
      </c>
      <c r="D86" s="136">
        <v>2569</v>
      </c>
      <c r="E86" s="136">
        <v>316075</v>
      </c>
      <c r="F86" s="135">
        <v>65</v>
      </c>
      <c r="G86" s="136">
        <v>482</v>
      </c>
      <c r="H86" s="136">
        <v>393</v>
      </c>
      <c r="I86" s="136">
        <v>913</v>
      </c>
      <c r="J86" s="10"/>
    </row>
    <row r="87" spans="1:10">
      <c r="A87" s="135">
        <v>64</v>
      </c>
      <c r="B87" s="136">
        <v>831</v>
      </c>
      <c r="C87" s="136">
        <v>401</v>
      </c>
      <c r="D87" s="136">
        <v>1291</v>
      </c>
      <c r="E87" s="136">
        <v>317366</v>
      </c>
      <c r="F87" s="135">
        <v>64</v>
      </c>
      <c r="G87" s="136">
        <v>260</v>
      </c>
      <c r="H87" s="136">
        <v>243</v>
      </c>
      <c r="I87" s="136">
        <v>519</v>
      </c>
      <c r="J87" s="10"/>
    </row>
    <row r="88" spans="1:10">
      <c r="A88" s="135">
        <v>63</v>
      </c>
      <c r="B88" s="136">
        <v>710</v>
      </c>
      <c r="C88" s="136">
        <v>331</v>
      </c>
      <c r="D88" s="136">
        <v>1095</v>
      </c>
      <c r="E88" s="136">
        <v>318461</v>
      </c>
      <c r="F88" s="135">
        <v>63</v>
      </c>
      <c r="G88" s="136">
        <v>222</v>
      </c>
      <c r="H88" s="136">
        <v>184</v>
      </c>
      <c r="I88" s="136">
        <v>416</v>
      </c>
      <c r="J88" s="10"/>
    </row>
    <row r="89" spans="1:10">
      <c r="A89" s="135">
        <v>62</v>
      </c>
      <c r="B89" s="136">
        <v>537</v>
      </c>
      <c r="C89" s="136">
        <v>233</v>
      </c>
      <c r="D89" s="136">
        <v>819</v>
      </c>
      <c r="E89" s="136">
        <v>319280</v>
      </c>
      <c r="F89" s="135">
        <v>62</v>
      </c>
      <c r="G89" s="136">
        <v>255</v>
      </c>
      <c r="H89" s="136">
        <v>191</v>
      </c>
      <c r="I89" s="136">
        <v>467</v>
      </c>
      <c r="J89" s="10"/>
    </row>
    <row r="90" spans="1:10">
      <c r="A90" s="135">
        <v>61</v>
      </c>
      <c r="B90" s="136">
        <v>440</v>
      </c>
      <c r="C90" s="136">
        <v>178</v>
      </c>
      <c r="D90" s="136">
        <v>649</v>
      </c>
      <c r="E90" s="136">
        <v>319929</v>
      </c>
      <c r="F90" s="135">
        <v>61</v>
      </c>
      <c r="G90" s="136">
        <v>81</v>
      </c>
      <c r="H90" s="136">
        <v>68</v>
      </c>
      <c r="I90" s="136">
        <v>156</v>
      </c>
    </row>
    <row r="91" spans="1:10">
      <c r="A91" s="135">
        <v>60</v>
      </c>
      <c r="B91" s="136">
        <v>296</v>
      </c>
      <c r="C91" s="136">
        <v>137</v>
      </c>
      <c r="D91" s="136">
        <v>470</v>
      </c>
      <c r="E91" s="136">
        <v>320399</v>
      </c>
      <c r="F91" s="135">
        <v>60</v>
      </c>
      <c r="G91" s="136">
        <v>421</v>
      </c>
      <c r="H91" s="136">
        <v>183</v>
      </c>
      <c r="I91" s="136">
        <v>667</v>
      </c>
    </row>
    <row r="92" spans="1:10">
      <c r="A92" s="135">
        <v>59</v>
      </c>
      <c r="B92" s="136">
        <v>222</v>
      </c>
      <c r="C92" s="136">
        <v>114</v>
      </c>
      <c r="D92" s="136">
        <v>360</v>
      </c>
      <c r="E92" s="136">
        <v>320759</v>
      </c>
      <c r="F92" s="135"/>
      <c r="G92" s="136"/>
      <c r="H92" s="136"/>
      <c r="I92" s="136"/>
    </row>
    <row r="93" spans="1:10">
      <c r="A93" s="135">
        <v>58</v>
      </c>
      <c r="B93" s="136">
        <v>146</v>
      </c>
      <c r="C93" s="136">
        <v>64</v>
      </c>
      <c r="D93" s="136">
        <v>218</v>
      </c>
      <c r="E93" s="136">
        <v>320977</v>
      </c>
      <c r="F93" s="135"/>
      <c r="G93" s="136"/>
      <c r="H93" s="136"/>
      <c r="I93" s="136"/>
    </row>
    <row r="94" spans="1:10">
      <c r="A94" s="135">
        <v>57</v>
      </c>
      <c r="B94" s="136">
        <v>149</v>
      </c>
      <c r="C94" s="136">
        <v>64</v>
      </c>
      <c r="D94" s="136">
        <v>223</v>
      </c>
      <c r="E94" s="136">
        <v>321200</v>
      </c>
      <c r="F94" s="135"/>
      <c r="G94" s="136"/>
      <c r="H94" s="136"/>
      <c r="I94" s="136"/>
    </row>
    <row r="95" spans="1:10">
      <c r="A95" s="135">
        <v>56</v>
      </c>
      <c r="B95" s="136">
        <v>61</v>
      </c>
      <c r="C95" s="136">
        <v>19</v>
      </c>
      <c r="D95" s="136">
        <v>87</v>
      </c>
      <c r="E95" s="136">
        <v>321287</v>
      </c>
      <c r="F95" s="135"/>
      <c r="G95" s="136"/>
      <c r="H95" s="136"/>
      <c r="I95" s="136"/>
    </row>
    <row r="96" spans="1:10">
      <c r="A96" s="135">
        <v>55</v>
      </c>
      <c r="B96" s="136">
        <v>89</v>
      </c>
      <c r="C96" s="136">
        <v>44</v>
      </c>
      <c r="D96" s="136">
        <v>144</v>
      </c>
      <c r="E96" s="136">
        <v>321431</v>
      </c>
      <c r="F96" s="135"/>
      <c r="G96" s="136"/>
      <c r="H96" s="136"/>
      <c r="I96" s="136"/>
    </row>
    <row r="97" spans="1:9">
      <c r="A97" s="135">
        <v>54</v>
      </c>
      <c r="B97" s="136">
        <v>22</v>
      </c>
      <c r="C97" s="136">
        <v>8</v>
      </c>
      <c r="D97" s="136">
        <v>35</v>
      </c>
      <c r="E97" s="136">
        <v>321466</v>
      </c>
      <c r="F97" s="135"/>
      <c r="G97" s="136"/>
      <c r="H97" s="136"/>
      <c r="I97" s="136"/>
    </row>
    <row r="98" spans="1:9">
      <c r="A98" s="135">
        <v>53</v>
      </c>
      <c r="B98" s="136">
        <v>52</v>
      </c>
      <c r="C98" s="136">
        <v>23</v>
      </c>
      <c r="D98" s="136">
        <v>82</v>
      </c>
      <c r="E98" s="136">
        <v>321548</v>
      </c>
      <c r="F98" s="135"/>
      <c r="G98" s="136"/>
      <c r="H98" s="136"/>
      <c r="I98" s="136"/>
    </row>
    <row r="99" spans="1:9">
      <c r="A99" s="135">
        <v>52</v>
      </c>
      <c r="B99" s="136">
        <v>6</v>
      </c>
      <c r="C99" s="136">
        <v>0</v>
      </c>
      <c r="D99" s="136">
        <v>6</v>
      </c>
      <c r="E99" s="136">
        <v>321554</v>
      </c>
      <c r="F99" s="135"/>
      <c r="G99" s="136"/>
      <c r="H99" s="136"/>
      <c r="I99" s="136"/>
    </row>
    <row r="100" spans="1:9">
      <c r="A100" s="135">
        <v>51</v>
      </c>
      <c r="B100" s="136">
        <v>41</v>
      </c>
      <c r="C100" s="136">
        <v>20</v>
      </c>
      <c r="D100" s="136">
        <v>65</v>
      </c>
      <c r="E100" s="136">
        <v>321619</v>
      </c>
      <c r="F100" s="135"/>
      <c r="G100" s="136"/>
      <c r="H100" s="136"/>
      <c r="I100" s="136"/>
    </row>
    <row r="101" spans="1:9">
      <c r="A101" s="135">
        <v>49</v>
      </c>
      <c r="B101" s="136">
        <v>374</v>
      </c>
      <c r="C101" s="136">
        <v>125</v>
      </c>
      <c r="D101" s="136">
        <v>559</v>
      </c>
      <c r="E101" s="136">
        <v>322178</v>
      </c>
      <c r="F101" s="135"/>
      <c r="G101" s="136"/>
      <c r="H101" s="136"/>
      <c r="I101" s="136"/>
    </row>
    <row r="102" spans="1:9" ht="17.5" thickBot="1">
      <c r="A102" s="5"/>
      <c r="B102" s="7"/>
      <c r="C102" s="7"/>
      <c r="D102" s="6"/>
      <c r="F102" s="5"/>
      <c r="G102" s="7"/>
      <c r="H102" s="7"/>
      <c r="I102" s="6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4B5DD-2734-4EE0-BFFB-E8EF25ED5316}">
  <sheetPr codeName="Sheet4"/>
  <dimension ref="A1:Q109"/>
  <sheetViews>
    <sheetView zoomScale="70" zoomScaleNormal="70" workbookViewId="0">
      <selection activeCell="B2" sqref="B2:K108"/>
    </sheetView>
  </sheetViews>
  <sheetFormatPr defaultRowHeight="17"/>
  <cols>
    <col min="1" max="1" width="8.6640625" customWidth="1"/>
    <col min="2" max="2" width="1" customWidth="1"/>
    <col min="3" max="10" width="14.1640625" customWidth="1"/>
    <col min="11" max="11" width="1" style="2" customWidth="1"/>
    <col min="12" max="12" width="14.1640625" style="1" customWidth="1"/>
    <col min="13" max="13" width="13.75" customWidth="1"/>
    <col min="14" max="14" width="12.1640625" customWidth="1"/>
  </cols>
  <sheetData>
    <row r="1" spans="1:17">
      <c r="A1" s="2" t="s">
        <v>39</v>
      </c>
      <c r="B1" s="2"/>
      <c r="C1" s="2"/>
      <c r="D1" s="2"/>
      <c r="E1" s="2"/>
      <c r="F1" s="2"/>
      <c r="G1" s="2"/>
      <c r="H1" s="2"/>
      <c r="I1" s="2"/>
      <c r="J1" s="2"/>
      <c r="L1" s="19"/>
    </row>
    <row r="2" spans="1:17" ht="6" customHeight="1" thickBot="1">
      <c r="A2" s="2"/>
      <c r="B2" s="21"/>
      <c r="C2" s="22"/>
      <c r="D2" s="22"/>
      <c r="E2" s="22"/>
      <c r="F2" s="22"/>
      <c r="G2" s="22"/>
      <c r="H2" s="22"/>
      <c r="I2" s="22"/>
      <c r="J2" s="22"/>
      <c r="K2" s="23"/>
      <c r="L2" s="19"/>
    </row>
    <row r="3" spans="1:17" s="13" customFormat="1" ht="25" customHeight="1" thickBot="1">
      <c r="A3" s="11"/>
      <c r="B3" s="24"/>
      <c r="C3" s="39" t="s">
        <v>41</v>
      </c>
      <c r="D3" s="120" t="s">
        <v>69</v>
      </c>
      <c r="E3" s="121"/>
      <c r="F3" s="122"/>
      <c r="G3" s="39" t="s">
        <v>42</v>
      </c>
      <c r="H3" s="40" t="str">
        <f>'통계 및 응시자 수 입력 기능'!D4</f>
        <v>52.01</v>
      </c>
      <c r="I3" s="12" t="s">
        <v>43</v>
      </c>
      <c r="J3" s="41">
        <f>'통계 및 응시자 수 입력 기능'!C4</f>
        <v>322178</v>
      </c>
      <c r="K3" s="25"/>
      <c r="L3" s="14"/>
    </row>
    <row r="4" spans="1:17" s="13" customFormat="1" ht="25" customHeight="1" thickBot="1">
      <c r="A4" s="11"/>
      <c r="B4" s="24"/>
      <c r="C4" s="42" t="s">
        <v>44</v>
      </c>
      <c r="D4" s="123" t="s">
        <v>45</v>
      </c>
      <c r="E4" s="124"/>
      <c r="F4" s="125"/>
      <c r="G4" s="43" t="s">
        <v>46</v>
      </c>
      <c r="H4" s="44" t="str">
        <f>'통계 및 응시자 수 입력 기능'!E4</f>
        <v>19.50</v>
      </c>
      <c r="I4" s="126"/>
      <c r="J4" s="127"/>
      <c r="K4" s="26"/>
      <c r="L4" s="16"/>
    </row>
    <row r="5" spans="1:17" s="13" customFormat="1" ht="25" customHeight="1" thickBot="1">
      <c r="A5" s="11"/>
      <c r="B5" s="24"/>
      <c r="C5" s="14"/>
      <c r="D5" s="14"/>
      <c r="E5" s="14"/>
      <c r="F5" s="100"/>
      <c r="G5" s="14"/>
      <c r="H5" s="11"/>
      <c r="I5" s="128"/>
      <c r="J5" s="128"/>
      <c r="K5" s="27"/>
      <c r="L5" s="14"/>
    </row>
    <row r="6" spans="1:17" s="13" customFormat="1" ht="25" customHeight="1" thickBot="1">
      <c r="A6" s="11"/>
      <c r="B6" s="24"/>
      <c r="C6" s="45" t="s">
        <v>48</v>
      </c>
      <c r="D6" s="46" t="s">
        <v>49</v>
      </c>
      <c r="E6" s="46" t="s">
        <v>50</v>
      </c>
      <c r="F6" s="46" t="s">
        <v>51</v>
      </c>
      <c r="G6" s="46" t="s">
        <v>52</v>
      </c>
      <c r="H6" s="47" t="s">
        <v>53</v>
      </c>
      <c r="I6" s="47" t="s">
        <v>54</v>
      </c>
      <c r="J6" s="48" t="s">
        <v>55</v>
      </c>
      <c r="K6" s="28"/>
      <c r="L6" s="20" t="s">
        <v>38</v>
      </c>
      <c r="M6" s="14"/>
      <c r="N6" s="15"/>
    </row>
    <row r="7" spans="1:17" s="13" customFormat="1" ht="25" customHeight="1">
      <c r="A7" s="11"/>
      <c r="B7" s="24"/>
      <c r="C7" s="49">
        <v>100</v>
      </c>
      <c r="D7" s="50">
        <f>ROUND(20*(C7-$H$3)/$H$4+100,0)</f>
        <v>149</v>
      </c>
      <c r="E7" s="50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1">
        <f>ROUND(100*(1-(0+I7)/2/$J$3),2)</f>
        <v>99.94</v>
      </c>
      <c r="G7" s="52">
        <f>_xlfn.IFNA(VLOOKUP(D7,'인원 입력 기능'!$A$5:$D$103,4,FALSE),0)</f>
        <v>384</v>
      </c>
      <c r="H7" s="53">
        <f>G7/$J$3</f>
        <v>1.1918877142449206E-3</v>
      </c>
      <c r="I7" s="54">
        <f>G7</f>
        <v>384</v>
      </c>
      <c r="J7" s="55">
        <f>I7/$J$3</f>
        <v>1.1918877142449206E-3</v>
      </c>
      <c r="K7" s="29"/>
      <c r="L7" s="17" t="str">
        <f>IF(ABS((C7-$H$3)/$H$4*20+100-D7)&gt;0.49, "경고", "")</f>
        <v/>
      </c>
      <c r="N7" s="16"/>
      <c r="P7" s="16">
        <v>1</v>
      </c>
      <c r="Q7" s="16">
        <f>'표점등급&amp;절평인원 입력기능'!C4</f>
        <v>136</v>
      </c>
    </row>
    <row r="8" spans="1:17" s="13" customFormat="1" ht="25" customHeight="1">
      <c r="A8" s="11"/>
      <c r="B8" s="24"/>
      <c r="C8" s="56">
        <v>99</v>
      </c>
      <c r="D8" s="57" t="s">
        <v>37</v>
      </c>
      <c r="E8" s="57"/>
      <c r="F8" s="58"/>
      <c r="G8" s="59"/>
      <c r="H8" s="60"/>
      <c r="I8" s="61"/>
      <c r="J8" s="62"/>
      <c r="K8" s="30"/>
      <c r="L8" s="14"/>
      <c r="N8" s="16"/>
      <c r="P8" s="16">
        <v>2</v>
      </c>
      <c r="Q8" s="16">
        <f>'표점등급&amp;절평인원 입력기능'!C5</f>
        <v>127</v>
      </c>
    </row>
    <row r="9" spans="1:17" s="13" customFormat="1" ht="25" customHeight="1">
      <c r="A9" s="11"/>
      <c r="B9" s="24"/>
      <c r="C9" s="56">
        <v>98</v>
      </c>
      <c r="D9" s="50">
        <f>ROUND(20*(C9-$H$3)/$H$4+100,0)</f>
        <v>147</v>
      </c>
      <c r="E9" s="50">
        <f t="shared" si="0"/>
        <v>1</v>
      </c>
      <c r="F9" s="51">
        <f>IF(I8=0,ROUND(100*(1-(I7+I9)/2/$J$3),2),ROUND(100*(1-(I8+I9)/2/$J$3),2))</f>
        <v>99.77</v>
      </c>
      <c r="G9" s="52">
        <f>_xlfn.IFNA(VLOOKUP(D9,'인원 입력 기능'!$A$5:$D$103,4,FALSE),0)</f>
        <v>702</v>
      </c>
      <c r="H9" s="53">
        <f>G9/$J$3</f>
        <v>2.1789197276039954E-3</v>
      </c>
      <c r="I9" s="63">
        <f>SUM($G$7:G9)</f>
        <v>1086</v>
      </c>
      <c r="J9" s="55">
        <f>I9/$J$3</f>
        <v>3.3708074418489159E-3</v>
      </c>
      <c r="K9" s="29"/>
      <c r="L9" s="17" t="str">
        <f t="shared" ref="L9:L40" si="1">IF(ABS((C9-$H$3)/$H$4*20+100-D9)&gt;0.49, "경고", "")</f>
        <v/>
      </c>
      <c r="N9" s="16"/>
      <c r="P9" s="16">
        <v>3</v>
      </c>
      <c r="Q9" s="16">
        <f>'표점등급&amp;절평인원 입력기능'!C6</f>
        <v>116</v>
      </c>
    </row>
    <row r="10" spans="1:17" s="13" customFormat="1" ht="25" customHeight="1">
      <c r="A10" s="11"/>
      <c r="B10" s="24"/>
      <c r="C10" s="56">
        <v>97</v>
      </c>
      <c r="D10" s="50">
        <f t="shared" ref="D10:D73" si="2">ROUND(20*(C10-$H$3)/$H$4+100,0)</f>
        <v>146</v>
      </c>
      <c r="E10" s="50">
        <f t="shared" si="0"/>
        <v>1</v>
      </c>
      <c r="F10" s="51">
        <f t="shared" ref="F10:F73" si="3">IF(I9=0,ROUND(100*(1-(I8+I10)/2/$J$3),2),ROUND(100*(1-(I9+I10)/2/$J$3),2))</f>
        <v>99.61</v>
      </c>
      <c r="G10" s="52">
        <f>IF(D10=D9,"",_xlfn.IFNA(VLOOKUP(D10,'인원 입력 기능'!$A$5:$D$103,4,FALSE),0))</f>
        <v>311</v>
      </c>
      <c r="H10" s="53">
        <f t="shared" ref="H10:H73" si="4">G10/$J$3</f>
        <v>9.6530489356815182E-4</v>
      </c>
      <c r="I10" s="63">
        <f>SUM($G$7:G10)</f>
        <v>1397</v>
      </c>
      <c r="J10" s="55">
        <f t="shared" ref="J10:J73" si="5">I10/$J$3</f>
        <v>4.3361123354170679E-3</v>
      </c>
      <c r="K10" s="29"/>
      <c r="L10" s="17" t="str">
        <f t="shared" si="1"/>
        <v/>
      </c>
      <c r="N10" s="16"/>
      <c r="P10" s="16">
        <v>4</v>
      </c>
      <c r="Q10" s="16">
        <f>'표점등급&amp;절평인원 입력기능'!C7</f>
        <v>105</v>
      </c>
    </row>
    <row r="11" spans="1:17" s="13" customFormat="1" ht="25" customHeight="1">
      <c r="A11" s="11"/>
      <c r="B11" s="24"/>
      <c r="C11" s="56">
        <v>96</v>
      </c>
      <c r="D11" s="50">
        <f t="shared" si="2"/>
        <v>145</v>
      </c>
      <c r="E11" s="50">
        <f t="shared" si="0"/>
        <v>1</v>
      </c>
      <c r="F11" s="51">
        <f t="shared" si="3"/>
        <v>99.45</v>
      </c>
      <c r="G11" s="52">
        <f>IF(D11=D10,"",_xlfn.IFNA(VLOOKUP(D11,'인원 입력 기능'!$A$5:$D$103,4,FALSE),0))</f>
        <v>730</v>
      </c>
      <c r="H11" s="53">
        <f t="shared" si="4"/>
        <v>2.2658282067676873E-3</v>
      </c>
      <c r="I11" s="63">
        <f>SUM($G$7:G11)</f>
        <v>2127</v>
      </c>
      <c r="J11" s="55">
        <f t="shared" si="5"/>
        <v>6.6019405421847551E-3</v>
      </c>
      <c r="K11" s="29"/>
      <c r="L11" s="17" t="str">
        <f t="shared" si="1"/>
        <v/>
      </c>
      <c r="N11" s="16"/>
      <c r="P11" s="16">
        <v>5</v>
      </c>
      <c r="Q11" s="16">
        <f>'표점등급&amp;절평인원 입력기능'!C8</f>
        <v>94</v>
      </c>
    </row>
    <row r="12" spans="1:17" s="13" customFormat="1" ht="25" customHeight="1">
      <c r="A12" s="11"/>
      <c r="B12" s="24"/>
      <c r="C12" s="56">
        <v>95</v>
      </c>
      <c r="D12" s="50">
        <f t="shared" si="2"/>
        <v>144</v>
      </c>
      <c r="E12" s="50">
        <f t="shared" si="0"/>
        <v>1</v>
      </c>
      <c r="F12" s="51">
        <f t="shared" si="3"/>
        <v>99.21</v>
      </c>
      <c r="G12" s="52">
        <f>IF(D12=D11,"",_xlfn.IFNA(VLOOKUP(D12,'인원 입력 기능'!$A$5:$D$103,4,FALSE),0))</f>
        <v>822</v>
      </c>
      <c r="H12" s="53">
        <f t="shared" si="4"/>
        <v>2.5513846383055329E-3</v>
      </c>
      <c r="I12" s="63">
        <f>SUM($G$7:G12)</f>
        <v>2949</v>
      </c>
      <c r="J12" s="55">
        <f t="shared" si="5"/>
        <v>9.153325180490288E-3</v>
      </c>
      <c r="K12" s="29"/>
      <c r="L12" s="17" t="str">
        <f t="shared" si="1"/>
        <v/>
      </c>
      <c r="N12" s="16"/>
      <c r="P12" s="16">
        <v>6</v>
      </c>
      <c r="Q12" s="16">
        <f>'표점등급&amp;절평인원 입력기능'!C9</f>
        <v>84</v>
      </c>
    </row>
    <row r="13" spans="1:17" s="13" customFormat="1" ht="25" customHeight="1">
      <c r="A13" s="11"/>
      <c r="B13" s="24"/>
      <c r="C13" s="56">
        <v>94</v>
      </c>
      <c r="D13" s="50">
        <f t="shared" si="2"/>
        <v>143</v>
      </c>
      <c r="E13" s="50">
        <f t="shared" si="0"/>
        <v>1</v>
      </c>
      <c r="F13" s="51">
        <f t="shared" si="3"/>
        <v>98.96</v>
      </c>
      <c r="G13" s="52">
        <f>IF(D13=D12,"",_xlfn.IFNA(VLOOKUP(D13,'인원 입력 기능'!$A$5:$D$103,4,FALSE),0))</f>
        <v>795</v>
      </c>
      <c r="H13" s="53">
        <f t="shared" si="4"/>
        <v>2.467580033397687E-3</v>
      </c>
      <c r="I13" s="63">
        <f>SUM($G$7:G13)</f>
        <v>3744</v>
      </c>
      <c r="J13" s="55">
        <f t="shared" si="5"/>
        <v>1.1620905213887974E-2</v>
      </c>
      <c r="K13" s="29"/>
      <c r="L13" s="17" t="str">
        <f t="shared" si="1"/>
        <v/>
      </c>
      <c r="N13" s="16"/>
      <c r="P13" s="16">
        <v>7</v>
      </c>
      <c r="Q13" s="16">
        <f>'표점등급&amp;절평인원 입력기능'!C10</f>
        <v>74</v>
      </c>
    </row>
    <row r="14" spans="1:17" s="13" customFormat="1" ht="25" customHeight="1">
      <c r="A14" s="11"/>
      <c r="B14" s="24"/>
      <c r="C14" s="56">
        <v>93</v>
      </c>
      <c r="D14" s="50">
        <f t="shared" si="2"/>
        <v>142</v>
      </c>
      <c r="E14" s="50">
        <f t="shared" si="0"/>
        <v>1</v>
      </c>
      <c r="F14" s="51">
        <f t="shared" si="3"/>
        <v>98.65</v>
      </c>
      <c r="G14" s="52">
        <f>IF(D14=D13,"",_xlfn.IFNA(VLOOKUP(D14,'인원 입력 기능'!$A$5:$D$103,4,FALSE),0))</f>
        <v>1199</v>
      </c>
      <c r="H14" s="53">
        <f t="shared" si="4"/>
        <v>3.7215452327595305E-3</v>
      </c>
      <c r="I14" s="63">
        <f>SUM($G$7:G14)</f>
        <v>4943</v>
      </c>
      <c r="J14" s="55">
        <f t="shared" si="5"/>
        <v>1.5342450446647506E-2</v>
      </c>
      <c r="K14" s="29"/>
      <c r="L14" s="17" t="str">
        <f t="shared" si="1"/>
        <v/>
      </c>
      <c r="N14" s="16"/>
      <c r="P14" s="16">
        <v>8</v>
      </c>
      <c r="Q14" s="16">
        <f>'표점등급&amp;절평인원 입력기능'!C11</f>
        <v>68</v>
      </c>
    </row>
    <row r="15" spans="1:17" s="13" customFormat="1" ht="25" customHeight="1">
      <c r="A15" s="11"/>
      <c r="B15" s="24"/>
      <c r="C15" s="56">
        <v>92</v>
      </c>
      <c r="D15" s="50">
        <f t="shared" si="2"/>
        <v>141</v>
      </c>
      <c r="E15" s="50">
        <f t="shared" si="0"/>
        <v>1</v>
      </c>
      <c r="F15" s="51">
        <f t="shared" si="3"/>
        <v>98.3</v>
      </c>
      <c r="G15" s="52">
        <f>IF(D15=D14,"",_xlfn.IFNA(VLOOKUP(D15,'인원 입력 기능'!$A$5:$D$103,4,FALSE),0))</f>
        <v>1040</v>
      </c>
      <c r="H15" s="53">
        <f t="shared" si="4"/>
        <v>3.2280292260799931E-3</v>
      </c>
      <c r="I15" s="63">
        <f>SUM($G$7:G15)</f>
        <v>5983</v>
      </c>
      <c r="J15" s="55">
        <f t="shared" si="5"/>
        <v>1.85704796727275E-2</v>
      </c>
      <c r="K15" s="29"/>
      <c r="L15" s="17" t="str">
        <f t="shared" si="1"/>
        <v/>
      </c>
      <c r="N15" s="16"/>
      <c r="P15" s="16">
        <v>9</v>
      </c>
      <c r="Q15" s="16"/>
    </row>
    <row r="16" spans="1:17" s="13" customFormat="1" ht="25" customHeight="1">
      <c r="A16" s="11"/>
      <c r="B16" s="24"/>
      <c r="C16" s="64">
        <v>91</v>
      </c>
      <c r="D16" s="50">
        <f t="shared" si="2"/>
        <v>140</v>
      </c>
      <c r="E16" s="65">
        <f t="shared" si="0"/>
        <v>1</v>
      </c>
      <c r="F16" s="51">
        <f t="shared" si="3"/>
        <v>97.93</v>
      </c>
      <c r="G16" s="52">
        <f>IF(D16=D15,"",_xlfn.IFNA(VLOOKUP(D16,'인원 입력 기능'!$A$5:$D$103,4,FALSE),0))</f>
        <v>1375</v>
      </c>
      <c r="H16" s="53">
        <f t="shared" si="4"/>
        <v>4.2678271017884527E-3</v>
      </c>
      <c r="I16" s="66">
        <f>SUM($G$7:G16)</f>
        <v>7358</v>
      </c>
      <c r="J16" s="55">
        <f t="shared" si="5"/>
        <v>2.2838306774515951E-2</v>
      </c>
      <c r="K16" s="29"/>
      <c r="L16" s="17" t="str">
        <f t="shared" si="1"/>
        <v/>
      </c>
      <c r="N16" s="16"/>
    </row>
    <row r="17" spans="1:17" s="13" customFormat="1" ht="25" customHeight="1">
      <c r="A17" s="11"/>
      <c r="B17" s="24"/>
      <c r="C17" s="64">
        <v>90</v>
      </c>
      <c r="D17" s="50">
        <f t="shared" si="2"/>
        <v>139</v>
      </c>
      <c r="E17" s="65">
        <f t="shared" si="0"/>
        <v>1</v>
      </c>
      <c r="F17" s="51">
        <f t="shared" si="3"/>
        <v>97.51</v>
      </c>
      <c r="G17" s="52">
        <f>IF(D17=D16,"",_xlfn.IFNA(VLOOKUP(D17,'인원 입력 기능'!$A$5:$D$103,4,FALSE),0))</f>
        <v>1337</v>
      </c>
      <c r="H17" s="53">
        <f t="shared" si="4"/>
        <v>4.1498798800662989E-3</v>
      </c>
      <c r="I17" s="66">
        <f>SUM($G$7:G17)</f>
        <v>8695</v>
      </c>
      <c r="J17" s="55">
        <f t="shared" si="5"/>
        <v>2.698818665458225E-2</v>
      </c>
      <c r="K17" s="29"/>
      <c r="L17" s="17" t="str">
        <f t="shared" si="1"/>
        <v/>
      </c>
      <c r="N17" s="16"/>
      <c r="Q17" s="13">
        <f>IF(H3*H4*J3*Q7=0, 0, 1)</f>
        <v>1</v>
      </c>
    </row>
    <row r="18" spans="1:17" s="13" customFormat="1" ht="25" customHeight="1">
      <c r="A18" s="11"/>
      <c r="B18" s="24"/>
      <c r="C18" s="64">
        <v>89</v>
      </c>
      <c r="D18" s="50">
        <f t="shared" si="2"/>
        <v>138</v>
      </c>
      <c r="E18" s="65">
        <f t="shared" si="0"/>
        <v>1</v>
      </c>
      <c r="F18" s="51">
        <f t="shared" si="3"/>
        <v>97.09</v>
      </c>
      <c r="G18" s="52">
        <f>IF(D18=D17,"",_xlfn.IFNA(VLOOKUP(D18,'인원 입력 기능'!$A$5:$D$103,4,FALSE),0))</f>
        <v>1388</v>
      </c>
      <c r="H18" s="53">
        <f t="shared" si="4"/>
        <v>4.308177467114452E-3</v>
      </c>
      <c r="I18" s="66">
        <f>SUM($G$7:G18)</f>
        <v>10083</v>
      </c>
      <c r="J18" s="55">
        <f t="shared" si="5"/>
        <v>3.1296364121696701E-2</v>
      </c>
      <c r="K18" s="29"/>
      <c r="L18" s="17" t="str">
        <f t="shared" si="1"/>
        <v/>
      </c>
      <c r="N18" s="16"/>
    </row>
    <row r="19" spans="1:17" s="13" customFormat="1" ht="25" customHeight="1">
      <c r="A19" s="11"/>
      <c r="B19" s="24"/>
      <c r="C19" s="64">
        <v>88</v>
      </c>
      <c r="D19" s="50">
        <f t="shared" si="2"/>
        <v>137</v>
      </c>
      <c r="E19" s="65">
        <f t="shared" si="0"/>
        <v>1</v>
      </c>
      <c r="F19" s="51">
        <f t="shared" si="3"/>
        <v>96.61</v>
      </c>
      <c r="G19" s="52">
        <f>IF(D19=D18,"",_xlfn.IFNA(VLOOKUP(D19,'인원 입력 기능'!$A$5:$D$103,4,FALSE),0))</f>
        <v>1669</v>
      </c>
      <c r="H19" s="53">
        <f t="shared" si="4"/>
        <v>5.1803661330072194E-3</v>
      </c>
      <c r="I19" s="66">
        <f>SUM($G$7:G19)</f>
        <v>11752</v>
      </c>
      <c r="J19" s="55">
        <f t="shared" si="5"/>
        <v>3.6476730254703923E-2</v>
      </c>
      <c r="K19" s="29"/>
      <c r="L19" s="17" t="str">
        <f t="shared" si="1"/>
        <v/>
      </c>
      <c r="N19" s="101"/>
    </row>
    <row r="20" spans="1:17" s="13" customFormat="1" ht="25" customHeight="1">
      <c r="A20" s="11"/>
      <c r="B20" s="24"/>
      <c r="C20" s="64">
        <v>87</v>
      </c>
      <c r="D20" s="50">
        <f t="shared" si="2"/>
        <v>136</v>
      </c>
      <c r="E20" s="65">
        <f t="shared" si="0"/>
        <v>1</v>
      </c>
      <c r="F20" s="51">
        <f t="shared" si="3"/>
        <v>96.1</v>
      </c>
      <c r="G20" s="52">
        <f>IF(D20=D19,"",_xlfn.IFNA(VLOOKUP(D20,'인원 입력 기능'!$A$5:$D$103,4,FALSE),0))</f>
        <v>1657</v>
      </c>
      <c r="H20" s="53">
        <f t="shared" si="4"/>
        <v>5.1431196419370658E-3</v>
      </c>
      <c r="I20" s="66">
        <f>SUM($G$7:G20)</f>
        <v>13409</v>
      </c>
      <c r="J20" s="55">
        <f t="shared" si="5"/>
        <v>4.1619849896640984E-2</v>
      </c>
      <c r="K20" s="29"/>
      <c r="L20" s="17" t="str">
        <f t="shared" si="1"/>
        <v/>
      </c>
      <c r="N20" s="101"/>
    </row>
    <row r="21" spans="1:17" s="13" customFormat="1" ht="25" customHeight="1">
      <c r="A21" s="11"/>
      <c r="B21" s="24"/>
      <c r="C21" s="64">
        <v>86</v>
      </c>
      <c r="D21" s="50">
        <f t="shared" si="2"/>
        <v>135</v>
      </c>
      <c r="E21" s="65">
        <f t="shared" si="0"/>
        <v>2</v>
      </c>
      <c r="F21" s="51">
        <f t="shared" si="3"/>
        <v>95.53</v>
      </c>
      <c r="G21" s="52">
        <f>IF(D21=D20,"",_xlfn.IFNA(VLOOKUP(D21,'인원 입력 기능'!$A$5:$D$103,4,FALSE),0))</f>
        <v>1964</v>
      </c>
      <c r="H21" s="53">
        <f t="shared" si="4"/>
        <v>6.0960090384818326E-3</v>
      </c>
      <c r="I21" s="66">
        <f>SUM($G$7:G21)</f>
        <v>15373</v>
      </c>
      <c r="J21" s="55">
        <f t="shared" si="5"/>
        <v>4.7715858935122819E-2</v>
      </c>
      <c r="K21" s="29"/>
      <c r="L21" s="17" t="str">
        <f t="shared" si="1"/>
        <v/>
      </c>
      <c r="N21" s="16"/>
    </row>
    <row r="22" spans="1:17" s="13" customFormat="1" ht="25" customHeight="1">
      <c r="A22" s="11"/>
      <c r="B22" s="24"/>
      <c r="C22" s="64">
        <v>85</v>
      </c>
      <c r="D22" s="50">
        <f t="shared" si="2"/>
        <v>134</v>
      </c>
      <c r="E22" s="65">
        <f t="shared" si="0"/>
        <v>2</v>
      </c>
      <c r="F22" s="51">
        <f t="shared" si="3"/>
        <v>94.93</v>
      </c>
      <c r="G22" s="52">
        <f>IF(D22=D21,"",_xlfn.IFNA(VLOOKUP(D22,'인원 입력 기능'!$A$5:$D$103,4,FALSE),0))</f>
        <v>1899</v>
      </c>
      <c r="H22" s="53">
        <f t="shared" si="4"/>
        <v>5.8942572118518338E-3</v>
      </c>
      <c r="I22" s="66">
        <f>SUM($G$7:G22)</f>
        <v>17272</v>
      </c>
      <c r="J22" s="55">
        <f t="shared" si="5"/>
        <v>5.3610116146974654E-2</v>
      </c>
      <c r="K22" s="29"/>
      <c r="L22" s="17" t="str">
        <f t="shared" si="1"/>
        <v/>
      </c>
      <c r="N22" s="16"/>
    </row>
    <row r="23" spans="1:17" s="13" customFormat="1" ht="25" customHeight="1">
      <c r="A23" s="11"/>
      <c r="B23" s="24"/>
      <c r="C23" s="64">
        <v>84</v>
      </c>
      <c r="D23" s="50">
        <f t="shared" si="2"/>
        <v>133</v>
      </c>
      <c r="E23" s="65">
        <f t="shared" si="0"/>
        <v>2</v>
      </c>
      <c r="F23" s="51">
        <f t="shared" si="3"/>
        <v>94.3</v>
      </c>
      <c r="G23" s="52">
        <f>IF(D23=D22,"",_xlfn.IFNA(VLOOKUP(D23,'인원 입력 기능'!$A$5:$D$103,4,FALSE),0))</f>
        <v>2177</v>
      </c>
      <c r="H23" s="53">
        <f t="shared" si="4"/>
        <v>6.7571342549770626E-3</v>
      </c>
      <c r="I23" s="66">
        <f>SUM($G$7:G23)</f>
        <v>19449</v>
      </c>
      <c r="J23" s="55">
        <f t="shared" si="5"/>
        <v>6.0367250401951719E-2</v>
      </c>
      <c r="K23" s="29"/>
      <c r="L23" s="17" t="str">
        <f t="shared" si="1"/>
        <v/>
      </c>
      <c r="N23" s="16"/>
    </row>
    <row r="24" spans="1:17" s="13" customFormat="1" ht="25" customHeight="1">
      <c r="A24" s="11"/>
      <c r="B24" s="24"/>
      <c r="C24" s="64">
        <v>83</v>
      </c>
      <c r="D24" s="50">
        <f t="shared" si="2"/>
        <v>132</v>
      </c>
      <c r="E24" s="65">
        <f t="shared" si="0"/>
        <v>2</v>
      </c>
      <c r="F24" s="51">
        <f t="shared" si="3"/>
        <v>93.61</v>
      </c>
      <c r="G24" s="52">
        <f>IF(D24=D23,"",_xlfn.IFNA(VLOOKUP(D24,'인원 입력 기능'!$A$5:$D$103,4,FALSE),0))</f>
        <v>2257</v>
      </c>
      <c r="H24" s="53">
        <f t="shared" si="4"/>
        <v>7.0054441954447546E-3</v>
      </c>
      <c r="I24" s="66">
        <f>SUM($G$7:G24)</f>
        <v>21706</v>
      </c>
      <c r="J24" s="55">
        <f t="shared" si="5"/>
        <v>6.7372694597396476E-2</v>
      </c>
      <c r="K24" s="29"/>
      <c r="L24" s="17" t="str">
        <f t="shared" si="1"/>
        <v/>
      </c>
      <c r="N24" s="16"/>
    </row>
    <row r="25" spans="1:17" s="13" customFormat="1" ht="25" customHeight="1">
      <c r="A25" s="11"/>
      <c r="B25" s="24"/>
      <c r="C25" s="64">
        <v>82</v>
      </c>
      <c r="D25" s="50">
        <f t="shared" si="2"/>
        <v>131</v>
      </c>
      <c r="E25" s="65">
        <f t="shared" si="0"/>
        <v>2</v>
      </c>
      <c r="F25" s="51">
        <f t="shared" si="3"/>
        <v>92.88</v>
      </c>
      <c r="G25" s="52">
        <f>IF(D25=D24,"",_xlfn.IFNA(VLOOKUP(D25,'인원 입력 기능'!$A$5:$D$103,4,FALSE),0))</f>
        <v>2455</v>
      </c>
      <c r="H25" s="53">
        <f t="shared" si="4"/>
        <v>7.6200112981022914E-3</v>
      </c>
      <c r="I25" s="66">
        <f>SUM($G$7:G25)</f>
        <v>24161</v>
      </c>
      <c r="J25" s="55">
        <f t="shared" si="5"/>
        <v>7.4992705895498765E-2</v>
      </c>
      <c r="K25" s="29"/>
      <c r="L25" s="17" t="str">
        <f t="shared" si="1"/>
        <v/>
      </c>
      <c r="N25" s="16"/>
    </row>
    <row r="26" spans="1:17" s="13" customFormat="1" ht="25" customHeight="1">
      <c r="A26" s="11"/>
      <c r="B26" s="24"/>
      <c r="C26" s="64">
        <v>81</v>
      </c>
      <c r="D26" s="50">
        <f t="shared" si="2"/>
        <v>130</v>
      </c>
      <c r="E26" s="65">
        <f t="shared" si="0"/>
        <v>2</v>
      </c>
      <c r="F26" s="51">
        <f t="shared" si="3"/>
        <v>92.08</v>
      </c>
      <c r="G26" s="52">
        <f>IF(D26=D25,"",_xlfn.IFNA(VLOOKUP(D26,'인원 입력 기능'!$A$5:$D$103,4,FALSE),0))</f>
        <v>2701</v>
      </c>
      <c r="H26" s="53">
        <f t="shared" si="4"/>
        <v>8.3835643650404437E-3</v>
      </c>
      <c r="I26" s="66">
        <f>SUM($G$7:G26)</f>
        <v>26862</v>
      </c>
      <c r="J26" s="55">
        <f t="shared" si="5"/>
        <v>8.3376270260539204E-2</v>
      </c>
      <c r="K26" s="29"/>
      <c r="L26" s="17" t="str">
        <f t="shared" si="1"/>
        <v/>
      </c>
      <c r="N26" s="16"/>
    </row>
    <row r="27" spans="1:17" s="13" customFormat="1" ht="25" customHeight="1">
      <c r="A27" s="11"/>
      <c r="B27" s="24"/>
      <c r="C27" s="64">
        <v>80</v>
      </c>
      <c r="D27" s="50">
        <f t="shared" si="2"/>
        <v>129</v>
      </c>
      <c r="E27" s="65">
        <f t="shared" si="0"/>
        <v>2</v>
      </c>
      <c r="F27" s="51">
        <f t="shared" si="3"/>
        <v>91.24</v>
      </c>
      <c r="G27" s="52">
        <f>IF(D27=D26,"",_xlfn.IFNA(VLOOKUP(D27,'인원 입력 기능'!$A$5:$D$103,4,FALSE),0))</f>
        <v>2718</v>
      </c>
      <c r="H27" s="53">
        <f t="shared" si="4"/>
        <v>8.436330227389828E-3</v>
      </c>
      <c r="I27" s="66">
        <f>SUM($G$7:G27)</f>
        <v>29580</v>
      </c>
      <c r="J27" s="55">
        <f t="shared" si="5"/>
        <v>9.1812600487929039E-2</v>
      </c>
      <c r="K27" s="29"/>
      <c r="L27" s="17" t="str">
        <f t="shared" si="1"/>
        <v/>
      </c>
      <c r="N27" s="16"/>
    </row>
    <row r="28" spans="1:17" s="13" customFormat="1" ht="25" customHeight="1">
      <c r="A28" s="11"/>
      <c r="B28" s="24"/>
      <c r="C28" s="64">
        <v>79</v>
      </c>
      <c r="D28" s="50">
        <f t="shared" si="2"/>
        <v>128</v>
      </c>
      <c r="E28" s="65">
        <f t="shared" si="0"/>
        <v>2</v>
      </c>
      <c r="F28" s="51">
        <f t="shared" si="3"/>
        <v>90.37</v>
      </c>
      <c r="G28" s="52">
        <f>IF(D28=D27,"",_xlfn.IFNA(VLOOKUP(D28,'인원 입력 기능'!$A$5:$D$103,4,FALSE),0))</f>
        <v>2923</v>
      </c>
      <c r="H28" s="53">
        <f t="shared" si="4"/>
        <v>9.0726244498382878E-3</v>
      </c>
      <c r="I28" s="66">
        <f>SUM($G$7:G28)</f>
        <v>32503</v>
      </c>
      <c r="J28" s="55">
        <f t="shared" si="5"/>
        <v>0.10088522493776732</v>
      </c>
      <c r="K28" s="29"/>
      <c r="L28" s="17" t="str">
        <f t="shared" si="1"/>
        <v/>
      </c>
      <c r="N28" s="16"/>
    </row>
    <row r="29" spans="1:17" s="13" customFormat="1" ht="25" customHeight="1">
      <c r="A29" s="11"/>
      <c r="B29" s="24"/>
      <c r="C29" s="64">
        <v>78</v>
      </c>
      <c r="D29" s="50">
        <f t="shared" si="2"/>
        <v>127</v>
      </c>
      <c r="E29" s="65">
        <f t="shared" si="0"/>
        <v>2</v>
      </c>
      <c r="F29" s="51">
        <f t="shared" si="3"/>
        <v>89.44</v>
      </c>
      <c r="G29" s="52">
        <f>IF(D29=D28,"",_xlfn.IFNA(VLOOKUP(D29,'인원 입력 기능'!$A$5:$D$103,4,FALSE),0))</f>
        <v>3049</v>
      </c>
      <c r="H29" s="53">
        <f t="shared" si="4"/>
        <v>9.4637126060749029E-3</v>
      </c>
      <c r="I29" s="66">
        <f>SUM($G$7:G29)</f>
        <v>35552</v>
      </c>
      <c r="J29" s="55">
        <f t="shared" si="5"/>
        <v>0.11034893754384223</v>
      </c>
      <c r="K29" s="29"/>
      <c r="L29" s="17" t="str">
        <f t="shared" si="1"/>
        <v/>
      </c>
      <c r="N29" s="16"/>
    </row>
    <row r="30" spans="1:17" s="13" customFormat="1" ht="25" customHeight="1">
      <c r="A30" s="11"/>
      <c r="B30" s="24"/>
      <c r="C30" s="64">
        <v>77</v>
      </c>
      <c r="D30" s="50">
        <f t="shared" si="2"/>
        <v>126</v>
      </c>
      <c r="E30" s="65">
        <f t="shared" si="0"/>
        <v>3</v>
      </c>
      <c r="F30" s="51">
        <f t="shared" si="3"/>
        <v>88.45</v>
      </c>
      <c r="G30" s="52">
        <f>IF(D30=D29,"",_xlfn.IFNA(VLOOKUP(D30,'인원 입력 기능'!$A$5:$D$103,4,FALSE),0))</f>
        <v>3309</v>
      </c>
      <c r="H30" s="53">
        <f t="shared" si="4"/>
        <v>1.0270719912594902E-2</v>
      </c>
      <c r="I30" s="66">
        <f>SUM($G$7:G30)</f>
        <v>38861</v>
      </c>
      <c r="J30" s="55">
        <f t="shared" si="5"/>
        <v>0.12061965745643713</v>
      </c>
      <c r="K30" s="29"/>
      <c r="L30" s="17" t="str">
        <f t="shared" si="1"/>
        <v/>
      </c>
      <c r="N30" s="16"/>
    </row>
    <row r="31" spans="1:17" s="13" customFormat="1" ht="25" customHeight="1">
      <c r="A31" s="11"/>
      <c r="B31" s="24"/>
      <c r="C31" s="64">
        <v>76</v>
      </c>
      <c r="D31" s="50">
        <f t="shared" si="2"/>
        <v>125</v>
      </c>
      <c r="E31" s="65">
        <f t="shared" si="0"/>
        <v>3</v>
      </c>
      <c r="F31" s="51">
        <f t="shared" si="3"/>
        <v>87.42</v>
      </c>
      <c r="G31" s="52">
        <f>IF(D31=D30,"",_xlfn.IFNA(VLOOKUP(D31,'인원 입력 기능'!$A$5:$D$103,4,FALSE),0))</f>
        <v>3321</v>
      </c>
      <c r="H31" s="53">
        <f t="shared" si="4"/>
        <v>1.0307966403665055E-2</v>
      </c>
      <c r="I31" s="66">
        <f>SUM($G$7:G31)</f>
        <v>42182</v>
      </c>
      <c r="J31" s="55">
        <f t="shared" si="5"/>
        <v>0.13092762386010218</v>
      </c>
      <c r="K31" s="29"/>
      <c r="L31" s="17" t="str">
        <f t="shared" si="1"/>
        <v/>
      </c>
      <c r="N31" s="16"/>
    </row>
    <row r="32" spans="1:17" s="13" customFormat="1" ht="25" customHeight="1">
      <c r="A32" s="11"/>
      <c r="B32" s="24"/>
      <c r="C32" s="64">
        <v>75</v>
      </c>
      <c r="D32" s="50">
        <f t="shared" si="2"/>
        <v>124</v>
      </c>
      <c r="E32" s="65">
        <f t="shared" si="0"/>
        <v>3</v>
      </c>
      <c r="F32" s="51">
        <f t="shared" si="3"/>
        <v>86.38</v>
      </c>
      <c r="G32" s="52">
        <f>IF(D32=D31,"",_xlfn.IFNA(VLOOKUP(D32,'인원 입력 기능'!$A$5:$D$103,4,FALSE),0))</f>
        <v>3385</v>
      </c>
      <c r="H32" s="53">
        <f t="shared" si="4"/>
        <v>1.0506614356039208E-2</v>
      </c>
      <c r="I32" s="66">
        <f>SUM($G$7:G32)</f>
        <v>45567</v>
      </c>
      <c r="J32" s="55">
        <f t="shared" si="5"/>
        <v>0.1414342382161414</v>
      </c>
      <c r="K32" s="29"/>
      <c r="L32" s="17" t="str">
        <f t="shared" si="1"/>
        <v/>
      </c>
      <c r="N32" s="16"/>
    </row>
    <row r="33" spans="1:14" s="13" customFormat="1" ht="25" customHeight="1">
      <c r="A33" s="11"/>
      <c r="B33" s="24"/>
      <c r="C33" s="64">
        <v>74</v>
      </c>
      <c r="D33" s="50">
        <f t="shared" si="2"/>
        <v>123</v>
      </c>
      <c r="E33" s="65">
        <f t="shared" si="0"/>
        <v>3</v>
      </c>
      <c r="F33" s="51">
        <f t="shared" si="3"/>
        <v>85.29</v>
      </c>
      <c r="G33" s="52">
        <f>IF(D33=D32,"",_xlfn.IFNA(VLOOKUP(D33,'인원 입력 기능'!$A$5:$D$103,4,FALSE),0))</f>
        <v>3653</v>
      </c>
      <c r="H33" s="53">
        <f t="shared" si="4"/>
        <v>1.1338452656605975E-2</v>
      </c>
      <c r="I33" s="66">
        <f>SUM($G$7:G33)</f>
        <v>49220</v>
      </c>
      <c r="J33" s="55">
        <f t="shared" si="5"/>
        <v>0.15277269087274736</v>
      </c>
      <c r="K33" s="29"/>
      <c r="L33" s="17" t="str">
        <f t="shared" si="1"/>
        <v/>
      </c>
      <c r="N33" s="16"/>
    </row>
    <row r="34" spans="1:14" s="13" customFormat="1" ht="25" customHeight="1">
      <c r="A34" s="11"/>
      <c r="B34" s="24"/>
      <c r="C34" s="64">
        <v>73</v>
      </c>
      <c r="D34" s="50">
        <f t="shared" si="2"/>
        <v>122</v>
      </c>
      <c r="E34" s="65">
        <f t="shared" si="0"/>
        <v>3</v>
      </c>
      <c r="F34" s="51">
        <f t="shared" si="3"/>
        <v>84.13</v>
      </c>
      <c r="G34" s="52">
        <f>IF(D34=D33,"",_xlfn.IFNA(VLOOKUP(D34,'인원 입력 기능'!$A$5:$D$103,4,FALSE),0))</f>
        <v>3793</v>
      </c>
      <c r="H34" s="53">
        <f t="shared" si="4"/>
        <v>1.1772995052424436E-2</v>
      </c>
      <c r="I34" s="66">
        <f>SUM($G$7:G34)</f>
        <v>53013</v>
      </c>
      <c r="J34" s="55">
        <f t="shared" si="5"/>
        <v>0.1645456859251718</v>
      </c>
      <c r="K34" s="29"/>
      <c r="L34" s="17" t="str">
        <f t="shared" si="1"/>
        <v/>
      </c>
      <c r="N34" s="16"/>
    </row>
    <row r="35" spans="1:14" s="13" customFormat="1" ht="25" customHeight="1">
      <c r="A35" s="11"/>
      <c r="B35" s="24"/>
      <c r="C35" s="64">
        <v>72</v>
      </c>
      <c r="D35" s="50">
        <f t="shared" si="2"/>
        <v>121</v>
      </c>
      <c r="E35" s="65">
        <f t="shared" si="0"/>
        <v>3</v>
      </c>
      <c r="F35" s="51">
        <f t="shared" si="3"/>
        <v>82.93</v>
      </c>
      <c r="G35" s="52">
        <f>IF(D35=D34,"",_xlfn.IFNA(VLOOKUP(D35,'인원 입력 기능'!$A$5:$D$103,4,FALSE),0))</f>
        <v>3943</v>
      </c>
      <c r="H35" s="53">
        <f t="shared" si="4"/>
        <v>1.2238576190801358E-2</v>
      </c>
      <c r="I35" s="66">
        <f>SUM($G$7:G35)</f>
        <v>56956</v>
      </c>
      <c r="J35" s="55">
        <f t="shared" si="5"/>
        <v>0.17678426211597315</v>
      </c>
      <c r="K35" s="29"/>
      <c r="L35" s="17" t="str">
        <f t="shared" si="1"/>
        <v>경고</v>
      </c>
      <c r="N35" s="16"/>
    </row>
    <row r="36" spans="1:14" s="13" customFormat="1" ht="25" customHeight="1">
      <c r="A36" s="11"/>
      <c r="B36" s="24"/>
      <c r="C36" s="64">
        <v>71</v>
      </c>
      <c r="D36" s="50">
        <f t="shared" si="2"/>
        <v>119</v>
      </c>
      <c r="E36" s="65">
        <f t="shared" si="0"/>
        <v>3</v>
      </c>
      <c r="F36" s="51">
        <f t="shared" si="3"/>
        <v>81.69</v>
      </c>
      <c r="G36" s="52">
        <f>IF(D36=D35,"",_xlfn.IFNA(VLOOKUP(D36,'인원 입력 기능'!$A$5:$D$103,4,FALSE),0))</f>
        <v>4098</v>
      </c>
      <c r="H36" s="53">
        <f t="shared" si="4"/>
        <v>1.2719676700457511E-2</v>
      </c>
      <c r="I36" s="66">
        <f>SUM($G$7:G36)</f>
        <v>61054</v>
      </c>
      <c r="J36" s="55">
        <f t="shared" si="5"/>
        <v>0.18950393881643066</v>
      </c>
      <c r="K36" s="29"/>
      <c r="L36" s="17" t="str">
        <f t="shared" si="1"/>
        <v/>
      </c>
      <c r="N36" s="16"/>
    </row>
    <row r="37" spans="1:14" s="13" customFormat="1" ht="25" customHeight="1">
      <c r="A37" s="11"/>
      <c r="B37" s="24"/>
      <c r="C37" s="64">
        <v>70</v>
      </c>
      <c r="D37" s="50">
        <f t="shared" si="2"/>
        <v>118</v>
      </c>
      <c r="E37" s="65">
        <f t="shared" si="0"/>
        <v>3</v>
      </c>
      <c r="F37" s="51">
        <f t="shared" si="3"/>
        <v>80.37</v>
      </c>
      <c r="G37" s="52">
        <f>IF(D37=D36,"",_xlfn.IFNA(VLOOKUP(D37,'인원 입력 기능'!$A$5:$D$103,4,FALSE),0))</f>
        <v>4369</v>
      </c>
      <c r="H37" s="53">
        <f t="shared" si="4"/>
        <v>1.3560826623791817E-2</v>
      </c>
      <c r="I37" s="66">
        <f>SUM($G$7:G37)</f>
        <v>65423</v>
      </c>
      <c r="J37" s="55">
        <f t="shared" si="5"/>
        <v>0.20306476544022248</v>
      </c>
      <c r="K37" s="29"/>
      <c r="L37" s="17" t="str">
        <f t="shared" si="1"/>
        <v/>
      </c>
      <c r="N37" s="16"/>
    </row>
    <row r="38" spans="1:14" s="13" customFormat="1" ht="25" customHeight="1">
      <c r="A38" s="11"/>
      <c r="B38" s="24"/>
      <c r="C38" s="64">
        <v>69</v>
      </c>
      <c r="D38" s="50">
        <f t="shared" si="2"/>
        <v>117</v>
      </c>
      <c r="E38" s="65">
        <f t="shared" si="0"/>
        <v>3</v>
      </c>
      <c r="F38" s="51">
        <f t="shared" si="3"/>
        <v>79</v>
      </c>
      <c r="G38" s="52">
        <f>IF(D38=D37,"",_xlfn.IFNA(VLOOKUP(D38,'인원 입력 기능'!$A$5:$D$103,4,FALSE),0))</f>
        <v>4448</v>
      </c>
      <c r="H38" s="53">
        <f t="shared" si="4"/>
        <v>1.3806032690003663E-2</v>
      </c>
      <c r="I38" s="66">
        <f>SUM($G$7:G38)</f>
        <v>69871</v>
      </c>
      <c r="J38" s="55">
        <f t="shared" si="5"/>
        <v>0.21687079813022614</v>
      </c>
      <c r="K38" s="29"/>
      <c r="L38" s="17" t="str">
        <f t="shared" si="1"/>
        <v/>
      </c>
      <c r="N38" s="16"/>
    </row>
    <row r="39" spans="1:14" s="13" customFormat="1" ht="25" customHeight="1">
      <c r="A39" s="11"/>
      <c r="B39" s="24"/>
      <c r="C39" s="64">
        <v>68</v>
      </c>
      <c r="D39" s="50">
        <f t="shared" si="2"/>
        <v>116</v>
      </c>
      <c r="E39" s="65">
        <f t="shared" ref="E39:E70" si="6">IF(ROUND(D39,0)&gt;=$Q$7,1,IF(ROUND(D39,0)&gt;=$Q$8,2,IF(ROUND(D39,0)&gt;=$Q$9,3,IF(ROUND(D39,0)&gt;=$Q$10,4,IF(ROUND(D39,0)&gt;=$Q$11,5,IF(ROUND(D39,0)&gt;=$Q$12,6,IF(ROUND(D39,0)&gt;=$Q$13,7,IF(ROUND(D39,0)&gt;=$Q$14,8,9))))))))</f>
        <v>3</v>
      </c>
      <c r="F39" s="51">
        <f t="shared" si="3"/>
        <v>77.61</v>
      </c>
      <c r="G39" s="52">
        <f>IF(D39=D38,"",_xlfn.IFNA(VLOOKUP(D39,'인원 입력 기능'!$A$5:$D$103,4,FALSE),0))</f>
        <v>4524</v>
      </c>
      <c r="H39" s="53">
        <f t="shared" si="4"/>
        <v>1.4041927133447971E-2</v>
      </c>
      <c r="I39" s="66">
        <f>SUM($G$7:G39)</f>
        <v>74395</v>
      </c>
      <c r="J39" s="55">
        <f t="shared" si="5"/>
        <v>0.23091272526367412</v>
      </c>
      <c r="K39" s="29"/>
      <c r="L39" s="17" t="str">
        <f t="shared" si="1"/>
        <v/>
      </c>
      <c r="N39" s="16"/>
    </row>
    <row r="40" spans="1:14" s="13" customFormat="1" ht="25" customHeight="1">
      <c r="A40" s="11"/>
      <c r="B40" s="24"/>
      <c r="C40" s="64">
        <v>67</v>
      </c>
      <c r="D40" s="50">
        <f t="shared" si="2"/>
        <v>115</v>
      </c>
      <c r="E40" s="65">
        <f t="shared" si="6"/>
        <v>4</v>
      </c>
      <c r="F40" s="51">
        <f t="shared" si="3"/>
        <v>76.180000000000007</v>
      </c>
      <c r="G40" s="52">
        <f>IF(D40=D39,"",_xlfn.IFNA(VLOOKUP(D40,'인원 입력 기능'!$A$5:$D$103,4,FALSE),0))</f>
        <v>4719</v>
      </c>
      <c r="H40" s="53">
        <f t="shared" si="4"/>
        <v>1.4647182613337969E-2</v>
      </c>
      <c r="I40" s="66">
        <f>SUM($G$7:G40)</f>
        <v>79114</v>
      </c>
      <c r="J40" s="55">
        <f t="shared" si="5"/>
        <v>0.2455599078770121</v>
      </c>
      <c r="K40" s="29"/>
      <c r="L40" s="17" t="str">
        <f t="shared" si="1"/>
        <v/>
      </c>
      <c r="N40" s="16"/>
    </row>
    <row r="41" spans="1:14" s="13" customFormat="1" ht="25" customHeight="1">
      <c r="A41" s="11"/>
      <c r="B41" s="24"/>
      <c r="C41" s="64">
        <v>66</v>
      </c>
      <c r="D41" s="50">
        <f t="shared" si="2"/>
        <v>114</v>
      </c>
      <c r="E41" s="65">
        <f t="shared" si="6"/>
        <v>4</v>
      </c>
      <c r="F41" s="51">
        <f t="shared" si="3"/>
        <v>74.7</v>
      </c>
      <c r="G41" s="52">
        <f>IF(D41=D40,"",_xlfn.IFNA(VLOOKUP(D41,'인원 입력 기능'!$A$5:$D$103,4,FALSE),0))</f>
        <v>4775</v>
      </c>
      <c r="H41" s="53">
        <f t="shared" si="4"/>
        <v>1.4820999571665352E-2</v>
      </c>
      <c r="I41" s="66">
        <f>SUM($G$7:G41)</f>
        <v>83889</v>
      </c>
      <c r="J41" s="55">
        <f t="shared" si="5"/>
        <v>0.26038090744867742</v>
      </c>
      <c r="K41" s="29"/>
      <c r="L41" s="17" t="str">
        <f t="shared" ref="L41:L72" si="7">IF(ABS((C41-$H$3)/$H$4*20+100-D41)&gt;0.49, "경고", "")</f>
        <v/>
      </c>
      <c r="N41" s="16"/>
    </row>
    <row r="42" spans="1:14" s="13" customFormat="1" ht="25" customHeight="1">
      <c r="A42" s="11"/>
      <c r="B42" s="24"/>
      <c r="C42" s="64">
        <v>65</v>
      </c>
      <c r="D42" s="50">
        <f t="shared" si="2"/>
        <v>113</v>
      </c>
      <c r="E42" s="65">
        <f t="shared" si="6"/>
        <v>4</v>
      </c>
      <c r="F42" s="51">
        <f t="shared" si="3"/>
        <v>73.180000000000007</v>
      </c>
      <c r="G42" s="52">
        <f>IF(D42=D41,"",_xlfn.IFNA(VLOOKUP(D42,'인원 입력 기능'!$A$5:$D$103,4,FALSE),0))</f>
        <v>5053</v>
      </c>
      <c r="H42" s="53">
        <f t="shared" si="4"/>
        <v>1.5683876614790582E-2</v>
      </c>
      <c r="I42" s="66">
        <f>SUM($G$7:G42)</f>
        <v>88942</v>
      </c>
      <c r="J42" s="55">
        <f t="shared" si="5"/>
        <v>0.27606478406346802</v>
      </c>
      <c r="K42" s="29"/>
      <c r="L42" s="17" t="str">
        <f t="shared" si="7"/>
        <v/>
      </c>
      <c r="N42" s="16"/>
    </row>
    <row r="43" spans="1:14" s="13" customFormat="1" ht="25" customHeight="1">
      <c r="A43" s="11"/>
      <c r="B43" s="24"/>
      <c r="C43" s="64">
        <v>64</v>
      </c>
      <c r="D43" s="50">
        <f t="shared" si="2"/>
        <v>112</v>
      </c>
      <c r="E43" s="65">
        <f t="shared" si="6"/>
        <v>4</v>
      </c>
      <c r="F43" s="51">
        <f t="shared" si="3"/>
        <v>71.599999999999994</v>
      </c>
      <c r="G43" s="52">
        <f>IF(D43=D42,"",_xlfn.IFNA(VLOOKUP(D43,'인원 입력 기능'!$A$5:$D$103,4,FALSE),0))</f>
        <v>5131</v>
      </c>
      <c r="H43" s="53">
        <f t="shared" si="4"/>
        <v>1.592597880674658E-2</v>
      </c>
      <c r="I43" s="66">
        <f>SUM($G$7:G43)</f>
        <v>94073</v>
      </c>
      <c r="J43" s="55">
        <f t="shared" si="5"/>
        <v>0.29199076287021458</v>
      </c>
      <c r="K43" s="29"/>
      <c r="L43" s="17" t="str">
        <f t="shared" si="7"/>
        <v/>
      </c>
      <c r="N43" s="16"/>
    </row>
    <row r="44" spans="1:14" s="13" customFormat="1" ht="25" customHeight="1">
      <c r="A44" s="11"/>
      <c r="B44" s="24"/>
      <c r="C44" s="64">
        <v>63</v>
      </c>
      <c r="D44" s="50">
        <f t="shared" si="2"/>
        <v>111</v>
      </c>
      <c r="E44" s="65">
        <f t="shared" si="6"/>
        <v>4</v>
      </c>
      <c r="F44" s="51">
        <f t="shared" si="3"/>
        <v>69.98</v>
      </c>
      <c r="G44" s="52">
        <f>IF(D44=D43,"",_xlfn.IFNA(VLOOKUP(D44,'인원 입력 기능'!$A$5:$D$103,4,FALSE),0))</f>
        <v>5286</v>
      </c>
      <c r="H44" s="53">
        <f t="shared" si="4"/>
        <v>1.6407079316402735E-2</v>
      </c>
      <c r="I44" s="66">
        <f>SUM($G$7:G44)</f>
        <v>99359</v>
      </c>
      <c r="J44" s="55">
        <f t="shared" si="5"/>
        <v>0.30839784218661731</v>
      </c>
      <c r="K44" s="29"/>
      <c r="L44" s="17" t="str">
        <f t="shared" si="7"/>
        <v/>
      </c>
      <c r="N44" s="16"/>
    </row>
    <row r="45" spans="1:14" s="13" customFormat="1" ht="25" customHeight="1">
      <c r="A45" s="11"/>
      <c r="B45" s="24"/>
      <c r="C45" s="64">
        <v>62</v>
      </c>
      <c r="D45" s="50">
        <f t="shared" si="2"/>
        <v>110</v>
      </c>
      <c r="E45" s="65">
        <f t="shared" si="6"/>
        <v>4</v>
      </c>
      <c r="F45" s="51">
        <f t="shared" si="3"/>
        <v>68.319999999999993</v>
      </c>
      <c r="G45" s="52">
        <f>IF(D45=D44,"",_xlfn.IFNA(VLOOKUP(D45,'인원 입력 기능'!$A$5:$D$103,4,FALSE),0))</f>
        <v>5429</v>
      </c>
      <c r="H45" s="53">
        <f t="shared" si="4"/>
        <v>1.6850933334988733E-2</v>
      </c>
      <c r="I45" s="66">
        <f>SUM($G$7:G45)</f>
        <v>104788</v>
      </c>
      <c r="J45" s="55">
        <f t="shared" si="5"/>
        <v>0.32524877552160608</v>
      </c>
      <c r="K45" s="29"/>
      <c r="L45" s="17" t="str">
        <f t="shared" si="7"/>
        <v/>
      </c>
      <c r="N45" s="16"/>
    </row>
    <row r="46" spans="1:14" s="13" customFormat="1" ht="25" customHeight="1">
      <c r="A46" s="11"/>
      <c r="B46" s="24"/>
      <c r="C46" s="64">
        <v>61</v>
      </c>
      <c r="D46" s="50">
        <f t="shared" si="2"/>
        <v>109</v>
      </c>
      <c r="E46" s="65">
        <f t="shared" si="6"/>
        <v>4</v>
      </c>
      <c r="F46" s="51">
        <f t="shared" si="3"/>
        <v>66.63</v>
      </c>
      <c r="G46" s="52">
        <f>IF(D46=D45,"",_xlfn.IFNA(VLOOKUP(D46,'인원 입력 기능'!$A$5:$D$103,4,FALSE),0))</f>
        <v>5472</v>
      </c>
      <c r="H46" s="53">
        <f t="shared" si="4"/>
        <v>1.6984399927990116E-2</v>
      </c>
      <c r="I46" s="66">
        <f>SUM($G$7:G46)</f>
        <v>110260</v>
      </c>
      <c r="J46" s="55">
        <f t="shared" si="5"/>
        <v>0.34223317544959619</v>
      </c>
      <c r="K46" s="29"/>
      <c r="L46" s="17" t="str">
        <f t="shared" si="7"/>
        <v/>
      </c>
      <c r="N46" s="16"/>
    </row>
    <row r="47" spans="1:14" s="13" customFormat="1" ht="25" customHeight="1">
      <c r="A47" s="11"/>
      <c r="B47" s="24"/>
      <c r="C47" s="64">
        <v>60</v>
      </c>
      <c r="D47" s="50">
        <f t="shared" si="2"/>
        <v>108</v>
      </c>
      <c r="E47" s="65">
        <f t="shared" si="6"/>
        <v>4</v>
      </c>
      <c r="F47" s="51">
        <f t="shared" si="3"/>
        <v>64.92</v>
      </c>
      <c r="G47" s="52">
        <f>IF(D47=D46,"",_xlfn.IFNA(VLOOKUP(D47,'인원 입력 기능'!$A$5:$D$103,4,FALSE),0))</f>
        <v>5522</v>
      </c>
      <c r="H47" s="53">
        <f t="shared" si="4"/>
        <v>1.7139593640782425E-2</v>
      </c>
      <c r="I47" s="66">
        <f>SUM($G$7:G47)</f>
        <v>115782</v>
      </c>
      <c r="J47" s="55">
        <f t="shared" si="5"/>
        <v>0.35937276909037863</v>
      </c>
      <c r="K47" s="29"/>
      <c r="L47" s="17" t="str">
        <f t="shared" si="7"/>
        <v/>
      </c>
      <c r="N47" s="16"/>
    </row>
    <row r="48" spans="1:14" s="13" customFormat="1" ht="25" customHeight="1">
      <c r="A48" s="11"/>
      <c r="B48" s="24"/>
      <c r="C48" s="64">
        <v>59</v>
      </c>
      <c r="D48" s="50">
        <f t="shared" si="2"/>
        <v>107</v>
      </c>
      <c r="E48" s="65">
        <f t="shared" si="6"/>
        <v>4</v>
      </c>
      <c r="F48" s="51">
        <f t="shared" si="3"/>
        <v>63.19</v>
      </c>
      <c r="G48" s="52">
        <f>IF(D48=D47,"",_xlfn.IFNA(VLOOKUP(D48,'인원 입력 기능'!$A$5:$D$103,4,FALSE),0))</f>
        <v>5628</v>
      </c>
      <c r="H48" s="53">
        <f t="shared" si="4"/>
        <v>1.7468604311902117E-2</v>
      </c>
      <c r="I48" s="66">
        <f>SUM($G$7:G48)</f>
        <v>121410</v>
      </c>
      <c r="J48" s="55">
        <f t="shared" si="5"/>
        <v>0.37684137340228074</v>
      </c>
      <c r="K48" s="29"/>
      <c r="L48" s="17" t="str">
        <f t="shared" si="7"/>
        <v/>
      </c>
      <c r="N48" s="16"/>
    </row>
    <row r="49" spans="1:14" s="13" customFormat="1" ht="25" customHeight="1">
      <c r="A49" s="11"/>
      <c r="B49" s="24"/>
      <c r="C49" s="64">
        <v>58</v>
      </c>
      <c r="D49" s="50">
        <f t="shared" si="2"/>
        <v>106</v>
      </c>
      <c r="E49" s="65">
        <f t="shared" si="6"/>
        <v>4</v>
      </c>
      <c r="F49" s="51">
        <f t="shared" si="3"/>
        <v>61.42</v>
      </c>
      <c r="G49" s="52">
        <f>IF(D49=D48,"",_xlfn.IFNA(VLOOKUP(D49,'인원 입력 기능'!$A$5:$D$103,4,FALSE),0))</f>
        <v>5768</v>
      </c>
      <c r="H49" s="53">
        <f t="shared" si="4"/>
        <v>1.7903146707720578E-2</v>
      </c>
      <c r="I49" s="66">
        <f>SUM($G$7:G49)</f>
        <v>127178</v>
      </c>
      <c r="J49" s="55">
        <f t="shared" si="5"/>
        <v>0.39474452011000133</v>
      </c>
      <c r="K49" s="29"/>
      <c r="L49" s="17" t="str">
        <f t="shared" si="7"/>
        <v/>
      </c>
      <c r="N49" s="16"/>
    </row>
    <row r="50" spans="1:14" s="13" customFormat="1" ht="25" customHeight="1">
      <c r="A50" s="11"/>
      <c r="B50" s="24"/>
      <c r="C50" s="64">
        <v>57</v>
      </c>
      <c r="D50" s="50">
        <f t="shared" si="2"/>
        <v>105</v>
      </c>
      <c r="E50" s="65">
        <f t="shared" si="6"/>
        <v>4</v>
      </c>
      <c r="F50" s="51">
        <f t="shared" si="3"/>
        <v>59.64</v>
      </c>
      <c r="G50" s="52">
        <f>IF(D50=D49,"",_xlfn.IFNA(VLOOKUP(D50,'인원 입력 기능'!$A$5:$D$103,4,FALSE),0))</f>
        <v>5678</v>
      </c>
      <c r="H50" s="53">
        <f t="shared" si="4"/>
        <v>1.7623798024694423E-2</v>
      </c>
      <c r="I50" s="66">
        <f>SUM($G$7:G50)</f>
        <v>132856</v>
      </c>
      <c r="J50" s="55">
        <f t="shared" si="5"/>
        <v>0.41236831813469571</v>
      </c>
      <c r="K50" s="29"/>
      <c r="L50" s="17" t="str">
        <f t="shared" si="7"/>
        <v/>
      </c>
      <c r="N50" s="16"/>
    </row>
    <row r="51" spans="1:14" s="13" customFormat="1" ht="25" customHeight="1">
      <c r="A51" s="11"/>
      <c r="B51" s="24"/>
      <c r="C51" s="64">
        <v>56</v>
      </c>
      <c r="D51" s="50">
        <f t="shared" si="2"/>
        <v>104</v>
      </c>
      <c r="E51" s="65">
        <f t="shared" si="6"/>
        <v>5</v>
      </c>
      <c r="F51" s="51">
        <f t="shared" si="3"/>
        <v>57.86</v>
      </c>
      <c r="G51" s="52">
        <f>IF(D51=D50,"",_xlfn.IFNA(VLOOKUP(D51,'인원 입력 기능'!$A$5:$D$103,4,FALSE),0))</f>
        <v>5800</v>
      </c>
      <c r="H51" s="53">
        <f t="shared" si="4"/>
        <v>1.8002470683907652E-2</v>
      </c>
      <c r="I51" s="66">
        <f>SUM($G$7:G51)</f>
        <v>138656</v>
      </c>
      <c r="J51" s="55">
        <f t="shared" si="5"/>
        <v>0.43037078881860336</v>
      </c>
      <c r="K51" s="29"/>
      <c r="L51" s="17" t="str">
        <f t="shared" si="7"/>
        <v/>
      </c>
      <c r="N51" s="16"/>
    </row>
    <row r="52" spans="1:14" s="13" customFormat="1" ht="25" customHeight="1">
      <c r="A52" s="11"/>
      <c r="B52" s="24"/>
      <c r="C52" s="64">
        <v>55</v>
      </c>
      <c r="D52" s="50">
        <f t="shared" si="2"/>
        <v>103</v>
      </c>
      <c r="E52" s="65">
        <f t="shared" si="6"/>
        <v>5</v>
      </c>
      <c r="F52" s="51">
        <f t="shared" si="3"/>
        <v>56.05</v>
      </c>
      <c r="G52" s="52">
        <f>IF(D52=D51,"",_xlfn.IFNA(VLOOKUP(D52,'인원 입력 기능'!$A$5:$D$103,4,FALSE),0))</f>
        <v>5890</v>
      </c>
      <c r="H52" s="53">
        <f t="shared" si="4"/>
        <v>1.8281819366933807E-2</v>
      </c>
      <c r="I52" s="66">
        <f>SUM($G$7:G52)</f>
        <v>144546</v>
      </c>
      <c r="J52" s="55">
        <f t="shared" si="5"/>
        <v>0.44865260818553721</v>
      </c>
      <c r="K52" s="29"/>
      <c r="L52" s="17" t="str">
        <f t="shared" si="7"/>
        <v/>
      </c>
      <c r="N52" s="16"/>
    </row>
    <row r="53" spans="1:14" s="13" customFormat="1" ht="25" customHeight="1">
      <c r="A53" s="11"/>
      <c r="B53" s="24"/>
      <c r="C53" s="64">
        <v>54</v>
      </c>
      <c r="D53" s="50">
        <f t="shared" si="2"/>
        <v>102</v>
      </c>
      <c r="E53" s="65">
        <f t="shared" si="6"/>
        <v>5</v>
      </c>
      <c r="F53" s="51">
        <f t="shared" si="3"/>
        <v>54.21</v>
      </c>
      <c r="G53" s="52">
        <f>IF(D53=D52,"",_xlfn.IFNA(VLOOKUP(D53,'인원 입력 기능'!$A$5:$D$103,4,FALSE),0))</f>
        <v>5932</v>
      </c>
      <c r="H53" s="53">
        <f t="shared" si="4"/>
        <v>1.8412182085679345E-2</v>
      </c>
      <c r="I53" s="66">
        <f>SUM($G$7:G53)</f>
        <v>150478</v>
      </c>
      <c r="J53" s="55">
        <f t="shared" si="5"/>
        <v>0.46706479027121656</v>
      </c>
      <c r="K53" s="29"/>
      <c r="L53" s="17" t="str">
        <f t="shared" si="7"/>
        <v/>
      </c>
      <c r="N53" s="16"/>
    </row>
    <row r="54" spans="1:14" s="13" customFormat="1" ht="25" customHeight="1">
      <c r="A54" s="11"/>
      <c r="B54" s="24"/>
      <c r="C54" s="64">
        <v>53</v>
      </c>
      <c r="D54" s="50">
        <f t="shared" si="2"/>
        <v>101</v>
      </c>
      <c r="E54" s="65">
        <f t="shared" si="6"/>
        <v>5</v>
      </c>
      <c r="F54" s="51">
        <f t="shared" si="3"/>
        <v>52.38</v>
      </c>
      <c r="G54" s="52">
        <f>IF(D54=D53,"",_xlfn.IFNA(VLOOKUP(D54,'인원 입력 기능'!$A$5:$D$103,4,FALSE),0))</f>
        <v>5885</v>
      </c>
      <c r="H54" s="53">
        <f t="shared" si="4"/>
        <v>1.8266299995654576E-2</v>
      </c>
      <c r="I54" s="66">
        <f>SUM($G$7:G54)</f>
        <v>156363</v>
      </c>
      <c r="J54" s="55">
        <f t="shared" si="5"/>
        <v>0.4853310902668711</v>
      </c>
      <c r="K54" s="29"/>
      <c r="L54" s="17" t="str">
        <f t="shared" si="7"/>
        <v/>
      </c>
      <c r="N54" s="16"/>
    </row>
    <row r="55" spans="1:14" s="13" customFormat="1" ht="25" customHeight="1">
      <c r="A55" s="11"/>
      <c r="B55" s="24"/>
      <c r="C55" s="64">
        <v>52</v>
      </c>
      <c r="D55" s="50">
        <f t="shared" si="2"/>
        <v>100</v>
      </c>
      <c r="E55" s="65">
        <f t="shared" si="6"/>
        <v>5</v>
      </c>
      <c r="F55" s="51">
        <f t="shared" si="3"/>
        <v>50.53</v>
      </c>
      <c r="G55" s="52">
        <f>IF(D55=D54,"",_xlfn.IFNA(VLOOKUP(D55,'인원 입력 기능'!$A$5:$D$103,4,FALSE),0))</f>
        <v>6043</v>
      </c>
      <c r="H55" s="53">
        <f t="shared" si="4"/>
        <v>1.8756712128078269E-2</v>
      </c>
      <c r="I55" s="66">
        <f>SUM($G$7:G55)</f>
        <v>162406</v>
      </c>
      <c r="J55" s="55">
        <f t="shared" si="5"/>
        <v>0.50408780239494932</v>
      </c>
      <c r="K55" s="29"/>
      <c r="L55" s="17" t="str">
        <f t="shared" si="7"/>
        <v/>
      </c>
      <c r="N55" s="16"/>
    </row>
    <row r="56" spans="1:14" s="13" customFormat="1" ht="25" customHeight="1">
      <c r="A56" s="11"/>
      <c r="B56" s="24"/>
      <c r="C56" s="64">
        <v>51</v>
      </c>
      <c r="D56" s="50">
        <f t="shared" si="2"/>
        <v>99</v>
      </c>
      <c r="E56" s="65">
        <f t="shared" si="6"/>
        <v>5</v>
      </c>
      <c r="F56" s="51">
        <f t="shared" si="3"/>
        <v>48.68</v>
      </c>
      <c r="G56" s="52">
        <f>IF(D56=D55,"",_xlfn.IFNA(VLOOKUP(D56,'인원 입력 기능'!$A$5:$D$103,4,FALSE),0))</f>
        <v>5880</v>
      </c>
      <c r="H56" s="53">
        <f t="shared" si="4"/>
        <v>1.8250780624375344E-2</v>
      </c>
      <c r="I56" s="66">
        <f>SUM($G$7:G56)</f>
        <v>168286</v>
      </c>
      <c r="J56" s="55">
        <f t="shared" si="5"/>
        <v>0.52233858301932468</v>
      </c>
      <c r="K56" s="29"/>
      <c r="L56" s="17" t="str">
        <f t="shared" si="7"/>
        <v/>
      </c>
      <c r="N56" s="16"/>
    </row>
    <row r="57" spans="1:14" s="13" customFormat="1" ht="25" customHeight="1">
      <c r="A57" s="11"/>
      <c r="B57" s="24"/>
      <c r="C57" s="64">
        <v>50</v>
      </c>
      <c r="D57" s="50">
        <f t="shared" si="2"/>
        <v>98</v>
      </c>
      <c r="E57" s="65">
        <f t="shared" si="6"/>
        <v>5</v>
      </c>
      <c r="F57" s="51">
        <f t="shared" si="3"/>
        <v>46.84</v>
      </c>
      <c r="G57" s="52">
        <f>IF(D57=D56,"",_xlfn.IFNA(VLOOKUP(D57,'인원 입력 기능'!$A$5:$D$103,4,FALSE),0))</f>
        <v>5954</v>
      </c>
      <c r="H57" s="53">
        <f t="shared" si="4"/>
        <v>1.8480467319307959E-2</v>
      </c>
      <c r="I57" s="66">
        <f>SUM($G$7:G57)</f>
        <v>174240</v>
      </c>
      <c r="J57" s="55">
        <f t="shared" si="5"/>
        <v>0.54081905033863265</v>
      </c>
      <c r="K57" s="29"/>
      <c r="L57" s="17" t="str">
        <f t="shared" si="7"/>
        <v/>
      </c>
      <c r="N57" s="16"/>
    </row>
    <row r="58" spans="1:14" s="13" customFormat="1" ht="25" customHeight="1">
      <c r="A58" s="11"/>
      <c r="B58" s="24"/>
      <c r="C58" s="64">
        <v>49</v>
      </c>
      <c r="D58" s="50">
        <f t="shared" si="2"/>
        <v>97</v>
      </c>
      <c r="E58" s="65">
        <f t="shared" si="6"/>
        <v>5</v>
      </c>
      <c r="F58" s="51">
        <f t="shared" si="3"/>
        <v>45</v>
      </c>
      <c r="G58" s="52">
        <f>IF(D58=D57,"",_xlfn.IFNA(VLOOKUP(D58,'인원 입력 기능'!$A$5:$D$103,4,FALSE),0))</f>
        <v>5944</v>
      </c>
      <c r="H58" s="53">
        <f t="shared" si="4"/>
        <v>1.8449428576749499E-2</v>
      </c>
      <c r="I58" s="66">
        <f>SUM($G$7:G58)</f>
        <v>180184</v>
      </c>
      <c r="J58" s="55">
        <f t="shared" si="5"/>
        <v>0.55926847891538223</v>
      </c>
      <c r="K58" s="29"/>
      <c r="L58" s="17" t="str">
        <f t="shared" si="7"/>
        <v/>
      </c>
      <c r="N58" s="16"/>
    </row>
    <row r="59" spans="1:14" s="13" customFormat="1" ht="25" customHeight="1">
      <c r="A59" s="11"/>
      <c r="B59" s="24"/>
      <c r="C59" s="64">
        <v>48</v>
      </c>
      <c r="D59" s="50">
        <f t="shared" si="2"/>
        <v>96</v>
      </c>
      <c r="E59" s="65">
        <f t="shared" si="6"/>
        <v>5</v>
      </c>
      <c r="F59" s="51">
        <f t="shared" si="3"/>
        <v>43.19</v>
      </c>
      <c r="G59" s="52">
        <f>IF(D59=D58,"",_xlfn.IFNA(VLOOKUP(D59,'인원 입력 기능'!$A$5:$D$103,4,FALSE),0))</f>
        <v>5686</v>
      </c>
      <c r="H59" s="53">
        <f t="shared" si="4"/>
        <v>1.7648629018741192E-2</v>
      </c>
      <c r="I59" s="66">
        <f>SUM($G$7:G59)</f>
        <v>185870</v>
      </c>
      <c r="J59" s="55">
        <f t="shared" si="5"/>
        <v>0.57691710793412332</v>
      </c>
      <c r="K59" s="29"/>
      <c r="L59" s="17" t="str">
        <f t="shared" si="7"/>
        <v/>
      </c>
      <c r="N59" s="16"/>
    </row>
    <row r="60" spans="1:14" s="13" customFormat="1" ht="25" customHeight="1">
      <c r="A60" s="11"/>
      <c r="B60" s="24"/>
      <c r="C60" s="64">
        <v>47</v>
      </c>
      <c r="D60" s="50">
        <f t="shared" si="2"/>
        <v>95</v>
      </c>
      <c r="E60" s="65">
        <f t="shared" si="6"/>
        <v>5</v>
      </c>
      <c r="F60" s="51">
        <f t="shared" si="3"/>
        <v>41.41</v>
      </c>
      <c r="G60" s="52">
        <f>IF(D60=D59,"",_xlfn.IFNA(VLOOKUP(D60,'인원 입력 기능'!$A$5:$D$103,4,FALSE),0))</f>
        <v>5810</v>
      </c>
      <c r="H60" s="53">
        <f t="shared" si="4"/>
        <v>1.8033509426466116E-2</v>
      </c>
      <c r="I60" s="66">
        <f>SUM($G$7:G60)</f>
        <v>191680</v>
      </c>
      <c r="J60" s="55">
        <f t="shared" si="5"/>
        <v>0.59495061736058952</v>
      </c>
      <c r="K60" s="29"/>
      <c r="L60" s="17" t="str">
        <f t="shared" si="7"/>
        <v/>
      </c>
      <c r="N60" s="16"/>
    </row>
    <row r="61" spans="1:14" s="13" customFormat="1" ht="25" customHeight="1">
      <c r="A61" s="11"/>
      <c r="B61" s="24"/>
      <c r="C61" s="64">
        <v>46</v>
      </c>
      <c r="D61" s="50">
        <f t="shared" si="2"/>
        <v>94</v>
      </c>
      <c r="E61" s="65">
        <f t="shared" si="6"/>
        <v>5</v>
      </c>
      <c r="F61" s="51">
        <f t="shared" si="3"/>
        <v>39.6</v>
      </c>
      <c r="G61" s="52">
        <f>IF(D61=D60,"",_xlfn.IFNA(VLOOKUP(D61,'인원 입력 기능'!$A$5:$D$103,4,FALSE),0))</f>
        <v>5855</v>
      </c>
      <c r="H61" s="53">
        <f t="shared" si="4"/>
        <v>1.8173183767979193E-2</v>
      </c>
      <c r="I61" s="66">
        <f>SUM($G$7:G61)</f>
        <v>197535</v>
      </c>
      <c r="J61" s="55">
        <f t="shared" si="5"/>
        <v>0.61312380112856868</v>
      </c>
      <c r="K61" s="29"/>
      <c r="L61" s="17" t="str">
        <f t="shared" si="7"/>
        <v/>
      </c>
      <c r="N61" s="16"/>
    </row>
    <row r="62" spans="1:14" s="13" customFormat="1" ht="25" customHeight="1">
      <c r="A62" s="11"/>
      <c r="B62" s="24"/>
      <c r="C62" s="64">
        <v>45</v>
      </c>
      <c r="D62" s="50">
        <f t="shared" si="2"/>
        <v>93</v>
      </c>
      <c r="E62" s="65">
        <f t="shared" si="6"/>
        <v>6</v>
      </c>
      <c r="F62" s="51">
        <f t="shared" si="3"/>
        <v>37.82</v>
      </c>
      <c r="G62" s="52">
        <f>IF(D62=D61,"",_xlfn.IFNA(VLOOKUP(D62,'인원 입력 기능'!$A$5:$D$103,4,FALSE),0))</f>
        <v>5589</v>
      </c>
      <c r="H62" s="53">
        <f t="shared" si="4"/>
        <v>1.7347553215924117E-2</v>
      </c>
      <c r="I62" s="66">
        <f>SUM($G$7:G62)</f>
        <v>203124</v>
      </c>
      <c r="J62" s="55">
        <f t="shared" si="5"/>
        <v>0.63047135434449275</v>
      </c>
      <c r="K62" s="29"/>
      <c r="L62" s="17" t="str">
        <f t="shared" si="7"/>
        <v/>
      </c>
      <c r="N62" s="16"/>
    </row>
    <row r="63" spans="1:14" s="13" customFormat="1" ht="25" customHeight="1">
      <c r="A63" s="11"/>
      <c r="B63" s="24"/>
      <c r="C63" s="64">
        <v>44</v>
      </c>
      <c r="D63" s="50">
        <f t="shared" si="2"/>
        <v>92</v>
      </c>
      <c r="E63" s="65">
        <f t="shared" si="6"/>
        <v>6</v>
      </c>
      <c r="F63" s="51">
        <f t="shared" si="3"/>
        <v>36.090000000000003</v>
      </c>
      <c r="G63" s="52">
        <f>IF(D63=D62,"",_xlfn.IFNA(VLOOKUP(D63,'인원 입력 기능'!$A$5:$D$103,4,FALSE),0))</f>
        <v>5556</v>
      </c>
      <c r="H63" s="53">
        <f t="shared" si="4"/>
        <v>1.7245125365481194E-2</v>
      </c>
      <c r="I63" s="66">
        <f>SUM($G$7:G63)</f>
        <v>208680</v>
      </c>
      <c r="J63" s="55">
        <f t="shared" si="5"/>
        <v>0.64771647970997404</v>
      </c>
      <c r="K63" s="29"/>
      <c r="L63" s="17" t="str">
        <f t="shared" si="7"/>
        <v/>
      </c>
      <c r="N63" s="16"/>
    </row>
    <row r="64" spans="1:14" s="13" customFormat="1" ht="25" customHeight="1">
      <c r="A64" s="11"/>
      <c r="B64" s="24"/>
      <c r="C64" s="64">
        <v>43</v>
      </c>
      <c r="D64" s="50">
        <f t="shared" si="2"/>
        <v>91</v>
      </c>
      <c r="E64" s="65">
        <f t="shared" si="6"/>
        <v>6</v>
      </c>
      <c r="F64" s="51">
        <f t="shared" si="3"/>
        <v>34.39</v>
      </c>
      <c r="G64" s="52">
        <f>IF(D64=D63,"",_xlfn.IFNA(VLOOKUP(D64,'인원 입력 기능'!$A$5:$D$103,4,FALSE),0))</f>
        <v>5425</v>
      </c>
      <c r="H64" s="53">
        <f t="shared" si="4"/>
        <v>1.6838517837965347E-2</v>
      </c>
      <c r="I64" s="66">
        <f>SUM($G$7:G64)</f>
        <v>214105</v>
      </c>
      <c r="J64" s="55">
        <f t="shared" si="5"/>
        <v>0.66455499754793934</v>
      </c>
      <c r="K64" s="29"/>
      <c r="L64" s="17" t="str">
        <f t="shared" si="7"/>
        <v/>
      </c>
      <c r="N64" s="16"/>
    </row>
    <row r="65" spans="1:14" s="13" customFormat="1" ht="25" customHeight="1">
      <c r="A65" s="11"/>
      <c r="B65" s="24"/>
      <c r="C65" s="64">
        <v>42</v>
      </c>
      <c r="D65" s="50">
        <f t="shared" si="2"/>
        <v>90</v>
      </c>
      <c r="E65" s="65">
        <f t="shared" si="6"/>
        <v>6</v>
      </c>
      <c r="F65" s="51">
        <f t="shared" si="3"/>
        <v>32.72</v>
      </c>
      <c r="G65" s="52">
        <f>IF(D65=D64,"",_xlfn.IFNA(VLOOKUP(D65,'인원 입력 기능'!$A$5:$D$103,4,FALSE),0))</f>
        <v>5308</v>
      </c>
      <c r="H65" s="53">
        <f t="shared" si="4"/>
        <v>1.647536455003135E-2</v>
      </c>
      <c r="I65" s="66">
        <f>SUM($G$7:G65)</f>
        <v>219413</v>
      </c>
      <c r="J65" s="55">
        <f t="shared" si="5"/>
        <v>0.68103036209797063</v>
      </c>
      <c r="K65" s="29"/>
      <c r="L65" s="17" t="str">
        <f t="shared" si="7"/>
        <v/>
      </c>
      <c r="N65" s="16"/>
    </row>
    <row r="66" spans="1:14" s="13" customFormat="1" ht="25" customHeight="1">
      <c r="A66" s="11"/>
      <c r="B66" s="24"/>
      <c r="C66" s="64">
        <v>41</v>
      </c>
      <c r="D66" s="50">
        <f t="shared" si="2"/>
        <v>89</v>
      </c>
      <c r="E66" s="65">
        <f t="shared" si="6"/>
        <v>6</v>
      </c>
      <c r="F66" s="51">
        <f t="shared" si="3"/>
        <v>31.09</v>
      </c>
      <c r="G66" s="52">
        <f>IF(D66=D65,"",_xlfn.IFNA(VLOOKUP(D66,'인원 입력 기능'!$A$5:$D$103,4,FALSE),0))</f>
        <v>5196</v>
      </c>
      <c r="H66" s="53">
        <f t="shared" si="4"/>
        <v>1.612773063337658E-2</v>
      </c>
      <c r="I66" s="66">
        <f>SUM($G$7:G66)</f>
        <v>224609</v>
      </c>
      <c r="J66" s="55">
        <f t="shared" si="5"/>
        <v>0.69715809273134732</v>
      </c>
      <c r="K66" s="29"/>
      <c r="L66" s="17" t="str">
        <f t="shared" si="7"/>
        <v/>
      </c>
      <c r="N66" s="16"/>
    </row>
    <row r="67" spans="1:14" s="13" customFormat="1" ht="25" customHeight="1">
      <c r="A67" s="11"/>
      <c r="B67" s="24"/>
      <c r="C67" s="64">
        <v>40</v>
      </c>
      <c r="D67" s="50">
        <f t="shared" si="2"/>
        <v>88</v>
      </c>
      <c r="E67" s="65">
        <f t="shared" si="6"/>
        <v>6</v>
      </c>
      <c r="F67" s="51">
        <f t="shared" si="3"/>
        <v>29.48</v>
      </c>
      <c r="G67" s="52">
        <f>IF(D67=D66,"",_xlfn.IFNA(VLOOKUP(D67,'인원 입력 기능'!$A$5:$D$103,4,FALSE),0))</f>
        <v>5161</v>
      </c>
      <c r="H67" s="53">
        <f t="shared" si="4"/>
        <v>1.6019095034421966E-2</v>
      </c>
      <c r="I67" s="66">
        <f>SUM($G$7:G67)</f>
        <v>229770</v>
      </c>
      <c r="J67" s="55">
        <f t="shared" si="5"/>
        <v>0.71317718776576922</v>
      </c>
      <c r="K67" s="29"/>
      <c r="L67" s="17" t="str">
        <f t="shared" si="7"/>
        <v/>
      </c>
      <c r="N67" s="16"/>
    </row>
    <row r="68" spans="1:14" s="13" customFormat="1" ht="25" customHeight="1">
      <c r="A68" s="11"/>
      <c r="B68" s="24"/>
      <c r="C68" s="64">
        <v>39</v>
      </c>
      <c r="D68" s="50">
        <f t="shared" si="2"/>
        <v>87</v>
      </c>
      <c r="E68" s="65">
        <f t="shared" si="6"/>
        <v>6</v>
      </c>
      <c r="F68" s="51">
        <f t="shared" si="3"/>
        <v>27.94</v>
      </c>
      <c r="G68" s="52">
        <f>IF(D68=D67,"",_xlfn.IFNA(VLOOKUP(D68,'인원 입력 기능'!$A$5:$D$103,4,FALSE),0))</f>
        <v>4776</v>
      </c>
      <c r="H68" s="53">
        <f t="shared" si="4"/>
        <v>1.4824103445921199E-2</v>
      </c>
      <c r="I68" s="66">
        <f>SUM($G$7:G68)</f>
        <v>234546</v>
      </c>
      <c r="J68" s="55">
        <f t="shared" si="5"/>
        <v>0.72800129121169044</v>
      </c>
      <c r="K68" s="29"/>
      <c r="L68" s="17" t="str">
        <f t="shared" si="7"/>
        <v/>
      </c>
      <c r="N68" s="16"/>
    </row>
    <row r="69" spans="1:14" s="13" customFormat="1" ht="25" customHeight="1">
      <c r="A69" s="11"/>
      <c r="B69" s="24"/>
      <c r="C69" s="64">
        <v>38</v>
      </c>
      <c r="D69" s="50">
        <f t="shared" si="2"/>
        <v>86</v>
      </c>
      <c r="E69" s="65">
        <f t="shared" si="6"/>
        <v>6</v>
      </c>
      <c r="F69" s="51">
        <f t="shared" si="3"/>
        <v>26.44</v>
      </c>
      <c r="G69" s="52">
        <f>IF(D69=D68,"",_xlfn.IFNA(VLOOKUP(D69,'인원 입력 기능'!$A$5:$D$103,4,FALSE),0))</f>
        <v>4887</v>
      </c>
      <c r="H69" s="53">
        <f t="shared" si="4"/>
        <v>1.5168633488320121E-2</v>
      </c>
      <c r="I69" s="66">
        <f>SUM($G$7:G69)</f>
        <v>239433</v>
      </c>
      <c r="J69" s="55">
        <f t="shared" si="5"/>
        <v>0.74316992470001053</v>
      </c>
      <c r="K69" s="29"/>
      <c r="L69" s="17" t="str">
        <f t="shared" si="7"/>
        <v/>
      </c>
      <c r="N69" s="16"/>
    </row>
    <row r="70" spans="1:14" s="13" customFormat="1" ht="25" customHeight="1">
      <c r="A70" s="11"/>
      <c r="B70" s="24"/>
      <c r="C70" s="64">
        <v>37</v>
      </c>
      <c r="D70" s="50">
        <f t="shared" si="2"/>
        <v>85</v>
      </c>
      <c r="E70" s="65">
        <f t="shared" si="6"/>
        <v>6</v>
      </c>
      <c r="F70" s="51">
        <f t="shared" si="3"/>
        <v>24.96</v>
      </c>
      <c r="G70" s="52">
        <f>IF(D70=D69,"",_xlfn.IFNA(VLOOKUP(D70,'인원 입력 기능'!$A$5:$D$103,4,FALSE),0))</f>
        <v>4668</v>
      </c>
      <c r="H70" s="53">
        <f t="shared" si="4"/>
        <v>1.4488885026289816E-2</v>
      </c>
      <c r="I70" s="66">
        <f>SUM($G$7:G70)</f>
        <v>244101</v>
      </c>
      <c r="J70" s="55">
        <f t="shared" si="5"/>
        <v>0.7576588097263004</v>
      </c>
      <c r="K70" s="29"/>
      <c r="L70" s="17" t="str">
        <f t="shared" si="7"/>
        <v/>
      </c>
      <c r="N70" s="16"/>
    </row>
    <row r="71" spans="1:14" s="13" customFormat="1" ht="25" customHeight="1">
      <c r="A71" s="11"/>
      <c r="B71" s="24"/>
      <c r="C71" s="64">
        <v>36</v>
      </c>
      <c r="D71" s="50">
        <f t="shared" si="2"/>
        <v>84</v>
      </c>
      <c r="E71" s="65">
        <f t="shared" ref="E71:E102" si="8">IF(ROUND(D71,0)&gt;=$Q$7,1,IF(ROUND(D71,0)&gt;=$Q$8,2,IF(ROUND(D71,0)&gt;=$Q$9,3,IF(ROUND(D71,0)&gt;=$Q$10,4,IF(ROUND(D71,0)&gt;=$Q$11,5,IF(ROUND(D71,0)&gt;=$Q$12,6,IF(ROUND(D71,0)&gt;=$Q$13,7,IF(ROUND(D71,0)&gt;=$Q$14,8,9))))))))</f>
        <v>6</v>
      </c>
      <c r="F71" s="51">
        <f t="shared" si="3"/>
        <v>23.52</v>
      </c>
      <c r="G71" s="52">
        <f>IF(D71=D70,"",_xlfn.IFNA(VLOOKUP(D71,'인원 입력 기능'!$A$5:$D$103,4,FALSE),0))</f>
        <v>4618</v>
      </c>
      <c r="H71" s="53">
        <f t="shared" si="4"/>
        <v>1.4333691313497508E-2</v>
      </c>
      <c r="I71" s="66">
        <f>SUM($G$7:G71)</f>
        <v>248719</v>
      </c>
      <c r="J71" s="55">
        <f t="shared" si="5"/>
        <v>0.77199250103979788</v>
      </c>
      <c r="K71" s="29"/>
      <c r="L71" s="17" t="str">
        <f t="shared" si="7"/>
        <v/>
      </c>
      <c r="N71" s="16"/>
    </row>
    <row r="72" spans="1:14" s="13" customFormat="1" ht="25" customHeight="1">
      <c r="A72" s="11"/>
      <c r="B72" s="24"/>
      <c r="C72" s="64">
        <v>35</v>
      </c>
      <c r="D72" s="50">
        <f t="shared" si="2"/>
        <v>83</v>
      </c>
      <c r="E72" s="65">
        <f t="shared" si="8"/>
        <v>7</v>
      </c>
      <c r="F72" s="51">
        <f t="shared" si="3"/>
        <v>22.12</v>
      </c>
      <c r="G72" s="52">
        <f>IF(D72=D71,"",_xlfn.IFNA(VLOOKUP(D72,'인원 입력 기능'!$A$5:$D$103,4,FALSE),0))</f>
        <v>4373</v>
      </c>
      <c r="H72" s="53">
        <f t="shared" si="4"/>
        <v>1.3573242120815201E-2</v>
      </c>
      <c r="I72" s="66">
        <f>SUM($G$7:G72)</f>
        <v>253092</v>
      </c>
      <c r="J72" s="55">
        <f t="shared" si="5"/>
        <v>0.78556574316061312</v>
      </c>
      <c r="K72" s="29"/>
      <c r="L72" s="17" t="str">
        <f t="shared" si="7"/>
        <v/>
      </c>
      <c r="N72" s="16"/>
    </row>
    <row r="73" spans="1:14" s="13" customFormat="1" ht="25" customHeight="1">
      <c r="A73" s="11"/>
      <c r="B73" s="24"/>
      <c r="C73" s="64">
        <v>34</v>
      </c>
      <c r="D73" s="50">
        <f t="shared" si="2"/>
        <v>82</v>
      </c>
      <c r="E73" s="65">
        <f t="shared" si="8"/>
        <v>7</v>
      </c>
      <c r="F73" s="51">
        <f t="shared" si="3"/>
        <v>20.78</v>
      </c>
      <c r="G73" s="52">
        <f>IF(D73=D72,"",_xlfn.IFNA(VLOOKUP(D73,'인원 입력 기능'!$A$5:$D$103,4,FALSE),0))</f>
        <v>4286</v>
      </c>
      <c r="H73" s="53">
        <f t="shared" si="4"/>
        <v>1.3303205060556586E-2</v>
      </c>
      <c r="I73" s="66">
        <f>SUM($G$7:G73)</f>
        <v>257378</v>
      </c>
      <c r="J73" s="55">
        <f t="shared" si="5"/>
        <v>0.79886894822116972</v>
      </c>
      <c r="K73" s="29"/>
      <c r="L73" s="17" t="str">
        <f t="shared" ref="L73:L105" si="9">IF(ABS((C73-$H$3)/$H$4*20+100-D73)&gt;0.49, "경고", "")</f>
        <v/>
      </c>
      <c r="N73" s="16"/>
    </row>
    <row r="74" spans="1:14" s="13" customFormat="1" ht="25" customHeight="1">
      <c r="A74" s="11"/>
      <c r="B74" s="24"/>
      <c r="C74" s="64">
        <v>33</v>
      </c>
      <c r="D74" s="50">
        <f t="shared" ref="D74:D105" si="10">ROUND(20*(C74-$H$3)/$H$4+100,0)</f>
        <v>81</v>
      </c>
      <c r="E74" s="65">
        <f t="shared" si="8"/>
        <v>7</v>
      </c>
      <c r="F74" s="51">
        <f t="shared" ref="F74:F105" si="11">IF(I73=0,ROUND(100*(1-(I72+I74)/2/$J$3),2),ROUND(100*(1-(I73+I74)/2/$J$3),2))</f>
        <v>19.440000000000001</v>
      </c>
      <c r="G74" s="52">
        <f>IF(D74=D73,"",_xlfn.IFNA(VLOOKUP(D74,'인원 입력 기능'!$A$5:$D$103,4,FALSE),0))</f>
        <v>4308</v>
      </c>
      <c r="H74" s="53">
        <f t="shared" ref="H74:H105" si="12">G74/$J$3</f>
        <v>1.3371490294185202E-2</v>
      </c>
      <c r="I74" s="66">
        <f>SUM($G$7:G74)</f>
        <v>261686</v>
      </c>
      <c r="J74" s="55">
        <f t="shared" ref="J74:J105" si="13">I74/$J$3</f>
        <v>0.81224043851535488</v>
      </c>
      <c r="K74" s="29"/>
      <c r="L74" s="17" t="str">
        <f t="shared" si="9"/>
        <v>경고</v>
      </c>
      <c r="N74" s="16"/>
    </row>
    <row r="75" spans="1:14" s="13" customFormat="1" ht="25" customHeight="1">
      <c r="A75" s="11"/>
      <c r="B75" s="24"/>
      <c r="C75" s="64">
        <v>32</v>
      </c>
      <c r="D75" s="50">
        <f t="shared" si="10"/>
        <v>79</v>
      </c>
      <c r="E75" s="65">
        <f t="shared" si="8"/>
        <v>7</v>
      </c>
      <c r="F75" s="51">
        <f t="shared" si="11"/>
        <v>18.149999999999999</v>
      </c>
      <c r="G75" s="52">
        <f>IF(D75=D74,"",_xlfn.IFNA(VLOOKUP(D75,'인원 입력 기능'!$A$5:$D$103,4,FALSE),0))</f>
        <v>4042</v>
      </c>
      <c r="H75" s="53">
        <f t="shared" si="12"/>
        <v>1.2545859742130128E-2</v>
      </c>
      <c r="I75" s="66">
        <f>SUM($G$7:G75)</f>
        <v>265728</v>
      </c>
      <c r="J75" s="55">
        <f t="shared" si="13"/>
        <v>0.82478629825748495</v>
      </c>
      <c r="K75" s="29"/>
      <c r="L75" s="17" t="str">
        <f t="shared" si="9"/>
        <v/>
      </c>
      <c r="N75" s="16"/>
    </row>
    <row r="76" spans="1:14" s="13" customFormat="1" ht="25" customHeight="1">
      <c r="A76" s="11"/>
      <c r="B76" s="24"/>
      <c r="C76" s="64">
        <v>31</v>
      </c>
      <c r="D76" s="50">
        <f t="shared" si="10"/>
        <v>78</v>
      </c>
      <c r="E76" s="65">
        <f t="shared" si="8"/>
        <v>7</v>
      </c>
      <c r="F76" s="51">
        <f t="shared" si="11"/>
        <v>16.850000000000001</v>
      </c>
      <c r="G76" s="52">
        <f>IF(D76=D75,"",_xlfn.IFNA(VLOOKUP(D76,'인원 입력 기능'!$A$5:$D$103,4,FALSE),0))</f>
        <v>4347</v>
      </c>
      <c r="H76" s="53">
        <f t="shared" si="12"/>
        <v>1.3492541390163202E-2</v>
      </c>
      <c r="I76" s="66">
        <f>SUM($G$7:G76)</f>
        <v>270075</v>
      </c>
      <c r="J76" s="55">
        <f t="shared" si="13"/>
        <v>0.83827883964764816</v>
      </c>
      <c r="K76" s="29"/>
      <c r="L76" s="17" t="str">
        <f t="shared" si="9"/>
        <v/>
      </c>
      <c r="N76" s="16"/>
    </row>
    <row r="77" spans="1:14" s="13" customFormat="1" ht="25" customHeight="1">
      <c r="A77" s="11"/>
      <c r="B77" s="24"/>
      <c r="C77" s="64">
        <v>30</v>
      </c>
      <c r="D77" s="50">
        <f t="shared" si="10"/>
        <v>77</v>
      </c>
      <c r="E77" s="65">
        <f t="shared" si="8"/>
        <v>7</v>
      </c>
      <c r="F77" s="51">
        <f t="shared" si="11"/>
        <v>15.57</v>
      </c>
      <c r="G77" s="52">
        <f>IF(D77=D76,"",_xlfn.IFNA(VLOOKUP(D77,'인원 입력 기능'!$A$5:$D$103,4,FALSE),0))</f>
        <v>3863</v>
      </c>
      <c r="H77" s="53">
        <f t="shared" si="12"/>
        <v>1.1990266250333666E-2</v>
      </c>
      <c r="I77" s="66">
        <f>SUM($G$7:G77)</f>
        <v>273938</v>
      </c>
      <c r="J77" s="55">
        <f t="shared" si="13"/>
        <v>0.85026910589798188</v>
      </c>
      <c r="K77" s="29"/>
      <c r="L77" s="17" t="str">
        <f t="shared" si="9"/>
        <v/>
      </c>
      <c r="N77" s="16"/>
    </row>
    <row r="78" spans="1:14" s="13" customFormat="1" ht="25" customHeight="1">
      <c r="A78" s="11"/>
      <c r="B78" s="24"/>
      <c r="C78" s="64">
        <v>29</v>
      </c>
      <c r="D78" s="50">
        <f t="shared" si="10"/>
        <v>76</v>
      </c>
      <c r="E78" s="65">
        <f t="shared" si="8"/>
        <v>7</v>
      </c>
      <c r="F78" s="51">
        <f t="shared" si="11"/>
        <v>14.33</v>
      </c>
      <c r="G78" s="52">
        <f>IF(D78=D77,"",_xlfn.IFNA(VLOOKUP(D78,'인원 입력 기능'!$A$5:$D$103,4,FALSE),0))</f>
        <v>4176</v>
      </c>
      <c r="H78" s="53">
        <f t="shared" si="12"/>
        <v>1.2961778892413511E-2</v>
      </c>
      <c r="I78" s="66">
        <f>SUM($G$7:G78)</f>
        <v>278114</v>
      </c>
      <c r="J78" s="55">
        <f t="shared" si="13"/>
        <v>0.86323088479039534</v>
      </c>
      <c r="K78" s="29"/>
      <c r="L78" s="17" t="str">
        <f t="shared" si="9"/>
        <v/>
      </c>
      <c r="N78" s="16"/>
    </row>
    <row r="79" spans="1:14" s="13" customFormat="1" ht="25" customHeight="1">
      <c r="A79" s="11"/>
      <c r="B79" s="24"/>
      <c r="C79" s="64">
        <v>28</v>
      </c>
      <c r="D79" s="50">
        <f t="shared" si="10"/>
        <v>75</v>
      </c>
      <c r="E79" s="65">
        <f t="shared" si="8"/>
        <v>7</v>
      </c>
      <c r="F79" s="51">
        <f t="shared" si="11"/>
        <v>13.1</v>
      </c>
      <c r="G79" s="52">
        <f>IF(D79=D78,"",_xlfn.IFNA(VLOOKUP(D79,'인원 입력 기능'!$A$5:$D$103,4,FALSE),0))</f>
        <v>3715</v>
      </c>
      <c r="H79" s="53">
        <f t="shared" si="12"/>
        <v>1.1530892860468437E-2</v>
      </c>
      <c r="I79" s="66">
        <f>SUM($G$7:G79)</f>
        <v>281829</v>
      </c>
      <c r="J79" s="55">
        <f t="shared" si="13"/>
        <v>0.87476177765086383</v>
      </c>
      <c r="K79" s="29"/>
      <c r="L79" s="17" t="str">
        <f t="shared" si="9"/>
        <v/>
      </c>
      <c r="N79" s="16"/>
    </row>
    <row r="80" spans="1:14" s="13" customFormat="1" ht="25" customHeight="1">
      <c r="A80" s="11"/>
      <c r="B80" s="24"/>
      <c r="C80" s="64">
        <v>27</v>
      </c>
      <c r="D80" s="50">
        <f t="shared" si="10"/>
        <v>74</v>
      </c>
      <c r="E80" s="65">
        <f t="shared" si="8"/>
        <v>7</v>
      </c>
      <c r="F80" s="51">
        <f t="shared" si="11"/>
        <v>11.48</v>
      </c>
      <c r="G80" s="52">
        <f>IF(D80=D79,"",_xlfn.IFNA(VLOOKUP(D80,'인원 입력 기능'!$A$5:$D$103,4,FALSE),0))</f>
        <v>6751</v>
      </c>
      <c r="H80" s="53">
        <f t="shared" si="12"/>
        <v>2.0954255101217338E-2</v>
      </c>
      <c r="I80" s="66">
        <f>SUM($G$7:G80)</f>
        <v>288580</v>
      </c>
      <c r="J80" s="55">
        <f t="shared" si="13"/>
        <v>0.89571603275208111</v>
      </c>
      <c r="K80" s="29"/>
      <c r="L80" s="17" t="str">
        <f t="shared" si="9"/>
        <v/>
      </c>
      <c r="N80" s="16"/>
    </row>
    <row r="81" spans="1:14" s="13" customFormat="1" ht="25" customHeight="1">
      <c r="A81" s="11"/>
      <c r="B81" s="24"/>
      <c r="C81" s="64">
        <v>26</v>
      </c>
      <c r="D81" s="50">
        <f t="shared" si="10"/>
        <v>73</v>
      </c>
      <c r="E81" s="65">
        <f t="shared" si="8"/>
        <v>8</v>
      </c>
      <c r="F81" s="51">
        <f t="shared" si="11"/>
        <v>9.9</v>
      </c>
      <c r="G81" s="52">
        <f>IF(D81=D80,"",_xlfn.IFNA(VLOOKUP(D81,'인원 입력 기능'!$A$5:$D$103,4,FALSE),0))</f>
        <v>3397</v>
      </c>
      <c r="H81" s="53">
        <f t="shared" si="12"/>
        <v>1.0543860847109362E-2</v>
      </c>
      <c r="I81" s="66">
        <f>SUM($G$7:G81)</f>
        <v>291977</v>
      </c>
      <c r="J81" s="55">
        <f t="shared" si="13"/>
        <v>0.90625989359919046</v>
      </c>
      <c r="K81" s="29"/>
      <c r="L81" s="17" t="str">
        <f t="shared" si="9"/>
        <v/>
      </c>
      <c r="N81" s="16"/>
    </row>
    <row r="82" spans="1:14" s="13" customFormat="1" ht="25" customHeight="1">
      <c r="A82" s="11"/>
      <c r="B82" s="24"/>
      <c r="C82" s="64">
        <v>25</v>
      </c>
      <c r="D82" s="50">
        <f t="shared" si="10"/>
        <v>72</v>
      </c>
      <c r="E82" s="65">
        <f t="shared" si="8"/>
        <v>8</v>
      </c>
      <c r="F82" s="51">
        <f t="shared" si="11"/>
        <v>8.83</v>
      </c>
      <c r="G82" s="52">
        <f>IF(D82=D81,"",_xlfn.IFNA(VLOOKUP(D82,'인원 입력 기능'!$A$5:$D$103,4,FALSE),0))</f>
        <v>3519</v>
      </c>
      <c r="H82" s="53">
        <f t="shared" si="12"/>
        <v>1.0922533506322591E-2</v>
      </c>
      <c r="I82" s="66">
        <f>SUM($G$7:G82)</f>
        <v>295496</v>
      </c>
      <c r="J82" s="55">
        <f t="shared" si="13"/>
        <v>0.91718242710551312</v>
      </c>
      <c r="K82" s="29"/>
      <c r="L82" s="17" t="str">
        <f t="shared" si="9"/>
        <v/>
      </c>
      <c r="N82" s="16"/>
    </row>
    <row r="83" spans="1:14" s="13" customFormat="1" ht="25" customHeight="1">
      <c r="A83" s="11"/>
      <c r="B83" s="24"/>
      <c r="C83" s="64">
        <v>24</v>
      </c>
      <c r="D83" s="50">
        <f t="shared" si="10"/>
        <v>71</v>
      </c>
      <c r="E83" s="65">
        <f t="shared" si="8"/>
        <v>8</v>
      </c>
      <c r="F83" s="51">
        <f t="shared" si="11"/>
        <v>7.68</v>
      </c>
      <c r="G83" s="52">
        <f>IF(D83=D82,"",_xlfn.IFNA(VLOOKUP(D83,'인원 입력 기능'!$A$5:$D$103,4,FALSE),0))</f>
        <v>3896</v>
      </c>
      <c r="H83" s="53">
        <f t="shared" si="12"/>
        <v>1.209269410077659E-2</v>
      </c>
      <c r="I83" s="66">
        <f>SUM($G$7:G83)</f>
        <v>299392</v>
      </c>
      <c r="J83" s="55">
        <f t="shared" si="13"/>
        <v>0.92927512120628974</v>
      </c>
      <c r="K83" s="29"/>
      <c r="L83" s="17" t="str">
        <f t="shared" si="9"/>
        <v/>
      </c>
      <c r="N83" s="16"/>
    </row>
    <row r="84" spans="1:14" s="13" customFormat="1" ht="25" customHeight="1">
      <c r="A84" s="11"/>
      <c r="B84" s="24"/>
      <c r="C84" s="64">
        <v>23</v>
      </c>
      <c r="D84" s="50">
        <f t="shared" si="10"/>
        <v>70</v>
      </c>
      <c r="E84" s="65">
        <f t="shared" si="8"/>
        <v>8</v>
      </c>
      <c r="F84" s="51">
        <f t="shared" si="11"/>
        <v>6.59</v>
      </c>
      <c r="G84" s="52">
        <f>IF(D84=D83,"",_xlfn.IFNA(VLOOKUP(D84,'인원 입력 기능'!$A$5:$D$103,4,FALSE),0))</f>
        <v>3080</v>
      </c>
      <c r="H84" s="53">
        <f t="shared" si="12"/>
        <v>9.559932708006133E-3</v>
      </c>
      <c r="I84" s="66">
        <f>SUM($G$7:G84)</f>
        <v>302472</v>
      </c>
      <c r="J84" s="55">
        <f t="shared" si="13"/>
        <v>0.93883505391429578</v>
      </c>
      <c r="K84" s="29"/>
      <c r="L84" s="17" t="str">
        <f t="shared" si="9"/>
        <v/>
      </c>
      <c r="N84" s="16"/>
    </row>
    <row r="85" spans="1:14" s="13" customFormat="1" ht="25" customHeight="1">
      <c r="A85" s="11"/>
      <c r="B85" s="24"/>
      <c r="C85" s="64">
        <v>22</v>
      </c>
      <c r="D85" s="50">
        <f t="shared" si="10"/>
        <v>69</v>
      </c>
      <c r="E85" s="65">
        <f t="shared" si="8"/>
        <v>8</v>
      </c>
      <c r="F85" s="51">
        <f t="shared" si="11"/>
        <v>5.71</v>
      </c>
      <c r="G85" s="52">
        <f>IF(D85=D84,"",_xlfn.IFNA(VLOOKUP(D85,'인원 입력 기능'!$A$5:$D$103,4,FALSE),0))</f>
        <v>2639</v>
      </c>
      <c r="H85" s="53">
        <f t="shared" si="12"/>
        <v>8.1911241611779817E-3</v>
      </c>
      <c r="I85" s="66">
        <f>SUM($G$7:G85)</f>
        <v>305111</v>
      </c>
      <c r="J85" s="55">
        <f t="shared" si="13"/>
        <v>0.94702617807547385</v>
      </c>
      <c r="K85" s="29"/>
      <c r="L85" s="17" t="str">
        <f t="shared" si="9"/>
        <v/>
      </c>
      <c r="N85" s="16"/>
    </row>
    <row r="86" spans="1:14" s="13" customFormat="1" ht="25" customHeight="1">
      <c r="A86" s="11"/>
      <c r="B86" s="24"/>
      <c r="C86" s="64">
        <v>21</v>
      </c>
      <c r="D86" s="50">
        <f t="shared" si="10"/>
        <v>68</v>
      </c>
      <c r="E86" s="65">
        <f t="shared" si="8"/>
        <v>8</v>
      </c>
      <c r="F86" s="51">
        <f t="shared" si="11"/>
        <v>4.62</v>
      </c>
      <c r="G86" s="52">
        <f>IF(D86=D85,"",_xlfn.IFNA(VLOOKUP(D86,'인원 입력 기능'!$A$5:$D$103,4,FALSE),0))</f>
        <v>4372</v>
      </c>
      <c r="H86" s="53">
        <f t="shared" si="12"/>
        <v>1.3570138246559355E-2</v>
      </c>
      <c r="I86" s="66">
        <f>SUM($G$7:G86)</f>
        <v>309483</v>
      </c>
      <c r="J86" s="55">
        <f t="shared" si="13"/>
        <v>0.96059631632203313</v>
      </c>
      <c r="K86" s="29"/>
      <c r="L86" s="17" t="str">
        <f t="shared" si="9"/>
        <v/>
      </c>
      <c r="N86" s="16"/>
    </row>
    <row r="87" spans="1:14" s="13" customFormat="1" ht="25" customHeight="1">
      <c r="A87" s="11"/>
      <c r="B87" s="24"/>
      <c r="C87" s="64">
        <v>20</v>
      </c>
      <c r="D87" s="50">
        <f t="shared" si="10"/>
        <v>67</v>
      </c>
      <c r="E87" s="65">
        <f t="shared" si="8"/>
        <v>9</v>
      </c>
      <c r="F87" s="51">
        <f t="shared" si="11"/>
        <v>3.61</v>
      </c>
      <c r="G87" s="52">
        <f>IF(D87=D86,"",_xlfn.IFNA(VLOOKUP(D87,'인원 입력 기능'!$A$5:$D$103,4,FALSE),0))</f>
        <v>2108</v>
      </c>
      <c r="H87" s="53">
        <f t="shared" si="12"/>
        <v>6.5429669313236778E-3</v>
      </c>
      <c r="I87" s="66">
        <f>SUM($G$7:G87)</f>
        <v>311591</v>
      </c>
      <c r="J87" s="55">
        <f t="shared" si="13"/>
        <v>0.96713928325335685</v>
      </c>
      <c r="K87" s="29"/>
      <c r="L87" s="17" t="str">
        <f t="shared" si="9"/>
        <v/>
      </c>
      <c r="N87" s="16"/>
    </row>
    <row r="88" spans="1:14" s="13" customFormat="1" ht="25" customHeight="1">
      <c r="A88" s="11"/>
      <c r="B88" s="24"/>
      <c r="C88" s="64">
        <v>19</v>
      </c>
      <c r="D88" s="50">
        <f t="shared" si="10"/>
        <v>66</v>
      </c>
      <c r="E88" s="65">
        <f t="shared" si="8"/>
        <v>9</v>
      </c>
      <c r="F88" s="51">
        <f t="shared" si="11"/>
        <v>2.99</v>
      </c>
      <c r="G88" s="52">
        <f>IF(D88=D87,"",_xlfn.IFNA(VLOOKUP(D88,'인원 입력 기능'!$A$5:$D$103,4,FALSE),0))</f>
        <v>1915</v>
      </c>
      <c r="H88" s="53">
        <f t="shared" si="12"/>
        <v>5.9439191999453717E-3</v>
      </c>
      <c r="I88" s="66">
        <f>SUM($G$7:G88)</f>
        <v>313506</v>
      </c>
      <c r="J88" s="55">
        <f t="shared" si="13"/>
        <v>0.97308320245330227</v>
      </c>
      <c r="K88" s="29"/>
      <c r="L88" s="17" t="str">
        <f t="shared" si="9"/>
        <v/>
      </c>
      <c r="N88" s="16"/>
    </row>
    <row r="89" spans="1:14" s="13" customFormat="1" ht="25" customHeight="1">
      <c r="A89" s="11"/>
      <c r="B89" s="24"/>
      <c r="C89" s="64">
        <v>18</v>
      </c>
      <c r="D89" s="50">
        <f t="shared" si="10"/>
        <v>65</v>
      </c>
      <c r="E89" s="65">
        <f t="shared" si="8"/>
        <v>9</v>
      </c>
      <c r="F89" s="51">
        <f t="shared" si="11"/>
        <v>2.29</v>
      </c>
      <c r="G89" s="52">
        <f>IF(D89=D88,"",_xlfn.IFNA(VLOOKUP(D89,'인원 입력 기능'!$A$5:$D$103,4,FALSE),0))</f>
        <v>2569</v>
      </c>
      <c r="H89" s="53">
        <f t="shared" si="12"/>
        <v>7.9738529632687512E-3</v>
      </c>
      <c r="I89" s="66">
        <f>SUM($G$7:G89)</f>
        <v>316075</v>
      </c>
      <c r="J89" s="55">
        <f t="shared" si="13"/>
        <v>0.98105705541657096</v>
      </c>
      <c r="K89" s="29"/>
      <c r="L89" s="17" t="str">
        <f t="shared" si="9"/>
        <v/>
      </c>
      <c r="N89" s="16"/>
    </row>
    <row r="90" spans="1:14" s="13" customFormat="1" ht="25" customHeight="1">
      <c r="A90" s="11"/>
      <c r="B90" s="24"/>
      <c r="C90" s="64">
        <v>17</v>
      </c>
      <c r="D90" s="50">
        <f t="shared" si="10"/>
        <v>64</v>
      </c>
      <c r="E90" s="65">
        <f t="shared" si="8"/>
        <v>9</v>
      </c>
      <c r="F90" s="51">
        <f t="shared" si="11"/>
        <v>1.69</v>
      </c>
      <c r="G90" s="52">
        <f>IF(D90=D89,"",_xlfn.IFNA(VLOOKUP(D90,'인원 입력 기능'!$A$5:$D$103,4,FALSE),0))</f>
        <v>1291</v>
      </c>
      <c r="H90" s="53">
        <f t="shared" si="12"/>
        <v>4.0071016642973757E-3</v>
      </c>
      <c r="I90" s="66">
        <f>SUM($G$7:G90)</f>
        <v>317366</v>
      </c>
      <c r="J90" s="55">
        <f t="shared" si="13"/>
        <v>0.98506415708086836</v>
      </c>
      <c r="K90" s="29"/>
      <c r="L90" s="17" t="str">
        <f t="shared" si="9"/>
        <v/>
      </c>
      <c r="N90" s="16"/>
    </row>
    <row r="91" spans="1:14" s="13" customFormat="1" ht="25" customHeight="1">
      <c r="A91" s="11"/>
      <c r="B91" s="24"/>
      <c r="C91" s="64">
        <v>16</v>
      </c>
      <c r="D91" s="50">
        <f t="shared" si="10"/>
        <v>63</v>
      </c>
      <c r="E91" s="65">
        <f t="shared" si="8"/>
        <v>9</v>
      </c>
      <c r="F91" s="51">
        <f t="shared" si="11"/>
        <v>1.32</v>
      </c>
      <c r="G91" s="52">
        <f>IF(D91=D90,"",_xlfn.IFNA(VLOOKUP(D91,'인원 입력 기능'!$A$5:$D$103,4,FALSE),0))</f>
        <v>1095</v>
      </c>
      <c r="H91" s="53">
        <f t="shared" si="12"/>
        <v>3.3987423101515309E-3</v>
      </c>
      <c r="I91" s="66">
        <f>SUM($G$7:G91)</f>
        <v>318461</v>
      </c>
      <c r="J91" s="55">
        <f t="shared" si="13"/>
        <v>0.98846289939101983</v>
      </c>
      <c r="K91" s="29"/>
      <c r="L91" s="17" t="str">
        <f t="shared" si="9"/>
        <v/>
      </c>
      <c r="N91" s="16"/>
    </row>
    <row r="92" spans="1:14" s="13" customFormat="1" ht="25" customHeight="1">
      <c r="A92" s="11"/>
      <c r="B92" s="24"/>
      <c r="C92" s="64">
        <v>15</v>
      </c>
      <c r="D92" s="50">
        <f t="shared" si="10"/>
        <v>62</v>
      </c>
      <c r="E92" s="65">
        <f t="shared" si="8"/>
        <v>9</v>
      </c>
      <c r="F92" s="51">
        <f t="shared" si="11"/>
        <v>1.03</v>
      </c>
      <c r="G92" s="52">
        <f>IF(D92=D91,"",_xlfn.IFNA(VLOOKUP(D92,'인원 입력 기능'!$A$5:$D$103,4,FALSE),0))</f>
        <v>819</v>
      </c>
      <c r="H92" s="53">
        <f t="shared" si="12"/>
        <v>2.5420730155379947E-3</v>
      </c>
      <c r="I92" s="66">
        <f>SUM($G$7:G92)</f>
        <v>319280</v>
      </c>
      <c r="J92" s="55">
        <f t="shared" si="13"/>
        <v>0.99100497240655783</v>
      </c>
      <c r="K92" s="29"/>
      <c r="L92" s="17" t="str">
        <f t="shared" si="9"/>
        <v/>
      </c>
      <c r="N92" s="16"/>
    </row>
    <row r="93" spans="1:14" s="13" customFormat="1" ht="25" customHeight="1">
      <c r="A93" s="11"/>
      <c r="B93" s="24"/>
      <c r="C93" s="64">
        <v>14</v>
      </c>
      <c r="D93" s="50">
        <f t="shared" si="10"/>
        <v>61</v>
      </c>
      <c r="E93" s="65">
        <f t="shared" si="8"/>
        <v>9</v>
      </c>
      <c r="F93" s="51">
        <f t="shared" si="11"/>
        <v>0.8</v>
      </c>
      <c r="G93" s="52">
        <f>IF(D93=D92,"",_xlfn.IFNA(VLOOKUP(D93,'인원 입력 기능'!$A$5:$D$103,4,FALSE),0))</f>
        <v>649</v>
      </c>
      <c r="H93" s="53">
        <f t="shared" si="12"/>
        <v>2.0144143920441497E-3</v>
      </c>
      <c r="I93" s="66">
        <f>SUM($G$7:G93)</f>
        <v>319929</v>
      </c>
      <c r="J93" s="55">
        <f t="shared" si="13"/>
        <v>0.99301938679860202</v>
      </c>
      <c r="K93" s="29"/>
      <c r="L93" s="17" t="str">
        <f t="shared" si="9"/>
        <v/>
      </c>
      <c r="N93" s="16"/>
    </row>
    <row r="94" spans="1:14" s="13" customFormat="1" ht="25" customHeight="1">
      <c r="A94" s="11"/>
      <c r="B94" s="24"/>
      <c r="C94" s="64">
        <v>13</v>
      </c>
      <c r="D94" s="50">
        <f t="shared" si="10"/>
        <v>60</v>
      </c>
      <c r="E94" s="65">
        <f t="shared" si="8"/>
        <v>9</v>
      </c>
      <c r="F94" s="51">
        <f t="shared" si="11"/>
        <v>0.63</v>
      </c>
      <c r="G94" s="52">
        <f>IF(D94=D93,"",_xlfn.IFNA(VLOOKUP(D94,'인원 입력 기능'!$A$5:$D$103,4,FALSE),0))</f>
        <v>470</v>
      </c>
      <c r="H94" s="53">
        <f t="shared" si="12"/>
        <v>1.4588209002476891E-3</v>
      </c>
      <c r="I94" s="66">
        <f>SUM($G$7:G94)</f>
        <v>320399</v>
      </c>
      <c r="J94" s="55">
        <f t="shared" si="13"/>
        <v>0.99447820769884976</v>
      </c>
      <c r="K94" s="29"/>
      <c r="L94" s="17" t="str">
        <f t="shared" si="9"/>
        <v/>
      </c>
      <c r="N94" s="16"/>
    </row>
    <row r="95" spans="1:14" s="13" customFormat="1" ht="25" customHeight="1">
      <c r="A95" s="11"/>
      <c r="B95" s="24"/>
      <c r="C95" s="64">
        <v>12</v>
      </c>
      <c r="D95" s="50">
        <f t="shared" si="10"/>
        <v>59</v>
      </c>
      <c r="E95" s="65">
        <f t="shared" si="8"/>
        <v>9</v>
      </c>
      <c r="F95" s="51">
        <f t="shared" si="11"/>
        <v>0.5</v>
      </c>
      <c r="G95" s="52">
        <f>IF(D95=D94,"",_xlfn.IFNA(VLOOKUP(D95,'인원 입력 기능'!$A$5:$D$103,4,FALSE),0))</f>
        <v>360</v>
      </c>
      <c r="H95" s="53">
        <f t="shared" si="12"/>
        <v>1.1173947321046129E-3</v>
      </c>
      <c r="I95" s="66">
        <f>SUM($G$7:G95)</f>
        <v>320759</v>
      </c>
      <c r="J95" s="55">
        <f t="shared" si="13"/>
        <v>0.99559560243095435</v>
      </c>
      <c r="K95" s="29"/>
      <c r="L95" s="17" t="str">
        <f t="shared" si="9"/>
        <v/>
      </c>
      <c r="N95" s="16"/>
    </row>
    <row r="96" spans="1:14" s="13" customFormat="1" ht="25" customHeight="1">
      <c r="A96" s="11"/>
      <c r="B96" s="24"/>
      <c r="C96" s="64">
        <v>11</v>
      </c>
      <c r="D96" s="50">
        <f t="shared" si="10"/>
        <v>58</v>
      </c>
      <c r="E96" s="65">
        <f t="shared" si="8"/>
        <v>9</v>
      </c>
      <c r="F96" s="51">
        <f t="shared" si="11"/>
        <v>0.41</v>
      </c>
      <c r="G96" s="52">
        <f>IF(D96=D95,"",_xlfn.IFNA(VLOOKUP(D96,'인원 입력 기능'!$A$5:$D$103,4,FALSE),0))</f>
        <v>218</v>
      </c>
      <c r="H96" s="53">
        <f t="shared" si="12"/>
        <v>6.7664458777446008E-4</v>
      </c>
      <c r="I96" s="66">
        <f>SUM($G$7:G96)</f>
        <v>320977</v>
      </c>
      <c r="J96" s="55">
        <f t="shared" si="13"/>
        <v>0.99627224701872874</v>
      </c>
      <c r="K96" s="29"/>
      <c r="L96" s="17" t="str">
        <f t="shared" si="9"/>
        <v/>
      </c>
      <c r="N96" s="16"/>
    </row>
    <row r="97" spans="1:14" s="13" customFormat="1" ht="25" customHeight="1">
      <c r="A97" s="11"/>
      <c r="B97" s="24"/>
      <c r="C97" s="64">
        <v>10</v>
      </c>
      <c r="D97" s="50">
        <f t="shared" si="10"/>
        <v>57</v>
      </c>
      <c r="E97" s="65">
        <f t="shared" si="8"/>
        <v>9</v>
      </c>
      <c r="F97" s="51">
        <f t="shared" si="11"/>
        <v>0.34</v>
      </c>
      <c r="G97" s="52">
        <f>IF(D97=D96,"",_xlfn.IFNA(VLOOKUP(D97,'인원 입력 기능'!$A$5:$D$103,4,FALSE),0))</f>
        <v>223</v>
      </c>
      <c r="H97" s="53">
        <f t="shared" si="12"/>
        <v>6.9216395905369083E-4</v>
      </c>
      <c r="I97" s="66">
        <f>SUM($G$7:G97)</f>
        <v>321200</v>
      </c>
      <c r="J97" s="55">
        <f t="shared" si="13"/>
        <v>0.99696441097778243</v>
      </c>
      <c r="K97" s="29"/>
      <c r="L97" s="17" t="str">
        <f t="shared" si="9"/>
        <v/>
      </c>
      <c r="N97" s="16"/>
    </row>
    <row r="98" spans="1:14" s="13" customFormat="1" ht="25" customHeight="1">
      <c r="A98" s="11"/>
      <c r="B98" s="24"/>
      <c r="C98" s="64">
        <v>9</v>
      </c>
      <c r="D98" s="50">
        <f t="shared" si="10"/>
        <v>56</v>
      </c>
      <c r="E98" s="65">
        <f t="shared" si="8"/>
        <v>9</v>
      </c>
      <c r="F98" s="51">
        <f t="shared" si="11"/>
        <v>0.28999999999999998</v>
      </c>
      <c r="G98" s="52">
        <f>IF(D98=D97,"",_xlfn.IFNA(VLOOKUP(D98,'인원 입력 기능'!$A$5:$D$103,4,FALSE),0))</f>
        <v>87</v>
      </c>
      <c r="H98" s="53">
        <f t="shared" si="12"/>
        <v>2.7003706025861482E-4</v>
      </c>
      <c r="I98" s="66">
        <f>SUM($G$7:G98)</f>
        <v>321287</v>
      </c>
      <c r="J98" s="55">
        <f t="shared" si="13"/>
        <v>0.99723444803804107</v>
      </c>
      <c r="K98" s="29"/>
      <c r="L98" s="17" t="str">
        <f t="shared" si="9"/>
        <v/>
      </c>
      <c r="N98" s="16"/>
    </row>
    <row r="99" spans="1:14" s="13" customFormat="1" ht="25" customHeight="1">
      <c r="A99" s="11"/>
      <c r="B99" s="24"/>
      <c r="C99" s="64">
        <v>8</v>
      </c>
      <c r="D99" s="50">
        <f t="shared" si="10"/>
        <v>55</v>
      </c>
      <c r="E99" s="65">
        <f t="shared" si="8"/>
        <v>9</v>
      </c>
      <c r="F99" s="51">
        <f t="shared" si="11"/>
        <v>0.25</v>
      </c>
      <c r="G99" s="52">
        <f>IF(D99=D98,"",_xlfn.IFNA(VLOOKUP(D99,'인원 입력 기능'!$A$5:$D$103,4,FALSE),0))</f>
        <v>144</v>
      </c>
      <c r="H99" s="53">
        <f t="shared" si="12"/>
        <v>4.4695789284184521E-4</v>
      </c>
      <c r="I99" s="66">
        <f>SUM($G$7:G99)</f>
        <v>321431</v>
      </c>
      <c r="J99" s="55">
        <f t="shared" si="13"/>
        <v>0.99768140593088295</v>
      </c>
      <c r="K99" s="29"/>
      <c r="L99" s="17" t="str">
        <f t="shared" si="9"/>
        <v/>
      </c>
      <c r="N99" s="16"/>
    </row>
    <row r="100" spans="1:14" s="13" customFormat="1" ht="25" customHeight="1">
      <c r="A100" s="11"/>
      <c r="B100" s="24"/>
      <c r="C100" s="64">
        <v>7</v>
      </c>
      <c r="D100" s="50">
        <f t="shared" si="10"/>
        <v>54</v>
      </c>
      <c r="E100" s="65">
        <f t="shared" si="8"/>
        <v>9</v>
      </c>
      <c r="F100" s="51">
        <f t="shared" si="11"/>
        <v>0.23</v>
      </c>
      <c r="G100" s="52">
        <f>IF(D100=D99,"",_xlfn.IFNA(VLOOKUP(D100,'인원 입력 기능'!$A$5:$D$103,4,FALSE),0))</f>
        <v>35</v>
      </c>
      <c r="H100" s="53">
        <f t="shared" si="12"/>
        <v>1.0863559895461515E-4</v>
      </c>
      <c r="I100" s="66">
        <f>SUM($G$7:G100)</f>
        <v>321466</v>
      </c>
      <c r="J100" s="55">
        <f t="shared" si="13"/>
        <v>0.99779004152983752</v>
      </c>
      <c r="K100" s="29"/>
      <c r="L100" s="17" t="str">
        <f t="shared" si="9"/>
        <v/>
      </c>
      <c r="N100" s="16"/>
    </row>
    <row r="101" spans="1:14" s="13" customFormat="1" ht="25" customHeight="1">
      <c r="A101" s="11"/>
      <c r="B101" s="24"/>
      <c r="C101" s="56">
        <v>6</v>
      </c>
      <c r="D101" s="50">
        <f t="shared" si="10"/>
        <v>53</v>
      </c>
      <c r="E101" s="50">
        <f t="shared" si="8"/>
        <v>9</v>
      </c>
      <c r="F101" s="51">
        <f t="shared" si="11"/>
        <v>0.21</v>
      </c>
      <c r="G101" s="52">
        <f>IF(D101=D100,"",_xlfn.IFNA(VLOOKUP(D101,'인원 입력 기능'!$A$5:$D$103,4,FALSE),0))</f>
        <v>82</v>
      </c>
      <c r="H101" s="53">
        <f t="shared" si="12"/>
        <v>2.5451768897938407E-4</v>
      </c>
      <c r="I101" s="63">
        <f>SUM($G$7:G101)</f>
        <v>321548</v>
      </c>
      <c r="J101" s="55">
        <f t="shared" si="13"/>
        <v>0.99804455921881696</v>
      </c>
      <c r="K101" s="29"/>
      <c r="L101" s="17" t="str">
        <f t="shared" si="9"/>
        <v/>
      </c>
      <c r="N101" s="16"/>
    </row>
    <row r="102" spans="1:14" s="13" customFormat="1" ht="25" customHeight="1">
      <c r="A102" s="11"/>
      <c r="B102" s="24"/>
      <c r="C102" s="56">
        <v>5</v>
      </c>
      <c r="D102" s="50">
        <f t="shared" si="10"/>
        <v>52</v>
      </c>
      <c r="E102" s="50">
        <f t="shared" si="8"/>
        <v>9</v>
      </c>
      <c r="F102" s="51">
        <f t="shared" si="11"/>
        <v>0.19</v>
      </c>
      <c r="G102" s="52">
        <f>IF(D102=D101,"",_xlfn.IFNA(VLOOKUP(D102,'인원 입력 기능'!$A$5:$D$103,4,FALSE),0))</f>
        <v>6</v>
      </c>
      <c r="H102" s="53">
        <f t="shared" si="12"/>
        <v>1.8623245535076884E-5</v>
      </c>
      <c r="I102" s="63">
        <f>SUM($G$7:G102)</f>
        <v>321554</v>
      </c>
      <c r="J102" s="55">
        <f t="shared" si="13"/>
        <v>0.99806318246435199</v>
      </c>
      <c r="K102" s="29"/>
      <c r="L102" s="17" t="str">
        <f t="shared" si="9"/>
        <v/>
      </c>
      <c r="N102" s="16"/>
    </row>
    <row r="103" spans="1:14" s="13" customFormat="1" ht="25" customHeight="1">
      <c r="A103" s="11"/>
      <c r="B103" s="24"/>
      <c r="C103" s="56">
        <v>4</v>
      </c>
      <c r="D103" s="50">
        <f t="shared" si="10"/>
        <v>51</v>
      </c>
      <c r="E103" s="50">
        <f t="shared" ref="E103:E105" si="14">IF(ROUND(D103,0)&gt;=$Q$7,1,IF(ROUND(D103,0)&gt;=$Q$8,2,IF(ROUND(D103,0)&gt;=$Q$9,3,IF(ROUND(D103,0)&gt;=$Q$10,4,IF(ROUND(D103,0)&gt;=$Q$11,5,IF(ROUND(D103,0)&gt;=$Q$12,6,IF(ROUND(D103,0)&gt;=$Q$13,7,IF(ROUND(D103,0)&gt;=$Q$14,8,9))))))))</f>
        <v>9</v>
      </c>
      <c r="F103" s="51">
        <f t="shared" si="11"/>
        <v>0.18</v>
      </c>
      <c r="G103" s="52">
        <f>IF(D103=D102,"",_xlfn.IFNA(VLOOKUP(D103,'인원 입력 기능'!$A$5:$D$103,4,FALSE),0))</f>
        <v>65</v>
      </c>
      <c r="H103" s="53">
        <f t="shared" si="12"/>
        <v>2.0175182662999957E-4</v>
      </c>
      <c r="I103" s="63">
        <f>SUM($G$7:G103)</f>
        <v>321619</v>
      </c>
      <c r="J103" s="55">
        <f t="shared" si="13"/>
        <v>0.99826493429098195</v>
      </c>
      <c r="K103" s="29"/>
      <c r="L103" s="17" t="str">
        <f t="shared" si="9"/>
        <v/>
      </c>
      <c r="N103" s="16"/>
    </row>
    <row r="104" spans="1:14" s="13" customFormat="1" ht="25" customHeight="1">
      <c r="A104" s="11"/>
      <c r="B104" s="24"/>
      <c r="C104" s="56">
        <v>3</v>
      </c>
      <c r="D104" s="57">
        <f t="shared" si="10"/>
        <v>50</v>
      </c>
      <c r="E104" s="57">
        <f t="shared" si="14"/>
        <v>9</v>
      </c>
      <c r="F104" s="58">
        <f t="shared" si="11"/>
        <v>0.17</v>
      </c>
      <c r="G104" s="109">
        <f>IF(D104=D103,"",_xlfn.IFNA(VLOOKUP(D104,'인원 입력 기능'!$A$5:$D$103,4,FALSE),0))</f>
        <v>0</v>
      </c>
      <c r="H104" s="110">
        <f t="shared" si="12"/>
        <v>0</v>
      </c>
      <c r="I104" s="67">
        <f>SUM($G$7:G104)</f>
        <v>321619</v>
      </c>
      <c r="J104" s="111">
        <f t="shared" si="13"/>
        <v>0.99826493429098195</v>
      </c>
      <c r="K104" s="29"/>
      <c r="L104" s="17" t="str">
        <f t="shared" si="9"/>
        <v/>
      </c>
      <c r="N104" s="16"/>
    </row>
    <row r="105" spans="1:14" s="13" customFormat="1" ht="25" customHeight="1">
      <c r="A105" s="11"/>
      <c r="B105" s="24"/>
      <c r="C105" s="112">
        <v>2</v>
      </c>
      <c r="D105" s="113">
        <f t="shared" si="10"/>
        <v>49</v>
      </c>
      <c r="E105" s="113">
        <f t="shared" si="14"/>
        <v>9</v>
      </c>
      <c r="F105" s="114">
        <f t="shared" si="11"/>
        <v>0.09</v>
      </c>
      <c r="G105" s="115">
        <f>IF(D105=D104,"",_xlfn.IFNA(VLOOKUP(D105,'인원 입력 기능'!$A$5:$D$103,4,FALSE),0))</f>
        <v>559</v>
      </c>
      <c r="H105" s="116">
        <f t="shared" si="12"/>
        <v>1.7350657090179963E-3</v>
      </c>
      <c r="I105" s="117">
        <f>SUM($G$7:G105)</f>
        <v>322178</v>
      </c>
      <c r="J105" s="118">
        <f t="shared" si="13"/>
        <v>1</v>
      </c>
      <c r="K105" s="29"/>
      <c r="L105" s="17" t="str">
        <f t="shared" si="9"/>
        <v/>
      </c>
      <c r="N105" s="16"/>
    </row>
    <row r="106" spans="1:14" s="13" customFormat="1" ht="25" customHeight="1">
      <c r="A106" s="11"/>
      <c r="B106" s="24"/>
      <c r="C106" s="56">
        <v>1</v>
      </c>
      <c r="D106" s="57" t="s">
        <v>37</v>
      </c>
      <c r="E106" s="57"/>
      <c r="F106" s="58"/>
      <c r="G106" s="59"/>
      <c r="H106" s="60"/>
      <c r="I106" s="67"/>
      <c r="J106" s="62"/>
      <c r="K106" s="30"/>
      <c r="L106" s="17"/>
    </row>
    <row r="107" spans="1:14" s="13" customFormat="1" ht="25" customHeight="1" thickBot="1">
      <c r="A107" s="11"/>
      <c r="B107" s="24"/>
      <c r="C107" s="102">
        <v>0</v>
      </c>
      <c r="D107" s="103">
        <f>ROUND(20*(C107-$H$3)/$H$4+100,0)</f>
        <v>47</v>
      </c>
      <c r="E107" s="103">
        <f>IF(ROUND(D107,0)&gt;=$Q$7,1,IF(ROUND(D107,0)&gt;=$Q$8,2,IF(ROUND(D107,0)&gt;=$Q$9,3,IF(ROUND(D107,0)&gt;=$Q$10,4,IF(ROUND(D107,0)&gt;=$Q$11,5,IF(ROUND(D107,0)&gt;=$Q$12,6,IF(ROUND(D107,0)&gt;=$Q$13,7,IF(ROUND(D107,0)&gt;=$Q$14,8,9))))))))</f>
        <v>9</v>
      </c>
      <c r="F107" s="104">
        <f>IF(I105=0,ROUND(100*(1-(I104+I107)/2/$J$3),2),ROUND(100*(1-(I105+I107)/2/$J$3),2))</f>
        <v>0</v>
      </c>
      <c r="G107" s="105">
        <f>_xlfn.IFNA(VLOOKUP(D107,'인원 입력 기능'!$A$5:$D$103,4,FALSE),0)</f>
        <v>0</v>
      </c>
      <c r="H107" s="106">
        <f>G107/$J$3</f>
        <v>0</v>
      </c>
      <c r="I107" s="107">
        <f>SUM($G$7:G107)</f>
        <v>322178</v>
      </c>
      <c r="J107" s="108">
        <f>I107/$J$3</f>
        <v>1</v>
      </c>
      <c r="K107" s="34"/>
      <c r="L107" s="17" t="str">
        <f>IF(ABS((C107-$H$3)/$H$4*20+100-D107)&gt;0.49, "경고", "")</f>
        <v/>
      </c>
    </row>
    <row r="108" spans="1:14" s="2" customFormat="1" ht="25" customHeight="1">
      <c r="B108" s="31"/>
      <c r="C108" s="129" t="s">
        <v>72</v>
      </c>
      <c r="D108" s="129"/>
      <c r="E108" s="129"/>
      <c r="F108" s="129"/>
      <c r="G108" s="129"/>
      <c r="H108" s="129"/>
      <c r="I108" s="129"/>
      <c r="J108" s="129"/>
      <c r="K108" s="33"/>
      <c r="L108" s="19"/>
    </row>
    <row r="109" spans="1:14">
      <c r="A109" s="2"/>
      <c r="B109" s="2"/>
      <c r="C109" s="2"/>
      <c r="D109" s="2"/>
      <c r="E109" s="2"/>
      <c r="F109" s="2"/>
      <c r="G109" s="2"/>
      <c r="H109" s="2"/>
      <c r="I109" s="2"/>
      <c r="J109" s="2"/>
      <c r="L109" s="19"/>
    </row>
  </sheetData>
  <mergeCells count="4">
    <mergeCell ref="D3:F3"/>
    <mergeCell ref="D4:F4"/>
    <mergeCell ref="I4:J5"/>
    <mergeCell ref="C108:J108"/>
  </mergeCells>
  <phoneticPr fontId="1" type="noConversion"/>
  <conditionalFormatting sqref="D7:J107">
    <cfRule type="expression" dxfId="5" priority="3">
      <formula>OR($D7=$Q$7:$Q$14)</formula>
    </cfRule>
  </conditionalFormatting>
  <conditionalFormatting sqref="C7:C107">
    <cfRule type="expression" dxfId="4" priority="2">
      <formula>OR(AND($D7=0,OR($D6=$Q$7:$Q$14)),AND($D8&gt;0,OR($D7=$Q$7:$Q$14)))</formula>
    </cfRule>
  </conditionalFormatting>
  <conditionalFormatting sqref="D7:D107">
    <cfRule type="expression" dxfId="3" priority="1">
      <formula>$D7=$D8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749FE-5941-4A60-840C-DC2EFCC49008}">
  <sheetPr codeName="Sheet5"/>
  <dimension ref="A1:Q108"/>
  <sheetViews>
    <sheetView zoomScale="55" zoomScaleNormal="55" workbookViewId="0">
      <selection activeCell="B2" sqref="B2:K108"/>
    </sheetView>
  </sheetViews>
  <sheetFormatPr defaultRowHeight="17"/>
  <cols>
    <col min="2" max="2" width="1" style="2" customWidth="1"/>
    <col min="3" max="10" width="14.1640625" customWidth="1"/>
    <col min="11" max="11" width="1" style="2" customWidth="1"/>
    <col min="12" max="12" width="14.1640625" customWidth="1"/>
    <col min="13" max="14" width="12.4140625" customWidth="1"/>
  </cols>
  <sheetData>
    <row r="1" spans="1:17">
      <c r="A1" s="2" t="s">
        <v>39</v>
      </c>
      <c r="C1" s="2"/>
      <c r="D1" s="2"/>
      <c r="E1" s="2"/>
      <c r="F1" s="2"/>
      <c r="G1" s="2"/>
      <c r="H1" s="2"/>
      <c r="I1" s="2"/>
      <c r="J1" s="2"/>
      <c r="L1" s="2"/>
    </row>
    <row r="2" spans="1:17" s="2" customFormat="1" ht="6" customHeight="1" thickBot="1">
      <c r="B2" s="21"/>
      <c r="C2" s="22"/>
      <c r="D2" s="22"/>
      <c r="E2" s="22"/>
      <c r="F2" s="22"/>
      <c r="G2" s="22"/>
      <c r="H2" s="22"/>
      <c r="I2" s="22"/>
      <c r="J2" s="22"/>
      <c r="K2" s="23"/>
    </row>
    <row r="3" spans="1:17" s="13" customFormat="1" ht="25" customHeight="1" thickBot="1">
      <c r="A3" s="11"/>
      <c r="B3" s="24"/>
      <c r="C3" s="39" t="s">
        <v>41</v>
      </c>
      <c r="D3" s="120" t="s">
        <v>69</v>
      </c>
      <c r="E3" s="121"/>
      <c r="F3" s="122"/>
      <c r="G3" s="39" t="s">
        <v>42</v>
      </c>
      <c r="H3" s="40" t="str">
        <f>'통계 및 응시자 수 입력 기능'!D5</f>
        <v>46.43</v>
      </c>
      <c r="I3" s="12" t="s">
        <v>43</v>
      </c>
      <c r="J3" s="41">
        <f>'통계 및 응시자 수 입력 기능'!C5</f>
        <v>321562</v>
      </c>
      <c r="K3" s="25"/>
      <c r="L3" s="11"/>
    </row>
    <row r="4" spans="1:17" s="13" customFormat="1" ht="25" customHeight="1" thickBot="1">
      <c r="A4" s="11"/>
      <c r="B4" s="24"/>
      <c r="C4" s="42" t="s">
        <v>44</v>
      </c>
      <c r="D4" s="123" t="s">
        <v>47</v>
      </c>
      <c r="E4" s="124"/>
      <c r="F4" s="125"/>
      <c r="G4" s="43" t="s">
        <v>46</v>
      </c>
      <c r="H4" s="44" t="str">
        <f>'통계 및 응시자 수 입력 기능'!E5</f>
        <v>23.05</v>
      </c>
      <c r="I4" s="126"/>
      <c r="J4" s="127"/>
      <c r="K4" s="26"/>
      <c r="L4" s="11"/>
    </row>
    <row r="5" spans="1:17" s="13" customFormat="1" ht="25" customHeight="1" thickBot="1">
      <c r="A5" s="11"/>
      <c r="B5" s="24"/>
      <c r="C5" s="14"/>
      <c r="D5" s="14"/>
      <c r="E5" s="14"/>
      <c r="F5" s="99"/>
      <c r="G5" s="14"/>
      <c r="H5" s="11"/>
      <c r="I5" s="128"/>
      <c r="J5" s="128"/>
      <c r="K5" s="27"/>
      <c r="L5" s="11"/>
    </row>
    <row r="6" spans="1:17" s="13" customFormat="1" ht="25" customHeight="1" thickBot="1">
      <c r="A6" s="11"/>
      <c r="B6" s="24"/>
      <c r="C6" s="45" t="s">
        <v>48</v>
      </c>
      <c r="D6" s="46" t="s">
        <v>49</v>
      </c>
      <c r="E6" s="46" t="s">
        <v>50</v>
      </c>
      <c r="F6" s="46" t="s">
        <v>51</v>
      </c>
      <c r="G6" s="46" t="s">
        <v>52</v>
      </c>
      <c r="H6" s="47" t="s">
        <v>53</v>
      </c>
      <c r="I6" s="47" t="s">
        <v>54</v>
      </c>
      <c r="J6" s="48" t="s">
        <v>55</v>
      </c>
      <c r="K6" s="28"/>
      <c r="L6" s="20" t="s">
        <v>38</v>
      </c>
      <c r="M6" s="14"/>
      <c r="N6" s="15"/>
    </row>
    <row r="7" spans="1:17" s="13" customFormat="1" ht="25" customHeight="1">
      <c r="A7" s="11"/>
      <c r="B7" s="24"/>
      <c r="C7" s="49">
        <v>100</v>
      </c>
      <c r="D7" s="50">
        <f>ROUND(20*(C7-$H$3)/$H$4+100,0)</f>
        <v>146</v>
      </c>
      <c r="E7" s="50">
        <f t="shared" ref="E7:E70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1">
        <f>ROUND(100*(1-(0+I7)/2/$J$3),2)</f>
        <v>99.68</v>
      </c>
      <c r="G7" s="52">
        <f>_xlfn.IFNA(VLOOKUP(D7,'인원 입력 기능'!$F$5:$I$103,4,FALSE),0)</f>
        <v>2058</v>
      </c>
      <c r="H7" s="53">
        <f>G7/$J$3</f>
        <v>6.4000099514246083E-3</v>
      </c>
      <c r="I7" s="54">
        <f>G7</f>
        <v>2058</v>
      </c>
      <c r="J7" s="55">
        <f>I7/$J$3</f>
        <v>6.4000099514246083E-3</v>
      </c>
      <c r="K7" s="29"/>
      <c r="L7" s="17" t="str">
        <f>IF(ABS((C7-$H$3)/$H$4*20+100-D7)&gt;0.49, "경고", "")</f>
        <v/>
      </c>
      <c r="N7" s="16"/>
      <c r="P7" s="16">
        <v>1</v>
      </c>
      <c r="Q7" s="16">
        <f>'표점등급&amp;절평인원 입력기능'!C13</f>
        <v>136</v>
      </c>
    </row>
    <row r="8" spans="1:17" s="13" customFormat="1" ht="25" customHeight="1">
      <c r="A8" s="11"/>
      <c r="B8" s="24"/>
      <c r="C8" s="56">
        <v>99</v>
      </c>
      <c r="D8" s="57" t="s">
        <v>37</v>
      </c>
      <c r="E8" s="57"/>
      <c r="F8" s="58"/>
      <c r="G8" s="59"/>
      <c r="H8" s="60"/>
      <c r="I8" s="61"/>
      <c r="J8" s="62"/>
      <c r="K8" s="30"/>
      <c r="L8" s="17"/>
      <c r="N8" s="16"/>
      <c r="P8" s="16">
        <v>2</v>
      </c>
      <c r="Q8" s="16">
        <f>'표점등급&amp;절평인원 입력기능'!C14</f>
        <v>126</v>
      </c>
    </row>
    <row r="9" spans="1:17" s="13" customFormat="1" ht="25" customHeight="1">
      <c r="A9" s="11"/>
      <c r="B9" s="24"/>
      <c r="C9" s="56">
        <v>98</v>
      </c>
      <c r="D9" s="50">
        <f t="shared" ref="D9:D40" si="1">ROUND(20*(C9-$H$3)/$H$4+100,0)</f>
        <v>145</v>
      </c>
      <c r="E9" s="50">
        <f t="shared" si="0"/>
        <v>1</v>
      </c>
      <c r="F9" s="51">
        <f>IF(I8=0,ROUND(100*(1-(I7+I9)/2/$J$3),2),ROUND(100*(1-(I8+I9)/2/$J$3),2))</f>
        <v>99.36</v>
      </c>
      <c r="G9" s="52">
        <f>_xlfn.IFNA(VLOOKUP(D9,'인원 입력 기능'!$F$5:$I$103,4,FALSE),0)</f>
        <v>23</v>
      </c>
      <c r="H9" s="53">
        <f>G9/$J$3</f>
        <v>7.1525864374521859E-5</v>
      </c>
      <c r="I9" s="63">
        <f>SUM($G$7:G9)</f>
        <v>2081</v>
      </c>
      <c r="J9" s="55">
        <f>I9/$J$3</f>
        <v>6.4715358157991301E-3</v>
      </c>
      <c r="K9" s="29"/>
      <c r="L9" s="17" t="str">
        <f t="shared" ref="L9:L40" si="2">IF(ABS((C9-$H$3)/$H$4*20+100-D9)&gt;0.49, "경고", "")</f>
        <v/>
      </c>
      <c r="N9" s="16"/>
      <c r="P9" s="16">
        <v>3</v>
      </c>
      <c r="Q9" s="16">
        <f>'표점등급&amp;절평인원 입력기능'!C15</f>
        <v>116</v>
      </c>
    </row>
    <row r="10" spans="1:17" s="13" customFormat="1" ht="25" customHeight="1">
      <c r="A10" s="11"/>
      <c r="B10" s="24"/>
      <c r="C10" s="56">
        <v>97</v>
      </c>
      <c r="D10" s="50">
        <f t="shared" si="1"/>
        <v>144</v>
      </c>
      <c r="E10" s="50">
        <f t="shared" si="0"/>
        <v>1</v>
      </c>
      <c r="F10" s="51">
        <f t="shared" ref="F10:F73" si="3">IF(I9=0,ROUND(100*(1-(I8+I10)/2/$J$3),2),ROUND(100*(1-(I9+I10)/2/$J$3),2))</f>
        <v>99.33</v>
      </c>
      <c r="G10" s="52">
        <f>IF(D10=D9,"",_xlfn.IFNA(VLOOKUP(D10,'인원 입력 기능'!$F$5:$I$103,4,FALSE),0))</f>
        <v>122</v>
      </c>
      <c r="H10" s="53">
        <f t="shared" ref="H10:H73" si="4">G10/$J$3</f>
        <v>3.7939806320398553E-4</v>
      </c>
      <c r="I10" s="63">
        <f>SUM($G$7:G10)</f>
        <v>2203</v>
      </c>
      <c r="J10" s="55">
        <f t="shared" ref="J10:J73" si="5">I10/$J$3</f>
        <v>6.850933879003116E-3</v>
      </c>
      <c r="K10" s="29"/>
      <c r="L10" s="17" t="str">
        <f t="shared" si="2"/>
        <v/>
      </c>
      <c r="N10" s="16"/>
      <c r="P10" s="16">
        <v>4</v>
      </c>
      <c r="Q10" s="16">
        <f>'표점등급&amp;절평인원 입력기능'!C16</f>
        <v>106</v>
      </c>
    </row>
    <row r="11" spans="1:17" s="13" customFormat="1" ht="25" customHeight="1">
      <c r="A11" s="11"/>
      <c r="B11" s="24"/>
      <c r="C11" s="56">
        <v>96</v>
      </c>
      <c r="D11" s="50">
        <f t="shared" si="1"/>
        <v>143</v>
      </c>
      <c r="E11" s="50">
        <f t="shared" si="0"/>
        <v>1</v>
      </c>
      <c r="F11" s="51">
        <f t="shared" si="3"/>
        <v>98.85</v>
      </c>
      <c r="G11" s="52">
        <f>IF(D11=D10,"",_xlfn.IFNA(VLOOKUP(D11,'인원 입력 기능'!$F$5:$I$103,4,FALSE),0))</f>
        <v>2983</v>
      </c>
      <c r="H11" s="53">
        <f t="shared" si="4"/>
        <v>9.2765936273564668E-3</v>
      </c>
      <c r="I11" s="63">
        <f>SUM($G$7:G11)</f>
        <v>5186</v>
      </c>
      <c r="J11" s="55">
        <f t="shared" si="5"/>
        <v>1.6127527506359582E-2</v>
      </c>
      <c r="K11" s="29"/>
      <c r="L11" s="17" t="str">
        <f t="shared" si="2"/>
        <v/>
      </c>
      <c r="N11" s="16"/>
      <c r="P11" s="16">
        <v>5</v>
      </c>
      <c r="Q11" s="16">
        <f>'표점등급&amp;절평인원 입력기능'!C17</f>
        <v>94</v>
      </c>
    </row>
    <row r="12" spans="1:17" s="13" customFormat="1" ht="25" customHeight="1">
      <c r="A12" s="11"/>
      <c r="B12" s="24"/>
      <c r="C12" s="56">
        <v>95</v>
      </c>
      <c r="D12" s="50">
        <f t="shared" si="1"/>
        <v>142</v>
      </c>
      <c r="E12" s="50">
        <f t="shared" si="0"/>
        <v>1</v>
      </c>
      <c r="F12" s="51">
        <f t="shared" si="3"/>
        <v>98.39</v>
      </c>
      <c r="G12" s="52">
        <f>IF(D12=D11,"",_xlfn.IFNA(VLOOKUP(D12,'인원 입력 기능'!$F$5:$I$103,4,FALSE),0))</f>
        <v>2</v>
      </c>
      <c r="H12" s="53">
        <f t="shared" si="4"/>
        <v>6.2196403803932055E-6</v>
      </c>
      <c r="I12" s="63">
        <f>SUM($G$7:G12)</f>
        <v>5188</v>
      </c>
      <c r="J12" s="55">
        <f t="shared" si="5"/>
        <v>1.6133747146739975E-2</v>
      </c>
      <c r="K12" s="29"/>
      <c r="L12" s="17" t="str">
        <f t="shared" si="2"/>
        <v/>
      </c>
      <c r="N12" s="16"/>
      <c r="P12" s="16">
        <v>6</v>
      </c>
      <c r="Q12" s="16">
        <f>'표점등급&amp;절평인원 입력기능'!C18</f>
        <v>81</v>
      </c>
    </row>
    <row r="13" spans="1:17" s="13" customFormat="1" ht="25" customHeight="1">
      <c r="A13" s="11"/>
      <c r="B13" s="24"/>
      <c r="C13" s="56">
        <v>94</v>
      </c>
      <c r="D13" s="50">
        <f t="shared" si="1"/>
        <v>141</v>
      </c>
      <c r="E13" s="50">
        <f t="shared" si="0"/>
        <v>1</v>
      </c>
      <c r="F13" s="51">
        <f t="shared" si="3"/>
        <v>98.38</v>
      </c>
      <c r="G13" s="52">
        <f>IF(D13=D12,"",_xlfn.IFNA(VLOOKUP(D13,'인원 입력 기능'!$F$5:$I$103,4,FALSE),0))</f>
        <v>40</v>
      </c>
      <c r="H13" s="53">
        <f t="shared" si="4"/>
        <v>1.2439280760786413E-4</v>
      </c>
      <c r="I13" s="63">
        <f>SUM($G$7:G13)</f>
        <v>5228</v>
      </c>
      <c r="J13" s="55">
        <f t="shared" si="5"/>
        <v>1.6258139954347838E-2</v>
      </c>
      <c r="K13" s="29"/>
      <c r="L13" s="17" t="str">
        <f t="shared" si="2"/>
        <v/>
      </c>
      <c r="N13" s="16"/>
      <c r="P13" s="16">
        <v>7</v>
      </c>
      <c r="Q13" s="16">
        <f>'표점등급&amp;절평인원 입력기능'!C19</f>
        <v>74</v>
      </c>
    </row>
    <row r="14" spans="1:17" s="13" customFormat="1" ht="25" customHeight="1">
      <c r="A14" s="11"/>
      <c r="B14" s="24"/>
      <c r="C14" s="56">
        <v>93</v>
      </c>
      <c r="D14" s="138">
        <f t="shared" si="1"/>
        <v>140</v>
      </c>
      <c r="E14" s="138">
        <f t="shared" si="0"/>
        <v>1</v>
      </c>
      <c r="F14" s="140">
        <f t="shared" si="3"/>
        <v>97.65</v>
      </c>
      <c r="G14" s="142">
        <f>IF(D14=D13,"",_xlfn.IFNA(VLOOKUP(D14,'인원 입력 기능'!$F$5:$I$103,4,FALSE),0))</f>
        <v>4689</v>
      </c>
      <c r="H14" s="143">
        <f t="shared" si="4"/>
        <v>1.4581946871831871E-2</v>
      </c>
      <c r="I14" s="145">
        <f>SUM($G$7:G14)</f>
        <v>9917</v>
      </c>
      <c r="J14" s="147">
        <f t="shared" si="5"/>
        <v>3.0840086826179711E-2</v>
      </c>
      <c r="K14" s="29"/>
      <c r="L14" s="17" t="str">
        <f t="shared" si="2"/>
        <v/>
      </c>
      <c r="N14" s="16"/>
      <c r="P14" s="16">
        <v>8</v>
      </c>
      <c r="Q14" s="16">
        <f>'표점등급&amp;절평인원 입력기능'!C20</f>
        <v>70</v>
      </c>
    </row>
    <row r="15" spans="1:17" s="13" customFormat="1" ht="25" customHeight="1">
      <c r="A15" s="11"/>
      <c r="B15" s="24"/>
      <c r="C15" s="56">
        <v>92</v>
      </c>
      <c r="D15" s="137"/>
      <c r="E15" s="137"/>
      <c r="F15" s="139"/>
      <c r="G15" s="141"/>
      <c r="H15" s="144"/>
      <c r="I15" s="146"/>
      <c r="J15" s="148"/>
      <c r="K15" s="29"/>
      <c r="L15" s="17" t="str">
        <f t="shared" si="2"/>
        <v>경고</v>
      </c>
      <c r="N15" s="16"/>
      <c r="P15" s="16">
        <v>9</v>
      </c>
    </row>
    <row r="16" spans="1:17" s="13" customFormat="1" ht="25" customHeight="1">
      <c r="A16" s="11"/>
      <c r="B16" s="24"/>
      <c r="C16" s="56">
        <v>91</v>
      </c>
      <c r="D16" s="50">
        <f t="shared" si="1"/>
        <v>139</v>
      </c>
      <c r="E16" s="50">
        <f t="shared" si="0"/>
        <v>1</v>
      </c>
      <c r="F16" s="51">
        <f t="shared" si="3"/>
        <v>96.91</v>
      </c>
      <c r="G16" s="52">
        <f>IF(D16=D15,"",_xlfn.IFNA(VLOOKUP(D16,'인원 입력 기능'!$F$5:$I$103,4,FALSE),0))</f>
        <v>13</v>
      </c>
      <c r="H16" s="53">
        <f t="shared" si="4"/>
        <v>4.0427662472555834E-5</v>
      </c>
      <c r="I16" s="63">
        <f>SUM($G$7:G16)</f>
        <v>9930</v>
      </c>
      <c r="J16" s="55">
        <f t="shared" si="5"/>
        <v>3.0880514488652266E-2</v>
      </c>
      <c r="K16" s="29"/>
      <c r="L16" s="17" t="str">
        <f t="shared" si="2"/>
        <v/>
      </c>
      <c r="N16" s="16"/>
    </row>
    <row r="17" spans="1:17" s="13" customFormat="1" ht="25" customHeight="1">
      <c r="A17" s="11"/>
      <c r="B17" s="24"/>
      <c r="C17" s="56">
        <v>90</v>
      </c>
      <c r="D17" s="50">
        <f t="shared" si="1"/>
        <v>138</v>
      </c>
      <c r="E17" s="50">
        <f t="shared" si="0"/>
        <v>1</v>
      </c>
      <c r="F17" s="51">
        <f t="shared" si="3"/>
        <v>96.89</v>
      </c>
      <c r="G17" s="52">
        <f>IF(D17=D16,"",_xlfn.IFNA(VLOOKUP(D17,'인원 입력 기능'!$F$5:$I$103,4,FALSE),0))</f>
        <v>135</v>
      </c>
      <c r="H17" s="53">
        <f t="shared" si="4"/>
        <v>4.198257256765414E-4</v>
      </c>
      <c r="I17" s="63">
        <f>SUM($G$7:G17)</f>
        <v>10065</v>
      </c>
      <c r="J17" s="55">
        <f t="shared" si="5"/>
        <v>3.1300340214328808E-2</v>
      </c>
      <c r="K17" s="29"/>
      <c r="L17" s="17" t="str">
        <f t="shared" si="2"/>
        <v/>
      </c>
      <c r="N17" s="16"/>
      <c r="Q17" s="13">
        <f>IF(H3*H4*J3*Q7=0, 0, 1)</f>
        <v>1</v>
      </c>
    </row>
    <row r="18" spans="1:17" s="13" customFormat="1" ht="25" customHeight="1">
      <c r="A18" s="11"/>
      <c r="B18" s="24"/>
      <c r="C18" s="56">
        <v>89</v>
      </c>
      <c r="D18" s="50">
        <f t="shared" si="1"/>
        <v>137</v>
      </c>
      <c r="E18" s="50">
        <f t="shared" si="0"/>
        <v>1</v>
      </c>
      <c r="F18" s="51">
        <f t="shared" si="3"/>
        <v>96.73</v>
      </c>
      <c r="G18" s="52">
        <f>IF(D18=D17,"",_xlfn.IFNA(VLOOKUP(D18,'인원 입력 기능'!$F$5:$I$103,4,FALSE),0))</f>
        <v>930</v>
      </c>
      <c r="H18" s="53">
        <f t="shared" si="4"/>
        <v>2.8921327768828406E-3</v>
      </c>
      <c r="I18" s="63">
        <f>SUM($G$7:G18)</f>
        <v>10995</v>
      </c>
      <c r="J18" s="55">
        <f t="shared" si="5"/>
        <v>3.4192472991211649E-2</v>
      </c>
      <c r="K18" s="29"/>
      <c r="L18" s="17" t="str">
        <f t="shared" si="2"/>
        <v/>
      </c>
      <c r="N18" s="16"/>
    </row>
    <row r="19" spans="1:17" s="13" customFormat="1" ht="25" customHeight="1">
      <c r="A19" s="11"/>
      <c r="B19" s="24"/>
      <c r="C19" s="56">
        <v>88</v>
      </c>
      <c r="D19" s="50">
        <f t="shared" si="1"/>
        <v>136</v>
      </c>
      <c r="E19" s="65">
        <f t="shared" si="0"/>
        <v>1</v>
      </c>
      <c r="F19" s="51">
        <f t="shared" si="3"/>
        <v>95.79</v>
      </c>
      <c r="G19" s="52">
        <f>IF(D19=D18,"",_xlfn.IFNA(VLOOKUP(D19,'인원 입력 기능'!$F$5:$I$103,4,FALSE),0))</f>
        <v>5072</v>
      </c>
      <c r="H19" s="53">
        <f t="shared" si="4"/>
        <v>1.577300800467717E-2</v>
      </c>
      <c r="I19" s="63">
        <f>SUM($G$7:G19)</f>
        <v>16067</v>
      </c>
      <c r="J19" s="55">
        <f t="shared" si="5"/>
        <v>4.9965480995888815E-2</v>
      </c>
      <c r="K19" s="29"/>
      <c r="L19" s="17" t="str">
        <f t="shared" si="2"/>
        <v/>
      </c>
      <c r="N19" s="16"/>
    </row>
    <row r="20" spans="1:17" s="13" customFormat="1" ht="25" customHeight="1">
      <c r="A20" s="11"/>
      <c r="B20" s="24"/>
      <c r="C20" s="56">
        <v>87</v>
      </c>
      <c r="D20" s="50">
        <f t="shared" si="1"/>
        <v>135</v>
      </c>
      <c r="E20" s="65">
        <f t="shared" si="0"/>
        <v>2</v>
      </c>
      <c r="F20" s="51">
        <f t="shared" si="3"/>
        <v>95</v>
      </c>
      <c r="G20" s="52">
        <f>IF(D20=D19,"",_xlfn.IFNA(VLOOKUP(D20,'인원 입력 기능'!$F$5:$I$103,4,FALSE),0))</f>
        <v>19</v>
      </c>
      <c r="H20" s="53">
        <f t="shared" si="4"/>
        <v>5.9086583613735453E-5</v>
      </c>
      <c r="I20" s="63">
        <f>SUM($G$7:G20)</f>
        <v>16086</v>
      </c>
      <c r="J20" s="55">
        <f t="shared" si="5"/>
        <v>5.0024567579502556E-2</v>
      </c>
      <c r="K20" s="29"/>
      <c r="L20" s="17" t="str">
        <f t="shared" si="2"/>
        <v/>
      </c>
      <c r="N20" s="16"/>
    </row>
    <row r="21" spans="1:17" s="13" customFormat="1" ht="25" customHeight="1">
      <c r="A21" s="11"/>
      <c r="B21" s="24"/>
      <c r="C21" s="56">
        <v>86</v>
      </c>
      <c r="D21" s="50">
        <f t="shared" si="1"/>
        <v>134</v>
      </c>
      <c r="E21" s="65">
        <f t="shared" si="0"/>
        <v>2</v>
      </c>
      <c r="F21" s="51">
        <f t="shared" si="3"/>
        <v>94.96</v>
      </c>
      <c r="G21" s="52">
        <f>IF(D21=D20,"",_xlfn.IFNA(VLOOKUP(D21,'인원 입력 기능'!$F$5:$I$103,4,FALSE),0))</f>
        <v>264</v>
      </c>
      <c r="H21" s="53">
        <f t="shared" si="4"/>
        <v>8.2099253021190313E-4</v>
      </c>
      <c r="I21" s="63">
        <f>SUM($G$7:G21)</f>
        <v>16350</v>
      </c>
      <c r="J21" s="55">
        <f t="shared" si="5"/>
        <v>5.0845560109714458E-2</v>
      </c>
      <c r="K21" s="29"/>
      <c r="L21" s="17" t="str">
        <f t="shared" si="2"/>
        <v/>
      </c>
      <c r="N21" s="16"/>
    </row>
    <row r="22" spans="1:17" s="13" customFormat="1" ht="25" customHeight="1">
      <c r="A22" s="11"/>
      <c r="B22" s="24"/>
      <c r="C22" s="56">
        <v>85</v>
      </c>
      <c r="D22" s="138">
        <f t="shared" si="1"/>
        <v>133</v>
      </c>
      <c r="E22" s="150">
        <f t="shared" si="0"/>
        <v>2</v>
      </c>
      <c r="F22" s="140">
        <f t="shared" si="3"/>
        <v>93.86</v>
      </c>
      <c r="G22" s="142">
        <f>IF(D22=D21,"",_xlfn.IFNA(VLOOKUP(D22,'인원 입력 기능'!$F$5:$I$103,4,FALSE),0))</f>
        <v>6798</v>
      </c>
      <c r="H22" s="143">
        <f t="shared" si="4"/>
        <v>2.1140557652956506E-2</v>
      </c>
      <c r="I22" s="145">
        <f>SUM($G$7:G22)</f>
        <v>23148</v>
      </c>
      <c r="J22" s="147">
        <f t="shared" si="5"/>
        <v>7.1986117762670956E-2</v>
      </c>
      <c r="K22" s="29"/>
      <c r="L22" s="17" t="str">
        <f t="shared" si="2"/>
        <v/>
      </c>
      <c r="N22" s="16"/>
    </row>
    <row r="23" spans="1:17" s="13" customFormat="1" ht="25" customHeight="1">
      <c r="A23" s="11"/>
      <c r="B23" s="24"/>
      <c r="C23" s="56">
        <v>84</v>
      </c>
      <c r="D23" s="137"/>
      <c r="E23" s="149"/>
      <c r="F23" s="139"/>
      <c r="G23" s="141"/>
      <c r="H23" s="144"/>
      <c r="I23" s="146"/>
      <c r="J23" s="148"/>
      <c r="K23" s="29"/>
      <c r="L23" s="17" t="str">
        <f t="shared" si="2"/>
        <v>경고</v>
      </c>
      <c r="N23" s="16"/>
    </row>
    <row r="24" spans="1:17" s="13" customFormat="1" ht="25" customHeight="1">
      <c r="A24" s="11"/>
      <c r="B24" s="24"/>
      <c r="C24" s="64">
        <v>83</v>
      </c>
      <c r="D24" s="65">
        <f t="shared" si="1"/>
        <v>132</v>
      </c>
      <c r="E24" s="65">
        <f t="shared" si="0"/>
        <v>2</v>
      </c>
      <c r="F24" s="51">
        <f t="shared" si="3"/>
        <v>92.79</v>
      </c>
      <c r="G24" s="52">
        <f>IF(D24=D23,"",_xlfn.IFNA(VLOOKUP(D24,'인원 입력 기능'!$F$5:$I$103,4,FALSE),0))</f>
        <v>72</v>
      </c>
      <c r="H24" s="53">
        <f t="shared" si="4"/>
        <v>2.239070536941554E-4</v>
      </c>
      <c r="I24" s="66">
        <f>SUM($G$7:G24)</f>
        <v>23220</v>
      </c>
      <c r="J24" s="55">
        <f t="shared" si="5"/>
        <v>7.2210024816365112E-2</v>
      </c>
      <c r="K24" s="29"/>
      <c r="L24" s="17" t="str">
        <f t="shared" si="2"/>
        <v/>
      </c>
      <c r="N24" s="16"/>
    </row>
    <row r="25" spans="1:17" s="13" customFormat="1" ht="25" customHeight="1">
      <c r="A25" s="11"/>
      <c r="B25" s="24"/>
      <c r="C25" s="64">
        <v>82</v>
      </c>
      <c r="D25" s="65">
        <f t="shared" si="1"/>
        <v>131</v>
      </c>
      <c r="E25" s="65">
        <f t="shared" si="0"/>
        <v>2</v>
      </c>
      <c r="F25" s="51">
        <f t="shared" si="3"/>
        <v>92.72</v>
      </c>
      <c r="G25" s="52">
        <f>IF(D25=D24,"",_xlfn.IFNA(VLOOKUP(D25,'인원 입력 기능'!$F$5:$I$103,4,FALSE),0))</f>
        <v>407</v>
      </c>
      <c r="H25" s="53">
        <f t="shared" si="4"/>
        <v>1.2656968174100175E-3</v>
      </c>
      <c r="I25" s="66">
        <f>SUM($G$7:G25)</f>
        <v>23627</v>
      </c>
      <c r="J25" s="55">
        <f t="shared" si="5"/>
        <v>7.3475721633775137E-2</v>
      </c>
      <c r="K25" s="29"/>
      <c r="L25" s="17" t="str">
        <f t="shared" si="2"/>
        <v/>
      </c>
      <c r="N25" s="16"/>
    </row>
    <row r="26" spans="1:17" s="13" customFormat="1" ht="25" customHeight="1">
      <c r="A26" s="11"/>
      <c r="B26" s="24"/>
      <c r="C26" s="64">
        <v>81</v>
      </c>
      <c r="D26" s="65">
        <f t="shared" si="1"/>
        <v>130</v>
      </c>
      <c r="E26" s="65">
        <f t="shared" si="0"/>
        <v>2</v>
      </c>
      <c r="F26" s="51">
        <f t="shared" si="3"/>
        <v>92.3</v>
      </c>
      <c r="G26" s="52">
        <f>IF(D26=D25,"",_xlfn.IFNA(VLOOKUP(D26,'인원 입력 기능'!$F$5:$I$103,4,FALSE),0))</f>
        <v>2287</v>
      </c>
      <c r="H26" s="53">
        <f t="shared" si="4"/>
        <v>7.1121587749796303E-3</v>
      </c>
      <c r="I26" s="66">
        <f>SUM($G$7:G26)</f>
        <v>25914</v>
      </c>
      <c r="J26" s="55">
        <f t="shared" si="5"/>
        <v>8.0587880408754767E-2</v>
      </c>
      <c r="K26" s="29"/>
      <c r="L26" s="17" t="str">
        <f t="shared" si="2"/>
        <v/>
      </c>
      <c r="N26" s="16"/>
    </row>
    <row r="27" spans="1:17" s="13" customFormat="1" ht="25" customHeight="1">
      <c r="A27" s="11"/>
      <c r="B27" s="24"/>
      <c r="C27" s="64">
        <v>80</v>
      </c>
      <c r="D27" s="65">
        <f t="shared" si="1"/>
        <v>129</v>
      </c>
      <c r="E27" s="65">
        <f t="shared" si="0"/>
        <v>2</v>
      </c>
      <c r="F27" s="51">
        <f t="shared" si="3"/>
        <v>91.14</v>
      </c>
      <c r="G27" s="52">
        <f>IF(D27=D26,"",_xlfn.IFNA(VLOOKUP(D27,'인원 입력 기능'!$F$5:$I$103,4,FALSE),0))</f>
        <v>5183</v>
      </c>
      <c r="H27" s="53">
        <f t="shared" si="4"/>
        <v>1.6118198045788991E-2</v>
      </c>
      <c r="I27" s="66">
        <f>SUM($G$7:G27)</f>
        <v>31097</v>
      </c>
      <c r="J27" s="55">
        <f t="shared" si="5"/>
        <v>9.6706078454543765E-2</v>
      </c>
      <c r="K27" s="29"/>
      <c r="L27" s="17" t="str">
        <f t="shared" si="2"/>
        <v/>
      </c>
      <c r="N27" s="16"/>
    </row>
    <row r="28" spans="1:17" s="13" customFormat="1" ht="25" customHeight="1">
      <c r="A28" s="11"/>
      <c r="B28" s="24"/>
      <c r="C28" s="64">
        <v>79</v>
      </c>
      <c r="D28" s="65">
        <f t="shared" si="1"/>
        <v>128</v>
      </c>
      <c r="E28" s="65">
        <f t="shared" si="0"/>
        <v>2</v>
      </c>
      <c r="F28" s="51">
        <f t="shared" si="3"/>
        <v>90.31</v>
      </c>
      <c r="G28" s="52">
        <f>IF(D28=D27,"",_xlfn.IFNA(VLOOKUP(D28,'인원 입력 기능'!$F$5:$I$103,4,FALSE),0))</f>
        <v>124</v>
      </c>
      <c r="H28" s="53">
        <f t="shared" si="4"/>
        <v>3.8561770358437874E-4</v>
      </c>
      <c r="I28" s="66">
        <f>SUM($G$7:G28)</f>
        <v>31221</v>
      </c>
      <c r="J28" s="55">
        <f t="shared" si="5"/>
        <v>9.7091696158128141E-2</v>
      </c>
      <c r="K28" s="29"/>
      <c r="L28" s="17" t="str">
        <f t="shared" si="2"/>
        <v/>
      </c>
      <c r="N28" s="16"/>
    </row>
    <row r="29" spans="1:17" s="13" customFormat="1" ht="25" customHeight="1">
      <c r="A29" s="11"/>
      <c r="B29" s="24"/>
      <c r="C29" s="64">
        <v>78</v>
      </c>
      <c r="D29" s="150">
        <f t="shared" si="1"/>
        <v>127</v>
      </c>
      <c r="E29" s="150">
        <f t="shared" si="0"/>
        <v>2</v>
      </c>
      <c r="F29" s="140">
        <f t="shared" si="3"/>
        <v>89.7</v>
      </c>
      <c r="G29" s="142">
        <f>IF(D29=D28,"",_xlfn.IFNA(VLOOKUP(D29,'인원 입력 기능'!$F$5:$I$103,4,FALSE),0))</f>
        <v>3825</v>
      </c>
      <c r="H29" s="143">
        <f t="shared" si="4"/>
        <v>1.1895062227502006E-2</v>
      </c>
      <c r="I29" s="151">
        <f>SUM($G$7:G29)</f>
        <v>35046</v>
      </c>
      <c r="J29" s="147">
        <f t="shared" si="5"/>
        <v>0.10898675838563014</v>
      </c>
      <c r="K29" s="29"/>
      <c r="L29" s="17" t="str">
        <f t="shared" si="2"/>
        <v/>
      </c>
      <c r="N29" s="16"/>
    </row>
    <row r="30" spans="1:17" s="13" customFormat="1" ht="25" customHeight="1">
      <c r="A30" s="11"/>
      <c r="B30" s="24"/>
      <c r="C30" s="64">
        <v>77</v>
      </c>
      <c r="D30" s="149"/>
      <c r="E30" s="149"/>
      <c r="F30" s="139"/>
      <c r="G30" s="141"/>
      <c r="H30" s="144"/>
      <c r="I30" s="152"/>
      <c r="J30" s="148"/>
      <c r="K30" s="29"/>
      <c r="L30" s="17" t="str">
        <f t="shared" si="2"/>
        <v>경고</v>
      </c>
      <c r="N30" s="16"/>
    </row>
    <row r="31" spans="1:17" s="13" customFormat="1" ht="25" customHeight="1">
      <c r="A31" s="11"/>
      <c r="B31" s="24"/>
      <c r="C31" s="64">
        <v>76</v>
      </c>
      <c r="D31" s="65">
        <f t="shared" si="1"/>
        <v>126</v>
      </c>
      <c r="E31" s="65">
        <f t="shared" si="0"/>
        <v>2</v>
      </c>
      <c r="F31" s="51">
        <f t="shared" si="3"/>
        <v>88.27</v>
      </c>
      <c r="G31" s="52">
        <f>IF(D31=D30,"",_xlfn.IFNA(VLOOKUP(D31,'인원 입력 기능'!$F$5:$I$103,4,FALSE),0))</f>
        <v>5378</v>
      </c>
      <c r="H31" s="53">
        <f t="shared" si="4"/>
        <v>1.6724612982877331E-2</v>
      </c>
      <c r="I31" s="66">
        <f>SUM($G$7:G31)</f>
        <v>40424</v>
      </c>
      <c r="J31" s="55">
        <f t="shared" si="5"/>
        <v>0.12571137136850746</v>
      </c>
      <c r="K31" s="29"/>
      <c r="L31" s="17" t="str">
        <f t="shared" si="2"/>
        <v/>
      </c>
      <c r="N31" s="16"/>
    </row>
    <row r="32" spans="1:17" s="13" customFormat="1" ht="25" customHeight="1">
      <c r="A32" s="11"/>
      <c r="B32" s="24"/>
      <c r="C32" s="64">
        <v>75</v>
      </c>
      <c r="D32" s="65">
        <f t="shared" si="1"/>
        <v>125</v>
      </c>
      <c r="E32" s="65">
        <f t="shared" si="0"/>
        <v>3</v>
      </c>
      <c r="F32" s="51">
        <f t="shared" si="3"/>
        <v>87.39</v>
      </c>
      <c r="G32" s="52">
        <f>IF(D32=D31,"",_xlfn.IFNA(VLOOKUP(D32,'인원 입력 기능'!$F$5:$I$103,4,FALSE),0))</f>
        <v>251</v>
      </c>
      <c r="H32" s="53">
        <f t="shared" si="4"/>
        <v>7.8056486773934726E-4</v>
      </c>
      <c r="I32" s="66">
        <f>SUM($G$7:G32)</f>
        <v>40675</v>
      </c>
      <c r="J32" s="55">
        <f t="shared" si="5"/>
        <v>0.12649193623624683</v>
      </c>
      <c r="K32" s="29"/>
      <c r="L32" s="17" t="str">
        <f t="shared" si="2"/>
        <v/>
      </c>
      <c r="N32" s="16"/>
    </row>
    <row r="33" spans="1:14" s="13" customFormat="1" ht="25" customHeight="1">
      <c r="A33" s="11"/>
      <c r="B33" s="24"/>
      <c r="C33" s="64">
        <v>74</v>
      </c>
      <c r="D33" s="65">
        <f t="shared" si="1"/>
        <v>124</v>
      </c>
      <c r="E33" s="65">
        <f t="shared" si="0"/>
        <v>3</v>
      </c>
      <c r="F33" s="51">
        <f t="shared" si="3"/>
        <v>87.16</v>
      </c>
      <c r="G33" s="52">
        <f>IF(D33=D32,"",_xlfn.IFNA(VLOOKUP(D33,'인원 입력 기능'!$F$5:$I$103,4,FALSE),0))</f>
        <v>1197</v>
      </c>
      <c r="H33" s="53">
        <f t="shared" si="4"/>
        <v>3.7224547676653337E-3</v>
      </c>
      <c r="I33" s="66">
        <f>SUM($G$7:G33)</f>
        <v>41872</v>
      </c>
      <c r="J33" s="55">
        <f t="shared" si="5"/>
        <v>0.13021439100391216</v>
      </c>
      <c r="K33" s="29"/>
      <c r="L33" s="17" t="str">
        <f t="shared" si="2"/>
        <v/>
      </c>
      <c r="N33" s="16"/>
    </row>
    <row r="34" spans="1:14" s="13" customFormat="1" ht="25" customHeight="1">
      <c r="A34" s="11"/>
      <c r="B34" s="24"/>
      <c r="C34" s="64">
        <v>73</v>
      </c>
      <c r="D34" s="65">
        <f t="shared" si="1"/>
        <v>123</v>
      </c>
      <c r="E34" s="65">
        <f t="shared" si="0"/>
        <v>3</v>
      </c>
      <c r="F34" s="51">
        <f t="shared" si="3"/>
        <v>86.32</v>
      </c>
      <c r="G34" s="52">
        <f>IF(D34=D33,"",_xlfn.IFNA(VLOOKUP(D34,'인원 입력 기능'!$F$5:$I$103,4,FALSE),0))</f>
        <v>4251</v>
      </c>
      <c r="H34" s="53">
        <f t="shared" si="4"/>
        <v>1.3219845628525758E-2</v>
      </c>
      <c r="I34" s="66">
        <f>SUM($G$7:G34)</f>
        <v>46123</v>
      </c>
      <c r="J34" s="55">
        <f t="shared" si="5"/>
        <v>0.1434342366324379</v>
      </c>
      <c r="K34" s="29"/>
      <c r="L34" s="17" t="str">
        <f t="shared" si="2"/>
        <v/>
      </c>
      <c r="N34" s="16"/>
    </row>
    <row r="35" spans="1:14" s="13" customFormat="1" ht="25" customHeight="1">
      <c r="A35" s="11"/>
      <c r="B35" s="24"/>
      <c r="C35" s="64">
        <v>72</v>
      </c>
      <c r="D35" s="65">
        <f t="shared" si="1"/>
        <v>122</v>
      </c>
      <c r="E35" s="65">
        <f t="shared" si="0"/>
        <v>3</v>
      </c>
      <c r="F35" s="51">
        <f t="shared" si="3"/>
        <v>84.82</v>
      </c>
      <c r="G35" s="52">
        <f>IF(D35=D34,"",_xlfn.IFNA(VLOOKUP(D35,'인원 입력 기능'!$F$5:$I$103,4,FALSE),0))</f>
        <v>5374</v>
      </c>
      <c r="H35" s="53">
        <f t="shared" si="4"/>
        <v>1.6712173702116542E-2</v>
      </c>
      <c r="I35" s="66">
        <f>SUM($G$7:G35)</f>
        <v>51497</v>
      </c>
      <c r="J35" s="55">
        <f t="shared" si="5"/>
        <v>0.16014641033455446</v>
      </c>
      <c r="K35" s="29"/>
      <c r="L35" s="17" t="str">
        <f t="shared" si="2"/>
        <v/>
      </c>
      <c r="N35" s="16"/>
    </row>
    <row r="36" spans="1:14" s="13" customFormat="1" ht="25" customHeight="1">
      <c r="A36" s="11"/>
      <c r="B36" s="24"/>
      <c r="C36" s="64">
        <v>71</v>
      </c>
      <c r="D36" s="65">
        <f t="shared" si="1"/>
        <v>121</v>
      </c>
      <c r="E36" s="65">
        <f t="shared" si="0"/>
        <v>3</v>
      </c>
      <c r="F36" s="51">
        <f t="shared" si="3"/>
        <v>83.92</v>
      </c>
      <c r="G36" s="52">
        <f>IF(D36=D35,"",_xlfn.IFNA(VLOOKUP(D36,'인원 입력 기능'!$F$5:$I$103,4,FALSE),0))</f>
        <v>404</v>
      </c>
      <c r="H36" s="53">
        <f t="shared" si="4"/>
        <v>1.2563673568394276E-3</v>
      </c>
      <c r="I36" s="66">
        <f>SUM($G$7:G36)</f>
        <v>51901</v>
      </c>
      <c r="J36" s="55">
        <f t="shared" si="5"/>
        <v>0.16140277769139388</v>
      </c>
      <c r="K36" s="29"/>
      <c r="L36" s="17" t="str">
        <f t="shared" si="2"/>
        <v/>
      </c>
      <c r="N36" s="16"/>
    </row>
    <row r="37" spans="1:14" s="13" customFormat="1" ht="25" customHeight="1">
      <c r="A37" s="11"/>
      <c r="B37" s="24"/>
      <c r="C37" s="64">
        <v>70</v>
      </c>
      <c r="D37" s="150">
        <f t="shared" si="1"/>
        <v>120</v>
      </c>
      <c r="E37" s="150">
        <f t="shared" si="0"/>
        <v>3</v>
      </c>
      <c r="F37" s="140">
        <f t="shared" si="3"/>
        <v>82.71</v>
      </c>
      <c r="G37" s="142">
        <f>IF(D37=D36,"",_xlfn.IFNA(VLOOKUP(D37,'인원 입력 기능'!$F$5:$I$103,4,FALSE),0))</f>
        <v>7405</v>
      </c>
      <c r="H37" s="143">
        <f t="shared" si="4"/>
        <v>2.3028218508405845E-2</v>
      </c>
      <c r="I37" s="151">
        <f>SUM($G$7:G37)</f>
        <v>59306</v>
      </c>
      <c r="J37" s="147">
        <f t="shared" si="5"/>
        <v>0.18443099619979972</v>
      </c>
      <c r="K37" s="29"/>
      <c r="L37" s="17" t="str">
        <f t="shared" si="2"/>
        <v/>
      </c>
      <c r="N37" s="16"/>
    </row>
    <row r="38" spans="1:14" s="13" customFormat="1" ht="25" customHeight="1">
      <c r="A38" s="11"/>
      <c r="B38" s="24"/>
      <c r="C38" s="64">
        <v>69</v>
      </c>
      <c r="D38" s="149"/>
      <c r="E38" s="149"/>
      <c r="F38" s="139"/>
      <c r="G38" s="141"/>
      <c r="H38" s="144"/>
      <c r="I38" s="152"/>
      <c r="J38" s="148"/>
      <c r="K38" s="29"/>
      <c r="L38" s="17" t="str">
        <f t="shared" si="2"/>
        <v>경고</v>
      </c>
      <c r="N38" s="16"/>
    </row>
    <row r="39" spans="1:14" s="13" customFormat="1" ht="25" customHeight="1">
      <c r="A39" s="11"/>
      <c r="B39" s="24"/>
      <c r="C39" s="64">
        <v>68</v>
      </c>
      <c r="D39" s="65">
        <f t="shared" si="1"/>
        <v>119</v>
      </c>
      <c r="E39" s="65">
        <f t="shared" si="0"/>
        <v>3</v>
      </c>
      <c r="F39" s="51">
        <f t="shared" si="3"/>
        <v>80.77</v>
      </c>
      <c r="G39" s="52">
        <f>IF(D39=D38,"",_xlfn.IFNA(VLOOKUP(D39,'인원 입력 기능'!$F$5:$I$103,4,FALSE),0))</f>
        <v>5041</v>
      </c>
      <c r="H39" s="53">
        <f t="shared" si="4"/>
        <v>1.5676603578781076E-2</v>
      </c>
      <c r="I39" s="66">
        <f>SUM($G$7:G39)</f>
        <v>64347</v>
      </c>
      <c r="J39" s="55">
        <f t="shared" si="5"/>
        <v>0.20010759977858081</v>
      </c>
      <c r="K39" s="29"/>
      <c r="L39" s="17" t="str">
        <f t="shared" si="2"/>
        <v/>
      </c>
      <c r="N39" s="16"/>
    </row>
    <row r="40" spans="1:14" s="13" customFormat="1" ht="25" customHeight="1">
      <c r="A40" s="11"/>
      <c r="B40" s="24"/>
      <c r="C40" s="64">
        <v>67</v>
      </c>
      <c r="D40" s="65">
        <f t="shared" si="1"/>
        <v>118</v>
      </c>
      <c r="E40" s="65">
        <f t="shared" si="0"/>
        <v>3</v>
      </c>
      <c r="F40" s="51">
        <f t="shared" si="3"/>
        <v>79.849999999999994</v>
      </c>
      <c r="G40" s="52">
        <f>IF(D40=D39,"",_xlfn.IFNA(VLOOKUP(D40,'인원 입력 기능'!$F$5:$I$103,4,FALSE),0))</f>
        <v>921</v>
      </c>
      <c r="H40" s="53">
        <f t="shared" si="4"/>
        <v>2.8641443951710711E-3</v>
      </c>
      <c r="I40" s="66">
        <f>SUM($G$7:G40)</f>
        <v>65268</v>
      </c>
      <c r="J40" s="55">
        <f t="shared" si="5"/>
        <v>0.20297174417375188</v>
      </c>
      <c r="K40" s="29"/>
      <c r="L40" s="17" t="str">
        <f t="shared" si="2"/>
        <v/>
      </c>
      <c r="N40" s="16"/>
    </row>
    <row r="41" spans="1:14" s="13" customFormat="1" ht="25" customHeight="1">
      <c r="A41" s="11"/>
      <c r="B41" s="24"/>
      <c r="C41" s="64">
        <v>66</v>
      </c>
      <c r="D41" s="65">
        <f t="shared" ref="D41:D72" si="6">ROUND(20*(C41-$H$3)/$H$4+100,0)</f>
        <v>117</v>
      </c>
      <c r="E41" s="65">
        <f t="shared" si="0"/>
        <v>3</v>
      </c>
      <c r="F41" s="51">
        <f t="shared" si="3"/>
        <v>79.19</v>
      </c>
      <c r="G41" s="52">
        <f>IF(D41=D40,"",_xlfn.IFNA(VLOOKUP(D41,'인원 입력 기능'!$F$5:$I$103,4,FALSE),0))</f>
        <v>3311</v>
      </c>
      <c r="H41" s="53">
        <f t="shared" si="4"/>
        <v>1.0296614649740953E-2</v>
      </c>
      <c r="I41" s="66">
        <f>SUM($G$7:G41)</f>
        <v>68579</v>
      </c>
      <c r="J41" s="55">
        <f t="shared" si="5"/>
        <v>0.21326835882349282</v>
      </c>
      <c r="K41" s="29"/>
      <c r="L41" s="17" t="str">
        <f t="shared" ref="L41:L72" si="7">IF(ABS((C41-$H$3)/$H$4*20+100-D41)&gt;0.49, "경고", "")</f>
        <v/>
      </c>
      <c r="N41" s="16"/>
    </row>
    <row r="42" spans="1:14" s="13" customFormat="1" ht="25" customHeight="1">
      <c r="A42" s="11"/>
      <c r="B42" s="24"/>
      <c r="C42" s="64">
        <v>65</v>
      </c>
      <c r="D42" s="65">
        <f t="shared" si="6"/>
        <v>116</v>
      </c>
      <c r="E42" s="65">
        <f t="shared" si="0"/>
        <v>3</v>
      </c>
      <c r="F42" s="51">
        <f t="shared" si="3"/>
        <v>77.63</v>
      </c>
      <c r="G42" s="52">
        <f>IF(D42=D41,"",_xlfn.IFNA(VLOOKUP(D42,'인원 입력 기능'!$F$5:$I$103,4,FALSE),0))</f>
        <v>6704</v>
      </c>
      <c r="H42" s="53">
        <f t="shared" si="4"/>
        <v>2.0848234555078025E-2</v>
      </c>
      <c r="I42" s="66">
        <f>SUM($G$7:G42)</f>
        <v>75283</v>
      </c>
      <c r="J42" s="55">
        <f t="shared" si="5"/>
        <v>0.23411659337857085</v>
      </c>
      <c r="K42" s="29"/>
      <c r="L42" s="17" t="str">
        <f t="shared" si="7"/>
        <v/>
      </c>
      <c r="N42" s="16"/>
    </row>
    <row r="43" spans="1:14" s="13" customFormat="1" ht="25" customHeight="1">
      <c r="A43" s="11"/>
      <c r="B43" s="24"/>
      <c r="C43" s="64">
        <v>64</v>
      </c>
      <c r="D43" s="65">
        <f t="shared" si="6"/>
        <v>115</v>
      </c>
      <c r="E43" s="65">
        <f t="shared" si="0"/>
        <v>4</v>
      </c>
      <c r="F43" s="51">
        <f t="shared" si="3"/>
        <v>75.88</v>
      </c>
      <c r="G43" s="52">
        <f>IF(D43=D42,"",_xlfn.IFNA(VLOOKUP(D43,'인원 입력 기능'!$F$5:$I$103,4,FALSE),0))</f>
        <v>4566</v>
      </c>
      <c r="H43" s="53">
        <f t="shared" si="4"/>
        <v>1.4199438988437689E-2</v>
      </c>
      <c r="I43" s="66">
        <f>SUM($G$7:G43)</f>
        <v>79849</v>
      </c>
      <c r="J43" s="55">
        <f t="shared" si="5"/>
        <v>0.24831603236700853</v>
      </c>
      <c r="K43" s="29"/>
      <c r="L43" s="17" t="str">
        <f t="shared" si="7"/>
        <v/>
      </c>
      <c r="N43" s="16"/>
    </row>
    <row r="44" spans="1:14" s="13" customFormat="1" ht="25" customHeight="1">
      <c r="A44" s="11"/>
      <c r="B44" s="24"/>
      <c r="C44" s="64">
        <v>63</v>
      </c>
      <c r="D44" s="150">
        <f t="shared" si="6"/>
        <v>114</v>
      </c>
      <c r="E44" s="150">
        <f t="shared" si="0"/>
        <v>4</v>
      </c>
      <c r="F44" s="140">
        <f t="shared" si="3"/>
        <v>74.11</v>
      </c>
      <c r="G44" s="142">
        <f>IF(D44=D43,"",_xlfn.IFNA(VLOOKUP(D44,'인원 입력 기능'!$F$5:$I$103,4,FALSE),0))</f>
        <v>6780</v>
      </c>
      <c r="H44" s="143">
        <f t="shared" si="4"/>
        <v>2.1084580889532967E-2</v>
      </c>
      <c r="I44" s="151">
        <f>SUM($G$7:G44)</f>
        <v>86629</v>
      </c>
      <c r="J44" s="147">
        <f t="shared" si="5"/>
        <v>0.26940061325654152</v>
      </c>
      <c r="K44" s="29"/>
      <c r="L44" s="17" t="str">
        <f t="shared" si="7"/>
        <v/>
      </c>
      <c r="N44" s="16"/>
    </row>
    <row r="45" spans="1:14" s="13" customFormat="1" ht="25" customHeight="1">
      <c r="A45" s="11"/>
      <c r="B45" s="24"/>
      <c r="C45" s="64">
        <v>62</v>
      </c>
      <c r="D45" s="149"/>
      <c r="E45" s="149"/>
      <c r="F45" s="139"/>
      <c r="G45" s="141"/>
      <c r="H45" s="144"/>
      <c r="I45" s="152"/>
      <c r="J45" s="148"/>
      <c r="K45" s="29"/>
      <c r="L45" s="17" t="str">
        <f t="shared" si="7"/>
        <v>경고</v>
      </c>
      <c r="N45" s="16"/>
    </row>
    <row r="46" spans="1:14" s="13" customFormat="1" ht="25" customHeight="1">
      <c r="A46" s="11"/>
      <c r="B46" s="24"/>
      <c r="C46" s="64">
        <v>61</v>
      </c>
      <c r="D46" s="65">
        <f t="shared" si="6"/>
        <v>113</v>
      </c>
      <c r="E46" s="65">
        <f t="shared" si="0"/>
        <v>4</v>
      </c>
      <c r="F46" s="51">
        <f t="shared" si="3"/>
        <v>71.94</v>
      </c>
      <c r="G46" s="52">
        <f>IF(D46=D45,"",_xlfn.IFNA(VLOOKUP(D46,'인원 입력 기능'!$F$5:$I$103,4,FALSE),0))</f>
        <v>7230</v>
      </c>
      <c r="H46" s="53">
        <f t="shared" si="4"/>
        <v>2.2483999975121439E-2</v>
      </c>
      <c r="I46" s="66">
        <f>SUM($G$7:G46)</f>
        <v>93859</v>
      </c>
      <c r="J46" s="55">
        <f t="shared" si="5"/>
        <v>0.29188461323166293</v>
      </c>
      <c r="K46" s="29"/>
      <c r="L46" s="17" t="str">
        <f t="shared" si="7"/>
        <v/>
      </c>
      <c r="N46" s="16"/>
    </row>
    <row r="47" spans="1:14" s="13" customFormat="1" ht="25" customHeight="1">
      <c r="A47" s="11"/>
      <c r="B47" s="24"/>
      <c r="C47" s="64">
        <v>60</v>
      </c>
      <c r="D47" s="65">
        <f t="shared" si="6"/>
        <v>112</v>
      </c>
      <c r="E47" s="65">
        <f t="shared" si="0"/>
        <v>4</v>
      </c>
      <c r="F47" s="51">
        <f t="shared" si="3"/>
        <v>70.260000000000005</v>
      </c>
      <c r="G47" s="52">
        <f>IF(D47=D46,"",_xlfn.IFNA(VLOOKUP(D47,'인원 입력 기능'!$F$5:$I$103,4,FALSE),0))</f>
        <v>3576</v>
      </c>
      <c r="H47" s="53">
        <f t="shared" si="4"/>
        <v>1.1120717000143051E-2</v>
      </c>
      <c r="I47" s="66">
        <f>SUM($G$7:G47)</f>
        <v>97435</v>
      </c>
      <c r="J47" s="55">
        <f t="shared" si="5"/>
        <v>0.30300533023180598</v>
      </c>
      <c r="K47" s="29"/>
      <c r="L47" s="17" t="str">
        <f t="shared" si="7"/>
        <v/>
      </c>
      <c r="N47" s="16"/>
    </row>
    <row r="48" spans="1:14" s="13" customFormat="1" ht="25" customHeight="1">
      <c r="A48" s="11"/>
      <c r="B48" s="24"/>
      <c r="C48" s="64">
        <v>59</v>
      </c>
      <c r="D48" s="65">
        <f t="shared" si="6"/>
        <v>111</v>
      </c>
      <c r="E48" s="65">
        <f t="shared" si="0"/>
        <v>4</v>
      </c>
      <c r="F48" s="51">
        <f t="shared" si="3"/>
        <v>69.2</v>
      </c>
      <c r="G48" s="52">
        <f>IF(D48=D47,"",_xlfn.IFNA(VLOOKUP(D48,'인원 입력 기능'!$F$5:$I$103,4,FALSE),0))</f>
        <v>3239</v>
      </c>
      <c r="H48" s="53">
        <f t="shared" si="4"/>
        <v>1.0072707596046797E-2</v>
      </c>
      <c r="I48" s="66">
        <f>SUM($G$7:G48)</f>
        <v>100674</v>
      </c>
      <c r="J48" s="55">
        <f t="shared" si="5"/>
        <v>0.31307803782785282</v>
      </c>
      <c r="K48" s="29"/>
      <c r="L48" s="17" t="str">
        <f t="shared" si="7"/>
        <v/>
      </c>
      <c r="N48" s="16"/>
    </row>
    <row r="49" spans="1:14" s="13" customFormat="1" ht="25" customHeight="1">
      <c r="A49" s="11"/>
      <c r="B49" s="24"/>
      <c r="C49" s="64">
        <v>58</v>
      </c>
      <c r="D49" s="65">
        <f t="shared" si="6"/>
        <v>110</v>
      </c>
      <c r="E49" s="65">
        <f t="shared" si="0"/>
        <v>4</v>
      </c>
      <c r="F49" s="51">
        <f t="shared" si="3"/>
        <v>67.66</v>
      </c>
      <c r="G49" s="52">
        <f>IF(D49=D48,"",_xlfn.IFNA(VLOOKUP(D49,'인원 입력 기능'!$F$5:$I$103,4,FALSE),0))</f>
        <v>6658</v>
      </c>
      <c r="H49" s="53">
        <f t="shared" si="4"/>
        <v>2.070518282632898E-2</v>
      </c>
      <c r="I49" s="66">
        <f>SUM($G$7:G49)</f>
        <v>107332</v>
      </c>
      <c r="J49" s="55">
        <f t="shared" si="5"/>
        <v>0.33378322065418176</v>
      </c>
      <c r="K49" s="29"/>
      <c r="L49" s="17" t="str">
        <f t="shared" si="7"/>
        <v/>
      </c>
      <c r="N49" s="16"/>
    </row>
    <row r="50" spans="1:14" s="13" customFormat="1" ht="25" customHeight="1">
      <c r="A50" s="11"/>
      <c r="B50" s="24"/>
      <c r="C50" s="64">
        <v>57</v>
      </c>
      <c r="D50" s="65">
        <f t="shared" si="6"/>
        <v>109</v>
      </c>
      <c r="E50" s="65">
        <f t="shared" si="0"/>
        <v>4</v>
      </c>
      <c r="F50" s="51">
        <f t="shared" si="3"/>
        <v>65.67</v>
      </c>
      <c r="G50" s="52">
        <f>IF(D50=D49,"",_xlfn.IFNA(VLOOKUP(D50,'인원 입력 기능'!$F$5:$I$103,4,FALSE),0))</f>
        <v>6123</v>
      </c>
      <c r="H50" s="53">
        <f t="shared" si="4"/>
        <v>1.90414290245738E-2</v>
      </c>
      <c r="I50" s="66">
        <f>SUM($G$7:G50)</f>
        <v>113455</v>
      </c>
      <c r="J50" s="55">
        <f t="shared" si="5"/>
        <v>0.3528246496787556</v>
      </c>
      <c r="K50" s="29"/>
      <c r="L50" s="17" t="str">
        <f t="shared" si="7"/>
        <v/>
      </c>
      <c r="N50" s="16"/>
    </row>
    <row r="51" spans="1:14" s="13" customFormat="1" ht="25" customHeight="1">
      <c r="A51" s="11"/>
      <c r="B51" s="24"/>
      <c r="C51" s="64">
        <v>56</v>
      </c>
      <c r="D51" s="65">
        <f t="shared" si="6"/>
        <v>108</v>
      </c>
      <c r="E51" s="65">
        <f t="shared" si="0"/>
        <v>4</v>
      </c>
      <c r="F51" s="51">
        <f t="shared" si="3"/>
        <v>64.22</v>
      </c>
      <c r="G51" s="52">
        <f>IF(D51=D50,"",_xlfn.IFNA(VLOOKUP(D51,'인원 입력 기능'!$F$5:$I$103,4,FALSE),0))</f>
        <v>3212</v>
      </c>
      <c r="H51" s="53">
        <f t="shared" si="4"/>
        <v>9.9887424509114888E-3</v>
      </c>
      <c r="I51" s="66">
        <f>SUM($G$7:G51)</f>
        <v>116667</v>
      </c>
      <c r="J51" s="55">
        <f t="shared" si="5"/>
        <v>0.36281339212966707</v>
      </c>
      <c r="K51" s="29"/>
      <c r="L51" s="17" t="str">
        <f t="shared" si="7"/>
        <v/>
      </c>
      <c r="N51" s="16"/>
    </row>
    <row r="52" spans="1:14" s="13" customFormat="1" ht="25" customHeight="1">
      <c r="A52" s="11"/>
      <c r="B52" s="24"/>
      <c r="C52" s="64">
        <v>55</v>
      </c>
      <c r="D52" s="150">
        <f t="shared" si="6"/>
        <v>107</v>
      </c>
      <c r="E52" s="150">
        <f t="shared" si="0"/>
        <v>4</v>
      </c>
      <c r="F52" s="140">
        <f t="shared" si="3"/>
        <v>61.9</v>
      </c>
      <c r="G52" s="142">
        <f>IF(D52=D51,"",_xlfn.IFNA(VLOOKUP(D52,'인원 입력 기능'!$F$5:$I$103,4,FALSE),0))</f>
        <v>11716</v>
      </c>
      <c r="H52" s="143">
        <f t="shared" si="4"/>
        <v>3.64346533483434E-2</v>
      </c>
      <c r="I52" s="151">
        <f>SUM($G$7:G52)</f>
        <v>128383</v>
      </c>
      <c r="J52" s="147">
        <f t="shared" si="5"/>
        <v>0.39924804547801046</v>
      </c>
      <c r="K52" s="29"/>
      <c r="L52" s="17" t="str">
        <f t="shared" si="7"/>
        <v/>
      </c>
      <c r="N52" s="16"/>
    </row>
    <row r="53" spans="1:14" s="13" customFormat="1" ht="25" customHeight="1">
      <c r="A53" s="11"/>
      <c r="B53" s="24"/>
      <c r="C53" s="64">
        <v>54</v>
      </c>
      <c r="D53" s="149"/>
      <c r="E53" s="149"/>
      <c r="F53" s="139"/>
      <c r="G53" s="141"/>
      <c r="H53" s="144"/>
      <c r="I53" s="152"/>
      <c r="J53" s="148"/>
      <c r="K53" s="29"/>
      <c r="L53" s="17" t="str">
        <f t="shared" si="7"/>
        <v>경고</v>
      </c>
      <c r="N53" s="16"/>
    </row>
    <row r="54" spans="1:14" s="13" customFormat="1" ht="25" customHeight="1">
      <c r="A54" s="11"/>
      <c r="B54" s="24"/>
      <c r="C54" s="64">
        <v>53</v>
      </c>
      <c r="D54" s="65">
        <f t="shared" si="6"/>
        <v>106</v>
      </c>
      <c r="E54" s="65">
        <f t="shared" si="0"/>
        <v>4</v>
      </c>
      <c r="F54" s="51">
        <f t="shared" si="3"/>
        <v>59.41</v>
      </c>
      <c r="G54" s="52">
        <f>IF(D54=D53,"",_xlfn.IFNA(VLOOKUP(D54,'인원 입력 기능'!$F$5:$I$103,4,FALSE),0))</f>
        <v>4283</v>
      </c>
      <c r="H54" s="53">
        <f t="shared" si="4"/>
        <v>1.3319359874612051E-2</v>
      </c>
      <c r="I54" s="66">
        <f>SUM($G$7:G54)</f>
        <v>132666</v>
      </c>
      <c r="J54" s="55">
        <f t="shared" si="5"/>
        <v>0.41256740535262248</v>
      </c>
      <c r="K54" s="29"/>
      <c r="L54" s="17" t="str">
        <f t="shared" si="7"/>
        <v/>
      </c>
      <c r="N54" s="16"/>
    </row>
    <row r="55" spans="1:14" s="13" customFormat="1" ht="25" customHeight="1">
      <c r="A55" s="11"/>
      <c r="B55" s="24"/>
      <c r="C55" s="64">
        <v>52</v>
      </c>
      <c r="D55" s="65">
        <f t="shared" si="6"/>
        <v>105</v>
      </c>
      <c r="E55" s="65">
        <f t="shared" si="0"/>
        <v>5</v>
      </c>
      <c r="F55" s="51">
        <f t="shared" si="3"/>
        <v>58.13</v>
      </c>
      <c r="G55" s="52">
        <f>IF(D55=D54,"",_xlfn.IFNA(VLOOKUP(D55,'인원 입력 기능'!$F$5:$I$103,4,FALSE),0))</f>
        <v>3923</v>
      </c>
      <c r="H55" s="53">
        <f t="shared" si="4"/>
        <v>1.2199824606141272E-2</v>
      </c>
      <c r="I55" s="66">
        <f>SUM($G$7:G55)</f>
        <v>136589</v>
      </c>
      <c r="J55" s="55">
        <f t="shared" si="5"/>
        <v>0.42476722995876376</v>
      </c>
      <c r="K55" s="29"/>
      <c r="L55" s="17" t="str">
        <f t="shared" si="7"/>
        <v/>
      </c>
      <c r="N55" s="16"/>
    </row>
    <row r="56" spans="1:14" s="13" customFormat="1" ht="25" customHeight="1">
      <c r="A56" s="11"/>
      <c r="B56" s="24"/>
      <c r="C56" s="64">
        <v>51</v>
      </c>
      <c r="D56" s="65">
        <f t="shared" si="6"/>
        <v>104</v>
      </c>
      <c r="E56" s="65">
        <f t="shared" si="0"/>
        <v>5</v>
      </c>
      <c r="F56" s="51">
        <f t="shared" si="3"/>
        <v>56.54</v>
      </c>
      <c r="G56" s="52">
        <f>IF(D56=D55,"",_xlfn.IFNA(VLOOKUP(D56,'인원 입력 기능'!$F$5:$I$103,4,FALSE),0))</f>
        <v>6301</v>
      </c>
      <c r="H56" s="53">
        <f t="shared" si="4"/>
        <v>1.9594977018428793E-2</v>
      </c>
      <c r="I56" s="66">
        <f>SUM($G$7:G56)</f>
        <v>142890</v>
      </c>
      <c r="J56" s="55">
        <f t="shared" si="5"/>
        <v>0.44436220697719259</v>
      </c>
      <c r="K56" s="29"/>
      <c r="L56" s="17" t="str">
        <f t="shared" si="7"/>
        <v/>
      </c>
      <c r="N56" s="16"/>
    </row>
    <row r="57" spans="1:14" s="13" customFormat="1" ht="25" customHeight="1">
      <c r="A57" s="11"/>
      <c r="B57" s="24"/>
      <c r="C57" s="64">
        <v>50</v>
      </c>
      <c r="D57" s="65">
        <f t="shared" si="6"/>
        <v>103</v>
      </c>
      <c r="E57" s="65">
        <f t="shared" si="0"/>
        <v>5</v>
      </c>
      <c r="F57" s="51">
        <f t="shared" si="3"/>
        <v>54.74</v>
      </c>
      <c r="G57" s="52">
        <f>IF(D57=D56,"",_xlfn.IFNA(VLOOKUP(D57,'인원 입력 기능'!$F$5:$I$103,4,FALSE),0))</f>
        <v>5317</v>
      </c>
      <c r="H57" s="53">
        <f t="shared" si="4"/>
        <v>1.6534913951275338E-2</v>
      </c>
      <c r="I57" s="66">
        <f>SUM($G$7:G57)</f>
        <v>148207</v>
      </c>
      <c r="J57" s="55">
        <f t="shared" si="5"/>
        <v>0.46089712092846791</v>
      </c>
      <c r="K57" s="29"/>
      <c r="L57" s="17" t="str">
        <f t="shared" si="7"/>
        <v/>
      </c>
      <c r="N57" s="16"/>
    </row>
    <row r="58" spans="1:14" s="13" customFormat="1" ht="25" customHeight="1">
      <c r="A58" s="11"/>
      <c r="B58" s="24"/>
      <c r="C58" s="64">
        <v>49</v>
      </c>
      <c r="D58" s="65">
        <f t="shared" si="6"/>
        <v>102</v>
      </c>
      <c r="E58" s="65">
        <f t="shared" si="0"/>
        <v>5</v>
      </c>
      <c r="F58" s="51">
        <f t="shared" si="3"/>
        <v>53.36</v>
      </c>
      <c r="G58" s="52">
        <f>IF(D58=D57,"",_xlfn.IFNA(VLOOKUP(D58,'인원 입력 기능'!$F$5:$I$103,4,FALSE),0))</f>
        <v>3550</v>
      </c>
      <c r="H58" s="53">
        <f t="shared" si="4"/>
        <v>1.1039861675197941E-2</v>
      </c>
      <c r="I58" s="66">
        <f>SUM($G$7:G58)</f>
        <v>151757</v>
      </c>
      <c r="J58" s="55">
        <f t="shared" si="5"/>
        <v>0.47193698260366584</v>
      </c>
      <c r="K58" s="29"/>
      <c r="L58" s="17" t="str">
        <f t="shared" si="7"/>
        <v/>
      </c>
      <c r="N58" s="16"/>
    </row>
    <row r="59" spans="1:14" s="13" customFormat="1" ht="25" customHeight="1">
      <c r="A59" s="11"/>
      <c r="B59" s="24"/>
      <c r="C59" s="64">
        <v>48</v>
      </c>
      <c r="D59" s="65">
        <f t="shared" si="6"/>
        <v>101</v>
      </c>
      <c r="E59" s="65">
        <f t="shared" si="0"/>
        <v>5</v>
      </c>
      <c r="F59" s="51">
        <f t="shared" si="3"/>
        <v>51.97</v>
      </c>
      <c r="G59" s="52">
        <f>IF(D59=D58,"",_xlfn.IFNA(VLOOKUP(D59,'인원 입력 기능'!$F$5:$I$103,4,FALSE),0))</f>
        <v>5392</v>
      </c>
      <c r="H59" s="53">
        <f t="shared" si="4"/>
        <v>1.6768150465540081E-2</v>
      </c>
      <c r="I59" s="66">
        <f>SUM($G$7:G59)</f>
        <v>157149</v>
      </c>
      <c r="J59" s="55">
        <f t="shared" si="5"/>
        <v>0.48870513306920593</v>
      </c>
      <c r="K59" s="29"/>
      <c r="L59" s="17" t="str">
        <f t="shared" si="7"/>
        <v/>
      </c>
      <c r="N59" s="16"/>
    </row>
    <row r="60" spans="1:14" s="13" customFormat="1" ht="25" customHeight="1">
      <c r="A60" s="11"/>
      <c r="B60" s="24"/>
      <c r="C60" s="64">
        <v>47</v>
      </c>
      <c r="D60" s="150">
        <f t="shared" si="6"/>
        <v>100</v>
      </c>
      <c r="E60" s="150">
        <f t="shared" si="0"/>
        <v>5</v>
      </c>
      <c r="F60" s="140">
        <f t="shared" si="3"/>
        <v>49.7</v>
      </c>
      <c r="G60" s="142">
        <f>IF(D60=D59,"",_xlfn.IFNA(VLOOKUP(D60,'인원 입력 기능'!$F$5:$I$103,4,FALSE),0))</f>
        <v>9172</v>
      </c>
      <c r="H60" s="143">
        <f t="shared" si="4"/>
        <v>2.8523270784483242E-2</v>
      </c>
      <c r="I60" s="151">
        <f>SUM($G$7:G60)</f>
        <v>166321</v>
      </c>
      <c r="J60" s="147">
        <f t="shared" si="5"/>
        <v>0.51722840385368918</v>
      </c>
      <c r="K60" s="29"/>
      <c r="L60" s="17" t="str">
        <f t="shared" si="7"/>
        <v>경고</v>
      </c>
      <c r="N60" s="16"/>
    </row>
    <row r="61" spans="1:14" s="13" customFormat="1" ht="25" customHeight="1">
      <c r="A61" s="11"/>
      <c r="B61" s="24"/>
      <c r="C61" s="64">
        <v>46</v>
      </c>
      <c r="D61" s="149"/>
      <c r="E61" s="149"/>
      <c r="F61" s="139"/>
      <c r="G61" s="141"/>
      <c r="H61" s="144"/>
      <c r="I61" s="152"/>
      <c r="J61" s="148"/>
      <c r="K61" s="29"/>
      <c r="L61" s="17" t="str">
        <f t="shared" si="7"/>
        <v>경고</v>
      </c>
      <c r="N61" s="16"/>
    </row>
    <row r="62" spans="1:14" s="13" customFormat="1" ht="25" customHeight="1">
      <c r="A62" s="11"/>
      <c r="B62" s="24"/>
      <c r="C62" s="64">
        <v>45</v>
      </c>
      <c r="D62" s="65">
        <f t="shared" si="6"/>
        <v>99</v>
      </c>
      <c r="E62" s="65">
        <f t="shared" si="0"/>
        <v>5</v>
      </c>
      <c r="F62" s="51">
        <f t="shared" si="3"/>
        <v>47.59</v>
      </c>
      <c r="G62" s="52">
        <f>IF(D62=D61,"",_xlfn.IFNA(VLOOKUP(D62,'인원 입력 기능'!$F$5:$I$103,4,FALSE),0))</f>
        <v>4419</v>
      </c>
      <c r="H62" s="53">
        <f t="shared" si="4"/>
        <v>1.3742295420478787E-2</v>
      </c>
      <c r="I62" s="66">
        <f>SUM($G$7:G62)</f>
        <v>170740</v>
      </c>
      <c r="J62" s="55">
        <f t="shared" si="5"/>
        <v>0.53097069927416796</v>
      </c>
      <c r="K62" s="29"/>
      <c r="L62" s="17" t="str">
        <f t="shared" si="7"/>
        <v/>
      </c>
      <c r="N62" s="16"/>
    </row>
    <row r="63" spans="1:14" s="13" customFormat="1" ht="25" customHeight="1">
      <c r="A63" s="11"/>
      <c r="B63" s="24"/>
      <c r="C63" s="64">
        <v>44</v>
      </c>
      <c r="D63" s="65">
        <f t="shared" si="6"/>
        <v>98</v>
      </c>
      <c r="E63" s="65">
        <f t="shared" si="0"/>
        <v>5</v>
      </c>
      <c r="F63" s="51">
        <f t="shared" si="3"/>
        <v>46.07</v>
      </c>
      <c r="G63" s="52">
        <f>IF(D63=D62,"",_xlfn.IFNA(VLOOKUP(D63,'인원 입력 기능'!$F$5:$I$103,4,FALSE),0))</f>
        <v>5337</v>
      </c>
      <c r="H63" s="53">
        <f t="shared" si="4"/>
        <v>1.659711035507927E-2</v>
      </c>
      <c r="I63" s="66">
        <f>SUM($G$7:G63)</f>
        <v>176077</v>
      </c>
      <c r="J63" s="55">
        <f t="shared" si="5"/>
        <v>0.54756780962924723</v>
      </c>
      <c r="K63" s="29"/>
      <c r="L63" s="17" t="str">
        <f t="shared" si="7"/>
        <v/>
      </c>
      <c r="N63" s="16"/>
    </row>
    <row r="64" spans="1:14" s="13" customFormat="1" ht="25" customHeight="1">
      <c r="A64" s="11"/>
      <c r="B64" s="24"/>
      <c r="C64" s="64">
        <v>43</v>
      </c>
      <c r="D64" s="65">
        <f t="shared" si="6"/>
        <v>97</v>
      </c>
      <c r="E64" s="65">
        <f t="shared" si="0"/>
        <v>5</v>
      </c>
      <c r="F64" s="51">
        <f t="shared" si="3"/>
        <v>44.68</v>
      </c>
      <c r="G64" s="52">
        <f>IF(D64=D63,"",_xlfn.IFNA(VLOOKUP(D64,'인원 입력 기능'!$F$5:$I$103,4,FALSE),0))</f>
        <v>3652</v>
      </c>
      <c r="H64" s="53">
        <f t="shared" si="4"/>
        <v>1.1357063334597994E-2</v>
      </c>
      <c r="I64" s="66">
        <f>SUM($G$7:G64)</f>
        <v>179729</v>
      </c>
      <c r="J64" s="55">
        <f t="shared" si="5"/>
        <v>0.55892487296384519</v>
      </c>
      <c r="K64" s="29"/>
      <c r="L64" s="17" t="str">
        <f t="shared" si="7"/>
        <v/>
      </c>
      <c r="N64" s="16"/>
    </row>
    <row r="65" spans="1:14" s="13" customFormat="1" ht="25" customHeight="1">
      <c r="A65" s="11"/>
      <c r="B65" s="24"/>
      <c r="C65" s="64">
        <v>42</v>
      </c>
      <c r="D65" s="65">
        <f t="shared" si="6"/>
        <v>96</v>
      </c>
      <c r="E65" s="65">
        <f t="shared" si="0"/>
        <v>5</v>
      </c>
      <c r="F65" s="51">
        <f t="shared" si="3"/>
        <v>43.53</v>
      </c>
      <c r="G65" s="52">
        <f>IF(D65=D64,"",_xlfn.IFNA(VLOOKUP(D65,'인원 입력 기능'!$F$5:$I$103,4,FALSE),0))</f>
        <v>3741</v>
      </c>
      <c r="H65" s="53">
        <f t="shared" si="4"/>
        <v>1.163383733152549E-2</v>
      </c>
      <c r="I65" s="66">
        <f>SUM($G$7:G65)</f>
        <v>183470</v>
      </c>
      <c r="J65" s="55">
        <f t="shared" si="5"/>
        <v>0.57055871029537075</v>
      </c>
      <c r="K65" s="29"/>
      <c r="L65" s="17" t="str">
        <f t="shared" si="7"/>
        <v/>
      </c>
      <c r="N65" s="16"/>
    </row>
    <row r="66" spans="1:14" s="13" customFormat="1" ht="25" customHeight="1">
      <c r="A66" s="11"/>
      <c r="B66" s="24"/>
      <c r="C66" s="64">
        <v>41</v>
      </c>
      <c r="D66" s="65">
        <f t="shared" si="6"/>
        <v>95</v>
      </c>
      <c r="E66" s="65">
        <f t="shared" si="0"/>
        <v>5</v>
      </c>
      <c r="F66" s="51">
        <f t="shared" si="3"/>
        <v>42.15</v>
      </c>
      <c r="G66" s="52">
        <f>IF(D66=D65,"",_xlfn.IFNA(VLOOKUP(D66,'인원 입력 기능'!$F$5:$I$103,4,FALSE),0))</f>
        <v>5135</v>
      </c>
      <c r="H66" s="53">
        <f t="shared" si="4"/>
        <v>1.5968926676659556E-2</v>
      </c>
      <c r="I66" s="66">
        <f>SUM($G$7:G66)</f>
        <v>188605</v>
      </c>
      <c r="J66" s="55">
        <f t="shared" si="5"/>
        <v>0.58652763697203025</v>
      </c>
      <c r="K66" s="29"/>
      <c r="L66" s="17" t="str">
        <f t="shared" si="7"/>
        <v/>
      </c>
      <c r="N66" s="16"/>
    </row>
    <row r="67" spans="1:14" s="13" customFormat="1" ht="25" customHeight="1">
      <c r="A67" s="11"/>
      <c r="B67" s="24"/>
      <c r="C67" s="64">
        <v>40</v>
      </c>
      <c r="D67" s="150">
        <f t="shared" si="6"/>
        <v>94</v>
      </c>
      <c r="E67" s="150">
        <f t="shared" si="0"/>
        <v>5</v>
      </c>
      <c r="F67" s="140">
        <f t="shared" si="3"/>
        <v>40.200000000000003</v>
      </c>
      <c r="G67" s="142">
        <f>IF(D67=D66,"",_xlfn.IFNA(VLOOKUP(D67,'인원 입력 기능'!$F$5:$I$103,4,FALSE),0))</f>
        <v>7380</v>
      </c>
      <c r="H67" s="143">
        <f t="shared" si="4"/>
        <v>2.2950473003650929E-2</v>
      </c>
      <c r="I67" s="151">
        <f>SUM($G$7:G67)</f>
        <v>195985</v>
      </c>
      <c r="J67" s="147">
        <f t="shared" si="5"/>
        <v>0.60947810997568119</v>
      </c>
      <c r="K67" s="29"/>
      <c r="L67" s="17" t="str">
        <f t="shared" si="7"/>
        <v/>
      </c>
      <c r="N67" s="16"/>
    </row>
    <row r="68" spans="1:14" s="13" customFormat="1" ht="25" customHeight="1">
      <c r="A68" s="11"/>
      <c r="B68" s="24"/>
      <c r="C68" s="64">
        <v>39</v>
      </c>
      <c r="D68" s="149"/>
      <c r="E68" s="149"/>
      <c r="F68" s="139"/>
      <c r="G68" s="141"/>
      <c r="H68" s="144"/>
      <c r="I68" s="152"/>
      <c r="J68" s="148"/>
      <c r="K68" s="29"/>
      <c r="L68" s="17" t="str">
        <f t="shared" si="7"/>
        <v>경고</v>
      </c>
      <c r="N68" s="16"/>
    </row>
    <row r="69" spans="1:14" s="13" customFormat="1" ht="25" customHeight="1">
      <c r="A69" s="11"/>
      <c r="B69" s="24"/>
      <c r="C69" s="64">
        <v>38</v>
      </c>
      <c r="D69" s="65">
        <f t="shared" si="6"/>
        <v>93</v>
      </c>
      <c r="E69" s="65">
        <f t="shared" si="0"/>
        <v>6</v>
      </c>
      <c r="F69" s="51">
        <f t="shared" si="3"/>
        <v>38.31</v>
      </c>
      <c r="G69" s="52">
        <f>IF(D69=D68,"",_xlfn.IFNA(VLOOKUP(D69,'인원 입력 기능'!$F$5:$I$103,4,FALSE),0))</f>
        <v>4751</v>
      </c>
      <c r="H69" s="53">
        <f t="shared" si="4"/>
        <v>1.4774755723624061E-2</v>
      </c>
      <c r="I69" s="66">
        <f>SUM($G$7:G69)</f>
        <v>200736</v>
      </c>
      <c r="J69" s="55">
        <f t="shared" si="5"/>
        <v>0.62425286569930527</v>
      </c>
      <c r="K69" s="29"/>
      <c r="L69" s="17" t="str">
        <f t="shared" si="7"/>
        <v/>
      </c>
      <c r="N69" s="16"/>
    </row>
    <row r="70" spans="1:14" s="13" customFormat="1" ht="25" customHeight="1">
      <c r="A70" s="11"/>
      <c r="B70" s="24"/>
      <c r="C70" s="64">
        <v>37</v>
      </c>
      <c r="D70" s="65">
        <f t="shared" si="6"/>
        <v>92</v>
      </c>
      <c r="E70" s="65">
        <f t="shared" si="0"/>
        <v>6</v>
      </c>
      <c r="F70" s="51">
        <f t="shared" si="3"/>
        <v>37.020000000000003</v>
      </c>
      <c r="G70" s="52">
        <f>IF(D70=D69,"",_xlfn.IFNA(VLOOKUP(D70,'인원 입력 기능'!$F$5:$I$103,4,FALSE),0))</f>
        <v>3584</v>
      </c>
      <c r="H70" s="53">
        <f t="shared" si="4"/>
        <v>1.1145595561664624E-2</v>
      </c>
      <c r="I70" s="66">
        <f>SUM($G$7:G70)</f>
        <v>204320</v>
      </c>
      <c r="J70" s="55">
        <f t="shared" si="5"/>
        <v>0.63539846126096988</v>
      </c>
      <c r="K70" s="29"/>
      <c r="L70" s="17" t="str">
        <f t="shared" si="7"/>
        <v/>
      </c>
      <c r="N70" s="16"/>
    </row>
    <row r="71" spans="1:14" s="13" customFormat="1" ht="25" customHeight="1">
      <c r="A71" s="11"/>
      <c r="B71" s="24"/>
      <c r="C71" s="64">
        <v>36</v>
      </c>
      <c r="D71" s="65">
        <f t="shared" si="6"/>
        <v>91</v>
      </c>
      <c r="E71" s="65">
        <f t="shared" ref="E71:E105" si="8">IF(ROUND(D71,0)&gt;=$Q$7,1,IF(ROUND(D71,0)&gt;=$Q$8,2,IF(ROUND(D71,0)&gt;=$Q$9,3,IF(ROUND(D71,0)&gt;=$Q$10,4,IF(ROUND(D71,0)&gt;=$Q$11,5,IF(ROUND(D71,0)&gt;=$Q$12,6,IF(ROUND(D71,0)&gt;=$Q$13,7,IF(ROUND(D71,0)&gt;=$Q$14,8,9))))))))</f>
        <v>6</v>
      </c>
      <c r="F71" s="51">
        <f t="shared" si="3"/>
        <v>35.94</v>
      </c>
      <c r="G71" s="52">
        <f>IF(D71=D70,"",_xlfn.IFNA(VLOOKUP(D71,'인원 입력 기능'!$F$5:$I$103,4,FALSE),0))</f>
        <v>3376</v>
      </c>
      <c r="H71" s="53">
        <f t="shared" si="4"/>
        <v>1.0498752962103732E-2</v>
      </c>
      <c r="I71" s="66">
        <f>SUM($G$7:G71)</f>
        <v>207696</v>
      </c>
      <c r="J71" s="55">
        <f t="shared" si="5"/>
        <v>0.64589721422307367</v>
      </c>
      <c r="K71" s="29"/>
      <c r="L71" s="17" t="str">
        <f t="shared" si="7"/>
        <v/>
      </c>
      <c r="N71" s="16"/>
    </row>
    <row r="72" spans="1:14" s="13" customFormat="1" ht="25" customHeight="1">
      <c r="A72" s="11"/>
      <c r="B72" s="24"/>
      <c r="C72" s="64">
        <v>35</v>
      </c>
      <c r="D72" s="65">
        <f t="shared" si="6"/>
        <v>90</v>
      </c>
      <c r="E72" s="65">
        <f t="shared" si="8"/>
        <v>6</v>
      </c>
      <c r="F72" s="51">
        <f t="shared" si="3"/>
        <v>34.69</v>
      </c>
      <c r="G72" s="52">
        <f>IF(D72=D71,"",_xlfn.IFNA(VLOOKUP(D72,'인원 입력 기능'!$F$5:$I$103,4,FALSE),0))</f>
        <v>4604</v>
      </c>
      <c r="H72" s="53">
        <f t="shared" si="4"/>
        <v>1.431761215566516E-2</v>
      </c>
      <c r="I72" s="66">
        <f>SUM($G$7:G72)</f>
        <v>212300</v>
      </c>
      <c r="J72" s="55">
        <f t="shared" si="5"/>
        <v>0.66021482637873874</v>
      </c>
      <c r="K72" s="29"/>
      <c r="L72" s="17" t="str">
        <f t="shared" si="7"/>
        <v/>
      </c>
      <c r="N72" s="16"/>
    </row>
    <row r="73" spans="1:14" s="13" customFormat="1" ht="25" customHeight="1">
      <c r="A73" s="11"/>
      <c r="B73" s="24"/>
      <c r="C73" s="64">
        <v>34</v>
      </c>
      <c r="D73" s="65">
        <f t="shared" ref="D73:D104" si="9">ROUND(20*(C73-$H$3)/$H$4+100,0)</f>
        <v>89</v>
      </c>
      <c r="E73" s="65">
        <f t="shared" si="8"/>
        <v>6</v>
      </c>
      <c r="F73" s="51">
        <f t="shared" si="3"/>
        <v>33.4</v>
      </c>
      <c r="G73" s="52">
        <f>IF(D73=D72,"",_xlfn.IFNA(VLOOKUP(D73,'인원 입력 기능'!$F$5:$I$103,4,FALSE),0))</f>
        <v>3697</v>
      </c>
      <c r="H73" s="53">
        <f t="shared" si="4"/>
        <v>1.1497005243156841E-2</v>
      </c>
      <c r="I73" s="66">
        <f>SUM($G$7:G73)</f>
        <v>215997</v>
      </c>
      <c r="J73" s="55">
        <f t="shared" si="5"/>
        <v>0.67171183162189563</v>
      </c>
      <c r="K73" s="29"/>
      <c r="L73" s="17" t="str">
        <f t="shared" ref="L73:L105" si="10">IF(ABS((C73-$H$3)/$H$4*20+100-D73)&gt;0.49, "경고", "")</f>
        <v/>
      </c>
      <c r="N73" s="16"/>
    </row>
    <row r="74" spans="1:14" s="13" customFormat="1" ht="25" customHeight="1">
      <c r="A74" s="11"/>
      <c r="B74" s="24"/>
      <c r="C74" s="64">
        <v>33</v>
      </c>
      <c r="D74" s="65">
        <f t="shared" si="9"/>
        <v>88</v>
      </c>
      <c r="E74" s="65">
        <f t="shared" si="8"/>
        <v>6</v>
      </c>
      <c r="F74" s="51">
        <f t="shared" ref="F74:F105" si="11">IF(I73=0,ROUND(100*(1-(I72+I74)/2/$J$3),2),ROUND(100*(1-(I73+I74)/2/$J$3),2))</f>
        <v>32.340000000000003</v>
      </c>
      <c r="G74" s="52">
        <f>IF(D74=D73,"",_xlfn.IFNA(VLOOKUP(D74,'인원 입력 기능'!$F$5:$I$103,4,FALSE),0))</f>
        <v>3159</v>
      </c>
      <c r="H74" s="53">
        <f t="shared" ref="H74:H105" si="12">G74/$J$3</f>
        <v>9.8239219808310685E-3</v>
      </c>
      <c r="I74" s="66">
        <f>SUM($G$7:G74)</f>
        <v>219156</v>
      </c>
      <c r="J74" s="55">
        <f t="shared" ref="J74:J105" si="13">I74/$J$3</f>
        <v>0.68153575360272667</v>
      </c>
      <c r="K74" s="29"/>
      <c r="L74" s="17" t="str">
        <f t="shared" si="10"/>
        <v/>
      </c>
      <c r="N74" s="16"/>
    </row>
    <row r="75" spans="1:14" s="13" customFormat="1" ht="25" customHeight="1">
      <c r="A75" s="11"/>
      <c r="B75" s="24"/>
      <c r="C75" s="64">
        <v>32</v>
      </c>
      <c r="D75" s="150">
        <f t="shared" si="9"/>
        <v>87</v>
      </c>
      <c r="E75" s="150">
        <f t="shared" si="8"/>
        <v>6</v>
      </c>
      <c r="F75" s="140">
        <f t="shared" si="11"/>
        <v>30.57</v>
      </c>
      <c r="G75" s="142">
        <f>IF(D75=D74,"",_xlfn.IFNA(VLOOKUP(D75,'인원 입력 기능'!$F$5:$I$103,4,FALSE),0))</f>
        <v>8200</v>
      </c>
      <c r="H75" s="143">
        <f t="shared" si="12"/>
        <v>2.5500525559612144E-2</v>
      </c>
      <c r="I75" s="151">
        <f>SUM($G$7:G75)</f>
        <v>227356</v>
      </c>
      <c r="J75" s="147">
        <f t="shared" si="13"/>
        <v>0.7070362791623388</v>
      </c>
      <c r="K75" s="29"/>
      <c r="L75" s="17" t="str">
        <f t="shared" si="10"/>
        <v/>
      </c>
      <c r="N75" s="16"/>
    </row>
    <row r="76" spans="1:14" s="13" customFormat="1" ht="25" customHeight="1">
      <c r="A76" s="11"/>
      <c r="B76" s="24"/>
      <c r="C76" s="64">
        <v>31</v>
      </c>
      <c r="D76" s="149"/>
      <c r="E76" s="149"/>
      <c r="F76" s="139"/>
      <c r="G76" s="141"/>
      <c r="H76" s="144"/>
      <c r="I76" s="152"/>
      <c r="J76" s="148"/>
      <c r="K76" s="29"/>
      <c r="L76" s="17" t="str">
        <f t="shared" si="10"/>
        <v>경고</v>
      </c>
      <c r="N76" s="16"/>
    </row>
    <row r="77" spans="1:14" s="13" customFormat="1" ht="25" customHeight="1">
      <c r="A77" s="11"/>
      <c r="B77" s="24"/>
      <c r="C77" s="64">
        <v>30</v>
      </c>
      <c r="D77" s="65">
        <f t="shared" si="9"/>
        <v>86</v>
      </c>
      <c r="E77" s="65">
        <f t="shared" si="8"/>
        <v>6</v>
      </c>
      <c r="F77" s="51">
        <f t="shared" si="11"/>
        <v>28.81</v>
      </c>
      <c r="G77" s="52">
        <f>IF(D77=D76,"",_xlfn.IFNA(VLOOKUP(D77,'인원 입력 기능'!$F$5:$I$103,4,FALSE),0))</f>
        <v>3155</v>
      </c>
      <c r="H77" s="53">
        <f t="shared" si="12"/>
        <v>9.8114827000702811E-3</v>
      </c>
      <c r="I77" s="66">
        <f>SUM($G$7:G77)</f>
        <v>230511</v>
      </c>
      <c r="J77" s="55">
        <f t="shared" si="13"/>
        <v>0.71684776186240906</v>
      </c>
      <c r="K77" s="29"/>
      <c r="L77" s="17" t="str">
        <f t="shared" si="10"/>
        <v/>
      </c>
      <c r="N77" s="16"/>
    </row>
    <row r="78" spans="1:14" s="13" customFormat="1" ht="25" customHeight="1">
      <c r="A78" s="11"/>
      <c r="B78" s="24"/>
      <c r="C78" s="64">
        <v>29</v>
      </c>
      <c r="D78" s="65">
        <f t="shared" si="9"/>
        <v>85</v>
      </c>
      <c r="E78" s="65">
        <f t="shared" si="8"/>
        <v>6</v>
      </c>
      <c r="F78" s="51">
        <f t="shared" si="11"/>
        <v>27.67</v>
      </c>
      <c r="G78" s="52">
        <f>IF(D78=D77,"",_xlfn.IFNA(VLOOKUP(D78,'인원 입력 기능'!$F$5:$I$103,4,FALSE),0))</f>
        <v>4144</v>
      </c>
      <c r="H78" s="53">
        <f t="shared" si="12"/>
        <v>1.2887094868174721E-2</v>
      </c>
      <c r="I78" s="66">
        <f>SUM($G$7:G78)</f>
        <v>234655</v>
      </c>
      <c r="J78" s="55">
        <f t="shared" si="13"/>
        <v>0.7297348567305838</v>
      </c>
      <c r="K78" s="29"/>
      <c r="L78" s="17" t="str">
        <f t="shared" si="10"/>
        <v/>
      </c>
      <c r="N78" s="16"/>
    </row>
    <row r="79" spans="1:14" s="13" customFormat="1" ht="25" customHeight="1">
      <c r="A79" s="11"/>
      <c r="B79" s="24"/>
      <c r="C79" s="64">
        <v>28</v>
      </c>
      <c r="D79" s="65">
        <f t="shared" si="9"/>
        <v>84</v>
      </c>
      <c r="E79" s="65">
        <f t="shared" si="8"/>
        <v>6</v>
      </c>
      <c r="F79" s="51">
        <f t="shared" si="11"/>
        <v>26.36</v>
      </c>
      <c r="G79" s="52">
        <f>IF(D79=D78,"",_xlfn.IFNA(VLOOKUP(D79,'인원 입력 기능'!$F$5:$I$103,4,FALSE),0))</f>
        <v>4261</v>
      </c>
      <c r="H79" s="53">
        <f t="shared" si="12"/>
        <v>1.3250943830427724E-2</v>
      </c>
      <c r="I79" s="66">
        <f>SUM($G$7:G79)</f>
        <v>238916</v>
      </c>
      <c r="J79" s="55">
        <f t="shared" si="13"/>
        <v>0.7429858005610116</v>
      </c>
      <c r="K79" s="29"/>
      <c r="L79" s="17" t="str">
        <f t="shared" si="10"/>
        <v/>
      </c>
      <c r="N79" s="16"/>
    </row>
    <row r="80" spans="1:14" s="13" customFormat="1" ht="25" customHeight="1">
      <c r="A80" s="11"/>
      <c r="B80" s="24"/>
      <c r="C80" s="64">
        <v>27</v>
      </c>
      <c r="D80" s="65">
        <f t="shared" si="9"/>
        <v>83</v>
      </c>
      <c r="E80" s="65">
        <f t="shared" si="8"/>
        <v>6</v>
      </c>
      <c r="F80" s="51">
        <f t="shared" si="11"/>
        <v>25.21</v>
      </c>
      <c r="G80" s="52">
        <f>IF(D80=D79,"",_xlfn.IFNA(VLOOKUP(D80,'인원 입력 기능'!$F$5:$I$103,4,FALSE),0))</f>
        <v>3166</v>
      </c>
      <c r="H80" s="53">
        <f t="shared" si="12"/>
        <v>9.8456907221624451E-3</v>
      </c>
      <c r="I80" s="66">
        <f>SUM($G$7:G80)</f>
        <v>242082</v>
      </c>
      <c r="J80" s="55">
        <f t="shared" si="13"/>
        <v>0.75283149128317406</v>
      </c>
      <c r="K80" s="29"/>
      <c r="L80" s="17" t="str">
        <f t="shared" si="10"/>
        <v/>
      </c>
      <c r="N80" s="16"/>
    </row>
    <row r="81" spans="1:14" s="13" customFormat="1" ht="25" customHeight="1">
      <c r="A81" s="11"/>
      <c r="B81" s="24"/>
      <c r="C81" s="64">
        <v>26</v>
      </c>
      <c r="D81" s="65">
        <f t="shared" si="9"/>
        <v>82</v>
      </c>
      <c r="E81" s="65">
        <f t="shared" si="8"/>
        <v>6</v>
      </c>
      <c r="F81" s="51">
        <f t="shared" si="11"/>
        <v>24.11</v>
      </c>
      <c r="G81" s="52">
        <f>IF(D81=D80,"",_xlfn.IFNA(VLOOKUP(D81,'인원 입력 기능'!$F$5:$I$103,4,FALSE),0))</f>
        <v>3919</v>
      </c>
      <c r="H81" s="53">
        <f t="shared" si="12"/>
        <v>1.2187385325380487E-2</v>
      </c>
      <c r="I81" s="66">
        <f>SUM($G$7:G81)</f>
        <v>246001</v>
      </c>
      <c r="J81" s="55">
        <f t="shared" si="13"/>
        <v>0.7650188766085545</v>
      </c>
      <c r="K81" s="29"/>
      <c r="L81" s="17" t="str">
        <f t="shared" si="10"/>
        <v/>
      </c>
      <c r="N81" s="16"/>
    </row>
    <row r="82" spans="1:14" s="13" customFormat="1" ht="25" customHeight="1">
      <c r="A82" s="11"/>
      <c r="B82" s="24"/>
      <c r="C82" s="64">
        <v>25</v>
      </c>
      <c r="D82" s="150">
        <f t="shared" si="9"/>
        <v>81</v>
      </c>
      <c r="E82" s="150">
        <f t="shared" si="8"/>
        <v>6</v>
      </c>
      <c r="F82" s="140">
        <f t="shared" si="11"/>
        <v>22.31</v>
      </c>
      <c r="G82" s="142">
        <f>IF(D82=D81,"",_xlfn.IFNA(VLOOKUP(D82,'인원 입력 기능'!$F$5:$I$103,4,FALSE),0))</f>
        <v>7621</v>
      </c>
      <c r="H82" s="143">
        <f t="shared" si="12"/>
        <v>2.3699939669488312E-2</v>
      </c>
      <c r="I82" s="151">
        <f>SUM($G$7:G82)</f>
        <v>253622</v>
      </c>
      <c r="J82" s="147">
        <f t="shared" si="13"/>
        <v>0.78871881627804286</v>
      </c>
      <c r="K82" s="29"/>
      <c r="L82" s="17" t="str">
        <f t="shared" si="10"/>
        <v/>
      </c>
      <c r="N82" s="16"/>
    </row>
    <row r="83" spans="1:14" s="13" customFormat="1" ht="25" customHeight="1">
      <c r="A83" s="11"/>
      <c r="B83" s="24"/>
      <c r="C83" s="64">
        <v>24</v>
      </c>
      <c r="D83" s="149"/>
      <c r="E83" s="149"/>
      <c r="F83" s="139"/>
      <c r="G83" s="141"/>
      <c r="H83" s="144"/>
      <c r="I83" s="152"/>
      <c r="J83" s="148"/>
      <c r="K83" s="29"/>
      <c r="L83" s="17" t="str">
        <f t="shared" si="10"/>
        <v>경고</v>
      </c>
      <c r="N83" s="16"/>
    </row>
    <row r="84" spans="1:14" s="13" customFormat="1" ht="25" customHeight="1">
      <c r="A84" s="11"/>
      <c r="B84" s="24"/>
      <c r="C84" s="64">
        <v>23</v>
      </c>
      <c r="D84" s="65">
        <f t="shared" si="9"/>
        <v>80</v>
      </c>
      <c r="E84" s="65">
        <f t="shared" si="8"/>
        <v>7</v>
      </c>
      <c r="F84" s="51">
        <f t="shared" si="11"/>
        <v>20.5</v>
      </c>
      <c r="G84" s="52">
        <f>IF(D84=D83,"",_xlfn.IFNA(VLOOKUP(D84,'인원 입력 기능'!$F$5:$I$103,4,FALSE),0))</f>
        <v>4070</v>
      </c>
      <c r="H84" s="53">
        <f t="shared" si="12"/>
        <v>1.2656968174100173E-2</v>
      </c>
      <c r="I84" s="66">
        <f>SUM($G$7:G84)</f>
        <v>257692</v>
      </c>
      <c r="J84" s="55">
        <f t="shared" si="13"/>
        <v>0.80137578445214297</v>
      </c>
      <c r="K84" s="29"/>
      <c r="L84" s="17" t="str">
        <f t="shared" si="10"/>
        <v/>
      </c>
      <c r="N84" s="16"/>
    </row>
    <row r="85" spans="1:14" s="13" customFormat="1" ht="25" customHeight="1">
      <c r="A85" s="11"/>
      <c r="B85" s="24"/>
      <c r="C85" s="64">
        <v>22</v>
      </c>
      <c r="D85" s="65">
        <f t="shared" si="9"/>
        <v>79</v>
      </c>
      <c r="E85" s="65">
        <f t="shared" si="8"/>
        <v>7</v>
      </c>
      <c r="F85" s="51">
        <f t="shared" si="11"/>
        <v>19.2</v>
      </c>
      <c r="G85" s="52">
        <f>IF(D85=D84,"",_xlfn.IFNA(VLOOKUP(D85,'인원 입력 기능'!$F$5:$I$103,4,FALSE),0))</f>
        <v>4243</v>
      </c>
      <c r="H85" s="53">
        <f t="shared" si="12"/>
        <v>1.3194967067004185E-2</v>
      </c>
      <c r="I85" s="66">
        <f>SUM($G$7:G85)</f>
        <v>261935</v>
      </c>
      <c r="J85" s="55">
        <f t="shared" si="13"/>
        <v>0.81457075151914715</v>
      </c>
      <c r="K85" s="29"/>
      <c r="L85" s="17" t="str">
        <f t="shared" si="10"/>
        <v/>
      </c>
      <c r="N85" s="16"/>
    </row>
    <row r="86" spans="1:14" s="13" customFormat="1" ht="25" customHeight="1">
      <c r="A86" s="11"/>
      <c r="B86" s="24"/>
      <c r="C86" s="64">
        <v>21</v>
      </c>
      <c r="D86" s="65">
        <f t="shared" si="9"/>
        <v>78</v>
      </c>
      <c r="E86" s="65">
        <f t="shared" si="8"/>
        <v>7</v>
      </c>
      <c r="F86" s="51">
        <f t="shared" si="11"/>
        <v>17.97</v>
      </c>
      <c r="G86" s="52">
        <f>IF(D86=D85,"",_xlfn.IFNA(VLOOKUP(D86,'인원 입력 기능'!$F$5:$I$103,4,FALSE),0))</f>
        <v>3689</v>
      </c>
      <c r="H86" s="53">
        <f t="shared" si="12"/>
        <v>1.1472126681635268E-2</v>
      </c>
      <c r="I86" s="66">
        <f>SUM($G$7:G86)</f>
        <v>265624</v>
      </c>
      <c r="J86" s="55">
        <f t="shared" si="13"/>
        <v>0.82604287820078248</v>
      </c>
      <c r="K86" s="29"/>
      <c r="L86" s="17" t="str">
        <f t="shared" si="10"/>
        <v/>
      </c>
      <c r="N86" s="16"/>
    </row>
    <row r="87" spans="1:14" s="13" customFormat="1" ht="25" customHeight="1">
      <c r="A87" s="11"/>
      <c r="B87" s="24"/>
      <c r="C87" s="64">
        <v>20</v>
      </c>
      <c r="D87" s="65">
        <f t="shared" si="9"/>
        <v>77</v>
      </c>
      <c r="E87" s="65">
        <f t="shared" si="8"/>
        <v>7</v>
      </c>
      <c r="F87" s="51">
        <f t="shared" si="11"/>
        <v>16.75</v>
      </c>
      <c r="G87" s="52">
        <f>IF(D87=D86,"",_xlfn.IFNA(VLOOKUP(D87,'인원 입력 기능'!$F$5:$I$103,4,FALSE),0))</f>
        <v>4170</v>
      </c>
      <c r="H87" s="53">
        <f t="shared" si="12"/>
        <v>1.2967950193119833E-2</v>
      </c>
      <c r="I87" s="66">
        <f>SUM($G$7:G87)</f>
        <v>269794</v>
      </c>
      <c r="J87" s="55">
        <f t="shared" si="13"/>
        <v>0.83901082839390229</v>
      </c>
      <c r="K87" s="29"/>
      <c r="L87" s="17" t="str">
        <f t="shared" si="10"/>
        <v/>
      </c>
      <c r="N87" s="16"/>
    </row>
    <row r="88" spans="1:14" s="13" customFormat="1" ht="25" customHeight="1">
      <c r="A88" s="11"/>
      <c r="B88" s="24"/>
      <c r="C88" s="64">
        <v>19</v>
      </c>
      <c r="D88" s="65">
        <f t="shared" si="9"/>
        <v>76</v>
      </c>
      <c r="E88" s="65">
        <f t="shared" si="8"/>
        <v>7</v>
      </c>
      <c r="F88" s="51">
        <f t="shared" si="11"/>
        <v>15.44</v>
      </c>
      <c r="G88" s="52">
        <f>IF(D88=D87,"",_xlfn.IFNA(VLOOKUP(D88,'인원 입력 기능'!$F$5:$I$103,4,FALSE),0))</f>
        <v>4237</v>
      </c>
      <c r="H88" s="53">
        <f t="shared" si="12"/>
        <v>1.3176308145863007E-2</v>
      </c>
      <c r="I88" s="66">
        <f>SUM($G$7:G88)</f>
        <v>274031</v>
      </c>
      <c r="J88" s="55">
        <f t="shared" si="13"/>
        <v>0.8521871365397653</v>
      </c>
      <c r="K88" s="29"/>
      <c r="L88" s="17" t="str">
        <f t="shared" si="10"/>
        <v/>
      </c>
      <c r="N88" s="16"/>
    </row>
    <row r="89" spans="1:14" s="13" customFormat="1" ht="25" customHeight="1">
      <c r="A89" s="11"/>
      <c r="B89" s="24"/>
      <c r="C89" s="64">
        <v>18</v>
      </c>
      <c r="D89" s="65">
        <f t="shared" si="9"/>
        <v>75</v>
      </c>
      <c r="E89" s="65">
        <f t="shared" si="8"/>
        <v>7</v>
      </c>
      <c r="F89" s="51">
        <f t="shared" si="11"/>
        <v>14.13</v>
      </c>
      <c r="G89" s="52">
        <f>IF(D89=D88,"",_xlfn.IFNA(VLOOKUP(D89,'인원 입력 기능'!$F$5:$I$103,4,FALSE),0))</f>
        <v>4219</v>
      </c>
      <c r="H89" s="53">
        <f t="shared" si="12"/>
        <v>1.3120331382439468E-2</v>
      </c>
      <c r="I89" s="66">
        <f>SUM($G$7:G89)</f>
        <v>278250</v>
      </c>
      <c r="J89" s="55">
        <f t="shared" si="13"/>
        <v>0.8653074679222047</v>
      </c>
      <c r="K89" s="29"/>
      <c r="L89" s="17" t="str">
        <f t="shared" si="10"/>
        <v/>
      </c>
      <c r="N89" s="16"/>
    </row>
    <row r="90" spans="1:14" s="13" customFormat="1" ht="25" customHeight="1">
      <c r="A90" s="11"/>
      <c r="B90" s="24"/>
      <c r="C90" s="64">
        <v>17</v>
      </c>
      <c r="D90" s="150">
        <f t="shared" si="9"/>
        <v>74</v>
      </c>
      <c r="E90" s="150">
        <f t="shared" si="8"/>
        <v>7</v>
      </c>
      <c r="F90" s="140">
        <f t="shared" si="11"/>
        <v>11.47</v>
      </c>
      <c r="G90" s="142">
        <f>IF(D90=D89,"",_xlfn.IFNA(VLOOKUP(D90,'인원 입력 기능'!$F$5:$I$103,4,FALSE),0))</f>
        <v>12859</v>
      </c>
      <c r="H90" s="143">
        <f t="shared" si="12"/>
        <v>3.9989177825738118E-2</v>
      </c>
      <c r="I90" s="151">
        <f>SUM($G$7:G90)</f>
        <v>291109</v>
      </c>
      <c r="J90" s="147">
        <f t="shared" si="13"/>
        <v>0.90529664574794289</v>
      </c>
      <c r="K90" s="29"/>
      <c r="L90" s="17" t="str">
        <f t="shared" si="10"/>
        <v/>
      </c>
      <c r="N90" s="16"/>
    </row>
    <row r="91" spans="1:14" s="13" customFormat="1" ht="25" customHeight="1">
      <c r="A91" s="11"/>
      <c r="B91" s="24"/>
      <c r="C91" s="64">
        <v>16</v>
      </c>
      <c r="D91" s="149"/>
      <c r="E91" s="149"/>
      <c r="F91" s="139"/>
      <c r="G91" s="141"/>
      <c r="H91" s="144"/>
      <c r="I91" s="152"/>
      <c r="J91" s="148"/>
      <c r="K91" s="29"/>
      <c r="L91" s="17" t="str">
        <f t="shared" si="10"/>
        <v>경고</v>
      </c>
      <c r="N91" s="16"/>
    </row>
    <row r="92" spans="1:14" s="13" customFormat="1" ht="25" customHeight="1">
      <c r="A92" s="11"/>
      <c r="B92" s="24"/>
      <c r="C92" s="64">
        <v>15</v>
      </c>
      <c r="D92" s="65">
        <f t="shared" si="9"/>
        <v>73</v>
      </c>
      <c r="E92" s="65">
        <f t="shared" si="8"/>
        <v>8</v>
      </c>
      <c r="F92" s="51">
        <f t="shared" si="11"/>
        <v>8.91</v>
      </c>
      <c r="G92" s="52">
        <f>IF(D92=D91,"",_xlfn.IFNA(VLOOKUP(D92,'인원 입력 기능'!$F$5:$I$103,4,FALSE),0))</f>
        <v>3604</v>
      </c>
      <c r="H92" s="53">
        <f t="shared" si="12"/>
        <v>1.1207791965468557E-2</v>
      </c>
      <c r="I92" s="66">
        <f>SUM($G$7:G92)</f>
        <v>294713</v>
      </c>
      <c r="J92" s="55">
        <f t="shared" si="13"/>
        <v>0.91650443771341139</v>
      </c>
      <c r="K92" s="29"/>
      <c r="L92" s="17" t="str">
        <f t="shared" si="10"/>
        <v/>
      </c>
      <c r="N92" s="16"/>
    </row>
    <row r="93" spans="1:14" s="13" customFormat="1" ht="25" customHeight="1">
      <c r="A93" s="11"/>
      <c r="B93" s="24"/>
      <c r="C93" s="64">
        <v>14</v>
      </c>
      <c r="D93" s="65">
        <f t="shared" si="9"/>
        <v>72</v>
      </c>
      <c r="E93" s="65">
        <f t="shared" si="8"/>
        <v>8</v>
      </c>
      <c r="F93" s="51">
        <f t="shared" si="11"/>
        <v>7.64</v>
      </c>
      <c r="G93" s="52">
        <f>IF(D93=D92,"",_xlfn.IFNA(VLOOKUP(D93,'인원 입력 기능'!$F$5:$I$103,4,FALSE),0))</f>
        <v>4552</v>
      </c>
      <c r="H93" s="53">
        <f t="shared" si="12"/>
        <v>1.4155901505774936E-2</v>
      </c>
      <c r="I93" s="66">
        <f>SUM($G$7:G93)</f>
        <v>299265</v>
      </c>
      <c r="J93" s="55">
        <f t="shared" si="13"/>
        <v>0.93066033921918634</v>
      </c>
      <c r="K93" s="29"/>
      <c r="L93" s="17" t="str">
        <f t="shared" si="10"/>
        <v/>
      </c>
      <c r="N93" s="16"/>
    </row>
    <row r="94" spans="1:14" s="13" customFormat="1" ht="25" customHeight="1">
      <c r="A94" s="11"/>
      <c r="B94" s="24"/>
      <c r="C94" s="64">
        <v>13</v>
      </c>
      <c r="D94" s="65">
        <f t="shared" si="9"/>
        <v>71</v>
      </c>
      <c r="E94" s="65">
        <f t="shared" si="8"/>
        <v>8</v>
      </c>
      <c r="F94" s="51">
        <f t="shared" si="11"/>
        <v>6.25</v>
      </c>
      <c r="G94" s="52">
        <f>IF(D94=D93,"",_xlfn.IFNA(VLOOKUP(D94,'인원 입력 기능'!$F$5:$I$103,4,FALSE),0))</f>
        <v>4429</v>
      </c>
      <c r="H94" s="53">
        <f t="shared" si="12"/>
        <v>1.3773393622380755E-2</v>
      </c>
      <c r="I94" s="66">
        <f>SUM($G$7:G94)</f>
        <v>303694</v>
      </c>
      <c r="J94" s="55">
        <f t="shared" si="13"/>
        <v>0.94443373284156706</v>
      </c>
      <c r="K94" s="29"/>
      <c r="L94" s="17" t="str">
        <f t="shared" si="10"/>
        <v/>
      </c>
      <c r="N94" s="16"/>
    </row>
    <row r="95" spans="1:14" s="13" customFormat="1" ht="25" customHeight="1">
      <c r="A95" s="11"/>
      <c r="B95" s="24"/>
      <c r="C95" s="64">
        <v>12</v>
      </c>
      <c r="D95" s="65">
        <f t="shared" si="9"/>
        <v>70</v>
      </c>
      <c r="E95" s="65">
        <f t="shared" si="8"/>
        <v>8</v>
      </c>
      <c r="F95" s="51">
        <f t="shared" si="11"/>
        <v>4.59</v>
      </c>
      <c r="G95" s="52">
        <f>IF(D95=D94,"",_xlfn.IFNA(VLOOKUP(D95,'인원 입력 기능'!$F$5:$I$103,4,FALSE),0))</f>
        <v>6224</v>
      </c>
      <c r="H95" s="53">
        <f t="shared" si="12"/>
        <v>1.9355520863783657E-2</v>
      </c>
      <c r="I95" s="66">
        <f>SUM($G$7:G95)</f>
        <v>309918</v>
      </c>
      <c r="J95" s="55">
        <f t="shared" si="13"/>
        <v>0.96378925370535073</v>
      </c>
      <c r="K95" s="29"/>
      <c r="L95" s="17" t="str">
        <f t="shared" si="10"/>
        <v/>
      </c>
      <c r="N95" s="16"/>
    </row>
    <row r="96" spans="1:14" s="13" customFormat="1" ht="25" customHeight="1">
      <c r="A96" s="11"/>
      <c r="B96" s="24"/>
      <c r="C96" s="64">
        <v>11</v>
      </c>
      <c r="D96" s="65">
        <f t="shared" si="9"/>
        <v>69</v>
      </c>
      <c r="E96" s="65">
        <f t="shared" si="8"/>
        <v>9</v>
      </c>
      <c r="F96" s="51">
        <f t="shared" si="11"/>
        <v>3.3</v>
      </c>
      <c r="G96" s="52">
        <f>IF(D96=D95,"",_xlfn.IFNA(VLOOKUP(D96,'인원 입력 기능'!$F$5:$I$103,4,FALSE),0))</f>
        <v>2043</v>
      </c>
      <c r="H96" s="53">
        <f t="shared" si="12"/>
        <v>6.3533626485716595E-3</v>
      </c>
      <c r="I96" s="66">
        <f>SUM($G$7:G96)</f>
        <v>311961</v>
      </c>
      <c r="J96" s="55">
        <f t="shared" si="13"/>
        <v>0.9701426163539224</v>
      </c>
      <c r="K96" s="29"/>
      <c r="L96" s="17" t="str">
        <f t="shared" si="10"/>
        <v/>
      </c>
      <c r="N96" s="16"/>
    </row>
    <row r="97" spans="1:14" s="13" customFormat="1" ht="25" customHeight="1">
      <c r="A97" s="11"/>
      <c r="B97" s="24"/>
      <c r="C97" s="64">
        <v>10</v>
      </c>
      <c r="D97" s="150">
        <f t="shared" si="9"/>
        <v>68</v>
      </c>
      <c r="E97" s="150">
        <f t="shared" si="8"/>
        <v>9</v>
      </c>
      <c r="F97" s="140">
        <f t="shared" si="11"/>
        <v>2.36</v>
      </c>
      <c r="G97" s="142">
        <f>IF(D97=D96,"",_xlfn.IFNA(VLOOKUP(D97,'인원 입력 기능'!$F$5:$I$103,4,FALSE),0))</f>
        <v>4045</v>
      </c>
      <c r="H97" s="143">
        <f t="shared" si="12"/>
        <v>1.2579222669345259E-2</v>
      </c>
      <c r="I97" s="151">
        <f>SUM($G$7:G97)</f>
        <v>316006</v>
      </c>
      <c r="J97" s="147">
        <f t="shared" si="13"/>
        <v>0.98272183902326771</v>
      </c>
      <c r="K97" s="29"/>
      <c r="L97" s="17" t="str">
        <f t="shared" si="10"/>
        <v/>
      </c>
      <c r="N97" s="16"/>
    </row>
    <row r="98" spans="1:14" s="13" customFormat="1" ht="25" customHeight="1">
      <c r="A98" s="11"/>
      <c r="B98" s="24"/>
      <c r="C98" s="64">
        <v>9</v>
      </c>
      <c r="D98" s="149"/>
      <c r="E98" s="149"/>
      <c r="F98" s="139"/>
      <c r="G98" s="141"/>
      <c r="H98" s="144"/>
      <c r="I98" s="152"/>
      <c r="J98" s="148"/>
      <c r="K98" s="29"/>
      <c r="L98" s="17" t="str">
        <f t="shared" si="10"/>
        <v>경고</v>
      </c>
      <c r="N98" s="16"/>
    </row>
    <row r="99" spans="1:14" s="13" customFormat="1" ht="25" customHeight="1">
      <c r="A99" s="11"/>
      <c r="B99" s="24"/>
      <c r="C99" s="64">
        <v>8</v>
      </c>
      <c r="D99" s="65">
        <f t="shared" si="9"/>
        <v>67</v>
      </c>
      <c r="E99" s="65">
        <f t="shared" si="8"/>
        <v>9</v>
      </c>
      <c r="F99" s="51">
        <f t="shared" si="11"/>
        <v>1.54</v>
      </c>
      <c r="G99" s="52">
        <f>IF(D99=D98,"",_xlfn.IFNA(VLOOKUP(D99,'인원 입력 기능'!$F$5:$I$103,4,FALSE),0))</f>
        <v>1233</v>
      </c>
      <c r="H99" s="53">
        <f t="shared" si="12"/>
        <v>3.8344082945124115E-3</v>
      </c>
      <c r="I99" s="66">
        <f>SUM($G$7:G99)</f>
        <v>317239</v>
      </c>
      <c r="J99" s="55">
        <f t="shared" si="13"/>
        <v>0.98655624731778013</v>
      </c>
      <c r="K99" s="29"/>
      <c r="L99" s="17" t="str">
        <f t="shared" si="10"/>
        <v/>
      </c>
      <c r="N99" s="16"/>
    </row>
    <row r="100" spans="1:14" s="13" customFormat="1" ht="25" customHeight="1">
      <c r="A100" s="11"/>
      <c r="B100" s="24"/>
      <c r="C100" s="64">
        <v>7</v>
      </c>
      <c r="D100" s="65">
        <f t="shared" si="9"/>
        <v>66</v>
      </c>
      <c r="E100" s="65">
        <f t="shared" si="8"/>
        <v>9</v>
      </c>
      <c r="F100" s="51">
        <f t="shared" si="11"/>
        <v>1.1599999999999999</v>
      </c>
      <c r="G100" s="52">
        <f>IF(D100=D99,"",_xlfn.IFNA(VLOOKUP(D100,'인원 입력 기능'!$F$5:$I$103,4,FALSE),0))</f>
        <v>1185</v>
      </c>
      <c r="H100" s="53">
        <f t="shared" si="12"/>
        <v>3.6851369253829746E-3</v>
      </c>
      <c r="I100" s="66">
        <f>SUM($G$7:G100)</f>
        <v>318424</v>
      </c>
      <c r="J100" s="55">
        <f t="shared" si="13"/>
        <v>0.9902413842431631</v>
      </c>
      <c r="K100" s="29"/>
      <c r="L100" s="17" t="str">
        <f t="shared" si="10"/>
        <v/>
      </c>
      <c r="N100" s="16"/>
    </row>
    <row r="101" spans="1:14" s="13" customFormat="1" ht="25" customHeight="1">
      <c r="A101" s="11"/>
      <c r="B101" s="24"/>
      <c r="C101" s="56">
        <v>6</v>
      </c>
      <c r="D101" s="50">
        <f t="shared" si="9"/>
        <v>65</v>
      </c>
      <c r="E101" s="65">
        <f t="shared" si="8"/>
        <v>9</v>
      </c>
      <c r="F101" s="51">
        <f t="shared" si="11"/>
        <v>0.83</v>
      </c>
      <c r="G101" s="52">
        <f>IF(D101=D100,"",_xlfn.IFNA(VLOOKUP(D101,'인원 입력 기능'!$F$5:$I$103,4,FALSE),0))</f>
        <v>913</v>
      </c>
      <c r="H101" s="53">
        <f t="shared" si="12"/>
        <v>2.8392658336494985E-3</v>
      </c>
      <c r="I101" s="63">
        <f>SUM($G$7:G101)</f>
        <v>319337</v>
      </c>
      <c r="J101" s="55">
        <f t="shared" si="13"/>
        <v>0.99308065007681257</v>
      </c>
      <c r="K101" s="29"/>
      <c r="L101" s="17" t="str">
        <f t="shared" si="10"/>
        <v/>
      </c>
      <c r="N101" s="16"/>
    </row>
    <row r="102" spans="1:14" s="13" customFormat="1" ht="25" customHeight="1">
      <c r="A102" s="11"/>
      <c r="B102" s="24"/>
      <c r="C102" s="56">
        <v>5</v>
      </c>
      <c r="D102" s="50">
        <f t="shared" si="9"/>
        <v>64</v>
      </c>
      <c r="E102" s="65">
        <f t="shared" si="8"/>
        <v>9</v>
      </c>
      <c r="F102" s="51">
        <f t="shared" si="11"/>
        <v>0.61</v>
      </c>
      <c r="G102" s="52">
        <f>IF(D102=D101,"",_xlfn.IFNA(VLOOKUP(D102,'인원 입력 기능'!$F$5:$I$103,4,FALSE),0))</f>
        <v>519</v>
      </c>
      <c r="H102" s="53">
        <f t="shared" si="12"/>
        <v>1.6139966787120368E-3</v>
      </c>
      <c r="I102" s="63">
        <f>SUM($G$7:G102)</f>
        <v>319856</v>
      </c>
      <c r="J102" s="55">
        <f t="shared" si="13"/>
        <v>0.99469464675552455</v>
      </c>
      <c r="K102" s="29"/>
      <c r="L102" s="17" t="str">
        <f t="shared" si="10"/>
        <v/>
      </c>
      <c r="N102" s="16"/>
    </row>
    <row r="103" spans="1:14" s="13" customFormat="1" ht="25" customHeight="1">
      <c r="A103" s="11"/>
      <c r="B103" s="24"/>
      <c r="C103" s="56">
        <v>4</v>
      </c>
      <c r="D103" s="50">
        <f t="shared" si="9"/>
        <v>63</v>
      </c>
      <c r="E103" s="65">
        <f t="shared" si="8"/>
        <v>9</v>
      </c>
      <c r="F103" s="51">
        <f t="shared" si="11"/>
        <v>0.47</v>
      </c>
      <c r="G103" s="52">
        <f>IF(D103=D102,"",_xlfn.IFNA(VLOOKUP(D103,'인원 입력 기능'!$F$5:$I$103,4,FALSE),0))</f>
        <v>416</v>
      </c>
      <c r="H103" s="53">
        <f t="shared" si="12"/>
        <v>1.2936851991217867E-3</v>
      </c>
      <c r="I103" s="63">
        <f>SUM($G$7:G103)</f>
        <v>320272</v>
      </c>
      <c r="J103" s="55">
        <f t="shared" si="13"/>
        <v>0.99598833195464642</v>
      </c>
      <c r="K103" s="29"/>
      <c r="L103" s="17" t="str">
        <f t="shared" si="10"/>
        <v/>
      </c>
      <c r="N103" s="16"/>
    </row>
    <row r="104" spans="1:14" s="13" customFormat="1" ht="25" customHeight="1">
      <c r="A104" s="11"/>
      <c r="B104" s="24"/>
      <c r="C104" s="56">
        <v>3</v>
      </c>
      <c r="D104" s="50">
        <f t="shared" si="9"/>
        <v>62</v>
      </c>
      <c r="E104" s="50">
        <f t="shared" si="8"/>
        <v>9</v>
      </c>
      <c r="F104" s="51">
        <f t="shared" si="11"/>
        <v>0.33</v>
      </c>
      <c r="G104" s="52">
        <f>IF(D104=D103,"",_xlfn.IFNA(VLOOKUP(D104,'인원 입력 기능'!$F$5:$I$103,4,FALSE),0))</f>
        <v>467</v>
      </c>
      <c r="H104" s="53">
        <f t="shared" si="12"/>
        <v>1.4522860288218135E-3</v>
      </c>
      <c r="I104" s="63">
        <f>SUM($G$7:G104)</f>
        <v>320739</v>
      </c>
      <c r="J104" s="55">
        <f t="shared" si="13"/>
        <v>0.99744061798346817</v>
      </c>
      <c r="K104" s="29"/>
      <c r="L104" s="17" t="str">
        <f t="shared" si="10"/>
        <v/>
      </c>
      <c r="N104" s="16"/>
    </row>
    <row r="105" spans="1:14" s="13" customFormat="1" ht="25" customHeight="1">
      <c r="A105" s="11"/>
      <c r="B105" s="24"/>
      <c r="C105" s="56">
        <v>2</v>
      </c>
      <c r="D105" s="50">
        <f t="shared" ref="D105" si="14">ROUND(20*(C105-$H$3)/$H$4+100,0)</f>
        <v>61</v>
      </c>
      <c r="E105" s="50">
        <f t="shared" si="8"/>
        <v>9</v>
      </c>
      <c r="F105" s="51">
        <f t="shared" si="11"/>
        <v>0.23</v>
      </c>
      <c r="G105" s="52">
        <f>IF(D105=D104,"",_xlfn.IFNA(VLOOKUP(D105,'인원 입력 기능'!$F$5:$I$103,4,FALSE),0))</f>
        <v>156</v>
      </c>
      <c r="H105" s="53">
        <f t="shared" si="12"/>
        <v>4.8513194967067004E-4</v>
      </c>
      <c r="I105" s="63">
        <f>SUM($G$7:G105)</f>
        <v>320895</v>
      </c>
      <c r="J105" s="55">
        <f t="shared" si="13"/>
        <v>0.99792574993313887</v>
      </c>
      <c r="K105" s="29"/>
      <c r="L105" s="17" t="str">
        <f t="shared" si="10"/>
        <v/>
      </c>
      <c r="N105" s="16"/>
    </row>
    <row r="106" spans="1:14" s="13" customFormat="1" ht="25" customHeight="1">
      <c r="A106" s="11"/>
      <c r="B106" s="24"/>
      <c r="C106" s="56">
        <v>1</v>
      </c>
      <c r="D106" s="57" t="s">
        <v>37</v>
      </c>
      <c r="E106" s="57"/>
      <c r="F106" s="58"/>
      <c r="G106" s="59"/>
      <c r="H106" s="60"/>
      <c r="I106" s="67"/>
      <c r="J106" s="62"/>
      <c r="K106" s="30"/>
      <c r="L106" s="17"/>
    </row>
    <row r="107" spans="1:14" s="13" customFormat="1" ht="25" customHeight="1" thickBot="1">
      <c r="A107" s="11"/>
      <c r="B107" s="24"/>
      <c r="C107" s="68">
        <v>0</v>
      </c>
      <c r="D107" s="69">
        <f>ROUND(20*(C107-$H$3)/$H$4+100,0)</f>
        <v>60</v>
      </c>
      <c r="E107" s="69">
        <f>IF(ROUND(D107,0)&gt;=$Q$7,1,IF(ROUND(D107,0)&gt;=$Q$8,2,IF(ROUND(D107,0)&gt;=$Q$9,3,IF(ROUND(D107,0)&gt;=$Q$10,4,IF(ROUND(D107,0)&gt;=$Q$11,5,IF(ROUND(D107,0)&gt;=$Q$12,6,IF(ROUND(D107,0)&gt;=$Q$13,7,IF(ROUND(D107,0)&gt;=$Q$14,8,9))))))))</f>
        <v>9</v>
      </c>
      <c r="F107" s="70">
        <f>IF(I105=0,ROUND(100*(1-(I104+I107)/2/$J$3),2),ROUND(100*(1-(I105+I107)/2/$J$3),2))</f>
        <v>0.1</v>
      </c>
      <c r="G107" s="71">
        <f>_xlfn.IFNA(VLOOKUP(D107,'인원 입력 기능'!$F$5:$I$103,4,FALSE),0)</f>
        <v>667</v>
      </c>
      <c r="H107" s="72">
        <f>G107/$J$3</f>
        <v>2.074250066861134E-3</v>
      </c>
      <c r="I107" s="73">
        <f>SUM($G$7:G107)</f>
        <v>321562</v>
      </c>
      <c r="J107" s="74">
        <f>I107/$J$3</f>
        <v>1</v>
      </c>
      <c r="K107" s="29"/>
      <c r="L107" s="17" t="str">
        <f>IF(ABS((C107-$H$3)/$H$4*20+100-D107)&gt;0.49, "경고", "")</f>
        <v/>
      </c>
    </row>
    <row r="108" spans="1:14" ht="6" customHeight="1">
      <c r="A108" s="2"/>
      <c r="B108" s="31"/>
      <c r="C108" s="32"/>
      <c r="D108" s="32"/>
      <c r="E108" s="32"/>
      <c r="F108" s="32"/>
      <c r="G108" s="32"/>
      <c r="H108" s="32"/>
      <c r="I108" s="32"/>
      <c r="J108" s="32"/>
      <c r="K108" s="33"/>
      <c r="L108" s="2"/>
    </row>
  </sheetData>
  <mergeCells count="87">
    <mergeCell ref="I97:I98"/>
    <mergeCell ref="J97:J98"/>
    <mergeCell ref="D97:D98"/>
    <mergeCell ref="E97:E98"/>
    <mergeCell ref="F97:F98"/>
    <mergeCell ref="G97:G98"/>
    <mergeCell ref="H97:H98"/>
    <mergeCell ref="I82:I83"/>
    <mergeCell ref="J82:J83"/>
    <mergeCell ref="D90:D91"/>
    <mergeCell ref="E90:E91"/>
    <mergeCell ref="F90:F91"/>
    <mergeCell ref="G90:G91"/>
    <mergeCell ref="H90:H91"/>
    <mergeCell ref="I90:I91"/>
    <mergeCell ref="J90:J91"/>
    <mergeCell ref="D82:D83"/>
    <mergeCell ref="E82:E83"/>
    <mergeCell ref="F82:F83"/>
    <mergeCell ref="G82:G83"/>
    <mergeCell ref="H82:H83"/>
    <mergeCell ref="I67:I68"/>
    <mergeCell ref="J67:J68"/>
    <mergeCell ref="D75:D76"/>
    <mergeCell ref="E75:E76"/>
    <mergeCell ref="F75:F76"/>
    <mergeCell ref="G75:G76"/>
    <mergeCell ref="H75:H76"/>
    <mergeCell ref="I75:I76"/>
    <mergeCell ref="J75:J76"/>
    <mergeCell ref="D67:D68"/>
    <mergeCell ref="E67:E68"/>
    <mergeCell ref="F67:F68"/>
    <mergeCell ref="G67:G68"/>
    <mergeCell ref="H67:H68"/>
    <mergeCell ref="I52:I53"/>
    <mergeCell ref="J52:J53"/>
    <mergeCell ref="D60:D61"/>
    <mergeCell ref="E60:E61"/>
    <mergeCell ref="F60:F61"/>
    <mergeCell ref="G60:G61"/>
    <mergeCell ref="H60:H61"/>
    <mergeCell ref="I60:I61"/>
    <mergeCell ref="J60:J61"/>
    <mergeCell ref="D52:D53"/>
    <mergeCell ref="E52:E53"/>
    <mergeCell ref="F52:F53"/>
    <mergeCell ref="G52:G53"/>
    <mergeCell ref="H52:H53"/>
    <mergeCell ref="I37:I38"/>
    <mergeCell ref="J37:J38"/>
    <mergeCell ref="D44:D45"/>
    <mergeCell ref="E44:E45"/>
    <mergeCell ref="F44:F45"/>
    <mergeCell ref="G44:G45"/>
    <mergeCell ref="H44:H45"/>
    <mergeCell ref="I44:I45"/>
    <mergeCell ref="J44:J45"/>
    <mergeCell ref="D37:D38"/>
    <mergeCell ref="E37:E38"/>
    <mergeCell ref="F37:F38"/>
    <mergeCell ref="G37:G38"/>
    <mergeCell ref="H37:H38"/>
    <mergeCell ref="I22:I23"/>
    <mergeCell ref="J22:J23"/>
    <mergeCell ref="D29:D30"/>
    <mergeCell ref="E29:E30"/>
    <mergeCell ref="F29:F30"/>
    <mergeCell ref="G29:G30"/>
    <mergeCell ref="H29:H30"/>
    <mergeCell ref="I29:I30"/>
    <mergeCell ref="J29:J30"/>
    <mergeCell ref="D22:D23"/>
    <mergeCell ref="E22:E23"/>
    <mergeCell ref="F22:F23"/>
    <mergeCell ref="G22:G23"/>
    <mergeCell ref="H22:H23"/>
    <mergeCell ref="D3:F3"/>
    <mergeCell ref="D4:F4"/>
    <mergeCell ref="I4:J5"/>
    <mergeCell ref="D14:D15"/>
    <mergeCell ref="E14:E15"/>
    <mergeCell ref="F14:F15"/>
    <mergeCell ref="G14:G15"/>
    <mergeCell ref="H14:H15"/>
    <mergeCell ref="I14:I15"/>
    <mergeCell ref="J14:J15"/>
  </mergeCells>
  <phoneticPr fontId="1" type="noConversion"/>
  <conditionalFormatting sqref="C7:C107">
    <cfRule type="expression" dxfId="2" priority="3">
      <formula>OR(AND($D7=0,OR($D6=$Q$7:$Q$14)),AND($D8&gt;0,OR($D7=$Q$7:$Q$14)))</formula>
    </cfRule>
  </conditionalFormatting>
  <conditionalFormatting sqref="D7:J14 D16:J22 D24:J29 D31:J37 D39:J44 D46:J52 D54:J60 D62:J67 D69:J75 D77:J82 D84:J90 D92:J97 D99:J107">
    <cfRule type="expression" dxfId="1" priority="2">
      <formula>OR($D7=$Q$7:$Q$14)</formula>
    </cfRule>
  </conditionalFormatting>
  <conditionalFormatting sqref="D7:D14 D16:D22 D24:D29 D31:D37 D39:D44 D46:D52 D54:D60 D62:D67 D69:D75 D77:D82 D84:D90 D92:D97 D99:D107">
    <cfRule type="expression" dxfId="0" priority="1">
      <formula>$D7=$D8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C9F68-5CFB-48ED-A130-AE73DC06040C}">
  <sheetPr codeName="Sheet6"/>
  <dimension ref="A1:L16"/>
  <sheetViews>
    <sheetView zoomScale="85" zoomScaleNormal="85" workbookViewId="0">
      <selection activeCell="B2" sqref="B2:K16"/>
    </sheetView>
  </sheetViews>
  <sheetFormatPr defaultRowHeight="17"/>
  <cols>
    <col min="2" max="2" width="1" style="2" customWidth="1"/>
    <col min="3" max="10" width="14.1640625" customWidth="1"/>
    <col min="11" max="11" width="1" customWidth="1"/>
  </cols>
  <sheetData>
    <row r="1" spans="1:12">
      <c r="A1" s="2" t="s">
        <v>40</v>
      </c>
      <c r="C1" s="2"/>
      <c r="D1" s="2"/>
      <c r="E1" s="2"/>
      <c r="F1" s="2"/>
      <c r="G1" s="2"/>
      <c r="H1" s="2"/>
      <c r="I1" s="2"/>
      <c r="J1" s="2"/>
      <c r="K1" s="2"/>
    </row>
    <row r="2" spans="1:12" s="2" customFormat="1" ht="6" customHeight="1" thickBot="1">
      <c r="B2" s="21"/>
      <c r="C2" s="22"/>
      <c r="D2" s="22"/>
      <c r="E2" s="22"/>
      <c r="F2" s="22"/>
      <c r="G2" s="22"/>
      <c r="H2" s="22"/>
      <c r="I2" s="22"/>
      <c r="J2" s="22"/>
      <c r="K2" s="23"/>
    </row>
    <row r="3" spans="1:12" s="18" customFormat="1" ht="25" customHeight="1" thickBot="1">
      <c r="A3" s="17"/>
      <c r="B3" s="35"/>
      <c r="C3" s="39" t="s">
        <v>56</v>
      </c>
      <c r="D3" s="120" t="s">
        <v>69</v>
      </c>
      <c r="E3" s="121"/>
      <c r="F3" s="122"/>
      <c r="G3" s="39" t="s">
        <v>57</v>
      </c>
      <c r="H3" s="40" t="str">
        <f>'통계 및 응시자 수 입력 기능'!D6</f>
        <v>57.89</v>
      </c>
      <c r="I3" s="12" t="s">
        <v>58</v>
      </c>
      <c r="J3" s="41">
        <f>'통계 및 응시자 수 입력 기능'!C6</f>
        <v>320145</v>
      </c>
      <c r="K3" s="26"/>
    </row>
    <row r="4" spans="1:12" s="18" customFormat="1" ht="25" customHeight="1" thickBot="1">
      <c r="A4" s="17"/>
      <c r="B4" s="35"/>
      <c r="C4" s="42" t="s">
        <v>59</v>
      </c>
      <c r="D4" s="123" t="s">
        <v>60</v>
      </c>
      <c r="E4" s="124"/>
      <c r="F4" s="125"/>
      <c r="G4" s="43" t="s">
        <v>61</v>
      </c>
      <c r="H4" s="44" t="str">
        <f>'통계 및 응시자 수 입력 기능'!E6</f>
        <v>22.63</v>
      </c>
      <c r="I4" s="126"/>
      <c r="J4" s="127"/>
      <c r="K4" s="26"/>
    </row>
    <row r="5" spans="1:12" s="18" customFormat="1" ht="25" customHeight="1" thickBot="1">
      <c r="A5" s="17"/>
      <c r="B5" s="35"/>
      <c r="C5" s="11"/>
      <c r="D5" s="11"/>
      <c r="E5" s="11"/>
      <c r="F5" s="11"/>
      <c r="G5" s="11"/>
      <c r="H5" s="11"/>
      <c r="I5" s="130"/>
      <c r="J5" s="130"/>
      <c r="K5" s="26"/>
    </row>
    <row r="6" spans="1:12" s="18" customFormat="1" ht="25" customHeight="1" thickBot="1">
      <c r="A6" s="17"/>
      <c r="B6" s="35"/>
      <c r="C6" s="45" t="s">
        <v>63</v>
      </c>
      <c r="D6" s="75" t="s">
        <v>64</v>
      </c>
      <c r="E6" s="76" t="s">
        <v>65</v>
      </c>
      <c r="F6" s="46" t="s">
        <v>66</v>
      </c>
      <c r="G6" s="46" t="s">
        <v>67</v>
      </c>
      <c r="H6" s="48" t="s">
        <v>68</v>
      </c>
      <c r="I6" s="11"/>
      <c r="J6" s="11"/>
      <c r="K6" s="26"/>
      <c r="L6" s="17"/>
    </row>
    <row r="7" spans="1:12" s="18" customFormat="1" ht="25" customHeight="1">
      <c r="A7" s="17"/>
      <c r="B7" s="35"/>
      <c r="C7" s="77">
        <v>1</v>
      </c>
      <c r="D7" s="78">
        <v>90</v>
      </c>
      <c r="E7" s="79">
        <f>'표점등급&amp;절평인원 입력기능'!D22</f>
        <v>33747</v>
      </c>
      <c r="F7" s="80">
        <f>E7/$J$3</f>
        <v>0.10541161036405379</v>
      </c>
      <c r="G7" s="81">
        <f>SUM($E$7:E7)</f>
        <v>33747</v>
      </c>
      <c r="H7" s="82">
        <f>G7/$J$3</f>
        <v>0.10541161036405379</v>
      </c>
      <c r="I7" s="11"/>
      <c r="J7" s="11"/>
      <c r="K7" s="26"/>
      <c r="L7" s="17"/>
    </row>
    <row r="8" spans="1:12" s="18" customFormat="1" ht="25" customHeight="1">
      <c r="A8" s="17"/>
      <c r="B8" s="35"/>
      <c r="C8" s="83">
        <v>2</v>
      </c>
      <c r="D8" s="84">
        <v>80</v>
      </c>
      <c r="E8" s="85">
        <f>'표점등급&amp;절평인원 입력기능'!D23</f>
        <v>30099</v>
      </c>
      <c r="F8" s="80">
        <f t="shared" ref="F8:F15" si="0">E8/$J$3</f>
        <v>9.4016773649440097E-2</v>
      </c>
      <c r="G8" s="86">
        <f>SUM($E$7:E8)</f>
        <v>63846</v>
      </c>
      <c r="H8" s="82">
        <f t="shared" ref="H8:H15" si="1">G8/$J$3</f>
        <v>0.19942838401349389</v>
      </c>
      <c r="I8" s="11"/>
      <c r="J8" s="11"/>
      <c r="K8" s="26"/>
      <c r="L8" s="17"/>
    </row>
    <row r="9" spans="1:12" s="18" customFormat="1" ht="25" customHeight="1">
      <c r="A9" s="17"/>
      <c r="B9" s="35"/>
      <c r="C9" s="83">
        <v>3</v>
      </c>
      <c r="D9" s="84">
        <v>70</v>
      </c>
      <c r="E9" s="85">
        <f>'표점등급&amp;절평인원 입력기능'!D24</f>
        <v>39473</v>
      </c>
      <c r="F9" s="80">
        <f t="shared" si="0"/>
        <v>0.1232972559309063</v>
      </c>
      <c r="G9" s="86">
        <f>SUM($E$7:E9)</f>
        <v>103319</v>
      </c>
      <c r="H9" s="82">
        <f t="shared" si="1"/>
        <v>0.32272563994440018</v>
      </c>
      <c r="I9" s="11"/>
      <c r="J9" s="11"/>
      <c r="K9" s="26"/>
      <c r="L9" s="17"/>
    </row>
    <row r="10" spans="1:12" s="18" customFormat="1" ht="25" customHeight="1">
      <c r="A10" s="17"/>
      <c r="B10" s="35"/>
      <c r="C10" s="83">
        <v>4</v>
      </c>
      <c r="D10" s="84">
        <v>60</v>
      </c>
      <c r="E10" s="85">
        <f>'표점등급&amp;절평인원 입력기능'!D25</f>
        <v>48520</v>
      </c>
      <c r="F10" s="80">
        <f t="shared" si="0"/>
        <v>0.15155632603976324</v>
      </c>
      <c r="G10" s="86">
        <f>SUM($E$7:E10)</f>
        <v>151839</v>
      </c>
      <c r="H10" s="82">
        <f t="shared" si="1"/>
        <v>0.47428196598416344</v>
      </c>
      <c r="I10" s="11"/>
      <c r="J10" s="11"/>
      <c r="K10" s="26"/>
      <c r="L10" s="17"/>
    </row>
    <row r="11" spans="1:12" s="18" customFormat="1" ht="25" customHeight="1">
      <c r="A11" s="17"/>
      <c r="B11" s="35"/>
      <c r="C11" s="83">
        <v>5</v>
      </c>
      <c r="D11" s="84">
        <v>50</v>
      </c>
      <c r="E11" s="85">
        <f>'표점등급&amp;절평인원 입력기능'!D26</f>
        <v>48979</v>
      </c>
      <c r="F11" s="80">
        <f t="shared" si="0"/>
        <v>0.15299005138296709</v>
      </c>
      <c r="G11" s="86">
        <f>SUM($E$7:E11)</f>
        <v>200818</v>
      </c>
      <c r="H11" s="82">
        <f t="shared" si="1"/>
        <v>0.62727201736713056</v>
      </c>
      <c r="I11" s="11"/>
      <c r="J11" s="11"/>
      <c r="K11" s="26"/>
      <c r="L11" s="17"/>
    </row>
    <row r="12" spans="1:12" s="18" customFormat="1" ht="25" customHeight="1">
      <c r="A12" s="17"/>
      <c r="B12" s="35"/>
      <c r="C12" s="83">
        <v>6</v>
      </c>
      <c r="D12" s="84">
        <v>40</v>
      </c>
      <c r="E12" s="85">
        <f>'표점등급&amp;절평인원 입력기능'!D27</f>
        <v>43186</v>
      </c>
      <c r="F12" s="80">
        <f t="shared" si="0"/>
        <v>0.13489512564619158</v>
      </c>
      <c r="G12" s="86">
        <f>SUM($E$7:E12)</f>
        <v>244004</v>
      </c>
      <c r="H12" s="82">
        <f t="shared" si="1"/>
        <v>0.76216714301332211</v>
      </c>
      <c r="I12" s="11"/>
      <c r="J12" s="11"/>
      <c r="K12" s="26"/>
      <c r="L12" s="17"/>
    </row>
    <row r="13" spans="1:12" s="18" customFormat="1" ht="25" customHeight="1">
      <c r="A13" s="17"/>
      <c r="B13" s="35"/>
      <c r="C13" s="83">
        <v>7</v>
      </c>
      <c r="D13" s="84">
        <v>30</v>
      </c>
      <c r="E13" s="85">
        <f>'표점등급&amp;절평인원 입력기능'!D28</f>
        <v>35292</v>
      </c>
      <c r="F13" s="80">
        <f t="shared" si="0"/>
        <v>0.11023754861078573</v>
      </c>
      <c r="G13" s="86">
        <f>SUM($E$7:E13)</f>
        <v>279296</v>
      </c>
      <c r="H13" s="82">
        <f t="shared" si="1"/>
        <v>0.87240469162410783</v>
      </c>
      <c r="I13" s="11"/>
      <c r="J13" s="11"/>
      <c r="K13" s="26"/>
      <c r="L13" s="17"/>
    </row>
    <row r="14" spans="1:12" s="18" customFormat="1" ht="25" customHeight="1">
      <c r="A14" s="17"/>
      <c r="B14" s="35"/>
      <c r="C14" s="83">
        <v>8</v>
      </c>
      <c r="D14" s="84">
        <v>20</v>
      </c>
      <c r="E14" s="85">
        <f>'표점등급&amp;절평인원 입력기능'!D29</f>
        <v>29852</v>
      </c>
      <c r="F14" s="80">
        <f t="shared" si="0"/>
        <v>9.3245248246888124E-2</v>
      </c>
      <c r="G14" s="86">
        <f>SUM($E$7:E14)</f>
        <v>309148</v>
      </c>
      <c r="H14" s="82">
        <f t="shared" si="1"/>
        <v>0.96564993987099601</v>
      </c>
      <c r="I14" s="11"/>
      <c r="J14" s="11"/>
      <c r="K14" s="26"/>
      <c r="L14" s="17"/>
    </row>
    <row r="15" spans="1:12" s="18" customFormat="1" ht="25" customHeight="1" thickBot="1">
      <c r="A15" s="17"/>
      <c r="B15" s="35"/>
      <c r="C15" s="87">
        <v>9</v>
      </c>
      <c r="D15" s="88">
        <v>0</v>
      </c>
      <c r="E15" s="89">
        <f>'표점등급&amp;절평인원 입력기능'!D30</f>
        <v>10997</v>
      </c>
      <c r="F15" s="90">
        <f t="shared" si="0"/>
        <v>3.4350060129004045E-2</v>
      </c>
      <c r="G15" s="91">
        <f>SUM($E$7:E15)</f>
        <v>320145</v>
      </c>
      <c r="H15" s="92">
        <f t="shared" si="1"/>
        <v>1</v>
      </c>
      <c r="I15" s="11"/>
      <c r="J15" s="11"/>
      <c r="K15" s="26"/>
      <c r="L15" s="17"/>
    </row>
    <row r="16" spans="1:12" ht="6" customHeight="1">
      <c r="A16" s="2"/>
      <c r="B16" s="31"/>
      <c r="C16" s="32"/>
      <c r="D16" s="32"/>
      <c r="E16" s="32"/>
      <c r="F16" s="32"/>
      <c r="G16" s="32"/>
      <c r="H16" s="32"/>
      <c r="I16" s="32"/>
      <c r="J16" s="32"/>
      <c r="K16" s="33"/>
    </row>
  </sheetData>
  <mergeCells count="3">
    <mergeCell ref="D3:F3"/>
    <mergeCell ref="D4:F4"/>
    <mergeCell ref="I4:J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AB635-F5A9-449C-B5D9-16CA419300D1}">
  <sheetPr codeName="Sheet7"/>
  <dimension ref="A1:L16"/>
  <sheetViews>
    <sheetView zoomScale="85" zoomScaleNormal="85" workbookViewId="0">
      <selection activeCell="B2" sqref="B2:K16"/>
    </sheetView>
  </sheetViews>
  <sheetFormatPr defaultRowHeight="17"/>
  <cols>
    <col min="2" max="2" width="1" style="2" customWidth="1"/>
    <col min="3" max="10" width="14.1640625" customWidth="1"/>
    <col min="11" max="11" width="1" customWidth="1"/>
  </cols>
  <sheetData>
    <row r="1" spans="1:12">
      <c r="A1" s="2" t="s">
        <v>40</v>
      </c>
      <c r="C1" s="2"/>
      <c r="D1" s="2"/>
      <c r="E1" s="2"/>
      <c r="F1" s="2"/>
      <c r="G1" s="2"/>
      <c r="H1" s="2"/>
      <c r="I1" s="2"/>
      <c r="J1" s="2"/>
      <c r="K1" s="2"/>
    </row>
    <row r="2" spans="1:12" s="2" customFormat="1" ht="6" customHeight="1" thickBot="1">
      <c r="B2" s="21"/>
      <c r="C2" s="22"/>
      <c r="D2" s="22"/>
      <c r="E2" s="22"/>
      <c r="F2" s="22"/>
      <c r="G2" s="22"/>
      <c r="H2" s="22"/>
      <c r="I2" s="22"/>
      <c r="J2" s="22"/>
      <c r="K2" s="23"/>
    </row>
    <row r="3" spans="1:12" s="18" customFormat="1" ht="25" customHeight="1" thickBot="1">
      <c r="A3" s="17"/>
      <c r="B3" s="35"/>
      <c r="C3" s="39" t="s">
        <v>56</v>
      </c>
      <c r="D3" s="120" t="s">
        <v>69</v>
      </c>
      <c r="E3" s="121"/>
      <c r="F3" s="122"/>
      <c r="G3" s="39" t="s">
        <v>57</v>
      </c>
      <c r="H3" s="40" t="str">
        <f>'통계 및 응시자 수 입력 기능'!D7</f>
        <v>26.91</v>
      </c>
      <c r="I3" s="12" t="s">
        <v>58</v>
      </c>
      <c r="J3" s="41">
        <f>'통계 및 응시자 수 입력 기능'!C7</f>
        <v>317835</v>
      </c>
      <c r="K3" s="26"/>
    </row>
    <row r="4" spans="1:12" s="18" customFormat="1" ht="25" customHeight="1" thickBot="1">
      <c r="A4" s="17"/>
      <c r="B4" s="35"/>
      <c r="C4" s="42" t="s">
        <v>59</v>
      </c>
      <c r="D4" s="123" t="s">
        <v>62</v>
      </c>
      <c r="E4" s="124"/>
      <c r="F4" s="125"/>
      <c r="G4" s="43" t="s">
        <v>61</v>
      </c>
      <c r="H4" s="44" t="str">
        <f>'통계 및 응시자 수 입력 기능'!E7</f>
        <v>11.84</v>
      </c>
      <c r="I4" s="126"/>
      <c r="J4" s="127"/>
      <c r="K4" s="26"/>
    </row>
    <row r="5" spans="1:12" s="18" customFormat="1" ht="25" customHeight="1" thickBot="1">
      <c r="A5" s="17"/>
      <c r="B5" s="35"/>
      <c r="C5" s="11"/>
      <c r="D5" s="11"/>
      <c r="E5" s="11"/>
      <c r="F5" s="11"/>
      <c r="G5" s="11"/>
      <c r="H5" s="11"/>
      <c r="I5" s="130"/>
      <c r="J5" s="130"/>
      <c r="K5" s="26"/>
    </row>
    <row r="6" spans="1:12" s="18" customFormat="1" ht="25" customHeight="1" thickBot="1">
      <c r="A6" s="17"/>
      <c r="B6" s="35"/>
      <c r="C6" s="45" t="s">
        <v>63</v>
      </c>
      <c r="D6" s="75" t="s">
        <v>64</v>
      </c>
      <c r="E6" s="76" t="s">
        <v>65</v>
      </c>
      <c r="F6" s="46" t="s">
        <v>66</v>
      </c>
      <c r="G6" s="46" t="s">
        <v>67</v>
      </c>
      <c r="H6" s="48" t="s">
        <v>68</v>
      </c>
      <c r="I6" s="11"/>
      <c r="J6" s="11"/>
      <c r="K6" s="26"/>
      <c r="L6" s="17"/>
    </row>
    <row r="7" spans="1:12" s="18" customFormat="1" ht="25" customHeight="1">
      <c r="A7" s="17"/>
      <c r="B7" s="35"/>
      <c r="C7" s="93">
        <v>1</v>
      </c>
      <c r="D7" s="94">
        <v>40</v>
      </c>
      <c r="E7" s="79">
        <f>'표점등급&amp;절평인원 입력기능'!D31</f>
        <v>58060</v>
      </c>
      <c r="F7" s="80">
        <f>E7/$J$3</f>
        <v>0.18267339971998051</v>
      </c>
      <c r="G7" s="81">
        <f>SUM($E$7:E7)</f>
        <v>58060</v>
      </c>
      <c r="H7" s="82">
        <f>G7/$J$3</f>
        <v>0.18267339971998051</v>
      </c>
      <c r="I7" s="11"/>
      <c r="J7" s="11"/>
      <c r="K7" s="26"/>
      <c r="L7" s="17"/>
    </row>
    <row r="8" spans="1:12" s="18" customFormat="1" ht="25" customHeight="1">
      <c r="A8" s="17"/>
      <c r="B8" s="35"/>
      <c r="C8" s="95">
        <v>2</v>
      </c>
      <c r="D8" s="96">
        <v>35</v>
      </c>
      <c r="E8" s="85">
        <f>'표점등급&amp;절평인원 입력기능'!D32</f>
        <v>36417</v>
      </c>
      <c r="F8" s="80">
        <f t="shared" ref="F8:F15" si="0">E8/$J$3</f>
        <v>0.11457831893907217</v>
      </c>
      <c r="G8" s="86">
        <f>SUM($E$7:E8)</f>
        <v>94477</v>
      </c>
      <c r="H8" s="82">
        <f t="shared" ref="H8:H15" si="1">G8/$J$3</f>
        <v>0.29725171865905264</v>
      </c>
      <c r="I8" s="11"/>
      <c r="J8" s="11"/>
      <c r="K8" s="26"/>
      <c r="L8" s="17"/>
    </row>
    <row r="9" spans="1:12" s="18" customFormat="1" ht="25" customHeight="1">
      <c r="A9" s="17"/>
      <c r="B9" s="35"/>
      <c r="C9" s="95">
        <v>3</v>
      </c>
      <c r="D9" s="96">
        <v>30</v>
      </c>
      <c r="E9" s="85">
        <f>'표점등급&amp;절평인원 입력기능'!D33</f>
        <v>39076</v>
      </c>
      <c r="F9" s="80">
        <f t="shared" si="0"/>
        <v>0.12294429499583118</v>
      </c>
      <c r="G9" s="86">
        <f>SUM($E$7:E9)</f>
        <v>133553</v>
      </c>
      <c r="H9" s="82">
        <f t="shared" si="1"/>
        <v>0.42019601365488385</v>
      </c>
      <c r="I9" s="11"/>
      <c r="J9" s="11"/>
      <c r="K9" s="26"/>
      <c r="L9" s="17"/>
    </row>
    <row r="10" spans="1:12" s="18" customFormat="1" ht="25" customHeight="1">
      <c r="A10" s="17"/>
      <c r="B10" s="35"/>
      <c r="C10" s="95">
        <v>4</v>
      </c>
      <c r="D10" s="96">
        <v>25</v>
      </c>
      <c r="E10" s="85">
        <f>'표점등급&amp;절평인원 입력기능'!D34</f>
        <v>40396</v>
      </c>
      <c r="F10" s="80">
        <f t="shared" si="0"/>
        <v>0.12709739330155584</v>
      </c>
      <c r="G10" s="86">
        <f>SUM($E$7:E10)</f>
        <v>173949</v>
      </c>
      <c r="H10" s="82">
        <f t="shared" si="1"/>
        <v>0.54729340695643969</v>
      </c>
      <c r="I10" s="11"/>
      <c r="J10" s="11"/>
      <c r="K10" s="26"/>
      <c r="L10" s="17"/>
    </row>
    <row r="11" spans="1:12" s="18" customFormat="1" ht="25" customHeight="1">
      <c r="A11" s="17"/>
      <c r="B11" s="35"/>
      <c r="C11" s="95">
        <v>5</v>
      </c>
      <c r="D11" s="96">
        <v>20</v>
      </c>
      <c r="E11" s="85">
        <f>'표점등급&amp;절평인원 입력기능'!D35</f>
        <v>43405</v>
      </c>
      <c r="F11" s="80">
        <f t="shared" si="0"/>
        <v>0.13656456966665093</v>
      </c>
      <c r="G11" s="86">
        <f>SUM($E$7:E11)</f>
        <v>217354</v>
      </c>
      <c r="H11" s="82">
        <f t="shared" si="1"/>
        <v>0.68385797662309056</v>
      </c>
      <c r="I11" s="11"/>
      <c r="J11" s="11"/>
      <c r="K11" s="26"/>
      <c r="L11" s="17"/>
    </row>
    <row r="12" spans="1:12" s="18" customFormat="1" ht="25" customHeight="1">
      <c r="A12" s="17"/>
      <c r="B12" s="35"/>
      <c r="C12" s="95">
        <v>6</v>
      </c>
      <c r="D12" s="96">
        <v>15</v>
      </c>
      <c r="E12" s="85">
        <f>'표점등급&amp;절평인원 입력기능'!D36</f>
        <v>43282</v>
      </c>
      <c r="F12" s="80">
        <f t="shared" si="0"/>
        <v>0.13617757641543568</v>
      </c>
      <c r="G12" s="86">
        <f>SUM($E$7:E12)</f>
        <v>260636</v>
      </c>
      <c r="H12" s="82">
        <f t="shared" si="1"/>
        <v>0.82003555303852627</v>
      </c>
      <c r="I12" s="11"/>
      <c r="J12" s="11"/>
      <c r="K12" s="26"/>
      <c r="L12" s="17"/>
    </row>
    <row r="13" spans="1:12" s="18" customFormat="1" ht="25" customHeight="1">
      <c r="A13" s="17"/>
      <c r="B13" s="35"/>
      <c r="C13" s="95">
        <v>7</v>
      </c>
      <c r="D13" s="96">
        <v>10</v>
      </c>
      <c r="E13" s="85">
        <f>'표점등급&amp;절평인원 입력기능'!D37</f>
        <v>40656</v>
      </c>
      <c r="F13" s="80">
        <f t="shared" si="0"/>
        <v>0.12791542781631979</v>
      </c>
      <c r="G13" s="86">
        <f>SUM($E$7:E13)</f>
        <v>301292</v>
      </c>
      <c r="H13" s="82">
        <f t="shared" si="1"/>
        <v>0.94795098085484608</v>
      </c>
      <c r="I13" s="11"/>
      <c r="J13" s="11"/>
      <c r="K13" s="26"/>
      <c r="L13" s="17"/>
    </row>
    <row r="14" spans="1:12" s="18" customFormat="1" ht="25" customHeight="1">
      <c r="A14" s="17"/>
      <c r="B14" s="35"/>
      <c r="C14" s="95">
        <v>8</v>
      </c>
      <c r="D14" s="96">
        <v>5</v>
      </c>
      <c r="E14" s="85">
        <f>'표점등급&amp;절평인원 입력기능'!D38</f>
        <v>14033</v>
      </c>
      <c r="F14" s="80">
        <f t="shared" si="0"/>
        <v>4.415183979108657E-2</v>
      </c>
      <c r="G14" s="86">
        <f>SUM($E$7:E14)</f>
        <v>315325</v>
      </c>
      <c r="H14" s="82">
        <f t="shared" si="1"/>
        <v>0.99210282064593269</v>
      </c>
      <c r="I14" s="11"/>
      <c r="J14" s="11"/>
      <c r="K14" s="26"/>
      <c r="L14" s="17"/>
    </row>
    <row r="15" spans="1:12" s="18" customFormat="1" ht="25" customHeight="1" thickBot="1">
      <c r="A15" s="17"/>
      <c r="B15" s="35"/>
      <c r="C15" s="97">
        <v>9</v>
      </c>
      <c r="D15" s="98">
        <v>0</v>
      </c>
      <c r="E15" s="89">
        <f>'표점등급&amp;절평인원 입력기능'!D39</f>
        <v>2510</v>
      </c>
      <c r="F15" s="90">
        <f t="shared" si="0"/>
        <v>7.8971793540673612E-3</v>
      </c>
      <c r="G15" s="91">
        <f>SUM($E$7:E15)</f>
        <v>317835</v>
      </c>
      <c r="H15" s="92">
        <f t="shared" si="1"/>
        <v>1</v>
      </c>
      <c r="I15" s="11"/>
      <c r="J15" s="11"/>
      <c r="K15" s="26"/>
      <c r="L15" s="17"/>
    </row>
    <row r="16" spans="1:12" ht="6" customHeight="1">
      <c r="A16" s="2"/>
      <c r="B16" s="31"/>
      <c r="C16" s="32"/>
      <c r="D16" s="32"/>
      <c r="E16" s="32"/>
      <c r="F16" s="32"/>
      <c r="G16" s="32"/>
      <c r="H16" s="32"/>
      <c r="I16" s="32"/>
      <c r="J16" s="32"/>
      <c r="K16" s="33"/>
    </row>
  </sheetData>
  <mergeCells count="3">
    <mergeCell ref="D3:F3"/>
    <mergeCell ref="D4:F4"/>
    <mergeCell ref="I4:J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5C796-3132-4C04-AFE6-AEEFC657C7D6}">
  <sheetPr codeName="Sheet8"/>
  <dimension ref="A1:L16"/>
  <sheetViews>
    <sheetView zoomScale="85" zoomScaleNormal="85" workbookViewId="0">
      <selection activeCell="B2" sqref="B2:K16"/>
    </sheetView>
  </sheetViews>
  <sheetFormatPr defaultRowHeight="17"/>
  <cols>
    <col min="2" max="2" width="1" style="2" customWidth="1"/>
    <col min="3" max="10" width="14.1640625" customWidth="1"/>
    <col min="11" max="11" width="1" customWidth="1"/>
  </cols>
  <sheetData>
    <row r="1" spans="1:12">
      <c r="A1" s="2" t="s">
        <v>40</v>
      </c>
      <c r="C1" s="2"/>
      <c r="D1" s="2"/>
      <c r="E1" s="2"/>
      <c r="F1" s="2"/>
      <c r="G1" s="2"/>
      <c r="H1" s="2"/>
      <c r="I1" s="2"/>
      <c r="J1" s="2"/>
      <c r="K1" s="2"/>
    </row>
    <row r="2" spans="1:12" s="2" customFormat="1" ht="6" customHeight="1" thickBot="1">
      <c r="B2" s="21"/>
      <c r="C2" s="22"/>
      <c r="D2" s="22"/>
      <c r="E2" s="22"/>
      <c r="F2" s="22"/>
      <c r="G2" s="22"/>
      <c r="H2" s="22"/>
      <c r="I2" s="22"/>
      <c r="J2" s="22"/>
      <c r="K2" s="23"/>
    </row>
    <row r="3" spans="1:12" s="18" customFormat="1" ht="25" customHeight="1" thickBot="1">
      <c r="A3" s="17"/>
      <c r="B3" s="35"/>
      <c r="C3" s="39" t="s">
        <v>56</v>
      </c>
      <c r="D3" s="120" t="s">
        <v>69</v>
      </c>
      <c r="E3" s="121"/>
      <c r="F3" s="122"/>
      <c r="G3" s="39" t="s">
        <v>57</v>
      </c>
      <c r="H3" s="40" t="str">
        <f>'통계 및 응시자 수 입력 기능'!D8</f>
        <v>34.63</v>
      </c>
      <c r="I3" s="12" t="s">
        <v>58</v>
      </c>
      <c r="J3" s="41">
        <f>'통계 및 응시자 수 입력 기능'!C8</f>
        <v>318680</v>
      </c>
      <c r="K3" s="26"/>
    </row>
    <row r="4" spans="1:12" s="18" customFormat="1" ht="25" customHeight="1" thickBot="1">
      <c r="A4" s="17"/>
      <c r="B4" s="35"/>
      <c r="C4" s="42" t="s">
        <v>59</v>
      </c>
      <c r="D4" s="131" t="s">
        <v>70</v>
      </c>
      <c r="E4" s="124"/>
      <c r="F4" s="125"/>
      <c r="G4" s="43" t="s">
        <v>61</v>
      </c>
      <c r="H4" s="44" t="str">
        <f>'통계 및 응시자 수 입력 기능'!E8</f>
        <v>10.93</v>
      </c>
      <c r="I4" s="126"/>
      <c r="J4" s="127"/>
      <c r="K4" s="26"/>
    </row>
    <row r="5" spans="1:12" s="18" customFormat="1" ht="25" customHeight="1" thickBot="1">
      <c r="A5" s="17"/>
      <c r="B5" s="35"/>
      <c r="C5" s="11"/>
      <c r="D5" s="11"/>
      <c r="E5" s="11"/>
      <c r="F5" s="11"/>
      <c r="G5" s="11"/>
      <c r="H5" s="11"/>
      <c r="I5" s="130"/>
      <c r="J5" s="130"/>
      <c r="K5" s="26"/>
    </row>
    <row r="6" spans="1:12" s="18" customFormat="1" ht="25" customHeight="1" thickBot="1">
      <c r="A6" s="17"/>
      <c r="B6" s="35"/>
      <c r="C6" s="45" t="s">
        <v>63</v>
      </c>
      <c r="D6" s="75" t="s">
        <v>64</v>
      </c>
      <c r="E6" s="76" t="s">
        <v>65</v>
      </c>
      <c r="F6" s="46" t="s">
        <v>66</v>
      </c>
      <c r="G6" s="46" t="s">
        <v>67</v>
      </c>
      <c r="H6" s="48" t="s">
        <v>68</v>
      </c>
      <c r="I6" s="11"/>
      <c r="J6" s="11"/>
      <c r="K6" s="26"/>
      <c r="L6" s="17"/>
    </row>
    <row r="7" spans="1:12" s="18" customFormat="1" ht="25" customHeight="1">
      <c r="A7" s="17"/>
      <c r="B7" s="35"/>
      <c r="C7" s="93">
        <v>1</v>
      </c>
      <c r="D7" s="94">
        <v>40</v>
      </c>
      <c r="E7" s="79">
        <f>'표점등급&amp;절평인원 입력기능'!D40</f>
        <v>125643</v>
      </c>
      <c r="F7" s="80">
        <f>E7/$J$3</f>
        <v>0.39426070038910505</v>
      </c>
      <c r="G7" s="81">
        <f>SUM($E$7:E7)</f>
        <v>125643</v>
      </c>
      <c r="H7" s="82">
        <f>G7/$J$3</f>
        <v>0.39426070038910505</v>
      </c>
      <c r="I7" s="11"/>
      <c r="J7" s="11"/>
      <c r="K7" s="26"/>
      <c r="L7" s="17"/>
    </row>
    <row r="8" spans="1:12" s="18" customFormat="1" ht="25" customHeight="1">
      <c r="A8" s="17"/>
      <c r="B8" s="35"/>
      <c r="C8" s="95">
        <v>2</v>
      </c>
      <c r="D8" s="96">
        <v>35</v>
      </c>
      <c r="E8" s="85">
        <f>'표점등급&amp;절평인원 입력기능'!D41</f>
        <v>67704</v>
      </c>
      <c r="F8" s="80">
        <f t="shared" ref="F8:F15" si="0">E8/$J$3</f>
        <v>0.21245136186770427</v>
      </c>
      <c r="G8" s="86">
        <f>SUM($E$7:E8)</f>
        <v>193347</v>
      </c>
      <c r="H8" s="82">
        <f t="shared" ref="H8:H15" si="1">G8/$J$3</f>
        <v>0.60671206225680929</v>
      </c>
      <c r="I8" s="11"/>
      <c r="J8" s="11"/>
      <c r="K8" s="26"/>
      <c r="L8" s="17"/>
    </row>
    <row r="9" spans="1:12" s="18" customFormat="1" ht="25" customHeight="1">
      <c r="A9" s="17"/>
      <c r="B9" s="35"/>
      <c r="C9" s="95">
        <v>3</v>
      </c>
      <c r="D9" s="96">
        <v>30</v>
      </c>
      <c r="E9" s="85">
        <f>'표점등급&amp;절평인원 입력기능'!D42</f>
        <v>43777</v>
      </c>
      <c r="F9" s="80">
        <f t="shared" si="0"/>
        <v>0.13736977532320824</v>
      </c>
      <c r="G9" s="86">
        <f>SUM($E$7:E9)</f>
        <v>237124</v>
      </c>
      <c r="H9" s="82">
        <f t="shared" si="1"/>
        <v>0.74408183758001756</v>
      </c>
      <c r="I9" s="11"/>
      <c r="J9" s="11"/>
      <c r="K9" s="26"/>
      <c r="L9" s="17"/>
    </row>
    <row r="10" spans="1:12" s="18" customFormat="1" ht="25" customHeight="1">
      <c r="A10" s="17"/>
      <c r="B10" s="35"/>
      <c r="C10" s="95">
        <v>4</v>
      </c>
      <c r="D10" s="96">
        <v>25</v>
      </c>
      <c r="E10" s="85">
        <f>'표점등급&amp;절평인원 입력기능'!D43</f>
        <v>25300</v>
      </c>
      <c r="F10" s="80">
        <f t="shared" si="0"/>
        <v>7.9389983682691095E-2</v>
      </c>
      <c r="G10" s="86">
        <f>SUM($E$7:E10)</f>
        <v>262424</v>
      </c>
      <c r="H10" s="82">
        <f t="shared" si="1"/>
        <v>0.82347182126270868</v>
      </c>
      <c r="I10" s="11"/>
      <c r="J10" s="11"/>
      <c r="K10" s="26"/>
      <c r="L10" s="17"/>
    </row>
    <row r="11" spans="1:12" s="18" customFormat="1" ht="25" customHeight="1">
      <c r="A11" s="17"/>
      <c r="B11" s="35"/>
      <c r="C11" s="95">
        <v>5</v>
      </c>
      <c r="D11" s="96">
        <v>20</v>
      </c>
      <c r="E11" s="85">
        <f>'표점등급&amp;절평인원 입력기능'!D44</f>
        <v>15762</v>
      </c>
      <c r="F11" s="80">
        <f t="shared" si="0"/>
        <v>4.9460273628718465E-2</v>
      </c>
      <c r="G11" s="86">
        <f>SUM($E$7:E11)</f>
        <v>278186</v>
      </c>
      <c r="H11" s="82">
        <f t="shared" si="1"/>
        <v>0.87293209489142709</v>
      </c>
      <c r="I11" s="11"/>
      <c r="J11" s="11"/>
      <c r="K11" s="26"/>
      <c r="L11" s="17"/>
    </row>
    <row r="12" spans="1:12" s="18" customFormat="1" ht="25" customHeight="1">
      <c r="A12" s="17"/>
      <c r="B12" s="35"/>
      <c r="C12" s="95">
        <v>6</v>
      </c>
      <c r="D12" s="96">
        <v>15</v>
      </c>
      <c r="E12" s="85">
        <f>'표점등급&amp;절평인원 입력기능'!D45</f>
        <v>12585</v>
      </c>
      <c r="F12" s="80">
        <f t="shared" si="0"/>
        <v>3.9491025480105434E-2</v>
      </c>
      <c r="G12" s="86">
        <f>SUM($E$7:E12)</f>
        <v>290771</v>
      </c>
      <c r="H12" s="82">
        <f t="shared" si="1"/>
        <v>0.91242312037153261</v>
      </c>
      <c r="I12" s="11"/>
      <c r="J12" s="11"/>
      <c r="K12" s="26"/>
      <c r="L12" s="17"/>
    </row>
    <row r="13" spans="1:12" s="18" customFormat="1" ht="25" customHeight="1">
      <c r="A13" s="17"/>
      <c r="B13" s="35"/>
      <c r="C13" s="95">
        <v>7</v>
      </c>
      <c r="D13" s="96">
        <v>10</v>
      </c>
      <c r="E13" s="85">
        <f>'표점등급&amp;절평인원 입력기능'!D46</f>
        <v>18506</v>
      </c>
      <c r="F13" s="80">
        <f t="shared" si="0"/>
        <v>5.8070792017070418E-2</v>
      </c>
      <c r="G13" s="86">
        <f>SUM($E$7:E13)</f>
        <v>309277</v>
      </c>
      <c r="H13" s="82">
        <f t="shared" si="1"/>
        <v>0.97049391238860294</v>
      </c>
      <c r="I13" s="11"/>
      <c r="J13" s="11"/>
      <c r="K13" s="26"/>
      <c r="L13" s="17"/>
    </row>
    <row r="14" spans="1:12" s="18" customFormat="1" ht="25" customHeight="1">
      <c r="A14" s="17"/>
      <c r="B14" s="35"/>
      <c r="C14" s="95">
        <v>8</v>
      </c>
      <c r="D14" s="96">
        <v>5</v>
      </c>
      <c r="E14" s="85">
        <f>'표점등급&amp;절평인원 입력기능'!D47</f>
        <v>8162</v>
      </c>
      <c r="F14" s="80">
        <f t="shared" si="0"/>
        <v>2.5611899083720347E-2</v>
      </c>
      <c r="G14" s="86">
        <f>SUM($E$7:E14)</f>
        <v>317439</v>
      </c>
      <c r="H14" s="82">
        <f t="shared" si="1"/>
        <v>0.99610581147232335</v>
      </c>
      <c r="I14" s="11"/>
      <c r="J14" s="11"/>
      <c r="K14" s="26"/>
      <c r="L14" s="17"/>
    </row>
    <row r="15" spans="1:12" s="18" customFormat="1" ht="25" customHeight="1" thickBot="1">
      <c r="A15" s="17"/>
      <c r="B15" s="35"/>
      <c r="C15" s="97">
        <v>9</v>
      </c>
      <c r="D15" s="98">
        <v>0</v>
      </c>
      <c r="E15" s="89">
        <f>'표점등급&amp;절평인원 입력기능'!D48</f>
        <v>1241</v>
      </c>
      <c r="F15" s="90">
        <f t="shared" si="0"/>
        <v>3.8941885276766661E-3</v>
      </c>
      <c r="G15" s="91">
        <f>SUM($E$7:E15)</f>
        <v>318680</v>
      </c>
      <c r="H15" s="92">
        <f t="shared" si="1"/>
        <v>1</v>
      </c>
      <c r="I15" s="11"/>
      <c r="J15" s="11"/>
      <c r="K15" s="26"/>
      <c r="L15" s="17"/>
    </row>
    <row r="16" spans="1:12" ht="6" customHeight="1">
      <c r="A16" s="2"/>
      <c r="B16" s="31"/>
      <c r="C16" s="32"/>
      <c r="D16" s="32"/>
      <c r="E16" s="32"/>
      <c r="F16" s="32"/>
      <c r="G16" s="32"/>
      <c r="H16" s="32"/>
      <c r="I16" s="32"/>
      <c r="J16" s="32"/>
      <c r="K16" s="33"/>
    </row>
  </sheetData>
  <mergeCells count="3">
    <mergeCell ref="D3:F3"/>
    <mergeCell ref="D4:F4"/>
    <mergeCell ref="I4:J5"/>
  </mergeCells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FAE8D-03E5-4BB1-A552-691C1EE8C097}">
  <sheetPr codeName="Sheet9"/>
  <dimension ref="A1:L16"/>
  <sheetViews>
    <sheetView tabSelected="1" zoomScale="85" zoomScaleNormal="85" workbookViewId="0">
      <selection activeCell="B2" sqref="B2:K16"/>
    </sheetView>
  </sheetViews>
  <sheetFormatPr defaultRowHeight="17"/>
  <cols>
    <col min="2" max="2" width="1" style="2" customWidth="1"/>
    <col min="3" max="10" width="14.1640625" customWidth="1"/>
    <col min="11" max="11" width="1" customWidth="1"/>
  </cols>
  <sheetData>
    <row r="1" spans="1:12">
      <c r="A1" s="2" t="s">
        <v>40</v>
      </c>
      <c r="C1" s="2"/>
      <c r="D1" s="2"/>
      <c r="E1" s="2"/>
      <c r="F1" s="2"/>
      <c r="G1" s="2"/>
      <c r="H1" s="2"/>
      <c r="I1" s="2"/>
      <c r="J1" s="2"/>
      <c r="K1" s="2"/>
    </row>
    <row r="2" spans="1:12" s="2" customFormat="1" ht="6" customHeight="1" thickBot="1">
      <c r="B2" s="21"/>
      <c r="C2" s="22"/>
      <c r="D2" s="22"/>
      <c r="E2" s="22"/>
      <c r="F2" s="22"/>
      <c r="G2" s="22"/>
      <c r="H2" s="22"/>
      <c r="I2" s="22"/>
      <c r="J2" s="22"/>
      <c r="K2" s="23"/>
    </row>
    <row r="3" spans="1:12" s="18" customFormat="1" ht="25" customHeight="1" thickBot="1">
      <c r="A3" s="17"/>
      <c r="B3" s="35"/>
      <c r="C3" s="39" t="s">
        <v>56</v>
      </c>
      <c r="D3" s="120" t="s">
        <v>69</v>
      </c>
      <c r="E3" s="121"/>
      <c r="F3" s="122"/>
      <c r="G3" s="39" t="s">
        <v>57</v>
      </c>
      <c r="H3" s="40" t="str">
        <f>'통계 및 응시자 수 입력 기능'!D9</f>
        <v>21.85</v>
      </c>
      <c r="I3" s="12" t="s">
        <v>58</v>
      </c>
      <c r="J3" s="41">
        <f>'통계 및 응시자 수 입력 기능'!C9</f>
        <v>318306</v>
      </c>
      <c r="K3" s="26"/>
    </row>
    <row r="4" spans="1:12" s="18" customFormat="1" ht="25" customHeight="1" thickBot="1">
      <c r="A4" s="17"/>
      <c r="B4" s="35"/>
      <c r="C4" s="42" t="s">
        <v>59</v>
      </c>
      <c r="D4" s="131" t="s">
        <v>71</v>
      </c>
      <c r="E4" s="124"/>
      <c r="F4" s="125"/>
      <c r="G4" s="43" t="s">
        <v>61</v>
      </c>
      <c r="H4" s="44" t="str">
        <f>'통계 및 응시자 수 입력 기능'!E9</f>
        <v>11.71</v>
      </c>
      <c r="I4" s="126"/>
      <c r="J4" s="127"/>
      <c r="K4" s="26"/>
    </row>
    <row r="5" spans="1:12" s="18" customFormat="1" ht="25" customHeight="1" thickBot="1">
      <c r="A5" s="17"/>
      <c r="B5" s="35"/>
      <c r="C5" s="11"/>
      <c r="D5" s="11"/>
      <c r="E5" s="11"/>
      <c r="F5" s="11"/>
      <c r="G5" s="11"/>
      <c r="H5" s="11"/>
      <c r="I5" s="130"/>
      <c r="J5" s="130"/>
      <c r="K5" s="26"/>
    </row>
    <row r="6" spans="1:12" s="18" customFormat="1" ht="25" customHeight="1" thickBot="1">
      <c r="A6" s="17"/>
      <c r="B6" s="35"/>
      <c r="C6" s="45" t="s">
        <v>63</v>
      </c>
      <c r="D6" s="75" t="s">
        <v>64</v>
      </c>
      <c r="E6" s="76" t="s">
        <v>65</v>
      </c>
      <c r="F6" s="46" t="s">
        <v>66</v>
      </c>
      <c r="G6" s="46" t="s">
        <v>67</v>
      </c>
      <c r="H6" s="48" t="s">
        <v>68</v>
      </c>
      <c r="I6" s="11"/>
      <c r="J6" s="11"/>
      <c r="K6" s="26"/>
      <c r="L6" s="17"/>
    </row>
    <row r="7" spans="1:12" s="18" customFormat="1" ht="25" customHeight="1">
      <c r="A7" s="17"/>
      <c r="B7" s="35"/>
      <c r="C7" s="93">
        <v>1</v>
      </c>
      <c r="D7" s="94">
        <v>40</v>
      </c>
      <c r="E7" s="79">
        <f>'표점등급&amp;절평인원 입력기능'!D49</f>
        <v>32213</v>
      </c>
      <c r="F7" s="80">
        <f>E7/$J$3</f>
        <v>0.10120135969790076</v>
      </c>
      <c r="G7" s="81">
        <f>SUM($E$7:E7)</f>
        <v>32213</v>
      </c>
      <c r="H7" s="82">
        <f>G7/$J$3</f>
        <v>0.10120135969790076</v>
      </c>
      <c r="I7" s="11"/>
      <c r="J7" s="11"/>
      <c r="K7" s="26"/>
      <c r="L7" s="17"/>
    </row>
    <row r="8" spans="1:12" s="18" customFormat="1" ht="25" customHeight="1">
      <c r="A8" s="17"/>
      <c r="B8" s="35"/>
      <c r="C8" s="95">
        <v>2</v>
      </c>
      <c r="D8" s="96">
        <v>35</v>
      </c>
      <c r="E8" s="85">
        <f>'표점등급&amp;절평인원 입력기능'!D50</f>
        <v>24004</v>
      </c>
      <c r="F8" s="80">
        <f t="shared" ref="F8:F15" si="0">E8/$J$3</f>
        <v>7.5411710743749721E-2</v>
      </c>
      <c r="G8" s="86">
        <f>SUM($E$7:E8)</f>
        <v>56217</v>
      </c>
      <c r="H8" s="82">
        <f t="shared" ref="H8:H15" si="1">G8/$J$3</f>
        <v>0.17661307044165048</v>
      </c>
      <c r="I8" s="11"/>
      <c r="J8" s="11"/>
      <c r="K8" s="26"/>
      <c r="L8" s="17"/>
    </row>
    <row r="9" spans="1:12" s="18" customFormat="1" ht="25" customHeight="1">
      <c r="A9" s="17"/>
      <c r="B9" s="35"/>
      <c r="C9" s="95">
        <v>3</v>
      </c>
      <c r="D9" s="96">
        <v>30</v>
      </c>
      <c r="E9" s="85">
        <f>'표점등급&amp;절평인원 입력기능'!D51</f>
        <v>28452</v>
      </c>
      <c r="F9" s="80">
        <f t="shared" si="0"/>
        <v>8.9385685472469889E-2</v>
      </c>
      <c r="G9" s="86">
        <f>SUM($E$7:E9)</f>
        <v>84669</v>
      </c>
      <c r="H9" s="82">
        <f t="shared" si="1"/>
        <v>0.26599875591412037</v>
      </c>
      <c r="I9" s="11"/>
      <c r="J9" s="11"/>
      <c r="K9" s="26"/>
      <c r="L9" s="17"/>
    </row>
    <row r="10" spans="1:12" s="18" customFormat="1" ht="25" customHeight="1">
      <c r="A10" s="17"/>
      <c r="B10" s="35"/>
      <c r="C10" s="95">
        <v>4</v>
      </c>
      <c r="D10" s="96">
        <v>25</v>
      </c>
      <c r="E10" s="85">
        <f>'표점등급&amp;절평인원 입력기능'!D52</f>
        <v>33294</v>
      </c>
      <c r="F10" s="80">
        <f t="shared" si="0"/>
        <v>0.104597462818797</v>
      </c>
      <c r="G10" s="86">
        <f>SUM($E$7:E10)</f>
        <v>117963</v>
      </c>
      <c r="H10" s="82">
        <f t="shared" si="1"/>
        <v>0.37059621873291737</v>
      </c>
      <c r="I10" s="11"/>
      <c r="J10" s="11"/>
      <c r="K10" s="26"/>
      <c r="L10" s="17"/>
    </row>
    <row r="11" spans="1:12" s="18" customFormat="1" ht="25" customHeight="1">
      <c r="A11" s="17"/>
      <c r="B11" s="35"/>
      <c r="C11" s="95">
        <v>5</v>
      </c>
      <c r="D11" s="96">
        <v>20</v>
      </c>
      <c r="E11" s="85">
        <f>'표점등급&amp;절평인원 입력기능'!D53</f>
        <v>40429</v>
      </c>
      <c r="F11" s="80">
        <f t="shared" si="0"/>
        <v>0.12701300006911589</v>
      </c>
      <c r="G11" s="86">
        <f>SUM($E$7:E11)</f>
        <v>158392</v>
      </c>
      <c r="H11" s="82">
        <f t="shared" si="1"/>
        <v>0.49760921880203324</v>
      </c>
      <c r="I11" s="11"/>
      <c r="J11" s="11"/>
      <c r="K11" s="26"/>
      <c r="L11" s="17"/>
    </row>
    <row r="12" spans="1:12" s="18" customFormat="1" ht="25" customHeight="1">
      <c r="A12" s="17"/>
      <c r="B12" s="35"/>
      <c r="C12" s="95">
        <v>6</v>
      </c>
      <c r="D12" s="96">
        <v>15</v>
      </c>
      <c r="E12" s="85">
        <f>'표점등급&amp;절평인원 입력기능'!D54</f>
        <v>51209</v>
      </c>
      <c r="F12" s="80">
        <f t="shared" si="0"/>
        <v>0.16087978234780367</v>
      </c>
      <c r="G12" s="86">
        <f>SUM($E$7:E12)</f>
        <v>209601</v>
      </c>
      <c r="H12" s="82">
        <f t="shared" si="1"/>
        <v>0.65848900114983699</v>
      </c>
      <c r="I12" s="11"/>
      <c r="J12" s="11"/>
      <c r="K12" s="26"/>
      <c r="L12" s="17"/>
    </row>
    <row r="13" spans="1:12" s="18" customFormat="1" ht="25" customHeight="1">
      <c r="A13" s="17"/>
      <c r="B13" s="35"/>
      <c r="C13" s="95">
        <v>7</v>
      </c>
      <c r="D13" s="96">
        <v>10</v>
      </c>
      <c r="E13" s="85">
        <f>'표점등급&amp;절평인원 입력기능'!D55</f>
        <v>66608</v>
      </c>
      <c r="F13" s="80">
        <f t="shared" si="0"/>
        <v>0.20925775825777712</v>
      </c>
      <c r="G13" s="86">
        <f>SUM($E$7:E13)</f>
        <v>276209</v>
      </c>
      <c r="H13" s="82">
        <f t="shared" si="1"/>
        <v>0.86774675940761403</v>
      </c>
      <c r="I13" s="11"/>
      <c r="J13" s="11"/>
      <c r="K13" s="26"/>
      <c r="L13" s="17"/>
    </row>
    <row r="14" spans="1:12" s="18" customFormat="1" ht="25" customHeight="1">
      <c r="A14" s="17"/>
      <c r="B14" s="35"/>
      <c r="C14" s="95">
        <v>8</v>
      </c>
      <c r="D14" s="96">
        <v>5</v>
      </c>
      <c r="E14" s="85">
        <f>'표점등급&amp;절평인원 입력기능'!D56</f>
        <v>37063</v>
      </c>
      <c r="F14" s="80">
        <f t="shared" si="0"/>
        <v>0.11643827009230112</v>
      </c>
      <c r="G14" s="86">
        <f>SUM($E$7:E14)</f>
        <v>313272</v>
      </c>
      <c r="H14" s="82">
        <f t="shared" si="1"/>
        <v>0.98418502949991515</v>
      </c>
      <c r="I14" s="11"/>
      <c r="J14" s="11"/>
      <c r="K14" s="26"/>
      <c r="L14" s="17"/>
    </row>
    <row r="15" spans="1:12" s="18" customFormat="1" ht="25" customHeight="1" thickBot="1">
      <c r="A15" s="17"/>
      <c r="B15" s="35"/>
      <c r="C15" s="97">
        <v>9</v>
      </c>
      <c r="D15" s="98">
        <v>0</v>
      </c>
      <c r="E15" s="89">
        <f>'표점등급&amp;절평인원 입력기능'!D57</f>
        <v>5034</v>
      </c>
      <c r="F15" s="90">
        <f t="shared" si="0"/>
        <v>1.5814970500084825E-2</v>
      </c>
      <c r="G15" s="91">
        <f>SUM($E$7:E15)</f>
        <v>318306</v>
      </c>
      <c r="H15" s="92">
        <f t="shared" si="1"/>
        <v>1</v>
      </c>
      <c r="I15" s="11"/>
      <c r="J15" s="11"/>
      <c r="K15" s="26"/>
      <c r="L15" s="17"/>
    </row>
    <row r="16" spans="1:12" ht="6" customHeight="1">
      <c r="A16" s="2"/>
      <c r="B16" s="31"/>
      <c r="C16" s="32"/>
      <c r="D16" s="32"/>
      <c r="E16" s="32"/>
      <c r="F16" s="32"/>
      <c r="G16" s="32"/>
      <c r="H16" s="32"/>
      <c r="I16" s="32"/>
      <c r="J16" s="32"/>
      <c r="K16" s="33"/>
    </row>
  </sheetData>
  <mergeCells count="3">
    <mergeCell ref="D3:F3"/>
    <mergeCell ref="D4:F4"/>
    <mergeCell ref="I4:J5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통계 및 응시자 수 입력 기능</vt:lpstr>
      <vt:lpstr>표점등급&amp;절평인원 입력기능</vt:lpstr>
      <vt:lpstr>인원 입력 기능</vt:lpstr>
      <vt:lpstr>국어</vt:lpstr>
      <vt:lpstr>수학</vt:lpstr>
      <vt:lpstr>영어</vt:lpstr>
      <vt:lpstr>한국사</vt:lpstr>
      <vt:lpstr>사회</vt:lpstr>
      <vt:lpstr>과학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윤승혁</dc:creator>
  <cp:lastModifiedBy>윤승혁</cp:lastModifiedBy>
  <cp:lastPrinted>2022-05-21T13:19:13Z</cp:lastPrinted>
  <dcterms:created xsi:type="dcterms:W3CDTF">2018-04-21T04:34:05Z</dcterms:created>
  <dcterms:modified xsi:type="dcterms:W3CDTF">2023-06-22T05:25:53Z</dcterms:modified>
</cp:coreProperties>
</file>