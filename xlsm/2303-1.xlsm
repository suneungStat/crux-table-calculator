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00000000-0000-0000-0000-0000000000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윤승혁\Desktop\모의고사&amp;수능 관련\2023\고1\"/>
    </mc:Choice>
  </mc:AlternateContent>
  <xr:revisionPtr revIDLastSave="0" documentId="13_ncr:1_{65837F49-7780-4708-9DC6-B699BF33F722}" xr6:coauthVersionLast="47" xr6:coauthVersionMax="47" xr10:uidLastSave="{00000000-0000-0000-0000-000000000000}"/>
  <bookViews>
    <workbookView xWindow="0" yWindow="20" windowWidth="19200" windowHeight="11380" firstSheet="1" activeTab="8" xr2:uid="{AB9EE284-95EA-49B1-8133-EE4E7651E7F1}"/>
  </bookViews>
  <sheets>
    <sheet name="통계 및 응시자 수 입력 기능" sheetId="67" r:id="rId1"/>
    <sheet name="표점등급&amp;절평인원 입력기능" sheetId="66" r:id="rId2"/>
    <sheet name="인원 입력 기능" sheetId="64" r:id="rId3"/>
    <sheet name="국어" sheetId="2" r:id="rId4"/>
    <sheet name="수학" sheetId="5" r:id="rId5"/>
    <sheet name="영어" sheetId="6" r:id="rId6"/>
    <sheet name="한국사" sheetId="25" r:id="rId7"/>
    <sheet name="사회" sheetId="69" r:id="rId8"/>
    <sheet name="과학" sheetId="68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68" l="1"/>
  <c r="H4" i="68"/>
  <c r="H3" i="68"/>
  <c r="J3" i="69"/>
  <c r="H4" i="69"/>
  <c r="H3" i="69"/>
  <c r="E15" i="68" l="1"/>
  <c r="F15" i="68" s="1"/>
  <c r="E9" i="68"/>
  <c r="F9" i="68" s="1"/>
  <c r="E10" i="68"/>
  <c r="F10" i="68" s="1"/>
  <c r="E11" i="68"/>
  <c r="F11" i="68" s="1"/>
  <c r="E12" i="68"/>
  <c r="F12" i="68" s="1"/>
  <c r="E13" i="68"/>
  <c r="F13" i="68" s="1"/>
  <c r="E14" i="68"/>
  <c r="F14" i="68" s="1"/>
  <c r="E8" i="68"/>
  <c r="F8" i="68" s="1"/>
  <c r="E7" i="68"/>
  <c r="F7" i="68" s="1"/>
  <c r="E15" i="69"/>
  <c r="F15" i="69" s="1"/>
  <c r="E14" i="69"/>
  <c r="F14" i="69" s="1"/>
  <c r="E9" i="69"/>
  <c r="F9" i="69" s="1"/>
  <c r="E10" i="69"/>
  <c r="F10" i="69" s="1"/>
  <c r="E11" i="69"/>
  <c r="F11" i="69" s="1"/>
  <c r="E12" i="69"/>
  <c r="F12" i="69" s="1"/>
  <c r="E13" i="69"/>
  <c r="F13" i="69" s="1"/>
  <c r="E8" i="69"/>
  <c r="F8" i="69" s="1"/>
  <c r="E7" i="69"/>
  <c r="F7" i="69" s="1"/>
  <c r="E15" i="25"/>
  <c r="E9" i="25"/>
  <c r="E10" i="25"/>
  <c r="E11" i="25"/>
  <c r="E12" i="25"/>
  <c r="E13" i="25"/>
  <c r="E14" i="25"/>
  <c r="E8" i="25"/>
  <c r="E7" i="25"/>
  <c r="E15" i="6"/>
  <c r="E14" i="6"/>
  <c r="E9" i="6"/>
  <c r="E10" i="6"/>
  <c r="E11" i="6"/>
  <c r="E12" i="6"/>
  <c r="E13" i="6"/>
  <c r="E8" i="6"/>
  <c r="E7" i="6"/>
  <c r="G13" i="68" l="1"/>
  <c r="H13" i="68" s="1"/>
  <c r="G7" i="68"/>
  <c r="H7" i="68" s="1"/>
  <c r="G11" i="68"/>
  <c r="H11" i="68" s="1"/>
  <c r="G15" i="68"/>
  <c r="H15" i="68" s="1"/>
  <c r="G10" i="68"/>
  <c r="H10" i="68" s="1"/>
  <c r="G14" i="68"/>
  <c r="H14" i="68" s="1"/>
  <c r="G8" i="68"/>
  <c r="H8" i="68" s="1"/>
  <c r="G12" i="68"/>
  <c r="H12" i="68" s="1"/>
  <c r="G9" i="68"/>
  <c r="H9" i="68" s="1"/>
  <c r="G13" i="69"/>
  <c r="H13" i="69" s="1"/>
  <c r="G11" i="69"/>
  <c r="H11" i="69" s="1"/>
  <c r="G7" i="69"/>
  <c r="H7" i="69" s="1"/>
  <c r="G10" i="69"/>
  <c r="H10" i="69" s="1"/>
  <c r="G14" i="69"/>
  <c r="H14" i="69" s="1"/>
  <c r="G8" i="69"/>
  <c r="H8" i="69" s="1"/>
  <c r="G12" i="69"/>
  <c r="H12" i="69" s="1"/>
  <c r="G9" i="69"/>
  <c r="H9" i="69" s="1"/>
  <c r="G15" i="69"/>
  <c r="H15" i="69" s="1"/>
  <c r="J3" i="2"/>
  <c r="J3" i="5"/>
  <c r="Q8" i="5" l="1"/>
  <c r="Q9" i="5"/>
  <c r="Q10" i="5"/>
  <c r="Q11" i="5"/>
  <c r="Q12" i="5"/>
  <c r="Q13" i="5"/>
  <c r="Q14" i="5"/>
  <c r="Q7" i="5"/>
  <c r="Q8" i="2"/>
  <c r="Q9" i="2"/>
  <c r="Q10" i="2"/>
  <c r="Q11" i="2"/>
  <c r="Q12" i="2"/>
  <c r="Q13" i="2"/>
  <c r="Q14" i="2"/>
  <c r="Q7" i="2"/>
  <c r="J3" i="25"/>
  <c r="J3" i="6"/>
  <c r="H4" i="25"/>
  <c r="H4" i="6"/>
  <c r="H4" i="5"/>
  <c r="H4" i="2"/>
  <c r="H3" i="25"/>
  <c r="H3" i="6"/>
  <c r="H3" i="5"/>
  <c r="H3" i="2"/>
  <c r="D107" i="2" l="1"/>
  <c r="G107" i="2" s="1"/>
  <c r="H107" i="2" s="1"/>
  <c r="Q17" i="2"/>
  <c r="Q17" i="5"/>
  <c r="F9" i="6"/>
  <c r="F13" i="6"/>
  <c r="F10" i="6"/>
  <c r="F14" i="6"/>
  <c r="F8" i="6"/>
  <c r="F15" i="6"/>
  <c r="F11" i="6"/>
  <c r="F7" i="6"/>
  <c r="F12" i="6"/>
  <c r="F9" i="25"/>
  <c r="F13" i="25"/>
  <c r="F10" i="25"/>
  <c r="F14" i="25"/>
  <c r="F8" i="25"/>
  <c r="F7" i="25"/>
  <c r="F11" i="25"/>
  <c r="F15" i="25"/>
  <c r="F12" i="25"/>
  <c r="D102" i="5"/>
  <c r="L102" i="2"/>
  <c r="L107" i="2" l="1"/>
  <c r="E102" i="5"/>
  <c r="L102" i="5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D107" i="5" l="1"/>
  <c r="L10" i="5"/>
  <c r="D11" i="5"/>
  <c r="D12" i="5"/>
  <c r="D13" i="5"/>
  <c r="L13" i="5" s="1"/>
  <c r="D14" i="5"/>
  <c r="L14" i="5" s="1"/>
  <c r="D15" i="5"/>
  <c r="D16" i="5"/>
  <c r="L16" i="5" s="1"/>
  <c r="D17" i="5"/>
  <c r="L17" i="5" s="1"/>
  <c r="D18" i="5"/>
  <c r="L18" i="5" s="1"/>
  <c r="D19" i="5"/>
  <c r="D20" i="5"/>
  <c r="L20" i="5" s="1"/>
  <c r="L21" i="5"/>
  <c r="D22" i="5"/>
  <c r="L22" i="5" s="1"/>
  <c r="D23" i="5"/>
  <c r="D24" i="5"/>
  <c r="L24" i="5" s="1"/>
  <c r="D25" i="5"/>
  <c r="L25" i="5" s="1"/>
  <c r="D26" i="5"/>
  <c r="L26" i="5" s="1"/>
  <c r="D27" i="5"/>
  <c r="D28" i="5"/>
  <c r="L28" i="5" s="1"/>
  <c r="D29" i="5"/>
  <c r="L29" i="5" s="1"/>
  <c r="D30" i="5"/>
  <c r="L30" i="5" s="1"/>
  <c r="D31" i="5"/>
  <c r="L32" i="5"/>
  <c r="D33" i="5"/>
  <c r="L33" i="5" s="1"/>
  <c r="D34" i="5"/>
  <c r="L34" i="5" s="1"/>
  <c r="D35" i="5"/>
  <c r="D36" i="5"/>
  <c r="L36" i="5" s="1"/>
  <c r="D37" i="5"/>
  <c r="L37" i="5" s="1"/>
  <c r="D38" i="5"/>
  <c r="L38" i="5" s="1"/>
  <c r="D39" i="5"/>
  <c r="D40" i="5"/>
  <c r="L40" i="5" s="1"/>
  <c r="D41" i="5"/>
  <c r="L41" i="5" s="1"/>
  <c r="D42" i="5"/>
  <c r="L42" i="5" s="1"/>
  <c r="D44" i="5"/>
  <c r="L44" i="5" s="1"/>
  <c r="D45" i="5"/>
  <c r="L45" i="5" s="1"/>
  <c r="D46" i="5"/>
  <c r="L46" i="5" s="1"/>
  <c r="D47" i="5"/>
  <c r="D48" i="5"/>
  <c r="L48" i="5" s="1"/>
  <c r="D49" i="5"/>
  <c r="L49" i="5" s="1"/>
  <c r="D50" i="5"/>
  <c r="L50" i="5" s="1"/>
  <c r="D51" i="5"/>
  <c r="D52" i="5"/>
  <c r="L52" i="5" s="1"/>
  <c r="D53" i="5"/>
  <c r="L53" i="5" s="1"/>
  <c r="D54" i="5"/>
  <c r="L54" i="5" s="1"/>
  <c r="D56" i="5"/>
  <c r="L56" i="5" s="1"/>
  <c r="D57" i="5"/>
  <c r="L57" i="5" s="1"/>
  <c r="D58" i="5"/>
  <c r="L58" i="5" s="1"/>
  <c r="D59" i="5"/>
  <c r="D60" i="5"/>
  <c r="L60" i="5" s="1"/>
  <c r="D61" i="5"/>
  <c r="L61" i="5" s="1"/>
  <c r="D62" i="5"/>
  <c r="L62" i="5" s="1"/>
  <c r="D63" i="5"/>
  <c r="D64" i="5"/>
  <c r="L64" i="5" s="1"/>
  <c r="D65" i="5"/>
  <c r="L65" i="5" s="1"/>
  <c r="L66" i="5"/>
  <c r="D67" i="5"/>
  <c r="D68" i="5"/>
  <c r="L68" i="5" s="1"/>
  <c r="D69" i="5"/>
  <c r="L69" i="5" s="1"/>
  <c r="D70" i="5"/>
  <c r="L70" i="5" s="1"/>
  <c r="D71" i="5"/>
  <c r="D72" i="5"/>
  <c r="L72" i="5" s="1"/>
  <c r="D73" i="5"/>
  <c r="L73" i="5" s="1"/>
  <c r="D74" i="5"/>
  <c r="L74" i="5" s="1"/>
  <c r="D75" i="5"/>
  <c r="D76" i="5"/>
  <c r="L76" i="5" s="1"/>
  <c r="L77" i="5"/>
  <c r="D78" i="5"/>
  <c r="L78" i="5" s="1"/>
  <c r="D79" i="5"/>
  <c r="D80" i="5"/>
  <c r="L80" i="5" s="1"/>
  <c r="D81" i="5"/>
  <c r="L81" i="5" s="1"/>
  <c r="D82" i="5"/>
  <c r="L82" i="5" s="1"/>
  <c r="D83" i="5"/>
  <c r="D84" i="5"/>
  <c r="L84" i="5" s="1"/>
  <c r="D85" i="5"/>
  <c r="L85" i="5" s="1"/>
  <c r="D86" i="5"/>
  <c r="L86" i="5" s="1"/>
  <c r="D87" i="5"/>
  <c r="L88" i="5"/>
  <c r="D89" i="5"/>
  <c r="L89" i="5" s="1"/>
  <c r="D90" i="5"/>
  <c r="L90" i="5" s="1"/>
  <c r="D91" i="5"/>
  <c r="D92" i="5"/>
  <c r="L92" i="5" s="1"/>
  <c r="D93" i="5"/>
  <c r="L93" i="5" s="1"/>
  <c r="D94" i="5"/>
  <c r="L94" i="5" s="1"/>
  <c r="D95" i="5"/>
  <c r="D96" i="5"/>
  <c r="L96" i="5" s="1"/>
  <c r="D97" i="5"/>
  <c r="L97" i="5" s="1"/>
  <c r="D98" i="5"/>
  <c r="L98" i="5" s="1"/>
  <c r="D100" i="5"/>
  <c r="L100" i="5" s="1"/>
  <c r="D101" i="5"/>
  <c r="L101" i="5" s="1"/>
  <c r="D103" i="5"/>
  <c r="D104" i="5"/>
  <c r="D105" i="5"/>
  <c r="L105" i="5" s="1"/>
  <c r="D9" i="5"/>
  <c r="D7" i="5"/>
  <c r="G12" i="5" l="1"/>
  <c r="H12" i="5" s="1"/>
  <c r="L12" i="5"/>
  <c r="G104" i="5"/>
  <c r="H104" i="5" s="1"/>
  <c r="L104" i="5"/>
  <c r="L99" i="5"/>
  <c r="G95" i="5"/>
  <c r="H95" i="5" s="1"/>
  <c r="L95" i="5"/>
  <c r="G91" i="5"/>
  <c r="H91" i="5" s="1"/>
  <c r="L91" i="5"/>
  <c r="G87" i="5"/>
  <c r="H87" i="5" s="1"/>
  <c r="L87" i="5"/>
  <c r="G83" i="5"/>
  <c r="H83" i="5" s="1"/>
  <c r="L83" i="5"/>
  <c r="G79" i="5"/>
  <c r="H79" i="5" s="1"/>
  <c r="L79" i="5"/>
  <c r="G75" i="5"/>
  <c r="H75" i="5" s="1"/>
  <c r="L75" i="5"/>
  <c r="G71" i="5"/>
  <c r="H71" i="5" s="1"/>
  <c r="L71" i="5"/>
  <c r="G67" i="5"/>
  <c r="H67" i="5" s="1"/>
  <c r="L67" i="5"/>
  <c r="G63" i="5"/>
  <c r="H63" i="5" s="1"/>
  <c r="L63" i="5"/>
  <c r="G59" i="5"/>
  <c r="H59" i="5" s="1"/>
  <c r="L59" i="5"/>
  <c r="L55" i="5"/>
  <c r="G51" i="5"/>
  <c r="H51" i="5" s="1"/>
  <c r="L51" i="5"/>
  <c r="G47" i="5"/>
  <c r="H47" i="5" s="1"/>
  <c r="L47" i="5"/>
  <c r="L43" i="5"/>
  <c r="G39" i="5"/>
  <c r="H39" i="5" s="1"/>
  <c r="L39" i="5"/>
  <c r="G35" i="5"/>
  <c r="H35" i="5" s="1"/>
  <c r="L35" i="5"/>
  <c r="G31" i="5"/>
  <c r="H31" i="5" s="1"/>
  <c r="L31" i="5"/>
  <c r="G27" i="5"/>
  <c r="H27" i="5" s="1"/>
  <c r="L27" i="5"/>
  <c r="G23" i="5"/>
  <c r="H23" i="5" s="1"/>
  <c r="L23" i="5"/>
  <c r="G19" i="5"/>
  <c r="H19" i="5" s="1"/>
  <c r="L19" i="5"/>
  <c r="G15" i="5"/>
  <c r="H15" i="5" s="1"/>
  <c r="L15" i="5"/>
  <c r="G11" i="5"/>
  <c r="H11" i="5" s="1"/>
  <c r="L11" i="5"/>
  <c r="G7" i="5"/>
  <c r="H7" i="5" s="1"/>
  <c r="L7" i="5"/>
  <c r="G103" i="5"/>
  <c r="H103" i="5" s="1"/>
  <c r="L103" i="5"/>
  <c r="G9" i="5"/>
  <c r="H9" i="5" s="1"/>
  <c r="L9" i="5"/>
  <c r="G107" i="5"/>
  <c r="H107" i="5" s="1"/>
  <c r="L107" i="5"/>
  <c r="G80" i="5"/>
  <c r="H80" i="5" s="1"/>
  <c r="G76" i="5"/>
  <c r="H76" i="5" s="1"/>
  <c r="G72" i="5"/>
  <c r="H72" i="5" s="1"/>
  <c r="G68" i="5"/>
  <c r="H68" i="5" s="1"/>
  <c r="G64" i="5"/>
  <c r="H64" i="5" s="1"/>
  <c r="G60" i="5"/>
  <c r="H60" i="5" s="1"/>
  <c r="G56" i="5"/>
  <c r="H56" i="5" s="1"/>
  <c r="G52" i="5"/>
  <c r="H52" i="5" s="1"/>
  <c r="G48" i="5"/>
  <c r="H48" i="5" s="1"/>
  <c r="G44" i="5"/>
  <c r="H44" i="5" s="1"/>
  <c r="G40" i="5"/>
  <c r="H40" i="5" s="1"/>
  <c r="G36" i="5"/>
  <c r="H36" i="5" s="1"/>
  <c r="G28" i="5"/>
  <c r="H28" i="5" s="1"/>
  <c r="G24" i="5"/>
  <c r="H24" i="5" s="1"/>
  <c r="G20" i="5"/>
  <c r="H20" i="5" s="1"/>
  <c r="G16" i="5"/>
  <c r="H16" i="5" s="1"/>
  <c r="G105" i="5"/>
  <c r="H105" i="5" s="1"/>
  <c r="G100" i="5"/>
  <c r="H100" i="5" s="1"/>
  <c r="G96" i="5"/>
  <c r="H96" i="5" s="1"/>
  <c r="G92" i="5"/>
  <c r="H92" i="5" s="1"/>
  <c r="G84" i="5"/>
  <c r="H84" i="5" s="1"/>
  <c r="G98" i="5"/>
  <c r="H98" i="5" s="1"/>
  <c r="G94" i="5"/>
  <c r="H94" i="5" s="1"/>
  <c r="G90" i="5"/>
  <c r="H90" i="5" s="1"/>
  <c r="G86" i="5"/>
  <c r="H86" i="5" s="1"/>
  <c r="G82" i="5"/>
  <c r="H82" i="5" s="1"/>
  <c r="G78" i="5"/>
  <c r="H78" i="5" s="1"/>
  <c r="G74" i="5"/>
  <c r="H74" i="5" s="1"/>
  <c r="G70" i="5"/>
  <c r="H70" i="5" s="1"/>
  <c r="G62" i="5"/>
  <c r="H62" i="5" s="1"/>
  <c r="G58" i="5"/>
  <c r="H58" i="5" s="1"/>
  <c r="G54" i="5"/>
  <c r="H54" i="5" s="1"/>
  <c r="G50" i="5"/>
  <c r="H50" i="5" s="1"/>
  <c r="G46" i="5"/>
  <c r="H46" i="5" s="1"/>
  <c r="G42" i="5"/>
  <c r="H42" i="5" s="1"/>
  <c r="G38" i="5"/>
  <c r="H38" i="5" s="1"/>
  <c r="G34" i="5"/>
  <c r="H34" i="5" s="1"/>
  <c r="G30" i="5"/>
  <c r="H30" i="5" s="1"/>
  <c r="G26" i="5"/>
  <c r="H26" i="5" s="1"/>
  <c r="G22" i="5"/>
  <c r="H22" i="5" s="1"/>
  <c r="G18" i="5"/>
  <c r="H18" i="5" s="1"/>
  <c r="G14" i="5"/>
  <c r="H14" i="5" s="1"/>
  <c r="G101" i="5"/>
  <c r="H101" i="5" s="1"/>
  <c r="G102" i="5"/>
  <c r="H102" i="5" s="1"/>
  <c r="G97" i="5"/>
  <c r="H97" i="5" s="1"/>
  <c r="G93" i="5"/>
  <c r="H93" i="5" s="1"/>
  <c r="G89" i="5"/>
  <c r="H89" i="5" s="1"/>
  <c r="G85" i="5"/>
  <c r="H85" i="5" s="1"/>
  <c r="G81" i="5"/>
  <c r="H81" i="5" s="1"/>
  <c r="G73" i="5"/>
  <c r="H73" i="5" s="1"/>
  <c r="G69" i="5"/>
  <c r="H69" i="5" s="1"/>
  <c r="G65" i="5"/>
  <c r="H65" i="5" s="1"/>
  <c r="G61" i="5"/>
  <c r="H61" i="5" s="1"/>
  <c r="G57" i="5"/>
  <c r="H57" i="5" s="1"/>
  <c r="G53" i="5"/>
  <c r="H53" i="5" s="1"/>
  <c r="G49" i="5"/>
  <c r="H49" i="5" s="1"/>
  <c r="G45" i="5"/>
  <c r="H45" i="5" s="1"/>
  <c r="G41" i="5"/>
  <c r="H41" i="5" s="1"/>
  <c r="G37" i="5"/>
  <c r="H37" i="5" s="1"/>
  <c r="G33" i="5"/>
  <c r="H33" i="5" s="1"/>
  <c r="G29" i="5"/>
  <c r="H29" i="5" s="1"/>
  <c r="G25" i="5"/>
  <c r="H25" i="5" s="1"/>
  <c r="G17" i="5"/>
  <c r="H17" i="5" s="1"/>
  <c r="G13" i="5"/>
  <c r="H13" i="5" s="1"/>
  <c r="E96" i="5"/>
  <c r="E84" i="5"/>
  <c r="E72" i="5"/>
  <c r="E60" i="5"/>
  <c r="E48" i="5"/>
  <c r="E36" i="5"/>
  <c r="E24" i="5"/>
  <c r="E12" i="5"/>
  <c r="E7" i="5"/>
  <c r="E103" i="5"/>
  <c r="E95" i="5"/>
  <c r="E91" i="5"/>
  <c r="E87" i="5"/>
  <c r="E83" i="5"/>
  <c r="E79" i="5"/>
  <c r="E75" i="5"/>
  <c r="E71" i="5"/>
  <c r="E67" i="5"/>
  <c r="E63" i="5"/>
  <c r="E59" i="5"/>
  <c r="E51" i="5"/>
  <c r="E47" i="5"/>
  <c r="E39" i="5"/>
  <c r="E35" i="5"/>
  <c r="E31" i="5"/>
  <c r="E27" i="5"/>
  <c r="E23" i="5"/>
  <c r="E19" i="5"/>
  <c r="E15" i="5"/>
  <c r="E11" i="5"/>
  <c r="E104" i="5"/>
  <c r="E92" i="5"/>
  <c r="E76" i="5"/>
  <c r="E64" i="5"/>
  <c r="E52" i="5"/>
  <c r="E40" i="5"/>
  <c r="E28" i="5"/>
  <c r="E16" i="5"/>
  <c r="E9" i="5"/>
  <c r="E98" i="5"/>
  <c r="E94" i="5"/>
  <c r="E90" i="5"/>
  <c r="E86" i="5"/>
  <c r="E82" i="5"/>
  <c r="E78" i="5"/>
  <c r="E74" i="5"/>
  <c r="E70" i="5"/>
  <c r="E62" i="5"/>
  <c r="E58" i="5"/>
  <c r="E54" i="5"/>
  <c r="E50" i="5"/>
  <c r="E46" i="5"/>
  <c r="E42" i="5"/>
  <c r="E38" i="5"/>
  <c r="E34" i="5"/>
  <c r="E30" i="5"/>
  <c r="E26" i="5"/>
  <c r="E22" i="5"/>
  <c r="E18" i="5"/>
  <c r="E14" i="5"/>
  <c r="E100" i="5"/>
  <c r="E80" i="5"/>
  <c r="E68" i="5"/>
  <c r="E56" i="5"/>
  <c r="E44" i="5"/>
  <c r="E20" i="5"/>
  <c r="E105" i="5"/>
  <c r="E101" i="5"/>
  <c r="E97" i="5"/>
  <c r="E93" i="5"/>
  <c r="E89" i="5"/>
  <c r="E85" i="5"/>
  <c r="E81" i="5"/>
  <c r="E73" i="5"/>
  <c r="E69" i="5"/>
  <c r="E65" i="5"/>
  <c r="E61" i="5"/>
  <c r="E57" i="5"/>
  <c r="E53" i="5"/>
  <c r="E49" i="5"/>
  <c r="E45" i="5"/>
  <c r="E41" i="5"/>
  <c r="E37" i="5"/>
  <c r="E33" i="5"/>
  <c r="E29" i="5"/>
  <c r="E25" i="5"/>
  <c r="E17" i="5"/>
  <c r="E13" i="5"/>
  <c r="E107" i="5"/>
  <c r="D10" i="2"/>
  <c r="L10" i="2" s="1"/>
  <c r="D11" i="2"/>
  <c r="L11" i="2" s="1"/>
  <c r="D12" i="2"/>
  <c r="L12" i="2" s="1"/>
  <c r="D13" i="2"/>
  <c r="L13" i="2" s="1"/>
  <c r="D14" i="2"/>
  <c r="L14" i="2" s="1"/>
  <c r="D15" i="2"/>
  <c r="L15" i="2" s="1"/>
  <c r="D16" i="2"/>
  <c r="L16" i="2" s="1"/>
  <c r="D17" i="2"/>
  <c r="L17" i="2" s="1"/>
  <c r="D18" i="2"/>
  <c r="L18" i="2" s="1"/>
  <c r="D19" i="2"/>
  <c r="L19" i="2" s="1"/>
  <c r="D20" i="2"/>
  <c r="L20" i="2" s="1"/>
  <c r="D21" i="2"/>
  <c r="L21" i="2" s="1"/>
  <c r="D22" i="2"/>
  <c r="L22" i="2" s="1"/>
  <c r="D23" i="2"/>
  <c r="L23" i="2" s="1"/>
  <c r="D24" i="2"/>
  <c r="L24" i="2" s="1"/>
  <c r="D25" i="2"/>
  <c r="L25" i="2" s="1"/>
  <c r="D26" i="2"/>
  <c r="L26" i="2" s="1"/>
  <c r="D27" i="2"/>
  <c r="L27" i="2" s="1"/>
  <c r="D28" i="2"/>
  <c r="L28" i="2" s="1"/>
  <c r="L29" i="2"/>
  <c r="D30" i="2"/>
  <c r="L30" i="2" s="1"/>
  <c r="D31" i="2"/>
  <c r="L31" i="2" s="1"/>
  <c r="D32" i="2"/>
  <c r="L32" i="2" s="1"/>
  <c r="D33" i="2"/>
  <c r="L33" i="2" s="1"/>
  <c r="D34" i="2"/>
  <c r="L34" i="2" s="1"/>
  <c r="D35" i="2"/>
  <c r="L35" i="2" s="1"/>
  <c r="D36" i="2"/>
  <c r="L36" i="2" s="1"/>
  <c r="D37" i="2"/>
  <c r="L37" i="2" s="1"/>
  <c r="D38" i="2"/>
  <c r="L38" i="2" s="1"/>
  <c r="D39" i="2"/>
  <c r="L39" i="2" s="1"/>
  <c r="D40" i="2"/>
  <c r="L40" i="2" s="1"/>
  <c r="D41" i="2"/>
  <c r="L41" i="2" s="1"/>
  <c r="D42" i="2"/>
  <c r="L42" i="2" s="1"/>
  <c r="D43" i="2"/>
  <c r="L43" i="2" s="1"/>
  <c r="D44" i="2"/>
  <c r="L44" i="2" s="1"/>
  <c r="D45" i="2"/>
  <c r="L45" i="2" s="1"/>
  <c r="D46" i="2"/>
  <c r="L46" i="2" s="1"/>
  <c r="D47" i="2"/>
  <c r="L47" i="2" s="1"/>
  <c r="D48" i="2"/>
  <c r="L48" i="2" s="1"/>
  <c r="D49" i="2"/>
  <c r="L49" i="2" s="1"/>
  <c r="D50" i="2"/>
  <c r="L50" i="2" s="1"/>
  <c r="D51" i="2"/>
  <c r="L51" i="2" s="1"/>
  <c r="D52" i="2"/>
  <c r="L52" i="2" s="1"/>
  <c r="D53" i="2"/>
  <c r="L53" i="2" s="1"/>
  <c r="D54" i="2"/>
  <c r="L54" i="2" s="1"/>
  <c r="D55" i="2"/>
  <c r="L55" i="2" s="1"/>
  <c r="D56" i="2"/>
  <c r="L56" i="2" s="1"/>
  <c r="D57" i="2"/>
  <c r="L57" i="2" s="1"/>
  <c r="D58" i="2"/>
  <c r="L58" i="2" s="1"/>
  <c r="D59" i="2"/>
  <c r="L59" i="2" s="1"/>
  <c r="D60" i="2"/>
  <c r="L60" i="2" s="1"/>
  <c r="D61" i="2"/>
  <c r="L61" i="2" s="1"/>
  <c r="D62" i="2"/>
  <c r="L62" i="2" s="1"/>
  <c r="D63" i="2"/>
  <c r="L63" i="2" s="1"/>
  <c r="D64" i="2"/>
  <c r="L64" i="2" s="1"/>
  <c r="L65" i="2"/>
  <c r="L66" i="2"/>
  <c r="D67" i="2"/>
  <c r="L67" i="2" s="1"/>
  <c r="D68" i="2"/>
  <c r="L68" i="2" s="1"/>
  <c r="D69" i="2"/>
  <c r="L69" i="2" s="1"/>
  <c r="D70" i="2"/>
  <c r="L70" i="2" s="1"/>
  <c r="D71" i="2"/>
  <c r="L71" i="2" s="1"/>
  <c r="D72" i="2"/>
  <c r="L72" i="2" s="1"/>
  <c r="D73" i="2"/>
  <c r="L73" i="2" s="1"/>
  <c r="D74" i="2"/>
  <c r="L74" i="2" s="1"/>
  <c r="D75" i="2"/>
  <c r="L75" i="2" s="1"/>
  <c r="D76" i="2"/>
  <c r="L76" i="2" s="1"/>
  <c r="D77" i="2"/>
  <c r="L77" i="2" s="1"/>
  <c r="D78" i="2"/>
  <c r="L78" i="2" s="1"/>
  <c r="D79" i="2"/>
  <c r="L79" i="2" s="1"/>
  <c r="D80" i="2"/>
  <c r="L80" i="2" s="1"/>
  <c r="D81" i="2"/>
  <c r="L81" i="2" s="1"/>
  <c r="D82" i="2"/>
  <c r="L82" i="2" s="1"/>
  <c r="D83" i="2"/>
  <c r="L83" i="2" s="1"/>
  <c r="D84" i="2"/>
  <c r="L84" i="2" s="1"/>
  <c r="D85" i="2"/>
  <c r="L85" i="2" s="1"/>
  <c r="D86" i="2"/>
  <c r="L86" i="2" s="1"/>
  <c r="D87" i="2"/>
  <c r="L87" i="2" s="1"/>
  <c r="D88" i="2"/>
  <c r="L88" i="2" s="1"/>
  <c r="D89" i="2"/>
  <c r="L89" i="2" s="1"/>
  <c r="D90" i="2"/>
  <c r="L90" i="2" s="1"/>
  <c r="D91" i="2"/>
  <c r="L91" i="2" s="1"/>
  <c r="D92" i="2"/>
  <c r="L92" i="2" s="1"/>
  <c r="D93" i="2"/>
  <c r="L93" i="2" s="1"/>
  <c r="D94" i="2"/>
  <c r="L94" i="2" s="1"/>
  <c r="D95" i="2"/>
  <c r="L95" i="2" s="1"/>
  <c r="D96" i="2"/>
  <c r="L96" i="2" s="1"/>
  <c r="D97" i="2"/>
  <c r="L97" i="2" s="1"/>
  <c r="D98" i="2"/>
  <c r="L98" i="2" s="1"/>
  <c r="D99" i="2"/>
  <c r="L99" i="2" s="1"/>
  <c r="D100" i="2"/>
  <c r="L100" i="2" s="1"/>
  <c r="L101" i="2"/>
  <c r="D103" i="2"/>
  <c r="D104" i="2"/>
  <c r="L104" i="2" s="1"/>
  <c r="D105" i="2"/>
  <c r="L105" i="2" s="1"/>
  <c r="D9" i="2"/>
  <c r="D7" i="2"/>
  <c r="G7" i="2" l="1"/>
  <c r="H7" i="2" s="1"/>
  <c r="L7" i="2"/>
  <c r="G103" i="2"/>
  <c r="H103" i="2" s="1"/>
  <c r="L103" i="2"/>
  <c r="G9" i="2"/>
  <c r="H9" i="2" s="1"/>
  <c r="L9" i="2"/>
  <c r="G104" i="2"/>
  <c r="H104" i="2" s="1"/>
  <c r="G99" i="2"/>
  <c r="H99" i="2" s="1"/>
  <c r="G95" i="2"/>
  <c r="H95" i="2" s="1"/>
  <c r="G91" i="2"/>
  <c r="H91" i="2" s="1"/>
  <c r="G87" i="2"/>
  <c r="H87" i="2" s="1"/>
  <c r="G83" i="2"/>
  <c r="H83" i="2" s="1"/>
  <c r="G79" i="2"/>
  <c r="H79" i="2" s="1"/>
  <c r="G75" i="2"/>
  <c r="H75" i="2" s="1"/>
  <c r="G71" i="2"/>
  <c r="H71" i="2" s="1"/>
  <c r="G67" i="2"/>
  <c r="H67" i="2" s="1"/>
  <c r="G63" i="2"/>
  <c r="H63" i="2" s="1"/>
  <c r="G59" i="2"/>
  <c r="H59" i="2" s="1"/>
  <c r="G55" i="2"/>
  <c r="H55" i="2" s="1"/>
  <c r="G51" i="2"/>
  <c r="H51" i="2" s="1"/>
  <c r="G47" i="2"/>
  <c r="H47" i="2" s="1"/>
  <c r="G43" i="2"/>
  <c r="H43" i="2" s="1"/>
  <c r="G39" i="2"/>
  <c r="H39" i="2" s="1"/>
  <c r="G35" i="2"/>
  <c r="H35" i="2" s="1"/>
  <c r="G31" i="2"/>
  <c r="H31" i="2" s="1"/>
  <c r="G27" i="2"/>
  <c r="H27" i="2" s="1"/>
  <c r="G23" i="2"/>
  <c r="H23" i="2" s="1"/>
  <c r="G19" i="2"/>
  <c r="H19" i="2" s="1"/>
  <c r="G15" i="2"/>
  <c r="H15" i="2" s="1"/>
  <c r="G11" i="2"/>
  <c r="H11" i="2" s="1"/>
  <c r="G97" i="2"/>
  <c r="H97" i="2" s="1"/>
  <c r="G93" i="2"/>
  <c r="H93" i="2" s="1"/>
  <c r="G89" i="2"/>
  <c r="H89" i="2" s="1"/>
  <c r="G85" i="2"/>
  <c r="H85" i="2" s="1"/>
  <c r="G81" i="2"/>
  <c r="H81" i="2" s="1"/>
  <c r="G77" i="2"/>
  <c r="H77" i="2" s="1"/>
  <c r="G69" i="2"/>
  <c r="H69" i="2" s="1"/>
  <c r="G65" i="2"/>
  <c r="H65" i="2" s="1"/>
  <c r="G61" i="2"/>
  <c r="H61" i="2" s="1"/>
  <c r="G57" i="2"/>
  <c r="H57" i="2" s="1"/>
  <c r="G53" i="2"/>
  <c r="H53" i="2" s="1"/>
  <c r="G49" i="2"/>
  <c r="H49" i="2" s="1"/>
  <c r="G45" i="2"/>
  <c r="H45" i="2" s="1"/>
  <c r="G41" i="2"/>
  <c r="H41" i="2" s="1"/>
  <c r="G37" i="2"/>
  <c r="H37" i="2" s="1"/>
  <c r="G33" i="2"/>
  <c r="H33" i="2" s="1"/>
  <c r="G25" i="2"/>
  <c r="H25" i="2" s="1"/>
  <c r="G21" i="2"/>
  <c r="H21" i="2" s="1"/>
  <c r="G17" i="2"/>
  <c r="H17" i="2" s="1"/>
  <c r="G13" i="2"/>
  <c r="H13" i="2" s="1"/>
  <c r="G73" i="2"/>
  <c r="H73" i="2" s="1"/>
  <c r="G98" i="2"/>
  <c r="H98" i="2" s="1"/>
  <c r="G94" i="2"/>
  <c r="H94" i="2" s="1"/>
  <c r="G90" i="2"/>
  <c r="H90" i="2" s="1"/>
  <c r="G86" i="2"/>
  <c r="H86" i="2" s="1"/>
  <c r="G82" i="2"/>
  <c r="H82" i="2" s="1"/>
  <c r="G78" i="2"/>
  <c r="H78" i="2" s="1"/>
  <c r="G74" i="2"/>
  <c r="H74" i="2" s="1"/>
  <c r="G70" i="2"/>
  <c r="H70" i="2" s="1"/>
  <c r="G62" i="2"/>
  <c r="H62" i="2" s="1"/>
  <c r="G58" i="2"/>
  <c r="H58" i="2" s="1"/>
  <c r="G54" i="2"/>
  <c r="H54" i="2" s="1"/>
  <c r="G50" i="2"/>
  <c r="H50" i="2" s="1"/>
  <c r="G46" i="2"/>
  <c r="H46" i="2" s="1"/>
  <c r="G42" i="2"/>
  <c r="H42" i="2" s="1"/>
  <c r="G38" i="2"/>
  <c r="H38" i="2" s="1"/>
  <c r="G34" i="2"/>
  <c r="H34" i="2" s="1"/>
  <c r="G30" i="2"/>
  <c r="H30" i="2" s="1"/>
  <c r="G26" i="2"/>
  <c r="H26" i="2" s="1"/>
  <c r="G22" i="2"/>
  <c r="H22" i="2" s="1"/>
  <c r="G18" i="2"/>
  <c r="H18" i="2" s="1"/>
  <c r="G14" i="2"/>
  <c r="H14" i="2" s="1"/>
  <c r="G10" i="2"/>
  <c r="H10" i="2" s="1"/>
  <c r="G101" i="2"/>
  <c r="H101" i="2" s="1"/>
  <c r="G105" i="2"/>
  <c r="H105" i="2" s="1"/>
  <c r="G100" i="2"/>
  <c r="H100" i="2" s="1"/>
  <c r="G96" i="2"/>
  <c r="H96" i="2" s="1"/>
  <c r="G92" i="2"/>
  <c r="H92" i="2" s="1"/>
  <c r="G88" i="2"/>
  <c r="H88" i="2" s="1"/>
  <c r="G84" i="2"/>
  <c r="H84" i="2" s="1"/>
  <c r="G80" i="2"/>
  <c r="H80" i="2" s="1"/>
  <c r="G76" i="2"/>
  <c r="H76" i="2" s="1"/>
  <c r="G72" i="2"/>
  <c r="H72" i="2" s="1"/>
  <c r="G68" i="2"/>
  <c r="H68" i="2" s="1"/>
  <c r="G64" i="2"/>
  <c r="H64" i="2" s="1"/>
  <c r="G60" i="2"/>
  <c r="H60" i="2" s="1"/>
  <c r="G56" i="2"/>
  <c r="H56" i="2" s="1"/>
  <c r="G52" i="2"/>
  <c r="H52" i="2" s="1"/>
  <c r="G48" i="2"/>
  <c r="H48" i="2" s="1"/>
  <c r="G44" i="2"/>
  <c r="H44" i="2" s="1"/>
  <c r="G40" i="2"/>
  <c r="H40" i="2" s="1"/>
  <c r="G36" i="2"/>
  <c r="H36" i="2" s="1"/>
  <c r="G32" i="2"/>
  <c r="H32" i="2" s="1"/>
  <c r="G28" i="2"/>
  <c r="H28" i="2" s="1"/>
  <c r="G24" i="2"/>
  <c r="H24" i="2" s="1"/>
  <c r="G20" i="2"/>
  <c r="H20" i="2" s="1"/>
  <c r="G16" i="2"/>
  <c r="H16" i="2" s="1"/>
  <c r="G12" i="2"/>
  <c r="H12" i="2" s="1"/>
  <c r="I102" i="5"/>
  <c r="J102" i="5" s="1"/>
  <c r="G15" i="6"/>
  <c r="H15" i="6" s="1"/>
  <c r="G14" i="6"/>
  <c r="H14" i="6" s="1"/>
  <c r="G13" i="6"/>
  <c r="H13" i="6" s="1"/>
  <c r="G12" i="6"/>
  <c r="H12" i="6" s="1"/>
  <c r="G11" i="6"/>
  <c r="H11" i="6" s="1"/>
  <c r="G10" i="6"/>
  <c r="H10" i="6" s="1"/>
  <c r="G9" i="6"/>
  <c r="H9" i="6" s="1"/>
  <c r="G8" i="6"/>
  <c r="H8" i="6" s="1"/>
  <c r="G7" i="6"/>
  <c r="H7" i="6" s="1"/>
  <c r="I14" i="2" l="1"/>
  <c r="J14" i="2" s="1"/>
  <c r="I27" i="2"/>
  <c r="J27" i="2" s="1"/>
  <c r="I107" i="5"/>
  <c r="J107" i="5" s="1"/>
  <c r="I105" i="5"/>
  <c r="J105" i="5" s="1"/>
  <c r="I104" i="5"/>
  <c r="J104" i="5" s="1"/>
  <c r="I103" i="5"/>
  <c r="J103" i="5" s="1"/>
  <c r="I101" i="5"/>
  <c r="J101" i="5" s="1"/>
  <c r="I100" i="5"/>
  <c r="J100" i="5" s="1"/>
  <c r="I98" i="5"/>
  <c r="J98" i="5" s="1"/>
  <c r="I97" i="5"/>
  <c r="J97" i="5" s="1"/>
  <c r="I96" i="5"/>
  <c r="J96" i="5" s="1"/>
  <c r="I95" i="5"/>
  <c r="J95" i="5" s="1"/>
  <c r="I94" i="5"/>
  <c r="J94" i="5" s="1"/>
  <c r="I93" i="5"/>
  <c r="J93" i="5" s="1"/>
  <c r="I92" i="5"/>
  <c r="J92" i="5" s="1"/>
  <c r="I91" i="5"/>
  <c r="J91" i="5" s="1"/>
  <c r="I90" i="5"/>
  <c r="J90" i="5" s="1"/>
  <c r="I89" i="5"/>
  <c r="J89" i="5" s="1"/>
  <c r="I87" i="5"/>
  <c r="J87" i="5" s="1"/>
  <c r="I86" i="5"/>
  <c r="J86" i="5" s="1"/>
  <c r="I85" i="5"/>
  <c r="J85" i="5" s="1"/>
  <c r="I84" i="5"/>
  <c r="J84" i="5" s="1"/>
  <c r="I83" i="5"/>
  <c r="J83" i="5" s="1"/>
  <c r="I82" i="5"/>
  <c r="J82" i="5" s="1"/>
  <c r="I81" i="5"/>
  <c r="J81" i="5" s="1"/>
  <c r="I80" i="5"/>
  <c r="J80" i="5" s="1"/>
  <c r="I79" i="5"/>
  <c r="J79" i="5" s="1"/>
  <c r="I78" i="5"/>
  <c r="J78" i="5" s="1"/>
  <c r="I76" i="5"/>
  <c r="J76" i="5" s="1"/>
  <c r="I75" i="5"/>
  <c r="J75" i="5" s="1"/>
  <c r="I74" i="5"/>
  <c r="J74" i="5" s="1"/>
  <c r="I73" i="5"/>
  <c r="J73" i="5" s="1"/>
  <c r="I72" i="5"/>
  <c r="J72" i="5" s="1"/>
  <c r="I71" i="5"/>
  <c r="J71" i="5" s="1"/>
  <c r="I70" i="5"/>
  <c r="J70" i="5" s="1"/>
  <c r="I69" i="5"/>
  <c r="J69" i="5" s="1"/>
  <c r="I68" i="5"/>
  <c r="J68" i="5" s="1"/>
  <c r="I67" i="5"/>
  <c r="J67" i="5" s="1"/>
  <c r="I65" i="5"/>
  <c r="J65" i="5" s="1"/>
  <c r="I64" i="5"/>
  <c r="J64" i="5" s="1"/>
  <c r="I63" i="5"/>
  <c r="J63" i="5" s="1"/>
  <c r="I62" i="5"/>
  <c r="J62" i="5" s="1"/>
  <c r="I61" i="5"/>
  <c r="J61" i="5" s="1"/>
  <c r="I60" i="5"/>
  <c r="J60" i="5" s="1"/>
  <c r="I59" i="5"/>
  <c r="J59" i="5" s="1"/>
  <c r="I58" i="5"/>
  <c r="J58" i="5" s="1"/>
  <c r="I57" i="5"/>
  <c r="J57" i="5" s="1"/>
  <c r="I56" i="5"/>
  <c r="J56" i="5" s="1"/>
  <c r="I54" i="5"/>
  <c r="J54" i="5" s="1"/>
  <c r="I53" i="5"/>
  <c r="J53" i="5" s="1"/>
  <c r="I52" i="5"/>
  <c r="J52" i="5" s="1"/>
  <c r="I51" i="5"/>
  <c r="J51" i="5" s="1"/>
  <c r="I50" i="5"/>
  <c r="J50" i="5" s="1"/>
  <c r="I49" i="5"/>
  <c r="J49" i="5" s="1"/>
  <c r="I48" i="5"/>
  <c r="J48" i="5" s="1"/>
  <c r="I47" i="5"/>
  <c r="J47" i="5" s="1"/>
  <c r="I46" i="5"/>
  <c r="J46" i="5" s="1"/>
  <c r="I45" i="5"/>
  <c r="J45" i="5" s="1"/>
  <c r="I44" i="5"/>
  <c r="J44" i="5" s="1"/>
  <c r="I42" i="5"/>
  <c r="J42" i="5" s="1"/>
  <c r="I41" i="5"/>
  <c r="J41" i="5" s="1"/>
  <c r="I40" i="5"/>
  <c r="J40" i="5" s="1"/>
  <c r="I39" i="5"/>
  <c r="J39" i="5" s="1"/>
  <c r="I38" i="5"/>
  <c r="J38" i="5" s="1"/>
  <c r="I37" i="5"/>
  <c r="J37" i="5" s="1"/>
  <c r="I36" i="5"/>
  <c r="J36" i="5" s="1"/>
  <c r="I35" i="5"/>
  <c r="J35" i="5" s="1"/>
  <c r="I34" i="5"/>
  <c r="J34" i="5" s="1"/>
  <c r="I33" i="5"/>
  <c r="J33" i="5" s="1"/>
  <c r="I31" i="5"/>
  <c r="J31" i="5" s="1"/>
  <c r="I30" i="5"/>
  <c r="J30" i="5" s="1"/>
  <c r="I29" i="5"/>
  <c r="J29" i="5" s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0" i="5"/>
  <c r="J20" i="5" s="1"/>
  <c r="I19" i="5"/>
  <c r="J19" i="5" s="1"/>
  <c r="I18" i="5"/>
  <c r="J18" i="5" s="1"/>
  <c r="I17" i="5"/>
  <c r="J17" i="5" s="1"/>
  <c r="I16" i="5"/>
  <c r="J16" i="5" s="1"/>
  <c r="I15" i="5"/>
  <c r="J15" i="5" s="1"/>
  <c r="I14" i="5"/>
  <c r="J14" i="5" s="1"/>
  <c r="I13" i="5"/>
  <c r="J13" i="5" s="1"/>
  <c r="I12" i="5"/>
  <c r="J12" i="5" s="1"/>
  <c r="I11" i="5"/>
  <c r="J11" i="5" s="1"/>
  <c r="I9" i="5"/>
  <c r="J9" i="5" s="1"/>
  <c r="I7" i="5"/>
  <c r="E7" i="2"/>
  <c r="I7" i="2"/>
  <c r="E9" i="2"/>
  <c r="I9" i="2"/>
  <c r="J9" i="2" s="1"/>
  <c r="E10" i="2"/>
  <c r="I10" i="2"/>
  <c r="J10" i="2" s="1"/>
  <c r="E11" i="2"/>
  <c r="I11" i="2"/>
  <c r="J11" i="2" s="1"/>
  <c r="E12" i="2"/>
  <c r="I12" i="2"/>
  <c r="J12" i="2" s="1"/>
  <c r="E13" i="2"/>
  <c r="I13" i="2"/>
  <c r="J13" i="2" s="1"/>
  <c r="E14" i="2"/>
  <c r="E15" i="2"/>
  <c r="I15" i="2"/>
  <c r="J15" i="2" s="1"/>
  <c r="E16" i="2"/>
  <c r="I16" i="2"/>
  <c r="J16" i="2" s="1"/>
  <c r="E17" i="2"/>
  <c r="I17" i="2"/>
  <c r="J17" i="2" s="1"/>
  <c r="E18" i="2"/>
  <c r="I18" i="2"/>
  <c r="J18" i="2" s="1"/>
  <c r="E19" i="2"/>
  <c r="I19" i="2"/>
  <c r="J19" i="2" s="1"/>
  <c r="E20" i="2"/>
  <c r="I20" i="2"/>
  <c r="J20" i="2" s="1"/>
  <c r="E21" i="2"/>
  <c r="I21" i="2"/>
  <c r="J21" i="2" s="1"/>
  <c r="E22" i="2"/>
  <c r="I22" i="2"/>
  <c r="J22" i="2" s="1"/>
  <c r="E23" i="2"/>
  <c r="I23" i="2"/>
  <c r="J23" i="2" s="1"/>
  <c r="E24" i="2"/>
  <c r="I24" i="2"/>
  <c r="J24" i="2" s="1"/>
  <c r="E25" i="2"/>
  <c r="I25" i="2"/>
  <c r="J25" i="2" s="1"/>
  <c r="E26" i="2"/>
  <c r="I26" i="2"/>
  <c r="J26" i="2" s="1"/>
  <c r="E27" i="2"/>
  <c r="E28" i="2"/>
  <c r="I28" i="2"/>
  <c r="J28" i="2" s="1"/>
  <c r="E30" i="2"/>
  <c r="I30" i="2"/>
  <c r="J30" i="2" s="1"/>
  <c r="E31" i="2"/>
  <c r="I31" i="2"/>
  <c r="J31" i="2" s="1"/>
  <c r="E32" i="2"/>
  <c r="I32" i="2"/>
  <c r="J32" i="2" s="1"/>
  <c r="E33" i="2"/>
  <c r="I33" i="2"/>
  <c r="J33" i="2" s="1"/>
  <c r="E34" i="2"/>
  <c r="I34" i="2"/>
  <c r="J34" i="2" s="1"/>
  <c r="E35" i="2"/>
  <c r="I35" i="2"/>
  <c r="J35" i="2" s="1"/>
  <c r="E36" i="2"/>
  <c r="I36" i="2"/>
  <c r="J36" i="2" s="1"/>
  <c r="E37" i="2"/>
  <c r="I37" i="2"/>
  <c r="J37" i="2" s="1"/>
  <c r="E38" i="2"/>
  <c r="I38" i="2"/>
  <c r="J38" i="2" s="1"/>
  <c r="E39" i="2"/>
  <c r="I39" i="2"/>
  <c r="J39" i="2" s="1"/>
  <c r="E40" i="2"/>
  <c r="I40" i="2"/>
  <c r="J40" i="2" s="1"/>
  <c r="E41" i="2"/>
  <c r="I41" i="2"/>
  <c r="J41" i="2" s="1"/>
  <c r="E42" i="2"/>
  <c r="I42" i="2"/>
  <c r="J42" i="2" s="1"/>
  <c r="E43" i="2"/>
  <c r="I43" i="2"/>
  <c r="J43" i="2" s="1"/>
  <c r="E44" i="2"/>
  <c r="I44" i="2"/>
  <c r="J44" i="2" s="1"/>
  <c r="E45" i="2"/>
  <c r="I45" i="2"/>
  <c r="J45" i="2" s="1"/>
  <c r="E46" i="2"/>
  <c r="I46" i="2"/>
  <c r="J46" i="2" s="1"/>
  <c r="E47" i="2"/>
  <c r="I47" i="2"/>
  <c r="J47" i="2" s="1"/>
  <c r="E48" i="2"/>
  <c r="I48" i="2"/>
  <c r="J48" i="2" s="1"/>
  <c r="E49" i="2"/>
  <c r="I49" i="2"/>
  <c r="J49" i="2" s="1"/>
  <c r="E50" i="2"/>
  <c r="I50" i="2"/>
  <c r="J50" i="2" s="1"/>
  <c r="E51" i="2"/>
  <c r="I51" i="2"/>
  <c r="J51" i="2" s="1"/>
  <c r="E52" i="2"/>
  <c r="I52" i="2"/>
  <c r="J52" i="2" s="1"/>
  <c r="E53" i="2"/>
  <c r="I53" i="2"/>
  <c r="J53" i="2" s="1"/>
  <c r="E54" i="2"/>
  <c r="I54" i="2"/>
  <c r="J54" i="2" s="1"/>
  <c r="E55" i="2"/>
  <c r="I55" i="2"/>
  <c r="J55" i="2" s="1"/>
  <c r="E56" i="2"/>
  <c r="I56" i="2"/>
  <c r="J56" i="2" s="1"/>
  <c r="E57" i="2"/>
  <c r="I57" i="2"/>
  <c r="J57" i="2" s="1"/>
  <c r="E58" i="2"/>
  <c r="I58" i="2"/>
  <c r="J58" i="2" s="1"/>
  <c r="E59" i="2"/>
  <c r="I59" i="2"/>
  <c r="J59" i="2" s="1"/>
  <c r="E60" i="2"/>
  <c r="I60" i="2"/>
  <c r="J60" i="2" s="1"/>
  <c r="E61" i="2"/>
  <c r="I61" i="2"/>
  <c r="J61" i="2" s="1"/>
  <c r="E62" i="2"/>
  <c r="I62" i="2"/>
  <c r="J62" i="2" s="1"/>
  <c r="E63" i="2"/>
  <c r="I63" i="2"/>
  <c r="J63" i="2" s="1"/>
  <c r="E64" i="2"/>
  <c r="I64" i="2"/>
  <c r="J64" i="2" s="1"/>
  <c r="E65" i="2"/>
  <c r="I65" i="2"/>
  <c r="J65" i="2" s="1"/>
  <c r="E67" i="2"/>
  <c r="I67" i="2"/>
  <c r="J67" i="2" s="1"/>
  <c r="E68" i="2"/>
  <c r="I68" i="2"/>
  <c r="J68" i="2" s="1"/>
  <c r="E69" i="2"/>
  <c r="I69" i="2"/>
  <c r="J69" i="2" s="1"/>
  <c r="E70" i="2"/>
  <c r="I70" i="2"/>
  <c r="J70" i="2" s="1"/>
  <c r="E71" i="2"/>
  <c r="I71" i="2"/>
  <c r="J71" i="2" s="1"/>
  <c r="E72" i="2"/>
  <c r="I72" i="2"/>
  <c r="J72" i="2" s="1"/>
  <c r="E73" i="2"/>
  <c r="I73" i="2"/>
  <c r="J73" i="2" s="1"/>
  <c r="E74" i="2"/>
  <c r="I74" i="2"/>
  <c r="J74" i="2" s="1"/>
  <c r="E75" i="2"/>
  <c r="I75" i="2"/>
  <c r="J75" i="2" s="1"/>
  <c r="E76" i="2"/>
  <c r="I76" i="2"/>
  <c r="J76" i="2" s="1"/>
  <c r="E77" i="2"/>
  <c r="I77" i="2"/>
  <c r="J77" i="2" s="1"/>
  <c r="E78" i="2"/>
  <c r="I78" i="2"/>
  <c r="J78" i="2" s="1"/>
  <c r="E79" i="2"/>
  <c r="I79" i="2"/>
  <c r="J79" i="2" s="1"/>
  <c r="E80" i="2"/>
  <c r="I80" i="2"/>
  <c r="J80" i="2" s="1"/>
  <c r="E81" i="2"/>
  <c r="I81" i="2"/>
  <c r="J81" i="2" s="1"/>
  <c r="E82" i="2"/>
  <c r="I82" i="2"/>
  <c r="J82" i="2" s="1"/>
  <c r="E83" i="2"/>
  <c r="I83" i="2"/>
  <c r="J83" i="2" s="1"/>
  <c r="E84" i="2"/>
  <c r="I84" i="2"/>
  <c r="J84" i="2" s="1"/>
  <c r="E85" i="2"/>
  <c r="I85" i="2"/>
  <c r="J85" i="2" s="1"/>
  <c r="E86" i="2"/>
  <c r="I86" i="2"/>
  <c r="J86" i="2" s="1"/>
  <c r="E87" i="2"/>
  <c r="I87" i="2"/>
  <c r="J87" i="2" s="1"/>
  <c r="E88" i="2"/>
  <c r="I88" i="2"/>
  <c r="J88" i="2" s="1"/>
  <c r="E89" i="2"/>
  <c r="I89" i="2"/>
  <c r="J89" i="2" s="1"/>
  <c r="E90" i="2"/>
  <c r="I90" i="2"/>
  <c r="J90" i="2" s="1"/>
  <c r="E91" i="2"/>
  <c r="I91" i="2"/>
  <c r="J91" i="2" s="1"/>
  <c r="E92" i="2"/>
  <c r="I92" i="2"/>
  <c r="J92" i="2" s="1"/>
  <c r="E93" i="2"/>
  <c r="I93" i="2"/>
  <c r="J93" i="2" s="1"/>
  <c r="E94" i="2"/>
  <c r="I94" i="2"/>
  <c r="J94" i="2" s="1"/>
  <c r="E95" i="2"/>
  <c r="I95" i="2"/>
  <c r="J95" i="2" s="1"/>
  <c r="E96" i="2"/>
  <c r="I96" i="2"/>
  <c r="J96" i="2" s="1"/>
  <c r="E97" i="2"/>
  <c r="I97" i="2"/>
  <c r="J97" i="2" s="1"/>
  <c r="E98" i="2"/>
  <c r="I98" i="2"/>
  <c r="J98" i="2" s="1"/>
  <c r="E99" i="2"/>
  <c r="I99" i="2"/>
  <c r="J99" i="2" s="1"/>
  <c r="E100" i="2"/>
  <c r="I100" i="2"/>
  <c r="J100" i="2" s="1"/>
  <c r="E101" i="2"/>
  <c r="I101" i="2"/>
  <c r="J101" i="2" s="1"/>
  <c r="E103" i="2"/>
  <c r="I103" i="2"/>
  <c r="J103" i="2" s="1"/>
  <c r="E104" i="2"/>
  <c r="I104" i="2"/>
  <c r="J104" i="2" s="1"/>
  <c r="E105" i="2"/>
  <c r="I105" i="2"/>
  <c r="J105" i="2" s="1"/>
  <c r="E107" i="2"/>
  <c r="I107" i="2"/>
  <c r="J107" i="2" s="1"/>
  <c r="F7" i="2" l="1"/>
  <c r="J7" i="2"/>
  <c r="F7" i="5"/>
  <c r="J7" i="5"/>
  <c r="F103" i="2"/>
  <c r="F25" i="2"/>
  <c r="F23" i="2"/>
  <c r="F21" i="2"/>
  <c r="F19" i="2"/>
  <c r="F18" i="5"/>
  <c r="F22" i="5"/>
  <c r="F30" i="5"/>
  <c r="F38" i="5"/>
  <c r="F46" i="5"/>
  <c r="F54" i="5"/>
  <c r="F58" i="5"/>
  <c r="F62" i="5"/>
  <c r="F70" i="5"/>
  <c r="F74" i="5"/>
  <c r="F78" i="5"/>
  <c r="F82" i="5"/>
  <c r="F86" i="5"/>
  <c r="F90" i="5"/>
  <c r="F94" i="5"/>
  <c r="F98" i="5"/>
  <c r="F14" i="5"/>
  <c r="F26" i="5"/>
  <c r="F34" i="5"/>
  <c r="F42" i="5"/>
  <c r="F50" i="5"/>
  <c r="F107" i="2"/>
  <c r="F104" i="2"/>
  <c r="F101" i="2"/>
  <c r="F99" i="2"/>
  <c r="F97" i="2"/>
  <c r="F95" i="2"/>
  <c r="F93" i="2"/>
  <c r="F91" i="2"/>
  <c r="F89" i="2"/>
  <c r="F87" i="2"/>
  <c r="F85" i="2"/>
  <c r="F83" i="2"/>
  <c r="F81" i="2"/>
  <c r="F79" i="2"/>
  <c r="F77" i="2"/>
  <c r="F75" i="2"/>
  <c r="F73" i="2"/>
  <c r="F71" i="2"/>
  <c r="F69" i="2"/>
  <c r="F67" i="2"/>
  <c r="F65" i="2"/>
  <c r="F63" i="2"/>
  <c r="F61" i="2"/>
  <c r="F59" i="2"/>
  <c r="F57" i="2"/>
  <c r="F55" i="2"/>
  <c r="F53" i="2"/>
  <c r="F51" i="2"/>
  <c r="F49" i="2"/>
  <c r="F47" i="2"/>
  <c r="F45" i="2"/>
  <c r="F43" i="2"/>
  <c r="F41" i="2"/>
  <c r="F39" i="2"/>
  <c r="F37" i="2"/>
  <c r="F35" i="2"/>
  <c r="F33" i="2"/>
  <c r="F31" i="2"/>
  <c r="F12" i="2"/>
  <c r="F10" i="2"/>
  <c r="F104" i="5"/>
  <c r="F27" i="2"/>
  <c r="F14" i="2"/>
  <c r="F19" i="5"/>
  <c r="F23" i="5"/>
  <c r="F27" i="5"/>
  <c r="F31" i="5"/>
  <c r="F35" i="5"/>
  <c r="F39" i="5"/>
  <c r="F47" i="5"/>
  <c r="F51" i="5"/>
  <c r="F59" i="5"/>
  <c r="F63" i="5"/>
  <c r="F67" i="5"/>
  <c r="F71" i="5"/>
  <c r="F75" i="5"/>
  <c r="F79" i="5"/>
  <c r="F83" i="5"/>
  <c r="F87" i="5"/>
  <c r="F91" i="5"/>
  <c r="F95" i="5"/>
  <c r="F102" i="5"/>
  <c r="F103" i="5"/>
  <c r="F26" i="2"/>
  <c r="F24" i="2"/>
  <c r="F22" i="2"/>
  <c r="F20" i="2"/>
  <c r="F18" i="2"/>
  <c r="F16" i="2"/>
  <c r="F12" i="5"/>
  <c r="F16" i="5"/>
  <c r="F20" i="5"/>
  <c r="F24" i="5"/>
  <c r="F28" i="5"/>
  <c r="F36" i="5"/>
  <c r="F40" i="5"/>
  <c r="F44" i="5"/>
  <c r="F48" i="5"/>
  <c r="F52" i="5"/>
  <c r="F56" i="5"/>
  <c r="F60" i="5"/>
  <c r="F64" i="5"/>
  <c r="F68" i="5"/>
  <c r="F72" i="5"/>
  <c r="F76" i="5"/>
  <c r="F80" i="5"/>
  <c r="F84" i="5"/>
  <c r="F92" i="5"/>
  <c r="F96" i="5"/>
  <c r="F100" i="5"/>
  <c r="F105" i="5"/>
  <c r="F105" i="2"/>
  <c r="F100" i="2"/>
  <c r="F98" i="2"/>
  <c r="F96" i="2"/>
  <c r="F94" i="2"/>
  <c r="F92" i="2"/>
  <c r="F90" i="2"/>
  <c r="F88" i="2"/>
  <c r="F86" i="2"/>
  <c r="F84" i="2"/>
  <c r="F82" i="2"/>
  <c r="F80" i="2"/>
  <c r="F78" i="2"/>
  <c r="F76" i="2"/>
  <c r="F74" i="2"/>
  <c r="F72" i="2"/>
  <c r="F70" i="2"/>
  <c r="F68" i="2"/>
  <c r="F64" i="2"/>
  <c r="F62" i="2"/>
  <c r="F60" i="2"/>
  <c r="F58" i="2"/>
  <c r="F56" i="2"/>
  <c r="F54" i="2"/>
  <c r="F52" i="2"/>
  <c r="F50" i="2"/>
  <c r="F48" i="2"/>
  <c r="F46" i="2"/>
  <c r="F44" i="2"/>
  <c r="F42" i="2"/>
  <c r="F40" i="2"/>
  <c r="F38" i="2"/>
  <c r="F36" i="2"/>
  <c r="F34" i="2"/>
  <c r="F32" i="2"/>
  <c r="F30" i="2"/>
  <c r="F13" i="5"/>
  <c r="F17" i="5"/>
  <c r="F25" i="5"/>
  <c r="F29" i="5"/>
  <c r="F33" i="5"/>
  <c r="F37" i="5"/>
  <c r="F41" i="5"/>
  <c r="F45" i="5"/>
  <c r="F49" i="5"/>
  <c r="F53" i="5"/>
  <c r="F57" i="5"/>
  <c r="F61" i="5"/>
  <c r="F65" i="5"/>
  <c r="F69" i="5"/>
  <c r="F73" i="5"/>
  <c r="F81" i="5"/>
  <c r="F85" i="5"/>
  <c r="F89" i="5"/>
  <c r="F93" i="5"/>
  <c r="F97" i="5"/>
  <c r="F101" i="5"/>
  <c r="F107" i="5"/>
  <c r="F28" i="2"/>
  <c r="F9" i="5"/>
  <c r="F15" i="2"/>
  <c r="F17" i="2"/>
  <c r="F15" i="5"/>
  <c r="F13" i="2"/>
  <c r="F11" i="2"/>
  <c r="F11" i="5"/>
  <c r="F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윤승혁</author>
  </authors>
  <commentList>
    <comment ref="B8" authorId="0" shapeId="0" xr:uid="{3485AEE5-E2B0-4118-B66D-8CE95F27DC0B}">
      <text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모의고사에서만</t>
        </r>
        <r>
          <rPr>
            <b/>
            <sz val="9"/>
            <color indexed="81"/>
            <rFont val="Tahoma"/>
            <family val="2"/>
          </rPr>
          <t xml:space="preserve"> '</t>
        </r>
        <r>
          <rPr>
            <b/>
            <sz val="9"/>
            <color indexed="81"/>
            <rFont val="돋움"/>
            <family val="3"/>
            <charset val="129"/>
          </rPr>
          <t>통합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단어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빼기
</t>
        </r>
        <r>
          <rPr>
            <b/>
            <sz val="9"/>
            <color indexed="81"/>
            <rFont val="Tahoma"/>
            <family val="2"/>
          </rPr>
          <t>6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모의고사부터는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붙일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</t>
        </r>
      </text>
    </comment>
  </commentList>
</comments>
</file>

<file path=xl/sharedStrings.xml><?xml version="1.0" encoding="utf-8"?>
<sst xmlns="http://schemas.openxmlformats.org/spreadsheetml/2006/main" count="182" uniqueCount="83">
  <si>
    <t>표준편차</t>
    <phoneticPr fontId="1" type="noConversion"/>
  </si>
  <si>
    <t>응시자 수</t>
    <phoneticPr fontId="1" type="noConversion"/>
  </si>
  <si>
    <t>평균</t>
    <phoneticPr fontId="1" type="noConversion"/>
  </si>
  <si>
    <t>국어</t>
    <phoneticPr fontId="1" type="noConversion"/>
  </si>
  <si>
    <t>영어</t>
    <phoneticPr fontId="1" type="noConversion"/>
  </si>
  <si>
    <t>한국사</t>
    <phoneticPr fontId="1" type="noConversion"/>
  </si>
  <si>
    <t>표준점수</t>
    <phoneticPr fontId="1" type="noConversion"/>
  </si>
  <si>
    <t>인원</t>
    <phoneticPr fontId="1" type="noConversion"/>
  </si>
  <si>
    <t>국어</t>
    <phoneticPr fontId="1" type="noConversion"/>
  </si>
  <si>
    <t>1등급</t>
    <phoneticPr fontId="1" type="noConversion"/>
  </si>
  <si>
    <t>2등급</t>
    <phoneticPr fontId="1" type="noConversion"/>
  </si>
  <si>
    <t>3등급</t>
    <phoneticPr fontId="1" type="noConversion"/>
  </si>
  <si>
    <t>4등급</t>
    <phoneticPr fontId="1" type="noConversion"/>
  </si>
  <si>
    <t>5등급</t>
    <phoneticPr fontId="1" type="noConversion"/>
  </si>
  <si>
    <t>6등급</t>
    <phoneticPr fontId="1" type="noConversion"/>
  </si>
  <si>
    <t>7등급</t>
    <phoneticPr fontId="1" type="noConversion"/>
  </si>
  <si>
    <t>8등급</t>
    <phoneticPr fontId="1" type="noConversion"/>
  </si>
  <si>
    <t>수학</t>
    <phoneticPr fontId="1" type="noConversion"/>
  </si>
  <si>
    <t>통합 사회</t>
    <phoneticPr fontId="1" type="noConversion"/>
  </si>
  <si>
    <t>통합 과학</t>
    <phoneticPr fontId="1" type="noConversion"/>
  </si>
  <si>
    <t>국</t>
    <phoneticPr fontId="1" type="noConversion"/>
  </si>
  <si>
    <t>수</t>
    <phoneticPr fontId="1" type="noConversion"/>
  </si>
  <si>
    <t>9등급</t>
  </si>
  <si>
    <t>9등급</t>
    <phoneticPr fontId="1" type="noConversion"/>
  </si>
  <si>
    <t>1등급</t>
    <phoneticPr fontId="1" type="noConversion"/>
  </si>
  <si>
    <t>2등급</t>
  </si>
  <si>
    <t>3등급</t>
  </si>
  <si>
    <t>4등급</t>
  </si>
  <si>
    <t>5등급</t>
  </si>
  <si>
    <t>6등급</t>
  </si>
  <si>
    <t>7등급</t>
  </si>
  <si>
    <t>8등급</t>
  </si>
  <si>
    <t>이 아래로 붙여넣기</t>
    <phoneticPr fontId="1" type="noConversion"/>
  </si>
  <si>
    <t>영</t>
    <phoneticPr fontId="1" type="noConversion"/>
  </si>
  <si>
    <t>한</t>
    <phoneticPr fontId="1" type="noConversion"/>
  </si>
  <si>
    <t>사</t>
    <phoneticPr fontId="1" type="noConversion"/>
  </si>
  <si>
    <t>과</t>
    <phoneticPr fontId="1" type="noConversion"/>
  </si>
  <si>
    <t>-</t>
    <phoneticPr fontId="1" type="noConversion"/>
  </si>
  <si>
    <r>
      <rPr>
        <sz val="12"/>
        <color theme="1"/>
        <rFont val="돋움"/>
        <family val="3"/>
        <charset val="129"/>
      </rPr>
      <t>오차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돋움"/>
        <family val="3"/>
        <charset val="129"/>
      </rPr>
      <t>경고</t>
    </r>
    <phoneticPr fontId="1" type="noConversion"/>
  </si>
  <si>
    <t>B2:K108</t>
    <phoneticPr fontId="1" type="noConversion"/>
  </si>
  <si>
    <t>B2:K16</t>
    <phoneticPr fontId="1" type="noConversion"/>
  </si>
  <si>
    <r>
      <rPr>
        <sz val="12"/>
        <color theme="1"/>
        <rFont val="맑은 고딕"/>
        <family val="3"/>
        <charset val="129"/>
      </rPr>
      <t>시험명</t>
    </r>
  </si>
  <si>
    <r>
      <rPr>
        <sz val="12"/>
        <color theme="1"/>
        <rFont val="맑은 고딕"/>
        <family val="3"/>
        <charset val="129"/>
      </rPr>
      <t>평균</t>
    </r>
    <phoneticPr fontId="1" type="noConversion"/>
  </si>
  <si>
    <r>
      <rPr>
        <sz val="12"/>
        <color theme="1"/>
        <rFont val="맑은 고딕"/>
        <family val="3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3"/>
        <charset val="129"/>
      </rPr>
      <t>수</t>
    </r>
    <phoneticPr fontId="1" type="noConversion"/>
  </si>
  <si>
    <r>
      <rPr>
        <sz val="12"/>
        <color theme="1"/>
        <rFont val="맑은 고딕"/>
        <family val="3"/>
        <charset val="129"/>
      </rPr>
      <t>과목</t>
    </r>
    <phoneticPr fontId="1" type="noConversion"/>
  </si>
  <si>
    <r>
      <rPr>
        <sz val="12"/>
        <color theme="1"/>
        <rFont val="맑은 고딕"/>
        <family val="3"/>
        <charset val="129"/>
      </rPr>
      <t>국어</t>
    </r>
    <phoneticPr fontId="1" type="noConversion"/>
  </si>
  <si>
    <r>
      <rPr>
        <sz val="12"/>
        <color theme="1"/>
        <rFont val="맑은 고딕"/>
        <family val="3"/>
        <charset val="129"/>
      </rPr>
      <t>표준편차</t>
    </r>
    <phoneticPr fontId="1" type="noConversion"/>
  </si>
  <si>
    <r>
      <rPr>
        <sz val="12"/>
        <color theme="1"/>
        <rFont val="맑은 고딕"/>
        <family val="3"/>
        <charset val="129"/>
      </rPr>
      <t>수학</t>
    </r>
    <phoneticPr fontId="1" type="noConversion"/>
  </si>
  <si>
    <r>
      <rPr>
        <sz val="13"/>
        <color theme="1"/>
        <rFont val="맑은 고딕"/>
        <family val="3"/>
        <charset val="129"/>
      </rPr>
      <t>원점수</t>
    </r>
    <phoneticPr fontId="1" type="noConversion"/>
  </si>
  <si>
    <r>
      <rPr>
        <sz val="13"/>
        <color theme="1"/>
        <rFont val="맑은 고딕"/>
        <family val="3"/>
        <charset val="129"/>
      </rPr>
      <t>표준점수</t>
    </r>
    <phoneticPr fontId="1" type="noConversion"/>
  </si>
  <si>
    <r>
      <rPr>
        <sz val="13"/>
        <color theme="1"/>
        <rFont val="맑은 고딕"/>
        <family val="3"/>
        <charset val="129"/>
      </rPr>
      <t>등급</t>
    </r>
    <phoneticPr fontId="1" type="noConversion"/>
  </si>
  <si>
    <r>
      <rPr>
        <sz val="13"/>
        <color theme="1"/>
        <rFont val="맑은 고딕"/>
        <family val="3"/>
        <charset val="129"/>
      </rPr>
      <t>백분위</t>
    </r>
    <phoneticPr fontId="1" type="noConversion"/>
  </si>
  <si>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</si>
  <si>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</si>
  <si>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</si>
  <si>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</si>
  <si>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시험명</t>
    </r>
  </si>
  <si>
    <r>
      <rPr>
        <sz val="12"/>
        <color theme="1"/>
        <rFont val="맑은 고딕"/>
        <family val="2"/>
        <charset val="129"/>
      </rPr>
      <t>평균</t>
    </r>
    <phoneticPr fontId="1" type="noConversion"/>
  </si>
  <si>
    <r>
      <rPr>
        <sz val="12"/>
        <color theme="1"/>
        <rFont val="맑은 고딕"/>
        <family val="2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수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</si>
  <si>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  <phoneticPr fontId="1" type="noConversion"/>
  </si>
  <si>
    <r>
      <rPr>
        <sz val="12"/>
        <color theme="1"/>
        <rFont val="맑은 고딕"/>
        <family val="2"/>
        <charset val="129"/>
      </rPr>
      <t>영어</t>
    </r>
    <phoneticPr fontId="1" type="noConversion"/>
  </si>
  <si>
    <r>
      <rPr>
        <sz val="12"/>
        <color theme="1"/>
        <rFont val="맑은 고딕"/>
        <family val="2"/>
        <charset val="129"/>
      </rPr>
      <t>표준편차</t>
    </r>
    <phoneticPr fontId="1" type="noConversion"/>
  </si>
  <si>
    <r>
      <rPr>
        <sz val="12"/>
        <color theme="1"/>
        <rFont val="맑은 고딕"/>
        <family val="2"/>
        <charset val="129"/>
      </rPr>
      <t>한국사</t>
    </r>
    <phoneticPr fontId="1" type="noConversion"/>
  </si>
  <si>
    <r>
      <rPr>
        <sz val="13"/>
        <color theme="1"/>
        <rFont val="맑은 고딕"/>
        <family val="2"/>
        <charset val="129"/>
      </rPr>
      <t>등급</t>
    </r>
    <phoneticPr fontId="1" type="noConversion"/>
  </si>
  <si>
    <r>
      <rPr>
        <sz val="13"/>
        <color theme="1"/>
        <rFont val="맑은 고딕"/>
        <family val="2"/>
        <charset val="129"/>
      </rPr>
      <t>원점수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등급컷</t>
    </r>
    <phoneticPr fontId="1" type="noConversion"/>
  </si>
  <si>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</si>
  <si>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</si>
  <si>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</si>
  <si>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비율</t>
    </r>
    <phoneticPr fontId="1" type="noConversion"/>
  </si>
  <si>
    <t>2023학년도 3월 고1 전국연합학력평가</t>
  </si>
  <si>
    <r>
      <rPr>
        <sz val="12"/>
        <color theme="1"/>
        <rFont val="맑은 고딕"/>
        <family val="2"/>
        <charset val="129"/>
      </rPr>
      <t>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사회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</si>
  <si>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과학</t>
    </r>
    <r>
      <rPr>
        <sz val="12"/>
        <color theme="1"/>
        <rFont val="Microsoft Sans Serif"/>
        <family val="2"/>
      </rPr>
      <t>)</t>
    </r>
    <phoneticPr fontId="1" type="noConversion"/>
  </si>
  <si>
    <t>63.08</t>
  </si>
  <si>
    <t>20.57</t>
  </si>
  <si>
    <t>50.27</t>
  </si>
  <si>
    <t>21.97</t>
  </si>
  <si>
    <t>59.18</t>
  </si>
  <si>
    <t>21.67</t>
  </si>
  <si>
    <t>23.80</t>
  </si>
  <si>
    <t>10.24</t>
  </si>
  <si>
    <t>32.79</t>
  </si>
  <si>
    <t xml:space="preserve"> 9.26</t>
  </si>
  <si>
    <t>10.13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</si>
</sst>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.00_ "/>
    <numFmt numFmtId="177" formatCode="#,##0_ "/>
    <numFmt numFmtId="178" formatCode="0.00_);[Red]\(0.00\)"/>
  </numFmts>
  <fonts count="4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u/>
      <sz val="11"/>
      <color rgb="FF0000FF"/>
      <name val="맑은 고딕"/>
      <family val="2"/>
      <charset val="129"/>
      <scheme val="minor"/>
    </font>
    <font>
      <u/>
      <sz val="11"/>
      <color rgb="FF800080"/>
      <name val="맑은 고딕"/>
      <family val="2"/>
      <charset val="129"/>
      <scheme val="minor"/>
    </font>
    <font>
      <sz val="12"/>
      <color theme="1"/>
      <name val="맑은 고딕"/>
      <family val="3"/>
      <charset val="129"/>
    </font>
    <font>
      <sz val="12"/>
      <color theme="1"/>
      <name val="Microsoft Sans Serif"/>
      <family val="2"/>
    </font>
    <font>
      <sz val="12"/>
      <name val="Microsoft Sans Serif"/>
      <family val="2"/>
    </font>
    <font>
      <sz val="11"/>
      <color theme="1"/>
      <name val="Microsoft Sans Serif"/>
      <family val="2"/>
    </font>
    <font>
      <sz val="12"/>
      <color theme="1"/>
      <name val="맑은 고딕"/>
      <family val="2"/>
      <charset val="129"/>
    </font>
    <font>
      <sz val="11"/>
      <color rgb="FF000000"/>
      <name val="맑은 고딕"/>
      <family val="3"/>
      <charset val="129"/>
    </font>
    <font>
      <sz val="12"/>
      <color theme="1"/>
      <name val="돋움"/>
      <family val="3"/>
      <charset val="129"/>
    </font>
    <font>
      <sz val="12"/>
      <color theme="1"/>
      <name val="Microsoft Sans Serif"/>
      <family val="3"/>
      <charset val="129"/>
    </font>
    <font>
      <sz val="13"/>
      <color theme="1"/>
      <name val="Microsoft Sans Serif"/>
      <family val="2"/>
    </font>
    <font>
      <sz val="13"/>
      <color theme="1"/>
      <name val="맑은 고딕"/>
      <family val="3"/>
      <charset val="129"/>
    </font>
    <font>
      <sz val="13"/>
      <name val="Microsoft Sans Serif"/>
      <family val="2"/>
    </font>
    <font>
      <sz val="13"/>
      <color theme="1"/>
      <name val="맑은 고딕"/>
      <family val="2"/>
      <charset val="129"/>
    </font>
    <font>
      <b/>
      <sz val="13"/>
      <color theme="1"/>
      <name val="Microsoft Sans Serif"/>
      <family val="2"/>
    </font>
    <font>
      <b/>
      <sz val="13"/>
      <color indexed="8"/>
      <name val="Microsoft Sans Serif"/>
      <family val="2"/>
    </font>
    <font>
      <b/>
      <sz val="12"/>
      <color theme="1"/>
      <name val="Microsoft Sans Serif"/>
      <family val="2"/>
    </font>
    <font>
      <b/>
      <sz val="12"/>
      <color indexed="8"/>
      <name val="Microsoft Sans Serif"/>
      <family val="2"/>
    </font>
    <font>
      <sz val="12"/>
      <color theme="1"/>
      <name val="Arial Unicode MS"/>
      <family val="2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2"/>
      <color theme="1"/>
      <name val="Microsoft Sans Serif"/>
      <family val="2"/>
      <charset val="129"/>
    </font>
    <font>
      <sz val="10"/>
      <color theme="1"/>
      <name val="맑은 고딕"/>
      <family val="3"/>
      <charset val="129"/>
      <scheme val="minor"/>
    </font>
    <font>
      <sz val="10"/>
      <name val="돋움"/>
      <family val="3"/>
      <charset val="129"/>
    </font>
  </fonts>
  <fills count="40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60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4D4D4"/>
      </left>
      <right/>
      <top style="thin">
        <color rgb="FFD4D4D4"/>
      </top>
      <bottom/>
      <diagonal/>
    </border>
    <border>
      <left/>
      <right/>
      <top style="thin">
        <color rgb="FFD4D4D4"/>
      </top>
      <bottom/>
      <diagonal/>
    </border>
    <border>
      <left/>
      <right style="thin">
        <color rgb="FFD4D4D4"/>
      </right>
      <top style="thin">
        <color rgb="FFD4D4D4"/>
      </top>
      <bottom/>
      <diagonal/>
    </border>
    <border>
      <left style="thin">
        <color rgb="FFD4D4D4"/>
      </left>
      <right/>
      <top/>
      <bottom/>
      <diagonal/>
    </border>
    <border>
      <left/>
      <right style="thin">
        <color rgb="FFD4D4D4"/>
      </right>
      <top/>
      <bottom/>
      <diagonal/>
    </border>
    <border>
      <left style="thin">
        <color rgb="FFD4D4D4"/>
      </left>
      <right/>
      <top/>
      <bottom style="thin">
        <color rgb="FFD4D4D4"/>
      </bottom>
      <diagonal/>
    </border>
    <border>
      <left/>
      <right/>
      <top/>
      <bottom style="thin">
        <color rgb="FFD4D4D4"/>
      </bottom>
      <diagonal/>
    </border>
    <border>
      <left/>
      <right style="thin">
        <color rgb="FFD4D4D4"/>
      </right>
      <top/>
      <bottom style="thin">
        <color rgb="FFD4D4D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4">
    <xf numFmtId="0" fontId="0" fillId="0" borderId="0">
      <alignment vertical="center"/>
    </xf>
    <xf numFmtId="0" fontId="2" fillId="0" borderId="0"/>
    <xf numFmtId="0" fontId="4" fillId="0" borderId="25" applyNumberFormat="0" applyFill="0" applyAlignment="0" applyProtection="0">
      <alignment vertical="center"/>
    </xf>
    <xf numFmtId="0" fontId="5" fillId="0" borderId="26" applyNumberFormat="0" applyFill="0" applyAlignment="0" applyProtection="0">
      <alignment vertical="center"/>
    </xf>
    <xf numFmtId="0" fontId="6" fillId="0" borderId="27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9" fillId="10" borderId="28" applyNumberFormat="0" applyAlignment="0" applyProtection="0">
      <alignment vertical="center"/>
    </xf>
    <xf numFmtId="0" fontId="10" fillId="11" borderId="29" applyNumberFormat="0" applyAlignment="0" applyProtection="0">
      <alignment vertical="center"/>
    </xf>
    <xf numFmtId="0" fontId="11" fillId="11" borderId="28" applyNumberFormat="0" applyAlignment="0" applyProtection="0">
      <alignment vertical="center"/>
    </xf>
    <xf numFmtId="0" fontId="12" fillId="0" borderId="30" applyNumberFormat="0" applyFill="0" applyAlignment="0" applyProtection="0">
      <alignment vertical="center"/>
    </xf>
    <xf numFmtId="0" fontId="13" fillId="12" borderId="3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33" applyNumberFormat="0" applyFill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6" borderId="0" applyNumberFormat="0" applyBorder="0" applyAlignment="0" applyProtection="0">
      <alignment vertical="center"/>
    </xf>
    <xf numFmtId="0" fontId="18" fillId="0" borderId="0"/>
    <xf numFmtId="0" fontId="19" fillId="0" borderId="0" applyNumberFormat="0" applyFill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13" borderId="32" applyNumberFormat="0" applyFont="0" applyAlignment="0" applyProtection="0">
      <alignment vertical="center"/>
    </xf>
    <xf numFmtId="0" fontId="2" fillId="0" borderId="0"/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0" fontId="18" fillId="0" borderId="0"/>
    <xf numFmtId="9" fontId="3" fillId="0" borderId="0" applyFont="0" applyFill="0" applyBorder="0" applyAlignment="0" applyProtection="0">
      <alignment vertical="center"/>
    </xf>
    <xf numFmtId="0" fontId="18" fillId="0" borderId="0"/>
    <xf numFmtId="0" fontId="18" fillId="0" borderId="0"/>
    <xf numFmtId="0" fontId="18" fillId="0" borderId="0"/>
  </cellStyleXfs>
  <cellXfs count="13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6" borderId="0" xfId="0" applyFill="1">
      <alignment vertical="center"/>
    </xf>
    <xf numFmtId="0" fontId="0" fillId="0" borderId="37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7" xfId="0" applyBorder="1">
      <alignment vertical="center"/>
    </xf>
    <xf numFmtId="0" fontId="0" fillId="0" borderId="34" xfId="0" applyBorder="1">
      <alignment vertical="center"/>
    </xf>
    <xf numFmtId="0" fontId="0" fillId="0" borderId="38" xfId="0" applyBorder="1">
      <alignment vertical="center"/>
    </xf>
    <xf numFmtId="0" fontId="0" fillId="0" borderId="16" xfId="0" applyBorder="1">
      <alignment vertical="center"/>
    </xf>
    <xf numFmtId="0" fontId="0" fillId="0" borderId="40" xfId="0" applyBorder="1">
      <alignment vertical="center"/>
    </xf>
    <xf numFmtId="0" fontId="0" fillId="38" borderId="0" xfId="0" applyFill="1" applyAlignment="1">
      <alignment horizontal="center" vertical="center"/>
    </xf>
    <xf numFmtId="0" fontId="0" fillId="0" borderId="41" xfId="0" applyBorder="1">
      <alignment vertical="center"/>
    </xf>
    <xf numFmtId="0" fontId="24" fillId="6" borderId="0" xfId="0" applyFont="1" applyFill="1">
      <alignment vertical="center"/>
    </xf>
    <xf numFmtId="0" fontId="24" fillId="5" borderId="15" xfId="0" applyFont="1" applyFill="1" applyBorder="1" applyAlignment="1">
      <alignment horizontal="center" vertical="center"/>
    </xf>
    <xf numFmtId="0" fontId="24" fillId="0" borderId="0" xfId="0" applyFont="1">
      <alignment vertical="center"/>
    </xf>
    <xf numFmtId="0" fontId="24" fillId="6" borderId="0" xfId="0" applyFont="1" applyFill="1" applyAlignment="1">
      <alignment horizontal="center" vertical="center"/>
    </xf>
    <xf numFmtId="0" fontId="24" fillId="6" borderId="0" xfId="0" quotePrefix="1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6" fillId="6" borderId="0" xfId="0" applyFont="1" applyFill="1">
      <alignment vertical="center"/>
    </xf>
    <xf numFmtId="0" fontId="26" fillId="0" borderId="0" xfId="0" applyFont="1">
      <alignment vertical="center"/>
    </xf>
    <xf numFmtId="0" fontId="0" fillId="6" borderId="0" xfId="0" applyFill="1" applyAlignment="1">
      <alignment horizontal="center" vertical="center"/>
    </xf>
    <xf numFmtId="0" fontId="30" fillId="6" borderId="0" xfId="0" applyFont="1" applyFill="1" applyAlignment="1">
      <alignment horizontal="center" vertical="center"/>
    </xf>
    <xf numFmtId="0" fontId="0" fillId="6" borderId="49" xfId="0" applyFill="1" applyBorder="1">
      <alignment vertical="center"/>
    </xf>
    <xf numFmtId="0" fontId="0" fillId="6" borderId="50" xfId="0" applyFill="1" applyBorder="1">
      <alignment vertical="center"/>
    </xf>
    <xf numFmtId="0" fontId="0" fillId="6" borderId="51" xfId="0" applyFill="1" applyBorder="1">
      <alignment vertical="center"/>
    </xf>
    <xf numFmtId="0" fontId="24" fillId="6" borderId="52" xfId="0" applyFont="1" applyFill="1" applyBorder="1">
      <alignment vertical="center"/>
    </xf>
    <xf numFmtId="3" fontId="26" fillId="6" borderId="53" xfId="0" applyNumberFormat="1" applyFont="1" applyFill="1" applyBorder="1" applyAlignment="1">
      <alignment horizontal="center" vertical="center"/>
    </xf>
    <xf numFmtId="0" fontId="26" fillId="6" borderId="53" xfId="0" applyFont="1" applyFill="1" applyBorder="1">
      <alignment vertical="center"/>
    </xf>
    <xf numFmtId="0" fontId="24" fillId="6" borderId="53" xfId="0" applyFont="1" applyFill="1" applyBorder="1">
      <alignment vertical="center"/>
    </xf>
    <xf numFmtId="0" fontId="24" fillId="6" borderId="53" xfId="0" applyFont="1" applyFill="1" applyBorder="1" applyAlignment="1">
      <alignment horizontal="center" vertical="center"/>
    </xf>
    <xf numFmtId="10" fontId="25" fillId="6" borderId="53" xfId="1" applyNumberFormat="1" applyFont="1" applyFill="1" applyBorder="1" applyAlignment="1">
      <alignment horizontal="center" vertical="center"/>
    </xf>
    <xf numFmtId="176" fontId="25" fillId="6" borderId="53" xfId="1" applyNumberFormat="1" applyFont="1" applyFill="1" applyBorder="1" applyAlignment="1">
      <alignment horizontal="center" vertical="center"/>
    </xf>
    <xf numFmtId="0" fontId="0" fillId="6" borderId="54" xfId="0" applyFill="1" applyBorder="1">
      <alignment vertical="center"/>
    </xf>
    <xf numFmtId="0" fontId="0" fillId="6" borderId="55" xfId="0" applyFill="1" applyBorder="1">
      <alignment vertical="center"/>
    </xf>
    <xf numFmtId="0" fontId="0" fillId="6" borderId="56" xfId="0" applyFill="1" applyBorder="1">
      <alignment vertical="center"/>
    </xf>
    <xf numFmtId="10" fontId="25" fillId="6" borderId="53" xfId="50" applyNumberFormat="1" applyFont="1" applyFill="1" applyBorder="1" applyAlignment="1">
      <alignment horizontal="center" vertical="center"/>
    </xf>
    <xf numFmtId="0" fontId="26" fillId="6" borderId="52" xfId="0" applyFont="1" applyFill="1" applyBorder="1">
      <alignment vertical="center"/>
    </xf>
    <xf numFmtId="0" fontId="0" fillId="0" borderId="35" xfId="0" applyBorder="1">
      <alignment vertical="center"/>
    </xf>
    <xf numFmtId="0" fontId="0" fillId="0" borderId="39" xfId="0" applyBorder="1">
      <alignment vertical="center"/>
    </xf>
    <xf numFmtId="0" fontId="0" fillId="0" borderId="36" xfId="0" applyBorder="1">
      <alignment vertical="center"/>
    </xf>
    <xf numFmtId="0" fontId="24" fillId="5" borderId="21" xfId="0" applyFont="1" applyFill="1" applyBorder="1" applyAlignment="1">
      <alignment horizontal="center" vertical="center"/>
    </xf>
    <xf numFmtId="2" fontId="24" fillId="0" borderId="20" xfId="0" applyNumberFormat="1" applyFont="1" applyBorder="1" applyAlignment="1">
      <alignment horizontal="center" vertical="center"/>
    </xf>
    <xf numFmtId="3" fontId="24" fillId="0" borderId="19" xfId="0" applyNumberFormat="1" applyFont="1" applyBorder="1" applyAlignment="1">
      <alignment horizontal="center" vertical="center"/>
    </xf>
    <xf numFmtId="0" fontId="24" fillId="5" borderId="4" xfId="0" applyFont="1" applyFill="1" applyBorder="1" applyAlignment="1">
      <alignment horizontal="center" vertical="center"/>
    </xf>
    <xf numFmtId="0" fontId="24" fillId="5" borderId="17" xfId="0" applyFont="1" applyFill="1" applyBorder="1" applyAlignment="1">
      <alignment horizontal="center" vertical="center"/>
    </xf>
    <xf numFmtId="2" fontId="24" fillId="0" borderId="16" xfId="0" applyNumberFormat="1" applyFont="1" applyBorder="1" applyAlignment="1">
      <alignment horizontal="center" vertical="center"/>
    </xf>
    <xf numFmtId="0" fontId="31" fillId="5" borderId="15" xfId="0" applyFont="1" applyFill="1" applyBorder="1" applyAlignment="1">
      <alignment horizontal="center" vertical="center"/>
    </xf>
    <xf numFmtId="0" fontId="31" fillId="5" borderId="14" xfId="0" applyFont="1" applyFill="1" applyBorder="1" applyAlignment="1">
      <alignment horizontal="center" vertical="center"/>
    </xf>
    <xf numFmtId="0" fontId="31" fillId="5" borderId="13" xfId="0" applyFont="1" applyFill="1" applyBorder="1" applyAlignment="1">
      <alignment horizontal="center" vertical="center"/>
    </xf>
    <xf numFmtId="0" fontId="31" fillId="5" borderId="12" xfId="0" applyFont="1" applyFill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178" fontId="31" fillId="0" borderId="8" xfId="0" applyNumberFormat="1" applyFont="1" applyBorder="1" applyAlignment="1">
      <alignment horizontal="center" vertical="center"/>
    </xf>
    <xf numFmtId="177" fontId="33" fillId="0" borderId="8" xfId="1" applyNumberFormat="1" applyFont="1" applyBorder="1" applyAlignment="1">
      <alignment horizontal="center" vertical="center"/>
    </xf>
    <xf numFmtId="10" fontId="33" fillId="0" borderId="7" xfId="1" applyNumberFormat="1" applyFont="1" applyBorder="1" applyAlignment="1">
      <alignment horizontal="center" vertical="center"/>
    </xf>
    <xf numFmtId="177" fontId="31" fillId="0" borderId="10" xfId="0" applyNumberFormat="1" applyFont="1" applyBorder="1" applyAlignment="1">
      <alignment horizontal="center" vertical="center"/>
    </xf>
    <xf numFmtId="10" fontId="33" fillId="0" borderId="5" xfId="1" applyNumberFormat="1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4" borderId="8" xfId="0" applyFont="1" applyFill="1" applyBorder="1" applyAlignment="1">
      <alignment horizontal="center" vertical="center"/>
    </xf>
    <xf numFmtId="178" fontId="31" fillId="4" borderId="8" xfId="0" applyNumberFormat="1" applyFont="1" applyFill="1" applyBorder="1" applyAlignment="1">
      <alignment horizontal="center" vertical="center"/>
    </xf>
    <xf numFmtId="0" fontId="31" fillId="4" borderId="6" xfId="0" applyFont="1" applyFill="1" applyBorder="1">
      <alignment vertical="center"/>
    </xf>
    <xf numFmtId="176" fontId="33" fillId="4" borderId="7" xfId="1" applyNumberFormat="1" applyFont="1" applyFill="1" applyBorder="1" applyAlignment="1">
      <alignment horizontal="center" vertical="center"/>
    </xf>
    <xf numFmtId="177" fontId="31" fillId="4" borderId="8" xfId="0" applyNumberFormat="1" applyFont="1" applyFill="1" applyBorder="1" applyAlignment="1">
      <alignment horizontal="center" vertical="center"/>
    </xf>
    <xf numFmtId="176" fontId="33" fillId="4" borderId="5" xfId="1" applyNumberFormat="1" applyFont="1" applyFill="1" applyBorder="1" applyAlignment="1">
      <alignment horizontal="center" vertical="center"/>
    </xf>
    <xf numFmtId="177" fontId="31" fillId="0" borderId="6" xfId="0" applyNumberFormat="1" applyFont="1" applyBorder="1" applyAlignment="1">
      <alignment horizontal="center" vertical="center"/>
    </xf>
    <xf numFmtId="0" fontId="31" fillId="6" borderId="9" xfId="0" applyFont="1" applyFill="1" applyBorder="1" applyAlignment="1">
      <alignment horizontal="center" vertical="center"/>
    </xf>
    <xf numFmtId="0" fontId="31" fillId="6" borderId="8" xfId="0" applyFont="1" applyFill="1" applyBorder="1" applyAlignment="1">
      <alignment horizontal="center" vertical="center"/>
    </xf>
    <xf numFmtId="177" fontId="31" fillId="6" borderId="6" xfId="0" applyNumberFormat="1" applyFont="1" applyFill="1" applyBorder="1" applyAlignment="1">
      <alignment horizontal="center" vertical="center"/>
    </xf>
    <xf numFmtId="177" fontId="31" fillId="4" borderId="6" xfId="0" applyNumberFormat="1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" vertical="center"/>
    </xf>
    <xf numFmtId="0" fontId="31" fillId="2" borderId="2" xfId="0" applyFont="1" applyFill="1" applyBorder="1" applyAlignment="1">
      <alignment horizontal="center" vertical="center"/>
    </xf>
    <xf numFmtId="178" fontId="31" fillId="2" borderId="2" xfId="0" applyNumberFormat="1" applyFont="1" applyFill="1" applyBorder="1" applyAlignment="1">
      <alignment horizontal="center" vertical="center"/>
    </xf>
    <xf numFmtId="177" fontId="33" fillId="2" borderId="2" xfId="1" applyNumberFormat="1" applyFont="1" applyFill="1" applyBorder="1" applyAlignment="1">
      <alignment horizontal="center" vertical="center"/>
    </xf>
    <xf numFmtId="10" fontId="33" fillId="2" borderId="2" xfId="1" applyNumberFormat="1" applyFont="1" applyFill="1" applyBorder="1" applyAlignment="1">
      <alignment horizontal="center" vertical="center"/>
    </xf>
    <xf numFmtId="177" fontId="31" fillId="2" borderId="2" xfId="0" applyNumberFormat="1" applyFont="1" applyFill="1" applyBorder="1" applyAlignment="1">
      <alignment horizontal="center" vertical="center"/>
    </xf>
    <xf numFmtId="10" fontId="33" fillId="2" borderId="1" xfId="50" applyNumberFormat="1" applyFont="1" applyFill="1" applyBorder="1" applyAlignment="1">
      <alignment horizontal="center" vertical="center"/>
    </xf>
    <xf numFmtId="10" fontId="33" fillId="2" borderId="1" xfId="1" applyNumberFormat="1" applyFont="1" applyFill="1" applyBorder="1" applyAlignment="1">
      <alignment horizontal="center" vertical="center"/>
    </xf>
    <xf numFmtId="0" fontId="31" fillId="5" borderId="19" xfId="0" applyFont="1" applyFill="1" applyBorder="1" applyAlignment="1">
      <alignment horizontal="center" vertical="center"/>
    </xf>
    <xf numFmtId="0" fontId="31" fillId="5" borderId="44" xfId="0" applyFont="1" applyFill="1" applyBorder="1" applyAlignment="1">
      <alignment horizontal="center" vertical="center"/>
    </xf>
    <xf numFmtId="0" fontId="35" fillId="39" borderId="21" xfId="0" applyFont="1" applyFill="1" applyBorder="1" applyAlignment="1">
      <alignment horizontal="center" vertical="center"/>
    </xf>
    <xf numFmtId="0" fontId="35" fillId="39" borderId="22" xfId="0" applyFont="1" applyFill="1" applyBorder="1" applyAlignment="1">
      <alignment horizontal="center" vertical="center"/>
    </xf>
    <xf numFmtId="3" fontId="31" fillId="0" borderId="45" xfId="0" applyNumberFormat="1" applyFont="1" applyBorder="1" applyAlignment="1">
      <alignment horizontal="center" vertical="center"/>
    </xf>
    <xf numFmtId="10" fontId="31" fillId="0" borderId="8" xfId="50" applyNumberFormat="1" applyFont="1" applyBorder="1" applyAlignment="1">
      <alignment horizontal="center" vertical="center"/>
    </xf>
    <xf numFmtId="3" fontId="31" fillId="0" borderId="10" xfId="0" applyNumberFormat="1" applyFont="1" applyBorder="1" applyAlignment="1">
      <alignment horizontal="center" vertical="center"/>
    </xf>
    <xf numFmtId="10" fontId="31" fillId="0" borderId="24" xfId="50" applyNumberFormat="1" applyFont="1" applyBorder="1" applyAlignment="1">
      <alignment horizontal="center" vertical="center"/>
    </xf>
    <xf numFmtId="0" fontId="35" fillId="39" borderId="9" xfId="0" applyFont="1" applyFill="1" applyBorder="1" applyAlignment="1">
      <alignment horizontal="center" vertical="center"/>
    </xf>
    <xf numFmtId="0" fontId="35" fillId="39" borderId="48" xfId="0" applyFont="1" applyFill="1" applyBorder="1" applyAlignment="1">
      <alignment horizontal="center" vertical="center"/>
    </xf>
    <xf numFmtId="3" fontId="31" fillId="0" borderId="46" xfId="0" applyNumberFormat="1" applyFont="1" applyBorder="1" applyAlignment="1">
      <alignment horizontal="center" vertical="center"/>
    </xf>
    <xf numFmtId="3" fontId="31" fillId="0" borderId="6" xfId="0" applyNumberFormat="1" applyFont="1" applyBorder="1" applyAlignment="1">
      <alignment horizontal="center" vertical="center"/>
    </xf>
    <xf numFmtId="0" fontId="35" fillId="39" borderId="4" xfId="0" applyFont="1" applyFill="1" applyBorder="1" applyAlignment="1">
      <alignment horizontal="center" vertical="center"/>
    </xf>
    <xf numFmtId="0" fontId="35" fillId="39" borderId="1" xfId="0" applyFont="1" applyFill="1" applyBorder="1" applyAlignment="1">
      <alignment horizontal="center" vertical="center"/>
    </xf>
    <xf numFmtId="3" fontId="31" fillId="0" borderId="47" xfId="0" applyNumberFormat="1" applyFont="1" applyBorder="1" applyAlignment="1">
      <alignment horizontal="center" vertical="center"/>
    </xf>
    <xf numFmtId="10" fontId="31" fillId="0" borderId="42" xfId="5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0" fontId="31" fillId="0" borderId="43" xfId="50" applyNumberFormat="1" applyFont="1" applyBorder="1" applyAlignment="1">
      <alignment horizontal="center" vertical="center"/>
    </xf>
    <xf numFmtId="0" fontId="36" fillId="39" borderId="21" xfId="0" applyFont="1" applyFill="1" applyBorder="1" applyAlignment="1">
      <alignment horizontal="center" vertical="center"/>
    </xf>
    <xf numFmtId="0" fontId="36" fillId="39" borderId="22" xfId="0" applyFont="1" applyFill="1" applyBorder="1" applyAlignment="1">
      <alignment horizontal="center" vertical="center"/>
    </xf>
    <xf numFmtId="0" fontId="36" fillId="39" borderId="9" xfId="0" applyFont="1" applyFill="1" applyBorder="1" applyAlignment="1">
      <alignment horizontal="center" vertical="center"/>
    </xf>
    <xf numFmtId="0" fontId="36" fillId="39" borderId="48" xfId="0" applyFont="1" applyFill="1" applyBorder="1" applyAlignment="1">
      <alignment horizontal="center" vertical="center"/>
    </xf>
    <xf numFmtId="0" fontId="36" fillId="39" borderId="4" xfId="0" applyFont="1" applyFill="1" applyBorder="1" applyAlignment="1">
      <alignment horizontal="center" vertical="center"/>
    </xf>
    <xf numFmtId="0" fontId="36" fillId="39" borderId="1" xfId="0" applyFont="1" applyFill="1" applyBorder="1" applyAlignment="1">
      <alignment horizontal="center" vertical="center"/>
    </xf>
    <xf numFmtId="0" fontId="37" fillId="6" borderId="0" xfId="0" applyFont="1" applyFill="1" applyAlignment="1">
      <alignment horizontal="center" vertical="center"/>
    </xf>
    <xf numFmtId="0" fontId="38" fillId="6" borderId="0" xfId="0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38" borderId="0" xfId="0" applyFill="1" applyAlignment="1">
      <alignment horizontal="center" vertical="center"/>
    </xf>
    <xf numFmtId="0" fontId="24" fillId="6" borderId="23" xfId="0" applyFont="1" applyFill="1" applyBorder="1" applyAlignment="1">
      <alignment horizontal="center" vertical="center"/>
    </xf>
    <xf numFmtId="0" fontId="24" fillId="6" borderId="20" xfId="0" applyFont="1" applyFill="1" applyBorder="1" applyAlignment="1">
      <alignment horizontal="center" vertical="center"/>
    </xf>
    <xf numFmtId="0" fontId="24" fillId="6" borderId="22" xfId="0" applyFont="1" applyFill="1" applyBorder="1" applyAlignment="1">
      <alignment horizontal="center" vertical="center"/>
    </xf>
    <xf numFmtId="0" fontId="24" fillId="6" borderId="3" xfId="0" applyFont="1" applyFill="1" applyBorder="1" applyAlignment="1">
      <alignment horizontal="center" vertical="center"/>
    </xf>
    <xf numFmtId="0" fontId="24" fillId="6" borderId="18" xfId="0" applyFont="1" applyFill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0" fontId="43" fillId="6" borderId="39" xfId="0" applyFont="1" applyFill="1" applyBorder="1" applyAlignment="1">
      <alignment horizontal="center" vertical="center" wrapText="1"/>
    </xf>
    <xf numFmtId="0" fontId="43" fillId="6" borderId="39" xfId="0" applyFont="1" applyFill="1" applyBorder="1" applyAlignment="1">
      <alignment horizontal="center" vertical="center"/>
    </xf>
    <xf numFmtId="0" fontId="43" fillId="6" borderId="40" xfId="0" applyFont="1" applyFill="1" applyBorder="1" applyAlignment="1">
      <alignment horizontal="center" vertical="center"/>
    </xf>
    <xf numFmtId="0" fontId="43" fillId="6" borderId="0" xfId="0" applyFont="1" applyFill="1" applyAlignment="1">
      <alignment horizontal="center" vertical="center"/>
    </xf>
    <xf numFmtId="0" fontId="42" fillId="6" borderId="3" xfId="0" applyFont="1" applyFill="1" applyBorder="1" applyAlignment="1">
      <alignment horizontal="center" vertical="center"/>
    </xf>
    <xf numFmtId="0" fontId="31" fillId="0" borderId="58" xfId="0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177" fontId="44" fillId="0" borderId="6" xfId="45" applyNumberFormat="1" applyFont="1" applyBorder="1" applyAlignment="1">
      <alignment horizontal="center" vertical="center"/>
    </xf>
    <xf numFmtId="0" fontId="44" fillId="0" borderId="6" xfId="45" applyFont="1" applyBorder="1" applyAlignment="1">
      <alignment horizontal="center" vertical="center"/>
    </xf>
    <xf numFmtId="177" fontId="44" fillId="0" borderId="6" xfId="45" applyNumberFormat="1" applyFont="1" applyBorder="1" applyAlignment="1">
      <alignment horizontal="center" vertical="center"/>
    </xf>
    <xf numFmtId="0" fontId="44" fillId="0" borderId="6" xfId="45" applyFont="1" applyBorder="1" applyAlignment="1">
      <alignment horizontal="center" vertical="center"/>
    </xf>
    <xf numFmtId="0" fontId="44" fillId="0" borderId="57" xfId="45" applyFont="1" applyBorder="1" applyAlignment="1">
      <alignment horizontal="center" vertical="center"/>
    </xf>
    <xf numFmtId="38" fontId="44" fillId="0" borderId="57" xfId="45" applyNumberFormat="1" applyFont="1" applyBorder="1" applyAlignment="1">
      <alignment horizontal="center" vertical="center"/>
    </xf>
    <xf numFmtId="0" fontId="31" fillId="6" borderId="8" xfId="0" applyFont="1" applyFill="1" applyBorder="1" applyAlignment="1">
      <alignment horizontal="center" vertical="center"/>
    </xf>
    <xf numFmtId="0" fontId="31" fillId="6" borderId="58" xfId="0" applyFont="1" applyFill="1" applyBorder="1" applyAlignment="1">
      <alignment horizontal="center" vertical="center"/>
    </xf>
    <xf numFmtId="178" fontId="31" fillId="0" borderId="8" xfId="0" applyNumberFormat="1" applyFont="1" applyBorder="1" applyAlignment="1">
      <alignment horizontal="center" vertical="center"/>
    </xf>
    <xf numFmtId="178" fontId="31" fillId="0" borderId="58" xfId="0" applyNumberFormat="1" applyFont="1" applyBorder="1" applyAlignment="1">
      <alignment horizontal="center" vertical="center"/>
    </xf>
    <xf numFmtId="177" fontId="33" fillId="0" borderId="8" xfId="1" applyNumberFormat="1" applyFont="1" applyBorder="1" applyAlignment="1">
      <alignment horizontal="center" vertical="center"/>
    </xf>
    <xf numFmtId="177" fontId="33" fillId="0" borderId="58" xfId="1" applyNumberFormat="1" applyFont="1" applyBorder="1" applyAlignment="1">
      <alignment horizontal="center" vertical="center"/>
    </xf>
    <xf numFmtId="10" fontId="33" fillId="0" borderId="58" xfId="1" applyNumberFormat="1" applyFont="1" applyBorder="1" applyAlignment="1">
      <alignment horizontal="center" vertical="center"/>
    </xf>
    <xf numFmtId="10" fontId="33" fillId="0" borderId="8" xfId="1" applyNumberFormat="1" applyFont="1" applyBorder="1" applyAlignment="1">
      <alignment horizontal="center" vertical="center"/>
    </xf>
    <xf numFmtId="177" fontId="31" fillId="6" borderId="58" xfId="0" applyNumberFormat="1" applyFont="1" applyFill="1" applyBorder="1" applyAlignment="1">
      <alignment horizontal="center" vertical="center"/>
    </xf>
    <xf numFmtId="177" fontId="31" fillId="6" borderId="8" xfId="0" applyNumberFormat="1" applyFont="1" applyFill="1" applyBorder="1" applyAlignment="1">
      <alignment horizontal="center" vertical="center"/>
    </xf>
    <xf numFmtId="10" fontId="33" fillId="0" borderId="59" xfId="1" applyNumberFormat="1" applyFont="1" applyBorder="1" applyAlignment="1">
      <alignment horizontal="center" vertical="center"/>
    </xf>
    <xf numFmtId="10" fontId="33" fillId="0" borderId="24" xfId="1" applyNumberFormat="1" applyFont="1" applyBorder="1" applyAlignment="1">
      <alignment horizontal="center" vertical="center"/>
    </xf>
    <xf numFmtId="177" fontId="31" fillId="0" borderId="58" xfId="0" applyNumberFormat="1" applyFont="1" applyBorder="1" applyAlignment="1">
      <alignment horizontal="center" vertical="center"/>
    </xf>
    <xf numFmtId="177" fontId="31" fillId="0" borderId="8" xfId="0" applyNumberFormat="1" applyFont="1" applyBorder="1" applyAlignment="1">
      <alignment horizontal="center" vertical="center"/>
    </xf>
  </cellXfs>
  <cellStyles count="54">
    <cellStyle name="20% - 강조색1" xfId="17" builtinId="30" customBuiltin="1"/>
    <cellStyle name="20% - 강조색2" xfId="20" builtinId="34" customBuiltin="1"/>
    <cellStyle name="20% - 강조색3" xfId="23" builtinId="38" customBuiltin="1"/>
    <cellStyle name="20% - 강조색4" xfId="26" builtinId="42" customBuiltin="1"/>
    <cellStyle name="20% - 강조색5" xfId="29" builtinId="46" customBuiltin="1"/>
    <cellStyle name="20% - 강조색6" xfId="32" builtinId="50" customBuiltin="1"/>
    <cellStyle name="40% - 강조색1" xfId="18" builtinId="31" customBuiltin="1"/>
    <cellStyle name="40% - 강조색2" xfId="21" builtinId="35" customBuiltin="1"/>
    <cellStyle name="40% - 강조색3" xfId="24" builtinId="39" customBuiltin="1"/>
    <cellStyle name="40% - 강조색4" xfId="27" builtinId="43" customBuiltin="1"/>
    <cellStyle name="40% - 강조색5" xfId="30" builtinId="47" customBuiltin="1"/>
    <cellStyle name="40% - 강조색6" xfId="33" builtinId="51" customBuiltin="1"/>
    <cellStyle name="60% - 강조색1 2" xfId="37" xr:uid="{00000000-0005-0000-0000-000032000000}"/>
    <cellStyle name="60% - 강조색2 2" xfId="38" xr:uid="{00000000-0005-0000-0000-000033000000}"/>
    <cellStyle name="60% - 강조색3 2" xfId="39" xr:uid="{00000000-0005-0000-0000-000034000000}"/>
    <cellStyle name="60% - 강조색4 2" xfId="40" xr:uid="{00000000-0005-0000-0000-000035000000}"/>
    <cellStyle name="60% - 강조색5 2" xfId="41" xr:uid="{00000000-0005-0000-0000-000036000000}"/>
    <cellStyle name="60% - 강조색6 2" xfId="42" xr:uid="{00000000-0005-0000-0000-000037000000}"/>
    <cellStyle name="강조색1" xfId="16" builtinId="29" customBuiltin="1"/>
    <cellStyle name="강조색2" xfId="19" builtinId="33" customBuiltin="1"/>
    <cellStyle name="강조색3" xfId="22" builtinId="37" customBuiltin="1"/>
    <cellStyle name="강조색4" xfId="25" builtinId="41" customBuiltin="1"/>
    <cellStyle name="강조색5" xfId="28" builtinId="45" customBuiltin="1"/>
    <cellStyle name="강조색6" xfId="31" builtinId="49" customBuiltin="1"/>
    <cellStyle name="경고문" xfId="13" builtinId="11" customBuiltin="1"/>
    <cellStyle name="계산" xfId="10" builtinId="22" customBuiltin="1"/>
    <cellStyle name="나쁨" xfId="7" builtinId="27" customBuiltin="1"/>
    <cellStyle name="메모 2" xfId="44" xr:uid="{00000000-0005-0000-0000-00001B000000}"/>
    <cellStyle name="백분율" xfId="50" builtinId="5"/>
    <cellStyle name="보통 2" xfId="36" xr:uid="{00000000-0005-0000-0000-000039000000}"/>
    <cellStyle name="설명 텍스트" xfId="14" builtinId="53" customBuiltin="1"/>
    <cellStyle name="셀 확인" xfId="12" builtinId="23" customBuiltin="1"/>
    <cellStyle name="연결된 셀" xfId="11" builtinId="24" customBuiltin="1"/>
    <cellStyle name="열어 본 하이퍼링크 2" xfId="47" xr:uid="{00000000-0005-0000-0000-000020000000}"/>
    <cellStyle name="요약" xfId="15" builtinId="25" customBuiltin="1"/>
    <cellStyle name="입력" xfId="8" builtinId="20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제목 5" xfId="35" xr:uid="{00000000-0005-0000-0000-00003B000000}"/>
    <cellStyle name="좋음" xfId="6" builtinId="26" customBuiltin="1"/>
    <cellStyle name="출력" xfId="9" builtinId="21" customBuiltin="1"/>
    <cellStyle name="표준" xfId="0" builtinId="0"/>
    <cellStyle name="표준 2" xfId="34" xr:uid="{00000000-0005-0000-0000-00002B000000}"/>
    <cellStyle name="표준 3" xfId="45" xr:uid="{00000000-0005-0000-0000-00002C000000}"/>
    <cellStyle name="표준 3 2" xfId="49" xr:uid="{00000000-0005-0000-0000-00002D000000}"/>
    <cellStyle name="표준 4" xfId="1" xr:uid="{2FF9B68B-8794-4F1F-9B6D-29886EAF3713}"/>
    <cellStyle name="표준 4 2" xfId="43" xr:uid="{00000000-0005-0000-0000-00002E000000}"/>
    <cellStyle name="표준 4 2 2" xfId="52" xr:uid="{A318B459-CA23-42E2-8ECC-411DF5A1766C}"/>
    <cellStyle name="표준 4 3" xfId="51" xr:uid="{B5FB9756-37D5-4E35-A31F-6F633157E1B2}"/>
    <cellStyle name="표준 5" xfId="48" xr:uid="{00000000-0005-0000-0000-00002F000000}"/>
    <cellStyle name="표준 5 2" xfId="53" xr:uid="{BD8C11C9-B385-4C7C-B99C-9E87BFEF6523}"/>
    <cellStyle name="하이퍼링크 2" xfId="46" xr:uid="{00000000-0005-0000-0000-000030000000}"/>
  </cellStyles>
  <dxfs count="6"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FF99FF"/>
      <color rgb="FFCCFFCC"/>
      <color rgb="FF00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6350</xdr:colOff>
          <xdr:row>6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병합 기능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46125" y="1681162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732118" y="10570882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734786" y="2315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734786" y="295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736600" y="168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38909" y="417945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38909" y="10644909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738909" y="23575818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38909" y="30041273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15290</xdr:colOff>
      <xdr:row>8</xdr:row>
      <xdr:rowOff>0</xdr:rowOff>
    </xdr:from>
    <xdr:ext cx="6476651" cy="162111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47408" y="2218765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7</xdr:row>
      <xdr:rowOff>311150</xdr:rowOff>
    </xdr:from>
    <xdr:ext cx="6476651" cy="162111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36600" y="219075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732118" y="2218765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736600" y="219710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F596D-1499-418A-8860-3C8EB1877B25}">
  <sheetPr codeName="Sheet1"/>
  <dimension ref="B3:E9"/>
  <sheetViews>
    <sheetView workbookViewId="0">
      <selection activeCell="C4" sqref="C4:E9"/>
    </sheetView>
  </sheetViews>
  <sheetFormatPr defaultRowHeight="17"/>
  <cols>
    <col min="2" max="5" width="12.58203125" style="1" customWidth="1"/>
  </cols>
  <sheetData>
    <row r="3" spans="2:5">
      <c r="C3" s="1" t="s">
        <v>1</v>
      </c>
      <c r="D3" s="1" t="s">
        <v>2</v>
      </c>
      <c r="E3" s="1" t="s">
        <v>0</v>
      </c>
    </row>
    <row r="4" spans="2:5">
      <c r="B4" s="1" t="s">
        <v>3</v>
      </c>
      <c r="C4" s="118">
        <v>374762</v>
      </c>
      <c r="D4" s="119" t="s">
        <v>72</v>
      </c>
      <c r="E4" s="119" t="s">
        <v>73</v>
      </c>
    </row>
    <row r="5" spans="2:5">
      <c r="B5" s="1" t="s">
        <v>17</v>
      </c>
      <c r="C5" s="118">
        <v>374489</v>
      </c>
      <c r="D5" s="119" t="s">
        <v>74</v>
      </c>
      <c r="E5" s="119" t="s">
        <v>75</v>
      </c>
    </row>
    <row r="6" spans="2:5">
      <c r="B6" s="1" t="s">
        <v>4</v>
      </c>
      <c r="C6" s="118">
        <v>373482</v>
      </c>
      <c r="D6" s="119" t="s">
        <v>76</v>
      </c>
      <c r="E6" s="119" t="s">
        <v>77</v>
      </c>
    </row>
    <row r="7" spans="2:5">
      <c r="B7" s="1" t="s">
        <v>5</v>
      </c>
      <c r="C7" s="118">
        <v>370540</v>
      </c>
      <c r="D7" s="119" t="s">
        <v>78</v>
      </c>
      <c r="E7" s="119" t="s">
        <v>79</v>
      </c>
    </row>
    <row r="8" spans="2:5">
      <c r="B8" s="1" t="s">
        <v>18</v>
      </c>
      <c r="C8" s="118">
        <v>370836</v>
      </c>
      <c r="D8" s="119" t="s">
        <v>80</v>
      </c>
      <c r="E8" s="119" t="s">
        <v>81</v>
      </c>
    </row>
    <row r="9" spans="2:5">
      <c r="B9" s="1" t="s">
        <v>19</v>
      </c>
      <c r="C9" s="118">
        <v>370400</v>
      </c>
      <c r="D9" s="119" t="s">
        <v>77</v>
      </c>
      <c r="E9" s="119" t="s">
        <v>82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표점증발병합_및_복사영역선택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6350</xdr:colOff>
                    <xdr:row>6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FFD9-ECD1-4F20-92E4-14F247EF20FA}">
  <sheetPr codeName="Sheet2"/>
  <dimension ref="A3:F57"/>
  <sheetViews>
    <sheetView workbookViewId="0">
      <selection activeCell="C4" sqref="C4:D57"/>
    </sheetView>
  </sheetViews>
  <sheetFormatPr defaultRowHeight="17"/>
  <cols>
    <col min="2" max="2" width="12.58203125" customWidth="1"/>
    <col min="3" max="3" width="17.58203125" customWidth="1"/>
    <col min="4" max="4" width="18.08203125" customWidth="1"/>
    <col min="5" max="6" width="12.58203125" customWidth="1"/>
  </cols>
  <sheetData>
    <row r="3" spans="1:6">
      <c r="C3" s="104" t="s">
        <v>32</v>
      </c>
      <c r="D3" s="104"/>
      <c r="E3" s="1"/>
      <c r="F3" s="1"/>
    </row>
    <row r="4" spans="1:6">
      <c r="A4" t="s">
        <v>20</v>
      </c>
      <c r="B4" s="1" t="s">
        <v>9</v>
      </c>
      <c r="C4" s="121">
        <v>131</v>
      </c>
      <c r="D4" s="120">
        <v>19021</v>
      </c>
      <c r="E4" s="1"/>
      <c r="F4" s="1"/>
    </row>
    <row r="5" spans="1:6">
      <c r="B5" s="1" t="s">
        <v>10</v>
      </c>
      <c r="C5" s="121">
        <v>125</v>
      </c>
      <c r="D5" s="120">
        <v>26588</v>
      </c>
      <c r="E5" s="1"/>
      <c r="F5" s="1"/>
    </row>
    <row r="6" spans="1:6">
      <c r="B6" s="1" t="s">
        <v>11</v>
      </c>
      <c r="C6" s="121">
        <v>117</v>
      </c>
      <c r="D6" s="120">
        <v>42356</v>
      </c>
      <c r="E6" s="1"/>
      <c r="F6" s="1"/>
    </row>
    <row r="7" spans="1:6">
      <c r="B7" s="1" t="s">
        <v>12</v>
      </c>
      <c r="C7" s="121">
        <v>107</v>
      </c>
      <c r="D7" s="120">
        <v>65754</v>
      </c>
      <c r="E7" s="1"/>
      <c r="F7" s="1"/>
    </row>
    <row r="8" spans="1:6">
      <c r="B8" s="1" t="s">
        <v>13</v>
      </c>
      <c r="C8" s="121">
        <v>95</v>
      </c>
      <c r="D8" s="120">
        <v>74247</v>
      </c>
      <c r="E8" s="1"/>
      <c r="F8" s="1"/>
    </row>
    <row r="9" spans="1:6">
      <c r="B9" s="1" t="s">
        <v>14</v>
      </c>
      <c r="C9" s="121">
        <v>84</v>
      </c>
      <c r="D9" s="120">
        <v>61104</v>
      </c>
      <c r="E9" s="1"/>
      <c r="F9" s="1"/>
    </row>
    <row r="10" spans="1:6">
      <c r="B10" s="1" t="s">
        <v>15</v>
      </c>
      <c r="C10" s="121">
        <v>74</v>
      </c>
      <c r="D10" s="120">
        <v>45692</v>
      </c>
      <c r="E10" s="1"/>
      <c r="F10" s="1"/>
    </row>
    <row r="11" spans="1:6">
      <c r="B11" s="1" t="s">
        <v>16</v>
      </c>
      <c r="C11" s="121">
        <v>63</v>
      </c>
      <c r="D11" s="120">
        <v>26274</v>
      </c>
      <c r="E11" s="1"/>
      <c r="F11" s="1"/>
    </row>
    <row r="12" spans="1:6">
      <c r="B12" s="1" t="s">
        <v>23</v>
      </c>
      <c r="C12" s="121">
        <v>39</v>
      </c>
      <c r="D12" s="120">
        <v>13726</v>
      </c>
    </row>
    <row r="13" spans="1:6">
      <c r="A13" t="s">
        <v>21</v>
      </c>
      <c r="B13" s="1" t="s">
        <v>24</v>
      </c>
      <c r="C13" s="121">
        <v>134</v>
      </c>
      <c r="D13" s="120">
        <v>17571</v>
      </c>
    </row>
    <row r="14" spans="1:6">
      <c r="B14" s="1" t="s">
        <v>25</v>
      </c>
      <c r="C14" s="121">
        <v>126</v>
      </c>
      <c r="D14" s="120">
        <v>23636</v>
      </c>
    </row>
    <row r="15" spans="1:6">
      <c r="B15" s="1" t="s">
        <v>26</v>
      </c>
      <c r="C15" s="121">
        <v>117</v>
      </c>
      <c r="D15" s="120">
        <v>46368</v>
      </c>
    </row>
    <row r="16" spans="1:6">
      <c r="B16" s="1" t="s">
        <v>27</v>
      </c>
      <c r="C16" s="121">
        <v>106</v>
      </c>
      <c r="D16" s="120">
        <v>64960</v>
      </c>
    </row>
    <row r="17" spans="1:4">
      <c r="B17" s="1" t="s">
        <v>28</v>
      </c>
      <c r="C17" s="121">
        <v>94</v>
      </c>
      <c r="D17" s="120">
        <v>76747</v>
      </c>
    </row>
    <row r="18" spans="1:4">
      <c r="B18" s="1" t="s">
        <v>29</v>
      </c>
      <c r="C18" s="121">
        <v>83</v>
      </c>
      <c r="D18" s="120">
        <v>59339</v>
      </c>
    </row>
    <row r="19" spans="1:4">
      <c r="B19" s="1" t="s">
        <v>30</v>
      </c>
      <c r="C19" s="121">
        <v>72</v>
      </c>
      <c r="D19" s="120">
        <v>51868</v>
      </c>
    </row>
    <row r="20" spans="1:4">
      <c r="B20" s="1" t="s">
        <v>31</v>
      </c>
      <c r="C20" s="121">
        <v>66</v>
      </c>
      <c r="D20" s="120">
        <v>23143</v>
      </c>
    </row>
    <row r="21" spans="1:4">
      <c r="B21" s="1" t="s">
        <v>22</v>
      </c>
      <c r="C21" s="121">
        <v>54</v>
      </c>
      <c r="D21" s="120">
        <v>10857</v>
      </c>
    </row>
    <row r="22" spans="1:4">
      <c r="A22" t="s">
        <v>33</v>
      </c>
      <c r="B22" s="1" t="s">
        <v>9</v>
      </c>
      <c r="C22" s="121">
        <v>90</v>
      </c>
      <c r="D22" s="120">
        <v>35593</v>
      </c>
    </row>
    <row r="23" spans="1:4">
      <c r="B23" s="1" t="s">
        <v>10</v>
      </c>
      <c r="C23" s="121">
        <v>80</v>
      </c>
      <c r="D23" s="120">
        <v>39785</v>
      </c>
    </row>
    <row r="24" spans="1:4">
      <c r="B24" s="1" t="s">
        <v>11</v>
      </c>
      <c r="C24" s="121">
        <v>70</v>
      </c>
      <c r="D24" s="120">
        <v>51676</v>
      </c>
    </row>
    <row r="25" spans="1:4">
      <c r="B25" s="1" t="s">
        <v>12</v>
      </c>
      <c r="C25" s="121">
        <v>60</v>
      </c>
      <c r="D25" s="120">
        <v>62272</v>
      </c>
    </row>
    <row r="26" spans="1:4">
      <c r="B26" s="1" t="s">
        <v>13</v>
      </c>
      <c r="C26" s="121">
        <v>50</v>
      </c>
      <c r="D26" s="120">
        <v>57123</v>
      </c>
    </row>
    <row r="27" spans="1:4">
      <c r="B27" s="1" t="s">
        <v>14</v>
      </c>
      <c r="C27" s="121">
        <v>40</v>
      </c>
      <c r="D27" s="120">
        <v>47503</v>
      </c>
    </row>
    <row r="28" spans="1:4">
      <c r="B28" s="1" t="s">
        <v>15</v>
      </c>
      <c r="C28" s="121">
        <v>30</v>
      </c>
      <c r="D28" s="120">
        <v>39974</v>
      </c>
    </row>
    <row r="29" spans="1:4">
      <c r="B29" s="1" t="s">
        <v>16</v>
      </c>
      <c r="C29" s="121">
        <v>20</v>
      </c>
      <c r="D29" s="120">
        <v>29998</v>
      </c>
    </row>
    <row r="30" spans="1:4">
      <c r="B30" s="1" t="s">
        <v>23</v>
      </c>
      <c r="C30" s="121">
        <v>0</v>
      </c>
      <c r="D30" s="120">
        <v>9558</v>
      </c>
    </row>
    <row r="31" spans="1:4">
      <c r="A31" t="s">
        <v>34</v>
      </c>
      <c r="B31" s="1" t="s">
        <v>9</v>
      </c>
      <c r="C31" s="121">
        <v>40</v>
      </c>
      <c r="D31" s="120">
        <v>32247</v>
      </c>
    </row>
    <row r="32" spans="1:4">
      <c r="B32" s="1" t="s">
        <v>25</v>
      </c>
      <c r="C32" s="121">
        <v>35</v>
      </c>
      <c r="D32" s="120">
        <v>30215</v>
      </c>
    </row>
    <row r="33" spans="1:4">
      <c r="B33" s="1" t="s">
        <v>26</v>
      </c>
      <c r="C33" s="121">
        <v>30</v>
      </c>
      <c r="D33" s="120">
        <v>42904</v>
      </c>
    </row>
    <row r="34" spans="1:4">
      <c r="B34" s="1" t="s">
        <v>27</v>
      </c>
      <c r="C34" s="121">
        <v>25</v>
      </c>
      <c r="D34" s="120">
        <v>56867</v>
      </c>
    </row>
    <row r="35" spans="1:4">
      <c r="B35" s="1" t="s">
        <v>28</v>
      </c>
      <c r="C35" s="121">
        <v>20</v>
      </c>
      <c r="D35" s="120">
        <v>67147</v>
      </c>
    </row>
    <row r="36" spans="1:4">
      <c r="B36" s="1" t="s">
        <v>29</v>
      </c>
      <c r="C36" s="121">
        <v>15</v>
      </c>
      <c r="D36" s="120">
        <v>66749</v>
      </c>
    </row>
    <row r="37" spans="1:4">
      <c r="B37" s="1" t="s">
        <v>30</v>
      </c>
      <c r="C37" s="121">
        <v>10</v>
      </c>
      <c r="D37" s="120">
        <v>51741</v>
      </c>
    </row>
    <row r="38" spans="1:4">
      <c r="B38" s="1" t="s">
        <v>31</v>
      </c>
      <c r="C38" s="121">
        <v>5</v>
      </c>
      <c r="D38" s="120">
        <v>20369</v>
      </c>
    </row>
    <row r="39" spans="1:4">
      <c r="B39" s="1" t="s">
        <v>22</v>
      </c>
      <c r="C39" s="121">
        <v>0</v>
      </c>
      <c r="D39" s="120">
        <v>2301</v>
      </c>
    </row>
    <row r="40" spans="1:4">
      <c r="A40" t="s">
        <v>35</v>
      </c>
      <c r="B40" s="1" t="s">
        <v>9</v>
      </c>
      <c r="C40" s="121">
        <v>40</v>
      </c>
      <c r="D40" s="120">
        <v>90182</v>
      </c>
    </row>
    <row r="41" spans="1:4">
      <c r="B41" s="1" t="s">
        <v>10</v>
      </c>
      <c r="C41" s="121">
        <v>35</v>
      </c>
      <c r="D41" s="120">
        <v>81612</v>
      </c>
    </row>
    <row r="42" spans="1:4">
      <c r="B42" s="1" t="s">
        <v>11</v>
      </c>
      <c r="C42" s="121">
        <v>30</v>
      </c>
      <c r="D42" s="120">
        <v>79835</v>
      </c>
    </row>
    <row r="43" spans="1:4">
      <c r="B43" s="1" t="s">
        <v>12</v>
      </c>
      <c r="C43" s="121">
        <v>25</v>
      </c>
      <c r="D43" s="120">
        <v>56371</v>
      </c>
    </row>
    <row r="44" spans="1:4">
      <c r="B44" s="1" t="s">
        <v>13</v>
      </c>
      <c r="C44" s="121">
        <v>20</v>
      </c>
      <c r="D44" s="120">
        <v>29153</v>
      </c>
    </row>
    <row r="45" spans="1:4">
      <c r="B45" s="1" t="s">
        <v>14</v>
      </c>
      <c r="C45" s="121">
        <v>15</v>
      </c>
      <c r="D45" s="120">
        <v>14358</v>
      </c>
    </row>
    <row r="46" spans="1:4">
      <c r="B46" s="1" t="s">
        <v>15</v>
      </c>
      <c r="C46" s="121">
        <v>10</v>
      </c>
      <c r="D46" s="120">
        <v>11566</v>
      </c>
    </row>
    <row r="47" spans="1:4">
      <c r="B47" s="1" t="s">
        <v>16</v>
      </c>
      <c r="C47" s="121">
        <v>5</v>
      </c>
      <c r="D47" s="120">
        <v>6957</v>
      </c>
    </row>
    <row r="48" spans="1:4">
      <c r="B48" s="1" t="s">
        <v>23</v>
      </c>
      <c r="C48" s="121">
        <v>0</v>
      </c>
      <c r="D48" s="120">
        <v>802</v>
      </c>
    </row>
    <row r="49" spans="1:4">
      <c r="A49" t="s">
        <v>36</v>
      </c>
      <c r="B49" s="1" t="s">
        <v>9</v>
      </c>
      <c r="C49" s="121">
        <v>40</v>
      </c>
      <c r="D49" s="120">
        <v>20378</v>
      </c>
    </row>
    <row r="50" spans="1:4">
      <c r="B50" s="1" t="s">
        <v>25</v>
      </c>
      <c r="C50" s="121">
        <v>35</v>
      </c>
      <c r="D50" s="120">
        <v>25095</v>
      </c>
    </row>
    <row r="51" spans="1:4">
      <c r="B51" s="1" t="s">
        <v>26</v>
      </c>
      <c r="C51" s="121">
        <v>30</v>
      </c>
      <c r="D51" s="120">
        <v>38284</v>
      </c>
    </row>
    <row r="52" spans="1:4">
      <c r="B52" s="1" t="s">
        <v>27</v>
      </c>
      <c r="C52" s="121">
        <v>25</v>
      </c>
      <c r="D52" s="120">
        <v>51246</v>
      </c>
    </row>
    <row r="53" spans="1:4">
      <c r="B53" s="1" t="s">
        <v>28</v>
      </c>
      <c r="C53" s="121">
        <v>20</v>
      </c>
      <c r="D53" s="120">
        <v>62476</v>
      </c>
    </row>
    <row r="54" spans="1:4">
      <c r="B54" s="1" t="s">
        <v>29</v>
      </c>
      <c r="C54" s="121">
        <v>15</v>
      </c>
      <c r="D54" s="120">
        <v>67848</v>
      </c>
    </row>
    <row r="55" spans="1:4">
      <c r="B55" s="1" t="s">
        <v>30</v>
      </c>
      <c r="C55" s="121">
        <v>10</v>
      </c>
      <c r="D55" s="120">
        <v>68841</v>
      </c>
    </row>
    <row r="56" spans="1:4">
      <c r="B56" s="1" t="s">
        <v>31</v>
      </c>
      <c r="C56" s="121">
        <v>5</v>
      </c>
      <c r="D56" s="120">
        <v>31067</v>
      </c>
    </row>
    <row r="57" spans="1:4">
      <c r="B57" s="1" t="s">
        <v>22</v>
      </c>
      <c r="C57" s="121">
        <v>0</v>
      </c>
      <c r="D57" s="120">
        <v>5165</v>
      </c>
    </row>
  </sheetData>
  <mergeCells count="1">
    <mergeCell ref="C3:D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3C3CE-17EB-47DF-B598-C7487F2B56E7}">
  <sheetPr codeName="Sheet3"/>
  <dimension ref="A1:P102"/>
  <sheetViews>
    <sheetView workbookViewId="0">
      <selection activeCell="A5" sqref="A5:J100"/>
    </sheetView>
  </sheetViews>
  <sheetFormatPr defaultRowHeight="17"/>
  <sheetData>
    <row r="1" spans="1:16">
      <c r="A1" s="10"/>
    </row>
    <row r="2" spans="1:16" ht="17.5" thickBot="1"/>
    <row r="3" spans="1:16">
      <c r="A3" s="37" t="s">
        <v>8</v>
      </c>
      <c r="B3" s="38"/>
      <c r="C3" s="38"/>
      <c r="D3" s="39"/>
      <c r="F3" s="37" t="s">
        <v>17</v>
      </c>
      <c r="G3" s="38"/>
      <c r="H3" s="38"/>
      <c r="I3" s="39"/>
    </row>
    <row r="4" spans="1:16">
      <c r="A4" s="3" t="s">
        <v>6</v>
      </c>
      <c r="B4" s="1"/>
      <c r="C4" s="1"/>
      <c r="D4" s="4" t="s">
        <v>7</v>
      </c>
      <c r="E4" s="11"/>
      <c r="F4" s="1" t="s">
        <v>6</v>
      </c>
      <c r="G4" s="1"/>
      <c r="H4" s="1"/>
      <c r="I4" s="4" t="s">
        <v>7</v>
      </c>
      <c r="L4" s="1"/>
      <c r="M4" s="1"/>
      <c r="O4" s="1"/>
      <c r="P4" s="1"/>
    </row>
    <row r="5" spans="1:16">
      <c r="A5" s="122">
        <v>136</v>
      </c>
      <c r="B5" s="123">
        <v>1922</v>
      </c>
      <c r="C5" s="123">
        <v>2299</v>
      </c>
      <c r="D5" s="123">
        <v>4296</v>
      </c>
      <c r="E5" s="123">
        <v>4296</v>
      </c>
      <c r="F5" s="122">
        <v>145</v>
      </c>
      <c r="G5" s="123">
        <v>1183</v>
      </c>
      <c r="H5" s="123">
        <v>564</v>
      </c>
      <c r="I5" s="123">
        <v>1774</v>
      </c>
      <c r="J5" s="123">
        <v>1774</v>
      </c>
      <c r="L5" s="1"/>
      <c r="M5" s="1"/>
      <c r="O5" s="1"/>
      <c r="P5" s="1"/>
    </row>
    <row r="6" spans="1:16">
      <c r="A6" s="122">
        <v>134</v>
      </c>
      <c r="B6" s="123">
        <v>2075</v>
      </c>
      <c r="C6" s="123">
        <v>2355</v>
      </c>
      <c r="D6" s="123">
        <v>4511</v>
      </c>
      <c r="E6" s="123">
        <v>8807</v>
      </c>
      <c r="F6" s="122">
        <v>143</v>
      </c>
      <c r="G6" s="123">
        <v>191</v>
      </c>
      <c r="H6" s="123">
        <v>78</v>
      </c>
      <c r="I6" s="123">
        <v>271</v>
      </c>
      <c r="J6" s="123">
        <v>2045</v>
      </c>
      <c r="L6" s="1"/>
      <c r="M6" s="1"/>
      <c r="O6" s="1"/>
      <c r="P6" s="1"/>
    </row>
    <row r="7" spans="1:16">
      <c r="A7" s="122">
        <v>133</v>
      </c>
      <c r="B7" s="123">
        <v>952</v>
      </c>
      <c r="C7" s="123">
        <v>1427</v>
      </c>
      <c r="D7" s="123">
        <v>2435</v>
      </c>
      <c r="E7" s="123">
        <v>11242</v>
      </c>
      <c r="F7" s="122">
        <v>142</v>
      </c>
      <c r="G7" s="123">
        <v>1754</v>
      </c>
      <c r="H7" s="123">
        <v>981</v>
      </c>
      <c r="I7" s="123">
        <v>2782</v>
      </c>
      <c r="J7" s="123">
        <v>4827</v>
      </c>
      <c r="L7" s="1"/>
      <c r="M7" s="1"/>
      <c r="O7" s="1"/>
      <c r="P7" s="1"/>
    </row>
    <row r="8" spans="1:16">
      <c r="A8" s="122">
        <v>132</v>
      </c>
      <c r="B8" s="123">
        <v>1606</v>
      </c>
      <c r="C8" s="123">
        <v>1829</v>
      </c>
      <c r="D8" s="123">
        <v>3498</v>
      </c>
      <c r="E8" s="123">
        <v>14740</v>
      </c>
      <c r="F8" s="122">
        <v>141</v>
      </c>
      <c r="G8" s="123">
        <v>2</v>
      </c>
      <c r="H8" s="123">
        <v>5</v>
      </c>
      <c r="I8" s="123">
        <v>7</v>
      </c>
      <c r="J8" s="123">
        <v>4834</v>
      </c>
      <c r="L8" s="1"/>
      <c r="M8" s="1"/>
      <c r="O8" s="1"/>
      <c r="P8" s="1"/>
    </row>
    <row r="9" spans="1:16">
      <c r="A9" s="122">
        <v>131</v>
      </c>
      <c r="B9" s="123">
        <v>1664</v>
      </c>
      <c r="C9" s="123">
        <v>2531</v>
      </c>
      <c r="D9" s="123">
        <v>4281</v>
      </c>
      <c r="E9" s="123">
        <v>19021</v>
      </c>
      <c r="F9" s="122">
        <v>140</v>
      </c>
      <c r="G9" s="123">
        <v>41</v>
      </c>
      <c r="H9" s="123">
        <v>17</v>
      </c>
      <c r="I9" s="123">
        <v>58</v>
      </c>
      <c r="J9" s="123">
        <v>4892</v>
      </c>
      <c r="L9" s="1"/>
      <c r="M9" s="1"/>
      <c r="O9" s="1"/>
      <c r="P9" s="1"/>
    </row>
    <row r="10" spans="1:16">
      <c r="A10" s="122">
        <v>130</v>
      </c>
      <c r="B10" s="123">
        <v>1524</v>
      </c>
      <c r="C10" s="123">
        <v>1862</v>
      </c>
      <c r="D10" s="123">
        <v>3452</v>
      </c>
      <c r="E10" s="123">
        <v>22473</v>
      </c>
      <c r="F10" s="122">
        <v>139</v>
      </c>
      <c r="G10" s="123">
        <v>368</v>
      </c>
      <c r="H10" s="123">
        <v>217</v>
      </c>
      <c r="I10" s="123">
        <v>590</v>
      </c>
      <c r="J10" s="123">
        <v>5482</v>
      </c>
      <c r="L10" s="1"/>
      <c r="M10" s="1"/>
      <c r="O10" s="1"/>
      <c r="P10" s="1"/>
    </row>
    <row r="11" spans="1:16">
      <c r="A11" s="122">
        <v>129</v>
      </c>
      <c r="B11" s="123">
        <v>1988</v>
      </c>
      <c r="C11" s="123">
        <v>2830</v>
      </c>
      <c r="D11" s="123">
        <v>4895</v>
      </c>
      <c r="E11" s="123">
        <v>27368</v>
      </c>
      <c r="F11" s="122">
        <v>138</v>
      </c>
      <c r="G11" s="123">
        <v>2577</v>
      </c>
      <c r="H11" s="123">
        <v>1713</v>
      </c>
      <c r="I11" s="123">
        <v>4365</v>
      </c>
      <c r="J11" s="123">
        <v>9847</v>
      </c>
      <c r="L11" s="1"/>
      <c r="M11" s="1"/>
      <c r="O11" s="1"/>
      <c r="P11" s="1"/>
    </row>
    <row r="12" spans="1:16">
      <c r="A12" s="122">
        <v>128</v>
      </c>
      <c r="B12" s="123">
        <v>1576</v>
      </c>
      <c r="C12" s="123">
        <v>2202</v>
      </c>
      <c r="D12" s="123">
        <v>3841</v>
      </c>
      <c r="E12" s="123">
        <v>31209</v>
      </c>
      <c r="F12" s="122">
        <v>137</v>
      </c>
      <c r="G12" s="123">
        <v>10</v>
      </c>
      <c r="H12" s="123">
        <v>4</v>
      </c>
      <c r="I12" s="123">
        <v>15</v>
      </c>
      <c r="J12" s="123">
        <v>9862</v>
      </c>
      <c r="L12" s="1"/>
      <c r="M12" s="1"/>
      <c r="O12" s="1"/>
      <c r="P12" s="1"/>
    </row>
    <row r="13" spans="1:16">
      <c r="A13" s="122">
        <v>127</v>
      </c>
      <c r="B13" s="123">
        <v>2149</v>
      </c>
      <c r="C13" s="123">
        <v>2770</v>
      </c>
      <c r="D13" s="123">
        <v>5017</v>
      </c>
      <c r="E13" s="123">
        <v>36226</v>
      </c>
      <c r="F13" s="122">
        <v>136</v>
      </c>
      <c r="G13" s="123">
        <v>101</v>
      </c>
      <c r="H13" s="123">
        <v>60</v>
      </c>
      <c r="I13" s="123">
        <v>167</v>
      </c>
      <c r="J13" s="123">
        <v>10029</v>
      </c>
      <c r="L13" s="1"/>
      <c r="M13" s="1"/>
      <c r="O13" s="1"/>
      <c r="P13" s="1"/>
    </row>
    <row r="14" spans="1:16">
      <c r="A14" s="122">
        <v>126</v>
      </c>
      <c r="B14" s="123">
        <v>1895</v>
      </c>
      <c r="C14" s="123">
        <v>2526</v>
      </c>
      <c r="D14" s="123">
        <v>4497</v>
      </c>
      <c r="E14" s="123">
        <v>40723</v>
      </c>
      <c r="F14" s="122">
        <v>135</v>
      </c>
      <c r="G14" s="123">
        <v>787</v>
      </c>
      <c r="H14" s="123">
        <v>527</v>
      </c>
      <c r="I14" s="123">
        <v>1340</v>
      </c>
      <c r="J14" s="123">
        <v>11369</v>
      </c>
      <c r="L14" s="1"/>
      <c r="M14" s="1"/>
      <c r="O14" s="1"/>
      <c r="P14" s="1"/>
    </row>
    <row r="15" spans="1:16">
      <c r="A15" s="122">
        <v>125</v>
      </c>
      <c r="B15" s="123">
        <v>2031</v>
      </c>
      <c r="C15" s="123">
        <v>2783</v>
      </c>
      <c r="D15" s="123">
        <v>4886</v>
      </c>
      <c r="E15" s="123">
        <v>45609</v>
      </c>
      <c r="F15" s="122">
        <v>134</v>
      </c>
      <c r="G15" s="123">
        <v>3479</v>
      </c>
      <c r="H15" s="123">
        <v>2614</v>
      </c>
      <c r="I15" s="123">
        <v>6202</v>
      </c>
      <c r="J15" s="123">
        <v>17571</v>
      </c>
      <c r="L15" s="1"/>
      <c r="M15" s="1"/>
      <c r="O15" s="1"/>
      <c r="P15" s="1"/>
    </row>
    <row r="16" spans="1:16">
      <c r="A16" s="122">
        <v>124</v>
      </c>
      <c r="B16" s="123">
        <v>2045</v>
      </c>
      <c r="C16" s="123">
        <v>2833</v>
      </c>
      <c r="D16" s="123">
        <v>4951</v>
      </c>
      <c r="E16" s="123">
        <v>50560</v>
      </c>
      <c r="F16" s="122">
        <v>133</v>
      </c>
      <c r="G16" s="123">
        <v>254</v>
      </c>
      <c r="H16" s="123">
        <v>153</v>
      </c>
      <c r="I16" s="123">
        <v>413</v>
      </c>
      <c r="J16" s="123">
        <v>17984</v>
      </c>
      <c r="L16" s="1"/>
      <c r="M16" s="1"/>
      <c r="O16" s="1"/>
      <c r="P16" s="1"/>
    </row>
    <row r="17" spans="1:16">
      <c r="A17" s="122">
        <v>123</v>
      </c>
      <c r="B17" s="123">
        <v>2078</v>
      </c>
      <c r="C17" s="123">
        <v>2836</v>
      </c>
      <c r="D17" s="123">
        <v>4992</v>
      </c>
      <c r="E17" s="123">
        <v>55552</v>
      </c>
      <c r="F17" s="122">
        <v>132</v>
      </c>
      <c r="G17" s="123">
        <v>1434</v>
      </c>
      <c r="H17" s="123">
        <v>1088</v>
      </c>
      <c r="I17" s="123">
        <v>2573</v>
      </c>
      <c r="J17" s="123">
        <v>20557</v>
      </c>
      <c r="L17" s="1"/>
      <c r="M17" s="1"/>
      <c r="O17" s="1"/>
      <c r="P17" s="1"/>
    </row>
    <row r="18" spans="1:16">
      <c r="A18" s="122">
        <v>122</v>
      </c>
      <c r="B18" s="123">
        <v>2238</v>
      </c>
      <c r="C18" s="123">
        <v>2993</v>
      </c>
      <c r="D18" s="123">
        <v>5330</v>
      </c>
      <c r="E18" s="123">
        <v>60882</v>
      </c>
      <c r="F18" s="122">
        <v>131</v>
      </c>
      <c r="G18" s="123">
        <v>4033</v>
      </c>
      <c r="H18" s="123">
        <v>3208</v>
      </c>
      <c r="I18" s="123">
        <v>7371</v>
      </c>
      <c r="J18" s="123">
        <v>27928</v>
      </c>
      <c r="L18" s="1"/>
      <c r="M18" s="1"/>
      <c r="O18" s="1"/>
      <c r="P18" s="1"/>
    </row>
    <row r="19" spans="1:16">
      <c r="A19" s="122">
        <v>121</v>
      </c>
      <c r="B19" s="123">
        <v>2121</v>
      </c>
      <c r="C19" s="123">
        <v>2821</v>
      </c>
      <c r="D19" s="123">
        <v>5031</v>
      </c>
      <c r="E19" s="123">
        <v>65913</v>
      </c>
      <c r="F19" s="122">
        <v>130</v>
      </c>
      <c r="G19" s="123">
        <v>70</v>
      </c>
      <c r="H19" s="123">
        <v>41</v>
      </c>
      <c r="I19" s="123">
        <v>112</v>
      </c>
      <c r="J19" s="123">
        <v>28040</v>
      </c>
      <c r="L19" s="1"/>
      <c r="M19" s="1"/>
      <c r="O19" s="1"/>
      <c r="P19" s="1"/>
    </row>
    <row r="20" spans="1:16">
      <c r="A20" s="122">
        <v>120</v>
      </c>
      <c r="B20" s="123">
        <v>2273</v>
      </c>
      <c r="C20" s="123">
        <v>3148</v>
      </c>
      <c r="D20" s="123">
        <v>5510</v>
      </c>
      <c r="E20" s="123">
        <v>71423</v>
      </c>
      <c r="F20" s="122">
        <v>129</v>
      </c>
      <c r="G20" s="123">
        <v>496</v>
      </c>
      <c r="H20" s="123">
        <v>323</v>
      </c>
      <c r="I20" s="123">
        <v>839</v>
      </c>
      <c r="J20" s="123">
        <v>28879</v>
      </c>
      <c r="L20" s="1"/>
      <c r="M20" s="1"/>
      <c r="O20" s="1"/>
      <c r="P20" s="1"/>
    </row>
    <row r="21" spans="1:16">
      <c r="A21" s="122">
        <v>119</v>
      </c>
      <c r="B21" s="123">
        <v>2264</v>
      </c>
      <c r="C21" s="123">
        <v>2929</v>
      </c>
      <c r="D21" s="123">
        <v>5298</v>
      </c>
      <c r="E21" s="123">
        <v>76721</v>
      </c>
      <c r="F21" s="122">
        <v>128</v>
      </c>
      <c r="G21" s="123">
        <v>2335</v>
      </c>
      <c r="H21" s="123">
        <v>1844</v>
      </c>
      <c r="I21" s="123">
        <v>4253</v>
      </c>
      <c r="J21" s="123">
        <v>33132</v>
      </c>
      <c r="L21" s="1"/>
      <c r="M21" s="1"/>
      <c r="O21" s="1"/>
      <c r="P21" s="1"/>
    </row>
    <row r="22" spans="1:16">
      <c r="A22" s="122">
        <v>118</v>
      </c>
      <c r="B22" s="123">
        <v>2376</v>
      </c>
      <c r="C22" s="123">
        <v>3129</v>
      </c>
      <c r="D22" s="123">
        <v>5596</v>
      </c>
      <c r="E22" s="123">
        <v>82317</v>
      </c>
      <c r="F22" s="122">
        <v>127</v>
      </c>
      <c r="G22" s="123">
        <v>4082</v>
      </c>
      <c r="H22" s="123">
        <v>3563</v>
      </c>
      <c r="I22" s="123">
        <v>7793</v>
      </c>
      <c r="J22" s="123">
        <v>40925</v>
      </c>
      <c r="L22" s="1"/>
      <c r="M22" s="1"/>
      <c r="O22" s="1"/>
      <c r="P22" s="1"/>
    </row>
    <row r="23" spans="1:16">
      <c r="A23" s="122">
        <v>117</v>
      </c>
      <c r="B23" s="123">
        <v>2390</v>
      </c>
      <c r="C23" s="123">
        <v>3170</v>
      </c>
      <c r="D23" s="123">
        <v>5648</v>
      </c>
      <c r="E23" s="123">
        <v>87965</v>
      </c>
      <c r="F23" s="122">
        <v>126</v>
      </c>
      <c r="G23" s="123">
        <v>161</v>
      </c>
      <c r="H23" s="123">
        <v>119</v>
      </c>
      <c r="I23" s="123">
        <v>282</v>
      </c>
      <c r="J23" s="123">
        <v>41207</v>
      </c>
      <c r="L23" s="1"/>
      <c r="M23" s="1"/>
      <c r="O23" s="1"/>
      <c r="P23" s="1"/>
    </row>
    <row r="24" spans="1:16">
      <c r="A24" s="122">
        <v>116</v>
      </c>
      <c r="B24" s="123">
        <v>2395</v>
      </c>
      <c r="C24" s="123">
        <v>3101</v>
      </c>
      <c r="D24" s="123">
        <v>5586</v>
      </c>
      <c r="E24" s="123">
        <v>93551</v>
      </c>
      <c r="F24" s="122">
        <v>125</v>
      </c>
      <c r="G24" s="123">
        <v>930</v>
      </c>
      <c r="H24" s="123">
        <v>725</v>
      </c>
      <c r="I24" s="123">
        <v>1689</v>
      </c>
      <c r="J24" s="123">
        <v>42896</v>
      </c>
      <c r="L24" s="1"/>
      <c r="M24" s="1"/>
      <c r="O24" s="1"/>
      <c r="P24" s="1"/>
    </row>
    <row r="25" spans="1:16">
      <c r="A25" s="122">
        <v>115</v>
      </c>
      <c r="B25" s="123">
        <v>4935</v>
      </c>
      <c r="C25" s="123">
        <v>6482</v>
      </c>
      <c r="D25" s="123">
        <v>11614</v>
      </c>
      <c r="E25" s="123">
        <v>105165</v>
      </c>
      <c r="F25" s="122">
        <v>124</v>
      </c>
      <c r="G25" s="123">
        <v>3244</v>
      </c>
      <c r="H25" s="123">
        <v>2954</v>
      </c>
      <c r="I25" s="123">
        <v>6304</v>
      </c>
      <c r="J25" s="123">
        <v>49200</v>
      </c>
      <c r="L25" s="1"/>
      <c r="M25" s="1"/>
      <c r="O25" s="1"/>
      <c r="P25" s="1"/>
    </row>
    <row r="26" spans="1:16">
      <c r="A26" s="122">
        <v>114</v>
      </c>
      <c r="B26" s="123">
        <v>2572</v>
      </c>
      <c r="C26" s="123">
        <v>3318</v>
      </c>
      <c r="D26" s="123">
        <v>5989</v>
      </c>
      <c r="E26" s="123">
        <v>111154</v>
      </c>
      <c r="F26" s="122">
        <v>123</v>
      </c>
      <c r="G26" s="123">
        <v>3973</v>
      </c>
      <c r="H26" s="123">
        <v>3727</v>
      </c>
      <c r="I26" s="123">
        <v>7819</v>
      </c>
      <c r="J26" s="123">
        <v>57019</v>
      </c>
      <c r="L26" s="1"/>
      <c r="M26" s="1"/>
      <c r="O26" s="1"/>
      <c r="P26" s="1"/>
    </row>
    <row r="27" spans="1:16">
      <c r="A27" s="122">
        <v>113</v>
      </c>
      <c r="B27" s="123">
        <v>2601</v>
      </c>
      <c r="C27" s="123">
        <v>3167</v>
      </c>
      <c r="D27" s="123">
        <v>5868</v>
      </c>
      <c r="E27" s="123">
        <v>117022</v>
      </c>
      <c r="F27" s="122">
        <v>122</v>
      </c>
      <c r="G27" s="123">
        <v>1655</v>
      </c>
      <c r="H27" s="123">
        <v>1483</v>
      </c>
      <c r="I27" s="123">
        <v>3214</v>
      </c>
      <c r="J27" s="123">
        <v>60233</v>
      </c>
      <c r="L27" s="1"/>
      <c r="M27" s="1"/>
      <c r="O27" s="1"/>
      <c r="P27" s="1"/>
    </row>
    <row r="28" spans="1:16">
      <c r="A28" s="122">
        <v>112</v>
      </c>
      <c r="B28" s="123">
        <v>2519</v>
      </c>
      <c r="C28" s="123">
        <v>3362</v>
      </c>
      <c r="D28" s="123">
        <v>5991</v>
      </c>
      <c r="E28" s="123">
        <v>123013</v>
      </c>
      <c r="F28" s="122">
        <v>121</v>
      </c>
      <c r="G28" s="123">
        <v>3838</v>
      </c>
      <c r="H28" s="123">
        <v>3471</v>
      </c>
      <c r="I28" s="123">
        <v>7436</v>
      </c>
      <c r="J28" s="123">
        <v>67669</v>
      </c>
      <c r="L28" s="1"/>
      <c r="M28" s="1"/>
      <c r="O28" s="1"/>
      <c r="P28" s="1"/>
    </row>
    <row r="29" spans="1:16">
      <c r="A29" s="122">
        <v>111</v>
      </c>
      <c r="B29" s="123">
        <v>2718</v>
      </c>
      <c r="C29" s="123">
        <v>3251</v>
      </c>
      <c r="D29" s="123">
        <v>6061</v>
      </c>
      <c r="E29" s="123">
        <v>129074</v>
      </c>
      <c r="F29" s="122">
        <v>120</v>
      </c>
      <c r="G29" s="123">
        <v>2739</v>
      </c>
      <c r="H29" s="123">
        <v>2791</v>
      </c>
      <c r="I29" s="123">
        <v>5625</v>
      </c>
      <c r="J29" s="123">
        <v>73294</v>
      </c>
      <c r="L29" s="1"/>
      <c r="M29" s="1"/>
      <c r="O29" s="1"/>
      <c r="P29" s="1"/>
    </row>
    <row r="30" spans="1:16">
      <c r="A30" s="122">
        <v>110</v>
      </c>
      <c r="B30" s="123">
        <v>2632</v>
      </c>
      <c r="C30" s="123">
        <v>3320</v>
      </c>
      <c r="D30" s="123">
        <v>6065</v>
      </c>
      <c r="E30" s="123">
        <v>135139</v>
      </c>
      <c r="F30" s="122">
        <v>119</v>
      </c>
      <c r="G30" s="123">
        <v>784</v>
      </c>
      <c r="H30" s="123">
        <v>591</v>
      </c>
      <c r="I30" s="123">
        <v>1398</v>
      </c>
      <c r="J30" s="123">
        <v>74692</v>
      </c>
      <c r="L30" s="1"/>
      <c r="M30" s="1"/>
      <c r="O30" s="1"/>
      <c r="P30" s="1"/>
    </row>
    <row r="31" spans="1:16">
      <c r="A31" s="122">
        <v>109</v>
      </c>
      <c r="B31" s="123">
        <v>2718</v>
      </c>
      <c r="C31" s="123">
        <v>3404</v>
      </c>
      <c r="D31" s="123">
        <v>6231</v>
      </c>
      <c r="E31" s="123">
        <v>141370</v>
      </c>
      <c r="F31" s="122">
        <v>118</v>
      </c>
      <c r="G31" s="123">
        <v>2584</v>
      </c>
      <c r="H31" s="123">
        <v>2256</v>
      </c>
      <c r="I31" s="123">
        <v>4931</v>
      </c>
      <c r="J31" s="123">
        <v>79623</v>
      </c>
      <c r="L31" s="1"/>
      <c r="M31" s="1"/>
      <c r="O31" s="1"/>
      <c r="P31" s="1"/>
    </row>
    <row r="32" spans="1:16">
      <c r="A32" s="122">
        <v>108</v>
      </c>
      <c r="B32" s="123">
        <v>2734</v>
      </c>
      <c r="C32" s="123">
        <v>3308</v>
      </c>
      <c r="D32" s="123">
        <v>6167</v>
      </c>
      <c r="E32" s="123">
        <v>147537</v>
      </c>
      <c r="F32" s="122">
        <v>117</v>
      </c>
      <c r="G32" s="123">
        <v>3893</v>
      </c>
      <c r="H32" s="123">
        <v>3896</v>
      </c>
      <c r="I32" s="123">
        <v>7952</v>
      </c>
      <c r="J32" s="123">
        <v>87575</v>
      </c>
      <c r="L32" s="1"/>
      <c r="M32" s="1"/>
      <c r="O32" s="1"/>
      <c r="P32" s="1"/>
    </row>
    <row r="33" spans="1:16">
      <c r="A33" s="122">
        <v>107</v>
      </c>
      <c r="B33" s="123">
        <v>2754</v>
      </c>
      <c r="C33" s="123">
        <v>3309</v>
      </c>
      <c r="D33" s="123">
        <v>6182</v>
      </c>
      <c r="E33" s="123">
        <v>153719</v>
      </c>
      <c r="F33" s="122">
        <v>116</v>
      </c>
      <c r="G33" s="123">
        <v>2032</v>
      </c>
      <c r="H33" s="123">
        <v>2060</v>
      </c>
      <c r="I33" s="123">
        <v>4169</v>
      </c>
      <c r="J33" s="123">
        <v>91744</v>
      </c>
      <c r="L33" s="1"/>
      <c r="M33" s="1"/>
      <c r="O33" s="1"/>
      <c r="P33" s="1"/>
    </row>
    <row r="34" spans="1:16">
      <c r="A34" s="122">
        <v>106</v>
      </c>
      <c r="B34" s="123">
        <v>2818</v>
      </c>
      <c r="C34" s="123">
        <v>3206</v>
      </c>
      <c r="D34" s="123">
        <v>6146</v>
      </c>
      <c r="E34" s="123">
        <v>159865</v>
      </c>
      <c r="F34" s="122">
        <v>115</v>
      </c>
      <c r="G34" s="123">
        <v>1459</v>
      </c>
      <c r="H34" s="123">
        <v>1330</v>
      </c>
      <c r="I34" s="123">
        <v>2835</v>
      </c>
      <c r="J34" s="123">
        <v>94579</v>
      </c>
      <c r="L34" s="1"/>
      <c r="M34" s="1"/>
      <c r="O34" s="1"/>
      <c r="P34" s="1"/>
    </row>
    <row r="35" spans="1:16">
      <c r="A35" s="122">
        <v>105</v>
      </c>
      <c r="B35" s="123">
        <v>2831</v>
      </c>
      <c r="C35" s="123">
        <v>3348</v>
      </c>
      <c r="D35" s="123">
        <v>6297</v>
      </c>
      <c r="E35" s="123">
        <v>166162</v>
      </c>
      <c r="F35" s="122">
        <v>114</v>
      </c>
      <c r="G35" s="123">
        <v>3375</v>
      </c>
      <c r="H35" s="123">
        <v>3243</v>
      </c>
      <c r="I35" s="123">
        <v>6747</v>
      </c>
      <c r="J35" s="123">
        <v>101326</v>
      </c>
      <c r="L35" s="1"/>
      <c r="M35" s="1"/>
      <c r="O35" s="1"/>
      <c r="P35" s="1"/>
    </row>
    <row r="36" spans="1:16">
      <c r="A36" s="122">
        <v>104</v>
      </c>
      <c r="B36" s="123">
        <v>2767</v>
      </c>
      <c r="C36" s="123">
        <v>3323</v>
      </c>
      <c r="D36" s="123">
        <v>6219</v>
      </c>
      <c r="E36" s="123">
        <v>172381</v>
      </c>
      <c r="F36" s="122">
        <v>113</v>
      </c>
      <c r="G36" s="123">
        <v>5118</v>
      </c>
      <c r="H36" s="123">
        <v>5269</v>
      </c>
      <c r="I36" s="123">
        <v>10565</v>
      </c>
      <c r="J36" s="123">
        <v>111891</v>
      </c>
      <c r="L36" s="1"/>
      <c r="M36" s="1"/>
      <c r="O36" s="1"/>
      <c r="P36" s="1"/>
    </row>
    <row r="37" spans="1:16">
      <c r="A37" s="122">
        <v>103</v>
      </c>
      <c r="B37" s="123">
        <v>2930</v>
      </c>
      <c r="C37" s="123">
        <v>3289</v>
      </c>
      <c r="D37" s="123">
        <v>6333</v>
      </c>
      <c r="E37" s="123">
        <v>178714</v>
      </c>
      <c r="F37" s="122">
        <v>112</v>
      </c>
      <c r="G37" s="123">
        <v>2366</v>
      </c>
      <c r="H37" s="123">
        <v>2141</v>
      </c>
      <c r="I37" s="123">
        <v>4583</v>
      </c>
      <c r="J37" s="123">
        <v>116474</v>
      </c>
      <c r="L37" s="1"/>
      <c r="M37" s="1"/>
      <c r="O37" s="1"/>
      <c r="P37" s="1"/>
    </row>
    <row r="38" spans="1:16">
      <c r="A38" s="122">
        <v>102</v>
      </c>
      <c r="B38" s="123">
        <v>2903</v>
      </c>
      <c r="C38" s="123">
        <v>3186</v>
      </c>
      <c r="D38" s="123">
        <v>6230</v>
      </c>
      <c r="E38" s="123">
        <v>184944</v>
      </c>
      <c r="F38" s="122">
        <v>111</v>
      </c>
      <c r="G38" s="123">
        <v>3657</v>
      </c>
      <c r="H38" s="123">
        <v>3706</v>
      </c>
      <c r="I38" s="123">
        <v>7488</v>
      </c>
      <c r="J38" s="123">
        <v>123962</v>
      </c>
      <c r="L38" s="1"/>
      <c r="M38" s="1"/>
      <c r="O38" s="1"/>
      <c r="P38" s="1"/>
    </row>
    <row r="39" spans="1:16">
      <c r="A39" s="122">
        <v>101</v>
      </c>
      <c r="B39" s="123">
        <v>3005</v>
      </c>
      <c r="C39" s="123">
        <v>3227</v>
      </c>
      <c r="D39" s="123">
        <v>6344</v>
      </c>
      <c r="E39" s="123">
        <v>191288</v>
      </c>
      <c r="F39" s="122">
        <v>110</v>
      </c>
      <c r="G39" s="123">
        <v>2829</v>
      </c>
      <c r="H39" s="123">
        <v>3015</v>
      </c>
      <c r="I39" s="123">
        <v>5976</v>
      </c>
      <c r="J39" s="123">
        <v>129938</v>
      </c>
      <c r="L39" s="1"/>
      <c r="M39" s="1"/>
      <c r="O39" s="1"/>
      <c r="P39" s="1"/>
    </row>
    <row r="40" spans="1:16">
      <c r="A40" s="122">
        <v>100</v>
      </c>
      <c r="B40" s="123">
        <v>2907</v>
      </c>
      <c r="C40" s="123">
        <v>3169</v>
      </c>
      <c r="D40" s="123">
        <v>6192</v>
      </c>
      <c r="E40" s="123">
        <v>197480</v>
      </c>
      <c r="F40" s="122">
        <v>109</v>
      </c>
      <c r="G40" s="123">
        <v>2049</v>
      </c>
      <c r="H40" s="123">
        <v>1892</v>
      </c>
      <c r="I40" s="123">
        <v>4014</v>
      </c>
      <c r="J40" s="123">
        <v>133952</v>
      </c>
      <c r="L40" s="1"/>
      <c r="M40" s="1"/>
      <c r="O40" s="1"/>
      <c r="P40" s="1"/>
    </row>
    <row r="41" spans="1:16">
      <c r="A41" s="122">
        <v>99</v>
      </c>
      <c r="B41" s="123">
        <v>2908</v>
      </c>
      <c r="C41" s="123">
        <v>3110</v>
      </c>
      <c r="D41" s="123">
        <v>6126</v>
      </c>
      <c r="E41" s="123">
        <v>203606</v>
      </c>
      <c r="F41" s="122">
        <v>108</v>
      </c>
      <c r="G41" s="123">
        <v>3176</v>
      </c>
      <c r="H41" s="123">
        <v>3082</v>
      </c>
      <c r="I41" s="123">
        <v>6357</v>
      </c>
      <c r="J41" s="123">
        <v>140309</v>
      </c>
      <c r="L41" s="1"/>
      <c r="M41" s="1"/>
      <c r="O41" s="1"/>
      <c r="P41" s="1"/>
    </row>
    <row r="42" spans="1:16">
      <c r="A42" s="122">
        <v>98</v>
      </c>
      <c r="B42" s="123">
        <v>2945</v>
      </c>
      <c r="C42" s="123">
        <v>3176</v>
      </c>
      <c r="D42" s="123">
        <v>6234</v>
      </c>
      <c r="E42" s="123">
        <v>209840</v>
      </c>
      <c r="F42" s="122">
        <v>107</v>
      </c>
      <c r="G42" s="123">
        <v>3562</v>
      </c>
      <c r="H42" s="123">
        <v>3660</v>
      </c>
      <c r="I42" s="123">
        <v>7330</v>
      </c>
      <c r="J42" s="123">
        <v>147639</v>
      </c>
      <c r="L42" s="1"/>
      <c r="M42" s="1"/>
      <c r="O42" s="1"/>
      <c r="P42" s="1"/>
    </row>
    <row r="43" spans="1:16">
      <c r="A43" s="122">
        <v>97</v>
      </c>
      <c r="B43" s="123">
        <v>2964</v>
      </c>
      <c r="C43" s="123">
        <v>2981</v>
      </c>
      <c r="D43" s="123">
        <v>6053</v>
      </c>
      <c r="E43" s="123">
        <v>215893</v>
      </c>
      <c r="F43" s="122">
        <v>106</v>
      </c>
      <c r="G43" s="123">
        <v>2382</v>
      </c>
      <c r="H43" s="123">
        <v>2429</v>
      </c>
      <c r="I43" s="123">
        <v>4896</v>
      </c>
      <c r="J43" s="123">
        <v>152535</v>
      </c>
      <c r="L43" s="1"/>
      <c r="M43" s="1"/>
      <c r="O43" s="1"/>
      <c r="P43" s="1"/>
    </row>
    <row r="44" spans="1:16">
      <c r="A44" s="122">
        <v>96</v>
      </c>
      <c r="B44" s="123">
        <v>2902</v>
      </c>
      <c r="C44" s="123">
        <v>2956</v>
      </c>
      <c r="D44" s="123">
        <v>5976</v>
      </c>
      <c r="E44" s="123">
        <v>221869</v>
      </c>
      <c r="F44" s="122">
        <v>105</v>
      </c>
      <c r="G44" s="123">
        <v>2614</v>
      </c>
      <c r="H44" s="123">
        <v>2545</v>
      </c>
      <c r="I44" s="123">
        <v>5243</v>
      </c>
      <c r="J44" s="123">
        <v>157778</v>
      </c>
      <c r="L44" s="1"/>
      <c r="M44" s="1"/>
      <c r="O44" s="1"/>
      <c r="P44" s="1"/>
    </row>
    <row r="45" spans="1:16">
      <c r="A45" s="122">
        <v>95</v>
      </c>
      <c r="B45" s="123">
        <v>2956</v>
      </c>
      <c r="C45" s="123">
        <v>3022</v>
      </c>
      <c r="D45" s="123">
        <v>6097</v>
      </c>
      <c r="E45" s="123">
        <v>227966</v>
      </c>
      <c r="F45" s="122">
        <v>104</v>
      </c>
      <c r="G45" s="123">
        <v>3485</v>
      </c>
      <c r="H45" s="123">
        <v>3786</v>
      </c>
      <c r="I45" s="123">
        <v>7415</v>
      </c>
      <c r="J45" s="123">
        <v>165193</v>
      </c>
      <c r="L45" s="1"/>
      <c r="M45" s="1"/>
      <c r="O45" s="1"/>
      <c r="P45" s="1"/>
    </row>
    <row r="46" spans="1:16">
      <c r="A46" s="122">
        <v>94</v>
      </c>
      <c r="B46" s="123">
        <v>2845</v>
      </c>
      <c r="C46" s="123">
        <v>2927</v>
      </c>
      <c r="D46" s="123">
        <v>5891</v>
      </c>
      <c r="E46" s="123">
        <v>233857</v>
      </c>
      <c r="F46" s="122">
        <v>103</v>
      </c>
      <c r="G46" s="123">
        <v>2885</v>
      </c>
      <c r="H46" s="123">
        <v>3051</v>
      </c>
      <c r="I46" s="123">
        <v>6047</v>
      </c>
      <c r="J46" s="123">
        <v>171240</v>
      </c>
      <c r="L46" s="1"/>
      <c r="M46" s="1"/>
      <c r="O46" s="1"/>
      <c r="P46" s="1"/>
    </row>
    <row r="47" spans="1:16">
      <c r="A47" s="122">
        <v>93</v>
      </c>
      <c r="B47" s="123">
        <v>2867</v>
      </c>
      <c r="C47" s="123">
        <v>3002</v>
      </c>
      <c r="D47" s="123">
        <v>5973</v>
      </c>
      <c r="E47" s="123">
        <v>239830</v>
      </c>
      <c r="F47" s="122">
        <v>102</v>
      </c>
      <c r="G47" s="123">
        <v>5462</v>
      </c>
      <c r="H47" s="123">
        <v>5607</v>
      </c>
      <c r="I47" s="123">
        <v>11259</v>
      </c>
      <c r="J47" s="123">
        <v>182499</v>
      </c>
      <c r="L47" s="1"/>
      <c r="M47" s="1"/>
      <c r="O47" s="1"/>
      <c r="P47" s="1"/>
    </row>
    <row r="48" spans="1:16">
      <c r="A48" s="122">
        <v>92</v>
      </c>
      <c r="B48" s="123">
        <v>2839</v>
      </c>
      <c r="C48" s="123">
        <v>2792</v>
      </c>
      <c r="D48" s="123">
        <v>5754</v>
      </c>
      <c r="E48" s="123">
        <v>245584</v>
      </c>
      <c r="F48" s="122">
        <v>101</v>
      </c>
      <c r="G48" s="123">
        <v>3101</v>
      </c>
      <c r="H48" s="123">
        <v>3490</v>
      </c>
      <c r="I48" s="123">
        <v>6720</v>
      </c>
      <c r="J48" s="123">
        <v>189219</v>
      </c>
      <c r="L48" s="1"/>
      <c r="M48" s="1"/>
      <c r="O48" s="1"/>
      <c r="P48" s="1"/>
    </row>
    <row r="49" spans="1:16">
      <c r="A49" s="122">
        <v>91</v>
      </c>
      <c r="B49" s="123">
        <v>2795</v>
      </c>
      <c r="C49" s="123">
        <v>2770</v>
      </c>
      <c r="D49" s="123">
        <v>5689</v>
      </c>
      <c r="E49" s="123">
        <v>251273</v>
      </c>
      <c r="F49" s="122">
        <v>100</v>
      </c>
      <c r="G49" s="123">
        <v>2359</v>
      </c>
      <c r="H49" s="123">
        <v>2583</v>
      </c>
      <c r="I49" s="123">
        <v>5037</v>
      </c>
      <c r="J49" s="123">
        <v>194256</v>
      </c>
      <c r="L49" s="1"/>
      <c r="M49" s="1"/>
      <c r="O49" s="1"/>
      <c r="P49" s="1"/>
    </row>
    <row r="50" spans="1:16">
      <c r="A50" s="122">
        <v>90</v>
      </c>
      <c r="B50" s="123">
        <v>2820</v>
      </c>
      <c r="C50" s="123">
        <v>2681</v>
      </c>
      <c r="D50" s="123">
        <v>5621</v>
      </c>
      <c r="E50" s="123">
        <v>256894</v>
      </c>
      <c r="F50" s="122">
        <v>99</v>
      </c>
      <c r="G50" s="123">
        <v>2763</v>
      </c>
      <c r="H50" s="123">
        <v>2987</v>
      </c>
      <c r="I50" s="123">
        <v>5863</v>
      </c>
      <c r="J50" s="123">
        <v>200119</v>
      </c>
      <c r="L50" s="1"/>
      <c r="M50" s="1"/>
      <c r="O50" s="1"/>
      <c r="P50" s="1"/>
    </row>
    <row r="51" spans="1:16">
      <c r="A51" s="122">
        <v>89</v>
      </c>
      <c r="B51" s="123">
        <v>2785</v>
      </c>
      <c r="C51" s="123">
        <v>2710</v>
      </c>
      <c r="D51" s="123">
        <v>5601</v>
      </c>
      <c r="E51" s="123">
        <v>262495</v>
      </c>
      <c r="F51" s="122">
        <v>98</v>
      </c>
      <c r="G51" s="123">
        <v>3076</v>
      </c>
      <c r="H51" s="123">
        <v>3488</v>
      </c>
      <c r="I51" s="123">
        <v>6683</v>
      </c>
      <c r="J51" s="123">
        <v>206802</v>
      </c>
      <c r="L51" s="1"/>
      <c r="M51" s="1"/>
      <c r="O51" s="1"/>
      <c r="P51" s="1"/>
    </row>
    <row r="52" spans="1:16">
      <c r="A52" s="122">
        <v>88</v>
      </c>
      <c r="B52" s="123">
        <v>2865</v>
      </c>
      <c r="C52" s="123">
        <v>2648</v>
      </c>
      <c r="D52" s="123">
        <v>5635</v>
      </c>
      <c r="E52" s="123">
        <v>268130</v>
      </c>
      <c r="F52" s="122">
        <v>97</v>
      </c>
      <c r="G52" s="123">
        <v>2530</v>
      </c>
      <c r="H52" s="123">
        <v>2838</v>
      </c>
      <c r="I52" s="123">
        <v>5457</v>
      </c>
      <c r="J52" s="123">
        <v>212259</v>
      </c>
      <c r="L52" s="1"/>
      <c r="M52" s="1"/>
      <c r="O52" s="1"/>
      <c r="P52" s="1"/>
    </row>
    <row r="53" spans="1:16">
      <c r="A53" s="122">
        <v>87</v>
      </c>
      <c r="B53" s="123">
        <v>2801</v>
      </c>
      <c r="C53" s="123">
        <v>2499</v>
      </c>
      <c r="D53" s="123">
        <v>5436</v>
      </c>
      <c r="E53" s="123">
        <v>273566</v>
      </c>
      <c r="F53" s="122">
        <v>96</v>
      </c>
      <c r="G53" s="123">
        <v>2489</v>
      </c>
      <c r="H53" s="123">
        <v>2618</v>
      </c>
      <c r="I53" s="123">
        <v>5198</v>
      </c>
      <c r="J53" s="123">
        <v>217457</v>
      </c>
    </row>
    <row r="54" spans="1:16">
      <c r="A54" s="122">
        <v>86</v>
      </c>
      <c r="B54" s="123">
        <v>2637</v>
      </c>
      <c r="C54" s="123">
        <v>2400</v>
      </c>
      <c r="D54" s="123">
        <v>5150</v>
      </c>
      <c r="E54" s="123">
        <v>278716</v>
      </c>
      <c r="F54" s="122">
        <v>95</v>
      </c>
      <c r="G54" s="123">
        <v>2861</v>
      </c>
      <c r="H54" s="123">
        <v>3225</v>
      </c>
      <c r="I54" s="123">
        <v>6216</v>
      </c>
      <c r="J54" s="123">
        <v>223673</v>
      </c>
    </row>
    <row r="55" spans="1:16">
      <c r="A55" s="122">
        <v>85</v>
      </c>
      <c r="B55" s="123">
        <v>2767</v>
      </c>
      <c r="C55" s="123">
        <v>2398</v>
      </c>
      <c r="D55" s="123">
        <v>5301</v>
      </c>
      <c r="E55" s="123">
        <v>284017</v>
      </c>
      <c r="F55" s="122">
        <v>94</v>
      </c>
      <c r="G55" s="123">
        <v>2511</v>
      </c>
      <c r="H55" s="123">
        <v>2983</v>
      </c>
      <c r="I55" s="123">
        <v>5609</v>
      </c>
      <c r="J55" s="123">
        <v>229282</v>
      </c>
    </row>
    <row r="56" spans="1:16">
      <c r="A56" s="122">
        <v>84</v>
      </c>
      <c r="B56" s="123">
        <v>2662</v>
      </c>
      <c r="C56" s="123">
        <v>2261</v>
      </c>
      <c r="D56" s="123">
        <v>5053</v>
      </c>
      <c r="E56" s="123">
        <v>289070</v>
      </c>
      <c r="F56" s="122">
        <v>93</v>
      </c>
      <c r="G56" s="123">
        <v>2312</v>
      </c>
      <c r="H56" s="123">
        <v>2550</v>
      </c>
      <c r="I56" s="123">
        <v>4947</v>
      </c>
      <c r="J56" s="123">
        <v>234229</v>
      </c>
    </row>
    <row r="57" spans="1:16">
      <c r="A57" s="122">
        <v>83</v>
      </c>
      <c r="B57" s="123">
        <v>2603</v>
      </c>
      <c r="C57" s="123">
        <v>2185</v>
      </c>
      <c r="D57" s="123">
        <v>4900</v>
      </c>
      <c r="E57" s="123">
        <v>293970</v>
      </c>
      <c r="F57" s="122">
        <v>92</v>
      </c>
      <c r="G57" s="123">
        <v>5065</v>
      </c>
      <c r="H57" s="123">
        <v>5883</v>
      </c>
      <c r="I57" s="123">
        <v>11181</v>
      </c>
      <c r="J57" s="123">
        <v>245410</v>
      </c>
    </row>
    <row r="58" spans="1:16">
      <c r="A58" s="122">
        <v>82</v>
      </c>
      <c r="B58" s="123">
        <v>2479</v>
      </c>
      <c r="C58" s="123">
        <v>2160</v>
      </c>
      <c r="D58" s="123">
        <v>4748</v>
      </c>
      <c r="E58" s="123">
        <v>298718</v>
      </c>
      <c r="F58" s="122">
        <v>91</v>
      </c>
      <c r="G58" s="123">
        <v>2175</v>
      </c>
      <c r="H58" s="123">
        <v>2515</v>
      </c>
      <c r="I58" s="123">
        <v>4773</v>
      </c>
      <c r="J58" s="123">
        <v>250183</v>
      </c>
    </row>
    <row r="59" spans="1:16">
      <c r="A59" s="122">
        <v>81</v>
      </c>
      <c r="B59" s="123">
        <v>2431</v>
      </c>
      <c r="C59" s="123">
        <v>2029</v>
      </c>
      <c r="D59" s="123">
        <v>4576</v>
      </c>
      <c r="E59" s="123">
        <v>303294</v>
      </c>
      <c r="F59" s="122">
        <v>90</v>
      </c>
      <c r="G59" s="123">
        <v>2358</v>
      </c>
      <c r="H59" s="123">
        <v>2719</v>
      </c>
      <c r="I59" s="123">
        <v>5183</v>
      </c>
      <c r="J59" s="123">
        <v>255366</v>
      </c>
    </row>
    <row r="60" spans="1:16">
      <c r="A60" s="122">
        <v>80</v>
      </c>
      <c r="B60" s="123">
        <v>2487</v>
      </c>
      <c r="C60" s="123">
        <v>1919</v>
      </c>
      <c r="D60" s="123">
        <v>4531</v>
      </c>
      <c r="E60" s="123">
        <v>307825</v>
      </c>
      <c r="F60" s="122">
        <v>89</v>
      </c>
      <c r="G60" s="123">
        <v>2431</v>
      </c>
      <c r="H60" s="123">
        <v>2955</v>
      </c>
      <c r="I60" s="123">
        <v>5485</v>
      </c>
      <c r="J60" s="123">
        <v>260851</v>
      </c>
    </row>
    <row r="61" spans="1:16">
      <c r="A61" s="122">
        <v>79</v>
      </c>
      <c r="B61" s="123">
        <v>4716</v>
      </c>
      <c r="C61" s="123">
        <v>3581</v>
      </c>
      <c r="D61" s="123">
        <v>8538</v>
      </c>
      <c r="E61" s="123">
        <v>316363</v>
      </c>
      <c r="F61" s="122">
        <v>88</v>
      </c>
      <c r="G61" s="123">
        <v>1995</v>
      </c>
      <c r="H61" s="123">
        <v>2490</v>
      </c>
      <c r="I61" s="123">
        <v>4562</v>
      </c>
      <c r="J61" s="123">
        <v>265413</v>
      </c>
    </row>
    <row r="62" spans="1:16">
      <c r="A62" s="122">
        <v>78</v>
      </c>
      <c r="B62" s="123">
        <v>2332</v>
      </c>
      <c r="C62" s="123">
        <v>1678</v>
      </c>
      <c r="D62" s="123">
        <v>4141</v>
      </c>
      <c r="E62" s="123">
        <v>320504</v>
      </c>
      <c r="F62" s="122">
        <v>87</v>
      </c>
      <c r="G62" s="123">
        <v>2079</v>
      </c>
      <c r="H62" s="123">
        <v>2487</v>
      </c>
      <c r="I62" s="123">
        <v>4657</v>
      </c>
      <c r="J62" s="123">
        <v>270070</v>
      </c>
    </row>
    <row r="63" spans="1:16">
      <c r="A63" s="122">
        <v>77</v>
      </c>
      <c r="B63" s="123">
        <v>2208</v>
      </c>
      <c r="C63" s="123">
        <v>1567</v>
      </c>
      <c r="D63" s="123">
        <v>3867</v>
      </c>
      <c r="E63" s="123">
        <v>324371</v>
      </c>
      <c r="F63" s="122">
        <v>86</v>
      </c>
      <c r="G63" s="123">
        <v>2204</v>
      </c>
      <c r="H63" s="123">
        <v>2651</v>
      </c>
      <c r="I63" s="123">
        <v>4952</v>
      </c>
      <c r="J63" s="123">
        <v>275022</v>
      </c>
    </row>
    <row r="64" spans="1:16">
      <c r="A64" s="122">
        <v>76</v>
      </c>
      <c r="B64" s="123">
        <v>2096</v>
      </c>
      <c r="C64" s="123">
        <v>1559</v>
      </c>
      <c r="D64" s="123">
        <v>3753</v>
      </c>
      <c r="E64" s="123">
        <v>328124</v>
      </c>
      <c r="F64" s="122">
        <v>85</v>
      </c>
      <c r="G64" s="123">
        <v>1908</v>
      </c>
      <c r="H64" s="123">
        <v>2488</v>
      </c>
      <c r="I64" s="123">
        <v>4490</v>
      </c>
      <c r="J64" s="123">
        <v>279512</v>
      </c>
    </row>
    <row r="65" spans="1:10">
      <c r="A65" s="122">
        <v>75</v>
      </c>
      <c r="B65" s="123">
        <v>1940</v>
      </c>
      <c r="C65" s="123">
        <v>1396</v>
      </c>
      <c r="D65" s="123">
        <v>3437</v>
      </c>
      <c r="E65" s="123">
        <v>331561</v>
      </c>
      <c r="F65" s="122">
        <v>84</v>
      </c>
      <c r="G65" s="123">
        <v>1907</v>
      </c>
      <c r="H65" s="123">
        <v>2338</v>
      </c>
      <c r="I65" s="123">
        <v>4363</v>
      </c>
      <c r="J65" s="123">
        <v>283875</v>
      </c>
    </row>
    <row r="66" spans="1:10">
      <c r="A66" s="122">
        <v>74</v>
      </c>
      <c r="B66" s="123">
        <v>1803</v>
      </c>
      <c r="C66" s="123">
        <v>1289</v>
      </c>
      <c r="D66" s="123">
        <v>3201</v>
      </c>
      <c r="E66" s="123">
        <v>334762</v>
      </c>
      <c r="F66" s="122">
        <v>83</v>
      </c>
      <c r="G66" s="123">
        <v>2060</v>
      </c>
      <c r="H66" s="123">
        <v>2586</v>
      </c>
      <c r="I66" s="123">
        <v>4746</v>
      </c>
      <c r="J66" s="123">
        <v>288621</v>
      </c>
    </row>
    <row r="67" spans="1:10">
      <c r="A67" s="122">
        <v>73</v>
      </c>
      <c r="B67" s="123">
        <v>1820</v>
      </c>
      <c r="C67" s="123">
        <v>1295</v>
      </c>
      <c r="D67" s="123">
        <v>3220</v>
      </c>
      <c r="E67" s="123">
        <v>337982</v>
      </c>
      <c r="F67" s="122">
        <v>82</v>
      </c>
      <c r="G67" s="123">
        <v>3730</v>
      </c>
      <c r="H67" s="123">
        <v>4570</v>
      </c>
      <c r="I67" s="123">
        <v>8491</v>
      </c>
      <c r="J67" s="123">
        <v>297112</v>
      </c>
    </row>
    <row r="68" spans="1:10">
      <c r="A68" s="122">
        <v>72</v>
      </c>
      <c r="B68" s="123">
        <v>1684</v>
      </c>
      <c r="C68" s="123">
        <v>1171</v>
      </c>
      <c r="D68" s="123">
        <v>2951</v>
      </c>
      <c r="E68" s="123">
        <v>340933</v>
      </c>
      <c r="F68" s="122">
        <v>81</v>
      </c>
      <c r="G68" s="123">
        <v>1975</v>
      </c>
      <c r="H68" s="123">
        <v>2385</v>
      </c>
      <c r="I68" s="123">
        <v>4462</v>
      </c>
      <c r="J68" s="123">
        <v>301574</v>
      </c>
    </row>
    <row r="69" spans="1:10">
      <c r="A69" s="122">
        <v>71</v>
      </c>
      <c r="B69" s="123">
        <v>1592</v>
      </c>
      <c r="C69" s="123">
        <v>1054</v>
      </c>
      <c r="D69" s="123">
        <v>2743</v>
      </c>
      <c r="E69" s="123">
        <v>343676</v>
      </c>
      <c r="F69" s="122">
        <v>80</v>
      </c>
      <c r="G69" s="123">
        <v>1748</v>
      </c>
      <c r="H69" s="123">
        <v>2407</v>
      </c>
      <c r="I69" s="123">
        <v>4260</v>
      </c>
      <c r="J69" s="123">
        <v>305834</v>
      </c>
    </row>
    <row r="70" spans="1:10">
      <c r="A70" s="122">
        <v>70</v>
      </c>
      <c r="B70" s="123">
        <v>1538</v>
      </c>
      <c r="C70" s="123">
        <v>1007</v>
      </c>
      <c r="D70" s="123">
        <v>2645</v>
      </c>
      <c r="E70" s="123">
        <v>346321</v>
      </c>
      <c r="F70" s="122">
        <v>79</v>
      </c>
      <c r="G70" s="123">
        <v>1697</v>
      </c>
      <c r="H70" s="123">
        <v>2051</v>
      </c>
      <c r="I70" s="123">
        <v>3840</v>
      </c>
      <c r="J70" s="123">
        <v>309674</v>
      </c>
    </row>
    <row r="71" spans="1:10">
      <c r="A71" s="122">
        <v>69</v>
      </c>
      <c r="B71" s="123">
        <v>1528</v>
      </c>
      <c r="C71" s="123">
        <v>930</v>
      </c>
      <c r="D71" s="123">
        <v>2567</v>
      </c>
      <c r="E71" s="123">
        <v>348888</v>
      </c>
      <c r="F71" s="122">
        <v>78</v>
      </c>
      <c r="G71" s="123">
        <v>1696</v>
      </c>
      <c r="H71" s="123">
        <v>2170</v>
      </c>
      <c r="I71" s="123">
        <v>3989</v>
      </c>
      <c r="J71" s="123">
        <v>313663</v>
      </c>
    </row>
    <row r="72" spans="1:10">
      <c r="A72" s="122">
        <v>68</v>
      </c>
      <c r="B72" s="123">
        <v>1416</v>
      </c>
      <c r="C72" s="123">
        <v>827</v>
      </c>
      <c r="D72" s="123">
        <v>2329</v>
      </c>
      <c r="E72" s="123">
        <v>351217</v>
      </c>
      <c r="F72" s="122">
        <v>77</v>
      </c>
      <c r="G72" s="123">
        <v>1708</v>
      </c>
      <c r="H72" s="123">
        <v>2292</v>
      </c>
      <c r="I72" s="123">
        <v>4089</v>
      </c>
      <c r="J72" s="123">
        <v>317752</v>
      </c>
    </row>
    <row r="73" spans="1:10">
      <c r="A73" s="122">
        <v>67</v>
      </c>
      <c r="B73" s="123">
        <v>1295</v>
      </c>
      <c r="C73" s="123">
        <v>741</v>
      </c>
      <c r="D73" s="123">
        <v>2131</v>
      </c>
      <c r="E73" s="123">
        <v>353348</v>
      </c>
      <c r="F73" s="122">
        <v>76</v>
      </c>
      <c r="G73" s="123">
        <v>1630</v>
      </c>
      <c r="H73" s="123">
        <v>1969</v>
      </c>
      <c r="I73" s="123">
        <v>3707</v>
      </c>
      <c r="J73" s="123">
        <v>321459</v>
      </c>
    </row>
    <row r="74" spans="1:10">
      <c r="A74" s="122">
        <v>66</v>
      </c>
      <c r="B74" s="123">
        <v>1201</v>
      </c>
      <c r="C74" s="123">
        <v>737</v>
      </c>
      <c r="D74" s="123">
        <v>2013</v>
      </c>
      <c r="E74" s="123">
        <v>355361</v>
      </c>
      <c r="F74" s="122">
        <v>75</v>
      </c>
      <c r="G74" s="123">
        <v>1724</v>
      </c>
      <c r="H74" s="123">
        <v>2077</v>
      </c>
      <c r="I74" s="123">
        <v>3914</v>
      </c>
      <c r="J74" s="123">
        <v>325373</v>
      </c>
    </row>
    <row r="75" spans="1:10">
      <c r="A75" s="122">
        <v>65</v>
      </c>
      <c r="B75" s="123">
        <v>1269</v>
      </c>
      <c r="C75" s="123">
        <v>621</v>
      </c>
      <c r="D75" s="123">
        <v>1987</v>
      </c>
      <c r="E75" s="123">
        <v>357348</v>
      </c>
      <c r="F75" s="122">
        <v>74</v>
      </c>
      <c r="G75" s="123">
        <v>1708</v>
      </c>
      <c r="H75" s="123">
        <v>2110</v>
      </c>
      <c r="I75" s="123">
        <v>3931</v>
      </c>
      <c r="J75" s="123">
        <v>329304</v>
      </c>
    </row>
    <row r="76" spans="1:10">
      <c r="A76" s="122">
        <v>64</v>
      </c>
      <c r="B76" s="123">
        <v>1132</v>
      </c>
      <c r="C76" s="123">
        <v>614</v>
      </c>
      <c r="D76" s="123">
        <v>1829</v>
      </c>
      <c r="E76" s="123">
        <v>359177</v>
      </c>
      <c r="F76" s="122">
        <v>73</v>
      </c>
      <c r="G76" s="123">
        <v>1633</v>
      </c>
      <c r="H76" s="123">
        <v>1966</v>
      </c>
      <c r="I76" s="123">
        <v>3720</v>
      </c>
      <c r="J76" s="123">
        <v>333024</v>
      </c>
    </row>
    <row r="77" spans="1:10">
      <c r="A77" s="122">
        <v>63</v>
      </c>
      <c r="B77" s="123">
        <v>1186</v>
      </c>
      <c r="C77" s="123">
        <v>587</v>
      </c>
      <c r="D77" s="123">
        <v>1859</v>
      </c>
      <c r="E77" s="123">
        <v>361036</v>
      </c>
      <c r="F77" s="122">
        <v>72</v>
      </c>
      <c r="G77" s="123">
        <v>3329</v>
      </c>
      <c r="H77" s="123">
        <v>3876</v>
      </c>
      <c r="I77" s="123">
        <v>7465</v>
      </c>
      <c r="J77" s="123">
        <v>340489</v>
      </c>
    </row>
    <row r="78" spans="1:10">
      <c r="A78" s="122">
        <v>62</v>
      </c>
      <c r="B78" s="123">
        <v>999</v>
      </c>
      <c r="C78" s="123">
        <v>470</v>
      </c>
      <c r="D78" s="123">
        <v>1540</v>
      </c>
      <c r="E78" s="123">
        <v>362576</v>
      </c>
      <c r="F78" s="122">
        <v>71</v>
      </c>
      <c r="G78" s="123">
        <v>1656</v>
      </c>
      <c r="H78" s="123">
        <v>1837</v>
      </c>
      <c r="I78" s="123">
        <v>3648</v>
      </c>
      <c r="J78" s="123">
        <v>344137</v>
      </c>
    </row>
    <row r="79" spans="1:10">
      <c r="A79" s="122">
        <v>61</v>
      </c>
      <c r="B79" s="123">
        <v>1174</v>
      </c>
      <c r="C79" s="123">
        <v>540</v>
      </c>
      <c r="D79" s="123">
        <v>1819</v>
      </c>
      <c r="E79" s="123">
        <v>364395</v>
      </c>
      <c r="F79" s="122">
        <v>70</v>
      </c>
      <c r="G79" s="123">
        <v>1586</v>
      </c>
      <c r="H79" s="123">
        <v>1687</v>
      </c>
      <c r="I79" s="123">
        <v>3382</v>
      </c>
      <c r="J79" s="123">
        <v>347519</v>
      </c>
    </row>
    <row r="80" spans="1:10">
      <c r="A80" s="122">
        <v>60</v>
      </c>
      <c r="B80" s="123">
        <v>753</v>
      </c>
      <c r="C80" s="123">
        <v>398</v>
      </c>
      <c r="D80" s="123">
        <v>1223</v>
      </c>
      <c r="E80" s="123">
        <v>365618</v>
      </c>
      <c r="F80" s="122">
        <v>69</v>
      </c>
      <c r="G80" s="123">
        <v>1633</v>
      </c>
      <c r="H80" s="123">
        <v>1716</v>
      </c>
      <c r="I80" s="123">
        <v>3477</v>
      </c>
      <c r="J80" s="123">
        <v>350996</v>
      </c>
    </row>
    <row r="81" spans="1:10">
      <c r="A81" s="122">
        <v>59</v>
      </c>
      <c r="B81" s="123">
        <v>1765</v>
      </c>
      <c r="C81" s="123">
        <v>587</v>
      </c>
      <c r="D81" s="123">
        <v>2597</v>
      </c>
      <c r="E81" s="123">
        <v>368215</v>
      </c>
      <c r="F81" s="122">
        <v>68</v>
      </c>
      <c r="G81" s="123">
        <v>2936</v>
      </c>
      <c r="H81" s="123">
        <v>2257</v>
      </c>
      <c r="I81" s="123">
        <v>5458</v>
      </c>
      <c r="J81" s="123">
        <v>356454</v>
      </c>
    </row>
    <row r="82" spans="1:10">
      <c r="A82" s="122">
        <v>58</v>
      </c>
      <c r="B82" s="123">
        <v>677</v>
      </c>
      <c r="C82" s="123">
        <v>315</v>
      </c>
      <c r="D82" s="123">
        <v>1050</v>
      </c>
      <c r="E82" s="123">
        <v>369265</v>
      </c>
      <c r="F82" s="122">
        <v>67</v>
      </c>
      <c r="G82" s="123">
        <v>1387</v>
      </c>
      <c r="H82" s="123">
        <v>1266</v>
      </c>
      <c r="I82" s="123">
        <v>2755</v>
      </c>
      <c r="J82" s="123">
        <v>359209</v>
      </c>
    </row>
    <row r="83" spans="1:10">
      <c r="A83" s="122">
        <v>57</v>
      </c>
      <c r="B83" s="123">
        <v>732</v>
      </c>
      <c r="C83" s="123">
        <v>281</v>
      </c>
      <c r="D83" s="123">
        <v>1087</v>
      </c>
      <c r="E83" s="123">
        <v>370352</v>
      </c>
      <c r="F83" s="122">
        <v>66</v>
      </c>
      <c r="G83" s="123">
        <v>2268</v>
      </c>
      <c r="H83" s="123">
        <v>1940</v>
      </c>
      <c r="I83" s="123">
        <v>4423</v>
      </c>
      <c r="J83" s="123">
        <v>363632</v>
      </c>
    </row>
    <row r="84" spans="1:10">
      <c r="A84" s="122">
        <v>56</v>
      </c>
      <c r="B84" s="123">
        <v>517</v>
      </c>
      <c r="C84" s="123">
        <v>241</v>
      </c>
      <c r="D84" s="123">
        <v>807</v>
      </c>
      <c r="E84" s="123">
        <v>371159</v>
      </c>
      <c r="F84" s="122">
        <v>65</v>
      </c>
      <c r="G84" s="123">
        <v>1002</v>
      </c>
      <c r="H84" s="123">
        <v>944</v>
      </c>
      <c r="I84" s="123">
        <v>2034</v>
      </c>
      <c r="J84" s="123">
        <v>365666</v>
      </c>
    </row>
    <row r="85" spans="1:10">
      <c r="A85" s="122">
        <v>55</v>
      </c>
      <c r="B85" s="123">
        <v>431</v>
      </c>
      <c r="C85" s="123">
        <v>193</v>
      </c>
      <c r="D85" s="123">
        <v>669</v>
      </c>
      <c r="E85" s="123">
        <v>371828</v>
      </c>
      <c r="F85" s="122">
        <v>64</v>
      </c>
      <c r="G85" s="123">
        <v>981</v>
      </c>
      <c r="H85" s="123">
        <v>895</v>
      </c>
      <c r="I85" s="123">
        <v>1962</v>
      </c>
      <c r="J85" s="123">
        <v>367628</v>
      </c>
    </row>
    <row r="86" spans="1:10">
      <c r="A86" s="122">
        <v>54</v>
      </c>
      <c r="B86" s="123">
        <v>466</v>
      </c>
      <c r="C86" s="123">
        <v>188</v>
      </c>
      <c r="D86" s="123">
        <v>701</v>
      </c>
      <c r="E86" s="123">
        <v>372529</v>
      </c>
      <c r="F86" s="122">
        <v>63</v>
      </c>
      <c r="G86" s="123">
        <v>875</v>
      </c>
      <c r="H86" s="123">
        <v>824</v>
      </c>
      <c r="I86" s="123">
        <v>1766</v>
      </c>
      <c r="J86" s="123">
        <v>369394</v>
      </c>
    </row>
    <row r="87" spans="1:10">
      <c r="A87" s="122">
        <v>53</v>
      </c>
      <c r="B87" s="123">
        <v>292</v>
      </c>
      <c r="C87" s="123">
        <v>141</v>
      </c>
      <c r="D87" s="123">
        <v>460</v>
      </c>
      <c r="E87" s="123">
        <v>372989</v>
      </c>
      <c r="F87" s="122">
        <v>62</v>
      </c>
      <c r="G87" s="123">
        <v>1014</v>
      </c>
      <c r="H87" s="123">
        <v>982</v>
      </c>
      <c r="I87" s="123">
        <v>2094</v>
      </c>
      <c r="J87" s="123">
        <v>371488</v>
      </c>
    </row>
    <row r="88" spans="1:10">
      <c r="A88" s="122">
        <v>52</v>
      </c>
      <c r="B88" s="123">
        <v>234</v>
      </c>
      <c r="C88" s="123">
        <v>89</v>
      </c>
      <c r="D88" s="123">
        <v>344</v>
      </c>
      <c r="E88" s="123">
        <v>373333</v>
      </c>
      <c r="F88" s="122">
        <v>61</v>
      </c>
      <c r="G88" s="123">
        <v>451</v>
      </c>
      <c r="H88" s="123">
        <v>404</v>
      </c>
      <c r="I88" s="123">
        <v>890</v>
      </c>
      <c r="J88" s="123">
        <v>372378</v>
      </c>
    </row>
    <row r="89" spans="1:10">
      <c r="A89" s="122">
        <v>51</v>
      </c>
      <c r="B89" s="123">
        <v>185</v>
      </c>
      <c r="C89" s="123">
        <v>93</v>
      </c>
      <c r="D89" s="123">
        <v>302</v>
      </c>
      <c r="E89" s="123">
        <v>373635</v>
      </c>
      <c r="F89" s="122">
        <v>60</v>
      </c>
      <c r="G89" s="123">
        <v>352</v>
      </c>
      <c r="H89" s="123">
        <v>320</v>
      </c>
      <c r="I89" s="123">
        <v>714</v>
      </c>
      <c r="J89" s="123">
        <v>373092</v>
      </c>
    </row>
    <row r="90" spans="1:10">
      <c r="A90" s="122">
        <v>50</v>
      </c>
      <c r="B90" s="123">
        <v>136</v>
      </c>
      <c r="C90" s="123">
        <v>66</v>
      </c>
      <c r="D90" s="123">
        <v>219</v>
      </c>
      <c r="E90" s="123">
        <v>373854</v>
      </c>
      <c r="F90" s="122">
        <v>59</v>
      </c>
      <c r="G90" s="123">
        <v>153</v>
      </c>
      <c r="H90" s="123">
        <v>135</v>
      </c>
      <c r="I90" s="123">
        <v>302</v>
      </c>
      <c r="J90" s="123">
        <v>373394</v>
      </c>
    </row>
    <row r="91" spans="1:10">
      <c r="A91" s="122">
        <v>49</v>
      </c>
      <c r="B91" s="123">
        <v>125</v>
      </c>
      <c r="C91" s="123">
        <v>41</v>
      </c>
      <c r="D91" s="123">
        <v>172</v>
      </c>
      <c r="E91" s="123">
        <v>374026</v>
      </c>
      <c r="F91" s="122">
        <v>58</v>
      </c>
      <c r="G91" s="123">
        <v>171</v>
      </c>
      <c r="H91" s="123">
        <v>138</v>
      </c>
      <c r="I91" s="123">
        <v>325</v>
      </c>
      <c r="J91" s="123">
        <v>373719</v>
      </c>
    </row>
    <row r="92" spans="1:10">
      <c r="A92" s="122">
        <v>48</v>
      </c>
      <c r="B92" s="123">
        <v>90</v>
      </c>
      <c r="C92" s="123">
        <v>35</v>
      </c>
      <c r="D92" s="123">
        <v>135</v>
      </c>
      <c r="E92" s="123">
        <v>374161</v>
      </c>
      <c r="F92" s="122">
        <v>57</v>
      </c>
      <c r="G92" s="123">
        <v>164</v>
      </c>
      <c r="H92" s="123">
        <v>150</v>
      </c>
      <c r="I92" s="123">
        <v>326</v>
      </c>
      <c r="J92" s="123">
        <v>374045</v>
      </c>
    </row>
    <row r="93" spans="1:10">
      <c r="A93" s="122">
        <v>47</v>
      </c>
      <c r="B93" s="123">
        <v>70</v>
      </c>
      <c r="C93" s="123">
        <v>21</v>
      </c>
      <c r="D93" s="123">
        <v>97</v>
      </c>
      <c r="E93" s="123">
        <v>374258</v>
      </c>
      <c r="F93" s="122">
        <v>56</v>
      </c>
      <c r="G93" s="123">
        <v>49</v>
      </c>
      <c r="H93" s="123">
        <v>44</v>
      </c>
      <c r="I93" s="123">
        <v>96</v>
      </c>
      <c r="J93" s="123">
        <v>374141</v>
      </c>
    </row>
    <row r="94" spans="1:10">
      <c r="A94" s="122">
        <v>46</v>
      </c>
      <c r="B94" s="123">
        <v>49</v>
      </c>
      <c r="C94" s="123">
        <v>18</v>
      </c>
      <c r="D94" s="123">
        <v>72</v>
      </c>
      <c r="E94" s="123">
        <v>374330</v>
      </c>
      <c r="F94" s="122">
        <v>54</v>
      </c>
      <c r="G94" s="123">
        <v>199</v>
      </c>
      <c r="H94" s="123">
        <v>115</v>
      </c>
      <c r="I94" s="123">
        <v>348</v>
      </c>
      <c r="J94" s="123">
        <v>374489</v>
      </c>
    </row>
    <row r="95" spans="1:10">
      <c r="A95" s="122">
        <v>45</v>
      </c>
      <c r="B95" s="123">
        <v>19</v>
      </c>
      <c r="C95" s="123">
        <v>9</v>
      </c>
      <c r="D95" s="123">
        <v>30</v>
      </c>
      <c r="E95" s="123">
        <v>374360</v>
      </c>
      <c r="F95" s="122"/>
      <c r="G95" s="123"/>
      <c r="H95" s="123"/>
      <c r="I95" s="123"/>
      <c r="J95" s="123"/>
    </row>
    <row r="96" spans="1:10">
      <c r="A96" s="122">
        <v>44</v>
      </c>
      <c r="B96" s="123">
        <v>36</v>
      </c>
      <c r="C96" s="123">
        <v>21</v>
      </c>
      <c r="D96" s="123">
        <v>63</v>
      </c>
      <c r="E96" s="123">
        <v>374423</v>
      </c>
      <c r="F96" s="122"/>
      <c r="G96" s="123"/>
      <c r="H96" s="123"/>
      <c r="I96" s="123"/>
      <c r="J96" s="123"/>
    </row>
    <row r="97" spans="1:10">
      <c r="A97" s="122">
        <v>43</v>
      </c>
      <c r="B97" s="123">
        <v>22</v>
      </c>
      <c r="C97" s="123">
        <v>17</v>
      </c>
      <c r="D97" s="123">
        <v>42</v>
      </c>
      <c r="E97" s="123">
        <v>374465</v>
      </c>
      <c r="F97" s="122"/>
      <c r="G97" s="123"/>
      <c r="H97" s="123"/>
      <c r="I97" s="123"/>
      <c r="J97" s="123"/>
    </row>
    <row r="98" spans="1:10">
      <c r="A98" s="122">
        <v>42</v>
      </c>
      <c r="B98" s="123">
        <v>1</v>
      </c>
      <c r="C98" s="123">
        <v>2</v>
      </c>
      <c r="D98" s="123">
        <v>4</v>
      </c>
      <c r="E98" s="123">
        <v>374469</v>
      </c>
      <c r="F98" s="122"/>
      <c r="G98" s="123"/>
      <c r="H98" s="123"/>
      <c r="I98" s="123"/>
      <c r="J98" s="123"/>
    </row>
    <row r="99" spans="1:10">
      <c r="A99" s="122">
        <v>41</v>
      </c>
      <c r="B99" s="123">
        <v>25</v>
      </c>
      <c r="C99" s="123">
        <v>9</v>
      </c>
      <c r="D99" s="123">
        <v>38</v>
      </c>
      <c r="E99" s="123">
        <v>374507</v>
      </c>
      <c r="F99" s="122"/>
      <c r="G99" s="123"/>
      <c r="H99" s="123"/>
      <c r="I99" s="123"/>
      <c r="J99" s="123"/>
    </row>
    <row r="100" spans="1:10">
      <c r="A100" s="122">
        <v>39</v>
      </c>
      <c r="B100" s="123">
        <v>156</v>
      </c>
      <c r="C100" s="123">
        <v>71</v>
      </c>
      <c r="D100" s="123">
        <v>255</v>
      </c>
      <c r="E100" s="123">
        <v>374762</v>
      </c>
      <c r="F100" s="122"/>
      <c r="G100" s="123"/>
      <c r="H100" s="123"/>
      <c r="I100" s="123"/>
      <c r="J100" s="123"/>
    </row>
    <row r="101" spans="1:10">
      <c r="A101" s="5"/>
      <c r="D101" s="6"/>
      <c r="F101" s="5"/>
      <c r="I101" s="6"/>
    </row>
    <row r="102" spans="1:10" ht="17.5" thickBot="1">
      <c r="A102" s="7"/>
      <c r="B102" s="9"/>
      <c r="C102" s="9"/>
      <c r="D102" s="8"/>
      <c r="F102" s="7"/>
      <c r="G102" s="9"/>
      <c r="H102" s="9"/>
      <c r="I102" s="8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4B5DD-2734-4EE0-BFFB-E8EF25ED5316}">
  <sheetPr codeName="Sheet4"/>
  <dimension ref="A1:Q109"/>
  <sheetViews>
    <sheetView zoomScaleNormal="100" workbookViewId="0">
      <selection activeCell="B2" sqref="B2:K108"/>
    </sheetView>
  </sheetViews>
  <sheetFormatPr defaultRowHeight="17"/>
  <cols>
    <col min="1" max="1" width="8.6640625" customWidth="1"/>
    <col min="2" max="2" width="1" customWidth="1"/>
    <col min="3" max="10" width="14.1640625" customWidth="1"/>
    <col min="11" max="11" width="1" style="2" customWidth="1"/>
    <col min="12" max="12" width="14.1640625" style="1" customWidth="1"/>
    <col min="13" max="13" width="13.75" customWidth="1"/>
    <col min="14" max="14" width="12.1640625" customWidth="1"/>
  </cols>
  <sheetData>
    <row r="1" spans="1:17">
      <c r="A1" s="2" t="s">
        <v>39</v>
      </c>
      <c r="B1" s="2"/>
      <c r="C1" s="2"/>
      <c r="D1" s="2"/>
      <c r="E1" s="2"/>
      <c r="F1" s="2"/>
      <c r="G1" s="2"/>
      <c r="H1" s="2"/>
      <c r="I1" s="2"/>
      <c r="J1" s="2"/>
      <c r="L1" s="20"/>
    </row>
    <row r="2" spans="1:17" ht="6" customHeight="1" thickBot="1">
      <c r="A2" s="2"/>
      <c r="B2" s="22"/>
      <c r="C2" s="23"/>
      <c r="D2" s="23"/>
      <c r="E2" s="23"/>
      <c r="F2" s="23"/>
      <c r="G2" s="23"/>
      <c r="H2" s="23"/>
      <c r="I2" s="23"/>
      <c r="J2" s="23"/>
      <c r="K2" s="24"/>
      <c r="L2" s="20"/>
    </row>
    <row r="3" spans="1:17" s="14" customFormat="1" ht="25" customHeight="1" thickBot="1">
      <c r="A3" s="12"/>
      <c r="B3" s="25"/>
      <c r="C3" s="40" t="s">
        <v>41</v>
      </c>
      <c r="D3" s="105" t="s">
        <v>69</v>
      </c>
      <c r="E3" s="106"/>
      <c r="F3" s="107"/>
      <c r="G3" s="40" t="s">
        <v>42</v>
      </c>
      <c r="H3" s="41" t="str">
        <f>'통계 및 응시자 수 입력 기능'!D4</f>
        <v>63.08</v>
      </c>
      <c r="I3" s="13" t="s">
        <v>43</v>
      </c>
      <c r="J3" s="42">
        <f>'통계 및 응시자 수 입력 기능'!C4</f>
        <v>374762</v>
      </c>
      <c r="K3" s="26"/>
      <c r="L3" s="15"/>
    </row>
    <row r="4" spans="1:17" s="14" customFormat="1" ht="25" customHeight="1" thickBot="1">
      <c r="A4" s="12"/>
      <c r="B4" s="25"/>
      <c r="C4" s="43" t="s">
        <v>44</v>
      </c>
      <c r="D4" s="108" t="s">
        <v>45</v>
      </c>
      <c r="E4" s="109"/>
      <c r="F4" s="110"/>
      <c r="G4" s="44" t="s">
        <v>46</v>
      </c>
      <c r="H4" s="45" t="str">
        <f>'통계 및 응시자 수 입력 기능'!E4</f>
        <v>20.57</v>
      </c>
      <c r="I4" s="111"/>
      <c r="J4" s="112"/>
      <c r="K4" s="27"/>
      <c r="L4" s="17"/>
    </row>
    <row r="5" spans="1:17" s="14" customFormat="1" ht="25" customHeight="1" thickBot="1">
      <c r="A5" s="12"/>
      <c r="B5" s="25"/>
      <c r="C5" s="15"/>
      <c r="D5" s="15"/>
      <c r="E5" s="15"/>
      <c r="F5" s="102"/>
      <c r="G5" s="15"/>
      <c r="H5" s="12"/>
      <c r="I5" s="113"/>
      <c r="J5" s="113"/>
      <c r="K5" s="28"/>
      <c r="L5" s="15"/>
    </row>
    <row r="6" spans="1:17" s="14" customFormat="1" ht="25" customHeight="1" thickBot="1">
      <c r="A6" s="12"/>
      <c r="B6" s="25"/>
      <c r="C6" s="46" t="s">
        <v>48</v>
      </c>
      <c r="D6" s="47" t="s">
        <v>49</v>
      </c>
      <c r="E6" s="47" t="s">
        <v>50</v>
      </c>
      <c r="F6" s="47" t="s">
        <v>51</v>
      </c>
      <c r="G6" s="47" t="s">
        <v>52</v>
      </c>
      <c r="H6" s="48" t="s">
        <v>53</v>
      </c>
      <c r="I6" s="48" t="s">
        <v>54</v>
      </c>
      <c r="J6" s="49" t="s">
        <v>55</v>
      </c>
      <c r="K6" s="29"/>
      <c r="L6" s="21" t="s">
        <v>38</v>
      </c>
      <c r="M6" s="15"/>
      <c r="N6" s="16"/>
    </row>
    <row r="7" spans="1:17" s="14" customFormat="1" ht="25" customHeight="1">
      <c r="A7" s="12"/>
      <c r="B7" s="25"/>
      <c r="C7" s="50">
        <v>100</v>
      </c>
      <c r="D7" s="51">
        <f>ROUND(20*(C7-$H$3)/$H$4+100,0)</f>
        <v>136</v>
      </c>
      <c r="E7" s="5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2">
        <f>ROUND(100*(1-(0+I7)/2/$J$3),2)</f>
        <v>99.43</v>
      </c>
      <c r="G7" s="53">
        <f>_xlfn.IFNA(VLOOKUP(D7,'인원 입력 기능'!$A$5:$D$103,4,FALSE),0)</f>
        <v>4296</v>
      </c>
      <c r="H7" s="54">
        <f>G7/$J$3</f>
        <v>1.1463275358761026E-2</v>
      </c>
      <c r="I7" s="55">
        <f>G7</f>
        <v>4296</v>
      </c>
      <c r="J7" s="56">
        <f>I7/$J$3</f>
        <v>1.1463275358761026E-2</v>
      </c>
      <c r="K7" s="30"/>
      <c r="L7" s="18" t="str">
        <f>IF(ABS((C7-$H$3)/$H$4*20+100-D7)&gt;0.49, "경고", "")</f>
        <v/>
      </c>
      <c r="N7" s="17"/>
      <c r="P7" s="17">
        <v>1</v>
      </c>
      <c r="Q7" s="17">
        <f>'표점등급&amp;절평인원 입력기능'!C4</f>
        <v>131</v>
      </c>
    </row>
    <row r="8" spans="1:17" s="14" customFormat="1" ht="25" customHeight="1">
      <c r="A8" s="12"/>
      <c r="B8" s="25"/>
      <c r="C8" s="57">
        <v>99</v>
      </c>
      <c r="D8" s="58" t="s">
        <v>37</v>
      </c>
      <c r="E8" s="58"/>
      <c r="F8" s="59"/>
      <c r="G8" s="60"/>
      <c r="H8" s="61"/>
      <c r="I8" s="62"/>
      <c r="J8" s="63"/>
      <c r="K8" s="31"/>
      <c r="L8" s="15"/>
      <c r="N8" s="17"/>
      <c r="P8" s="17">
        <v>2</v>
      </c>
      <c r="Q8" s="17">
        <f>'표점등급&amp;절평인원 입력기능'!C5</f>
        <v>125</v>
      </c>
    </row>
    <row r="9" spans="1:17" s="14" customFormat="1" ht="25" customHeight="1">
      <c r="A9" s="12"/>
      <c r="B9" s="25"/>
      <c r="C9" s="57">
        <v>98</v>
      </c>
      <c r="D9" s="51">
        <f>ROUND(20*(C9-$H$3)/$H$4+100,0)</f>
        <v>134</v>
      </c>
      <c r="E9" s="51">
        <f t="shared" si="0"/>
        <v>1</v>
      </c>
      <c r="F9" s="52">
        <f>IF(I8=0,ROUND(100*(1-(I7+I9)/2/$J$3),2),ROUND(100*(1-(I8+I9)/2/$J$3),2))</f>
        <v>98.25</v>
      </c>
      <c r="G9" s="53">
        <f>_xlfn.IFNA(VLOOKUP(D9,'인원 입력 기능'!$A$5:$D$103,4,FALSE),0)</f>
        <v>4511</v>
      </c>
      <c r="H9" s="54">
        <f>G9/$J$3</f>
        <v>1.2036972798736265E-2</v>
      </c>
      <c r="I9" s="64">
        <f>SUM($G$7:G9)</f>
        <v>8807</v>
      </c>
      <c r="J9" s="56">
        <f>I9/$J$3</f>
        <v>2.3500248157497291E-2</v>
      </c>
      <c r="K9" s="30"/>
      <c r="L9" s="18" t="str">
        <f t="shared" ref="L9:L40" si="1">IF(ABS((C9-$H$3)/$H$4*20+100-D9)&gt;0.49, "경고", "")</f>
        <v/>
      </c>
      <c r="N9" s="17"/>
      <c r="P9" s="17">
        <v>3</v>
      </c>
      <c r="Q9" s="17">
        <f>'표점등급&amp;절평인원 입력기능'!C6</f>
        <v>117</v>
      </c>
    </row>
    <row r="10" spans="1:17" s="14" customFormat="1" ht="25" customHeight="1">
      <c r="A10" s="12"/>
      <c r="B10" s="25"/>
      <c r="C10" s="57">
        <v>97</v>
      </c>
      <c r="D10" s="51">
        <f t="shared" ref="D10:D73" si="2">ROUND(20*(C10-$H$3)/$H$4+100,0)</f>
        <v>133</v>
      </c>
      <c r="E10" s="51">
        <f t="shared" si="0"/>
        <v>1</v>
      </c>
      <c r="F10" s="52">
        <f t="shared" ref="F10:F73" si="3">IF(I9=0,ROUND(100*(1-(I8+I10)/2/$J$3),2),ROUND(100*(1-(I9+I10)/2/$J$3),2))</f>
        <v>97.33</v>
      </c>
      <c r="G10" s="53">
        <f>IF(D10=D9,"",_xlfn.IFNA(VLOOKUP(D10,'인원 입력 기능'!$A$5:$D$103,4,FALSE),0))</f>
        <v>2435</v>
      </c>
      <c r="H10" s="54">
        <f t="shared" ref="H10:H73" si="4">G10/$J$3</f>
        <v>6.4974570527428074E-3</v>
      </c>
      <c r="I10" s="64">
        <f>SUM($G$7:G10)</f>
        <v>11242</v>
      </c>
      <c r="J10" s="56">
        <f t="shared" ref="J10:J73" si="5">I10/$J$3</f>
        <v>2.9997705210240099E-2</v>
      </c>
      <c r="K10" s="30"/>
      <c r="L10" s="18" t="str">
        <f t="shared" si="1"/>
        <v/>
      </c>
      <c r="N10" s="17"/>
      <c r="P10" s="17">
        <v>4</v>
      </c>
      <c r="Q10" s="17">
        <f>'표점등급&amp;절평인원 입력기능'!C7</f>
        <v>107</v>
      </c>
    </row>
    <row r="11" spans="1:17" s="14" customFormat="1" ht="25" customHeight="1">
      <c r="A11" s="12"/>
      <c r="B11" s="25"/>
      <c r="C11" s="57">
        <v>96</v>
      </c>
      <c r="D11" s="51">
        <f t="shared" si="2"/>
        <v>132</v>
      </c>
      <c r="E11" s="51">
        <f t="shared" si="0"/>
        <v>1</v>
      </c>
      <c r="F11" s="52">
        <f t="shared" si="3"/>
        <v>96.53</v>
      </c>
      <c r="G11" s="53">
        <f>IF(D11=D10,"",_xlfn.IFNA(VLOOKUP(D11,'인원 입력 기능'!$A$5:$D$103,4,FALSE),0))</f>
        <v>3498</v>
      </c>
      <c r="H11" s="54">
        <f t="shared" si="4"/>
        <v>9.3339239303878198E-3</v>
      </c>
      <c r="I11" s="64">
        <f>SUM($G$7:G11)</f>
        <v>14740</v>
      </c>
      <c r="J11" s="56">
        <f t="shared" si="5"/>
        <v>3.9331629140627919E-2</v>
      </c>
      <c r="K11" s="30"/>
      <c r="L11" s="18" t="str">
        <f t="shared" si="1"/>
        <v/>
      </c>
      <c r="N11" s="17"/>
      <c r="P11" s="17">
        <v>5</v>
      </c>
      <c r="Q11" s="17">
        <f>'표점등급&amp;절평인원 입력기능'!C8</f>
        <v>95</v>
      </c>
    </row>
    <row r="12" spans="1:17" s="14" customFormat="1" ht="25" customHeight="1">
      <c r="A12" s="12"/>
      <c r="B12" s="25"/>
      <c r="C12" s="57">
        <v>95</v>
      </c>
      <c r="D12" s="51">
        <f t="shared" si="2"/>
        <v>131</v>
      </c>
      <c r="E12" s="51">
        <f t="shared" si="0"/>
        <v>1</v>
      </c>
      <c r="F12" s="52">
        <f t="shared" si="3"/>
        <v>95.5</v>
      </c>
      <c r="G12" s="53">
        <f>IF(D12=D11,"",_xlfn.IFNA(VLOOKUP(D12,'인원 입력 기능'!$A$5:$D$103,4,FALSE),0))</f>
        <v>4281</v>
      </c>
      <c r="H12" s="54">
        <f t="shared" si="4"/>
        <v>1.1423249955972057E-2</v>
      </c>
      <c r="I12" s="64">
        <f>SUM($G$7:G12)</f>
        <v>19021</v>
      </c>
      <c r="J12" s="56">
        <f t="shared" si="5"/>
        <v>5.0754879096599974E-2</v>
      </c>
      <c r="K12" s="30"/>
      <c r="L12" s="18" t="str">
        <f t="shared" si="1"/>
        <v/>
      </c>
      <c r="N12" s="17"/>
      <c r="P12" s="17">
        <v>6</v>
      </c>
      <c r="Q12" s="17">
        <f>'표점등급&amp;절평인원 입력기능'!C9</f>
        <v>84</v>
      </c>
    </row>
    <row r="13" spans="1:17" s="14" customFormat="1" ht="25" customHeight="1">
      <c r="A13" s="12"/>
      <c r="B13" s="25"/>
      <c r="C13" s="57">
        <v>94</v>
      </c>
      <c r="D13" s="51">
        <f t="shared" si="2"/>
        <v>130</v>
      </c>
      <c r="E13" s="51">
        <f t="shared" si="0"/>
        <v>2</v>
      </c>
      <c r="F13" s="52">
        <f t="shared" si="3"/>
        <v>94.46</v>
      </c>
      <c r="G13" s="53">
        <f>IF(D13=D12,"",_xlfn.IFNA(VLOOKUP(D13,'인원 입력 기능'!$A$5:$D$103,4,FALSE),0))</f>
        <v>3452</v>
      </c>
      <c r="H13" s="54">
        <f t="shared" si="4"/>
        <v>9.2111793618349785E-3</v>
      </c>
      <c r="I13" s="64">
        <f>SUM($G$7:G13)</f>
        <v>22473</v>
      </c>
      <c r="J13" s="56">
        <f t="shared" si="5"/>
        <v>5.9966058458434952E-2</v>
      </c>
      <c r="K13" s="30"/>
      <c r="L13" s="18" t="str">
        <f t="shared" si="1"/>
        <v/>
      </c>
      <c r="N13" s="17"/>
      <c r="P13" s="17">
        <v>7</v>
      </c>
      <c r="Q13" s="17">
        <f>'표점등급&amp;절평인원 입력기능'!C10</f>
        <v>74</v>
      </c>
    </row>
    <row r="14" spans="1:17" s="14" customFormat="1" ht="25" customHeight="1">
      <c r="A14" s="12"/>
      <c r="B14" s="25"/>
      <c r="C14" s="57">
        <v>93</v>
      </c>
      <c r="D14" s="51">
        <f t="shared" si="2"/>
        <v>129</v>
      </c>
      <c r="E14" s="51">
        <f t="shared" si="0"/>
        <v>2</v>
      </c>
      <c r="F14" s="52">
        <f t="shared" si="3"/>
        <v>93.35</v>
      </c>
      <c r="G14" s="53">
        <f>IF(D14=D13,"",_xlfn.IFNA(VLOOKUP(D14,'인원 입력 기능'!$A$5:$D$103,4,FALSE),0))</f>
        <v>4895</v>
      </c>
      <c r="H14" s="54">
        <f t="shared" si="4"/>
        <v>1.3061623110133898E-2</v>
      </c>
      <c r="I14" s="64">
        <f>SUM($G$7:G14)</f>
        <v>27368</v>
      </c>
      <c r="J14" s="56">
        <f t="shared" si="5"/>
        <v>7.3027681568568856E-2</v>
      </c>
      <c r="K14" s="30"/>
      <c r="L14" s="18" t="str">
        <f t="shared" si="1"/>
        <v/>
      </c>
      <c r="N14" s="17"/>
      <c r="P14" s="17">
        <v>8</v>
      </c>
      <c r="Q14" s="17">
        <f>'표점등급&amp;절평인원 입력기능'!C11</f>
        <v>63</v>
      </c>
    </row>
    <row r="15" spans="1:17" s="14" customFormat="1" ht="25" customHeight="1">
      <c r="A15" s="12"/>
      <c r="B15" s="25"/>
      <c r="C15" s="57">
        <v>92</v>
      </c>
      <c r="D15" s="51">
        <f t="shared" si="2"/>
        <v>128</v>
      </c>
      <c r="E15" s="51">
        <f t="shared" si="0"/>
        <v>2</v>
      </c>
      <c r="F15" s="52">
        <f t="shared" si="3"/>
        <v>92.18</v>
      </c>
      <c r="G15" s="53">
        <f>IF(D15=D14,"",_xlfn.IFNA(VLOOKUP(D15,'인원 입력 기능'!$A$5:$D$103,4,FALSE),0))</f>
        <v>3841</v>
      </c>
      <c r="H15" s="54">
        <f t="shared" si="4"/>
        <v>1.0249171474162268E-2</v>
      </c>
      <c r="I15" s="64">
        <f>SUM($G$7:G15)</f>
        <v>31209</v>
      </c>
      <c r="J15" s="56">
        <f t="shared" si="5"/>
        <v>8.3276853042731122E-2</v>
      </c>
      <c r="K15" s="30"/>
      <c r="L15" s="18" t="str">
        <f t="shared" si="1"/>
        <v/>
      </c>
      <c r="N15" s="17"/>
      <c r="P15" s="17">
        <v>9</v>
      </c>
      <c r="Q15" s="17"/>
    </row>
    <row r="16" spans="1:17" s="14" customFormat="1" ht="25" customHeight="1">
      <c r="A16" s="12"/>
      <c r="B16" s="25"/>
      <c r="C16" s="65">
        <v>91</v>
      </c>
      <c r="D16" s="51">
        <f t="shared" si="2"/>
        <v>127</v>
      </c>
      <c r="E16" s="66">
        <f t="shared" si="0"/>
        <v>2</v>
      </c>
      <c r="F16" s="52">
        <f t="shared" si="3"/>
        <v>91</v>
      </c>
      <c r="G16" s="53">
        <f>IF(D16=D15,"",_xlfn.IFNA(VLOOKUP(D16,'인원 입력 기능'!$A$5:$D$103,4,FALSE),0))</f>
        <v>5017</v>
      </c>
      <c r="H16" s="54">
        <f t="shared" si="4"/>
        <v>1.3387163052817522E-2</v>
      </c>
      <c r="I16" s="67">
        <f>SUM($G$7:G16)</f>
        <v>36226</v>
      </c>
      <c r="J16" s="56">
        <f t="shared" si="5"/>
        <v>9.6664016095548644E-2</v>
      </c>
      <c r="K16" s="30"/>
      <c r="L16" s="18" t="str">
        <f t="shared" si="1"/>
        <v/>
      </c>
      <c r="N16" s="17"/>
    </row>
    <row r="17" spans="1:17" s="14" customFormat="1" ht="25" customHeight="1">
      <c r="A17" s="12"/>
      <c r="B17" s="25"/>
      <c r="C17" s="65">
        <v>90</v>
      </c>
      <c r="D17" s="51">
        <f t="shared" si="2"/>
        <v>126</v>
      </c>
      <c r="E17" s="66">
        <f t="shared" si="0"/>
        <v>2</v>
      </c>
      <c r="F17" s="52">
        <f t="shared" si="3"/>
        <v>89.73</v>
      </c>
      <c r="G17" s="53">
        <f>IF(D17=D16,"",_xlfn.IFNA(VLOOKUP(D17,'인원 입력 기능'!$A$5:$D$103,4,FALSE),0))</f>
        <v>4497</v>
      </c>
      <c r="H17" s="54">
        <f t="shared" si="4"/>
        <v>1.1999615756133225E-2</v>
      </c>
      <c r="I17" s="67">
        <f>SUM($G$7:G17)</f>
        <v>40723</v>
      </c>
      <c r="J17" s="56">
        <f t="shared" si="5"/>
        <v>0.10866363185168186</v>
      </c>
      <c r="K17" s="30"/>
      <c r="L17" s="18" t="str">
        <f t="shared" si="1"/>
        <v/>
      </c>
      <c r="N17" s="17"/>
      <c r="Q17" s="14">
        <f>IF(H3*H4*J3*Q7=0, 0, 1)</f>
        <v>1</v>
      </c>
    </row>
    <row r="18" spans="1:17" s="14" customFormat="1" ht="25" customHeight="1">
      <c r="A18" s="12"/>
      <c r="B18" s="25"/>
      <c r="C18" s="65">
        <v>89</v>
      </c>
      <c r="D18" s="51">
        <f t="shared" si="2"/>
        <v>125</v>
      </c>
      <c r="E18" s="66">
        <f t="shared" si="0"/>
        <v>2</v>
      </c>
      <c r="F18" s="52">
        <f t="shared" si="3"/>
        <v>88.48</v>
      </c>
      <c r="G18" s="53">
        <f>IF(D18=D17,"",_xlfn.IFNA(VLOOKUP(D18,'인원 입력 기능'!$A$5:$D$103,4,FALSE),0))</f>
        <v>4886</v>
      </c>
      <c r="H18" s="54">
        <f t="shared" si="4"/>
        <v>1.3037607868460517E-2</v>
      </c>
      <c r="I18" s="67">
        <f>SUM($G$7:G18)</f>
        <v>45609</v>
      </c>
      <c r="J18" s="56">
        <f t="shared" si="5"/>
        <v>0.12170123972014238</v>
      </c>
      <c r="K18" s="30"/>
      <c r="L18" s="18" t="str">
        <f t="shared" si="1"/>
        <v/>
      </c>
      <c r="N18" s="17"/>
    </row>
    <row r="19" spans="1:17" s="14" customFormat="1" ht="25" customHeight="1">
      <c r="A19" s="12"/>
      <c r="B19" s="25"/>
      <c r="C19" s="65">
        <v>88</v>
      </c>
      <c r="D19" s="51">
        <f t="shared" si="2"/>
        <v>124</v>
      </c>
      <c r="E19" s="66">
        <f t="shared" si="0"/>
        <v>3</v>
      </c>
      <c r="F19" s="52">
        <f t="shared" si="3"/>
        <v>87.17</v>
      </c>
      <c r="G19" s="53">
        <f>IF(D19=D18,"",_xlfn.IFNA(VLOOKUP(D19,'인원 입력 기능'!$A$5:$D$103,4,FALSE),0))</f>
        <v>4951</v>
      </c>
      <c r="H19" s="54">
        <f t="shared" si="4"/>
        <v>1.3211051280546053E-2</v>
      </c>
      <c r="I19" s="67">
        <f>SUM($G$7:G19)</f>
        <v>50560</v>
      </c>
      <c r="J19" s="56">
        <f t="shared" si="5"/>
        <v>0.13491229100068844</v>
      </c>
      <c r="K19" s="30"/>
      <c r="L19" s="18" t="str">
        <f t="shared" si="1"/>
        <v/>
      </c>
      <c r="N19" s="103"/>
    </row>
    <row r="20" spans="1:17" s="14" customFormat="1" ht="25" customHeight="1">
      <c r="A20" s="12"/>
      <c r="B20" s="25"/>
      <c r="C20" s="65">
        <v>87</v>
      </c>
      <c r="D20" s="51">
        <f t="shared" si="2"/>
        <v>123</v>
      </c>
      <c r="E20" s="66">
        <f t="shared" si="0"/>
        <v>3</v>
      </c>
      <c r="F20" s="52">
        <f t="shared" si="3"/>
        <v>85.84</v>
      </c>
      <c r="G20" s="53">
        <f>IF(D20=D19,"",_xlfn.IFNA(VLOOKUP(D20,'인원 입력 기능'!$A$5:$D$103,4,FALSE),0))</f>
        <v>4992</v>
      </c>
      <c r="H20" s="54">
        <f t="shared" si="4"/>
        <v>1.3320454048169238E-2</v>
      </c>
      <c r="I20" s="67">
        <f>SUM($G$7:G20)</f>
        <v>55552</v>
      </c>
      <c r="J20" s="56">
        <f t="shared" si="5"/>
        <v>0.14823274504885767</v>
      </c>
      <c r="K20" s="30"/>
      <c r="L20" s="18" t="str">
        <f t="shared" si="1"/>
        <v/>
      </c>
      <c r="N20" s="103"/>
    </row>
    <row r="21" spans="1:17" s="14" customFormat="1" ht="25" customHeight="1">
      <c r="A21" s="12"/>
      <c r="B21" s="25"/>
      <c r="C21" s="65">
        <v>86</v>
      </c>
      <c r="D21" s="51">
        <f t="shared" si="2"/>
        <v>122</v>
      </c>
      <c r="E21" s="66">
        <f t="shared" si="0"/>
        <v>3</v>
      </c>
      <c r="F21" s="52">
        <f t="shared" si="3"/>
        <v>84.47</v>
      </c>
      <c r="G21" s="53">
        <f>IF(D21=D20,"",_xlfn.IFNA(VLOOKUP(D21,'인원 입력 기능'!$A$5:$D$103,4,FALSE),0))</f>
        <v>5330</v>
      </c>
      <c r="H21" s="54">
        <f t="shared" si="4"/>
        <v>1.4222359791014031E-2</v>
      </c>
      <c r="I21" s="67">
        <f>SUM($G$7:G21)</f>
        <v>60882</v>
      </c>
      <c r="J21" s="56">
        <f t="shared" si="5"/>
        <v>0.16245510483987172</v>
      </c>
      <c r="K21" s="30"/>
      <c r="L21" s="18" t="str">
        <f t="shared" si="1"/>
        <v/>
      </c>
      <c r="N21" s="17"/>
    </row>
    <row r="22" spans="1:17" s="14" customFormat="1" ht="25" customHeight="1">
      <c r="A22" s="12"/>
      <c r="B22" s="25"/>
      <c r="C22" s="65">
        <v>85</v>
      </c>
      <c r="D22" s="51">
        <f t="shared" si="2"/>
        <v>121</v>
      </c>
      <c r="E22" s="66">
        <f t="shared" si="0"/>
        <v>3</v>
      </c>
      <c r="F22" s="52">
        <f t="shared" si="3"/>
        <v>83.08</v>
      </c>
      <c r="G22" s="53">
        <f>IF(D22=D21,"",_xlfn.IFNA(VLOOKUP(D22,'인원 입력 기능'!$A$5:$D$103,4,FALSE),0))</f>
        <v>5031</v>
      </c>
      <c r="H22" s="54">
        <f t="shared" si="4"/>
        <v>1.3424520095420561E-2</v>
      </c>
      <c r="I22" s="67">
        <f>SUM($G$7:G22)</f>
        <v>65913</v>
      </c>
      <c r="J22" s="56">
        <f t="shared" si="5"/>
        <v>0.17587962493529227</v>
      </c>
      <c r="K22" s="30"/>
      <c r="L22" s="18" t="str">
        <f t="shared" si="1"/>
        <v/>
      </c>
      <c r="N22" s="17"/>
    </row>
    <row r="23" spans="1:17" s="14" customFormat="1" ht="25" customHeight="1">
      <c r="A23" s="12"/>
      <c r="B23" s="25"/>
      <c r="C23" s="65">
        <v>84</v>
      </c>
      <c r="D23" s="51">
        <f t="shared" si="2"/>
        <v>120</v>
      </c>
      <c r="E23" s="66">
        <f t="shared" si="0"/>
        <v>3</v>
      </c>
      <c r="F23" s="52">
        <f t="shared" si="3"/>
        <v>81.680000000000007</v>
      </c>
      <c r="G23" s="53">
        <f>IF(D23=D22,"",_xlfn.IFNA(VLOOKUP(D23,'인원 입력 기능'!$A$5:$D$103,4,FALSE),0))</f>
        <v>5510</v>
      </c>
      <c r="H23" s="54">
        <f t="shared" si="4"/>
        <v>1.470266462448167E-2</v>
      </c>
      <c r="I23" s="67">
        <f>SUM($G$7:G23)</f>
        <v>71423</v>
      </c>
      <c r="J23" s="56">
        <f t="shared" si="5"/>
        <v>0.19058228955977394</v>
      </c>
      <c r="K23" s="30"/>
      <c r="L23" s="18" t="str">
        <f t="shared" si="1"/>
        <v/>
      </c>
      <c r="N23" s="17"/>
    </row>
    <row r="24" spans="1:17" s="14" customFormat="1" ht="25" customHeight="1">
      <c r="A24" s="12"/>
      <c r="B24" s="25"/>
      <c r="C24" s="65">
        <v>83</v>
      </c>
      <c r="D24" s="51">
        <f t="shared" si="2"/>
        <v>119</v>
      </c>
      <c r="E24" s="66">
        <f t="shared" si="0"/>
        <v>3</v>
      </c>
      <c r="F24" s="52">
        <f t="shared" si="3"/>
        <v>80.23</v>
      </c>
      <c r="G24" s="53">
        <f>IF(D24=D23,"",_xlfn.IFNA(VLOOKUP(D24,'인원 입력 기능'!$A$5:$D$103,4,FALSE),0))</f>
        <v>5298</v>
      </c>
      <c r="H24" s="54">
        <f t="shared" si="4"/>
        <v>1.4136972265064227E-2</v>
      </c>
      <c r="I24" s="67">
        <f>SUM($G$7:G24)</f>
        <v>76721</v>
      </c>
      <c r="J24" s="56">
        <f t="shared" si="5"/>
        <v>0.20471926182483816</v>
      </c>
      <c r="K24" s="30"/>
      <c r="L24" s="18" t="str">
        <f t="shared" si="1"/>
        <v/>
      </c>
      <c r="N24" s="17"/>
    </row>
    <row r="25" spans="1:17" s="14" customFormat="1" ht="25" customHeight="1">
      <c r="A25" s="12"/>
      <c r="B25" s="25"/>
      <c r="C25" s="65">
        <v>82</v>
      </c>
      <c r="D25" s="51">
        <f t="shared" si="2"/>
        <v>118</v>
      </c>
      <c r="E25" s="66">
        <f t="shared" si="0"/>
        <v>3</v>
      </c>
      <c r="F25" s="52">
        <f t="shared" si="3"/>
        <v>78.78</v>
      </c>
      <c r="G25" s="53">
        <f>IF(D25=D24,"",_xlfn.IFNA(VLOOKUP(D25,'인원 입력 기능'!$A$5:$D$103,4,FALSE),0))</f>
        <v>5596</v>
      </c>
      <c r="H25" s="54">
        <f t="shared" si="4"/>
        <v>1.4932143600471766E-2</v>
      </c>
      <c r="I25" s="67">
        <f>SUM($G$7:G25)</f>
        <v>82317</v>
      </c>
      <c r="J25" s="56">
        <f t="shared" si="5"/>
        <v>0.21965140542530992</v>
      </c>
      <c r="K25" s="30"/>
      <c r="L25" s="18" t="str">
        <f t="shared" si="1"/>
        <v/>
      </c>
      <c r="N25" s="17"/>
    </row>
    <row r="26" spans="1:17" s="14" customFormat="1" ht="25" customHeight="1">
      <c r="A26" s="12"/>
      <c r="B26" s="25"/>
      <c r="C26" s="65">
        <v>81</v>
      </c>
      <c r="D26" s="51">
        <f t="shared" si="2"/>
        <v>117</v>
      </c>
      <c r="E26" s="66">
        <f t="shared" si="0"/>
        <v>3</v>
      </c>
      <c r="F26" s="52">
        <f t="shared" si="3"/>
        <v>77.28</v>
      </c>
      <c r="G26" s="53">
        <f>IF(D26=D25,"",_xlfn.IFNA(VLOOKUP(D26,'인원 입력 기능'!$A$5:$D$103,4,FALSE),0))</f>
        <v>5648</v>
      </c>
      <c r="H26" s="54">
        <f t="shared" si="4"/>
        <v>1.5070898330140196E-2</v>
      </c>
      <c r="I26" s="67">
        <f>SUM($G$7:G26)</f>
        <v>87965</v>
      </c>
      <c r="J26" s="56">
        <f t="shared" si="5"/>
        <v>0.23472230375545011</v>
      </c>
      <c r="K26" s="30"/>
      <c r="L26" s="18" t="str">
        <f t="shared" si="1"/>
        <v/>
      </c>
      <c r="N26" s="17"/>
    </row>
    <row r="27" spans="1:17" s="14" customFormat="1" ht="25" customHeight="1">
      <c r="A27" s="12"/>
      <c r="B27" s="25"/>
      <c r="C27" s="65">
        <v>80</v>
      </c>
      <c r="D27" s="51">
        <f t="shared" si="2"/>
        <v>116</v>
      </c>
      <c r="E27" s="66">
        <f t="shared" si="0"/>
        <v>4</v>
      </c>
      <c r="F27" s="52">
        <f t="shared" si="3"/>
        <v>75.78</v>
      </c>
      <c r="G27" s="53">
        <f>IF(D27=D26,"",_xlfn.IFNA(VLOOKUP(D27,'인원 입력 기능'!$A$5:$D$103,4,FALSE),0))</f>
        <v>5586</v>
      </c>
      <c r="H27" s="54">
        <f t="shared" si="4"/>
        <v>1.4905459998612453E-2</v>
      </c>
      <c r="I27" s="67">
        <f>SUM($G$7:G27)</f>
        <v>93551</v>
      </c>
      <c r="J27" s="56">
        <f t="shared" si="5"/>
        <v>0.24962776375406256</v>
      </c>
      <c r="K27" s="30"/>
      <c r="L27" s="18" t="str">
        <f t="shared" si="1"/>
        <v/>
      </c>
      <c r="N27" s="17"/>
    </row>
    <row r="28" spans="1:17" s="14" customFormat="1" ht="25" customHeight="1">
      <c r="A28" s="12"/>
      <c r="B28" s="25"/>
      <c r="C28" s="65">
        <v>79</v>
      </c>
      <c r="D28" s="116">
        <f t="shared" si="2"/>
        <v>115</v>
      </c>
      <c r="E28" s="125">
        <f t="shared" si="0"/>
        <v>4</v>
      </c>
      <c r="F28" s="127">
        <f t="shared" si="3"/>
        <v>73.489999999999995</v>
      </c>
      <c r="G28" s="129">
        <f>IF(D28=D27,"",_xlfn.IFNA(VLOOKUP(D28,'인원 입력 기능'!$A$5:$D$103,4,FALSE),0))</f>
        <v>11614</v>
      </c>
      <c r="H28" s="130">
        <f t="shared" si="4"/>
        <v>3.0990335199406558E-2</v>
      </c>
      <c r="I28" s="132">
        <f>SUM($G$7:G28)</f>
        <v>105165</v>
      </c>
      <c r="J28" s="134">
        <f t="shared" si="5"/>
        <v>0.28061809895346912</v>
      </c>
      <c r="K28" s="30"/>
      <c r="L28" s="18" t="str">
        <f t="shared" si="1"/>
        <v/>
      </c>
      <c r="N28" s="17"/>
    </row>
    <row r="29" spans="1:17" s="14" customFormat="1" ht="25" customHeight="1">
      <c r="A29" s="12"/>
      <c r="B29" s="25"/>
      <c r="C29" s="65">
        <v>78</v>
      </c>
      <c r="D29" s="117"/>
      <c r="E29" s="124"/>
      <c r="F29" s="126"/>
      <c r="G29" s="128"/>
      <c r="H29" s="131"/>
      <c r="I29" s="133"/>
      <c r="J29" s="135"/>
      <c r="K29" s="30"/>
      <c r="L29" s="18" t="str">
        <f t="shared" si="1"/>
        <v>경고</v>
      </c>
      <c r="N29" s="17"/>
    </row>
    <row r="30" spans="1:17" s="14" customFormat="1" ht="25" customHeight="1">
      <c r="A30" s="12"/>
      <c r="B30" s="25"/>
      <c r="C30" s="65">
        <v>77</v>
      </c>
      <c r="D30" s="51">
        <f t="shared" si="2"/>
        <v>114</v>
      </c>
      <c r="E30" s="66">
        <f t="shared" si="0"/>
        <v>4</v>
      </c>
      <c r="F30" s="52">
        <f t="shared" si="3"/>
        <v>71.14</v>
      </c>
      <c r="G30" s="53">
        <f>IF(D30=D29,"",_xlfn.IFNA(VLOOKUP(D30,'인원 입력 기능'!$A$5:$D$103,4,FALSE),0))</f>
        <v>5989</v>
      </c>
      <c r="H30" s="54">
        <f t="shared" si="4"/>
        <v>1.5980809153542781E-2</v>
      </c>
      <c r="I30" s="67">
        <f>SUM($G$7:G30)</f>
        <v>111154</v>
      </c>
      <c r="J30" s="56">
        <f t="shared" si="5"/>
        <v>0.29659890810701189</v>
      </c>
      <c r="K30" s="30"/>
      <c r="L30" s="18" t="str">
        <f t="shared" si="1"/>
        <v/>
      </c>
      <c r="N30" s="17"/>
    </row>
    <row r="31" spans="1:17" s="14" customFormat="1" ht="25" customHeight="1">
      <c r="A31" s="12"/>
      <c r="B31" s="25"/>
      <c r="C31" s="65">
        <v>76</v>
      </c>
      <c r="D31" s="51">
        <f t="shared" si="2"/>
        <v>113</v>
      </c>
      <c r="E31" s="66">
        <f t="shared" si="0"/>
        <v>4</v>
      </c>
      <c r="F31" s="52">
        <f t="shared" si="3"/>
        <v>69.56</v>
      </c>
      <c r="G31" s="53">
        <f>IF(D31=D30,"",_xlfn.IFNA(VLOOKUP(D31,'인원 입력 기능'!$A$5:$D$103,4,FALSE),0))</f>
        <v>5868</v>
      </c>
      <c r="H31" s="54">
        <f t="shared" si="4"/>
        <v>1.565793757104509E-2</v>
      </c>
      <c r="I31" s="67">
        <f>SUM($G$7:G31)</f>
        <v>117022</v>
      </c>
      <c r="J31" s="56">
        <f t="shared" si="5"/>
        <v>0.312256845678057</v>
      </c>
      <c r="K31" s="30"/>
      <c r="L31" s="18" t="str">
        <f t="shared" si="1"/>
        <v/>
      </c>
      <c r="N31" s="17"/>
    </row>
    <row r="32" spans="1:17" s="14" customFormat="1" ht="25" customHeight="1">
      <c r="A32" s="12"/>
      <c r="B32" s="25"/>
      <c r="C32" s="65">
        <v>75</v>
      </c>
      <c r="D32" s="51">
        <f t="shared" si="2"/>
        <v>112</v>
      </c>
      <c r="E32" s="66">
        <f t="shared" si="0"/>
        <v>4</v>
      </c>
      <c r="F32" s="52">
        <f t="shared" si="3"/>
        <v>67.98</v>
      </c>
      <c r="G32" s="53">
        <f>IF(D32=D31,"",_xlfn.IFNA(VLOOKUP(D32,'인원 입력 기능'!$A$5:$D$103,4,FALSE),0))</f>
        <v>5991</v>
      </c>
      <c r="H32" s="54">
        <f t="shared" si="4"/>
        <v>1.5986145873914646E-2</v>
      </c>
      <c r="I32" s="67">
        <f>SUM($G$7:G32)</f>
        <v>123013</v>
      </c>
      <c r="J32" s="56">
        <f t="shared" si="5"/>
        <v>0.32824299155197167</v>
      </c>
      <c r="K32" s="30"/>
      <c r="L32" s="18" t="str">
        <f t="shared" si="1"/>
        <v/>
      </c>
      <c r="N32" s="17"/>
    </row>
    <row r="33" spans="1:14" s="14" customFormat="1" ht="25" customHeight="1">
      <c r="A33" s="12"/>
      <c r="B33" s="25"/>
      <c r="C33" s="65">
        <v>74</v>
      </c>
      <c r="D33" s="51">
        <f t="shared" si="2"/>
        <v>111</v>
      </c>
      <c r="E33" s="66">
        <f t="shared" si="0"/>
        <v>4</v>
      </c>
      <c r="F33" s="52">
        <f t="shared" si="3"/>
        <v>66.37</v>
      </c>
      <c r="G33" s="53">
        <f>IF(D33=D32,"",_xlfn.IFNA(VLOOKUP(D33,'인원 입력 기능'!$A$5:$D$103,4,FALSE),0))</f>
        <v>6061</v>
      </c>
      <c r="H33" s="54">
        <f t="shared" si="4"/>
        <v>1.617293108692984E-2</v>
      </c>
      <c r="I33" s="67">
        <f>SUM($G$7:G33)</f>
        <v>129074</v>
      </c>
      <c r="J33" s="56">
        <f t="shared" si="5"/>
        <v>0.34441592263890147</v>
      </c>
      <c r="K33" s="30"/>
      <c r="L33" s="18" t="str">
        <f t="shared" si="1"/>
        <v/>
      </c>
      <c r="N33" s="17"/>
    </row>
    <row r="34" spans="1:14" s="14" customFormat="1" ht="25" customHeight="1">
      <c r="A34" s="12"/>
      <c r="B34" s="25"/>
      <c r="C34" s="65">
        <v>73</v>
      </c>
      <c r="D34" s="51">
        <f t="shared" si="2"/>
        <v>110</v>
      </c>
      <c r="E34" s="66">
        <f t="shared" si="0"/>
        <v>4</v>
      </c>
      <c r="F34" s="52">
        <f t="shared" si="3"/>
        <v>64.75</v>
      </c>
      <c r="G34" s="53">
        <f>IF(D34=D33,"",_xlfn.IFNA(VLOOKUP(D34,'인원 입력 기능'!$A$5:$D$103,4,FALSE),0))</f>
        <v>6065</v>
      </c>
      <c r="H34" s="54">
        <f t="shared" si="4"/>
        <v>1.6183604527673562E-2</v>
      </c>
      <c r="I34" s="67">
        <f>SUM($G$7:G34)</f>
        <v>135139</v>
      </c>
      <c r="J34" s="56">
        <f t="shared" si="5"/>
        <v>0.36059952716657506</v>
      </c>
      <c r="K34" s="30"/>
      <c r="L34" s="18" t="str">
        <f t="shared" si="1"/>
        <v/>
      </c>
      <c r="N34" s="17"/>
    </row>
    <row r="35" spans="1:14" s="14" customFormat="1" ht="25" customHeight="1">
      <c r="A35" s="12"/>
      <c r="B35" s="25"/>
      <c r="C35" s="65">
        <v>72</v>
      </c>
      <c r="D35" s="51">
        <f t="shared" si="2"/>
        <v>109</v>
      </c>
      <c r="E35" s="66">
        <f t="shared" si="0"/>
        <v>4</v>
      </c>
      <c r="F35" s="52">
        <f t="shared" si="3"/>
        <v>63.11</v>
      </c>
      <c r="G35" s="53">
        <f>IF(D35=D34,"",_xlfn.IFNA(VLOOKUP(D35,'인원 입력 기능'!$A$5:$D$103,4,FALSE),0))</f>
        <v>6231</v>
      </c>
      <c r="H35" s="54">
        <f t="shared" si="4"/>
        <v>1.6626552318538164E-2</v>
      </c>
      <c r="I35" s="67">
        <f>SUM($G$7:G35)</f>
        <v>141370</v>
      </c>
      <c r="J35" s="56">
        <f t="shared" si="5"/>
        <v>0.37722607948511322</v>
      </c>
      <c r="K35" s="30"/>
      <c r="L35" s="18" t="str">
        <f t="shared" si="1"/>
        <v/>
      </c>
      <c r="N35" s="17"/>
    </row>
    <row r="36" spans="1:14" s="14" customFormat="1" ht="25" customHeight="1">
      <c r="A36" s="12"/>
      <c r="B36" s="25"/>
      <c r="C36" s="65">
        <v>71</v>
      </c>
      <c r="D36" s="51">
        <f t="shared" si="2"/>
        <v>108</v>
      </c>
      <c r="E36" s="66">
        <f t="shared" si="0"/>
        <v>4</v>
      </c>
      <c r="F36" s="52">
        <f t="shared" si="3"/>
        <v>61.45</v>
      </c>
      <c r="G36" s="53">
        <f>IF(D36=D35,"",_xlfn.IFNA(VLOOKUP(D36,'인원 입력 기능'!$A$5:$D$103,4,FALSE),0))</f>
        <v>6167</v>
      </c>
      <c r="H36" s="54">
        <f t="shared" si="4"/>
        <v>1.645577726663856E-2</v>
      </c>
      <c r="I36" s="67">
        <f>SUM($G$7:G36)</f>
        <v>147537</v>
      </c>
      <c r="J36" s="56">
        <f t="shared" si="5"/>
        <v>0.39368185675175177</v>
      </c>
      <c r="K36" s="30"/>
      <c r="L36" s="18" t="str">
        <f t="shared" si="1"/>
        <v/>
      </c>
      <c r="N36" s="17"/>
    </row>
    <row r="37" spans="1:14" s="14" customFormat="1" ht="25" customHeight="1">
      <c r="A37" s="12"/>
      <c r="B37" s="25"/>
      <c r="C37" s="65">
        <v>70</v>
      </c>
      <c r="D37" s="51">
        <f t="shared" si="2"/>
        <v>107</v>
      </c>
      <c r="E37" s="66">
        <f t="shared" si="0"/>
        <v>4</v>
      </c>
      <c r="F37" s="52">
        <f t="shared" si="3"/>
        <v>59.81</v>
      </c>
      <c r="G37" s="53">
        <f>IF(D37=D36,"",_xlfn.IFNA(VLOOKUP(D37,'인원 입력 기능'!$A$5:$D$103,4,FALSE),0))</f>
        <v>6182</v>
      </c>
      <c r="H37" s="54">
        <f t="shared" si="4"/>
        <v>1.6495802669427531E-2</v>
      </c>
      <c r="I37" s="67">
        <f>SUM($G$7:G37)</f>
        <v>153719</v>
      </c>
      <c r="J37" s="56">
        <f t="shared" si="5"/>
        <v>0.41017765942117929</v>
      </c>
      <c r="K37" s="30"/>
      <c r="L37" s="18" t="str">
        <f t="shared" si="1"/>
        <v/>
      </c>
      <c r="N37" s="17"/>
    </row>
    <row r="38" spans="1:14" s="14" customFormat="1" ht="25" customHeight="1">
      <c r="A38" s="12"/>
      <c r="B38" s="25"/>
      <c r="C38" s="65">
        <v>69</v>
      </c>
      <c r="D38" s="51">
        <f t="shared" si="2"/>
        <v>106</v>
      </c>
      <c r="E38" s="66">
        <f t="shared" si="0"/>
        <v>5</v>
      </c>
      <c r="F38" s="52">
        <f t="shared" si="3"/>
        <v>58.16</v>
      </c>
      <c r="G38" s="53">
        <f>IF(D38=D37,"",_xlfn.IFNA(VLOOKUP(D38,'인원 입력 기능'!$A$5:$D$103,4,FALSE),0))</f>
        <v>6146</v>
      </c>
      <c r="H38" s="54">
        <f t="shared" si="4"/>
        <v>1.6399741702734002E-2</v>
      </c>
      <c r="I38" s="67">
        <f>SUM($G$7:G38)</f>
        <v>159865</v>
      </c>
      <c r="J38" s="56">
        <f t="shared" si="5"/>
        <v>0.42657740112391329</v>
      </c>
      <c r="K38" s="30"/>
      <c r="L38" s="18" t="str">
        <f t="shared" si="1"/>
        <v/>
      </c>
      <c r="N38" s="17"/>
    </row>
    <row r="39" spans="1:14" s="14" customFormat="1" ht="25" customHeight="1">
      <c r="A39" s="12"/>
      <c r="B39" s="25"/>
      <c r="C39" s="65">
        <v>68</v>
      </c>
      <c r="D39" s="51">
        <f t="shared" si="2"/>
        <v>105</v>
      </c>
      <c r="E39" s="66">
        <f t="shared" ref="E39:E70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52">
        <f t="shared" si="3"/>
        <v>56.5</v>
      </c>
      <c r="G39" s="53">
        <f>IF(D39=D38,"",_xlfn.IFNA(VLOOKUP(D39,'인원 입력 기능'!$A$5:$D$103,4,FALSE),0))</f>
        <v>6297</v>
      </c>
      <c r="H39" s="54">
        <f t="shared" si="4"/>
        <v>1.6802664090809633E-2</v>
      </c>
      <c r="I39" s="67">
        <f>SUM($G$7:G39)</f>
        <v>166162</v>
      </c>
      <c r="J39" s="56">
        <f t="shared" si="5"/>
        <v>0.44338006521472295</v>
      </c>
      <c r="K39" s="30"/>
      <c r="L39" s="18" t="str">
        <f t="shared" si="1"/>
        <v/>
      </c>
      <c r="N39" s="17"/>
    </row>
    <row r="40" spans="1:14" s="14" customFormat="1" ht="25" customHeight="1">
      <c r="A40" s="12"/>
      <c r="B40" s="25"/>
      <c r="C40" s="65">
        <v>67</v>
      </c>
      <c r="D40" s="51">
        <f t="shared" si="2"/>
        <v>104</v>
      </c>
      <c r="E40" s="66">
        <f t="shared" si="6"/>
        <v>5</v>
      </c>
      <c r="F40" s="52">
        <f t="shared" si="3"/>
        <v>54.83</v>
      </c>
      <c r="G40" s="53">
        <f>IF(D40=D39,"",_xlfn.IFNA(VLOOKUP(D40,'인원 입력 기능'!$A$5:$D$103,4,FALSE),0))</f>
        <v>6219</v>
      </c>
      <c r="H40" s="54">
        <f t="shared" si="4"/>
        <v>1.6594531996306991E-2</v>
      </c>
      <c r="I40" s="67">
        <f>SUM($G$7:G40)</f>
        <v>172381</v>
      </c>
      <c r="J40" s="56">
        <f t="shared" si="5"/>
        <v>0.45997459721102996</v>
      </c>
      <c r="K40" s="30"/>
      <c r="L40" s="18" t="str">
        <f t="shared" si="1"/>
        <v/>
      </c>
      <c r="N40" s="17"/>
    </row>
    <row r="41" spans="1:14" s="14" customFormat="1" ht="25" customHeight="1">
      <c r="A41" s="12"/>
      <c r="B41" s="25"/>
      <c r="C41" s="65">
        <v>66</v>
      </c>
      <c r="D41" s="51">
        <f t="shared" si="2"/>
        <v>103</v>
      </c>
      <c r="E41" s="66">
        <f t="shared" si="6"/>
        <v>5</v>
      </c>
      <c r="F41" s="52">
        <f t="shared" si="3"/>
        <v>53.16</v>
      </c>
      <c r="G41" s="53">
        <f>IF(D41=D40,"",_xlfn.IFNA(VLOOKUP(D41,'인원 입력 기능'!$A$5:$D$103,4,FALSE),0))</f>
        <v>6333</v>
      </c>
      <c r="H41" s="54">
        <f t="shared" si="4"/>
        <v>1.6898725057503162E-2</v>
      </c>
      <c r="I41" s="67">
        <f>SUM($G$7:G41)</f>
        <v>178714</v>
      </c>
      <c r="J41" s="56">
        <f t="shared" si="5"/>
        <v>0.47687332226853307</v>
      </c>
      <c r="K41" s="30"/>
      <c r="L41" s="18" t="str">
        <f t="shared" ref="L41:L72" si="7">IF(ABS((C41-$H$3)/$H$4*20+100-D41)&gt;0.49, "경고", "")</f>
        <v/>
      </c>
      <c r="N41" s="17"/>
    </row>
    <row r="42" spans="1:14" s="14" customFormat="1" ht="25" customHeight="1">
      <c r="A42" s="12"/>
      <c r="B42" s="25"/>
      <c r="C42" s="65">
        <v>65</v>
      </c>
      <c r="D42" s="51">
        <f t="shared" si="2"/>
        <v>102</v>
      </c>
      <c r="E42" s="66">
        <f t="shared" si="6"/>
        <v>5</v>
      </c>
      <c r="F42" s="52">
        <f t="shared" si="3"/>
        <v>51.48</v>
      </c>
      <c r="G42" s="53">
        <f>IF(D42=D41,"",_xlfn.IFNA(VLOOKUP(D42,'인원 입력 기능'!$A$5:$D$103,4,FALSE),0))</f>
        <v>6230</v>
      </c>
      <c r="H42" s="54">
        <f t="shared" si="4"/>
        <v>1.6623883958352233E-2</v>
      </c>
      <c r="I42" s="67">
        <f>SUM($G$7:G42)</f>
        <v>184944</v>
      </c>
      <c r="J42" s="56">
        <f t="shared" si="5"/>
        <v>0.49349720622688531</v>
      </c>
      <c r="K42" s="30"/>
      <c r="L42" s="18" t="str">
        <f t="shared" si="7"/>
        <v/>
      </c>
      <c r="N42" s="17"/>
    </row>
    <row r="43" spans="1:14" s="14" customFormat="1" ht="25" customHeight="1">
      <c r="A43" s="12"/>
      <c r="B43" s="25"/>
      <c r="C43" s="65">
        <v>64</v>
      </c>
      <c r="D43" s="51">
        <f t="shared" si="2"/>
        <v>101</v>
      </c>
      <c r="E43" s="66">
        <f t="shared" si="6"/>
        <v>5</v>
      </c>
      <c r="F43" s="52">
        <f t="shared" si="3"/>
        <v>49.8</v>
      </c>
      <c r="G43" s="53">
        <f>IF(D43=D42,"",_xlfn.IFNA(VLOOKUP(D43,'인원 입력 기능'!$A$5:$D$103,4,FALSE),0))</f>
        <v>6344</v>
      </c>
      <c r="H43" s="54">
        <f t="shared" si="4"/>
        <v>1.6928077019548408E-2</v>
      </c>
      <c r="I43" s="67">
        <f>SUM($G$7:G43)</f>
        <v>191288</v>
      </c>
      <c r="J43" s="56">
        <f t="shared" si="5"/>
        <v>0.51042528324643377</v>
      </c>
      <c r="K43" s="30"/>
      <c r="L43" s="18" t="str">
        <f t="shared" si="7"/>
        <v/>
      </c>
      <c r="N43" s="17"/>
    </row>
    <row r="44" spans="1:14" s="14" customFormat="1" ht="25" customHeight="1">
      <c r="A44" s="12"/>
      <c r="B44" s="25"/>
      <c r="C44" s="65">
        <v>63</v>
      </c>
      <c r="D44" s="51">
        <f t="shared" si="2"/>
        <v>100</v>
      </c>
      <c r="E44" s="66">
        <f t="shared" si="6"/>
        <v>5</v>
      </c>
      <c r="F44" s="52">
        <f t="shared" si="3"/>
        <v>48.13</v>
      </c>
      <c r="G44" s="53">
        <f>IF(D44=D43,"",_xlfn.IFNA(VLOOKUP(D44,'인원 입력 기능'!$A$5:$D$103,4,FALSE),0))</f>
        <v>6192</v>
      </c>
      <c r="H44" s="54">
        <f t="shared" si="4"/>
        <v>1.6522486271286843E-2</v>
      </c>
      <c r="I44" s="67">
        <f>SUM($G$7:G44)</f>
        <v>197480</v>
      </c>
      <c r="J44" s="56">
        <f t="shared" si="5"/>
        <v>0.5269477695177206</v>
      </c>
      <c r="K44" s="30"/>
      <c r="L44" s="18" t="str">
        <f t="shared" si="7"/>
        <v/>
      </c>
      <c r="N44" s="17"/>
    </row>
    <row r="45" spans="1:14" s="14" customFormat="1" ht="25" customHeight="1">
      <c r="A45" s="12"/>
      <c r="B45" s="25"/>
      <c r="C45" s="65">
        <v>62</v>
      </c>
      <c r="D45" s="51">
        <f t="shared" si="2"/>
        <v>99</v>
      </c>
      <c r="E45" s="66">
        <f t="shared" si="6"/>
        <v>5</v>
      </c>
      <c r="F45" s="52">
        <f t="shared" si="3"/>
        <v>46.49</v>
      </c>
      <c r="G45" s="53">
        <f>IF(D45=D44,"",_xlfn.IFNA(VLOOKUP(D45,'인원 입력 기능'!$A$5:$D$103,4,FALSE),0))</f>
        <v>6126</v>
      </c>
      <c r="H45" s="54">
        <f t="shared" si="4"/>
        <v>1.6346374499015374E-2</v>
      </c>
      <c r="I45" s="67">
        <f>SUM($G$7:G45)</f>
        <v>203606</v>
      </c>
      <c r="J45" s="56">
        <f t="shared" si="5"/>
        <v>0.54329414401673592</v>
      </c>
      <c r="K45" s="30"/>
      <c r="L45" s="18" t="str">
        <f t="shared" si="7"/>
        <v/>
      </c>
      <c r="N45" s="17"/>
    </row>
    <row r="46" spans="1:14" s="14" customFormat="1" ht="25" customHeight="1">
      <c r="A46" s="12"/>
      <c r="B46" s="25"/>
      <c r="C46" s="65">
        <v>61</v>
      </c>
      <c r="D46" s="51">
        <f t="shared" si="2"/>
        <v>98</v>
      </c>
      <c r="E46" s="66">
        <f t="shared" si="6"/>
        <v>5</v>
      </c>
      <c r="F46" s="52">
        <f t="shared" si="3"/>
        <v>44.84</v>
      </c>
      <c r="G46" s="53">
        <f>IF(D46=D45,"",_xlfn.IFNA(VLOOKUP(D46,'인원 입력 기능'!$A$5:$D$103,4,FALSE),0))</f>
        <v>6234</v>
      </c>
      <c r="H46" s="54">
        <f t="shared" si="4"/>
        <v>1.6634557399095959E-2</v>
      </c>
      <c r="I46" s="67">
        <f>SUM($G$7:G46)</f>
        <v>209840</v>
      </c>
      <c r="J46" s="56">
        <f t="shared" si="5"/>
        <v>0.55992870141583195</v>
      </c>
      <c r="K46" s="30"/>
      <c r="L46" s="18" t="str">
        <f t="shared" si="7"/>
        <v/>
      </c>
      <c r="N46" s="17"/>
    </row>
    <row r="47" spans="1:14" s="14" customFormat="1" ht="25" customHeight="1">
      <c r="A47" s="12"/>
      <c r="B47" s="25"/>
      <c r="C47" s="65">
        <v>60</v>
      </c>
      <c r="D47" s="51">
        <f t="shared" si="2"/>
        <v>97</v>
      </c>
      <c r="E47" s="66">
        <f t="shared" si="6"/>
        <v>5</v>
      </c>
      <c r="F47" s="52">
        <f t="shared" si="3"/>
        <v>43.2</v>
      </c>
      <c r="G47" s="53">
        <f>IF(D47=D46,"",_xlfn.IFNA(VLOOKUP(D47,'인원 입력 기능'!$A$5:$D$103,4,FALSE),0))</f>
        <v>6053</v>
      </c>
      <c r="H47" s="54">
        <f t="shared" si="4"/>
        <v>1.6151584205442389E-2</v>
      </c>
      <c r="I47" s="67">
        <f>SUM($G$7:G47)</f>
        <v>215893</v>
      </c>
      <c r="J47" s="56">
        <f t="shared" si="5"/>
        <v>0.57608028562127434</v>
      </c>
      <c r="K47" s="30"/>
      <c r="L47" s="18" t="str">
        <f t="shared" si="7"/>
        <v/>
      </c>
      <c r="N47" s="17"/>
    </row>
    <row r="48" spans="1:14" s="14" customFormat="1" ht="25" customHeight="1">
      <c r="A48" s="12"/>
      <c r="B48" s="25"/>
      <c r="C48" s="65">
        <v>59</v>
      </c>
      <c r="D48" s="51">
        <f t="shared" si="2"/>
        <v>96</v>
      </c>
      <c r="E48" s="66">
        <f t="shared" si="6"/>
        <v>5</v>
      </c>
      <c r="F48" s="52">
        <f t="shared" si="3"/>
        <v>41.59</v>
      </c>
      <c r="G48" s="53">
        <f>IF(D48=D47,"",_xlfn.IFNA(VLOOKUP(D48,'인원 입력 기능'!$A$5:$D$103,4,FALSE),0))</f>
        <v>5976</v>
      </c>
      <c r="H48" s="54">
        <f t="shared" si="4"/>
        <v>1.5946120471125674E-2</v>
      </c>
      <c r="I48" s="67">
        <f>SUM($G$7:G48)</f>
        <v>221869</v>
      </c>
      <c r="J48" s="56">
        <f t="shared" si="5"/>
        <v>0.59202640609239998</v>
      </c>
      <c r="K48" s="30"/>
      <c r="L48" s="18" t="str">
        <f t="shared" si="7"/>
        <v/>
      </c>
      <c r="N48" s="17"/>
    </row>
    <row r="49" spans="1:14" s="14" customFormat="1" ht="25" customHeight="1">
      <c r="A49" s="12"/>
      <c r="B49" s="25"/>
      <c r="C49" s="65">
        <v>58</v>
      </c>
      <c r="D49" s="51">
        <f t="shared" si="2"/>
        <v>95</v>
      </c>
      <c r="E49" s="66">
        <f t="shared" si="6"/>
        <v>5</v>
      </c>
      <c r="F49" s="52">
        <f t="shared" si="3"/>
        <v>39.979999999999997</v>
      </c>
      <c r="G49" s="53">
        <f>IF(D49=D48,"",_xlfn.IFNA(VLOOKUP(D49,'인원 입력 기능'!$A$5:$D$103,4,FALSE),0))</f>
        <v>6097</v>
      </c>
      <c r="H49" s="54">
        <f t="shared" si="4"/>
        <v>1.6268992053623366E-2</v>
      </c>
      <c r="I49" s="67">
        <f>SUM($G$7:G49)</f>
        <v>227966</v>
      </c>
      <c r="J49" s="56">
        <f t="shared" si="5"/>
        <v>0.60829539814602329</v>
      </c>
      <c r="K49" s="30"/>
      <c r="L49" s="18" t="str">
        <f t="shared" si="7"/>
        <v/>
      </c>
      <c r="N49" s="17"/>
    </row>
    <row r="50" spans="1:14" s="14" customFormat="1" ht="25" customHeight="1">
      <c r="A50" s="12"/>
      <c r="B50" s="25"/>
      <c r="C50" s="65">
        <v>57</v>
      </c>
      <c r="D50" s="51">
        <f t="shared" si="2"/>
        <v>94</v>
      </c>
      <c r="E50" s="66">
        <f t="shared" si="6"/>
        <v>6</v>
      </c>
      <c r="F50" s="52">
        <f t="shared" si="3"/>
        <v>38.380000000000003</v>
      </c>
      <c r="G50" s="53">
        <f>IF(D50=D49,"",_xlfn.IFNA(VLOOKUP(D50,'인원 입력 기능'!$A$5:$D$103,4,FALSE),0))</f>
        <v>5891</v>
      </c>
      <c r="H50" s="54">
        <f t="shared" si="4"/>
        <v>1.5719309855321512E-2</v>
      </c>
      <c r="I50" s="67">
        <f>SUM($G$7:G50)</f>
        <v>233857</v>
      </c>
      <c r="J50" s="56">
        <f t="shared" si="5"/>
        <v>0.62401470800134484</v>
      </c>
      <c r="K50" s="30"/>
      <c r="L50" s="18" t="str">
        <f t="shared" si="7"/>
        <v/>
      </c>
      <c r="N50" s="17"/>
    </row>
    <row r="51" spans="1:14" s="14" customFormat="1" ht="25" customHeight="1">
      <c r="A51" s="12"/>
      <c r="B51" s="25"/>
      <c r="C51" s="65">
        <v>56</v>
      </c>
      <c r="D51" s="51">
        <f t="shared" si="2"/>
        <v>93</v>
      </c>
      <c r="E51" s="66">
        <f t="shared" si="6"/>
        <v>6</v>
      </c>
      <c r="F51" s="52">
        <f t="shared" si="3"/>
        <v>36.799999999999997</v>
      </c>
      <c r="G51" s="53">
        <f>IF(D51=D50,"",_xlfn.IFNA(VLOOKUP(D51,'인원 입력 기능'!$A$5:$D$103,4,FALSE),0))</f>
        <v>5973</v>
      </c>
      <c r="H51" s="54">
        <f t="shared" si="4"/>
        <v>1.5938115390567879E-2</v>
      </c>
      <c r="I51" s="67">
        <f>SUM($G$7:G51)</f>
        <v>239830</v>
      </c>
      <c r="J51" s="56">
        <f t="shared" si="5"/>
        <v>0.63995282339191273</v>
      </c>
      <c r="K51" s="30"/>
      <c r="L51" s="18" t="str">
        <f t="shared" si="7"/>
        <v/>
      </c>
      <c r="N51" s="17"/>
    </row>
    <row r="52" spans="1:14" s="14" customFormat="1" ht="25" customHeight="1">
      <c r="A52" s="12"/>
      <c r="B52" s="25"/>
      <c r="C52" s="65">
        <v>55</v>
      </c>
      <c r="D52" s="51">
        <f t="shared" si="2"/>
        <v>92</v>
      </c>
      <c r="E52" s="66">
        <f t="shared" si="6"/>
        <v>6</v>
      </c>
      <c r="F52" s="52">
        <f t="shared" si="3"/>
        <v>35.24</v>
      </c>
      <c r="G52" s="53">
        <f>IF(D52=D51,"",_xlfn.IFNA(VLOOKUP(D52,'인원 입력 기능'!$A$5:$D$103,4,FALSE),0))</f>
        <v>5754</v>
      </c>
      <c r="H52" s="54">
        <f t="shared" si="4"/>
        <v>1.5353744509848917E-2</v>
      </c>
      <c r="I52" s="67">
        <f>SUM($G$7:G52)</f>
        <v>245584</v>
      </c>
      <c r="J52" s="56">
        <f t="shared" si="5"/>
        <v>0.65530656790176167</v>
      </c>
      <c r="K52" s="30"/>
      <c r="L52" s="18" t="str">
        <f t="shared" si="7"/>
        <v/>
      </c>
      <c r="N52" s="17"/>
    </row>
    <row r="53" spans="1:14" s="14" customFormat="1" ht="25" customHeight="1">
      <c r="A53" s="12"/>
      <c r="B53" s="25"/>
      <c r="C53" s="65">
        <v>54</v>
      </c>
      <c r="D53" s="51">
        <f t="shared" si="2"/>
        <v>91</v>
      </c>
      <c r="E53" s="66">
        <f t="shared" si="6"/>
        <v>6</v>
      </c>
      <c r="F53" s="52">
        <f t="shared" si="3"/>
        <v>33.71</v>
      </c>
      <c r="G53" s="53">
        <f>IF(D53=D52,"",_xlfn.IFNA(VLOOKUP(D53,'인원 입력 기능'!$A$5:$D$103,4,FALSE),0))</f>
        <v>5689</v>
      </c>
      <c r="H53" s="54">
        <f t="shared" si="4"/>
        <v>1.5180301097763381E-2</v>
      </c>
      <c r="I53" s="67">
        <f>SUM($G$7:G53)</f>
        <v>251273</v>
      </c>
      <c r="J53" s="56">
        <f t="shared" si="5"/>
        <v>0.67048686899952503</v>
      </c>
      <c r="K53" s="30"/>
      <c r="L53" s="18" t="str">
        <f t="shared" si="7"/>
        <v/>
      </c>
      <c r="N53" s="17"/>
    </row>
    <row r="54" spans="1:14" s="14" customFormat="1" ht="25" customHeight="1">
      <c r="A54" s="12"/>
      <c r="B54" s="25"/>
      <c r="C54" s="65">
        <v>53</v>
      </c>
      <c r="D54" s="51">
        <f t="shared" si="2"/>
        <v>90</v>
      </c>
      <c r="E54" s="66">
        <f t="shared" si="6"/>
        <v>6</v>
      </c>
      <c r="F54" s="52">
        <f t="shared" si="3"/>
        <v>32.200000000000003</v>
      </c>
      <c r="G54" s="53">
        <f>IF(D54=D53,"",_xlfn.IFNA(VLOOKUP(D54,'인원 입력 기능'!$A$5:$D$103,4,FALSE),0))</f>
        <v>5621</v>
      </c>
      <c r="H54" s="54">
        <f t="shared" si="4"/>
        <v>1.499885260512005E-2</v>
      </c>
      <c r="I54" s="67">
        <f>SUM($G$7:G54)</f>
        <v>256894</v>
      </c>
      <c r="J54" s="56">
        <f t="shared" si="5"/>
        <v>0.68548572160464505</v>
      </c>
      <c r="K54" s="30"/>
      <c r="L54" s="18" t="str">
        <f t="shared" si="7"/>
        <v/>
      </c>
      <c r="N54" s="17"/>
    </row>
    <row r="55" spans="1:14" s="14" customFormat="1" ht="25" customHeight="1">
      <c r="A55" s="12"/>
      <c r="B55" s="25"/>
      <c r="C55" s="65">
        <v>52</v>
      </c>
      <c r="D55" s="51">
        <f t="shared" si="2"/>
        <v>89</v>
      </c>
      <c r="E55" s="66">
        <f t="shared" si="6"/>
        <v>6</v>
      </c>
      <c r="F55" s="52">
        <f t="shared" si="3"/>
        <v>30.7</v>
      </c>
      <c r="G55" s="53">
        <f>IF(D55=D54,"",_xlfn.IFNA(VLOOKUP(D55,'인원 입력 기능'!$A$5:$D$103,4,FALSE),0))</f>
        <v>5601</v>
      </c>
      <c r="H55" s="54">
        <f t="shared" si="4"/>
        <v>1.4945485401401422E-2</v>
      </c>
      <c r="I55" s="67">
        <f>SUM($G$7:G55)</f>
        <v>262495</v>
      </c>
      <c r="J55" s="56">
        <f t="shared" si="5"/>
        <v>0.70043120700604655</v>
      </c>
      <c r="K55" s="30"/>
      <c r="L55" s="18" t="str">
        <f t="shared" si="7"/>
        <v/>
      </c>
      <c r="N55" s="17"/>
    </row>
    <row r="56" spans="1:14" s="14" customFormat="1" ht="25" customHeight="1">
      <c r="A56" s="12"/>
      <c r="B56" s="25"/>
      <c r="C56" s="65">
        <v>51</v>
      </c>
      <c r="D56" s="51">
        <f t="shared" si="2"/>
        <v>88</v>
      </c>
      <c r="E56" s="66">
        <f t="shared" si="6"/>
        <v>6</v>
      </c>
      <c r="F56" s="52">
        <f t="shared" si="3"/>
        <v>29.21</v>
      </c>
      <c r="G56" s="53">
        <f>IF(D56=D55,"",_xlfn.IFNA(VLOOKUP(D56,'인원 입력 기능'!$A$5:$D$103,4,FALSE),0))</f>
        <v>5635</v>
      </c>
      <c r="H56" s="54">
        <f t="shared" si="4"/>
        <v>1.5036209647723089E-2</v>
      </c>
      <c r="I56" s="67">
        <f>SUM($G$7:G56)</f>
        <v>268130</v>
      </c>
      <c r="J56" s="56">
        <f t="shared" si="5"/>
        <v>0.71546741665376956</v>
      </c>
      <c r="K56" s="30"/>
      <c r="L56" s="18" t="str">
        <f t="shared" si="7"/>
        <v/>
      </c>
      <c r="N56" s="17"/>
    </row>
    <row r="57" spans="1:14" s="14" customFormat="1" ht="25" customHeight="1">
      <c r="A57" s="12"/>
      <c r="B57" s="25"/>
      <c r="C57" s="65">
        <v>50</v>
      </c>
      <c r="D57" s="51">
        <f t="shared" si="2"/>
        <v>87</v>
      </c>
      <c r="E57" s="66">
        <f t="shared" si="6"/>
        <v>6</v>
      </c>
      <c r="F57" s="52">
        <f t="shared" si="3"/>
        <v>27.73</v>
      </c>
      <c r="G57" s="53">
        <f>IF(D57=D56,"",_xlfn.IFNA(VLOOKUP(D57,'인원 입력 기능'!$A$5:$D$103,4,FALSE),0))</f>
        <v>5436</v>
      </c>
      <c r="H57" s="54">
        <f t="shared" si="4"/>
        <v>1.4505205970722752E-2</v>
      </c>
      <c r="I57" s="67">
        <f>SUM($G$7:G57)</f>
        <v>273566</v>
      </c>
      <c r="J57" s="56">
        <f t="shared" si="5"/>
        <v>0.72997262262449236</v>
      </c>
      <c r="K57" s="30"/>
      <c r="L57" s="18" t="str">
        <f t="shared" si="7"/>
        <v/>
      </c>
      <c r="N57" s="17"/>
    </row>
    <row r="58" spans="1:14" s="14" customFormat="1" ht="25" customHeight="1">
      <c r="A58" s="12"/>
      <c r="B58" s="25"/>
      <c r="C58" s="65">
        <v>49</v>
      </c>
      <c r="D58" s="51">
        <f t="shared" si="2"/>
        <v>86</v>
      </c>
      <c r="E58" s="66">
        <f t="shared" si="6"/>
        <v>6</v>
      </c>
      <c r="F58" s="52">
        <f t="shared" si="3"/>
        <v>26.32</v>
      </c>
      <c r="G58" s="53">
        <f>IF(D58=D57,"",_xlfn.IFNA(VLOOKUP(D58,'인원 입력 기능'!$A$5:$D$103,4,FALSE),0))</f>
        <v>5150</v>
      </c>
      <c r="H58" s="54">
        <f t="shared" si="4"/>
        <v>1.3742054957546389E-2</v>
      </c>
      <c r="I58" s="67">
        <f>SUM($G$7:G58)</f>
        <v>278716</v>
      </c>
      <c r="J58" s="56">
        <f t="shared" si="5"/>
        <v>0.74371467758203869</v>
      </c>
      <c r="K58" s="30"/>
      <c r="L58" s="18" t="str">
        <f t="shared" si="7"/>
        <v/>
      </c>
      <c r="N58" s="17"/>
    </row>
    <row r="59" spans="1:14" s="14" customFormat="1" ht="25" customHeight="1">
      <c r="A59" s="12"/>
      <c r="B59" s="25"/>
      <c r="C59" s="65">
        <v>48</v>
      </c>
      <c r="D59" s="51">
        <f t="shared" si="2"/>
        <v>85</v>
      </c>
      <c r="E59" s="66">
        <f t="shared" si="6"/>
        <v>6</v>
      </c>
      <c r="F59" s="52">
        <f t="shared" si="3"/>
        <v>24.92</v>
      </c>
      <c r="G59" s="53">
        <f>IF(D59=D58,"",_xlfn.IFNA(VLOOKUP(D59,'인원 입력 기능'!$A$5:$D$103,4,FALSE),0))</f>
        <v>5301</v>
      </c>
      <c r="H59" s="54">
        <f t="shared" si="4"/>
        <v>1.4144977345622022E-2</v>
      </c>
      <c r="I59" s="67">
        <f>SUM($G$7:G59)</f>
        <v>284017</v>
      </c>
      <c r="J59" s="56">
        <f t="shared" si="5"/>
        <v>0.75785965492766072</v>
      </c>
      <c r="K59" s="30"/>
      <c r="L59" s="18" t="str">
        <f t="shared" si="7"/>
        <v/>
      </c>
      <c r="N59" s="17"/>
    </row>
    <row r="60" spans="1:14" s="14" customFormat="1" ht="25" customHeight="1">
      <c r="A60" s="12"/>
      <c r="B60" s="25"/>
      <c r="C60" s="65">
        <v>47</v>
      </c>
      <c r="D60" s="51">
        <f t="shared" si="2"/>
        <v>84</v>
      </c>
      <c r="E60" s="66">
        <f t="shared" si="6"/>
        <v>6</v>
      </c>
      <c r="F60" s="52">
        <f t="shared" si="3"/>
        <v>23.54</v>
      </c>
      <c r="G60" s="53">
        <f>IF(D60=D59,"",_xlfn.IFNA(VLOOKUP(D60,'인원 입력 기능'!$A$5:$D$103,4,FALSE),0))</f>
        <v>5053</v>
      </c>
      <c r="H60" s="54">
        <f t="shared" si="4"/>
        <v>1.3483224019511049E-2</v>
      </c>
      <c r="I60" s="67">
        <f>SUM($G$7:G60)</f>
        <v>289070</v>
      </c>
      <c r="J60" s="56">
        <f t="shared" si="5"/>
        <v>0.7713428789471718</v>
      </c>
      <c r="K60" s="30"/>
      <c r="L60" s="18" t="str">
        <f t="shared" si="7"/>
        <v/>
      </c>
      <c r="N60" s="17"/>
    </row>
    <row r="61" spans="1:14" s="14" customFormat="1" ht="25" customHeight="1">
      <c r="A61" s="12"/>
      <c r="B61" s="25"/>
      <c r="C61" s="65">
        <v>46</v>
      </c>
      <c r="D61" s="51">
        <f t="shared" si="2"/>
        <v>83</v>
      </c>
      <c r="E61" s="66">
        <f t="shared" si="6"/>
        <v>7</v>
      </c>
      <c r="F61" s="52">
        <f t="shared" si="3"/>
        <v>22.21</v>
      </c>
      <c r="G61" s="53">
        <f>IF(D61=D60,"",_xlfn.IFNA(VLOOKUP(D61,'인원 입력 기능'!$A$5:$D$103,4,FALSE),0))</f>
        <v>4900</v>
      </c>
      <c r="H61" s="54">
        <f t="shared" si="4"/>
        <v>1.3074964911063554E-2</v>
      </c>
      <c r="I61" s="67">
        <f>SUM($G$7:G61)</f>
        <v>293970</v>
      </c>
      <c r="J61" s="56">
        <f t="shared" si="5"/>
        <v>0.78441784385823532</v>
      </c>
      <c r="K61" s="30"/>
      <c r="L61" s="18" t="str">
        <f t="shared" si="7"/>
        <v/>
      </c>
      <c r="N61" s="17"/>
    </row>
    <row r="62" spans="1:14" s="14" customFormat="1" ht="25" customHeight="1">
      <c r="A62" s="12"/>
      <c r="B62" s="25"/>
      <c r="C62" s="65">
        <v>45</v>
      </c>
      <c r="D62" s="51">
        <f t="shared" si="2"/>
        <v>82</v>
      </c>
      <c r="E62" s="66">
        <f t="shared" si="6"/>
        <v>7</v>
      </c>
      <c r="F62" s="52">
        <f t="shared" si="3"/>
        <v>20.92</v>
      </c>
      <c r="G62" s="53">
        <f>IF(D62=D61,"",_xlfn.IFNA(VLOOKUP(D62,'인원 입력 기능'!$A$5:$D$103,4,FALSE),0))</f>
        <v>4748</v>
      </c>
      <c r="H62" s="54">
        <f t="shared" si="4"/>
        <v>1.2669374162801991E-2</v>
      </c>
      <c r="I62" s="67">
        <f>SUM($G$7:G62)</f>
        <v>298718</v>
      </c>
      <c r="J62" s="56">
        <f t="shared" si="5"/>
        <v>0.79708721802103732</v>
      </c>
      <c r="K62" s="30"/>
      <c r="L62" s="18" t="str">
        <f t="shared" si="7"/>
        <v/>
      </c>
      <c r="N62" s="17"/>
    </row>
    <row r="63" spans="1:14" s="14" customFormat="1" ht="25" customHeight="1">
      <c r="A63" s="12"/>
      <c r="B63" s="25"/>
      <c r="C63" s="65">
        <v>44</v>
      </c>
      <c r="D63" s="51">
        <f t="shared" si="2"/>
        <v>81</v>
      </c>
      <c r="E63" s="66">
        <f t="shared" si="6"/>
        <v>7</v>
      </c>
      <c r="F63" s="52">
        <f t="shared" si="3"/>
        <v>19.68</v>
      </c>
      <c r="G63" s="53">
        <f>IF(D63=D62,"",_xlfn.IFNA(VLOOKUP(D63,'인원 입력 기능'!$A$5:$D$103,4,FALSE),0))</f>
        <v>4576</v>
      </c>
      <c r="H63" s="54">
        <f t="shared" si="4"/>
        <v>1.2210416210821801E-2</v>
      </c>
      <c r="I63" s="67">
        <f>SUM($G$7:G63)</f>
        <v>303294</v>
      </c>
      <c r="J63" s="56">
        <f t="shared" si="5"/>
        <v>0.80929763423185919</v>
      </c>
      <c r="K63" s="30"/>
      <c r="L63" s="18" t="str">
        <f t="shared" si="7"/>
        <v/>
      </c>
      <c r="N63" s="17"/>
    </row>
    <row r="64" spans="1:14" s="14" customFormat="1" ht="25" customHeight="1">
      <c r="A64" s="12"/>
      <c r="B64" s="25"/>
      <c r="C64" s="65">
        <v>43</v>
      </c>
      <c r="D64" s="51">
        <f t="shared" si="2"/>
        <v>80</v>
      </c>
      <c r="E64" s="66">
        <f t="shared" si="6"/>
        <v>7</v>
      </c>
      <c r="F64" s="52">
        <f t="shared" si="3"/>
        <v>18.47</v>
      </c>
      <c r="G64" s="53">
        <f>IF(D64=D63,"",_xlfn.IFNA(VLOOKUP(D64,'인원 입력 기능'!$A$5:$D$103,4,FALSE),0))</f>
        <v>4531</v>
      </c>
      <c r="H64" s="54">
        <f t="shared" si="4"/>
        <v>1.2090340002454892E-2</v>
      </c>
      <c r="I64" s="67">
        <f>SUM($G$7:G64)</f>
        <v>307825</v>
      </c>
      <c r="J64" s="56">
        <f t="shared" si="5"/>
        <v>0.82138797423431409</v>
      </c>
      <c r="K64" s="30"/>
      <c r="L64" s="18" t="str">
        <f t="shared" si="7"/>
        <v/>
      </c>
      <c r="N64" s="17"/>
    </row>
    <row r="65" spans="1:14" s="14" customFormat="1" ht="25" customHeight="1">
      <c r="A65" s="12"/>
      <c r="B65" s="25"/>
      <c r="C65" s="65">
        <v>42</v>
      </c>
      <c r="D65" s="116">
        <v>79</v>
      </c>
      <c r="E65" s="125">
        <f t="shared" si="6"/>
        <v>7</v>
      </c>
      <c r="F65" s="127">
        <f t="shared" si="3"/>
        <v>16.72</v>
      </c>
      <c r="G65" s="129">
        <f>IF(D65=D64,"",_xlfn.IFNA(VLOOKUP(D65,'인원 입력 기능'!$A$5:$D$103,4,FALSE),0))</f>
        <v>8538</v>
      </c>
      <c r="H65" s="130">
        <f t="shared" si="4"/>
        <v>2.278245926748176E-2</v>
      </c>
      <c r="I65" s="132">
        <f>SUM($G$7:G65)</f>
        <v>316363</v>
      </c>
      <c r="J65" s="134">
        <f t="shared" si="5"/>
        <v>0.84417043350179577</v>
      </c>
      <c r="K65" s="30"/>
      <c r="L65" s="18" t="str">
        <f t="shared" si="7"/>
        <v>경고</v>
      </c>
      <c r="N65" s="17"/>
    </row>
    <row r="66" spans="1:14" s="14" customFormat="1" ht="25" customHeight="1">
      <c r="A66" s="12"/>
      <c r="B66" s="25"/>
      <c r="C66" s="65">
        <v>41</v>
      </c>
      <c r="D66" s="117"/>
      <c r="E66" s="124"/>
      <c r="F66" s="126"/>
      <c r="G66" s="128"/>
      <c r="H66" s="131"/>
      <c r="I66" s="133"/>
      <c r="J66" s="135"/>
      <c r="K66" s="30"/>
      <c r="L66" s="18" t="str">
        <f t="shared" si="7"/>
        <v>경고</v>
      </c>
      <c r="N66" s="17"/>
    </row>
    <row r="67" spans="1:14" s="14" customFormat="1" ht="25" customHeight="1">
      <c r="A67" s="12"/>
      <c r="B67" s="25"/>
      <c r="C67" s="65">
        <v>40</v>
      </c>
      <c r="D67" s="51">
        <f t="shared" si="2"/>
        <v>78</v>
      </c>
      <c r="E67" s="66">
        <f t="shared" si="6"/>
        <v>7</v>
      </c>
      <c r="F67" s="52">
        <f t="shared" si="3"/>
        <v>15.03</v>
      </c>
      <c r="G67" s="53">
        <f>IF(D67=D66,"",_xlfn.IFNA(VLOOKUP(D67,'인원 입력 기능'!$A$5:$D$103,4,FALSE),0))</f>
        <v>4141</v>
      </c>
      <c r="H67" s="54">
        <f t="shared" si="4"/>
        <v>1.104967952994167E-2</v>
      </c>
      <c r="I67" s="67">
        <f>SUM($G$7:G67)</f>
        <v>320504</v>
      </c>
      <c r="J67" s="56">
        <f t="shared" si="5"/>
        <v>0.85522011303173751</v>
      </c>
      <c r="K67" s="30"/>
      <c r="L67" s="18" t="str">
        <f t="shared" si="7"/>
        <v/>
      </c>
      <c r="N67" s="17"/>
    </row>
    <row r="68" spans="1:14" s="14" customFormat="1" ht="25" customHeight="1">
      <c r="A68" s="12"/>
      <c r="B68" s="25"/>
      <c r="C68" s="65">
        <v>39</v>
      </c>
      <c r="D68" s="51">
        <f t="shared" si="2"/>
        <v>77</v>
      </c>
      <c r="E68" s="66">
        <f t="shared" si="6"/>
        <v>7</v>
      </c>
      <c r="F68" s="52">
        <f t="shared" si="3"/>
        <v>13.96</v>
      </c>
      <c r="G68" s="53">
        <f>IF(D68=D67,"",_xlfn.IFNA(VLOOKUP(D68,'인원 입력 기능'!$A$5:$D$103,4,FALSE),0))</f>
        <v>3867</v>
      </c>
      <c r="H68" s="54">
        <f t="shared" si="4"/>
        <v>1.0318548838996484E-2</v>
      </c>
      <c r="I68" s="67">
        <f>SUM($G$7:G68)</f>
        <v>324371</v>
      </c>
      <c r="J68" s="56">
        <f t="shared" si="5"/>
        <v>0.86553866187073392</v>
      </c>
      <c r="K68" s="30"/>
      <c r="L68" s="18" t="str">
        <f t="shared" si="7"/>
        <v/>
      </c>
      <c r="N68" s="17"/>
    </row>
    <row r="69" spans="1:14" s="14" customFormat="1" ht="25" customHeight="1">
      <c r="A69" s="12"/>
      <c r="B69" s="25"/>
      <c r="C69" s="65">
        <v>38</v>
      </c>
      <c r="D69" s="51">
        <f t="shared" si="2"/>
        <v>76</v>
      </c>
      <c r="E69" s="66">
        <f t="shared" si="6"/>
        <v>7</v>
      </c>
      <c r="F69" s="52">
        <f t="shared" si="3"/>
        <v>12.95</v>
      </c>
      <c r="G69" s="53">
        <f>IF(D69=D68,"",_xlfn.IFNA(VLOOKUP(D69,'인원 입력 기능'!$A$5:$D$103,4,FALSE),0))</f>
        <v>3753</v>
      </c>
      <c r="H69" s="54">
        <f t="shared" si="4"/>
        <v>1.0014355777800311E-2</v>
      </c>
      <c r="I69" s="67">
        <f>SUM($G$7:G69)</f>
        <v>328124</v>
      </c>
      <c r="J69" s="56">
        <f t="shared" si="5"/>
        <v>0.87555301764853422</v>
      </c>
      <c r="K69" s="30"/>
      <c r="L69" s="18" t="str">
        <f t="shared" si="7"/>
        <v/>
      </c>
      <c r="N69" s="17"/>
    </row>
    <row r="70" spans="1:14" s="14" customFormat="1" ht="25" customHeight="1">
      <c r="A70" s="12"/>
      <c r="B70" s="25"/>
      <c r="C70" s="65">
        <v>37</v>
      </c>
      <c r="D70" s="51">
        <f t="shared" si="2"/>
        <v>75</v>
      </c>
      <c r="E70" s="66">
        <f t="shared" si="6"/>
        <v>7</v>
      </c>
      <c r="F70" s="52">
        <f t="shared" si="3"/>
        <v>11.99</v>
      </c>
      <c r="G70" s="53">
        <f>IF(D70=D69,"",_xlfn.IFNA(VLOOKUP(D70,'인원 입력 기능'!$A$5:$D$103,4,FALSE),0))</f>
        <v>3437</v>
      </c>
      <c r="H70" s="54">
        <f t="shared" si="4"/>
        <v>9.1711539590460071E-3</v>
      </c>
      <c r="I70" s="67">
        <f>SUM($G$7:G70)</f>
        <v>331561</v>
      </c>
      <c r="J70" s="56">
        <f t="shared" si="5"/>
        <v>0.88472417160758032</v>
      </c>
      <c r="K70" s="30"/>
      <c r="L70" s="18" t="str">
        <f t="shared" si="7"/>
        <v/>
      </c>
      <c r="N70" s="17"/>
    </row>
    <row r="71" spans="1:14" s="14" customFormat="1" ht="25" customHeight="1">
      <c r="A71" s="12"/>
      <c r="B71" s="25"/>
      <c r="C71" s="65">
        <v>36</v>
      </c>
      <c r="D71" s="51">
        <f t="shared" si="2"/>
        <v>74</v>
      </c>
      <c r="E71" s="66">
        <f t="shared" ref="E71:E102" si="8">IF(ROUND(D71,0)&gt;=$Q$7,1,IF(ROUND(D71,0)&gt;=$Q$8,2,IF(ROUND(D71,0)&gt;=$Q$9,3,IF(ROUND(D71,0)&gt;=$Q$10,4,IF(ROUND(D71,0)&gt;=$Q$11,5,IF(ROUND(D71,0)&gt;=$Q$12,6,IF(ROUND(D71,0)&gt;=$Q$13,7,IF(ROUND(D71,0)&gt;=$Q$14,8,9))))))))</f>
        <v>7</v>
      </c>
      <c r="F71" s="52">
        <f t="shared" si="3"/>
        <v>11.1</v>
      </c>
      <c r="G71" s="53">
        <f>IF(D71=D70,"",_xlfn.IFNA(VLOOKUP(D71,'인원 입력 기능'!$A$5:$D$103,4,FALSE),0))</f>
        <v>3201</v>
      </c>
      <c r="H71" s="54">
        <f t="shared" si="4"/>
        <v>8.5414209551662127E-3</v>
      </c>
      <c r="I71" s="67">
        <f>SUM($G$7:G71)</f>
        <v>334762</v>
      </c>
      <c r="J71" s="56">
        <f t="shared" si="5"/>
        <v>0.89326559256274651</v>
      </c>
      <c r="K71" s="30"/>
      <c r="L71" s="18" t="str">
        <f t="shared" si="7"/>
        <v/>
      </c>
      <c r="N71" s="17"/>
    </row>
    <row r="72" spans="1:14" s="14" customFormat="1" ht="25" customHeight="1">
      <c r="A72" s="12"/>
      <c r="B72" s="25"/>
      <c r="C72" s="65">
        <v>35</v>
      </c>
      <c r="D72" s="51">
        <f t="shared" si="2"/>
        <v>73</v>
      </c>
      <c r="E72" s="66">
        <f t="shared" si="8"/>
        <v>8</v>
      </c>
      <c r="F72" s="52">
        <f t="shared" si="3"/>
        <v>10.24</v>
      </c>
      <c r="G72" s="53">
        <f>IF(D72=D71,"",_xlfn.IFNA(VLOOKUP(D72,'인원 입력 기능'!$A$5:$D$103,4,FALSE),0))</f>
        <v>3220</v>
      </c>
      <c r="H72" s="54">
        <f t="shared" si="4"/>
        <v>8.5921197986989079E-3</v>
      </c>
      <c r="I72" s="67">
        <f>SUM($G$7:G72)</f>
        <v>337982</v>
      </c>
      <c r="J72" s="56">
        <f t="shared" si="5"/>
        <v>0.90185771236144541</v>
      </c>
      <c r="K72" s="30"/>
      <c r="L72" s="18" t="str">
        <f t="shared" si="7"/>
        <v/>
      </c>
      <c r="N72" s="17"/>
    </row>
    <row r="73" spans="1:14" s="14" customFormat="1" ht="25" customHeight="1">
      <c r="A73" s="12"/>
      <c r="B73" s="25"/>
      <c r="C73" s="65">
        <v>34</v>
      </c>
      <c r="D73" s="51">
        <f t="shared" si="2"/>
        <v>72</v>
      </c>
      <c r="E73" s="66">
        <f t="shared" si="8"/>
        <v>8</v>
      </c>
      <c r="F73" s="52">
        <f t="shared" si="3"/>
        <v>9.42</v>
      </c>
      <c r="G73" s="53">
        <f>IF(D73=D72,"",_xlfn.IFNA(VLOOKUP(D73,'인원 입력 기능'!$A$5:$D$103,4,FALSE),0))</f>
        <v>2951</v>
      </c>
      <c r="H73" s="54">
        <f t="shared" si="4"/>
        <v>7.8743309086833774E-3</v>
      </c>
      <c r="I73" s="67">
        <f>SUM($G$7:G73)</f>
        <v>340933</v>
      </c>
      <c r="J73" s="56">
        <f t="shared" si="5"/>
        <v>0.9097320432701288</v>
      </c>
      <c r="K73" s="30"/>
      <c r="L73" s="18" t="str">
        <f t="shared" ref="L73:L105" si="9">IF(ABS((C73-$H$3)/$H$4*20+100-D73)&gt;0.49, "경고", "")</f>
        <v/>
      </c>
      <c r="N73" s="17"/>
    </row>
    <row r="74" spans="1:14" s="14" customFormat="1" ht="25" customHeight="1">
      <c r="A74" s="12"/>
      <c r="B74" s="25"/>
      <c r="C74" s="65">
        <v>33</v>
      </c>
      <c r="D74" s="51">
        <f t="shared" ref="D74:D105" si="10">ROUND(20*(C74-$H$3)/$H$4+100,0)</f>
        <v>71</v>
      </c>
      <c r="E74" s="66">
        <f t="shared" si="8"/>
        <v>8</v>
      </c>
      <c r="F74" s="52">
        <f t="shared" ref="F74:F105" si="11">IF(I73=0,ROUND(100*(1-(I72+I74)/2/$J$3),2),ROUND(100*(1-(I73+I74)/2/$J$3),2))</f>
        <v>8.66</v>
      </c>
      <c r="G74" s="53">
        <f>IF(D74=D73,"",_xlfn.IFNA(VLOOKUP(D74,'인원 입력 기능'!$A$5:$D$103,4,FALSE),0))</f>
        <v>2743</v>
      </c>
      <c r="H74" s="54">
        <f t="shared" ref="H74:H105" si="12">G74/$J$3</f>
        <v>7.3193119900096595E-3</v>
      </c>
      <c r="I74" s="67">
        <f>SUM($G$7:G74)</f>
        <v>343676</v>
      </c>
      <c r="J74" s="56">
        <f t="shared" ref="J74:J105" si="13">I74/$J$3</f>
        <v>0.91705135526013848</v>
      </c>
      <c r="K74" s="30"/>
      <c r="L74" s="18" t="str">
        <f t="shared" si="9"/>
        <v/>
      </c>
      <c r="N74" s="17"/>
    </row>
    <row r="75" spans="1:14" s="14" customFormat="1" ht="25" customHeight="1">
      <c r="A75" s="12"/>
      <c r="B75" s="25"/>
      <c r="C75" s="65">
        <v>32</v>
      </c>
      <c r="D75" s="51">
        <f t="shared" si="10"/>
        <v>70</v>
      </c>
      <c r="E75" s="66">
        <f t="shared" si="8"/>
        <v>8</v>
      </c>
      <c r="F75" s="52">
        <f t="shared" si="11"/>
        <v>7.94</v>
      </c>
      <c r="G75" s="53">
        <f>IF(D75=D74,"",_xlfn.IFNA(VLOOKUP(D75,'인원 입력 기능'!$A$5:$D$103,4,FALSE),0))</f>
        <v>2645</v>
      </c>
      <c r="H75" s="54">
        <f t="shared" si="12"/>
        <v>7.057812691788388E-3</v>
      </c>
      <c r="I75" s="67">
        <f>SUM($G$7:G75)</f>
        <v>346321</v>
      </c>
      <c r="J75" s="56">
        <f t="shared" si="13"/>
        <v>0.92410916795192677</v>
      </c>
      <c r="K75" s="30"/>
      <c r="L75" s="18" t="str">
        <f t="shared" si="9"/>
        <v/>
      </c>
      <c r="N75" s="17"/>
    </row>
    <row r="76" spans="1:14" s="14" customFormat="1" ht="25" customHeight="1">
      <c r="A76" s="12"/>
      <c r="B76" s="25"/>
      <c r="C76" s="65">
        <v>31</v>
      </c>
      <c r="D76" s="51">
        <f t="shared" si="10"/>
        <v>69</v>
      </c>
      <c r="E76" s="66">
        <f t="shared" si="8"/>
        <v>8</v>
      </c>
      <c r="F76" s="52">
        <f t="shared" si="11"/>
        <v>7.25</v>
      </c>
      <c r="G76" s="53">
        <f>IF(D76=D75,"",_xlfn.IFNA(VLOOKUP(D76,'인원 입력 기능'!$A$5:$D$103,4,FALSE),0))</f>
        <v>2567</v>
      </c>
      <c r="H76" s="54">
        <f t="shared" si="12"/>
        <v>6.8496805972857438E-3</v>
      </c>
      <c r="I76" s="67">
        <f>SUM($G$7:G76)</f>
        <v>348888</v>
      </c>
      <c r="J76" s="56">
        <f t="shared" si="13"/>
        <v>0.93095884854921251</v>
      </c>
      <c r="K76" s="30"/>
      <c r="L76" s="18" t="str">
        <f t="shared" si="9"/>
        <v/>
      </c>
      <c r="N76" s="17"/>
    </row>
    <row r="77" spans="1:14" s="14" customFormat="1" ht="25" customHeight="1">
      <c r="A77" s="12"/>
      <c r="B77" s="25"/>
      <c r="C77" s="65">
        <v>30</v>
      </c>
      <c r="D77" s="51">
        <f t="shared" si="10"/>
        <v>68</v>
      </c>
      <c r="E77" s="66">
        <f t="shared" si="8"/>
        <v>8</v>
      </c>
      <c r="F77" s="52">
        <f t="shared" si="11"/>
        <v>6.59</v>
      </c>
      <c r="G77" s="53">
        <f>IF(D77=D76,"",_xlfn.IFNA(VLOOKUP(D77,'인원 입력 기능'!$A$5:$D$103,4,FALSE),0))</f>
        <v>2329</v>
      </c>
      <c r="H77" s="54">
        <f t="shared" si="12"/>
        <v>6.2146108730340857E-3</v>
      </c>
      <c r="I77" s="67">
        <f>SUM($G$7:G77)</f>
        <v>351217</v>
      </c>
      <c r="J77" s="56">
        <f t="shared" si="13"/>
        <v>0.93717345942224661</v>
      </c>
      <c r="K77" s="30"/>
      <c r="L77" s="18" t="str">
        <f t="shared" si="9"/>
        <v/>
      </c>
      <c r="N77" s="17"/>
    </row>
    <row r="78" spans="1:14" s="14" customFormat="1" ht="25" customHeight="1">
      <c r="A78" s="12"/>
      <c r="B78" s="25"/>
      <c r="C78" s="65">
        <v>29</v>
      </c>
      <c r="D78" s="51">
        <f t="shared" si="10"/>
        <v>67</v>
      </c>
      <c r="E78" s="66">
        <f t="shared" si="8"/>
        <v>8</v>
      </c>
      <c r="F78" s="52">
        <f t="shared" si="11"/>
        <v>6</v>
      </c>
      <c r="G78" s="53">
        <f>IF(D78=D77,"",_xlfn.IFNA(VLOOKUP(D78,'인원 입력 기능'!$A$5:$D$103,4,FALSE),0))</f>
        <v>2131</v>
      </c>
      <c r="H78" s="54">
        <f t="shared" si="12"/>
        <v>5.6862755562196807E-3</v>
      </c>
      <c r="I78" s="67">
        <f>SUM($G$7:G78)</f>
        <v>353348</v>
      </c>
      <c r="J78" s="56">
        <f t="shared" si="13"/>
        <v>0.94285973497846631</v>
      </c>
      <c r="K78" s="30"/>
      <c r="L78" s="18" t="str">
        <f t="shared" si="9"/>
        <v/>
      </c>
      <c r="N78" s="17"/>
    </row>
    <row r="79" spans="1:14" s="14" customFormat="1" ht="25" customHeight="1">
      <c r="A79" s="12"/>
      <c r="B79" s="25"/>
      <c r="C79" s="65">
        <v>28</v>
      </c>
      <c r="D79" s="51">
        <f t="shared" si="10"/>
        <v>66</v>
      </c>
      <c r="E79" s="66">
        <f t="shared" si="8"/>
        <v>8</v>
      </c>
      <c r="F79" s="52">
        <f t="shared" si="11"/>
        <v>5.45</v>
      </c>
      <c r="G79" s="53">
        <f>IF(D79=D78,"",_xlfn.IFNA(VLOOKUP(D79,'인원 입력 기능'!$A$5:$D$103,4,FALSE),0))</f>
        <v>2013</v>
      </c>
      <c r="H79" s="54">
        <f t="shared" si="12"/>
        <v>5.3714090542797827E-3</v>
      </c>
      <c r="I79" s="67">
        <f>SUM($G$7:G79)</f>
        <v>355361</v>
      </c>
      <c r="J79" s="56">
        <f t="shared" si="13"/>
        <v>0.94823114403274611</v>
      </c>
      <c r="K79" s="30"/>
      <c r="L79" s="18" t="str">
        <f t="shared" si="9"/>
        <v/>
      </c>
      <c r="N79" s="17"/>
    </row>
    <row r="80" spans="1:14" s="14" customFormat="1" ht="25" customHeight="1">
      <c r="A80" s="12"/>
      <c r="B80" s="25"/>
      <c r="C80" s="65">
        <v>27</v>
      </c>
      <c r="D80" s="51">
        <f t="shared" si="10"/>
        <v>65</v>
      </c>
      <c r="E80" s="66">
        <f t="shared" si="8"/>
        <v>8</v>
      </c>
      <c r="F80" s="52">
        <f t="shared" si="11"/>
        <v>4.91</v>
      </c>
      <c r="G80" s="53">
        <f>IF(D80=D79,"",_xlfn.IFNA(VLOOKUP(D80,'인원 입력 기능'!$A$5:$D$103,4,FALSE),0))</f>
        <v>1987</v>
      </c>
      <c r="H80" s="54">
        <f t="shared" si="12"/>
        <v>5.3020316894455679E-3</v>
      </c>
      <c r="I80" s="67">
        <f>SUM($G$7:G80)</f>
        <v>357348</v>
      </c>
      <c r="J80" s="56">
        <f t="shared" si="13"/>
        <v>0.95353317572219165</v>
      </c>
      <c r="K80" s="30"/>
      <c r="L80" s="18" t="str">
        <f t="shared" si="9"/>
        <v/>
      </c>
      <c r="N80" s="17"/>
    </row>
    <row r="81" spans="1:14" s="14" customFormat="1" ht="25" customHeight="1">
      <c r="A81" s="12"/>
      <c r="B81" s="25"/>
      <c r="C81" s="65">
        <v>26</v>
      </c>
      <c r="D81" s="51">
        <f t="shared" si="10"/>
        <v>64</v>
      </c>
      <c r="E81" s="66">
        <f t="shared" si="8"/>
        <v>8</v>
      </c>
      <c r="F81" s="52">
        <f t="shared" si="11"/>
        <v>4.4000000000000004</v>
      </c>
      <c r="G81" s="53">
        <f>IF(D81=D80,"",_xlfn.IFNA(VLOOKUP(D81,'인원 입력 기능'!$A$5:$D$103,4,FALSE),0))</f>
        <v>1829</v>
      </c>
      <c r="H81" s="54">
        <f t="shared" si="12"/>
        <v>4.8804307800684168E-3</v>
      </c>
      <c r="I81" s="67">
        <f>SUM($G$7:G81)</f>
        <v>359177</v>
      </c>
      <c r="J81" s="56">
        <f t="shared" si="13"/>
        <v>0.95841360650226015</v>
      </c>
      <c r="K81" s="30"/>
      <c r="L81" s="18" t="str">
        <f t="shared" si="9"/>
        <v/>
      </c>
      <c r="N81" s="17"/>
    </row>
    <row r="82" spans="1:14" s="14" customFormat="1" ht="25" customHeight="1">
      <c r="A82" s="12"/>
      <c r="B82" s="25"/>
      <c r="C82" s="65">
        <v>25</v>
      </c>
      <c r="D82" s="51">
        <f t="shared" si="10"/>
        <v>63</v>
      </c>
      <c r="E82" s="66">
        <f t="shared" si="8"/>
        <v>8</v>
      </c>
      <c r="F82" s="52">
        <f t="shared" si="11"/>
        <v>3.91</v>
      </c>
      <c r="G82" s="53">
        <f>IF(D82=D81,"",_xlfn.IFNA(VLOOKUP(D82,'인원 입력 기능'!$A$5:$D$103,4,FALSE),0))</f>
        <v>1859</v>
      </c>
      <c r="H82" s="54">
        <f t="shared" si="12"/>
        <v>4.960481585646357E-3</v>
      </c>
      <c r="I82" s="67">
        <f>SUM($G$7:G82)</f>
        <v>361036</v>
      </c>
      <c r="J82" s="56">
        <f t="shared" si="13"/>
        <v>0.96337408808790648</v>
      </c>
      <c r="K82" s="30"/>
      <c r="L82" s="18" t="str">
        <f t="shared" si="9"/>
        <v/>
      </c>
      <c r="N82" s="17"/>
    </row>
    <row r="83" spans="1:14" s="14" customFormat="1" ht="25" customHeight="1">
      <c r="A83" s="12"/>
      <c r="B83" s="25"/>
      <c r="C83" s="65">
        <v>24</v>
      </c>
      <c r="D83" s="51">
        <f t="shared" si="10"/>
        <v>62</v>
      </c>
      <c r="E83" s="66">
        <f t="shared" si="8"/>
        <v>9</v>
      </c>
      <c r="F83" s="52">
        <f t="shared" si="11"/>
        <v>3.46</v>
      </c>
      <c r="G83" s="53">
        <f>IF(D83=D82,"",_xlfn.IFNA(VLOOKUP(D83,'인원 입력 기능'!$A$5:$D$103,4,FALSE),0))</f>
        <v>1540</v>
      </c>
      <c r="H83" s="54">
        <f t="shared" si="12"/>
        <v>4.1092746863342598E-3</v>
      </c>
      <c r="I83" s="67">
        <f>SUM($G$7:G83)</f>
        <v>362576</v>
      </c>
      <c r="J83" s="56">
        <f t="shared" si="13"/>
        <v>0.96748336277424074</v>
      </c>
      <c r="K83" s="30"/>
      <c r="L83" s="18" t="str">
        <f t="shared" si="9"/>
        <v/>
      </c>
      <c r="N83" s="17"/>
    </row>
    <row r="84" spans="1:14" s="14" customFormat="1" ht="25" customHeight="1">
      <c r="A84" s="12"/>
      <c r="B84" s="25"/>
      <c r="C84" s="65">
        <v>23</v>
      </c>
      <c r="D84" s="51">
        <f t="shared" si="10"/>
        <v>61</v>
      </c>
      <c r="E84" s="66">
        <f t="shared" si="8"/>
        <v>9</v>
      </c>
      <c r="F84" s="52">
        <f t="shared" si="11"/>
        <v>3.01</v>
      </c>
      <c r="G84" s="53">
        <f>IF(D84=D83,"",_xlfn.IFNA(VLOOKUP(D84,'인원 입력 기능'!$A$5:$D$103,4,FALSE),0))</f>
        <v>1819</v>
      </c>
      <c r="H84" s="54">
        <f t="shared" si="12"/>
        <v>4.8537471782091031E-3</v>
      </c>
      <c r="I84" s="67">
        <f>SUM($G$7:G84)</f>
        <v>364395</v>
      </c>
      <c r="J84" s="56">
        <f t="shared" si="13"/>
        <v>0.97233710995244982</v>
      </c>
      <c r="K84" s="30"/>
      <c r="L84" s="18" t="str">
        <f t="shared" si="9"/>
        <v/>
      </c>
      <c r="N84" s="17"/>
    </row>
    <row r="85" spans="1:14" s="14" customFormat="1" ht="25" customHeight="1">
      <c r="A85" s="12"/>
      <c r="B85" s="25"/>
      <c r="C85" s="65">
        <v>22</v>
      </c>
      <c r="D85" s="51">
        <f t="shared" si="10"/>
        <v>60</v>
      </c>
      <c r="E85" s="66">
        <f t="shared" si="8"/>
        <v>9</v>
      </c>
      <c r="F85" s="52">
        <f t="shared" si="11"/>
        <v>2.6</v>
      </c>
      <c r="G85" s="53">
        <f>IF(D85=D84,"",_xlfn.IFNA(VLOOKUP(D85,'인원 입력 기능'!$A$5:$D$103,4,FALSE),0))</f>
        <v>1223</v>
      </c>
      <c r="H85" s="54">
        <f t="shared" si="12"/>
        <v>3.2634045073940262E-3</v>
      </c>
      <c r="I85" s="67">
        <f>SUM($G$7:G85)</f>
        <v>365618</v>
      </c>
      <c r="J85" s="56">
        <f t="shared" si="13"/>
        <v>0.97560051445984386</v>
      </c>
      <c r="K85" s="30"/>
      <c r="L85" s="18" t="str">
        <f t="shared" si="9"/>
        <v/>
      </c>
      <c r="N85" s="17"/>
    </row>
    <row r="86" spans="1:14" s="14" customFormat="1" ht="25" customHeight="1">
      <c r="A86" s="12"/>
      <c r="B86" s="25"/>
      <c r="C86" s="65">
        <v>21</v>
      </c>
      <c r="D86" s="51">
        <f t="shared" si="10"/>
        <v>59</v>
      </c>
      <c r="E86" s="66">
        <f t="shared" si="8"/>
        <v>9</v>
      </c>
      <c r="F86" s="52">
        <f t="shared" si="11"/>
        <v>2.09</v>
      </c>
      <c r="G86" s="53">
        <f>IF(D86=D85,"",_xlfn.IFNA(VLOOKUP(D86,'인원 입력 기능'!$A$5:$D$103,4,FALSE),0))</f>
        <v>2597</v>
      </c>
      <c r="H86" s="54">
        <f t="shared" si="12"/>
        <v>6.929731402863684E-3</v>
      </c>
      <c r="I86" s="67">
        <f>SUM($G$7:G86)</f>
        <v>368215</v>
      </c>
      <c r="J86" s="56">
        <f t="shared" si="13"/>
        <v>0.98253024586270754</v>
      </c>
      <c r="K86" s="30"/>
      <c r="L86" s="18" t="str">
        <f t="shared" si="9"/>
        <v/>
      </c>
      <c r="N86" s="17"/>
    </row>
    <row r="87" spans="1:14" s="14" customFormat="1" ht="25" customHeight="1">
      <c r="A87" s="12"/>
      <c r="B87" s="25"/>
      <c r="C87" s="65">
        <v>20</v>
      </c>
      <c r="D87" s="51">
        <f t="shared" si="10"/>
        <v>58</v>
      </c>
      <c r="E87" s="66">
        <f t="shared" si="8"/>
        <v>9</v>
      </c>
      <c r="F87" s="52">
        <f t="shared" si="11"/>
        <v>1.61</v>
      </c>
      <c r="G87" s="53">
        <f>IF(D87=D86,"",_xlfn.IFNA(VLOOKUP(D87,'인원 입력 기능'!$A$5:$D$103,4,FALSE),0))</f>
        <v>1050</v>
      </c>
      <c r="H87" s="54">
        <f t="shared" si="12"/>
        <v>2.8017781952279046E-3</v>
      </c>
      <c r="I87" s="67">
        <f>SUM($G$7:G87)</f>
        <v>369265</v>
      </c>
      <c r="J87" s="56">
        <f t="shared" si="13"/>
        <v>0.98533202405793541</v>
      </c>
      <c r="K87" s="30"/>
      <c r="L87" s="18" t="str">
        <f t="shared" si="9"/>
        <v/>
      </c>
      <c r="N87" s="17"/>
    </row>
    <row r="88" spans="1:14" s="14" customFormat="1" ht="25" customHeight="1">
      <c r="A88" s="12"/>
      <c r="B88" s="25"/>
      <c r="C88" s="65">
        <v>19</v>
      </c>
      <c r="D88" s="51">
        <f t="shared" si="10"/>
        <v>57</v>
      </c>
      <c r="E88" s="66">
        <f t="shared" si="8"/>
        <v>9</v>
      </c>
      <c r="F88" s="52">
        <f t="shared" si="11"/>
        <v>1.32</v>
      </c>
      <c r="G88" s="53">
        <f>IF(D88=D87,"",_xlfn.IFNA(VLOOKUP(D88,'인원 입력 기능'!$A$5:$D$103,4,FALSE),0))</f>
        <v>1087</v>
      </c>
      <c r="H88" s="54">
        <f t="shared" si="12"/>
        <v>2.9005075221073639E-3</v>
      </c>
      <c r="I88" s="67">
        <f>SUM($G$7:G88)</f>
        <v>370352</v>
      </c>
      <c r="J88" s="56">
        <f t="shared" si="13"/>
        <v>0.98823253158004276</v>
      </c>
      <c r="K88" s="30"/>
      <c r="L88" s="18" t="str">
        <f t="shared" si="9"/>
        <v/>
      </c>
      <c r="N88" s="17"/>
    </row>
    <row r="89" spans="1:14" s="14" customFormat="1" ht="25" customHeight="1">
      <c r="A89" s="12"/>
      <c r="B89" s="25"/>
      <c r="C89" s="65">
        <v>18</v>
      </c>
      <c r="D89" s="51">
        <f t="shared" si="10"/>
        <v>56</v>
      </c>
      <c r="E89" s="66">
        <f t="shared" si="8"/>
        <v>9</v>
      </c>
      <c r="F89" s="52">
        <f t="shared" si="11"/>
        <v>1.07</v>
      </c>
      <c r="G89" s="53">
        <f>IF(D89=D88,"",_xlfn.IFNA(VLOOKUP(D89,'인원 입력 기능'!$A$5:$D$103,4,FALSE),0))</f>
        <v>807</v>
      </c>
      <c r="H89" s="54">
        <f t="shared" si="12"/>
        <v>2.1533666700465897E-3</v>
      </c>
      <c r="I89" s="67">
        <f>SUM($G$7:G89)</f>
        <v>371159</v>
      </c>
      <c r="J89" s="56">
        <f t="shared" si="13"/>
        <v>0.99038589825008938</v>
      </c>
      <c r="K89" s="30"/>
      <c r="L89" s="18" t="str">
        <f t="shared" si="9"/>
        <v/>
      </c>
      <c r="N89" s="17"/>
    </row>
    <row r="90" spans="1:14" s="14" customFormat="1" ht="25" customHeight="1">
      <c r="A90" s="12"/>
      <c r="B90" s="25"/>
      <c r="C90" s="65">
        <v>17</v>
      </c>
      <c r="D90" s="51">
        <f t="shared" si="10"/>
        <v>55</v>
      </c>
      <c r="E90" s="66">
        <f t="shared" si="8"/>
        <v>9</v>
      </c>
      <c r="F90" s="52">
        <f t="shared" si="11"/>
        <v>0.87</v>
      </c>
      <c r="G90" s="53">
        <f>IF(D90=D89,"",_xlfn.IFNA(VLOOKUP(D90,'인원 입력 기능'!$A$5:$D$103,4,FALSE),0))</f>
        <v>669</v>
      </c>
      <c r="H90" s="54">
        <f t="shared" si="12"/>
        <v>1.7851329643880649E-3</v>
      </c>
      <c r="I90" s="67">
        <f>SUM($G$7:G90)</f>
        <v>371828</v>
      </c>
      <c r="J90" s="56">
        <f t="shared" si="13"/>
        <v>0.99217103121447747</v>
      </c>
      <c r="K90" s="30"/>
      <c r="L90" s="18" t="str">
        <f t="shared" si="9"/>
        <v/>
      </c>
      <c r="N90" s="17"/>
    </row>
    <row r="91" spans="1:14" s="14" customFormat="1" ht="25" customHeight="1">
      <c r="A91" s="12"/>
      <c r="B91" s="25"/>
      <c r="C91" s="65">
        <v>16</v>
      </c>
      <c r="D91" s="51">
        <f t="shared" si="10"/>
        <v>54</v>
      </c>
      <c r="E91" s="66">
        <f t="shared" si="8"/>
        <v>9</v>
      </c>
      <c r="F91" s="52">
        <f t="shared" si="11"/>
        <v>0.69</v>
      </c>
      <c r="G91" s="53">
        <f>IF(D91=D90,"",_xlfn.IFNA(VLOOKUP(D91,'인원 입력 기능'!$A$5:$D$103,4,FALSE),0))</f>
        <v>701</v>
      </c>
      <c r="H91" s="54">
        <f t="shared" si="12"/>
        <v>1.8705204903378678E-3</v>
      </c>
      <c r="I91" s="67">
        <f>SUM($G$7:G91)</f>
        <v>372529</v>
      </c>
      <c r="J91" s="56">
        <f t="shared" si="13"/>
        <v>0.99404155170481534</v>
      </c>
      <c r="K91" s="30"/>
      <c r="L91" s="18" t="str">
        <f t="shared" si="9"/>
        <v/>
      </c>
      <c r="N91" s="17"/>
    </row>
    <row r="92" spans="1:14" s="14" customFormat="1" ht="25" customHeight="1">
      <c r="A92" s="12"/>
      <c r="B92" s="25"/>
      <c r="C92" s="65">
        <v>15</v>
      </c>
      <c r="D92" s="51">
        <f t="shared" si="10"/>
        <v>53</v>
      </c>
      <c r="E92" s="66">
        <f t="shared" si="8"/>
        <v>9</v>
      </c>
      <c r="F92" s="52">
        <f t="shared" si="11"/>
        <v>0.53</v>
      </c>
      <c r="G92" s="53">
        <f>IF(D92=D91,"",_xlfn.IFNA(VLOOKUP(D92,'인원 입력 기능'!$A$5:$D$103,4,FALSE),0))</f>
        <v>460</v>
      </c>
      <c r="H92" s="54">
        <f t="shared" si="12"/>
        <v>1.2274456855284155E-3</v>
      </c>
      <c r="I92" s="67">
        <f>SUM($G$7:G92)</f>
        <v>372989</v>
      </c>
      <c r="J92" s="56">
        <f t="shared" si="13"/>
        <v>0.99526899739034369</v>
      </c>
      <c r="K92" s="30"/>
      <c r="L92" s="18" t="str">
        <f t="shared" si="9"/>
        <v/>
      </c>
      <c r="N92" s="17"/>
    </row>
    <row r="93" spans="1:14" s="14" customFormat="1" ht="25" customHeight="1">
      <c r="A93" s="12"/>
      <c r="B93" s="25"/>
      <c r="C93" s="65">
        <v>14</v>
      </c>
      <c r="D93" s="51">
        <f t="shared" si="10"/>
        <v>52</v>
      </c>
      <c r="E93" s="66">
        <f t="shared" si="8"/>
        <v>9</v>
      </c>
      <c r="F93" s="52">
        <f t="shared" si="11"/>
        <v>0.43</v>
      </c>
      <c r="G93" s="53">
        <f>IF(D93=D92,"",_xlfn.IFNA(VLOOKUP(D93,'인원 입력 기능'!$A$5:$D$103,4,FALSE),0))</f>
        <v>344</v>
      </c>
      <c r="H93" s="54">
        <f t="shared" si="12"/>
        <v>9.1791590396038023E-4</v>
      </c>
      <c r="I93" s="67">
        <f>SUM($G$7:G93)</f>
        <v>373333</v>
      </c>
      <c r="J93" s="56">
        <f t="shared" si="13"/>
        <v>0.99618691329430409</v>
      </c>
      <c r="K93" s="30"/>
      <c r="L93" s="18" t="str">
        <f t="shared" si="9"/>
        <v/>
      </c>
      <c r="N93" s="17"/>
    </row>
    <row r="94" spans="1:14" s="14" customFormat="1" ht="25" customHeight="1">
      <c r="A94" s="12"/>
      <c r="B94" s="25"/>
      <c r="C94" s="65">
        <v>13</v>
      </c>
      <c r="D94" s="51">
        <f t="shared" si="10"/>
        <v>51</v>
      </c>
      <c r="E94" s="66">
        <f t="shared" si="8"/>
        <v>9</v>
      </c>
      <c r="F94" s="52">
        <f t="shared" si="11"/>
        <v>0.34</v>
      </c>
      <c r="G94" s="53">
        <f>IF(D94=D93,"",_xlfn.IFNA(VLOOKUP(D94,'인원 입력 기능'!$A$5:$D$103,4,FALSE),0))</f>
        <v>302</v>
      </c>
      <c r="H94" s="54">
        <f t="shared" si="12"/>
        <v>8.0584477615126403E-4</v>
      </c>
      <c r="I94" s="67">
        <f>SUM($G$7:G94)</f>
        <v>373635</v>
      </c>
      <c r="J94" s="56">
        <f t="shared" si="13"/>
        <v>0.9969927580704554</v>
      </c>
      <c r="K94" s="30"/>
      <c r="L94" s="18" t="str">
        <f t="shared" si="9"/>
        <v/>
      </c>
      <c r="N94" s="17"/>
    </row>
    <row r="95" spans="1:14" s="14" customFormat="1" ht="25" customHeight="1">
      <c r="A95" s="12"/>
      <c r="B95" s="25"/>
      <c r="C95" s="65">
        <v>12</v>
      </c>
      <c r="D95" s="51">
        <f t="shared" si="10"/>
        <v>50</v>
      </c>
      <c r="E95" s="66">
        <f t="shared" si="8"/>
        <v>9</v>
      </c>
      <c r="F95" s="52">
        <f t="shared" si="11"/>
        <v>0.27</v>
      </c>
      <c r="G95" s="53">
        <f>IF(D95=D94,"",_xlfn.IFNA(VLOOKUP(D95,'인원 입력 기능'!$A$5:$D$103,4,FALSE),0))</f>
        <v>219</v>
      </c>
      <c r="H95" s="54">
        <f t="shared" si="12"/>
        <v>5.84370880718963E-4</v>
      </c>
      <c r="I95" s="67">
        <f>SUM($G$7:G95)</f>
        <v>373854</v>
      </c>
      <c r="J95" s="56">
        <f t="shared" si="13"/>
        <v>0.99757712895117434</v>
      </c>
      <c r="K95" s="30"/>
      <c r="L95" s="18" t="str">
        <f t="shared" si="9"/>
        <v/>
      </c>
      <c r="N95" s="17"/>
    </row>
    <row r="96" spans="1:14" s="14" customFormat="1" ht="25" customHeight="1">
      <c r="A96" s="12"/>
      <c r="B96" s="25"/>
      <c r="C96" s="65">
        <v>11</v>
      </c>
      <c r="D96" s="51">
        <f t="shared" si="10"/>
        <v>49</v>
      </c>
      <c r="E96" s="66">
        <f t="shared" si="8"/>
        <v>9</v>
      </c>
      <c r="F96" s="52">
        <f t="shared" si="11"/>
        <v>0.22</v>
      </c>
      <c r="G96" s="53">
        <f>IF(D96=D95,"",_xlfn.IFNA(VLOOKUP(D96,'인원 입력 기능'!$A$5:$D$103,4,FALSE),0))</f>
        <v>172</v>
      </c>
      <c r="H96" s="54">
        <f t="shared" si="12"/>
        <v>4.5895795198019012E-4</v>
      </c>
      <c r="I96" s="67">
        <f>SUM($G$7:G96)</f>
        <v>374026</v>
      </c>
      <c r="J96" s="56">
        <f t="shared" si="13"/>
        <v>0.99803608690315448</v>
      </c>
      <c r="K96" s="30"/>
      <c r="L96" s="18" t="str">
        <f t="shared" si="9"/>
        <v/>
      </c>
      <c r="N96" s="17"/>
    </row>
    <row r="97" spans="1:14" s="14" customFormat="1" ht="25" customHeight="1">
      <c r="A97" s="12"/>
      <c r="B97" s="25"/>
      <c r="C97" s="65">
        <v>10</v>
      </c>
      <c r="D97" s="51">
        <f t="shared" si="10"/>
        <v>48</v>
      </c>
      <c r="E97" s="66">
        <f t="shared" si="8"/>
        <v>9</v>
      </c>
      <c r="F97" s="52">
        <f t="shared" si="11"/>
        <v>0.18</v>
      </c>
      <c r="G97" s="53">
        <f>IF(D97=D96,"",_xlfn.IFNA(VLOOKUP(D97,'인원 입력 기능'!$A$5:$D$103,4,FALSE),0))</f>
        <v>135</v>
      </c>
      <c r="H97" s="54">
        <f t="shared" si="12"/>
        <v>3.602286251007306E-4</v>
      </c>
      <c r="I97" s="67">
        <f>SUM($G$7:G97)</f>
        <v>374161</v>
      </c>
      <c r="J97" s="56">
        <f t="shared" si="13"/>
        <v>0.99839631552825525</v>
      </c>
      <c r="K97" s="30"/>
      <c r="L97" s="18" t="str">
        <f t="shared" si="9"/>
        <v/>
      </c>
      <c r="N97" s="17"/>
    </row>
    <row r="98" spans="1:14" s="14" customFormat="1" ht="25" customHeight="1">
      <c r="A98" s="12"/>
      <c r="B98" s="25"/>
      <c r="C98" s="65">
        <v>9</v>
      </c>
      <c r="D98" s="51">
        <f t="shared" si="10"/>
        <v>47</v>
      </c>
      <c r="E98" s="66">
        <f t="shared" si="8"/>
        <v>9</v>
      </c>
      <c r="F98" s="52">
        <f t="shared" si="11"/>
        <v>0.15</v>
      </c>
      <c r="G98" s="53">
        <f>IF(D98=D97,"",_xlfn.IFNA(VLOOKUP(D98,'인원 입력 기능'!$A$5:$D$103,4,FALSE),0))</f>
        <v>97</v>
      </c>
      <c r="H98" s="54">
        <f t="shared" si="12"/>
        <v>2.5883093803533977E-4</v>
      </c>
      <c r="I98" s="67">
        <f>SUM($G$7:G98)</f>
        <v>374258</v>
      </c>
      <c r="J98" s="56">
        <f t="shared" si="13"/>
        <v>0.99865514646629061</v>
      </c>
      <c r="K98" s="30"/>
      <c r="L98" s="18" t="str">
        <f t="shared" si="9"/>
        <v/>
      </c>
      <c r="N98" s="17"/>
    </row>
    <row r="99" spans="1:14" s="14" customFormat="1" ht="25" customHeight="1">
      <c r="A99" s="12"/>
      <c r="B99" s="25"/>
      <c r="C99" s="65">
        <v>8</v>
      </c>
      <c r="D99" s="51">
        <f t="shared" si="10"/>
        <v>46</v>
      </c>
      <c r="E99" s="66">
        <f t="shared" si="8"/>
        <v>9</v>
      </c>
      <c r="F99" s="52">
        <f t="shared" si="11"/>
        <v>0.12</v>
      </c>
      <c r="G99" s="53">
        <f>IF(D99=D98,"",_xlfn.IFNA(VLOOKUP(D99,'인원 입력 기능'!$A$5:$D$103,4,FALSE),0))</f>
        <v>72</v>
      </c>
      <c r="H99" s="54">
        <f t="shared" si="12"/>
        <v>1.9212193338705632E-4</v>
      </c>
      <c r="I99" s="67">
        <f>SUM($G$7:G99)</f>
        <v>374330</v>
      </c>
      <c r="J99" s="56">
        <f t="shared" si="13"/>
        <v>0.99884726839967763</v>
      </c>
      <c r="K99" s="30"/>
      <c r="L99" s="18" t="str">
        <f t="shared" si="9"/>
        <v/>
      </c>
      <c r="N99" s="17"/>
    </row>
    <row r="100" spans="1:14" s="14" customFormat="1" ht="25" customHeight="1">
      <c r="A100" s="12"/>
      <c r="B100" s="25"/>
      <c r="C100" s="65">
        <v>7</v>
      </c>
      <c r="D100" s="51">
        <f t="shared" si="10"/>
        <v>45</v>
      </c>
      <c r="E100" s="66">
        <f t="shared" si="8"/>
        <v>9</v>
      </c>
      <c r="F100" s="52">
        <f t="shared" si="11"/>
        <v>0.11</v>
      </c>
      <c r="G100" s="53">
        <f>IF(D100=D99,"",_xlfn.IFNA(VLOOKUP(D100,'인원 입력 기능'!$A$5:$D$103,4,FALSE),0))</f>
        <v>30</v>
      </c>
      <c r="H100" s="54">
        <f t="shared" si="12"/>
        <v>8.0050805577940138E-5</v>
      </c>
      <c r="I100" s="67">
        <f>SUM($G$7:G100)</f>
        <v>374360</v>
      </c>
      <c r="J100" s="56">
        <f t="shared" si="13"/>
        <v>0.99892731920525557</v>
      </c>
      <c r="K100" s="30"/>
      <c r="L100" s="18" t="str">
        <f t="shared" si="9"/>
        <v/>
      </c>
      <c r="N100" s="17"/>
    </row>
    <row r="101" spans="1:14" s="14" customFormat="1" ht="25" customHeight="1">
      <c r="A101" s="12"/>
      <c r="B101" s="25"/>
      <c r="C101" s="57">
        <v>6</v>
      </c>
      <c r="D101" s="116">
        <v>44</v>
      </c>
      <c r="E101" s="116">
        <f t="shared" si="8"/>
        <v>9</v>
      </c>
      <c r="F101" s="127">
        <f t="shared" si="11"/>
        <v>0.1</v>
      </c>
      <c r="G101" s="129">
        <f>IF(D101=D100,"",_xlfn.IFNA(VLOOKUP(D101,'인원 입력 기능'!$A$5:$D$103,4,FALSE),0))</f>
        <v>63</v>
      </c>
      <c r="H101" s="130">
        <f t="shared" si="12"/>
        <v>1.6810669171367427E-4</v>
      </c>
      <c r="I101" s="136">
        <f>SUM($G$7:G101)</f>
        <v>374423</v>
      </c>
      <c r="J101" s="134">
        <f t="shared" si="13"/>
        <v>0.99909542589696931</v>
      </c>
      <c r="K101" s="30"/>
      <c r="L101" s="18" t="str">
        <f t="shared" si="9"/>
        <v>경고</v>
      </c>
      <c r="N101" s="17"/>
    </row>
    <row r="102" spans="1:14" s="14" customFormat="1" ht="25" customHeight="1">
      <c r="A102" s="12"/>
      <c r="B102" s="25"/>
      <c r="C102" s="57">
        <v>5</v>
      </c>
      <c r="D102" s="117"/>
      <c r="E102" s="117"/>
      <c r="F102" s="126"/>
      <c r="G102" s="128"/>
      <c r="H102" s="131"/>
      <c r="I102" s="137"/>
      <c r="J102" s="135"/>
      <c r="K102" s="30"/>
      <c r="L102" s="18" t="str">
        <f t="shared" si="9"/>
        <v>경고</v>
      </c>
      <c r="N102" s="17"/>
    </row>
    <row r="103" spans="1:14" s="14" customFormat="1" ht="25" customHeight="1">
      <c r="A103" s="12"/>
      <c r="B103" s="25"/>
      <c r="C103" s="57">
        <v>4</v>
      </c>
      <c r="D103" s="51">
        <f t="shared" si="10"/>
        <v>43</v>
      </c>
      <c r="E103" s="51">
        <f t="shared" ref="E103:E105" si="14">IF(ROUND(D103,0)&gt;=$Q$7,1,IF(ROUND(D103,0)&gt;=$Q$8,2,IF(ROUND(D103,0)&gt;=$Q$9,3,IF(ROUND(D103,0)&gt;=$Q$10,4,IF(ROUND(D103,0)&gt;=$Q$11,5,IF(ROUND(D103,0)&gt;=$Q$12,6,IF(ROUND(D103,0)&gt;=$Q$13,7,IF(ROUND(D103,0)&gt;=$Q$14,8,9))))))))</f>
        <v>9</v>
      </c>
      <c r="F103" s="52">
        <f t="shared" si="11"/>
        <v>0.08</v>
      </c>
      <c r="G103" s="53">
        <f>IF(D103=D102,"",_xlfn.IFNA(VLOOKUP(D103,'인원 입력 기능'!$A$5:$D$103,4,FALSE),0))</f>
        <v>42</v>
      </c>
      <c r="H103" s="54">
        <f t="shared" si="12"/>
        <v>1.1207112780911619E-4</v>
      </c>
      <c r="I103" s="64">
        <f>SUM($G$7:G103)</f>
        <v>374465</v>
      </c>
      <c r="J103" s="56">
        <f t="shared" si="13"/>
        <v>0.9992074970247784</v>
      </c>
      <c r="K103" s="30"/>
      <c r="L103" s="18" t="str">
        <f t="shared" si="9"/>
        <v/>
      </c>
      <c r="N103" s="17"/>
    </row>
    <row r="104" spans="1:14" s="14" customFormat="1" ht="25" customHeight="1">
      <c r="A104" s="12"/>
      <c r="B104" s="25"/>
      <c r="C104" s="57">
        <v>3</v>
      </c>
      <c r="D104" s="51">
        <f t="shared" si="10"/>
        <v>42</v>
      </c>
      <c r="E104" s="51">
        <f t="shared" si="14"/>
        <v>9</v>
      </c>
      <c r="F104" s="52">
        <f t="shared" si="11"/>
        <v>0.08</v>
      </c>
      <c r="G104" s="53">
        <f>IF(D104=D103,"",_xlfn.IFNA(VLOOKUP(D104,'인원 입력 기능'!$A$5:$D$103,4,FALSE),0))</f>
        <v>4</v>
      </c>
      <c r="H104" s="54">
        <f t="shared" si="12"/>
        <v>1.0673440743725351E-5</v>
      </c>
      <c r="I104" s="64">
        <f>SUM($G$7:G104)</f>
        <v>374469</v>
      </c>
      <c r="J104" s="56">
        <f t="shared" si="13"/>
        <v>0.99921817046552208</v>
      </c>
      <c r="K104" s="30"/>
      <c r="L104" s="18" t="str">
        <f t="shared" si="9"/>
        <v/>
      </c>
      <c r="N104" s="17"/>
    </row>
    <row r="105" spans="1:14" s="14" customFormat="1" ht="25" customHeight="1">
      <c r="A105" s="12"/>
      <c r="B105" s="25"/>
      <c r="C105" s="57">
        <v>2</v>
      </c>
      <c r="D105" s="51">
        <f t="shared" si="10"/>
        <v>41</v>
      </c>
      <c r="E105" s="51">
        <f t="shared" si="14"/>
        <v>9</v>
      </c>
      <c r="F105" s="52">
        <f t="shared" si="11"/>
        <v>7.0000000000000007E-2</v>
      </c>
      <c r="G105" s="53">
        <f>IF(D105=D104,"",_xlfn.IFNA(VLOOKUP(D105,'인원 입력 기능'!$A$5:$D$103,4,FALSE),0))</f>
        <v>38</v>
      </c>
      <c r="H105" s="54">
        <f t="shared" si="12"/>
        <v>1.0139768706539083E-4</v>
      </c>
      <c r="I105" s="64">
        <f>SUM($G$7:G105)</f>
        <v>374507</v>
      </c>
      <c r="J105" s="56">
        <f t="shared" si="13"/>
        <v>0.99931956815258749</v>
      </c>
      <c r="K105" s="30"/>
      <c r="L105" s="18" t="str">
        <f t="shared" si="9"/>
        <v/>
      </c>
      <c r="N105" s="17"/>
    </row>
    <row r="106" spans="1:14" s="14" customFormat="1" ht="25" customHeight="1">
      <c r="A106" s="12"/>
      <c r="B106" s="25"/>
      <c r="C106" s="57">
        <v>1</v>
      </c>
      <c r="D106" s="58" t="s">
        <v>37</v>
      </c>
      <c r="E106" s="58"/>
      <c r="F106" s="59"/>
      <c r="G106" s="60"/>
      <c r="H106" s="61"/>
      <c r="I106" s="68"/>
      <c r="J106" s="63"/>
      <c r="K106" s="31"/>
      <c r="L106" s="18"/>
    </row>
    <row r="107" spans="1:14" s="14" customFormat="1" ht="25" customHeight="1" thickBot="1">
      <c r="A107" s="12"/>
      <c r="B107" s="25"/>
      <c r="C107" s="69">
        <v>0</v>
      </c>
      <c r="D107" s="70">
        <f>ROUND(20*(C107-$H$3)/$H$4+100,0)</f>
        <v>39</v>
      </c>
      <c r="E107" s="70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1">
        <f>IF(I105=0,ROUND(100*(1-(I104+I107)/2/$J$3),2),ROUND(100*(1-(I105+I107)/2/$J$3),2))</f>
        <v>0.03</v>
      </c>
      <c r="G107" s="72">
        <f>_xlfn.IFNA(VLOOKUP(D107,'인원 입력 기능'!$A$5:$D$103,4,FALSE),0)</f>
        <v>255</v>
      </c>
      <c r="H107" s="73">
        <f>G107/$J$3</f>
        <v>6.8043184741249109E-4</v>
      </c>
      <c r="I107" s="74">
        <f>SUM($G$7:G107)</f>
        <v>374762</v>
      </c>
      <c r="J107" s="75">
        <f>I107/$J$3</f>
        <v>1</v>
      </c>
      <c r="K107" s="35"/>
      <c r="L107" s="18" t="str">
        <f>IF(ABS((C107-$H$3)/$H$4*20+100-D107)&gt;0.49, "경고", "")</f>
        <v/>
      </c>
    </row>
    <row r="108" spans="1:14" s="2" customFormat="1" ht="6" customHeight="1">
      <c r="B108" s="32"/>
      <c r="C108" s="33"/>
      <c r="D108" s="33"/>
      <c r="E108" s="33"/>
      <c r="F108" s="33"/>
      <c r="G108" s="33"/>
      <c r="H108" s="33"/>
      <c r="I108" s="33"/>
      <c r="J108" s="33"/>
      <c r="K108" s="34"/>
      <c r="L108" s="20"/>
    </row>
    <row r="109" spans="1:14">
      <c r="A109" s="2"/>
      <c r="B109" s="2"/>
      <c r="C109" s="2"/>
      <c r="D109" s="2"/>
      <c r="E109" s="2"/>
      <c r="F109" s="2"/>
      <c r="G109" s="2"/>
      <c r="H109" s="2"/>
      <c r="I109" s="2"/>
      <c r="J109" s="2"/>
      <c r="L109" s="20"/>
    </row>
  </sheetData>
  <mergeCells count="24">
    <mergeCell ref="I65:I66"/>
    <mergeCell ref="J65:J66"/>
    <mergeCell ref="D101:D102"/>
    <mergeCell ref="E101:E102"/>
    <mergeCell ref="F101:F102"/>
    <mergeCell ref="G101:G102"/>
    <mergeCell ref="H101:H102"/>
    <mergeCell ref="I101:I102"/>
    <mergeCell ref="J101:J102"/>
    <mergeCell ref="D65:D66"/>
    <mergeCell ref="E65:E66"/>
    <mergeCell ref="F65:F66"/>
    <mergeCell ref="G65:G66"/>
    <mergeCell ref="H65:H66"/>
    <mergeCell ref="D3:F3"/>
    <mergeCell ref="D4:F4"/>
    <mergeCell ref="I4:J5"/>
    <mergeCell ref="D28:D29"/>
    <mergeCell ref="E28:E29"/>
    <mergeCell ref="F28:F29"/>
    <mergeCell ref="G28:G29"/>
    <mergeCell ref="H28:H29"/>
    <mergeCell ref="I28:I29"/>
    <mergeCell ref="J28:J29"/>
  </mergeCells>
  <phoneticPr fontId="1" type="noConversion"/>
  <conditionalFormatting sqref="D7:J28 D30:J65 D67:J101 D103:J107">
    <cfRule type="expression" dxfId="5" priority="3">
      <formula>OR($D7=$Q$7:$Q$14)</formula>
    </cfRule>
  </conditionalFormatting>
  <conditionalFormatting sqref="C7:C107">
    <cfRule type="expression" dxfId="4" priority="2">
      <formula>OR(AND($D7=0,OR($D6=$Q$7:$Q$14)),AND($D8&gt;0,OR($D7=$Q$7:$Q$14)))</formula>
    </cfRule>
  </conditionalFormatting>
  <conditionalFormatting sqref="D7:D28 D30:D65 D67:D101 D103:D107">
    <cfRule type="expression" dxfId="3" priority="1">
      <formula>$D7=$D8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749FE-5941-4A60-840C-DC2EFCC49008}">
  <sheetPr codeName="Sheet5"/>
  <dimension ref="A1:Q108"/>
  <sheetViews>
    <sheetView zoomScale="85" zoomScaleNormal="85" workbookViewId="0">
      <selection activeCell="B2" sqref="B2:K108"/>
    </sheetView>
  </sheetViews>
  <sheetFormatPr defaultRowHeight="17"/>
  <cols>
    <col min="2" max="2" width="1" style="2" customWidth="1"/>
    <col min="3" max="10" width="14.1640625" customWidth="1"/>
    <col min="11" max="11" width="1" style="2" customWidth="1"/>
    <col min="12" max="12" width="14.1640625" customWidth="1"/>
    <col min="13" max="14" width="12.4140625" customWidth="1"/>
  </cols>
  <sheetData>
    <row r="1" spans="1:17">
      <c r="A1" s="2" t="s">
        <v>39</v>
      </c>
      <c r="C1" s="2"/>
      <c r="D1" s="2"/>
      <c r="E1" s="2"/>
      <c r="F1" s="2"/>
      <c r="G1" s="2"/>
      <c r="H1" s="2"/>
      <c r="I1" s="2"/>
      <c r="J1" s="2"/>
      <c r="L1" s="2"/>
    </row>
    <row r="2" spans="1:17" s="2" customFormat="1" ht="6" customHeight="1" thickBot="1">
      <c r="B2" s="22"/>
      <c r="C2" s="23"/>
      <c r="D2" s="23"/>
      <c r="E2" s="23"/>
      <c r="F2" s="23"/>
      <c r="G2" s="23"/>
      <c r="H2" s="23"/>
      <c r="I2" s="23"/>
      <c r="J2" s="23"/>
      <c r="K2" s="24"/>
    </row>
    <row r="3" spans="1:17" s="14" customFormat="1" ht="25" customHeight="1" thickBot="1">
      <c r="A3" s="12"/>
      <c r="B3" s="25"/>
      <c r="C3" s="40" t="s">
        <v>41</v>
      </c>
      <c r="D3" s="105" t="s">
        <v>69</v>
      </c>
      <c r="E3" s="106"/>
      <c r="F3" s="107"/>
      <c r="G3" s="40" t="s">
        <v>42</v>
      </c>
      <c r="H3" s="41" t="str">
        <f>'통계 및 응시자 수 입력 기능'!D5</f>
        <v>50.27</v>
      </c>
      <c r="I3" s="13" t="s">
        <v>43</v>
      </c>
      <c r="J3" s="42">
        <f>'통계 및 응시자 수 입력 기능'!C5</f>
        <v>374489</v>
      </c>
      <c r="K3" s="26"/>
      <c r="L3" s="12"/>
    </row>
    <row r="4" spans="1:17" s="14" customFormat="1" ht="25" customHeight="1" thickBot="1">
      <c r="A4" s="12"/>
      <c r="B4" s="25"/>
      <c r="C4" s="43" t="s">
        <v>44</v>
      </c>
      <c r="D4" s="108" t="s">
        <v>47</v>
      </c>
      <c r="E4" s="109"/>
      <c r="F4" s="110"/>
      <c r="G4" s="44" t="s">
        <v>46</v>
      </c>
      <c r="H4" s="45" t="str">
        <f>'통계 및 응시자 수 입력 기능'!E5</f>
        <v>21.97</v>
      </c>
      <c r="I4" s="111"/>
      <c r="J4" s="112"/>
      <c r="K4" s="27"/>
      <c r="L4" s="12"/>
    </row>
    <row r="5" spans="1:17" s="14" customFormat="1" ht="25" customHeight="1" thickBot="1">
      <c r="A5" s="12"/>
      <c r="B5" s="25"/>
      <c r="C5" s="15"/>
      <c r="D5" s="15"/>
      <c r="E5" s="15"/>
      <c r="F5" s="101"/>
      <c r="G5" s="15"/>
      <c r="H5" s="12"/>
      <c r="I5" s="113"/>
      <c r="J5" s="113"/>
      <c r="K5" s="28"/>
      <c r="L5" s="12"/>
    </row>
    <row r="6" spans="1:17" s="14" customFormat="1" ht="25" customHeight="1" thickBot="1">
      <c r="A6" s="12"/>
      <c r="B6" s="25"/>
      <c r="C6" s="46" t="s">
        <v>48</v>
      </c>
      <c r="D6" s="47" t="s">
        <v>49</v>
      </c>
      <c r="E6" s="47" t="s">
        <v>50</v>
      </c>
      <c r="F6" s="47" t="s">
        <v>51</v>
      </c>
      <c r="G6" s="47" t="s">
        <v>52</v>
      </c>
      <c r="H6" s="48" t="s">
        <v>53</v>
      </c>
      <c r="I6" s="48" t="s">
        <v>54</v>
      </c>
      <c r="J6" s="49" t="s">
        <v>55</v>
      </c>
      <c r="K6" s="29"/>
      <c r="L6" s="21" t="s">
        <v>38</v>
      </c>
      <c r="M6" s="15"/>
      <c r="N6" s="16"/>
    </row>
    <row r="7" spans="1:17" s="14" customFormat="1" ht="25" customHeight="1">
      <c r="A7" s="12"/>
      <c r="B7" s="25"/>
      <c r="C7" s="50">
        <v>100</v>
      </c>
      <c r="D7" s="51">
        <f>ROUND(20*(C7-$H$3)/$H$4+100,0)</f>
        <v>145</v>
      </c>
      <c r="E7" s="51">
        <f t="shared" ref="E7:E70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2">
        <f>ROUND(100*(1-(0+I7)/2/$J$3),2)</f>
        <v>99.76</v>
      </c>
      <c r="G7" s="53">
        <f>_xlfn.IFNA(VLOOKUP(D7,'인원 입력 기능'!$F$5:$I$103,4,FALSE),0)</f>
        <v>1774</v>
      </c>
      <c r="H7" s="54">
        <f>G7/$J$3</f>
        <v>4.7371217846185068E-3</v>
      </c>
      <c r="I7" s="55">
        <f>G7</f>
        <v>1774</v>
      </c>
      <c r="J7" s="56">
        <f>I7/$J$3</f>
        <v>4.7371217846185068E-3</v>
      </c>
      <c r="K7" s="30"/>
      <c r="L7" s="18" t="str">
        <f>IF(ABS((C7-$H$3)/$H$4*20+100-D7)&gt;0.49, "경고", "")</f>
        <v/>
      </c>
      <c r="N7" s="17"/>
      <c r="P7" s="17">
        <v>1</v>
      </c>
      <c r="Q7" s="17">
        <f>'표점등급&amp;절평인원 입력기능'!C13</f>
        <v>134</v>
      </c>
    </row>
    <row r="8" spans="1:17" s="14" customFormat="1" ht="25" customHeight="1">
      <c r="A8" s="12"/>
      <c r="B8" s="25"/>
      <c r="C8" s="57">
        <v>99</v>
      </c>
      <c r="D8" s="58" t="s">
        <v>37</v>
      </c>
      <c r="E8" s="58"/>
      <c r="F8" s="59"/>
      <c r="G8" s="60"/>
      <c r="H8" s="61"/>
      <c r="I8" s="62"/>
      <c r="J8" s="63"/>
      <c r="K8" s="31"/>
      <c r="L8" s="18"/>
      <c r="N8" s="17"/>
      <c r="P8" s="17">
        <v>2</v>
      </c>
      <c r="Q8" s="17">
        <f>'표점등급&amp;절평인원 입력기능'!C14</f>
        <v>126</v>
      </c>
    </row>
    <row r="9" spans="1:17" s="14" customFormat="1" ht="25" customHeight="1">
      <c r="A9" s="12"/>
      <c r="B9" s="25"/>
      <c r="C9" s="57">
        <v>98</v>
      </c>
      <c r="D9" s="116">
        <f t="shared" ref="D9:D40" si="1">ROUND(20*(C9-$H$3)/$H$4+100,0)</f>
        <v>143</v>
      </c>
      <c r="E9" s="116">
        <f t="shared" si="0"/>
        <v>1</v>
      </c>
      <c r="F9" s="127">
        <f>IF(I8=0,ROUND(100*(1-(I7+I9)/2/$J$3),2),ROUND(100*(1-(I8+I9)/2/$J$3),2))</f>
        <v>99.49</v>
      </c>
      <c r="G9" s="129">
        <f>_xlfn.IFNA(VLOOKUP(D9,'인원 입력 기능'!$F$5:$I$103,4,FALSE),0)</f>
        <v>271</v>
      </c>
      <c r="H9" s="130">
        <f>G9/$J$3</f>
        <v>7.2365276416663771E-4</v>
      </c>
      <c r="I9" s="136">
        <f>SUM($G$7:G9)</f>
        <v>2045</v>
      </c>
      <c r="J9" s="134">
        <f>I9/$J$3</f>
        <v>5.4607745487851448E-3</v>
      </c>
      <c r="K9" s="30"/>
      <c r="L9" s="18" t="str">
        <f t="shared" ref="L9:L40" si="2">IF(ABS((C9-$H$3)/$H$4*20+100-D9)&gt;0.49, "경고", "")</f>
        <v/>
      </c>
      <c r="N9" s="17"/>
      <c r="P9" s="17">
        <v>3</v>
      </c>
      <c r="Q9" s="17">
        <f>'표점등급&amp;절평인원 입력기능'!C15</f>
        <v>117</v>
      </c>
    </row>
    <row r="10" spans="1:17" s="14" customFormat="1" ht="25" customHeight="1">
      <c r="A10" s="12"/>
      <c r="B10" s="25"/>
      <c r="C10" s="57">
        <v>97</v>
      </c>
      <c r="D10" s="117"/>
      <c r="E10" s="117"/>
      <c r="F10" s="126"/>
      <c r="G10" s="128"/>
      <c r="H10" s="131"/>
      <c r="I10" s="137"/>
      <c r="J10" s="135"/>
      <c r="K10" s="30"/>
      <c r="L10" s="18" t="str">
        <f t="shared" si="2"/>
        <v>경고</v>
      </c>
      <c r="N10" s="17"/>
      <c r="P10" s="17">
        <v>4</v>
      </c>
      <c r="Q10" s="17">
        <f>'표점등급&amp;절평인원 입력기능'!C16</f>
        <v>106</v>
      </c>
    </row>
    <row r="11" spans="1:17" s="14" customFormat="1" ht="25" customHeight="1">
      <c r="A11" s="12"/>
      <c r="B11" s="25"/>
      <c r="C11" s="57">
        <v>96</v>
      </c>
      <c r="D11" s="51">
        <f t="shared" si="1"/>
        <v>142</v>
      </c>
      <c r="E11" s="51">
        <f t="shared" si="0"/>
        <v>1</v>
      </c>
      <c r="F11" s="52">
        <f t="shared" ref="F10:F73" si="3">IF(I10=0,ROUND(100*(1-(I9+I11)/2/$J$3),2),ROUND(100*(1-(I10+I11)/2/$J$3),2))</f>
        <v>99.08</v>
      </c>
      <c r="G11" s="53">
        <f>IF(D11=D10,"",_xlfn.IFNA(VLOOKUP(D11,'인원 입력 기능'!$F$5:$I$103,4,FALSE),0))</f>
        <v>2782</v>
      </c>
      <c r="H11" s="54">
        <f t="shared" ref="H10:H73" si="4">G11/$J$3</f>
        <v>7.4287896306700595E-3</v>
      </c>
      <c r="I11" s="64">
        <f>SUM($G$7:G11)</f>
        <v>4827</v>
      </c>
      <c r="J11" s="56">
        <f t="shared" ref="J10:J73" si="5">I11/$J$3</f>
        <v>1.2889564179455205E-2</v>
      </c>
      <c r="K11" s="30"/>
      <c r="L11" s="18" t="str">
        <f t="shared" si="2"/>
        <v/>
      </c>
      <c r="N11" s="17"/>
      <c r="P11" s="17">
        <v>5</v>
      </c>
      <c r="Q11" s="17">
        <f>'표점등급&amp;절평인원 입력기능'!C17</f>
        <v>94</v>
      </c>
    </row>
    <row r="12" spans="1:17" s="14" customFormat="1" ht="25" customHeight="1">
      <c r="A12" s="12"/>
      <c r="B12" s="25"/>
      <c r="C12" s="57">
        <v>95</v>
      </c>
      <c r="D12" s="51">
        <f t="shared" si="1"/>
        <v>141</v>
      </c>
      <c r="E12" s="51">
        <f t="shared" si="0"/>
        <v>1</v>
      </c>
      <c r="F12" s="52">
        <f t="shared" si="3"/>
        <v>98.71</v>
      </c>
      <c r="G12" s="53">
        <f>IF(D12=D11,"",_xlfn.IFNA(VLOOKUP(D12,'인원 입력 기능'!$F$5:$I$103,4,FALSE),0))</f>
        <v>7</v>
      </c>
      <c r="H12" s="54">
        <f t="shared" si="4"/>
        <v>1.8692137819802452E-5</v>
      </c>
      <c r="I12" s="64">
        <f>SUM($G$7:G12)</f>
        <v>4834</v>
      </c>
      <c r="J12" s="56">
        <f t="shared" si="5"/>
        <v>1.2908256317275007E-2</v>
      </c>
      <c r="K12" s="30"/>
      <c r="L12" s="18" t="str">
        <f t="shared" si="2"/>
        <v/>
      </c>
      <c r="N12" s="17"/>
      <c r="P12" s="17">
        <v>6</v>
      </c>
      <c r="Q12" s="17">
        <f>'표점등급&amp;절평인원 입력기능'!C18</f>
        <v>83</v>
      </c>
    </row>
    <row r="13" spans="1:17" s="14" customFormat="1" ht="25" customHeight="1">
      <c r="A13" s="12"/>
      <c r="B13" s="25"/>
      <c r="C13" s="57">
        <v>94</v>
      </c>
      <c r="D13" s="51">
        <f t="shared" si="1"/>
        <v>140</v>
      </c>
      <c r="E13" s="51">
        <f t="shared" si="0"/>
        <v>1</v>
      </c>
      <c r="F13" s="52">
        <f t="shared" si="3"/>
        <v>98.7</v>
      </c>
      <c r="G13" s="53">
        <f>IF(D13=D12,"",_xlfn.IFNA(VLOOKUP(D13,'인원 입력 기능'!$F$5:$I$103,4,FALSE),0))</f>
        <v>58</v>
      </c>
      <c r="H13" s="54">
        <f t="shared" si="4"/>
        <v>1.5487771336407746E-4</v>
      </c>
      <c r="I13" s="64">
        <f>SUM($G$7:G13)</f>
        <v>4892</v>
      </c>
      <c r="J13" s="56">
        <f t="shared" si="5"/>
        <v>1.3063134030639084E-2</v>
      </c>
      <c r="K13" s="30"/>
      <c r="L13" s="18" t="str">
        <f t="shared" si="2"/>
        <v/>
      </c>
      <c r="N13" s="17"/>
      <c r="P13" s="17">
        <v>7</v>
      </c>
      <c r="Q13" s="17">
        <f>'표점등급&amp;절평인원 입력기능'!C19</f>
        <v>72</v>
      </c>
    </row>
    <row r="14" spans="1:17" s="14" customFormat="1" ht="25" customHeight="1">
      <c r="A14" s="12"/>
      <c r="B14" s="25"/>
      <c r="C14" s="57">
        <v>93</v>
      </c>
      <c r="D14" s="51">
        <f t="shared" si="1"/>
        <v>139</v>
      </c>
      <c r="E14" s="51">
        <f t="shared" si="0"/>
        <v>1</v>
      </c>
      <c r="F14" s="52">
        <f t="shared" si="3"/>
        <v>98.61</v>
      </c>
      <c r="G14" s="53">
        <f>IF(D14=D13,"",_xlfn.IFNA(VLOOKUP(D14,'인원 입력 기능'!$F$5:$I$103,4,FALSE),0))</f>
        <v>590</v>
      </c>
      <c r="H14" s="54">
        <f t="shared" si="4"/>
        <v>1.5754801876690636E-3</v>
      </c>
      <c r="I14" s="64">
        <f>SUM($G$7:G14)</f>
        <v>5482</v>
      </c>
      <c r="J14" s="56">
        <f t="shared" si="5"/>
        <v>1.4638614218308147E-2</v>
      </c>
      <c r="K14" s="30"/>
      <c r="L14" s="18" t="str">
        <f t="shared" si="2"/>
        <v/>
      </c>
      <c r="N14" s="17"/>
      <c r="P14" s="17">
        <v>8</v>
      </c>
      <c r="Q14" s="17">
        <f>'표점등급&amp;절평인원 입력기능'!C20</f>
        <v>66</v>
      </c>
    </row>
    <row r="15" spans="1:17" s="14" customFormat="1" ht="25" customHeight="1">
      <c r="A15" s="12"/>
      <c r="B15" s="25"/>
      <c r="C15" s="57">
        <v>92</v>
      </c>
      <c r="D15" s="51">
        <f t="shared" si="1"/>
        <v>138</v>
      </c>
      <c r="E15" s="51">
        <f t="shared" si="0"/>
        <v>1</v>
      </c>
      <c r="F15" s="52">
        <f t="shared" si="3"/>
        <v>97.95</v>
      </c>
      <c r="G15" s="53">
        <f>IF(D15=D14,"",_xlfn.IFNA(VLOOKUP(D15,'인원 입력 기능'!$F$5:$I$103,4,FALSE),0))</f>
        <v>4365</v>
      </c>
      <c r="H15" s="54">
        <f t="shared" si="4"/>
        <v>1.1655883083348242E-2</v>
      </c>
      <c r="I15" s="64">
        <f>SUM($G$7:G15)</f>
        <v>9847</v>
      </c>
      <c r="J15" s="56">
        <f t="shared" si="5"/>
        <v>2.6294497301656391E-2</v>
      </c>
      <c r="K15" s="30"/>
      <c r="L15" s="18" t="str">
        <f t="shared" si="2"/>
        <v/>
      </c>
      <c r="N15" s="17"/>
      <c r="P15" s="17">
        <v>9</v>
      </c>
    </row>
    <row r="16" spans="1:17" s="14" customFormat="1" ht="25" customHeight="1">
      <c r="A16" s="12"/>
      <c r="B16" s="25"/>
      <c r="C16" s="57">
        <v>91</v>
      </c>
      <c r="D16" s="51">
        <f t="shared" si="1"/>
        <v>137</v>
      </c>
      <c r="E16" s="51">
        <f t="shared" si="0"/>
        <v>1</v>
      </c>
      <c r="F16" s="52">
        <f t="shared" si="3"/>
        <v>97.37</v>
      </c>
      <c r="G16" s="53">
        <f>IF(D16=D15,"",_xlfn.IFNA(VLOOKUP(D16,'인원 입력 기능'!$F$5:$I$103,4,FALSE),0))</f>
        <v>15</v>
      </c>
      <c r="H16" s="54">
        <f t="shared" si="4"/>
        <v>4.0054581042433826E-5</v>
      </c>
      <c r="I16" s="64">
        <f>SUM($G$7:G16)</f>
        <v>9862</v>
      </c>
      <c r="J16" s="56">
        <f t="shared" si="5"/>
        <v>2.6334551882698825E-2</v>
      </c>
      <c r="K16" s="30"/>
      <c r="L16" s="18" t="str">
        <f t="shared" si="2"/>
        <v/>
      </c>
      <c r="N16" s="17"/>
    </row>
    <row r="17" spans="1:17" s="14" customFormat="1" ht="25" customHeight="1">
      <c r="A17" s="12"/>
      <c r="B17" s="25"/>
      <c r="C17" s="57">
        <v>90</v>
      </c>
      <c r="D17" s="51">
        <f t="shared" si="1"/>
        <v>136</v>
      </c>
      <c r="E17" s="51">
        <f t="shared" si="0"/>
        <v>1</v>
      </c>
      <c r="F17" s="52">
        <f t="shared" si="3"/>
        <v>97.34</v>
      </c>
      <c r="G17" s="53">
        <f>IF(D17=D16,"",_xlfn.IFNA(VLOOKUP(D17,'인원 입력 기능'!$F$5:$I$103,4,FALSE),0))</f>
        <v>167</v>
      </c>
      <c r="H17" s="54">
        <f t="shared" si="4"/>
        <v>4.459410022724299E-4</v>
      </c>
      <c r="I17" s="64">
        <f>SUM($G$7:G17)</f>
        <v>10029</v>
      </c>
      <c r="J17" s="56">
        <f t="shared" si="5"/>
        <v>2.6780492884971255E-2</v>
      </c>
      <c r="K17" s="30"/>
      <c r="L17" s="18" t="str">
        <f t="shared" si="2"/>
        <v/>
      </c>
      <c r="N17" s="17"/>
      <c r="Q17" s="14">
        <f>IF(H3*H4*J3*Q7=0, 0, 1)</f>
        <v>1</v>
      </c>
    </row>
    <row r="18" spans="1:17" s="14" customFormat="1" ht="25" customHeight="1">
      <c r="A18" s="12"/>
      <c r="B18" s="25"/>
      <c r="C18" s="57">
        <v>89</v>
      </c>
      <c r="D18" s="51">
        <f t="shared" si="1"/>
        <v>135</v>
      </c>
      <c r="E18" s="51">
        <f t="shared" si="0"/>
        <v>1</v>
      </c>
      <c r="F18" s="52">
        <f t="shared" si="3"/>
        <v>97.14</v>
      </c>
      <c r="G18" s="53">
        <f>IF(D18=D17,"",_xlfn.IFNA(VLOOKUP(D18,'인원 입력 기능'!$F$5:$I$103,4,FALSE),0))</f>
        <v>1340</v>
      </c>
      <c r="H18" s="54">
        <f t="shared" si="4"/>
        <v>3.5782092397907547E-3</v>
      </c>
      <c r="I18" s="64">
        <f>SUM($G$7:G18)</f>
        <v>11369</v>
      </c>
      <c r="J18" s="56">
        <f t="shared" si="5"/>
        <v>3.0358702124762008E-2</v>
      </c>
      <c r="K18" s="30"/>
      <c r="L18" s="18" t="str">
        <f t="shared" si="2"/>
        <v/>
      </c>
      <c r="N18" s="17"/>
    </row>
    <row r="19" spans="1:17" s="14" customFormat="1" ht="25" customHeight="1">
      <c r="A19" s="12"/>
      <c r="B19" s="25"/>
      <c r="C19" s="57">
        <v>88</v>
      </c>
      <c r="D19" s="51">
        <f t="shared" si="1"/>
        <v>134</v>
      </c>
      <c r="E19" s="66">
        <f t="shared" si="0"/>
        <v>1</v>
      </c>
      <c r="F19" s="52">
        <f t="shared" si="3"/>
        <v>96.14</v>
      </c>
      <c r="G19" s="53">
        <f>IF(D19=D18,"",_xlfn.IFNA(VLOOKUP(D19,'인원 입력 기능'!$F$5:$I$103,4,FALSE),0))</f>
        <v>6202</v>
      </c>
      <c r="H19" s="54">
        <f t="shared" si="4"/>
        <v>1.6561234108344973E-2</v>
      </c>
      <c r="I19" s="64">
        <f>SUM($G$7:G19)</f>
        <v>17571</v>
      </c>
      <c r="J19" s="56">
        <f t="shared" si="5"/>
        <v>4.6919936233106981E-2</v>
      </c>
      <c r="K19" s="30"/>
      <c r="L19" s="18" t="str">
        <f t="shared" si="2"/>
        <v/>
      </c>
      <c r="N19" s="17"/>
    </row>
    <row r="20" spans="1:17" s="14" customFormat="1" ht="25" customHeight="1">
      <c r="A20" s="12"/>
      <c r="B20" s="25"/>
      <c r="C20" s="57">
        <v>87</v>
      </c>
      <c r="D20" s="116">
        <f t="shared" si="1"/>
        <v>133</v>
      </c>
      <c r="E20" s="125">
        <f t="shared" si="0"/>
        <v>2</v>
      </c>
      <c r="F20" s="127">
        <f t="shared" si="3"/>
        <v>95.25</v>
      </c>
      <c r="G20" s="129">
        <f>IF(D20=D19,"",_xlfn.IFNA(VLOOKUP(D20,'인원 입력 기능'!$F$5:$I$103,4,FALSE),0))</f>
        <v>413</v>
      </c>
      <c r="H20" s="130">
        <f t="shared" si="4"/>
        <v>1.1028361313683446E-3</v>
      </c>
      <c r="I20" s="136">
        <f>SUM($G$7:G20)</f>
        <v>17984</v>
      </c>
      <c r="J20" s="134">
        <f t="shared" si="5"/>
        <v>4.8022772364475323E-2</v>
      </c>
      <c r="K20" s="30"/>
      <c r="L20" s="18" t="str">
        <f t="shared" si="2"/>
        <v/>
      </c>
      <c r="N20" s="17"/>
    </row>
    <row r="21" spans="1:17" s="14" customFormat="1" ht="25" customHeight="1">
      <c r="A21" s="12"/>
      <c r="B21" s="25"/>
      <c r="C21" s="57">
        <v>86</v>
      </c>
      <c r="D21" s="117"/>
      <c r="E21" s="124"/>
      <c r="F21" s="126"/>
      <c r="G21" s="128"/>
      <c r="H21" s="131"/>
      <c r="I21" s="137"/>
      <c r="J21" s="135"/>
      <c r="K21" s="30"/>
      <c r="L21" s="18" t="str">
        <f t="shared" si="2"/>
        <v>경고</v>
      </c>
      <c r="N21" s="17"/>
    </row>
    <row r="22" spans="1:17" s="14" customFormat="1" ht="25" customHeight="1">
      <c r="A22" s="12"/>
      <c r="B22" s="25"/>
      <c r="C22" s="57">
        <v>85</v>
      </c>
      <c r="D22" s="51">
        <f t="shared" si="1"/>
        <v>132</v>
      </c>
      <c r="E22" s="66">
        <f t="shared" si="0"/>
        <v>2</v>
      </c>
      <c r="F22" s="52">
        <f t="shared" si="3"/>
        <v>94.85</v>
      </c>
      <c r="G22" s="53">
        <f>IF(D22=D21,"",_xlfn.IFNA(VLOOKUP(D22,'인원 입력 기능'!$F$5:$I$103,4,FALSE),0))</f>
        <v>2573</v>
      </c>
      <c r="H22" s="54">
        <f t="shared" si="4"/>
        <v>6.8706958014788152E-3</v>
      </c>
      <c r="I22" s="64">
        <f>SUM($G$7:G22)</f>
        <v>20557</v>
      </c>
      <c r="J22" s="56">
        <f t="shared" si="5"/>
        <v>5.489346816595414E-2</v>
      </c>
      <c r="K22" s="30"/>
      <c r="L22" s="18" t="str">
        <f t="shared" si="2"/>
        <v/>
      </c>
      <c r="N22" s="17"/>
    </row>
    <row r="23" spans="1:17" s="14" customFormat="1" ht="25" customHeight="1">
      <c r="A23" s="12"/>
      <c r="B23" s="25"/>
      <c r="C23" s="57">
        <v>84</v>
      </c>
      <c r="D23" s="51">
        <f t="shared" si="1"/>
        <v>131</v>
      </c>
      <c r="E23" s="66">
        <f t="shared" si="0"/>
        <v>2</v>
      </c>
      <c r="F23" s="52">
        <f t="shared" si="3"/>
        <v>93.53</v>
      </c>
      <c r="G23" s="53">
        <f>IF(D23=D22,"",_xlfn.IFNA(VLOOKUP(D23,'인원 입력 기능'!$F$5:$I$103,4,FALSE),0))</f>
        <v>7371</v>
      </c>
      <c r="H23" s="54">
        <f t="shared" si="4"/>
        <v>1.968282112425198E-2</v>
      </c>
      <c r="I23" s="64">
        <f>SUM($G$7:G23)</f>
        <v>27928</v>
      </c>
      <c r="J23" s="56">
        <f t="shared" si="5"/>
        <v>7.4576289290206127E-2</v>
      </c>
      <c r="K23" s="30"/>
      <c r="L23" s="18" t="str">
        <f t="shared" si="2"/>
        <v/>
      </c>
      <c r="N23" s="17"/>
    </row>
    <row r="24" spans="1:17" s="14" customFormat="1" ht="25" customHeight="1">
      <c r="A24" s="12"/>
      <c r="B24" s="25"/>
      <c r="C24" s="65">
        <v>83</v>
      </c>
      <c r="D24" s="66">
        <f t="shared" si="1"/>
        <v>130</v>
      </c>
      <c r="E24" s="66">
        <f t="shared" si="0"/>
        <v>2</v>
      </c>
      <c r="F24" s="52">
        <f t="shared" si="3"/>
        <v>92.53</v>
      </c>
      <c r="G24" s="53">
        <f>IF(D24=D23,"",_xlfn.IFNA(VLOOKUP(D24,'인원 입력 기능'!$F$5:$I$103,4,FALSE),0))</f>
        <v>112</v>
      </c>
      <c r="H24" s="54">
        <f t="shared" si="4"/>
        <v>2.9907420511683923E-4</v>
      </c>
      <c r="I24" s="67">
        <f>SUM($G$7:G24)</f>
        <v>28040</v>
      </c>
      <c r="J24" s="56">
        <f t="shared" si="5"/>
        <v>7.4875363495322964E-2</v>
      </c>
      <c r="K24" s="30"/>
      <c r="L24" s="18" t="str">
        <f t="shared" si="2"/>
        <v/>
      </c>
      <c r="N24" s="17"/>
    </row>
    <row r="25" spans="1:17" s="14" customFormat="1" ht="25" customHeight="1">
      <c r="A25" s="12"/>
      <c r="B25" s="25"/>
      <c r="C25" s="65">
        <v>82</v>
      </c>
      <c r="D25" s="66">
        <f t="shared" si="1"/>
        <v>129</v>
      </c>
      <c r="E25" s="66">
        <f t="shared" si="0"/>
        <v>2</v>
      </c>
      <c r="F25" s="52">
        <f t="shared" si="3"/>
        <v>92.4</v>
      </c>
      <c r="G25" s="53">
        <f>IF(D25=D24,"",_xlfn.IFNA(VLOOKUP(D25,'인원 입력 기능'!$F$5:$I$103,4,FALSE),0))</f>
        <v>839</v>
      </c>
      <c r="H25" s="54">
        <f t="shared" si="4"/>
        <v>2.2403862329734652E-3</v>
      </c>
      <c r="I25" s="67">
        <f>SUM($G$7:G25)</f>
        <v>28879</v>
      </c>
      <c r="J25" s="56">
        <f t="shared" si="5"/>
        <v>7.711574972829642E-2</v>
      </c>
      <c r="K25" s="30"/>
      <c r="L25" s="18" t="str">
        <f t="shared" si="2"/>
        <v/>
      </c>
      <c r="N25" s="17"/>
    </row>
    <row r="26" spans="1:17" s="14" customFormat="1" ht="25" customHeight="1">
      <c r="A26" s="12"/>
      <c r="B26" s="25"/>
      <c r="C26" s="65">
        <v>81</v>
      </c>
      <c r="D26" s="66">
        <f t="shared" si="1"/>
        <v>128</v>
      </c>
      <c r="E26" s="66">
        <f t="shared" si="0"/>
        <v>2</v>
      </c>
      <c r="F26" s="52">
        <f t="shared" si="3"/>
        <v>91.72</v>
      </c>
      <c r="G26" s="53">
        <f>IF(D26=D25,"",_xlfn.IFNA(VLOOKUP(D26,'인원 입력 기능'!$F$5:$I$103,4,FALSE),0))</f>
        <v>4253</v>
      </c>
      <c r="H26" s="54">
        <f t="shared" si="4"/>
        <v>1.1356808878231404E-2</v>
      </c>
      <c r="I26" s="67">
        <f>SUM($G$7:G26)</f>
        <v>33132</v>
      </c>
      <c r="J26" s="56">
        <f t="shared" si="5"/>
        <v>8.8472558606527835E-2</v>
      </c>
      <c r="K26" s="30"/>
      <c r="L26" s="18" t="str">
        <f t="shared" si="2"/>
        <v/>
      </c>
      <c r="N26" s="17"/>
    </row>
    <row r="27" spans="1:17" s="14" customFormat="1" ht="25" customHeight="1">
      <c r="A27" s="12"/>
      <c r="B27" s="25"/>
      <c r="C27" s="65">
        <v>80</v>
      </c>
      <c r="D27" s="66">
        <f t="shared" si="1"/>
        <v>127</v>
      </c>
      <c r="E27" s="66">
        <f t="shared" si="0"/>
        <v>2</v>
      </c>
      <c r="F27" s="52">
        <f t="shared" si="3"/>
        <v>90.11</v>
      </c>
      <c r="G27" s="53">
        <f>IF(D27=D26,"",_xlfn.IFNA(VLOOKUP(D27,'인원 입력 기능'!$F$5:$I$103,4,FALSE),0))</f>
        <v>7793</v>
      </c>
      <c r="H27" s="54">
        <f t="shared" si="4"/>
        <v>2.0809690004245786E-2</v>
      </c>
      <c r="I27" s="67">
        <f>SUM($G$7:G27)</f>
        <v>40925</v>
      </c>
      <c r="J27" s="56">
        <f t="shared" si="5"/>
        <v>0.10928224861077361</v>
      </c>
      <c r="K27" s="30"/>
      <c r="L27" s="18" t="str">
        <f t="shared" si="2"/>
        <v/>
      </c>
      <c r="N27" s="17"/>
    </row>
    <row r="28" spans="1:17" s="14" customFormat="1" ht="25" customHeight="1">
      <c r="A28" s="12"/>
      <c r="B28" s="25"/>
      <c r="C28" s="65">
        <v>79</v>
      </c>
      <c r="D28" s="66">
        <f t="shared" si="1"/>
        <v>126</v>
      </c>
      <c r="E28" s="66">
        <f t="shared" si="0"/>
        <v>2</v>
      </c>
      <c r="F28" s="52">
        <f t="shared" si="3"/>
        <v>89.03</v>
      </c>
      <c r="G28" s="53">
        <f>IF(D28=D27,"",_xlfn.IFNA(VLOOKUP(D28,'인원 입력 기능'!$F$5:$I$103,4,FALSE),0))</f>
        <v>282</v>
      </c>
      <c r="H28" s="54">
        <f t="shared" si="4"/>
        <v>7.530261235977559E-4</v>
      </c>
      <c r="I28" s="67">
        <f>SUM($G$7:G28)</f>
        <v>41207</v>
      </c>
      <c r="J28" s="56">
        <f t="shared" si="5"/>
        <v>0.11003527473437137</v>
      </c>
      <c r="K28" s="30"/>
      <c r="L28" s="18" t="str">
        <f t="shared" si="2"/>
        <v/>
      </c>
      <c r="N28" s="17"/>
    </row>
    <row r="29" spans="1:17" s="14" customFormat="1" ht="25" customHeight="1">
      <c r="A29" s="12"/>
      <c r="B29" s="25"/>
      <c r="C29" s="65">
        <v>78</v>
      </c>
      <c r="D29" s="66">
        <f t="shared" si="1"/>
        <v>125</v>
      </c>
      <c r="E29" s="66">
        <f t="shared" si="0"/>
        <v>3</v>
      </c>
      <c r="F29" s="52">
        <f t="shared" si="3"/>
        <v>88.77</v>
      </c>
      <c r="G29" s="53">
        <f>IF(D29=D28,"",_xlfn.IFNA(VLOOKUP(D29,'인원 입력 기능'!$F$5:$I$103,4,FALSE),0))</f>
        <v>1689</v>
      </c>
      <c r="H29" s="54">
        <f t="shared" si="4"/>
        <v>4.5101458253780482E-3</v>
      </c>
      <c r="I29" s="67">
        <f>SUM($G$7:G29)</f>
        <v>42896</v>
      </c>
      <c r="J29" s="56">
        <f t="shared" si="5"/>
        <v>0.11454542055974942</v>
      </c>
      <c r="K29" s="30"/>
      <c r="L29" s="18" t="str">
        <f t="shared" si="2"/>
        <v/>
      </c>
      <c r="N29" s="17"/>
    </row>
    <row r="30" spans="1:17" s="14" customFormat="1" ht="25" customHeight="1">
      <c r="A30" s="12"/>
      <c r="B30" s="25"/>
      <c r="C30" s="65">
        <v>77</v>
      </c>
      <c r="D30" s="66">
        <f t="shared" si="1"/>
        <v>124</v>
      </c>
      <c r="E30" s="66">
        <f t="shared" si="0"/>
        <v>3</v>
      </c>
      <c r="F30" s="52">
        <f t="shared" si="3"/>
        <v>87.7</v>
      </c>
      <c r="G30" s="53">
        <f>IF(D30=D29,"",_xlfn.IFNA(VLOOKUP(D30,'인원 입력 기능'!$F$5:$I$103,4,FALSE),0))</f>
        <v>6304</v>
      </c>
      <c r="H30" s="54">
        <f t="shared" si="4"/>
        <v>1.6833605259433521E-2</v>
      </c>
      <c r="I30" s="67">
        <f>SUM($G$7:G30)</f>
        <v>49200</v>
      </c>
      <c r="J30" s="56">
        <f t="shared" si="5"/>
        <v>0.13137902581918293</v>
      </c>
      <c r="K30" s="30"/>
      <c r="L30" s="18" t="str">
        <f t="shared" si="2"/>
        <v/>
      </c>
      <c r="N30" s="17"/>
    </row>
    <row r="31" spans="1:17" s="14" customFormat="1" ht="25" customHeight="1">
      <c r="A31" s="12"/>
      <c r="B31" s="25"/>
      <c r="C31" s="65">
        <v>76</v>
      </c>
      <c r="D31" s="125">
        <f t="shared" si="1"/>
        <v>123</v>
      </c>
      <c r="E31" s="125">
        <f t="shared" si="0"/>
        <v>3</v>
      </c>
      <c r="F31" s="127">
        <f t="shared" si="3"/>
        <v>85.82</v>
      </c>
      <c r="G31" s="129">
        <f>IF(D31=D30,"",_xlfn.IFNA(VLOOKUP(D31,'인원 입력 기능'!$F$5:$I$103,4,FALSE),0))</f>
        <v>7819</v>
      </c>
      <c r="H31" s="130">
        <f t="shared" si="4"/>
        <v>2.0879117944719337E-2</v>
      </c>
      <c r="I31" s="132">
        <f>SUM($G$7:G31)</f>
        <v>57019</v>
      </c>
      <c r="J31" s="134">
        <f t="shared" si="5"/>
        <v>0.15225814376390229</v>
      </c>
      <c r="K31" s="30"/>
      <c r="L31" s="18" t="str">
        <f t="shared" si="2"/>
        <v/>
      </c>
      <c r="N31" s="17"/>
    </row>
    <row r="32" spans="1:17" s="14" customFormat="1" ht="25" customHeight="1">
      <c r="A32" s="12"/>
      <c r="B32" s="25"/>
      <c r="C32" s="65">
        <v>75</v>
      </c>
      <c r="D32" s="124"/>
      <c r="E32" s="124"/>
      <c r="F32" s="126"/>
      <c r="G32" s="128"/>
      <c r="H32" s="131"/>
      <c r="I32" s="133"/>
      <c r="J32" s="135"/>
      <c r="K32" s="30"/>
      <c r="L32" s="18" t="str">
        <f t="shared" si="2"/>
        <v>경고</v>
      </c>
      <c r="N32" s="17"/>
    </row>
    <row r="33" spans="1:14" s="14" customFormat="1" ht="25" customHeight="1">
      <c r="A33" s="12"/>
      <c r="B33" s="25"/>
      <c r="C33" s="65">
        <v>74</v>
      </c>
      <c r="D33" s="66">
        <f t="shared" si="1"/>
        <v>122</v>
      </c>
      <c r="E33" s="66">
        <f t="shared" si="0"/>
        <v>3</v>
      </c>
      <c r="F33" s="52">
        <f t="shared" si="3"/>
        <v>84.35</v>
      </c>
      <c r="G33" s="53">
        <f>IF(D33=D32,"",_xlfn.IFNA(VLOOKUP(D33,'인원 입력 기능'!$F$5:$I$103,4,FALSE),0))</f>
        <v>3214</v>
      </c>
      <c r="H33" s="54">
        <f t="shared" si="4"/>
        <v>8.5823615646921543E-3</v>
      </c>
      <c r="I33" s="67">
        <f>SUM($G$7:G33)</f>
        <v>60233</v>
      </c>
      <c r="J33" s="56">
        <f t="shared" si="5"/>
        <v>0.16084050532859442</v>
      </c>
      <c r="K33" s="30"/>
      <c r="L33" s="18" t="str">
        <f t="shared" si="2"/>
        <v/>
      </c>
      <c r="N33" s="17"/>
    </row>
    <row r="34" spans="1:14" s="14" customFormat="1" ht="25" customHeight="1">
      <c r="A34" s="12"/>
      <c r="B34" s="25"/>
      <c r="C34" s="65">
        <v>73</v>
      </c>
      <c r="D34" s="66">
        <f t="shared" si="1"/>
        <v>121</v>
      </c>
      <c r="E34" s="66">
        <f t="shared" si="0"/>
        <v>3</v>
      </c>
      <c r="F34" s="52">
        <f t="shared" si="3"/>
        <v>82.92</v>
      </c>
      <c r="G34" s="53">
        <f>IF(D34=D33,"",_xlfn.IFNA(VLOOKUP(D34,'인원 입력 기능'!$F$5:$I$103,4,FALSE),0))</f>
        <v>7436</v>
      </c>
      <c r="H34" s="54">
        <f t="shared" si="4"/>
        <v>1.9856390975435862E-2</v>
      </c>
      <c r="I34" s="67">
        <f>SUM($G$7:G34)</f>
        <v>67669</v>
      </c>
      <c r="J34" s="56">
        <f t="shared" si="5"/>
        <v>0.1806968963040303</v>
      </c>
      <c r="K34" s="30"/>
      <c r="L34" s="18" t="str">
        <f t="shared" si="2"/>
        <v/>
      </c>
      <c r="N34" s="17"/>
    </row>
    <row r="35" spans="1:14" s="14" customFormat="1" ht="25" customHeight="1">
      <c r="A35" s="12"/>
      <c r="B35" s="25"/>
      <c r="C35" s="65">
        <v>72</v>
      </c>
      <c r="D35" s="66">
        <f t="shared" si="1"/>
        <v>120</v>
      </c>
      <c r="E35" s="66">
        <f t="shared" si="0"/>
        <v>3</v>
      </c>
      <c r="F35" s="52">
        <f t="shared" si="3"/>
        <v>81.180000000000007</v>
      </c>
      <c r="G35" s="53">
        <f>IF(D35=D34,"",_xlfn.IFNA(VLOOKUP(D35,'인원 입력 기능'!$F$5:$I$103,4,FALSE),0))</f>
        <v>5625</v>
      </c>
      <c r="H35" s="54">
        <f t="shared" si="4"/>
        <v>1.5020467890912683E-2</v>
      </c>
      <c r="I35" s="67">
        <f>SUM($G$7:G35)</f>
        <v>73294</v>
      </c>
      <c r="J35" s="56">
        <f t="shared" si="5"/>
        <v>0.19571736419494298</v>
      </c>
      <c r="K35" s="30"/>
      <c r="L35" s="18" t="str">
        <f t="shared" si="2"/>
        <v/>
      </c>
      <c r="N35" s="17"/>
    </row>
    <row r="36" spans="1:14" s="14" customFormat="1" ht="25" customHeight="1">
      <c r="A36" s="12"/>
      <c r="B36" s="25"/>
      <c r="C36" s="65">
        <v>71</v>
      </c>
      <c r="D36" s="66">
        <f t="shared" si="1"/>
        <v>119</v>
      </c>
      <c r="E36" s="66">
        <f t="shared" si="0"/>
        <v>3</v>
      </c>
      <c r="F36" s="52">
        <f t="shared" si="3"/>
        <v>80.239999999999995</v>
      </c>
      <c r="G36" s="53">
        <f>IF(D36=D35,"",_xlfn.IFNA(VLOOKUP(D36,'인원 입력 기능'!$F$5:$I$103,4,FALSE),0))</f>
        <v>1398</v>
      </c>
      <c r="H36" s="54">
        <f t="shared" si="4"/>
        <v>3.7330869531548324E-3</v>
      </c>
      <c r="I36" s="67">
        <f>SUM($G$7:G36)</f>
        <v>74692</v>
      </c>
      <c r="J36" s="56">
        <f t="shared" si="5"/>
        <v>0.19945045114809781</v>
      </c>
      <c r="K36" s="30"/>
      <c r="L36" s="18" t="str">
        <f t="shared" si="2"/>
        <v/>
      </c>
      <c r="N36" s="17"/>
    </row>
    <row r="37" spans="1:14" s="14" customFormat="1" ht="25" customHeight="1">
      <c r="A37" s="12"/>
      <c r="B37" s="25"/>
      <c r="C37" s="65">
        <v>70</v>
      </c>
      <c r="D37" s="66">
        <f t="shared" si="1"/>
        <v>118</v>
      </c>
      <c r="E37" s="66">
        <f t="shared" si="0"/>
        <v>3</v>
      </c>
      <c r="F37" s="52">
        <f t="shared" si="3"/>
        <v>79.400000000000006</v>
      </c>
      <c r="G37" s="53">
        <f>IF(D37=D36,"",_xlfn.IFNA(VLOOKUP(D37,'인원 입력 기능'!$F$5:$I$103,4,FALSE),0))</f>
        <v>4931</v>
      </c>
      <c r="H37" s="54">
        <f t="shared" si="4"/>
        <v>1.3167275941349412E-2</v>
      </c>
      <c r="I37" s="67">
        <f>SUM($G$7:G37)</f>
        <v>79623</v>
      </c>
      <c r="J37" s="56">
        <f t="shared" si="5"/>
        <v>0.21261772708944723</v>
      </c>
      <c r="K37" s="30"/>
      <c r="L37" s="18" t="str">
        <f t="shared" si="2"/>
        <v/>
      </c>
      <c r="N37" s="17"/>
    </row>
    <row r="38" spans="1:14" s="14" customFormat="1" ht="25" customHeight="1">
      <c r="A38" s="12"/>
      <c r="B38" s="25"/>
      <c r="C38" s="65">
        <v>69</v>
      </c>
      <c r="D38" s="66">
        <f t="shared" si="1"/>
        <v>117</v>
      </c>
      <c r="E38" s="66">
        <f t="shared" si="0"/>
        <v>3</v>
      </c>
      <c r="F38" s="52">
        <f t="shared" si="3"/>
        <v>77.680000000000007</v>
      </c>
      <c r="G38" s="53">
        <f>IF(D38=D37,"",_xlfn.IFNA(VLOOKUP(D38,'인원 입력 기능'!$F$5:$I$103,4,FALSE),0))</f>
        <v>7952</v>
      </c>
      <c r="H38" s="54">
        <f t="shared" si="4"/>
        <v>2.1234268563295584E-2</v>
      </c>
      <c r="I38" s="67">
        <f>SUM($G$7:G38)</f>
        <v>87575</v>
      </c>
      <c r="J38" s="56">
        <f t="shared" si="5"/>
        <v>0.23385199565274281</v>
      </c>
      <c r="K38" s="30"/>
      <c r="L38" s="18" t="str">
        <f t="shared" si="2"/>
        <v/>
      </c>
      <c r="N38" s="17"/>
    </row>
    <row r="39" spans="1:14" s="14" customFormat="1" ht="25" customHeight="1">
      <c r="A39" s="12"/>
      <c r="B39" s="25"/>
      <c r="C39" s="65">
        <v>68</v>
      </c>
      <c r="D39" s="66">
        <f t="shared" si="1"/>
        <v>116</v>
      </c>
      <c r="E39" s="66">
        <f t="shared" si="0"/>
        <v>4</v>
      </c>
      <c r="F39" s="52">
        <f t="shared" si="3"/>
        <v>76.06</v>
      </c>
      <c r="G39" s="53">
        <f>IF(D39=D38,"",_xlfn.IFNA(VLOOKUP(D39,'인원 입력 기능'!$F$5:$I$103,4,FALSE),0))</f>
        <v>4169</v>
      </c>
      <c r="H39" s="54">
        <f t="shared" si="4"/>
        <v>1.1132503224393775E-2</v>
      </c>
      <c r="I39" s="67">
        <f>SUM($G$7:G39)</f>
        <v>91744</v>
      </c>
      <c r="J39" s="56">
        <f t="shared" si="5"/>
        <v>0.24498449887713658</v>
      </c>
      <c r="K39" s="30"/>
      <c r="L39" s="18" t="str">
        <f t="shared" si="2"/>
        <v/>
      </c>
      <c r="N39" s="17"/>
    </row>
    <row r="40" spans="1:14" s="14" customFormat="1" ht="25" customHeight="1">
      <c r="A40" s="12"/>
      <c r="B40" s="25"/>
      <c r="C40" s="65">
        <v>67</v>
      </c>
      <c r="D40" s="66">
        <f t="shared" si="1"/>
        <v>115</v>
      </c>
      <c r="E40" s="66">
        <f t="shared" si="0"/>
        <v>4</v>
      </c>
      <c r="F40" s="52">
        <f t="shared" si="3"/>
        <v>75.12</v>
      </c>
      <c r="G40" s="53">
        <f>IF(D40=D39,"",_xlfn.IFNA(VLOOKUP(D40,'인원 입력 기능'!$F$5:$I$103,4,FALSE),0))</f>
        <v>2835</v>
      </c>
      <c r="H40" s="54">
        <f t="shared" si="4"/>
        <v>7.5703158170199927E-3</v>
      </c>
      <c r="I40" s="67">
        <f>SUM($G$7:G40)</f>
        <v>94579</v>
      </c>
      <c r="J40" s="56">
        <f t="shared" si="5"/>
        <v>0.25255481469415658</v>
      </c>
      <c r="K40" s="30"/>
      <c r="L40" s="18" t="str">
        <f t="shared" si="2"/>
        <v/>
      </c>
      <c r="N40" s="17"/>
    </row>
    <row r="41" spans="1:14" s="14" customFormat="1" ht="25" customHeight="1">
      <c r="A41" s="12"/>
      <c r="B41" s="25"/>
      <c r="C41" s="65">
        <v>66</v>
      </c>
      <c r="D41" s="66">
        <f t="shared" ref="D41:D72" si="6">ROUND(20*(C41-$H$3)/$H$4+100,0)</f>
        <v>114</v>
      </c>
      <c r="E41" s="66">
        <f t="shared" si="0"/>
        <v>4</v>
      </c>
      <c r="F41" s="52">
        <f t="shared" si="3"/>
        <v>73.84</v>
      </c>
      <c r="G41" s="53">
        <f>IF(D41=D40,"",_xlfn.IFNA(VLOOKUP(D41,'인원 입력 기능'!$F$5:$I$103,4,FALSE),0))</f>
        <v>6747</v>
      </c>
      <c r="H41" s="54">
        <f t="shared" si="4"/>
        <v>1.8016550552886732E-2</v>
      </c>
      <c r="I41" s="67">
        <f>SUM($G$7:G41)</f>
        <v>101326</v>
      </c>
      <c r="J41" s="56">
        <f t="shared" si="5"/>
        <v>0.27057136524704328</v>
      </c>
      <c r="K41" s="30"/>
      <c r="L41" s="18" t="str">
        <f t="shared" ref="L41:L72" si="7">IF(ABS((C41-$H$3)/$H$4*20+100-D41)&gt;0.49, "경고", "")</f>
        <v/>
      </c>
      <c r="N41" s="17"/>
    </row>
    <row r="42" spans="1:14" s="14" customFormat="1" ht="25" customHeight="1">
      <c r="A42" s="12"/>
      <c r="B42" s="25"/>
      <c r="C42" s="65">
        <v>65</v>
      </c>
      <c r="D42" s="125">
        <f t="shared" si="6"/>
        <v>113</v>
      </c>
      <c r="E42" s="125">
        <f t="shared" si="0"/>
        <v>4</v>
      </c>
      <c r="F42" s="127">
        <f t="shared" si="3"/>
        <v>71.53</v>
      </c>
      <c r="G42" s="129">
        <f>IF(D42=D41,"",_xlfn.IFNA(VLOOKUP(D42,'인원 입력 기능'!$F$5:$I$103,4,FALSE),0))</f>
        <v>10565</v>
      </c>
      <c r="H42" s="130">
        <f t="shared" si="4"/>
        <v>2.8211776580887558E-2</v>
      </c>
      <c r="I42" s="132">
        <f>SUM($G$7:G42)</f>
        <v>111891</v>
      </c>
      <c r="J42" s="134">
        <f t="shared" si="5"/>
        <v>0.29878314182793086</v>
      </c>
      <c r="K42" s="30"/>
      <c r="L42" s="18" t="str">
        <f t="shared" si="7"/>
        <v/>
      </c>
      <c r="N42" s="17"/>
    </row>
    <row r="43" spans="1:14" s="14" customFormat="1" ht="25" customHeight="1">
      <c r="A43" s="12"/>
      <c r="B43" s="25"/>
      <c r="C43" s="65">
        <v>64</v>
      </c>
      <c r="D43" s="124"/>
      <c r="E43" s="124"/>
      <c r="F43" s="126"/>
      <c r="G43" s="128"/>
      <c r="H43" s="131"/>
      <c r="I43" s="133"/>
      <c r="J43" s="135"/>
      <c r="K43" s="30"/>
      <c r="L43" s="18" t="str">
        <f t="shared" si="7"/>
        <v>경고</v>
      </c>
      <c r="N43" s="17"/>
    </row>
    <row r="44" spans="1:14" s="14" customFormat="1" ht="25" customHeight="1">
      <c r="A44" s="12"/>
      <c r="B44" s="25"/>
      <c r="C44" s="65">
        <v>63</v>
      </c>
      <c r="D44" s="66">
        <f t="shared" si="6"/>
        <v>112</v>
      </c>
      <c r="E44" s="66">
        <f t="shared" si="0"/>
        <v>4</v>
      </c>
      <c r="F44" s="52">
        <f t="shared" si="3"/>
        <v>69.510000000000005</v>
      </c>
      <c r="G44" s="53">
        <f>IF(D44=D43,"",_xlfn.IFNA(VLOOKUP(D44,'인원 입력 기능'!$F$5:$I$103,4,FALSE),0))</f>
        <v>4583</v>
      </c>
      <c r="H44" s="54">
        <f t="shared" si="4"/>
        <v>1.2238009661164947E-2</v>
      </c>
      <c r="I44" s="67">
        <f>SUM($G$7:G44)</f>
        <v>116474</v>
      </c>
      <c r="J44" s="56">
        <f t="shared" si="5"/>
        <v>0.31102115148909582</v>
      </c>
      <c r="K44" s="30"/>
      <c r="L44" s="18" t="str">
        <f t="shared" si="7"/>
        <v/>
      </c>
      <c r="N44" s="17"/>
    </row>
    <row r="45" spans="1:14" s="14" customFormat="1" ht="25" customHeight="1">
      <c r="A45" s="12"/>
      <c r="B45" s="25"/>
      <c r="C45" s="65">
        <v>62</v>
      </c>
      <c r="D45" s="66">
        <f t="shared" si="6"/>
        <v>111</v>
      </c>
      <c r="E45" s="66">
        <f t="shared" si="0"/>
        <v>4</v>
      </c>
      <c r="F45" s="52">
        <f t="shared" si="3"/>
        <v>67.900000000000006</v>
      </c>
      <c r="G45" s="53">
        <f>IF(D45=D44,"",_xlfn.IFNA(VLOOKUP(D45,'인원 입력 기능'!$F$5:$I$103,4,FALSE),0))</f>
        <v>7488</v>
      </c>
      <c r="H45" s="54">
        <f t="shared" si="4"/>
        <v>1.9995246856382966E-2</v>
      </c>
      <c r="I45" s="67">
        <f>SUM($G$7:G45)</f>
        <v>123962</v>
      </c>
      <c r="J45" s="56">
        <f t="shared" si="5"/>
        <v>0.33101639834547875</v>
      </c>
      <c r="K45" s="30"/>
      <c r="L45" s="18" t="str">
        <f t="shared" si="7"/>
        <v/>
      </c>
      <c r="N45" s="17"/>
    </row>
    <row r="46" spans="1:14" s="14" customFormat="1" ht="25" customHeight="1">
      <c r="A46" s="12"/>
      <c r="B46" s="25"/>
      <c r="C46" s="65">
        <v>61</v>
      </c>
      <c r="D46" s="66">
        <f t="shared" si="6"/>
        <v>110</v>
      </c>
      <c r="E46" s="66">
        <f t="shared" si="0"/>
        <v>4</v>
      </c>
      <c r="F46" s="52">
        <f t="shared" si="3"/>
        <v>66.099999999999994</v>
      </c>
      <c r="G46" s="53">
        <f>IF(D46=D45,"",_xlfn.IFNA(VLOOKUP(D46,'인원 입력 기능'!$F$5:$I$103,4,FALSE),0))</f>
        <v>5976</v>
      </c>
      <c r="H46" s="54">
        <f t="shared" si="4"/>
        <v>1.5957745087305634E-2</v>
      </c>
      <c r="I46" s="67">
        <f>SUM($G$7:G46)</f>
        <v>129938</v>
      </c>
      <c r="J46" s="56">
        <f t="shared" si="5"/>
        <v>0.34697414343278443</v>
      </c>
      <c r="K46" s="30"/>
      <c r="L46" s="18" t="str">
        <f t="shared" si="7"/>
        <v/>
      </c>
      <c r="N46" s="17"/>
    </row>
    <row r="47" spans="1:14" s="14" customFormat="1" ht="25" customHeight="1">
      <c r="A47" s="12"/>
      <c r="B47" s="25"/>
      <c r="C47" s="65">
        <v>60</v>
      </c>
      <c r="D47" s="66">
        <f t="shared" si="6"/>
        <v>109</v>
      </c>
      <c r="E47" s="66">
        <f t="shared" si="0"/>
        <v>4</v>
      </c>
      <c r="F47" s="52">
        <f t="shared" si="3"/>
        <v>64.77</v>
      </c>
      <c r="G47" s="53">
        <f>IF(D47=D46,"",_xlfn.IFNA(VLOOKUP(D47,'인원 입력 기능'!$F$5:$I$103,4,FALSE),0))</f>
        <v>4014</v>
      </c>
      <c r="H47" s="54">
        <f t="shared" si="4"/>
        <v>1.0718605886955291E-2</v>
      </c>
      <c r="I47" s="67">
        <f>SUM($G$7:G47)</f>
        <v>133952</v>
      </c>
      <c r="J47" s="56">
        <f t="shared" si="5"/>
        <v>0.35769274931973971</v>
      </c>
      <c r="K47" s="30"/>
      <c r="L47" s="18" t="str">
        <f t="shared" si="7"/>
        <v/>
      </c>
      <c r="N47" s="17"/>
    </row>
    <row r="48" spans="1:14" s="14" customFormat="1" ht="25" customHeight="1">
      <c r="A48" s="12"/>
      <c r="B48" s="25"/>
      <c r="C48" s="65">
        <v>59</v>
      </c>
      <c r="D48" s="66">
        <f t="shared" si="6"/>
        <v>108</v>
      </c>
      <c r="E48" s="66">
        <f t="shared" si="0"/>
        <v>4</v>
      </c>
      <c r="F48" s="52">
        <f t="shared" si="3"/>
        <v>63.38</v>
      </c>
      <c r="G48" s="53">
        <f>IF(D48=D47,"",_xlfn.IFNA(VLOOKUP(D48,'인원 입력 기능'!$F$5:$I$103,4,FALSE),0))</f>
        <v>6357</v>
      </c>
      <c r="H48" s="54">
        <f t="shared" si="4"/>
        <v>1.6975131445783453E-2</v>
      </c>
      <c r="I48" s="67">
        <f>SUM($G$7:G48)</f>
        <v>140309</v>
      </c>
      <c r="J48" s="56">
        <f t="shared" si="5"/>
        <v>0.37466788076552315</v>
      </c>
      <c r="K48" s="30"/>
      <c r="L48" s="18" t="str">
        <f t="shared" si="7"/>
        <v/>
      </c>
      <c r="N48" s="17"/>
    </row>
    <row r="49" spans="1:14" s="14" customFormat="1" ht="25" customHeight="1">
      <c r="A49" s="12"/>
      <c r="B49" s="25"/>
      <c r="C49" s="65">
        <v>58</v>
      </c>
      <c r="D49" s="66">
        <f t="shared" si="6"/>
        <v>107</v>
      </c>
      <c r="E49" s="66">
        <f t="shared" si="0"/>
        <v>4</v>
      </c>
      <c r="F49" s="52">
        <f t="shared" si="3"/>
        <v>61.55</v>
      </c>
      <c r="G49" s="53">
        <f>IF(D49=D48,"",_xlfn.IFNA(VLOOKUP(D49,'인원 입력 기능'!$F$5:$I$103,4,FALSE),0))</f>
        <v>7330</v>
      </c>
      <c r="H49" s="54">
        <f t="shared" si="4"/>
        <v>1.9573338602735996E-2</v>
      </c>
      <c r="I49" s="67">
        <f>SUM($G$7:G49)</f>
        <v>147639</v>
      </c>
      <c r="J49" s="56">
        <f t="shared" si="5"/>
        <v>0.39424121936825912</v>
      </c>
      <c r="K49" s="30"/>
      <c r="L49" s="18" t="str">
        <f t="shared" si="7"/>
        <v/>
      </c>
      <c r="N49" s="17"/>
    </row>
    <row r="50" spans="1:14" s="14" customFormat="1" ht="25" customHeight="1">
      <c r="A50" s="12"/>
      <c r="B50" s="25"/>
      <c r="C50" s="65">
        <v>57</v>
      </c>
      <c r="D50" s="66">
        <f t="shared" si="6"/>
        <v>106</v>
      </c>
      <c r="E50" s="66">
        <f t="shared" si="0"/>
        <v>4</v>
      </c>
      <c r="F50" s="52">
        <f t="shared" si="3"/>
        <v>59.92</v>
      </c>
      <c r="G50" s="53">
        <f>IF(D50=D49,"",_xlfn.IFNA(VLOOKUP(D50,'인원 입력 기능'!$F$5:$I$103,4,FALSE),0))</f>
        <v>4896</v>
      </c>
      <c r="H50" s="54">
        <f t="shared" si="4"/>
        <v>1.30738152522504E-2</v>
      </c>
      <c r="I50" s="67">
        <f>SUM($G$7:G50)</f>
        <v>152535</v>
      </c>
      <c r="J50" s="56">
        <f t="shared" si="5"/>
        <v>0.40731503462050955</v>
      </c>
      <c r="K50" s="30"/>
      <c r="L50" s="18" t="str">
        <f t="shared" si="7"/>
        <v/>
      </c>
      <c r="N50" s="17"/>
    </row>
    <row r="51" spans="1:14" s="14" customFormat="1" ht="25" customHeight="1">
      <c r="A51" s="12"/>
      <c r="B51" s="25"/>
      <c r="C51" s="65">
        <v>56</v>
      </c>
      <c r="D51" s="66">
        <f t="shared" si="6"/>
        <v>105</v>
      </c>
      <c r="E51" s="66">
        <f t="shared" si="0"/>
        <v>5</v>
      </c>
      <c r="F51" s="52">
        <f t="shared" si="3"/>
        <v>58.57</v>
      </c>
      <c r="G51" s="53">
        <f>IF(D51=D50,"",_xlfn.IFNA(VLOOKUP(D51,'인원 입력 기능'!$F$5:$I$103,4,FALSE),0))</f>
        <v>5243</v>
      </c>
      <c r="H51" s="54">
        <f t="shared" si="4"/>
        <v>1.4000411227032036E-2</v>
      </c>
      <c r="I51" s="67">
        <f>SUM($G$7:G51)</f>
        <v>157778</v>
      </c>
      <c r="J51" s="56">
        <f t="shared" si="5"/>
        <v>0.4213154458475416</v>
      </c>
      <c r="K51" s="30"/>
      <c r="L51" s="18" t="str">
        <f t="shared" si="7"/>
        <v/>
      </c>
      <c r="N51" s="17"/>
    </row>
    <row r="52" spans="1:14" s="14" customFormat="1" ht="25" customHeight="1">
      <c r="A52" s="12"/>
      <c r="B52" s="25"/>
      <c r="C52" s="65">
        <v>55</v>
      </c>
      <c r="D52" s="66">
        <f t="shared" si="6"/>
        <v>104</v>
      </c>
      <c r="E52" s="66">
        <f t="shared" si="0"/>
        <v>5</v>
      </c>
      <c r="F52" s="52">
        <f t="shared" si="3"/>
        <v>56.88</v>
      </c>
      <c r="G52" s="53">
        <f>IF(D52=D51,"",_xlfn.IFNA(VLOOKUP(D52,'인원 입력 기능'!$F$5:$I$103,4,FALSE),0))</f>
        <v>7415</v>
      </c>
      <c r="H52" s="54">
        <f t="shared" si="4"/>
        <v>1.9800314561976454E-2</v>
      </c>
      <c r="I52" s="67">
        <f>SUM($G$7:G52)</f>
        <v>165193</v>
      </c>
      <c r="J52" s="56">
        <f t="shared" si="5"/>
        <v>0.44111576040951805</v>
      </c>
      <c r="K52" s="30"/>
      <c r="L52" s="18" t="str">
        <f t="shared" si="7"/>
        <v/>
      </c>
      <c r="N52" s="17"/>
    </row>
    <row r="53" spans="1:14" s="14" customFormat="1" ht="25" customHeight="1">
      <c r="A53" s="12"/>
      <c r="B53" s="25"/>
      <c r="C53" s="65">
        <v>54</v>
      </c>
      <c r="D53" s="66">
        <f t="shared" si="6"/>
        <v>103</v>
      </c>
      <c r="E53" s="66">
        <f t="shared" si="0"/>
        <v>5</v>
      </c>
      <c r="F53" s="52">
        <f t="shared" si="3"/>
        <v>55.08</v>
      </c>
      <c r="G53" s="53">
        <f>IF(D53=D52,"",_xlfn.IFNA(VLOOKUP(D53,'인원 입력 기능'!$F$5:$I$103,4,FALSE),0))</f>
        <v>6047</v>
      </c>
      <c r="H53" s="54">
        <f t="shared" si="4"/>
        <v>1.614733677090649E-2</v>
      </c>
      <c r="I53" s="67">
        <f>SUM($G$7:G53)</f>
        <v>171240</v>
      </c>
      <c r="J53" s="56">
        <f t="shared" si="5"/>
        <v>0.45726309718042452</v>
      </c>
      <c r="K53" s="30"/>
      <c r="L53" s="18" t="str">
        <f t="shared" si="7"/>
        <v/>
      </c>
      <c r="N53" s="17"/>
    </row>
    <row r="54" spans="1:14" s="14" customFormat="1" ht="25" customHeight="1">
      <c r="A54" s="12"/>
      <c r="B54" s="25"/>
      <c r="C54" s="65">
        <v>53</v>
      </c>
      <c r="D54" s="125">
        <f t="shared" si="6"/>
        <v>102</v>
      </c>
      <c r="E54" s="125">
        <f t="shared" si="0"/>
        <v>5</v>
      </c>
      <c r="F54" s="127">
        <f t="shared" si="3"/>
        <v>52.77</v>
      </c>
      <c r="G54" s="129">
        <f>IF(D54=D53,"",_xlfn.IFNA(VLOOKUP(D54,'인원 입력 기능'!$F$5:$I$103,4,FALSE),0))</f>
        <v>11259</v>
      </c>
      <c r="H54" s="130">
        <f t="shared" si="4"/>
        <v>3.0064968530450827E-2</v>
      </c>
      <c r="I54" s="132">
        <f>SUM($G$7:G54)</f>
        <v>182499</v>
      </c>
      <c r="J54" s="134">
        <f t="shared" si="5"/>
        <v>0.48732806571087534</v>
      </c>
      <c r="K54" s="30"/>
      <c r="L54" s="18" t="str">
        <f t="shared" si="7"/>
        <v/>
      </c>
      <c r="N54" s="17"/>
    </row>
    <row r="55" spans="1:14" s="14" customFormat="1" ht="25" customHeight="1">
      <c r="A55" s="12"/>
      <c r="B55" s="25"/>
      <c r="C55" s="65">
        <v>52</v>
      </c>
      <c r="D55" s="124"/>
      <c r="E55" s="124"/>
      <c r="F55" s="126"/>
      <c r="G55" s="128"/>
      <c r="H55" s="131"/>
      <c r="I55" s="133"/>
      <c r="J55" s="135"/>
      <c r="K55" s="30"/>
      <c r="L55" s="18" t="str">
        <f t="shared" si="7"/>
        <v>경고</v>
      </c>
      <c r="N55" s="17"/>
    </row>
    <row r="56" spans="1:14" s="14" customFormat="1" ht="25" customHeight="1">
      <c r="A56" s="12"/>
      <c r="B56" s="25"/>
      <c r="C56" s="65">
        <v>51</v>
      </c>
      <c r="D56" s="66">
        <f t="shared" si="6"/>
        <v>101</v>
      </c>
      <c r="E56" s="66">
        <f t="shared" si="0"/>
        <v>5</v>
      </c>
      <c r="F56" s="52">
        <f t="shared" si="3"/>
        <v>50.37</v>
      </c>
      <c r="G56" s="53">
        <f>IF(D56=D55,"",_xlfn.IFNA(VLOOKUP(D56,'인원 입력 기능'!$F$5:$I$103,4,FALSE),0))</f>
        <v>6720</v>
      </c>
      <c r="H56" s="54">
        <f t="shared" si="4"/>
        <v>1.7944452307010354E-2</v>
      </c>
      <c r="I56" s="67">
        <f>SUM($G$7:G56)</f>
        <v>189219</v>
      </c>
      <c r="J56" s="56">
        <f t="shared" si="5"/>
        <v>0.50527251801788575</v>
      </c>
      <c r="K56" s="30"/>
      <c r="L56" s="18" t="str">
        <f t="shared" si="7"/>
        <v/>
      </c>
      <c r="N56" s="17"/>
    </row>
    <row r="57" spans="1:14" s="14" customFormat="1" ht="25" customHeight="1">
      <c r="A57" s="12"/>
      <c r="B57" s="25"/>
      <c r="C57" s="65">
        <v>50</v>
      </c>
      <c r="D57" s="66">
        <f t="shared" si="6"/>
        <v>100</v>
      </c>
      <c r="E57" s="66">
        <f t="shared" si="0"/>
        <v>5</v>
      </c>
      <c r="F57" s="52">
        <f t="shared" si="3"/>
        <v>48.8</v>
      </c>
      <c r="G57" s="53">
        <f>IF(D57=D56,"",_xlfn.IFNA(VLOOKUP(D57,'인원 입력 기능'!$F$5:$I$103,4,FALSE),0))</f>
        <v>5037</v>
      </c>
      <c r="H57" s="54">
        <f t="shared" si="4"/>
        <v>1.3450328314049277E-2</v>
      </c>
      <c r="I57" s="67">
        <f>SUM($G$7:G57)</f>
        <v>194256</v>
      </c>
      <c r="J57" s="56">
        <f t="shared" si="5"/>
        <v>0.51872284633193499</v>
      </c>
      <c r="K57" s="30"/>
      <c r="L57" s="18" t="str">
        <f t="shared" si="7"/>
        <v/>
      </c>
      <c r="N57" s="17"/>
    </row>
    <row r="58" spans="1:14" s="14" customFormat="1" ht="25" customHeight="1">
      <c r="A58" s="12"/>
      <c r="B58" s="25"/>
      <c r="C58" s="65">
        <v>49</v>
      </c>
      <c r="D58" s="66">
        <f t="shared" si="6"/>
        <v>99</v>
      </c>
      <c r="E58" s="66">
        <f t="shared" si="0"/>
        <v>5</v>
      </c>
      <c r="F58" s="52">
        <f t="shared" si="3"/>
        <v>47.34</v>
      </c>
      <c r="G58" s="53">
        <f>IF(D58=D57,"",_xlfn.IFNA(VLOOKUP(D58,'인원 입력 기능'!$F$5:$I$103,4,FALSE),0))</f>
        <v>5863</v>
      </c>
      <c r="H58" s="54">
        <f t="shared" si="4"/>
        <v>1.5656000576785966E-2</v>
      </c>
      <c r="I58" s="67">
        <f>SUM($G$7:G58)</f>
        <v>200119</v>
      </c>
      <c r="J58" s="56">
        <f t="shared" si="5"/>
        <v>0.53437884690872095</v>
      </c>
      <c r="K58" s="30"/>
      <c r="L58" s="18" t="str">
        <f t="shared" si="7"/>
        <v/>
      </c>
      <c r="N58" s="17"/>
    </row>
    <row r="59" spans="1:14" s="14" customFormat="1" ht="25" customHeight="1">
      <c r="A59" s="12"/>
      <c r="B59" s="25"/>
      <c r="C59" s="65">
        <v>48</v>
      </c>
      <c r="D59" s="66">
        <f t="shared" si="6"/>
        <v>98</v>
      </c>
      <c r="E59" s="66">
        <f t="shared" si="0"/>
        <v>5</v>
      </c>
      <c r="F59" s="52">
        <f t="shared" si="3"/>
        <v>45.67</v>
      </c>
      <c r="G59" s="53">
        <f>IF(D59=D58,"",_xlfn.IFNA(VLOOKUP(D59,'인원 입력 기능'!$F$5:$I$103,4,FALSE),0))</f>
        <v>6683</v>
      </c>
      <c r="H59" s="54">
        <f t="shared" si="4"/>
        <v>1.7845651007105681E-2</v>
      </c>
      <c r="I59" s="67">
        <f>SUM($G$7:G59)</f>
        <v>206802</v>
      </c>
      <c r="J59" s="56">
        <f t="shared" si="5"/>
        <v>0.55222449791582662</v>
      </c>
      <c r="K59" s="30"/>
      <c r="L59" s="18" t="str">
        <f t="shared" si="7"/>
        <v/>
      </c>
      <c r="N59" s="17"/>
    </row>
    <row r="60" spans="1:14" s="14" customFormat="1" ht="25" customHeight="1">
      <c r="A60" s="12"/>
      <c r="B60" s="25"/>
      <c r="C60" s="65">
        <v>47</v>
      </c>
      <c r="D60" s="66">
        <f t="shared" si="6"/>
        <v>97</v>
      </c>
      <c r="E60" s="66">
        <f t="shared" si="0"/>
        <v>5</v>
      </c>
      <c r="F60" s="52">
        <f t="shared" si="3"/>
        <v>44.05</v>
      </c>
      <c r="G60" s="53">
        <f>IF(D60=D59,"",_xlfn.IFNA(VLOOKUP(D60,'인원 입력 기능'!$F$5:$I$103,4,FALSE),0))</f>
        <v>5457</v>
      </c>
      <c r="H60" s="54">
        <f t="shared" si="4"/>
        <v>1.4571856583237425E-2</v>
      </c>
      <c r="I60" s="67">
        <f>SUM($G$7:G60)</f>
        <v>212259</v>
      </c>
      <c r="J60" s="56">
        <f t="shared" si="5"/>
        <v>0.56679635449906407</v>
      </c>
      <c r="K60" s="30"/>
      <c r="L60" s="18" t="str">
        <f t="shared" si="7"/>
        <v/>
      </c>
      <c r="N60" s="17"/>
    </row>
    <row r="61" spans="1:14" s="14" customFormat="1" ht="25" customHeight="1">
      <c r="A61" s="12"/>
      <c r="B61" s="25"/>
      <c r="C61" s="65">
        <v>46</v>
      </c>
      <c r="D61" s="66">
        <f t="shared" si="6"/>
        <v>96</v>
      </c>
      <c r="E61" s="66">
        <f t="shared" si="0"/>
        <v>5</v>
      </c>
      <c r="F61" s="52">
        <f t="shared" si="3"/>
        <v>42.63</v>
      </c>
      <c r="G61" s="53">
        <f>IF(D61=D60,"",_xlfn.IFNA(VLOOKUP(D61,'인원 입력 기능'!$F$5:$I$103,4,FALSE),0))</f>
        <v>5198</v>
      </c>
      <c r="H61" s="54">
        <f t="shared" si="4"/>
        <v>1.3880247483904734E-2</v>
      </c>
      <c r="I61" s="67">
        <f>SUM($G$7:G61)</f>
        <v>217457</v>
      </c>
      <c r="J61" s="56">
        <f t="shared" si="5"/>
        <v>0.58067660198296878</v>
      </c>
      <c r="K61" s="30"/>
      <c r="L61" s="18" t="str">
        <f t="shared" si="7"/>
        <v/>
      </c>
      <c r="N61" s="17"/>
    </row>
    <row r="62" spans="1:14" s="14" customFormat="1" ht="25" customHeight="1">
      <c r="A62" s="12"/>
      <c r="B62" s="25"/>
      <c r="C62" s="65">
        <v>45</v>
      </c>
      <c r="D62" s="66">
        <f t="shared" si="6"/>
        <v>95</v>
      </c>
      <c r="E62" s="66">
        <f t="shared" si="0"/>
        <v>5</v>
      </c>
      <c r="F62" s="52">
        <f t="shared" si="3"/>
        <v>41.1</v>
      </c>
      <c r="G62" s="53">
        <f>IF(D62=D61,"",_xlfn.IFNA(VLOOKUP(D62,'인원 입력 기능'!$F$5:$I$103,4,FALSE),0))</f>
        <v>6216</v>
      </c>
      <c r="H62" s="54">
        <f t="shared" si="4"/>
        <v>1.6598618383984576E-2</v>
      </c>
      <c r="I62" s="67">
        <f>SUM($G$7:G62)</f>
        <v>223673</v>
      </c>
      <c r="J62" s="56">
        <f t="shared" si="5"/>
        <v>0.59727522036695335</v>
      </c>
      <c r="K62" s="30"/>
      <c r="L62" s="18" t="str">
        <f t="shared" si="7"/>
        <v/>
      </c>
      <c r="N62" s="17"/>
    </row>
    <row r="63" spans="1:14" s="14" customFormat="1" ht="25" customHeight="1">
      <c r="A63" s="12"/>
      <c r="B63" s="25"/>
      <c r="C63" s="65">
        <v>44</v>
      </c>
      <c r="D63" s="66">
        <f t="shared" si="6"/>
        <v>94</v>
      </c>
      <c r="E63" s="66">
        <f t="shared" si="0"/>
        <v>5</v>
      </c>
      <c r="F63" s="52">
        <f t="shared" si="3"/>
        <v>39.520000000000003</v>
      </c>
      <c r="G63" s="53">
        <f>IF(D63=D62,"",_xlfn.IFNA(VLOOKUP(D63,'인원 입력 기능'!$F$5:$I$103,4,FALSE),0))</f>
        <v>5609</v>
      </c>
      <c r="H63" s="54">
        <f t="shared" si="4"/>
        <v>1.4977743004467421E-2</v>
      </c>
      <c r="I63" s="67">
        <f>SUM($G$7:G63)</f>
        <v>229282</v>
      </c>
      <c r="J63" s="56">
        <f t="shared" si="5"/>
        <v>0.61225296337142077</v>
      </c>
      <c r="K63" s="30"/>
      <c r="L63" s="18" t="str">
        <f t="shared" si="7"/>
        <v/>
      </c>
      <c r="N63" s="17"/>
    </row>
    <row r="64" spans="1:14" s="14" customFormat="1" ht="25" customHeight="1">
      <c r="A64" s="12"/>
      <c r="B64" s="25"/>
      <c r="C64" s="65">
        <v>43</v>
      </c>
      <c r="D64" s="66">
        <f t="shared" si="6"/>
        <v>93</v>
      </c>
      <c r="E64" s="66">
        <f t="shared" si="0"/>
        <v>6</v>
      </c>
      <c r="F64" s="52">
        <f t="shared" si="3"/>
        <v>38.11</v>
      </c>
      <c r="G64" s="53">
        <f>IF(D64=D63,"",_xlfn.IFNA(VLOOKUP(D64,'인원 입력 기능'!$F$5:$I$103,4,FALSE),0))</f>
        <v>4947</v>
      </c>
      <c r="H64" s="54">
        <f t="shared" si="4"/>
        <v>1.3210000827794674E-2</v>
      </c>
      <c r="I64" s="67">
        <f>SUM($G$7:G64)</f>
        <v>234229</v>
      </c>
      <c r="J64" s="56">
        <f t="shared" si="5"/>
        <v>0.62546296419921543</v>
      </c>
      <c r="K64" s="30"/>
      <c r="L64" s="18" t="str">
        <f t="shared" si="7"/>
        <v/>
      </c>
      <c r="N64" s="17"/>
    </row>
    <row r="65" spans="1:14" s="14" customFormat="1" ht="25" customHeight="1">
      <c r="A65" s="12"/>
      <c r="B65" s="25"/>
      <c r="C65" s="65">
        <v>42</v>
      </c>
      <c r="D65" s="125">
        <f t="shared" si="6"/>
        <v>92</v>
      </c>
      <c r="E65" s="125">
        <f t="shared" si="0"/>
        <v>6</v>
      </c>
      <c r="F65" s="127">
        <f t="shared" si="3"/>
        <v>35.96</v>
      </c>
      <c r="G65" s="129">
        <f>IF(D65=D64,"",_xlfn.IFNA(VLOOKUP(D65,'인원 입력 기능'!$F$5:$I$103,4,FALSE),0))</f>
        <v>11181</v>
      </c>
      <c r="H65" s="130">
        <f t="shared" si="4"/>
        <v>2.9856684709030173E-2</v>
      </c>
      <c r="I65" s="132">
        <f>SUM($G$7:G65)</f>
        <v>245410</v>
      </c>
      <c r="J65" s="134">
        <f t="shared" si="5"/>
        <v>0.65531964890824568</v>
      </c>
      <c r="K65" s="30"/>
      <c r="L65" s="18" t="str">
        <f t="shared" si="7"/>
        <v/>
      </c>
      <c r="N65" s="17"/>
    </row>
    <row r="66" spans="1:14" s="14" customFormat="1" ht="25" customHeight="1">
      <c r="A66" s="12"/>
      <c r="B66" s="25"/>
      <c r="C66" s="65">
        <v>41</v>
      </c>
      <c r="D66" s="124"/>
      <c r="E66" s="124"/>
      <c r="F66" s="126"/>
      <c r="G66" s="128"/>
      <c r="H66" s="131"/>
      <c r="I66" s="133"/>
      <c r="J66" s="135"/>
      <c r="K66" s="30"/>
      <c r="L66" s="18" t="str">
        <f t="shared" si="7"/>
        <v>경고</v>
      </c>
      <c r="N66" s="17"/>
    </row>
    <row r="67" spans="1:14" s="14" customFormat="1" ht="25" customHeight="1">
      <c r="A67" s="12"/>
      <c r="B67" s="25"/>
      <c r="C67" s="65">
        <v>40</v>
      </c>
      <c r="D67" s="66">
        <f t="shared" si="6"/>
        <v>91</v>
      </c>
      <c r="E67" s="66">
        <f t="shared" si="0"/>
        <v>6</v>
      </c>
      <c r="F67" s="52">
        <f t="shared" si="3"/>
        <v>33.83</v>
      </c>
      <c r="G67" s="53">
        <f>IF(D67=D66,"",_xlfn.IFNA(VLOOKUP(D67,'인원 입력 기능'!$F$5:$I$103,4,FALSE),0))</f>
        <v>4773</v>
      </c>
      <c r="H67" s="54">
        <f t="shared" si="4"/>
        <v>1.2745367687702442E-2</v>
      </c>
      <c r="I67" s="67">
        <f>SUM($G$7:G67)</f>
        <v>250183</v>
      </c>
      <c r="J67" s="56">
        <f t="shared" si="5"/>
        <v>0.66806501659594808</v>
      </c>
      <c r="K67" s="30"/>
      <c r="L67" s="18" t="str">
        <f t="shared" si="7"/>
        <v/>
      </c>
      <c r="N67" s="17"/>
    </row>
    <row r="68" spans="1:14" s="14" customFormat="1" ht="25" customHeight="1">
      <c r="A68" s="12"/>
      <c r="B68" s="25"/>
      <c r="C68" s="65">
        <v>39</v>
      </c>
      <c r="D68" s="66">
        <f t="shared" si="6"/>
        <v>90</v>
      </c>
      <c r="E68" s="66">
        <f t="shared" si="0"/>
        <v>6</v>
      </c>
      <c r="F68" s="52">
        <f t="shared" si="3"/>
        <v>32.5</v>
      </c>
      <c r="G68" s="53">
        <f>IF(D68=D67,"",_xlfn.IFNA(VLOOKUP(D68,'인원 입력 기능'!$F$5:$I$103,4,FALSE),0))</f>
        <v>5183</v>
      </c>
      <c r="H68" s="54">
        <f t="shared" si="4"/>
        <v>1.38401929028623E-2</v>
      </c>
      <c r="I68" s="67">
        <f>SUM($G$7:G68)</f>
        <v>255366</v>
      </c>
      <c r="J68" s="56">
        <f t="shared" si="5"/>
        <v>0.68190520949881039</v>
      </c>
      <c r="K68" s="30"/>
      <c r="L68" s="18" t="str">
        <f t="shared" si="7"/>
        <v/>
      </c>
      <c r="N68" s="17"/>
    </row>
    <row r="69" spans="1:14" s="14" customFormat="1" ht="25" customHeight="1">
      <c r="A69" s="12"/>
      <c r="B69" s="25"/>
      <c r="C69" s="65">
        <v>38</v>
      </c>
      <c r="D69" s="66">
        <f t="shared" si="6"/>
        <v>89</v>
      </c>
      <c r="E69" s="66">
        <f t="shared" si="0"/>
        <v>6</v>
      </c>
      <c r="F69" s="52">
        <f t="shared" si="3"/>
        <v>31.08</v>
      </c>
      <c r="G69" s="53">
        <f>IF(D69=D68,"",_xlfn.IFNA(VLOOKUP(D69,'인원 입력 기능'!$F$5:$I$103,4,FALSE),0))</f>
        <v>5485</v>
      </c>
      <c r="H69" s="54">
        <f t="shared" si="4"/>
        <v>1.4646625134516634E-2</v>
      </c>
      <c r="I69" s="67">
        <f>SUM($G$7:G69)</f>
        <v>260851</v>
      </c>
      <c r="J69" s="56">
        <f t="shared" si="5"/>
        <v>0.69655183463332704</v>
      </c>
      <c r="K69" s="30"/>
      <c r="L69" s="18" t="str">
        <f t="shared" si="7"/>
        <v/>
      </c>
      <c r="N69" s="17"/>
    </row>
    <row r="70" spans="1:14" s="14" customFormat="1" ht="25" customHeight="1">
      <c r="A70" s="12"/>
      <c r="B70" s="25"/>
      <c r="C70" s="65">
        <v>37</v>
      </c>
      <c r="D70" s="66">
        <f t="shared" si="6"/>
        <v>88</v>
      </c>
      <c r="E70" s="66">
        <f t="shared" si="0"/>
        <v>6</v>
      </c>
      <c r="F70" s="52">
        <f t="shared" si="3"/>
        <v>29.74</v>
      </c>
      <c r="G70" s="53">
        <f>IF(D70=D69,"",_xlfn.IFNA(VLOOKUP(D70,'인원 입력 기능'!$F$5:$I$103,4,FALSE),0))</f>
        <v>4562</v>
      </c>
      <c r="H70" s="54">
        <f t="shared" si="4"/>
        <v>1.2181933247705541E-2</v>
      </c>
      <c r="I70" s="67">
        <f>SUM($G$7:G70)</f>
        <v>265413</v>
      </c>
      <c r="J70" s="56">
        <f t="shared" si="5"/>
        <v>0.70873376788103259</v>
      </c>
      <c r="K70" s="30"/>
      <c r="L70" s="18" t="str">
        <f t="shared" si="7"/>
        <v/>
      </c>
      <c r="N70" s="17"/>
    </row>
    <row r="71" spans="1:14" s="14" customFormat="1" ht="25" customHeight="1">
      <c r="A71" s="12"/>
      <c r="B71" s="25"/>
      <c r="C71" s="65">
        <v>36</v>
      </c>
      <c r="D71" s="66">
        <f t="shared" si="6"/>
        <v>87</v>
      </c>
      <c r="E71" s="66">
        <f t="shared" ref="E71:E105" si="8">IF(ROUND(D71,0)&gt;=$Q$7,1,IF(ROUND(D71,0)&gt;=$Q$8,2,IF(ROUND(D71,0)&gt;=$Q$9,3,IF(ROUND(D71,0)&gt;=$Q$10,4,IF(ROUND(D71,0)&gt;=$Q$11,5,IF(ROUND(D71,0)&gt;=$Q$12,6,IF(ROUND(D71,0)&gt;=$Q$13,7,IF(ROUND(D71,0)&gt;=$Q$14,8,9))))))))</f>
        <v>6</v>
      </c>
      <c r="F71" s="52">
        <f t="shared" si="3"/>
        <v>28.5</v>
      </c>
      <c r="G71" s="53">
        <f>IF(D71=D70,"",_xlfn.IFNA(VLOOKUP(D71,'인원 입력 기능'!$F$5:$I$103,4,FALSE),0))</f>
        <v>4657</v>
      </c>
      <c r="H71" s="54">
        <f t="shared" si="4"/>
        <v>1.2435612260974288E-2</v>
      </c>
      <c r="I71" s="67">
        <f>SUM($G$7:G71)</f>
        <v>270070</v>
      </c>
      <c r="J71" s="56">
        <f t="shared" si="5"/>
        <v>0.72116938014200682</v>
      </c>
      <c r="K71" s="30"/>
      <c r="L71" s="18" t="str">
        <f t="shared" si="7"/>
        <v/>
      </c>
      <c r="N71" s="17"/>
    </row>
    <row r="72" spans="1:14" s="14" customFormat="1" ht="25" customHeight="1">
      <c r="A72" s="12"/>
      <c r="B72" s="25"/>
      <c r="C72" s="65">
        <v>35</v>
      </c>
      <c r="D72" s="66">
        <f t="shared" si="6"/>
        <v>86</v>
      </c>
      <c r="E72" s="66">
        <f t="shared" si="8"/>
        <v>6</v>
      </c>
      <c r="F72" s="52">
        <f t="shared" si="3"/>
        <v>27.22</v>
      </c>
      <c r="G72" s="53">
        <f>IF(D72=D71,"",_xlfn.IFNA(VLOOKUP(D72,'인원 입력 기능'!$F$5:$I$103,4,FALSE),0))</f>
        <v>4952</v>
      </c>
      <c r="H72" s="54">
        <f t="shared" si="4"/>
        <v>1.322335235480882E-2</v>
      </c>
      <c r="I72" s="67">
        <f>SUM($G$7:G72)</f>
        <v>275022</v>
      </c>
      <c r="J72" s="56">
        <f t="shared" si="5"/>
        <v>0.73439273249681569</v>
      </c>
      <c r="K72" s="30"/>
      <c r="L72" s="18" t="str">
        <f t="shared" si="7"/>
        <v/>
      </c>
      <c r="N72" s="17"/>
    </row>
    <row r="73" spans="1:14" s="14" customFormat="1" ht="25" customHeight="1">
      <c r="A73" s="12"/>
      <c r="B73" s="25"/>
      <c r="C73" s="65">
        <v>34</v>
      </c>
      <c r="D73" s="66">
        <f t="shared" ref="D73:D104" si="9">ROUND(20*(C73-$H$3)/$H$4+100,0)</f>
        <v>85</v>
      </c>
      <c r="E73" s="66">
        <f t="shared" si="8"/>
        <v>6</v>
      </c>
      <c r="F73" s="52">
        <f t="shared" si="3"/>
        <v>25.96</v>
      </c>
      <c r="G73" s="53">
        <f>IF(D73=D72,"",_xlfn.IFNA(VLOOKUP(D73,'인원 입력 기능'!$F$5:$I$103,4,FALSE),0))</f>
        <v>4490</v>
      </c>
      <c r="H73" s="54">
        <f t="shared" si="4"/>
        <v>1.1989671258701857E-2</v>
      </c>
      <c r="I73" s="67">
        <f>SUM($G$7:G73)</f>
        <v>279512</v>
      </c>
      <c r="J73" s="56">
        <f t="shared" si="5"/>
        <v>0.74638240375551757</v>
      </c>
      <c r="K73" s="30"/>
      <c r="L73" s="18" t="str">
        <f t="shared" ref="L73:L105" si="10">IF(ABS((C73-$H$3)/$H$4*20+100-D73)&gt;0.49, "경고", "")</f>
        <v/>
      </c>
      <c r="N73" s="17"/>
    </row>
    <row r="74" spans="1:14" s="14" customFormat="1" ht="25" customHeight="1">
      <c r="A74" s="12"/>
      <c r="B74" s="25"/>
      <c r="C74" s="65">
        <v>33</v>
      </c>
      <c r="D74" s="66">
        <f t="shared" si="9"/>
        <v>84</v>
      </c>
      <c r="E74" s="66">
        <f t="shared" si="8"/>
        <v>6</v>
      </c>
      <c r="F74" s="52">
        <f t="shared" ref="F74:F105" si="11">IF(I73=0,ROUND(100*(1-(I72+I74)/2/$J$3),2),ROUND(100*(1-(I73+I74)/2/$J$3),2))</f>
        <v>24.78</v>
      </c>
      <c r="G74" s="53">
        <f>IF(D74=D73,"",_xlfn.IFNA(VLOOKUP(D74,'인원 입력 기능'!$F$5:$I$103,4,FALSE),0))</f>
        <v>4363</v>
      </c>
      <c r="H74" s="54">
        <f t="shared" ref="H74:H105" si="12">G74/$J$3</f>
        <v>1.1650542472542585E-2</v>
      </c>
      <c r="I74" s="67">
        <f>SUM($G$7:G74)</f>
        <v>283875</v>
      </c>
      <c r="J74" s="56">
        <f t="shared" ref="J74:J105" si="13">I74/$J$3</f>
        <v>0.75803294622806006</v>
      </c>
      <c r="K74" s="30"/>
      <c r="L74" s="18" t="str">
        <f t="shared" si="10"/>
        <v/>
      </c>
      <c r="N74" s="17"/>
    </row>
    <row r="75" spans="1:14" s="14" customFormat="1" ht="25" customHeight="1">
      <c r="A75" s="12"/>
      <c r="B75" s="25"/>
      <c r="C75" s="65">
        <v>32</v>
      </c>
      <c r="D75" s="66">
        <f t="shared" si="9"/>
        <v>83</v>
      </c>
      <c r="E75" s="66">
        <f t="shared" si="8"/>
        <v>6</v>
      </c>
      <c r="F75" s="52">
        <f t="shared" si="11"/>
        <v>23.56</v>
      </c>
      <c r="G75" s="53">
        <f>IF(D75=D74,"",_xlfn.IFNA(VLOOKUP(D75,'인원 입력 기능'!$F$5:$I$103,4,FALSE),0))</f>
        <v>4746</v>
      </c>
      <c r="H75" s="54">
        <f t="shared" si="12"/>
        <v>1.2673269441826061E-2</v>
      </c>
      <c r="I75" s="67">
        <f>SUM($G$7:G75)</f>
        <v>288621</v>
      </c>
      <c r="J75" s="56">
        <f t="shared" si="13"/>
        <v>0.77070621566988617</v>
      </c>
      <c r="K75" s="30"/>
      <c r="L75" s="18" t="str">
        <f t="shared" si="10"/>
        <v/>
      </c>
      <c r="N75" s="17"/>
    </row>
    <row r="76" spans="1:14" s="14" customFormat="1" ht="25" customHeight="1">
      <c r="A76" s="12"/>
      <c r="B76" s="25"/>
      <c r="C76" s="65">
        <v>31</v>
      </c>
      <c r="D76" s="125">
        <f t="shared" si="9"/>
        <v>82</v>
      </c>
      <c r="E76" s="125">
        <f t="shared" si="8"/>
        <v>7</v>
      </c>
      <c r="F76" s="127">
        <f t="shared" si="11"/>
        <v>21.8</v>
      </c>
      <c r="G76" s="129">
        <f>IF(D76=D75,"",_xlfn.IFNA(VLOOKUP(D76,'인원 입력 기능'!$F$5:$I$103,4,FALSE),0))</f>
        <v>8491</v>
      </c>
      <c r="H76" s="130">
        <f t="shared" si="12"/>
        <v>2.2673563175420373E-2</v>
      </c>
      <c r="I76" s="132">
        <f>SUM($G$7:G76)</f>
        <v>297112</v>
      </c>
      <c r="J76" s="134">
        <f t="shared" si="13"/>
        <v>0.79337977884530653</v>
      </c>
      <c r="K76" s="30"/>
      <c r="L76" s="18" t="str">
        <f t="shared" si="10"/>
        <v/>
      </c>
      <c r="N76" s="17"/>
    </row>
    <row r="77" spans="1:14" s="14" customFormat="1" ht="25" customHeight="1">
      <c r="A77" s="12"/>
      <c r="B77" s="25"/>
      <c r="C77" s="65">
        <v>30</v>
      </c>
      <c r="D77" s="124"/>
      <c r="E77" s="124"/>
      <c r="F77" s="126"/>
      <c r="G77" s="128"/>
      <c r="H77" s="131"/>
      <c r="I77" s="133"/>
      <c r="J77" s="135"/>
      <c r="K77" s="30"/>
      <c r="L77" s="18" t="str">
        <f t="shared" si="10"/>
        <v>경고</v>
      </c>
      <c r="N77" s="17"/>
    </row>
    <row r="78" spans="1:14" s="14" customFormat="1" ht="25" customHeight="1">
      <c r="A78" s="12"/>
      <c r="B78" s="25"/>
      <c r="C78" s="65">
        <v>29</v>
      </c>
      <c r="D78" s="66">
        <f t="shared" si="9"/>
        <v>81</v>
      </c>
      <c r="E78" s="66">
        <f t="shared" si="8"/>
        <v>7</v>
      </c>
      <c r="F78" s="52">
        <f t="shared" si="11"/>
        <v>20.07</v>
      </c>
      <c r="G78" s="53">
        <f>IF(D78=D77,"",_xlfn.IFNA(VLOOKUP(D78,'인원 입력 기능'!$F$5:$I$103,4,FALSE),0))</f>
        <v>4462</v>
      </c>
      <c r="H78" s="54">
        <f t="shared" si="12"/>
        <v>1.1914902707422648E-2</v>
      </c>
      <c r="I78" s="67">
        <f>SUM($G$7:G78)</f>
        <v>301574</v>
      </c>
      <c r="J78" s="56">
        <f t="shared" si="13"/>
        <v>0.80529468155272921</v>
      </c>
      <c r="K78" s="30"/>
      <c r="L78" s="18" t="str">
        <f t="shared" si="10"/>
        <v/>
      </c>
      <c r="N78" s="17"/>
    </row>
    <row r="79" spans="1:14" s="14" customFormat="1" ht="25" customHeight="1">
      <c r="A79" s="12"/>
      <c r="B79" s="25"/>
      <c r="C79" s="65">
        <v>28</v>
      </c>
      <c r="D79" s="66">
        <f t="shared" si="9"/>
        <v>80</v>
      </c>
      <c r="E79" s="66">
        <f t="shared" si="8"/>
        <v>7</v>
      </c>
      <c r="F79" s="52">
        <f t="shared" si="11"/>
        <v>18.899999999999999</v>
      </c>
      <c r="G79" s="53">
        <f>IF(D79=D78,"",_xlfn.IFNA(VLOOKUP(D79,'인원 입력 기능'!$F$5:$I$103,4,FALSE),0))</f>
        <v>4260</v>
      </c>
      <c r="H79" s="54">
        <f t="shared" si="12"/>
        <v>1.1375501016051205E-2</v>
      </c>
      <c r="I79" s="67">
        <f>SUM($G$7:G79)</f>
        <v>305834</v>
      </c>
      <c r="J79" s="56">
        <f t="shared" si="13"/>
        <v>0.81667018256878043</v>
      </c>
      <c r="K79" s="30"/>
      <c r="L79" s="18" t="str">
        <f t="shared" si="10"/>
        <v/>
      </c>
      <c r="N79" s="17"/>
    </row>
    <row r="80" spans="1:14" s="14" customFormat="1" ht="25" customHeight="1">
      <c r="A80" s="12"/>
      <c r="B80" s="25"/>
      <c r="C80" s="65">
        <v>27</v>
      </c>
      <c r="D80" s="66">
        <f t="shared" si="9"/>
        <v>79</v>
      </c>
      <c r="E80" s="66">
        <f t="shared" si="8"/>
        <v>7</v>
      </c>
      <c r="F80" s="52">
        <f t="shared" si="11"/>
        <v>17.82</v>
      </c>
      <c r="G80" s="53">
        <f>IF(D80=D79,"",_xlfn.IFNA(VLOOKUP(D80,'인원 입력 기능'!$F$5:$I$103,4,FALSE),0))</f>
        <v>3840</v>
      </c>
      <c r="H80" s="54">
        <f t="shared" si="12"/>
        <v>1.0253972746863059E-2</v>
      </c>
      <c r="I80" s="67">
        <f>SUM($G$7:G80)</f>
        <v>309674</v>
      </c>
      <c r="J80" s="56">
        <f t="shared" si="13"/>
        <v>0.82692415531564345</v>
      </c>
      <c r="K80" s="30"/>
      <c r="L80" s="18" t="str">
        <f t="shared" si="10"/>
        <v/>
      </c>
      <c r="N80" s="17"/>
    </row>
    <row r="81" spans="1:14" s="14" customFormat="1" ht="25" customHeight="1">
      <c r="A81" s="12"/>
      <c r="B81" s="25"/>
      <c r="C81" s="65">
        <v>26</v>
      </c>
      <c r="D81" s="66">
        <f t="shared" si="9"/>
        <v>78</v>
      </c>
      <c r="E81" s="66">
        <f t="shared" si="8"/>
        <v>7</v>
      </c>
      <c r="F81" s="52">
        <f t="shared" si="11"/>
        <v>16.77</v>
      </c>
      <c r="G81" s="53">
        <f>IF(D81=D80,"",_xlfn.IFNA(VLOOKUP(D81,'인원 입력 기능'!$F$5:$I$103,4,FALSE),0))</f>
        <v>3989</v>
      </c>
      <c r="H81" s="54">
        <f t="shared" si="12"/>
        <v>1.0651848251884567E-2</v>
      </c>
      <c r="I81" s="67">
        <f>SUM($G$7:G81)</f>
        <v>313663</v>
      </c>
      <c r="J81" s="56">
        <f t="shared" si="13"/>
        <v>0.83757600356752804</v>
      </c>
      <c r="K81" s="30"/>
      <c r="L81" s="18" t="str">
        <f t="shared" si="10"/>
        <v/>
      </c>
      <c r="N81" s="17"/>
    </row>
    <row r="82" spans="1:14" s="14" customFormat="1" ht="25" customHeight="1">
      <c r="A82" s="12"/>
      <c r="B82" s="25"/>
      <c r="C82" s="65">
        <v>25</v>
      </c>
      <c r="D82" s="66">
        <f t="shared" si="9"/>
        <v>77</v>
      </c>
      <c r="E82" s="66">
        <f t="shared" si="8"/>
        <v>7</v>
      </c>
      <c r="F82" s="52">
        <f t="shared" si="11"/>
        <v>15.7</v>
      </c>
      <c r="G82" s="53">
        <f>IF(D82=D81,"",_xlfn.IFNA(VLOOKUP(D82,'인원 입력 기능'!$F$5:$I$103,4,FALSE),0))</f>
        <v>4089</v>
      </c>
      <c r="H82" s="54">
        <f t="shared" si="12"/>
        <v>1.091887879216746E-2</v>
      </c>
      <c r="I82" s="67">
        <f>SUM($G$7:G82)</f>
        <v>317752</v>
      </c>
      <c r="J82" s="56">
        <f t="shared" si="13"/>
        <v>0.8484948823596955</v>
      </c>
      <c r="K82" s="30"/>
      <c r="L82" s="18" t="str">
        <f t="shared" si="10"/>
        <v/>
      </c>
      <c r="N82" s="17"/>
    </row>
    <row r="83" spans="1:14" s="14" customFormat="1" ht="25" customHeight="1">
      <c r="A83" s="12"/>
      <c r="B83" s="25"/>
      <c r="C83" s="65">
        <v>24</v>
      </c>
      <c r="D83" s="66">
        <f t="shared" si="9"/>
        <v>76</v>
      </c>
      <c r="E83" s="66">
        <f t="shared" si="8"/>
        <v>7</v>
      </c>
      <c r="F83" s="52">
        <f t="shared" si="11"/>
        <v>14.66</v>
      </c>
      <c r="G83" s="53">
        <f>IF(D83=D82,"",_xlfn.IFNA(VLOOKUP(D83,'인원 입력 기능'!$F$5:$I$103,4,FALSE),0))</f>
        <v>3707</v>
      </c>
      <c r="H83" s="54">
        <f t="shared" si="12"/>
        <v>9.8988221282868116E-3</v>
      </c>
      <c r="I83" s="67">
        <f>SUM($G$7:G83)</f>
        <v>321459</v>
      </c>
      <c r="J83" s="56">
        <f t="shared" si="13"/>
        <v>0.85839370448798225</v>
      </c>
      <c r="K83" s="30"/>
      <c r="L83" s="18" t="str">
        <f t="shared" si="10"/>
        <v/>
      </c>
      <c r="N83" s="17"/>
    </row>
    <row r="84" spans="1:14" s="14" customFormat="1" ht="25" customHeight="1">
      <c r="A84" s="12"/>
      <c r="B84" s="25"/>
      <c r="C84" s="65">
        <v>23</v>
      </c>
      <c r="D84" s="66">
        <f t="shared" si="9"/>
        <v>75</v>
      </c>
      <c r="E84" s="66">
        <f t="shared" si="8"/>
        <v>7</v>
      </c>
      <c r="F84" s="52">
        <f t="shared" si="11"/>
        <v>13.64</v>
      </c>
      <c r="G84" s="53">
        <f>IF(D84=D83,"",_xlfn.IFNA(VLOOKUP(D84,'인원 입력 기능'!$F$5:$I$103,4,FALSE),0))</f>
        <v>3914</v>
      </c>
      <c r="H84" s="54">
        <f t="shared" si="12"/>
        <v>1.0451575346672399E-2</v>
      </c>
      <c r="I84" s="67">
        <f>SUM($G$7:G84)</f>
        <v>325373</v>
      </c>
      <c r="J84" s="56">
        <f t="shared" si="13"/>
        <v>0.86884527983465465</v>
      </c>
      <c r="K84" s="30"/>
      <c r="L84" s="18" t="str">
        <f t="shared" si="10"/>
        <v/>
      </c>
      <c r="N84" s="17"/>
    </row>
    <row r="85" spans="1:14" s="14" customFormat="1" ht="25" customHeight="1">
      <c r="A85" s="12"/>
      <c r="B85" s="25"/>
      <c r="C85" s="65">
        <v>22</v>
      </c>
      <c r="D85" s="66">
        <f t="shared" si="9"/>
        <v>74</v>
      </c>
      <c r="E85" s="66">
        <f t="shared" si="8"/>
        <v>7</v>
      </c>
      <c r="F85" s="52">
        <f t="shared" si="11"/>
        <v>12.59</v>
      </c>
      <c r="G85" s="53">
        <f>IF(D85=D84,"",_xlfn.IFNA(VLOOKUP(D85,'인원 입력 기능'!$F$5:$I$103,4,FALSE),0))</f>
        <v>3931</v>
      </c>
      <c r="H85" s="54">
        <f t="shared" si="12"/>
        <v>1.049697053852049E-2</v>
      </c>
      <c r="I85" s="67">
        <f>SUM($G$7:G85)</f>
        <v>329304</v>
      </c>
      <c r="J85" s="56">
        <f t="shared" si="13"/>
        <v>0.87934225037317515</v>
      </c>
      <c r="K85" s="30"/>
      <c r="L85" s="18" t="str">
        <f t="shared" si="10"/>
        <v/>
      </c>
      <c r="N85" s="17"/>
    </row>
    <row r="86" spans="1:14" s="14" customFormat="1" ht="25" customHeight="1">
      <c r="A86" s="12"/>
      <c r="B86" s="25"/>
      <c r="C86" s="65">
        <v>21</v>
      </c>
      <c r="D86" s="66">
        <f t="shared" si="9"/>
        <v>73</v>
      </c>
      <c r="E86" s="66">
        <f t="shared" si="8"/>
        <v>7</v>
      </c>
      <c r="F86" s="52">
        <f t="shared" si="11"/>
        <v>11.57</v>
      </c>
      <c r="G86" s="53">
        <f>IF(D86=D85,"",_xlfn.IFNA(VLOOKUP(D86,'인원 입력 기능'!$F$5:$I$103,4,FALSE),0))</f>
        <v>3720</v>
      </c>
      <c r="H86" s="54">
        <f t="shared" si="12"/>
        <v>9.9335360985235883E-3</v>
      </c>
      <c r="I86" s="67">
        <f>SUM($G$7:G86)</f>
        <v>333024</v>
      </c>
      <c r="J86" s="56">
        <f t="shared" si="13"/>
        <v>0.8892757864716988</v>
      </c>
      <c r="K86" s="30"/>
      <c r="L86" s="18" t="str">
        <f t="shared" si="10"/>
        <v/>
      </c>
      <c r="N86" s="17"/>
    </row>
    <row r="87" spans="1:14" s="14" customFormat="1" ht="25" customHeight="1">
      <c r="A87" s="12"/>
      <c r="B87" s="25"/>
      <c r="C87" s="65">
        <v>20</v>
      </c>
      <c r="D87" s="125">
        <f t="shared" si="9"/>
        <v>72</v>
      </c>
      <c r="E87" s="125">
        <f t="shared" si="8"/>
        <v>7</v>
      </c>
      <c r="F87" s="127">
        <f t="shared" si="11"/>
        <v>10.08</v>
      </c>
      <c r="G87" s="129">
        <f>IF(D87=D86,"",_xlfn.IFNA(VLOOKUP(D87,'인원 입력 기능'!$F$5:$I$103,4,FALSE),0))</f>
        <v>7465</v>
      </c>
      <c r="H87" s="130">
        <f t="shared" si="12"/>
        <v>1.9933829832117899E-2</v>
      </c>
      <c r="I87" s="132">
        <f>SUM($G$7:G87)</f>
        <v>340489</v>
      </c>
      <c r="J87" s="134">
        <f t="shared" si="13"/>
        <v>0.90920961630381669</v>
      </c>
      <c r="K87" s="30"/>
      <c r="L87" s="18" t="str">
        <f t="shared" si="10"/>
        <v/>
      </c>
      <c r="N87" s="17"/>
    </row>
    <row r="88" spans="1:14" s="14" customFormat="1" ht="25" customHeight="1">
      <c r="A88" s="12"/>
      <c r="B88" s="25"/>
      <c r="C88" s="65">
        <v>19</v>
      </c>
      <c r="D88" s="124"/>
      <c r="E88" s="124"/>
      <c r="F88" s="126"/>
      <c r="G88" s="128"/>
      <c r="H88" s="131"/>
      <c r="I88" s="133"/>
      <c r="J88" s="135"/>
      <c r="K88" s="30"/>
      <c r="L88" s="18" t="str">
        <f t="shared" si="10"/>
        <v>경고</v>
      </c>
      <c r="N88" s="17"/>
    </row>
    <row r="89" spans="1:14" s="14" customFormat="1" ht="25" customHeight="1">
      <c r="A89" s="12"/>
      <c r="B89" s="25"/>
      <c r="C89" s="65">
        <v>18</v>
      </c>
      <c r="D89" s="66">
        <f t="shared" si="9"/>
        <v>71</v>
      </c>
      <c r="E89" s="66">
        <f t="shared" si="8"/>
        <v>8</v>
      </c>
      <c r="F89" s="52">
        <f t="shared" si="11"/>
        <v>8.59</v>
      </c>
      <c r="G89" s="53">
        <f>IF(D89=D88,"",_xlfn.IFNA(VLOOKUP(D89,'인원 입력 기능'!$F$5:$I$103,4,FALSE),0))</f>
        <v>3648</v>
      </c>
      <c r="H89" s="54">
        <f t="shared" si="12"/>
        <v>9.7412741095199065E-3</v>
      </c>
      <c r="I89" s="67">
        <f>SUM($G$7:G89)</f>
        <v>344137</v>
      </c>
      <c r="J89" s="56">
        <f t="shared" si="13"/>
        <v>0.91895089041333655</v>
      </c>
      <c r="K89" s="30"/>
      <c r="L89" s="18" t="str">
        <f t="shared" si="10"/>
        <v/>
      </c>
      <c r="N89" s="17"/>
    </row>
    <row r="90" spans="1:14" s="14" customFormat="1" ht="25" customHeight="1">
      <c r="A90" s="12"/>
      <c r="B90" s="25"/>
      <c r="C90" s="65">
        <v>17</v>
      </c>
      <c r="D90" s="66">
        <f t="shared" si="9"/>
        <v>70</v>
      </c>
      <c r="E90" s="66">
        <f t="shared" si="8"/>
        <v>8</v>
      </c>
      <c r="F90" s="52">
        <f t="shared" si="11"/>
        <v>7.65</v>
      </c>
      <c r="G90" s="53">
        <f>IF(D90=D89,"",_xlfn.IFNA(VLOOKUP(D90,'인원 입력 기능'!$F$5:$I$103,4,FALSE),0))</f>
        <v>3382</v>
      </c>
      <c r="H90" s="54">
        <f t="shared" si="12"/>
        <v>9.0309728723674126E-3</v>
      </c>
      <c r="I90" s="67">
        <f>SUM($G$7:G90)</f>
        <v>347519</v>
      </c>
      <c r="J90" s="56">
        <f t="shared" si="13"/>
        <v>0.92798186328570398</v>
      </c>
      <c r="K90" s="30"/>
      <c r="L90" s="18" t="str">
        <f t="shared" si="10"/>
        <v/>
      </c>
      <c r="N90" s="17"/>
    </row>
    <row r="91" spans="1:14" s="14" customFormat="1" ht="25" customHeight="1">
      <c r="A91" s="12"/>
      <c r="B91" s="25"/>
      <c r="C91" s="65">
        <v>16</v>
      </c>
      <c r="D91" s="66">
        <f t="shared" si="9"/>
        <v>69</v>
      </c>
      <c r="E91" s="66">
        <f t="shared" si="8"/>
        <v>8</v>
      </c>
      <c r="F91" s="52">
        <f t="shared" si="11"/>
        <v>6.74</v>
      </c>
      <c r="G91" s="53">
        <f>IF(D91=D90,"",_xlfn.IFNA(VLOOKUP(D91,'인원 입력 기능'!$F$5:$I$103,4,FALSE),0))</f>
        <v>3477</v>
      </c>
      <c r="H91" s="54">
        <f t="shared" si="12"/>
        <v>9.2846518856361596E-3</v>
      </c>
      <c r="I91" s="67">
        <f>SUM($G$7:G91)</f>
        <v>350996</v>
      </c>
      <c r="J91" s="56">
        <f t="shared" si="13"/>
        <v>0.93726651517134019</v>
      </c>
      <c r="K91" s="30"/>
      <c r="L91" s="18" t="str">
        <f t="shared" si="10"/>
        <v/>
      </c>
      <c r="N91" s="17"/>
    </row>
    <row r="92" spans="1:14" s="14" customFormat="1" ht="25" customHeight="1">
      <c r="A92" s="12"/>
      <c r="B92" s="25"/>
      <c r="C92" s="65">
        <v>15</v>
      </c>
      <c r="D92" s="66">
        <f t="shared" si="9"/>
        <v>68</v>
      </c>
      <c r="E92" s="66">
        <f t="shared" si="8"/>
        <v>8</v>
      </c>
      <c r="F92" s="52">
        <f t="shared" si="11"/>
        <v>5.54</v>
      </c>
      <c r="G92" s="53">
        <f>IF(D92=D91,"",_xlfn.IFNA(VLOOKUP(D92,'인원 입력 기능'!$F$5:$I$103,4,FALSE),0))</f>
        <v>5458</v>
      </c>
      <c r="H92" s="54">
        <f t="shared" si="12"/>
        <v>1.4574526888640254E-2</v>
      </c>
      <c r="I92" s="67">
        <f>SUM($G$7:G92)</f>
        <v>356454</v>
      </c>
      <c r="J92" s="56">
        <f t="shared" si="13"/>
        <v>0.95184104205998044</v>
      </c>
      <c r="K92" s="30"/>
      <c r="L92" s="18" t="str">
        <f t="shared" si="10"/>
        <v/>
      </c>
      <c r="N92" s="17"/>
    </row>
    <row r="93" spans="1:14" s="14" customFormat="1" ht="25" customHeight="1">
      <c r="A93" s="12"/>
      <c r="B93" s="25"/>
      <c r="C93" s="65">
        <v>14</v>
      </c>
      <c r="D93" s="66">
        <f t="shared" si="9"/>
        <v>67</v>
      </c>
      <c r="E93" s="66">
        <f t="shared" si="8"/>
        <v>8</v>
      </c>
      <c r="F93" s="52">
        <f t="shared" si="11"/>
        <v>4.45</v>
      </c>
      <c r="G93" s="53">
        <f>IF(D93=D92,"",_xlfn.IFNA(VLOOKUP(D93,'인원 입력 기능'!$F$5:$I$103,4,FALSE),0))</f>
        <v>2755</v>
      </c>
      <c r="H93" s="54">
        <f t="shared" si="12"/>
        <v>7.356691384793679E-3</v>
      </c>
      <c r="I93" s="67">
        <f>SUM($G$7:G93)</f>
        <v>359209</v>
      </c>
      <c r="J93" s="56">
        <f t="shared" si="13"/>
        <v>0.9591977334447741</v>
      </c>
      <c r="K93" s="30"/>
      <c r="L93" s="18" t="str">
        <f t="shared" si="10"/>
        <v/>
      </c>
      <c r="N93" s="17"/>
    </row>
    <row r="94" spans="1:14" s="14" customFormat="1" ht="25" customHeight="1">
      <c r="A94" s="12"/>
      <c r="B94" s="25"/>
      <c r="C94" s="65">
        <v>13</v>
      </c>
      <c r="D94" s="66">
        <f t="shared" si="9"/>
        <v>66</v>
      </c>
      <c r="E94" s="66">
        <f t="shared" si="8"/>
        <v>8</v>
      </c>
      <c r="F94" s="52">
        <f t="shared" si="11"/>
        <v>3.49</v>
      </c>
      <c r="G94" s="53">
        <f>IF(D94=D93,"",_xlfn.IFNA(VLOOKUP(D94,'인원 입력 기능'!$F$5:$I$103,4,FALSE),0))</f>
        <v>4423</v>
      </c>
      <c r="H94" s="54">
        <f t="shared" si="12"/>
        <v>1.1810760796712319E-2</v>
      </c>
      <c r="I94" s="67">
        <f>SUM($G$7:G94)</f>
        <v>363632</v>
      </c>
      <c r="J94" s="56">
        <f t="shared" si="13"/>
        <v>0.97100849424148639</v>
      </c>
      <c r="K94" s="30"/>
      <c r="L94" s="18" t="str">
        <f t="shared" si="10"/>
        <v/>
      </c>
      <c r="N94" s="17"/>
    </row>
    <row r="95" spans="1:14" s="14" customFormat="1" ht="25" customHeight="1">
      <c r="A95" s="12"/>
      <c r="B95" s="25"/>
      <c r="C95" s="65">
        <v>12</v>
      </c>
      <c r="D95" s="66">
        <f t="shared" si="9"/>
        <v>65</v>
      </c>
      <c r="E95" s="66">
        <f t="shared" si="8"/>
        <v>9</v>
      </c>
      <c r="F95" s="52">
        <f t="shared" si="11"/>
        <v>2.63</v>
      </c>
      <c r="G95" s="53">
        <f>IF(D95=D94,"",_xlfn.IFNA(VLOOKUP(D95,'인원 입력 기능'!$F$5:$I$103,4,FALSE),0))</f>
        <v>2034</v>
      </c>
      <c r="H95" s="54">
        <f t="shared" si="12"/>
        <v>5.4314011893540261E-3</v>
      </c>
      <c r="I95" s="67">
        <f>SUM($G$7:G95)</f>
        <v>365666</v>
      </c>
      <c r="J95" s="56">
        <f t="shared" si="13"/>
        <v>0.97643989543084042</v>
      </c>
      <c r="K95" s="30"/>
      <c r="L95" s="18" t="str">
        <f t="shared" si="10"/>
        <v/>
      </c>
      <c r="N95" s="17"/>
    </row>
    <row r="96" spans="1:14" s="14" customFormat="1" ht="25" customHeight="1">
      <c r="A96" s="12"/>
      <c r="B96" s="25"/>
      <c r="C96" s="65">
        <v>11</v>
      </c>
      <c r="D96" s="66">
        <f t="shared" si="9"/>
        <v>64</v>
      </c>
      <c r="E96" s="66">
        <f t="shared" si="8"/>
        <v>9</v>
      </c>
      <c r="F96" s="52">
        <f t="shared" si="11"/>
        <v>2.09</v>
      </c>
      <c r="G96" s="53">
        <f>IF(D96=D95,"",_xlfn.IFNA(VLOOKUP(D96,'인원 입력 기능'!$F$5:$I$103,4,FALSE),0))</f>
        <v>1962</v>
      </c>
      <c r="H96" s="54">
        <f t="shared" si="12"/>
        <v>5.2391392003503442E-3</v>
      </c>
      <c r="I96" s="67">
        <f>SUM($G$7:G96)</f>
        <v>367628</v>
      </c>
      <c r="J96" s="56">
        <f t="shared" si="13"/>
        <v>0.98167903463119077</v>
      </c>
      <c r="K96" s="30"/>
      <c r="L96" s="18" t="str">
        <f t="shared" si="10"/>
        <v/>
      </c>
      <c r="N96" s="17"/>
    </row>
    <row r="97" spans="1:14" s="14" customFormat="1" ht="25" customHeight="1">
      <c r="A97" s="12"/>
      <c r="B97" s="25"/>
      <c r="C97" s="65">
        <v>10</v>
      </c>
      <c r="D97" s="66">
        <f t="shared" si="9"/>
        <v>63</v>
      </c>
      <c r="E97" s="66">
        <f t="shared" si="8"/>
        <v>9</v>
      </c>
      <c r="F97" s="52">
        <f t="shared" si="11"/>
        <v>1.6</v>
      </c>
      <c r="G97" s="53">
        <f>IF(D97=D96,"",_xlfn.IFNA(VLOOKUP(D97,'인원 입력 기능'!$F$5:$I$103,4,FALSE),0))</f>
        <v>1766</v>
      </c>
      <c r="H97" s="54">
        <f t="shared" si="12"/>
        <v>4.715759341395875E-3</v>
      </c>
      <c r="I97" s="67">
        <f>SUM($G$7:G97)</f>
        <v>369394</v>
      </c>
      <c r="J97" s="56">
        <f t="shared" si="13"/>
        <v>0.98639479397258667</v>
      </c>
      <c r="K97" s="30"/>
      <c r="L97" s="18" t="str">
        <f t="shared" si="10"/>
        <v/>
      </c>
      <c r="N97" s="17"/>
    </row>
    <row r="98" spans="1:14" s="14" customFormat="1" ht="25" customHeight="1">
      <c r="A98" s="12"/>
      <c r="B98" s="25"/>
      <c r="C98" s="65">
        <v>9</v>
      </c>
      <c r="D98" s="125">
        <f t="shared" si="9"/>
        <v>62</v>
      </c>
      <c r="E98" s="125">
        <f t="shared" si="8"/>
        <v>9</v>
      </c>
      <c r="F98" s="127">
        <f t="shared" si="11"/>
        <v>1.08</v>
      </c>
      <c r="G98" s="129">
        <f>IF(D98=D97,"",_xlfn.IFNA(VLOOKUP(D98,'인원 입력 기능'!$F$5:$I$103,4,FALSE),0))</f>
        <v>2094</v>
      </c>
      <c r="H98" s="130">
        <f t="shared" si="12"/>
        <v>5.5916195135237616E-3</v>
      </c>
      <c r="I98" s="132">
        <f>SUM($G$7:G98)</f>
        <v>371488</v>
      </c>
      <c r="J98" s="134">
        <f t="shared" si="13"/>
        <v>0.99198641348611039</v>
      </c>
      <c r="K98" s="30"/>
      <c r="L98" s="18" t="str">
        <f t="shared" si="10"/>
        <v/>
      </c>
      <c r="N98" s="17"/>
    </row>
    <row r="99" spans="1:14" s="14" customFormat="1" ht="25" customHeight="1">
      <c r="A99" s="12"/>
      <c r="B99" s="25"/>
      <c r="C99" s="65">
        <v>8</v>
      </c>
      <c r="D99" s="124"/>
      <c r="E99" s="124"/>
      <c r="F99" s="126"/>
      <c r="G99" s="128"/>
      <c r="H99" s="131"/>
      <c r="I99" s="133"/>
      <c r="J99" s="135"/>
      <c r="K99" s="30"/>
      <c r="L99" s="18" t="str">
        <f t="shared" si="10"/>
        <v>경고</v>
      </c>
      <c r="N99" s="17"/>
    </row>
    <row r="100" spans="1:14" s="14" customFormat="1" ht="25" customHeight="1">
      <c r="A100" s="12"/>
      <c r="B100" s="25"/>
      <c r="C100" s="65">
        <v>7</v>
      </c>
      <c r="D100" s="66">
        <f t="shared" si="9"/>
        <v>61</v>
      </c>
      <c r="E100" s="66">
        <f t="shared" si="8"/>
        <v>9</v>
      </c>
      <c r="F100" s="52">
        <f t="shared" si="11"/>
        <v>0.68</v>
      </c>
      <c r="G100" s="53">
        <f>IF(D100=D99,"",_xlfn.IFNA(VLOOKUP(D100,'인원 입력 기능'!$F$5:$I$103,4,FALSE),0))</f>
        <v>890</v>
      </c>
      <c r="H100" s="54">
        <f t="shared" si="12"/>
        <v>2.3765718085177402E-3</v>
      </c>
      <c r="I100" s="67">
        <f>SUM($G$7:G100)</f>
        <v>372378</v>
      </c>
      <c r="J100" s="56">
        <f t="shared" si="13"/>
        <v>0.99436298529462819</v>
      </c>
      <c r="K100" s="30"/>
      <c r="L100" s="18" t="str">
        <f t="shared" si="10"/>
        <v/>
      </c>
      <c r="N100" s="17"/>
    </row>
    <row r="101" spans="1:14" s="14" customFormat="1" ht="25" customHeight="1">
      <c r="A101" s="12"/>
      <c r="B101" s="25"/>
      <c r="C101" s="57">
        <v>6</v>
      </c>
      <c r="D101" s="51">
        <f t="shared" si="9"/>
        <v>60</v>
      </c>
      <c r="E101" s="66">
        <f t="shared" si="8"/>
        <v>9</v>
      </c>
      <c r="F101" s="52">
        <f t="shared" si="11"/>
        <v>0.47</v>
      </c>
      <c r="G101" s="53">
        <f>IF(D101=D100,"",_xlfn.IFNA(VLOOKUP(D101,'인원 입력 기능'!$F$5:$I$103,4,FALSE),0))</f>
        <v>714</v>
      </c>
      <c r="H101" s="54">
        <f t="shared" si="12"/>
        <v>1.9065980576198499E-3</v>
      </c>
      <c r="I101" s="64">
        <f>SUM($G$7:G101)</f>
        <v>373092</v>
      </c>
      <c r="J101" s="56">
        <f t="shared" si="13"/>
        <v>0.99626958335224802</v>
      </c>
      <c r="K101" s="30"/>
      <c r="L101" s="18" t="str">
        <f t="shared" si="10"/>
        <v/>
      </c>
      <c r="N101" s="17"/>
    </row>
    <row r="102" spans="1:14" s="14" customFormat="1" ht="25" customHeight="1">
      <c r="A102" s="12"/>
      <c r="B102" s="25"/>
      <c r="C102" s="57">
        <v>5</v>
      </c>
      <c r="D102" s="51">
        <f t="shared" si="9"/>
        <v>59</v>
      </c>
      <c r="E102" s="66">
        <f t="shared" si="8"/>
        <v>9</v>
      </c>
      <c r="F102" s="52">
        <f t="shared" si="11"/>
        <v>0.33</v>
      </c>
      <c r="G102" s="53">
        <f>IF(D102=D101,"",_xlfn.IFNA(VLOOKUP(D102,'인원 입력 기능'!$F$5:$I$103,4,FALSE),0))</f>
        <v>302</v>
      </c>
      <c r="H102" s="54">
        <f t="shared" si="12"/>
        <v>8.0643223165433433E-4</v>
      </c>
      <c r="I102" s="64">
        <f>SUM($G$7:G102)</f>
        <v>373394</v>
      </c>
      <c r="J102" s="56">
        <f t="shared" si="13"/>
        <v>0.99707601558390235</v>
      </c>
      <c r="K102" s="30"/>
      <c r="L102" s="18" t="str">
        <f t="shared" si="10"/>
        <v/>
      </c>
      <c r="N102" s="17"/>
    </row>
    <row r="103" spans="1:14" s="14" customFormat="1" ht="25" customHeight="1">
      <c r="A103" s="12"/>
      <c r="B103" s="25"/>
      <c r="C103" s="57">
        <v>4</v>
      </c>
      <c r="D103" s="51">
        <f t="shared" si="9"/>
        <v>58</v>
      </c>
      <c r="E103" s="66">
        <f t="shared" si="8"/>
        <v>9</v>
      </c>
      <c r="F103" s="52">
        <f t="shared" si="11"/>
        <v>0.25</v>
      </c>
      <c r="G103" s="53">
        <f>IF(D103=D102,"",_xlfn.IFNA(VLOOKUP(D103,'인원 입력 기능'!$F$5:$I$103,4,FALSE),0))</f>
        <v>325</v>
      </c>
      <c r="H103" s="54">
        <f t="shared" si="12"/>
        <v>8.6784925591939946E-4</v>
      </c>
      <c r="I103" s="64">
        <f>SUM($G$7:G103)</f>
        <v>373719</v>
      </c>
      <c r="J103" s="56">
        <f t="shared" si="13"/>
        <v>0.99794386483982178</v>
      </c>
      <c r="K103" s="30"/>
      <c r="L103" s="18" t="str">
        <f t="shared" si="10"/>
        <v/>
      </c>
      <c r="N103" s="17"/>
    </row>
    <row r="104" spans="1:14" s="14" customFormat="1" ht="25" customHeight="1">
      <c r="A104" s="12"/>
      <c r="B104" s="25"/>
      <c r="C104" s="57">
        <v>3</v>
      </c>
      <c r="D104" s="51">
        <f t="shared" si="9"/>
        <v>57</v>
      </c>
      <c r="E104" s="51">
        <f t="shared" si="8"/>
        <v>9</v>
      </c>
      <c r="F104" s="52">
        <f t="shared" si="11"/>
        <v>0.16</v>
      </c>
      <c r="G104" s="53">
        <f>IF(D104=D103,"",_xlfn.IFNA(VLOOKUP(D104,'인원 입력 기능'!$F$5:$I$103,4,FALSE),0))</f>
        <v>326</v>
      </c>
      <c r="H104" s="54">
        <f t="shared" si="12"/>
        <v>8.7051956132222844E-4</v>
      </c>
      <c r="I104" s="64">
        <f>SUM($G$7:G104)</f>
        <v>374045</v>
      </c>
      <c r="J104" s="56">
        <f t="shared" si="13"/>
        <v>0.99881438440114401</v>
      </c>
      <c r="K104" s="30"/>
      <c r="L104" s="18" t="str">
        <f t="shared" si="10"/>
        <v/>
      </c>
      <c r="N104" s="17"/>
    </row>
    <row r="105" spans="1:14" s="14" customFormat="1" ht="25" customHeight="1">
      <c r="A105" s="12"/>
      <c r="B105" s="25"/>
      <c r="C105" s="57">
        <v>2</v>
      </c>
      <c r="D105" s="51">
        <f t="shared" ref="D105" si="14">ROUND(20*(C105-$H$3)/$H$4+100,0)</f>
        <v>56</v>
      </c>
      <c r="E105" s="51">
        <f t="shared" si="8"/>
        <v>9</v>
      </c>
      <c r="F105" s="52">
        <f t="shared" si="11"/>
        <v>0.11</v>
      </c>
      <c r="G105" s="53">
        <f>IF(D105=D104,"",_xlfn.IFNA(VLOOKUP(D105,'인원 입력 기능'!$F$5:$I$103,4,FALSE),0))</f>
        <v>96</v>
      </c>
      <c r="H105" s="54">
        <f t="shared" si="12"/>
        <v>2.5634931867157649E-4</v>
      </c>
      <c r="I105" s="64">
        <f>SUM($G$7:G105)</f>
        <v>374141</v>
      </c>
      <c r="J105" s="56">
        <f t="shared" si="13"/>
        <v>0.99907073371981558</v>
      </c>
      <c r="K105" s="30"/>
      <c r="L105" s="18" t="str">
        <f t="shared" si="10"/>
        <v/>
      </c>
      <c r="N105" s="17"/>
    </row>
    <row r="106" spans="1:14" s="14" customFormat="1" ht="25" customHeight="1">
      <c r="A106" s="12"/>
      <c r="B106" s="25"/>
      <c r="C106" s="57">
        <v>1</v>
      </c>
      <c r="D106" s="58" t="s">
        <v>37</v>
      </c>
      <c r="E106" s="58"/>
      <c r="F106" s="59"/>
      <c r="G106" s="60"/>
      <c r="H106" s="61"/>
      <c r="I106" s="68"/>
      <c r="J106" s="63"/>
      <c r="K106" s="31"/>
      <c r="L106" s="18"/>
    </row>
    <row r="107" spans="1:14" s="14" customFormat="1" ht="25" customHeight="1" thickBot="1">
      <c r="A107" s="12"/>
      <c r="B107" s="25"/>
      <c r="C107" s="69">
        <v>0</v>
      </c>
      <c r="D107" s="70">
        <f>ROUND(20*(C107-$H$3)/$H$4+100,0)</f>
        <v>54</v>
      </c>
      <c r="E107" s="70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1">
        <f>IF(I105=0,ROUND(100*(1-(I104+I107)/2/$J$3),2),ROUND(100*(1-(I105+I107)/2/$J$3),2))</f>
        <v>0.05</v>
      </c>
      <c r="G107" s="72">
        <f>_xlfn.IFNA(VLOOKUP(D107,'인원 입력 기능'!$F$5:$I$103,4,FALSE),0)</f>
        <v>348</v>
      </c>
      <c r="H107" s="73">
        <f>G107/$J$3</f>
        <v>9.292662801844647E-4</v>
      </c>
      <c r="I107" s="74">
        <f>SUM($G$7:G107)</f>
        <v>374489</v>
      </c>
      <c r="J107" s="76">
        <f>I107/$J$3</f>
        <v>1</v>
      </c>
      <c r="K107" s="30"/>
      <c r="L107" s="18" t="str">
        <f>IF(ABS((C107-$H$3)/$H$4*20+100-D107)&gt;0.49, "경고", "")</f>
        <v/>
      </c>
    </row>
    <row r="108" spans="1:14" ht="6" customHeight="1">
      <c r="A108" s="2"/>
      <c r="B108" s="32"/>
      <c r="C108" s="33"/>
      <c r="D108" s="33"/>
      <c r="E108" s="33"/>
      <c r="F108" s="33"/>
      <c r="G108" s="33"/>
      <c r="H108" s="33"/>
      <c r="I108" s="33"/>
      <c r="J108" s="33"/>
      <c r="K108" s="34"/>
      <c r="L108" s="2"/>
    </row>
  </sheetData>
  <mergeCells count="66">
    <mergeCell ref="I87:I88"/>
    <mergeCell ref="J87:J88"/>
    <mergeCell ref="D98:D99"/>
    <mergeCell ref="E98:E99"/>
    <mergeCell ref="F98:F99"/>
    <mergeCell ref="G98:G99"/>
    <mergeCell ref="H98:H99"/>
    <mergeCell ref="I98:I99"/>
    <mergeCell ref="J98:J99"/>
    <mergeCell ref="D87:D88"/>
    <mergeCell ref="E87:E88"/>
    <mergeCell ref="F87:F88"/>
    <mergeCell ref="G87:G88"/>
    <mergeCell ref="H87:H88"/>
    <mergeCell ref="I65:I66"/>
    <mergeCell ref="J65:J66"/>
    <mergeCell ref="D76:D77"/>
    <mergeCell ref="E76:E77"/>
    <mergeCell ref="F76:F77"/>
    <mergeCell ref="G76:G77"/>
    <mergeCell ref="H76:H77"/>
    <mergeCell ref="I76:I77"/>
    <mergeCell ref="J76:J77"/>
    <mergeCell ref="D65:D66"/>
    <mergeCell ref="E65:E66"/>
    <mergeCell ref="F65:F66"/>
    <mergeCell ref="G65:G66"/>
    <mergeCell ref="H65:H66"/>
    <mergeCell ref="I42:I43"/>
    <mergeCell ref="J42:J43"/>
    <mergeCell ref="D54:D55"/>
    <mergeCell ref="E54:E55"/>
    <mergeCell ref="F54:F55"/>
    <mergeCell ref="G54:G55"/>
    <mergeCell ref="H54:H55"/>
    <mergeCell ref="I54:I55"/>
    <mergeCell ref="J54:J55"/>
    <mergeCell ref="D42:D43"/>
    <mergeCell ref="E42:E43"/>
    <mergeCell ref="F42:F43"/>
    <mergeCell ref="G42:G43"/>
    <mergeCell ref="H42:H43"/>
    <mergeCell ref="I20:I21"/>
    <mergeCell ref="J20:J21"/>
    <mergeCell ref="D31:D32"/>
    <mergeCell ref="E31:E32"/>
    <mergeCell ref="F31:F32"/>
    <mergeCell ref="G31:G32"/>
    <mergeCell ref="H31:H32"/>
    <mergeCell ref="I31:I32"/>
    <mergeCell ref="J31:J32"/>
    <mergeCell ref="D20:D21"/>
    <mergeCell ref="E20:E21"/>
    <mergeCell ref="F20:F21"/>
    <mergeCell ref="G20:G21"/>
    <mergeCell ref="H20:H21"/>
    <mergeCell ref="D3:F3"/>
    <mergeCell ref="D4:F4"/>
    <mergeCell ref="I4:J5"/>
    <mergeCell ref="D9:D10"/>
    <mergeCell ref="E9:E10"/>
    <mergeCell ref="F9:F10"/>
    <mergeCell ref="G9:G10"/>
    <mergeCell ref="H9:H10"/>
    <mergeCell ref="I9:I10"/>
    <mergeCell ref="J9:J10"/>
  </mergeCells>
  <phoneticPr fontId="1" type="noConversion"/>
  <conditionalFormatting sqref="C7:C107">
    <cfRule type="expression" dxfId="2" priority="3">
      <formula>OR(AND($D7=0,OR($D6=$Q$7:$Q$14)),AND($D8&gt;0,OR($D7=$Q$7:$Q$14)))</formula>
    </cfRule>
  </conditionalFormatting>
  <conditionalFormatting sqref="D7:J9 D11:J20 D22:J31 D33:J42 D44:J54 D56:J65 D67:J76 D78:J87 D89:J98 D100:J107">
    <cfRule type="expression" dxfId="1" priority="2">
      <formula>OR($D7=$Q$7:$Q$14)</formula>
    </cfRule>
  </conditionalFormatting>
  <conditionalFormatting sqref="D7:D9 D11:D20 D22:D31 D33:D42 D44:D54 D56:D65 D67:D76 D78:D87 D89:D98 D100:D107">
    <cfRule type="expression" dxfId="0" priority="1">
      <formula>$D7=$D8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9F68-5CFB-48ED-A130-AE73DC06040C}">
  <sheetPr codeName="Sheet6"/>
  <dimension ref="A1:L16"/>
  <sheetViews>
    <sheetView zoomScale="85" zoomScaleNormal="85" workbookViewId="0">
      <selection activeCell="B2" sqref="B2:K16"/>
    </sheetView>
  </sheetViews>
  <sheetFormatPr defaultRowHeight="17"/>
  <cols>
    <col min="2" max="2" width="1" style="2" customWidth="1"/>
    <col min="3" max="10" width="14.1640625" customWidth="1"/>
    <col min="11" max="11" width="1" customWidth="1"/>
  </cols>
  <sheetData>
    <row r="1" spans="1:12">
      <c r="A1" s="2" t="s">
        <v>40</v>
      </c>
      <c r="C1" s="2"/>
      <c r="D1" s="2"/>
      <c r="E1" s="2"/>
      <c r="F1" s="2"/>
      <c r="G1" s="2"/>
      <c r="H1" s="2"/>
      <c r="I1" s="2"/>
      <c r="J1" s="2"/>
      <c r="K1" s="2"/>
    </row>
    <row r="2" spans="1:12" s="2" customFormat="1" ht="6" customHeight="1" thickBot="1">
      <c r="B2" s="22"/>
      <c r="C2" s="23"/>
      <c r="D2" s="23"/>
      <c r="E2" s="23"/>
      <c r="F2" s="23"/>
      <c r="G2" s="23"/>
      <c r="H2" s="23"/>
      <c r="I2" s="23"/>
      <c r="J2" s="23"/>
      <c r="K2" s="24"/>
    </row>
    <row r="3" spans="1:12" s="19" customFormat="1" ht="25" customHeight="1" thickBot="1">
      <c r="A3" s="18"/>
      <c r="B3" s="36"/>
      <c r="C3" s="40" t="s">
        <v>56</v>
      </c>
      <c r="D3" s="105" t="s">
        <v>69</v>
      </c>
      <c r="E3" s="106"/>
      <c r="F3" s="107"/>
      <c r="G3" s="40" t="s">
        <v>57</v>
      </c>
      <c r="H3" s="41" t="str">
        <f>'통계 및 응시자 수 입력 기능'!D6</f>
        <v>59.18</v>
      </c>
      <c r="I3" s="13" t="s">
        <v>58</v>
      </c>
      <c r="J3" s="42">
        <f>'통계 및 응시자 수 입력 기능'!C6</f>
        <v>373482</v>
      </c>
      <c r="K3" s="27"/>
    </row>
    <row r="4" spans="1:12" s="19" customFormat="1" ht="25" customHeight="1" thickBot="1">
      <c r="A4" s="18"/>
      <c r="B4" s="36"/>
      <c r="C4" s="43" t="s">
        <v>59</v>
      </c>
      <c r="D4" s="108" t="s">
        <v>60</v>
      </c>
      <c r="E4" s="109"/>
      <c r="F4" s="110"/>
      <c r="G4" s="44" t="s">
        <v>61</v>
      </c>
      <c r="H4" s="45" t="str">
        <f>'통계 및 응시자 수 입력 기능'!E6</f>
        <v>21.67</v>
      </c>
      <c r="I4" s="111"/>
      <c r="J4" s="112"/>
      <c r="K4" s="27"/>
    </row>
    <row r="5" spans="1:12" s="19" customFormat="1" ht="25" customHeight="1" thickBot="1">
      <c r="A5" s="18"/>
      <c r="B5" s="36"/>
      <c r="C5" s="12"/>
      <c r="D5" s="12"/>
      <c r="E5" s="12"/>
      <c r="F5" s="12"/>
      <c r="G5" s="12"/>
      <c r="H5" s="12"/>
      <c r="I5" s="114"/>
      <c r="J5" s="114"/>
      <c r="K5" s="27"/>
    </row>
    <row r="6" spans="1:12" s="19" customFormat="1" ht="25" customHeight="1" thickBot="1">
      <c r="A6" s="18"/>
      <c r="B6" s="36"/>
      <c r="C6" s="46" t="s">
        <v>63</v>
      </c>
      <c r="D6" s="77" t="s">
        <v>64</v>
      </c>
      <c r="E6" s="78" t="s">
        <v>65</v>
      </c>
      <c r="F6" s="47" t="s">
        <v>66</v>
      </c>
      <c r="G6" s="47" t="s">
        <v>67</v>
      </c>
      <c r="H6" s="49" t="s">
        <v>68</v>
      </c>
      <c r="I6" s="12"/>
      <c r="J6" s="12"/>
      <c r="K6" s="27"/>
      <c r="L6" s="18"/>
    </row>
    <row r="7" spans="1:12" s="19" customFormat="1" ht="25" customHeight="1">
      <c r="A7" s="18"/>
      <c r="B7" s="36"/>
      <c r="C7" s="79">
        <v>1</v>
      </c>
      <c r="D7" s="80">
        <v>90</v>
      </c>
      <c r="E7" s="81">
        <f>'표점등급&amp;절평인원 입력기능'!D22</f>
        <v>35593</v>
      </c>
      <c r="F7" s="82">
        <f>E7/$J$3</f>
        <v>9.5300442859361359E-2</v>
      </c>
      <c r="G7" s="83">
        <f>SUM($E$7:E7)</f>
        <v>35593</v>
      </c>
      <c r="H7" s="84">
        <f>G7/$J$3</f>
        <v>9.5300442859361359E-2</v>
      </c>
      <c r="I7" s="12"/>
      <c r="J7" s="12"/>
      <c r="K7" s="27"/>
      <c r="L7" s="18"/>
    </row>
    <row r="8" spans="1:12" s="19" customFormat="1" ht="25" customHeight="1">
      <c r="A8" s="18"/>
      <c r="B8" s="36"/>
      <c r="C8" s="85">
        <v>2</v>
      </c>
      <c r="D8" s="86">
        <v>80</v>
      </c>
      <c r="E8" s="87">
        <f>'표점등급&amp;절평인원 입력기능'!D23</f>
        <v>39785</v>
      </c>
      <c r="F8" s="82">
        <f t="shared" ref="F8:F15" si="0">E8/$J$3</f>
        <v>0.10652454469023942</v>
      </c>
      <c r="G8" s="88">
        <f>SUM($E$7:E8)</f>
        <v>75378</v>
      </c>
      <c r="H8" s="84">
        <f t="shared" ref="H8:H15" si="1">G8/$J$3</f>
        <v>0.20182498754960079</v>
      </c>
      <c r="I8" s="12"/>
      <c r="J8" s="12"/>
      <c r="K8" s="27"/>
      <c r="L8" s="18"/>
    </row>
    <row r="9" spans="1:12" s="19" customFormat="1" ht="25" customHeight="1">
      <c r="A9" s="18"/>
      <c r="B9" s="36"/>
      <c r="C9" s="85">
        <v>3</v>
      </c>
      <c r="D9" s="86">
        <v>70</v>
      </c>
      <c r="E9" s="87">
        <f>'표점등급&amp;절평인원 입력기능'!D24</f>
        <v>51676</v>
      </c>
      <c r="F9" s="82">
        <f t="shared" si="0"/>
        <v>0.13836275911556647</v>
      </c>
      <c r="G9" s="88">
        <f>SUM($E$7:E9)</f>
        <v>127054</v>
      </c>
      <c r="H9" s="84">
        <f t="shared" si="1"/>
        <v>0.34018774666516727</v>
      </c>
      <c r="I9" s="12"/>
      <c r="J9" s="12"/>
      <c r="K9" s="27"/>
      <c r="L9" s="18"/>
    </row>
    <row r="10" spans="1:12" s="19" customFormat="1" ht="25" customHeight="1">
      <c r="A10" s="18"/>
      <c r="B10" s="36"/>
      <c r="C10" s="85">
        <v>4</v>
      </c>
      <c r="D10" s="86">
        <v>60</v>
      </c>
      <c r="E10" s="87">
        <f>'표점등급&amp;절평인원 입력기능'!D25</f>
        <v>62272</v>
      </c>
      <c r="F10" s="82">
        <f t="shared" si="0"/>
        <v>0.16673360429686035</v>
      </c>
      <c r="G10" s="88">
        <f>SUM($E$7:E10)</f>
        <v>189326</v>
      </c>
      <c r="H10" s="84">
        <f t="shared" si="1"/>
        <v>0.50692135096202762</v>
      </c>
      <c r="I10" s="12"/>
      <c r="J10" s="12"/>
      <c r="K10" s="27"/>
      <c r="L10" s="18"/>
    </row>
    <row r="11" spans="1:12" s="19" customFormat="1" ht="25" customHeight="1">
      <c r="A11" s="18"/>
      <c r="B11" s="36"/>
      <c r="C11" s="85">
        <v>5</v>
      </c>
      <c r="D11" s="86">
        <v>50</v>
      </c>
      <c r="E11" s="87">
        <f>'표점등급&amp;절평인원 입력기능'!D26</f>
        <v>57123</v>
      </c>
      <c r="F11" s="82">
        <f t="shared" si="0"/>
        <v>0.15294712998216781</v>
      </c>
      <c r="G11" s="88">
        <f>SUM($E$7:E11)</f>
        <v>246449</v>
      </c>
      <c r="H11" s="84">
        <f t="shared" si="1"/>
        <v>0.65986848094419548</v>
      </c>
      <c r="I11" s="12"/>
      <c r="J11" s="12"/>
      <c r="K11" s="27"/>
      <c r="L11" s="18"/>
    </row>
    <row r="12" spans="1:12" s="19" customFormat="1" ht="25" customHeight="1">
      <c r="A12" s="18"/>
      <c r="B12" s="36"/>
      <c r="C12" s="85">
        <v>6</v>
      </c>
      <c r="D12" s="86">
        <v>40</v>
      </c>
      <c r="E12" s="87">
        <f>'표점등급&amp;절평인원 입력기능'!D27</f>
        <v>47503</v>
      </c>
      <c r="F12" s="82">
        <f t="shared" si="0"/>
        <v>0.12718952988363563</v>
      </c>
      <c r="G12" s="88">
        <f>SUM($E$7:E12)</f>
        <v>293952</v>
      </c>
      <c r="H12" s="84">
        <f t="shared" si="1"/>
        <v>0.78705801082783111</v>
      </c>
      <c r="I12" s="12"/>
      <c r="J12" s="12"/>
      <c r="K12" s="27"/>
      <c r="L12" s="18"/>
    </row>
    <row r="13" spans="1:12" s="19" customFormat="1" ht="25" customHeight="1">
      <c r="A13" s="18"/>
      <c r="B13" s="36"/>
      <c r="C13" s="85">
        <v>7</v>
      </c>
      <c r="D13" s="86">
        <v>30</v>
      </c>
      <c r="E13" s="87">
        <f>'표점등급&amp;절평인원 입력기능'!D28</f>
        <v>39974</v>
      </c>
      <c r="F13" s="82">
        <f t="shared" si="0"/>
        <v>0.10703059317450372</v>
      </c>
      <c r="G13" s="88">
        <f>SUM($E$7:E13)</f>
        <v>333926</v>
      </c>
      <c r="H13" s="84">
        <f t="shared" si="1"/>
        <v>0.89408860400233481</v>
      </c>
      <c r="I13" s="12"/>
      <c r="J13" s="12"/>
      <c r="K13" s="27"/>
      <c r="L13" s="18"/>
    </row>
    <row r="14" spans="1:12" s="19" customFormat="1" ht="25" customHeight="1">
      <c r="A14" s="18"/>
      <c r="B14" s="36"/>
      <c r="C14" s="85">
        <v>8</v>
      </c>
      <c r="D14" s="86">
        <v>20</v>
      </c>
      <c r="E14" s="87">
        <f>'표점등급&amp;절평인원 입력기능'!D29</f>
        <v>29998</v>
      </c>
      <c r="F14" s="82">
        <f t="shared" si="0"/>
        <v>8.0319801222013376E-2</v>
      </c>
      <c r="G14" s="88">
        <f>SUM($E$7:E14)</f>
        <v>363924</v>
      </c>
      <c r="H14" s="84">
        <f t="shared" si="1"/>
        <v>0.97440840522434813</v>
      </c>
      <c r="I14" s="12"/>
      <c r="J14" s="12"/>
      <c r="K14" s="27"/>
      <c r="L14" s="18"/>
    </row>
    <row r="15" spans="1:12" s="19" customFormat="1" ht="25" customHeight="1" thickBot="1">
      <c r="A15" s="18"/>
      <c r="B15" s="36"/>
      <c r="C15" s="89">
        <v>9</v>
      </c>
      <c r="D15" s="90">
        <v>0</v>
      </c>
      <c r="E15" s="91">
        <f>'표점등급&amp;절평인원 입력기능'!D30</f>
        <v>9558</v>
      </c>
      <c r="F15" s="92">
        <f t="shared" si="0"/>
        <v>2.559159477565184E-2</v>
      </c>
      <c r="G15" s="93">
        <f>SUM($E$7:E15)</f>
        <v>373482</v>
      </c>
      <c r="H15" s="94">
        <f t="shared" si="1"/>
        <v>1</v>
      </c>
      <c r="I15" s="12"/>
      <c r="J15" s="12"/>
      <c r="K15" s="27"/>
      <c r="L15" s="18"/>
    </row>
    <row r="16" spans="1:12" ht="6" customHeight="1">
      <c r="A16" s="2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AB635-F5A9-449C-B5D9-16CA419300D1}">
  <sheetPr codeName="Sheet7"/>
  <dimension ref="A1:L16"/>
  <sheetViews>
    <sheetView zoomScale="85" zoomScaleNormal="85" workbookViewId="0">
      <selection activeCell="B2" sqref="B2:K16"/>
    </sheetView>
  </sheetViews>
  <sheetFormatPr defaultRowHeight="17"/>
  <cols>
    <col min="2" max="2" width="1" style="2" customWidth="1"/>
    <col min="3" max="10" width="14.1640625" customWidth="1"/>
    <col min="11" max="11" width="1" customWidth="1"/>
  </cols>
  <sheetData>
    <row r="1" spans="1:12">
      <c r="A1" s="2" t="s">
        <v>40</v>
      </c>
      <c r="C1" s="2"/>
      <c r="D1" s="2"/>
      <c r="E1" s="2"/>
      <c r="F1" s="2"/>
      <c r="G1" s="2"/>
      <c r="H1" s="2"/>
      <c r="I1" s="2"/>
      <c r="J1" s="2"/>
      <c r="K1" s="2"/>
    </row>
    <row r="2" spans="1:12" s="2" customFormat="1" ht="6" customHeight="1" thickBot="1">
      <c r="B2" s="22"/>
      <c r="C2" s="23"/>
      <c r="D2" s="23"/>
      <c r="E2" s="23"/>
      <c r="F2" s="23"/>
      <c r="G2" s="23"/>
      <c r="H2" s="23"/>
      <c r="I2" s="23"/>
      <c r="J2" s="23"/>
      <c r="K2" s="24"/>
    </row>
    <row r="3" spans="1:12" s="19" customFormat="1" ht="25" customHeight="1" thickBot="1">
      <c r="A3" s="18"/>
      <c r="B3" s="36"/>
      <c r="C3" s="40" t="s">
        <v>56</v>
      </c>
      <c r="D3" s="105" t="s">
        <v>69</v>
      </c>
      <c r="E3" s="106"/>
      <c r="F3" s="107"/>
      <c r="G3" s="40" t="s">
        <v>57</v>
      </c>
      <c r="H3" s="41" t="str">
        <f>'통계 및 응시자 수 입력 기능'!D7</f>
        <v>23.80</v>
      </c>
      <c r="I3" s="13" t="s">
        <v>58</v>
      </c>
      <c r="J3" s="42">
        <f>'통계 및 응시자 수 입력 기능'!C7</f>
        <v>370540</v>
      </c>
      <c r="K3" s="27"/>
    </row>
    <row r="4" spans="1:12" s="19" customFormat="1" ht="25" customHeight="1" thickBot="1">
      <c r="A4" s="18"/>
      <c r="B4" s="36"/>
      <c r="C4" s="43" t="s">
        <v>59</v>
      </c>
      <c r="D4" s="108" t="s">
        <v>62</v>
      </c>
      <c r="E4" s="109"/>
      <c r="F4" s="110"/>
      <c r="G4" s="44" t="s">
        <v>61</v>
      </c>
      <c r="H4" s="45" t="str">
        <f>'통계 및 응시자 수 입력 기능'!E7</f>
        <v>10.24</v>
      </c>
      <c r="I4" s="111"/>
      <c r="J4" s="112"/>
      <c r="K4" s="27"/>
    </row>
    <row r="5" spans="1:12" s="19" customFormat="1" ht="25" customHeight="1" thickBot="1">
      <c r="A5" s="18"/>
      <c r="B5" s="36"/>
      <c r="C5" s="12"/>
      <c r="D5" s="12"/>
      <c r="E5" s="12"/>
      <c r="F5" s="12"/>
      <c r="G5" s="12"/>
      <c r="H5" s="12"/>
      <c r="I5" s="114"/>
      <c r="J5" s="114"/>
      <c r="K5" s="27"/>
    </row>
    <row r="6" spans="1:12" s="19" customFormat="1" ht="25" customHeight="1" thickBot="1">
      <c r="A6" s="18"/>
      <c r="B6" s="36"/>
      <c r="C6" s="46" t="s">
        <v>63</v>
      </c>
      <c r="D6" s="77" t="s">
        <v>64</v>
      </c>
      <c r="E6" s="78" t="s">
        <v>65</v>
      </c>
      <c r="F6" s="47" t="s">
        <v>66</v>
      </c>
      <c r="G6" s="47" t="s">
        <v>67</v>
      </c>
      <c r="H6" s="49" t="s">
        <v>68</v>
      </c>
      <c r="I6" s="12"/>
      <c r="J6" s="12"/>
      <c r="K6" s="27"/>
      <c r="L6" s="18"/>
    </row>
    <row r="7" spans="1:12" s="19" customFormat="1" ht="25" customHeight="1">
      <c r="A7" s="18"/>
      <c r="B7" s="36"/>
      <c r="C7" s="95">
        <v>1</v>
      </c>
      <c r="D7" s="96">
        <v>40</v>
      </c>
      <c r="E7" s="81">
        <f>'표점등급&amp;절평인원 입력기능'!D31</f>
        <v>32247</v>
      </c>
      <c r="F7" s="82">
        <f>E7/$J$3</f>
        <v>8.7027041614940362E-2</v>
      </c>
      <c r="G7" s="83">
        <f>SUM($E$7:E7)</f>
        <v>32247</v>
      </c>
      <c r="H7" s="84">
        <f>G7/$J$3</f>
        <v>8.7027041614940362E-2</v>
      </c>
      <c r="I7" s="12"/>
      <c r="J7" s="12"/>
      <c r="K7" s="27"/>
      <c r="L7" s="18"/>
    </row>
    <row r="8" spans="1:12" s="19" customFormat="1" ht="25" customHeight="1">
      <c r="A8" s="18"/>
      <c r="B8" s="36"/>
      <c r="C8" s="97">
        <v>2</v>
      </c>
      <c r="D8" s="98">
        <v>35</v>
      </c>
      <c r="E8" s="87">
        <f>'표점등급&amp;절평인원 입력기능'!D32</f>
        <v>30215</v>
      </c>
      <c r="F8" s="82">
        <f t="shared" ref="F8:F15" si="0">E8/$J$3</f>
        <v>8.1543153235817997E-2</v>
      </c>
      <c r="G8" s="88">
        <f>SUM($E$7:E8)</f>
        <v>62462</v>
      </c>
      <c r="H8" s="84">
        <f t="shared" ref="H8:H15" si="1">G8/$J$3</f>
        <v>0.16857019485075836</v>
      </c>
      <c r="I8" s="12"/>
      <c r="J8" s="12"/>
      <c r="K8" s="27"/>
      <c r="L8" s="18"/>
    </row>
    <row r="9" spans="1:12" s="19" customFormat="1" ht="25" customHeight="1">
      <c r="A9" s="18"/>
      <c r="B9" s="36"/>
      <c r="C9" s="97">
        <v>3</v>
      </c>
      <c r="D9" s="98">
        <v>30</v>
      </c>
      <c r="E9" s="87">
        <f>'표점등급&amp;절평인원 입력기능'!D33</f>
        <v>42904</v>
      </c>
      <c r="F9" s="82">
        <f t="shared" si="0"/>
        <v>0.11578776920170562</v>
      </c>
      <c r="G9" s="88">
        <f>SUM($E$7:E9)</f>
        <v>105366</v>
      </c>
      <c r="H9" s="84">
        <f t="shared" si="1"/>
        <v>0.284357964052464</v>
      </c>
      <c r="I9" s="12"/>
      <c r="J9" s="12"/>
      <c r="K9" s="27"/>
      <c r="L9" s="18"/>
    </row>
    <row r="10" spans="1:12" s="19" customFormat="1" ht="25" customHeight="1">
      <c r="A10" s="18"/>
      <c r="B10" s="36"/>
      <c r="C10" s="97">
        <v>4</v>
      </c>
      <c r="D10" s="98">
        <v>25</v>
      </c>
      <c r="E10" s="87">
        <f>'표점등급&amp;절평인원 입력기능'!D34</f>
        <v>56867</v>
      </c>
      <c r="F10" s="82">
        <f t="shared" si="0"/>
        <v>0.15347061046040913</v>
      </c>
      <c r="G10" s="88">
        <f>SUM($E$7:E10)</f>
        <v>162233</v>
      </c>
      <c r="H10" s="84">
        <f t="shared" si="1"/>
        <v>0.4378285745128731</v>
      </c>
      <c r="I10" s="12"/>
      <c r="J10" s="12"/>
      <c r="K10" s="27"/>
      <c r="L10" s="18"/>
    </row>
    <row r="11" spans="1:12" s="19" customFormat="1" ht="25" customHeight="1">
      <c r="A11" s="18"/>
      <c r="B11" s="36"/>
      <c r="C11" s="97">
        <v>5</v>
      </c>
      <c r="D11" s="98">
        <v>20</v>
      </c>
      <c r="E11" s="87">
        <f>'표점등급&amp;절평인원 입력기능'!D35</f>
        <v>67147</v>
      </c>
      <c r="F11" s="82">
        <f t="shared" si="0"/>
        <v>0.18121390403195337</v>
      </c>
      <c r="G11" s="88">
        <f>SUM($E$7:E11)</f>
        <v>229380</v>
      </c>
      <c r="H11" s="84">
        <f t="shared" si="1"/>
        <v>0.61904247854482652</v>
      </c>
      <c r="I11" s="12"/>
      <c r="J11" s="12"/>
      <c r="K11" s="27"/>
      <c r="L11" s="18"/>
    </row>
    <row r="12" spans="1:12" s="19" customFormat="1" ht="25" customHeight="1">
      <c r="A12" s="18"/>
      <c r="B12" s="36"/>
      <c r="C12" s="97">
        <v>6</v>
      </c>
      <c r="D12" s="98">
        <v>15</v>
      </c>
      <c r="E12" s="87">
        <f>'표점등급&amp;절평인원 입력기능'!D36</f>
        <v>66749</v>
      </c>
      <c r="F12" s="82">
        <f t="shared" si="0"/>
        <v>0.18013979597344415</v>
      </c>
      <c r="G12" s="88">
        <f>SUM($E$7:E12)</f>
        <v>296129</v>
      </c>
      <c r="H12" s="84">
        <f t="shared" si="1"/>
        <v>0.79918227451827062</v>
      </c>
      <c r="I12" s="12"/>
      <c r="J12" s="12"/>
      <c r="K12" s="27"/>
      <c r="L12" s="18"/>
    </row>
    <row r="13" spans="1:12" s="19" customFormat="1" ht="25" customHeight="1">
      <c r="A13" s="18"/>
      <c r="B13" s="36"/>
      <c r="C13" s="97">
        <v>7</v>
      </c>
      <c r="D13" s="98">
        <v>10</v>
      </c>
      <c r="E13" s="87">
        <f>'표점등급&amp;절평인원 입력기능'!D37</f>
        <v>51741</v>
      </c>
      <c r="F13" s="82">
        <f t="shared" si="0"/>
        <v>0.13963674637016246</v>
      </c>
      <c r="G13" s="88">
        <f>SUM($E$7:E13)</f>
        <v>347870</v>
      </c>
      <c r="H13" s="84">
        <f t="shared" si="1"/>
        <v>0.93881902088843305</v>
      </c>
      <c r="I13" s="12"/>
      <c r="J13" s="12"/>
      <c r="K13" s="27"/>
      <c r="L13" s="18"/>
    </row>
    <row r="14" spans="1:12" s="19" customFormat="1" ht="25" customHeight="1">
      <c r="A14" s="18"/>
      <c r="B14" s="36"/>
      <c r="C14" s="97">
        <v>8</v>
      </c>
      <c r="D14" s="98">
        <v>5</v>
      </c>
      <c r="E14" s="87">
        <f>'표점등급&amp;절평인원 입력기능'!D38</f>
        <v>20369</v>
      </c>
      <c r="F14" s="82">
        <f t="shared" si="0"/>
        <v>5.497112322556269E-2</v>
      </c>
      <c r="G14" s="88">
        <f>SUM($E$7:E14)</f>
        <v>368239</v>
      </c>
      <c r="H14" s="84">
        <f t="shared" si="1"/>
        <v>0.9937901441139958</v>
      </c>
      <c r="I14" s="12"/>
      <c r="J14" s="12"/>
      <c r="K14" s="27"/>
      <c r="L14" s="18"/>
    </row>
    <row r="15" spans="1:12" s="19" customFormat="1" ht="25" customHeight="1" thickBot="1">
      <c r="A15" s="18"/>
      <c r="B15" s="36"/>
      <c r="C15" s="99">
        <v>9</v>
      </c>
      <c r="D15" s="100">
        <v>0</v>
      </c>
      <c r="E15" s="91">
        <f>'표점등급&amp;절평인원 입력기능'!D39</f>
        <v>2301</v>
      </c>
      <c r="F15" s="92">
        <f t="shared" si="0"/>
        <v>6.2098558860042103E-3</v>
      </c>
      <c r="G15" s="93">
        <f>SUM($E$7:E15)</f>
        <v>370540</v>
      </c>
      <c r="H15" s="94">
        <f t="shared" si="1"/>
        <v>1</v>
      </c>
      <c r="I15" s="12"/>
      <c r="J15" s="12"/>
      <c r="K15" s="27"/>
      <c r="L15" s="18"/>
    </row>
    <row r="16" spans="1:12" ht="6" customHeight="1">
      <c r="A16" s="2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5C796-3132-4C04-AFE6-AEEFC657C7D6}">
  <sheetPr codeName="Sheet8"/>
  <dimension ref="A1:L16"/>
  <sheetViews>
    <sheetView zoomScale="85" zoomScaleNormal="85" workbookViewId="0">
      <selection activeCell="B2" sqref="B2:K16"/>
    </sheetView>
  </sheetViews>
  <sheetFormatPr defaultRowHeight="17"/>
  <cols>
    <col min="2" max="2" width="1" style="2" customWidth="1"/>
    <col min="3" max="10" width="14.1640625" customWidth="1"/>
    <col min="11" max="11" width="1" customWidth="1"/>
  </cols>
  <sheetData>
    <row r="1" spans="1:12">
      <c r="A1" s="2" t="s">
        <v>40</v>
      </c>
      <c r="C1" s="2"/>
      <c r="D1" s="2"/>
      <c r="E1" s="2"/>
      <c r="F1" s="2"/>
      <c r="G1" s="2"/>
      <c r="H1" s="2"/>
      <c r="I1" s="2"/>
      <c r="J1" s="2"/>
      <c r="K1" s="2"/>
    </row>
    <row r="2" spans="1:12" s="2" customFormat="1" ht="6" customHeight="1" thickBot="1">
      <c r="B2" s="22"/>
      <c r="C2" s="23"/>
      <c r="D2" s="23"/>
      <c r="E2" s="23"/>
      <c r="F2" s="23"/>
      <c r="G2" s="23"/>
      <c r="H2" s="23"/>
      <c r="I2" s="23"/>
      <c r="J2" s="23"/>
      <c r="K2" s="24"/>
    </row>
    <row r="3" spans="1:12" s="19" customFormat="1" ht="25" customHeight="1" thickBot="1">
      <c r="A3" s="18"/>
      <c r="B3" s="36"/>
      <c r="C3" s="40" t="s">
        <v>56</v>
      </c>
      <c r="D3" s="105" t="s">
        <v>69</v>
      </c>
      <c r="E3" s="106"/>
      <c r="F3" s="107"/>
      <c r="G3" s="40" t="s">
        <v>57</v>
      </c>
      <c r="H3" s="41" t="str">
        <f>'통계 및 응시자 수 입력 기능'!D8</f>
        <v>32.79</v>
      </c>
      <c r="I3" s="13" t="s">
        <v>58</v>
      </c>
      <c r="J3" s="42">
        <f>'통계 및 응시자 수 입력 기능'!C8</f>
        <v>370836</v>
      </c>
      <c r="K3" s="27"/>
    </row>
    <row r="4" spans="1:12" s="19" customFormat="1" ht="25" customHeight="1" thickBot="1">
      <c r="A4" s="18"/>
      <c r="B4" s="36"/>
      <c r="C4" s="43" t="s">
        <v>59</v>
      </c>
      <c r="D4" s="115" t="s">
        <v>70</v>
      </c>
      <c r="E4" s="109"/>
      <c r="F4" s="110"/>
      <c r="G4" s="44" t="s">
        <v>61</v>
      </c>
      <c r="H4" s="45" t="str">
        <f>'통계 및 응시자 수 입력 기능'!E8</f>
        <v xml:space="preserve"> 9.26</v>
      </c>
      <c r="I4" s="111"/>
      <c r="J4" s="112"/>
      <c r="K4" s="27"/>
    </row>
    <row r="5" spans="1:12" s="19" customFormat="1" ht="25" customHeight="1" thickBot="1">
      <c r="A5" s="18"/>
      <c r="B5" s="36"/>
      <c r="C5" s="12"/>
      <c r="D5" s="12"/>
      <c r="E5" s="12"/>
      <c r="F5" s="12"/>
      <c r="G5" s="12"/>
      <c r="H5" s="12"/>
      <c r="I5" s="114"/>
      <c r="J5" s="114"/>
      <c r="K5" s="27"/>
    </row>
    <row r="6" spans="1:12" s="19" customFormat="1" ht="25" customHeight="1" thickBot="1">
      <c r="A6" s="18"/>
      <c r="B6" s="36"/>
      <c r="C6" s="46" t="s">
        <v>63</v>
      </c>
      <c r="D6" s="77" t="s">
        <v>64</v>
      </c>
      <c r="E6" s="78" t="s">
        <v>65</v>
      </c>
      <c r="F6" s="47" t="s">
        <v>66</v>
      </c>
      <c r="G6" s="47" t="s">
        <v>67</v>
      </c>
      <c r="H6" s="49" t="s">
        <v>68</v>
      </c>
      <c r="I6" s="12"/>
      <c r="J6" s="12"/>
      <c r="K6" s="27"/>
      <c r="L6" s="18"/>
    </row>
    <row r="7" spans="1:12" s="19" customFormat="1" ht="25" customHeight="1">
      <c r="A7" s="18"/>
      <c r="B7" s="36"/>
      <c r="C7" s="95">
        <v>1</v>
      </c>
      <c r="D7" s="96">
        <v>40</v>
      </c>
      <c r="E7" s="81">
        <f>'표점등급&amp;절평인원 입력기능'!D40</f>
        <v>90182</v>
      </c>
      <c r="F7" s="82">
        <f>E7/$J$3</f>
        <v>0.24318566697947341</v>
      </c>
      <c r="G7" s="83">
        <f>SUM($E$7:E7)</f>
        <v>90182</v>
      </c>
      <c r="H7" s="84">
        <f>G7/$J$3</f>
        <v>0.24318566697947341</v>
      </c>
      <c r="I7" s="12"/>
      <c r="J7" s="12"/>
      <c r="K7" s="27"/>
      <c r="L7" s="18"/>
    </row>
    <row r="8" spans="1:12" s="19" customFormat="1" ht="25" customHeight="1">
      <c r="A8" s="18"/>
      <c r="B8" s="36"/>
      <c r="C8" s="97">
        <v>2</v>
      </c>
      <c r="D8" s="98">
        <v>35</v>
      </c>
      <c r="E8" s="87">
        <f>'표점등급&amp;절평인원 입력기능'!D41</f>
        <v>81612</v>
      </c>
      <c r="F8" s="82">
        <f t="shared" ref="F8:F15" si="0">E8/$J$3</f>
        <v>0.22007572080380547</v>
      </c>
      <c r="G8" s="88">
        <f>SUM($E$7:E8)</f>
        <v>171794</v>
      </c>
      <c r="H8" s="84">
        <f t="shared" ref="H8:H15" si="1">G8/$J$3</f>
        <v>0.46326138778327886</v>
      </c>
      <c r="I8" s="12"/>
      <c r="J8" s="12"/>
      <c r="K8" s="27"/>
      <c r="L8" s="18"/>
    </row>
    <row r="9" spans="1:12" s="19" customFormat="1" ht="25" customHeight="1">
      <c r="A9" s="18"/>
      <c r="B9" s="36"/>
      <c r="C9" s="97">
        <v>3</v>
      </c>
      <c r="D9" s="98">
        <v>30</v>
      </c>
      <c r="E9" s="87">
        <f>'표점등급&amp;절평인원 입력기능'!D42</f>
        <v>79835</v>
      </c>
      <c r="F9" s="82">
        <f t="shared" si="0"/>
        <v>0.21528384514987758</v>
      </c>
      <c r="G9" s="88">
        <f>SUM($E$7:E9)</f>
        <v>251629</v>
      </c>
      <c r="H9" s="84">
        <f t="shared" si="1"/>
        <v>0.67854523293315638</v>
      </c>
      <c r="I9" s="12"/>
      <c r="J9" s="12"/>
      <c r="K9" s="27"/>
      <c r="L9" s="18"/>
    </row>
    <row r="10" spans="1:12" s="19" customFormat="1" ht="25" customHeight="1">
      <c r="A10" s="18"/>
      <c r="B10" s="36"/>
      <c r="C10" s="97">
        <v>4</v>
      </c>
      <c r="D10" s="98">
        <v>25</v>
      </c>
      <c r="E10" s="87">
        <f>'표점등급&amp;절평인원 입력기능'!D43</f>
        <v>56371</v>
      </c>
      <c r="F10" s="82">
        <f t="shared" si="0"/>
        <v>0.15201059228338135</v>
      </c>
      <c r="G10" s="88">
        <f>SUM($E$7:E10)</f>
        <v>308000</v>
      </c>
      <c r="H10" s="84">
        <f t="shared" si="1"/>
        <v>0.83055582521653781</v>
      </c>
      <c r="I10" s="12"/>
      <c r="J10" s="12"/>
      <c r="K10" s="27"/>
      <c r="L10" s="18"/>
    </row>
    <row r="11" spans="1:12" s="19" customFormat="1" ht="25" customHeight="1">
      <c r="A11" s="18"/>
      <c r="B11" s="36"/>
      <c r="C11" s="97">
        <v>5</v>
      </c>
      <c r="D11" s="98">
        <v>20</v>
      </c>
      <c r="E11" s="87">
        <f>'표점등급&amp;절평인원 입력기능'!D44</f>
        <v>29153</v>
      </c>
      <c r="F11" s="82">
        <f t="shared" si="0"/>
        <v>7.8614266144602998E-2</v>
      </c>
      <c r="G11" s="88">
        <f>SUM($E$7:E11)</f>
        <v>337153</v>
      </c>
      <c r="H11" s="84">
        <f t="shared" si="1"/>
        <v>0.9091700913611408</v>
      </c>
      <c r="I11" s="12"/>
      <c r="J11" s="12"/>
      <c r="K11" s="27"/>
      <c r="L11" s="18"/>
    </row>
    <row r="12" spans="1:12" s="19" customFormat="1" ht="25" customHeight="1">
      <c r="A12" s="18"/>
      <c r="B12" s="36"/>
      <c r="C12" s="97">
        <v>6</v>
      </c>
      <c r="D12" s="98">
        <v>15</v>
      </c>
      <c r="E12" s="87">
        <f>'표점등급&amp;절평인원 입력기능'!D45</f>
        <v>14358</v>
      </c>
      <c r="F12" s="82">
        <f t="shared" si="0"/>
        <v>3.8717923826165741E-2</v>
      </c>
      <c r="G12" s="88">
        <f>SUM($E$7:E12)</f>
        <v>351511</v>
      </c>
      <c r="H12" s="84">
        <f t="shared" si="1"/>
        <v>0.94788801518730648</v>
      </c>
      <c r="I12" s="12"/>
      <c r="J12" s="12"/>
      <c r="K12" s="27"/>
      <c r="L12" s="18"/>
    </row>
    <row r="13" spans="1:12" s="19" customFormat="1" ht="25" customHeight="1">
      <c r="A13" s="18"/>
      <c r="B13" s="36"/>
      <c r="C13" s="97">
        <v>7</v>
      </c>
      <c r="D13" s="98">
        <v>10</v>
      </c>
      <c r="E13" s="87">
        <f>'표점등급&amp;절평인원 입력기능'!D46</f>
        <v>11566</v>
      </c>
      <c r="F13" s="82">
        <f t="shared" si="0"/>
        <v>3.1188989202774273E-2</v>
      </c>
      <c r="G13" s="88">
        <f>SUM($E$7:E13)</f>
        <v>363077</v>
      </c>
      <c r="H13" s="84">
        <f t="shared" si="1"/>
        <v>0.97907700439008083</v>
      </c>
      <c r="I13" s="12"/>
      <c r="J13" s="12"/>
      <c r="K13" s="27"/>
      <c r="L13" s="18"/>
    </row>
    <row r="14" spans="1:12" s="19" customFormat="1" ht="25" customHeight="1">
      <c r="A14" s="18"/>
      <c r="B14" s="36"/>
      <c r="C14" s="97">
        <v>8</v>
      </c>
      <c r="D14" s="98">
        <v>5</v>
      </c>
      <c r="E14" s="87">
        <f>'표점등급&amp;절평인원 입력기능'!D47</f>
        <v>6957</v>
      </c>
      <c r="F14" s="82">
        <f t="shared" si="0"/>
        <v>1.8760314532569652E-2</v>
      </c>
      <c r="G14" s="88">
        <f>SUM($E$7:E14)</f>
        <v>370034</v>
      </c>
      <c r="H14" s="84">
        <f t="shared" si="1"/>
        <v>0.99783731892265048</v>
      </c>
      <c r="I14" s="12"/>
      <c r="J14" s="12"/>
      <c r="K14" s="27"/>
      <c r="L14" s="18"/>
    </row>
    <row r="15" spans="1:12" s="19" customFormat="1" ht="25" customHeight="1" thickBot="1">
      <c r="A15" s="18"/>
      <c r="B15" s="36"/>
      <c r="C15" s="99">
        <v>9</v>
      </c>
      <c r="D15" s="100">
        <v>0</v>
      </c>
      <c r="E15" s="91">
        <f>'표점등급&amp;절평인원 입력기능'!D48</f>
        <v>802</v>
      </c>
      <c r="F15" s="92">
        <f t="shared" si="0"/>
        <v>2.1626810773495561E-3</v>
      </c>
      <c r="G15" s="93">
        <f>SUM($E$7:E15)</f>
        <v>370836</v>
      </c>
      <c r="H15" s="94">
        <f t="shared" si="1"/>
        <v>1</v>
      </c>
      <c r="I15" s="12"/>
      <c r="J15" s="12"/>
      <c r="K15" s="27"/>
      <c r="L15" s="18"/>
    </row>
    <row r="16" spans="1:12" ht="6" customHeight="1">
      <c r="A16" s="2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FAE8D-03E5-4BB1-A552-691C1EE8C097}">
  <sheetPr codeName="Sheet9"/>
  <dimension ref="A1:L16"/>
  <sheetViews>
    <sheetView tabSelected="1" workbookViewId="0">
      <selection activeCell="B2" sqref="B2:K16"/>
    </sheetView>
  </sheetViews>
  <sheetFormatPr defaultRowHeight="17"/>
  <cols>
    <col min="2" max="2" width="1" style="2" customWidth="1"/>
    <col min="3" max="10" width="14.1640625" customWidth="1"/>
    <col min="11" max="11" width="1" customWidth="1"/>
  </cols>
  <sheetData>
    <row r="1" spans="1:12">
      <c r="A1" s="2" t="s">
        <v>40</v>
      </c>
      <c r="C1" s="2"/>
      <c r="D1" s="2"/>
      <c r="E1" s="2"/>
      <c r="F1" s="2"/>
      <c r="G1" s="2"/>
      <c r="H1" s="2"/>
      <c r="I1" s="2"/>
      <c r="J1" s="2"/>
      <c r="K1" s="2"/>
    </row>
    <row r="2" spans="1:12" s="2" customFormat="1" ht="6" customHeight="1" thickBot="1">
      <c r="B2" s="22"/>
      <c r="C2" s="23"/>
      <c r="D2" s="23"/>
      <c r="E2" s="23"/>
      <c r="F2" s="23"/>
      <c r="G2" s="23"/>
      <c r="H2" s="23"/>
      <c r="I2" s="23"/>
      <c r="J2" s="23"/>
      <c r="K2" s="24"/>
    </row>
    <row r="3" spans="1:12" s="19" customFormat="1" ht="25" customHeight="1" thickBot="1">
      <c r="A3" s="18"/>
      <c r="B3" s="36"/>
      <c r="C3" s="40" t="s">
        <v>56</v>
      </c>
      <c r="D3" s="105" t="s">
        <v>69</v>
      </c>
      <c r="E3" s="106"/>
      <c r="F3" s="107"/>
      <c r="G3" s="40" t="s">
        <v>57</v>
      </c>
      <c r="H3" s="41" t="str">
        <f>'통계 및 응시자 수 입력 기능'!D9</f>
        <v>21.67</v>
      </c>
      <c r="I3" s="13" t="s">
        <v>58</v>
      </c>
      <c r="J3" s="42">
        <f>'통계 및 응시자 수 입력 기능'!C9</f>
        <v>370400</v>
      </c>
      <c r="K3" s="27"/>
    </row>
    <row r="4" spans="1:12" s="19" customFormat="1" ht="25" customHeight="1" thickBot="1">
      <c r="A4" s="18"/>
      <c r="B4" s="36"/>
      <c r="C4" s="43" t="s">
        <v>59</v>
      </c>
      <c r="D4" s="115" t="s">
        <v>71</v>
      </c>
      <c r="E4" s="109"/>
      <c r="F4" s="110"/>
      <c r="G4" s="44" t="s">
        <v>61</v>
      </c>
      <c r="H4" s="45" t="str">
        <f>'통계 및 응시자 수 입력 기능'!E9</f>
        <v>10.13</v>
      </c>
      <c r="I4" s="111"/>
      <c r="J4" s="112"/>
      <c r="K4" s="27"/>
    </row>
    <row r="5" spans="1:12" s="19" customFormat="1" ht="25" customHeight="1" thickBot="1">
      <c r="A5" s="18"/>
      <c r="B5" s="36"/>
      <c r="C5" s="12"/>
      <c r="D5" s="12"/>
      <c r="E5" s="12"/>
      <c r="F5" s="12"/>
      <c r="G5" s="12"/>
      <c r="H5" s="12"/>
      <c r="I5" s="114"/>
      <c r="J5" s="114"/>
      <c r="K5" s="27"/>
    </row>
    <row r="6" spans="1:12" s="19" customFormat="1" ht="25" customHeight="1" thickBot="1">
      <c r="A6" s="18"/>
      <c r="B6" s="36"/>
      <c r="C6" s="46" t="s">
        <v>63</v>
      </c>
      <c r="D6" s="77" t="s">
        <v>64</v>
      </c>
      <c r="E6" s="78" t="s">
        <v>65</v>
      </c>
      <c r="F6" s="47" t="s">
        <v>66</v>
      </c>
      <c r="G6" s="47" t="s">
        <v>67</v>
      </c>
      <c r="H6" s="49" t="s">
        <v>68</v>
      </c>
      <c r="I6" s="12"/>
      <c r="J6" s="12"/>
      <c r="K6" s="27"/>
      <c r="L6" s="18"/>
    </row>
    <row r="7" spans="1:12" s="19" customFormat="1" ht="25" customHeight="1">
      <c r="A7" s="18"/>
      <c r="B7" s="36"/>
      <c r="C7" s="95">
        <v>1</v>
      </c>
      <c r="D7" s="96">
        <v>40</v>
      </c>
      <c r="E7" s="81">
        <f>'표점등급&amp;절평인원 입력기능'!D49</f>
        <v>20378</v>
      </c>
      <c r="F7" s="82">
        <f>E7/$J$3</f>
        <v>5.5016198704103673E-2</v>
      </c>
      <c r="G7" s="83">
        <f>SUM($E$7:E7)</f>
        <v>20378</v>
      </c>
      <c r="H7" s="84">
        <f>G7/$J$3</f>
        <v>5.5016198704103673E-2</v>
      </c>
      <c r="I7" s="12"/>
      <c r="J7" s="12"/>
      <c r="K7" s="27"/>
      <c r="L7" s="18"/>
    </row>
    <row r="8" spans="1:12" s="19" customFormat="1" ht="25" customHeight="1">
      <c r="A8" s="18"/>
      <c r="B8" s="36"/>
      <c r="C8" s="97">
        <v>2</v>
      </c>
      <c r="D8" s="98">
        <v>35</v>
      </c>
      <c r="E8" s="87">
        <f>'표점등급&amp;절평인원 입력기능'!D50</f>
        <v>25095</v>
      </c>
      <c r="F8" s="82">
        <f t="shared" ref="F8:F15" si="0">E8/$J$3</f>
        <v>6.7751079913606918E-2</v>
      </c>
      <c r="G8" s="88">
        <f>SUM($E$7:E8)</f>
        <v>45473</v>
      </c>
      <c r="H8" s="84">
        <f t="shared" ref="H8:H15" si="1">G8/$J$3</f>
        <v>0.12276727861771058</v>
      </c>
      <c r="I8" s="12"/>
      <c r="J8" s="12"/>
      <c r="K8" s="27"/>
      <c r="L8" s="18"/>
    </row>
    <row r="9" spans="1:12" s="19" customFormat="1" ht="25" customHeight="1">
      <c r="A9" s="18"/>
      <c r="B9" s="36"/>
      <c r="C9" s="97">
        <v>3</v>
      </c>
      <c r="D9" s="98">
        <v>30</v>
      </c>
      <c r="E9" s="87">
        <f>'표점등급&amp;절평인원 입력기능'!D51</f>
        <v>38284</v>
      </c>
      <c r="F9" s="82">
        <f t="shared" si="0"/>
        <v>0.1033585313174946</v>
      </c>
      <c r="G9" s="88">
        <f>SUM($E$7:E9)</f>
        <v>83757</v>
      </c>
      <c r="H9" s="84">
        <f t="shared" si="1"/>
        <v>0.22612580993520517</v>
      </c>
      <c r="I9" s="12"/>
      <c r="J9" s="12"/>
      <c r="K9" s="27"/>
      <c r="L9" s="18"/>
    </row>
    <row r="10" spans="1:12" s="19" customFormat="1" ht="25" customHeight="1">
      <c r="A10" s="18"/>
      <c r="B10" s="36"/>
      <c r="C10" s="97">
        <v>4</v>
      </c>
      <c r="D10" s="98">
        <v>25</v>
      </c>
      <c r="E10" s="87">
        <f>'표점등급&amp;절평인원 입력기능'!D52</f>
        <v>51246</v>
      </c>
      <c r="F10" s="82">
        <f t="shared" si="0"/>
        <v>0.13835313174946004</v>
      </c>
      <c r="G10" s="88">
        <f>SUM($E$7:E10)</f>
        <v>135003</v>
      </c>
      <c r="H10" s="84">
        <f t="shared" si="1"/>
        <v>0.36447894168466521</v>
      </c>
      <c r="I10" s="12"/>
      <c r="J10" s="12"/>
      <c r="K10" s="27"/>
      <c r="L10" s="18"/>
    </row>
    <row r="11" spans="1:12" s="19" customFormat="1" ht="25" customHeight="1">
      <c r="A11" s="18"/>
      <c r="B11" s="36"/>
      <c r="C11" s="97">
        <v>5</v>
      </c>
      <c r="D11" s="98">
        <v>20</v>
      </c>
      <c r="E11" s="87">
        <f>'표점등급&amp;절평인원 입력기능'!D53</f>
        <v>62476</v>
      </c>
      <c r="F11" s="82">
        <f t="shared" si="0"/>
        <v>0.16867170626349892</v>
      </c>
      <c r="G11" s="88">
        <f>SUM($E$7:E11)</f>
        <v>197479</v>
      </c>
      <c r="H11" s="84">
        <f t="shared" si="1"/>
        <v>0.53315064794816414</v>
      </c>
      <c r="I11" s="12"/>
      <c r="J11" s="12"/>
      <c r="K11" s="27"/>
      <c r="L11" s="18"/>
    </row>
    <row r="12" spans="1:12" s="19" customFormat="1" ht="25" customHeight="1">
      <c r="A12" s="18"/>
      <c r="B12" s="36"/>
      <c r="C12" s="97">
        <v>6</v>
      </c>
      <c r="D12" s="98">
        <v>15</v>
      </c>
      <c r="E12" s="87">
        <f>'표점등급&amp;절평인원 입력기능'!D54</f>
        <v>67848</v>
      </c>
      <c r="F12" s="82">
        <f t="shared" si="0"/>
        <v>0.18317494600431966</v>
      </c>
      <c r="G12" s="88">
        <f>SUM($E$7:E12)</f>
        <v>265327</v>
      </c>
      <c r="H12" s="84">
        <f t="shared" si="1"/>
        <v>0.71632559395248385</v>
      </c>
      <c r="I12" s="12"/>
      <c r="J12" s="12"/>
      <c r="K12" s="27"/>
      <c r="L12" s="18"/>
    </row>
    <row r="13" spans="1:12" s="19" customFormat="1" ht="25" customHeight="1">
      <c r="A13" s="18"/>
      <c r="B13" s="36"/>
      <c r="C13" s="97">
        <v>7</v>
      </c>
      <c r="D13" s="98">
        <v>10</v>
      </c>
      <c r="E13" s="87">
        <f>'표점등급&amp;절평인원 입력기능'!D55</f>
        <v>68841</v>
      </c>
      <c r="F13" s="82">
        <f t="shared" si="0"/>
        <v>0.18585583153347732</v>
      </c>
      <c r="G13" s="88">
        <f>SUM($E$7:E13)</f>
        <v>334168</v>
      </c>
      <c r="H13" s="84">
        <f t="shared" si="1"/>
        <v>0.90218142548596114</v>
      </c>
      <c r="I13" s="12"/>
      <c r="J13" s="12"/>
      <c r="K13" s="27"/>
      <c r="L13" s="18"/>
    </row>
    <row r="14" spans="1:12" s="19" customFormat="1" ht="25" customHeight="1">
      <c r="A14" s="18"/>
      <c r="B14" s="36"/>
      <c r="C14" s="97">
        <v>8</v>
      </c>
      <c r="D14" s="98">
        <v>5</v>
      </c>
      <c r="E14" s="87">
        <f>'표점등급&amp;절평인원 입력기능'!D56</f>
        <v>31067</v>
      </c>
      <c r="F14" s="82">
        <f t="shared" si="0"/>
        <v>8.387419006479481E-2</v>
      </c>
      <c r="G14" s="88">
        <f>SUM($E$7:E14)</f>
        <v>365235</v>
      </c>
      <c r="H14" s="84">
        <f t="shared" si="1"/>
        <v>0.98605561555075594</v>
      </c>
      <c r="I14" s="12"/>
      <c r="J14" s="12"/>
      <c r="K14" s="27"/>
      <c r="L14" s="18"/>
    </row>
    <row r="15" spans="1:12" s="19" customFormat="1" ht="25" customHeight="1" thickBot="1">
      <c r="A15" s="18"/>
      <c r="B15" s="36"/>
      <c r="C15" s="99">
        <v>9</v>
      </c>
      <c r="D15" s="100">
        <v>0</v>
      </c>
      <c r="E15" s="91">
        <f>'표점등급&amp;절평인원 입력기능'!D57</f>
        <v>5165</v>
      </c>
      <c r="F15" s="92">
        <f t="shared" si="0"/>
        <v>1.3944384449244061E-2</v>
      </c>
      <c r="G15" s="93">
        <f>SUM($E$7:E15)</f>
        <v>370400</v>
      </c>
      <c r="H15" s="94">
        <f t="shared" si="1"/>
        <v>1</v>
      </c>
      <c r="I15" s="12"/>
      <c r="J15" s="12"/>
      <c r="K15" s="27"/>
      <c r="L15" s="18"/>
    </row>
    <row r="16" spans="1:12" ht="6" customHeight="1">
      <c r="A16" s="2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통계 및 응시자 수 입력 기능</vt:lpstr>
      <vt:lpstr>표점등급&amp;절평인원 입력기능</vt:lpstr>
      <vt:lpstr>인원 입력 기능</vt:lpstr>
      <vt:lpstr>국어</vt:lpstr>
      <vt:lpstr>수학</vt:lpstr>
      <vt:lpstr>영어</vt:lpstr>
      <vt:lpstr>한국사</vt:lpstr>
      <vt:lpstr>사회</vt:lpstr>
      <vt:lpstr>과학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윤승혁</dc:creator>
  <cp:lastModifiedBy>윤승혁</cp:lastModifiedBy>
  <cp:lastPrinted>2022-05-21T13:19:13Z</cp:lastPrinted>
  <dcterms:created xsi:type="dcterms:W3CDTF">2018-04-21T04:34:05Z</dcterms:created>
  <dcterms:modified xsi:type="dcterms:W3CDTF">2023-04-17T06:54:44Z</dcterms:modified>
</cp:coreProperties>
</file>