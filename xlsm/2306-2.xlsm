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모의고사&amp;수능 관련/2023/고2/"/>
    </mc:Choice>
  </mc:AlternateContent>
  <xr:revisionPtr revIDLastSave="1194" documentId="13_ncr:1_{1A5CD2E7-6470-46A5-B71E-387F1D3C7611}" xr6:coauthVersionLast="47" xr6:coauthVersionMax="47" xr10:uidLastSave="{212F6F57-05DC-4A39-AAF9-5D5B13489CB4}"/>
  <bookViews>
    <workbookView xWindow="-110" yWindow="-110" windowWidth="19420" windowHeight="11620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국어" sheetId="2" r:id="rId5"/>
    <sheet name="수학" sheetId="5" r:id="rId6"/>
    <sheet name="영어" sheetId="6" r:id="rId7"/>
    <sheet name="한국사" sheetId="25" r:id="rId8"/>
    <sheet name="생활과 윤리" sheetId="3" r:id="rId9"/>
    <sheet name="윤리와 사상" sheetId="26" r:id="rId10"/>
    <sheet name="한국지리" sheetId="27" r:id="rId11"/>
    <sheet name="세계지리" sheetId="28" r:id="rId12"/>
    <sheet name="동아시아사" sheetId="29" r:id="rId13"/>
    <sheet name="세계사" sheetId="30" r:id="rId14"/>
    <sheet name="경제" sheetId="31" r:id="rId15"/>
    <sheet name="정치와 법" sheetId="32" r:id="rId16"/>
    <sheet name="사회∙문화" sheetId="33" r:id="rId17"/>
    <sheet name="물리학Ⅰ" sheetId="34" r:id="rId18"/>
    <sheet name="화학Ⅰ" sheetId="35" r:id="rId19"/>
    <sheet name="생명과학Ⅰ" sheetId="36" r:id="rId20"/>
    <sheet name="지구과학Ⅰ" sheetId="37" r:id="rId21"/>
    <sheet name="등급컷 모아보기" sheetId="79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37" l="1"/>
  <c r="D37" i="5"/>
  <c r="H3" i="3"/>
  <c r="H3" i="26"/>
  <c r="H4" i="3"/>
  <c r="J3" i="2" l="1"/>
  <c r="J3" i="5"/>
  <c r="E15" i="25" l="1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Q8" i="26" l="1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F14" i="6" l="1"/>
  <c r="G35" i="79"/>
  <c r="E37" i="79"/>
  <c r="E33" i="79"/>
  <c r="D36" i="79"/>
  <c r="D32" i="79"/>
  <c r="L24" i="79"/>
  <c r="J26" i="79"/>
  <c r="J22" i="79"/>
  <c r="I25" i="79"/>
  <c r="I21" i="79"/>
  <c r="F26" i="79"/>
  <c r="F22" i="79"/>
  <c r="E25" i="79"/>
  <c r="E21" i="79"/>
  <c r="F13" i="25"/>
  <c r="E36" i="79"/>
  <c r="E32" i="79"/>
  <c r="D35" i="79"/>
  <c r="J25" i="79"/>
  <c r="J21" i="79"/>
  <c r="I24" i="79"/>
  <c r="F25" i="79"/>
  <c r="F21" i="79"/>
  <c r="E24" i="79"/>
  <c r="F10" i="6"/>
  <c r="F15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L2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D107" i="2"/>
  <c r="G107" i="2" s="1"/>
  <c r="H107" i="2" s="1"/>
  <c r="D102" i="2"/>
  <c r="L102" i="2" s="1"/>
  <c r="D102" i="5"/>
  <c r="L102" i="5" s="1"/>
  <c r="L107" i="2" l="1"/>
  <c r="E102" i="2"/>
  <c r="E102" i="5"/>
  <c r="D15" i="34"/>
  <c r="L15" i="34" s="1"/>
  <c r="E15" i="34" l="1"/>
  <c r="D13" i="28" l="1"/>
  <c r="L13" i="28" s="1"/>
  <c r="D14" i="28"/>
  <c r="L14" i="28" s="1"/>
  <c r="D15" i="28"/>
  <c r="L15" i="28" s="1"/>
  <c r="D16" i="28"/>
  <c r="L16" i="28" s="1"/>
  <c r="L17" i="28"/>
  <c r="D18" i="28"/>
  <c r="L18" i="28" s="1"/>
  <c r="D19" i="28"/>
  <c r="L19" i="28" s="1"/>
  <c r="D20" i="28"/>
  <c r="L20" i="28" s="1"/>
  <c r="D21" i="28"/>
  <c r="L21" i="28" s="1"/>
  <c r="L22" i="28"/>
  <c r="D23" i="28"/>
  <c r="L23" i="28" s="1"/>
  <c r="D24" i="28"/>
  <c r="L24" i="28" s="1"/>
  <c r="D25" i="28"/>
  <c r="L25" i="28" s="1"/>
  <c r="D26" i="28"/>
  <c r="L26" i="28" s="1"/>
  <c r="L27" i="28"/>
  <c r="D28" i="28"/>
  <c r="L28" i="28" s="1"/>
  <c r="D29" i="28"/>
  <c r="L29" i="28" s="1"/>
  <c r="D30" i="28"/>
  <c r="L30" i="28" s="1"/>
  <c r="D31" i="28"/>
  <c r="L31" i="28" s="1"/>
  <c r="L32" i="28"/>
  <c r="D33" i="28"/>
  <c r="L33" i="28" s="1"/>
  <c r="D34" i="28"/>
  <c r="L34" i="28" s="1"/>
  <c r="D35" i="28"/>
  <c r="L35" i="28" s="1"/>
  <c r="D36" i="28"/>
  <c r="L36" i="28" s="1"/>
  <c r="L37" i="28"/>
  <c r="D38" i="28"/>
  <c r="L38" i="28" s="1"/>
  <c r="D39" i="28"/>
  <c r="L39" i="28" s="1"/>
  <c r="D40" i="28"/>
  <c r="L40" i="28" s="1"/>
  <c r="D41" i="28"/>
  <c r="L41" i="28" s="1"/>
  <c r="L42" i="28"/>
  <c r="D43" i="28"/>
  <c r="L43" i="28" s="1"/>
  <c r="D44" i="28"/>
  <c r="L44" i="28" s="1"/>
  <c r="D45" i="28"/>
  <c r="L45" i="28" s="1"/>
  <c r="D46" i="28"/>
  <c r="L46" i="28" s="1"/>
  <c r="L47" i="28"/>
  <c r="D48" i="28"/>
  <c r="L48" i="28" s="1"/>
  <c r="D49" i="28"/>
  <c r="L49" i="28" s="1"/>
  <c r="D50" i="28"/>
  <c r="D51" i="28"/>
  <c r="L51" i="28" s="1"/>
  <c r="L52" i="28"/>
  <c r="D53" i="28"/>
  <c r="L53" i="28" s="1"/>
  <c r="D54" i="28"/>
  <c r="D55" i="28"/>
  <c r="L55" i="28" s="1"/>
  <c r="D57" i="28"/>
  <c r="G57" i="28" l="1"/>
  <c r="H57" i="28" s="1"/>
  <c r="L57" i="28"/>
  <c r="G54" i="28"/>
  <c r="H54" i="28" s="1"/>
  <c r="L54" i="28"/>
  <c r="G50" i="28"/>
  <c r="H50" i="28" s="1"/>
  <c r="L50" i="28"/>
  <c r="G55" i="28"/>
  <c r="H55" i="28" s="1"/>
  <c r="G51" i="28"/>
  <c r="H51" i="28" s="1"/>
  <c r="G43" i="28"/>
  <c r="H43" i="28" s="1"/>
  <c r="G39" i="28"/>
  <c r="H39" i="28" s="1"/>
  <c r="G35" i="28"/>
  <c r="H35" i="28" s="1"/>
  <c r="G31" i="28"/>
  <c r="H31" i="28" s="1"/>
  <c r="G23" i="28"/>
  <c r="H23" i="28" s="1"/>
  <c r="G19" i="28"/>
  <c r="H19" i="28" s="1"/>
  <c r="G15" i="28"/>
  <c r="H15" i="28" s="1"/>
  <c r="G48" i="28"/>
  <c r="H48" i="28" s="1"/>
  <c r="G44" i="28"/>
  <c r="H44" i="28" s="1"/>
  <c r="G40" i="28"/>
  <c r="H40" i="28" s="1"/>
  <c r="G36" i="28"/>
  <c r="H36" i="28" s="1"/>
  <c r="G28" i="28"/>
  <c r="H28" i="28" s="1"/>
  <c r="G24" i="28"/>
  <c r="H24" i="28" s="1"/>
  <c r="G20" i="28"/>
  <c r="H20" i="28" s="1"/>
  <c r="G16" i="28"/>
  <c r="H16" i="28" s="1"/>
  <c r="G46" i="28"/>
  <c r="H46" i="28" s="1"/>
  <c r="G38" i="28"/>
  <c r="H38" i="28" s="1"/>
  <c r="G34" i="28"/>
  <c r="H34" i="28" s="1"/>
  <c r="G30" i="28"/>
  <c r="H30" i="28" s="1"/>
  <c r="G26" i="28"/>
  <c r="H26" i="28" s="1"/>
  <c r="G18" i="28"/>
  <c r="H18" i="28" s="1"/>
  <c r="G14" i="28"/>
  <c r="H14" i="28" s="1"/>
  <c r="G53" i="28"/>
  <c r="H53" i="28" s="1"/>
  <c r="G49" i="28"/>
  <c r="H49" i="28" s="1"/>
  <c r="G45" i="28"/>
  <c r="H45" i="28" s="1"/>
  <c r="G41" i="28"/>
  <c r="H41" i="28" s="1"/>
  <c r="G33" i="28"/>
  <c r="H33" i="28" s="1"/>
  <c r="G29" i="28"/>
  <c r="H29" i="28" s="1"/>
  <c r="G25" i="28"/>
  <c r="H25" i="28" s="1"/>
  <c r="G21" i="28"/>
  <c r="H21" i="28" s="1"/>
  <c r="D57" i="37"/>
  <c r="D55" i="37"/>
  <c r="L55" i="37" s="1"/>
  <c r="D54" i="37"/>
  <c r="L54" i="37" s="1"/>
  <c r="D53" i="37"/>
  <c r="L53" i="37" s="1"/>
  <c r="D52" i="37"/>
  <c r="L52" i="37" s="1"/>
  <c r="D51" i="37"/>
  <c r="L51" i="37" s="1"/>
  <c r="D50" i="37"/>
  <c r="L50" i="37" s="1"/>
  <c r="L49" i="37"/>
  <c r="D48" i="37"/>
  <c r="D47" i="37"/>
  <c r="L47" i="37" s="1"/>
  <c r="D46" i="37"/>
  <c r="L46" i="37" s="1"/>
  <c r="D45" i="37"/>
  <c r="L45" i="37" s="1"/>
  <c r="D44" i="37"/>
  <c r="D43" i="37"/>
  <c r="L43" i="37" s="1"/>
  <c r="D42" i="37"/>
  <c r="L42" i="37" s="1"/>
  <c r="D41" i="37"/>
  <c r="L41" i="37" s="1"/>
  <c r="L40" i="37"/>
  <c r="D39" i="37"/>
  <c r="L39" i="37" s="1"/>
  <c r="D38" i="37"/>
  <c r="L38" i="37" s="1"/>
  <c r="D37" i="37"/>
  <c r="L37" i="37" s="1"/>
  <c r="D36" i="37"/>
  <c r="L36" i="37" s="1"/>
  <c r="D35" i="37"/>
  <c r="L35" i="37" s="1"/>
  <c r="D34" i="37"/>
  <c r="L34" i="37" s="1"/>
  <c r="D33" i="37"/>
  <c r="L33" i="37" s="1"/>
  <c r="D32" i="37"/>
  <c r="L32" i="37" s="1"/>
  <c r="D31" i="37"/>
  <c r="L31" i="37" s="1"/>
  <c r="L30" i="37"/>
  <c r="D29" i="37"/>
  <c r="L29" i="37" s="1"/>
  <c r="D28" i="37"/>
  <c r="L28" i="37" s="1"/>
  <c r="D27" i="37"/>
  <c r="L27" i="37" s="1"/>
  <c r="D26" i="37"/>
  <c r="L26" i="37" s="1"/>
  <c r="D25" i="37"/>
  <c r="L25" i="37" s="1"/>
  <c r="D24" i="37"/>
  <c r="L24" i="37" s="1"/>
  <c r="D23" i="37"/>
  <c r="L23" i="37" s="1"/>
  <c r="D22" i="37"/>
  <c r="L22" i="37" s="1"/>
  <c r="L21" i="37"/>
  <c r="D20" i="37"/>
  <c r="L20" i="37" s="1"/>
  <c r="D19" i="37"/>
  <c r="L19" i="37" s="1"/>
  <c r="D18" i="37"/>
  <c r="L18" i="37" s="1"/>
  <c r="D17" i="37"/>
  <c r="L17" i="37" s="1"/>
  <c r="D16" i="37"/>
  <c r="L16" i="37" s="1"/>
  <c r="D15" i="37"/>
  <c r="L15" i="37" s="1"/>
  <c r="D14" i="37"/>
  <c r="L14" i="37" s="1"/>
  <c r="D13" i="37"/>
  <c r="L13" i="37" s="1"/>
  <c r="L12" i="37"/>
  <c r="L11" i="37"/>
  <c r="D10" i="37"/>
  <c r="L10" i="37" s="1"/>
  <c r="D9" i="37"/>
  <c r="D7" i="37"/>
  <c r="D57" i="36"/>
  <c r="D55" i="36"/>
  <c r="L55" i="36" s="1"/>
  <c r="D54" i="36"/>
  <c r="L54" i="36" s="1"/>
  <c r="D53" i="36"/>
  <c r="L53" i="36" s="1"/>
  <c r="L52" i="36"/>
  <c r="D51" i="36"/>
  <c r="L51" i="36" s="1"/>
  <c r="D50" i="36"/>
  <c r="L50" i="36" s="1"/>
  <c r="D49" i="36"/>
  <c r="L49" i="36" s="1"/>
  <c r="D48" i="36"/>
  <c r="L48" i="36" s="1"/>
  <c r="D47" i="36"/>
  <c r="L47" i="36" s="1"/>
  <c r="D46" i="36"/>
  <c r="L46" i="36" s="1"/>
  <c r="D45" i="36"/>
  <c r="L45" i="36" s="1"/>
  <c r="D44" i="36"/>
  <c r="L44" i="36" s="1"/>
  <c r="D43" i="36"/>
  <c r="L43" i="36" s="1"/>
  <c r="L42" i="36"/>
  <c r="D41" i="36"/>
  <c r="L41" i="36" s="1"/>
  <c r="D40" i="36"/>
  <c r="L40" i="36" s="1"/>
  <c r="D39" i="36"/>
  <c r="L39" i="36" s="1"/>
  <c r="D38" i="36"/>
  <c r="L38" i="36" s="1"/>
  <c r="D37" i="36"/>
  <c r="L37" i="36" s="1"/>
  <c r="D36" i="36"/>
  <c r="L36" i="36" s="1"/>
  <c r="D35" i="36"/>
  <c r="L35" i="36" s="1"/>
  <c r="D34" i="36"/>
  <c r="L34" i="36" s="1"/>
  <c r="D33" i="36"/>
  <c r="L33" i="36" s="1"/>
  <c r="L32" i="36"/>
  <c r="D31" i="36"/>
  <c r="L31" i="36" s="1"/>
  <c r="D30" i="36"/>
  <c r="L30" i="36" s="1"/>
  <c r="D29" i="36"/>
  <c r="L29" i="36" s="1"/>
  <c r="D28" i="36"/>
  <c r="L28" i="36" s="1"/>
  <c r="D27" i="36"/>
  <c r="L27" i="36" s="1"/>
  <c r="D26" i="36"/>
  <c r="L26" i="36" s="1"/>
  <c r="D25" i="36"/>
  <c r="L25" i="36" s="1"/>
  <c r="D24" i="36"/>
  <c r="L24" i="36" s="1"/>
  <c r="L23" i="36"/>
  <c r="D22" i="36"/>
  <c r="L22" i="36" s="1"/>
  <c r="D21" i="36"/>
  <c r="L21" i="36" s="1"/>
  <c r="D20" i="36"/>
  <c r="L20" i="36" s="1"/>
  <c r="D19" i="36"/>
  <c r="L19" i="36" s="1"/>
  <c r="D18" i="36"/>
  <c r="L18" i="36" s="1"/>
  <c r="D17" i="36"/>
  <c r="L17" i="36" s="1"/>
  <c r="D16" i="36"/>
  <c r="L16" i="36" s="1"/>
  <c r="D15" i="36"/>
  <c r="L15" i="36" s="1"/>
  <c r="D14" i="36"/>
  <c r="L14" i="36" s="1"/>
  <c r="L13" i="36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L51" i="35"/>
  <c r="D50" i="35"/>
  <c r="L50" i="35" s="1"/>
  <c r="D49" i="35"/>
  <c r="L49" i="35" s="1"/>
  <c r="D48" i="35"/>
  <c r="L48" i="35" s="1"/>
  <c r="D47" i="35"/>
  <c r="L47" i="35" s="1"/>
  <c r="D46" i="35"/>
  <c r="L46" i="35" s="1"/>
  <c r="D45" i="35"/>
  <c r="L45" i="35" s="1"/>
  <c r="D44" i="35"/>
  <c r="L44" i="35" s="1"/>
  <c r="D43" i="35"/>
  <c r="L43" i="35" s="1"/>
  <c r="L42" i="35"/>
  <c r="D41" i="35"/>
  <c r="L41" i="35" s="1"/>
  <c r="D40" i="35"/>
  <c r="L40" i="35" s="1"/>
  <c r="D39" i="35"/>
  <c r="L39" i="35" s="1"/>
  <c r="D38" i="35"/>
  <c r="L38" i="35" s="1"/>
  <c r="D37" i="35"/>
  <c r="L37" i="35" s="1"/>
  <c r="D36" i="35"/>
  <c r="L36" i="35" s="1"/>
  <c r="D35" i="35"/>
  <c r="L35" i="35" s="1"/>
  <c r="L34" i="35"/>
  <c r="D33" i="35"/>
  <c r="L33" i="35" s="1"/>
  <c r="D32" i="35"/>
  <c r="L32" i="35" s="1"/>
  <c r="D31" i="35"/>
  <c r="L31" i="35" s="1"/>
  <c r="D30" i="35"/>
  <c r="L30" i="35" s="1"/>
  <c r="D29" i="35"/>
  <c r="L29" i="35" s="1"/>
  <c r="D28" i="35"/>
  <c r="L28" i="35" s="1"/>
  <c r="D27" i="35"/>
  <c r="L27" i="35" s="1"/>
  <c r="L26" i="35"/>
  <c r="D25" i="35"/>
  <c r="L25" i="35" s="1"/>
  <c r="D24" i="35"/>
  <c r="L24" i="35" s="1"/>
  <c r="D23" i="35"/>
  <c r="L23" i="35" s="1"/>
  <c r="D22" i="35"/>
  <c r="L22" i="35" s="1"/>
  <c r="D21" i="35"/>
  <c r="L21" i="35" s="1"/>
  <c r="D20" i="35"/>
  <c r="L20" i="35" s="1"/>
  <c r="D19" i="35"/>
  <c r="L19" i="35" s="1"/>
  <c r="D18" i="35"/>
  <c r="L18" i="35" s="1"/>
  <c r="L17" i="35"/>
  <c r="D16" i="35"/>
  <c r="L16" i="35" s="1"/>
  <c r="D15" i="35"/>
  <c r="L15" i="35" s="1"/>
  <c r="D14" i="35"/>
  <c r="L14" i="35" s="1"/>
  <c r="D13" i="35"/>
  <c r="L13" i="35" s="1"/>
  <c r="D12" i="35"/>
  <c r="L12" i="35" s="1"/>
  <c r="D11" i="35"/>
  <c r="L11" i="35" s="1"/>
  <c r="D10" i="35"/>
  <c r="L10" i="35" s="1"/>
  <c r="D9" i="35"/>
  <c r="D7" i="35"/>
  <c r="D57" i="34"/>
  <c r="D55" i="34"/>
  <c r="L55" i="34" s="1"/>
  <c r="D54" i="34"/>
  <c r="L54" i="34" s="1"/>
  <c r="D53" i="34"/>
  <c r="L53" i="34" s="1"/>
  <c r="D52" i="34"/>
  <c r="L52" i="34" s="1"/>
  <c r="D51" i="34"/>
  <c r="L51" i="34" s="1"/>
  <c r="D50" i="34"/>
  <c r="L50" i="34" s="1"/>
  <c r="D49" i="34"/>
  <c r="L49" i="34" s="1"/>
  <c r="D48" i="34"/>
  <c r="L48" i="34" s="1"/>
  <c r="D47" i="34"/>
  <c r="L47" i="34" s="1"/>
  <c r="D46" i="34"/>
  <c r="L46" i="34" s="1"/>
  <c r="D45" i="34"/>
  <c r="L45" i="34" s="1"/>
  <c r="L44" i="34"/>
  <c r="D43" i="34"/>
  <c r="L43" i="34" s="1"/>
  <c r="D42" i="34"/>
  <c r="L42" i="34" s="1"/>
  <c r="D41" i="34"/>
  <c r="L41" i="34" s="1"/>
  <c r="D40" i="34"/>
  <c r="L40" i="34" s="1"/>
  <c r="D39" i="34"/>
  <c r="L39" i="34" s="1"/>
  <c r="D38" i="34"/>
  <c r="L38" i="34" s="1"/>
  <c r="D37" i="34"/>
  <c r="L37" i="34" s="1"/>
  <c r="D36" i="34"/>
  <c r="L36" i="34" s="1"/>
  <c r="D35" i="34"/>
  <c r="L35" i="34" s="1"/>
  <c r="D34" i="34"/>
  <c r="L34" i="34" s="1"/>
  <c r="D33" i="34"/>
  <c r="L33" i="34" s="1"/>
  <c r="D32" i="34"/>
  <c r="L32" i="34" s="1"/>
  <c r="D31" i="34"/>
  <c r="L31" i="34" s="1"/>
  <c r="D30" i="34"/>
  <c r="L30" i="34" s="1"/>
  <c r="D29" i="34"/>
  <c r="L29" i="34" s="1"/>
  <c r="D28" i="34"/>
  <c r="L28" i="34" s="1"/>
  <c r="D27" i="34"/>
  <c r="L27" i="34" s="1"/>
  <c r="D26" i="34"/>
  <c r="L26" i="34" s="1"/>
  <c r="D25" i="34"/>
  <c r="L25" i="34" s="1"/>
  <c r="D24" i="34"/>
  <c r="L24" i="34" s="1"/>
  <c r="L23" i="34"/>
  <c r="D22" i="34"/>
  <c r="L22" i="34" s="1"/>
  <c r="D21" i="34"/>
  <c r="L21" i="34" s="1"/>
  <c r="D20" i="34"/>
  <c r="L20" i="34" s="1"/>
  <c r="D19" i="34"/>
  <c r="L19" i="34" s="1"/>
  <c r="D18" i="34"/>
  <c r="L18" i="34" s="1"/>
  <c r="D17" i="34"/>
  <c r="L17" i="34" s="1"/>
  <c r="D16" i="34"/>
  <c r="D14" i="34"/>
  <c r="L14" i="34" s="1"/>
  <c r="D13" i="34"/>
  <c r="L13" i="34" s="1"/>
  <c r="D12" i="34"/>
  <c r="L12" i="34" s="1"/>
  <c r="D11" i="34"/>
  <c r="L11" i="34" s="1"/>
  <c r="D10" i="34"/>
  <c r="L10" i="34" s="1"/>
  <c r="D9" i="34"/>
  <c r="D7" i="34"/>
  <c r="D57" i="33"/>
  <c r="D55" i="33"/>
  <c r="L55" i="33" s="1"/>
  <c r="L54" i="33"/>
  <c r="D53" i="33"/>
  <c r="L53" i="33" s="1"/>
  <c r="D52" i="33"/>
  <c r="L52" i="33" s="1"/>
  <c r="D51" i="33"/>
  <c r="L51" i="33" s="1"/>
  <c r="D50" i="33"/>
  <c r="L50" i="33" s="1"/>
  <c r="L49" i="33"/>
  <c r="D48" i="33"/>
  <c r="L48" i="33" s="1"/>
  <c r="D47" i="33"/>
  <c r="L47" i="33" s="1"/>
  <c r="D46" i="33"/>
  <c r="L46" i="33" s="1"/>
  <c r="D45" i="33"/>
  <c r="L45" i="33" s="1"/>
  <c r="D44" i="33"/>
  <c r="L44" i="33" s="1"/>
  <c r="L43" i="33"/>
  <c r="D42" i="33"/>
  <c r="L42" i="33" s="1"/>
  <c r="D41" i="33"/>
  <c r="L41" i="33" s="1"/>
  <c r="D40" i="33"/>
  <c r="L40" i="33" s="1"/>
  <c r="D39" i="33"/>
  <c r="L39" i="33" s="1"/>
  <c r="D38" i="33"/>
  <c r="L38" i="33" s="1"/>
  <c r="L37" i="33"/>
  <c r="D36" i="33"/>
  <c r="L36" i="33" s="1"/>
  <c r="D35" i="33"/>
  <c r="L35" i="33" s="1"/>
  <c r="D34" i="33"/>
  <c r="L34" i="33" s="1"/>
  <c r="D33" i="33"/>
  <c r="L33" i="33" s="1"/>
  <c r="L32" i="33"/>
  <c r="D31" i="33"/>
  <c r="L31" i="33" s="1"/>
  <c r="D30" i="33"/>
  <c r="L30" i="33" s="1"/>
  <c r="D29" i="33"/>
  <c r="L29" i="33" s="1"/>
  <c r="D28" i="33"/>
  <c r="L28" i="33" s="1"/>
  <c r="D27" i="33"/>
  <c r="L27" i="33" s="1"/>
  <c r="L26" i="33"/>
  <c r="D25" i="33"/>
  <c r="L25" i="33" s="1"/>
  <c r="D24" i="33"/>
  <c r="L24" i="33" s="1"/>
  <c r="D23" i="33"/>
  <c r="L23" i="33" s="1"/>
  <c r="D22" i="33"/>
  <c r="L22" i="33" s="1"/>
  <c r="L21" i="33"/>
  <c r="D20" i="33"/>
  <c r="L20" i="33" s="1"/>
  <c r="D19" i="33"/>
  <c r="L19" i="33" s="1"/>
  <c r="D18" i="33"/>
  <c r="L18" i="33" s="1"/>
  <c r="D17" i="33"/>
  <c r="L17" i="33" s="1"/>
  <c r="D16" i="33"/>
  <c r="L16" i="33" s="1"/>
  <c r="L15" i="33"/>
  <c r="D14" i="33"/>
  <c r="L14" i="33" s="1"/>
  <c r="D13" i="33"/>
  <c r="L13" i="33" s="1"/>
  <c r="D12" i="33"/>
  <c r="L12" i="33" s="1"/>
  <c r="D11" i="33"/>
  <c r="L11" i="33" s="1"/>
  <c r="D10" i="33"/>
  <c r="L10" i="33" s="1"/>
  <c r="D7" i="33"/>
  <c r="D57" i="32"/>
  <c r="D55" i="32"/>
  <c r="L55" i="32" s="1"/>
  <c r="D54" i="32"/>
  <c r="L54" i="32" s="1"/>
  <c r="D53" i="32"/>
  <c r="L53" i="32" s="1"/>
  <c r="D52" i="32"/>
  <c r="L52" i="32" s="1"/>
  <c r="D51" i="32"/>
  <c r="L51" i="32" s="1"/>
  <c r="D50" i="32"/>
  <c r="L50" i="32" s="1"/>
  <c r="D49" i="32"/>
  <c r="L49" i="32" s="1"/>
  <c r="D48" i="32"/>
  <c r="L48" i="32" s="1"/>
  <c r="D47" i="32"/>
  <c r="L47" i="32" s="1"/>
  <c r="D46" i="32"/>
  <c r="L46" i="32" s="1"/>
  <c r="D45" i="32"/>
  <c r="L45" i="32" s="1"/>
  <c r="D44" i="32"/>
  <c r="L44" i="32" s="1"/>
  <c r="D43" i="32"/>
  <c r="L43" i="32" s="1"/>
  <c r="L42" i="32"/>
  <c r="D41" i="32"/>
  <c r="L41" i="32" s="1"/>
  <c r="D40" i="32"/>
  <c r="L40" i="32" s="1"/>
  <c r="D39" i="32"/>
  <c r="L39" i="32" s="1"/>
  <c r="D38" i="32"/>
  <c r="L38" i="32" s="1"/>
  <c r="D37" i="32"/>
  <c r="L37" i="32" s="1"/>
  <c r="D36" i="32"/>
  <c r="L36" i="32" s="1"/>
  <c r="D35" i="32"/>
  <c r="L35" i="32" s="1"/>
  <c r="D34" i="32"/>
  <c r="L34" i="32" s="1"/>
  <c r="D33" i="32"/>
  <c r="L33" i="32" s="1"/>
  <c r="D32" i="32"/>
  <c r="L32" i="32" s="1"/>
  <c r="D31" i="32"/>
  <c r="L31" i="32" s="1"/>
  <c r="D30" i="32"/>
  <c r="L30" i="32" s="1"/>
  <c r="D29" i="32"/>
  <c r="L29" i="32" s="1"/>
  <c r="D28" i="32"/>
  <c r="L28" i="32" s="1"/>
  <c r="D27" i="32"/>
  <c r="L27" i="32" s="1"/>
  <c r="D26" i="32"/>
  <c r="L26" i="32" s="1"/>
  <c r="D25" i="32"/>
  <c r="L25" i="32" s="1"/>
  <c r="D24" i="32"/>
  <c r="L24" i="32" s="1"/>
  <c r="D23" i="32"/>
  <c r="L23" i="32" s="1"/>
  <c r="D22" i="32"/>
  <c r="L22" i="32" s="1"/>
  <c r="D21" i="32"/>
  <c r="L21" i="32" s="1"/>
  <c r="D20" i="32"/>
  <c r="L20" i="32" s="1"/>
  <c r="D19" i="32"/>
  <c r="L19" i="32" s="1"/>
  <c r="D18" i="32"/>
  <c r="L18" i="32" s="1"/>
  <c r="D17" i="32"/>
  <c r="L17" i="32" s="1"/>
  <c r="D16" i="32"/>
  <c r="L16" i="32" s="1"/>
  <c r="D15" i="32"/>
  <c r="L15" i="32" s="1"/>
  <c r="D14" i="32"/>
  <c r="L14" i="32" s="1"/>
  <c r="D13" i="32"/>
  <c r="L13" i="32" s="1"/>
  <c r="D12" i="32"/>
  <c r="L12" i="32" s="1"/>
  <c r="D11" i="32"/>
  <c r="L11" i="32" s="1"/>
  <c r="L10" i="32"/>
  <c r="D9" i="32"/>
  <c r="D7" i="32"/>
  <c r="D57" i="31"/>
  <c r="D55" i="31"/>
  <c r="L55" i="31" s="1"/>
  <c r="L54" i="31"/>
  <c r="D53" i="31"/>
  <c r="L53" i="31" s="1"/>
  <c r="D52" i="31"/>
  <c r="L52" i="31" s="1"/>
  <c r="D51" i="31"/>
  <c r="L51" i="31" s="1"/>
  <c r="L50" i="31"/>
  <c r="D49" i="31"/>
  <c r="L49" i="31" s="1"/>
  <c r="D48" i="31"/>
  <c r="L48" i="31" s="1"/>
  <c r="D47" i="31"/>
  <c r="L47" i="31" s="1"/>
  <c r="D46" i="31"/>
  <c r="L46" i="31" s="1"/>
  <c r="L45" i="31"/>
  <c r="D44" i="31"/>
  <c r="L44" i="31" s="1"/>
  <c r="D43" i="31"/>
  <c r="L43" i="31" s="1"/>
  <c r="D42" i="31"/>
  <c r="L42" i="31" s="1"/>
  <c r="L41" i="31"/>
  <c r="D40" i="31"/>
  <c r="L40" i="31" s="1"/>
  <c r="D39" i="31"/>
  <c r="L39" i="31" s="1"/>
  <c r="D38" i="31"/>
  <c r="L38" i="31" s="1"/>
  <c r="D37" i="31"/>
  <c r="L37" i="31" s="1"/>
  <c r="L36" i="31"/>
  <c r="D35" i="31"/>
  <c r="L35" i="31" s="1"/>
  <c r="D34" i="31"/>
  <c r="L34" i="31" s="1"/>
  <c r="D33" i="31"/>
  <c r="L33" i="31" s="1"/>
  <c r="L32" i="31"/>
  <c r="D31" i="31"/>
  <c r="L31" i="31" s="1"/>
  <c r="D30" i="31"/>
  <c r="L30" i="31" s="1"/>
  <c r="D29" i="31"/>
  <c r="L29" i="31" s="1"/>
  <c r="D28" i="31"/>
  <c r="L28" i="31" s="1"/>
  <c r="L27" i="31"/>
  <c r="D26" i="31"/>
  <c r="L26" i="31" s="1"/>
  <c r="D25" i="31"/>
  <c r="L25" i="31" s="1"/>
  <c r="D24" i="31"/>
  <c r="L24" i="31" s="1"/>
  <c r="L23" i="31"/>
  <c r="D22" i="31"/>
  <c r="L22" i="31" s="1"/>
  <c r="D21" i="31"/>
  <c r="L21" i="31" s="1"/>
  <c r="D20" i="31"/>
  <c r="L20" i="31" s="1"/>
  <c r="D19" i="31"/>
  <c r="L19" i="31" s="1"/>
  <c r="L18" i="31"/>
  <c r="D17" i="31"/>
  <c r="L17" i="31" s="1"/>
  <c r="D16" i="31"/>
  <c r="L16" i="31" s="1"/>
  <c r="D15" i="31"/>
  <c r="L15" i="31" s="1"/>
  <c r="L14" i="31"/>
  <c r="D13" i="31"/>
  <c r="L13" i="31" s="1"/>
  <c r="D12" i="31"/>
  <c r="L12" i="31" s="1"/>
  <c r="D11" i="31"/>
  <c r="L11" i="31" s="1"/>
  <c r="D10" i="31"/>
  <c r="L10" i="31" s="1"/>
  <c r="D9" i="31"/>
  <c r="D7" i="31"/>
  <c r="D57" i="30"/>
  <c r="L55" i="30"/>
  <c r="D54" i="30"/>
  <c r="L54" i="30" s="1"/>
  <c r="D53" i="30"/>
  <c r="L53" i="30" s="1"/>
  <c r="D52" i="30"/>
  <c r="L52" i="30" s="1"/>
  <c r="D51" i="30"/>
  <c r="L51" i="30" s="1"/>
  <c r="D50" i="30"/>
  <c r="L50" i="30" s="1"/>
  <c r="L49" i="30"/>
  <c r="D48" i="30"/>
  <c r="L48" i="30" s="1"/>
  <c r="D47" i="30"/>
  <c r="L47" i="30" s="1"/>
  <c r="D46" i="30"/>
  <c r="L46" i="30" s="1"/>
  <c r="D45" i="30"/>
  <c r="L45" i="30" s="1"/>
  <c r="D44" i="30"/>
  <c r="L44" i="30" s="1"/>
  <c r="L43" i="30"/>
  <c r="D42" i="30"/>
  <c r="L42" i="30" s="1"/>
  <c r="D41" i="30"/>
  <c r="L41" i="30" s="1"/>
  <c r="D40" i="30"/>
  <c r="L40" i="30" s="1"/>
  <c r="D39" i="30"/>
  <c r="L39" i="30" s="1"/>
  <c r="D38" i="30"/>
  <c r="L38" i="30" s="1"/>
  <c r="L37" i="30"/>
  <c r="D36" i="30"/>
  <c r="L36" i="30" s="1"/>
  <c r="D35" i="30"/>
  <c r="L35" i="30" s="1"/>
  <c r="D34" i="30"/>
  <c r="L34" i="30" s="1"/>
  <c r="D33" i="30"/>
  <c r="L33" i="30" s="1"/>
  <c r="D32" i="30"/>
  <c r="L32" i="30" s="1"/>
  <c r="L31" i="30"/>
  <c r="D30" i="30"/>
  <c r="L30" i="30" s="1"/>
  <c r="D29" i="30"/>
  <c r="L29" i="30" s="1"/>
  <c r="D28" i="30"/>
  <c r="L28" i="30" s="1"/>
  <c r="D27" i="30"/>
  <c r="L27" i="30" s="1"/>
  <c r="D26" i="30"/>
  <c r="L26" i="30" s="1"/>
  <c r="L25" i="30"/>
  <c r="D24" i="30"/>
  <c r="L24" i="30" s="1"/>
  <c r="D23" i="30"/>
  <c r="L23" i="30" s="1"/>
  <c r="D22" i="30"/>
  <c r="L22" i="30" s="1"/>
  <c r="D21" i="30"/>
  <c r="L21" i="30" s="1"/>
  <c r="D20" i="30"/>
  <c r="L20" i="30" s="1"/>
  <c r="L19" i="30"/>
  <c r="D18" i="30"/>
  <c r="L18" i="30" s="1"/>
  <c r="D17" i="30"/>
  <c r="L17" i="30" s="1"/>
  <c r="D16" i="30"/>
  <c r="L16" i="30" s="1"/>
  <c r="D15" i="30"/>
  <c r="L15" i="30" s="1"/>
  <c r="D14" i="30"/>
  <c r="L14" i="30" s="1"/>
  <c r="L13" i="30"/>
  <c r="D12" i="30"/>
  <c r="L12" i="30" s="1"/>
  <c r="D11" i="30"/>
  <c r="L11" i="30" s="1"/>
  <c r="D10" i="30"/>
  <c r="L10" i="30" s="1"/>
  <c r="D9" i="30"/>
  <c r="D7" i="30"/>
  <c r="D57" i="29"/>
  <c r="D55" i="29"/>
  <c r="L55" i="29" s="1"/>
  <c r="D54" i="29"/>
  <c r="L54" i="29" s="1"/>
  <c r="D53" i="29"/>
  <c r="L53" i="29" s="1"/>
  <c r="D52" i="29"/>
  <c r="L52" i="29" s="1"/>
  <c r="D51" i="29"/>
  <c r="L51" i="29" s="1"/>
  <c r="L50" i="29"/>
  <c r="D49" i="29"/>
  <c r="L49" i="29" s="1"/>
  <c r="D48" i="29"/>
  <c r="L48" i="29" s="1"/>
  <c r="D47" i="29"/>
  <c r="L47" i="29" s="1"/>
  <c r="D46" i="29"/>
  <c r="L46" i="29" s="1"/>
  <c r="D45" i="29"/>
  <c r="L45" i="29" s="1"/>
  <c r="L44" i="29"/>
  <c r="D43" i="29"/>
  <c r="L43" i="29" s="1"/>
  <c r="D42" i="29"/>
  <c r="L42" i="29" s="1"/>
  <c r="D41" i="29"/>
  <c r="L41" i="29" s="1"/>
  <c r="D40" i="29"/>
  <c r="L40" i="29" s="1"/>
  <c r="D39" i="29"/>
  <c r="L39" i="29" s="1"/>
  <c r="L38" i="29"/>
  <c r="D37" i="29"/>
  <c r="L37" i="29" s="1"/>
  <c r="D36" i="29"/>
  <c r="L36" i="29" s="1"/>
  <c r="D35" i="29"/>
  <c r="L35" i="29" s="1"/>
  <c r="D34" i="29"/>
  <c r="L34" i="29" s="1"/>
  <c r="D33" i="29"/>
  <c r="L33" i="29" s="1"/>
  <c r="L32" i="29"/>
  <c r="D31" i="29"/>
  <c r="L31" i="29" s="1"/>
  <c r="D30" i="29"/>
  <c r="L30" i="29" s="1"/>
  <c r="D29" i="29"/>
  <c r="L29" i="29" s="1"/>
  <c r="D28" i="29"/>
  <c r="L28" i="29" s="1"/>
  <c r="D27" i="29"/>
  <c r="L27" i="29" s="1"/>
  <c r="L26" i="29"/>
  <c r="D25" i="29"/>
  <c r="L25" i="29" s="1"/>
  <c r="D24" i="29"/>
  <c r="L24" i="29" s="1"/>
  <c r="D23" i="29"/>
  <c r="L23" i="29" s="1"/>
  <c r="D22" i="29"/>
  <c r="L22" i="29" s="1"/>
  <c r="D21" i="29"/>
  <c r="L21" i="29" s="1"/>
  <c r="L20" i="29"/>
  <c r="D19" i="29"/>
  <c r="L19" i="29" s="1"/>
  <c r="D18" i="29"/>
  <c r="L18" i="29" s="1"/>
  <c r="D17" i="29"/>
  <c r="L17" i="29" s="1"/>
  <c r="D16" i="29"/>
  <c r="L16" i="29" s="1"/>
  <c r="L15" i="29"/>
  <c r="D14" i="29"/>
  <c r="L14" i="29" s="1"/>
  <c r="D13" i="29"/>
  <c r="L13" i="29" s="1"/>
  <c r="D12" i="29"/>
  <c r="L12" i="29" s="1"/>
  <c r="D11" i="29"/>
  <c r="L11" i="29" s="1"/>
  <c r="D10" i="29"/>
  <c r="L10" i="29" s="1"/>
  <c r="D9" i="29"/>
  <c r="D7" i="29"/>
  <c r="E57" i="28"/>
  <c r="E55" i="28"/>
  <c r="E54" i="28"/>
  <c r="E53" i="28"/>
  <c r="E51" i="28"/>
  <c r="E50" i="28"/>
  <c r="E49" i="28"/>
  <c r="E48" i="28"/>
  <c r="E46" i="28"/>
  <c r="E45" i="28"/>
  <c r="E44" i="28"/>
  <c r="E43" i="28"/>
  <c r="E41" i="28"/>
  <c r="E40" i="28"/>
  <c r="E39" i="28"/>
  <c r="E38" i="28"/>
  <c r="E36" i="28"/>
  <c r="E35" i="28"/>
  <c r="E34" i="28"/>
  <c r="E33" i="28"/>
  <c r="E31" i="28"/>
  <c r="E30" i="28"/>
  <c r="E29" i="28"/>
  <c r="E28" i="28"/>
  <c r="E26" i="28"/>
  <c r="E25" i="28"/>
  <c r="E24" i="28"/>
  <c r="E23" i="28"/>
  <c r="E21" i="28"/>
  <c r="E20" i="28"/>
  <c r="E19" i="28"/>
  <c r="E18" i="28"/>
  <c r="E16" i="28"/>
  <c r="E15" i="28"/>
  <c r="E14" i="28"/>
  <c r="E13" i="28"/>
  <c r="L12" i="28"/>
  <c r="D11" i="28"/>
  <c r="L11" i="28" s="1"/>
  <c r="D10" i="28"/>
  <c r="L10" i="28" s="1"/>
  <c r="D9" i="28"/>
  <c r="D7" i="28"/>
  <c r="D57" i="27"/>
  <c r="D55" i="27"/>
  <c r="L55" i="27" s="1"/>
  <c r="D54" i="27"/>
  <c r="L54" i="27" s="1"/>
  <c r="D53" i="27"/>
  <c r="L53" i="27" s="1"/>
  <c r="D52" i="27"/>
  <c r="L52" i="27" s="1"/>
  <c r="L51" i="27"/>
  <c r="D50" i="27"/>
  <c r="L50" i="27" s="1"/>
  <c r="D49" i="27"/>
  <c r="L49" i="27" s="1"/>
  <c r="D48" i="27"/>
  <c r="L48" i="27" s="1"/>
  <c r="D47" i="27"/>
  <c r="L47" i="27" s="1"/>
  <c r="D46" i="27"/>
  <c r="L46" i="27" s="1"/>
  <c r="L45" i="27"/>
  <c r="D44" i="27"/>
  <c r="L44" i="27" s="1"/>
  <c r="D43" i="27"/>
  <c r="L43" i="27" s="1"/>
  <c r="D42" i="27"/>
  <c r="L42" i="27" s="1"/>
  <c r="D41" i="27"/>
  <c r="L41" i="27" s="1"/>
  <c r="D40" i="27"/>
  <c r="L40" i="27" s="1"/>
  <c r="L39" i="27"/>
  <c r="D38" i="27"/>
  <c r="L38" i="27" s="1"/>
  <c r="D37" i="27"/>
  <c r="L37" i="27" s="1"/>
  <c r="D36" i="27"/>
  <c r="L36" i="27" s="1"/>
  <c r="D35" i="27"/>
  <c r="L35" i="27" s="1"/>
  <c r="L34" i="27"/>
  <c r="D33" i="27"/>
  <c r="L33" i="27" s="1"/>
  <c r="D32" i="27"/>
  <c r="L32" i="27" s="1"/>
  <c r="D31" i="27"/>
  <c r="L31" i="27" s="1"/>
  <c r="D30" i="27"/>
  <c r="L30" i="27" s="1"/>
  <c r="D29" i="27"/>
  <c r="L29" i="27" s="1"/>
  <c r="L28" i="27"/>
  <c r="D27" i="27"/>
  <c r="L27" i="27" s="1"/>
  <c r="D26" i="27"/>
  <c r="L26" i="27" s="1"/>
  <c r="D25" i="27"/>
  <c r="L25" i="27" s="1"/>
  <c r="D24" i="27"/>
  <c r="L24" i="27" s="1"/>
  <c r="D23" i="27"/>
  <c r="L23" i="27" s="1"/>
  <c r="L22" i="27"/>
  <c r="D21" i="27"/>
  <c r="L21" i="27" s="1"/>
  <c r="D20" i="27"/>
  <c r="L20" i="27" s="1"/>
  <c r="D19" i="27"/>
  <c r="L19" i="27" s="1"/>
  <c r="D18" i="27"/>
  <c r="L18" i="27" s="1"/>
  <c r="D17" i="27"/>
  <c r="L17" i="27" s="1"/>
  <c r="L16" i="27"/>
  <c r="D15" i="27"/>
  <c r="L15" i="27" s="1"/>
  <c r="D14" i="27"/>
  <c r="L14" i="27" s="1"/>
  <c r="D13" i="27"/>
  <c r="L13" i="27" s="1"/>
  <c r="D12" i="27"/>
  <c r="L12" i="27" s="1"/>
  <c r="L11" i="27"/>
  <c r="D10" i="27"/>
  <c r="L10" i="27" s="1"/>
  <c r="D9" i="27"/>
  <c r="D7" i="27"/>
  <c r="D57" i="26"/>
  <c r="D55" i="26"/>
  <c r="L55" i="26" s="1"/>
  <c r="D54" i="26"/>
  <c r="L54" i="26" s="1"/>
  <c r="D53" i="26"/>
  <c r="L53" i="26" s="1"/>
  <c r="D52" i="26"/>
  <c r="L52" i="26" s="1"/>
  <c r="D51" i="26"/>
  <c r="L51" i="26" s="1"/>
  <c r="L50" i="26"/>
  <c r="D49" i="26"/>
  <c r="L49" i="26" s="1"/>
  <c r="D48" i="26"/>
  <c r="L48" i="26" s="1"/>
  <c r="D47" i="26"/>
  <c r="L47" i="26" s="1"/>
  <c r="D46" i="26"/>
  <c r="L46" i="26" s="1"/>
  <c r="D45" i="26"/>
  <c r="L45" i="26" s="1"/>
  <c r="L44" i="26"/>
  <c r="D43" i="26"/>
  <c r="L43" i="26" s="1"/>
  <c r="D42" i="26"/>
  <c r="L42" i="26" s="1"/>
  <c r="D41" i="26"/>
  <c r="L41" i="26" s="1"/>
  <c r="D40" i="26"/>
  <c r="L40" i="26" s="1"/>
  <c r="D39" i="26"/>
  <c r="L39" i="26" s="1"/>
  <c r="L38" i="26"/>
  <c r="D37" i="26"/>
  <c r="L37" i="26" s="1"/>
  <c r="D36" i="26"/>
  <c r="L36" i="26" s="1"/>
  <c r="D35" i="26"/>
  <c r="L35" i="26" s="1"/>
  <c r="D34" i="26"/>
  <c r="L34" i="26" s="1"/>
  <c r="D33" i="26"/>
  <c r="L33" i="26" s="1"/>
  <c r="D32" i="26"/>
  <c r="L32" i="26" s="1"/>
  <c r="L31" i="26"/>
  <c r="D30" i="26"/>
  <c r="L30" i="26" s="1"/>
  <c r="D29" i="26"/>
  <c r="L29" i="26" s="1"/>
  <c r="D28" i="26"/>
  <c r="L28" i="26" s="1"/>
  <c r="D27" i="26"/>
  <c r="L27" i="26" s="1"/>
  <c r="D26" i="26"/>
  <c r="L26" i="26" s="1"/>
  <c r="L25" i="26"/>
  <c r="D24" i="26"/>
  <c r="L24" i="26" s="1"/>
  <c r="D23" i="26"/>
  <c r="L23" i="26" s="1"/>
  <c r="D22" i="26"/>
  <c r="L22" i="26" s="1"/>
  <c r="D21" i="26"/>
  <c r="L21" i="26" s="1"/>
  <c r="D20" i="26"/>
  <c r="L20" i="26" s="1"/>
  <c r="L19" i="26"/>
  <c r="D18" i="26"/>
  <c r="L18" i="26" s="1"/>
  <c r="D17" i="26"/>
  <c r="L17" i="26" s="1"/>
  <c r="D16" i="26"/>
  <c r="L16" i="26" s="1"/>
  <c r="D15" i="26"/>
  <c r="L15" i="26" s="1"/>
  <c r="D14" i="26"/>
  <c r="L14" i="26" s="1"/>
  <c r="L13" i="26"/>
  <c r="D12" i="26"/>
  <c r="L12" i="26" s="1"/>
  <c r="D11" i="26"/>
  <c r="L11" i="26" s="1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0" i="26"/>
  <c r="H20" i="26" s="1"/>
  <c r="G24" i="26"/>
  <c r="H24" i="26" s="1"/>
  <c r="G28" i="26"/>
  <c r="H28" i="26" s="1"/>
  <c r="G32" i="26"/>
  <c r="H32" i="26" s="1"/>
  <c r="G36" i="26"/>
  <c r="H36" i="26" s="1"/>
  <c r="G40" i="26"/>
  <c r="H40" i="26" s="1"/>
  <c r="G48" i="26"/>
  <c r="H48" i="26" s="1"/>
  <c r="G52" i="26"/>
  <c r="H52" i="26" s="1"/>
  <c r="G15" i="27"/>
  <c r="H15" i="27" s="1"/>
  <c r="G19" i="27"/>
  <c r="H19" i="27" s="1"/>
  <c r="G23" i="27"/>
  <c r="H23" i="27" s="1"/>
  <c r="G27" i="27"/>
  <c r="H27" i="27" s="1"/>
  <c r="G31" i="27"/>
  <c r="H31" i="27" s="1"/>
  <c r="G35" i="27"/>
  <c r="H35" i="27" s="1"/>
  <c r="G43" i="27"/>
  <c r="H43" i="27" s="1"/>
  <c r="G47" i="27"/>
  <c r="H47" i="27" s="1"/>
  <c r="G55" i="27"/>
  <c r="H55" i="27" s="1"/>
  <c r="G10" i="28"/>
  <c r="H10" i="28" s="1"/>
  <c r="G13" i="29"/>
  <c r="H13" i="29" s="1"/>
  <c r="G17" i="29"/>
  <c r="H17" i="29" s="1"/>
  <c r="G21" i="29"/>
  <c r="H21" i="29" s="1"/>
  <c r="G25" i="29"/>
  <c r="H25" i="29" s="1"/>
  <c r="G29" i="29"/>
  <c r="H29" i="29" s="1"/>
  <c r="G33" i="29"/>
  <c r="H33" i="29" s="1"/>
  <c r="G37" i="29"/>
  <c r="H37" i="29" s="1"/>
  <c r="G41" i="29"/>
  <c r="H41" i="29" s="1"/>
  <c r="G45" i="29"/>
  <c r="H45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32" i="30"/>
  <c r="H32" i="30" s="1"/>
  <c r="G36" i="30"/>
  <c r="H36" i="30" s="1"/>
  <c r="G40" i="30"/>
  <c r="H40" i="30" s="1"/>
  <c r="G44" i="30"/>
  <c r="H44" i="30" s="1"/>
  <c r="G48" i="30"/>
  <c r="H48" i="30" s="1"/>
  <c r="G52" i="30"/>
  <c r="H52" i="30" s="1"/>
  <c r="G12" i="35"/>
  <c r="H12" i="35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48" i="35"/>
  <c r="H48" i="35" s="1"/>
  <c r="G52" i="35"/>
  <c r="H52" i="35" s="1"/>
  <c r="G54" i="37"/>
  <c r="H54" i="37" s="1"/>
  <c r="G44" i="36"/>
  <c r="H44" i="36" s="1"/>
  <c r="G48" i="36"/>
  <c r="H48" i="36" s="1"/>
  <c r="G11" i="37"/>
  <c r="H11" i="37" s="1"/>
  <c r="G50" i="35"/>
  <c r="H50" i="35" s="1"/>
  <c r="G54" i="35"/>
  <c r="H54" i="35" s="1"/>
  <c r="G17" i="36"/>
  <c r="H17" i="36" s="1"/>
  <c r="G21" i="36"/>
  <c r="H21" i="36" s="1"/>
  <c r="G25" i="36"/>
  <c r="H25" i="36" s="1"/>
  <c r="G29" i="36"/>
  <c r="H29" i="36" s="1"/>
  <c r="G33" i="36"/>
  <c r="H33" i="36" s="1"/>
  <c r="G37" i="36"/>
  <c r="H37" i="36" s="1"/>
  <c r="G41" i="36"/>
  <c r="H41" i="36" s="1"/>
  <c r="G45" i="36"/>
  <c r="H45" i="36" s="1"/>
  <c r="G49" i="36"/>
  <c r="H49" i="36" s="1"/>
  <c r="G53" i="36"/>
  <c r="H53" i="36" s="1"/>
  <c r="G16" i="37"/>
  <c r="H16" i="37" s="1"/>
  <c r="G20" i="37"/>
  <c r="H20" i="37" s="1"/>
  <c r="G24" i="37"/>
  <c r="H24" i="37" s="1"/>
  <c r="G28" i="37"/>
  <c r="H28" i="37" s="1"/>
  <c r="G32" i="37"/>
  <c r="H32" i="37" s="1"/>
  <c r="G36" i="37"/>
  <c r="H36" i="37" s="1"/>
  <c r="G52" i="37"/>
  <c r="H52" i="37" s="1"/>
  <c r="G12" i="27"/>
  <c r="H12" i="27" s="1"/>
  <c r="G20" i="27"/>
  <c r="H20" i="27" s="1"/>
  <c r="G24" i="27"/>
  <c r="H24" i="27" s="1"/>
  <c r="G32" i="27"/>
  <c r="H32" i="27" s="1"/>
  <c r="G36" i="27"/>
  <c r="H36" i="27" s="1"/>
  <c r="G40" i="27"/>
  <c r="H40" i="27" s="1"/>
  <c r="G44" i="27"/>
  <c r="H44" i="27" s="1"/>
  <c r="G48" i="27"/>
  <c r="H48" i="27" s="1"/>
  <c r="G52" i="27"/>
  <c r="H52" i="27" s="1"/>
  <c r="G11" i="28"/>
  <c r="H11" i="28" s="1"/>
  <c r="G10" i="29"/>
  <c r="H10" i="29" s="1"/>
  <c r="G14" i="29"/>
  <c r="H14" i="29" s="1"/>
  <c r="G18" i="29"/>
  <c r="H18" i="29" s="1"/>
  <c r="G22" i="29"/>
  <c r="H22" i="29" s="1"/>
  <c r="G30" i="29"/>
  <c r="H30" i="29" s="1"/>
  <c r="G34" i="29"/>
  <c r="H34" i="29" s="1"/>
  <c r="G42" i="29"/>
  <c r="H42" i="29" s="1"/>
  <c r="G46" i="29"/>
  <c r="H46" i="29" s="1"/>
  <c r="G54" i="29"/>
  <c r="H54" i="29" s="1"/>
  <c r="G17" i="26"/>
  <c r="H17" i="26" s="1"/>
  <c r="G33" i="26"/>
  <c r="H33" i="26" s="1"/>
  <c r="G41" i="26"/>
  <c r="H41" i="26" s="1"/>
  <c r="G49" i="26"/>
  <c r="H49" i="26" s="1"/>
  <c r="G21" i="26"/>
  <c r="H21" i="26" s="1"/>
  <c r="G29" i="26"/>
  <c r="H29" i="26" s="1"/>
  <c r="G37" i="26"/>
  <c r="H37" i="26" s="1"/>
  <c r="G45" i="26"/>
  <c r="H45" i="26" s="1"/>
  <c r="G53" i="26"/>
  <c r="H53" i="26" s="1"/>
  <c r="G17" i="30"/>
  <c r="H17" i="30" s="1"/>
  <c r="G21" i="30"/>
  <c r="H21" i="30" s="1"/>
  <c r="G29" i="30"/>
  <c r="H29" i="30" s="1"/>
  <c r="G33" i="30"/>
  <c r="H33" i="30" s="1"/>
  <c r="G41" i="30"/>
  <c r="H41" i="30" s="1"/>
  <c r="G45" i="30"/>
  <c r="H45" i="30" s="1"/>
  <c r="G53" i="30"/>
  <c r="H53" i="30" s="1"/>
  <c r="G12" i="31"/>
  <c r="H12" i="31" s="1"/>
  <c r="G16" i="31"/>
  <c r="H16" i="31" s="1"/>
  <c r="G20" i="31"/>
  <c r="H20" i="31" s="1"/>
  <c r="G24" i="31"/>
  <c r="H24" i="31" s="1"/>
  <c r="G28" i="31"/>
  <c r="H28" i="31" s="1"/>
  <c r="G40" i="31"/>
  <c r="H40" i="31" s="1"/>
  <c r="G44" i="31"/>
  <c r="H44" i="31" s="1"/>
  <c r="G48" i="31"/>
  <c r="H48" i="31" s="1"/>
  <c r="G52" i="31"/>
  <c r="H52" i="31" s="1"/>
  <c r="G11" i="32"/>
  <c r="H11" i="32" s="1"/>
  <c r="G15" i="32"/>
  <c r="H15" i="32" s="1"/>
  <c r="G19" i="32"/>
  <c r="H19" i="32" s="1"/>
  <c r="G23" i="32"/>
  <c r="H23" i="32" s="1"/>
  <c r="G27" i="32"/>
  <c r="H27" i="32" s="1"/>
  <c r="G31" i="32"/>
  <c r="H31" i="32" s="1"/>
  <c r="G35" i="32"/>
  <c r="H35" i="32" s="1"/>
  <c r="G39" i="32"/>
  <c r="H39" i="32" s="1"/>
  <c r="G43" i="32"/>
  <c r="H43" i="32" s="1"/>
  <c r="G47" i="32"/>
  <c r="H47" i="32" s="1"/>
  <c r="G51" i="32"/>
  <c r="H51" i="32" s="1"/>
  <c r="G55" i="32"/>
  <c r="H55" i="32" s="1"/>
  <c r="G10" i="33"/>
  <c r="H10" i="33" s="1"/>
  <c r="G14" i="33"/>
  <c r="H14" i="33" s="1"/>
  <c r="G18" i="33"/>
  <c r="H18" i="33" s="1"/>
  <c r="G22" i="33"/>
  <c r="H22" i="33" s="1"/>
  <c r="G30" i="33"/>
  <c r="H30" i="33" s="1"/>
  <c r="G34" i="33"/>
  <c r="H34" i="33" s="1"/>
  <c r="G38" i="33"/>
  <c r="H38" i="33" s="1"/>
  <c r="G42" i="33"/>
  <c r="H42" i="33" s="1"/>
  <c r="G46" i="33"/>
  <c r="H46" i="33" s="1"/>
  <c r="G50" i="33"/>
  <c r="H50" i="33" s="1"/>
  <c r="G13" i="34"/>
  <c r="H13" i="34" s="1"/>
  <c r="G18" i="34"/>
  <c r="H18" i="34" s="1"/>
  <c r="G22" i="34"/>
  <c r="H22" i="34" s="1"/>
  <c r="G26" i="34"/>
  <c r="H26" i="34" s="1"/>
  <c r="G30" i="34"/>
  <c r="H30" i="34" s="1"/>
  <c r="G34" i="34"/>
  <c r="H34" i="34" s="1"/>
  <c r="G38" i="34"/>
  <c r="H38" i="34" s="1"/>
  <c r="G42" i="34"/>
  <c r="H42" i="34" s="1"/>
  <c r="G46" i="34"/>
  <c r="H46" i="34" s="1"/>
  <c r="G50" i="34"/>
  <c r="H50" i="34" s="1"/>
  <c r="G54" i="34"/>
  <c r="H54" i="34" s="1"/>
  <c r="G13" i="35"/>
  <c r="H13" i="35" s="1"/>
  <c r="G21" i="35"/>
  <c r="H21" i="35" s="1"/>
  <c r="G25" i="35"/>
  <c r="H25" i="35" s="1"/>
  <c r="G29" i="35"/>
  <c r="H29" i="35" s="1"/>
  <c r="G33" i="35"/>
  <c r="H33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16" i="36"/>
  <c r="H16" i="36" s="1"/>
  <c r="G20" i="36"/>
  <c r="H20" i="36" s="1"/>
  <c r="G24" i="36"/>
  <c r="H24" i="36" s="1"/>
  <c r="G28" i="36"/>
  <c r="H28" i="36" s="1"/>
  <c r="G36" i="36"/>
  <c r="H36" i="36" s="1"/>
  <c r="G40" i="36"/>
  <c r="H40" i="36" s="1"/>
  <c r="G15" i="37"/>
  <c r="H15" i="37" s="1"/>
  <c r="G19" i="37"/>
  <c r="H19" i="37" s="1"/>
  <c r="G23" i="37"/>
  <c r="H23" i="37" s="1"/>
  <c r="G27" i="37"/>
  <c r="H27" i="37" s="1"/>
  <c r="G31" i="37"/>
  <c r="H31" i="37" s="1"/>
  <c r="G35" i="37"/>
  <c r="H35" i="37" s="1"/>
  <c r="G39" i="37"/>
  <c r="H39" i="37" s="1"/>
  <c r="G43" i="37"/>
  <c r="H43" i="37" s="1"/>
  <c r="G47" i="37"/>
  <c r="H47" i="37" s="1"/>
  <c r="G51" i="37"/>
  <c r="H51" i="37" s="1"/>
  <c r="G55" i="37"/>
  <c r="H55" i="37" s="1"/>
  <c r="G10" i="26"/>
  <c r="H10" i="26" s="1"/>
  <c r="G14" i="26"/>
  <c r="H14" i="26" s="1"/>
  <c r="G18" i="26"/>
  <c r="H18" i="26" s="1"/>
  <c r="G22" i="26"/>
  <c r="H22" i="26" s="1"/>
  <c r="G26" i="26"/>
  <c r="H26" i="26" s="1"/>
  <c r="G30" i="26"/>
  <c r="H30" i="26" s="1"/>
  <c r="G34" i="26"/>
  <c r="H34" i="26" s="1"/>
  <c r="G42" i="26"/>
  <c r="H42" i="26" s="1"/>
  <c r="G46" i="26"/>
  <c r="H46" i="26" s="1"/>
  <c r="G54" i="26"/>
  <c r="H54" i="26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1" i="27"/>
  <c r="H41" i="27" s="1"/>
  <c r="G49" i="27"/>
  <c r="H49" i="27" s="1"/>
  <c r="G53" i="27"/>
  <c r="H53" i="27" s="1"/>
  <c r="G11" i="29"/>
  <c r="H11" i="29" s="1"/>
  <c r="G19" i="29"/>
  <c r="H19" i="29" s="1"/>
  <c r="G23" i="29"/>
  <c r="H23" i="29" s="1"/>
  <c r="G27" i="29"/>
  <c r="H27" i="29" s="1"/>
  <c r="G31" i="29"/>
  <c r="H31" i="29" s="1"/>
  <c r="G35" i="29"/>
  <c r="H35" i="29" s="1"/>
  <c r="G39" i="29"/>
  <c r="H39" i="29" s="1"/>
  <c r="G43" i="29"/>
  <c r="H43" i="29" s="1"/>
  <c r="G47" i="29"/>
  <c r="H47" i="29" s="1"/>
  <c r="G51" i="29"/>
  <c r="H51" i="29" s="1"/>
  <c r="G55" i="29"/>
  <c r="H55" i="29" s="1"/>
  <c r="G10" i="30"/>
  <c r="H10" i="30" s="1"/>
  <c r="G14" i="30"/>
  <c r="H14" i="30" s="1"/>
  <c r="G18" i="30"/>
  <c r="H18" i="30" s="1"/>
  <c r="G22" i="30"/>
  <c r="H22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0" i="30"/>
  <c r="H50" i="30" s="1"/>
  <c r="G54" i="30"/>
  <c r="H54" i="30" s="1"/>
  <c r="G13" i="31"/>
  <c r="H13" i="31" s="1"/>
  <c r="G17" i="31"/>
  <c r="H17" i="31" s="1"/>
  <c r="G21" i="31"/>
  <c r="H21" i="31" s="1"/>
  <c r="G25" i="31"/>
  <c r="H25" i="31" s="1"/>
  <c r="G29" i="31"/>
  <c r="H29" i="31" s="1"/>
  <c r="G33" i="31"/>
  <c r="H33" i="31" s="1"/>
  <c r="G37" i="31"/>
  <c r="H37" i="31" s="1"/>
  <c r="G49" i="31"/>
  <c r="H49" i="31" s="1"/>
  <c r="G53" i="31"/>
  <c r="H53" i="31" s="1"/>
  <c r="G12" i="32"/>
  <c r="H12" i="32" s="1"/>
  <c r="G16" i="32"/>
  <c r="H16" i="32" s="1"/>
  <c r="G20" i="32"/>
  <c r="H20" i="32" s="1"/>
  <c r="G24" i="32"/>
  <c r="H24" i="32" s="1"/>
  <c r="G28" i="32"/>
  <c r="H28" i="32" s="1"/>
  <c r="G32" i="32"/>
  <c r="H32" i="32" s="1"/>
  <c r="G36" i="32"/>
  <c r="H36" i="32" s="1"/>
  <c r="G40" i="32"/>
  <c r="H40" i="32" s="1"/>
  <c r="G44" i="32"/>
  <c r="H44" i="32" s="1"/>
  <c r="G48" i="32"/>
  <c r="H48" i="32" s="1"/>
  <c r="G52" i="32"/>
  <c r="H52" i="32" s="1"/>
  <c r="G11" i="33"/>
  <c r="H11" i="33" s="1"/>
  <c r="G19" i="33"/>
  <c r="H19" i="33" s="1"/>
  <c r="G23" i="33"/>
  <c r="H23" i="33" s="1"/>
  <c r="G27" i="33"/>
  <c r="H27" i="33" s="1"/>
  <c r="G31" i="33"/>
  <c r="H31" i="33" s="1"/>
  <c r="G35" i="33"/>
  <c r="H35" i="33" s="1"/>
  <c r="G39" i="33"/>
  <c r="H39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19" i="34"/>
  <c r="H19" i="34" s="1"/>
  <c r="G27" i="34"/>
  <c r="H27" i="34" s="1"/>
  <c r="G31" i="34"/>
  <c r="H31" i="34" s="1"/>
  <c r="G35" i="34"/>
  <c r="H35" i="34" s="1"/>
  <c r="G39" i="34"/>
  <c r="H39" i="34" s="1"/>
  <c r="G43" i="34"/>
  <c r="H43" i="34" s="1"/>
  <c r="G47" i="34"/>
  <c r="H47" i="34" s="1"/>
  <c r="G51" i="34"/>
  <c r="H51" i="34" s="1"/>
  <c r="G55" i="34"/>
  <c r="H55" i="34" s="1"/>
  <c r="G10" i="35"/>
  <c r="H10" i="35" s="1"/>
  <c r="G14" i="35"/>
  <c r="H14" i="35" s="1"/>
  <c r="G18" i="35"/>
  <c r="H18" i="35" s="1"/>
  <c r="G22" i="35"/>
  <c r="H22" i="35" s="1"/>
  <c r="G30" i="35"/>
  <c r="H30" i="35" s="1"/>
  <c r="G38" i="35"/>
  <c r="H38" i="35" s="1"/>
  <c r="G46" i="35"/>
  <c r="H46" i="35" s="1"/>
  <c r="G13" i="28"/>
  <c r="H13" i="28" s="1"/>
  <c r="G11" i="26"/>
  <c r="H11" i="26" s="1"/>
  <c r="G15" i="26"/>
  <c r="H15" i="26" s="1"/>
  <c r="G23" i="26"/>
  <c r="H23" i="26" s="1"/>
  <c r="G27" i="26"/>
  <c r="H27" i="26" s="1"/>
  <c r="G35" i="26"/>
  <c r="H35" i="26" s="1"/>
  <c r="G39" i="26"/>
  <c r="H39" i="26" s="1"/>
  <c r="G43" i="26"/>
  <c r="H43" i="26" s="1"/>
  <c r="G47" i="26"/>
  <c r="H47" i="26" s="1"/>
  <c r="G51" i="26"/>
  <c r="H51" i="26" s="1"/>
  <c r="G55" i="26"/>
  <c r="H55" i="26" s="1"/>
  <c r="G10" i="27"/>
  <c r="H10" i="27" s="1"/>
  <c r="G14" i="27"/>
  <c r="H14" i="27" s="1"/>
  <c r="G18" i="27"/>
  <c r="H18" i="27" s="1"/>
  <c r="G26" i="27"/>
  <c r="H26" i="27" s="1"/>
  <c r="G30" i="27"/>
  <c r="H30" i="27" s="1"/>
  <c r="G38" i="27"/>
  <c r="H38" i="27" s="1"/>
  <c r="G42" i="27"/>
  <c r="H42" i="27" s="1"/>
  <c r="G46" i="27"/>
  <c r="H46" i="27" s="1"/>
  <c r="G50" i="27"/>
  <c r="H50" i="27" s="1"/>
  <c r="G54" i="27"/>
  <c r="H54" i="27" s="1"/>
  <c r="G12" i="29"/>
  <c r="H12" i="29" s="1"/>
  <c r="G16" i="29"/>
  <c r="H16" i="29" s="1"/>
  <c r="G24" i="29"/>
  <c r="H24" i="29" s="1"/>
  <c r="G28" i="29"/>
  <c r="H28" i="29" s="1"/>
  <c r="G36" i="29"/>
  <c r="H36" i="29" s="1"/>
  <c r="G40" i="29"/>
  <c r="H40" i="29" s="1"/>
  <c r="G48" i="29"/>
  <c r="H48" i="29" s="1"/>
  <c r="G52" i="29"/>
  <c r="H52" i="29" s="1"/>
  <c r="G11" i="30"/>
  <c r="H11" i="30" s="1"/>
  <c r="G15" i="30"/>
  <c r="H15" i="30" s="1"/>
  <c r="G23" i="30"/>
  <c r="H23" i="30" s="1"/>
  <c r="G27" i="30"/>
  <c r="H27" i="30" s="1"/>
  <c r="G35" i="30"/>
  <c r="H35" i="30" s="1"/>
  <c r="G39" i="30"/>
  <c r="H39" i="30" s="1"/>
  <c r="G47" i="30"/>
  <c r="H47" i="30" s="1"/>
  <c r="G51" i="30"/>
  <c r="H51" i="30" s="1"/>
  <c r="G10" i="31"/>
  <c r="H10" i="31" s="1"/>
  <c r="G22" i="31"/>
  <c r="H22" i="31" s="1"/>
  <c r="G26" i="31"/>
  <c r="H26" i="31" s="1"/>
  <c r="G30" i="31"/>
  <c r="H30" i="31" s="1"/>
  <c r="G34" i="31"/>
  <c r="H34" i="31" s="1"/>
  <c r="G38" i="31"/>
  <c r="H38" i="31" s="1"/>
  <c r="G42" i="31"/>
  <c r="H42" i="31" s="1"/>
  <c r="G46" i="31"/>
  <c r="H46" i="31" s="1"/>
  <c r="G13" i="32"/>
  <c r="H13" i="32" s="1"/>
  <c r="G17" i="32"/>
  <c r="H17" i="32" s="1"/>
  <c r="G21" i="32"/>
  <c r="H21" i="32" s="1"/>
  <c r="G25" i="32"/>
  <c r="H25" i="32" s="1"/>
  <c r="G29" i="32"/>
  <c r="H29" i="32" s="1"/>
  <c r="G33" i="32"/>
  <c r="H33" i="32" s="1"/>
  <c r="G37" i="32"/>
  <c r="H37" i="32" s="1"/>
  <c r="G41" i="32"/>
  <c r="H41" i="32" s="1"/>
  <c r="G45" i="32"/>
  <c r="H45" i="32" s="1"/>
  <c r="G49" i="32"/>
  <c r="H49" i="32" s="1"/>
  <c r="G53" i="32"/>
  <c r="H53" i="32" s="1"/>
  <c r="G12" i="33"/>
  <c r="H12" i="33" s="1"/>
  <c r="G16" i="33"/>
  <c r="H16" i="33" s="1"/>
  <c r="G20" i="33"/>
  <c r="H20" i="33" s="1"/>
  <c r="G24" i="33"/>
  <c r="H24" i="33" s="1"/>
  <c r="G28" i="33"/>
  <c r="H28" i="33" s="1"/>
  <c r="G36" i="33"/>
  <c r="H36" i="33" s="1"/>
  <c r="G40" i="33"/>
  <c r="H40" i="33" s="1"/>
  <c r="G44" i="33"/>
  <c r="H44" i="33" s="1"/>
  <c r="G48" i="33"/>
  <c r="H48" i="33" s="1"/>
  <c r="G52" i="33"/>
  <c r="H52" i="33" s="1"/>
  <c r="G11" i="34"/>
  <c r="H11" i="34" s="1"/>
  <c r="G20" i="34"/>
  <c r="H20" i="34" s="1"/>
  <c r="G24" i="34"/>
  <c r="H24" i="34" s="1"/>
  <c r="G28" i="34"/>
  <c r="H28" i="34" s="1"/>
  <c r="G32" i="34"/>
  <c r="H32" i="34" s="1"/>
  <c r="G36" i="34"/>
  <c r="H36" i="34" s="1"/>
  <c r="G40" i="34"/>
  <c r="H40" i="34" s="1"/>
  <c r="G48" i="34"/>
  <c r="H48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1" i="35"/>
  <c r="H31" i="35" s="1"/>
  <c r="G35" i="35"/>
  <c r="H35" i="35" s="1"/>
  <c r="G39" i="35"/>
  <c r="H39" i="35" s="1"/>
  <c r="G43" i="35"/>
  <c r="H43" i="35" s="1"/>
  <c r="G47" i="35"/>
  <c r="H47" i="35" s="1"/>
  <c r="G55" i="35"/>
  <c r="H55" i="35" s="1"/>
  <c r="G10" i="36"/>
  <c r="H10" i="36" s="1"/>
  <c r="G14" i="36"/>
  <c r="H14" i="36" s="1"/>
  <c r="G18" i="36"/>
  <c r="H18" i="36" s="1"/>
  <c r="G22" i="36"/>
  <c r="H22" i="36" s="1"/>
  <c r="G26" i="36"/>
  <c r="H26" i="36" s="1"/>
  <c r="G30" i="36"/>
  <c r="H30" i="36" s="1"/>
  <c r="G34" i="36"/>
  <c r="H34" i="36" s="1"/>
  <c r="G38" i="36"/>
  <c r="H38" i="36" s="1"/>
  <c r="G46" i="36"/>
  <c r="H46" i="36" s="1"/>
  <c r="G50" i="36"/>
  <c r="H50" i="36" s="1"/>
  <c r="G54" i="36"/>
  <c r="H54" i="36" s="1"/>
  <c r="G13" i="37"/>
  <c r="H13" i="37" s="1"/>
  <c r="G17" i="37"/>
  <c r="H17" i="37" s="1"/>
  <c r="G25" i="37"/>
  <c r="H25" i="37" s="1"/>
  <c r="G29" i="37"/>
  <c r="H29" i="37" s="1"/>
  <c r="G33" i="37"/>
  <c r="H33" i="37" s="1"/>
  <c r="G37" i="37"/>
  <c r="H37" i="37" s="1"/>
  <c r="G41" i="37"/>
  <c r="H41" i="37" s="1"/>
  <c r="G45" i="37"/>
  <c r="H45" i="37" s="1"/>
  <c r="G53" i="37"/>
  <c r="H53" i="37" s="1"/>
  <c r="G11" i="31"/>
  <c r="H11" i="31" s="1"/>
  <c r="G15" i="31"/>
  <c r="H15" i="31" s="1"/>
  <c r="G19" i="31"/>
  <c r="H19" i="31" s="1"/>
  <c r="G31" i="31"/>
  <c r="H31" i="31" s="1"/>
  <c r="G35" i="31"/>
  <c r="H35" i="31" s="1"/>
  <c r="G39" i="31"/>
  <c r="H39" i="31" s="1"/>
  <c r="G43" i="31"/>
  <c r="H43" i="31" s="1"/>
  <c r="G47" i="31"/>
  <c r="H47" i="31" s="1"/>
  <c r="G51" i="31"/>
  <c r="H51" i="31" s="1"/>
  <c r="G55" i="31"/>
  <c r="H55" i="31" s="1"/>
  <c r="G14" i="32"/>
  <c r="H14" i="32" s="1"/>
  <c r="G18" i="32"/>
  <c r="H18" i="32" s="1"/>
  <c r="G22" i="32"/>
  <c r="H22" i="32" s="1"/>
  <c r="G26" i="32"/>
  <c r="H26" i="32" s="1"/>
  <c r="G30" i="32"/>
  <c r="H30" i="32" s="1"/>
  <c r="G34" i="32"/>
  <c r="H34" i="32" s="1"/>
  <c r="G38" i="32"/>
  <c r="H38" i="32" s="1"/>
  <c r="G46" i="32"/>
  <c r="H46" i="32" s="1"/>
  <c r="G50" i="32"/>
  <c r="H50" i="32" s="1"/>
  <c r="G54" i="32"/>
  <c r="H54" i="32" s="1"/>
  <c r="G13" i="33"/>
  <c r="H13" i="33" s="1"/>
  <c r="G17" i="33"/>
  <c r="H17" i="33" s="1"/>
  <c r="G25" i="33"/>
  <c r="H25" i="33" s="1"/>
  <c r="G29" i="33"/>
  <c r="H29" i="33" s="1"/>
  <c r="G33" i="33"/>
  <c r="H33" i="33" s="1"/>
  <c r="G41" i="33"/>
  <c r="H41" i="33" s="1"/>
  <c r="G45" i="33"/>
  <c r="H45" i="33" s="1"/>
  <c r="G53" i="33"/>
  <c r="H53" i="33" s="1"/>
  <c r="G12" i="34"/>
  <c r="H12" i="34" s="1"/>
  <c r="G17" i="34"/>
  <c r="H17" i="34" s="1"/>
  <c r="G21" i="34"/>
  <c r="H21" i="34" s="1"/>
  <c r="G25" i="34"/>
  <c r="H25" i="34" s="1"/>
  <c r="G29" i="34"/>
  <c r="H29" i="34" s="1"/>
  <c r="G33" i="34"/>
  <c r="H33" i="34" s="1"/>
  <c r="G37" i="34"/>
  <c r="H37" i="34" s="1"/>
  <c r="G41" i="34"/>
  <c r="H41" i="34" s="1"/>
  <c r="G45" i="34"/>
  <c r="H45" i="34" s="1"/>
  <c r="G49" i="34"/>
  <c r="H49" i="34" s="1"/>
  <c r="G53" i="34"/>
  <c r="H53" i="34" s="1"/>
  <c r="G11" i="36"/>
  <c r="H11" i="36" s="1"/>
  <c r="G15" i="36"/>
  <c r="H15" i="36" s="1"/>
  <c r="G19" i="36"/>
  <c r="H19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4" i="37"/>
  <c r="H34" i="37" s="1"/>
  <c r="G38" i="37"/>
  <c r="H38" i="37" s="1"/>
  <c r="G42" i="37"/>
  <c r="H42" i="37" s="1"/>
  <c r="G46" i="37"/>
  <c r="H46" i="37" s="1"/>
  <c r="G50" i="37"/>
  <c r="H50" i="37" s="1"/>
  <c r="E41" i="26"/>
  <c r="E55" i="32"/>
  <c r="E17" i="27"/>
  <c r="E21" i="27"/>
  <c r="E33" i="27"/>
  <c r="E37" i="27"/>
  <c r="E49" i="27"/>
  <c r="E43" i="29"/>
  <c r="E16" i="32"/>
  <c r="E23" i="32"/>
  <c r="E39" i="32"/>
  <c r="E13" i="32"/>
  <c r="E16" i="33"/>
  <c r="E19" i="35"/>
  <c r="E37" i="37"/>
  <c r="E53" i="37"/>
  <c r="E21" i="26"/>
  <c r="E37" i="26"/>
  <c r="E53" i="26"/>
  <c r="E35" i="36"/>
  <c r="E31" i="31"/>
  <c r="E35" i="31"/>
  <c r="E39" i="31"/>
  <c r="E43" i="31"/>
  <c r="E47" i="31"/>
  <c r="E51" i="31"/>
  <c r="E7" i="32"/>
  <c r="E15" i="32"/>
  <c r="E41" i="32"/>
  <c r="E45" i="32"/>
  <c r="E10" i="33"/>
  <c r="E34" i="33"/>
  <c r="E50" i="33"/>
  <c r="E16" i="36"/>
  <c r="E25" i="36"/>
  <c r="E53" i="36"/>
  <c r="E42" i="37"/>
  <c r="E7" i="31"/>
  <c r="E10" i="31"/>
  <c r="E22" i="31"/>
  <c r="E26" i="31"/>
  <c r="E30" i="31"/>
  <c r="E34" i="31"/>
  <c r="E38" i="31"/>
  <c r="E42" i="31"/>
  <c r="E46" i="31"/>
  <c r="E57" i="31"/>
  <c r="E9" i="32"/>
  <c r="E14" i="32"/>
  <c r="E20" i="32"/>
  <c r="E32" i="32"/>
  <c r="E34" i="32"/>
  <c r="E36" i="32"/>
  <c r="E38" i="32"/>
  <c r="E47" i="32"/>
  <c r="E49" i="32"/>
  <c r="E51" i="32"/>
  <c r="E53" i="32"/>
  <c r="E9" i="33"/>
  <c r="E14" i="33"/>
  <c r="E19" i="33"/>
  <c r="E23" i="33"/>
  <c r="E24" i="33"/>
  <c r="E28" i="33"/>
  <c r="E33" i="33"/>
  <c r="E36" i="33"/>
  <c r="E40" i="33"/>
  <c r="E46" i="33"/>
  <c r="E53" i="33"/>
  <c r="E16" i="34"/>
  <c r="E21" i="34"/>
  <c r="E37" i="34"/>
  <c r="E46" i="34"/>
  <c r="E9" i="35"/>
  <c r="E14" i="35"/>
  <c r="E28" i="35"/>
  <c r="E37" i="35"/>
  <c r="E11" i="36"/>
  <c r="E34" i="36"/>
  <c r="E39" i="36"/>
  <c r="E48" i="36"/>
  <c r="E15" i="37"/>
  <c r="E20" i="37"/>
  <c r="E25" i="37"/>
  <c r="E24" i="32"/>
  <c r="E28" i="32"/>
  <c r="E30" i="32"/>
  <c r="E43" i="32"/>
  <c r="E7" i="33"/>
  <c r="E20" i="33"/>
  <c r="E44" i="33"/>
  <c r="E10" i="34"/>
  <c r="E33" i="34"/>
  <c r="E30" i="36"/>
  <c r="E44" i="36"/>
  <c r="E9" i="37"/>
  <c r="E9" i="31"/>
  <c r="E13" i="31"/>
  <c r="E17" i="31"/>
  <c r="E21" i="31"/>
  <c r="E25" i="31"/>
  <c r="E29" i="31"/>
  <c r="E33" i="31"/>
  <c r="E37" i="31"/>
  <c r="E49" i="31"/>
  <c r="E53" i="31"/>
  <c r="E12" i="32"/>
  <c r="E19" i="32"/>
  <c r="E25" i="32"/>
  <c r="E27" i="32"/>
  <c r="E29" i="32"/>
  <c r="E40" i="32"/>
  <c r="E44" i="32"/>
  <c r="E46" i="32"/>
  <c r="E57" i="32"/>
  <c r="E13" i="33"/>
  <c r="E18" i="33"/>
  <c r="E22" i="33"/>
  <c r="E27" i="33"/>
  <c r="E31" i="33"/>
  <c r="E39" i="33"/>
  <c r="E42" i="33"/>
  <c r="E45" i="33"/>
  <c r="E55" i="33"/>
  <c r="E7" i="34"/>
  <c r="E11" i="34"/>
  <c r="E14" i="34"/>
  <c r="E25" i="34"/>
  <c r="E41" i="34"/>
  <c r="E50" i="34"/>
  <c r="E57" i="34"/>
  <c r="E18" i="35"/>
  <c r="E23" i="35"/>
  <c r="E32" i="35"/>
  <c r="E41" i="35"/>
  <c r="E46" i="35"/>
  <c r="E43" i="36"/>
  <c r="E10" i="37"/>
  <c r="E31" i="37"/>
  <c r="E36" i="37"/>
  <c r="E41" i="37"/>
  <c r="E11" i="31"/>
  <c r="E15" i="31"/>
  <c r="E19" i="31"/>
  <c r="E55" i="31"/>
  <c r="E21" i="32"/>
  <c r="E26" i="32"/>
  <c r="E25" i="33"/>
  <c r="E29" i="33"/>
  <c r="E42" i="34"/>
  <c r="E12" i="31"/>
  <c r="E16" i="31"/>
  <c r="E20" i="31"/>
  <c r="E24" i="31"/>
  <c r="E28" i="31"/>
  <c r="E40" i="31"/>
  <c r="E44" i="31"/>
  <c r="E48" i="31"/>
  <c r="E52" i="31"/>
  <c r="E11" i="32"/>
  <c r="E17" i="32"/>
  <c r="E18" i="32"/>
  <c r="E22" i="32"/>
  <c r="E31" i="32"/>
  <c r="E33" i="32"/>
  <c r="E35" i="32"/>
  <c r="E37" i="32"/>
  <c r="E48" i="32"/>
  <c r="E50" i="32"/>
  <c r="E52" i="32"/>
  <c r="E54" i="32"/>
  <c r="E11" i="33"/>
  <c r="E12" i="33"/>
  <c r="E17" i="33"/>
  <c r="E30" i="33"/>
  <c r="E35" i="33"/>
  <c r="E41" i="33"/>
  <c r="E48" i="33"/>
  <c r="E51" i="33"/>
  <c r="E17" i="34"/>
  <c r="E29" i="34"/>
  <c r="E54" i="34"/>
  <c r="E27" i="35"/>
  <c r="E50" i="35"/>
  <c r="E55" i="35"/>
  <c r="E12" i="36"/>
  <c r="E21" i="36"/>
  <c r="E26" i="37"/>
  <c r="E47" i="37"/>
  <c r="E52" i="37"/>
  <c r="E20" i="34"/>
  <c r="E24" i="34"/>
  <c r="E28" i="34"/>
  <c r="E32" i="34"/>
  <c r="E36" i="34"/>
  <c r="E40" i="34"/>
  <c r="E45" i="34"/>
  <c r="E49" i="34"/>
  <c r="E53" i="34"/>
  <c r="E13" i="35"/>
  <c r="E22" i="35"/>
  <c r="E31" i="35"/>
  <c r="E36" i="35"/>
  <c r="E40" i="35"/>
  <c r="E45" i="35"/>
  <c r="E49" i="35"/>
  <c r="E54" i="35"/>
  <c r="E7" i="36"/>
  <c r="E10" i="36"/>
  <c r="E15" i="36"/>
  <c r="E20" i="36"/>
  <c r="E24" i="36"/>
  <c r="E29" i="36"/>
  <c r="E33" i="36"/>
  <c r="E38" i="36"/>
  <c r="E47" i="36"/>
  <c r="E14" i="37"/>
  <c r="E19" i="37"/>
  <c r="E24" i="37"/>
  <c r="E35" i="37"/>
  <c r="E46" i="37"/>
  <c r="E51" i="37"/>
  <c r="E57" i="33"/>
  <c r="E9" i="34"/>
  <c r="E13" i="34"/>
  <c r="E19" i="34"/>
  <c r="E27" i="34"/>
  <c r="E31" i="34"/>
  <c r="E35" i="34"/>
  <c r="E39" i="34"/>
  <c r="E48" i="34"/>
  <c r="E52" i="34"/>
  <c r="E12" i="35"/>
  <c r="E16" i="35"/>
  <c r="E21" i="35"/>
  <c r="E25" i="35"/>
  <c r="E30" i="35"/>
  <c r="E35" i="35"/>
  <c r="E39" i="35"/>
  <c r="E44" i="35"/>
  <c r="E48" i="35"/>
  <c r="E53" i="35"/>
  <c r="E57" i="35"/>
  <c r="E9" i="36"/>
  <c r="E14" i="36"/>
  <c r="E18" i="36"/>
  <c r="E19" i="36"/>
  <c r="E28" i="36"/>
  <c r="E37" i="36"/>
  <c r="E41" i="36"/>
  <c r="E46" i="36"/>
  <c r="E50" i="36"/>
  <c r="E51" i="36"/>
  <c r="E55" i="36"/>
  <c r="E7" i="37"/>
  <c r="E13" i="37"/>
  <c r="E18" i="37"/>
  <c r="E23" i="37"/>
  <c r="E28" i="37"/>
  <c r="E29" i="37"/>
  <c r="E34" i="37"/>
  <c r="E39" i="37"/>
  <c r="E44" i="37"/>
  <c r="E45" i="37"/>
  <c r="E50" i="37"/>
  <c r="E55" i="37"/>
  <c r="E38" i="33"/>
  <c r="E47" i="33"/>
  <c r="E52" i="33"/>
  <c r="E12" i="34"/>
  <c r="E18" i="34"/>
  <c r="E22" i="34"/>
  <c r="E26" i="34"/>
  <c r="E30" i="34"/>
  <c r="E34" i="34"/>
  <c r="E38" i="34"/>
  <c r="E43" i="34"/>
  <c r="E47" i="34"/>
  <c r="E51" i="34"/>
  <c r="E55" i="34"/>
  <c r="E7" i="35"/>
  <c r="E10" i="35"/>
  <c r="E11" i="35"/>
  <c r="E15" i="35"/>
  <c r="E20" i="35"/>
  <c r="E24" i="35"/>
  <c r="E29" i="35"/>
  <c r="E33" i="35"/>
  <c r="E38" i="35"/>
  <c r="E43" i="35"/>
  <c r="E47" i="35"/>
  <c r="E52" i="35"/>
  <c r="E17" i="36"/>
  <c r="E22" i="36"/>
  <c r="E26" i="36"/>
  <c r="E27" i="36"/>
  <c r="E31" i="36"/>
  <c r="E36" i="36"/>
  <c r="E40" i="36"/>
  <c r="E45" i="36"/>
  <c r="E49" i="36"/>
  <c r="E54" i="36"/>
  <c r="E57" i="36"/>
  <c r="E11" i="37"/>
  <c r="E16" i="37"/>
  <c r="E17" i="37"/>
  <c r="E22" i="37"/>
  <c r="E27" i="37"/>
  <c r="E32" i="37"/>
  <c r="E33" i="37"/>
  <c r="E38" i="37"/>
  <c r="E43" i="37"/>
  <c r="E48" i="37"/>
  <c r="E54" i="37"/>
  <c r="E57" i="37"/>
  <c r="E15" i="27"/>
  <c r="E14" i="29"/>
  <c r="E22" i="29"/>
  <c r="E30" i="29"/>
  <c r="E42" i="29"/>
  <c r="E47" i="29"/>
  <c r="E7" i="30"/>
  <c r="E14" i="30"/>
  <c r="E18" i="30"/>
  <c r="E50" i="30"/>
  <c r="E54" i="30"/>
  <c r="E19" i="27"/>
  <c r="E24" i="27"/>
  <c r="E35" i="27"/>
  <c r="E40" i="27"/>
  <c r="E46" i="27"/>
  <c r="E13" i="29"/>
  <c r="E17" i="29"/>
  <c r="E21" i="29"/>
  <c r="E25" i="29"/>
  <c r="E29" i="29"/>
  <c r="E33" i="29"/>
  <c r="E37" i="29"/>
  <c r="E41" i="29"/>
  <c r="E46" i="29"/>
  <c r="E54" i="29"/>
  <c r="E57" i="29"/>
  <c r="E9" i="30"/>
  <c r="E17" i="30"/>
  <c r="E33" i="30"/>
  <c r="E41" i="30"/>
  <c r="E45" i="30"/>
  <c r="E53" i="30"/>
  <c r="E7" i="27"/>
  <c r="E12" i="27"/>
  <c r="E13" i="27"/>
  <c r="E18" i="27"/>
  <c r="E23" i="27"/>
  <c r="E29" i="27"/>
  <c r="E44" i="27"/>
  <c r="E50" i="27"/>
  <c r="E54" i="27"/>
  <c r="E57" i="27"/>
  <c r="E9" i="28"/>
  <c r="E10" i="28"/>
  <c r="E12" i="29"/>
  <c r="E16" i="29"/>
  <c r="E24" i="29"/>
  <c r="E28" i="29"/>
  <c r="E36" i="29"/>
  <c r="E40" i="29"/>
  <c r="E45" i="29"/>
  <c r="E49" i="29"/>
  <c r="E53" i="29"/>
  <c r="E12" i="30"/>
  <c r="E16" i="30"/>
  <c r="E20" i="30"/>
  <c r="E24" i="30"/>
  <c r="E28" i="30"/>
  <c r="E32" i="30"/>
  <c r="E36" i="30"/>
  <c r="E40" i="30"/>
  <c r="E44" i="30"/>
  <c r="E48" i="30"/>
  <c r="E52" i="30"/>
  <c r="E10" i="27"/>
  <c r="E20" i="27"/>
  <c r="E26" i="27"/>
  <c r="E31" i="27"/>
  <c r="E36" i="27"/>
  <c r="E42" i="27"/>
  <c r="E47" i="27"/>
  <c r="E52" i="27"/>
  <c r="E9" i="29"/>
  <c r="E18" i="29"/>
  <c r="E34" i="29"/>
  <c r="E51" i="29"/>
  <c r="E55" i="29"/>
  <c r="E10" i="30"/>
  <c r="E22" i="30"/>
  <c r="E26" i="30"/>
  <c r="E30" i="30"/>
  <c r="E34" i="30"/>
  <c r="E38" i="30"/>
  <c r="E42" i="30"/>
  <c r="E46" i="30"/>
  <c r="E57" i="30"/>
  <c r="E9" i="27"/>
  <c r="E14" i="27"/>
  <c r="E25" i="27"/>
  <c r="E30" i="27"/>
  <c r="E41" i="27"/>
  <c r="E55" i="27"/>
  <c r="E7" i="28"/>
  <c r="E11" i="28"/>
  <c r="E21" i="30"/>
  <c r="E29" i="30"/>
  <c r="E27" i="27"/>
  <c r="E32" i="27"/>
  <c r="E38" i="27"/>
  <c r="E43" i="27"/>
  <c r="E48" i="27"/>
  <c r="E53" i="27"/>
  <c r="E7" i="29"/>
  <c r="E10" i="29"/>
  <c r="E11" i="29"/>
  <c r="E19" i="29"/>
  <c r="E23" i="29"/>
  <c r="E27" i="29"/>
  <c r="E31" i="29"/>
  <c r="E35" i="29"/>
  <c r="E39" i="29"/>
  <c r="E48" i="29"/>
  <c r="E52" i="29"/>
  <c r="E11" i="30"/>
  <c r="E15" i="30"/>
  <c r="E23" i="30"/>
  <c r="E27" i="30"/>
  <c r="E35" i="30"/>
  <c r="E39" i="30"/>
  <c r="E47" i="30"/>
  <c r="E51" i="30"/>
  <c r="E9" i="26"/>
  <c r="E30" i="26"/>
  <c r="E35" i="26"/>
  <c r="E40" i="26"/>
  <c r="E7" i="26"/>
  <c r="E12" i="26"/>
  <c r="E18" i="26"/>
  <c r="E23" i="26"/>
  <c r="E28" i="26"/>
  <c r="E29" i="26"/>
  <c r="E34" i="26"/>
  <c r="E39" i="26"/>
  <c r="E45" i="26"/>
  <c r="E55" i="26"/>
  <c r="E11" i="26"/>
  <c r="E16" i="26"/>
  <c r="E17" i="26"/>
  <c r="E22" i="26"/>
  <c r="E27" i="26"/>
  <c r="E32" i="26"/>
  <c r="E33" i="26"/>
  <c r="E43" i="26"/>
  <c r="E48" i="26"/>
  <c r="E49" i="26"/>
  <c r="E54" i="26"/>
  <c r="E57" i="26"/>
  <c r="E14" i="26"/>
  <c r="E24" i="26"/>
  <c r="E46" i="26"/>
  <c r="E51" i="26"/>
  <c r="E10" i="26"/>
  <c r="E15" i="26"/>
  <c r="E20" i="26"/>
  <c r="E26" i="26"/>
  <c r="E36" i="26"/>
  <c r="E42" i="26"/>
  <c r="E47" i="26"/>
  <c r="E52" i="26"/>
  <c r="I35" i="29" l="1"/>
  <c r="I48" i="29"/>
  <c r="I54" i="29"/>
  <c r="I13" i="29"/>
  <c r="I39" i="29"/>
  <c r="I9" i="29"/>
  <c r="I12" i="29"/>
  <c r="I18" i="29"/>
  <c r="I7" i="29"/>
  <c r="J7" i="29" s="1"/>
  <c r="I24" i="29"/>
  <c r="I33" i="29"/>
  <c r="I25" i="29"/>
  <c r="I51" i="29"/>
  <c r="I47" i="29"/>
  <c r="I37" i="29"/>
  <c r="I43" i="29"/>
  <c r="I45" i="29"/>
  <c r="I36" i="29"/>
  <c r="I28" i="29"/>
  <c r="I16" i="29"/>
  <c r="I31" i="29"/>
  <c r="I34" i="29"/>
  <c r="I27" i="29"/>
  <c r="I22" i="29"/>
  <c r="I49" i="29"/>
  <c r="I57" i="29"/>
  <c r="J57" i="29" s="1"/>
  <c r="Q17" i="29" s="1"/>
  <c r="I41" i="29"/>
  <c r="I21" i="29"/>
  <c r="I11" i="29"/>
  <c r="I55" i="29"/>
  <c r="J55" i="29" s="1"/>
  <c r="I53" i="29"/>
  <c r="I40" i="29"/>
  <c r="I46" i="29"/>
  <c r="I29" i="29"/>
  <c r="I17" i="29"/>
  <c r="I23" i="29"/>
  <c r="I42" i="29"/>
  <c r="I10" i="29"/>
  <c r="I52" i="29"/>
  <c r="I19" i="29"/>
  <c r="I30" i="29"/>
  <c r="I14" i="29"/>
  <c r="J14" i="29" s="1"/>
  <c r="I57" i="35"/>
  <c r="J57" i="35" s="1"/>
  <c r="Q17" i="35" s="1"/>
  <c r="I53" i="35"/>
  <c r="I48" i="35"/>
  <c r="I44" i="35"/>
  <c r="I39" i="35"/>
  <c r="I35" i="35"/>
  <c r="I30" i="35"/>
  <c r="I25" i="35"/>
  <c r="I21" i="35"/>
  <c r="I16" i="35"/>
  <c r="I12" i="35"/>
  <c r="I54" i="35"/>
  <c r="I49" i="35"/>
  <c r="I45" i="35"/>
  <c r="I40" i="35"/>
  <c r="I36" i="35"/>
  <c r="I31" i="35"/>
  <c r="I27" i="35"/>
  <c r="I22" i="35"/>
  <c r="I13" i="35"/>
  <c r="I55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33" i="35"/>
  <c r="I24" i="35"/>
  <c r="I7" i="35"/>
  <c r="J7" i="35" s="1"/>
  <c r="I43" i="35"/>
  <c r="I38" i="35"/>
  <c r="I29" i="35"/>
  <c r="I20" i="35"/>
  <c r="I15" i="35"/>
  <c r="I10" i="35"/>
  <c r="I55" i="37"/>
  <c r="I50" i="37"/>
  <c r="I45" i="37"/>
  <c r="I44" i="37"/>
  <c r="I39" i="37"/>
  <c r="I34" i="37"/>
  <c r="I29" i="37"/>
  <c r="I28" i="37"/>
  <c r="I23" i="37"/>
  <c r="I18" i="37"/>
  <c r="I13" i="37"/>
  <c r="I7" i="37"/>
  <c r="J7" i="37" s="1"/>
  <c r="I51" i="37"/>
  <c r="I46" i="37"/>
  <c r="I41" i="37"/>
  <c r="I35" i="37"/>
  <c r="I25" i="37"/>
  <c r="I24" i="37"/>
  <c r="I19" i="37"/>
  <c r="I14" i="37"/>
  <c r="I9" i="37"/>
  <c r="I53" i="37"/>
  <c r="I52" i="37"/>
  <c r="I47" i="37"/>
  <c r="I42" i="37"/>
  <c r="I37" i="37"/>
  <c r="I36" i="37"/>
  <c r="I31" i="37"/>
  <c r="I26" i="37"/>
  <c r="I20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32" i="37"/>
  <c r="I11" i="37"/>
  <c r="I53" i="31"/>
  <c r="I49" i="31"/>
  <c r="I37" i="31"/>
  <c r="I33" i="31"/>
  <c r="I29" i="31"/>
  <c r="I25" i="31"/>
  <c r="I21" i="31"/>
  <c r="I17" i="31"/>
  <c r="I13" i="31"/>
  <c r="I9" i="31"/>
  <c r="I24" i="31"/>
  <c r="I20" i="31"/>
  <c r="I16" i="31"/>
  <c r="I12" i="31"/>
  <c r="I57" i="31"/>
  <c r="J57" i="31" s="1"/>
  <c r="Q17" i="31" s="1"/>
  <c r="I46" i="31"/>
  <c r="I42" i="31"/>
  <c r="I38" i="31"/>
  <c r="I34" i="31"/>
  <c r="I30" i="31"/>
  <c r="I26" i="31"/>
  <c r="I22" i="31"/>
  <c r="I10" i="31"/>
  <c r="I7" i="31"/>
  <c r="J7" i="31" s="1"/>
  <c r="I28" i="31"/>
  <c r="I55" i="31"/>
  <c r="I51" i="31"/>
  <c r="I47" i="31"/>
  <c r="I43" i="31"/>
  <c r="I39" i="31"/>
  <c r="I35" i="31"/>
  <c r="I31" i="31"/>
  <c r="I19" i="31"/>
  <c r="I15" i="31"/>
  <c r="I11" i="31"/>
  <c r="I52" i="31"/>
  <c r="I48" i="31"/>
  <c r="I44" i="31"/>
  <c r="I40" i="31"/>
  <c r="I55" i="36"/>
  <c r="I51" i="36"/>
  <c r="I50" i="36"/>
  <c r="I46" i="36"/>
  <c r="I41" i="36"/>
  <c r="I37" i="36"/>
  <c r="I28" i="36"/>
  <c r="I19" i="36"/>
  <c r="I18" i="36"/>
  <c r="I14" i="36"/>
  <c r="I9" i="36"/>
  <c r="I47" i="36"/>
  <c r="I43" i="36"/>
  <c r="I38" i="36"/>
  <c r="I33" i="36"/>
  <c r="I29" i="36"/>
  <c r="I24" i="36"/>
  <c r="I20" i="36"/>
  <c r="I15" i="36"/>
  <c r="I11" i="36"/>
  <c r="I10" i="36"/>
  <c r="I7" i="36"/>
  <c r="J7" i="36" s="1"/>
  <c r="I53" i="36"/>
  <c r="I48" i="36"/>
  <c r="I44" i="36"/>
  <c r="I39" i="36"/>
  <c r="I35" i="36"/>
  <c r="I34" i="36"/>
  <c r="I30" i="36"/>
  <c r="I25" i="36"/>
  <c r="I21" i="36"/>
  <c r="I16" i="36"/>
  <c r="I12" i="36"/>
  <c r="I54" i="36"/>
  <c r="I45" i="36"/>
  <c r="I36" i="36"/>
  <c r="I31" i="36"/>
  <c r="I26" i="36"/>
  <c r="I17" i="36"/>
  <c r="I57" i="36"/>
  <c r="J57" i="36" s="1"/>
  <c r="Q17" i="36" s="1"/>
  <c r="I27" i="36"/>
  <c r="I22" i="36"/>
  <c r="I49" i="36"/>
  <c r="I40" i="36"/>
  <c r="I19" i="32"/>
  <c r="I13" i="32"/>
  <c r="I12" i="32"/>
  <c r="I18" i="32"/>
  <c r="I17" i="32"/>
  <c r="I20" i="32"/>
  <c r="I14" i="32"/>
  <c r="I9" i="32"/>
  <c r="I16" i="32"/>
  <c r="I15" i="32"/>
  <c r="I7" i="32"/>
  <c r="J7" i="32" s="1"/>
  <c r="I11" i="32"/>
  <c r="I15" i="34"/>
  <c r="I52" i="34"/>
  <c r="I48" i="34"/>
  <c r="I39" i="34"/>
  <c r="I35" i="34"/>
  <c r="I31" i="34"/>
  <c r="I27" i="34"/>
  <c r="I19" i="34"/>
  <c r="I13" i="34"/>
  <c r="I9" i="34"/>
  <c r="I53" i="34"/>
  <c r="I49" i="34"/>
  <c r="I45" i="34"/>
  <c r="I41" i="34"/>
  <c r="I40" i="34"/>
  <c r="I36" i="34"/>
  <c r="I32" i="34"/>
  <c r="I28" i="34"/>
  <c r="I24" i="34"/>
  <c r="I20" i="34"/>
  <c r="I16" i="34"/>
  <c r="I14" i="34"/>
  <c r="I10" i="34"/>
  <c r="I7" i="34"/>
  <c r="J7" i="34" s="1"/>
  <c r="I57" i="34"/>
  <c r="J57" i="34" s="1"/>
  <c r="Q17" i="34" s="1"/>
  <c r="I54" i="34"/>
  <c r="I50" i="34"/>
  <c r="I46" i="34"/>
  <c r="I42" i="34"/>
  <c r="I37" i="34"/>
  <c r="I33" i="34"/>
  <c r="I29" i="34"/>
  <c r="I25" i="34"/>
  <c r="I21" i="34"/>
  <c r="I43" i="34"/>
  <c r="I34" i="34"/>
  <c r="I18" i="34"/>
  <c r="I11" i="34"/>
  <c r="I17" i="34"/>
  <c r="I55" i="34"/>
  <c r="I30" i="34"/>
  <c r="I12" i="34"/>
  <c r="I47" i="34"/>
  <c r="I38" i="34"/>
  <c r="I22" i="34"/>
  <c r="I51" i="34"/>
  <c r="I26" i="34"/>
  <c r="I57" i="33"/>
  <c r="J57" i="33" s="1"/>
  <c r="Q17" i="33" s="1"/>
  <c r="I53" i="33"/>
  <c r="I44" i="33"/>
  <c r="I40" i="33"/>
  <c r="I39" i="33"/>
  <c r="I35" i="33"/>
  <c r="I55" i="33"/>
  <c r="I52" i="33"/>
  <c r="I45" i="33"/>
  <c r="I42" i="33"/>
  <c r="I31" i="33"/>
  <c r="I27" i="33"/>
  <c r="I22" i="33"/>
  <c r="I18" i="33"/>
  <c r="I13" i="33"/>
  <c r="I41" i="33"/>
  <c r="I38" i="33"/>
  <c r="I30" i="33"/>
  <c r="I46" i="33"/>
  <c r="I36" i="33"/>
  <c r="I33" i="33"/>
  <c r="I28" i="33"/>
  <c r="I24" i="33"/>
  <c r="I23" i="33"/>
  <c r="I19" i="33"/>
  <c r="I14" i="33"/>
  <c r="I9" i="33"/>
  <c r="I48" i="33"/>
  <c r="I17" i="33"/>
  <c r="I12" i="33"/>
  <c r="I11" i="33"/>
  <c r="I50" i="33"/>
  <c r="I47" i="33"/>
  <c r="I34" i="33"/>
  <c r="I29" i="33"/>
  <c r="I25" i="33"/>
  <c r="I20" i="33"/>
  <c r="I16" i="33"/>
  <c r="I10" i="33"/>
  <c r="I7" i="33"/>
  <c r="J7" i="33" s="1"/>
  <c r="I51" i="33"/>
  <c r="I52" i="30"/>
  <c r="I48" i="30"/>
  <c r="I44" i="30"/>
  <c r="I40" i="30"/>
  <c r="I36" i="30"/>
  <c r="I32" i="30"/>
  <c r="I28" i="30"/>
  <c r="I24" i="30"/>
  <c r="I20" i="30"/>
  <c r="I16" i="30"/>
  <c r="I12" i="30"/>
  <c r="I46" i="30"/>
  <c r="I38" i="30"/>
  <c r="I30" i="30"/>
  <c r="I22" i="30"/>
  <c r="I14" i="30"/>
  <c r="I47" i="30"/>
  <c r="I39" i="30"/>
  <c r="I35" i="30"/>
  <c r="I27" i="30"/>
  <c r="I23" i="30"/>
  <c r="I11" i="30"/>
  <c r="I53" i="30"/>
  <c r="I45" i="30"/>
  <c r="I41" i="30"/>
  <c r="I33" i="30"/>
  <c r="I29" i="30"/>
  <c r="I21" i="30"/>
  <c r="I17" i="30"/>
  <c r="I9" i="30"/>
  <c r="I57" i="30"/>
  <c r="J57" i="30" s="1"/>
  <c r="Q17" i="30" s="1"/>
  <c r="I54" i="30"/>
  <c r="I50" i="30"/>
  <c r="I42" i="30"/>
  <c r="I34" i="30"/>
  <c r="I26" i="30"/>
  <c r="I18" i="30"/>
  <c r="I10" i="30"/>
  <c r="I7" i="30"/>
  <c r="J7" i="30" s="1"/>
  <c r="I51" i="30"/>
  <c r="I15" i="30"/>
  <c r="I55" i="28"/>
  <c r="I50" i="28"/>
  <c r="I46" i="28"/>
  <c r="I38" i="28"/>
  <c r="I34" i="28"/>
  <c r="I30" i="28"/>
  <c r="I26" i="28"/>
  <c r="I18" i="28"/>
  <c r="I14" i="28"/>
  <c r="I10" i="28"/>
  <c r="I9" i="28"/>
  <c r="I24" i="28"/>
  <c r="I20" i="28"/>
  <c r="I45" i="28"/>
  <c r="I29" i="28"/>
  <c r="I21" i="28"/>
  <c r="I13" i="28"/>
  <c r="I51" i="28"/>
  <c r="I43" i="28"/>
  <c r="I39" i="28"/>
  <c r="I35" i="28"/>
  <c r="I31" i="28"/>
  <c r="I23" i="28"/>
  <c r="I19" i="28"/>
  <c r="I15" i="28"/>
  <c r="I11" i="28"/>
  <c r="I7" i="28"/>
  <c r="J7" i="28" s="1"/>
  <c r="I53" i="28"/>
  <c r="I48" i="28"/>
  <c r="I44" i="28"/>
  <c r="I40" i="28"/>
  <c r="I36" i="28"/>
  <c r="I28" i="28"/>
  <c r="I16" i="28"/>
  <c r="I57" i="28"/>
  <c r="J57" i="28" s="1"/>
  <c r="Q17" i="28" s="1"/>
  <c r="I54" i="28"/>
  <c r="I49" i="28"/>
  <c r="I41" i="28"/>
  <c r="I33" i="28"/>
  <c r="I25" i="28"/>
  <c r="I57" i="27"/>
  <c r="J57" i="27" s="1"/>
  <c r="Q17" i="27" s="1"/>
  <c r="I54" i="27"/>
  <c r="I50" i="27"/>
  <c r="I44" i="27"/>
  <c r="I29" i="27"/>
  <c r="I23" i="27"/>
  <c r="I18" i="27"/>
  <c r="I13" i="27"/>
  <c r="I12" i="27"/>
  <c r="I7" i="27"/>
  <c r="J7" i="27" s="1"/>
  <c r="I42" i="27"/>
  <c r="I31" i="27"/>
  <c r="I15" i="27"/>
  <c r="I10" i="27"/>
  <c r="I53" i="27"/>
  <c r="I49" i="27"/>
  <c r="I48" i="27"/>
  <c r="I43" i="27"/>
  <c r="I38" i="27"/>
  <c r="I33" i="27"/>
  <c r="I32" i="27"/>
  <c r="I27" i="27"/>
  <c r="I55" i="27"/>
  <c r="I46" i="27"/>
  <c r="I41" i="27"/>
  <c r="I40" i="27"/>
  <c r="I35" i="27"/>
  <c r="I30" i="27"/>
  <c r="I25" i="27"/>
  <c r="I24" i="27"/>
  <c r="I19" i="27"/>
  <c r="I14" i="27"/>
  <c r="I9" i="27"/>
  <c r="I52" i="27"/>
  <c r="I47" i="27"/>
  <c r="I37" i="27"/>
  <c r="I36" i="27"/>
  <c r="I26" i="27"/>
  <c r="I21" i="27"/>
  <c r="I20" i="27"/>
  <c r="I17" i="27"/>
  <c r="I57" i="26"/>
  <c r="J57" i="26" s="1"/>
  <c r="Q17" i="26" s="1"/>
  <c r="I54" i="26"/>
  <c r="I49" i="26"/>
  <c r="I48" i="26"/>
  <c r="I43" i="26"/>
  <c r="I33" i="26"/>
  <c r="I32" i="26"/>
  <c r="I27" i="26"/>
  <c r="I22" i="26"/>
  <c r="I17" i="26"/>
  <c r="I16" i="26"/>
  <c r="I11" i="26"/>
  <c r="I53" i="26"/>
  <c r="I52" i="26"/>
  <c r="I47" i="26"/>
  <c r="I42" i="26"/>
  <c r="I26" i="26"/>
  <c r="I21" i="26"/>
  <c r="I20" i="26"/>
  <c r="I15" i="26"/>
  <c r="I55" i="26"/>
  <c r="I45" i="26"/>
  <c r="I39" i="26"/>
  <c r="I34" i="26"/>
  <c r="I29" i="26"/>
  <c r="I28" i="26"/>
  <c r="I23" i="26"/>
  <c r="I18" i="26"/>
  <c r="I12" i="26"/>
  <c r="I7" i="26"/>
  <c r="J7" i="26" s="1"/>
  <c r="I51" i="26"/>
  <c r="I46" i="26"/>
  <c r="I41" i="26"/>
  <c r="I40" i="26"/>
  <c r="I35" i="26"/>
  <c r="I30" i="26"/>
  <c r="I24" i="26"/>
  <c r="I14" i="26"/>
  <c r="I9" i="26"/>
  <c r="I37" i="26"/>
  <c r="I36" i="26"/>
  <c r="I10" i="26"/>
  <c r="F39" i="29" l="1"/>
  <c r="F20" i="26"/>
  <c r="F35" i="26"/>
  <c r="J34" i="26"/>
  <c r="F53" i="26"/>
  <c r="J52" i="26"/>
  <c r="J49" i="26"/>
  <c r="F10" i="27"/>
  <c r="J9" i="27"/>
  <c r="F40" i="26"/>
  <c r="J39" i="26"/>
  <c r="F54" i="26"/>
  <c r="J53" i="26"/>
  <c r="F39" i="26"/>
  <c r="F21" i="27"/>
  <c r="J20" i="27"/>
  <c r="F31" i="27"/>
  <c r="J30" i="27"/>
  <c r="F23" i="27"/>
  <c r="F54" i="27"/>
  <c r="J53" i="27"/>
  <c r="F35" i="27"/>
  <c r="F55" i="28"/>
  <c r="J54" i="28"/>
  <c r="F48" i="28"/>
  <c r="F32" i="26"/>
  <c r="F15" i="26"/>
  <c r="J14" i="26"/>
  <c r="J30" i="26"/>
  <c r="F47" i="26"/>
  <c r="J46" i="26"/>
  <c r="F14" i="26"/>
  <c r="F30" i="26"/>
  <c r="J29" i="26"/>
  <c r="F46" i="26"/>
  <c r="J45" i="26"/>
  <c r="F21" i="26"/>
  <c r="J20" i="26"/>
  <c r="F48" i="26"/>
  <c r="J47" i="26"/>
  <c r="F17" i="26"/>
  <c r="J16" i="26"/>
  <c r="F33" i="26"/>
  <c r="J32" i="26"/>
  <c r="F49" i="26"/>
  <c r="J48" i="26"/>
  <c r="F17" i="27"/>
  <c r="F27" i="27"/>
  <c r="J26" i="27"/>
  <c r="F53" i="27"/>
  <c r="J52" i="27"/>
  <c r="F25" i="27"/>
  <c r="J24" i="27"/>
  <c r="F41" i="27"/>
  <c r="J40" i="27"/>
  <c r="F57" i="27"/>
  <c r="J55" i="27"/>
  <c r="F33" i="27"/>
  <c r="J32" i="27"/>
  <c r="F49" i="27"/>
  <c r="J48" i="27"/>
  <c r="J15" i="27"/>
  <c r="F13" i="27"/>
  <c r="J12" i="27"/>
  <c r="F29" i="27"/>
  <c r="J44" i="27"/>
  <c r="J41" i="28"/>
  <c r="J16" i="28"/>
  <c r="F41" i="28"/>
  <c r="J40" i="28"/>
  <c r="F24" i="28"/>
  <c r="J23" i="28"/>
  <c r="F40" i="28"/>
  <c r="J39" i="28"/>
  <c r="F53" i="28"/>
  <c r="F38" i="28"/>
  <c r="F25" i="28"/>
  <c r="J24" i="28"/>
  <c r="F19" i="28"/>
  <c r="J18" i="28"/>
  <c r="F35" i="28"/>
  <c r="J34" i="28"/>
  <c r="F51" i="28"/>
  <c r="J50" i="28"/>
  <c r="F52" i="30"/>
  <c r="J51" i="30"/>
  <c r="J18" i="30"/>
  <c r="F51" i="30"/>
  <c r="J50" i="30"/>
  <c r="F14" i="30"/>
  <c r="F30" i="30"/>
  <c r="J29" i="30"/>
  <c r="F46" i="30"/>
  <c r="J45" i="30"/>
  <c r="F24" i="30"/>
  <c r="J23" i="30"/>
  <c r="F40" i="30"/>
  <c r="J39" i="30"/>
  <c r="F23" i="30"/>
  <c r="J22" i="30"/>
  <c r="J12" i="30"/>
  <c r="F29" i="30"/>
  <c r="J28" i="30"/>
  <c r="F45" i="30"/>
  <c r="J44" i="30"/>
  <c r="F52" i="33"/>
  <c r="J51" i="33"/>
  <c r="F17" i="33"/>
  <c r="J16" i="33"/>
  <c r="F35" i="33"/>
  <c r="J34" i="33"/>
  <c r="F12" i="33"/>
  <c r="J11" i="33"/>
  <c r="J48" i="33"/>
  <c r="F24" i="33"/>
  <c r="J23" i="33"/>
  <c r="J36" i="33"/>
  <c r="F39" i="33"/>
  <c r="J38" i="33"/>
  <c r="F19" i="33"/>
  <c r="J18" i="33"/>
  <c r="F33" i="33"/>
  <c r="F57" i="33"/>
  <c r="J55" i="33"/>
  <c r="F45" i="33"/>
  <c r="J44" i="33"/>
  <c r="F27" i="34"/>
  <c r="J26" i="34"/>
  <c r="F48" i="34"/>
  <c r="J47" i="34"/>
  <c r="F18" i="34"/>
  <c r="J17" i="34"/>
  <c r="J43" i="34"/>
  <c r="F34" i="34"/>
  <c r="J33" i="34"/>
  <c r="F51" i="34"/>
  <c r="J50" i="34"/>
  <c r="F11" i="34"/>
  <c r="J10" i="34"/>
  <c r="F25" i="34"/>
  <c r="J24" i="34"/>
  <c r="F41" i="34"/>
  <c r="J40" i="34"/>
  <c r="F54" i="34"/>
  <c r="J53" i="34"/>
  <c r="F24" i="34"/>
  <c r="F40" i="34"/>
  <c r="J39" i="34"/>
  <c r="F16" i="34"/>
  <c r="J15" i="34"/>
  <c r="F16" i="32"/>
  <c r="J15" i="32"/>
  <c r="J20" i="32"/>
  <c r="F14" i="32"/>
  <c r="J13" i="32"/>
  <c r="F14" i="36"/>
  <c r="F18" i="36"/>
  <c r="J17" i="36"/>
  <c r="F46" i="36"/>
  <c r="J45" i="36"/>
  <c r="F22" i="36"/>
  <c r="J21" i="36"/>
  <c r="F36" i="36"/>
  <c r="J35" i="36"/>
  <c r="F54" i="36"/>
  <c r="J53" i="36"/>
  <c r="F16" i="36"/>
  <c r="J15" i="36"/>
  <c r="F34" i="36"/>
  <c r="J33" i="36"/>
  <c r="F48" i="36"/>
  <c r="J47" i="36"/>
  <c r="F19" i="36"/>
  <c r="J18" i="36"/>
  <c r="F33" i="36"/>
  <c r="F51" i="36"/>
  <c r="J50" i="36"/>
  <c r="F37" i="31"/>
  <c r="F53" i="31"/>
  <c r="J52" i="31"/>
  <c r="F24" i="31"/>
  <c r="F40" i="31"/>
  <c r="J39" i="31"/>
  <c r="F57" i="31"/>
  <c r="J55" i="31"/>
  <c r="F15" i="31"/>
  <c r="F31" i="31"/>
  <c r="J30" i="31"/>
  <c r="F47" i="31"/>
  <c r="J46" i="31"/>
  <c r="F13" i="31"/>
  <c r="J12" i="31"/>
  <c r="F10" i="31"/>
  <c r="J9" i="31"/>
  <c r="F26" i="31"/>
  <c r="J25" i="31"/>
  <c r="F42" i="31"/>
  <c r="J11" i="37"/>
  <c r="F17" i="37"/>
  <c r="J16" i="37"/>
  <c r="F28" i="37"/>
  <c r="J27" i="37"/>
  <c r="F44" i="37"/>
  <c r="J43" i="37"/>
  <c r="F22" i="37"/>
  <c r="F38" i="37"/>
  <c r="J37" i="37"/>
  <c r="F54" i="37"/>
  <c r="J53" i="37"/>
  <c r="F25" i="37"/>
  <c r="J24" i="37"/>
  <c r="F41" i="37"/>
  <c r="F24" i="37"/>
  <c r="J23" i="37"/>
  <c r="J39" i="37"/>
  <c r="F57" i="37"/>
  <c r="J55" i="37"/>
  <c r="F30" i="35"/>
  <c r="J29" i="35"/>
  <c r="F25" i="35"/>
  <c r="J24" i="35"/>
  <c r="F53" i="35"/>
  <c r="J52" i="35"/>
  <c r="F19" i="35"/>
  <c r="J18" i="35"/>
  <c r="F33" i="35"/>
  <c r="J32" i="35"/>
  <c r="J50" i="35"/>
  <c r="F18" i="35"/>
  <c r="F32" i="35"/>
  <c r="J31" i="35"/>
  <c r="F50" i="35"/>
  <c r="J49" i="35"/>
  <c r="F22" i="35"/>
  <c r="J21" i="35"/>
  <c r="F36" i="35"/>
  <c r="J35" i="35"/>
  <c r="F54" i="35"/>
  <c r="J53" i="35"/>
  <c r="J19" i="29"/>
  <c r="F24" i="29"/>
  <c r="J23" i="29"/>
  <c r="F41" i="29"/>
  <c r="J40" i="29"/>
  <c r="F35" i="29"/>
  <c r="J34" i="29"/>
  <c r="F29" i="29"/>
  <c r="J28" i="29"/>
  <c r="J43" i="29"/>
  <c r="J25" i="29"/>
  <c r="F10" i="29"/>
  <c r="J9" i="29"/>
  <c r="F49" i="29"/>
  <c r="J48" i="29"/>
  <c r="F52" i="26"/>
  <c r="J51" i="26"/>
  <c r="F18" i="26"/>
  <c r="J17" i="26"/>
  <c r="F18" i="27"/>
  <c r="J17" i="27"/>
  <c r="F37" i="27"/>
  <c r="J36" i="27"/>
  <c r="F42" i="27"/>
  <c r="J41" i="27"/>
  <c r="F12" i="27"/>
  <c r="J33" i="27"/>
  <c r="F50" i="27"/>
  <c r="J49" i="27"/>
  <c r="F32" i="27"/>
  <c r="J31" i="27"/>
  <c r="F14" i="27"/>
  <c r="J13" i="27"/>
  <c r="F30" i="27"/>
  <c r="J29" i="27"/>
  <c r="F46" i="27"/>
  <c r="F18" i="28"/>
  <c r="F50" i="28"/>
  <c r="J49" i="28"/>
  <c r="F29" i="28"/>
  <c r="J28" i="28"/>
  <c r="F45" i="28"/>
  <c r="J44" i="28"/>
  <c r="J11" i="28"/>
  <c r="F28" i="28"/>
  <c r="F44" i="28"/>
  <c r="J43" i="28"/>
  <c r="F14" i="28"/>
  <c r="J13" i="28"/>
  <c r="F46" i="28"/>
  <c r="J45" i="28"/>
  <c r="F10" i="28"/>
  <c r="J9" i="28"/>
  <c r="F23" i="28"/>
  <c r="F39" i="28"/>
  <c r="J38" i="28"/>
  <c r="F57" i="28"/>
  <c r="J55" i="28"/>
  <c r="F57" i="30"/>
  <c r="F27" i="30"/>
  <c r="J26" i="30"/>
  <c r="J54" i="30"/>
  <c r="F18" i="30"/>
  <c r="J17" i="30"/>
  <c r="F34" i="30"/>
  <c r="J33" i="30"/>
  <c r="F50" i="30"/>
  <c r="F28" i="30"/>
  <c r="J27" i="30"/>
  <c r="F44" i="30"/>
  <c r="J30" i="30"/>
  <c r="F17" i="30"/>
  <c r="J16" i="30"/>
  <c r="F33" i="30"/>
  <c r="J32" i="30"/>
  <c r="J48" i="30"/>
  <c r="J20" i="33"/>
  <c r="F38" i="33"/>
  <c r="F13" i="33"/>
  <c r="J12" i="33"/>
  <c r="F10" i="33"/>
  <c r="J9" i="33"/>
  <c r="F25" i="33"/>
  <c r="J24" i="33"/>
  <c r="F44" i="33"/>
  <c r="F42" i="33"/>
  <c r="J41" i="33"/>
  <c r="F23" i="33"/>
  <c r="J22" i="33"/>
  <c r="J42" i="33"/>
  <c r="F36" i="33"/>
  <c r="J35" i="33"/>
  <c r="F50" i="33"/>
  <c r="F52" i="34"/>
  <c r="J51" i="34"/>
  <c r="F13" i="34"/>
  <c r="J12" i="34"/>
  <c r="F12" i="34"/>
  <c r="J11" i="34"/>
  <c r="F22" i="34"/>
  <c r="J21" i="34"/>
  <c r="F38" i="34"/>
  <c r="J37" i="34"/>
  <c r="F55" i="34"/>
  <c r="J54" i="34"/>
  <c r="F15" i="34"/>
  <c r="J14" i="34"/>
  <c r="F29" i="34"/>
  <c r="J28" i="34"/>
  <c r="F42" i="34"/>
  <c r="J41" i="34"/>
  <c r="F10" i="34"/>
  <c r="J9" i="34"/>
  <c r="F28" i="34"/>
  <c r="J27" i="34"/>
  <c r="F45" i="34"/>
  <c r="F12" i="32"/>
  <c r="J11" i="32"/>
  <c r="F17" i="32"/>
  <c r="J16" i="32"/>
  <c r="F18" i="32"/>
  <c r="J17" i="32"/>
  <c r="F20" i="32"/>
  <c r="J19" i="32"/>
  <c r="J22" i="36"/>
  <c r="F27" i="36"/>
  <c r="J26" i="36"/>
  <c r="F55" i="36"/>
  <c r="J54" i="36"/>
  <c r="F26" i="36"/>
  <c r="J25" i="36"/>
  <c r="F40" i="36"/>
  <c r="J39" i="36"/>
  <c r="F21" i="36"/>
  <c r="J20" i="36"/>
  <c r="F39" i="36"/>
  <c r="J38" i="36"/>
  <c r="F53" i="36"/>
  <c r="F20" i="36"/>
  <c r="J19" i="36"/>
  <c r="F38" i="36"/>
  <c r="J37" i="36"/>
  <c r="J51" i="36"/>
  <c r="J40" i="31"/>
  <c r="F12" i="31"/>
  <c r="J11" i="31"/>
  <c r="F28" i="31"/>
  <c r="F44" i="31"/>
  <c r="J43" i="31"/>
  <c r="F29" i="31"/>
  <c r="J28" i="31"/>
  <c r="F19" i="31"/>
  <c r="F35" i="31"/>
  <c r="J34" i="31"/>
  <c r="F51" i="31"/>
  <c r="F17" i="31"/>
  <c r="J16" i="31"/>
  <c r="J13" i="31"/>
  <c r="F30" i="31"/>
  <c r="J29" i="31"/>
  <c r="F46" i="31"/>
  <c r="F33" i="37"/>
  <c r="J32" i="37"/>
  <c r="F34" i="37"/>
  <c r="J33" i="37"/>
  <c r="J48" i="37"/>
  <c r="F11" i="37"/>
  <c r="J10" i="37"/>
  <c r="F27" i="37"/>
  <c r="J26" i="37"/>
  <c r="F43" i="37"/>
  <c r="J42" i="37"/>
  <c r="F10" i="37"/>
  <c r="J9" i="37"/>
  <c r="F26" i="37"/>
  <c r="J25" i="37"/>
  <c r="F42" i="37"/>
  <c r="J41" i="37"/>
  <c r="F13" i="37"/>
  <c r="F29" i="37"/>
  <c r="J28" i="37"/>
  <c r="F45" i="37"/>
  <c r="J44" i="37"/>
  <c r="F11" i="35"/>
  <c r="J10" i="35"/>
  <c r="F39" i="35"/>
  <c r="J38" i="35"/>
  <c r="J33" i="35"/>
  <c r="F12" i="35"/>
  <c r="J11" i="35"/>
  <c r="F20" i="35"/>
  <c r="J19" i="35"/>
  <c r="F38" i="35"/>
  <c r="J37" i="35"/>
  <c r="F52" i="35"/>
  <c r="F23" i="35"/>
  <c r="J22" i="35"/>
  <c r="F37" i="35"/>
  <c r="J36" i="35"/>
  <c r="F55" i="35"/>
  <c r="J54" i="35"/>
  <c r="J25" i="35"/>
  <c r="F40" i="35"/>
  <c r="J39" i="35"/>
  <c r="F53" i="29"/>
  <c r="J52" i="29"/>
  <c r="F18" i="29"/>
  <c r="J17" i="29"/>
  <c r="F54" i="29"/>
  <c r="J53" i="29"/>
  <c r="F16" i="29"/>
  <c r="J49" i="29"/>
  <c r="J31" i="29"/>
  <c r="F37" i="29"/>
  <c r="J36" i="29"/>
  <c r="J37" i="29"/>
  <c r="F34" i="29"/>
  <c r="J33" i="29"/>
  <c r="F21" i="29"/>
  <c r="F40" i="29"/>
  <c r="J39" i="29"/>
  <c r="F36" i="29"/>
  <c r="J35" i="29"/>
  <c r="F36" i="26"/>
  <c r="J35" i="26"/>
  <c r="F51" i="26"/>
  <c r="J37" i="26"/>
  <c r="F27" i="26"/>
  <c r="J26" i="26"/>
  <c r="F15" i="27"/>
  <c r="J14" i="27"/>
  <c r="F19" i="27"/>
  <c r="J18" i="27"/>
  <c r="F26" i="28"/>
  <c r="J25" i="28"/>
  <c r="F49" i="28"/>
  <c r="J48" i="28"/>
  <c r="J31" i="28"/>
  <c r="J21" i="28"/>
  <c r="F13" i="28"/>
  <c r="F11" i="28"/>
  <c r="J10" i="28"/>
  <c r="J26" i="28"/>
  <c r="F43" i="28"/>
  <c r="F16" i="30"/>
  <c r="J15" i="30"/>
  <c r="F35" i="30"/>
  <c r="J34" i="30"/>
  <c r="F22" i="30"/>
  <c r="J21" i="30"/>
  <c r="F38" i="30"/>
  <c r="F54" i="30"/>
  <c r="J53" i="30"/>
  <c r="F32" i="30"/>
  <c r="F48" i="30"/>
  <c r="J47" i="30"/>
  <c r="F39" i="30"/>
  <c r="J38" i="30"/>
  <c r="F21" i="30"/>
  <c r="J20" i="30"/>
  <c r="J36" i="30"/>
  <c r="F53" i="30"/>
  <c r="J52" i="30"/>
  <c r="F11" i="33"/>
  <c r="J10" i="33"/>
  <c r="J25" i="33"/>
  <c r="F48" i="33"/>
  <c r="J47" i="33"/>
  <c r="F18" i="33"/>
  <c r="J17" i="33"/>
  <c r="J14" i="33"/>
  <c r="F29" i="33"/>
  <c r="J28" i="33"/>
  <c r="F47" i="33"/>
  <c r="J46" i="33"/>
  <c r="F55" i="33"/>
  <c r="F28" i="33"/>
  <c r="J27" i="33"/>
  <c r="F46" i="33"/>
  <c r="J45" i="33"/>
  <c r="F40" i="33"/>
  <c r="J39" i="33"/>
  <c r="J53" i="33"/>
  <c r="J22" i="34"/>
  <c r="F31" i="34"/>
  <c r="J30" i="34"/>
  <c r="F19" i="34"/>
  <c r="J18" i="34"/>
  <c r="F26" i="34"/>
  <c r="J25" i="34"/>
  <c r="F43" i="34"/>
  <c r="J42" i="34"/>
  <c r="F17" i="34"/>
  <c r="J16" i="34"/>
  <c r="F33" i="34"/>
  <c r="J32" i="34"/>
  <c r="F46" i="34"/>
  <c r="J45" i="34"/>
  <c r="F14" i="34"/>
  <c r="J13" i="34"/>
  <c r="F32" i="34"/>
  <c r="J31" i="34"/>
  <c r="F49" i="34"/>
  <c r="J48" i="34"/>
  <c r="J9" i="32"/>
  <c r="F19" i="32"/>
  <c r="J18" i="32"/>
  <c r="F41" i="36"/>
  <c r="J40" i="36"/>
  <c r="F28" i="36"/>
  <c r="J27" i="36"/>
  <c r="J31" i="36"/>
  <c r="J12" i="36"/>
  <c r="F31" i="36"/>
  <c r="J30" i="36"/>
  <c r="F45" i="36"/>
  <c r="J44" i="36"/>
  <c r="F11" i="36"/>
  <c r="J10" i="36"/>
  <c r="F25" i="36"/>
  <c r="J24" i="36"/>
  <c r="F43" i="36"/>
  <c r="F10" i="36"/>
  <c r="J9" i="36"/>
  <c r="F24" i="36"/>
  <c r="J41" i="36"/>
  <c r="F57" i="36"/>
  <c r="J55" i="36"/>
  <c r="J44" i="31"/>
  <c r="F16" i="31"/>
  <c r="J15" i="31"/>
  <c r="J31" i="31"/>
  <c r="F48" i="31"/>
  <c r="J47" i="31"/>
  <c r="J22" i="31"/>
  <c r="F39" i="31"/>
  <c r="J38" i="31"/>
  <c r="F55" i="31"/>
  <c r="F21" i="31"/>
  <c r="J20" i="31"/>
  <c r="J17" i="31"/>
  <c r="F34" i="31"/>
  <c r="J33" i="31"/>
  <c r="J49" i="31"/>
  <c r="F50" i="37"/>
  <c r="F39" i="37"/>
  <c r="J38" i="37"/>
  <c r="F18" i="37"/>
  <c r="J17" i="37"/>
  <c r="F16" i="37"/>
  <c r="J15" i="37"/>
  <c r="F32" i="37"/>
  <c r="J31" i="37"/>
  <c r="F48" i="37"/>
  <c r="J47" i="37"/>
  <c r="F15" i="37"/>
  <c r="J14" i="37"/>
  <c r="F31" i="37"/>
  <c r="F47" i="37"/>
  <c r="J46" i="37"/>
  <c r="F14" i="37"/>
  <c r="J13" i="37"/>
  <c r="J29" i="37"/>
  <c r="F46" i="37"/>
  <c r="J45" i="37"/>
  <c r="F16" i="35"/>
  <c r="J15" i="35"/>
  <c r="F44" i="35"/>
  <c r="J43" i="35"/>
  <c r="F43" i="35"/>
  <c r="F10" i="35"/>
  <c r="J9" i="35"/>
  <c r="F24" i="35"/>
  <c r="J23" i="35"/>
  <c r="J41" i="35"/>
  <c r="F57" i="35"/>
  <c r="J55" i="35"/>
  <c r="F27" i="35"/>
  <c r="F41" i="35"/>
  <c r="J40" i="35"/>
  <c r="F13" i="35"/>
  <c r="J12" i="35"/>
  <c r="F31" i="35"/>
  <c r="J30" i="35"/>
  <c r="F45" i="35"/>
  <c r="J44" i="35"/>
  <c r="F11" i="29"/>
  <c r="J10" i="29"/>
  <c r="F30" i="29"/>
  <c r="J29" i="29"/>
  <c r="F22" i="29"/>
  <c r="J21" i="29"/>
  <c r="F23" i="29"/>
  <c r="J22" i="29"/>
  <c r="F51" i="29"/>
  <c r="F46" i="29"/>
  <c r="J45" i="29"/>
  <c r="F48" i="29"/>
  <c r="J47" i="29"/>
  <c r="F25" i="29"/>
  <c r="J24" i="29"/>
  <c r="F19" i="29"/>
  <c r="J18" i="29"/>
  <c r="F14" i="29"/>
  <c r="J13" i="29"/>
  <c r="F37" i="26"/>
  <c r="J36" i="26"/>
  <c r="J18" i="26"/>
  <c r="F22" i="26"/>
  <c r="J21" i="26"/>
  <c r="F34" i="26"/>
  <c r="J33" i="26"/>
  <c r="F26" i="27"/>
  <c r="J25" i="27"/>
  <c r="J24" i="26"/>
  <c r="F41" i="26"/>
  <c r="J40" i="26"/>
  <c r="F24" i="26"/>
  <c r="J23" i="26"/>
  <c r="F57" i="26"/>
  <c r="J55" i="26"/>
  <c r="F23" i="26"/>
  <c r="J22" i="26"/>
  <c r="F55" i="26"/>
  <c r="J54" i="26"/>
  <c r="F38" i="27"/>
  <c r="J37" i="27"/>
  <c r="F47" i="27"/>
  <c r="J46" i="27"/>
  <c r="J38" i="27"/>
  <c r="F43" i="27"/>
  <c r="J42" i="27"/>
  <c r="J50" i="27"/>
  <c r="F33" i="28"/>
  <c r="F16" i="28"/>
  <c r="J15" i="28"/>
  <c r="F11" i="26"/>
  <c r="J10" i="26"/>
  <c r="F10" i="26"/>
  <c r="J9" i="26"/>
  <c r="F26" i="26"/>
  <c r="F42" i="26"/>
  <c r="J41" i="26"/>
  <c r="J12" i="26"/>
  <c r="F29" i="26"/>
  <c r="J28" i="26"/>
  <c r="F45" i="26"/>
  <c r="F16" i="26"/>
  <c r="J15" i="26"/>
  <c r="F43" i="26"/>
  <c r="J42" i="26"/>
  <c r="F12" i="26"/>
  <c r="J11" i="26"/>
  <c r="F28" i="26"/>
  <c r="J27" i="26"/>
  <c r="J43" i="26"/>
  <c r="J21" i="27"/>
  <c r="F48" i="27"/>
  <c r="J47" i="27"/>
  <c r="F20" i="27"/>
  <c r="J19" i="27"/>
  <c r="F36" i="27"/>
  <c r="J35" i="27"/>
  <c r="F52" i="27"/>
  <c r="J27" i="27"/>
  <c r="F44" i="27"/>
  <c r="J43" i="27"/>
  <c r="J10" i="27"/>
  <c r="F24" i="27"/>
  <c r="J23" i="27"/>
  <c r="F40" i="27"/>
  <c r="F55" i="27"/>
  <c r="J54" i="27"/>
  <c r="F34" i="28"/>
  <c r="J33" i="28"/>
  <c r="J36" i="28"/>
  <c r="F54" i="28"/>
  <c r="J53" i="28"/>
  <c r="F20" i="28"/>
  <c r="J19" i="28"/>
  <c r="F36" i="28"/>
  <c r="J35" i="28"/>
  <c r="J51" i="28"/>
  <c r="F30" i="28"/>
  <c r="J29" i="28"/>
  <c r="F21" i="28"/>
  <c r="J20" i="28"/>
  <c r="F15" i="28"/>
  <c r="J14" i="28"/>
  <c r="F31" i="28"/>
  <c r="J30" i="28"/>
  <c r="J46" i="28"/>
  <c r="F20" i="30"/>
  <c r="F11" i="30"/>
  <c r="J10" i="30"/>
  <c r="J42" i="30"/>
  <c r="F10" i="30"/>
  <c r="J9" i="30"/>
  <c r="F26" i="30"/>
  <c r="F42" i="30"/>
  <c r="J41" i="30"/>
  <c r="F12" i="30"/>
  <c r="J11" i="30"/>
  <c r="F36" i="30"/>
  <c r="J35" i="30"/>
  <c r="F15" i="30"/>
  <c r="J14" i="30"/>
  <c r="F47" i="30"/>
  <c r="J46" i="30"/>
  <c r="J24" i="30"/>
  <c r="F41" i="30"/>
  <c r="J40" i="30"/>
  <c r="F27" i="33"/>
  <c r="F16" i="33"/>
  <c r="F30" i="33"/>
  <c r="J29" i="33"/>
  <c r="F51" i="33"/>
  <c r="J50" i="33"/>
  <c r="F22" i="33"/>
  <c r="F20" i="33"/>
  <c r="J19" i="33"/>
  <c r="F34" i="33"/>
  <c r="J33" i="33"/>
  <c r="F31" i="33"/>
  <c r="J30" i="33"/>
  <c r="F14" i="33"/>
  <c r="J13" i="33"/>
  <c r="J31" i="33"/>
  <c r="F53" i="33"/>
  <c r="J52" i="33"/>
  <c r="F41" i="33"/>
  <c r="J40" i="33"/>
  <c r="F39" i="34"/>
  <c r="J38" i="34"/>
  <c r="F57" i="34"/>
  <c r="J55" i="34"/>
  <c r="F35" i="34"/>
  <c r="J34" i="34"/>
  <c r="F30" i="34"/>
  <c r="J29" i="34"/>
  <c r="F47" i="34"/>
  <c r="J46" i="34"/>
  <c r="F21" i="34"/>
  <c r="J20" i="34"/>
  <c r="F37" i="34"/>
  <c r="J36" i="34"/>
  <c r="F50" i="34"/>
  <c r="J49" i="34"/>
  <c r="F20" i="34"/>
  <c r="J19" i="34"/>
  <c r="F36" i="34"/>
  <c r="J35" i="34"/>
  <c r="F53" i="34"/>
  <c r="J52" i="34"/>
  <c r="F11" i="32"/>
  <c r="F15" i="32"/>
  <c r="J14" i="32"/>
  <c r="F13" i="32"/>
  <c r="J12" i="32"/>
  <c r="F50" i="36"/>
  <c r="J49" i="36"/>
  <c r="F37" i="36"/>
  <c r="J36" i="36"/>
  <c r="F17" i="36"/>
  <c r="J16" i="36"/>
  <c r="F35" i="36"/>
  <c r="J34" i="36"/>
  <c r="F49" i="36"/>
  <c r="J48" i="36"/>
  <c r="F12" i="36"/>
  <c r="J11" i="36"/>
  <c r="F30" i="36"/>
  <c r="J29" i="36"/>
  <c r="F44" i="36"/>
  <c r="J43" i="36"/>
  <c r="F15" i="36"/>
  <c r="J14" i="36"/>
  <c r="F29" i="36"/>
  <c r="J28" i="36"/>
  <c r="F47" i="36"/>
  <c r="J46" i="36"/>
  <c r="F33" i="31"/>
  <c r="F49" i="31"/>
  <c r="J48" i="31"/>
  <c r="F20" i="31"/>
  <c r="J19" i="31"/>
  <c r="J35" i="31"/>
  <c r="F52" i="31"/>
  <c r="J51" i="31"/>
  <c r="F11" i="31"/>
  <c r="J10" i="31"/>
  <c r="J26" i="31"/>
  <c r="F43" i="31"/>
  <c r="J42" i="31"/>
  <c r="F25" i="31"/>
  <c r="J24" i="31"/>
  <c r="F22" i="31"/>
  <c r="J21" i="31"/>
  <c r="F38" i="31"/>
  <c r="J37" i="31"/>
  <c r="J53" i="31"/>
  <c r="F55" i="37"/>
  <c r="J54" i="37"/>
  <c r="F23" i="37"/>
  <c r="J22" i="37"/>
  <c r="J20" i="37"/>
  <c r="F37" i="37"/>
  <c r="J36" i="37"/>
  <c r="F53" i="37"/>
  <c r="J52" i="37"/>
  <c r="F20" i="37"/>
  <c r="J19" i="37"/>
  <c r="F36" i="37"/>
  <c r="J35" i="37"/>
  <c r="F52" i="37"/>
  <c r="J51" i="37"/>
  <c r="F19" i="37"/>
  <c r="J18" i="37"/>
  <c r="F35" i="37"/>
  <c r="J34" i="37"/>
  <c r="F51" i="37"/>
  <c r="J50" i="37"/>
  <c r="F21" i="35"/>
  <c r="J20" i="35"/>
  <c r="F48" i="35"/>
  <c r="J47" i="35"/>
  <c r="F15" i="35"/>
  <c r="J14" i="35"/>
  <c r="F29" i="35"/>
  <c r="J28" i="35"/>
  <c r="F47" i="35"/>
  <c r="J46" i="35"/>
  <c r="F14" i="35"/>
  <c r="J13" i="35"/>
  <c r="F28" i="35"/>
  <c r="J27" i="35"/>
  <c r="F46" i="35"/>
  <c r="J45" i="35"/>
  <c r="J16" i="35"/>
  <c r="F35" i="35"/>
  <c r="F49" i="35"/>
  <c r="J48" i="35"/>
  <c r="F31" i="29"/>
  <c r="J30" i="29"/>
  <c r="F43" i="29"/>
  <c r="J42" i="29"/>
  <c r="F47" i="29"/>
  <c r="J46" i="29"/>
  <c r="F12" i="29"/>
  <c r="J11" i="29"/>
  <c r="F42" i="29"/>
  <c r="J41" i="29"/>
  <c r="F28" i="29"/>
  <c r="J27" i="29"/>
  <c r="F17" i="29"/>
  <c r="J16" i="29"/>
  <c r="F45" i="29"/>
  <c r="F52" i="29"/>
  <c r="J51" i="29"/>
  <c r="F33" i="29"/>
  <c r="F13" i="29"/>
  <c r="J12" i="29"/>
  <c r="F55" i="29"/>
  <c r="J54" i="29"/>
  <c r="F9" i="29"/>
  <c r="F7" i="29"/>
  <c r="F27" i="29"/>
  <c r="F57" i="29"/>
  <c r="F9" i="33"/>
  <c r="F7" i="33"/>
  <c r="F9" i="37"/>
  <c r="F7" i="37"/>
  <c r="F9" i="27"/>
  <c r="F7" i="27"/>
  <c r="F9" i="28"/>
  <c r="F7" i="28"/>
  <c r="F9" i="32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L10" i="3"/>
  <c r="D11" i="3"/>
  <c r="D12" i="3"/>
  <c r="L12" i="3" s="1"/>
  <c r="D13" i="3"/>
  <c r="L13" i="3" s="1"/>
  <c r="D14" i="3"/>
  <c r="L14" i="3" s="1"/>
  <c r="D16" i="3"/>
  <c r="L16" i="3" s="1"/>
  <c r="D17" i="3"/>
  <c r="L17" i="3" s="1"/>
  <c r="D18" i="3"/>
  <c r="L18" i="3" s="1"/>
  <c r="D20" i="3"/>
  <c r="L20" i="3" s="1"/>
  <c r="D21" i="3"/>
  <c r="L21" i="3" s="1"/>
  <c r="D22" i="3"/>
  <c r="L22" i="3" s="1"/>
  <c r="D24" i="3"/>
  <c r="L24" i="3" s="1"/>
  <c r="D25" i="3"/>
  <c r="L25" i="3" s="1"/>
  <c r="D26" i="3"/>
  <c r="L26" i="3" s="1"/>
  <c r="D28" i="3"/>
  <c r="L28" i="3" s="1"/>
  <c r="D29" i="3"/>
  <c r="L29" i="3" s="1"/>
  <c r="D30" i="3"/>
  <c r="L30" i="3" s="1"/>
  <c r="D31" i="3"/>
  <c r="L32" i="3"/>
  <c r="D33" i="3"/>
  <c r="L33" i="3" s="1"/>
  <c r="D34" i="3"/>
  <c r="L34" i="3" s="1"/>
  <c r="D35" i="3"/>
  <c r="L36" i="3"/>
  <c r="D37" i="3"/>
  <c r="L37" i="3" s="1"/>
  <c r="D38" i="3"/>
  <c r="L38" i="3" s="1"/>
  <c r="D39" i="3"/>
  <c r="L40" i="3"/>
  <c r="D41" i="3"/>
  <c r="L41" i="3" s="1"/>
  <c r="D42" i="3"/>
  <c r="L42" i="3" s="1"/>
  <c r="D43" i="3"/>
  <c r="L44" i="3"/>
  <c r="D45" i="3"/>
  <c r="L45" i="3" s="1"/>
  <c r="D46" i="3"/>
  <c r="L46" i="3" s="1"/>
  <c r="D47" i="3"/>
  <c r="D48" i="3"/>
  <c r="L48" i="3" s="1"/>
  <c r="L49" i="3"/>
  <c r="D50" i="3"/>
  <c r="L50" i="3" s="1"/>
  <c r="D51" i="3"/>
  <c r="D52" i="3"/>
  <c r="L52" i="3" s="1"/>
  <c r="L53" i="3"/>
  <c r="D54" i="3"/>
  <c r="L54" i="3" s="1"/>
  <c r="D55" i="3"/>
  <c r="D9" i="3"/>
  <c r="D7" i="3"/>
  <c r="D107" i="5"/>
  <c r="L10" i="5"/>
  <c r="D11" i="5"/>
  <c r="L11" i="5" s="1"/>
  <c r="D12" i="5"/>
  <c r="L12" i="5" s="1"/>
  <c r="D13" i="5"/>
  <c r="L13" i="5" s="1"/>
  <c r="L14" i="5"/>
  <c r="D15" i="5"/>
  <c r="L15" i="5" s="1"/>
  <c r="D16" i="5"/>
  <c r="L16" i="5" s="1"/>
  <c r="D17" i="5"/>
  <c r="L17" i="5" s="1"/>
  <c r="D18" i="5"/>
  <c r="L18" i="5" s="1"/>
  <c r="L19" i="5"/>
  <c r="D20" i="5"/>
  <c r="L20" i="5" s="1"/>
  <c r="D21" i="5"/>
  <c r="L21" i="5" s="1"/>
  <c r="D22" i="5"/>
  <c r="L22" i="5" s="1"/>
  <c r="L23" i="5"/>
  <c r="D24" i="5"/>
  <c r="L24" i="5" s="1"/>
  <c r="D25" i="5"/>
  <c r="L25" i="5" s="1"/>
  <c r="D26" i="5"/>
  <c r="L26" i="5" s="1"/>
  <c r="D27" i="5"/>
  <c r="L27" i="5" s="1"/>
  <c r="L28" i="5"/>
  <c r="D29" i="5"/>
  <c r="L29" i="5" s="1"/>
  <c r="D30" i="5"/>
  <c r="L30" i="5" s="1"/>
  <c r="D31" i="5"/>
  <c r="L31" i="5" s="1"/>
  <c r="L32" i="5"/>
  <c r="D33" i="5"/>
  <c r="L33" i="5" s="1"/>
  <c r="D34" i="5"/>
  <c r="L34" i="5" s="1"/>
  <c r="D35" i="5"/>
  <c r="L35" i="5" s="1"/>
  <c r="L36" i="5"/>
  <c r="L37" i="5"/>
  <c r="D38" i="5"/>
  <c r="L38" i="5" s="1"/>
  <c r="D39" i="5"/>
  <c r="L39" i="5" s="1"/>
  <c r="D40" i="5"/>
  <c r="L40" i="5" s="1"/>
  <c r="L41" i="5"/>
  <c r="D42" i="5"/>
  <c r="L42" i="5" s="1"/>
  <c r="D43" i="5"/>
  <c r="L43" i="5" s="1"/>
  <c r="D44" i="5"/>
  <c r="L44" i="5" s="1"/>
  <c r="L45" i="5"/>
  <c r="D46" i="5"/>
  <c r="L46" i="5" s="1"/>
  <c r="D47" i="5"/>
  <c r="L47" i="5" s="1"/>
  <c r="D48" i="5"/>
  <c r="L48" i="5" s="1"/>
  <c r="D49" i="5"/>
  <c r="L49" i="5" s="1"/>
  <c r="L50" i="5"/>
  <c r="D51" i="5"/>
  <c r="L51" i="5" s="1"/>
  <c r="D52" i="5"/>
  <c r="L52" i="5" s="1"/>
  <c r="D53" i="5"/>
  <c r="L53" i="5" s="1"/>
  <c r="L54" i="5"/>
  <c r="D55" i="5"/>
  <c r="L55" i="5" s="1"/>
  <c r="D56" i="5"/>
  <c r="L56" i="5" s="1"/>
  <c r="D57" i="5"/>
  <c r="L57" i="5" s="1"/>
  <c r="D58" i="5"/>
  <c r="L58" i="5" s="1"/>
  <c r="L59" i="5"/>
  <c r="D60" i="5"/>
  <c r="L60" i="5" s="1"/>
  <c r="D61" i="5"/>
  <c r="L61" i="5" s="1"/>
  <c r="D62" i="5"/>
  <c r="L62" i="5" s="1"/>
  <c r="L63" i="5"/>
  <c r="D64" i="5"/>
  <c r="L64" i="5" s="1"/>
  <c r="D65" i="5"/>
  <c r="L65" i="5" s="1"/>
  <c r="D66" i="5"/>
  <c r="L66" i="5" s="1"/>
  <c r="L67" i="5"/>
  <c r="D68" i="5"/>
  <c r="L68" i="5" s="1"/>
  <c r="D69" i="5"/>
  <c r="L69" i="5" s="1"/>
  <c r="D70" i="5"/>
  <c r="L70" i="5" s="1"/>
  <c r="D71" i="5"/>
  <c r="L71" i="5" s="1"/>
  <c r="L72" i="5"/>
  <c r="D73" i="5"/>
  <c r="L73" i="5" s="1"/>
  <c r="D74" i="5"/>
  <c r="L74" i="5" s="1"/>
  <c r="D75" i="5"/>
  <c r="L75" i="5" s="1"/>
  <c r="L76" i="5"/>
  <c r="D77" i="5"/>
  <c r="L77" i="5" s="1"/>
  <c r="D78" i="5"/>
  <c r="L78" i="5" s="1"/>
  <c r="D79" i="5"/>
  <c r="L79" i="5" s="1"/>
  <c r="D80" i="5"/>
  <c r="L80" i="5" s="1"/>
  <c r="L81" i="5"/>
  <c r="D82" i="5"/>
  <c r="L82" i="5" s="1"/>
  <c r="D83" i="5"/>
  <c r="L83" i="5" s="1"/>
  <c r="D84" i="5"/>
  <c r="L84" i="5" s="1"/>
  <c r="L85" i="5"/>
  <c r="D86" i="5"/>
  <c r="L86" i="5" s="1"/>
  <c r="D87" i="5"/>
  <c r="L87" i="5" s="1"/>
  <c r="D88" i="5"/>
  <c r="L88" i="5" s="1"/>
  <c r="D89" i="5"/>
  <c r="L89" i="5" s="1"/>
  <c r="L90" i="5"/>
  <c r="D91" i="5"/>
  <c r="L91" i="5" s="1"/>
  <c r="D92" i="5"/>
  <c r="L92" i="5" s="1"/>
  <c r="D93" i="5"/>
  <c r="L93" i="5" s="1"/>
  <c r="L94" i="5"/>
  <c r="D95" i="5"/>
  <c r="L95" i="5" s="1"/>
  <c r="D96" i="5"/>
  <c r="L96" i="5" s="1"/>
  <c r="D97" i="5"/>
  <c r="L97" i="5" s="1"/>
  <c r="L98" i="5"/>
  <c r="D99" i="5"/>
  <c r="L99" i="5" s="1"/>
  <c r="D100" i="5"/>
  <c r="L100" i="5" s="1"/>
  <c r="D101" i="5"/>
  <c r="L101" i="5" s="1"/>
  <c r="D104" i="5"/>
  <c r="L104" i="5" s="1"/>
  <c r="D105" i="5"/>
  <c r="L105" i="5" s="1"/>
  <c r="D9" i="5"/>
  <c r="D7" i="5"/>
  <c r="G7" i="5" l="1"/>
  <c r="H7" i="5" s="1"/>
  <c r="L7" i="5"/>
  <c r="L103" i="5"/>
  <c r="G9" i="5"/>
  <c r="H9" i="5" s="1"/>
  <c r="L9" i="5"/>
  <c r="G107" i="5"/>
  <c r="H107" i="5" s="1"/>
  <c r="L107" i="5"/>
  <c r="G55" i="3"/>
  <c r="H55" i="3" s="1"/>
  <c r="L55" i="3"/>
  <c r="G51" i="3"/>
  <c r="H51" i="3" s="1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L27" i="3"/>
  <c r="L23" i="3"/>
  <c r="L19" i="3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100" i="5"/>
  <c r="H100" i="5" s="1"/>
  <c r="G96" i="5"/>
  <c r="H96" i="5" s="1"/>
  <c r="G92" i="5"/>
  <c r="H92" i="5" s="1"/>
  <c r="G88" i="5"/>
  <c r="H88" i="5" s="1"/>
  <c r="G84" i="5"/>
  <c r="H84" i="5" s="1"/>
  <c r="G80" i="5"/>
  <c r="H80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24" i="5"/>
  <c r="H24" i="5" s="1"/>
  <c r="G20" i="5"/>
  <c r="H20" i="5" s="1"/>
  <c r="G16" i="5"/>
  <c r="H16" i="5" s="1"/>
  <c r="G12" i="5"/>
  <c r="H12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62" i="5"/>
  <c r="H62" i="5" s="1"/>
  <c r="G58" i="5"/>
  <c r="H58" i="5" s="1"/>
  <c r="G46" i="5"/>
  <c r="H46" i="5" s="1"/>
  <c r="G42" i="5"/>
  <c r="H42" i="5" s="1"/>
  <c r="G38" i="5"/>
  <c r="H38" i="5" s="1"/>
  <c r="G34" i="5"/>
  <c r="H34" i="5" s="1"/>
  <c r="G30" i="5"/>
  <c r="H30" i="5" s="1"/>
  <c r="G26" i="5"/>
  <c r="H26" i="5" s="1"/>
  <c r="G22" i="5"/>
  <c r="H22" i="5" s="1"/>
  <c r="G18" i="5"/>
  <c r="H18" i="5" s="1"/>
  <c r="G45" i="3"/>
  <c r="H45" i="3" s="1"/>
  <c r="G97" i="5"/>
  <c r="H97" i="5" s="1"/>
  <c r="G93" i="5"/>
  <c r="H93" i="5" s="1"/>
  <c r="G89" i="5"/>
  <c r="H89" i="5" s="1"/>
  <c r="G77" i="5"/>
  <c r="H77" i="5" s="1"/>
  <c r="G73" i="5"/>
  <c r="H73" i="5" s="1"/>
  <c r="G69" i="5"/>
  <c r="H69" i="5" s="1"/>
  <c r="G65" i="5"/>
  <c r="H65" i="5" s="1"/>
  <c r="G61" i="5"/>
  <c r="H61" i="5" s="1"/>
  <c r="G57" i="5"/>
  <c r="H57" i="5" s="1"/>
  <c r="G53" i="5"/>
  <c r="H53" i="5" s="1"/>
  <c r="G49" i="5"/>
  <c r="H49" i="5" s="1"/>
  <c r="G37" i="5"/>
  <c r="H37" i="5" s="1"/>
  <c r="G33" i="5"/>
  <c r="H33" i="5" s="1"/>
  <c r="G29" i="5"/>
  <c r="H29" i="5" s="1"/>
  <c r="G25" i="5"/>
  <c r="H25" i="5" s="1"/>
  <c r="G41" i="3"/>
  <c r="H41" i="3" s="1"/>
  <c r="G37" i="3"/>
  <c r="H37" i="3" s="1"/>
  <c r="G33" i="3"/>
  <c r="H33" i="3" s="1"/>
  <c r="G29" i="3"/>
  <c r="H29" i="3" s="1"/>
  <c r="G25" i="3"/>
  <c r="H25" i="3" s="1"/>
  <c r="G21" i="3"/>
  <c r="H21" i="3" s="1"/>
  <c r="G17" i="3"/>
  <c r="H17" i="3" s="1"/>
  <c r="G13" i="3"/>
  <c r="H13" i="3" s="1"/>
  <c r="G21" i="5"/>
  <c r="H21" i="5" s="1"/>
  <c r="G17" i="5"/>
  <c r="H17" i="5" s="1"/>
  <c r="G13" i="5"/>
  <c r="H13" i="5" s="1"/>
  <c r="G52" i="3"/>
  <c r="H52" i="3" s="1"/>
  <c r="G48" i="3"/>
  <c r="H48" i="3" s="1"/>
  <c r="G28" i="3"/>
  <c r="H28" i="3" s="1"/>
  <c r="G24" i="3"/>
  <c r="H24" i="3" s="1"/>
  <c r="G20" i="3"/>
  <c r="H20" i="3" s="1"/>
  <c r="G16" i="3"/>
  <c r="H16" i="3" s="1"/>
  <c r="G12" i="3"/>
  <c r="H12" i="3" s="1"/>
  <c r="G101" i="5"/>
  <c r="H101" i="5" s="1"/>
  <c r="G102" i="5"/>
  <c r="H102" i="5" s="1"/>
  <c r="G104" i="5"/>
  <c r="H104" i="5" s="1"/>
  <c r="G99" i="5"/>
  <c r="H99" i="5" s="1"/>
  <c r="G95" i="5"/>
  <c r="H95" i="5" s="1"/>
  <c r="G91" i="5"/>
  <c r="H91" i="5" s="1"/>
  <c r="G87" i="5"/>
  <c r="H87" i="5" s="1"/>
  <c r="G83" i="5"/>
  <c r="H83" i="5" s="1"/>
  <c r="G79" i="5"/>
  <c r="H79" i="5" s="1"/>
  <c r="G75" i="5"/>
  <c r="H75" i="5" s="1"/>
  <c r="G71" i="5"/>
  <c r="H71" i="5" s="1"/>
  <c r="G55" i="5"/>
  <c r="H55" i="5" s="1"/>
  <c r="G51" i="5"/>
  <c r="H51" i="5" s="1"/>
  <c r="G47" i="5"/>
  <c r="H47" i="5" s="1"/>
  <c r="G43" i="5"/>
  <c r="H43" i="5" s="1"/>
  <c r="G39" i="5"/>
  <c r="H39" i="5" s="1"/>
  <c r="G35" i="5"/>
  <c r="H35" i="5" s="1"/>
  <c r="G31" i="5"/>
  <c r="H31" i="5" s="1"/>
  <c r="G27" i="5"/>
  <c r="H27" i="5" s="1"/>
  <c r="G15" i="5"/>
  <c r="H15" i="5" s="1"/>
  <c r="G11" i="5"/>
  <c r="H11" i="5" s="1"/>
  <c r="G54" i="3"/>
  <c r="H54" i="3" s="1"/>
  <c r="G50" i="3"/>
  <c r="H50" i="3" s="1"/>
  <c r="G46" i="3"/>
  <c r="H46" i="3" s="1"/>
  <c r="G42" i="3"/>
  <c r="H42" i="3" s="1"/>
  <c r="G38" i="3"/>
  <c r="H38" i="3" s="1"/>
  <c r="G34" i="3"/>
  <c r="H34" i="3" s="1"/>
  <c r="G30" i="3"/>
  <c r="H30" i="3" s="1"/>
  <c r="G26" i="3"/>
  <c r="H26" i="3" s="1"/>
  <c r="G22" i="3"/>
  <c r="H22" i="3" s="1"/>
  <c r="G18" i="3"/>
  <c r="H18" i="3" s="1"/>
  <c r="G14" i="3"/>
  <c r="H14" i="3" s="1"/>
  <c r="I7" i="3"/>
  <c r="J7" i="3" s="1"/>
  <c r="E96" i="5"/>
  <c r="E84" i="5"/>
  <c r="E60" i="5"/>
  <c r="E48" i="5"/>
  <c r="E24" i="5"/>
  <c r="E12" i="5"/>
  <c r="E7" i="5"/>
  <c r="E99" i="5"/>
  <c r="E95" i="5"/>
  <c r="E91" i="5"/>
  <c r="E87" i="5"/>
  <c r="E83" i="5"/>
  <c r="E79" i="5"/>
  <c r="E75" i="5"/>
  <c r="E71" i="5"/>
  <c r="E55" i="5"/>
  <c r="E51" i="5"/>
  <c r="E47" i="5"/>
  <c r="E43" i="5"/>
  <c r="E39" i="5"/>
  <c r="E35" i="5"/>
  <c r="E31" i="5"/>
  <c r="E27" i="5"/>
  <c r="E15" i="5"/>
  <c r="E11" i="5"/>
  <c r="E104" i="5"/>
  <c r="E92" i="5"/>
  <c r="E64" i="5"/>
  <c r="E52" i="5"/>
  <c r="E40" i="5"/>
  <c r="E16" i="5"/>
  <c r="E9" i="5"/>
  <c r="E86" i="5"/>
  <c r="E82" i="5"/>
  <c r="E78" i="5"/>
  <c r="E74" i="5"/>
  <c r="E70" i="5"/>
  <c r="E66" i="5"/>
  <c r="E62" i="5"/>
  <c r="E58" i="5"/>
  <c r="E46" i="5"/>
  <c r="E42" i="5"/>
  <c r="E38" i="5"/>
  <c r="E34" i="5"/>
  <c r="E30" i="5"/>
  <c r="E26" i="5"/>
  <c r="E22" i="5"/>
  <c r="E18" i="5"/>
  <c r="E100" i="5"/>
  <c r="E88" i="5"/>
  <c r="E80" i="5"/>
  <c r="E68" i="5"/>
  <c r="E56" i="5"/>
  <c r="E44" i="5"/>
  <c r="E20" i="5"/>
  <c r="E105" i="5"/>
  <c r="E101" i="5"/>
  <c r="E97" i="5"/>
  <c r="E93" i="5"/>
  <c r="E89" i="5"/>
  <c r="E77" i="5"/>
  <c r="E73" i="5"/>
  <c r="E69" i="5"/>
  <c r="E65" i="5"/>
  <c r="E61" i="5"/>
  <c r="E57" i="5"/>
  <c r="E53" i="5"/>
  <c r="E49" i="5"/>
  <c r="E37" i="5"/>
  <c r="E33" i="5"/>
  <c r="E29" i="5"/>
  <c r="E25" i="5"/>
  <c r="E21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D20" i="2"/>
  <c r="L20" i="2" s="1"/>
  <c r="L21" i="2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L34" i="2"/>
  <c r="D35" i="2"/>
  <c r="L35" i="2" s="1"/>
  <c r="D36" i="2"/>
  <c r="L36" i="2" s="1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L47" i="2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L59" i="2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D68" i="2"/>
  <c r="L68" i="2" s="1"/>
  <c r="D69" i="2"/>
  <c r="L69" i="2" s="1"/>
  <c r="D70" i="2"/>
  <c r="L70" i="2" s="1"/>
  <c r="D71" i="2"/>
  <c r="L71" i="2" s="1"/>
  <c r="L72" i="2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L85" i="2"/>
  <c r="D86" i="2"/>
  <c r="L86" i="2" s="1"/>
  <c r="D87" i="2"/>
  <c r="L87" i="2" s="1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L98" i="2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I21" i="3" l="1"/>
  <c r="I29" i="3"/>
  <c r="J29" i="3" s="1"/>
  <c r="I102" i="5"/>
  <c r="J102" i="5" s="1"/>
  <c r="I48" i="3"/>
  <c r="J48" i="3" s="1"/>
  <c r="I16" i="3"/>
  <c r="F17" i="3" s="1"/>
  <c r="I43" i="3"/>
  <c r="J43" i="3" s="1"/>
  <c r="I47" i="3"/>
  <c r="I54" i="3"/>
  <c r="I39" i="3"/>
  <c r="J39" i="3" s="1"/>
  <c r="I38" i="3"/>
  <c r="J38" i="3" s="1"/>
  <c r="I25" i="3"/>
  <c r="J25" i="3" s="1"/>
  <c r="I9" i="3"/>
  <c r="F9" i="3" s="1"/>
  <c r="I35" i="3"/>
  <c r="J35" i="3" s="1"/>
  <c r="I22" i="3"/>
  <c r="F22" i="3" s="1"/>
  <c r="I17" i="3"/>
  <c r="I52" i="3"/>
  <c r="J52" i="3" s="1"/>
  <c r="I20" i="3"/>
  <c r="F21" i="3" s="1"/>
  <c r="I11" i="3"/>
  <c r="J11" i="3" s="1"/>
  <c r="F12" i="3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5" i="3"/>
  <c r="I12" i="3"/>
  <c r="I50" i="3"/>
  <c r="I18" i="3"/>
  <c r="I41" i="3"/>
  <c r="I31" i="3"/>
  <c r="J31" i="3" s="1"/>
  <c r="I13" i="3"/>
  <c r="F14" i="3" s="1"/>
  <c r="I28" i="3"/>
  <c r="J28" i="3" s="1"/>
  <c r="I34" i="3"/>
  <c r="J34" i="3" s="1"/>
  <c r="I33" i="3"/>
  <c r="J33" i="3" s="1"/>
  <c r="I55" i="3"/>
  <c r="J55" i="3" s="1"/>
  <c r="I37" i="3"/>
  <c r="J37" i="3" s="1"/>
  <c r="I24" i="3"/>
  <c r="I51" i="3"/>
  <c r="I46" i="3"/>
  <c r="I30" i="3"/>
  <c r="I14" i="3"/>
  <c r="J14" i="3" s="1"/>
  <c r="I42" i="3"/>
  <c r="I26" i="3"/>
  <c r="J21" i="3"/>
  <c r="J22" i="3"/>
  <c r="J16" i="3"/>
  <c r="J18" i="3"/>
  <c r="G97" i="2"/>
  <c r="H97" i="2" s="1"/>
  <c r="G93" i="2"/>
  <c r="H93" i="2" s="1"/>
  <c r="G89" i="2"/>
  <c r="H89" i="2" s="1"/>
  <c r="G81" i="2"/>
  <c r="H81" i="2" s="1"/>
  <c r="G77" i="2"/>
  <c r="H77" i="2" s="1"/>
  <c r="G73" i="2"/>
  <c r="H73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6" i="2"/>
  <c r="H36" i="2" s="1"/>
  <c r="G32" i="2"/>
  <c r="H32" i="2" s="1"/>
  <c r="G28" i="2"/>
  <c r="H28" i="2" s="1"/>
  <c r="G24" i="2"/>
  <c r="H24" i="2" s="1"/>
  <c r="G16" i="2"/>
  <c r="H16" i="2" s="1"/>
  <c r="G12" i="2"/>
  <c r="H12" i="2" s="1"/>
  <c r="G104" i="2"/>
  <c r="H104" i="2" s="1"/>
  <c r="G99" i="2"/>
  <c r="H99" i="2" s="1"/>
  <c r="G95" i="2"/>
  <c r="H95" i="2" s="1"/>
  <c r="G91" i="2"/>
  <c r="H91" i="2" s="1"/>
  <c r="G11" i="2"/>
  <c r="H11" i="2" s="1"/>
  <c r="G20" i="2"/>
  <c r="H20" i="2" s="1"/>
  <c r="G101" i="2"/>
  <c r="H101" i="2" s="1"/>
  <c r="G102" i="2"/>
  <c r="H102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5" i="2"/>
  <c r="H55" i="2" s="1"/>
  <c r="G51" i="2"/>
  <c r="H51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54" i="3" l="1"/>
  <c r="J54" i="3"/>
  <c r="F25" i="3"/>
  <c r="F50" i="3"/>
  <c r="F39" i="3"/>
  <c r="F52" i="3"/>
  <c r="F48" i="3"/>
  <c r="F55" i="3"/>
  <c r="F45" i="3"/>
  <c r="J9" i="3"/>
  <c r="F57" i="3"/>
  <c r="J20" i="3"/>
  <c r="F29" i="3"/>
  <c r="J51" i="3"/>
  <c r="F46" i="3"/>
  <c r="F11" i="3"/>
  <c r="F26" i="3"/>
  <c r="F41" i="3"/>
  <c r="F42" i="3"/>
  <c r="J45" i="3"/>
  <c r="F30" i="3"/>
  <c r="F24" i="3"/>
  <c r="F33" i="3"/>
  <c r="F16" i="3"/>
  <c r="F31" i="3"/>
  <c r="F51" i="3"/>
  <c r="J47" i="3"/>
  <c r="F47" i="3"/>
  <c r="F28" i="3"/>
  <c r="F18" i="3"/>
  <c r="I102" i="2"/>
  <c r="J102" i="2" s="1"/>
  <c r="F20" i="3"/>
  <c r="F13" i="3"/>
  <c r="J17" i="3"/>
  <c r="J30" i="3"/>
  <c r="J46" i="3"/>
  <c r="J24" i="3"/>
  <c r="J50" i="3"/>
  <c r="J13" i="3"/>
  <c r="J26" i="3"/>
  <c r="F35" i="3"/>
  <c r="F38" i="3"/>
  <c r="J12" i="3"/>
  <c r="J41" i="3"/>
  <c r="J42" i="3"/>
  <c r="F43" i="3"/>
  <c r="F37" i="3"/>
  <c r="F34" i="3"/>
  <c r="I14" i="2"/>
  <c r="I27" i="2"/>
  <c r="I107" i="5"/>
  <c r="J107" i="5" s="1"/>
  <c r="Q17" i="5" s="1"/>
  <c r="I105" i="5"/>
  <c r="I104" i="5"/>
  <c r="I101" i="5"/>
  <c r="I100" i="5"/>
  <c r="I99" i="5"/>
  <c r="I97" i="5"/>
  <c r="I96" i="5"/>
  <c r="I95" i="5"/>
  <c r="I93" i="5"/>
  <c r="I92" i="5"/>
  <c r="I91" i="5"/>
  <c r="I89" i="5"/>
  <c r="I88" i="5"/>
  <c r="I87" i="5"/>
  <c r="I86" i="5"/>
  <c r="I84" i="5"/>
  <c r="I83" i="5"/>
  <c r="I82" i="5"/>
  <c r="I80" i="5"/>
  <c r="I79" i="5"/>
  <c r="I78" i="5"/>
  <c r="I77" i="5"/>
  <c r="I75" i="5"/>
  <c r="I74" i="5"/>
  <c r="I73" i="5"/>
  <c r="I71" i="5"/>
  <c r="I70" i="5"/>
  <c r="I69" i="5"/>
  <c r="I68" i="5"/>
  <c r="I66" i="5"/>
  <c r="I65" i="5"/>
  <c r="I64" i="5"/>
  <c r="I62" i="5"/>
  <c r="I61" i="5"/>
  <c r="I60" i="5"/>
  <c r="I58" i="5"/>
  <c r="I57" i="5"/>
  <c r="I56" i="5"/>
  <c r="I55" i="5"/>
  <c r="I53" i="5"/>
  <c r="I52" i="5"/>
  <c r="I51" i="5"/>
  <c r="I49" i="5"/>
  <c r="I48" i="5"/>
  <c r="I47" i="5"/>
  <c r="I46" i="5"/>
  <c r="I44" i="5"/>
  <c r="I43" i="5"/>
  <c r="I42" i="5"/>
  <c r="I40" i="5"/>
  <c r="I39" i="5"/>
  <c r="I38" i="5"/>
  <c r="I37" i="5"/>
  <c r="I35" i="5"/>
  <c r="I34" i="5"/>
  <c r="I33" i="5"/>
  <c r="I31" i="5"/>
  <c r="I30" i="5"/>
  <c r="I29" i="5"/>
  <c r="I27" i="5"/>
  <c r="I26" i="5"/>
  <c r="I25" i="5"/>
  <c r="I24" i="5"/>
  <c r="I22" i="5"/>
  <c r="I21" i="5"/>
  <c r="I20" i="5"/>
  <c r="I18" i="5"/>
  <c r="I17" i="5"/>
  <c r="I16" i="5"/>
  <c r="I15" i="5"/>
  <c r="I13" i="5"/>
  <c r="I12" i="5"/>
  <c r="I11" i="5"/>
  <c r="I9" i="5"/>
  <c r="I7" i="5"/>
  <c r="E7" i="3"/>
  <c r="E9" i="3"/>
  <c r="E11" i="3"/>
  <c r="E12" i="3"/>
  <c r="E13" i="3"/>
  <c r="E14" i="3"/>
  <c r="E16" i="3"/>
  <c r="E17" i="3"/>
  <c r="E18" i="3"/>
  <c r="E20" i="3"/>
  <c r="E21" i="3"/>
  <c r="E22" i="3"/>
  <c r="E24" i="3"/>
  <c r="E25" i="3"/>
  <c r="E26" i="3"/>
  <c r="E28" i="3"/>
  <c r="E29" i="3"/>
  <c r="E30" i="3"/>
  <c r="E31" i="3"/>
  <c r="E33" i="3"/>
  <c r="E34" i="3"/>
  <c r="E35" i="3"/>
  <c r="E37" i="3"/>
  <c r="E38" i="3"/>
  <c r="E39" i="3"/>
  <c r="E41" i="3"/>
  <c r="E42" i="3"/>
  <c r="E43" i="3"/>
  <c r="E45" i="3"/>
  <c r="E46" i="3"/>
  <c r="E47" i="3"/>
  <c r="E48" i="3"/>
  <c r="E50" i="3"/>
  <c r="E51" i="3"/>
  <c r="E52" i="3"/>
  <c r="E54" i="3"/>
  <c r="E55" i="3"/>
  <c r="E57" i="3"/>
  <c r="E7" i="2"/>
  <c r="I7" i="2"/>
  <c r="E9" i="2"/>
  <c r="I9" i="2"/>
  <c r="E10" i="2"/>
  <c r="I10" i="2"/>
  <c r="E11" i="2"/>
  <c r="I11" i="2"/>
  <c r="E12" i="2"/>
  <c r="I12" i="2"/>
  <c r="E13" i="2"/>
  <c r="I13" i="2"/>
  <c r="E14" i="2"/>
  <c r="E15" i="2"/>
  <c r="I15" i="2"/>
  <c r="E16" i="2"/>
  <c r="I16" i="2"/>
  <c r="E17" i="2"/>
  <c r="I17" i="2"/>
  <c r="E18" i="2"/>
  <c r="I18" i="2"/>
  <c r="E19" i="2"/>
  <c r="I19" i="2"/>
  <c r="E20" i="2"/>
  <c r="I20" i="2"/>
  <c r="E22" i="2"/>
  <c r="I22" i="2"/>
  <c r="E23" i="2"/>
  <c r="I23" i="2"/>
  <c r="E24" i="2"/>
  <c r="I24" i="2"/>
  <c r="E25" i="2"/>
  <c r="I25" i="2"/>
  <c r="E26" i="2"/>
  <c r="I26" i="2"/>
  <c r="E27" i="2"/>
  <c r="E28" i="2"/>
  <c r="I28" i="2"/>
  <c r="E29" i="2"/>
  <c r="I29" i="2"/>
  <c r="E30" i="2"/>
  <c r="I30" i="2"/>
  <c r="E31" i="2"/>
  <c r="I31" i="2"/>
  <c r="E32" i="2"/>
  <c r="I32" i="2"/>
  <c r="E33" i="2"/>
  <c r="I33" i="2"/>
  <c r="E35" i="2"/>
  <c r="I35" i="2"/>
  <c r="E36" i="2"/>
  <c r="I36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5" i="2"/>
  <c r="I45" i="2"/>
  <c r="E46" i="2"/>
  <c r="I46" i="2"/>
  <c r="E48" i="2"/>
  <c r="I48" i="2"/>
  <c r="E49" i="2"/>
  <c r="I49" i="2"/>
  <c r="E50" i="2"/>
  <c r="I50" i="2"/>
  <c r="E51" i="2"/>
  <c r="I51" i="2"/>
  <c r="E52" i="2"/>
  <c r="I52" i="2"/>
  <c r="E53" i="2"/>
  <c r="I53" i="2"/>
  <c r="E54" i="2"/>
  <c r="I54" i="2"/>
  <c r="E55" i="2"/>
  <c r="I55" i="2"/>
  <c r="E56" i="2"/>
  <c r="I56" i="2"/>
  <c r="E57" i="2"/>
  <c r="I57" i="2"/>
  <c r="E58" i="2"/>
  <c r="I58" i="2"/>
  <c r="E60" i="2"/>
  <c r="I60" i="2"/>
  <c r="E61" i="2"/>
  <c r="I61" i="2"/>
  <c r="E62" i="2"/>
  <c r="I62" i="2"/>
  <c r="E63" i="2"/>
  <c r="I63" i="2"/>
  <c r="E64" i="2"/>
  <c r="I64" i="2"/>
  <c r="E65" i="2"/>
  <c r="I65" i="2"/>
  <c r="E66" i="2"/>
  <c r="I66" i="2"/>
  <c r="E67" i="2"/>
  <c r="I67" i="2"/>
  <c r="E68" i="2"/>
  <c r="I68" i="2"/>
  <c r="E69" i="2"/>
  <c r="I69" i="2"/>
  <c r="E70" i="2"/>
  <c r="I70" i="2"/>
  <c r="E71" i="2"/>
  <c r="I71" i="2"/>
  <c r="E73" i="2"/>
  <c r="I73" i="2"/>
  <c r="E74" i="2"/>
  <c r="I74" i="2"/>
  <c r="E75" i="2"/>
  <c r="I75" i="2"/>
  <c r="E76" i="2"/>
  <c r="I76" i="2"/>
  <c r="E77" i="2"/>
  <c r="I77" i="2"/>
  <c r="E78" i="2"/>
  <c r="I78" i="2"/>
  <c r="E79" i="2"/>
  <c r="I79" i="2"/>
  <c r="E80" i="2"/>
  <c r="I80" i="2"/>
  <c r="E81" i="2"/>
  <c r="I81" i="2"/>
  <c r="E82" i="2"/>
  <c r="I82" i="2"/>
  <c r="E83" i="2"/>
  <c r="I83" i="2"/>
  <c r="E84" i="2"/>
  <c r="I84" i="2"/>
  <c r="E86" i="2"/>
  <c r="I86" i="2"/>
  <c r="E87" i="2"/>
  <c r="I87" i="2"/>
  <c r="E88" i="2"/>
  <c r="I88" i="2"/>
  <c r="E89" i="2"/>
  <c r="I89" i="2"/>
  <c r="E90" i="2"/>
  <c r="I90" i="2"/>
  <c r="E91" i="2"/>
  <c r="I91" i="2"/>
  <c r="E92" i="2"/>
  <c r="I92" i="2"/>
  <c r="E93" i="2"/>
  <c r="I93" i="2"/>
  <c r="E94" i="2"/>
  <c r="I94" i="2"/>
  <c r="E95" i="2"/>
  <c r="I95" i="2"/>
  <c r="E96" i="2"/>
  <c r="I96" i="2"/>
  <c r="E97" i="2"/>
  <c r="I97" i="2"/>
  <c r="E99" i="2"/>
  <c r="I99" i="2"/>
  <c r="E100" i="2"/>
  <c r="I100" i="2"/>
  <c r="E101" i="2"/>
  <c r="I101" i="2"/>
  <c r="E103" i="2"/>
  <c r="I103" i="2"/>
  <c r="E104" i="2"/>
  <c r="I104" i="2"/>
  <c r="E105" i="2"/>
  <c r="I105" i="2"/>
  <c r="E107" i="2"/>
  <c r="I107" i="2"/>
  <c r="J107" i="2" s="1"/>
  <c r="Q17" i="2" s="1"/>
  <c r="F103" i="2" l="1"/>
  <c r="F105" i="2"/>
  <c r="J104" i="2"/>
  <c r="J97" i="2"/>
  <c r="F92" i="2"/>
  <c r="J91" i="2"/>
  <c r="F88" i="2"/>
  <c r="J87" i="2"/>
  <c r="F82" i="2"/>
  <c r="J81" i="2"/>
  <c r="F78" i="2"/>
  <c r="J77" i="2"/>
  <c r="J71" i="2"/>
  <c r="F68" i="2"/>
  <c r="J67" i="2"/>
  <c r="F64" i="2"/>
  <c r="J63" i="2"/>
  <c r="F58" i="2"/>
  <c r="J57" i="2"/>
  <c r="F54" i="2"/>
  <c r="J53" i="2"/>
  <c r="F50" i="2"/>
  <c r="J49" i="2"/>
  <c r="F44" i="2"/>
  <c r="J43" i="2"/>
  <c r="F40" i="2"/>
  <c r="J39" i="2"/>
  <c r="F36" i="2"/>
  <c r="J35" i="2"/>
  <c r="F32" i="2"/>
  <c r="J31" i="2"/>
  <c r="F13" i="2"/>
  <c r="J12" i="2"/>
  <c r="F7" i="2"/>
  <c r="J7" i="2"/>
  <c r="J13" i="5"/>
  <c r="F22" i="5"/>
  <c r="J21" i="5"/>
  <c r="F30" i="5"/>
  <c r="J29" i="5"/>
  <c r="F38" i="5"/>
  <c r="J37" i="5"/>
  <c r="F46" i="5"/>
  <c r="J53" i="5"/>
  <c r="F58" i="5"/>
  <c r="J57" i="5"/>
  <c r="F66" i="5"/>
  <c r="J65" i="5"/>
  <c r="F74" i="5"/>
  <c r="J73" i="5"/>
  <c r="F78" i="5"/>
  <c r="J77" i="5"/>
  <c r="F82" i="5"/>
  <c r="F86" i="5"/>
  <c r="J89" i="5"/>
  <c r="J93" i="5"/>
  <c r="J97" i="5"/>
  <c r="F102" i="5"/>
  <c r="J101" i="5"/>
  <c r="F27" i="2"/>
  <c r="J26" i="2"/>
  <c r="F25" i="2"/>
  <c r="J24" i="2"/>
  <c r="F23" i="2"/>
  <c r="J22" i="2"/>
  <c r="J20" i="2"/>
  <c r="F19" i="2"/>
  <c r="J18" i="2"/>
  <c r="F17" i="2"/>
  <c r="J16" i="2"/>
  <c r="F11" i="5"/>
  <c r="F15" i="5"/>
  <c r="J18" i="5"/>
  <c r="J22" i="5"/>
  <c r="F27" i="5"/>
  <c r="J26" i="5"/>
  <c r="F31" i="5"/>
  <c r="J30" i="5"/>
  <c r="F35" i="5"/>
  <c r="J34" i="5"/>
  <c r="F39" i="5"/>
  <c r="J38" i="5"/>
  <c r="F43" i="5"/>
  <c r="J42" i="5"/>
  <c r="F47" i="5"/>
  <c r="J46" i="5"/>
  <c r="F51" i="5"/>
  <c r="F55" i="5"/>
  <c r="J58" i="5"/>
  <c r="J62" i="5"/>
  <c r="J66" i="5"/>
  <c r="F71" i="5"/>
  <c r="J70" i="5"/>
  <c r="F75" i="5"/>
  <c r="J74" i="5"/>
  <c r="F79" i="5"/>
  <c r="J78" i="5"/>
  <c r="F83" i="5"/>
  <c r="J82" i="5"/>
  <c r="F87" i="5"/>
  <c r="J86" i="5"/>
  <c r="F91" i="5"/>
  <c r="F95" i="5"/>
  <c r="F99" i="5"/>
  <c r="F104" i="5"/>
  <c r="F28" i="2"/>
  <c r="J27" i="2"/>
  <c r="F100" i="2"/>
  <c r="J99" i="2"/>
  <c r="F96" i="2"/>
  <c r="J95" i="2"/>
  <c r="F90" i="2"/>
  <c r="J89" i="2"/>
  <c r="F86" i="2"/>
  <c r="F80" i="2"/>
  <c r="J79" i="2"/>
  <c r="F76" i="2"/>
  <c r="J75" i="2"/>
  <c r="F70" i="2"/>
  <c r="J69" i="2"/>
  <c r="F66" i="2"/>
  <c r="J65" i="2"/>
  <c r="F60" i="2"/>
  <c r="F56" i="2"/>
  <c r="J55" i="2"/>
  <c r="F52" i="2"/>
  <c r="J51" i="2"/>
  <c r="F48" i="2"/>
  <c r="F42" i="2"/>
  <c r="J41" i="2"/>
  <c r="F38" i="2"/>
  <c r="J37" i="2"/>
  <c r="J33" i="2"/>
  <c r="F30" i="2"/>
  <c r="J29" i="2"/>
  <c r="F11" i="2"/>
  <c r="J10" i="2"/>
  <c r="J9" i="5"/>
  <c r="F18" i="5"/>
  <c r="J17" i="5"/>
  <c r="F26" i="5"/>
  <c r="J25" i="5"/>
  <c r="F34" i="5"/>
  <c r="J33" i="5"/>
  <c r="F42" i="5"/>
  <c r="J49" i="5"/>
  <c r="F62" i="5"/>
  <c r="J61" i="5"/>
  <c r="F70" i="5"/>
  <c r="J69" i="5"/>
  <c r="F107" i="2"/>
  <c r="J105" i="2"/>
  <c r="F104" i="2"/>
  <c r="J103" i="2"/>
  <c r="F101" i="2"/>
  <c r="J100" i="2"/>
  <c r="F99" i="2"/>
  <c r="F97" i="2"/>
  <c r="J96" i="2"/>
  <c r="F95" i="2"/>
  <c r="J94" i="2"/>
  <c r="F93" i="2"/>
  <c r="J92" i="2"/>
  <c r="F91" i="2"/>
  <c r="J90" i="2"/>
  <c r="F89" i="2"/>
  <c r="J88" i="2"/>
  <c r="F87" i="2"/>
  <c r="J86" i="2"/>
  <c r="J84" i="2"/>
  <c r="F83" i="2"/>
  <c r="J82" i="2"/>
  <c r="F81" i="2"/>
  <c r="J80" i="2"/>
  <c r="F79" i="2"/>
  <c r="J78" i="2"/>
  <c r="F77" i="2"/>
  <c r="J76" i="2"/>
  <c r="F75" i="2"/>
  <c r="J74" i="2"/>
  <c r="F73" i="2"/>
  <c r="F71" i="2"/>
  <c r="J70" i="2"/>
  <c r="F69" i="2"/>
  <c r="J68" i="2"/>
  <c r="F67" i="2"/>
  <c r="J66" i="2"/>
  <c r="F65" i="2"/>
  <c r="J64" i="2"/>
  <c r="F63" i="2"/>
  <c r="J62" i="2"/>
  <c r="F61" i="2"/>
  <c r="J60" i="2"/>
  <c r="J58" i="2"/>
  <c r="F57" i="2"/>
  <c r="J56" i="2"/>
  <c r="F55" i="2"/>
  <c r="J54" i="2"/>
  <c r="F53" i="2"/>
  <c r="J52" i="2"/>
  <c r="F51" i="2"/>
  <c r="J50" i="2"/>
  <c r="F49" i="2"/>
  <c r="J48" i="2"/>
  <c r="J46" i="2"/>
  <c r="F45" i="2"/>
  <c r="J44" i="2"/>
  <c r="F43" i="2"/>
  <c r="J42" i="2"/>
  <c r="F41" i="2"/>
  <c r="J40" i="2"/>
  <c r="F39" i="2"/>
  <c r="J38" i="2"/>
  <c r="F37" i="2"/>
  <c r="J36" i="2"/>
  <c r="F35" i="2"/>
  <c r="F33" i="2"/>
  <c r="J32" i="2"/>
  <c r="F31" i="2"/>
  <c r="J30" i="2"/>
  <c r="F29" i="2"/>
  <c r="J28" i="2"/>
  <c r="F14" i="2"/>
  <c r="J13" i="2"/>
  <c r="F12" i="2"/>
  <c r="J11" i="2"/>
  <c r="F10" i="2"/>
  <c r="J9" i="2"/>
  <c r="F12" i="5"/>
  <c r="J11" i="5"/>
  <c r="F16" i="5"/>
  <c r="J15" i="5"/>
  <c r="F20" i="5"/>
  <c r="F24" i="5"/>
  <c r="J27" i="5"/>
  <c r="J31" i="5"/>
  <c r="J35" i="5"/>
  <c r="F40" i="5"/>
  <c r="J39" i="5"/>
  <c r="F44" i="5"/>
  <c r="J43" i="5"/>
  <c r="F48" i="5"/>
  <c r="J47" i="5"/>
  <c r="F52" i="5"/>
  <c r="J51" i="5"/>
  <c r="F56" i="5"/>
  <c r="J55" i="5"/>
  <c r="F60" i="5"/>
  <c r="F64" i="5"/>
  <c r="F68" i="5"/>
  <c r="J71" i="5"/>
  <c r="J75" i="5"/>
  <c r="F80" i="5"/>
  <c r="J79" i="5"/>
  <c r="F84" i="5"/>
  <c r="J83" i="5"/>
  <c r="F88" i="5"/>
  <c r="J87" i="5"/>
  <c r="F92" i="5"/>
  <c r="J91" i="5"/>
  <c r="F96" i="5"/>
  <c r="J95" i="5"/>
  <c r="F100" i="5"/>
  <c r="J99" i="5"/>
  <c r="F105" i="5"/>
  <c r="J104" i="5"/>
  <c r="F15" i="2"/>
  <c r="J14" i="2"/>
  <c r="F102" i="2"/>
  <c r="J101" i="2"/>
  <c r="F94" i="2"/>
  <c r="J93" i="2"/>
  <c r="F84" i="2"/>
  <c r="J83" i="2"/>
  <c r="F74" i="2"/>
  <c r="J73" i="2"/>
  <c r="F62" i="2"/>
  <c r="J61" i="2"/>
  <c r="F46" i="2"/>
  <c r="J45" i="2"/>
  <c r="F26" i="2"/>
  <c r="J25" i="2"/>
  <c r="F24" i="2"/>
  <c r="J23" i="2"/>
  <c r="F22" i="2"/>
  <c r="F20" i="2"/>
  <c r="J19" i="2"/>
  <c r="F18" i="2"/>
  <c r="J17" i="2"/>
  <c r="F16" i="2"/>
  <c r="J15" i="2"/>
  <c r="F7" i="5"/>
  <c r="J7" i="5"/>
  <c r="F13" i="5"/>
  <c r="J12" i="5"/>
  <c r="F17" i="5"/>
  <c r="J16" i="5"/>
  <c r="F21" i="5"/>
  <c r="J20" i="5"/>
  <c r="F25" i="5"/>
  <c r="J24" i="5"/>
  <c r="F29" i="5"/>
  <c r="F33" i="5"/>
  <c r="F37" i="5"/>
  <c r="J40" i="5"/>
  <c r="J44" i="5"/>
  <c r="F49" i="5"/>
  <c r="J48" i="5"/>
  <c r="F53" i="5"/>
  <c r="J52" i="5"/>
  <c r="F57" i="5"/>
  <c r="J56" i="5"/>
  <c r="F61" i="5"/>
  <c r="J60" i="5"/>
  <c r="F65" i="5"/>
  <c r="J64" i="5"/>
  <c r="F69" i="5"/>
  <c r="J68" i="5"/>
  <c r="F73" i="5"/>
  <c r="F77" i="5"/>
  <c r="J80" i="5"/>
  <c r="J84" i="5"/>
  <c r="F89" i="5"/>
  <c r="J88" i="5"/>
  <c r="F93" i="5"/>
  <c r="J92" i="5"/>
  <c r="F97" i="5"/>
  <c r="J96" i="5"/>
  <c r="F101" i="5"/>
  <c r="J100" i="5"/>
  <c r="F107" i="5"/>
  <c r="J105" i="5"/>
  <c r="F9" i="2"/>
  <c r="F9" i="5"/>
  <c r="I52" i="32"/>
  <c r="I46" i="32"/>
  <c r="I38" i="32"/>
  <c r="I34" i="32"/>
  <c r="I30" i="32"/>
  <c r="I26" i="32"/>
  <c r="I22" i="32"/>
  <c r="I43" i="32"/>
  <c r="I33" i="32"/>
  <c r="I29" i="32"/>
  <c r="I51" i="32"/>
  <c r="I39" i="32"/>
  <c r="I50" i="32"/>
  <c r="I54" i="32"/>
  <c r="I48" i="32"/>
  <c r="I44" i="32"/>
  <c r="I40" i="32"/>
  <c r="I36" i="32"/>
  <c r="I32" i="32"/>
  <c r="I28" i="32"/>
  <c r="I24" i="32"/>
  <c r="I57" i="32"/>
  <c r="J57" i="32" s="1"/>
  <c r="Q17" i="32" s="1"/>
  <c r="I41" i="32"/>
  <c r="I31" i="32"/>
  <c r="I27" i="32"/>
  <c r="I55" i="32"/>
  <c r="I49" i="32"/>
  <c r="I37" i="32"/>
  <c r="I23" i="32"/>
  <c r="I45" i="32"/>
  <c r="I25" i="32"/>
  <c r="I53" i="32"/>
  <c r="I47" i="32"/>
  <c r="I21" i="32"/>
  <c r="F21" i="32" s="1"/>
  <c r="I35" i="32"/>
  <c r="F28" i="32" l="1"/>
  <c r="J27" i="32"/>
  <c r="F25" i="32"/>
  <c r="J24" i="32"/>
  <c r="F41" i="32"/>
  <c r="J40" i="32"/>
  <c r="F51" i="32"/>
  <c r="J50" i="32"/>
  <c r="F34" i="32"/>
  <c r="J33" i="32"/>
  <c r="F31" i="32"/>
  <c r="J30" i="32"/>
  <c r="F47" i="32"/>
  <c r="J46" i="32"/>
  <c r="F48" i="32"/>
  <c r="J47" i="32"/>
  <c r="F38" i="32"/>
  <c r="J37" i="32"/>
  <c r="F45" i="32"/>
  <c r="J44" i="32"/>
  <c r="F40" i="32"/>
  <c r="J39" i="32"/>
  <c r="F44" i="32"/>
  <c r="J43" i="32"/>
  <c r="F35" i="32"/>
  <c r="J34" i="32"/>
  <c r="F53" i="32"/>
  <c r="J52" i="32"/>
  <c r="F24" i="32"/>
  <c r="J23" i="32"/>
  <c r="F32" i="32"/>
  <c r="J31" i="32"/>
  <c r="F50" i="32"/>
  <c r="J49" i="32"/>
  <c r="F33" i="32"/>
  <c r="J32" i="32"/>
  <c r="F52" i="32"/>
  <c r="J51" i="32"/>
  <c r="F23" i="32"/>
  <c r="J22" i="32"/>
  <c r="F39" i="32"/>
  <c r="J38" i="32"/>
  <c r="F54" i="32"/>
  <c r="J53" i="32"/>
  <c r="F29" i="32"/>
  <c r="J28" i="32"/>
  <c r="F36" i="32"/>
  <c r="J35" i="32"/>
  <c r="F26" i="32"/>
  <c r="J25" i="32"/>
  <c r="J41" i="32"/>
  <c r="F49" i="32"/>
  <c r="J48" i="32"/>
  <c r="F22" i="32"/>
  <c r="J21" i="32"/>
  <c r="F46" i="32"/>
  <c r="J45" i="32"/>
  <c r="F57" i="32"/>
  <c r="J55" i="32"/>
  <c r="F37" i="32"/>
  <c r="J36" i="32"/>
  <c r="F55" i="32"/>
  <c r="J54" i="32"/>
  <c r="F30" i="32"/>
  <c r="J29" i="32"/>
  <c r="F27" i="32"/>
  <c r="J26" i="32"/>
  <c r="F43" i="32"/>
</calcChain>
</file>

<file path=xl/sharedStrings.xml><?xml version="1.0" encoding="utf-8"?>
<sst xmlns="http://schemas.openxmlformats.org/spreadsheetml/2006/main" count="639" uniqueCount="170">
  <si>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</si>
  <si>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</si>
  <si>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</si>
  <si>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</si>
  <si>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</si>
  <si>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</si>
  <si>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</si>
  <si>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</si>
  <si>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</si>
  <si>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</si>
  <si>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</si>
  <si>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</si>
  <si>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</si>
  <si>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</si>
  <si>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</si>
  <si>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</si>
  <si>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</si>
  <si>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</si>
  <si>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</si>
  <si>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</si>
  <si>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</si>
  <si>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</si>
  <si>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</si>
  <si>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</si>
  <si>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</si>
  <si>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</si>
  <si>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</si>
  <si>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</si>
  <si>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</si>
  <si>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</si>
  <si>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</si>
  <si>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</si>
  <si>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</si>
  <si>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</si>
  <si>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</si>
  <si>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</si>
  <si>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</si>
  <si>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</si>
  <si>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</si>
  <si>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</si>
  <si>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</si>
  <si>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</si>
  <si>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</si>
  <si>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</si>
  <si>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</si>
  <si>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</si>
  <si>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</si>
  <si>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</si>
  <si>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</si>
  <si>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</si>
  <si>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</si>
  <si>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</si>
  <si>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</si>
  <si>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</si>
  <si>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</si>
  <si>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</si>
  <si>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</si>
  <si>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</si>
  <si>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</si>
  <si>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</si>
  <si>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</si>
  <si>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</si>
  <si>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</si>
  <si>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</si>
  <si>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</si>
  <si>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</si>
  <si>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</si>
  <si>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B3:M39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</si>
  <si>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</si>
  <si>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</si>
  <si>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</si>
  <si>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</si>
  <si>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</si>
  <si>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</si>
  <si>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</si>
  <si>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</si>
  <si>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</si>
  <si>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</si>
  <si>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</si>
  <si>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</si>
  <si>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</si>
  <si>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</si>
  <si>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</si>
  <si>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</si>
  <si>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</si>
  <si>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</si>
  <si>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</si>
  <si>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</si>
  <si>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</si>
  <si>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</si>
  <si>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</si>
  <si>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</si>
  <si>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</si>
  <si>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</si>
  <si>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</si>
  <si>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</si>
  <si>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</si>
  <si>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</si>
  <si>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</si>
  <si>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</si>
  <si>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</si>
  <si>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</si>
  <si>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</si>
  <si>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</si>
  <si>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</si>
  <si>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</si>
  <si>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</si>
  <si>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</si>
  <si>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</si>
  <si>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</si>
  <si>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</si>
  <si>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</si>
  <si>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</si>
  <si>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</si>
  <si>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</si>
  <si>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</si>
  <si>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</si>
  <si>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</si>
  <si>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</si>
  <si>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</si>
  <si>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</si>
  <si>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</si>
  <si>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</si>
  <si>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</si>
  <si>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</si>
  <si>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</si>
  <si>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</si>
  <si>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</si>
  <si>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</si>
  <si>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</si>
  <si>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</si>
  <si>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</si>
  <si>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t>B2:K16</t>
    <phoneticPr fontId="1" type="noConversion"/>
  </si>
  <si>
    <t>B2:K58</t>
    <phoneticPr fontId="1" type="noConversion"/>
  </si>
  <si>
    <t>2023학년도 6월 고2 전국연합학력평가</t>
  </si>
  <si>
    <t>* 특이사항 : 17번 문항(2점) 오류로 인한 전원 정답 처리</t>
    <phoneticPr fontId="1" type="noConversion"/>
  </si>
  <si>
    <t>49.62</t>
  </si>
  <si>
    <t>21.68</t>
  </si>
  <si>
    <t>41.93</t>
  </si>
  <si>
    <t>25.85</t>
  </si>
  <si>
    <t>54.12</t>
  </si>
  <si>
    <t>20.51</t>
  </si>
  <si>
    <t>24.02</t>
  </si>
  <si>
    <t>11.60</t>
  </si>
  <si>
    <t>29.31</t>
  </si>
  <si>
    <t>13.08</t>
  </si>
  <si>
    <t>25.38</t>
  </si>
  <si>
    <t>11.95</t>
  </si>
  <si>
    <t>25.83</t>
  </si>
  <si>
    <t>12.12</t>
  </si>
  <si>
    <t>28.08</t>
  </si>
  <si>
    <t>12.51</t>
  </si>
  <si>
    <t>24.34</t>
  </si>
  <si>
    <t>12.05</t>
  </si>
  <si>
    <t>21.73</t>
  </si>
  <si>
    <t>12.01</t>
  </si>
  <si>
    <t>25.41</t>
  </si>
  <si>
    <t>12.88</t>
  </si>
  <si>
    <t>21.70</t>
  </si>
  <si>
    <t>10.32</t>
  </si>
  <si>
    <t>24.25</t>
  </si>
  <si>
    <t>12.18</t>
  </si>
  <si>
    <t>20.84</t>
  </si>
  <si>
    <t>10.52</t>
  </si>
  <si>
    <t>26.90</t>
  </si>
  <si>
    <t>11.36</t>
  </si>
  <si>
    <t>23.33</t>
  </si>
  <si>
    <t>11.13</t>
  </si>
  <si>
    <t>24.20</t>
  </si>
  <si>
    <t>11.18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</si>
</sst>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_ "/>
    <numFmt numFmtId="177" formatCode="#,##0_ "/>
    <numFmt numFmtId="178" formatCode="0.00_);[Red]\(0.00\)"/>
    <numFmt numFmtId="179" formatCode="#,##0_);[Red]\(#,##0\)"/>
  </numFmts>
  <fonts count="4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sz val="12"/>
      <color theme="1"/>
      <name val="맑은 고딕"/>
      <family val="2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  <font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5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rgb="FFD4D4D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0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</cellStyleXfs>
  <cellXfs count="2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16" xfId="0" applyBorder="1">
      <alignment vertical="center"/>
    </xf>
    <xf numFmtId="0" fontId="0" fillId="0" borderId="41" xfId="0" applyBorder="1">
      <alignment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6" xfId="0" applyFont="1" applyFill="1" applyBorder="1">
      <alignment vertical="center"/>
    </xf>
    <xf numFmtId="0" fontId="29" fillId="6" borderId="67" xfId="0" applyFont="1" applyFill="1" applyBorder="1" applyAlignment="1">
      <alignment horizontal="center" vertical="center"/>
    </xf>
    <xf numFmtId="0" fontId="29" fillId="6" borderId="67" xfId="0" applyFont="1" applyFill="1" applyBorder="1">
      <alignment vertical="center"/>
    </xf>
    <xf numFmtId="0" fontId="25" fillId="6" borderId="68" xfId="0" applyFont="1" applyFill="1" applyBorder="1">
      <alignment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9" fillId="5" borderId="21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2" fillId="5" borderId="15" xfId="0" applyFont="1" applyFill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32" fillId="5" borderId="13" xfId="0" applyFont="1" applyFill="1" applyBorder="1" applyAlignment="1">
      <alignment horizontal="center" vertical="center"/>
    </xf>
    <xf numFmtId="0" fontId="32" fillId="5" borderId="12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" xfId="1" applyNumberFormat="1" applyFont="1" applyBorder="1" applyAlignment="1">
      <alignment horizontal="center" vertical="center"/>
    </xf>
    <xf numFmtId="177" fontId="32" fillId="0" borderId="10" xfId="0" applyNumberFormat="1" applyFont="1" applyBorder="1" applyAlignment="1">
      <alignment horizontal="center" vertical="center"/>
    </xf>
    <xf numFmtId="10" fontId="34" fillId="0" borderId="5" xfId="1" applyNumberFormat="1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4" borderId="8" xfId="0" applyFont="1" applyFill="1" applyBorder="1" applyAlignment="1">
      <alignment horizontal="center" vertical="center"/>
    </xf>
    <xf numFmtId="178" fontId="32" fillId="4" borderId="8" xfId="0" applyNumberFormat="1" applyFont="1" applyFill="1" applyBorder="1" applyAlignment="1">
      <alignment horizontal="center" vertical="center"/>
    </xf>
    <xf numFmtId="0" fontId="32" fillId="4" borderId="6" xfId="0" applyFont="1" applyFill="1" applyBorder="1">
      <alignment vertical="center"/>
    </xf>
    <xf numFmtId="0" fontId="34" fillId="4" borderId="7" xfId="1" applyFont="1" applyFill="1" applyBorder="1" applyAlignment="1">
      <alignment horizontal="center" vertical="center"/>
    </xf>
    <xf numFmtId="177" fontId="32" fillId="4" borderId="8" xfId="0" applyNumberFormat="1" applyFont="1" applyFill="1" applyBorder="1" applyAlignment="1">
      <alignment horizontal="center" vertical="center"/>
    </xf>
    <xf numFmtId="176" fontId="34" fillId="4" borderId="5" xfId="1" applyNumberFormat="1" applyFont="1" applyFill="1" applyBorder="1" applyAlignment="1">
      <alignment horizontal="center" vertical="center"/>
    </xf>
    <xf numFmtId="177" fontId="32" fillId="0" borderId="6" xfId="0" applyNumberFormat="1" applyFont="1" applyBorder="1" applyAlignment="1">
      <alignment horizontal="center" vertical="center"/>
    </xf>
    <xf numFmtId="0" fontId="32" fillId="6" borderId="9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177" fontId="32" fillId="6" borderId="6" xfId="0" applyNumberFormat="1" applyFont="1" applyFill="1" applyBorder="1" applyAlignment="1">
      <alignment horizontal="center" vertical="center"/>
    </xf>
    <xf numFmtId="177" fontId="32" fillId="4" borderId="6" xfId="0" applyNumberFormat="1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178" fontId="32" fillId="2" borderId="2" xfId="0" applyNumberFormat="1" applyFont="1" applyFill="1" applyBorder="1" applyAlignment="1">
      <alignment horizontal="center" vertical="center"/>
    </xf>
    <xf numFmtId="177" fontId="34" fillId="2" borderId="2" xfId="1" applyNumberFormat="1" applyFont="1" applyFill="1" applyBorder="1" applyAlignment="1">
      <alignment horizontal="center" vertical="center"/>
    </xf>
    <xf numFmtId="10" fontId="34" fillId="2" borderId="2" xfId="1" applyNumberFormat="1" applyFont="1" applyFill="1" applyBorder="1" applyAlignment="1">
      <alignment horizontal="center" vertical="center"/>
    </xf>
    <xf numFmtId="177" fontId="32" fillId="2" borderId="2" xfId="0" applyNumberFormat="1" applyFont="1" applyFill="1" applyBorder="1" applyAlignment="1">
      <alignment horizontal="center" vertical="center"/>
    </xf>
    <xf numFmtId="10" fontId="34" fillId="2" borderId="1" xfId="1" applyNumberFormat="1" applyFont="1" applyFill="1" applyBorder="1" applyAlignment="1">
      <alignment horizontal="center" vertical="center"/>
    </xf>
    <xf numFmtId="0" fontId="32" fillId="5" borderId="19" xfId="0" applyFont="1" applyFill="1" applyBorder="1" applyAlignment="1">
      <alignment horizontal="center" vertical="center"/>
    </xf>
    <xf numFmtId="0" fontId="32" fillId="5" borderId="46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3" fontId="32" fillId="0" borderId="48" xfId="0" applyNumberFormat="1" applyFont="1" applyBorder="1" applyAlignment="1">
      <alignment horizontal="center" vertical="center"/>
    </xf>
    <xf numFmtId="10" fontId="32" fillId="0" borderId="10" xfId="0" applyNumberFormat="1" applyFont="1" applyBorder="1" applyAlignment="1">
      <alignment horizontal="center" vertical="center"/>
    </xf>
    <xf numFmtId="3" fontId="32" fillId="0" borderId="10" xfId="0" applyNumberFormat="1" applyFont="1" applyBorder="1" applyAlignment="1">
      <alignment horizontal="center" vertical="center"/>
    </xf>
    <xf numFmtId="10" fontId="32" fillId="0" borderId="42" xfId="0" applyNumberFormat="1" applyFont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59" xfId="0" applyFont="1" applyFill="1" applyBorder="1" applyAlignment="1">
      <alignment horizontal="center" vertical="center"/>
    </xf>
    <xf numFmtId="3" fontId="32" fillId="0" borderId="57" xfId="0" applyNumberFormat="1" applyFont="1" applyBorder="1" applyAlignment="1">
      <alignment horizontal="center" vertical="center"/>
    </xf>
    <xf numFmtId="10" fontId="32" fillId="0" borderId="8" xfId="0" applyNumberFormat="1" applyFont="1" applyBorder="1" applyAlignment="1">
      <alignment horizontal="center" vertical="center"/>
    </xf>
    <xf numFmtId="3" fontId="32" fillId="0" borderId="6" xfId="0" applyNumberFormat="1" applyFont="1" applyBorder="1" applyAlignment="1">
      <alignment horizontal="center" vertical="center"/>
    </xf>
    <xf numFmtId="10" fontId="32" fillId="0" borderId="25" xfId="0" applyNumberFormat="1" applyFont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3" fontId="32" fillId="0" borderId="58" xfId="0" applyNumberFormat="1" applyFont="1" applyBorder="1" applyAlignment="1">
      <alignment horizontal="center" vertical="center"/>
    </xf>
    <xf numFmtId="10" fontId="32" fillId="0" borderId="24" xfId="0" applyNumberFormat="1" applyFont="1" applyBorder="1" applyAlignment="1">
      <alignment horizontal="center" vertical="center"/>
    </xf>
    <xf numFmtId="3" fontId="32" fillId="0" borderId="2" xfId="0" applyNumberFormat="1" applyFont="1" applyBorder="1" applyAlignment="1">
      <alignment horizontal="center" vertical="center"/>
    </xf>
    <xf numFmtId="10" fontId="32" fillId="0" borderId="43" xfId="0" applyNumberFormat="1" applyFont="1" applyBorder="1" applyAlignment="1">
      <alignment horizontal="center" vertical="center"/>
    </xf>
    <xf numFmtId="0" fontId="37" fillId="39" borderId="22" xfId="0" applyFont="1" applyFill="1" applyBorder="1" applyAlignment="1">
      <alignment horizontal="center" vertical="center"/>
    </xf>
    <xf numFmtId="0" fontId="37" fillId="39" borderId="9" xfId="0" applyFont="1" applyFill="1" applyBorder="1" applyAlignment="1">
      <alignment horizontal="center" vertical="center"/>
    </xf>
    <xf numFmtId="0" fontId="37" fillId="39" borderId="59" xfId="0" applyFont="1" applyFill="1" applyBorder="1" applyAlignment="1">
      <alignment horizontal="center" vertical="center"/>
    </xf>
    <xf numFmtId="0" fontId="37" fillId="39" borderId="4" xfId="0" applyFont="1" applyFill="1" applyBorder="1" applyAlignment="1">
      <alignment horizontal="center" vertical="center"/>
    </xf>
    <xf numFmtId="0" fontId="37" fillId="39" borderId="1" xfId="0" applyFont="1" applyFill="1" applyBorder="1" applyAlignment="1">
      <alignment horizontal="center" vertical="center"/>
    </xf>
    <xf numFmtId="176" fontId="34" fillId="4" borderId="7" xfId="1" applyNumberFormat="1" applyFont="1" applyFill="1" applyBorder="1" applyAlignment="1">
      <alignment horizontal="center" vertical="center"/>
    </xf>
    <xf numFmtId="0" fontId="32" fillId="6" borderId="11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177" fontId="34" fillId="2" borderId="24" xfId="1" applyNumberFormat="1" applyFont="1" applyFill="1" applyBorder="1" applyAlignment="1">
      <alignment horizontal="center" vertical="center"/>
    </xf>
    <xf numFmtId="10" fontId="34" fillId="2" borderId="16" xfId="1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38" fillId="6" borderId="0" xfId="0" applyFont="1" applyFill="1">
      <alignment vertical="center"/>
    </xf>
    <xf numFmtId="0" fontId="38" fillId="6" borderId="64" xfId="0" applyFont="1" applyFill="1" applyBorder="1">
      <alignment vertical="center"/>
    </xf>
    <xf numFmtId="0" fontId="38" fillId="6" borderId="65" xfId="0" applyFont="1" applyFill="1" applyBorder="1">
      <alignment vertical="center"/>
    </xf>
    <xf numFmtId="0" fontId="38" fillId="0" borderId="0" xfId="0" applyFont="1">
      <alignment vertical="center"/>
    </xf>
    <xf numFmtId="0" fontId="39" fillId="6" borderId="0" xfId="0" applyFont="1" applyFill="1">
      <alignment vertical="center"/>
    </xf>
    <xf numFmtId="0" fontId="39" fillId="6" borderId="64" xfId="0" applyFont="1" applyFill="1" applyBorder="1">
      <alignment vertical="center"/>
    </xf>
    <xf numFmtId="0" fontId="36" fillId="39" borderId="45" xfId="0" applyFont="1" applyFill="1" applyBorder="1" applyAlignment="1">
      <alignment horizontal="center" vertical="center"/>
    </xf>
    <xf numFmtId="0" fontId="36" fillId="39" borderId="46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32" fillId="6" borderId="0" xfId="0" applyFont="1" applyFill="1">
      <alignment vertical="center"/>
    </xf>
    <xf numFmtId="0" fontId="39" fillId="6" borderId="65" xfId="0" applyFont="1" applyFill="1" applyBorder="1">
      <alignment vertical="center"/>
    </xf>
    <xf numFmtId="0" fontId="39" fillId="0" borderId="0" xfId="0" applyFont="1">
      <alignment vertical="center"/>
    </xf>
    <xf numFmtId="0" fontId="36" fillId="39" borderId="47" xfId="0" applyFont="1" applyFill="1" applyBorder="1" applyAlignment="1">
      <alignment horizontal="center" vertical="center"/>
    </xf>
    <xf numFmtId="0" fontId="32" fillId="6" borderId="21" xfId="0" applyFont="1" applyFill="1" applyBorder="1" applyAlignment="1">
      <alignment horizontal="center" vertical="center"/>
    </xf>
    <xf numFmtId="0" fontId="32" fillId="6" borderId="22" xfId="0" applyFont="1" applyFill="1" applyBorder="1" applyAlignment="1">
      <alignment horizontal="center" vertical="center"/>
    </xf>
    <xf numFmtId="0" fontId="36" fillId="39" borderId="49" xfId="0" applyFont="1" applyFill="1" applyBorder="1" applyAlignment="1">
      <alignment horizontal="center" vertical="center"/>
    </xf>
    <xf numFmtId="0" fontId="32" fillId="6" borderId="5" xfId="0" applyFont="1" applyFill="1" applyBorder="1" applyAlignment="1">
      <alignment horizontal="center" vertical="center"/>
    </xf>
    <xf numFmtId="0" fontId="36" fillId="39" borderId="51" xfId="0" applyFont="1" applyFill="1" applyBorder="1" applyAlignment="1">
      <alignment horizontal="center" vertical="center"/>
    </xf>
    <xf numFmtId="0" fontId="32" fillId="6" borderId="17" xfId="0" applyFont="1" applyFill="1" applyBorder="1" applyAlignment="1">
      <alignment horizontal="center" vertical="center"/>
    </xf>
    <xf numFmtId="0" fontId="32" fillId="6" borderId="16" xfId="0" applyFont="1" applyFill="1" applyBorder="1" applyAlignment="1">
      <alignment horizontal="center" vertical="center"/>
    </xf>
    <xf numFmtId="0" fontId="36" fillId="39" borderId="60" xfId="0" applyFont="1" applyFill="1" applyBorder="1" applyAlignment="1">
      <alignment horizontal="center" vertical="center"/>
    </xf>
    <xf numFmtId="0" fontId="36" fillId="39" borderId="15" xfId="0" applyFont="1" applyFill="1" applyBorder="1" applyAlignment="1">
      <alignment horizontal="center" vertical="center"/>
    </xf>
    <xf numFmtId="0" fontId="36" fillId="39" borderId="14" xfId="0" applyFont="1" applyFill="1" applyBorder="1" applyAlignment="1">
      <alignment horizontal="center" vertical="center"/>
    </xf>
    <xf numFmtId="0" fontId="36" fillId="39" borderId="53" xfId="0" applyFont="1" applyFill="1" applyBorder="1" applyAlignment="1">
      <alignment horizontal="center" vertical="center"/>
    </xf>
    <xf numFmtId="0" fontId="32" fillId="6" borderId="25" xfId="0" applyFont="1" applyFill="1" applyBorder="1" applyAlignment="1">
      <alignment horizontal="center" vertical="center"/>
    </xf>
    <xf numFmtId="0" fontId="36" fillId="39" borderId="54" xfId="0" applyFont="1" applyFill="1" applyBorder="1" applyAlignment="1">
      <alignment horizontal="center" vertical="center"/>
    </xf>
    <xf numFmtId="0" fontId="32" fillId="6" borderId="6" xfId="0" applyFont="1" applyFill="1" applyBorder="1" applyAlignment="1">
      <alignment horizontal="center" vertical="center"/>
    </xf>
    <xf numFmtId="0" fontId="32" fillId="6" borderId="55" xfId="0" applyFont="1" applyFill="1" applyBorder="1" applyAlignment="1">
      <alignment horizontal="center" vertical="center"/>
    </xf>
    <xf numFmtId="0" fontId="36" fillId="39" borderId="56" xfId="0" applyFont="1" applyFill="1" applyBorder="1" applyAlignment="1">
      <alignment horizontal="center" vertical="center"/>
    </xf>
    <xf numFmtId="0" fontId="32" fillId="6" borderId="4" xfId="0" applyFont="1" applyFill="1" applyBorder="1" applyAlignment="1">
      <alignment horizontal="center" vertical="center"/>
    </xf>
    <xf numFmtId="0" fontId="32" fillId="6" borderId="2" xfId="0" applyFont="1" applyFill="1" applyBorder="1" applyAlignment="1">
      <alignment horizontal="center" vertical="center"/>
    </xf>
    <xf numFmtId="0" fontId="32" fillId="6" borderId="44" xfId="0" applyFont="1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0" fontId="32" fillId="6" borderId="50" xfId="0" applyFont="1" applyFill="1" applyBorder="1" applyAlignment="1">
      <alignment horizontal="center" vertical="center"/>
    </xf>
    <xf numFmtId="0" fontId="32" fillId="6" borderId="52" xfId="0" applyFont="1" applyFill="1" applyBorder="1" applyAlignment="1">
      <alignment horizontal="center" vertical="center"/>
    </xf>
    <xf numFmtId="0" fontId="42" fillId="6" borderId="0" xfId="0" applyFont="1" applyFill="1" applyAlignment="1">
      <alignment vertical="center" wrapText="1"/>
    </xf>
    <xf numFmtId="0" fontId="37" fillId="39" borderId="11" xfId="0" applyFont="1" applyFill="1" applyBorder="1" applyAlignment="1">
      <alignment horizontal="center" vertical="center"/>
    </xf>
    <xf numFmtId="0" fontId="36" fillId="39" borderId="11" xfId="0" applyFont="1" applyFill="1" applyBorder="1" applyAlignment="1">
      <alignment horizontal="center" vertical="center"/>
    </xf>
    <xf numFmtId="0" fontId="28" fillId="6" borderId="69" xfId="0" applyFont="1" applyFill="1" applyBorder="1">
      <alignment vertical="center"/>
    </xf>
    <xf numFmtId="0" fontId="0" fillId="6" borderId="69" xfId="0" applyFill="1" applyBorder="1">
      <alignment vertical="center"/>
    </xf>
    <xf numFmtId="0" fontId="42" fillId="6" borderId="67" xfId="0" applyFont="1" applyFill="1" applyBorder="1" applyAlignment="1">
      <alignment vertical="center" wrapText="1"/>
    </xf>
    <xf numFmtId="0" fontId="42" fillId="6" borderId="65" xfId="0" applyFont="1" applyFill="1" applyBorder="1" applyAlignment="1">
      <alignment vertical="center" wrapText="1"/>
    </xf>
    <xf numFmtId="0" fontId="36" fillId="39" borderId="70" xfId="0" applyFont="1" applyFill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7" fillId="39" borderId="70" xfId="0" applyFont="1" applyFill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32" fillId="4" borderId="2" xfId="0" applyFont="1" applyFill="1" applyBorder="1" applyAlignment="1">
      <alignment horizontal="center" vertical="center"/>
    </xf>
    <xf numFmtId="0" fontId="32" fillId="4" borderId="24" xfId="0" applyFont="1" applyFill="1" applyBorder="1" applyAlignment="1">
      <alignment horizontal="center" vertical="center"/>
    </xf>
    <xf numFmtId="178" fontId="32" fillId="4" borderId="2" xfId="0" applyNumberFormat="1" applyFont="1" applyFill="1" applyBorder="1" applyAlignment="1">
      <alignment horizontal="center" vertical="center"/>
    </xf>
    <xf numFmtId="177" fontId="34" fillId="4" borderId="24" xfId="1" applyNumberFormat="1" applyFont="1" applyFill="1" applyBorder="1" applyAlignment="1">
      <alignment horizontal="center" vertical="center"/>
    </xf>
    <xf numFmtId="10" fontId="34" fillId="4" borderId="2" xfId="1" applyNumberFormat="1" applyFont="1" applyFill="1" applyBorder="1" applyAlignment="1">
      <alignment horizontal="center" vertical="center"/>
    </xf>
    <xf numFmtId="177" fontId="32" fillId="4" borderId="2" xfId="0" applyNumberFormat="1" applyFont="1" applyFill="1" applyBorder="1" applyAlignment="1">
      <alignment horizontal="center" vertical="center"/>
    </xf>
    <xf numFmtId="10" fontId="34" fillId="4" borderId="16" xfId="1" applyNumberFormat="1" applyFont="1" applyFill="1" applyBorder="1" applyAlignment="1">
      <alignment horizontal="center" vertical="center"/>
    </xf>
    <xf numFmtId="177" fontId="34" fillId="4" borderId="8" xfId="1" applyNumberFormat="1" applyFont="1" applyFill="1" applyBorder="1" applyAlignment="1">
      <alignment horizontal="center" vertical="center"/>
    </xf>
    <xf numFmtId="10" fontId="34" fillId="4" borderId="7" xfId="1" applyNumberFormat="1" applyFont="1" applyFill="1" applyBorder="1" applyAlignment="1">
      <alignment horizontal="center" vertical="center"/>
    </xf>
    <xf numFmtId="10" fontId="34" fillId="4" borderId="5" xfId="1" applyNumberFormat="1" applyFont="1" applyFill="1" applyBorder="1" applyAlignment="1">
      <alignment horizontal="center" vertical="center"/>
    </xf>
    <xf numFmtId="0" fontId="32" fillId="3" borderId="8" xfId="0" applyFont="1" applyFill="1" applyBorder="1" applyAlignment="1">
      <alignment horizontal="center" vertical="center"/>
    </xf>
    <xf numFmtId="178" fontId="32" fillId="3" borderId="8" xfId="0" applyNumberFormat="1" applyFont="1" applyFill="1" applyBorder="1" applyAlignment="1">
      <alignment horizontal="center" vertical="center"/>
    </xf>
    <xf numFmtId="177" fontId="34" fillId="3" borderId="8" xfId="1" applyNumberFormat="1" applyFont="1" applyFill="1" applyBorder="1" applyAlignment="1">
      <alignment horizontal="center" vertical="center"/>
    </xf>
    <xf numFmtId="10" fontId="34" fillId="3" borderId="7" xfId="1" applyNumberFormat="1" applyFont="1" applyFill="1" applyBorder="1" applyAlignment="1">
      <alignment horizontal="center" vertical="center"/>
    </xf>
    <xf numFmtId="177" fontId="32" fillId="3" borderId="6" xfId="0" applyNumberFormat="1" applyFont="1" applyFill="1" applyBorder="1" applyAlignment="1">
      <alignment horizontal="center" vertical="center"/>
    </xf>
    <xf numFmtId="10" fontId="34" fillId="3" borderId="5" xfId="1" applyNumberFormat="1" applyFont="1" applyFill="1" applyBorder="1" applyAlignment="1">
      <alignment horizontal="center" vertical="center"/>
    </xf>
    <xf numFmtId="0" fontId="32" fillId="3" borderId="11" xfId="0" applyFont="1" applyFill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42" fillId="6" borderId="40" xfId="0" applyFont="1" applyFill="1" applyBorder="1" applyAlignment="1">
      <alignment horizontal="center" vertical="center" wrapText="1"/>
    </xf>
    <xf numFmtId="0" fontId="42" fillId="6" borderId="40" xfId="0" applyFont="1" applyFill="1" applyBorder="1" applyAlignment="1">
      <alignment horizontal="center" vertical="center"/>
    </xf>
    <xf numFmtId="0" fontId="42" fillId="6" borderId="41" xfId="0" applyFont="1" applyFill="1" applyBorder="1" applyAlignment="1">
      <alignment horizontal="center" vertical="center"/>
    </xf>
    <xf numFmtId="0" fontId="42" fillId="6" borderId="0" xfId="0" applyFont="1" applyFill="1" applyAlignment="1">
      <alignment horizontal="center" vertical="center"/>
    </xf>
    <xf numFmtId="0" fontId="43" fillId="6" borderId="71" xfId="0" applyFont="1" applyFill="1" applyBorder="1" applyAlignment="1">
      <alignment horizontal="left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  <xf numFmtId="179" fontId="44" fillId="0" borderId="6" xfId="0" applyNumberFormat="1" applyFont="1" applyBorder="1" applyAlignment="1">
      <alignment horizontal="center" vertical="center"/>
    </xf>
    <xf numFmtId="0" fontId="44" fillId="0" borderId="6" xfId="0" applyFont="1" applyBorder="1" applyAlignment="1">
      <alignment horizontal="center" vertical="center"/>
    </xf>
    <xf numFmtId="0" fontId="44" fillId="0" borderId="72" xfId="0" applyFont="1" applyBorder="1" applyAlignment="1">
      <alignment horizontal="center" vertical="center"/>
    </xf>
    <xf numFmtId="179" fontId="44" fillId="0" borderId="72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0" fontId="32" fillId="6" borderId="73" xfId="0" applyFont="1" applyFill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8" fontId="32" fillId="0" borderId="73" xfId="0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77" fontId="34" fillId="0" borderId="73" xfId="1" applyNumberFormat="1" applyFont="1" applyBorder="1" applyAlignment="1">
      <alignment horizontal="center" vertical="center"/>
    </xf>
    <xf numFmtId="10" fontId="34" fillId="0" borderId="73" xfId="1" applyNumberFormat="1" applyFont="1" applyBorder="1" applyAlignment="1">
      <alignment horizontal="center" vertical="center"/>
    </xf>
    <xf numFmtId="10" fontId="34" fillId="0" borderId="8" xfId="1" applyNumberFormat="1" applyFont="1" applyBorder="1" applyAlignment="1">
      <alignment horizontal="center" vertical="center"/>
    </xf>
    <xf numFmtId="177" fontId="32" fillId="6" borderId="73" xfId="0" applyNumberFormat="1" applyFont="1" applyFill="1" applyBorder="1" applyAlignment="1">
      <alignment horizontal="center" vertical="center"/>
    </xf>
    <xf numFmtId="177" fontId="32" fillId="6" borderId="8" xfId="0" applyNumberFormat="1" applyFont="1" applyFill="1" applyBorder="1" applyAlignment="1">
      <alignment horizontal="center" vertical="center"/>
    </xf>
    <xf numFmtId="10" fontId="34" fillId="0" borderId="74" xfId="1" applyNumberFormat="1" applyFont="1" applyBorder="1" applyAlignment="1">
      <alignment horizontal="center" vertical="center"/>
    </xf>
    <xf numFmtId="10" fontId="34" fillId="0" borderId="25" xfId="1" applyNumberFormat="1" applyFont="1" applyBorder="1" applyAlignment="1">
      <alignment horizontal="center" vertical="center"/>
    </xf>
    <xf numFmtId="177" fontId="32" fillId="0" borderId="73" xfId="0" applyNumberFormat="1" applyFont="1" applyBorder="1" applyAlignment="1">
      <alignment horizontal="center" vertical="center"/>
    </xf>
    <xf numFmtId="177" fontId="32" fillId="0" borderId="8" xfId="0" applyNumberFormat="1" applyFont="1" applyBorder="1" applyAlignment="1">
      <alignment horizontal="center" vertical="center"/>
    </xf>
  </cellXfs>
  <cellStyles count="50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62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4786" y="104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70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6600" y="2197100"/>
          <a:ext cx="64770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46125" y="88741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746125" y="41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746125" y="13636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38909" y="902854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38909" y="1387763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0"/>
  <sheetViews>
    <sheetView tabSelected="1" zoomScale="115" zoomScaleNormal="115" workbookViewId="0">
      <selection activeCell="C17" sqref="C17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x14ac:dyDescent="0.45">
      <c r="C3" s="1" t="s">
        <v>1</v>
      </c>
      <c r="D3" s="1" t="s">
        <v>2</v>
      </c>
      <c r="E3" s="1" t="s">
        <v>0</v>
      </c>
    </row>
    <row r="4" spans="2:5" x14ac:dyDescent="0.45">
      <c r="B4" s="16" t="s">
        <v>3</v>
      </c>
      <c r="C4" s="196">
        <v>272996</v>
      </c>
      <c r="D4" s="197" t="s">
        <v>136</v>
      </c>
      <c r="E4" s="197" t="s">
        <v>137</v>
      </c>
    </row>
    <row r="5" spans="2:5" x14ac:dyDescent="0.45">
      <c r="B5" s="16" t="s">
        <v>59</v>
      </c>
      <c r="C5" s="196">
        <v>271189</v>
      </c>
      <c r="D5" s="197" t="s">
        <v>138</v>
      </c>
      <c r="E5" s="197" t="s">
        <v>139</v>
      </c>
    </row>
    <row r="6" spans="2:5" x14ac:dyDescent="0.45">
      <c r="B6" s="16" t="s">
        <v>4</v>
      </c>
      <c r="C6" s="196">
        <v>269124</v>
      </c>
      <c r="D6" s="197" t="s">
        <v>140</v>
      </c>
      <c r="E6" s="197" t="s">
        <v>141</v>
      </c>
    </row>
    <row r="7" spans="2:5" x14ac:dyDescent="0.45">
      <c r="B7" s="16" t="s">
        <v>5</v>
      </c>
      <c r="C7" s="196">
        <v>268010</v>
      </c>
      <c r="D7" s="197" t="s">
        <v>142</v>
      </c>
      <c r="E7" s="197" t="s">
        <v>143</v>
      </c>
    </row>
    <row r="8" spans="2:5" x14ac:dyDescent="0.45">
      <c r="B8" s="16" t="s">
        <v>9</v>
      </c>
      <c r="C8" s="196">
        <v>58806</v>
      </c>
      <c r="D8" s="197" t="s">
        <v>144</v>
      </c>
      <c r="E8" s="197" t="s">
        <v>145</v>
      </c>
    </row>
    <row r="9" spans="2:5" x14ac:dyDescent="0.45">
      <c r="B9" s="16" t="s">
        <v>10</v>
      </c>
      <c r="C9" s="196">
        <v>37563</v>
      </c>
      <c r="D9" s="197" t="s">
        <v>146</v>
      </c>
      <c r="E9" s="197" t="s">
        <v>147</v>
      </c>
    </row>
    <row r="10" spans="2:5" x14ac:dyDescent="0.45">
      <c r="B10" s="16" t="s">
        <v>11</v>
      </c>
      <c r="C10" s="196">
        <v>24806</v>
      </c>
      <c r="D10" s="197" t="s">
        <v>148</v>
      </c>
      <c r="E10" s="197" t="s">
        <v>149</v>
      </c>
    </row>
    <row r="11" spans="2:5" x14ac:dyDescent="0.45">
      <c r="B11" s="16" t="s">
        <v>12</v>
      </c>
      <c r="C11" s="196">
        <v>18381</v>
      </c>
      <c r="D11" s="197" t="s">
        <v>150</v>
      </c>
      <c r="E11" s="197" t="s">
        <v>151</v>
      </c>
    </row>
    <row r="12" spans="2:5" x14ac:dyDescent="0.45">
      <c r="B12" s="16" t="s">
        <v>13</v>
      </c>
      <c r="C12" s="196">
        <v>10505</v>
      </c>
      <c r="D12" s="197" t="s">
        <v>152</v>
      </c>
      <c r="E12" s="197" t="s">
        <v>153</v>
      </c>
    </row>
    <row r="13" spans="2:5" x14ac:dyDescent="0.45">
      <c r="B13" s="16" t="s">
        <v>14</v>
      </c>
      <c r="C13" s="196">
        <v>16415</v>
      </c>
      <c r="D13" s="197" t="s">
        <v>154</v>
      </c>
      <c r="E13" s="197" t="s">
        <v>155</v>
      </c>
    </row>
    <row r="14" spans="2:5" x14ac:dyDescent="0.45">
      <c r="B14" s="16" t="s">
        <v>58</v>
      </c>
      <c r="C14" s="196">
        <v>11721</v>
      </c>
      <c r="D14" s="197" t="s">
        <v>156</v>
      </c>
      <c r="E14" s="197" t="s">
        <v>157</v>
      </c>
    </row>
    <row r="15" spans="2:5" x14ac:dyDescent="0.45">
      <c r="B15" s="16" t="s">
        <v>15</v>
      </c>
      <c r="C15" s="196">
        <v>33409</v>
      </c>
      <c r="D15" s="197" t="s">
        <v>158</v>
      </c>
      <c r="E15" s="197" t="s">
        <v>159</v>
      </c>
    </row>
    <row r="16" spans="2:5" x14ac:dyDescent="0.45">
      <c r="B16" s="16" t="s">
        <v>16</v>
      </c>
      <c r="C16" s="196">
        <v>47887</v>
      </c>
      <c r="D16" s="197" t="s">
        <v>160</v>
      </c>
      <c r="E16" s="197" t="s">
        <v>161</v>
      </c>
    </row>
    <row r="17" spans="2:5" x14ac:dyDescent="0.45">
      <c r="B17" s="16" t="s">
        <v>57</v>
      </c>
      <c r="C17" s="196">
        <v>48306</v>
      </c>
      <c r="D17" s="197" t="s">
        <v>162</v>
      </c>
      <c r="E17" s="197" t="s">
        <v>163</v>
      </c>
    </row>
    <row r="18" spans="2:5" x14ac:dyDescent="0.45">
      <c r="B18" s="16" t="s">
        <v>17</v>
      </c>
      <c r="C18" s="196">
        <v>61281</v>
      </c>
      <c r="D18" s="197" t="s">
        <v>164</v>
      </c>
      <c r="E18" s="197" t="s">
        <v>165</v>
      </c>
    </row>
    <row r="19" spans="2:5" x14ac:dyDescent="0.45">
      <c r="B19" s="16" t="s">
        <v>18</v>
      </c>
      <c r="C19" s="196">
        <v>95569</v>
      </c>
      <c r="D19" s="197" t="s">
        <v>166</v>
      </c>
      <c r="E19" s="197" t="s">
        <v>167</v>
      </c>
    </row>
    <row r="20" spans="2:5" x14ac:dyDescent="0.45">
      <c r="B20" s="16" t="s">
        <v>19</v>
      </c>
      <c r="C20" s="196">
        <v>67253</v>
      </c>
      <c r="D20" s="197" t="s">
        <v>168</v>
      </c>
      <c r="E20" s="197" t="s">
        <v>169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156"/>
  <sheetViews>
    <sheetView workbookViewId="0">
      <selection activeCell="C4" sqref="C4:D156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x14ac:dyDescent="0.45">
      <c r="C3" s="180" t="s">
        <v>55</v>
      </c>
      <c r="D3" s="180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23</v>
      </c>
      <c r="P3" s="1" t="s">
        <v>17</v>
      </c>
      <c r="Q3" s="1" t="s">
        <v>18</v>
      </c>
      <c r="R3" s="1" t="s">
        <v>19</v>
      </c>
      <c r="S3" s="1" t="s">
        <v>24</v>
      </c>
      <c r="T3" s="1" t="s">
        <v>20</v>
      </c>
      <c r="U3" s="1" t="s">
        <v>21</v>
      </c>
      <c r="V3" s="1" t="s">
        <v>22</v>
      </c>
    </row>
    <row r="4" spans="1:22" x14ac:dyDescent="0.45">
      <c r="A4" t="s">
        <v>43</v>
      </c>
      <c r="B4" s="1" t="s">
        <v>25</v>
      </c>
      <c r="C4" s="197">
        <v>134</v>
      </c>
      <c r="D4" s="196">
        <v>12771</v>
      </c>
    </row>
    <row r="5" spans="1:22" x14ac:dyDescent="0.45">
      <c r="B5" s="1" t="s">
        <v>26</v>
      </c>
      <c r="C5" s="197">
        <v>126</v>
      </c>
      <c r="D5" s="196">
        <v>18634</v>
      </c>
    </row>
    <row r="6" spans="1:22" x14ac:dyDescent="0.45">
      <c r="B6" s="1" t="s">
        <v>27</v>
      </c>
      <c r="C6" s="197">
        <v>117</v>
      </c>
      <c r="D6" s="196">
        <v>33449</v>
      </c>
    </row>
    <row r="7" spans="1:22" x14ac:dyDescent="0.45">
      <c r="B7" s="1" t="s">
        <v>28</v>
      </c>
      <c r="C7" s="197">
        <v>107</v>
      </c>
      <c r="D7" s="196">
        <v>44848</v>
      </c>
    </row>
    <row r="8" spans="1:22" x14ac:dyDescent="0.45">
      <c r="B8" s="1" t="s">
        <v>29</v>
      </c>
      <c r="C8" s="197">
        <v>94</v>
      </c>
      <c r="D8" s="196">
        <v>55506</v>
      </c>
    </row>
    <row r="9" spans="1:22" x14ac:dyDescent="0.45">
      <c r="B9" s="1" t="s">
        <v>30</v>
      </c>
      <c r="C9" s="197">
        <v>81</v>
      </c>
      <c r="D9" s="196">
        <v>47988</v>
      </c>
    </row>
    <row r="10" spans="1:22" x14ac:dyDescent="0.45">
      <c r="B10" s="1" t="s">
        <v>31</v>
      </c>
      <c r="C10" s="197">
        <v>74</v>
      </c>
      <c r="D10" s="196">
        <v>30655</v>
      </c>
    </row>
    <row r="11" spans="1:22" x14ac:dyDescent="0.45">
      <c r="B11" s="1" t="s">
        <v>32</v>
      </c>
      <c r="C11" s="197">
        <v>70</v>
      </c>
      <c r="D11" s="196">
        <v>19959</v>
      </c>
    </row>
    <row r="12" spans="1:22" x14ac:dyDescent="0.45">
      <c r="B12" s="1" t="s">
        <v>34</v>
      </c>
      <c r="C12" s="197">
        <v>54</v>
      </c>
      <c r="D12" s="196">
        <v>9186</v>
      </c>
    </row>
    <row r="13" spans="1:22" x14ac:dyDescent="0.45">
      <c r="A13" t="s">
        <v>61</v>
      </c>
      <c r="B13" s="1" t="s">
        <v>35</v>
      </c>
      <c r="C13" s="197">
        <v>136</v>
      </c>
      <c r="D13" s="196">
        <v>13584</v>
      </c>
    </row>
    <row r="14" spans="1:22" x14ac:dyDescent="0.45">
      <c r="B14" s="1" t="s">
        <v>36</v>
      </c>
      <c r="C14" s="197">
        <v>129</v>
      </c>
      <c r="D14" s="196">
        <v>16713</v>
      </c>
    </row>
    <row r="15" spans="1:22" x14ac:dyDescent="0.45">
      <c r="B15" s="1" t="s">
        <v>37</v>
      </c>
      <c r="C15" s="197">
        <v>119</v>
      </c>
      <c r="D15" s="196">
        <v>32576</v>
      </c>
    </row>
    <row r="16" spans="1:22" x14ac:dyDescent="0.45">
      <c r="B16" s="1" t="s">
        <v>38</v>
      </c>
      <c r="C16" s="197">
        <v>105</v>
      </c>
      <c r="D16" s="196">
        <v>48263</v>
      </c>
    </row>
    <row r="17" spans="1:4" x14ac:dyDescent="0.45">
      <c r="B17" s="1" t="s">
        <v>39</v>
      </c>
      <c r="C17" s="197">
        <v>89</v>
      </c>
      <c r="D17" s="196">
        <v>52617</v>
      </c>
    </row>
    <row r="18" spans="1:4" x14ac:dyDescent="0.45">
      <c r="B18" s="1" t="s">
        <v>40</v>
      </c>
      <c r="C18" s="197">
        <v>81</v>
      </c>
      <c r="D18" s="196">
        <v>46754</v>
      </c>
    </row>
    <row r="19" spans="1:4" x14ac:dyDescent="0.45">
      <c r="B19" s="1" t="s">
        <v>41</v>
      </c>
      <c r="C19" s="197">
        <v>78</v>
      </c>
      <c r="D19" s="196">
        <v>38942</v>
      </c>
    </row>
    <row r="20" spans="1:4" x14ac:dyDescent="0.45">
      <c r="B20" s="1" t="s">
        <v>42</v>
      </c>
      <c r="C20" s="197">
        <v>75</v>
      </c>
      <c r="D20" s="196">
        <v>14330</v>
      </c>
    </row>
    <row r="21" spans="1:4" x14ac:dyDescent="0.45">
      <c r="B21" s="1" t="s">
        <v>33</v>
      </c>
      <c r="C21" s="197">
        <v>68</v>
      </c>
      <c r="D21" s="196">
        <v>7410</v>
      </c>
    </row>
    <row r="22" spans="1:4" x14ac:dyDescent="0.45">
      <c r="A22" t="s">
        <v>62</v>
      </c>
      <c r="B22" s="1" t="s">
        <v>25</v>
      </c>
      <c r="C22" s="197">
        <v>90</v>
      </c>
      <c r="D22" s="196">
        <v>10621</v>
      </c>
    </row>
    <row r="23" spans="1:4" x14ac:dyDescent="0.45">
      <c r="B23" s="1" t="s">
        <v>26</v>
      </c>
      <c r="C23" s="197">
        <v>80</v>
      </c>
      <c r="D23" s="196">
        <v>20661</v>
      </c>
    </row>
    <row r="24" spans="1:4" x14ac:dyDescent="0.45">
      <c r="B24" s="1" t="s">
        <v>27</v>
      </c>
      <c r="C24" s="197">
        <v>70</v>
      </c>
      <c r="D24" s="196">
        <v>35344</v>
      </c>
    </row>
    <row r="25" spans="1:4" x14ac:dyDescent="0.45">
      <c r="B25" s="1" t="s">
        <v>28</v>
      </c>
      <c r="C25" s="197">
        <v>60</v>
      </c>
      <c r="D25" s="196">
        <v>45013</v>
      </c>
    </row>
    <row r="26" spans="1:4" x14ac:dyDescent="0.45">
      <c r="B26" s="1" t="s">
        <v>29</v>
      </c>
      <c r="C26" s="197">
        <v>50</v>
      </c>
      <c r="D26" s="196">
        <v>46290</v>
      </c>
    </row>
    <row r="27" spans="1:4" x14ac:dyDescent="0.45">
      <c r="B27" s="1" t="s">
        <v>30</v>
      </c>
      <c r="C27" s="197">
        <v>40</v>
      </c>
      <c r="D27" s="196">
        <v>42488</v>
      </c>
    </row>
    <row r="28" spans="1:4" x14ac:dyDescent="0.45">
      <c r="B28" s="1" t="s">
        <v>31</v>
      </c>
      <c r="C28" s="197">
        <v>30</v>
      </c>
      <c r="D28" s="196">
        <v>31459</v>
      </c>
    </row>
    <row r="29" spans="1:4" x14ac:dyDescent="0.45">
      <c r="B29" s="1" t="s">
        <v>32</v>
      </c>
      <c r="C29" s="197">
        <v>20</v>
      </c>
      <c r="D29" s="196">
        <v>26409</v>
      </c>
    </row>
    <row r="30" spans="1:4" x14ac:dyDescent="0.45">
      <c r="B30" s="1" t="s">
        <v>34</v>
      </c>
      <c r="C30" s="197">
        <v>0</v>
      </c>
      <c r="D30" s="196">
        <v>10839</v>
      </c>
    </row>
    <row r="31" spans="1:4" x14ac:dyDescent="0.45">
      <c r="A31" t="s">
        <v>63</v>
      </c>
      <c r="B31" s="1" t="s">
        <v>25</v>
      </c>
      <c r="C31" s="197">
        <v>40</v>
      </c>
      <c r="D31" s="196">
        <v>32775</v>
      </c>
    </row>
    <row r="32" spans="1:4" x14ac:dyDescent="0.45">
      <c r="B32" s="1" t="s">
        <v>26</v>
      </c>
      <c r="C32" s="197">
        <v>35</v>
      </c>
      <c r="D32" s="196">
        <v>23448</v>
      </c>
    </row>
    <row r="33" spans="1:4" x14ac:dyDescent="0.45">
      <c r="B33" s="1" t="s">
        <v>27</v>
      </c>
      <c r="C33" s="197">
        <v>30</v>
      </c>
      <c r="D33" s="196">
        <v>29371</v>
      </c>
    </row>
    <row r="34" spans="1:4" x14ac:dyDescent="0.45">
      <c r="B34" s="1" t="s">
        <v>28</v>
      </c>
      <c r="C34" s="197">
        <v>25</v>
      </c>
      <c r="D34" s="196">
        <v>35244</v>
      </c>
    </row>
    <row r="35" spans="1:4" x14ac:dyDescent="0.45">
      <c r="B35" s="1" t="s">
        <v>29</v>
      </c>
      <c r="C35" s="197">
        <v>20</v>
      </c>
      <c r="D35" s="196">
        <v>39146</v>
      </c>
    </row>
    <row r="36" spans="1:4" x14ac:dyDescent="0.45">
      <c r="B36" s="1" t="s">
        <v>30</v>
      </c>
      <c r="C36" s="197">
        <v>15</v>
      </c>
      <c r="D36" s="196">
        <v>39350</v>
      </c>
    </row>
    <row r="37" spans="1:4" x14ac:dyDescent="0.45">
      <c r="B37" s="1" t="s">
        <v>31</v>
      </c>
      <c r="C37" s="197">
        <v>10</v>
      </c>
      <c r="D37" s="196">
        <v>48864</v>
      </c>
    </row>
    <row r="38" spans="1:4" x14ac:dyDescent="0.45">
      <c r="B38" s="1" t="s">
        <v>32</v>
      </c>
      <c r="C38" s="197">
        <v>5</v>
      </c>
      <c r="D38" s="196">
        <v>16247</v>
      </c>
    </row>
    <row r="39" spans="1:4" x14ac:dyDescent="0.45">
      <c r="B39" s="1" t="s">
        <v>34</v>
      </c>
      <c r="C39" s="197">
        <v>0</v>
      </c>
      <c r="D39" s="196">
        <v>3565</v>
      </c>
    </row>
    <row r="40" spans="1:4" x14ac:dyDescent="0.45">
      <c r="A40" t="s">
        <v>44</v>
      </c>
      <c r="B40" s="1" t="s">
        <v>35</v>
      </c>
      <c r="C40" s="197">
        <v>64</v>
      </c>
      <c r="D40" s="196">
        <v>5043</v>
      </c>
    </row>
    <row r="41" spans="1:4" x14ac:dyDescent="0.45">
      <c r="B41" s="1" t="s">
        <v>36</v>
      </c>
      <c r="C41" s="197">
        <v>62</v>
      </c>
      <c r="D41" s="196">
        <v>2134</v>
      </c>
    </row>
    <row r="42" spans="1:4" x14ac:dyDescent="0.45">
      <c r="B42" s="1" t="s">
        <v>37</v>
      </c>
      <c r="C42" s="197">
        <v>59</v>
      </c>
      <c r="D42" s="196">
        <v>7383</v>
      </c>
    </row>
    <row r="43" spans="1:4" x14ac:dyDescent="0.45">
      <c r="B43" s="1" t="s">
        <v>38</v>
      </c>
      <c r="C43" s="197">
        <v>55</v>
      </c>
      <c r="D43" s="196">
        <v>9032</v>
      </c>
    </row>
    <row r="44" spans="1:4" x14ac:dyDescent="0.45">
      <c r="B44" s="1" t="s">
        <v>39</v>
      </c>
      <c r="C44" s="197">
        <v>48</v>
      </c>
      <c r="D44" s="196">
        <v>12218</v>
      </c>
    </row>
    <row r="45" spans="1:4" x14ac:dyDescent="0.45">
      <c r="B45" s="1" t="s">
        <v>40</v>
      </c>
      <c r="C45" s="197">
        <v>40</v>
      </c>
      <c r="D45" s="196">
        <v>9750</v>
      </c>
    </row>
    <row r="46" spans="1:4" x14ac:dyDescent="0.45">
      <c r="B46" s="1" t="s">
        <v>41</v>
      </c>
      <c r="C46" s="197">
        <v>36</v>
      </c>
      <c r="D46" s="196">
        <v>8385</v>
      </c>
    </row>
    <row r="47" spans="1:4" x14ac:dyDescent="0.45">
      <c r="B47" s="1" t="s">
        <v>42</v>
      </c>
      <c r="C47" s="197">
        <v>33</v>
      </c>
      <c r="D47" s="196">
        <v>3416</v>
      </c>
    </row>
    <row r="48" spans="1:4" x14ac:dyDescent="0.45">
      <c r="B48" s="1" t="s">
        <v>33</v>
      </c>
      <c r="C48" s="197">
        <v>28</v>
      </c>
      <c r="D48" s="196">
        <v>1445</v>
      </c>
    </row>
    <row r="49" spans="1:4" x14ac:dyDescent="0.45">
      <c r="A49" t="s">
        <v>45</v>
      </c>
      <c r="B49" s="1" t="s">
        <v>25</v>
      </c>
      <c r="C49" s="197">
        <v>68</v>
      </c>
      <c r="D49" s="196">
        <v>1625</v>
      </c>
    </row>
    <row r="50" spans="1:4" x14ac:dyDescent="0.45">
      <c r="B50" s="1" t="s">
        <v>26</v>
      </c>
      <c r="C50" s="197">
        <v>63</v>
      </c>
      <c r="D50" s="196">
        <v>2936</v>
      </c>
    </row>
    <row r="51" spans="1:4" x14ac:dyDescent="0.45">
      <c r="B51" s="1" t="s">
        <v>27</v>
      </c>
      <c r="C51" s="197">
        <v>58</v>
      </c>
      <c r="D51" s="196">
        <v>4929</v>
      </c>
    </row>
    <row r="52" spans="1:4" x14ac:dyDescent="0.45">
      <c r="B52" s="1" t="s">
        <v>28</v>
      </c>
      <c r="C52" s="197">
        <v>53</v>
      </c>
      <c r="D52" s="196">
        <v>6003</v>
      </c>
    </row>
    <row r="53" spans="1:4" x14ac:dyDescent="0.45">
      <c r="B53" s="1" t="s">
        <v>29</v>
      </c>
      <c r="C53" s="197">
        <v>47</v>
      </c>
      <c r="D53" s="196">
        <v>7057</v>
      </c>
    </row>
    <row r="54" spans="1:4" x14ac:dyDescent="0.45">
      <c r="B54" s="1" t="s">
        <v>30</v>
      </c>
      <c r="C54" s="197">
        <v>40</v>
      </c>
      <c r="D54" s="196">
        <v>7839</v>
      </c>
    </row>
    <row r="55" spans="1:4" x14ac:dyDescent="0.45">
      <c r="B55" s="1" t="s">
        <v>31</v>
      </c>
      <c r="C55" s="197">
        <v>37</v>
      </c>
      <c r="D55" s="196">
        <v>3144</v>
      </c>
    </row>
    <row r="56" spans="1:4" x14ac:dyDescent="0.45">
      <c r="B56" s="1" t="s">
        <v>32</v>
      </c>
      <c r="C56" s="197">
        <v>35</v>
      </c>
      <c r="D56" s="196">
        <v>3243</v>
      </c>
    </row>
    <row r="57" spans="1:4" x14ac:dyDescent="0.45">
      <c r="B57" s="1" t="s">
        <v>34</v>
      </c>
      <c r="C57" s="197">
        <v>29</v>
      </c>
      <c r="D57" s="196">
        <v>787</v>
      </c>
    </row>
    <row r="58" spans="1:4" x14ac:dyDescent="0.45">
      <c r="A58" t="s">
        <v>46</v>
      </c>
      <c r="B58" s="1" t="s">
        <v>35</v>
      </c>
      <c r="C58" s="197">
        <v>67</v>
      </c>
      <c r="D58" s="196">
        <v>1157</v>
      </c>
    </row>
    <row r="59" spans="1:4" x14ac:dyDescent="0.45">
      <c r="B59" s="1" t="s">
        <v>36</v>
      </c>
      <c r="C59" s="197">
        <v>63</v>
      </c>
      <c r="D59" s="196">
        <v>2079</v>
      </c>
    </row>
    <row r="60" spans="1:4" x14ac:dyDescent="0.45">
      <c r="B60" s="1" t="s">
        <v>37</v>
      </c>
      <c r="C60" s="197">
        <v>58</v>
      </c>
      <c r="D60" s="196">
        <v>3698</v>
      </c>
    </row>
    <row r="61" spans="1:4" x14ac:dyDescent="0.45">
      <c r="B61" s="1" t="s">
        <v>38</v>
      </c>
      <c r="C61" s="197">
        <v>53</v>
      </c>
      <c r="D61" s="196">
        <v>3965</v>
      </c>
    </row>
    <row r="62" spans="1:4" x14ac:dyDescent="0.45">
      <c r="B62" s="1" t="s">
        <v>39</v>
      </c>
      <c r="C62" s="197">
        <v>47</v>
      </c>
      <c r="D62" s="196">
        <v>4204</v>
      </c>
    </row>
    <row r="63" spans="1:4" x14ac:dyDescent="0.45">
      <c r="B63" s="1" t="s">
        <v>40</v>
      </c>
      <c r="C63" s="197">
        <v>40</v>
      </c>
      <c r="D63" s="196">
        <v>4153</v>
      </c>
    </row>
    <row r="64" spans="1:4" x14ac:dyDescent="0.45">
      <c r="B64" s="1" t="s">
        <v>41</v>
      </c>
      <c r="C64" s="197">
        <v>38</v>
      </c>
      <c r="D64" s="196">
        <v>2978</v>
      </c>
    </row>
    <row r="65" spans="1:4" x14ac:dyDescent="0.45">
      <c r="B65" s="1" t="s">
        <v>42</v>
      </c>
      <c r="C65" s="197">
        <v>34</v>
      </c>
      <c r="D65" s="196">
        <v>2049</v>
      </c>
    </row>
    <row r="66" spans="1:4" x14ac:dyDescent="0.45">
      <c r="B66" s="1" t="s">
        <v>33</v>
      </c>
      <c r="C66" s="197">
        <v>29</v>
      </c>
      <c r="D66" s="196">
        <v>523</v>
      </c>
    </row>
    <row r="67" spans="1:4" x14ac:dyDescent="0.45">
      <c r="A67" t="s">
        <v>47</v>
      </c>
      <c r="B67" s="1" t="s">
        <v>25</v>
      </c>
      <c r="C67" s="197">
        <v>66</v>
      </c>
      <c r="D67" s="196">
        <v>891</v>
      </c>
    </row>
    <row r="68" spans="1:4" x14ac:dyDescent="0.45">
      <c r="B68" s="1" t="s">
        <v>26</v>
      </c>
      <c r="C68" s="197">
        <v>63</v>
      </c>
      <c r="D68" s="196">
        <v>1484</v>
      </c>
    </row>
    <row r="69" spans="1:4" x14ac:dyDescent="0.45">
      <c r="B69" s="1" t="s">
        <v>27</v>
      </c>
      <c r="C69" s="197">
        <v>59</v>
      </c>
      <c r="D69" s="196">
        <v>2131</v>
      </c>
    </row>
    <row r="70" spans="1:4" x14ac:dyDescent="0.45">
      <c r="B70" s="1" t="s">
        <v>28</v>
      </c>
      <c r="C70" s="197">
        <v>54</v>
      </c>
      <c r="D70" s="196">
        <v>2943</v>
      </c>
    </row>
    <row r="71" spans="1:4" x14ac:dyDescent="0.45">
      <c r="B71" s="1" t="s">
        <v>29</v>
      </c>
      <c r="C71" s="197">
        <v>48</v>
      </c>
      <c r="D71" s="196">
        <v>3679</v>
      </c>
    </row>
    <row r="72" spans="1:4" x14ac:dyDescent="0.45">
      <c r="B72" s="1" t="s">
        <v>30</v>
      </c>
      <c r="C72" s="197">
        <v>40</v>
      </c>
      <c r="D72" s="196">
        <v>3654</v>
      </c>
    </row>
    <row r="73" spans="1:4" x14ac:dyDescent="0.45">
      <c r="B73" s="1" t="s">
        <v>31</v>
      </c>
      <c r="C73" s="197">
        <v>37</v>
      </c>
      <c r="D73" s="196">
        <v>1672</v>
      </c>
    </row>
    <row r="74" spans="1:4" x14ac:dyDescent="0.45">
      <c r="B74" s="1" t="s">
        <v>32</v>
      </c>
      <c r="C74" s="197">
        <v>33</v>
      </c>
      <c r="D74" s="196">
        <v>1577</v>
      </c>
    </row>
    <row r="75" spans="1:4" x14ac:dyDescent="0.45">
      <c r="B75" s="1" t="s">
        <v>34</v>
      </c>
      <c r="C75" s="197">
        <v>28</v>
      </c>
      <c r="D75" s="196">
        <v>350</v>
      </c>
    </row>
    <row r="76" spans="1:4" x14ac:dyDescent="0.45">
      <c r="A76" t="s">
        <v>48</v>
      </c>
      <c r="B76" s="1" t="s">
        <v>35</v>
      </c>
      <c r="C76" s="197">
        <v>69</v>
      </c>
      <c r="D76" s="196">
        <v>549</v>
      </c>
    </row>
    <row r="77" spans="1:4" x14ac:dyDescent="0.45">
      <c r="B77" s="1" t="s">
        <v>36</v>
      </c>
      <c r="C77" s="197">
        <v>65</v>
      </c>
      <c r="D77" s="196">
        <v>627</v>
      </c>
    </row>
    <row r="78" spans="1:4" x14ac:dyDescent="0.45">
      <c r="B78" s="1" t="s">
        <v>37</v>
      </c>
      <c r="C78" s="197">
        <v>58</v>
      </c>
      <c r="D78" s="196">
        <v>1450</v>
      </c>
    </row>
    <row r="79" spans="1:4" x14ac:dyDescent="0.45">
      <c r="B79" s="1" t="s">
        <v>38</v>
      </c>
      <c r="C79" s="197">
        <v>52</v>
      </c>
      <c r="D79" s="196">
        <v>1583</v>
      </c>
    </row>
    <row r="80" spans="1:4" x14ac:dyDescent="0.45">
      <c r="B80" s="1" t="s">
        <v>39</v>
      </c>
      <c r="C80" s="197">
        <v>46</v>
      </c>
      <c r="D80" s="196">
        <v>2249</v>
      </c>
    </row>
    <row r="81" spans="1:4" x14ac:dyDescent="0.45">
      <c r="B81" s="1" t="s">
        <v>40</v>
      </c>
      <c r="C81" s="197">
        <v>41</v>
      </c>
      <c r="D81" s="196">
        <v>2087</v>
      </c>
    </row>
    <row r="82" spans="1:4" x14ac:dyDescent="0.45">
      <c r="B82" s="1" t="s">
        <v>41</v>
      </c>
      <c r="C82" s="197">
        <v>39</v>
      </c>
      <c r="D82" s="196">
        <v>807</v>
      </c>
    </row>
    <row r="83" spans="1:4" x14ac:dyDescent="0.45">
      <c r="B83" s="1" t="s">
        <v>42</v>
      </c>
      <c r="C83" s="197">
        <v>36</v>
      </c>
      <c r="D83" s="196">
        <v>862</v>
      </c>
    </row>
    <row r="84" spans="1:4" x14ac:dyDescent="0.45">
      <c r="B84" s="1" t="s">
        <v>33</v>
      </c>
      <c r="C84" s="197">
        <v>30</v>
      </c>
      <c r="D84" s="196">
        <v>291</v>
      </c>
    </row>
    <row r="85" spans="1:4" x14ac:dyDescent="0.45">
      <c r="A85" t="s">
        <v>47</v>
      </c>
      <c r="B85" s="1" t="s">
        <v>25</v>
      </c>
      <c r="C85" s="197">
        <v>71</v>
      </c>
      <c r="D85" s="196">
        <v>797</v>
      </c>
    </row>
    <row r="86" spans="1:4" x14ac:dyDescent="0.45">
      <c r="B86" s="1" t="s">
        <v>26</v>
      </c>
      <c r="C86" s="197">
        <v>65</v>
      </c>
      <c r="D86" s="196">
        <v>1198</v>
      </c>
    </row>
    <row r="87" spans="1:4" x14ac:dyDescent="0.45">
      <c r="B87" s="1" t="s">
        <v>27</v>
      </c>
      <c r="C87" s="197">
        <v>58</v>
      </c>
      <c r="D87" s="196">
        <v>1813</v>
      </c>
    </row>
    <row r="88" spans="1:4" x14ac:dyDescent="0.45">
      <c r="B88" s="1" t="s">
        <v>28</v>
      </c>
      <c r="C88" s="197">
        <v>50</v>
      </c>
      <c r="D88" s="196">
        <v>2898</v>
      </c>
    </row>
    <row r="89" spans="1:4" x14ac:dyDescent="0.45">
      <c r="B89" s="1" t="s">
        <v>29</v>
      </c>
      <c r="C89" s="197">
        <v>44</v>
      </c>
      <c r="D89" s="196">
        <v>4502</v>
      </c>
    </row>
    <row r="90" spans="1:4" x14ac:dyDescent="0.45">
      <c r="B90" s="1" t="s">
        <v>30</v>
      </c>
      <c r="C90" s="197">
        <v>42</v>
      </c>
      <c r="D90" s="196">
        <v>2308</v>
      </c>
    </row>
    <row r="91" spans="1:4" x14ac:dyDescent="0.45">
      <c r="B91" s="1" t="s">
        <v>31</v>
      </c>
      <c r="C91" s="197">
        <v>40</v>
      </c>
      <c r="D91" s="196">
        <v>1121</v>
      </c>
    </row>
    <row r="92" spans="1:4" x14ac:dyDescent="0.45">
      <c r="B92" s="1" t="s">
        <v>32</v>
      </c>
      <c r="C92" s="197">
        <v>38</v>
      </c>
      <c r="D92" s="196">
        <v>1272</v>
      </c>
    </row>
    <row r="93" spans="1:4" x14ac:dyDescent="0.45">
      <c r="B93" s="1" t="s">
        <v>34</v>
      </c>
      <c r="C93" s="197">
        <v>32</v>
      </c>
      <c r="D93" s="196">
        <v>506</v>
      </c>
    </row>
    <row r="94" spans="1:4" x14ac:dyDescent="0.45">
      <c r="A94" t="s">
        <v>60</v>
      </c>
      <c r="B94" s="1" t="s">
        <v>35</v>
      </c>
      <c r="C94" s="197">
        <v>68</v>
      </c>
      <c r="D94" s="196">
        <v>572</v>
      </c>
    </row>
    <row r="95" spans="1:4" x14ac:dyDescent="0.45">
      <c r="B95" s="1" t="s">
        <v>36</v>
      </c>
      <c r="C95" s="197">
        <v>64</v>
      </c>
      <c r="D95" s="196">
        <v>897</v>
      </c>
    </row>
    <row r="96" spans="1:4" x14ac:dyDescent="0.45">
      <c r="B96" s="1" t="s">
        <v>37</v>
      </c>
      <c r="C96" s="197">
        <v>59</v>
      </c>
      <c r="D96" s="196">
        <v>1367</v>
      </c>
    </row>
    <row r="97" spans="1:4" x14ac:dyDescent="0.45">
      <c r="B97" s="1" t="s">
        <v>38</v>
      </c>
      <c r="C97" s="197">
        <v>53</v>
      </c>
      <c r="D97" s="196">
        <v>2013</v>
      </c>
    </row>
    <row r="98" spans="1:4" x14ac:dyDescent="0.45">
      <c r="B98" s="1" t="s">
        <v>39</v>
      </c>
      <c r="C98" s="197">
        <v>45</v>
      </c>
      <c r="D98" s="196">
        <v>2455</v>
      </c>
    </row>
    <row r="99" spans="1:4" x14ac:dyDescent="0.45">
      <c r="B99" s="1" t="s">
        <v>40</v>
      </c>
      <c r="C99" s="197">
        <v>41</v>
      </c>
      <c r="D99" s="196">
        <v>1865</v>
      </c>
    </row>
    <row r="100" spans="1:4" x14ac:dyDescent="0.45">
      <c r="B100" s="1" t="s">
        <v>41</v>
      </c>
      <c r="C100" s="197">
        <v>38</v>
      </c>
      <c r="D100" s="196">
        <v>1283</v>
      </c>
    </row>
    <row r="101" spans="1:4" x14ac:dyDescent="0.45">
      <c r="B101" s="1" t="s">
        <v>42</v>
      </c>
      <c r="C101" s="197">
        <v>36</v>
      </c>
      <c r="D101" s="196">
        <v>814</v>
      </c>
    </row>
    <row r="102" spans="1:4" x14ac:dyDescent="0.45">
      <c r="B102" s="1" t="s">
        <v>33</v>
      </c>
      <c r="C102" s="197">
        <v>30</v>
      </c>
      <c r="D102" s="196">
        <v>455</v>
      </c>
    </row>
    <row r="103" spans="1:4" x14ac:dyDescent="0.45">
      <c r="A103" t="s">
        <v>49</v>
      </c>
      <c r="B103" s="1" t="s">
        <v>25</v>
      </c>
      <c r="C103" s="197">
        <v>70</v>
      </c>
      <c r="D103" s="196">
        <v>1517</v>
      </c>
    </row>
    <row r="104" spans="1:4" x14ac:dyDescent="0.45">
      <c r="B104" s="1" t="s">
        <v>26</v>
      </c>
      <c r="C104" s="197">
        <v>64</v>
      </c>
      <c r="D104" s="196">
        <v>2256</v>
      </c>
    </row>
    <row r="105" spans="1:4" x14ac:dyDescent="0.45">
      <c r="B105" s="1" t="s">
        <v>27</v>
      </c>
      <c r="C105" s="197">
        <v>58</v>
      </c>
      <c r="D105" s="196">
        <v>3928</v>
      </c>
    </row>
    <row r="106" spans="1:4" x14ac:dyDescent="0.45">
      <c r="B106" s="1" t="s">
        <v>28</v>
      </c>
      <c r="C106" s="197">
        <v>51</v>
      </c>
      <c r="D106" s="196">
        <v>6591</v>
      </c>
    </row>
    <row r="107" spans="1:4" x14ac:dyDescent="0.45">
      <c r="B107" s="1" t="s">
        <v>29</v>
      </c>
      <c r="C107" s="197">
        <v>45</v>
      </c>
      <c r="D107" s="196">
        <v>6561</v>
      </c>
    </row>
    <row r="108" spans="1:4" x14ac:dyDescent="0.45">
      <c r="B108" s="1" t="s">
        <v>30</v>
      </c>
      <c r="C108" s="197">
        <v>42</v>
      </c>
      <c r="D108" s="196">
        <v>5822</v>
      </c>
    </row>
    <row r="109" spans="1:4" x14ac:dyDescent="0.45">
      <c r="B109" s="1" t="s">
        <v>31</v>
      </c>
      <c r="C109" s="197">
        <v>39</v>
      </c>
      <c r="D109" s="196">
        <v>3783</v>
      </c>
    </row>
    <row r="110" spans="1:4" x14ac:dyDescent="0.45">
      <c r="B110" s="1" t="s">
        <v>32</v>
      </c>
      <c r="C110" s="197">
        <v>36</v>
      </c>
      <c r="D110" s="196">
        <v>1942</v>
      </c>
    </row>
    <row r="111" spans="1:4" x14ac:dyDescent="0.45">
      <c r="B111" s="1" t="s">
        <v>34</v>
      </c>
      <c r="C111" s="197">
        <v>29</v>
      </c>
      <c r="D111" s="196">
        <v>1009</v>
      </c>
    </row>
    <row r="112" spans="1:4" x14ac:dyDescent="0.45">
      <c r="A112" t="s">
        <v>50</v>
      </c>
      <c r="B112" s="1" t="s">
        <v>35</v>
      </c>
      <c r="C112" s="197">
        <v>67</v>
      </c>
      <c r="D112" s="196">
        <v>2433</v>
      </c>
    </row>
    <row r="113" spans="1:4" x14ac:dyDescent="0.45">
      <c r="B113" s="1" t="s">
        <v>36</v>
      </c>
      <c r="C113" s="197">
        <v>63</v>
      </c>
      <c r="D113" s="196">
        <v>3788</v>
      </c>
    </row>
    <row r="114" spans="1:4" x14ac:dyDescent="0.45">
      <c r="B114" s="1" t="s">
        <v>37</v>
      </c>
      <c r="C114" s="197">
        <v>59</v>
      </c>
      <c r="D114" s="196">
        <v>5055</v>
      </c>
    </row>
    <row r="115" spans="1:4" x14ac:dyDescent="0.45">
      <c r="B115" s="1" t="s">
        <v>38</v>
      </c>
      <c r="C115" s="197">
        <v>53</v>
      </c>
      <c r="D115" s="196">
        <v>8522</v>
      </c>
    </row>
    <row r="116" spans="1:4" x14ac:dyDescent="0.45">
      <c r="B116" s="1" t="s">
        <v>39</v>
      </c>
      <c r="C116" s="197">
        <v>47</v>
      </c>
      <c r="D116" s="196">
        <v>9695</v>
      </c>
    </row>
    <row r="117" spans="1:4" x14ac:dyDescent="0.45">
      <c r="B117" s="1" t="s">
        <v>40</v>
      </c>
      <c r="C117" s="197">
        <v>40</v>
      </c>
      <c r="D117" s="196">
        <v>8153</v>
      </c>
    </row>
    <row r="118" spans="1:4" x14ac:dyDescent="0.45">
      <c r="B118" s="1" t="s">
        <v>41</v>
      </c>
      <c r="C118" s="197">
        <v>37</v>
      </c>
      <c r="D118" s="196">
        <v>7410</v>
      </c>
    </row>
    <row r="119" spans="1:4" x14ac:dyDescent="0.45">
      <c r="B119" s="1" t="s">
        <v>42</v>
      </c>
      <c r="C119" s="197">
        <v>35</v>
      </c>
      <c r="D119" s="196">
        <v>1363</v>
      </c>
    </row>
    <row r="120" spans="1:4" x14ac:dyDescent="0.45">
      <c r="B120" s="1" t="s">
        <v>33</v>
      </c>
      <c r="C120" s="197">
        <v>30</v>
      </c>
      <c r="D120" s="196">
        <v>1468</v>
      </c>
    </row>
    <row r="121" spans="1:4" x14ac:dyDescent="0.45">
      <c r="A121" t="s">
        <v>51</v>
      </c>
      <c r="B121" s="1" t="s">
        <v>25</v>
      </c>
      <c r="C121" s="197">
        <v>73</v>
      </c>
      <c r="D121" s="196">
        <v>1955</v>
      </c>
    </row>
    <row r="122" spans="1:4" x14ac:dyDescent="0.45">
      <c r="B122" s="1" t="s">
        <v>26</v>
      </c>
      <c r="C122" s="197">
        <v>64</v>
      </c>
      <c r="D122" s="196">
        <v>3663</v>
      </c>
    </row>
    <row r="123" spans="1:4" x14ac:dyDescent="0.45">
      <c r="B123" s="1" t="s">
        <v>27</v>
      </c>
      <c r="C123" s="197">
        <v>56</v>
      </c>
      <c r="D123" s="196">
        <v>6315</v>
      </c>
    </row>
    <row r="124" spans="1:4" x14ac:dyDescent="0.45">
      <c r="B124" s="1" t="s">
        <v>28</v>
      </c>
      <c r="C124" s="197">
        <v>50</v>
      </c>
      <c r="D124" s="196">
        <v>8102</v>
      </c>
    </row>
    <row r="125" spans="1:4" x14ac:dyDescent="0.45">
      <c r="B125" s="1" t="s">
        <v>29</v>
      </c>
      <c r="C125" s="197">
        <v>45</v>
      </c>
      <c r="D125" s="196">
        <v>10237</v>
      </c>
    </row>
    <row r="126" spans="1:4" x14ac:dyDescent="0.45">
      <c r="B126" s="1" t="s">
        <v>30</v>
      </c>
      <c r="C126" s="197">
        <v>43</v>
      </c>
      <c r="D126" s="196">
        <v>7732</v>
      </c>
    </row>
    <row r="127" spans="1:4" x14ac:dyDescent="0.45">
      <c r="B127" s="1" t="s">
        <v>31</v>
      </c>
      <c r="C127" s="197">
        <v>40</v>
      </c>
      <c r="D127" s="196">
        <v>5851</v>
      </c>
    </row>
    <row r="128" spans="1:4" x14ac:dyDescent="0.45">
      <c r="B128" s="1" t="s">
        <v>32</v>
      </c>
      <c r="C128" s="197">
        <v>37</v>
      </c>
      <c r="D128" s="196">
        <v>3150</v>
      </c>
    </row>
    <row r="129" spans="1:4" x14ac:dyDescent="0.45">
      <c r="B129" s="1" t="s">
        <v>34</v>
      </c>
      <c r="C129" s="197">
        <v>30</v>
      </c>
      <c r="D129" s="196">
        <v>1301</v>
      </c>
    </row>
    <row r="130" spans="1:4" x14ac:dyDescent="0.45">
      <c r="A130" t="s">
        <v>52</v>
      </c>
      <c r="B130" s="1" t="s">
        <v>35</v>
      </c>
      <c r="C130" s="197">
        <v>68</v>
      </c>
      <c r="D130" s="196">
        <v>3784</v>
      </c>
    </row>
    <row r="131" spans="1:4" x14ac:dyDescent="0.45">
      <c r="B131" s="1" t="s">
        <v>36</v>
      </c>
      <c r="C131" s="197">
        <v>65</v>
      </c>
      <c r="D131" s="196">
        <v>3028</v>
      </c>
    </row>
    <row r="132" spans="1:4" x14ac:dyDescent="0.45">
      <c r="B132" s="1" t="s">
        <v>37</v>
      </c>
      <c r="C132" s="197">
        <v>59</v>
      </c>
      <c r="D132" s="196">
        <v>7704</v>
      </c>
    </row>
    <row r="133" spans="1:4" x14ac:dyDescent="0.45">
      <c r="B133" s="1" t="s">
        <v>38</v>
      </c>
      <c r="C133" s="197">
        <v>52</v>
      </c>
      <c r="D133" s="196">
        <v>11240</v>
      </c>
    </row>
    <row r="134" spans="1:4" x14ac:dyDescent="0.45">
      <c r="B134" s="1" t="s">
        <v>39</v>
      </c>
      <c r="C134" s="197">
        <v>46</v>
      </c>
      <c r="D134" s="196">
        <v>12376</v>
      </c>
    </row>
    <row r="135" spans="1:4" x14ac:dyDescent="0.45">
      <c r="B135" s="1" t="s">
        <v>40</v>
      </c>
      <c r="C135" s="197">
        <v>41</v>
      </c>
      <c r="D135" s="196">
        <v>10047</v>
      </c>
    </row>
    <row r="136" spans="1:4" x14ac:dyDescent="0.45">
      <c r="B136" s="1" t="s">
        <v>41</v>
      </c>
      <c r="C136" s="197">
        <v>38</v>
      </c>
      <c r="D136" s="196">
        <v>8008</v>
      </c>
    </row>
    <row r="137" spans="1:4" x14ac:dyDescent="0.45">
      <c r="B137" s="1" t="s">
        <v>42</v>
      </c>
      <c r="C137" s="197">
        <v>35</v>
      </c>
      <c r="D137" s="196">
        <v>2966</v>
      </c>
    </row>
    <row r="138" spans="1:4" x14ac:dyDescent="0.45">
      <c r="B138" s="1" t="s">
        <v>33</v>
      </c>
      <c r="C138" s="197">
        <v>28</v>
      </c>
      <c r="D138" s="196">
        <v>2128</v>
      </c>
    </row>
    <row r="139" spans="1:4" x14ac:dyDescent="0.45">
      <c r="A139" t="s">
        <v>53</v>
      </c>
      <c r="B139" s="1" t="s">
        <v>25</v>
      </c>
      <c r="C139" s="197">
        <v>70</v>
      </c>
      <c r="D139" s="196">
        <v>4017</v>
      </c>
    </row>
    <row r="140" spans="1:4" x14ac:dyDescent="0.45">
      <c r="B140" s="1" t="s">
        <v>26</v>
      </c>
      <c r="C140" s="197">
        <v>64</v>
      </c>
      <c r="D140" s="196">
        <v>7752</v>
      </c>
    </row>
    <row r="141" spans="1:4" x14ac:dyDescent="0.45">
      <c r="B141" s="1" t="s">
        <v>27</v>
      </c>
      <c r="C141" s="197">
        <v>58</v>
      </c>
      <c r="D141" s="196">
        <v>10320</v>
      </c>
    </row>
    <row r="142" spans="1:4" x14ac:dyDescent="0.45">
      <c r="B142" s="1" t="s">
        <v>28</v>
      </c>
      <c r="C142" s="197">
        <v>52</v>
      </c>
      <c r="D142" s="196">
        <v>16450</v>
      </c>
    </row>
    <row r="143" spans="1:4" x14ac:dyDescent="0.45">
      <c r="B143" s="1" t="s">
        <v>29</v>
      </c>
      <c r="C143" s="197">
        <v>46</v>
      </c>
      <c r="D143" s="196">
        <v>19960</v>
      </c>
    </row>
    <row r="144" spans="1:4" x14ac:dyDescent="0.45">
      <c r="B144" s="1" t="s">
        <v>30</v>
      </c>
      <c r="C144" s="197">
        <v>42</v>
      </c>
      <c r="D144" s="196">
        <v>16873</v>
      </c>
    </row>
    <row r="145" spans="1:4" x14ac:dyDescent="0.45">
      <c r="B145" s="1" t="s">
        <v>31</v>
      </c>
      <c r="C145" s="197">
        <v>39</v>
      </c>
      <c r="D145" s="196">
        <v>10251</v>
      </c>
    </row>
    <row r="146" spans="1:4" x14ac:dyDescent="0.45">
      <c r="B146" s="1" t="s">
        <v>32</v>
      </c>
      <c r="C146" s="197">
        <v>35</v>
      </c>
      <c r="D146" s="196">
        <v>7790</v>
      </c>
    </row>
    <row r="147" spans="1:4" x14ac:dyDescent="0.45">
      <c r="B147" s="1" t="s">
        <v>34</v>
      </c>
      <c r="C147" s="197">
        <v>29</v>
      </c>
      <c r="D147" s="196">
        <v>2156</v>
      </c>
    </row>
    <row r="148" spans="1:4" x14ac:dyDescent="0.45">
      <c r="A148" t="s">
        <v>54</v>
      </c>
      <c r="B148" s="1" t="s">
        <v>35</v>
      </c>
      <c r="C148" s="197">
        <v>68</v>
      </c>
      <c r="D148" s="196">
        <v>3681</v>
      </c>
    </row>
    <row r="149" spans="1:4" x14ac:dyDescent="0.45">
      <c r="B149" s="1" t="s">
        <v>36</v>
      </c>
      <c r="C149" s="197">
        <v>63</v>
      </c>
      <c r="D149" s="196">
        <v>4739</v>
      </c>
    </row>
    <row r="150" spans="1:4" x14ac:dyDescent="0.45">
      <c r="B150" s="1" t="s">
        <v>37</v>
      </c>
      <c r="C150" s="197">
        <v>58</v>
      </c>
      <c r="D150" s="196">
        <v>8883</v>
      </c>
    </row>
    <row r="151" spans="1:4" x14ac:dyDescent="0.45">
      <c r="B151" s="1" t="s">
        <v>38</v>
      </c>
      <c r="C151" s="197">
        <v>53</v>
      </c>
      <c r="D151" s="196">
        <v>10883</v>
      </c>
    </row>
    <row r="152" spans="1:4" x14ac:dyDescent="0.45">
      <c r="B152" s="1" t="s">
        <v>39</v>
      </c>
      <c r="C152" s="197">
        <v>46</v>
      </c>
      <c r="D152" s="196">
        <v>13487</v>
      </c>
    </row>
    <row r="153" spans="1:4" x14ac:dyDescent="0.45">
      <c r="B153" s="1" t="s">
        <v>40</v>
      </c>
      <c r="C153" s="197">
        <v>41</v>
      </c>
      <c r="D153" s="196">
        <v>11035</v>
      </c>
    </row>
    <row r="154" spans="1:4" x14ac:dyDescent="0.45">
      <c r="B154" s="1" t="s">
        <v>41</v>
      </c>
      <c r="C154" s="197">
        <v>37</v>
      </c>
      <c r="D154" s="196">
        <v>7532</v>
      </c>
    </row>
    <row r="155" spans="1:4" x14ac:dyDescent="0.45">
      <c r="B155" s="1" t="s">
        <v>42</v>
      </c>
      <c r="C155" s="197">
        <v>36</v>
      </c>
      <c r="D155" s="196">
        <v>4514</v>
      </c>
    </row>
    <row r="156" spans="1:4" x14ac:dyDescent="0.45">
      <c r="B156" s="1" t="s">
        <v>33</v>
      </c>
      <c r="C156" s="197">
        <v>28</v>
      </c>
      <c r="D156" s="196">
        <v>2499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I102"/>
  <sheetViews>
    <sheetView workbookViewId="0">
      <selection activeCell="A5" sqref="A5:I96"/>
    </sheetView>
  </sheetViews>
  <sheetFormatPr defaultRowHeight="17" x14ac:dyDescent="0.45"/>
  <sheetData>
    <row r="1" spans="1:9" x14ac:dyDescent="0.45">
      <c r="A1" s="15"/>
    </row>
    <row r="2" spans="1:9" ht="17.5" thickBot="1" x14ac:dyDescent="0.5"/>
    <row r="3" spans="1:9" x14ac:dyDescent="0.45">
      <c r="A3" s="45" t="s">
        <v>8</v>
      </c>
      <c r="B3" s="46"/>
      <c r="C3" s="46"/>
      <c r="D3" s="47"/>
      <c r="F3" s="45" t="s">
        <v>59</v>
      </c>
      <c r="G3" s="46"/>
      <c r="H3" s="46"/>
      <c r="I3" s="47"/>
    </row>
    <row r="4" spans="1:9" x14ac:dyDescent="0.4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</row>
    <row r="5" spans="1:9" x14ac:dyDescent="0.45">
      <c r="A5" s="198">
        <v>146</v>
      </c>
      <c r="B5" s="199">
        <v>93</v>
      </c>
      <c r="C5" s="199">
        <v>91</v>
      </c>
      <c r="D5" s="199">
        <v>187</v>
      </c>
      <c r="E5" s="199">
        <v>187</v>
      </c>
      <c r="F5" s="198">
        <v>145</v>
      </c>
      <c r="G5" s="199">
        <v>953</v>
      </c>
      <c r="H5" s="199">
        <v>315</v>
      </c>
      <c r="I5" s="199">
        <v>1278</v>
      </c>
    </row>
    <row r="6" spans="1:9" x14ac:dyDescent="0.45">
      <c r="A6" s="198">
        <v>145</v>
      </c>
      <c r="B6" s="199">
        <v>215</v>
      </c>
      <c r="C6" s="199">
        <v>208</v>
      </c>
      <c r="D6" s="199">
        <v>426</v>
      </c>
      <c r="E6" s="199">
        <v>613</v>
      </c>
      <c r="F6" s="198">
        <v>143</v>
      </c>
      <c r="G6" s="199">
        <v>67</v>
      </c>
      <c r="H6" s="199">
        <v>22</v>
      </c>
      <c r="I6" s="199">
        <v>90</v>
      </c>
    </row>
    <row r="7" spans="1:9" x14ac:dyDescent="0.45">
      <c r="A7" s="198">
        <v>144</v>
      </c>
      <c r="B7" s="199">
        <v>67</v>
      </c>
      <c r="C7" s="199">
        <v>99</v>
      </c>
      <c r="D7" s="199">
        <v>168</v>
      </c>
      <c r="E7" s="199">
        <v>781</v>
      </c>
      <c r="F7" s="198">
        <v>142</v>
      </c>
      <c r="G7" s="199">
        <v>1418</v>
      </c>
      <c r="H7" s="199">
        <v>653</v>
      </c>
      <c r="I7" s="199">
        <v>2100</v>
      </c>
    </row>
    <row r="8" spans="1:9" x14ac:dyDescent="0.45">
      <c r="A8" s="198">
        <v>143</v>
      </c>
      <c r="B8" s="199">
        <v>270</v>
      </c>
      <c r="C8" s="199">
        <v>261</v>
      </c>
      <c r="D8" s="199">
        <v>536</v>
      </c>
      <c r="E8" s="199">
        <v>1317</v>
      </c>
      <c r="F8" s="198">
        <v>140</v>
      </c>
      <c r="G8" s="199">
        <v>160</v>
      </c>
      <c r="H8" s="199">
        <v>74</v>
      </c>
      <c r="I8" s="199">
        <v>238</v>
      </c>
    </row>
    <row r="9" spans="1:9" x14ac:dyDescent="0.45">
      <c r="A9" s="198">
        <v>142</v>
      </c>
      <c r="B9" s="199">
        <v>240</v>
      </c>
      <c r="C9" s="199">
        <v>269</v>
      </c>
      <c r="D9" s="199">
        <v>515</v>
      </c>
      <c r="E9" s="199">
        <v>1832</v>
      </c>
      <c r="F9" s="198">
        <v>139</v>
      </c>
      <c r="G9" s="199">
        <v>2226</v>
      </c>
      <c r="H9" s="199">
        <v>1251</v>
      </c>
      <c r="I9" s="199">
        <v>3522</v>
      </c>
    </row>
    <row r="10" spans="1:9" x14ac:dyDescent="0.45">
      <c r="A10" s="198">
        <v>141</v>
      </c>
      <c r="B10" s="199">
        <v>320</v>
      </c>
      <c r="C10" s="199">
        <v>312</v>
      </c>
      <c r="D10" s="199">
        <v>641</v>
      </c>
      <c r="E10" s="199">
        <v>2473</v>
      </c>
      <c r="F10" s="198">
        <v>138</v>
      </c>
      <c r="G10" s="199">
        <v>3</v>
      </c>
      <c r="H10" s="199">
        <v>0</v>
      </c>
      <c r="I10" s="199">
        <v>3</v>
      </c>
    </row>
    <row r="11" spans="1:9" x14ac:dyDescent="0.45">
      <c r="A11" s="198">
        <v>140</v>
      </c>
      <c r="B11" s="199">
        <v>377</v>
      </c>
      <c r="C11" s="199">
        <v>474</v>
      </c>
      <c r="D11" s="199">
        <v>864</v>
      </c>
      <c r="E11" s="199">
        <v>3337</v>
      </c>
      <c r="F11" s="198">
        <v>137</v>
      </c>
      <c r="G11" s="199">
        <v>28</v>
      </c>
      <c r="H11" s="199">
        <v>12</v>
      </c>
      <c r="I11" s="199">
        <v>40</v>
      </c>
    </row>
    <row r="12" spans="1:9" x14ac:dyDescent="0.45">
      <c r="A12" s="198">
        <v>139</v>
      </c>
      <c r="B12" s="199">
        <v>361</v>
      </c>
      <c r="C12" s="199">
        <v>396</v>
      </c>
      <c r="D12" s="199">
        <v>765</v>
      </c>
      <c r="E12" s="199">
        <v>4102</v>
      </c>
      <c r="F12" s="198">
        <v>136</v>
      </c>
      <c r="G12" s="199">
        <v>3794</v>
      </c>
      <c r="H12" s="199">
        <v>2455</v>
      </c>
      <c r="I12" s="199">
        <v>6313</v>
      </c>
    </row>
    <row r="13" spans="1:9" x14ac:dyDescent="0.45">
      <c r="A13" s="198">
        <v>138</v>
      </c>
      <c r="B13" s="199">
        <v>556</v>
      </c>
      <c r="C13" s="199">
        <v>613</v>
      </c>
      <c r="D13" s="199">
        <v>1184</v>
      </c>
      <c r="E13" s="199">
        <v>5286</v>
      </c>
      <c r="F13" s="198">
        <v>135</v>
      </c>
      <c r="G13" s="199">
        <v>4</v>
      </c>
      <c r="H13" s="199">
        <v>2</v>
      </c>
      <c r="I13" s="199">
        <v>6</v>
      </c>
    </row>
    <row r="14" spans="1:9" x14ac:dyDescent="0.45">
      <c r="A14" s="198">
        <v>137</v>
      </c>
      <c r="B14" s="199">
        <v>522</v>
      </c>
      <c r="C14" s="199">
        <v>582</v>
      </c>
      <c r="D14" s="199">
        <v>1122</v>
      </c>
      <c r="E14" s="199">
        <v>6408</v>
      </c>
      <c r="F14" s="198">
        <v>134</v>
      </c>
      <c r="G14" s="199">
        <v>70</v>
      </c>
      <c r="H14" s="199">
        <v>41</v>
      </c>
      <c r="I14" s="199">
        <v>113</v>
      </c>
    </row>
    <row r="15" spans="1:9" x14ac:dyDescent="0.45">
      <c r="A15" s="198">
        <v>136</v>
      </c>
      <c r="B15" s="199">
        <v>648</v>
      </c>
      <c r="C15" s="199">
        <v>785</v>
      </c>
      <c r="D15" s="199">
        <v>1455</v>
      </c>
      <c r="E15" s="199">
        <v>7863</v>
      </c>
      <c r="F15" s="198">
        <v>133</v>
      </c>
      <c r="G15" s="199">
        <v>4511</v>
      </c>
      <c r="H15" s="199">
        <v>3080</v>
      </c>
      <c r="I15" s="199">
        <v>7714</v>
      </c>
    </row>
    <row r="16" spans="1:9" x14ac:dyDescent="0.45">
      <c r="A16" s="198">
        <v>135</v>
      </c>
      <c r="B16" s="199">
        <v>642</v>
      </c>
      <c r="C16" s="199">
        <v>786</v>
      </c>
      <c r="D16" s="199">
        <v>1448</v>
      </c>
      <c r="E16" s="199">
        <v>9311</v>
      </c>
      <c r="F16" s="198">
        <v>132</v>
      </c>
      <c r="G16" s="199">
        <v>10</v>
      </c>
      <c r="H16" s="199">
        <v>6</v>
      </c>
      <c r="I16" s="199">
        <v>16</v>
      </c>
    </row>
    <row r="17" spans="1:9" x14ac:dyDescent="0.45">
      <c r="A17" s="198">
        <v>134</v>
      </c>
      <c r="B17" s="199">
        <v>1486</v>
      </c>
      <c r="C17" s="199">
        <v>1923</v>
      </c>
      <c r="D17" s="199">
        <v>3460</v>
      </c>
      <c r="E17" s="199">
        <v>12771</v>
      </c>
      <c r="F17" s="198">
        <v>131</v>
      </c>
      <c r="G17" s="199">
        <v>175</v>
      </c>
      <c r="H17" s="199">
        <v>87</v>
      </c>
      <c r="I17" s="199">
        <v>271</v>
      </c>
    </row>
    <row r="18" spans="1:9" x14ac:dyDescent="0.45">
      <c r="A18" s="198">
        <v>133</v>
      </c>
      <c r="B18" s="199">
        <v>837</v>
      </c>
      <c r="C18" s="199">
        <v>991</v>
      </c>
      <c r="D18" s="199">
        <v>1854</v>
      </c>
      <c r="E18" s="199">
        <v>14625</v>
      </c>
      <c r="F18" s="198">
        <v>130</v>
      </c>
      <c r="G18" s="199">
        <v>1153</v>
      </c>
      <c r="H18" s="199">
        <v>791</v>
      </c>
      <c r="I18" s="199">
        <v>1984</v>
      </c>
    </row>
    <row r="19" spans="1:9" x14ac:dyDescent="0.45">
      <c r="A19" s="198">
        <v>132</v>
      </c>
      <c r="B19" s="199">
        <v>891</v>
      </c>
      <c r="C19" s="199">
        <v>1138</v>
      </c>
      <c r="D19" s="199">
        <v>2062</v>
      </c>
      <c r="E19" s="199">
        <v>16687</v>
      </c>
      <c r="F19" s="198">
        <v>129</v>
      </c>
      <c r="G19" s="199">
        <v>3664</v>
      </c>
      <c r="H19" s="199">
        <v>2837</v>
      </c>
      <c r="I19" s="199">
        <v>6609</v>
      </c>
    </row>
    <row r="20" spans="1:9" x14ac:dyDescent="0.45">
      <c r="A20" s="198">
        <v>131</v>
      </c>
      <c r="B20" s="199">
        <v>909</v>
      </c>
      <c r="C20" s="199">
        <v>1124</v>
      </c>
      <c r="D20" s="199">
        <v>2071</v>
      </c>
      <c r="E20" s="199">
        <v>18758</v>
      </c>
      <c r="F20" s="198">
        <v>128</v>
      </c>
      <c r="G20" s="199">
        <v>280</v>
      </c>
      <c r="H20" s="199">
        <v>217</v>
      </c>
      <c r="I20" s="199">
        <v>510</v>
      </c>
    </row>
    <row r="21" spans="1:9" x14ac:dyDescent="0.45">
      <c r="A21" s="198">
        <v>130</v>
      </c>
      <c r="B21" s="199">
        <v>984</v>
      </c>
      <c r="C21" s="199">
        <v>1280</v>
      </c>
      <c r="D21" s="199">
        <v>2305</v>
      </c>
      <c r="E21" s="199">
        <v>21063</v>
      </c>
      <c r="F21" s="198">
        <v>127</v>
      </c>
      <c r="G21" s="199">
        <v>1482</v>
      </c>
      <c r="H21" s="199">
        <v>1156</v>
      </c>
      <c r="I21" s="199">
        <v>2689</v>
      </c>
    </row>
    <row r="22" spans="1:9" x14ac:dyDescent="0.45">
      <c r="A22" s="198">
        <v>129</v>
      </c>
      <c r="B22" s="199">
        <v>1014</v>
      </c>
      <c r="C22" s="199">
        <v>1311</v>
      </c>
      <c r="D22" s="199">
        <v>2364</v>
      </c>
      <c r="E22" s="199">
        <v>23427</v>
      </c>
      <c r="F22" s="198">
        <v>126</v>
      </c>
      <c r="G22" s="199">
        <v>3531</v>
      </c>
      <c r="H22" s="199">
        <v>2839</v>
      </c>
      <c r="I22" s="199">
        <v>6486</v>
      </c>
    </row>
    <row r="23" spans="1:9" x14ac:dyDescent="0.45">
      <c r="A23" s="198">
        <v>128</v>
      </c>
      <c r="B23" s="199">
        <v>1135</v>
      </c>
      <c r="C23" s="199">
        <v>1410</v>
      </c>
      <c r="D23" s="199">
        <v>2591</v>
      </c>
      <c r="E23" s="199">
        <v>26018</v>
      </c>
      <c r="F23" s="198">
        <v>125</v>
      </c>
      <c r="G23" s="199">
        <v>492</v>
      </c>
      <c r="H23" s="199">
        <v>407</v>
      </c>
      <c r="I23" s="199">
        <v>915</v>
      </c>
    </row>
    <row r="24" spans="1:9" x14ac:dyDescent="0.45">
      <c r="A24" s="198">
        <v>127</v>
      </c>
      <c r="B24" s="199">
        <v>1101</v>
      </c>
      <c r="C24" s="199">
        <v>1531</v>
      </c>
      <c r="D24" s="199">
        <v>2688</v>
      </c>
      <c r="E24" s="199">
        <v>28706</v>
      </c>
      <c r="F24" s="198">
        <v>124</v>
      </c>
      <c r="G24" s="199">
        <v>1790</v>
      </c>
      <c r="H24" s="199">
        <v>1542</v>
      </c>
      <c r="I24" s="199">
        <v>3403</v>
      </c>
    </row>
    <row r="25" spans="1:9" x14ac:dyDescent="0.45">
      <c r="A25" s="198">
        <v>126</v>
      </c>
      <c r="B25" s="199">
        <v>1150</v>
      </c>
      <c r="C25" s="199">
        <v>1500</v>
      </c>
      <c r="D25" s="199">
        <v>2699</v>
      </c>
      <c r="E25" s="199">
        <v>31405</v>
      </c>
      <c r="F25" s="198">
        <v>123</v>
      </c>
      <c r="G25" s="199">
        <v>2749</v>
      </c>
      <c r="H25" s="199">
        <v>2488</v>
      </c>
      <c r="I25" s="199">
        <v>5331</v>
      </c>
    </row>
    <row r="26" spans="1:9" x14ac:dyDescent="0.45">
      <c r="A26" s="198">
        <v>125</v>
      </c>
      <c r="B26" s="199">
        <v>1202</v>
      </c>
      <c r="C26" s="199">
        <v>1584</v>
      </c>
      <c r="D26" s="199">
        <v>2843</v>
      </c>
      <c r="E26" s="199">
        <v>34248</v>
      </c>
      <c r="F26" s="198">
        <v>122</v>
      </c>
      <c r="G26" s="199">
        <v>971</v>
      </c>
      <c r="H26" s="199">
        <v>789</v>
      </c>
      <c r="I26" s="199">
        <v>1793</v>
      </c>
    </row>
    <row r="27" spans="1:9" x14ac:dyDescent="0.45">
      <c r="A27" s="198">
        <v>124</v>
      </c>
      <c r="B27" s="199">
        <v>1249</v>
      </c>
      <c r="C27" s="199">
        <v>1632</v>
      </c>
      <c r="D27" s="199">
        <v>2951</v>
      </c>
      <c r="E27" s="199">
        <v>37199</v>
      </c>
      <c r="F27" s="198">
        <v>121</v>
      </c>
      <c r="G27" s="199">
        <v>2144</v>
      </c>
      <c r="H27" s="199">
        <v>1947</v>
      </c>
      <c r="I27" s="199">
        <v>4164</v>
      </c>
    </row>
    <row r="28" spans="1:9" x14ac:dyDescent="0.45">
      <c r="A28" s="198">
        <v>123</v>
      </c>
      <c r="B28" s="199">
        <v>1270</v>
      </c>
      <c r="C28" s="199">
        <v>1703</v>
      </c>
      <c r="D28" s="199">
        <v>3030</v>
      </c>
      <c r="E28" s="199">
        <v>40229</v>
      </c>
      <c r="F28" s="198">
        <v>120</v>
      </c>
      <c r="G28" s="199">
        <v>2198</v>
      </c>
      <c r="H28" s="199">
        <v>1992</v>
      </c>
      <c r="I28" s="199">
        <v>4254</v>
      </c>
    </row>
    <row r="29" spans="1:9" x14ac:dyDescent="0.45">
      <c r="A29" s="198">
        <v>122</v>
      </c>
      <c r="B29" s="199">
        <v>2831</v>
      </c>
      <c r="C29" s="199">
        <v>3595</v>
      </c>
      <c r="D29" s="199">
        <v>6547</v>
      </c>
      <c r="E29" s="199">
        <v>46776</v>
      </c>
      <c r="F29" s="198">
        <v>119</v>
      </c>
      <c r="G29" s="199">
        <v>1525</v>
      </c>
      <c r="H29" s="199">
        <v>1451</v>
      </c>
      <c r="I29" s="199">
        <v>3031</v>
      </c>
    </row>
    <row r="30" spans="1:9" x14ac:dyDescent="0.45">
      <c r="A30" s="198">
        <v>121</v>
      </c>
      <c r="B30" s="199">
        <v>1554</v>
      </c>
      <c r="C30" s="199">
        <v>1902</v>
      </c>
      <c r="D30" s="199">
        <v>3515</v>
      </c>
      <c r="E30" s="199">
        <v>50291</v>
      </c>
      <c r="F30" s="198">
        <v>118</v>
      </c>
      <c r="G30" s="199">
        <v>2030</v>
      </c>
      <c r="H30" s="199">
        <v>2116</v>
      </c>
      <c r="I30" s="199">
        <v>4231</v>
      </c>
    </row>
    <row r="31" spans="1:9" x14ac:dyDescent="0.45">
      <c r="A31" s="198">
        <v>120</v>
      </c>
      <c r="B31" s="199">
        <v>1489</v>
      </c>
      <c r="C31" s="199">
        <v>1964</v>
      </c>
      <c r="D31" s="199">
        <v>3530</v>
      </c>
      <c r="E31" s="199">
        <v>53821</v>
      </c>
      <c r="F31" s="198">
        <v>117</v>
      </c>
      <c r="G31" s="199">
        <v>1426</v>
      </c>
      <c r="H31" s="199">
        <v>1478</v>
      </c>
      <c r="I31" s="199">
        <v>2951</v>
      </c>
    </row>
    <row r="32" spans="1:9" x14ac:dyDescent="0.45">
      <c r="A32" s="198">
        <v>119</v>
      </c>
      <c r="B32" s="199">
        <v>1560</v>
      </c>
      <c r="C32" s="199">
        <v>2029</v>
      </c>
      <c r="D32" s="199">
        <v>3675</v>
      </c>
      <c r="E32" s="199">
        <v>57496</v>
      </c>
      <c r="F32" s="198">
        <v>116</v>
      </c>
      <c r="G32" s="199">
        <v>2094</v>
      </c>
      <c r="H32" s="199">
        <v>2124</v>
      </c>
      <c r="I32" s="199">
        <v>4297</v>
      </c>
    </row>
    <row r="33" spans="1:9" x14ac:dyDescent="0.45">
      <c r="A33" s="198">
        <v>118</v>
      </c>
      <c r="B33" s="199">
        <v>1504</v>
      </c>
      <c r="C33" s="199">
        <v>2001</v>
      </c>
      <c r="D33" s="199">
        <v>3586</v>
      </c>
      <c r="E33" s="199">
        <v>61082</v>
      </c>
      <c r="F33" s="198">
        <v>115</v>
      </c>
      <c r="G33" s="199">
        <v>1882</v>
      </c>
      <c r="H33" s="199">
        <v>1903</v>
      </c>
      <c r="I33" s="199">
        <v>3858</v>
      </c>
    </row>
    <row r="34" spans="1:9" x14ac:dyDescent="0.45">
      <c r="A34" s="198">
        <v>117</v>
      </c>
      <c r="B34" s="199">
        <v>1633</v>
      </c>
      <c r="C34" s="199">
        <v>2060</v>
      </c>
      <c r="D34" s="199">
        <v>3772</v>
      </c>
      <c r="E34" s="199">
        <v>64854</v>
      </c>
      <c r="F34" s="198">
        <v>114</v>
      </c>
      <c r="G34" s="199">
        <v>1041</v>
      </c>
      <c r="H34" s="199">
        <v>1153</v>
      </c>
      <c r="I34" s="199">
        <v>2232</v>
      </c>
    </row>
    <row r="35" spans="1:9" x14ac:dyDescent="0.45">
      <c r="A35" s="198">
        <v>116</v>
      </c>
      <c r="B35" s="199">
        <v>1731</v>
      </c>
      <c r="C35" s="199">
        <v>2106</v>
      </c>
      <c r="D35" s="199">
        <v>3924</v>
      </c>
      <c r="E35" s="199">
        <v>68778</v>
      </c>
      <c r="F35" s="198">
        <v>113</v>
      </c>
      <c r="G35" s="199">
        <v>944</v>
      </c>
      <c r="H35" s="199">
        <v>982</v>
      </c>
      <c r="I35" s="199">
        <v>1969</v>
      </c>
    </row>
    <row r="36" spans="1:9" x14ac:dyDescent="0.45">
      <c r="A36" s="198">
        <v>115</v>
      </c>
      <c r="B36" s="199">
        <v>1754</v>
      </c>
      <c r="C36" s="199">
        <v>2095</v>
      </c>
      <c r="D36" s="199">
        <v>3932</v>
      </c>
      <c r="E36" s="199">
        <v>72710</v>
      </c>
      <c r="F36" s="198">
        <v>112</v>
      </c>
      <c r="G36" s="199">
        <v>2947</v>
      </c>
      <c r="H36" s="199">
        <v>3111</v>
      </c>
      <c r="I36" s="199">
        <v>6209</v>
      </c>
    </row>
    <row r="37" spans="1:9" x14ac:dyDescent="0.45">
      <c r="A37" s="198">
        <v>114</v>
      </c>
      <c r="B37" s="199">
        <v>1728</v>
      </c>
      <c r="C37" s="199">
        <v>2127</v>
      </c>
      <c r="D37" s="199">
        <v>3939</v>
      </c>
      <c r="E37" s="199">
        <v>76649</v>
      </c>
      <c r="F37" s="198">
        <v>111</v>
      </c>
      <c r="G37" s="199">
        <v>989</v>
      </c>
      <c r="H37" s="199">
        <v>1057</v>
      </c>
      <c r="I37" s="199">
        <v>2089</v>
      </c>
    </row>
    <row r="38" spans="1:9" x14ac:dyDescent="0.45">
      <c r="A38" s="198">
        <v>113</v>
      </c>
      <c r="B38" s="199">
        <v>1723</v>
      </c>
      <c r="C38" s="199">
        <v>2121</v>
      </c>
      <c r="D38" s="199">
        <v>3921</v>
      </c>
      <c r="E38" s="199">
        <v>80570</v>
      </c>
      <c r="F38" s="198">
        <v>110</v>
      </c>
      <c r="G38" s="199">
        <v>1225</v>
      </c>
      <c r="H38" s="199">
        <v>1300</v>
      </c>
      <c r="I38" s="199">
        <v>2576</v>
      </c>
    </row>
    <row r="39" spans="1:9" x14ac:dyDescent="0.45">
      <c r="A39" s="198">
        <v>112</v>
      </c>
      <c r="B39" s="199">
        <v>1830</v>
      </c>
      <c r="C39" s="199">
        <v>2255</v>
      </c>
      <c r="D39" s="199">
        <v>4177</v>
      </c>
      <c r="E39" s="199">
        <v>84747</v>
      </c>
      <c r="F39" s="198">
        <v>109</v>
      </c>
      <c r="G39" s="199">
        <v>2441</v>
      </c>
      <c r="H39" s="199">
        <v>2778</v>
      </c>
      <c r="I39" s="199">
        <v>5320</v>
      </c>
    </row>
    <row r="40" spans="1:9" x14ac:dyDescent="0.45">
      <c r="A40" s="198">
        <v>111</v>
      </c>
      <c r="B40" s="199">
        <v>3661</v>
      </c>
      <c r="C40" s="199">
        <v>4314</v>
      </c>
      <c r="D40" s="199">
        <v>8145</v>
      </c>
      <c r="E40" s="199">
        <v>92892</v>
      </c>
      <c r="F40" s="198">
        <v>108</v>
      </c>
      <c r="G40" s="199">
        <v>1045</v>
      </c>
      <c r="H40" s="199">
        <v>1165</v>
      </c>
      <c r="I40" s="199">
        <v>2259</v>
      </c>
    </row>
    <row r="41" spans="1:9" x14ac:dyDescent="0.45">
      <c r="A41" s="198">
        <v>110</v>
      </c>
      <c r="B41" s="199">
        <v>1866</v>
      </c>
      <c r="C41" s="199">
        <v>2199</v>
      </c>
      <c r="D41" s="199">
        <v>4163</v>
      </c>
      <c r="E41" s="199">
        <v>97055</v>
      </c>
      <c r="F41" s="198">
        <v>107</v>
      </c>
      <c r="G41" s="199">
        <v>1260</v>
      </c>
      <c r="H41" s="199">
        <v>1556</v>
      </c>
      <c r="I41" s="199">
        <v>2860</v>
      </c>
    </row>
    <row r="42" spans="1:9" x14ac:dyDescent="0.45">
      <c r="A42" s="198">
        <v>109</v>
      </c>
      <c r="B42" s="199">
        <v>1835</v>
      </c>
      <c r="C42" s="199">
        <v>2251</v>
      </c>
      <c r="D42" s="199">
        <v>4198</v>
      </c>
      <c r="E42" s="199">
        <v>101253</v>
      </c>
      <c r="F42" s="198">
        <v>106</v>
      </c>
      <c r="G42" s="199">
        <v>1206</v>
      </c>
      <c r="H42" s="199">
        <v>1326</v>
      </c>
      <c r="I42" s="199">
        <v>2584</v>
      </c>
    </row>
    <row r="43" spans="1:9" x14ac:dyDescent="0.45">
      <c r="A43" s="198">
        <v>108</v>
      </c>
      <c r="B43" s="199">
        <v>1869</v>
      </c>
      <c r="C43" s="199">
        <v>2296</v>
      </c>
      <c r="D43" s="199">
        <v>4256</v>
      </c>
      <c r="E43" s="199">
        <v>105509</v>
      </c>
      <c r="F43" s="198">
        <v>105</v>
      </c>
      <c r="G43" s="199">
        <v>2168</v>
      </c>
      <c r="H43" s="199">
        <v>2560</v>
      </c>
      <c r="I43" s="199">
        <v>4828</v>
      </c>
    </row>
    <row r="44" spans="1:9" x14ac:dyDescent="0.45">
      <c r="A44" s="198">
        <v>107</v>
      </c>
      <c r="B44" s="199">
        <v>1868</v>
      </c>
      <c r="C44" s="199">
        <v>2229</v>
      </c>
      <c r="D44" s="199">
        <v>4193</v>
      </c>
      <c r="E44" s="199">
        <v>109702</v>
      </c>
      <c r="F44" s="198">
        <v>104</v>
      </c>
      <c r="G44" s="199">
        <v>1148</v>
      </c>
      <c r="H44" s="199">
        <v>1327</v>
      </c>
      <c r="I44" s="199">
        <v>2535</v>
      </c>
    </row>
    <row r="45" spans="1:9" x14ac:dyDescent="0.45">
      <c r="A45" s="198">
        <v>106</v>
      </c>
      <c r="B45" s="199">
        <v>1835</v>
      </c>
      <c r="C45" s="199">
        <v>2168</v>
      </c>
      <c r="D45" s="199">
        <v>4105</v>
      </c>
      <c r="E45" s="199">
        <v>113807</v>
      </c>
      <c r="F45" s="198">
        <v>103</v>
      </c>
      <c r="G45" s="199">
        <v>942</v>
      </c>
      <c r="H45" s="199">
        <v>1162</v>
      </c>
      <c r="I45" s="199">
        <v>2156</v>
      </c>
    </row>
    <row r="46" spans="1:9" x14ac:dyDescent="0.45">
      <c r="A46" s="198">
        <v>105</v>
      </c>
      <c r="B46" s="199">
        <v>1931</v>
      </c>
      <c r="C46" s="199">
        <v>2251</v>
      </c>
      <c r="D46" s="199">
        <v>4288</v>
      </c>
      <c r="E46" s="199">
        <v>118095</v>
      </c>
      <c r="F46" s="198">
        <v>102</v>
      </c>
      <c r="G46" s="199">
        <v>2231</v>
      </c>
      <c r="H46" s="199">
        <v>2721</v>
      </c>
      <c r="I46" s="199">
        <v>5060</v>
      </c>
    </row>
    <row r="47" spans="1:9" x14ac:dyDescent="0.45">
      <c r="A47" s="198">
        <v>104</v>
      </c>
      <c r="B47" s="199">
        <v>1849</v>
      </c>
      <c r="C47" s="199">
        <v>2260</v>
      </c>
      <c r="D47" s="199">
        <v>4206</v>
      </c>
      <c r="E47" s="199">
        <v>122301</v>
      </c>
      <c r="F47" s="198">
        <v>101</v>
      </c>
      <c r="G47" s="199">
        <v>904</v>
      </c>
      <c r="H47" s="199">
        <v>1143</v>
      </c>
      <c r="I47" s="199">
        <v>2104</v>
      </c>
    </row>
    <row r="48" spans="1:9" x14ac:dyDescent="0.45">
      <c r="A48" s="198">
        <v>103</v>
      </c>
      <c r="B48" s="199">
        <v>1815</v>
      </c>
      <c r="C48" s="199">
        <v>2183</v>
      </c>
      <c r="D48" s="199">
        <v>4092</v>
      </c>
      <c r="E48" s="199">
        <v>126393</v>
      </c>
      <c r="F48" s="198">
        <v>100</v>
      </c>
      <c r="G48" s="199">
        <v>1065</v>
      </c>
      <c r="H48" s="199">
        <v>1270</v>
      </c>
      <c r="I48" s="199">
        <v>2382</v>
      </c>
    </row>
    <row r="49" spans="1:9" x14ac:dyDescent="0.45">
      <c r="A49" s="198">
        <v>102</v>
      </c>
      <c r="B49" s="199">
        <v>1847</v>
      </c>
      <c r="C49" s="199">
        <v>2129</v>
      </c>
      <c r="D49" s="199">
        <v>4076</v>
      </c>
      <c r="E49" s="199">
        <v>130469</v>
      </c>
      <c r="F49" s="198">
        <v>99</v>
      </c>
      <c r="G49" s="199">
        <v>2089</v>
      </c>
      <c r="H49" s="199">
        <v>2612</v>
      </c>
      <c r="I49" s="199">
        <v>4812</v>
      </c>
    </row>
    <row r="50" spans="1:9" x14ac:dyDescent="0.45">
      <c r="A50" s="198">
        <v>101</v>
      </c>
      <c r="B50" s="199">
        <v>1825</v>
      </c>
      <c r="C50" s="199">
        <v>2090</v>
      </c>
      <c r="D50" s="199">
        <v>3999</v>
      </c>
      <c r="E50" s="199">
        <v>134468</v>
      </c>
      <c r="F50" s="198">
        <v>98</v>
      </c>
      <c r="G50" s="199">
        <v>1012</v>
      </c>
      <c r="H50" s="199">
        <v>1383</v>
      </c>
      <c r="I50" s="199">
        <v>2453</v>
      </c>
    </row>
    <row r="51" spans="1:9" x14ac:dyDescent="0.45">
      <c r="A51" s="198">
        <v>100</v>
      </c>
      <c r="B51" s="199">
        <v>1815</v>
      </c>
      <c r="C51" s="199">
        <v>2214</v>
      </c>
      <c r="D51" s="199">
        <v>4137</v>
      </c>
      <c r="E51" s="199">
        <v>138605</v>
      </c>
      <c r="F51" s="198">
        <v>97</v>
      </c>
      <c r="G51" s="199">
        <v>1227</v>
      </c>
      <c r="H51" s="199">
        <v>1404</v>
      </c>
      <c r="I51" s="199">
        <v>2700</v>
      </c>
    </row>
    <row r="52" spans="1:9" x14ac:dyDescent="0.45">
      <c r="A52" s="198">
        <v>99</v>
      </c>
      <c r="B52" s="199">
        <v>3617</v>
      </c>
      <c r="C52" s="199">
        <v>4087</v>
      </c>
      <c r="D52" s="199">
        <v>7918</v>
      </c>
      <c r="E52" s="199">
        <v>146523</v>
      </c>
      <c r="F52" s="198">
        <v>96</v>
      </c>
      <c r="G52" s="199">
        <v>991</v>
      </c>
      <c r="H52" s="199">
        <v>1277</v>
      </c>
      <c r="I52" s="199">
        <v>2331</v>
      </c>
    </row>
    <row r="53" spans="1:9" x14ac:dyDescent="0.45">
      <c r="A53" s="198">
        <v>98</v>
      </c>
      <c r="B53" s="199">
        <v>1809</v>
      </c>
      <c r="C53" s="199">
        <v>2010</v>
      </c>
      <c r="D53" s="199">
        <v>3941</v>
      </c>
      <c r="E53" s="199">
        <v>150464</v>
      </c>
      <c r="F53" s="198">
        <v>95</v>
      </c>
      <c r="G53" s="199">
        <v>2311</v>
      </c>
      <c r="H53" s="199">
        <v>2953</v>
      </c>
      <c r="I53" s="199">
        <v>5389</v>
      </c>
    </row>
    <row r="54" spans="1:9" x14ac:dyDescent="0.45">
      <c r="A54" s="198">
        <v>97</v>
      </c>
      <c r="B54" s="199">
        <v>1714</v>
      </c>
      <c r="C54" s="199">
        <v>1980</v>
      </c>
      <c r="D54" s="199">
        <v>3784</v>
      </c>
      <c r="E54" s="199">
        <v>154248</v>
      </c>
      <c r="F54" s="198">
        <v>94</v>
      </c>
      <c r="G54" s="199">
        <v>1162</v>
      </c>
      <c r="H54" s="199">
        <v>1396</v>
      </c>
      <c r="I54" s="199">
        <v>2628</v>
      </c>
    </row>
    <row r="55" spans="1:9" x14ac:dyDescent="0.45">
      <c r="A55" s="198">
        <v>96</v>
      </c>
      <c r="B55" s="199">
        <v>1654</v>
      </c>
      <c r="C55" s="199">
        <v>1950</v>
      </c>
      <c r="D55" s="199">
        <v>3719</v>
      </c>
      <c r="E55" s="199">
        <v>157967</v>
      </c>
      <c r="F55" s="198">
        <v>93</v>
      </c>
      <c r="G55" s="199">
        <v>1126</v>
      </c>
      <c r="H55" s="199">
        <v>1406</v>
      </c>
      <c r="I55" s="199">
        <v>2590</v>
      </c>
    </row>
    <row r="56" spans="1:9" x14ac:dyDescent="0.45">
      <c r="A56" s="198">
        <v>95</v>
      </c>
      <c r="B56" s="199">
        <v>1587</v>
      </c>
      <c r="C56" s="199">
        <v>1909</v>
      </c>
      <c r="D56" s="199">
        <v>3605</v>
      </c>
      <c r="E56" s="199">
        <v>161572</v>
      </c>
      <c r="F56" s="198">
        <v>92</v>
      </c>
      <c r="G56" s="199">
        <v>2620</v>
      </c>
      <c r="H56" s="199">
        <v>3324</v>
      </c>
      <c r="I56" s="199">
        <v>6101</v>
      </c>
    </row>
    <row r="57" spans="1:9" x14ac:dyDescent="0.45">
      <c r="A57" s="198">
        <v>94</v>
      </c>
      <c r="B57" s="199">
        <v>1668</v>
      </c>
      <c r="C57" s="199">
        <v>1849</v>
      </c>
      <c r="D57" s="199">
        <v>3636</v>
      </c>
      <c r="E57" s="199">
        <v>165208</v>
      </c>
      <c r="F57" s="198">
        <v>91</v>
      </c>
      <c r="G57" s="199">
        <v>1235</v>
      </c>
      <c r="H57" s="199">
        <v>1464</v>
      </c>
      <c r="I57" s="199">
        <v>2776</v>
      </c>
    </row>
    <row r="58" spans="1:9" x14ac:dyDescent="0.45">
      <c r="A58" s="198">
        <v>93</v>
      </c>
      <c r="B58" s="199">
        <v>1572</v>
      </c>
      <c r="C58" s="199">
        <v>1770</v>
      </c>
      <c r="D58" s="199">
        <v>3449</v>
      </c>
      <c r="E58" s="199">
        <v>168657</v>
      </c>
      <c r="F58" s="198">
        <v>90</v>
      </c>
      <c r="G58" s="199">
        <v>1463</v>
      </c>
      <c r="H58" s="199">
        <v>1816</v>
      </c>
      <c r="I58" s="199">
        <v>3366</v>
      </c>
    </row>
    <row r="59" spans="1:9" x14ac:dyDescent="0.45">
      <c r="A59" s="198">
        <v>92</v>
      </c>
      <c r="B59" s="199">
        <v>1596</v>
      </c>
      <c r="C59" s="199">
        <v>1872</v>
      </c>
      <c r="D59" s="199">
        <v>3579</v>
      </c>
      <c r="E59" s="199">
        <v>172236</v>
      </c>
      <c r="F59" s="198">
        <v>89</v>
      </c>
      <c r="G59" s="199">
        <v>1434</v>
      </c>
      <c r="H59" s="199">
        <v>1722</v>
      </c>
      <c r="I59" s="199">
        <v>3234</v>
      </c>
    </row>
    <row r="60" spans="1:9" x14ac:dyDescent="0.45">
      <c r="A60" s="198">
        <v>91</v>
      </c>
      <c r="B60" s="199">
        <v>1635</v>
      </c>
      <c r="C60" s="199">
        <v>1766</v>
      </c>
      <c r="D60" s="199">
        <v>3507</v>
      </c>
      <c r="E60" s="199">
        <v>175743</v>
      </c>
      <c r="F60" s="198">
        <v>88</v>
      </c>
      <c r="G60" s="199">
        <v>2805</v>
      </c>
      <c r="H60" s="199">
        <v>3541</v>
      </c>
      <c r="I60" s="199">
        <v>6504</v>
      </c>
    </row>
    <row r="61" spans="1:9" x14ac:dyDescent="0.45">
      <c r="A61" s="198">
        <v>90</v>
      </c>
      <c r="B61" s="199">
        <v>1583</v>
      </c>
      <c r="C61" s="199">
        <v>1832</v>
      </c>
      <c r="D61" s="199">
        <v>3522</v>
      </c>
      <c r="E61" s="199">
        <v>179265</v>
      </c>
      <c r="F61" s="198">
        <v>87</v>
      </c>
      <c r="G61" s="199">
        <v>1660</v>
      </c>
      <c r="H61" s="199">
        <v>1995</v>
      </c>
      <c r="I61" s="199">
        <v>3747</v>
      </c>
    </row>
    <row r="62" spans="1:9" x14ac:dyDescent="0.45">
      <c r="A62" s="198">
        <v>89</v>
      </c>
      <c r="B62" s="199">
        <v>1555</v>
      </c>
      <c r="C62" s="199">
        <v>1637</v>
      </c>
      <c r="D62" s="199">
        <v>3288</v>
      </c>
      <c r="E62" s="199">
        <v>182553</v>
      </c>
      <c r="F62" s="198">
        <v>86</v>
      </c>
      <c r="G62" s="199">
        <v>1484</v>
      </c>
      <c r="H62" s="199">
        <v>1890</v>
      </c>
      <c r="I62" s="199">
        <v>3479</v>
      </c>
    </row>
    <row r="63" spans="1:9" x14ac:dyDescent="0.45">
      <c r="A63" s="198">
        <v>88</v>
      </c>
      <c r="B63" s="199">
        <v>1585</v>
      </c>
      <c r="C63" s="199">
        <v>1705</v>
      </c>
      <c r="D63" s="199">
        <v>3405</v>
      </c>
      <c r="E63" s="199">
        <v>185958</v>
      </c>
      <c r="F63" s="198">
        <v>85</v>
      </c>
      <c r="G63" s="199">
        <v>3617</v>
      </c>
      <c r="H63" s="199">
        <v>4248</v>
      </c>
      <c r="I63" s="199">
        <v>8071</v>
      </c>
    </row>
    <row r="64" spans="1:9" x14ac:dyDescent="0.45">
      <c r="A64" s="198">
        <v>87</v>
      </c>
      <c r="B64" s="199">
        <v>3281</v>
      </c>
      <c r="C64" s="199">
        <v>3180</v>
      </c>
      <c r="D64" s="199">
        <v>6674</v>
      </c>
      <c r="E64" s="199">
        <v>192632</v>
      </c>
      <c r="F64" s="198">
        <v>84</v>
      </c>
      <c r="G64" s="199">
        <v>1897</v>
      </c>
      <c r="H64" s="199">
        <v>2238</v>
      </c>
      <c r="I64" s="199">
        <v>4256</v>
      </c>
    </row>
    <row r="65" spans="1:9" x14ac:dyDescent="0.45">
      <c r="A65" s="198">
        <v>86</v>
      </c>
      <c r="B65" s="199">
        <v>1707</v>
      </c>
      <c r="C65" s="199">
        <v>1571</v>
      </c>
      <c r="D65" s="199">
        <v>3397</v>
      </c>
      <c r="E65" s="199">
        <v>196029</v>
      </c>
      <c r="F65" s="198">
        <v>83</v>
      </c>
      <c r="G65" s="199">
        <v>2077</v>
      </c>
      <c r="H65" s="199">
        <v>2451</v>
      </c>
      <c r="I65" s="199">
        <v>4640</v>
      </c>
    </row>
    <row r="66" spans="1:9" x14ac:dyDescent="0.45">
      <c r="A66" s="198">
        <v>85</v>
      </c>
      <c r="B66" s="199">
        <v>1686</v>
      </c>
      <c r="C66" s="199">
        <v>1558</v>
      </c>
      <c r="D66" s="199">
        <v>3367</v>
      </c>
      <c r="E66" s="199">
        <v>199396</v>
      </c>
      <c r="F66" s="198">
        <v>82</v>
      </c>
      <c r="G66" s="199">
        <v>1899</v>
      </c>
      <c r="H66" s="199">
        <v>2294</v>
      </c>
      <c r="I66" s="199">
        <v>4315</v>
      </c>
    </row>
    <row r="67" spans="1:9" x14ac:dyDescent="0.45">
      <c r="A67" s="198">
        <v>84</v>
      </c>
      <c r="B67" s="199">
        <v>1813</v>
      </c>
      <c r="C67" s="199">
        <v>1531</v>
      </c>
      <c r="D67" s="199">
        <v>3480</v>
      </c>
      <c r="E67" s="199">
        <v>202876</v>
      </c>
      <c r="F67" s="198">
        <v>81</v>
      </c>
      <c r="G67" s="199">
        <v>5618</v>
      </c>
      <c r="H67" s="199">
        <v>5735</v>
      </c>
      <c r="I67" s="199">
        <v>11742</v>
      </c>
    </row>
    <row r="68" spans="1:9" x14ac:dyDescent="0.45">
      <c r="A68" s="198">
        <v>83</v>
      </c>
      <c r="B68" s="199">
        <v>1756</v>
      </c>
      <c r="C68" s="199">
        <v>1503</v>
      </c>
      <c r="D68" s="199">
        <v>3396</v>
      </c>
      <c r="E68" s="199">
        <v>206272</v>
      </c>
      <c r="F68" s="198">
        <v>80</v>
      </c>
      <c r="G68" s="199">
        <v>2709</v>
      </c>
      <c r="H68" s="199">
        <v>2924</v>
      </c>
      <c r="I68" s="199">
        <v>5814</v>
      </c>
    </row>
    <row r="69" spans="1:9" x14ac:dyDescent="0.45">
      <c r="A69" s="198">
        <v>82</v>
      </c>
      <c r="B69" s="199">
        <v>1814</v>
      </c>
      <c r="C69" s="199">
        <v>1392</v>
      </c>
      <c r="D69" s="199">
        <v>3347</v>
      </c>
      <c r="E69" s="199">
        <v>209619</v>
      </c>
      <c r="F69" s="198">
        <v>79</v>
      </c>
      <c r="G69" s="199">
        <v>2840</v>
      </c>
      <c r="H69" s="199">
        <v>2736</v>
      </c>
      <c r="I69" s="199">
        <v>5759</v>
      </c>
    </row>
    <row r="70" spans="1:9" x14ac:dyDescent="0.45">
      <c r="A70" s="198">
        <v>81</v>
      </c>
      <c r="B70" s="199">
        <v>1947</v>
      </c>
      <c r="C70" s="199">
        <v>1482</v>
      </c>
      <c r="D70" s="199">
        <v>3577</v>
      </c>
      <c r="E70" s="199">
        <v>213196</v>
      </c>
      <c r="F70" s="198">
        <v>78</v>
      </c>
      <c r="G70" s="199">
        <v>14594</v>
      </c>
      <c r="H70" s="199">
        <v>11484</v>
      </c>
      <c r="I70" s="199">
        <v>27369</v>
      </c>
    </row>
    <row r="71" spans="1:9" x14ac:dyDescent="0.45">
      <c r="A71" s="198">
        <v>80</v>
      </c>
      <c r="B71" s="199">
        <v>1836</v>
      </c>
      <c r="C71" s="199">
        <v>1353</v>
      </c>
      <c r="D71" s="199">
        <v>3333</v>
      </c>
      <c r="E71" s="199">
        <v>216529</v>
      </c>
      <c r="F71" s="198">
        <v>77</v>
      </c>
      <c r="G71" s="199">
        <v>1484</v>
      </c>
      <c r="H71" s="199">
        <v>1657</v>
      </c>
      <c r="I71" s="199">
        <v>3243</v>
      </c>
    </row>
    <row r="72" spans="1:9" x14ac:dyDescent="0.45">
      <c r="A72" s="198">
        <v>79</v>
      </c>
      <c r="B72" s="199">
        <v>1984</v>
      </c>
      <c r="C72" s="199">
        <v>1494</v>
      </c>
      <c r="D72" s="199">
        <v>3633</v>
      </c>
      <c r="E72" s="199">
        <v>220162</v>
      </c>
      <c r="F72" s="198">
        <v>76</v>
      </c>
      <c r="G72" s="199">
        <v>1443</v>
      </c>
      <c r="H72" s="199">
        <v>1402</v>
      </c>
      <c r="I72" s="199">
        <v>2932</v>
      </c>
    </row>
    <row r="73" spans="1:9" x14ac:dyDescent="0.45">
      <c r="A73" s="198">
        <v>78</v>
      </c>
      <c r="B73" s="199">
        <v>1959</v>
      </c>
      <c r="C73" s="199">
        <v>1310</v>
      </c>
      <c r="D73" s="199">
        <v>3433</v>
      </c>
      <c r="E73" s="199">
        <v>223595</v>
      </c>
      <c r="F73" s="198">
        <v>75</v>
      </c>
      <c r="G73" s="199">
        <v>4213</v>
      </c>
      <c r="H73" s="199">
        <v>3626</v>
      </c>
      <c r="I73" s="199">
        <v>8155</v>
      </c>
    </row>
    <row r="74" spans="1:9" x14ac:dyDescent="0.45">
      <c r="A74" s="198">
        <v>77</v>
      </c>
      <c r="B74" s="199">
        <v>2122</v>
      </c>
      <c r="C74" s="199">
        <v>1402</v>
      </c>
      <c r="D74" s="199">
        <v>3711</v>
      </c>
      <c r="E74" s="199">
        <v>227306</v>
      </c>
      <c r="F74" s="198">
        <v>74</v>
      </c>
      <c r="G74" s="199">
        <v>765</v>
      </c>
      <c r="H74" s="199">
        <v>622</v>
      </c>
      <c r="I74" s="199">
        <v>1432</v>
      </c>
    </row>
    <row r="75" spans="1:9" x14ac:dyDescent="0.45">
      <c r="A75" s="198">
        <v>76</v>
      </c>
      <c r="B75" s="199">
        <v>1900</v>
      </c>
      <c r="C75" s="199">
        <v>1209</v>
      </c>
      <c r="D75" s="199">
        <v>3279</v>
      </c>
      <c r="E75" s="199">
        <v>230585</v>
      </c>
      <c r="F75" s="198">
        <v>73</v>
      </c>
      <c r="G75" s="199">
        <v>754</v>
      </c>
      <c r="H75" s="199">
        <v>660</v>
      </c>
      <c r="I75" s="199">
        <v>1462</v>
      </c>
    </row>
    <row r="76" spans="1:9" x14ac:dyDescent="0.45">
      <c r="A76" s="198">
        <v>75</v>
      </c>
      <c r="B76" s="199">
        <v>4901</v>
      </c>
      <c r="C76" s="199">
        <v>2918</v>
      </c>
      <c r="D76" s="199">
        <v>8326</v>
      </c>
      <c r="E76" s="199">
        <v>238911</v>
      </c>
      <c r="F76" s="198">
        <v>72</v>
      </c>
      <c r="G76" s="199">
        <v>573</v>
      </c>
      <c r="H76" s="199">
        <v>454</v>
      </c>
      <c r="I76" s="199">
        <v>1055</v>
      </c>
    </row>
    <row r="77" spans="1:9" x14ac:dyDescent="0.45">
      <c r="A77" s="198">
        <v>74</v>
      </c>
      <c r="B77" s="199">
        <v>3127</v>
      </c>
      <c r="C77" s="199">
        <v>1503</v>
      </c>
      <c r="D77" s="199">
        <v>4940</v>
      </c>
      <c r="E77" s="199">
        <v>243851</v>
      </c>
      <c r="F77" s="198">
        <v>71</v>
      </c>
      <c r="G77" s="199">
        <v>699</v>
      </c>
      <c r="H77" s="199">
        <v>555</v>
      </c>
      <c r="I77" s="199">
        <v>1322</v>
      </c>
    </row>
    <row r="78" spans="1:9" x14ac:dyDescent="0.45">
      <c r="A78" s="198">
        <v>73</v>
      </c>
      <c r="B78" s="199">
        <v>1715</v>
      </c>
      <c r="C78" s="199">
        <v>923</v>
      </c>
      <c r="D78" s="199">
        <v>2783</v>
      </c>
      <c r="E78" s="199">
        <v>246634</v>
      </c>
      <c r="F78" s="198">
        <v>70</v>
      </c>
      <c r="G78" s="199">
        <v>239</v>
      </c>
      <c r="H78" s="199">
        <v>191</v>
      </c>
      <c r="I78" s="199">
        <v>444</v>
      </c>
    </row>
    <row r="79" spans="1:9" x14ac:dyDescent="0.45">
      <c r="A79" s="198">
        <v>72</v>
      </c>
      <c r="B79" s="199">
        <v>8368</v>
      </c>
      <c r="C79" s="199">
        <v>3184</v>
      </c>
      <c r="D79" s="199">
        <v>12595</v>
      </c>
      <c r="E79" s="199">
        <v>259229</v>
      </c>
      <c r="F79" s="198">
        <v>69</v>
      </c>
      <c r="G79" s="199">
        <v>181</v>
      </c>
      <c r="H79" s="199">
        <v>119</v>
      </c>
      <c r="I79" s="199">
        <v>315</v>
      </c>
    </row>
    <row r="80" spans="1:9" x14ac:dyDescent="0.45">
      <c r="A80" s="198">
        <v>71</v>
      </c>
      <c r="B80" s="199">
        <v>1445</v>
      </c>
      <c r="C80" s="199">
        <v>735</v>
      </c>
      <c r="D80" s="199">
        <v>2322</v>
      </c>
      <c r="E80" s="199">
        <v>261551</v>
      </c>
      <c r="F80" s="198">
        <v>68</v>
      </c>
      <c r="G80" s="199">
        <v>852</v>
      </c>
      <c r="H80" s="199">
        <v>400</v>
      </c>
      <c r="I80" s="199">
        <v>1380</v>
      </c>
    </row>
    <row r="81" spans="1:9" x14ac:dyDescent="0.45">
      <c r="A81" s="198">
        <v>70</v>
      </c>
      <c r="B81" s="199">
        <v>1419</v>
      </c>
      <c r="C81" s="199">
        <v>725</v>
      </c>
      <c r="D81" s="199">
        <v>2259</v>
      </c>
      <c r="E81" s="199">
        <v>263810</v>
      </c>
      <c r="F81" s="198"/>
      <c r="G81" s="199"/>
      <c r="H81" s="199"/>
      <c r="I81" s="199"/>
    </row>
    <row r="82" spans="1:9" x14ac:dyDescent="0.45">
      <c r="A82" s="198">
        <v>69</v>
      </c>
      <c r="B82" s="199">
        <v>1069</v>
      </c>
      <c r="C82" s="199">
        <v>500</v>
      </c>
      <c r="D82" s="199">
        <v>1667</v>
      </c>
      <c r="E82" s="199">
        <v>265477</v>
      </c>
      <c r="F82" s="198"/>
      <c r="G82" s="199"/>
      <c r="H82" s="199"/>
      <c r="I82" s="199"/>
    </row>
    <row r="83" spans="1:9" x14ac:dyDescent="0.45">
      <c r="A83" s="198">
        <v>68</v>
      </c>
      <c r="B83" s="199">
        <v>982</v>
      </c>
      <c r="C83" s="199">
        <v>424</v>
      </c>
      <c r="D83" s="199">
        <v>1500</v>
      </c>
      <c r="E83" s="199">
        <v>266977</v>
      </c>
      <c r="F83" s="198"/>
      <c r="G83" s="199"/>
      <c r="H83" s="199"/>
      <c r="I83" s="199"/>
    </row>
    <row r="84" spans="1:9" x14ac:dyDescent="0.45">
      <c r="A84" s="198">
        <v>67</v>
      </c>
      <c r="B84" s="199">
        <v>762</v>
      </c>
      <c r="C84" s="199">
        <v>338</v>
      </c>
      <c r="D84" s="199">
        <v>1164</v>
      </c>
      <c r="E84" s="199">
        <v>268141</v>
      </c>
      <c r="F84" s="198"/>
      <c r="G84" s="199"/>
      <c r="H84" s="199"/>
      <c r="I84" s="199"/>
    </row>
    <row r="85" spans="1:9" x14ac:dyDescent="0.45">
      <c r="A85" s="198">
        <v>66</v>
      </c>
      <c r="B85" s="199">
        <v>681</v>
      </c>
      <c r="C85" s="199">
        <v>286</v>
      </c>
      <c r="D85" s="199">
        <v>1041</v>
      </c>
      <c r="E85" s="199">
        <v>269182</v>
      </c>
      <c r="F85" s="198"/>
      <c r="G85" s="199"/>
      <c r="H85" s="199"/>
      <c r="I85" s="199"/>
    </row>
    <row r="86" spans="1:9" x14ac:dyDescent="0.45">
      <c r="A86" s="198">
        <v>65</v>
      </c>
      <c r="B86" s="199">
        <v>594</v>
      </c>
      <c r="C86" s="199">
        <v>223</v>
      </c>
      <c r="D86" s="199">
        <v>888</v>
      </c>
      <c r="E86" s="199">
        <v>270070</v>
      </c>
      <c r="F86" s="198"/>
      <c r="G86" s="199"/>
      <c r="H86" s="199"/>
      <c r="I86" s="199"/>
    </row>
    <row r="87" spans="1:9" x14ac:dyDescent="0.45">
      <c r="A87" s="198">
        <v>64</v>
      </c>
      <c r="B87" s="199">
        <v>294</v>
      </c>
      <c r="C87" s="199">
        <v>151</v>
      </c>
      <c r="D87" s="199">
        <v>478</v>
      </c>
      <c r="E87" s="199">
        <v>270548</v>
      </c>
      <c r="F87" s="198"/>
      <c r="G87" s="199"/>
      <c r="H87" s="199"/>
      <c r="I87" s="199"/>
    </row>
    <row r="88" spans="1:9" x14ac:dyDescent="0.45">
      <c r="A88" s="198">
        <v>63</v>
      </c>
      <c r="B88" s="199">
        <v>424</v>
      </c>
      <c r="C88" s="199">
        <v>177</v>
      </c>
      <c r="D88" s="199">
        <v>646</v>
      </c>
      <c r="E88" s="199">
        <v>271194</v>
      </c>
      <c r="F88" s="198"/>
      <c r="G88" s="199"/>
      <c r="H88" s="199"/>
      <c r="I88" s="199"/>
    </row>
    <row r="89" spans="1:9" x14ac:dyDescent="0.45">
      <c r="A89" s="198">
        <v>62</v>
      </c>
      <c r="B89" s="199">
        <v>149</v>
      </c>
      <c r="C89" s="199">
        <v>39</v>
      </c>
      <c r="D89" s="199">
        <v>200</v>
      </c>
      <c r="E89" s="199">
        <v>271394</v>
      </c>
      <c r="F89" s="198"/>
      <c r="G89" s="199"/>
      <c r="H89" s="199"/>
      <c r="I89" s="199"/>
    </row>
    <row r="90" spans="1:9" x14ac:dyDescent="0.45">
      <c r="A90" s="198">
        <v>61</v>
      </c>
      <c r="B90" s="199">
        <v>71</v>
      </c>
      <c r="C90" s="199">
        <v>32</v>
      </c>
      <c r="D90" s="199">
        <v>113</v>
      </c>
      <c r="E90" s="199">
        <v>271507</v>
      </c>
      <c r="F90" s="198"/>
      <c r="G90" s="199"/>
      <c r="H90" s="199"/>
      <c r="I90" s="199"/>
    </row>
    <row r="91" spans="1:9" x14ac:dyDescent="0.45">
      <c r="A91" s="198">
        <v>60</v>
      </c>
      <c r="B91" s="199">
        <v>71</v>
      </c>
      <c r="C91" s="199">
        <v>30</v>
      </c>
      <c r="D91" s="199">
        <v>112</v>
      </c>
      <c r="E91" s="199">
        <v>271619</v>
      </c>
      <c r="F91" s="198"/>
      <c r="G91" s="199"/>
      <c r="H91" s="199"/>
      <c r="I91" s="199"/>
    </row>
    <row r="92" spans="1:9" x14ac:dyDescent="0.45">
      <c r="A92" s="198">
        <v>59</v>
      </c>
      <c r="B92" s="199">
        <v>31</v>
      </c>
      <c r="C92" s="199">
        <v>14</v>
      </c>
      <c r="D92" s="199">
        <v>47</v>
      </c>
      <c r="E92" s="199">
        <v>271666</v>
      </c>
      <c r="F92" s="198"/>
      <c r="G92" s="199"/>
      <c r="H92" s="199"/>
      <c r="I92" s="199"/>
    </row>
    <row r="93" spans="1:9" x14ac:dyDescent="0.45">
      <c r="A93" s="198">
        <v>58</v>
      </c>
      <c r="B93" s="199">
        <v>72</v>
      </c>
      <c r="C93" s="199">
        <v>25</v>
      </c>
      <c r="D93" s="199">
        <v>104</v>
      </c>
      <c r="E93" s="199">
        <v>271770</v>
      </c>
      <c r="F93" s="198"/>
      <c r="G93" s="199"/>
      <c r="H93" s="199"/>
      <c r="I93" s="199"/>
    </row>
    <row r="94" spans="1:9" x14ac:dyDescent="0.45">
      <c r="A94" s="198">
        <v>57</v>
      </c>
      <c r="B94" s="199">
        <v>6</v>
      </c>
      <c r="C94" s="199">
        <v>1</v>
      </c>
      <c r="D94" s="199">
        <v>7</v>
      </c>
      <c r="E94" s="199">
        <v>271777</v>
      </c>
      <c r="F94" s="198"/>
      <c r="G94" s="199"/>
      <c r="H94" s="199"/>
      <c r="I94" s="199"/>
    </row>
    <row r="95" spans="1:9" x14ac:dyDescent="0.45">
      <c r="A95" s="198">
        <v>56</v>
      </c>
      <c r="B95" s="199">
        <v>59</v>
      </c>
      <c r="C95" s="199">
        <v>19</v>
      </c>
      <c r="D95" s="199">
        <v>88</v>
      </c>
      <c r="E95" s="199">
        <v>271865</v>
      </c>
      <c r="F95" s="198"/>
      <c r="G95" s="199"/>
      <c r="H95" s="199"/>
      <c r="I95" s="199"/>
    </row>
    <row r="96" spans="1:9" x14ac:dyDescent="0.45">
      <c r="A96" s="198">
        <v>54</v>
      </c>
      <c r="B96" s="199">
        <v>708</v>
      </c>
      <c r="C96" s="199">
        <v>261</v>
      </c>
      <c r="D96" s="199">
        <v>1131</v>
      </c>
      <c r="E96" s="199">
        <v>272996</v>
      </c>
      <c r="F96" s="198"/>
      <c r="G96" s="199"/>
      <c r="H96" s="199"/>
      <c r="I96" s="199"/>
    </row>
    <row r="97" spans="1:9" x14ac:dyDescent="0.45">
      <c r="A97" s="9"/>
      <c r="D97" s="10"/>
      <c r="F97" s="9"/>
      <c r="I97" s="10"/>
    </row>
    <row r="98" spans="1:9" x14ac:dyDescent="0.45">
      <c r="A98" s="9"/>
      <c r="D98" s="10"/>
      <c r="F98" s="9"/>
      <c r="I98" s="10"/>
    </row>
    <row r="99" spans="1:9" x14ac:dyDescent="0.45">
      <c r="A99" s="9"/>
      <c r="D99" s="10"/>
      <c r="F99" s="9"/>
      <c r="I99" s="10"/>
    </row>
    <row r="100" spans="1:9" x14ac:dyDescent="0.45">
      <c r="A100" s="9"/>
      <c r="D100" s="10"/>
      <c r="F100" s="9"/>
      <c r="I100" s="10"/>
    </row>
    <row r="101" spans="1:9" x14ac:dyDescent="0.45">
      <c r="A101" s="9"/>
      <c r="D101" s="10"/>
      <c r="F101" s="9"/>
      <c r="I101" s="10"/>
    </row>
    <row r="102" spans="1:9" ht="17.5" thickBot="1" x14ac:dyDescent="0.5">
      <c r="A102" s="11"/>
      <c r="B102" s="13"/>
      <c r="C102" s="13"/>
      <c r="D102" s="12"/>
      <c r="F102" s="11"/>
      <c r="G102" s="13"/>
      <c r="H102" s="13"/>
      <c r="I1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S224"/>
  <sheetViews>
    <sheetView topLeftCell="A108" workbookViewId="0">
      <selection activeCell="A121" sqref="A121:D162"/>
    </sheetView>
  </sheetViews>
  <sheetFormatPr defaultRowHeight="17" x14ac:dyDescent="0.45"/>
  <sheetData>
    <row r="1" spans="1:19" x14ac:dyDescent="0.45">
      <c r="A1" s="15"/>
    </row>
    <row r="2" spans="1:19" ht="17.5" thickBot="1" x14ac:dyDescent="0.5"/>
    <row r="3" spans="1:19" x14ac:dyDescent="0.45">
      <c r="A3" s="45" t="s">
        <v>9</v>
      </c>
      <c r="B3" s="46"/>
      <c r="C3" s="46"/>
      <c r="D3" s="47"/>
      <c r="F3" s="45" t="s">
        <v>10</v>
      </c>
      <c r="G3" s="46"/>
      <c r="H3" s="46"/>
      <c r="I3" s="47"/>
      <c r="K3" s="45" t="s">
        <v>11</v>
      </c>
      <c r="L3" s="46"/>
      <c r="M3" s="46"/>
      <c r="N3" s="47"/>
      <c r="P3" s="45" t="s">
        <v>12</v>
      </c>
      <c r="Q3" s="46"/>
      <c r="R3" s="46"/>
      <c r="S3" s="47"/>
    </row>
    <row r="4" spans="1:19" x14ac:dyDescent="0.4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  <c r="K4" s="6" t="s">
        <v>6</v>
      </c>
      <c r="L4" s="1"/>
      <c r="M4" s="1"/>
      <c r="N4" s="7" t="s">
        <v>7</v>
      </c>
      <c r="P4" s="6" t="s">
        <v>6</v>
      </c>
      <c r="Q4" s="1"/>
      <c r="R4" s="1"/>
      <c r="S4" s="7" t="s">
        <v>7</v>
      </c>
    </row>
    <row r="5" spans="1:19" x14ac:dyDescent="0.45">
      <c r="A5" s="198">
        <v>66</v>
      </c>
      <c r="B5" s="199">
        <v>542</v>
      </c>
      <c r="C5" s="199">
        <v>1252</v>
      </c>
      <c r="D5" s="199">
        <v>1802</v>
      </c>
      <c r="E5" s="199">
        <v>1802</v>
      </c>
      <c r="F5" s="198">
        <v>71</v>
      </c>
      <c r="G5" s="199">
        <v>241</v>
      </c>
      <c r="H5" s="199">
        <v>398</v>
      </c>
      <c r="I5" s="199">
        <v>646</v>
      </c>
      <c r="J5" s="199">
        <v>646</v>
      </c>
      <c r="K5" s="198">
        <v>70</v>
      </c>
      <c r="L5" s="199">
        <v>183</v>
      </c>
      <c r="M5" s="199">
        <v>165</v>
      </c>
      <c r="N5" s="199">
        <v>351</v>
      </c>
      <c r="O5" s="199">
        <v>351</v>
      </c>
      <c r="P5" s="198">
        <v>68</v>
      </c>
      <c r="Q5" s="199">
        <v>320</v>
      </c>
      <c r="R5" s="199">
        <v>280</v>
      </c>
      <c r="S5" s="199">
        <v>608</v>
      </c>
    </row>
    <row r="6" spans="1:19" x14ac:dyDescent="0.45">
      <c r="A6" s="198">
        <v>64</v>
      </c>
      <c r="B6" s="199">
        <v>975</v>
      </c>
      <c r="C6" s="199">
        <v>2225</v>
      </c>
      <c r="D6" s="199">
        <v>3241</v>
      </c>
      <c r="E6" s="199">
        <v>5043</v>
      </c>
      <c r="F6" s="198">
        <v>69</v>
      </c>
      <c r="G6" s="199">
        <v>97</v>
      </c>
      <c r="H6" s="199">
        <v>248</v>
      </c>
      <c r="I6" s="199">
        <v>349</v>
      </c>
      <c r="J6" s="199">
        <v>995</v>
      </c>
      <c r="K6" s="198">
        <v>68</v>
      </c>
      <c r="L6" s="199">
        <v>152</v>
      </c>
      <c r="M6" s="199">
        <v>169</v>
      </c>
      <c r="N6" s="199">
        <v>325</v>
      </c>
      <c r="O6" s="199">
        <v>676</v>
      </c>
      <c r="P6" s="198">
        <v>66</v>
      </c>
      <c r="Q6" s="199">
        <v>140</v>
      </c>
      <c r="R6" s="199">
        <v>142</v>
      </c>
      <c r="S6" s="199">
        <v>283</v>
      </c>
    </row>
    <row r="7" spans="1:19" x14ac:dyDescent="0.45">
      <c r="A7" s="198">
        <v>63</v>
      </c>
      <c r="B7" s="199">
        <v>100</v>
      </c>
      <c r="C7" s="199">
        <v>184</v>
      </c>
      <c r="D7" s="199">
        <v>286</v>
      </c>
      <c r="E7" s="199">
        <v>5329</v>
      </c>
      <c r="F7" s="198">
        <v>68</v>
      </c>
      <c r="G7" s="199">
        <v>195</v>
      </c>
      <c r="H7" s="199">
        <v>430</v>
      </c>
      <c r="I7" s="199">
        <v>630</v>
      </c>
      <c r="J7" s="199">
        <v>1625</v>
      </c>
      <c r="K7" s="198">
        <v>67</v>
      </c>
      <c r="L7" s="199">
        <v>225</v>
      </c>
      <c r="M7" s="199">
        <v>250</v>
      </c>
      <c r="N7" s="199">
        <v>481</v>
      </c>
      <c r="O7" s="199">
        <v>1157</v>
      </c>
      <c r="P7" s="198">
        <v>65</v>
      </c>
      <c r="Q7" s="199">
        <v>263</v>
      </c>
      <c r="R7" s="199">
        <v>232</v>
      </c>
      <c r="S7" s="199">
        <v>499</v>
      </c>
    </row>
    <row r="8" spans="1:19" x14ac:dyDescent="0.45">
      <c r="A8" s="198">
        <v>62</v>
      </c>
      <c r="B8" s="199">
        <v>587</v>
      </c>
      <c r="C8" s="199">
        <v>1242</v>
      </c>
      <c r="D8" s="199">
        <v>1848</v>
      </c>
      <c r="E8" s="199">
        <v>7177</v>
      </c>
      <c r="F8" s="198">
        <v>67</v>
      </c>
      <c r="G8" s="199">
        <v>47</v>
      </c>
      <c r="H8" s="199">
        <v>84</v>
      </c>
      <c r="I8" s="199">
        <v>133</v>
      </c>
      <c r="J8" s="199">
        <v>1758</v>
      </c>
      <c r="K8" s="198">
        <v>66</v>
      </c>
      <c r="L8" s="199">
        <v>222</v>
      </c>
      <c r="M8" s="199">
        <v>253</v>
      </c>
      <c r="N8" s="199">
        <v>482</v>
      </c>
      <c r="O8" s="199">
        <v>1639</v>
      </c>
      <c r="P8" s="198">
        <v>64</v>
      </c>
      <c r="Q8" s="199">
        <v>276</v>
      </c>
      <c r="R8" s="199">
        <v>299</v>
      </c>
      <c r="S8" s="199">
        <v>581</v>
      </c>
    </row>
    <row r="9" spans="1:19" x14ac:dyDescent="0.45">
      <c r="A9" s="198">
        <v>61</v>
      </c>
      <c r="B9" s="199">
        <v>693</v>
      </c>
      <c r="C9" s="199">
        <v>1534</v>
      </c>
      <c r="D9" s="199">
        <v>2257</v>
      </c>
      <c r="E9" s="199">
        <v>9434</v>
      </c>
      <c r="F9" s="198">
        <v>66</v>
      </c>
      <c r="G9" s="199">
        <v>333</v>
      </c>
      <c r="H9" s="199">
        <v>766</v>
      </c>
      <c r="I9" s="199">
        <v>1116</v>
      </c>
      <c r="J9" s="199">
        <v>2874</v>
      </c>
      <c r="K9" s="198">
        <v>65</v>
      </c>
      <c r="L9" s="199">
        <v>123</v>
      </c>
      <c r="M9" s="199">
        <v>142</v>
      </c>
      <c r="N9" s="199">
        <v>269</v>
      </c>
      <c r="O9" s="199">
        <v>1908</v>
      </c>
      <c r="P9" s="198">
        <v>63</v>
      </c>
      <c r="Q9" s="199">
        <v>217</v>
      </c>
      <c r="R9" s="199">
        <v>184</v>
      </c>
      <c r="S9" s="199">
        <v>404</v>
      </c>
    </row>
    <row r="10" spans="1:19" x14ac:dyDescent="0.45">
      <c r="A10" s="198">
        <v>60</v>
      </c>
      <c r="B10" s="199">
        <v>982</v>
      </c>
      <c r="C10" s="199">
        <v>2313</v>
      </c>
      <c r="D10" s="199">
        <v>3328</v>
      </c>
      <c r="E10" s="199">
        <v>12762</v>
      </c>
      <c r="F10" s="198">
        <v>65</v>
      </c>
      <c r="G10" s="199">
        <v>101</v>
      </c>
      <c r="H10" s="199">
        <v>265</v>
      </c>
      <c r="I10" s="199">
        <v>370</v>
      </c>
      <c r="J10" s="199">
        <v>3244</v>
      </c>
      <c r="K10" s="198">
        <v>64</v>
      </c>
      <c r="L10" s="199">
        <v>193</v>
      </c>
      <c r="M10" s="199">
        <v>243</v>
      </c>
      <c r="N10" s="199">
        <v>439</v>
      </c>
      <c r="O10" s="199">
        <v>2347</v>
      </c>
      <c r="P10" s="198">
        <v>62</v>
      </c>
      <c r="Q10" s="199">
        <v>135</v>
      </c>
      <c r="R10" s="199">
        <v>148</v>
      </c>
      <c r="S10" s="199">
        <v>285</v>
      </c>
    </row>
    <row r="11" spans="1:19" x14ac:dyDescent="0.45">
      <c r="A11" s="198">
        <v>59</v>
      </c>
      <c r="B11" s="199">
        <v>550</v>
      </c>
      <c r="C11" s="199">
        <v>1237</v>
      </c>
      <c r="D11" s="199">
        <v>1798</v>
      </c>
      <c r="E11" s="199">
        <v>14560</v>
      </c>
      <c r="F11" s="198">
        <v>64</v>
      </c>
      <c r="G11" s="199">
        <v>244</v>
      </c>
      <c r="H11" s="199">
        <v>572</v>
      </c>
      <c r="I11" s="199">
        <v>832</v>
      </c>
      <c r="J11" s="199">
        <v>4076</v>
      </c>
      <c r="K11" s="198">
        <v>63</v>
      </c>
      <c r="L11" s="199">
        <v>359</v>
      </c>
      <c r="M11" s="199">
        <v>525</v>
      </c>
      <c r="N11" s="199">
        <v>889</v>
      </c>
      <c r="O11" s="199">
        <v>3236</v>
      </c>
      <c r="P11" s="198">
        <v>61</v>
      </c>
      <c r="Q11" s="199">
        <v>269</v>
      </c>
      <c r="R11" s="199">
        <v>255</v>
      </c>
      <c r="S11" s="199">
        <v>526</v>
      </c>
    </row>
    <row r="12" spans="1:19" x14ac:dyDescent="0.45">
      <c r="A12" s="198">
        <v>58</v>
      </c>
      <c r="B12" s="199">
        <v>467</v>
      </c>
      <c r="C12" s="199">
        <v>1069</v>
      </c>
      <c r="D12" s="199">
        <v>1546</v>
      </c>
      <c r="E12" s="199">
        <v>16106</v>
      </c>
      <c r="F12" s="198">
        <v>63</v>
      </c>
      <c r="G12" s="199">
        <v>139</v>
      </c>
      <c r="H12" s="199">
        <v>339</v>
      </c>
      <c r="I12" s="199">
        <v>485</v>
      </c>
      <c r="J12" s="199">
        <v>4561</v>
      </c>
      <c r="K12" s="198">
        <v>62</v>
      </c>
      <c r="L12" s="199">
        <v>271</v>
      </c>
      <c r="M12" s="199">
        <v>374</v>
      </c>
      <c r="N12" s="199">
        <v>652</v>
      </c>
      <c r="O12" s="199">
        <v>3888</v>
      </c>
      <c r="P12" s="198">
        <v>60</v>
      </c>
      <c r="Q12" s="199">
        <v>410</v>
      </c>
      <c r="R12" s="199">
        <v>425</v>
      </c>
      <c r="S12" s="199">
        <v>840</v>
      </c>
    </row>
    <row r="13" spans="1:19" x14ac:dyDescent="0.45">
      <c r="A13" s="198">
        <v>57</v>
      </c>
      <c r="B13" s="199">
        <v>1135</v>
      </c>
      <c r="C13" s="199">
        <v>2630</v>
      </c>
      <c r="D13" s="199">
        <v>3802</v>
      </c>
      <c r="E13" s="199">
        <v>19908</v>
      </c>
      <c r="F13" s="198">
        <v>62</v>
      </c>
      <c r="G13" s="199">
        <v>221</v>
      </c>
      <c r="H13" s="199">
        <v>527</v>
      </c>
      <c r="I13" s="199">
        <v>757</v>
      </c>
      <c r="J13" s="199">
        <v>5318</v>
      </c>
      <c r="K13" s="198">
        <v>61</v>
      </c>
      <c r="L13" s="199">
        <v>232</v>
      </c>
      <c r="M13" s="199">
        <v>290</v>
      </c>
      <c r="N13" s="199">
        <v>532</v>
      </c>
      <c r="O13" s="199">
        <v>4420</v>
      </c>
      <c r="P13" s="198">
        <v>59</v>
      </c>
      <c r="Q13" s="199">
        <v>230</v>
      </c>
      <c r="R13" s="199">
        <v>244</v>
      </c>
      <c r="S13" s="199">
        <v>480</v>
      </c>
    </row>
    <row r="14" spans="1:19" x14ac:dyDescent="0.45">
      <c r="A14" s="198">
        <v>56</v>
      </c>
      <c r="B14" s="199">
        <v>562</v>
      </c>
      <c r="C14" s="199">
        <v>1242</v>
      </c>
      <c r="D14" s="199">
        <v>1820</v>
      </c>
      <c r="E14" s="199">
        <v>21728</v>
      </c>
      <c r="F14" s="198">
        <v>61</v>
      </c>
      <c r="G14" s="199">
        <v>445</v>
      </c>
      <c r="H14" s="199">
        <v>1014</v>
      </c>
      <c r="I14" s="199">
        <v>1481</v>
      </c>
      <c r="J14" s="199">
        <v>6799</v>
      </c>
      <c r="K14" s="198">
        <v>60</v>
      </c>
      <c r="L14" s="199">
        <v>210</v>
      </c>
      <c r="M14" s="199">
        <v>325</v>
      </c>
      <c r="N14" s="199">
        <v>540</v>
      </c>
      <c r="O14" s="199">
        <v>4960</v>
      </c>
      <c r="P14" s="198">
        <v>58</v>
      </c>
      <c r="Q14" s="199">
        <v>184</v>
      </c>
      <c r="R14" s="199">
        <v>207</v>
      </c>
      <c r="S14" s="199">
        <v>394</v>
      </c>
    </row>
    <row r="15" spans="1:19" x14ac:dyDescent="0.45">
      <c r="A15" s="198">
        <v>55</v>
      </c>
      <c r="B15" s="199">
        <v>570</v>
      </c>
      <c r="C15" s="199">
        <v>1279</v>
      </c>
      <c r="D15" s="199">
        <v>1864</v>
      </c>
      <c r="E15" s="199">
        <v>23592</v>
      </c>
      <c r="F15" s="198">
        <v>60</v>
      </c>
      <c r="G15" s="199">
        <v>282</v>
      </c>
      <c r="H15" s="199">
        <v>657</v>
      </c>
      <c r="I15" s="199">
        <v>952</v>
      </c>
      <c r="J15" s="199">
        <v>7751</v>
      </c>
      <c r="K15" s="198">
        <v>59</v>
      </c>
      <c r="L15" s="199">
        <v>295</v>
      </c>
      <c r="M15" s="199">
        <v>404</v>
      </c>
      <c r="N15" s="199">
        <v>703</v>
      </c>
      <c r="O15" s="199">
        <v>5663</v>
      </c>
      <c r="P15" s="198">
        <v>57</v>
      </c>
      <c r="Q15" s="199">
        <v>241</v>
      </c>
      <c r="R15" s="199">
        <v>299</v>
      </c>
      <c r="S15" s="199">
        <v>546</v>
      </c>
    </row>
    <row r="16" spans="1:19" x14ac:dyDescent="0.45">
      <c r="A16" s="198">
        <v>54</v>
      </c>
      <c r="B16" s="199">
        <v>988</v>
      </c>
      <c r="C16" s="199">
        <v>2142</v>
      </c>
      <c r="D16" s="199">
        <v>3167</v>
      </c>
      <c r="E16" s="199">
        <v>26759</v>
      </c>
      <c r="F16" s="198">
        <v>59</v>
      </c>
      <c r="G16" s="199">
        <v>264</v>
      </c>
      <c r="H16" s="199">
        <v>552</v>
      </c>
      <c r="I16" s="199">
        <v>825</v>
      </c>
      <c r="J16" s="199">
        <v>8576</v>
      </c>
      <c r="K16" s="198">
        <v>58</v>
      </c>
      <c r="L16" s="199">
        <v>539</v>
      </c>
      <c r="M16" s="199">
        <v>718</v>
      </c>
      <c r="N16" s="199">
        <v>1271</v>
      </c>
      <c r="O16" s="199">
        <v>6934</v>
      </c>
      <c r="P16" s="198">
        <v>56</v>
      </c>
      <c r="Q16" s="199">
        <v>452</v>
      </c>
      <c r="R16" s="199">
        <v>530</v>
      </c>
      <c r="S16" s="199">
        <v>989</v>
      </c>
    </row>
    <row r="17" spans="1:19" x14ac:dyDescent="0.45">
      <c r="A17" s="198">
        <v>53</v>
      </c>
      <c r="B17" s="199">
        <v>484</v>
      </c>
      <c r="C17" s="199">
        <v>973</v>
      </c>
      <c r="D17" s="199">
        <v>1465</v>
      </c>
      <c r="E17" s="199">
        <v>28224</v>
      </c>
      <c r="F17" s="198">
        <v>58</v>
      </c>
      <c r="G17" s="199">
        <v>286</v>
      </c>
      <c r="H17" s="199">
        <v>620</v>
      </c>
      <c r="I17" s="199">
        <v>914</v>
      </c>
      <c r="J17" s="199">
        <v>9490</v>
      </c>
      <c r="K17" s="198">
        <v>57</v>
      </c>
      <c r="L17" s="199">
        <v>310</v>
      </c>
      <c r="M17" s="199">
        <v>313</v>
      </c>
      <c r="N17" s="199">
        <v>628</v>
      </c>
      <c r="O17" s="199">
        <v>7562</v>
      </c>
      <c r="P17" s="198">
        <v>55</v>
      </c>
      <c r="Q17" s="199">
        <v>244</v>
      </c>
      <c r="R17" s="199">
        <v>260</v>
      </c>
      <c r="S17" s="199">
        <v>508</v>
      </c>
    </row>
    <row r="18" spans="1:19" x14ac:dyDescent="0.45">
      <c r="A18" s="198">
        <v>52</v>
      </c>
      <c r="B18" s="199">
        <v>446</v>
      </c>
      <c r="C18" s="199">
        <v>952</v>
      </c>
      <c r="D18" s="199">
        <v>1408</v>
      </c>
      <c r="E18" s="199">
        <v>29632</v>
      </c>
      <c r="F18" s="198">
        <v>57</v>
      </c>
      <c r="G18" s="199">
        <v>314</v>
      </c>
      <c r="H18" s="199">
        <v>681</v>
      </c>
      <c r="I18" s="199">
        <v>1007</v>
      </c>
      <c r="J18" s="199">
        <v>10497</v>
      </c>
      <c r="K18" s="198">
        <v>56</v>
      </c>
      <c r="L18" s="199">
        <v>288</v>
      </c>
      <c r="M18" s="199">
        <v>388</v>
      </c>
      <c r="N18" s="199">
        <v>687</v>
      </c>
      <c r="O18" s="199">
        <v>8249</v>
      </c>
      <c r="P18" s="198">
        <v>54</v>
      </c>
      <c r="Q18" s="199">
        <v>249</v>
      </c>
      <c r="R18" s="199">
        <v>255</v>
      </c>
      <c r="S18" s="199">
        <v>506</v>
      </c>
    </row>
    <row r="19" spans="1:19" x14ac:dyDescent="0.45">
      <c r="A19" s="198">
        <v>51</v>
      </c>
      <c r="B19" s="199">
        <v>774</v>
      </c>
      <c r="C19" s="199">
        <v>1781</v>
      </c>
      <c r="D19" s="199">
        <v>2584</v>
      </c>
      <c r="E19" s="199">
        <v>32216</v>
      </c>
      <c r="F19" s="198">
        <v>56</v>
      </c>
      <c r="G19" s="199">
        <v>583</v>
      </c>
      <c r="H19" s="199">
        <v>1315</v>
      </c>
      <c r="I19" s="199">
        <v>1920</v>
      </c>
      <c r="J19" s="199">
        <v>12417</v>
      </c>
      <c r="K19" s="198">
        <v>55</v>
      </c>
      <c r="L19" s="199">
        <v>287</v>
      </c>
      <c r="M19" s="199">
        <v>375</v>
      </c>
      <c r="N19" s="199">
        <v>674</v>
      </c>
      <c r="O19" s="199">
        <v>8923</v>
      </c>
      <c r="P19" s="198">
        <v>53</v>
      </c>
      <c r="Q19" s="199">
        <v>224</v>
      </c>
      <c r="R19" s="199">
        <v>270</v>
      </c>
      <c r="S19" s="199">
        <v>495</v>
      </c>
    </row>
    <row r="20" spans="1:19" x14ac:dyDescent="0.45">
      <c r="A20" s="198">
        <v>50</v>
      </c>
      <c r="B20" s="199">
        <v>443</v>
      </c>
      <c r="C20" s="199">
        <v>824</v>
      </c>
      <c r="D20" s="199">
        <v>1286</v>
      </c>
      <c r="E20" s="199">
        <v>33502</v>
      </c>
      <c r="F20" s="198">
        <v>55</v>
      </c>
      <c r="G20" s="199">
        <v>310</v>
      </c>
      <c r="H20" s="199">
        <v>697</v>
      </c>
      <c r="I20" s="199">
        <v>1023</v>
      </c>
      <c r="J20" s="199">
        <v>13440</v>
      </c>
      <c r="K20" s="198">
        <v>54</v>
      </c>
      <c r="L20" s="199">
        <v>282</v>
      </c>
      <c r="M20" s="199">
        <v>367</v>
      </c>
      <c r="N20" s="199">
        <v>653</v>
      </c>
      <c r="O20" s="199">
        <v>9576</v>
      </c>
      <c r="P20" s="198">
        <v>52</v>
      </c>
      <c r="Q20" s="199">
        <v>441</v>
      </c>
      <c r="R20" s="199">
        <v>482</v>
      </c>
      <c r="S20" s="199">
        <v>929</v>
      </c>
    </row>
    <row r="21" spans="1:19" x14ac:dyDescent="0.45">
      <c r="A21" s="198">
        <v>49</v>
      </c>
      <c r="B21" s="199">
        <v>357</v>
      </c>
      <c r="C21" s="199">
        <v>865</v>
      </c>
      <c r="D21" s="199">
        <v>1232</v>
      </c>
      <c r="E21" s="199">
        <v>34734</v>
      </c>
      <c r="F21" s="198">
        <v>54</v>
      </c>
      <c r="G21" s="199">
        <v>312</v>
      </c>
      <c r="H21" s="199">
        <v>618</v>
      </c>
      <c r="I21" s="199">
        <v>944</v>
      </c>
      <c r="J21" s="199">
        <v>14384</v>
      </c>
      <c r="K21" s="198">
        <v>53</v>
      </c>
      <c r="L21" s="199">
        <v>520</v>
      </c>
      <c r="M21" s="199">
        <v>783</v>
      </c>
      <c r="N21" s="199">
        <v>1323</v>
      </c>
      <c r="O21" s="199">
        <v>10899</v>
      </c>
      <c r="P21" s="198">
        <v>51</v>
      </c>
      <c r="Q21" s="199">
        <v>227</v>
      </c>
      <c r="R21" s="199">
        <v>233</v>
      </c>
      <c r="S21" s="199">
        <v>461</v>
      </c>
    </row>
    <row r="22" spans="1:19" x14ac:dyDescent="0.45">
      <c r="A22" s="198">
        <v>48</v>
      </c>
      <c r="B22" s="199">
        <v>360</v>
      </c>
      <c r="C22" s="199">
        <v>707</v>
      </c>
      <c r="D22" s="199">
        <v>1076</v>
      </c>
      <c r="E22" s="199">
        <v>35810</v>
      </c>
      <c r="F22" s="198">
        <v>53</v>
      </c>
      <c r="G22" s="199">
        <v>364</v>
      </c>
      <c r="H22" s="199">
        <v>733</v>
      </c>
      <c r="I22" s="199">
        <v>1109</v>
      </c>
      <c r="J22" s="199">
        <v>15493</v>
      </c>
      <c r="K22" s="198">
        <v>52</v>
      </c>
      <c r="L22" s="199">
        <v>275</v>
      </c>
      <c r="M22" s="199">
        <v>326</v>
      </c>
      <c r="N22" s="199">
        <v>604</v>
      </c>
      <c r="O22" s="199">
        <v>11503</v>
      </c>
      <c r="P22" s="198">
        <v>50</v>
      </c>
      <c r="Q22" s="199">
        <v>208</v>
      </c>
      <c r="R22" s="199">
        <v>241</v>
      </c>
      <c r="S22" s="199">
        <v>452</v>
      </c>
    </row>
    <row r="23" spans="1:19" x14ac:dyDescent="0.45">
      <c r="A23" s="198">
        <v>47</v>
      </c>
      <c r="B23" s="199">
        <v>649</v>
      </c>
      <c r="C23" s="199">
        <v>1336</v>
      </c>
      <c r="D23" s="199">
        <v>2015</v>
      </c>
      <c r="E23" s="199">
        <v>37825</v>
      </c>
      <c r="F23" s="198">
        <v>52</v>
      </c>
      <c r="G23" s="199">
        <v>319</v>
      </c>
      <c r="H23" s="199">
        <v>624</v>
      </c>
      <c r="I23" s="199">
        <v>956</v>
      </c>
      <c r="J23" s="199">
        <v>16449</v>
      </c>
      <c r="K23" s="198">
        <v>51</v>
      </c>
      <c r="L23" s="199">
        <v>302</v>
      </c>
      <c r="M23" s="199">
        <v>368</v>
      </c>
      <c r="N23" s="199">
        <v>680</v>
      </c>
      <c r="O23" s="199">
        <v>12183</v>
      </c>
      <c r="P23" s="198">
        <v>49</v>
      </c>
      <c r="Q23" s="199">
        <v>211</v>
      </c>
      <c r="R23" s="199">
        <v>255</v>
      </c>
      <c r="S23" s="199">
        <v>469</v>
      </c>
    </row>
    <row r="24" spans="1:19" x14ac:dyDescent="0.45">
      <c r="A24" s="198">
        <v>46</v>
      </c>
      <c r="B24" s="199">
        <v>323</v>
      </c>
      <c r="C24" s="199">
        <v>636</v>
      </c>
      <c r="D24" s="199">
        <v>969</v>
      </c>
      <c r="E24" s="199">
        <v>38794</v>
      </c>
      <c r="F24" s="198">
        <v>51</v>
      </c>
      <c r="G24" s="199">
        <v>713</v>
      </c>
      <c r="H24" s="199">
        <v>1372</v>
      </c>
      <c r="I24" s="199">
        <v>2118</v>
      </c>
      <c r="J24" s="199">
        <v>18567</v>
      </c>
      <c r="K24" s="198">
        <v>50</v>
      </c>
      <c r="L24" s="199">
        <v>243</v>
      </c>
      <c r="M24" s="199">
        <v>343</v>
      </c>
      <c r="N24" s="199">
        <v>592</v>
      </c>
      <c r="O24" s="199">
        <v>12775</v>
      </c>
      <c r="P24" s="198">
        <v>48</v>
      </c>
      <c r="Q24" s="199">
        <v>389</v>
      </c>
      <c r="R24" s="199">
        <v>477</v>
      </c>
      <c r="S24" s="199">
        <v>873</v>
      </c>
    </row>
    <row r="25" spans="1:19" x14ac:dyDescent="0.45">
      <c r="A25" s="198">
        <v>45</v>
      </c>
      <c r="B25" s="199">
        <v>341</v>
      </c>
      <c r="C25" s="199">
        <v>611</v>
      </c>
      <c r="D25" s="199">
        <v>968</v>
      </c>
      <c r="E25" s="199">
        <v>39762</v>
      </c>
      <c r="F25" s="198">
        <v>50</v>
      </c>
      <c r="G25" s="199">
        <v>328</v>
      </c>
      <c r="H25" s="199">
        <v>631</v>
      </c>
      <c r="I25" s="199">
        <v>974</v>
      </c>
      <c r="J25" s="199">
        <v>19541</v>
      </c>
      <c r="K25" s="198">
        <v>49</v>
      </c>
      <c r="L25" s="199">
        <v>297</v>
      </c>
      <c r="M25" s="199">
        <v>387</v>
      </c>
      <c r="N25" s="199">
        <v>693</v>
      </c>
      <c r="O25" s="199">
        <v>13468</v>
      </c>
      <c r="P25" s="198">
        <v>47</v>
      </c>
      <c r="Q25" s="199">
        <v>164</v>
      </c>
      <c r="R25" s="199">
        <v>242</v>
      </c>
      <c r="S25" s="199">
        <v>407</v>
      </c>
    </row>
    <row r="26" spans="1:19" x14ac:dyDescent="0.45">
      <c r="A26" s="198">
        <v>44</v>
      </c>
      <c r="B26" s="199">
        <v>615</v>
      </c>
      <c r="C26" s="199">
        <v>1084</v>
      </c>
      <c r="D26" s="199">
        <v>1716</v>
      </c>
      <c r="E26" s="199">
        <v>41478</v>
      </c>
      <c r="F26" s="198">
        <v>49</v>
      </c>
      <c r="G26" s="199">
        <v>345</v>
      </c>
      <c r="H26" s="199">
        <v>697</v>
      </c>
      <c r="I26" s="199">
        <v>1051</v>
      </c>
      <c r="J26" s="199">
        <v>20592</v>
      </c>
      <c r="K26" s="198">
        <v>48</v>
      </c>
      <c r="L26" s="199">
        <v>487</v>
      </c>
      <c r="M26" s="199">
        <v>617</v>
      </c>
      <c r="N26" s="199">
        <v>1115</v>
      </c>
      <c r="O26" s="199">
        <v>14583</v>
      </c>
      <c r="P26" s="198">
        <v>46</v>
      </c>
      <c r="Q26" s="199">
        <v>185</v>
      </c>
      <c r="R26" s="199">
        <v>219</v>
      </c>
      <c r="S26" s="199">
        <v>405</v>
      </c>
    </row>
    <row r="27" spans="1:19" x14ac:dyDescent="0.45">
      <c r="A27" s="198">
        <v>43</v>
      </c>
      <c r="B27" s="199">
        <v>266</v>
      </c>
      <c r="C27" s="199">
        <v>522</v>
      </c>
      <c r="D27" s="199">
        <v>792</v>
      </c>
      <c r="E27" s="199">
        <v>42270</v>
      </c>
      <c r="F27" s="198">
        <v>48</v>
      </c>
      <c r="G27" s="199">
        <v>340</v>
      </c>
      <c r="H27" s="199">
        <v>604</v>
      </c>
      <c r="I27" s="199">
        <v>957</v>
      </c>
      <c r="J27" s="199">
        <v>21549</v>
      </c>
      <c r="K27" s="198">
        <v>47</v>
      </c>
      <c r="L27" s="199">
        <v>238</v>
      </c>
      <c r="M27" s="199">
        <v>277</v>
      </c>
      <c r="N27" s="199">
        <v>520</v>
      </c>
      <c r="O27" s="199">
        <v>15103</v>
      </c>
      <c r="P27" s="198">
        <v>45</v>
      </c>
      <c r="Q27" s="199">
        <v>161</v>
      </c>
      <c r="R27" s="199">
        <v>209</v>
      </c>
      <c r="S27" s="199">
        <v>372</v>
      </c>
    </row>
    <row r="28" spans="1:19" x14ac:dyDescent="0.45">
      <c r="A28" s="198">
        <v>42</v>
      </c>
      <c r="B28" s="199">
        <v>374</v>
      </c>
      <c r="C28" s="199">
        <v>451</v>
      </c>
      <c r="D28" s="199">
        <v>834</v>
      </c>
      <c r="E28" s="199">
        <v>43104</v>
      </c>
      <c r="F28" s="198">
        <v>47</v>
      </c>
      <c r="G28" s="199">
        <v>344</v>
      </c>
      <c r="H28" s="199">
        <v>648</v>
      </c>
      <c r="I28" s="199">
        <v>1001</v>
      </c>
      <c r="J28" s="199">
        <v>22550</v>
      </c>
      <c r="K28" s="198">
        <v>46</v>
      </c>
      <c r="L28" s="199">
        <v>245</v>
      </c>
      <c r="M28" s="199">
        <v>266</v>
      </c>
      <c r="N28" s="199">
        <v>515</v>
      </c>
      <c r="O28" s="199">
        <v>15618</v>
      </c>
      <c r="P28" s="198">
        <v>44</v>
      </c>
      <c r="Q28" s="199">
        <v>354</v>
      </c>
      <c r="R28" s="199">
        <v>387</v>
      </c>
      <c r="S28" s="199">
        <v>751</v>
      </c>
    </row>
    <row r="29" spans="1:19" x14ac:dyDescent="0.45">
      <c r="A29" s="198">
        <v>41</v>
      </c>
      <c r="B29" s="199">
        <v>670</v>
      </c>
      <c r="C29" s="199">
        <v>960</v>
      </c>
      <c r="D29" s="199">
        <v>1652</v>
      </c>
      <c r="E29" s="199">
        <v>44756</v>
      </c>
      <c r="F29" s="198">
        <v>46</v>
      </c>
      <c r="G29" s="199">
        <v>344</v>
      </c>
      <c r="H29" s="199">
        <v>611</v>
      </c>
      <c r="I29" s="199">
        <v>965</v>
      </c>
      <c r="J29" s="199">
        <v>23515</v>
      </c>
      <c r="K29" s="198">
        <v>45</v>
      </c>
      <c r="L29" s="199">
        <v>257</v>
      </c>
      <c r="M29" s="199">
        <v>283</v>
      </c>
      <c r="N29" s="199">
        <v>548</v>
      </c>
      <c r="O29" s="199">
        <v>16166</v>
      </c>
      <c r="P29" s="198">
        <v>43</v>
      </c>
      <c r="Q29" s="199">
        <v>169</v>
      </c>
      <c r="R29" s="199">
        <v>167</v>
      </c>
      <c r="S29" s="199">
        <v>340</v>
      </c>
    </row>
    <row r="30" spans="1:19" x14ac:dyDescent="0.45">
      <c r="A30" s="198">
        <v>40</v>
      </c>
      <c r="B30" s="199">
        <v>347</v>
      </c>
      <c r="C30" s="199">
        <v>450</v>
      </c>
      <c r="D30" s="199">
        <v>804</v>
      </c>
      <c r="E30" s="199">
        <v>45560</v>
      </c>
      <c r="F30" s="198">
        <v>45</v>
      </c>
      <c r="G30" s="199">
        <v>748</v>
      </c>
      <c r="H30" s="199">
        <v>1106</v>
      </c>
      <c r="I30" s="199">
        <v>1874</v>
      </c>
      <c r="J30" s="199">
        <v>25389</v>
      </c>
      <c r="K30" s="198">
        <v>44</v>
      </c>
      <c r="L30" s="199">
        <v>491</v>
      </c>
      <c r="M30" s="199">
        <v>553</v>
      </c>
      <c r="N30" s="199">
        <v>1057</v>
      </c>
      <c r="O30" s="199">
        <v>17223</v>
      </c>
      <c r="P30" s="198">
        <v>42</v>
      </c>
      <c r="Q30" s="199">
        <v>183</v>
      </c>
      <c r="R30" s="199">
        <v>144</v>
      </c>
      <c r="S30" s="199">
        <v>329</v>
      </c>
    </row>
    <row r="31" spans="1:19" x14ac:dyDescent="0.45">
      <c r="A31" s="198">
        <v>39</v>
      </c>
      <c r="B31" s="199">
        <v>386</v>
      </c>
      <c r="C31" s="199">
        <v>452</v>
      </c>
      <c r="D31" s="199">
        <v>845</v>
      </c>
      <c r="E31" s="199">
        <v>46405</v>
      </c>
      <c r="F31" s="198">
        <v>44</v>
      </c>
      <c r="G31" s="199">
        <v>340</v>
      </c>
      <c r="H31" s="199">
        <v>468</v>
      </c>
      <c r="I31" s="199">
        <v>818</v>
      </c>
      <c r="J31" s="199">
        <v>26207</v>
      </c>
      <c r="K31" s="198">
        <v>43</v>
      </c>
      <c r="L31" s="199">
        <v>282</v>
      </c>
      <c r="M31" s="199">
        <v>273</v>
      </c>
      <c r="N31" s="199">
        <v>559</v>
      </c>
      <c r="O31" s="199">
        <v>17782</v>
      </c>
      <c r="P31" s="198">
        <v>41</v>
      </c>
      <c r="Q31" s="199">
        <v>170</v>
      </c>
      <c r="R31" s="199">
        <v>184</v>
      </c>
      <c r="S31" s="199">
        <v>356</v>
      </c>
    </row>
    <row r="32" spans="1:19" x14ac:dyDescent="0.45">
      <c r="A32" s="198">
        <v>38</v>
      </c>
      <c r="B32" s="199">
        <v>1524</v>
      </c>
      <c r="C32" s="199">
        <v>1393</v>
      </c>
      <c r="D32" s="199">
        <v>2956</v>
      </c>
      <c r="E32" s="199">
        <v>49361</v>
      </c>
      <c r="F32" s="198">
        <v>43</v>
      </c>
      <c r="G32" s="199">
        <v>399</v>
      </c>
      <c r="H32" s="199">
        <v>553</v>
      </c>
      <c r="I32" s="199">
        <v>964</v>
      </c>
      <c r="J32" s="199">
        <v>27171</v>
      </c>
      <c r="K32" s="198">
        <v>42</v>
      </c>
      <c r="L32" s="199">
        <v>264</v>
      </c>
      <c r="M32" s="199">
        <v>234</v>
      </c>
      <c r="N32" s="199">
        <v>508</v>
      </c>
      <c r="O32" s="199">
        <v>18290</v>
      </c>
      <c r="P32" s="198">
        <v>40</v>
      </c>
      <c r="Q32" s="199">
        <v>361</v>
      </c>
      <c r="R32" s="199">
        <v>328</v>
      </c>
      <c r="S32" s="199">
        <v>694</v>
      </c>
    </row>
    <row r="33" spans="1:19" x14ac:dyDescent="0.45">
      <c r="A33" s="198">
        <v>37</v>
      </c>
      <c r="B33" s="199">
        <v>602</v>
      </c>
      <c r="C33" s="199">
        <v>519</v>
      </c>
      <c r="D33" s="199">
        <v>1134</v>
      </c>
      <c r="E33" s="199">
        <v>50495</v>
      </c>
      <c r="F33" s="198">
        <v>42</v>
      </c>
      <c r="G33" s="199">
        <v>355</v>
      </c>
      <c r="H33" s="199">
        <v>474</v>
      </c>
      <c r="I33" s="199">
        <v>840</v>
      </c>
      <c r="J33" s="199">
        <v>28011</v>
      </c>
      <c r="K33" s="198">
        <v>41</v>
      </c>
      <c r="L33" s="199">
        <v>264</v>
      </c>
      <c r="M33" s="199">
        <v>275</v>
      </c>
      <c r="N33" s="199">
        <v>545</v>
      </c>
      <c r="O33" s="199">
        <v>18835</v>
      </c>
      <c r="P33" s="198">
        <v>39</v>
      </c>
      <c r="Q33" s="199">
        <v>224</v>
      </c>
      <c r="R33" s="199">
        <v>174</v>
      </c>
      <c r="S33" s="199">
        <v>401</v>
      </c>
    </row>
    <row r="34" spans="1:19" x14ac:dyDescent="0.45">
      <c r="A34" s="198">
        <v>36</v>
      </c>
      <c r="B34" s="199">
        <v>2079</v>
      </c>
      <c r="C34" s="199">
        <v>1300</v>
      </c>
      <c r="D34" s="199">
        <v>3450</v>
      </c>
      <c r="E34" s="199">
        <v>53945</v>
      </c>
      <c r="F34" s="198">
        <v>41</v>
      </c>
      <c r="G34" s="199">
        <v>330</v>
      </c>
      <c r="H34" s="199">
        <v>407</v>
      </c>
      <c r="I34" s="199">
        <v>748</v>
      </c>
      <c r="J34" s="199">
        <v>28759</v>
      </c>
      <c r="K34" s="198">
        <v>40</v>
      </c>
      <c r="L34" s="199">
        <v>208</v>
      </c>
      <c r="M34" s="199">
        <v>202</v>
      </c>
      <c r="N34" s="199">
        <v>421</v>
      </c>
      <c r="O34" s="199">
        <v>19256</v>
      </c>
      <c r="P34" s="198">
        <v>38</v>
      </c>
      <c r="Q34" s="199">
        <v>147</v>
      </c>
      <c r="R34" s="199">
        <v>136</v>
      </c>
      <c r="S34" s="199">
        <v>284</v>
      </c>
    </row>
    <row r="35" spans="1:19" x14ac:dyDescent="0.45">
      <c r="A35" s="198">
        <v>35</v>
      </c>
      <c r="B35" s="199">
        <v>418</v>
      </c>
      <c r="C35" s="199">
        <v>360</v>
      </c>
      <c r="D35" s="199">
        <v>783</v>
      </c>
      <c r="E35" s="199">
        <v>54728</v>
      </c>
      <c r="F35" s="198">
        <v>40</v>
      </c>
      <c r="G35" s="199">
        <v>759</v>
      </c>
      <c r="H35" s="199">
        <v>852</v>
      </c>
      <c r="I35" s="199">
        <v>1630</v>
      </c>
      <c r="J35" s="199">
        <v>30389</v>
      </c>
      <c r="K35" s="198">
        <v>39</v>
      </c>
      <c r="L35" s="199">
        <v>516</v>
      </c>
      <c r="M35" s="199">
        <v>484</v>
      </c>
      <c r="N35" s="199">
        <v>1008</v>
      </c>
      <c r="O35" s="199">
        <v>20264</v>
      </c>
      <c r="P35" s="198">
        <v>37</v>
      </c>
      <c r="Q35" s="199">
        <v>691</v>
      </c>
      <c r="R35" s="199">
        <v>277</v>
      </c>
      <c r="S35" s="199">
        <v>987</v>
      </c>
    </row>
    <row r="36" spans="1:19" x14ac:dyDescent="0.45">
      <c r="A36" s="198">
        <v>34</v>
      </c>
      <c r="B36" s="199">
        <v>713</v>
      </c>
      <c r="C36" s="199">
        <v>597</v>
      </c>
      <c r="D36" s="199">
        <v>1331</v>
      </c>
      <c r="E36" s="199">
        <v>56059</v>
      </c>
      <c r="F36" s="198">
        <v>39</v>
      </c>
      <c r="G36" s="199">
        <v>992</v>
      </c>
      <c r="H36" s="199">
        <v>773</v>
      </c>
      <c r="I36" s="199">
        <v>1796</v>
      </c>
      <c r="J36" s="199">
        <v>32185</v>
      </c>
      <c r="K36" s="198">
        <v>38</v>
      </c>
      <c r="L36" s="199">
        <v>1312</v>
      </c>
      <c r="M36" s="199">
        <v>617</v>
      </c>
      <c r="N36" s="199">
        <v>1970</v>
      </c>
      <c r="O36" s="199">
        <v>22234</v>
      </c>
      <c r="P36" s="198">
        <v>36</v>
      </c>
      <c r="Q36" s="199">
        <v>405</v>
      </c>
      <c r="R36" s="199">
        <v>251</v>
      </c>
      <c r="S36" s="199">
        <v>667</v>
      </c>
    </row>
    <row r="37" spans="1:19" x14ac:dyDescent="0.45">
      <c r="A37" s="198">
        <v>33</v>
      </c>
      <c r="B37" s="199">
        <v>746</v>
      </c>
      <c r="C37" s="199">
        <v>542</v>
      </c>
      <c r="D37" s="199">
        <v>1302</v>
      </c>
      <c r="E37" s="199">
        <v>57361</v>
      </c>
      <c r="F37" s="198">
        <v>38</v>
      </c>
      <c r="G37" s="199">
        <v>417</v>
      </c>
      <c r="H37" s="199">
        <v>389</v>
      </c>
      <c r="I37" s="199">
        <v>819</v>
      </c>
      <c r="J37" s="199">
        <v>33004</v>
      </c>
      <c r="K37" s="198">
        <v>37</v>
      </c>
      <c r="L37" s="199">
        <v>381</v>
      </c>
      <c r="M37" s="199">
        <v>270</v>
      </c>
      <c r="N37" s="199">
        <v>661</v>
      </c>
      <c r="O37" s="199">
        <v>22895</v>
      </c>
      <c r="P37" s="198">
        <v>35</v>
      </c>
      <c r="Q37" s="199">
        <v>143</v>
      </c>
      <c r="R37" s="199">
        <v>67</v>
      </c>
      <c r="S37" s="199">
        <v>212</v>
      </c>
    </row>
    <row r="38" spans="1:19" x14ac:dyDescent="0.45">
      <c r="A38" s="198">
        <v>32</v>
      </c>
      <c r="B38" s="199">
        <v>187</v>
      </c>
      <c r="C38" s="199">
        <v>166</v>
      </c>
      <c r="D38" s="199">
        <v>357</v>
      </c>
      <c r="E38" s="199">
        <v>57718</v>
      </c>
      <c r="F38" s="198">
        <v>37</v>
      </c>
      <c r="G38" s="199">
        <v>279</v>
      </c>
      <c r="H38" s="199">
        <v>240</v>
      </c>
      <c r="I38" s="199">
        <v>529</v>
      </c>
      <c r="J38" s="199">
        <v>33533</v>
      </c>
      <c r="K38" s="198">
        <v>36</v>
      </c>
      <c r="L38" s="199">
        <v>239</v>
      </c>
      <c r="M38" s="199">
        <v>168</v>
      </c>
      <c r="N38" s="199">
        <v>413</v>
      </c>
      <c r="O38" s="199">
        <v>23308</v>
      </c>
      <c r="P38" s="198">
        <v>34</v>
      </c>
      <c r="Q38" s="199">
        <v>88</v>
      </c>
      <c r="R38" s="199">
        <v>61</v>
      </c>
      <c r="S38" s="199">
        <v>149</v>
      </c>
    </row>
    <row r="39" spans="1:19" x14ac:dyDescent="0.45">
      <c r="A39" s="198">
        <v>31</v>
      </c>
      <c r="B39" s="199">
        <v>324</v>
      </c>
      <c r="C39" s="199">
        <v>265</v>
      </c>
      <c r="D39" s="199">
        <v>597</v>
      </c>
      <c r="E39" s="199">
        <v>58315</v>
      </c>
      <c r="F39" s="198">
        <v>36</v>
      </c>
      <c r="G39" s="199">
        <v>348</v>
      </c>
      <c r="H39" s="199">
        <v>301</v>
      </c>
      <c r="I39" s="199">
        <v>657</v>
      </c>
      <c r="J39" s="199">
        <v>34190</v>
      </c>
      <c r="K39" s="198">
        <v>35</v>
      </c>
      <c r="L39" s="199">
        <v>277</v>
      </c>
      <c r="M39" s="199">
        <v>171</v>
      </c>
      <c r="N39" s="199">
        <v>456</v>
      </c>
      <c r="O39" s="199">
        <v>23764</v>
      </c>
      <c r="P39" s="198">
        <v>33</v>
      </c>
      <c r="Q39" s="199">
        <v>371</v>
      </c>
      <c r="R39" s="199">
        <v>172</v>
      </c>
      <c r="S39" s="199">
        <v>549</v>
      </c>
    </row>
    <row r="40" spans="1:19" x14ac:dyDescent="0.45">
      <c r="A40" s="198">
        <v>30</v>
      </c>
      <c r="B40" s="199">
        <v>165</v>
      </c>
      <c r="C40" s="199">
        <v>97</v>
      </c>
      <c r="D40" s="199">
        <v>266</v>
      </c>
      <c r="E40" s="199">
        <v>58581</v>
      </c>
      <c r="F40" s="198">
        <v>35</v>
      </c>
      <c r="G40" s="199">
        <v>1596</v>
      </c>
      <c r="H40" s="199">
        <v>936</v>
      </c>
      <c r="I40" s="199">
        <v>2586</v>
      </c>
      <c r="J40" s="199">
        <v>36776</v>
      </c>
      <c r="K40" s="198">
        <v>34</v>
      </c>
      <c r="L40" s="199">
        <v>307</v>
      </c>
      <c r="M40" s="199">
        <v>207</v>
      </c>
      <c r="N40" s="199">
        <v>519</v>
      </c>
      <c r="O40" s="199">
        <v>24283</v>
      </c>
      <c r="P40" s="198">
        <v>32</v>
      </c>
      <c r="Q40" s="199">
        <v>128</v>
      </c>
      <c r="R40" s="199">
        <v>66</v>
      </c>
      <c r="S40" s="199">
        <v>196</v>
      </c>
    </row>
    <row r="41" spans="1:19" x14ac:dyDescent="0.45">
      <c r="A41" s="198">
        <v>29</v>
      </c>
      <c r="B41" s="199">
        <v>94</v>
      </c>
      <c r="C41" s="199">
        <v>73</v>
      </c>
      <c r="D41" s="199">
        <v>168</v>
      </c>
      <c r="E41" s="199">
        <v>58749</v>
      </c>
      <c r="F41" s="198">
        <v>34</v>
      </c>
      <c r="G41" s="199">
        <v>132</v>
      </c>
      <c r="H41" s="199">
        <v>93</v>
      </c>
      <c r="I41" s="199">
        <v>229</v>
      </c>
      <c r="J41" s="199">
        <v>37005</v>
      </c>
      <c r="K41" s="198">
        <v>33</v>
      </c>
      <c r="L41" s="199">
        <v>123</v>
      </c>
      <c r="M41" s="199">
        <v>97</v>
      </c>
      <c r="N41" s="199">
        <v>223</v>
      </c>
      <c r="O41" s="199">
        <v>24506</v>
      </c>
      <c r="P41" s="198">
        <v>31</v>
      </c>
      <c r="Q41" s="199">
        <v>34</v>
      </c>
      <c r="R41" s="199">
        <v>17</v>
      </c>
      <c r="S41" s="199">
        <v>51</v>
      </c>
    </row>
    <row r="42" spans="1:19" x14ac:dyDescent="0.45">
      <c r="A42" s="198">
        <v>28</v>
      </c>
      <c r="B42" s="199">
        <v>36</v>
      </c>
      <c r="C42" s="199">
        <v>20</v>
      </c>
      <c r="D42" s="199">
        <v>57</v>
      </c>
      <c r="E42" s="199">
        <v>58806</v>
      </c>
      <c r="F42" s="198">
        <v>33</v>
      </c>
      <c r="G42" s="199">
        <v>133</v>
      </c>
      <c r="H42" s="199">
        <v>76</v>
      </c>
      <c r="I42" s="199">
        <v>209</v>
      </c>
      <c r="J42" s="199">
        <v>37214</v>
      </c>
      <c r="K42" s="198">
        <v>32</v>
      </c>
      <c r="L42" s="199">
        <v>75</v>
      </c>
      <c r="M42" s="199">
        <v>53</v>
      </c>
      <c r="N42" s="199">
        <v>131</v>
      </c>
      <c r="O42" s="199">
        <v>24637</v>
      </c>
      <c r="P42" s="198">
        <v>30</v>
      </c>
      <c r="Q42" s="199">
        <v>25</v>
      </c>
      <c r="R42" s="199">
        <v>14</v>
      </c>
      <c r="S42" s="199">
        <v>39</v>
      </c>
    </row>
    <row r="43" spans="1:19" x14ac:dyDescent="0.45">
      <c r="A43" s="198"/>
      <c r="B43" s="199"/>
      <c r="C43" s="199"/>
      <c r="D43" s="199"/>
      <c r="E43" s="199"/>
      <c r="F43" s="198">
        <v>32</v>
      </c>
      <c r="G43" s="199">
        <v>72</v>
      </c>
      <c r="H43" s="199">
        <v>74</v>
      </c>
      <c r="I43" s="199">
        <v>149</v>
      </c>
      <c r="J43" s="199">
        <v>37363</v>
      </c>
      <c r="K43" s="198">
        <v>31</v>
      </c>
      <c r="L43" s="199">
        <v>40</v>
      </c>
      <c r="M43" s="199">
        <v>24</v>
      </c>
      <c r="N43" s="199">
        <v>64</v>
      </c>
      <c r="O43" s="199">
        <v>24701</v>
      </c>
      <c r="P43" s="198">
        <v>29</v>
      </c>
      <c r="Q43" s="199">
        <v>34</v>
      </c>
      <c r="R43" s="199">
        <v>14</v>
      </c>
      <c r="S43" s="199">
        <v>49</v>
      </c>
    </row>
    <row r="44" spans="1:19" x14ac:dyDescent="0.45">
      <c r="A44" s="198"/>
      <c r="B44" s="199"/>
      <c r="C44" s="199"/>
      <c r="D44" s="199"/>
      <c r="E44" s="199"/>
      <c r="F44" s="198">
        <v>31</v>
      </c>
      <c r="G44" s="199">
        <v>34</v>
      </c>
      <c r="H44" s="199">
        <v>27</v>
      </c>
      <c r="I44" s="199">
        <v>61</v>
      </c>
      <c r="J44" s="199">
        <v>37424</v>
      </c>
      <c r="K44" s="198">
        <v>30</v>
      </c>
      <c r="L44" s="199">
        <v>36</v>
      </c>
      <c r="M44" s="199">
        <v>40</v>
      </c>
      <c r="N44" s="199">
        <v>76</v>
      </c>
      <c r="O44" s="199">
        <v>24777</v>
      </c>
      <c r="P44" s="198">
        <v>28</v>
      </c>
      <c r="Q44" s="199">
        <v>9</v>
      </c>
      <c r="R44" s="199">
        <v>6</v>
      </c>
      <c r="S44" s="199">
        <v>15</v>
      </c>
    </row>
    <row r="45" spans="1:19" x14ac:dyDescent="0.45">
      <c r="A45" s="198"/>
      <c r="B45" s="199"/>
      <c r="C45" s="199"/>
      <c r="D45" s="199"/>
      <c r="E45" s="199"/>
      <c r="F45" s="198">
        <v>30</v>
      </c>
      <c r="G45" s="199">
        <v>59</v>
      </c>
      <c r="H45" s="199">
        <v>45</v>
      </c>
      <c r="I45" s="199">
        <v>106</v>
      </c>
      <c r="J45" s="199">
        <v>37530</v>
      </c>
      <c r="K45" s="198">
        <v>29</v>
      </c>
      <c r="L45" s="199">
        <v>21</v>
      </c>
      <c r="M45" s="199">
        <v>8</v>
      </c>
      <c r="N45" s="199">
        <v>29</v>
      </c>
      <c r="O45" s="199">
        <v>24806</v>
      </c>
      <c r="P45" s="198"/>
      <c r="Q45" s="199"/>
      <c r="R45" s="199"/>
      <c r="S45" s="199"/>
    </row>
    <row r="46" spans="1:19" x14ac:dyDescent="0.45">
      <c r="A46" s="198"/>
      <c r="B46" s="199"/>
      <c r="C46" s="199"/>
      <c r="D46" s="199"/>
      <c r="E46" s="199"/>
      <c r="F46" s="198">
        <v>29</v>
      </c>
      <c r="G46" s="199">
        <v>22</v>
      </c>
      <c r="H46" s="199">
        <v>11</v>
      </c>
      <c r="I46" s="199">
        <v>33</v>
      </c>
      <c r="J46" s="199">
        <v>37563</v>
      </c>
      <c r="K46" s="198"/>
      <c r="L46" s="199"/>
      <c r="M46" s="199"/>
      <c r="N46" s="199"/>
      <c r="O46" s="199"/>
      <c r="P46" s="198"/>
      <c r="Q46" s="199"/>
      <c r="R46" s="199"/>
      <c r="S46" s="199"/>
    </row>
    <row r="47" spans="1:19" x14ac:dyDescent="0.45">
      <c r="A47" s="6"/>
      <c r="B47" s="1"/>
      <c r="C47" s="1"/>
      <c r="D47" s="7"/>
      <c r="F47" s="6"/>
      <c r="G47" s="1"/>
      <c r="H47" s="1"/>
      <c r="I47" s="7"/>
      <c r="K47" s="6"/>
      <c r="L47" s="1"/>
      <c r="M47" s="1"/>
      <c r="N47" s="7"/>
      <c r="P47" s="6"/>
      <c r="Q47" s="1"/>
      <c r="R47" s="1"/>
      <c r="S47" s="7"/>
    </row>
    <row r="48" spans="1:19" x14ac:dyDescent="0.45">
      <c r="A48" s="6"/>
      <c r="B48" s="1"/>
      <c r="C48" s="1"/>
      <c r="D48" s="7"/>
      <c r="F48" s="6"/>
      <c r="G48" s="1"/>
      <c r="H48" s="1"/>
      <c r="I48" s="7"/>
      <c r="K48" s="6"/>
      <c r="L48" s="1"/>
      <c r="M48" s="1"/>
      <c r="N48" s="7"/>
      <c r="P48" s="6"/>
      <c r="Q48" s="1"/>
      <c r="R48" s="1"/>
      <c r="S48" s="7"/>
    </row>
    <row r="49" spans="1:19" x14ac:dyDescent="0.45">
      <c r="A49" s="6"/>
      <c r="B49" s="1"/>
      <c r="C49" s="1"/>
      <c r="D49" s="7"/>
      <c r="F49" s="6"/>
      <c r="G49" s="1"/>
      <c r="H49" s="1"/>
      <c r="I49" s="7"/>
      <c r="K49" s="6"/>
      <c r="L49" s="1"/>
      <c r="M49" s="1"/>
      <c r="N49" s="7"/>
      <c r="P49" s="6"/>
      <c r="Q49" s="1"/>
      <c r="R49" s="1"/>
      <c r="S49" s="7"/>
    </row>
    <row r="50" spans="1:19" x14ac:dyDescent="0.45">
      <c r="A50" s="6"/>
      <c r="B50" s="1"/>
      <c r="C50" s="1"/>
      <c r="D50" s="7"/>
      <c r="F50" s="6"/>
      <c r="G50" s="1"/>
      <c r="H50" s="1"/>
      <c r="I50" s="7"/>
      <c r="K50" s="6"/>
      <c r="L50" s="1"/>
      <c r="M50" s="1"/>
      <c r="N50" s="7"/>
      <c r="P50" s="6"/>
      <c r="Q50" s="1"/>
      <c r="R50" s="1"/>
      <c r="S50" s="7"/>
    </row>
    <row r="51" spans="1:19" x14ac:dyDescent="0.45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19" ht="17.5" thickBot="1" x14ac:dyDescent="0.5">
      <c r="A52" s="8"/>
      <c r="B52" s="14"/>
      <c r="C52" s="14"/>
      <c r="D52" s="2"/>
      <c r="F52" s="8"/>
      <c r="G52" s="14"/>
      <c r="H52" s="14"/>
      <c r="I52" s="2"/>
      <c r="K52" s="8"/>
      <c r="L52" s="14"/>
      <c r="M52" s="14"/>
      <c r="N52" s="2"/>
      <c r="P52" s="8"/>
      <c r="Q52" s="14"/>
      <c r="R52" s="14"/>
      <c r="S52" s="2"/>
    </row>
    <row r="61" spans="1:19" ht="17.5" thickBot="1" x14ac:dyDescent="0.5"/>
    <row r="62" spans="1:19" x14ac:dyDescent="0.45">
      <c r="A62" s="45" t="s">
        <v>13</v>
      </c>
      <c r="B62" s="46"/>
      <c r="C62" s="46"/>
      <c r="D62" s="47"/>
      <c r="F62" s="45" t="s">
        <v>14</v>
      </c>
      <c r="G62" s="46"/>
      <c r="H62" s="46"/>
      <c r="I62" s="47"/>
      <c r="K62" s="45" t="s">
        <v>15</v>
      </c>
      <c r="L62" s="46"/>
      <c r="M62" s="46"/>
      <c r="N62" s="47"/>
      <c r="P62" s="45" t="s">
        <v>58</v>
      </c>
      <c r="Q62" s="46"/>
      <c r="R62" s="46"/>
      <c r="S62" s="47"/>
    </row>
    <row r="63" spans="1:19" x14ac:dyDescent="0.45">
      <c r="A63" s="6" t="s">
        <v>6</v>
      </c>
      <c r="B63" s="1"/>
      <c r="C63" s="1"/>
      <c r="D63" s="7" t="s">
        <v>7</v>
      </c>
      <c r="F63" s="6" t="s">
        <v>6</v>
      </c>
      <c r="G63" s="1"/>
      <c r="H63" s="1"/>
      <c r="I63" s="7" t="s">
        <v>7</v>
      </c>
      <c r="K63" s="6" t="s">
        <v>6</v>
      </c>
      <c r="L63" s="1"/>
      <c r="M63" s="1"/>
      <c r="N63" s="7" t="s">
        <v>7</v>
      </c>
      <c r="P63" s="6" t="s">
        <v>6</v>
      </c>
      <c r="Q63" s="1"/>
      <c r="R63" s="1"/>
      <c r="S63" s="7" t="s">
        <v>7</v>
      </c>
    </row>
    <row r="64" spans="1:19" x14ac:dyDescent="0.45">
      <c r="A64" s="198">
        <v>71</v>
      </c>
      <c r="B64" s="199">
        <v>153</v>
      </c>
      <c r="C64" s="199">
        <v>77</v>
      </c>
      <c r="D64" s="199">
        <v>231</v>
      </c>
      <c r="E64" s="199">
        <v>231</v>
      </c>
      <c r="F64" s="198">
        <v>74</v>
      </c>
      <c r="G64" s="199">
        <v>283</v>
      </c>
      <c r="H64" s="199">
        <v>125</v>
      </c>
      <c r="I64" s="199">
        <v>409</v>
      </c>
      <c r="J64" s="199">
        <v>409</v>
      </c>
      <c r="K64" s="198">
        <v>69</v>
      </c>
      <c r="L64" s="199">
        <v>195</v>
      </c>
      <c r="M64" s="199">
        <v>109</v>
      </c>
      <c r="N64" s="199">
        <v>307</v>
      </c>
      <c r="O64" s="199">
        <v>307</v>
      </c>
      <c r="P64" s="198">
        <v>77</v>
      </c>
      <c r="Q64" s="199">
        <v>139</v>
      </c>
      <c r="R64" s="199">
        <v>88</v>
      </c>
      <c r="S64" s="199">
        <v>232</v>
      </c>
    </row>
    <row r="65" spans="1:19" x14ac:dyDescent="0.45">
      <c r="A65" s="198">
        <v>70</v>
      </c>
      <c r="B65" s="199">
        <v>44</v>
      </c>
      <c r="C65" s="199">
        <v>24</v>
      </c>
      <c r="D65" s="199">
        <v>68</v>
      </c>
      <c r="E65" s="199">
        <v>299</v>
      </c>
      <c r="F65" s="198">
        <v>72</v>
      </c>
      <c r="G65" s="199">
        <v>125</v>
      </c>
      <c r="H65" s="199">
        <v>87</v>
      </c>
      <c r="I65" s="199">
        <v>213</v>
      </c>
      <c r="J65" s="199">
        <v>622</v>
      </c>
      <c r="K65" s="198">
        <v>68</v>
      </c>
      <c r="L65" s="199">
        <v>147</v>
      </c>
      <c r="M65" s="199">
        <v>115</v>
      </c>
      <c r="N65" s="199">
        <v>265</v>
      </c>
      <c r="O65" s="199">
        <v>572</v>
      </c>
      <c r="P65" s="198">
        <v>75</v>
      </c>
      <c r="Q65" s="199">
        <v>185</v>
      </c>
      <c r="R65" s="199">
        <v>171</v>
      </c>
      <c r="S65" s="199">
        <v>358</v>
      </c>
    </row>
    <row r="66" spans="1:19" x14ac:dyDescent="0.45">
      <c r="A66" s="198">
        <v>69</v>
      </c>
      <c r="B66" s="199">
        <v>143</v>
      </c>
      <c r="C66" s="199">
        <v>107</v>
      </c>
      <c r="D66" s="199">
        <v>250</v>
      </c>
      <c r="E66" s="199">
        <v>549</v>
      </c>
      <c r="F66" s="198">
        <v>71</v>
      </c>
      <c r="G66" s="199">
        <v>119</v>
      </c>
      <c r="H66" s="199">
        <v>54</v>
      </c>
      <c r="I66" s="199">
        <v>175</v>
      </c>
      <c r="J66" s="199">
        <v>797</v>
      </c>
      <c r="K66" s="198">
        <v>67</v>
      </c>
      <c r="L66" s="199">
        <v>94</v>
      </c>
      <c r="M66" s="199">
        <v>65</v>
      </c>
      <c r="N66" s="199">
        <v>159</v>
      </c>
      <c r="O66" s="199">
        <v>731</v>
      </c>
      <c r="P66" s="198">
        <v>74</v>
      </c>
      <c r="Q66" s="199">
        <v>24</v>
      </c>
      <c r="R66" s="199">
        <v>21</v>
      </c>
      <c r="S66" s="199">
        <v>45</v>
      </c>
    </row>
    <row r="67" spans="1:19" x14ac:dyDescent="0.45">
      <c r="A67" s="198">
        <v>68</v>
      </c>
      <c r="B67" s="199">
        <v>11</v>
      </c>
      <c r="C67" s="199">
        <v>3</v>
      </c>
      <c r="D67" s="199">
        <v>14</v>
      </c>
      <c r="E67" s="199">
        <v>563</v>
      </c>
      <c r="F67" s="198">
        <v>70</v>
      </c>
      <c r="G67" s="199">
        <v>75</v>
      </c>
      <c r="H67" s="199">
        <v>49</v>
      </c>
      <c r="I67" s="199">
        <v>124</v>
      </c>
      <c r="J67" s="199">
        <v>921</v>
      </c>
      <c r="K67" s="198">
        <v>66</v>
      </c>
      <c r="L67" s="199">
        <v>68</v>
      </c>
      <c r="M67" s="199">
        <v>53</v>
      </c>
      <c r="N67" s="199">
        <v>122</v>
      </c>
      <c r="O67" s="199">
        <v>853</v>
      </c>
      <c r="P67" s="198">
        <v>73</v>
      </c>
      <c r="Q67" s="199">
        <v>113</v>
      </c>
      <c r="R67" s="199">
        <v>106</v>
      </c>
      <c r="S67" s="199">
        <v>220</v>
      </c>
    </row>
    <row r="68" spans="1:19" x14ac:dyDescent="0.45">
      <c r="A68" s="198">
        <v>67</v>
      </c>
      <c r="B68" s="199">
        <v>100</v>
      </c>
      <c r="C68" s="199">
        <v>42</v>
      </c>
      <c r="D68" s="199">
        <v>143</v>
      </c>
      <c r="E68" s="199">
        <v>706</v>
      </c>
      <c r="F68" s="198">
        <v>69</v>
      </c>
      <c r="G68" s="199">
        <v>199</v>
      </c>
      <c r="H68" s="199">
        <v>146</v>
      </c>
      <c r="I68" s="199">
        <v>347</v>
      </c>
      <c r="J68" s="199">
        <v>1268</v>
      </c>
      <c r="K68" s="198">
        <v>65</v>
      </c>
      <c r="L68" s="199">
        <v>186</v>
      </c>
      <c r="M68" s="199">
        <v>125</v>
      </c>
      <c r="N68" s="199">
        <v>314</v>
      </c>
      <c r="O68" s="199">
        <v>1167</v>
      </c>
      <c r="P68" s="198">
        <v>72</v>
      </c>
      <c r="Q68" s="199">
        <v>108</v>
      </c>
      <c r="R68" s="199">
        <v>112</v>
      </c>
      <c r="S68" s="199">
        <v>221</v>
      </c>
    </row>
    <row r="69" spans="1:19" x14ac:dyDescent="0.45">
      <c r="A69" s="198">
        <v>66</v>
      </c>
      <c r="B69" s="199">
        <v>121</v>
      </c>
      <c r="C69" s="199">
        <v>90</v>
      </c>
      <c r="D69" s="199">
        <v>213</v>
      </c>
      <c r="E69" s="199">
        <v>919</v>
      </c>
      <c r="F69" s="198">
        <v>68</v>
      </c>
      <c r="G69" s="199">
        <v>120</v>
      </c>
      <c r="H69" s="199">
        <v>83</v>
      </c>
      <c r="I69" s="199">
        <v>203</v>
      </c>
      <c r="J69" s="199">
        <v>1471</v>
      </c>
      <c r="K69" s="198">
        <v>64</v>
      </c>
      <c r="L69" s="199">
        <v>174</v>
      </c>
      <c r="M69" s="199">
        <v>122</v>
      </c>
      <c r="N69" s="199">
        <v>302</v>
      </c>
      <c r="O69" s="199">
        <v>1469</v>
      </c>
      <c r="P69" s="198">
        <v>71</v>
      </c>
      <c r="Q69" s="199">
        <v>56</v>
      </c>
      <c r="R69" s="199">
        <v>62</v>
      </c>
      <c r="S69" s="199">
        <v>120</v>
      </c>
    </row>
    <row r="70" spans="1:19" x14ac:dyDescent="0.45">
      <c r="A70" s="198">
        <v>65</v>
      </c>
      <c r="B70" s="199">
        <v>152</v>
      </c>
      <c r="C70" s="199">
        <v>103</v>
      </c>
      <c r="D70" s="199">
        <v>257</v>
      </c>
      <c r="E70" s="199">
        <v>1176</v>
      </c>
      <c r="F70" s="198">
        <v>67</v>
      </c>
      <c r="G70" s="199">
        <v>102</v>
      </c>
      <c r="H70" s="199">
        <v>65</v>
      </c>
      <c r="I70" s="199">
        <v>167</v>
      </c>
      <c r="J70" s="199">
        <v>1638</v>
      </c>
      <c r="K70" s="198">
        <v>63</v>
      </c>
      <c r="L70" s="199">
        <v>149</v>
      </c>
      <c r="M70" s="199">
        <v>112</v>
      </c>
      <c r="N70" s="199">
        <v>267</v>
      </c>
      <c r="O70" s="199">
        <v>1736</v>
      </c>
      <c r="P70" s="198">
        <v>70</v>
      </c>
      <c r="Q70" s="199">
        <v>139</v>
      </c>
      <c r="R70" s="199">
        <v>180</v>
      </c>
      <c r="S70" s="199">
        <v>321</v>
      </c>
    </row>
    <row r="71" spans="1:19" x14ac:dyDescent="0.45">
      <c r="A71" s="198">
        <v>64</v>
      </c>
      <c r="B71" s="199">
        <v>110</v>
      </c>
      <c r="C71" s="199">
        <v>90</v>
      </c>
      <c r="D71" s="199">
        <v>201</v>
      </c>
      <c r="E71" s="199">
        <v>1377</v>
      </c>
      <c r="F71" s="198">
        <v>66</v>
      </c>
      <c r="G71" s="199">
        <v>74</v>
      </c>
      <c r="H71" s="199">
        <v>82</v>
      </c>
      <c r="I71" s="199">
        <v>158</v>
      </c>
      <c r="J71" s="199">
        <v>1796</v>
      </c>
      <c r="K71" s="198">
        <v>62</v>
      </c>
      <c r="L71" s="199">
        <v>75</v>
      </c>
      <c r="M71" s="199">
        <v>42</v>
      </c>
      <c r="N71" s="199">
        <v>117</v>
      </c>
      <c r="O71" s="199">
        <v>1853</v>
      </c>
      <c r="P71" s="198">
        <v>69</v>
      </c>
      <c r="Q71" s="199">
        <v>114</v>
      </c>
      <c r="R71" s="199">
        <v>132</v>
      </c>
      <c r="S71" s="199">
        <v>249</v>
      </c>
    </row>
    <row r="72" spans="1:19" x14ac:dyDescent="0.45">
      <c r="A72" s="198">
        <v>63</v>
      </c>
      <c r="B72" s="199">
        <v>55</v>
      </c>
      <c r="C72" s="199">
        <v>53</v>
      </c>
      <c r="D72" s="199">
        <v>111</v>
      </c>
      <c r="E72" s="199">
        <v>1488</v>
      </c>
      <c r="F72" s="198">
        <v>65</v>
      </c>
      <c r="G72" s="199">
        <v>125</v>
      </c>
      <c r="H72" s="199">
        <v>72</v>
      </c>
      <c r="I72" s="199">
        <v>199</v>
      </c>
      <c r="J72" s="199">
        <v>1995</v>
      </c>
      <c r="K72" s="198">
        <v>61</v>
      </c>
      <c r="L72" s="199">
        <v>292</v>
      </c>
      <c r="M72" s="199">
        <v>206</v>
      </c>
      <c r="N72" s="199">
        <v>505</v>
      </c>
      <c r="O72" s="199">
        <v>2358</v>
      </c>
      <c r="P72" s="198">
        <v>68</v>
      </c>
      <c r="Q72" s="199">
        <v>110</v>
      </c>
      <c r="R72" s="199">
        <v>168</v>
      </c>
      <c r="S72" s="199">
        <v>281</v>
      </c>
    </row>
    <row r="73" spans="1:19" x14ac:dyDescent="0.45">
      <c r="A73" s="198">
        <v>62</v>
      </c>
      <c r="B73" s="199">
        <v>125</v>
      </c>
      <c r="C73" s="199">
        <v>100</v>
      </c>
      <c r="D73" s="199">
        <v>225</v>
      </c>
      <c r="E73" s="199">
        <v>1713</v>
      </c>
      <c r="F73" s="198">
        <v>64</v>
      </c>
      <c r="G73" s="199">
        <v>195</v>
      </c>
      <c r="H73" s="199">
        <v>149</v>
      </c>
      <c r="I73" s="199">
        <v>348</v>
      </c>
      <c r="J73" s="199">
        <v>2343</v>
      </c>
      <c r="K73" s="198">
        <v>60</v>
      </c>
      <c r="L73" s="199">
        <v>111</v>
      </c>
      <c r="M73" s="199">
        <v>77</v>
      </c>
      <c r="N73" s="199">
        <v>189</v>
      </c>
      <c r="O73" s="199">
        <v>2547</v>
      </c>
      <c r="P73" s="198">
        <v>67</v>
      </c>
      <c r="Q73" s="199">
        <v>168</v>
      </c>
      <c r="R73" s="199">
        <v>246</v>
      </c>
      <c r="S73" s="199">
        <v>419</v>
      </c>
    </row>
    <row r="74" spans="1:19" x14ac:dyDescent="0.45">
      <c r="A74" s="198">
        <v>61</v>
      </c>
      <c r="B74" s="199">
        <v>178</v>
      </c>
      <c r="C74" s="199">
        <v>150</v>
      </c>
      <c r="D74" s="199">
        <v>330</v>
      </c>
      <c r="E74" s="199">
        <v>2043</v>
      </c>
      <c r="F74" s="198">
        <v>63</v>
      </c>
      <c r="G74" s="199">
        <v>108</v>
      </c>
      <c r="H74" s="199">
        <v>81</v>
      </c>
      <c r="I74" s="199">
        <v>192</v>
      </c>
      <c r="J74" s="199">
        <v>2535</v>
      </c>
      <c r="K74" s="198">
        <v>59</v>
      </c>
      <c r="L74" s="199">
        <v>179</v>
      </c>
      <c r="M74" s="199">
        <v>108</v>
      </c>
      <c r="N74" s="199">
        <v>289</v>
      </c>
      <c r="O74" s="199">
        <v>2836</v>
      </c>
      <c r="P74" s="198">
        <v>66</v>
      </c>
      <c r="Q74" s="199">
        <v>131</v>
      </c>
      <c r="R74" s="199">
        <v>198</v>
      </c>
      <c r="S74" s="199">
        <v>333</v>
      </c>
    </row>
    <row r="75" spans="1:19" x14ac:dyDescent="0.45">
      <c r="A75" s="198">
        <v>60</v>
      </c>
      <c r="B75" s="199">
        <v>95</v>
      </c>
      <c r="C75" s="199">
        <v>109</v>
      </c>
      <c r="D75" s="199">
        <v>207</v>
      </c>
      <c r="E75" s="199">
        <v>2250</v>
      </c>
      <c r="F75" s="198">
        <v>62</v>
      </c>
      <c r="G75" s="199">
        <v>94</v>
      </c>
      <c r="H75" s="199">
        <v>94</v>
      </c>
      <c r="I75" s="199">
        <v>189</v>
      </c>
      <c r="J75" s="199">
        <v>2724</v>
      </c>
      <c r="K75" s="198">
        <v>58</v>
      </c>
      <c r="L75" s="199">
        <v>118</v>
      </c>
      <c r="M75" s="199">
        <v>101</v>
      </c>
      <c r="N75" s="199">
        <v>222</v>
      </c>
      <c r="O75" s="199">
        <v>3058</v>
      </c>
      <c r="P75" s="198">
        <v>65</v>
      </c>
      <c r="Q75" s="199">
        <v>161</v>
      </c>
      <c r="R75" s="199">
        <v>278</v>
      </c>
      <c r="S75" s="199">
        <v>442</v>
      </c>
    </row>
    <row r="76" spans="1:19" x14ac:dyDescent="0.45">
      <c r="A76" s="198">
        <v>59</v>
      </c>
      <c r="B76" s="199">
        <v>86</v>
      </c>
      <c r="C76" s="199">
        <v>75</v>
      </c>
      <c r="D76" s="199">
        <v>164</v>
      </c>
      <c r="E76" s="199">
        <v>2414</v>
      </c>
      <c r="F76" s="198">
        <v>61</v>
      </c>
      <c r="G76" s="199">
        <v>125</v>
      </c>
      <c r="H76" s="199">
        <v>99</v>
      </c>
      <c r="I76" s="199">
        <v>226</v>
      </c>
      <c r="J76" s="199">
        <v>2950</v>
      </c>
      <c r="K76" s="198">
        <v>57</v>
      </c>
      <c r="L76" s="199">
        <v>324</v>
      </c>
      <c r="M76" s="199">
        <v>208</v>
      </c>
      <c r="N76" s="199">
        <v>542</v>
      </c>
      <c r="O76" s="199">
        <v>3600</v>
      </c>
      <c r="P76" s="198">
        <v>64</v>
      </c>
      <c r="Q76" s="199">
        <v>211</v>
      </c>
      <c r="R76" s="199">
        <v>317</v>
      </c>
      <c r="S76" s="199">
        <v>532</v>
      </c>
    </row>
    <row r="77" spans="1:19" x14ac:dyDescent="0.45">
      <c r="A77" s="198">
        <v>58</v>
      </c>
      <c r="B77" s="199">
        <v>106</v>
      </c>
      <c r="C77" s="199">
        <v>102</v>
      </c>
      <c r="D77" s="199">
        <v>212</v>
      </c>
      <c r="E77" s="199">
        <v>2626</v>
      </c>
      <c r="F77" s="198">
        <v>60</v>
      </c>
      <c r="G77" s="199">
        <v>84</v>
      </c>
      <c r="H77" s="199">
        <v>78</v>
      </c>
      <c r="I77" s="199">
        <v>163</v>
      </c>
      <c r="J77" s="199">
        <v>3113</v>
      </c>
      <c r="K77" s="198">
        <v>56</v>
      </c>
      <c r="L77" s="199">
        <v>109</v>
      </c>
      <c r="M77" s="199">
        <v>79</v>
      </c>
      <c r="N77" s="199">
        <v>191</v>
      </c>
      <c r="O77" s="199">
        <v>3791</v>
      </c>
      <c r="P77" s="198">
        <v>63</v>
      </c>
      <c r="Q77" s="199">
        <v>192</v>
      </c>
      <c r="R77" s="199">
        <v>309</v>
      </c>
      <c r="S77" s="199">
        <v>506</v>
      </c>
    </row>
    <row r="78" spans="1:19" x14ac:dyDescent="0.45">
      <c r="A78" s="198">
        <v>57</v>
      </c>
      <c r="B78" s="199">
        <v>100</v>
      </c>
      <c r="C78" s="199">
        <v>95</v>
      </c>
      <c r="D78" s="199">
        <v>199</v>
      </c>
      <c r="E78" s="199">
        <v>2825</v>
      </c>
      <c r="F78" s="198">
        <v>59</v>
      </c>
      <c r="G78" s="199">
        <v>257</v>
      </c>
      <c r="H78" s="199">
        <v>190</v>
      </c>
      <c r="I78" s="199">
        <v>453</v>
      </c>
      <c r="J78" s="199">
        <v>3566</v>
      </c>
      <c r="K78" s="198">
        <v>55</v>
      </c>
      <c r="L78" s="199">
        <v>146</v>
      </c>
      <c r="M78" s="199">
        <v>97</v>
      </c>
      <c r="N78" s="199">
        <v>248</v>
      </c>
      <c r="O78" s="199">
        <v>4039</v>
      </c>
      <c r="P78" s="198">
        <v>62</v>
      </c>
      <c r="Q78" s="199">
        <v>241</v>
      </c>
      <c r="R78" s="199">
        <v>392</v>
      </c>
      <c r="S78" s="199">
        <v>642</v>
      </c>
    </row>
    <row r="79" spans="1:19" x14ac:dyDescent="0.45">
      <c r="A79" s="198">
        <v>56</v>
      </c>
      <c r="B79" s="199">
        <v>227</v>
      </c>
      <c r="C79" s="199">
        <v>228</v>
      </c>
      <c r="D79" s="199">
        <v>458</v>
      </c>
      <c r="E79" s="199">
        <v>3283</v>
      </c>
      <c r="F79" s="198">
        <v>58</v>
      </c>
      <c r="G79" s="199">
        <v>145</v>
      </c>
      <c r="H79" s="199">
        <v>96</v>
      </c>
      <c r="I79" s="199">
        <v>242</v>
      </c>
      <c r="J79" s="199">
        <v>3808</v>
      </c>
      <c r="K79" s="198">
        <v>54</v>
      </c>
      <c r="L79" s="199">
        <v>289</v>
      </c>
      <c r="M79" s="199">
        <v>213</v>
      </c>
      <c r="N79" s="199">
        <v>507</v>
      </c>
      <c r="O79" s="199">
        <v>4546</v>
      </c>
      <c r="P79" s="198">
        <v>61</v>
      </c>
      <c r="Q79" s="199">
        <v>210</v>
      </c>
      <c r="R79" s="199">
        <v>373</v>
      </c>
      <c r="S79" s="199">
        <v>596</v>
      </c>
    </row>
    <row r="80" spans="1:19" x14ac:dyDescent="0.45">
      <c r="A80" s="198">
        <v>55</v>
      </c>
      <c r="B80" s="199">
        <v>117</v>
      </c>
      <c r="C80" s="199">
        <v>112</v>
      </c>
      <c r="D80" s="199">
        <v>230</v>
      </c>
      <c r="E80" s="199">
        <v>3513</v>
      </c>
      <c r="F80" s="198">
        <v>57</v>
      </c>
      <c r="G80" s="199">
        <v>127</v>
      </c>
      <c r="H80" s="199">
        <v>125</v>
      </c>
      <c r="I80" s="199">
        <v>257</v>
      </c>
      <c r="J80" s="199">
        <v>4065</v>
      </c>
      <c r="K80" s="198">
        <v>53</v>
      </c>
      <c r="L80" s="199">
        <v>192</v>
      </c>
      <c r="M80" s="199">
        <v>105</v>
      </c>
      <c r="N80" s="199">
        <v>303</v>
      </c>
      <c r="O80" s="199">
        <v>4849</v>
      </c>
      <c r="P80" s="198">
        <v>60</v>
      </c>
      <c r="Q80" s="199">
        <v>234</v>
      </c>
      <c r="R80" s="199">
        <v>417</v>
      </c>
      <c r="S80" s="199">
        <v>657</v>
      </c>
    </row>
    <row r="81" spans="1:19" x14ac:dyDescent="0.45">
      <c r="A81" s="198">
        <v>54</v>
      </c>
      <c r="B81" s="199">
        <v>108</v>
      </c>
      <c r="C81" s="199">
        <v>120</v>
      </c>
      <c r="D81" s="199">
        <v>231</v>
      </c>
      <c r="E81" s="199">
        <v>3744</v>
      </c>
      <c r="F81" s="198">
        <v>56</v>
      </c>
      <c r="G81" s="199">
        <v>153</v>
      </c>
      <c r="H81" s="199">
        <v>121</v>
      </c>
      <c r="I81" s="199">
        <v>275</v>
      </c>
      <c r="J81" s="199">
        <v>4340</v>
      </c>
      <c r="K81" s="198">
        <v>52</v>
      </c>
      <c r="L81" s="199">
        <v>141</v>
      </c>
      <c r="M81" s="199">
        <v>111</v>
      </c>
      <c r="N81" s="199">
        <v>253</v>
      </c>
      <c r="O81" s="199">
        <v>5102</v>
      </c>
      <c r="P81" s="198">
        <v>59</v>
      </c>
      <c r="Q81" s="199">
        <v>332</v>
      </c>
      <c r="R81" s="199">
        <v>484</v>
      </c>
      <c r="S81" s="199">
        <v>822</v>
      </c>
    </row>
    <row r="82" spans="1:19" x14ac:dyDescent="0.45">
      <c r="A82" s="198">
        <v>53</v>
      </c>
      <c r="B82" s="199">
        <v>117</v>
      </c>
      <c r="C82" s="199">
        <v>110</v>
      </c>
      <c r="D82" s="199">
        <v>229</v>
      </c>
      <c r="E82" s="199">
        <v>3973</v>
      </c>
      <c r="F82" s="198">
        <v>55</v>
      </c>
      <c r="G82" s="199">
        <v>133</v>
      </c>
      <c r="H82" s="199">
        <v>138</v>
      </c>
      <c r="I82" s="199">
        <v>273</v>
      </c>
      <c r="J82" s="199">
        <v>4613</v>
      </c>
      <c r="K82" s="198">
        <v>51</v>
      </c>
      <c r="L82" s="199">
        <v>151</v>
      </c>
      <c r="M82" s="199">
        <v>96</v>
      </c>
      <c r="N82" s="199">
        <v>250</v>
      </c>
      <c r="O82" s="199">
        <v>5352</v>
      </c>
      <c r="P82" s="198">
        <v>58</v>
      </c>
      <c r="Q82" s="199">
        <v>261</v>
      </c>
      <c r="R82" s="199">
        <v>434</v>
      </c>
      <c r="S82" s="199">
        <v>705</v>
      </c>
    </row>
    <row r="83" spans="1:19" x14ac:dyDescent="0.45">
      <c r="A83" s="198">
        <v>52</v>
      </c>
      <c r="B83" s="199">
        <v>111</v>
      </c>
      <c r="C83" s="199">
        <v>124</v>
      </c>
      <c r="D83" s="199">
        <v>236</v>
      </c>
      <c r="E83" s="199">
        <v>4209</v>
      </c>
      <c r="F83" s="198">
        <v>54</v>
      </c>
      <c r="G83" s="199">
        <v>291</v>
      </c>
      <c r="H83" s="199">
        <v>241</v>
      </c>
      <c r="I83" s="199">
        <v>536</v>
      </c>
      <c r="J83" s="199">
        <v>5149</v>
      </c>
      <c r="K83" s="198">
        <v>50</v>
      </c>
      <c r="L83" s="199">
        <v>291</v>
      </c>
      <c r="M83" s="199">
        <v>185</v>
      </c>
      <c r="N83" s="199">
        <v>482</v>
      </c>
      <c r="O83" s="199">
        <v>5834</v>
      </c>
      <c r="P83" s="198">
        <v>57</v>
      </c>
      <c r="Q83" s="199">
        <v>299</v>
      </c>
      <c r="R83" s="199">
        <v>596</v>
      </c>
      <c r="S83" s="199">
        <v>907</v>
      </c>
    </row>
    <row r="84" spans="1:19" x14ac:dyDescent="0.45">
      <c r="A84" s="198">
        <v>51</v>
      </c>
      <c r="B84" s="199">
        <v>229</v>
      </c>
      <c r="C84" s="199">
        <v>295</v>
      </c>
      <c r="D84" s="199">
        <v>532</v>
      </c>
      <c r="E84" s="199">
        <v>4741</v>
      </c>
      <c r="F84" s="198">
        <v>53</v>
      </c>
      <c r="G84" s="199">
        <v>162</v>
      </c>
      <c r="H84" s="199">
        <v>179</v>
      </c>
      <c r="I84" s="199">
        <v>342</v>
      </c>
      <c r="J84" s="199">
        <v>5491</v>
      </c>
      <c r="K84" s="198">
        <v>49</v>
      </c>
      <c r="L84" s="199">
        <v>172</v>
      </c>
      <c r="M84" s="199">
        <v>76</v>
      </c>
      <c r="N84" s="199">
        <v>253</v>
      </c>
      <c r="O84" s="199">
        <v>6087</v>
      </c>
      <c r="P84" s="198">
        <v>56</v>
      </c>
      <c r="Q84" s="199">
        <v>311</v>
      </c>
      <c r="R84" s="199">
        <v>545</v>
      </c>
      <c r="S84" s="199">
        <v>863</v>
      </c>
    </row>
    <row r="85" spans="1:19" x14ac:dyDescent="0.45">
      <c r="A85" s="198">
        <v>50</v>
      </c>
      <c r="B85" s="199">
        <v>122</v>
      </c>
      <c r="C85" s="199">
        <v>164</v>
      </c>
      <c r="D85" s="199">
        <v>287</v>
      </c>
      <c r="E85" s="199">
        <v>5028</v>
      </c>
      <c r="F85" s="198">
        <v>52</v>
      </c>
      <c r="G85" s="199">
        <v>190</v>
      </c>
      <c r="H85" s="199">
        <v>168</v>
      </c>
      <c r="I85" s="199">
        <v>362</v>
      </c>
      <c r="J85" s="199">
        <v>5853</v>
      </c>
      <c r="K85" s="198">
        <v>48</v>
      </c>
      <c r="L85" s="199">
        <v>132</v>
      </c>
      <c r="M85" s="199">
        <v>97</v>
      </c>
      <c r="N85" s="199">
        <v>231</v>
      </c>
      <c r="O85" s="199">
        <v>6318</v>
      </c>
      <c r="P85" s="198">
        <v>55</v>
      </c>
      <c r="Q85" s="199">
        <v>347</v>
      </c>
      <c r="R85" s="199">
        <v>567</v>
      </c>
      <c r="S85" s="199">
        <v>930</v>
      </c>
    </row>
    <row r="86" spans="1:19" x14ac:dyDescent="0.45">
      <c r="A86" s="198">
        <v>49</v>
      </c>
      <c r="B86" s="199">
        <v>112</v>
      </c>
      <c r="C86" s="199">
        <v>163</v>
      </c>
      <c r="D86" s="199">
        <v>277</v>
      </c>
      <c r="E86" s="199">
        <v>5305</v>
      </c>
      <c r="F86" s="198">
        <v>51</v>
      </c>
      <c r="G86" s="199">
        <v>212</v>
      </c>
      <c r="H86" s="199">
        <v>179</v>
      </c>
      <c r="I86" s="199">
        <v>394</v>
      </c>
      <c r="J86" s="199">
        <v>6247</v>
      </c>
      <c r="K86" s="198">
        <v>47</v>
      </c>
      <c r="L86" s="199">
        <v>312</v>
      </c>
      <c r="M86" s="199">
        <v>172</v>
      </c>
      <c r="N86" s="199">
        <v>493</v>
      </c>
      <c r="O86" s="199">
        <v>6811</v>
      </c>
      <c r="P86" s="198">
        <v>54</v>
      </c>
      <c r="Q86" s="199">
        <v>339</v>
      </c>
      <c r="R86" s="199">
        <v>615</v>
      </c>
      <c r="S86" s="199">
        <v>963</v>
      </c>
    </row>
    <row r="87" spans="1:19" x14ac:dyDescent="0.45">
      <c r="A87" s="198">
        <v>48</v>
      </c>
      <c r="B87" s="199">
        <v>120</v>
      </c>
      <c r="C87" s="199">
        <v>162</v>
      </c>
      <c r="D87" s="199">
        <v>282</v>
      </c>
      <c r="E87" s="199">
        <v>5587</v>
      </c>
      <c r="F87" s="198">
        <v>50</v>
      </c>
      <c r="G87" s="199">
        <v>241</v>
      </c>
      <c r="H87" s="199">
        <v>215</v>
      </c>
      <c r="I87" s="199">
        <v>459</v>
      </c>
      <c r="J87" s="199">
        <v>6706</v>
      </c>
      <c r="K87" s="198">
        <v>46</v>
      </c>
      <c r="L87" s="199">
        <v>128</v>
      </c>
      <c r="M87" s="199">
        <v>86</v>
      </c>
      <c r="N87" s="199">
        <v>216</v>
      </c>
      <c r="O87" s="199">
        <v>7027</v>
      </c>
      <c r="P87" s="198">
        <v>53</v>
      </c>
      <c r="Q87" s="199">
        <v>335</v>
      </c>
      <c r="R87" s="199">
        <v>600</v>
      </c>
      <c r="S87" s="199">
        <v>948</v>
      </c>
    </row>
    <row r="88" spans="1:19" x14ac:dyDescent="0.45">
      <c r="A88" s="198">
        <v>47</v>
      </c>
      <c r="B88" s="199">
        <v>130</v>
      </c>
      <c r="C88" s="199">
        <v>149</v>
      </c>
      <c r="D88" s="199">
        <v>281</v>
      </c>
      <c r="E88" s="199">
        <v>5868</v>
      </c>
      <c r="F88" s="198">
        <v>49</v>
      </c>
      <c r="G88" s="199">
        <v>443</v>
      </c>
      <c r="H88" s="199">
        <v>440</v>
      </c>
      <c r="I88" s="199">
        <v>891</v>
      </c>
      <c r="J88" s="199">
        <v>7597</v>
      </c>
      <c r="K88" s="198">
        <v>45</v>
      </c>
      <c r="L88" s="199">
        <v>183</v>
      </c>
      <c r="M88" s="199">
        <v>90</v>
      </c>
      <c r="N88" s="199">
        <v>277</v>
      </c>
      <c r="O88" s="199">
        <v>7304</v>
      </c>
      <c r="P88" s="198">
        <v>52</v>
      </c>
      <c r="Q88" s="199">
        <v>371</v>
      </c>
      <c r="R88" s="199">
        <v>655</v>
      </c>
      <c r="S88" s="199">
        <v>1040</v>
      </c>
    </row>
    <row r="89" spans="1:19" x14ac:dyDescent="0.45">
      <c r="A89" s="198">
        <v>46</v>
      </c>
      <c r="B89" s="199">
        <v>274</v>
      </c>
      <c r="C89" s="199">
        <v>310</v>
      </c>
      <c r="D89" s="199">
        <v>590</v>
      </c>
      <c r="E89" s="199">
        <v>6458</v>
      </c>
      <c r="F89" s="198">
        <v>48</v>
      </c>
      <c r="G89" s="199">
        <v>252</v>
      </c>
      <c r="H89" s="199">
        <v>263</v>
      </c>
      <c r="I89" s="199">
        <v>523</v>
      </c>
      <c r="J89" s="199">
        <v>8120</v>
      </c>
      <c r="K89" s="198">
        <v>44</v>
      </c>
      <c r="L89" s="199">
        <v>155</v>
      </c>
      <c r="M89" s="199">
        <v>79</v>
      </c>
      <c r="N89" s="199">
        <v>236</v>
      </c>
      <c r="O89" s="199">
        <v>7540</v>
      </c>
      <c r="P89" s="198">
        <v>51</v>
      </c>
      <c r="Q89" s="199">
        <v>338</v>
      </c>
      <c r="R89" s="199">
        <v>595</v>
      </c>
      <c r="S89" s="199">
        <v>940</v>
      </c>
    </row>
    <row r="90" spans="1:19" x14ac:dyDescent="0.45">
      <c r="A90" s="198">
        <v>45</v>
      </c>
      <c r="B90" s="199">
        <v>167</v>
      </c>
      <c r="C90" s="199">
        <v>153</v>
      </c>
      <c r="D90" s="199">
        <v>321</v>
      </c>
      <c r="E90" s="199">
        <v>6779</v>
      </c>
      <c r="F90" s="198">
        <v>47</v>
      </c>
      <c r="G90" s="199">
        <v>264</v>
      </c>
      <c r="H90" s="199">
        <v>235</v>
      </c>
      <c r="I90" s="199">
        <v>502</v>
      </c>
      <c r="J90" s="199">
        <v>8622</v>
      </c>
      <c r="K90" s="198">
        <v>43</v>
      </c>
      <c r="L90" s="199">
        <v>358</v>
      </c>
      <c r="M90" s="199">
        <v>168</v>
      </c>
      <c r="N90" s="199">
        <v>537</v>
      </c>
      <c r="O90" s="199">
        <v>8077</v>
      </c>
      <c r="P90" s="198">
        <v>50</v>
      </c>
      <c r="Q90" s="199">
        <v>396</v>
      </c>
      <c r="R90" s="199">
        <v>637</v>
      </c>
      <c r="S90" s="199">
        <v>1047</v>
      </c>
    </row>
    <row r="91" spans="1:19" x14ac:dyDescent="0.45">
      <c r="A91" s="198">
        <v>44</v>
      </c>
      <c r="B91" s="199">
        <v>154</v>
      </c>
      <c r="C91" s="199">
        <v>144</v>
      </c>
      <c r="D91" s="199">
        <v>300</v>
      </c>
      <c r="E91" s="199">
        <v>7079</v>
      </c>
      <c r="F91" s="198">
        <v>46</v>
      </c>
      <c r="G91" s="199">
        <v>324</v>
      </c>
      <c r="H91" s="199">
        <v>263</v>
      </c>
      <c r="I91" s="199">
        <v>590</v>
      </c>
      <c r="J91" s="199">
        <v>9212</v>
      </c>
      <c r="K91" s="198">
        <v>42</v>
      </c>
      <c r="L91" s="199">
        <v>639</v>
      </c>
      <c r="M91" s="199">
        <v>186</v>
      </c>
      <c r="N91" s="199">
        <v>833</v>
      </c>
      <c r="O91" s="199">
        <v>8910</v>
      </c>
      <c r="P91" s="198">
        <v>49</v>
      </c>
      <c r="Q91" s="199">
        <v>378</v>
      </c>
      <c r="R91" s="199">
        <v>651</v>
      </c>
      <c r="S91" s="199">
        <v>1046</v>
      </c>
    </row>
    <row r="92" spans="1:19" x14ac:dyDescent="0.45">
      <c r="A92" s="198">
        <v>43</v>
      </c>
      <c r="B92" s="199">
        <v>163</v>
      </c>
      <c r="C92" s="199">
        <v>159</v>
      </c>
      <c r="D92" s="199">
        <v>324</v>
      </c>
      <c r="E92" s="199">
        <v>7403</v>
      </c>
      <c r="F92" s="198">
        <v>45</v>
      </c>
      <c r="G92" s="199">
        <v>300</v>
      </c>
      <c r="H92" s="199">
        <v>289</v>
      </c>
      <c r="I92" s="199">
        <v>593</v>
      </c>
      <c r="J92" s="199">
        <v>9805</v>
      </c>
      <c r="K92" s="198">
        <v>41</v>
      </c>
      <c r="L92" s="199">
        <v>182</v>
      </c>
      <c r="M92" s="199">
        <v>75</v>
      </c>
      <c r="N92" s="199">
        <v>259</v>
      </c>
      <c r="O92" s="199">
        <v>9169</v>
      </c>
      <c r="P92" s="198">
        <v>48</v>
      </c>
      <c r="Q92" s="199">
        <v>372</v>
      </c>
      <c r="R92" s="199">
        <v>639</v>
      </c>
      <c r="S92" s="199">
        <v>1031</v>
      </c>
    </row>
    <row r="93" spans="1:19" x14ac:dyDescent="0.45">
      <c r="A93" s="198">
        <v>42</v>
      </c>
      <c r="B93" s="199">
        <v>172</v>
      </c>
      <c r="C93" s="199">
        <v>177</v>
      </c>
      <c r="D93" s="199">
        <v>353</v>
      </c>
      <c r="E93" s="199">
        <v>7756</v>
      </c>
      <c r="F93" s="198">
        <v>44</v>
      </c>
      <c r="G93" s="199">
        <v>772</v>
      </c>
      <c r="H93" s="199">
        <v>615</v>
      </c>
      <c r="I93" s="199">
        <v>1403</v>
      </c>
      <c r="J93" s="199">
        <v>11208</v>
      </c>
      <c r="K93" s="198">
        <v>40</v>
      </c>
      <c r="L93" s="199">
        <v>378</v>
      </c>
      <c r="M93" s="199">
        <v>159</v>
      </c>
      <c r="N93" s="199">
        <v>547</v>
      </c>
      <c r="O93" s="199">
        <v>9716</v>
      </c>
      <c r="P93" s="198">
        <v>47</v>
      </c>
      <c r="Q93" s="199">
        <v>510</v>
      </c>
      <c r="R93" s="199">
        <v>678</v>
      </c>
      <c r="S93" s="199">
        <v>1205</v>
      </c>
    </row>
    <row r="94" spans="1:19" x14ac:dyDescent="0.45">
      <c r="A94" s="198">
        <v>41</v>
      </c>
      <c r="B94" s="199">
        <v>407</v>
      </c>
      <c r="C94" s="199">
        <v>372</v>
      </c>
      <c r="D94" s="199">
        <v>789</v>
      </c>
      <c r="E94" s="199">
        <v>8545</v>
      </c>
      <c r="F94" s="198">
        <v>43</v>
      </c>
      <c r="G94" s="199">
        <v>292</v>
      </c>
      <c r="H94" s="199">
        <v>270</v>
      </c>
      <c r="I94" s="199">
        <v>568</v>
      </c>
      <c r="J94" s="199">
        <v>11776</v>
      </c>
      <c r="K94" s="198">
        <v>39</v>
      </c>
      <c r="L94" s="199">
        <v>219</v>
      </c>
      <c r="M94" s="199">
        <v>80</v>
      </c>
      <c r="N94" s="199">
        <v>304</v>
      </c>
      <c r="O94" s="199">
        <v>10020</v>
      </c>
      <c r="P94" s="198">
        <v>46</v>
      </c>
      <c r="Q94" s="199">
        <v>439</v>
      </c>
      <c r="R94" s="199">
        <v>630</v>
      </c>
      <c r="S94" s="199">
        <v>1081</v>
      </c>
    </row>
    <row r="95" spans="1:19" x14ac:dyDescent="0.45">
      <c r="A95" s="198">
        <v>40</v>
      </c>
      <c r="B95" s="199">
        <v>147</v>
      </c>
      <c r="C95" s="199">
        <v>127</v>
      </c>
      <c r="D95" s="199">
        <v>276</v>
      </c>
      <c r="E95" s="199">
        <v>8821</v>
      </c>
      <c r="F95" s="198">
        <v>42</v>
      </c>
      <c r="G95" s="199">
        <v>1123</v>
      </c>
      <c r="H95" s="199">
        <v>577</v>
      </c>
      <c r="I95" s="199">
        <v>1740</v>
      </c>
      <c r="J95" s="199">
        <v>13516</v>
      </c>
      <c r="K95" s="198">
        <v>38</v>
      </c>
      <c r="L95" s="199">
        <v>296</v>
      </c>
      <c r="M95" s="199">
        <v>129</v>
      </c>
      <c r="N95" s="199">
        <v>432</v>
      </c>
      <c r="O95" s="199">
        <v>10452</v>
      </c>
      <c r="P95" s="198">
        <v>45</v>
      </c>
      <c r="Q95" s="199">
        <v>481</v>
      </c>
      <c r="R95" s="199">
        <v>655</v>
      </c>
      <c r="S95" s="199">
        <v>1151</v>
      </c>
    </row>
    <row r="96" spans="1:19" x14ac:dyDescent="0.45">
      <c r="A96" s="198">
        <v>39</v>
      </c>
      <c r="B96" s="199">
        <v>335</v>
      </c>
      <c r="C96" s="199">
        <v>186</v>
      </c>
      <c r="D96" s="199">
        <v>531</v>
      </c>
      <c r="E96" s="199">
        <v>9352</v>
      </c>
      <c r="F96" s="198">
        <v>41</v>
      </c>
      <c r="G96" s="199">
        <v>343</v>
      </c>
      <c r="H96" s="199">
        <v>246</v>
      </c>
      <c r="I96" s="199">
        <v>602</v>
      </c>
      <c r="J96" s="199">
        <v>14118</v>
      </c>
      <c r="K96" s="198">
        <v>37</v>
      </c>
      <c r="L96" s="199">
        <v>336</v>
      </c>
      <c r="M96" s="199">
        <v>117</v>
      </c>
      <c r="N96" s="199">
        <v>467</v>
      </c>
      <c r="O96" s="199">
        <v>10919</v>
      </c>
      <c r="P96" s="198">
        <v>44</v>
      </c>
      <c r="Q96" s="199">
        <v>971</v>
      </c>
      <c r="R96" s="199">
        <v>1244</v>
      </c>
      <c r="S96" s="199">
        <v>2249</v>
      </c>
    </row>
    <row r="97" spans="1:19" x14ac:dyDescent="0.45">
      <c r="A97" s="198">
        <v>38</v>
      </c>
      <c r="B97" s="199">
        <v>147</v>
      </c>
      <c r="C97" s="199">
        <v>125</v>
      </c>
      <c r="D97" s="199">
        <v>275</v>
      </c>
      <c r="E97" s="199">
        <v>9627</v>
      </c>
      <c r="F97" s="198">
        <v>40</v>
      </c>
      <c r="G97" s="199">
        <v>281</v>
      </c>
      <c r="H97" s="199">
        <v>234</v>
      </c>
      <c r="I97" s="199">
        <v>519</v>
      </c>
      <c r="J97" s="199">
        <v>14637</v>
      </c>
      <c r="K97" s="198">
        <v>36</v>
      </c>
      <c r="L97" s="199">
        <v>244</v>
      </c>
      <c r="M97" s="199">
        <v>99</v>
      </c>
      <c r="N97" s="199">
        <v>347</v>
      </c>
      <c r="O97" s="199">
        <v>11266</v>
      </c>
      <c r="P97" s="198">
        <v>43</v>
      </c>
      <c r="Q97" s="199">
        <v>547</v>
      </c>
      <c r="R97" s="199">
        <v>667</v>
      </c>
      <c r="S97" s="199">
        <v>1229</v>
      </c>
    </row>
    <row r="98" spans="1:19" x14ac:dyDescent="0.45">
      <c r="A98" s="198">
        <v>37</v>
      </c>
      <c r="B98" s="199">
        <v>92</v>
      </c>
      <c r="C98" s="199">
        <v>76</v>
      </c>
      <c r="D98" s="199">
        <v>171</v>
      </c>
      <c r="E98" s="199">
        <v>9798</v>
      </c>
      <c r="F98" s="198">
        <v>39</v>
      </c>
      <c r="G98" s="199">
        <v>462</v>
      </c>
      <c r="H98" s="199">
        <v>361</v>
      </c>
      <c r="I98" s="199">
        <v>835</v>
      </c>
      <c r="J98" s="199">
        <v>15472</v>
      </c>
      <c r="K98" s="198">
        <v>35</v>
      </c>
      <c r="L98" s="199">
        <v>138</v>
      </c>
      <c r="M98" s="199">
        <v>47</v>
      </c>
      <c r="N98" s="199">
        <v>190</v>
      </c>
      <c r="O98" s="199">
        <v>11456</v>
      </c>
      <c r="P98" s="198">
        <v>42</v>
      </c>
      <c r="Q98" s="199">
        <v>1421</v>
      </c>
      <c r="R98" s="199">
        <v>887</v>
      </c>
      <c r="S98" s="199">
        <v>2344</v>
      </c>
    </row>
    <row r="99" spans="1:19" x14ac:dyDescent="0.45">
      <c r="A99" s="198">
        <v>36</v>
      </c>
      <c r="B99" s="199">
        <v>226</v>
      </c>
      <c r="C99" s="199">
        <v>186</v>
      </c>
      <c r="D99" s="199">
        <v>416</v>
      </c>
      <c r="E99" s="199">
        <v>10214</v>
      </c>
      <c r="F99" s="198">
        <v>38</v>
      </c>
      <c r="G99" s="199">
        <v>258</v>
      </c>
      <c r="H99" s="199">
        <v>175</v>
      </c>
      <c r="I99" s="199">
        <v>437</v>
      </c>
      <c r="J99" s="199">
        <v>15909</v>
      </c>
      <c r="K99" s="198">
        <v>34</v>
      </c>
      <c r="L99" s="199">
        <v>71</v>
      </c>
      <c r="M99" s="199">
        <v>24</v>
      </c>
      <c r="N99" s="199">
        <v>96</v>
      </c>
      <c r="O99" s="199">
        <v>11552</v>
      </c>
      <c r="P99" s="198">
        <v>41</v>
      </c>
      <c r="Q99" s="199">
        <v>961</v>
      </c>
      <c r="R99" s="199">
        <v>832</v>
      </c>
      <c r="S99" s="199">
        <v>1821</v>
      </c>
    </row>
    <row r="100" spans="1:19" x14ac:dyDescent="0.45">
      <c r="A100" s="198">
        <v>35</v>
      </c>
      <c r="B100" s="199">
        <v>38</v>
      </c>
      <c r="C100" s="199">
        <v>35</v>
      </c>
      <c r="D100" s="199">
        <v>74</v>
      </c>
      <c r="E100" s="199">
        <v>10288</v>
      </c>
      <c r="F100" s="198">
        <v>37</v>
      </c>
      <c r="G100" s="199">
        <v>79</v>
      </c>
      <c r="H100" s="199">
        <v>71</v>
      </c>
      <c r="I100" s="199">
        <v>151</v>
      </c>
      <c r="J100" s="199">
        <v>16060</v>
      </c>
      <c r="K100" s="198">
        <v>33</v>
      </c>
      <c r="L100" s="199">
        <v>82</v>
      </c>
      <c r="M100" s="199">
        <v>27</v>
      </c>
      <c r="N100" s="199">
        <v>112</v>
      </c>
      <c r="O100" s="199">
        <v>11664</v>
      </c>
      <c r="P100" s="198">
        <v>40</v>
      </c>
      <c r="Q100" s="199">
        <v>400</v>
      </c>
      <c r="R100" s="199">
        <v>431</v>
      </c>
      <c r="S100" s="199">
        <v>845</v>
      </c>
    </row>
    <row r="101" spans="1:19" x14ac:dyDescent="0.45">
      <c r="A101" s="198">
        <v>34</v>
      </c>
      <c r="B101" s="199">
        <v>60</v>
      </c>
      <c r="C101" s="199">
        <v>37</v>
      </c>
      <c r="D101" s="199">
        <v>97</v>
      </c>
      <c r="E101" s="199">
        <v>10385</v>
      </c>
      <c r="F101" s="198">
        <v>36</v>
      </c>
      <c r="G101" s="199">
        <v>92</v>
      </c>
      <c r="H101" s="199">
        <v>56</v>
      </c>
      <c r="I101" s="199">
        <v>150</v>
      </c>
      <c r="J101" s="199">
        <v>16210</v>
      </c>
      <c r="K101" s="198">
        <v>32</v>
      </c>
      <c r="L101" s="199">
        <v>27</v>
      </c>
      <c r="M101" s="199">
        <v>11</v>
      </c>
      <c r="N101" s="199">
        <v>38</v>
      </c>
      <c r="O101" s="199">
        <v>11702</v>
      </c>
      <c r="P101" s="198">
        <v>39</v>
      </c>
      <c r="Q101" s="199">
        <v>574</v>
      </c>
      <c r="R101" s="199">
        <v>534</v>
      </c>
      <c r="S101" s="199">
        <v>1117</v>
      </c>
    </row>
    <row r="102" spans="1:19" x14ac:dyDescent="0.45">
      <c r="A102" s="198">
        <v>33</v>
      </c>
      <c r="B102" s="199">
        <v>24</v>
      </c>
      <c r="C102" s="199">
        <v>19</v>
      </c>
      <c r="D102" s="199">
        <v>45</v>
      </c>
      <c r="E102" s="199">
        <v>10430</v>
      </c>
      <c r="F102" s="198">
        <v>35</v>
      </c>
      <c r="G102" s="199">
        <v>53</v>
      </c>
      <c r="H102" s="199">
        <v>41</v>
      </c>
      <c r="I102" s="199">
        <v>96</v>
      </c>
      <c r="J102" s="199">
        <v>16306</v>
      </c>
      <c r="K102" s="198">
        <v>30</v>
      </c>
      <c r="L102" s="199">
        <v>15</v>
      </c>
      <c r="M102" s="199">
        <v>4</v>
      </c>
      <c r="N102" s="199">
        <v>19</v>
      </c>
      <c r="O102" s="199">
        <v>11721</v>
      </c>
      <c r="P102" s="198">
        <v>38</v>
      </c>
      <c r="Q102" s="199">
        <v>301</v>
      </c>
      <c r="R102" s="199">
        <v>321</v>
      </c>
      <c r="S102" s="199">
        <v>629</v>
      </c>
    </row>
    <row r="103" spans="1:19" x14ac:dyDescent="0.45">
      <c r="A103" s="198">
        <v>32</v>
      </c>
      <c r="B103" s="199">
        <v>20</v>
      </c>
      <c r="C103" s="199">
        <v>5</v>
      </c>
      <c r="D103" s="199">
        <v>25</v>
      </c>
      <c r="E103" s="199">
        <v>10455</v>
      </c>
      <c r="F103" s="198">
        <v>34</v>
      </c>
      <c r="G103" s="199">
        <v>55</v>
      </c>
      <c r="H103" s="199">
        <v>34</v>
      </c>
      <c r="I103" s="199">
        <v>93</v>
      </c>
      <c r="J103" s="199">
        <v>16399</v>
      </c>
      <c r="K103" s="198"/>
      <c r="L103" s="199"/>
      <c r="M103" s="199"/>
      <c r="N103" s="199"/>
      <c r="O103" s="199"/>
      <c r="P103" s="198">
        <v>37</v>
      </c>
      <c r="Q103" s="199">
        <v>365</v>
      </c>
      <c r="R103" s="199">
        <v>334</v>
      </c>
      <c r="S103" s="199">
        <v>712</v>
      </c>
    </row>
    <row r="104" spans="1:19" x14ac:dyDescent="0.45">
      <c r="A104" s="198">
        <v>31</v>
      </c>
      <c r="B104" s="199">
        <v>15</v>
      </c>
      <c r="C104" s="199">
        <v>15</v>
      </c>
      <c r="D104" s="199">
        <v>31</v>
      </c>
      <c r="E104" s="199">
        <v>10486</v>
      </c>
      <c r="F104" s="198">
        <v>32</v>
      </c>
      <c r="G104" s="199">
        <v>9</v>
      </c>
      <c r="H104" s="199">
        <v>7</v>
      </c>
      <c r="I104" s="199">
        <v>16</v>
      </c>
      <c r="J104" s="199">
        <v>16415</v>
      </c>
      <c r="K104" s="198"/>
      <c r="L104" s="199"/>
      <c r="M104" s="199"/>
      <c r="N104" s="199"/>
      <c r="O104" s="199"/>
      <c r="P104" s="198">
        <v>36</v>
      </c>
      <c r="Q104" s="199">
        <v>331</v>
      </c>
      <c r="R104" s="199">
        <v>264</v>
      </c>
      <c r="S104" s="199">
        <v>601</v>
      </c>
    </row>
    <row r="105" spans="1:19" x14ac:dyDescent="0.45">
      <c r="A105" s="198">
        <v>30</v>
      </c>
      <c r="B105" s="199">
        <v>14</v>
      </c>
      <c r="C105" s="199">
        <v>5</v>
      </c>
      <c r="D105" s="199">
        <v>19</v>
      </c>
      <c r="E105" s="199">
        <v>10505</v>
      </c>
      <c r="F105" s="198"/>
      <c r="G105" s="199"/>
      <c r="H105" s="199"/>
      <c r="I105" s="199"/>
      <c r="J105" s="199"/>
      <c r="K105" s="198"/>
      <c r="L105" s="199"/>
      <c r="M105" s="199"/>
      <c r="N105" s="199"/>
      <c r="O105" s="199"/>
      <c r="P105" s="198">
        <v>35</v>
      </c>
      <c r="Q105" s="199">
        <v>120</v>
      </c>
      <c r="R105" s="199">
        <v>122</v>
      </c>
      <c r="S105" s="199">
        <v>244</v>
      </c>
    </row>
    <row r="106" spans="1:19" x14ac:dyDescent="0.45">
      <c r="A106" s="198"/>
      <c r="B106" s="199"/>
      <c r="C106" s="199"/>
      <c r="D106" s="199"/>
      <c r="E106" s="199"/>
      <c r="F106" s="198"/>
      <c r="G106" s="199"/>
      <c r="H106" s="199"/>
      <c r="I106" s="199"/>
      <c r="J106" s="199"/>
      <c r="K106" s="198"/>
      <c r="L106" s="199"/>
      <c r="M106" s="199"/>
      <c r="N106" s="199"/>
      <c r="O106" s="199"/>
      <c r="P106" s="198">
        <v>34</v>
      </c>
      <c r="Q106" s="199">
        <v>185</v>
      </c>
      <c r="R106" s="199">
        <v>126</v>
      </c>
      <c r="S106" s="199">
        <v>313</v>
      </c>
    </row>
    <row r="107" spans="1:19" x14ac:dyDescent="0.45">
      <c r="A107" s="198"/>
      <c r="B107" s="199"/>
      <c r="C107" s="199"/>
      <c r="D107" s="199"/>
      <c r="E107" s="199"/>
      <c r="F107" s="198"/>
      <c r="G107" s="199"/>
      <c r="H107" s="199"/>
      <c r="I107" s="199"/>
      <c r="J107" s="199"/>
      <c r="K107" s="198"/>
      <c r="L107" s="199"/>
      <c r="M107" s="199"/>
      <c r="N107" s="199"/>
      <c r="O107" s="199"/>
      <c r="P107" s="198">
        <v>33</v>
      </c>
      <c r="Q107" s="199">
        <v>94</v>
      </c>
      <c r="R107" s="199">
        <v>85</v>
      </c>
      <c r="S107" s="199">
        <v>185</v>
      </c>
    </row>
    <row r="108" spans="1:19" x14ac:dyDescent="0.45">
      <c r="A108" s="198"/>
      <c r="B108" s="199"/>
      <c r="C108" s="199"/>
      <c r="D108" s="199"/>
      <c r="E108" s="199"/>
      <c r="F108" s="198"/>
      <c r="G108" s="199"/>
      <c r="H108" s="199"/>
      <c r="I108" s="199"/>
      <c r="J108" s="199"/>
      <c r="K108" s="198"/>
      <c r="L108" s="199"/>
      <c r="M108" s="199"/>
      <c r="N108" s="199"/>
      <c r="O108" s="199"/>
      <c r="P108" s="198">
        <v>32</v>
      </c>
      <c r="Q108" s="199">
        <v>68</v>
      </c>
      <c r="R108" s="199">
        <v>47</v>
      </c>
      <c r="S108" s="199">
        <v>115</v>
      </c>
    </row>
    <row r="109" spans="1:19" x14ac:dyDescent="0.45">
      <c r="A109" s="198"/>
      <c r="B109" s="199"/>
      <c r="C109" s="199"/>
      <c r="D109" s="199"/>
      <c r="E109" s="199"/>
      <c r="F109" s="198"/>
      <c r="G109" s="199"/>
      <c r="H109" s="199"/>
      <c r="I109" s="199"/>
      <c r="J109" s="199"/>
      <c r="K109" s="198"/>
      <c r="L109" s="199"/>
      <c r="M109" s="199"/>
      <c r="N109" s="199"/>
      <c r="O109" s="199"/>
      <c r="P109" s="198">
        <v>31</v>
      </c>
      <c r="Q109" s="199">
        <v>67</v>
      </c>
      <c r="R109" s="199">
        <v>50</v>
      </c>
      <c r="S109" s="199">
        <v>117</v>
      </c>
    </row>
    <row r="110" spans="1:19" x14ac:dyDescent="0.45">
      <c r="A110" s="198"/>
      <c r="B110" s="199"/>
      <c r="C110" s="199"/>
      <c r="D110" s="199"/>
      <c r="E110" s="199"/>
      <c r="F110" s="198"/>
      <c r="G110" s="199"/>
      <c r="H110" s="199"/>
      <c r="I110" s="199"/>
      <c r="J110" s="199"/>
      <c r="K110" s="198"/>
      <c r="L110" s="199"/>
      <c r="M110" s="199"/>
      <c r="N110" s="199"/>
      <c r="O110" s="199"/>
      <c r="P110" s="198">
        <v>29</v>
      </c>
      <c r="Q110" s="199">
        <v>26</v>
      </c>
      <c r="R110" s="199">
        <v>9</v>
      </c>
      <c r="S110" s="199">
        <v>35</v>
      </c>
    </row>
    <row r="111" spans="1:19" ht="17.5" thickBot="1" x14ac:dyDescent="0.5">
      <c r="A111" s="8"/>
      <c r="B111" s="14"/>
      <c r="C111" s="14"/>
      <c r="D111" s="2"/>
      <c r="F111" s="8"/>
      <c r="G111" s="14"/>
      <c r="H111" s="14"/>
      <c r="I111" s="2"/>
      <c r="K111" s="8"/>
      <c r="L111" s="14"/>
      <c r="M111" s="14"/>
      <c r="N111" s="2"/>
      <c r="P111" s="8"/>
      <c r="Q111" s="14"/>
      <c r="R111" s="14"/>
      <c r="S111" s="2"/>
    </row>
    <row r="118" spans="1:4" ht="17.5" thickBot="1" x14ac:dyDescent="0.5"/>
    <row r="119" spans="1:4" x14ac:dyDescent="0.45">
      <c r="A119" s="45" t="s">
        <v>16</v>
      </c>
      <c r="B119" s="46"/>
      <c r="C119" s="46"/>
      <c r="D119" s="47"/>
    </row>
    <row r="120" spans="1:4" x14ac:dyDescent="0.45">
      <c r="A120" s="6" t="s">
        <v>6</v>
      </c>
      <c r="B120" s="1"/>
      <c r="C120" s="1"/>
      <c r="D120" s="7" t="s">
        <v>7</v>
      </c>
    </row>
    <row r="121" spans="1:4" x14ac:dyDescent="0.45">
      <c r="A121" s="198">
        <v>71</v>
      </c>
      <c r="B121" s="199">
        <v>189</v>
      </c>
      <c r="C121" s="199">
        <v>300</v>
      </c>
      <c r="D121" s="199">
        <v>498</v>
      </c>
    </row>
    <row r="122" spans="1:4" x14ac:dyDescent="0.45">
      <c r="A122" s="198">
        <v>70</v>
      </c>
      <c r="B122" s="199">
        <v>102</v>
      </c>
      <c r="C122" s="199">
        <v>175</v>
      </c>
      <c r="D122" s="199">
        <v>279</v>
      </c>
    </row>
    <row r="123" spans="1:4" x14ac:dyDescent="0.45">
      <c r="A123" s="198">
        <v>69</v>
      </c>
      <c r="B123" s="199">
        <v>260</v>
      </c>
      <c r="C123" s="199">
        <v>455</v>
      </c>
      <c r="D123" s="199">
        <v>719</v>
      </c>
    </row>
    <row r="124" spans="1:4" x14ac:dyDescent="0.45">
      <c r="A124" s="198">
        <v>68</v>
      </c>
      <c r="B124" s="199">
        <v>53</v>
      </c>
      <c r="C124" s="199">
        <v>83</v>
      </c>
      <c r="D124" s="199">
        <v>140</v>
      </c>
    </row>
    <row r="125" spans="1:4" x14ac:dyDescent="0.45">
      <c r="A125" s="198">
        <v>67</v>
      </c>
      <c r="B125" s="199">
        <v>283</v>
      </c>
      <c r="C125" s="199">
        <v>509</v>
      </c>
      <c r="D125" s="199">
        <v>797</v>
      </c>
    </row>
    <row r="126" spans="1:4" x14ac:dyDescent="0.45">
      <c r="A126" s="198">
        <v>66</v>
      </c>
      <c r="B126" s="199">
        <v>186</v>
      </c>
      <c r="C126" s="199">
        <v>421</v>
      </c>
      <c r="D126" s="199">
        <v>612</v>
      </c>
    </row>
    <row r="127" spans="1:4" x14ac:dyDescent="0.45">
      <c r="A127" s="198">
        <v>65</v>
      </c>
      <c r="B127" s="199">
        <v>538</v>
      </c>
      <c r="C127" s="199">
        <v>1090</v>
      </c>
      <c r="D127" s="199">
        <v>1639</v>
      </c>
    </row>
    <row r="128" spans="1:4" x14ac:dyDescent="0.45">
      <c r="A128" s="198">
        <v>64</v>
      </c>
      <c r="B128" s="199">
        <v>180</v>
      </c>
      <c r="C128" s="199">
        <v>386</v>
      </c>
      <c r="D128" s="199">
        <v>572</v>
      </c>
    </row>
    <row r="129" spans="1:4" x14ac:dyDescent="0.45">
      <c r="A129" s="198">
        <v>63</v>
      </c>
      <c r="B129" s="199">
        <v>278</v>
      </c>
      <c r="C129" s="199">
        <v>686</v>
      </c>
      <c r="D129" s="199">
        <v>965</v>
      </c>
    </row>
    <row r="130" spans="1:4" x14ac:dyDescent="0.45">
      <c r="A130" s="198">
        <v>62</v>
      </c>
      <c r="B130" s="199">
        <v>270</v>
      </c>
      <c r="C130" s="199">
        <v>603</v>
      </c>
      <c r="D130" s="199">
        <v>879</v>
      </c>
    </row>
    <row r="131" spans="1:4" x14ac:dyDescent="0.45">
      <c r="A131" s="198">
        <v>61</v>
      </c>
      <c r="B131" s="199">
        <v>280</v>
      </c>
      <c r="C131" s="199">
        <v>613</v>
      </c>
      <c r="D131" s="199">
        <v>901</v>
      </c>
    </row>
    <row r="132" spans="1:4" x14ac:dyDescent="0.45">
      <c r="A132" s="198">
        <v>60</v>
      </c>
      <c r="B132" s="199">
        <v>684</v>
      </c>
      <c r="C132" s="199">
        <v>1375</v>
      </c>
      <c r="D132" s="199">
        <v>2073</v>
      </c>
    </row>
    <row r="133" spans="1:4" x14ac:dyDescent="0.45">
      <c r="A133" s="198">
        <v>59</v>
      </c>
      <c r="B133" s="199">
        <v>364</v>
      </c>
      <c r="C133" s="199">
        <v>827</v>
      </c>
      <c r="D133" s="199">
        <v>1202</v>
      </c>
    </row>
    <row r="134" spans="1:4" x14ac:dyDescent="0.45">
      <c r="A134" s="198">
        <v>58</v>
      </c>
      <c r="B134" s="199">
        <v>300</v>
      </c>
      <c r="C134" s="199">
        <v>700</v>
      </c>
      <c r="D134" s="199">
        <v>1011</v>
      </c>
    </row>
    <row r="135" spans="1:4" x14ac:dyDescent="0.45">
      <c r="A135" s="198">
        <v>57</v>
      </c>
      <c r="B135" s="199">
        <v>318</v>
      </c>
      <c r="C135" s="199">
        <v>804</v>
      </c>
      <c r="D135" s="199">
        <v>1135</v>
      </c>
    </row>
    <row r="136" spans="1:4" x14ac:dyDescent="0.45">
      <c r="A136" s="198">
        <v>56</v>
      </c>
      <c r="B136" s="199">
        <v>753</v>
      </c>
      <c r="C136" s="199">
        <v>1651</v>
      </c>
      <c r="D136" s="199">
        <v>2422</v>
      </c>
    </row>
    <row r="137" spans="1:4" x14ac:dyDescent="0.45">
      <c r="A137" s="198">
        <v>55</v>
      </c>
      <c r="B137" s="199">
        <v>424</v>
      </c>
      <c r="C137" s="199">
        <v>1007</v>
      </c>
      <c r="D137" s="199">
        <v>1438</v>
      </c>
    </row>
    <row r="138" spans="1:4" x14ac:dyDescent="0.45">
      <c r="A138" s="198">
        <v>54</v>
      </c>
      <c r="B138" s="199">
        <v>369</v>
      </c>
      <c r="C138" s="199">
        <v>904</v>
      </c>
      <c r="D138" s="199">
        <v>1285</v>
      </c>
    </row>
    <row r="139" spans="1:4" x14ac:dyDescent="0.45">
      <c r="A139" s="198">
        <v>53</v>
      </c>
      <c r="B139" s="199">
        <v>385</v>
      </c>
      <c r="C139" s="199">
        <v>836</v>
      </c>
      <c r="D139" s="199">
        <v>1231</v>
      </c>
    </row>
    <row r="140" spans="1:4" x14ac:dyDescent="0.45">
      <c r="A140" s="198">
        <v>52</v>
      </c>
      <c r="B140" s="199">
        <v>435</v>
      </c>
      <c r="C140" s="199">
        <v>1057</v>
      </c>
      <c r="D140" s="199">
        <v>1508</v>
      </c>
    </row>
    <row r="141" spans="1:4" x14ac:dyDescent="0.45">
      <c r="A141" s="198">
        <v>51</v>
      </c>
      <c r="B141" s="199">
        <v>787</v>
      </c>
      <c r="C141" s="199">
        <v>1673</v>
      </c>
      <c r="D141" s="199">
        <v>2483</v>
      </c>
    </row>
    <row r="142" spans="1:4" x14ac:dyDescent="0.45">
      <c r="A142" s="198">
        <v>50</v>
      </c>
      <c r="B142" s="199">
        <v>378</v>
      </c>
      <c r="C142" s="199">
        <v>926</v>
      </c>
      <c r="D142" s="199">
        <v>1315</v>
      </c>
    </row>
    <row r="143" spans="1:4" x14ac:dyDescent="0.45">
      <c r="A143" s="198">
        <v>49</v>
      </c>
      <c r="B143" s="199">
        <v>338</v>
      </c>
      <c r="C143" s="199">
        <v>775</v>
      </c>
      <c r="D143" s="199">
        <v>1122</v>
      </c>
    </row>
    <row r="144" spans="1:4" x14ac:dyDescent="0.45">
      <c r="A144" s="198">
        <v>48</v>
      </c>
      <c r="B144" s="199">
        <v>347</v>
      </c>
      <c r="C144" s="199">
        <v>791</v>
      </c>
      <c r="D144" s="199">
        <v>1145</v>
      </c>
    </row>
    <row r="145" spans="1:4" x14ac:dyDescent="0.45">
      <c r="A145" s="198">
        <v>47</v>
      </c>
      <c r="B145" s="199">
        <v>652</v>
      </c>
      <c r="C145" s="199">
        <v>1452</v>
      </c>
      <c r="D145" s="199">
        <v>2122</v>
      </c>
    </row>
    <row r="146" spans="1:4" x14ac:dyDescent="0.45">
      <c r="A146" s="198">
        <v>46</v>
      </c>
      <c r="B146" s="199">
        <v>326</v>
      </c>
      <c r="C146" s="199">
        <v>623</v>
      </c>
      <c r="D146" s="199">
        <v>956</v>
      </c>
    </row>
    <row r="147" spans="1:4" x14ac:dyDescent="0.45">
      <c r="A147" s="198">
        <v>45</v>
      </c>
      <c r="B147" s="199">
        <v>304</v>
      </c>
      <c r="C147" s="199">
        <v>546</v>
      </c>
      <c r="D147" s="199">
        <v>861</v>
      </c>
    </row>
    <row r="148" spans="1:4" x14ac:dyDescent="0.45">
      <c r="A148" s="198">
        <v>44</v>
      </c>
      <c r="B148" s="199">
        <v>367</v>
      </c>
      <c r="C148" s="199">
        <v>677</v>
      </c>
      <c r="D148" s="199">
        <v>1052</v>
      </c>
    </row>
    <row r="149" spans="1:4" x14ac:dyDescent="0.45">
      <c r="A149" s="198">
        <v>43</v>
      </c>
      <c r="B149" s="199">
        <v>326</v>
      </c>
      <c r="C149" s="199">
        <v>570</v>
      </c>
      <c r="D149" s="199">
        <v>908</v>
      </c>
    </row>
    <row r="150" spans="1:4" x14ac:dyDescent="0.45">
      <c r="A150" s="198">
        <v>42</v>
      </c>
      <c r="B150" s="199">
        <v>746</v>
      </c>
      <c r="C150" s="199">
        <v>1220</v>
      </c>
      <c r="D150" s="199">
        <v>1993</v>
      </c>
    </row>
    <row r="151" spans="1:4" x14ac:dyDescent="0.45">
      <c r="A151" s="198">
        <v>41</v>
      </c>
      <c r="B151" s="199">
        <v>514</v>
      </c>
      <c r="C151" s="199">
        <v>709</v>
      </c>
      <c r="D151" s="199">
        <v>1245</v>
      </c>
    </row>
    <row r="152" spans="1:4" x14ac:dyDescent="0.45">
      <c r="A152" s="198">
        <v>40</v>
      </c>
      <c r="B152" s="199">
        <v>470</v>
      </c>
      <c r="C152" s="199">
        <v>662</v>
      </c>
      <c r="D152" s="199">
        <v>1138</v>
      </c>
    </row>
    <row r="153" spans="1:4" x14ac:dyDescent="0.45">
      <c r="A153" s="198">
        <v>39</v>
      </c>
      <c r="B153" s="199">
        <v>402</v>
      </c>
      <c r="C153" s="199">
        <v>511</v>
      </c>
      <c r="D153" s="199">
        <v>923</v>
      </c>
    </row>
    <row r="154" spans="1:4" x14ac:dyDescent="0.45">
      <c r="A154" s="198">
        <v>38</v>
      </c>
      <c r="B154" s="199">
        <v>1053</v>
      </c>
      <c r="C154" s="199">
        <v>1151</v>
      </c>
      <c r="D154" s="199">
        <v>2226</v>
      </c>
    </row>
    <row r="155" spans="1:4" x14ac:dyDescent="0.45">
      <c r="A155" s="198">
        <v>37</v>
      </c>
      <c r="B155" s="199">
        <v>2153</v>
      </c>
      <c r="C155" s="199">
        <v>2048</v>
      </c>
      <c r="D155" s="199">
        <v>4261</v>
      </c>
    </row>
    <row r="156" spans="1:4" x14ac:dyDescent="0.45">
      <c r="A156" s="198">
        <v>36</v>
      </c>
      <c r="B156" s="199">
        <v>387</v>
      </c>
      <c r="C156" s="199">
        <v>425</v>
      </c>
      <c r="D156" s="199">
        <v>826</v>
      </c>
    </row>
    <row r="157" spans="1:4" x14ac:dyDescent="0.45">
      <c r="A157" s="198">
        <v>35</v>
      </c>
      <c r="B157" s="199">
        <v>247</v>
      </c>
      <c r="C157" s="199">
        <v>286</v>
      </c>
      <c r="D157" s="199">
        <v>537</v>
      </c>
    </row>
    <row r="158" spans="1:4" x14ac:dyDescent="0.45">
      <c r="A158" s="198">
        <v>34</v>
      </c>
      <c r="B158" s="199">
        <v>283</v>
      </c>
      <c r="C158" s="199">
        <v>266</v>
      </c>
      <c r="D158" s="199">
        <v>552</v>
      </c>
    </row>
    <row r="159" spans="1:4" x14ac:dyDescent="0.45">
      <c r="A159" s="198">
        <v>33</v>
      </c>
      <c r="B159" s="199">
        <v>279</v>
      </c>
      <c r="C159" s="199">
        <v>286</v>
      </c>
      <c r="D159" s="199">
        <v>571</v>
      </c>
    </row>
    <row r="160" spans="1:4" x14ac:dyDescent="0.45">
      <c r="A160" s="198">
        <v>32</v>
      </c>
      <c r="B160" s="199">
        <v>119</v>
      </c>
      <c r="C160" s="199">
        <v>142</v>
      </c>
      <c r="D160" s="199">
        <v>264</v>
      </c>
    </row>
    <row r="161" spans="1:19" x14ac:dyDescent="0.45">
      <c r="A161" s="199">
        <v>30</v>
      </c>
      <c r="B161" s="199">
        <v>41</v>
      </c>
      <c r="C161" s="199">
        <v>40</v>
      </c>
      <c r="D161" s="199">
        <v>81</v>
      </c>
    </row>
    <row r="162" spans="1:19" x14ac:dyDescent="0.45">
      <c r="A162" s="199"/>
      <c r="B162" s="199"/>
      <c r="C162" s="199"/>
      <c r="D162" s="199"/>
    </row>
    <row r="163" spans="1:19" x14ac:dyDescent="0.45">
      <c r="A163" s="6"/>
      <c r="B163" s="1"/>
      <c r="C163" s="1"/>
      <c r="D163" s="7"/>
    </row>
    <row r="164" spans="1:19" x14ac:dyDescent="0.45">
      <c r="A164" s="6"/>
      <c r="B164" s="1"/>
      <c r="C164" s="1"/>
      <c r="D164" s="7"/>
    </row>
    <row r="165" spans="1:19" x14ac:dyDescent="0.45">
      <c r="A165" s="6"/>
      <c r="B165" s="1"/>
      <c r="C165" s="1"/>
      <c r="D165" s="7"/>
    </row>
    <row r="166" spans="1:19" x14ac:dyDescent="0.45">
      <c r="A166" s="6"/>
      <c r="B166" s="1"/>
      <c r="C166" s="1"/>
      <c r="D166" s="7"/>
    </row>
    <row r="167" spans="1:19" x14ac:dyDescent="0.45">
      <c r="A167" s="6"/>
      <c r="B167" s="1"/>
      <c r="C167" s="1"/>
      <c r="D167" s="7"/>
    </row>
    <row r="168" spans="1:19" ht="17.5" thickBot="1" x14ac:dyDescent="0.5">
      <c r="A168" s="8"/>
      <c r="B168" s="14"/>
      <c r="C168" s="14"/>
      <c r="D168" s="2"/>
    </row>
    <row r="174" spans="1:19" ht="17.5" thickBot="1" x14ac:dyDescent="0.5"/>
    <row r="175" spans="1:19" x14ac:dyDescent="0.45">
      <c r="A175" s="45" t="s">
        <v>57</v>
      </c>
      <c r="B175" s="46"/>
      <c r="C175" s="46"/>
      <c r="D175" s="47"/>
      <c r="F175" s="45" t="s">
        <v>17</v>
      </c>
      <c r="G175" s="46"/>
      <c r="H175" s="46"/>
      <c r="I175" s="47"/>
      <c r="K175" s="45" t="s">
        <v>18</v>
      </c>
      <c r="L175" s="46"/>
      <c r="M175" s="46"/>
      <c r="N175" s="47"/>
      <c r="P175" s="45" t="s">
        <v>19</v>
      </c>
      <c r="Q175" s="46"/>
      <c r="R175" s="46"/>
      <c r="S175" s="47"/>
    </row>
    <row r="176" spans="1:19" x14ac:dyDescent="0.45">
      <c r="A176" s="6" t="s">
        <v>6</v>
      </c>
      <c r="B176" s="1"/>
      <c r="C176" s="1"/>
      <c r="D176" s="7" t="s">
        <v>7</v>
      </c>
      <c r="F176" s="6" t="s">
        <v>6</v>
      </c>
      <c r="G176" s="1"/>
      <c r="H176" s="1"/>
      <c r="I176" s="7" t="s">
        <v>7</v>
      </c>
      <c r="K176" s="6" t="s">
        <v>6</v>
      </c>
      <c r="L176" s="1"/>
      <c r="M176" s="1"/>
      <c r="N176" s="7" t="s">
        <v>7</v>
      </c>
      <c r="P176" s="6" t="s">
        <v>6</v>
      </c>
      <c r="Q176" s="1"/>
      <c r="R176" s="1"/>
      <c r="S176" s="7" t="s">
        <v>7</v>
      </c>
    </row>
    <row r="177" spans="1:19" x14ac:dyDescent="0.45">
      <c r="A177" s="198">
        <v>78</v>
      </c>
      <c r="B177" s="199">
        <v>536</v>
      </c>
      <c r="C177" s="199">
        <v>95</v>
      </c>
      <c r="D177" s="199">
        <v>634</v>
      </c>
      <c r="E177" s="199">
        <v>634</v>
      </c>
      <c r="F177" s="198">
        <v>70</v>
      </c>
      <c r="G177" s="199">
        <v>978</v>
      </c>
      <c r="H177" s="199">
        <v>442</v>
      </c>
      <c r="I177" s="199">
        <v>1434</v>
      </c>
      <c r="J177" s="199">
        <v>1434</v>
      </c>
      <c r="K177" s="198">
        <v>74</v>
      </c>
      <c r="L177" s="199">
        <v>769</v>
      </c>
      <c r="M177" s="199">
        <v>599</v>
      </c>
      <c r="N177" s="199">
        <v>1385</v>
      </c>
      <c r="O177" s="199">
        <v>1385</v>
      </c>
      <c r="P177" s="198">
        <v>73</v>
      </c>
      <c r="Q177" s="199">
        <v>342</v>
      </c>
      <c r="R177" s="199">
        <v>148</v>
      </c>
      <c r="S177" s="199">
        <v>496</v>
      </c>
    </row>
    <row r="178" spans="1:19" x14ac:dyDescent="0.45">
      <c r="A178" s="198">
        <v>76</v>
      </c>
      <c r="B178" s="199">
        <v>221</v>
      </c>
      <c r="C178" s="199">
        <v>42</v>
      </c>
      <c r="D178" s="199">
        <v>267</v>
      </c>
      <c r="E178" s="199">
        <v>901</v>
      </c>
      <c r="F178" s="198">
        <v>69</v>
      </c>
      <c r="G178" s="199">
        <v>200</v>
      </c>
      <c r="H178" s="199">
        <v>102</v>
      </c>
      <c r="I178" s="199">
        <v>304</v>
      </c>
      <c r="J178" s="199">
        <v>1738</v>
      </c>
      <c r="K178" s="198">
        <v>72</v>
      </c>
      <c r="L178" s="199">
        <v>566</v>
      </c>
      <c r="M178" s="199">
        <v>486</v>
      </c>
      <c r="N178" s="199">
        <v>1070</v>
      </c>
      <c r="O178" s="199">
        <v>2455</v>
      </c>
      <c r="P178" s="198">
        <v>71</v>
      </c>
      <c r="Q178" s="199">
        <v>85</v>
      </c>
      <c r="R178" s="199">
        <v>38</v>
      </c>
      <c r="S178" s="199">
        <v>126</v>
      </c>
    </row>
    <row r="179" spans="1:19" x14ac:dyDescent="0.45">
      <c r="A179" s="198">
        <v>75</v>
      </c>
      <c r="B179" s="199">
        <v>465</v>
      </c>
      <c r="C179" s="199">
        <v>88</v>
      </c>
      <c r="D179" s="199">
        <v>558</v>
      </c>
      <c r="E179" s="199">
        <v>1459</v>
      </c>
      <c r="F179" s="198">
        <v>68</v>
      </c>
      <c r="G179" s="199">
        <v>1347</v>
      </c>
      <c r="H179" s="199">
        <v>675</v>
      </c>
      <c r="I179" s="199">
        <v>2046</v>
      </c>
      <c r="J179" s="199">
        <v>3784</v>
      </c>
      <c r="K179" s="198">
        <v>71</v>
      </c>
      <c r="L179" s="199">
        <v>516</v>
      </c>
      <c r="M179" s="199">
        <v>542</v>
      </c>
      <c r="N179" s="199">
        <v>1081</v>
      </c>
      <c r="O179" s="199">
        <v>3536</v>
      </c>
      <c r="P179" s="198">
        <v>70</v>
      </c>
      <c r="Q179" s="199">
        <v>718</v>
      </c>
      <c r="R179" s="199">
        <v>352</v>
      </c>
      <c r="S179" s="199">
        <v>1079</v>
      </c>
    </row>
    <row r="180" spans="1:19" x14ac:dyDescent="0.45">
      <c r="A180" s="198">
        <v>74</v>
      </c>
      <c r="B180" s="199">
        <v>61</v>
      </c>
      <c r="C180" s="199">
        <v>4</v>
      </c>
      <c r="D180" s="199">
        <v>65</v>
      </c>
      <c r="E180" s="199">
        <v>1524</v>
      </c>
      <c r="F180" s="198">
        <v>67</v>
      </c>
      <c r="G180" s="199">
        <v>25</v>
      </c>
      <c r="H180" s="199">
        <v>25</v>
      </c>
      <c r="I180" s="199">
        <v>50</v>
      </c>
      <c r="J180" s="199">
        <v>3834</v>
      </c>
      <c r="K180" s="198">
        <v>70</v>
      </c>
      <c r="L180" s="199">
        <v>270</v>
      </c>
      <c r="M180" s="199">
        <v>207</v>
      </c>
      <c r="N180" s="199">
        <v>481</v>
      </c>
      <c r="O180" s="199">
        <v>4017</v>
      </c>
      <c r="P180" s="198">
        <v>69</v>
      </c>
      <c r="Q180" s="199">
        <v>357</v>
      </c>
      <c r="R180" s="199">
        <v>191</v>
      </c>
      <c r="S180" s="199">
        <v>558</v>
      </c>
    </row>
    <row r="181" spans="1:19" x14ac:dyDescent="0.45">
      <c r="A181" s="198">
        <v>73</v>
      </c>
      <c r="B181" s="199">
        <v>358</v>
      </c>
      <c r="C181" s="199">
        <v>70</v>
      </c>
      <c r="D181" s="199">
        <v>431</v>
      </c>
      <c r="E181" s="199">
        <v>1955</v>
      </c>
      <c r="F181" s="198">
        <v>66</v>
      </c>
      <c r="G181" s="199">
        <v>508</v>
      </c>
      <c r="H181" s="199">
        <v>325</v>
      </c>
      <c r="I181" s="199">
        <v>845</v>
      </c>
      <c r="J181" s="199">
        <v>4679</v>
      </c>
      <c r="K181" s="198">
        <v>69</v>
      </c>
      <c r="L181" s="199">
        <v>1019</v>
      </c>
      <c r="M181" s="199">
        <v>1086</v>
      </c>
      <c r="N181" s="199">
        <v>2134</v>
      </c>
      <c r="O181" s="199">
        <v>6151</v>
      </c>
      <c r="P181" s="198">
        <v>68</v>
      </c>
      <c r="Q181" s="199">
        <v>897</v>
      </c>
      <c r="R181" s="199">
        <v>509</v>
      </c>
      <c r="S181" s="199">
        <v>1422</v>
      </c>
    </row>
    <row r="182" spans="1:19" x14ac:dyDescent="0.45">
      <c r="A182" s="198">
        <v>72</v>
      </c>
      <c r="B182" s="199">
        <v>313</v>
      </c>
      <c r="C182" s="199">
        <v>63</v>
      </c>
      <c r="D182" s="199">
        <v>378</v>
      </c>
      <c r="E182" s="199">
        <v>2333</v>
      </c>
      <c r="F182" s="198">
        <v>65</v>
      </c>
      <c r="G182" s="199">
        <v>1303</v>
      </c>
      <c r="H182" s="199">
        <v>800</v>
      </c>
      <c r="I182" s="199">
        <v>2133</v>
      </c>
      <c r="J182" s="199">
        <v>6812</v>
      </c>
      <c r="K182" s="198">
        <v>68</v>
      </c>
      <c r="L182" s="199">
        <v>477</v>
      </c>
      <c r="M182" s="199">
        <v>413</v>
      </c>
      <c r="N182" s="199">
        <v>897</v>
      </c>
      <c r="O182" s="199">
        <v>7048</v>
      </c>
      <c r="P182" s="198">
        <v>67</v>
      </c>
      <c r="Q182" s="199">
        <v>108</v>
      </c>
      <c r="R182" s="199">
        <v>48</v>
      </c>
      <c r="S182" s="199">
        <v>157</v>
      </c>
    </row>
    <row r="183" spans="1:19" x14ac:dyDescent="0.45">
      <c r="A183" s="198">
        <v>71</v>
      </c>
      <c r="B183" s="199">
        <v>162</v>
      </c>
      <c r="C183" s="199">
        <v>40</v>
      </c>
      <c r="D183" s="199">
        <v>205</v>
      </c>
      <c r="E183" s="199">
        <v>2538</v>
      </c>
      <c r="F183" s="198">
        <v>64</v>
      </c>
      <c r="G183" s="199">
        <v>118</v>
      </c>
      <c r="H183" s="199">
        <v>82</v>
      </c>
      <c r="I183" s="199">
        <v>203</v>
      </c>
      <c r="J183" s="199">
        <v>7015</v>
      </c>
      <c r="K183" s="198">
        <v>67</v>
      </c>
      <c r="L183" s="199">
        <v>637</v>
      </c>
      <c r="M183" s="199">
        <v>759</v>
      </c>
      <c r="N183" s="199">
        <v>1411</v>
      </c>
      <c r="O183" s="199">
        <v>8459</v>
      </c>
      <c r="P183" s="198">
        <v>66</v>
      </c>
      <c r="Q183" s="199">
        <v>678</v>
      </c>
      <c r="R183" s="199">
        <v>407</v>
      </c>
      <c r="S183" s="199">
        <v>1093</v>
      </c>
    </row>
    <row r="184" spans="1:19" x14ac:dyDescent="0.45">
      <c r="A184" s="198">
        <v>70</v>
      </c>
      <c r="B184" s="199">
        <v>383</v>
      </c>
      <c r="C184" s="199">
        <v>102</v>
      </c>
      <c r="D184" s="199">
        <v>494</v>
      </c>
      <c r="E184" s="199">
        <v>3032</v>
      </c>
      <c r="F184" s="198">
        <v>63</v>
      </c>
      <c r="G184" s="199">
        <v>783</v>
      </c>
      <c r="H184" s="199">
        <v>541</v>
      </c>
      <c r="I184" s="199">
        <v>1337</v>
      </c>
      <c r="J184" s="199">
        <v>8352</v>
      </c>
      <c r="K184" s="198">
        <v>66</v>
      </c>
      <c r="L184" s="199">
        <v>366</v>
      </c>
      <c r="M184" s="199">
        <v>392</v>
      </c>
      <c r="N184" s="199">
        <v>766</v>
      </c>
      <c r="O184" s="199">
        <v>9225</v>
      </c>
      <c r="P184" s="198">
        <v>65</v>
      </c>
      <c r="Q184" s="199">
        <v>828</v>
      </c>
      <c r="R184" s="199">
        <v>542</v>
      </c>
      <c r="S184" s="199">
        <v>1388</v>
      </c>
    </row>
    <row r="185" spans="1:19" x14ac:dyDescent="0.45">
      <c r="A185" s="198">
        <v>69</v>
      </c>
      <c r="B185" s="199">
        <v>275</v>
      </c>
      <c r="C185" s="199">
        <v>56</v>
      </c>
      <c r="D185" s="199">
        <v>333</v>
      </c>
      <c r="E185" s="199">
        <v>3365</v>
      </c>
      <c r="F185" s="198">
        <v>62</v>
      </c>
      <c r="G185" s="199">
        <v>1290</v>
      </c>
      <c r="H185" s="199">
        <v>892</v>
      </c>
      <c r="I185" s="199">
        <v>2210</v>
      </c>
      <c r="J185" s="199">
        <v>10562</v>
      </c>
      <c r="K185" s="198">
        <v>65</v>
      </c>
      <c r="L185" s="199">
        <v>565</v>
      </c>
      <c r="M185" s="199">
        <v>652</v>
      </c>
      <c r="N185" s="199">
        <v>1228</v>
      </c>
      <c r="O185" s="199">
        <v>10453</v>
      </c>
      <c r="P185" s="198">
        <v>64</v>
      </c>
      <c r="Q185" s="199">
        <v>307</v>
      </c>
      <c r="R185" s="199">
        <v>173</v>
      </c>
      <c r="S185" s="199">
        <v>485</v>
      </c>
    </row>
    <row r="186" spans="1:19" x14ac:dyDescent="0.45">
      <c r="A186" s="198">
        <v>68</v>
      </c>
      <c r="B186" s="199">
        <v>301</v>
      </c>
      <c r="C186" s="199">
        <v>69</v>
      </c>
      <c r="D186" s="199">
        <v>373</v>
      </c>
      <c r="E186" s="199">
        <v>3738</v>
      </c>
      <c r="F186" s="198">
        <v>61</v>
      </c>
      <c r="G186" s="199">
        <v>937</v>
      </c>
      <c r="H186" s="199">
        <v>730</v>
      </c>
      <c r="I186" s="199">
        <v>1683</v>
      </c>
      <c r="J186" s="199">
        <v>12245</v>
      </c>
      <c r="K186" s="198">
        <v>64</v>
      </c>
      <c r="L186" s="199">
        <v>589</v>
      </c>
      <c r="M186" s="199">
        <v>709</v>
      </c>
      <c r="N186" s="199">
        <v>1316</v>
      </c>
      <c r="O186" s="199">
        <v>11769</v>
      </c>
      <c r="P186" s="198">
        <v>63</v>
      </c>
      <c r="Q186" s="199">
        <v>959</v>
      </c>
      <c r="R186" s="199">
        <v>633</v>
      </c>
      <c r="S186" s="199">
        <v>1616</v>
      </c>
    </row>
    <row r="187" spans="1:19" x14ac:dyDescent="0.45">
      <c r="A187" s="198">
        <v>67</v>
      </c>
      <c r="B187" s="199">
        <v>422</v>
      </c>
      <c r="C187" s="199">
        <v>105</v>
      </c>
      <c r="D187" s="199">
        <v>537</v>
      </c>
      <c r="E187" s="199">
        <v>4275</v>
      </c>
      <c r="F187" s="198">
        <v>60</v>
      </c>
      <c r="G187" s="199">
        <v>661</v>
      </c>
      <c r="H187" s="199">
        <v>472</v>
      </c>
      <c r="I187" s="199">
        <v>1141</v>
      </c>
      <c r="J187" s="199">
        <v>13386</v>
      </c>
      <c r="K187" s="198">
        <v>63</v>
      </c>
      <c r="L187" s="199">
        <v>438</v>
      </c>
      <c r="M187" s="199">
        <v>535</v>
      </c>
      <c r="N187" s="199">
        <v>988</v>
      </c>
      <c r="O187" s="199">
        <v>12757</v>
      </c>
      <c r="P187" s="198">
        <v>62</v>
      </c>
      <c r="Q187" s="199">
        <v>696</v>
      </c>
      <c r="R187" s="199">
        <v>533</v>
      </c>
      <c r="S187" s="199">
        <v>1239</v>
      </c>
    </row>
    <row r="188" spans="1:19" x14ac:dyDescent="0.45">
      <c r="A188" s="198">
        <v>66</v>
      </c>
      <c r="B188" s="199">
        <v>237</v>
      </c>
      <c r="C188" s="199">
        <v>60</v>
      </c>
      <c r="D188" s="199">
        <v>303</v>
      </c>
      <c r="E188" s="199">
        <v>4578</v>
      </c>
      <c r="F188" s="198">
        <v>59</v>
      </c>
      <c r="G188" s="199">
        <v>633</v>
      </c>
      <c r="H188" s="199">
        <v>485</v>
      </c>
      <c r="I188" s="199">
        <v>1130</v>
      </c>
      <c r="J188" s="199">
        <v>14516</v>
      </c>
      <c r="K188" s="198">
        <v>62</v>
      </c>
      <c r="L188" s="199">
        <v>740</v>
      </c>
      <c r="M188" s="199">
        <v>847</v>
      </c>
      <c r="N188" s="199">
        <v>1603</v>
      </c>
      <c r="O188" s="199">
        <v>14360</v>
      </c>
      <c r="P188" s="198">
        <v>61</v>
      </c>
      <c r="Q188" s="199">
        <v>1716</v>
      </c>
      <c r="R188" s="199">
        <v>1162</v>
      </c>
      <c r="S188" s="199">
        <v>2913</v>
      </c>
    </row>
    <row r="189" spans="1:19" x14ac:dyDescent="0.45">
      <c r="A189" s="198">
        <v>65</v>
      </c>
      <c r="B189" s="199">
        <v>437</v>
      </c>
      <c r="C189" s="199">
        <v>106</v>
      </c>
      <c r="D189" s="199">
        <v>550</v>
      </c>
      <c r="E189" s="199">
        <v>5128</v>
      </c>
      <c r="F189" s="198">
        <v>58</v>
      </c>
      <c r="G189" s="199">
        <v>820</v>
      </c>
      <c r="H189" s="199">
        <v>724</v>
      </c>
      <c r="I189" s="199">
        <v>1566</v>
      </c>
      <c r="J189" s="199">
        <v>16082</v>
      </c>
      <c r="K189" s="198">
        <v>61</v>
      </c>
      <c r="L189" s="199">
        <v>548</v>
      </c>
      <c r="M189" s="199">
        <v>719</v>
      </c>
      <c r="N189" s="199">
        <v>1283</v>
      </c>
      <c r="O189" s="199">
        <v>15643</v>
      </c>
      <c r="P189" s="198">
        <v>60</v>
      </c>
      <c r="Q189" s="199">
        <v>706</v>
      </c>
      <c r="R189" s="199">
        <v>542</v>
      </c>
      <c r="S189" s="199">
        <v>1259</v>
      </c>
    </row>
    <row r="190" spans="1:19" x14ac:dyDescent="0.45">
      <c r="A190" s="198">
        <v>64</v>
      </c>
      <c r="B190" s="199">
        <v>374</v>
      </c>
      <c r="C190" s="199">
        <v>113</v>
      </c>
      <c r="D190" s="199">
        <v>490</v>
      </c>
      <c r="E190" s="199">
        <v>5618</v>
      </c>
      <c r="F190" s="198">
        <v>57</v>
      </c>
      <c r="G190" s="199">
        <v>563</v>
      </c>
      <c r="H190" s="199">
        <v>414</v>
      </c>
      <c r="I190" s="199">
        <v>986</v>
      </c>
      <c r="J190" s="199">
        <v>17068</v>
      </c>
      <c r="K190" s="198">
        <v>60</v>
      </c>
      <c r="L190" s="199">
        <v>1330</v>
      </c>
      <c r="M190" s="199">
        <v>1821</v>
      </c>
      <c r="N190" s="199">
        <v>3179</v>
      </c>
      <c r="O190" s="199">
        <v>18822</v>
      </c>
      <c r="P190" s="198">
        <v>59</v>
      </c>
      <c r="Q190" s="199">
        <v>872</v>
      </c>
      <c r="R190" s="199">
        <v>642</v>
      </c>
      <c r="S190" s="199">
        <v>1533</v>
      </c>
    </row>
    <row r="191" spans="1:19" x14ac:dyDescent="0.45">
      <c r="A191" s="198">
        <v>63</v>
      </c>
      <c r="B191" s="199">
        <v>870</v>
      </c>
      <c r="C191" s="199">
        <v>219</v>
      </c>
      <c r="D191" s="199">
        <v>1107</v>
      </c>
      <c r="E191" s="199">
        <v>6725</v>
      </c>
      <c r="F191" s="198">
        <v>56</v>
      </c>
      <c r="G191" s="199">
        <v>775</v>
      </c>
      <c r="H191" s="199">
        <v>776</v>
      </c>
      <c r="I191" s="199">
        <v>1571</v>
      </c>
      <c r="J191" s="199">
        <v>18639</v>
      </c>
      <c r="K191" s="198">
        <v>59</v>
      </c>
      <c r="L191" s="199">
        <v>593</v>
      </c>
      <c r="M191" s="199">
        <v>788</v>
      </c>
      <c r="N191" s="199">
        <v>1405</v>
      </c>
      <c r="O191" s="199">
        <v>20227</v>
      </c>
      <c r="P191" s="198">
        <v>58</v>
      </c>
      <c r="Q191" s="199">
        <v>1063</v>
      </c>
      <c r="R191" s="199">
        <v>858</v>
      </c>
      <c r="S191" s="199">
        <v>1939</v>
      </c>
    </row>
    <row r="192" spans="1:19" x14ac:dyDescent="0.45">
      <c r="A192" s="198">
        <v>62</v>
      </c>
      <c r="B192" s="199">
        <v>414</v>
      </c>
      <c r="C192" s="199">
        <v>120</v>
      </c>
      <c r="D192" s="199">
        <v>541</v>
      </c>
      <c r="E192" s="199">
        <v>7266</v>
      </c>
      <c r="F192" s="198">
        <v>55</v>
      </c>
      <c r="G192" s="199">
        <v>638</v>
      </c>
      <c r="H192" s="199">
        <v>577</v>
      </c>
      <c r="I192" s="199">
        <v>1235</v>
      </c>
      <c r="J192" s="199">
        <v>19874</v>
      </c>
      <c r="K192" s="198">
        <v>58</v>
      </c>
      <c r="L192" s="199">
        <v>824</v>
      </c>
      <c r="M192" s="199">
        <v>1013</v>
      </c>
      <c r="N192" s="199">
        <v>1862</v>
      </c>
      <c r="O192" s="199">
        <v>22089</v>
      </c>
      <c r="P192" s="198">
        <v>57</v>
      </c>
      <c r="Q192" s="199">
        <v>813</v>
      </c>
      <c r="R192" s="199">
        <v>617</v>
      </c>
      <c r="S192" s="199">
        <v>1452</v>
      </c>
    </row>
    <row r="193" spans="1:19" x14ac:dyDescent="0.45">
      <c r="A193" s="198">
        <v>61</v>
      </c>
      <c r="B193" s="199">
        <v>521</v>
      </c>
      <c r="C193" s="199">
        <v>139</v>
      </c>
      <c r="D193" s="199">
        <v>670</v>
      </c>
      <c r="E193" s="199">
        <v>7936</v>
      </c>
      <c r="F193" s="198">
        <v>54</v>
      </c>
      <c r="G193" s="199">
        <v>1589</v>
      </c>
      <c r="H193" s="199">
        <v>1408</v>
      </c>
      <c r="I193" s="199">
        <v>3032</v>
      </c>
      <c r="J193" s="199">
        <v>22906</v>
      </c>
      <c r="K193" s="198">
        <v>57</v>
      </c>
      <c r="L193" s="199">
        <v>803</v>
      </c>
      <c r="M193" s="199">
        <v>1051</v>
      </c>
      <c r="N193" s="199">
        <v>1878</v>
      </c>
      <c r="O193" s="199">
        <v>23967</v>
      </c>
      <c r="P193" s="198">
        <v>56</v>
      </c>
      <c r="Q193" s="199">
        <v>1028</v>
      </c>
      <c r="R193" s="199">
        <v>853</v>
      </c>
      <c r="S193" s="199">
        <v>1895</v>
      </c>
    </row>
    <row r="194" spans="1:19" x14ac:dyDescent="0.45">
      <c r="A194" s="198">
        <v>60</v>
      </c>
      <c r="B194" s="199">
        <v>522</v>
      </c>
      <c r="C194" s="199">
        <v>187</v>
      </c>
      <c r="D194" s="199">
        <v>714</v>
      </c>
      <c r="E194" s="199">
        <v>8650</v>
      </c>
      <c r="F194" s="198">
        <v>53</v>
      </c>
      <c r="G194" s="199">
        <v>607</v>
      </c>
      <c r="H194" s="199">
        <v>589</v>
      </c>
      <c r="I194" s="199">
        <v>1208</v>
      </c>
      <c r="J194" s="199">
        <v>24114</v>
      </c>
      <c r="K194" s="198">
        <v>56</v>
      </c>
      <c r="L194" s="199">
        <v>779</v>
      </c>
      <c r="M194" s="199">
        <v>1068</v>
      </c>
      <c r="N194" s="199">
        <v>1870</v>
      </c>
      <c r="O194" s="199">
        <v>25837</v>
      </c>
      <c r="P194" s="198">
        <v>55</v>
      </c>
      <c r="Q194" s="199">
        <v>1021</v>
      </c>
      <c r="R194" s="199">
        <v>815</v>
      </c>
      <c r="S194" s="199">
        <v>1860</v>
      </c>
    </row>
    <row r="195" spans="1:19" x14ac:dyDescent="0.45">
      <c r="A195" s="198">
        <v>59</v>
      </c>
      <c r="B195" s="199">
        <v>496</v>
      </c>
      <c r="C195" s="199">
        <v>167</v>
      </c>
      <c r="D195" s="199">
        <v>672</v>
      </c>
      <c r="E195" s="199">
        <v>9322</v>
      </c>
      <c r="F195" s="198">
        <v>52</v>
      </c>
      <c r="G195" s="199">
        <v>838</v>
      </c>
      <c r="H195" s="199">
        <v>783</v>
      </c>
      <c r="I195" s="199">
        <v>1642</v>
      </c>
      <c r="J195" s="199">
        <v>25756</v>
      </c>
      <c r="K195" s="198">
        <v>55</v>
      </c>
      <c r="L195" s="199">
        <v>1038</v>
      </c>
      <c r="M195" s="199">
        <v>1327</v>
      </c>
      <c r="N195" s="199">
        <v>2392</v>
      </c>
      <c r="O195" s="199">
        <v>28229</v>
      </c>
      <c r="P195" s="198">
        <v>54</v>
      </c>
      <c r="Q195" s="199">
        <v>990</v>
      </c>
      <c r="R195" s="199">
        <v>820</v>
      </c>
      <c r="S195" s="199">
        <v>1826</v>
      </c>
    </row>
    <row r="196" spans="1:19" x14ac:dyDescent="0.45">
      <c r="A196" s="198">
        <v>58</v>
      </c>
      <c r="B196" s="199">
        <v>643</v>
      </c>
      <c r="C196" s="199">
        <v>219</v>
      </c>
      <c r="D196" s="199">
        <v>875</v>
      </c>
      <c r="E196" s="199">
        <v>10197</v>
      </c>
      <c r="F196" s="198">
        <v>51</v>
      </c>
      <c r="G196" s="199">
        <v>697</v>
      </c>
      <c r="H196" s="199">
        <v>787</v>
      </c>
      <c r="I196" s="199">
        <v>1508</v>
      </c>
      <c r="J196" s="199">
        <v>27264</v>
      </c>
      <c r="K196" s="198">
        <v>54</v>
      </c>
      <c r="L196" s="199">
        <v>903</v>
      </c>
      <c r="M196" s="199">
        <v>1285</v>
      </c>
      <c r="N196" s="199">
        <v>2212</v>
      </c>
      <c r="O196" s="199">
        <v>30441</v>
      </c>
      <c r="P196" s="198">
        <v>53</v>
      </c>
      <c r="Q196" s="199">
        <v>2071</v>
      </c>
      <c r="R196" s="199">
        <v>1732</v>
      </c>
      <c r="S196" s="199">
        <v>3850</v>
      </c>
    </row>
    <row r="197" spans="1:19" x14ac:dyDescent="0.45">
      <c r="A197" s="198">
        <v>57</v>
      </c>
      <c r="B197" s="199">
        <v>588</v>
      </c>
      <c r="C197" s="199">
        <v>213</v>
      </c>
      <c r="D197" s="199">
        <v>810</v>
      </c>
      <c r="E197" s="199">
        <v>11007</v>
      </c>
      <c r="F197" s="198">
        <v>50</v>
      </c>
      <c r="G197" s="199">
        <v>774</v>
      </c>
      <c r="H197" s="199">
        <v>724</v>
      </c>
      <c r="I197" s="199">
        <v>1513</v>
      </c>
      <c r="J197" s="199">
        <v>28777</v>
      </c>
      <c r="K197" s="198">
        <v>53</v>
      </c>
      <c r="L197" s="199">
        <v>1124</v>
      </c>
      <c r="M197" s="199">
        <v>1428</v>
      </c>
      <c r="N197" s="199">
        <v>2581</v>
      </c>
      <c r="O197" s="199">
        <v>33022</v>
      </c>
      <c r="P197" s="198">
        <v>52</v>
      </c>
      <c r="Q197" s="199">
        <v>1099</v>
      </c>
      <c r="R197" s="199">
        <v>913</v>
      </c>
      <c r="S197" s="199">
        <v>2031</v>
      </c>
    </row>
    <row r="198" spans="1:19" x14ac:dyDescent="0.45">
      <c r="A198" s="198">
        <v>56</v>
      </c>
      <c r="B198" s="199">
        <v>671</v>
      </c>
      <c r="C198" s="199">
        <v>244</v>
      </c>
      <c r="D198" s="199">
        <v>926</v>
      </c>
      <c r="E198" s="199">
        <v>11933</v>
      </c>
      <c r="F198" s="198">
        <v>49</v>
      </c>
      <c r="G198" s="199">
        <v>939</v>
      </c>
      <c r="H198" s="199">
        <v>938</v>
      </c>
      <c r="I198" s="199">
        <v>1900</v>
      </c>
      <c r="J198" s="199">
        <v>30677</v>
      </c>
      <c r="K198" s="198">
        <v>52</v>
      </c>
      <c r="L198" s="199">
        <v>2265</v>
      </c>
      <c r="M198" s="199">
        <v>3190</v>
      </c>
      <c r="N198" s="199">
        <v>5517</v>
      </c>
      <c r="O198" s="199">
        <v>38539</v>
      </c>
      <c r="P198" s="198">
        <v>51</v>
      </c>
      <c r="Q198" s="199">
        <v>996</v>
      </c>
      <c r="R198" s="199">
        <v>823</v>
      </c>
      <c r="S198" s="199">
        <v>1836</v>
      </c>
    </row>
    <row r="199" spans="1:19" x14ac:dyDescent="0.45">
      <c r="A199" s="198">
        <v>55</v>
      </c>
      <c r="B199" s="199">
        <v>861</v>
      </c>
      <c r="C199" s="199">
        <v>311</v>
      </c>
      <c r="D199" s="199">
        <v>1189</v>
      </c>
      <c r="E199" s="199">
        <v>13122</v>
      </c>
      <c r="F199" s="198">
        <v>48</v>
      </c>
      <c r="G199" s="199">
        <v>783</v>
      </c>
      <c r="H199" s="199">
        <v>768</v>
      </c>
      <c r="I199" s="199">
        <v>1575</v>
      </c>
      <c r="J199" s="199">
        <v>32252</v>
      </c>
      <c r="K199" s="198">
        <v>51</v>
      </c>
      <c r="L199" s="199">
        <v>1341</v>
      </c>
      <c r="M199" s="199">
        <v>1912</v>
      </c>
      <c r="N199" s="199">
        <v>3282</v>
      </c>
      <c r="O199" s="199">
        <v>41821</v>
      </c>
      <c r="P199" s="198">
        <v>50</v>
      </c>
      <c r="Q199" s="199">
        <v>996</v>
      </c>
      <c r="R199" s="199">
        <v>825</v>
      </c>
      <c r="S199" s="199">
        <v>1848</v>
      </c>
    </row>
    <row r="200" spans="1:19" x14ac:dyDescent="0.45">
      <c r="A200" s="198">
        <v>54</v>
      </c>
      <c r="B200" s="199">
        <v>778</v>
      </c>
      <c r="C200" s="199">
        <v>274</v>
      </c>
      <c r="D200" s="199">
        <v>1070</v>
      </c>
      <c r="E200" s="199">
        <v>14192</v>
      </c>
      <c r="F200" s="198">
        <v>47</v>
      </c>
      <c r="G200" s="199">
        <v>1927</v>
      </c>
      <c r="H200" s="199">
        <v>1898</v>
      </c>
      <c r="I200" s="199">
        <v>3869</v>
      </c>
      <c r="J200" s="199">
        <v>36121</v>
      </c>
      <c r="K200" s="198">
        <v>50</v>
      </c>
      <c r="L200" s="199">
        <v>1233</v>
      </c>
      <c r="M200" s="199">
        <v>1700</v>
      </c>
      <c r="N200" s="199">
        <v>2963</v>
      </c>
      <c r="O200" s="199">
        <v>44784</v>
      </c>
      <c r="P200" s="198">
        <v>49</v>
      </c>
      <c r="Q200" s="199">
        <v>1082</v>
      </c>
      <c r="R200" s="199">
        <v>908</v>
      </c>
      <c r="S200" s="199">
        <v>2008</v>
      </c>
    </row>
    <row r="201" spans="1:19" x14ac:dyDescent="0.45">
      <c r="A201" s="198">
        <v>53</v>
      </c>
      <c r="B201" s="199">
        <v>964</v>
      </c>
      <c r="C201" s="199">
        <v>340</v>
      </c>
      <c r="D201" s="199">
        <v>1320</v>
      </c>
      <c r="E201" s="199">
        <v>15512</v>
      </c>
      <c r="F201" s="198">
        <v>46</v>
      </c>
      <c r="G201" s="199">
        <v>1082</v>
      </c>
      <c r="H201" s="199">
        <v>912</v>
      </c>
      <c r="I201" s="199">
        <v>2011</v>
      </c>
      <c r="J201" s="199">
        <v>38132</v>
      </c>
      <c r="K201" s="198">
        <v>49</v>
      </c>
      <c r="L201" s="199">
        <v>1393</v>
      </c>
      <c r="M201" s="199">
        <v>1807</v>
      </c>
      <c r="N201" s="199">
        <v>3239</v>
      </c>
      <c r="O201" s="199">
        <v>48023</v>
      </c>
      <c r="P201" s="198">
        <v>48</v>
      </c>
      <c r="Q201" s="199">
        <v>1051</v>
      </c>
      <c r="R201" s="199">
        <v>858</v>
      </c>
      <c r="S201" s="199">
        <v>1928</v>
      </c>
    </row>
    <row r="202" spans="1:19" x14ac:dyDescent="0.45">
      <c r="A202" s="198">
        <v>52</v>
      </c>
      <c r="B202" s="199">
        <v>970</v>
      </c>
      <c r="C202" s="199">
        <v>397</v>
      </c>
      <c r="D202" s="199">
        <v>1375</v>
      </c>
      <c r="E202" s="199">
        <v>16887</v>
      </c>
      <c r="F202" s="198">
        <v>45</v>
      </c>
      <c r="G202" s="199">
        <v>1073</v>
      </c>
      <c r="H202" s="199">
        <v>1016</v>
      </c>
      <c r="I202" s="199">
        <v>2111</v>
      </c>
      <c r="J202" s="199">
        <v>40243</v>
      </c>
      <c r="K202" s="198">
        <v>48</v>
      </c>
      <c r="L202" s="199">
        <v>1548</v>
      </c>
      <c r="M202" s="199">
        <v>1916</v>
      </c>
      <c r="N202" s="199">
        <v>3505</v>
      </c>
      <c r="O202" s="199">
        <v>51528</v>
      </c>
      <c r="P202" s="198">
        <v>47</v>
      </c>
      <c r="Q202" s="199">
        <v>1090</v>
      </c>
      <c r="R202" s="199">
        <v>894</v>
      </c>
      <c r="S202" s="199">
        <v>2012</v>
      </c>
    </row>
    <row r="203" spans="1:19" x14ac:dyDescent="0.45">
      <c r="A203" s="198">
        <v>51</v>
      </c>
      <c r="B203" s="199">
        <v>1100</v>
      </c>
      <c r="C203" s="199">
        <v>407</v>
      </c>
      <c r="D203" s="199">
        <v>1519</v>
      </c>
      <c r="E203" s="199">
        <v>18406</v>
      </c>
      <c r="F203" s="198">
        <v>44</v>
      </c>
      <c r="G203" s="199">
        <v>1006</v>
      </c>
      <c r="H203" s="199">
        <v>856</v>
      </c>
      <c r="I203" s="199">
        <v>1885</v>
      </c>
      <c r="J203" s="199">
        <v>42128</v>
      </c>
      <c r="K203" s="198">
        <v>47</v>
      </c>
      <c r="L203" s="199">
        <v>1390</v>
      </c>
      <c r="M203" s="199">
        <v>1772</v>
      </c>
      <c r="N203" s="199">
        <v>3189</v>
      </c>
      <c r="O203" s="199">
        <v>54717</v>
      </c>
      <c r="P203" s="198">
        <v>46</v>
      </c>
      <c r="Q203" s="199">
        <v>942</v>
      </c>
      <c r="R203" s="199">
        <v>861</v>
      </c>
      <c r="S203" s="199">
        <v>1824</v>
      </c>
    </row>
    <row r="204" spans="1:19" x14ac:dyDescent="0.45">
      <c r="A204" s="198">
        <v>50</v>
      </c>
      <c r="B204" s="199">
        <v>1143</v>
      </c>
      <c r="C204" s="199">
        <v>466</v>
      </c>
      <c r="D204" s="199">
        <v>1629</v>
      </c>
      <c r="E204" s="199">
        <v>20035</v>
      </c>
      <c r="F204" s="198">
        <v>43</v>
      </c>
      <c r="G204" s="199">
        <v>1077</v>
      </c>
      <c r="H204" s="199">
        <v>1044</v>
      </c>
      <c r="I204" s="199">
        <v>2143</v>
      </c>
      <c r="J204" s="199">
        <v>44271</v>
      </c>
      <c r="K204" s="198">
        <v>46</v>
      </c>
      <c r="L204" s="199">
        <v>1628</v>
      </c>
      <c r="M204" s="199">
        <v>2112</v>
      </c>
      <c r="N204" s="199">
        <v>3782</v>
      </c>
      <c r="O204" s="199">
        <v>58499</v>
      </c>
      <c r="P204" s="198">
        <v>45</v>
      </c>
      <c r="Q204" s="199">
        <v>1052</v>
      </c>
      <c r="R204" s="199">
        <v>879</v>
      </c>
      <c r="S204" s="199">
        <v>1958</v>
      </c>
    </row>
    <row r="205" spans="1:19" x14ac:dyDescent="0.45">
      <c r="A205" s="198">
        <v>49</v>
      </c>
      <c r="B205" s="199">
        <v>1280</v>
      </c>
      <c r="C205" s="199">
        <v>490</v>
      </c>
      <c r="D205" s="199">
        <v>1787</v>
      </c>
      <c r="E205" s="199">
        <v>21822</v>
      </c>
      <c r="F205" s="198">
        <v>42</v>
      </c>
      <c r="G205" s="199">
        <v>1017</v>
      </c>
      <c r="H205" s="199">
        <v>953</v>
      </c>
      <c r="I205" s="199">
        <v>1999</v>
      </c>
      <c r="J205" s="199">
        <v>46270</v>
      </c>
      <c r="K205" s="198">
        <v>45</v>
      </c>
      <c r="L205" s="199">
        <v>1573</v>
      </c>
      <c r="M205" s="199">
        <v>1858</v>
      </c>
      <c r="N205" s="199">
        <v>3479</v>
      </c>
      <c r="O205" s="199">
        <v>61978</v>
      </c>
      <c r="P205" s="198">
        <v>44</v>
      </c>
      <c r="Q205" s="199">
        <v>2060</v>
      </c>
      <c r="R205" s="199">
        <v>1573</v>
      </c>
      <c r="S205" s="199">
        <v>3668</v>
      </c>
    </row>
    <row r="206" spans="1:19" x14ac:dyDescent="0.45">
      <c r="A206" s="198">
        <v>48</v>
      </c>
      <c r="B206" s="199">
        <v>1443</v>
      </c>
      <c r="C206" s="199">
        <v>545</v>
      </c>
      <c r="D206" s="199">
        <v>2015</v>
      </c>
      <c r="E206" s="199">
        <v>23837</v>
      </c>
      <c r="F206" s="198">
        <v>41</v>
      </c>
      <c r="G206" s="199">
        <v>1045</v>
      </c>
      <c r="H206" s="199">
        <v>834</v>
      </c>
      <c r="I206" s="199">
        <v>1909</v>
      </c>
      <c r="J206" s="199">
        <v>48179</v>
      </c>
      <c r="K206" s="198">
        <v>44</v>
      </c>
      <c r="L206" s="199">
        <v>1510</v>
      </c>
      <c r="M206" s="199">
        <v>1792</v>
      </c>
      <c r="N206" s="199">
        <v>3328</v>
      </c>
      <c r="O206" s="199">
        <v>65306</v>
      </c>
      <c r="P206" s="198">
        <v>43</v>
      </c>
      <c r="Q206" s="199">
        <v>1049</v>
      </c>
      <c r="R206" s="199">
        <v>791</v>
      </c>
      <c r="S206" s="199">
        <v>1862</v>
      </c>
    </row>
    <row r="207" spans="1:19" x14ac:dyDescent="0.45">
      <c r="A207" s="198">
        <v>47</v>
      </c>
      <c r="B207" s="199">
        <v>1445</v>
      </c>
      <c r="C207" s="199">
        <v>551</v>
      </c>
      <c r="D207" s="199">
        <v>2009</v>
      </c>
      <c r="E207" s="199">
        <v>25846</v>
      </c>
      <c r="F207" s="198">
        <v>40</v>
      </c>
      <c r="G207" s="199">
        <v>1940</v>
      </c>
      <c r="H207" s="199">
        <v>1580</v>
      </c>
      <c r="I207" s="199">
        <v>3548</v>
      </c>
      <c r="J207" s="199">
        <v>51727</v>
      </c>
      <c r="K207" s="198">
        <v>43</v>
      </c>
      <c r="L207" s="199">
        <v>3093</v>
      </c>
      <c r="M207" s="199">
        <v>3416</v>
      </c>
      <c r="N207" s="199">
        <v>6591</v>
      </c>
      <c r="O207" s="199">
        <v>71897</v>
      </c>
      <c r="P207" s="198">
        <v>42</v>
      </c>
      <c r="Q207" s="199">
        <v>1074</v>
      </c>
      <c r="R207" s="199">
        <v>673</v>
      </c>
      <c r="S207" s="199">
        <v>1777</v>
      </c>
    </row>
    <row r="208" spans="1:19" x14ac:dyDescent="0.45">
      <c r="A208" s="198">
        <v>46</v>
      </c>
      <c r="B208" s="199">
        <v>1569</v>
      </c>
      <c r="C208" s="199">
        <v>621</v>
      </c>
      <c r="D208" s="199">
        <v>2219</v>
      </c>
      <c r="E208" s="199">
        <v>28065</v>
      </c>
      <c r="F208" s="198">
        <v>39</v>
      </c>
      <c r="G208" s="199">
        <v>1292</v>
      </c>
      <c r="H208" s="199">
        <v>776</v>
      </c>
      <c r="I208" s="199">
        <v>2099</v>
      </c>
      <c r="J208" s="199">
        <v>53826</v>
      </c>
      <c r="K208" s="198">
        <v>42</v>
      </c>
      <c r="L208" s="199">
        <v>1745</v>
      </c>
      <c r="M208" s="199">
        <v>1695</v>
      </c>
      <c r="N208" s="199">
        <v>3475</v>
      </c>
      <c r="O208" s="199">
        <v>75372</v>
      </c>
      <c r="P208" s="198">
        <v>41</v>
      </c>
      <c r="Q208" s="199">
        <v>1033</v>
      </c>
      <c r="R208" s="199">
        <v>717</v>
      </c>
      <c r="S208" s="199">
        <v>1770</v>
      </c>
    </row>
    <row r="209" spans="1:19" x14ac:dyDescent="0.45">
      <c r="A209" s="198">
        <v>45</v>
      </c>
      <c r="B209" s="199">
        <v>1593</v>
      </c>
      <c r="C209" s="199">
        <v>589</v>
      </c>
      <c r="D209" s="199">
        <v>2207</v>
      </c>
      <c r="E209" s="199">
        <v>30272</v>
      </c>
      <c r="F209" s="198">
        <v>38</v>
      </c>
      <c r="G209" s="199">
        <v>1523</v>
      </c>
      <c r="H209" s="199">
        <v>799</v>
      </c>
      <c r="I209" s="199">
        <v>2361</v>
      </c>
      <c r="J209" s="199">
        <v>56187</v>
      </c>
      <c r="K209" s="198">
        <v>41</v>
      </c>
      <c r="L209" s="199">
        <v>1349</v>
      </c>
      <c r="M209" s="199">
        <v>1355</v>
      </c>
      <c r="N209" s="199">
        <v>2743</v>
      </c>
      <c r="O209" s="199">
        <v>78115</v>
      </c>
      <c r="P209" s="198">
        <v>40</v>
      </c>
      <c r="Q209" s="199">
        <v>1062</v>
      </c>
      <c r="R209" s="199">
        <v>700</v>
      </c>
      <c r="S209" s="199">
        <v>1784</v>
      </c>
    </row>
    <row r="210" spans="1:19" x14ac:dyDescent="0.45">
      <c r="A210" s="198">
        <v>44</v>
      </c>
      <c r="B210" s="199">
        <v>3343</v>
      </c>
      <c r="C210" s="199">
        <v>1190</v>
      </c>
      <c r="D210" s="199">
        <v>4583</v>
      </c>
      <c r="E210" s="199">
        <v>34855</v>
      </c>
      <c r="F210" s="198">
        <v>37</v>
      </c>
      <c r="G210" s="199">
        <v>587</v>
      </c>
      <c r="H210" s="199">
        <v>379</v>
      </c>
      <c r="I210" s="199">
        <v>980</v>
      </c>
      <c r="J210" s="199">
        <v>57167</v>
      </c>
      <c r="K210" s="198">
        <v>40</v>
      </c>
      <c r="L210" s="199">
        <v>2635</v>
      </c>
      <c r="M210" s="199">
        <v>1756</v>
      </c>
      <c r="N210" s="199">
        <v>4458</v>
      </c>
      <c r="O210" s="199">
        <v>82573</v>
      </c>
      <c r="P210" s="198">
        <v>39</v>
      </c>
      <c r="Q210" s="199">
        <v>1116</v>
      </c>
      <c r="R210" s="199">
        <v>691</v>
      </c>
      <c r="S210" s="199">
        <v>1833</v>
      </c>
    </row>
    <row r="211" spans="1:19" x14ac:dyDescent="0.45">
      <c r="A211" s="198">
        <v>43</v>
      </c>
      <c r="B211" s="199">
        <v>2399</v>
      </c>
      <c r="C211" s="199">
        <v>704</v>
      </c>
      <c r="D211" s="199">
        <v>3149</v>
      </c>
      <c r="E211" s="199">
        <v>38004</v>
      </c>
      <c r="F211" s="198">
        <v>36</v>
      </c>
      <c r="G211" s="199">
        <v>643</v>
      </c>
      <c r="H211" s="199">
        <v>484</v>
      </c>
      <c r="I211" s="199">
        <v>1145</v>
      </c>
      <c r="J211" s="199">
        <v>58312</v>
      </c>
      <c r="K211" s="198">
        <v>39</v>
      </c>
      <c r="L211" s="199">
        <v>1677</v>
      </c>
      <c r="M211" s="199">
        <v>1339</v>
      </c>
      <c r="N211" s="199">
        <v>3050</v>
      </c>
      <c r="O211" s="199">
        <v>85623</v>
      </c>
      <c r="P211" s="198">
        <v>38</v>
      </c>
      <c r="Q211" s="199">
        <v>1794</v>
      </c>
      <c r="R211" s="199">
        <v>899</v>
      </c>
      <c r="S211" s="199">
        <v>2741</v>
      </c>
    </row>
    <row r="212" spans="1:19" x14ac:dyDescent="0.45">
      <c r="A212" s="198">
        <v>42</v>
      </c>
      <c r="B212" s="199">
        <v>1484</v>
      </c>
      <c r="C212" s="199">
        <v>519</v>
      </c>
      <c r="D212" s="199">
        <v>2020</v>
      </c>
      <c r="E212" s="199">
        <v>40024</v>
      </c>
      <c r="F212" s="198">
        <v>35</v>
      </c>
      <c r="G212" s="199">
        <v>562</v>
      </c>
      <c r="H212" s="199">
        <v>265</v>
      </c>
      <c r="I212" s="199">
        <v>841</v>
      </c>
      <c r="J212" s="199">
        <v>59153</v>
      </c>
      <c r="K212" s="198">
        <v>38</v>
      </c>
      <c r="L212" s="199">
        <v>1019</v>
      </c>
      <c r="M212" s="199">
        <v>880</v>
      </c>
      <c r="N212" s="199">
        <v>1929</v>
      </c>
      <c r="O212" s="199">
        <v>87552</v>
      </c>
      <c r="P212" s="198">
        <v>37</v>
      </c>
      <c r="Q212" s="199">
        <v>724</v>
      </c>
      <c r="R212" s="199">
        <v>435</v>
      </c>
      <c r="S212" s="199">
        <v>1174</v>
      </c>
    </row>
    <row r="213" spans="1:19" x14ac:dyDescent="0.45">
      <c r="A213" s="198">
        <v>41</v>
      </c>
      <c r="B213" s="199">
        <v>1538</v>
      </c>
      <c r="C213" s="199">
        <v>471</v>
      </c>
      <c r="D213" s="199">
        <v>2038</v>
      </c>
      <c r="E213" s="199">
        <v>42062</v>
      </c>
      <c r="F213" s="198">
        <v>34</v>
      </c>
      <c r="G213" s="199">
        <v>442</v>
      </c>
      <c r="H213" s="199">
        <v>260</v>
      </c>
      <c r="I213" s="199">
        <v>714</v>
      </c>
      <c r="J213" s="199">
        <v>59867</v>
      </c>
      <c r="K213" s="198">
        <v>37</v>
      </c>
      <c r="L213" s="199">
        <v>1269</v>
      </c>
      <c r="M213" s="199">
        <v>984</v>
      </c>
      <c r="N213" s="199">
        <v>2280</v>
      </c>
      <c r="O213" s="199">
        <v>89832</v>
      </c>
      <c r="P213" s="198">
        <v>36</v>
      </c>
      <c r="Q213" s="199">
        <v>3214</v>
      </c>
      <c r="R213" s="199">
        <v>1231</v>
      </c>
      <c r="S213" s="199">
        <v>4514</v>
      </c>
    </row>
    <row r="214" spans="1:19" x14ac:dyDescent="0.45">
      <c r="A214" s="198">
        <v>40</v>
      </c>
      <c r="B214" s="199">
        <v>1330</v>
      </c>
      <c r="C214" s="199">
        <v>437</v>
      </c>
      <c r="D214" s="199">
        <v>1793</v>
      </c>
      <c r="E214" s="199">
        <v>43855</v>
      </c>
      <c r="F214" s="198">
        <v>33</v>
      </c>
      <c r="G214" s="199">
        <v>251</v>
      </c>
      <c r="H214" s="199">
        <v>174</v>
      </c>
      <c r="I214" s="199">
        <v>431</v>
      </c>
      <c r="J214" s="199">
        <v>60298</v>
      </c>
      <c r="K214" s="198">
        <v>36</v>
      </c>
      <c r="L214" s="199">
        <v>729</v>
      </c>
      <c r="M214" s="199">
        <v>621</v>
      </c>
      <c r="N214" s="199">
        <v>1364</v>
      </c>
      <c r="O214" s="199">
        <v>91196</v>
      </c>
      <c r="P214" s="198">
        <v>35</v>
      </c>
      <c r="Q214" s="199">
        <v>484</v>
      </c>
      <c r="R214" s="199">
        <v>268</v>
      </c>
      <c r="S214" s="199">
        <v>760</v>
      </c>
    </row>
    <row r="215" spans="1:19" x14ac:dyDescent="0.45">
      <c r="A215" s="198">
        <v>39</v>
      </c>
      <c r="B215" s="199">
        <v>987</v>
      </c>
      <c r="C215" s="199">
        <v>319</v>
      </c>
      <c r="D215" s="199">
        <v>1327</v>
      </c>
      <c r="E215" s="199">
        <v>45182</v>
      </c>
      <c r="F215" s="198">
        <v>32</v>
      </c>
      <c r="G215" s="199">
        <v>510</v>
      </c>
      <c r="H215" s="199">
        <v>213</v>
      </c>
      <c r="I215" s="199">
        <v>729</v>
      </c>
      <c r="J215" s="199">
        <v>61027</v>
      </c>
      <c r="K215" s="198">
        <v>35</v>
      </c>
      <c r="L215" s="199">
        <v>1294</v>
      </c>
      <c r="M215" s="199">
        <v>893</v>
      </c>
      <c r="N215" s="199">
        <v>2217</v>
      </c>
      <c r="O215" s="199">
        <v>93413</v>
      </c>
      <c r="P215" s="198">
        <v>34</v>
      </c>
      <c r="Q215" s="199">
        <v>341</v>
      </c>
      <c r="R215" s="199">
        <v>145</v>
      </c>
      <c r="S215" s="199">
        <v>492</v>
      </c>
    </row>
    <row r="216" spans="1:19" x14ac:dyDescent="0.45">
      <c r="A216" s="198">
        <v>38</v>
      </c>
      <c r="B216" s="199">
        <v>655</v>
      </c>
      <c r="C216" s="199">
        <v>190</v>
      </c>
      <c r="D216" s="199">
        <v>854</v>
      </c>
      <c r="E216" s="199">
        <v>46036</v>
      </c>
      <c r="F216" s="198">
        <v>31</v>
      </c>
      <c r="G216" s="199">
        <v>72</v>
      </c>
      <c r="H216" s="199">
        <v>29</v>
      </c>
      <c r="I216" s="199">
        <v>103</v>
      </c>
      <c r="J216" s="199">
        <v>61130</v>
      </c>
      <c r="K216" s="198">
        <v>34</v>
      </c>
      <c r="L216" s="199">
        <v>778</v>
      </c>
      <c r="M216" s="199">
        <v>566</v>
      </c>
      <c r="N216" s="199">
        <v>1355</v>
      </c>
      <c r="O216" s="199">
        <v>94768</v>
      </c>
      <c r="P216" s="198">
        <v>33</v>
      </c>
      <c r="Q216" s="199">
        <v>388</v>
      </c>
      <c r="R216" s="199">
        <v>149</v>
      </c>
      <c r="S216" s="199">
        <v>544</v>
      </c>
    </row>
    <row r="217" spans="1:19" x14ac:dyDescent="0.45">
      <c r="A217" s="198">
        <v>37</v>
      </c>
      <c r="B217" s="199">
        <v>701</v>
      </c>
      <c r="C217" s="199">
        <v>254</v>
      </c>
      <c r="D217" s="199">
        <v>969</v>
      </c>
      <c r="E217" s="199">
        <v>47005</v>
      </c>
      <c r="F217" s="198">
        <v>30</v>
      </c>
      <c r="G217" s="199">
        <v>71</v>
      </c>
      <c r="H217" s="199">
        <v>31</v>
      </c>
      <c r="I217" s="199">
        <v>102</v>
      </c>
      <c r="J217" s="199">
        <v>61232</v>
      </c>
      <c r="K217" s="198">
        <v>33</v>
      </c>
      <c r="L217" s="199">
        <v>213</v>
      </c>
      <c r="M217" s="199">
        <v>164</v>
      </c>
      <c r="N217" s="199">
        <v>378</v>
      </c>
      <c r="O217" s="199">
        <v>95146</v>
      </c>
      <c r="P217" s="198">
        <v>32</v>
      </c>
      <c r="Q217" s="199">
        <v>200</v>
      </c>
      <c r="R217" s="199">
        <v>95</v>
      </c>
      <c r="S217" s="199">
        <v>298</v>
      </c>
    </row>
    <row r="218" spans="1:19" x14ac:dyDescent="0.45">
      <c r="A218" s="198">
        <v>36</v>
      </c>
      <c r="B218" s="199">
        <v>270</v>
      </c>
      <c r="C218" s="199">
        <v>85</v>
      </c>
      <c r="D218" s="199">
        <v>361</v>
      </c>
      <c r="E218" s="199">
        <v>47366</v>
      </c>
      <c r="F218" s="198">
        <v>28</v>
      </c>
      <c r="G218" s="199">
        <v>42</v>
      </c>
      <c r="H218" s="199">
        <v>6</v>
      </c>
      <c r="I218" s="199">
        <v>49</v>
      </c>
      <c r="J218" s="199">
        <v>61281</v>
      </c>
      <c r="K218" s="198">
        <v>32</v>
      </c>
      <c r="L218" s="199">
        <v>112</v>
      </c>
      <c r="M218" s="199">
        <v>66</v>
      </c>
      <c r="N218" s="199">
        <v>180</v>
      </c>
      <c r="O218" s="199">
        <v>95326</v>
      </c>
      <c r="P218" s="198">
        <v>31</v>
      </c>
      <c r="Q218" s="199">
        <v>124</v>
      </c>
      <c r="R218" s="199">
        <v>46</v>
      </c>
      <c r="S218" s="199">
        <v>173</v>
      </c>
    </row>
    <row r="219" spans="1:19" x14ac:dyDescent="0.45">
      <c r="A219" s="198">
        <v>35</v>
      </c>
      <c r="B219" s="199">
        <v>333</v>
      </c>
      <c r="C219" s="199">
        <v>115</v>
      </c>
      <c r="D219" s="199">
        <v>448</v>
      </c>
      <c r="E219" s="199">
        <v>47814</v>
      </c>
      <c r="F219" s="198"/>
      <c r="G219" s="199"/>
      <c r="H219" s="199"/>
      <c r="I219" s="199"/>
      <c r="J219" s="199"/>
      <c r="K219" s="198">
        <v>31</v>
      </c>
      <c r="L219" s="199">
        <v>118</v>
      </c>
      <c r="M219" s="199">
        <v>68</v>
      </c>
      <c r="N219" s="199">
        <v>189</v>
      </c>
      <c r="O219" s="199">
        <v>95515</v>
      </c>
      <c r="P219" s="198">
        <v>30</v>
      </c>
      <c r="Q219" s="199">
        <v>117</v>
      </c>
      <c r="R219" s="199">
        <v>40</v>
      </c>
      <c r="S219" s="199">
        <v>159</v>
      </c>
    </row>
    <row r="220" spans="1:19" x14ac:dyDescent="0.45">
      <c r="A220" s="198">
        <v>34</v>
      </c>
      <c r="B220" s="199">
        <v>163</v>
      </c>
      <c r="C220" s="199">
        <v>64</v>
      </c>
      <c r="D220" s="199">
        <v>227</v>
      </c>
      <c r="E220" s="199">
        <v>48041</v>
      </c>
      <c r="F220" s="198"/>
      <c r="G220" s="199"/>
      <c r="H220" s="199"/>
      <c r="I220" s="199"/>
      <c r="J220" s="199"/>
      <c r="K220" s="198">
        <v>29</v>
      </c>
      <c r="L220" s="199">
        <v>38</v>
      </c>
      <c r="M220" s="199">
        <v>15</v>
      </c>
      <c r="N220" s="199">
        <v>54</v>
      </c>
      <c r="O220" s="199">
        <v>95569</v>
      </c>
      <c r="P220" s="198">
        <v>28</v>
      </c>
      <c r="Q220" s="199">
        <v>53</v>
      </c>
      <c r="R220" s="199">
        <v>20</v>
      </c>
      <c r="S220" s="199">
        <v>73</v>
      </c>
    </row>
    <row r="221" spans="1:19" x14ac:dyDescent="0.45">
      <c r="A221" s="198">
        <v>33</v>
      </c>
      <c r="B221" s="199">
        <v>82</v>
      </c>
      <c r="C221" s="199">
        <v>25</v>
      </c>
      <c r="D221" s="199">
        <v>108</v>
      </c>
      <c r="E221" s="199">
        <v>48149</v>
      </c>
      <c r="F221" s="198"/>
      <c r="G221" s="199"/>
      <c r="H221" s="199"/>
      <c r="I221" s="199"/>
      <c r="J221" s="199"/>
      <c r="K221" s="198"/>
      <c r="L221" s="199"/>
      <c r="M221" s="199"/>
      <c r="N221" s="199"/>
      <c r="O221" s="199"/>
      <c r="P221" s="198"/>
      <c r="Q221" s="199"/>
      <c r="R221" s="199"/>
      <c r="S221" s="199"/>
    </row>
    <row r="222" spans="1:19" x14ac:dyDescent="0.45">
      <c r="A222" s="198">
        <v>32</v>
      </c>
      <c r="B222" s="199">
        <v>83</v>
      </c>
      <c r="C222" s="199">
        <v>36</v>
      </c>
      <c r="D222" s="199">
        <v>119</v>
      </c>
      <c r="E222" s="199">
        <v>48268</v>
      </c>
      <c r="F222" s="198"/>
      <c r="G222" s="199"/>
      <c r="H222" s="199"/>
      <c r="I222" s="199"/>
      <c r="J222" s="199"/>
      <c r="K222" s="198"/>
      <c r="L222" s="199"/>
      <c r="M222" s="199"/>
      <c r="N222" s="199"/>
      <c r="O222" s="199"/>
      <c r="P222" s="198"/>
      <c r="Q222" s="199"/>
      <c r="R222" s="199"/>
      <c r="S222" s="199"/>
    </row>
    <row r="223" spans="1:19" x14ac:dyDescent="0.45">
      <c r="A223" s="198">
        <v>30</v>
      </c>
      <c r="B223" s="199">
        <v>32</v>
      </c>
      <c r="C223" s="199">
        <v>5</v>
      </c>
      <c r="D223" s="199">
        <v>38</v>
      </c>
      <c r="E223" s="199">
        <v>48306</v>
      </c>
      <c r="F223" s="198"/>
      <c r="G223" s="199"/>
      <c r="H223" s="199"/>
      <c r="I223" s="199"/>
      <c r="J223" s="199"/>
      <c r="K223" s="198"/>
      <c r="L223" s="199"/>
      <c r="M223" s="199"/>
      <c r="N223" s="199"/>
      <c r="O223" s="199"/>
      <c r="P223" s="198"/>
      <c r="Q223" s="199"/>
      <c r="R223" s="199"/>
      <c r="S223" s="199"/>
    </row>
    <row r="224" spans="1:19" ht="17.5" thickBot="1" x14ac:dyDescent="0.5">
      <c r="A224" s="8"/>
      <c r="B224" s="14"/>
      <c r="C224" s="14"/>
      <c r="D224" s="2"/>
      <c r="F224" s="8"/>
      <c r="G224" s="14"/>
      <c r="H224" s="14"/>
      <c r="I224" s="2"/>
      <c r="K224" s="8"/>
      <c r="L224" s="14"/>
      <c r="M224" s="14"/>
      <c r="N224" s="2"/>
      <c r="P224" s="8"/>
      <c r="Q224" s="14"/>
      <c r="R224" s="14"/>
      <c r="S224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zoomScale="55" zoomScaleNormal="55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66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기능'!D4</f>
        <v>49.62</v>
      </c>
      <c r="I3" s="21" t="s">
        <v>70</v>
      </c>
      <c r="J3" s="50">
        <f>'통계 및 응시자 수 입력 기능'!C4</f>
        <v>272996</v>
      </c>
      <c r="K3" s="31"/>
      <c r="L3" s="5"/>
    </row>
    <row r="4" spans="1:17" ht="25" customHeight="1" thickBot="1" x14ac:dyDescent="0.5">
      <c r="A4" s="5"/>
      <c r="B4" s="30"/>
      <c r="C4" s="51" t="s">
        <v>71</v>
      </c>
      <c r="D4" s="184" t="s">
        <v>72</v>
      </c>
      <c r="E4" s="185"/>
      <c r="F4" s="186"/>
      <c r="G4" s="52" t="s">
        <v>73</v>
      </c>
      <c r="H4" s="53" t="str">
        <f>'통계 및 응시자 수 입력 기능'!E4</f>
        <v>21.68</v>
      </c>
      <c r="I4" s="187"/>
      <c r="J4" s="188"/>
      <c r="K4" s="31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189"/>
      <c r="J5" s="189"/>
      <c r="K5" s="31"/>
      <c r="L5" s="5"/>
    </row>
    <row r="6" spans="1:17" ht="25" customHeight="1" thickBot="1" x14ac:dyDescent="0.5">
      <c r="A6" s="5"/>
      <c r="B6" s="30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6" t="s">
        <v>80</v>
      </c>
      <c r="I6" s="56" t="s">
        <v>81</v>
      </c>
      <c r="J6" s="57" t="s">
        <v>82</v>
      </c>
      <c r="K6" s="31"/>
      <c r="L6" s="3" t="s">
        <v>65</v>
      </c>
      <c r="M6" s="3"/>
      <c r="N6" s="4"/>
    </row>
    <row r="7" spans="1:17" ht="25" customHeight="1" x14ac:dyDescent="0.45">
      <c r="A7" s="5"/>
      <c r="B7" s="30"/>
      <c r="C7" s="58">
        <v>100</v>
      </c>
      <c r="D7" s="59">
        <f>ROUND(20*(C7-$H$3)/$H$4+100,0)</f>
        <v>146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99.97</v>
      </c>
      <c r="G7" s="61">
        <f>_xlfn.IFNA(VLOOKUP(D7,'인원 입력 기능(국수)'!$A$5:$D$103,4,FALSE),0)</f>
        <v>187</v>
      </c>
      <c r="H7" s="62">
        <f>G7/$J$3</f>
        <v>6.8499172149042472E-4</v>
      </c>
      <c r="I7" s="63">
        <f>G7</f>
        <v>187</v>
      </c>
      <c r="J7" s="64">
        <f>I7/$J$3</f>
        <v>6.8499172149042472E-4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134</v>
      </c>
    </row>
    <row r="8" spans="1:17" ht="25" customHeight="1" x14ac:dyDescent="0.45">
      <c r="A8" s="5"/>
      <c r="B8" s="30"/>
      <c r="C8" s="65">
        <v>99</v>
      </c>
      <c r="D8" s="66" t="s">
        <v>56</v>
      </c>
      <c r="E8" s="66"/>
      <c r="F8" s="67"/>
      <c r="G8" s="68"/>
      <c r="H8" s="69"/>
      <c r="I8" s="70"/>
      <c r="J8" s="71"/>
      <c r="K8" s="31"/>
      <c r="L8" s="20"/>
      <c r="N8" s="1"/>
      <c r="P8" s="1">
        <v>2</v>
      </c>
      <c r="Q8" s="1">
        <f>'표점등급&amp;절평인원 입력 기능'!C5</f>
        <v>126</v>
      </c>
    </row>
    <row r="9" spans="1:17" ht="25" customHeight="1" x14ac:dyDescent="0.45">
      <c r="A9" s="5"/>
      <c r="B9" s="30"/>
      <c r="C9" s="65">
        <v>98</v>
      </c>
      <c r="D9" s="59">
        <f>ROUND(20*(C9-$H$3)/$H$4+100,0)</f>
        <v>145</v>
      </c>
      <c r="E9" s="59">
        <f t="shared" si="0"/>
        <v>1</v>
      </c>
      <c r="F9" s="60">
        <f>IF(I8=0,ROUND(100*(1-(I7+I9)/2/$J$3),2),ROUND(100*(1-(I8+I9)/2/$J$3),2))</f>
        <v>99.85</v>
      </c>
      <c r="G9" s="61">
        <f>_xlfn.IFNA(VLOOKUP(D9,'인원 입력 기능(국수)'!$A$5:$D$103,4,FALSE),0)</f>
        <v>426</v>
      </c>
      <c r="H9" s="62">
        <f>G9/$J$3</f>
        <v>1.560462424357866E-3</v>
      </c>
      <c r="I9" s="72">
        <f>SUM($G$7:G9)</f>
        <v>613</v>
      </c>
      <c r="J9" s="64">
        <f>I9/$J$3</f>
        <v>2.2454541458482909E-3</v>
      </c>
      <c r="K9" s="31"/>
      <c r="L9" s="20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117</v>
      </c>
    </row>
    <row r="10" spans="1:17" ht="25" customHeight="1" x14ac:dyDescent="0.45">
      <c r="A10" s="5"/>
      <c r="B10" s="30"/>
      <c r="C10" s="65">
        <v>97</v>
      </c>
      <c r="D10" s="59">
        <f t="shared" ref="D10:D73" si="2">ROUND(20*(C10-$H$3)/$H$4+100,0)</f>
        <v>144</v>
      </c>
      <c r="E10" s="59">
        <f t="shared" si="0"/>
        <v>1</v>
      </c>
      <c r="F10" s="60">
        <f t="shared" ref="F10:F73" si="3">IF(I9=0,ROUND(100*(1-(I8+I10)/2/$J$3),2),ROUND(100*(1-(I9+I10)/2/$J$3),2))</f>
        <v>99.74</v>
      </c>
      <c r="G10" s="61">
        <f>IF(D10=D9,"",_xlfn.IFNA(VLOOKUP(D10,'인원 입력 기능(국수)'!$A$5:$D$103,4,FALSE),0))</f>
        <v>168</v>
      </c>
      <c r="H10" s="62">
        <f t="shared" ref="H10:H73" si="4">G10/$J$3</f>
        <v>6.1539363214113023E-4</v>
      </c>
      <c r="I10" s="72">
        <f>SUM($G$7:G10)</f>
        <v>781</v>
      </c>
      <c r="J10" s="64">
        <f t="shared" ref="J10:J73" si="5">I10/$J$3</f>
        <v>2.8608477779894213E-3</v>
      </c>
      <c r="K10" s="31"/>
      <c r="L10" s="20" t="str">
        <f t="shared" si="1"/>
        <v/>
      </c>
      <c r="N10" s="1"/>
      <c r="P10" s="1">
        <v>4</v>
      </c>
      <c r="Q10" s="1">
        <f>'표점등급&amp;절평인원 입력 기능'!C7</f>
        <v>107</v>
      </c>
    </row>
    <row r="11" spans="1:17" ht="25" customHeight="1" x14ac:dyDescent="0.45">
      <c r="A11" s="5"/>
      <c r="B11" s="30"/>
      <c r="C11" s="65">
        <v>96</v>
      </c>
      <c r="D11" s="59">
        <f t="shared" si="2"/>
        <v>143</v>
      </c>
      <c r="E11" s="59">
        <f t="shared" si="0"/>
        <v>1</v>
      </c>
      <c r="F11" s="60">
        <f t="shared" si="3"/>
        <v>99.62</v>
      </c>
      <c r="G11" s="61">
        <f>IF(D11=D10,"",_xlfn.IFNA(VLOOKUP(D11,'인원 입력 기능(국수)'!$A$5:$D$103,4,FALSE),0))</f>
        <v>536</v>
      </c>
      <c r="H11" s="62">
        <f t="shared" si="4"/>
        <v>1.9633987311169394E-3</v>
      </c>
      <c r="I11" s="72">
        <f>SUM($G$7:G11)</f>
        <v>1317</v>
      </c>
      <c r="J11" s="64">
        <f t="shared" si="5"/>
        <v>4.8242465091063603E-3</v>
      </c>
      <c r="K11" s="31"/>
      <c r="L11" s="20" t="str">
        <f t="shared" si="1"/>
        <v/>
      </c>
      <c r="N11" s="1"/>
      <c r="P11" s="1">
        <v>5</v>
      </c>
      <c r="Q11" s="1">
        <f>'표점등급&amp;절평인원 입력 기능'!C8</f>
        <v>94</v>
      </c>
    </row>
    <row r="12" spans="1:17" ht="25" customHeight="1" x14ac:dyDescent="0.45">
      <c r="A12" s="5"/>
      <c r="B12" s="30"/>
      <c r="C12" s="65">
        <v>95</v>
      </c>
      <c r="D12" s="59">
        <f t="shared" si="2"/>
        <v>142</v>
      </c>
      <c r="E12" s="59">
        <f t="shared" si="0"/>
        <v>1</v>
      </c>
      <c r="F12" s="60">
        <f t="shared" si="3"/>
        <v>99.42</v>
      </c>
      <c r="G12" s="61">
        <f>IF(D12=D11,"",_xlfn.IFNA(VLOOKUP(D12,'인원 입력 기능(국수)'!$A$5:$D$103,4,FALSE),0))</f>
        <v>515</v>
      </c>
      <c r="H12" s="62">
        <f t="shared" si="4"/>
        <v>1.8864745270992982E-3</v>
      </c>
      <c r="I12" s="72">
        <f>SUM($G$7:G12)</f>
        <v>1832</v>
      </c>
      <c r="J12" s="64">
        <f t="shared" si="5"/>
        <v>6.7107210362056585E-3</v>
      </c>
      <c r="K12" s="31"/>
      <c r="L12" s="20" t="str">
        <f t="shared" si="1"/>
        <v/>
      </c>
      <c r="N12" s="1"/>
      <c r="P12" s="1">
        <v>6</v>
      </c>
      <c r="Q12" s="1">
        <f>'표점등급&amp;절평인원 입력 기능'!C9</f>
        <v>81</v>
      </c>
    </row>
    <row r="13" spans="1:17" ht="25" customHeight="1" x14ac:dyDescent="0.45">
      <c r="A13" s="5"/>
      <c r="B13" s="30"/>
      <c r="C13" s="65">
        <v>94</v>
      </c>
      <c r="D13" s="59">
        <f t="shared" si="2"/>
        <v>141</v>
      </c>
      <c r="E13" s="59">
        <f t="shared" si="0"/>
        <v>1</v>
      </c>
      <c r="F13" s="60">
        <f t="shared" si="3"/>
        <v>99.21</v>
      </c>
      <c r="G13" s="61">
        <f>IF(D13=D12,"",_xlfn.IFNA(VLOOKUP(D13,'인원 입력 기능(국수)'!$A$5:$D$103,4,FALSE),0))</f>
        <v>641</v>
      </c>
      <c r="H13" s="62">
        <f t="shared" si="4"/>
        <v>2.3480197512051461E-3</v>
      </c>
      <c r="I13" s="72">
        <f>SUM($G$7:G13)</f>
        <v>2473</v>
      </c>
      <c r="J13" s="64">
        <f t="shared" si="5"/>
        <v>9.0587407874108041E-3</v>
      </c>
      <c r="K13" s="31"/>
      <c r="L13" s="20" t="str">
        <f t="shared" si="1"/>
        <v/>
      </c>
      <c r="N13" s="1"/>
      <c r="P13" s="1">
        <v>7</v>
      </c>
      <c r="Q13" s="1">
        <f>'표점등급&amp;절평인원 입력 기능'!C10</f>
        <v>74</v>
      </c>
    </row>
    <row r="14" spans="1:17" ht="25" customHeight="1" x14ac:dyDescent="0.45">
      <c r="A14" s="5"/>
      <c r="B14" s="30"/>
      <c r="C14" s="65">
        <v>93</v>
      </c>
      <c r="D14" s="59">
        <f t="shared" si="2"/>
        <v>140</v>
      </c>
      <c r="E14" s="59">
        <f t="shared" si="0"/>
        <v>1</v>
      </c>
      <c r="F14" s="60">
        <f t="shared" si="3"/>
        <v>98.94</v>
      </c>
      <c r="G14" s="61">
        <f>IF(D14=D13,"",_xlfn.IFNA(VLOOKUP(D14,'인원 입력 기능(국수)'!$A$5:$D$103,4,FALSE),0))</f>
        <v>864</v>
      </c>
      <c r="H14" s="62">
        <f t="shared" si="4"/>
        <v>3.1648815367258127E-3</v>
      </c>
      <c r="I14" s="72">
        <f>SUM($G$7:G14)</f>
        <v>3337</v>
      </c>
      <c r="J14" s="64">
        <f t="shared" si="5"/>
        <v>1.2223622324136617E-2</v>
      </c>
      <c r="K14" s="31"/>
      <c r="L14" s="20" t="str">
        <f t="shared" si="1"/>
        <v/>
      </c>
      <c r="N14" s="1"/>
      <c r="P14" s="1">
        <v>8</v>
      </c>
      <c r="Q14" s="1">
        <f>'표점등급&amp;절평인원 입력 기능'!C11</f>
        <v>70</v>
      </c>
    </row>
    <row r="15" spans="1:17" ht="25" customHeight="1" x14ac:dyDescent="0.45">
      <c r="A15" s="5"/>
      <c r="B15" s="30"/>
      <c r="C15" s="65">
        <v>92</v>
      </c>
      <c r="D15" s="59">
        <f t="shared" si="2"/>
        <v>139</v>
      </c>
      <c r="E15" s="59">
        <f t="shared" si="0"/>
        <v>1</v>
      </c>
      <c r="F15" s="60">
        <f t="shared" si="3"/>
        <v>98.64</v>
      </c>
      <c r="G15" s="61">
        <f>IF(D15=D14,"",_xlfn.IFNA(VLOOKUP(D15,'인원 입력 기능(국수)'!$A$5:$D$103,4,FALSE),0))</f>
        <v>765</v>
      </c>
      <c r="H15" s="62">
        <f t="shared" si="4"/>
        <v>2.8022388606426469E-3</v>
      </c>
      <c r="I15" s="72">
        <f>SUM($G$7:G15)</f>
        <v>4102</v>
      </c>
      <c r="J15" s="64">
        <f t="shared" si="5"/>
        <v>1.5025861184779265E-2</v>
      </c>
      <c r="K15" s="31"/>
      <c r="L15" s="20" t="str">
        <f t="shared" si="1"/>
        <v/>
      </c>
      <c r="N15" s="1"/>
      <c r="P15" s="1">
        <v>9</v>
      </c>
      <c r="Q15" s="1"/>
    </row>
    <row r="16" spans="1:17" ht="25" customHeight="1" x14ac:dyDescent="0.45">
      <c r="A16" s="5"/>
      <c r="B16" s="30"/>
      <c r="C16" s="73">
        <v>91</v>
      </c>
      <c r="D16" s="59">
        <f t="shared" si="2"/>
        <v>138</v>
      </c>
      <c r="E16" s="74">
        <f t="shared" si="0"/>
        <v>1</v>
      </c>
      <c r="F16" s="60">
        <f t="shared" si="3"/>
        <v>98.28</v>
      </c>
      <c r="G16" s="61">
        <f>IF(D16=D15,"",_xlfn.IFNA(VLOOKUP(D16,'인원 입력 기능(국수)'!$A$5:$D$103,4,FALSE),0))</f>
        <v>1184</v>
      </c>
      <c r="H16" s="62">
        <f t="shared" si="4"/>
        <v>4.3370598836612994E-3</v>
      </c>
      <c r="I16" s="75">
        <f>SUM($G$7:G16)</f>
        <v>5286</v>
      </c>
      <c r="J16" s="64">
        <f t="shared" si="5"/>
        <v>1.9362921068440564E-2</v>
      </c>
      <c r="K16" s="31"/>
      <c r="L16" s="20" t="str">
        <f t="shared" si="1"/>
        <v/>
      </c>
      <c r="N16" s="1"/>
    </row>
    <row r="17" spans="1:17" ht="25" customHeight="1" x14ac:dyDescent="0.45">
      <c r="A17" s="5"/>
      <c r="B17" s="30"/>
      <c r="C17" s="73">
        <v>90</v>
      </c>
      <c r="D17" s="59">
        <f t="shared" si="2"/>
        <v>137</v>
      </c>
      <c r="E17" s="74">
        <f t="shared" si="0"/>
        <v>1</v>
      </c>
      <c r="F17" s="60">
        <f t="shared" si="3"/>
        <v>97.86</v>
      </c>
      <c r="G17" s="61">
        <f>IF(D17=D16,"",_xlfn.IFNA(VLOOKUP(D17,'인원 입력 기능(국수)'!$A$5:$D$103,4,FALSE),0))</f>
        <v>1122</v>
      </c>
      <c r="H17" s="62">
        <f t="shared" si="4"/>
        <v>4.1099503289425488E-3</v>
      </c>
      <c r="I17" s="75">
        <f>SUM($G$7:G17)</f>
        <v>6408</v>
      </c>
      <c r="J17" s="64">
        <f t="shared" si="5"/>
        <v>2.3472871397383112E-2</v>
      </c>
      <c r="K17" s="31"/>
      <c r="L17" s="20" t="str">
        <f t="shared" si="1"/>
        <v/>
      </c>
      <c r="N17" s="1"/>
      <c r="Q17" s="1">
        <f>Q7*H3*H4*J3*IFERROR(IF(J107=1, 1, 0), 0)</f>
        <v>39352934242.982399</v>
      </c>
    </row>
    <row r="18" spans="1:17" ht="25" customHeight="1" x14ac:dyDescent="0.45">
      <c r="A18" s="5"/>
      <c r="B18" s="30"/>
      <c r="C18" s="73">
        <v>89</v>
      </c>
      <c r="D18" s="59">
        <f t="shared" si="2"/>
        <v>136</v>
      </c>
      <c r="E18" s="74">
        <f t="shared" si="0"/>
        <v>1</v>
      </c>
      <c r="F18" s="60">
        <f t="shared" si="3"/>
        <v>97.39</v>
      </c>
      <c r="G18" s="61">
        <f>IF(D18=D17,"",_xlfn.IFNA(VLOOKUP(D18,'인원 입력 기능(국수)'!$A$5:$D$103,4,FALSE),0))</f>
        <v>1455</v>
      </c>
      <c r="H18" s="62">
        <f t="shared" si="4"/>
        <v>5.3297484212222893E-3</v>
      </c>
      <c r="I18" s="75">
        <f>SUM($G$7:G18)</f>
        <v>7863</v>
      </c>
      <c r="J18" s="64">
        <f t="shared" si="5"/>
        <v>2.88026198186054E-2</v>
      </c>
      <c r="K18" s="31"/>
      <c r="L18" s="20" t="str">
        <f t="shared" si="1"/>
        <v/>
      </c>
      <c r="N18" s="1"/>
    </row>
    <row r="19" spans="1:17" ht="25" customHeight="1" x14ac:dyDescent="0.45">
      <c r="A19" s="5"/>
      <c r="B19" s="30"/>
      <c r="C19" s="73">
        <v>88</v>
      </c>
      <c r="D19" s="59">
        <f t="shared" si="2"/>
        <v>135</v>
      </c>
      <c r="E19" s="74">
        <f t="shared" si="0"/>
        <v>1</v>
      </c>
      <c r="F19" s="60">
        <f t="shared" si="3"/>
        <v>96.85</v>
      </c>
      <c r="G19" s="61">
        <f>IF(D19=D18,"",_xlfn.IFNA(VLOOKUP(D19,'인원 입력 기능(국수)'!$A$5:$D$103,4,FALSE),0))</f>
        <v>1448</v>
      </c>
      <c r="H19" s="62">
        <f t="shared" si="4"/>
        <v>5.304107019883075E-3</v>
      </c>
      <c r="I19" s="75">
        <f>SUM($G$7:G19)</f>
        <v>9311</v>
      </c>
      <c r="J19" s="64">
        <f t="shared" si="5"/>
        <v>3.4106726838488477E-2</v>
      </c>
      <c r="K19" s="31"/>
      <c r="L19" s="20" t="str">
        <f t="shared" si="1"/>
        <v/>
      </c>
      <c r="N19" s="1"/>
    </row>
    <row r="20" spans="1:17" ht="25" customHeight="1" x14ac:dyDescent="0.45">
      <c r="A20" s="5"/>
      <c r="B20" s="30"/>
      <c r="C20" s="73">
        <v>87</v>
      </c>
      <c r="D20" s="201">
        <f t="shared" si="2"/>
        <v>134</v>
      </c>
      <c r="E20" s="203">
        <f t="shared" si="0"/>
        <v>1</v>
      </c>
      <c r="F20" s="205">
        <f t="shared" si="3"/>
        <v>95.96</v>
      </c>
      <c r="G20" s="207">
        <f>IF(D20=D19,"",_xlfn.IFNA(VLOOKUP(D20,'인원 입력 기능(국수)'!$A$5:$D$103,4,FALSE),0))</f>
        <v>3460</v>
      </c>
      <c r="H20" s="208">
        <f t="shared" si="4"/>
        <v>1.2674178376239945E-2</v>
      </c>
      <c r="I20" s="210">
        <f>SUM($G$7:G20)</f>
        <v>12771</v>
      </c>
      <c r="J20" s="212">
        <f t="shared" si="5"/>
        <v>4.678090521472842E-2</v>
      </c>
      <c r="K20" s="31"/>
      <c r="L20" s="20" t="str">
        <f t="shared" si="1"/>
        <v/>
      </c>
      <c r="N20" s="1"/>
    </row>
    <row r="21" spans="1:17" ht="25" customHeight="1" x14ac:dyDescent="0.45">
      <c r="A21" s="5"/>
      <c r="B21" s="30"/>
      <c r="C21" s="73">
        <v>86</v>
      </c>
      <c r="D21" s="200"/>
      <c r="E21" s="202"/>
      <c r="F21" s="204"/>
      <c r="G21" s="206"/>
      <c r="H21" s="209"/>
      <c r="I21" s="211"/>
      <c r="J21" s="213"/>
      <c r="K21" s="31"/>
      <c r="L21" s="20" t="str">
        <f t="shared" si="1"/>
        <v>경고</v>
      </c>
      <c r="N21" s="1"/>
    </row>
    <row r="22" spans="1:17" ht="25" customHeight="1" x14ac:dyDescent="0.45">
      <c r="A22" s="5"/>
      <c r="B22" s="30"/>
      <c r="C22" s="73">
        <v>85</v>
      </c>
      <c r="D22" s="59">
        <f t="shared" si="2"/>
        <v>133</v>
      </c>
      <c r="E22" s="74">
        <f t="shared" si="0"/>
        <v>2</v>
      </c>
      <c r="F22" s="60">
        <f t="shared" si="3"/>
        <v>94.98</v>
      </c>
      <c r="G22" s="61">
        <f>IF(D22=D21,"",_xlfn.IFNA(VLOOKUP(D22,'인원 입력 기능(국수)'!$A$5:$D$103,4,FALSE),0))</f>
        <v>1854</v>
      </c>
      <c r="H22" s="62">
        <f t="shared" si="4"/>
        <v>6.7913082975574737E-3</v>
      </c>
      <c r="I22" s="75">
        <f>SUM($G$7:G22)</f>
        <v>14625</v>
      </c>
      <c r="J22" s="64">
        <f t="shared" si="5"/>
        <v>5.3572213512285895E-2</v>
      </c>
      <c r="K22" s="31"/>
      <c r="L22" s="20" t="str">
        <f t="shared" si="1"/>
        <v/>
      </c>
      <c r="N22" s="1"/>
    </row>
    <row r="23" spans="1:17" ht="25" customHeight="1" x14ac:dyDescent="0.45">
      <c r="A23" s="5"/>
      <c r="B23" s="30"/>
      <c r="C23" s="73">
        <v>84</v>
      </c>
      <c r="D23" s="59">
        <f t="shared" si="2"/>
        <v>132</v>
      </c>
      <c r="E23" s="74">
        <f t="shared" si="0"/>
        <v>2</v>
      </c>
      <c r="F23" s="60">
        <f t="shared" si="3"/>
        <v>94.27</v>
      </c>
      <c r="G23" s="61">
        <f>IF(D23=D22,"",_xlfn.IFNA(VLOOKUP(D23,'인원 입력 기능(국수)'!$A$5:$D$103,4,FALSE),0))</f>
        <v>2062</v>
      </c>
      <c r="H23" s="62">
        <f t="shared" si="4"/>
        <v>7.553224223065539E-3</v>
      </c>
      <c r="I23" s="75">
        <f>SUM($G$7:G23)</f>
        <v>16687</v>
      </c>
      <c r="J23" s="64">
        <f t="shared" si="5"/>
        <v>6.112543773535143E-2</v>
      </c>
      <c r="K23" s="31"/>
      <c r="L23" s="20" t="str">
        <f t="shared" si="1"/>
        <v/>
      </c>
      <c r="N23" s="1"/>
    </row>
    <row r="24" spans="1:17" ht="25" customHeight="1" x14ac:dyDescent="0.45">
      <c r="A24" s="5"/>
      <c r="B24" s="30"/>
      <c r="C24" s="73">
        <v>83</v>
      </c>
      <c r="D24" s="59">
        <f t="shared" si="2"/>
        <v>131</v>
      </c>
      <c r="E24" s="74">
        <f t="shared" si="0"/>
        <v>2</v>
      </c>
      <c r="F24" s="60">
        <f t="shared" si="3"/>
        <v>93.51</v>
      </c>
      <c r="G24" s="61">
        <f>IF(D24=D23,"",_xlfn.IFNA(VLOOKUP(D24,'인원 입력 기능(국수)'!$A$5:$D$103,4,FALSE),0))</f>
        <v>2071</v>
      </c>
      <c r="H24" s="62">
        <f t="shared" si="4"/>
        <v>7.5861917390731004E-3</v>
      </c>
      <c r="I24" s="75">
        <f>SUM($G$7:G24)</f>
        <v>18758</v>
      </c>
      <c r="J24" s="64">
        <f t="shared" si="5"/>
        <v>6.8711629474424538E-2</v>
      </c>
      <c r="K24" s="31"/>
      <c r="L24" s="20" t="str">
        <f t="shared" si="1"/>
        <v/>
      </c>
      <c r="N24" s="1"/>
    </row>
    <row r="25" spans="1:17" ht="25" customHeight="1" x14ac:dyDescent="0.45">
      <c r="A25" s="5"/>
      <c r="B25" s="30"/>
      <c r="C25" s="73">
        <v>82</v>
      </c>
      <c r="D25" s="59">
        <f t="shared" si="2"/>
        <v>130</v>
      </c>
      <c r="E25" s="74">
        <f t="shared" si="0"/>
        <v>2</v>
      </c>
      <c r="F25" s="60">
        <f t="shared" si="3"/>
        <v>92.71</v>
      </c>
      <c r="G25" s="61">
        <f>IF(D25=D24,"",_xlfn.IFNA(VLOOKUP(D25,'인원 입력 기능(국수)'!$A$5:$D$103,4,FALSE),0))</f>
        <v>2305</v>
      </c>
      <c r="H25" s="62">
        <f t="shared" si="4"/>
        <v>8.4433471552696742E-3</v>
      </c>
      <c r="I25" s="75">
        <f>SUM($G$7:G25)</f>
        <v>21063</v>
      </c>
      <c r="J25" s="64">
        <f t="shared" si="5"/>
        <v>7.7154976629694214E-2</v>
      </c>
      <c r="K25" s="31"/>
      <c r="L25" s="20" t="str">
        <f t="shared" si="1"/>
        <v/>
      </c>
      <c r="N25" s="1"/>
    </row>
    <row r="26" spans="1:17" ht="25" customHeight="1" x14ac:dyDescent="0.45">
      <c r="A26" s="5"/>
      <c r="B26" s="30"/>
      <c r="C26" s="73">
        <v>81</v>
      </c>
      <c r="D26" s="59">
        <f t="shared" si="2"/>
        <v>129</v>
      </c>
      <c r="E26" s="74">
        <f t="shared" si="0"/>
        <v>2</v>
      </c>
      <c r="F26" s="60">
        <f t="shared" si="3"/>
        <v>91.85</v>
      </c>
      <c r="G26" s="61">
        <f>IF(D26=D25,"",_xlfn.IFNA(VLOOKUP(D26,'인원 입력 기능(국수)'!$A$5:$D$103,4,FALSE),0))</f>
        <v>2364</v>
      </c>
      <c r="H26" s="62">
        <f t="shared" si="4"/>
        <v>8.6594675379859046E-3</v>
      </c>
      <c r="I26" s="75">
        <f>SUM($G$7:G26)</f>
        <v>23427</v>
      </c>
      <c r="J26" s="64">
        <f t="shared" si="5"/>
        <v>8.581444416768011E-2</v>
      </c>
      <c r="K26" s="31"/>
      <c r="L26" s="20" t="str">
        <f t="shared" si="1"/>
        <v/>
      </c>
      <c r="N26" s="1"/>
    </row>
    <row r="27" spans="1:17" ht="25" customHeight="1" x14ac:dyDescent="0.45">
      <c r="A27" s="5"/>
      <c r="B27" s="30"/>
      <c r="C27" s="73">
        <v>80</v>
      </c>
      <c r="D27" s="59">
        <f t="shared" si="2"/>
        <v>128</v>
      </c>
      <c r="E27" s="74">
        <f t="shared" si="0"/>
        <v>2</v>
      </c>
      <c r="F27" s="60">
        <f t="shared" si="3"/>
        <v>90.94</v>
      </c>
      <c r="G27" s="61">
        <f>IF(D27=D26,"",_xlfn.IFNA(VLOOKUP(D27,'인원 입력 기능(국수)'!$A$5:$D$103,4,FALSE),0))</f>
        <v>2591</v>
      </c>
      <c r="H27" s="62">
        <f t="shared" si="4"/>
        <v>9.490981552843265E-3</v>
      </c>
      <c r="I27" s="75">
        <f>SUM($G$7:G27)</f>
        <v>26018</v>
      </c>
      <c r="J27" s="64">
        <f t="shared" si="5"/>
        <v>9.5305425720523376E-2</v>
      </c>
      <c r="K27" s="31"/>
      <c r="L27" s="20" t="str">
        <f t="shared" si="1"/>
        <v/>
      </c>
      <c r="N27" s="1"/>
    </row>
    <row r="28" spans="1:17" ht="25" customHeight="1" x14ac:dyDescent="0.45">
      <c r="A28" s="5"/>
      <c r="B28" s="30"/>
      <c r="C28" s="73">
        <v>79</v>
      </c>
      <c r="D28" s="59">
        <f t="shared" si="2"/>
        <v>127</v>
      </c>
      <c r="E28" s="74">
        <f t="shared" si="0"/>
        <v>2</v>
      </c>
      <c r="F28" s="60">
        <f t="shared" si="3"/>
        <v>89.98</v>
      </c>
      <c r="G28" s="61">
        <f>IF(D28=D27,"",_xlfn.IFNA(VLOOKUP(D28,'인원 입력 기능(국수)'!$A$5:$D$103,4,FALSE),0))</f>
        <v>2688</v>
      </c>
      <c r="H28" s="62">
        <f t="shared" si="4"/>
        <v>9.8462981142580838E-3</v>
      </c>
      <c r="I28" s="75">
        <f>SUM($G$7:G28)</f>
        <v>28706</v>
      </c>
      <c r="J28" s="64">
        <f t="shared" si="5"/>
        <v>0.10515172383478147</v>
      </c>
      <c r="K28" s="31"/>
      <c r="L28" s="20" t="str">
        <f t="shared" si="1"/>
        <v/>
      </c>
      <c r="N28" s="1"/>
    </row>
    <row r="29" spans="1:17" ht="25" customHeight="1" x14ac:dyDescent="0.45">
      <c r="A29" s="5"/>
      <c r="B29" s="30"/>
      <c r="C29" s="73">
        <v>78</v>
      </c>
      <c r="D29" s="59">
        <f t="shared" si="2"/>
        <v>126</v>
      </c>
      <c r="E29" s="74">
        <f t="shared" si="0"/>
        <v>2</v>
      </c>
      <c r="F29" s="60">
        <f t="shared" si="3"/>
        <v>88.99</v>
      </c>
      <c r="G29" s="61">
        <f>IF(D29=D28,"",_xlfn.IFNA(VLOOKUP(D29,'인원 입력 기능(국수)'!$A$5:$D$103,4,FALSE),0))</f>
        <v>2699</v>
      </c>
      <c r="H29" s="62">
        <f t="shared" si="4"/>
        <v>9.8865917449339914E-3</v>
      </c>
      <c r="I29" s="75">
        <f>SUM($G$7:G29)</f>
        <v>31405</v>
      </c>
      <c r="J29" s="64">
        <f t="shared" si="5"/>
        <v>0.11503831557971546</v>
      </c>
      <c r="K29" s="31"/>
      <c r="L29" s="20" t="str">
        <f t="shared" si="1"/>
        <v/>
      </c>
      <c r="N29" s="1"/>
    </row>
    <row r="30" spans="1:17" ht="25" customHeight="1" x14ac:dyDescent="0.45">
      <c r="A30" s="5"/>
      <c r="B30" s="30"/>
      <c r="C30" s="73">
        <v>77</v>
      </c>
      <c r="D30" s="59">
        <f t="shared" si="2"/>
        <v>125</v>
      </c>
      <c r="E30" s="74">
        <f t="shared" si="0"/>
        <v>3</v>
      </c>
      <c r="F30" s="60">
        <f t="shared" si="3"/>
        <v>87.98</v>
      </c>
      <c r="G30" s="61">
        <f>IF(D30=D29,"",_xlfn.IFNA(VLOOKUP(D30,'인원 입력 기능(국수)'!$A$5:$D$103,4,FALSE),0))</f>
        <v>2843</v>
      </c>
      <c r="H30" s="62">
        <f t="shared" si="4"/>
        <v>1.041407200105496E-2</v>
      </c>
      <c r="I30" s="75">
        <f>SUM($G$7:G30)</f>
        <v>34248</v>
      </c>
      <c r="J30" s="64">
        <f t="shared" si="5"/>
        <v>0.1254523875807704</v>
      </c>
      <c r="K30" s="31"/>
      <c r="L30" s="20" t="str">
        <f t="shared" si="1"/>
        <v/>
      </c>
      <c r="N30" s="1"/>
    </row>
    <row r="31" spans="1:17" ht="25" customHeight="1" x14ac:dyDescent="0.45">
      <c r="A31" s="5"/>
      <c r="B31" s="30"/>
      <c r="C31" s="73">
        <v>76</v>
      </c>
      <c r="D31" s="59">
        <f t="shared" si="2"/>
        <v>124</v>
      </c>
      <c r="E31" s="74">
        <f t="shared" si="0"/>
        <v>3</v>
      </c>
      <c r="F31" s="60">
        <f t="shared" si="3"/>
        <v>86.91</v>
      </c>
      <c r="G31" s="61">
        <f>IF(D31=D30,"",_xlfn.IFNA(VLOOKUP(D31,'인원 입력 기능(국수)'!$A$5:$D$103,4,FALSE),0))</f>
        <v>2951</v>
      </c>
      <c r="H31" s="62">
        <f t="shared" si="4"/>
        <v>1.0809682193145688E-2</v>
      </c>
      <c r="I31" s="75">
        <f>SUM($G$7:G31)</f>
        <v>37199</v>
      </c>
      <c r="J31" s="64">
        <f t="shared" si="5"/>
        <v>0.13626206977391611</v>
      </c>
      <c r="K31" s="31"/>
      <c r="L31" s="20" t="str">
        <f t="shared" si="1"/>
        <v/>
      </c>
      <c r="N31" s="1"/>
    </row>
    <row r="32" spans="1:17" ht="25" customHeight="1" x14ac:dyDescent="0.45">
      <c r="A32" s="5"/>
      <c r="B32" s="30"/>
      <c r="C32" s="73">
        <v>75</v>
      </c>
      <c r="D32" s="59">
        <f t="shared" si="2"/>
        <v>123</v>
      </c>
      <c r="E32" s="74">
        <f t="shared" si="0"/>
        <v>3</v>
      </c>
      <c r="F32" s="60">
        <f t="shared" si="3"/>
        <v>85.82</v>
      </c>
      <c r="G32" s="61">
        <f>IF(D32=D31,"",_xlfn.IFNA(VLOOKUP(D32,'인원 입력 기능(국수)'!$A$5:$D$103,4,FALSE),0))</f>
        <v>3030</v>
      </c>
      <c r="H32" s="62">
        <f t="shared" si="4"/>
        <v>1.1099063722545386E-2</v>
      </c>
      <c r="I32" s="75">
        <f>SUM($G$7:G32)</f>
        <v>40229</v>
      </c>
      <c r="J32" s="64">
        <f t="shared" si="5"/>
        <v>0.14736113349646149</v>
      </c>
      <c r="K32" s="31"/>
      <c r="L32" s="20" t="str">
        <f t="shared" si="1"/>
        <v/>
      </c>
      <c r="N32" s="1"/>
    </row>
    <row r="33" spans="1:14" ht="25" customHeight="1" x14ac:dyDescent="0.45">
      <c r="A33" s="5"/>
      <c r="B33" s="30"/>
      <c r="C33" s="73">
        <v>74</v>
      </c>
      <c r="D33" s="201">
        <f t="shared" si="2"/>
        <v>122</v>
      </c>
      <c r="E33" s="203">
        <f t="shared" si="0"/>
        <v>3</v>
      </c>
      <c r="F33" s="205">
        <f t="shared" si="3"/>
        <v>84.06</v>
      </c>
      <c r="G33" s="207">
        <f>IF(D33=D32,"",_xlfn.IFNA(VLOOKUP(D33,'인원 입력 기능(국수)'!$A$5:$D$103,4,FALSE),0))</f>
        <v>6547</v>
      </c>
      <c r="H33" s="208">
        <f t="shared" si="4"/>
        <v>2.3982036366833215E-2</v>
      </c>
      <c r="I33" s="210">
        <f>SUM($G$7:G33)</f>
        <v>46776</v>
      </c>
      <c r="J33" s="212">
        <f t="shared" si="5"/>
        <v>0.1713431698632947</v>
      </c>
      <c r="K33" s="31"/>
      <c r="L33" s="20" t="str">
        <f t="shared" si="1"/>
        <v>경고</v>
      </c>
      <c r="N33" s="1"/>
    </row>
    <row r="34" spans="1:14" ht="25" customHeight="1" x14ac:dyDescent="0.45">
      <c r="A34" s="5"/>
      <c r="B34" s="30"/>
      <c r="C34" s="73">
        <v>73</v>
      </c>
      <c r="D34" s="200"/>
      <c r="E34" s="202"/>
      <c r="F34" s="204"/>
      <c r="G34" s="206"/>
      <c r="H34" s="209"/>
      <c r="I34" s="211"/>
      <c r="J34" s="213"/>
      <c r="K34" s="31"/>
      <c r="L34" s="20" t="str">
        <f t="shared" si="1"/>
        <v>경고</v>
      </c>
      <c r="N34" s="1"/>
    </row>
    <row r="35" spans="1:14" ht="25" customHeight="1" x14ac:dyDescent="0.45">
      <c r="A35" s="5"/>
      <c r="B35" s="30"/>
      <c r="C35" s="73">
        <v>72</v>
      </c>
      <c r="D35" s="59">
        <f t="shared" si="2"/>
        <v>121</v>
      </c>
      <c r="E35" s="74">
        <f t="shared" si="0"/>
        <v>3</v>
      </c>
      <c r="F35" s="60">
        <f t="shared" si="3"/>
        <v>82.22</v>
      </c>
      <c r="G35" s="61">
        <f>IF(D35=D34,"",_xlfn.IFNA(VLOOKUP(D35,'인원 입력 기능(국수)'!$A$5:$D$103,4,FALSE),0))</f>
        <v>3515</v>
      </c>
      <c r="H35" s="62">
        <f t="shared" si="4"/>
        <v>1.2875646529619481E-2</v>
      </c>
      <c r="I35" s="75">
        <f>SUM($G$7:G35)</f>
        <v>50291</v>
      </c>
      <c r="J35" s="64">
        <f t="shared" si="5"/>
        <v>0.18421881639291418</v>
      </c>
      <c r="K35" s="31"/>
      <c r="L35" s="20" t="str">
        <f t="shared" si="1"/>
        <v/>
      </c>
      <c r="N35" s="1"/>
    </row>
    <row r="36" spans="1:14" ht="25" customHeight="1" x14ac:dyDescent="0.45">
      <c r="A36" s="5"/>
      <c r="B36" s="30"/>
      <c r="C36" s="73">
        <v>71</v>
      </c>
      <c r="D36" s="59">
        <f t="shared" si="2"/>
        <v>120</v>
      </c>
      <c r="E36" s="74">
        <f t="shared" si="0"/>
        <v>3</v>
      </c>
      <c r="F36" s="60">
        <f t="shared" si="3"/>
        <v>80.930000000000007</v>
      </c>
      <c r="G36" s="61">
        <f>IF(D36=D35,"",_xlfn.IFNA(VLOOKUP(D36,'인원 입력 기능(국수)'!$A$5:$D$103,4,FALSE),0))</f>
        <v>3530</v>
      </c>
      <c r="H36" s="62">
        <f t="shared" si="4"/>
        <v>1.2930592389632083E-2</v>
      </c>
      <c r="I36" s="75">
        <f>SUM($G$7:G36)</f>
        <v>53821</v>
      </c>
      <c r="J36" s="64">
        <f t="shared" si="5"/>
        <v>0.19714940878254628</v>
      </c>
      <c r="K36" s="31"/>
      <c r="L36" s="20" t="str">
        <f t="shared" si="1"/>
        <v/>
      </c>
      <c r="N36" s="1"/>
    </row>
    <row r="37" spans="1:14" ht="25" customHeight="1" x14ac:dyDescent="0.45">
      <c r="A37" s="5"/>
      <c r="B37" s="30"/>
      <c r="C37" s="73">
        <v>70</v>
      </c>
      <c r="D37" s="59">
        <f t="shared" si="2"/>
        <v>119</v>
      </c>
      <c r="E37" s="74">
        <f t="shared" si="0"/>
        <v>3</v>
      </c>
      <c r="F37" s="60">
        <f t="shared" si="3"/>
        <v>79.61</v>
      </c>
      <c r="G37" s="61">
        <f>IF(D37=D36,"",_xlfn.IFNA(VLOOKUP(D37,'인원 입력 기능(국수)'!$A$5:$D$103,4,FALSE),0))</f>
        <v>3675</v>
      </c>
      <c r="H37" s="62">
        <f t="shared" si="4"/>
        <v>1.3461735703087225E-2</v>
      </c>
      <c r="I37" s="75">
        <f>SUM($G$7:G37)</f>
        <v>57496</v>
      </c>
      <c r="J37" s="64">
        <f t="shared" si="5"/>
        <v>0.21061114448563348</v>
      </c>
      <c r="K37" s="31"/>
      <c r="L37" s="20" t="str">
        <f t="shared" si="1"/>
        <v/>
      </c>
      <c r="N37" s="1"/>
    </row>
    <row r="38" spans="1:14" ht="25" customHeight="1" x14ac:dyDescent="0.45">
      <c r="A38" s="5"/>
      <c r="B38" s="30"/>
      <c r="C38" s="73">
        <v>69</v>
      </c>
      <c r="D38" s="59">
        <f t="shared" si="2"/>
        <v>118</v>
      </c>
      <c r="E38" s="74">
        <f t="shared" si="0"/>
        <v>3</v>
      </c>
      <c r="F38" s="60">
        <f t="shared" si="3"/>
        <v>78.28</v>
      </c>
      <c r="G38" s="61">
        <f>IF(D38=D37,"",_xlfn.IFNA(VLOOKUP(D38,'인원 입력 기능(국수)'!$A$5:$D$103,4,FALSE),0))</f>
        <v>3586</v>
      </c>
      <c r="H38" s="62">
        <f t="shared" si="4"/>
        <v>1.3135723600345792E-2</v>
      </c>
      <c r="I38" s="75">
        <f>SUM($G$7:G38)</f>
        <v>61082</v>
      </c>
      <c r="J38" s="64">
        <f t="shared" si="5"/>
        <v>0.22374686808597929</v>
      </c>
      <c r="K38" s="31"/>
      <c r="L38" s="20" t="str">
        <f t="shared" si="1"/>
        <v/>
      </c>
      <c r="N38" s="1"/>
    </row>
    <row r="39" spans="1:14" ht="25" customHeight="1" x14ac:dyDescent="0.45">
      <c r="A39" s="5"/>
      <c r="B39" s="30"/>
      <c r="C39" s="73">
        <v>68</v>
      </c>
      <c r="D39" s="59">
        <f t="shared" si="2"/>
        <v>117</v>
      </c>
      <c r="E39" s="74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60">
        <f t="shared" si="3"/>
        <v>76.930000000000007</v>
      </c>
      <c r="G39" s="61">
        <f>IF(D39=D38,"",_xlfn.IFNA(VLOOKUP(D39,'인원 입력 기능(국수)'!$A$5:$D$103,4,FALSE),0))</f>
        <v>3772</v>
      </c>
      <c r="H39" s="62">
        <f t="shared" si="4"/>
        <v>1.3817052264502043E-2</v>
      </c>
      <c r="I39" s="75">
        <f>SUM($G$7:G39)</f>
        <v>64854</v>
      </c>
      <c r="J39" s="64">
        <f t="shared" si="5"/>
        <v>0.23756392035048132</v>
      </c>
      <c r="K39" s="31"/>
      <c r="L39" s="20" t="str">
        <f t="shared" si="1"/>
        <v/>
      </c>
      <c r="N39" s="1"/>
    </row>
    <row r="40" spans="1:14" ht="25" customHeight="1" x14ac:dyDescent="0.45">
      <c r="A40" s="5"/>
      <c r="B40" s="30"/>
      <c r="C40" s="73">
        <v>67</v>
      </c>
      <c r="D40" s="59">
        <f t="shared" si="2"/>
        <v>116</v>
      </c>
      <c r="E40" s="74">
        <f t="shared" si="6"/>
        <v>4</v>
      </c>
      <c r="F40" s="60">
        <f t="shared" si="3"/>
        <v>75.52</v>
      </c>
      <c r="G40" s="61">
        <f>IF(D40=D39,"",_xlfn.IFNA(VLOOKUP(D40,'인원 입력 기능(국수)'!$A$5:$D$103,4,FALSE),0))</f>
        <v>3924</v>
      </c>
      <c r="H40" s="62">
        <f t="shared" si="4"/>
        <v>1.43738369792964E-2</v>
      </c>
      <c r="I40" s="75">
        <f>SUM($G$7:G40)</f>
        <v>68778</v>
      </c>
      <c r="J40" s="64">
        <f t="shared" si="5"/>
        <v>0.25193775732977775</v>
      </c>
      <c r="K40" s="31"/>
      <c r="L40" s="20" t="str">
        <f t="shared" si="1"/>
        <v/>
      </c>
      <c r="N40" s="1"/>
    </row>
    <row r="41" spans="1:14" ht="25" customHeight="1" x14ac:dyDescent="0.45">
      <c r="A41" s="5"/>
      <c r="B41" s="30"/>
      <c r="C41" s="73">
        <v>66</v>
      </c>
      <c r="D41" s="59">
        <f t="shared" si="2"/>
        <v>115</v>
      </c>
      <c r="E41" s="74">
        <f t="shared" si="6"/>
        <v>4</v>
      </c>
      <c r="F41" s="60">
        <f t="shared" si="3"/>
        <v>74.09</v>
      </c>
      <c r="G41" s="61">
        <f>IF(D41=D40,"",_xlfn.IFNA(VLOOKUP(D41,'인원 입력 기능(국수)'!$A$5:$D$103,4,FALSE),0))</f>
        <v>3932</v>
      </c>
      <c r="H41" s="62">
        <f t="shared" si="4"/>
        <v>1.4403141437969787E-2</v>
      </c>
      <c r="I41" s="75">
        <f>SUM($G$7:G41)</f>
        <v>72710</v>
      </c>
      <c r="J41" s="64">
        <f t="shared" si="5"/>
        <v>0.26634089876774752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73">
        <v>65</v>
      </c>
      <c r="D42" s="59">
        <f t="shared" si="2"/>
        <v>114</v>
      </c>
      <c r="E42" s="74">
        <f t="shared" si="6"/>
        <v>4</v>
      </c>
      <c r="F42" s="60">
        <f t="shared" si="3"/>
        <v>72.64</v>
      </c>
      <c r="G42" s="61">
        <f>IF(D42=D41,"",_xlfn.IFNA(VLOOKUP(D42,'인원 입력 기능(국수)'!$A$5:$D$103,4,FALSE),0))</f>
        <v>3939</v>
      </c>
      <c r="H42" s="62">
        <f t="shared" si="4"/>
        <v>1.4428782839309E-2</v>
      </c>
      <c r="I42" s="75">
        <f>SUM($G$7:G42)</f>
        <v>76649</v>
      </c>
      <c r="J42" s="64">
        <f t="shared" si="5"/>
        <v>0.28076968160705651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73">
        <v>64</v>
      </c>
      <c r="D43" s="59">
        <f t="shared" si="2"/>
        <v>113</v>
      </c>
      <c r="E43" s="74">
        <f t="shared" si="6"/>
        <v>4</v>
      </c>
      <c r="F43" s="60">
        <f t="shared" si="3"/>
        <v>71.2</v>
      </c>
      <c r="G43" s="61">
        <f>IF(D43=D42,"",_xlfn.IFNA(VLOOKUP(D43,'인원 입력 기능(국수)'!$A$5:$D$103,4,FALSE),0))</f>
        <v>3921</v>
      </c>
      <c r="H43" s="62">
        <f t="shared" si="4"/>
        <v>1.4362847807293879E-2</v>
      </c>
      <c r="I43" s="75">
        <f>SUM($G$7:G43)</f>
        <v>80570</v>
      </c>
      <c r="J43" s="64">
        <f t="shared" si="5"/>
        <v>0.29513252941435042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73">
        <v>63</v>
      </c>
      <c r="D44" s="59">
        <f t="shared" si="2"/>
        <v>112</v>
      </c>
      <c r="E44" s="74">
        <f t="shared" si="6"/>
        <v>4</v>
      </c>
      <c r="F44" s="60">
        <f t="shared" si="3"/>
        <v>69.72</v>
      </c>
      <c r="G44" s="61">
        <f>IF(D44=D43,"",_xlfn.IFNA(VLOOKUP(D44,'인원 입력 기능(국수)'!$A$5:$D$103,4,FALSE),0))</f>
        <v>4177</v>
      </c>
      <c r="H44" s="62">
        <f t="shared" si="4"/>
        <v>1.5300590484842268E-2</v>
      </c>
      <c r="I44" s="75">
        <f>SUM($G$7:G44)</f>
        <v>84747</v>
      </c>
      <c r="J44" s="64">
        <f t="shared" si="5"/>
        <v>0.31043311989919264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73">
        <v>62</v>
      </c>
      <c r="D45" s="59">
        <f t="shared" si="2"/>
        <v>111</v>
      </c>
      <c r="E45" s="74">
        <f t="shared" si="6"/>
        <v>4</v>
      </c>
      <c r="F45" s="60">
        <f t="shared" si="3"/>
        <v>67.459999999999994</v>
      </c>
      <c r="G45" s="61">
        <f>IF(D45=D44,"",_xlfn.IFNA(VLOOKUP(D45,'인원 입력 기능(국수)'!$A$5:$D$103,4,FALSE),0))</f>
        <v>8145</v>
      </c>
      <c r="H45" s="62">
        <f t="shared" si="4"/>
        <v>2.9835601986842299E-2</v>
      </c>
      <c r="I45" s="75">
        <f>SUM($G$7:G45)</f>
        <v>92892</v>
      </c>
      <c r="J45" s="64">
        <f t="shared" si="5"/>
        <v>0.34026872188603496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73">
        <v>61</v>
      </c>
      <c r="D46" s="201">
        <f t="shared" si="2"/>
        <v>110</v>
      </c>
      <c r="E46" s="203">
        <f t="shared" si="6"/>
        <v>4</v>
      </c>
      <c r="F46" s="205">
        <f t="shared" si="3"/>
        <v>65.209999999999994</v>
      </c>
      <c r="G46" s="207">
        <f>IF(D46=D45,"",_xlfn.IFNA(VLOOKUP(D46,'인원 입력 기능(국수)'!$A$5:$D$103,4,FALSE),0))</f>
        <v>4163</v>
      </c>
      <c r="H46" s="208">
        <f t="shared" si="4"/>
        <v>1.5249307682163841E-2</v>
      </c>
      <c r="I46" s="210">
        <f>SUM($G$7:G46)</f>
        <v>97055</v>
      </c>
      <c r="J46" s="212">
        <f t="shared" si="5"/>
        <v>0.35551802956819878</v>
      </c>
      <c r="K46" s="31"/>
      <c r="L46" s="20" t="str">
        <f t="shared" si="7"/>
        <v>경고</v>
      </c>
      <c r="N46" s="1"/>
    </row>
    <row r="47" spans="1:14" ht="25" customHeight="1" x14ac:dyDescent="0.45">
      <c r="A47" s="5"/>
      <c r="B47" s="30"/>
      <c r="C47" s="73">
        <v>60</v>
      </c>
      <c r="D47" s="200"/>
      <c r="E47" s="202"/>
      <c r="F47" s="204"/>
      <c r="G47" s="206"/>
      <c r="H47" s="209"/>
      <c r="I47" s="211"/>
      <c r="J47" s="213"/>
      <c r="K47" s="31"/>
      <c r="L47" s="20" t="str">
        <f t="shared" si="7"/>
        <v>경고</v>
      </c>
      <c r="N47" s="1"/>
    </row>
    <row r="48" spans="1:14" ht="25" customHeight="1" x14ac:dyDescent="0.45">
      <c r="A48" s="5"/>
      <c r="B48" s="30"/>
      <c r="C48" s="73">
        <v>59</v>
      </c>
      <c r="D48" s="59">
        <f t="shared" si="2"/>
        <v>109</v>
      </c>
      <c r="E48" s="74">
        <f t="shared" si="6"/>
        <v>4</v>
      </c>
      <c r="F48" s="60">
        <f t="shared" si="3"/>
        <v>63.68</v>
      </c>
      <c r="G48" s="61">
        <f>IF(D48=D47,"",_xlfn.IFNA(VLOOKUP(D48,'인원 입력 기능(국수)'!$A$5:$D$103,4,FALSE),0))</f>
        <v>4198</v>
      </c>
      <c r="H48" s="62">
        <f t="shared" si="4"/>
        <v>1.537751468885991E-2</v>
      </c>
      <c r="I48" s="75">
        <f>SUM($G$7:G48)</f>
        <v>101253</v>
      </c>
      <c r="J48" s="64">
        <f t="shared" si="5"/>
        <v>0.37089554425705873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73">
        <v>58</v>
      </c>
      <c r="D49" s="59">
        <f t="shared" si="2"/>
        <v>108</v>
      </c>
      <c r="E49" s="74">
        <f t="shared" si="6"/>
        <v>4</v>
      </c>
      <c r="F49" s="60">
        <f t="shared" si="3"/>
        <v>62.13</v>
      </c>
      <c r="G49" s="61">
        <f>IF(D49=D48,"",_xlfn.IFNA(VLOOKUP(D49,'인원 입력 기능(국수)'!$A$5:$D$103,4,FALSE),0))</f>
        <v>4256</v>
      </c>
      <c r="H49" s="62">
        <f t="shared" si="4"/>
        <v>1.5589972014241968E-2</v>
      </c>
      <c r="I49" s="75">
        <f>SUM($G$7:G49)</f>
        <v>105509</v>
      </c>
      <c r="J49" s="64">
        <f t="shared" si="5"/>
        <v>0.38648551627130068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73">
        <v>57</v>
      </c>
      <c r="D50" s="59">
        <f t="shared" si="2"/>
        <v>107</v>
      </c>
      <c r="E50" s="74">
        <f t="shared" si="6"/>
        <v>4</v>
      </c>
      <c r="F50" s="60">
        <f t="shared" si="3"/>
        <v>60.58</v>
      </c>
      <c r="G50" s="61">
        <f>IF(D50=D49,"",_xlfn.IFNA(VLOOKUP(D50,'인원 입력 기능(국수)'!$A$5:$D$103,4,FALSE),0))</f>
        <v>4193</v>
      </c>
      <c r="H50" s="62">
        <f t="shared" si="4"/>
        <v>1.5359199402189043E-2</v>
      </c>
      <c r="I50" s="75">
        <f>SUM($G$7:G50)</f>
        <v>109702</v>
      </c>
      <c r="J50" s="64">
        <f t="shared" si="5"/>
        <v>0.40184471567348973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73">
        <v>56</v>
      </c>
      <c r="D51" s="59">
        <f t="shared" si="2"/>
        <v>106</v>
      </c>
      <c r="E51" s="74">
        <f t="shared" si="6"/>
        <v>5</v>
      </c>
      <c r="F51" s="60">
        <f t="shared" si="3"/>
        <v>59.06</v>
      </c>
      <c r="G51" s="61">
        <f>IF(D51=D50,"",_xlfn.IFNA(VLOOKUP(D51,'인원 입력 기능(국수)'!$A$5:$D$103,4,FALSE),0))</f>
        <v>4105</v>
      </c>
      <c r="H51" s="62">
        <f t="shared" si="4"/>
        <v>1.5036850356781784E-2</v>
      </c>
      <c r="I51" s="75">
        <f>SUM($G$7:G51)</f>
        <v>113807</v>
      </c>
      <c r="J51" s="64">
        <f t="shared" si="5"/>
        <v>0.41688156603027149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73">
        <v>55</v>
      </c>
      <c r="D52" s="59">
        <f t="shared" si="2"/>
        <v>105</v>
      </c>
      <c r="E52" s="74">
        <f t="shared" si="6"/>
        <v>5</v>
      </c>
      <c r="F52" s="60">
        <f t="shared" si="3"/>
        <v>57.53</v>
      </c>
      <c r="G52" s="61">
        <f>IF(D52=D51,"",_xlfn.IFNA(VLOOKUP(D52,'인원 입력 기능(국수)'!$A$5:$D$103,4,FALSE),0))</f>
        <v>4288</v>
      </c>
      <c r="H52" s="62">
        <f t="shared" si="4"/>
        <v>1.5707189848935516E-2</v>
      </c>
      <c r="I52" s="75">
        <f>SUM($G$7:G52)</f>
        <v>118095</v>
      </c>
      <c r="J52" s="64">
        <f t="shared" si="5"/>
        <v>0.43258875587920703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73">
        <v>54</v>
      </c>
      <c r="D53" s="59">
        <f t="shared" si="2"/>
        <v>104</v>
      </c>
      <c r="E53" s="74">
        <f t="shared" si="6"/>
        <v>5</v>
      </c>
      <c r="F53" s="60">
        <f t="shared" si="3"/>
        <v>55.97</v>
      </c>
      <c r="G53" s="61">
        <f>IF(D53=D52,"",_xlfn.IFNA(VLOOKUP(D53,'인원 입력 기능(국수)'!$A$5:$D$103,4,FALSE),0))</f>
        <v>4206</v>
      </c>
      <c r="H53" s="62">
        <f t="shared" si="4"/>
        <v>1.5406819147533297E-2</v>
      </c>
      <c r="I53" s="75">
        <f>SUM($G$7:G53)</f>
        <v>122301</v>
      </c>
      <c r="J53" s="64">
        <f t="shared" si="5"/>
        <v>0.44799557502674031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73">
        <v>53</v>
      </c>
      <c r="D54" s="59">
        <f t="shared" si="2"/>
        <v>103</v>
      </c>
      <c r="E54" s="74">
        <f t="shared" si="6"/>
        <v>5</v>
      </c>
      <c r="F54" s="60">
        <f t="shared" si="3"/>
        <v>54.45</v>
      </c>
      <c r="G54" s="61">
        <f>IF(D54=D53,"",_xlfn.IFNA(VLOOKUP(D54,'인원 입력 기능(국수)'!$A$5:$D$103,4,FALSE),0))</f>
        <v>4092</v>
      </c>
      <c r="H54" s="62">
        <f t="shared" si="4"/>
        <v>1.498923061143753E-2</v>
      </c>
      <c r="I54" s="75">
        <f>SUM($G$7:G54)</f>
        <v>126393</v>
      </c>
      <c r="J54" s="64">
        <f t="shared" si="5"/>
        <v>0.46298480563817784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73">
        <v>52</v>
      </c>
      <c r="D55" s="59">
        <f t="shared" si="2"/>
        <v>102</v>
      </c>
      <c r="E55" s="74">
        <f t="shared" si="6"/>
        <v>5</v>
      </c>
      <c r="F55" s="60">
        <f t="shared" si="3"/>
        <v>52.95</v>
      </c>
      <c r="G55" s="61">
        <f>IF(D55=D54,"",_xlfn.IFNA(VLOOKUP(D55,'인원 입력 기능(국수)'!$A$5:$D$103,4,FALSE),0))</f>
        <v>4076</v>
      </c>
      <c r="H55" s="62">
        <f t="shared" si="4"/>
        <v>1.4930621694090755E-2</v>
      </c>
      <c r="I55" s="75">
        <f>SUM($G$7:G55)</f>
        <v>130469</v>
      </c>
      <c r="J55" s="64">
        <f t="shared" si="5"/>
        <v>0.47791542733226861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73">
        <v>51</v>
      </c>
      <c r="D56" s="59">
        <f t="shared" si="2"/>
        <v>101</v>
      </c>
      <c r="E56" s="74">
        <f t="shared" si="6"/>
        <v>5</v>
      </c>
      <c r="F56" s="60">
        <f t="shared" si="3"/>
        <v>51.48</v>
      </c>
      <c r="G56" s="61">
        <f>IF(D56=D55,"",_xlfn.IFNA(VLOOKUP(D56,'인원 입력 기능(국수)'!$A$5:$D$103,4,FALSE),0))</f>
        <v>3999</v>
      </c>
      <c r="H56" s="62">
        <f t="shared" si="4"/>
        <v>1.4648566279359404E-2</v>
      </c>
      <c r="I56" s="75">
        <f>SUM($G$7:G56)</f>
        <v>134468</v>
      </c>
      <c r="J56" s="64">
        <f t="shared" si="5"/>
        <v>0.492563993611628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73">
        <v>50</v>
      </c>
      <c r="D57" s="59">
        <f t="shared" si="2"/>
        <v>100</v>
      </c>
      <c r="E57" s="74">
        <f t="shared" si="6"/>
        <v>5</v>
      </c>
      <c r="F57" s="60">
        <f t="shared" si="3"/>
        <v>49.99</v>
      </c>
      <c r="G57" s="61">
        <f>IF(D57=D56,"",_xlfn.IFNA(VLOOKUP(D57,'인원 입력 기능(국수)'!$A$5:$D$103,4,FALSE),0))</f>
        <v>4137</v>
      </c>
      <c r="H57" s="62">
        <f t="shared" si="4"/>
        <v>1.5154068191475334E-2</v>
      </c>
      <c r="I57" s="75">
        <f>SUM($G$7:G57)</f>
        <v>138605</v>
      </c>
      <c r="J57" s="64">
        <f t="shared" si="5"/>
        <v>0.5077180618031033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73">
        <v>49</v>
      </c>
      <c r="D58" s="201">
        <f t="shared" si="2"/>
        <v>99</v>
      </c>
      <c r="E58" s="203">
        <f t="shared" si="6"/>
        <v>5</v>
      </c>
      <c r="F58" s="205">
        <f t="shared" si="3"/>
        <v>47.78</v>
      </c>
      <c r="G58" s="207">
        <f>IF(D58=D57,"",_xlfn.IFNA(VLOOKUP(D58,'인원 입력 기능(국수)'!$A$5:$D$103,4,FALSE),0))</f>
        <v>7918</v>
      </c>
      <c r="H58" s="208">
        <f t="shared" si="4"/>
        <v>2.9004087971984938E-2</v>
      </c>
      <c r="I58" s="210">
        <f>SUM($G$7:G58)</f>
        <v>146523</v>
      </c>
      <c r="J58" s="212">
        <f t="shared" si="5"/>
        <v>0.53672214977508825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73">
        <v>48</v>
      </c>
      <c r="D59" s="200"/>
      <c r="E59" s="202"/>
      <c r="F59" s="204"/>
      <c r="G59" s="206"/>
      <c r="H59" s="209"/>
      <c r="I59" s="211"/>
      <c r="J59" s="213"/>
      <c r="K59" s="31"/>
      <c r="L59" s="20" t="str">
        <f t="shared" si="7"/>
        <v>경고</v>
      </c>
      <c r="N59" s="1"/>
    </row>
    <row r="60" spans="1:14" ht="25" customHeight="1" x14ac:dyDescent="0.45">
      <c r="A60" s="5"/>
      <c r="B60" s="30"/>
      <c r="C60" s="73">
        <v>47</v>
      </c>
      <c r="D60" s="59">
        <f t="shared" si="2"/>
        <v>98</v>
      </c>
      <c r="E60" s="74">
        <f t="shared" si="6"/>
        <v>5</v>
      </c>
      <c r="F60" s="60">
        <f t="shared" si="3"/>
        <v>45.61</v>
      </c>
      <c r="G60" s="61">
        <f>IF(D60=D59,"",_xlfn.IFNA(VLOOKUP(D60,'인원 입력 기능(국수)'!$A$5:$D$103,4,FALSE),0))</f>
        <v>3941</v>
      </c>
      <c r="H60" s="62">
        <f t="shared" si="4"/>
        <v>1.4436108953977348E-2</v>
      </c>
      <c r="I60" s="75">
        <f>SUM($G$7:G60)</f>
        <v>150464</v>
      </c>
      <c r="J60" s="64">
        <f t="shared" si="5"/>
        <v>0.55115825872906565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73">
        <v>46</v>
      </c>
      <c r="D61" s="59">
        <f t="shared" si="2"/>
        <v>97</v>
      </c>
      <c r="E61" s="74">
        <f t="shared" si="6"/>
        <v>5</v>
      </c>
      <c r="F61" s="60">
        <f t="shared" si="3"/>
        <v>44.19</v>
      </c>
      <c r="G61" s="61">
        <f>IF(D61=D60,"",_xlfn.IFNA(VLOOKUP(D61,'인원 입력 기능(국수)'!$A$5:$D$103,4,FALSE),0))</f>
        <v>3784</v>
      </c>
      <c r="H61" s="62">
        <f t="shared" si="4"/>
        <v>1.3861008952512124E-2</v>
      </c>
      <c r="I61" s="75">
        <f>SUM($G$7:G61)</f>
        <v>154248</v>
      </c>
      <c r="J61" s="64">
        <f t="shared" si="5"/>
        <v>0.56501926768157773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73">
        <v>45</v>
      </c>
      <c r="D62" s="59">
        <f t="shared" si="2"/>
        <v>96</v>
      </c>
      <c r="E62" s="74">
        <f t="shared" si="6"/>
        <v>5</v>
      </c>
      <c r="F62" s="60">
        <f t="shared" si="3"/>
        <v>42.82</v>
      </c>
      <c r="G62" s="61">
        <f>IF(D62=D61,"",_xlfn.IFNA(VLOOKUP(D62,'인원 입력 기능(국수)'!$A$5:$D$103,4,FALSE),0))</f>
        <v>3719</v>
      </c>
      <c r="H62" s="62">
        <f t="shared" si="4"/>
        <v>1.3622910225790853E-2</v>
      </c>
      <c r="I62" s="75">
        <f>SUM($G$7:G62)</f>
        <v>157967</v>
      </c>
      <c r="J62" s="64">
        <f t="shared" si="5"/>
        <v>0.5786421779073686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73">
        <v>44</v>
      </c>
      <c r="D63" s="59">
        <f t="shared" si="2"/>
        <v>95</v>
      </c>
      <c r="E63" s="74">
        <f t="shared" si="6"/>
        <v>5</v>
      </c>
      <c r="F63" s="60">
        <f t="shared" si="3"/>
        <v>41.48</v>
      </c>
      <c r="G63" s="61">
        <f>IF(D63=D62,"",_xlfn.IFNA(VLOOKUP(D63,'인원 입력 기능(국수)'!$A$5:$D$103,4,FALSE),0))</f>
        <v>3605</v>
      </c>
      <c r="H63" s="62">
        <f t="shared" si="4"/>
        <v>1.3205321689695087E-2</v>
      </c>
      <c r="I63" s="75">
        <f>SUM($G$7:G63)</f>
        <v>161572</v>
      </c>
      <c r="J63" s="64">
        <f t="shared" si="5"/>
        <v>0.59184749959706373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73">
        <v>43</v>
      </c>
      <c r="D64" s="59">
        <f t="shared" si="2"/>
        <v>94</v>
      </c>
      <c r="E64" s="74">
        <f t="shared" si="6"/>
        <v>5</v>
      </c>
      <c r="F64" s="60">
        <f t="shared" si="3"/>
        <v>40.15</v>
      </c>
      <c r="G64" s="61">
        <f>IF(D64=D63,"",_xlfn.IFNA(VLOOKUP(D64,'인원 입력 기능(국수)'!$A$5:$D$103,4,FALSE),0))</f>
        <v>3636</v>
      </c>
      <c r="H64" s="62">
        <f t="shared" si="4"/>
        <v>1.3318876467054463E-2</v>
      </c>
      <c r="I64" s="75">
        <f>SUM($G$7:G64)</f>
        <v>165208</v>
      </c>
      <c r="J64" s="64">
        <f t="shared" si="5"/>
        <v>0.60516637606411816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73">
        <v>42</v>
      </c>
      <c r="D65" s="59">
        <f t="shared" si="2"/>
        <v>93</v>
      </c>
      <c r="E65" s="74">
        <f t="shared" si="6"/>
        <v>6</v>
      </c>
      <c r="F65" s="60">
        <f t="shared" si="3"/>
        <v>38.85</v>
      </c>
      <c r="G65" s="61">
        <f>IF(D65=D64,"",_xlfn.IFNA(VLOOKUP(D65,'인원 입력 기능(국수)'!$A$5:$D$103,4,FALSE),0))</f>
        <v>3449</v>
      </c>
      <c r="H65" s="62">
        <f t="shared" si="4"/>
        <v>1.2633884745564037E-2</v>
      </c>
      <c r="I65" s="75">
        <f>SUM($G$7:G65)</f>
        <v>168657</v>
      </c>
      <c r="J65" s="64">
        <f t="shared" si="5"/>
        <v>0.6178002608096822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73">
        <v>41</v>
      </c>
      <c r="D66" s="59">
        <f t="shared" si="2"/>
        <v>92</v>
      </c>
      <c r="E66" s="74">
        <f t="shared" si="6"/>
        <v>6</v>
      </c>
      <c r="F66" s="60">
        <f t="shared" si="3"/>
        <v>37.56</v>
      </c>
      <c r="G66" s="61">
        <f>IF(D66=D65,"",_xlfn.IFNA(VLOOKUP(D66,'인원 입력 기능(국수)'!$A$5:$D$103,4,FALSE),0))</f>
        <v>3579</v>
      </c>
      <c r="H66" s="62">
        <f t="shared" si="4"/>
        <v>1.3110082199006579E-2</v>
      </c>
      <c r="I66" s="75">
        <f>SUM($G$7:G66)</f>
        <v>172236</v>
      </c>
      <c r="J66" s="64">
        <f t="shared" si="5"/>
        <v>0.63091034300868876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73">
        <v>40</v>
      </c>
      <c r="D67" s="59">
        <f t="shared" si="2"/>
        <v>91</v>
      </c>
      <c r="E67" s="74">
        <f t="shared" si="6"/>
        <v>6</v>
      </c>
      <c r="F67" s="60">
        <f t="shared" si="3"/>
        <v>36.270000000000003</v>
      </c>
      <c r="G67" s="61">
        <f>IF(D67=D66,"",_xlfn.IFNA(VLOOKUP(D67,'인원 입력 기능(국수)'!$A$5:$D$103,4,FALSE),0))</f>
        <v>3507</v>
      </c>
      <c r="H67" s="62">
        <f t="shared" si="4"/>
        <v>1.2846342070946095E-2</v>
      </c>
      <c r="I67" s="75">
        <f>SUM($G$7:G67)</f>
        <v>175743</v>
      </c>
      <c r="J67" s="64">
        <f t="shared" si="5"/>
        <v>0.6437566850796349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73">
        <v>39</v>
      </c>
      <c r="D68" s="59">
        <f t="shared" si="2"/>
        <v>90</v>
      </c>
      <c r="E68" s="74">
        <f t="shared" si="6"/>
        <v>6</v>
      </c>
      <c r="F68" s="60">
        <f t="shared" si="3"/>
        <v>34.979999999999997</v>
      </c>
      <c r="G68" s="61">
        <f>IF(D68=D67,"",_xlfn.IFNA(VLOOKUP(D68,'인원 입력 기능(국수)'!$A$5:$D$103,4,FALSE),0))</f>
        <v>3522</v>
      </c>
      <c r="H68" s="62">
        <f t="shared" si="4"/>
        <v>1.2901287930958695E-2</v>
      </c>
      <c r="I68" s="75">
        <f>SUM($G$7:G68)</f>
        <v>179265</v>
      </c>
      <c r="J68" s="64">
        <f t="shared" si="5"/>
        <v>0.65665797301059359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73">
        <v>38</v>
      </c>
      <c r="D69" s="59">
        <f t="shared" si="2"/>
        <v>89</v>
      </c>
      <c r="E69" s="74">
        <f t="shared" si="6"/>
        <v>6</v>
      </c>
      <c r="F69" s="60">
        <f t="shared" si="3"/>
        <v>33.729999999999997</v>
      </c>
      <c r="G69" s="61">
        <f>IF(D69=D68,"",_xlfn.IFNA(VLOOKUP(D69,'인원 입력 기능(국수)'!$A$5:$D$103,4,FALSE),0))</f>
        <v>3288</v>
      </c>
      <c r="H69" s="62">
        <f t="shared" si="4"/>
        <v>1.2044132514762121E-2</v>
      </c>
      <c r="I69" s="75">
        <f>SUM($G$7:G69)</f>
        <v>182553</v>
      </c>
      <c r="J69" s="64">
        <f t="shared" si="5"/>
        <v>0.66870210552535569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73">
        <v>37</v>
      </c>
      <c r="D70" s="59">
        <f t="shared" si="2"/>
        <v>88</v>
      </c>
      <c r="E70" s="74">
        <f t="shared" si="6"/>
        <v>6</v>
      </c>
      <c r="F70" s="60">
        <f t="shared" si="3"/>
        <v>32.51</v>
      </c>
      <c r="G70" s="61">
        <f>IF(D70=D69,"",_xlfn.IFNA(VLOOKUP(D70,'인원 입력 기능(국수)'!$A$5:$D$103,4,FALSE),0))</f>
        <v>3405</v>
      </c>
      <c r="H70" s="62">
        <f t="shared" si="4"/>
        <v>1.2472710222860409E-2</v>
      </c>
      <c r="I70" s="75">
        <f>SUM($G$7:G70)</f>
        <v>185958</v>
      </c>
      <c r="J70" s="64">
        <f t="shared" si="5"/>
        <v>0.68117481574821614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73">
        <v>36</v>
      </c>
      <c r="D71" s="201">
        <f t="shared" si="2"/>
        <v>87</v>
      </c>
      <c r="E71" s="203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205">
        <f t="shared" si="3"/>
        <v>30.66</v>
      </c>
      <c r="G71" s="207">
        <f>IF(D71=D70,"",_xlfn.IFNA(VLOOKUP(D71,'인원 입력 기능(국수)'!$A$5:$D$103,4,FALSE),0))</f>
        <v>6674</v>
      </c>
      <c r="H71" s="208">
        <f t="shared" si="4"/>
        <v>2.4447244648273234E-2</v>
      </c>
      <c r="I71" s="210">
        <f>SUM($G$7:G71)</f>
        <v>192632</v>
      </c>
      <c r="J71" s="212">
        <f t="shared" si="5"/>
        <v>0.70562206039648934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73">
        <v>35</v>
      </c>
      <c r="D72" s="200"/>
      <c r="E72" s="202"/>
      <c r="F72" s="204"/>
      <c r="G72" s="206"/>
      <c r="H72" s="209"/>
      <c r="I72" s="211"/>
      <c r="J72" s="213"/>
      <c r="K72" s="31"/>
      <c r="L72" s="20" t="str">
        <f t="shared" si="7"/>
        <v>경고</v>
      </c>
      <c r="N72" s="1"/>
    </row>
    <row r="73" spans="1:14" ht="25" customHeight="1" x14ac:dyDescent="0.45">
      <c r="A73" s="5"/>
      <c r="B73" s="30"/>
      <c r="C73" s="73">
        <v>34</v>
      </c>
      <c r="D73" s="59">
        <f t="shared" si="2"/>
        <v>86</v>
      </c>
      <c r="E73" s="74">
        <f t="shared" si="8"/>
        <v>6</v>
      </c>
      <c r="F73" s="60">
        <f t="shared" si="3"/>
        <v>28.82</v>
      </c>
      <c r="G73" s="61">
        <f>IF(D73=D72,"",_xlfn.IFNA(VLOOKUP(D73,'인원 입력 기능(국수)'!$A$5:$D$103,4,FALSE),0))</f>
        <v>3397</v>
      </c>
      <c r="H73" s="62">
        <f t="shared" si="4"/>
        <v>1.244340576418702E-2</v>
      </c>
      <c r="I73" s="75">
        <f>SUM($G$7:G73)</f>
        <v>196029</v>
      </c>
      <c r="J73" s="64">
        <f t="shared" si="5"/>
        <v>0.71806546616067635</v>
      </c>
      <c r="K73" s="31"/>
      <c r="L73" s="20" t="str">
        <f t="shared" ref="L73:L105" si="9">IF(ABS((C73-$H$3)/$H$4*20+100-D73)&gt;0.49, "경고", "")</f>
        <v/>
      </c>
      <c r="N73" s="1"/>
    </row>
    <row r="74" spans="1:14" ht="25" customHeight="1" x14ac:dyDescent="0.45">
      <c r="A74" s="5"/>
      <c r="B74" s="30"/>
      <c r="C74" s="73">
        <v>33</v>
      </c>
      <c r="D74" s="59">
        <f t="shared" ref="D74:D105" si="10">ROUND(20*(C74-$H$3)/$H$4+100,0)</f>
        <v>85</v>
      </c>
      <c r="E74" s="74">
        <f t="shared" si="8"/>
        <v>6</v>
      </c>
      <c r="F74" s="60">
        <f t="shared" ref="F74:F105" si="11">IF(I73=0,ROUND(100*(1-(I72+I74)/2/$J$3),2),ROUND(100*(1-(I73+I74)/2/$J$3),2))</f>
        <v>27.58</v>
      </c>
      <c r="G74" s="61">
        <f>IF(D74=D73,"",_xlfn.IFNA(VLOOKUP(D74,'인원 입력 기능(국수)'!$A$5:$D$103,4,FALSE),0))</f>
        <v>3367</v>
      </c>
      <c r="H74" s="62">
        <f t="shared" ref="H74:H105" si="12">G74/$J$3</f>
        <v>1.2333514044161819E-2</v>
      </c>
      <c r="I74" s="75">
        <f>SUM($G$7:G74)</f>
        <v>199396</v>
      </c>
      <c r="J74" s="64">
        <f t="shared" ref="J74:J105" si="13">I74/$J$3</f>
        <v>0.73039898020483818</v>
      </c>
      <c r="K74" s="31"/>
      <c r="L74" s="20" t="str">
        <f t="shared" si="9"/>
        <v/>
      </c>
      <c r="N74" s="1"/>
    </row>
    <row r="75" spans="1:14" ht="25" customHeight="1" x14ac:dyDescent="0.45">
      <c r="A75" s="5"/>
      <c r="B75" s="30"/>
      <c r="C75" s="73">
        <v>32</v>
      </c>
      <c r="D75" s="59">
        <f t="shared" si="10"/>
        <v>84</v>
      </c>
      <c r="E75" s="74">
        <f t="shared" si="8"/>
        <v>6</v>
      </c>
      <c r="F75" s="60">
        <f t="shared" si="11"/>
        <v>26.32</v>
      </c>
      <c r="G75" s="61">
        <f>IF(D75=D74,"",_xlfn.IFNA(VLOOKUP(D75,'인원 입력 기능(국수)'!$A$5:$D$103,4,FALSE),0))</f>
        <v>3480</v>
      </c>
      <c r="H75" s="62">
        <f t="shared" si="12"/>
        <v>1.2747439522923412E-2</v>
      </c>
      <c r="I75" s="75">
        <f>SUM($G$7:G75)</f>
        <v>202876</v>
      </c>
      <c r="J75" s="64">
        <f t="shared" si="13"/>
        <v>0.74314641972776163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73">
        <v>31</v>
      </c>
      <c r="D76" s="59">
        <f t="shared" si="10"/>
        <v>83</v>
      </c>
      <c r="E76" s="74">
        <f t="shared" si="8"/>
        <v>6</v>
      </c>
      <c r="F76" s="60">
        <f t="shared" si="11"/>
        <v>25.06</v>
      </c>
      <c r="G76" s="61">
        <f>IF(D76=D75,"",_xlfn.IFNA(VLOOKUP(D76,'인원 입력 기능(국수)'!$A$5:$D$103,4,FALSE),0))</f>
        <v>3396</v>
      </c>
      <c r="H76" s="62">
        <f t="shared" si="12"/>
        <v>1.2439742706852847E-2</v>
      </c>
      <c r="I76" s="75">
        <f>SUM($G$7:G76)</f>
        <v>206272</v>
      </c>
      <c r="J76" s="64">
        <f t="shared" si="13"/>
        <v>0.75558616243461441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73">
        <v>30</v>
      </c>
      <c r="D77" s="59">
        <f t="shared" si="10"/>
        <v>82</v>
      </c>
      <c r="E77" s="74">
        <f t="shared" si="8"/>
        <v>6</v>
      </c>
      <c r="F77" s="60">
        <f t="shared" si="11"/>
        <v>23.83</v>
      </c>
      <c r="G77" s="61">
        <f>IF(D77=D76,"",_xlfn.IFNA(VLOOKUP(D77,'인원 입력 기능(국수)'!$A$5:$D$103,4,FALSE),0))</f>
        <v>3347</v>
      </c>
      <c r="H77" s="62">
        <f t="shared" si="12"/>
        <v>1.2260252897478351E-2</v>
      </c>
      <c r="I77" s="75">
        <f>SUM($G$7:G77)</f>
        <v>209619</v>
      </c>
      <c r="J77" s="64">
        <f t="shared" si="13"/>
        <v>0.76784641533209275</v>
      </c>
      <c r="K77" s="31"/>
      <c r="L77" s="20" t="str">
        <f t="shared" si="9"/>
        <v/>
      </c>
      <c r="N77" s="1"/>
    </row>
    <row r="78" spans="1:14" ht="25" customHeight="1" x14ac:dyDescent="0.45">
      <c r="A78" s="5"/>
      <c r="B78" s="30"/>
      <c r="C78" s="73">
        <v>29</v>
      </c>
      <c r="D78" s="59">
        <f t="shared" si="10"/>
        <v>81</v>
      </c>
      <c r="E78" s="74">
        <f t="shared" si="8"/>
        <v>6</v>
      </c>
      <c r="F78" s="60">
        <f t="shared" si="11"/>
        <v>22.56</v>
      </c>
      <c r="G78" s="61">
        <f>IF(D78=D77,"",_xlfn.IFNA(VLOOKUP(D78,'인원 입력 기능(국수)'!$A$5:$D$103,4,FALSE),0))</f>
        <v>3577</v>
      </c>
      <c r="H78" s="62">
        <f t="shared" si="12"/>
        <v>1.3102756084338233E-2</v>
      </c>
      <c r="I78" s="75">
        <f>SUM($G$7:G78)</f>
        <v>213196</v>
      </c>
      <c r="J78" s="64">
        <f t="shared" si="13"/>
        <v>0.78094917141643105</v>
      </c>
      <c r="K78" s="31"/>
      <c r="L78" s="20" t="str">
        <f t="shared" si="9"/>
        <v/>
      </c>
      <c r="N78" s="1"/>
    </row>
    <row r="79" spans="1:14" ht="25" customHeight="1" x14ac:dyDescent="0.45">
      <c r="A79" s="5"/>
      <c r="B79" s="30"/>
      <c r="C79" s="73">
        <v>28</v>
      </c>
      <c r="D79" s="59">
        <f t="shared" si="10"/>
        <v>80</v>
      </c>
      <c r="E79" s="74">
        <f t="shared" si="8"/>
        <v>7</v>
      </c>
      <c r="F79" s="60">
        <f t="shared" si="11"/>
        <v>21.29</v>
      </c>
      <c r="G79" s="61">
        <f>IF(D79=D78,"",_xlfn.IFNA(VLOOKUP(D79,'인원 입력 기능(국수)'!$A$5:$D$103,4,FALSE),0))</f>
        <v>3333</v>
      </c>
      <c r="H79" s="62">
        <f t="shared" si="12"/>
        <v>1.2208970094799924E-2</v>
      </c>
      <c r="I79" s="75">
        <f>SUM($G$7:G79)</f>
        <v>216529</v>
      </c>
      <c r="J79" s="64">
        <f t="shared" si="13"/>
        <v>0.79315814151123099</v>
      </c>
      <c r="K79" s="31"/>
      <c r="L79" s="20" t="str">
        <f t="shared" si="9"/>
        <v/>
      </c>
      <c r="N79" s="1"/>
    </row>
    <row r="80" spans="1:14" ht="25" customHeight="1" x14ac:dyDescent="0.45">
      <c r="A80" s="5"/>
      <c r="B80" s="30"/>
      <c r="C80" s="73">
        <v>27</v>
      </c>
      <c r="D80" s="59">
        <f t="shared" si="10"/>
        <v>79</v>
      </c>
      <c r="E80" s="74">
        <f t="shared" si="8"/>
        <v>7</v>
      </c>
      <c r="F80" s="60">
        <f t="shared" si="11"/>
        <v>20.02</v>
      </c>
      <c r="G80" s="61">
        <f>IF(D80=D79,"",_xlfn.IFNA(VLOOKUP(D80,'인원 입력 기능(국수)'!$A$5:$D$103,4,FALSE),0))</f>
        <v>3633</v>
      </c>
      <c r="H80" s="62">
        <f t="shared" si="12"/>
        <v>1.3307887295051942E-2</v>
      </c>
      <c r="I80" s="75">
        <f>SUM($G$7:G80)</f>
        <v>220162</v>
      </c>
      <c r="J80" s="64">
        <f t="shared" si="13"/>
        <v>0.80646602880628293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73">
        <v>26</v>
      </c>
      <c r="D81" s="59">
        <f t="shared" si="10"/>
        <v>78</v>
      </c>
      <c r="E81" s="74">
        <f t="shared" si="8"/>
        <v>7</v>
      </c>
      <c r="F81" s="60">
        <f t="shared" si="11"/>
        <v>18.72</v>
      </c>
      <c r="G81" s="61">
        <f>IF(D81=D80,"",_xlfn.IFNA(VLOOKUP(D81,'인원 입력 기능(국수)'!$A$5:$D$103,4,FALSE),0))</f>
        <v>3433</v>
      </c>
      <c r="H81" s="62">
        <f t="shared" si="12"/>
        <v>1.2575275828217262E-2</v>
      </c>
      <c r="I81" s="75">
        <f>SUM($G$7:G81)</f>
        <v>223595</v>
      </c>
      <c r="J81" s="64">
        <f t="shared" si="13"/>
        <v>0.81904130463450009</v>
      </c>
      <c r="K81" s="31"/>
      <c r="L81" s="20" t="str">
        <f t="shared" si="9"/>
        <v/>
      </c>
      <c r="N81" s="1"/>
    </row>
    <row r="82" spans="1:14" ht="25" customHeight="1" x14ac:dyDescent="0.45">
      <c r="A82" s="5"/>
      <c r="B82" s="30"/>
      <c r="C82" s="73">
        <v>25</v>
      </c>
      <c r="D82" s="59">
        <f t="shared" si="10"/>
        <v>77</v>
      </c>
      <c r="E82" s="74">
        <f t="shared" si="8"/>
        <v>7</v>
      </c>
      <c r="F82" s="60">
        <f t="shared" si="11"/>
        <v>17.420000000000002</v>
      </c>
      <c r="G82" s="61">
        <f>IF(D82=D81,"",_xlfn.IFNA(VLOOKUP(D82,'인원 입력 기능(국수)'!$A$5:$D$103,4,FALSE),0))</f>
        <v>3711</v>
      </c>
      <c r="H82" s="62">
        <f t="shared" si="12"/>
        <v>1.3593605767117467E-2</v>
      </c>
      <c r="I82" s="75">
        <f>SUM($G$7:G82)</f>
        <v>227306</v>
      </c>
      <c r="J82" s="64">
        <f t="shared" si="13"/>
        <v>0.83263491040161763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73">
        <v>24</v>
      </c>
      <c r="D83" s="59">
        <f t="shared" si="10"/>
        <v>76</v>
      </c>
      <c r="E83" s="74">
        <f t="shared" si="8"/>
        <v>7</v>
      </c>
      <c r="F83" s="60">
        <f t="shared" si="11"/>
        <v>16.14</v>
      </c>
      <c r="G83" s="61">
        <f>IF(D83=D82,"",_xlfn.IFNA(VLOOKUP(D83,'인원 입력 기능(국수)'!$A$5:$D$103,4,FALSE),0))</f>
        <v>3279</v>
      </c>
      <c r="H83" s="62">
        <f t="shared" si="12"/>
        <v>1.2011164998754561E-2</v>
      </c>
      <c r="I83" s="75">
        <f>SUM($G$7:G83)</f>
        <v>230585</v>
      </c>
      <c r="J83" s="64">
        <f t="shared" si="13"/>
        <v>0.84464607540037218</v>
      </c>
      <c r="K83" s="31"/>
      <c r="L83" s="20" t="str">
        <f t="shared" si="9"/>
        <v/>
      </c>
      <c r="N83" s="1"/>
    </row>
    <row r="84" spans="1:14" ht="25" customHeight="1" x14ac:dyDescent="0.45">
      <c r="A84" s="5"/>
      <c r="B84" s="30"/>
      <c r="C84" s="73">
        <v>23</v>
      </c>
      <c r="D84" s="201">
        <f t="shared" si="10"/>
        <v>75</v>
      </c>
      <c r="E84" s="203">
        <f t="shared" si="8"/>
        <v>7</v>
      </c>
      <c r="F84" s="205">
        <f t="shared" si="11"/>
        <v>14.01</v>
      </c>
      <c r="G84" s="207">
        <f>IF(D84=D83,"",_xlfn.IFNA(VLOOKUP(D84,'인원 입력 기능(국수)'!$A$5:$D$103,4,FALSE),0))</f>
        <v>8326</v>
      </c>
      <c r="H84" s="208">
        <f t="shared" si="12"/>
        <v>3.0498615364327682E-2</v>
      </c>
      <c r="I84" s="210">
        <f>SUM($G$7:G84)</f>
        <v>238911</v>
      </c>
      <c r="J84" s="212">
        <f t="shared" si="13"/>
        <v>0.87514469076469981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73">
        <v>22</v>
      </c>
      <c r="D85" s="200"/>
      <c r="E85" s="202"/>
      <c r="F85" s="204"/>
      <c r="G85" s="206"/>
      <c r="H85" s="209"/>
      <c r="I85" s="211"/>
      <c r="J85" s="213"/>
      <c r="K85" s="31"/>
      <c r="L85" s="20" t="str">
        <f t="shared" si="9"/>
        <v>경고</v>
      </c>
      <c r="N85" s="1"/>
    </row>
    <row r="86" spans="1:14" ht="25" customHeight="1" x14ac:dyDescent="0.45">
      <c r="A86" s="5"/>
      <c r="B86" s="30"/>
      <c r="C86" s="73">
        <v>21</v>
      </c>
      <c r="D86" s="59">
        <f t="shared" si="10"/>
        <v>74</v>
      </c>
      <c r="E86" s="74">
        <f t="shared" si="8"/>
        <v>7</v>
      </c>
      <c r="F86" s="60">
        <f t="shared" si="11"/>
        <v>11.58</v>
      </c>
      <c r="G86" s="61">
        <f>IF(D86=D85,"",_xlfn.IFNA(VLOOKUP(D86,'인원 입력 기능(국수)'!$A$5:$D$103,4,FALSE),0))</f>
        <v>4940</v>
      </c>
      <c r="H86" s="62">
        <f t="shared" si="12"/>
        <v>1.809550323081657E-2</v>
      </c>
      <c r="I86" s="75">
        <f>SUM($G$7:G86)</f>
        <v>243851</v>
      </c>
      <c r="J86" s="64">
        <f t="shared" si="13"/>
        <v>0.89324019399551646</v>
      </c>
      <c r="K86" s="31"/>
      <c r="L86" s="20" t="str">
        <f t="shared" si="9"/>
        <v/>
      </c>
      <c r="N86" s="1"/>
    </row>
    <row r="87" spans="1:14" ht="25" customHeight="1" x14ac:dyDescent="0.45">
      <c r="A87" s="5"/>
      <c r="B87" s="30"/>
      <c r="C87" s="73">
        <v>20</v>
      </c>
      <c r="D87" s="59">
        <f t="shared" si="10"/>
        <v>73</v>
      </c>
      <c r="E87" s="74">
        <f t="shared" si="8"/>
        <v>8</v>
      </c>
      <c r="F87" s="60">
        <f t="shared" si="11"/>
        <v>10.17</v>
      </c>
      <c r="G87" s="61">
        <f>IF(D87=D86,"",_xlfn.IFNA(VLOOKUP(D87,'인원 입력 기능(국수)'!$A$5:$D$103,4,FALSE),0))</f>
        <v>2783</v>
      </c>
      <c r="H87" s="62">
        <f t="shared" si="12"/>
        <v>1.0194288561004556E-2</v>
      </c>
      <c r="I87" s="75">
        <f>SUM($G$7:G87)</f>
        <v>246634</v>
      </c>
      <c r="J87" s="64">
        <f t="shared" si="13"/>
        <v>0.90343448255652092</v>
      </c>
      <c r="K87" s="31"/>
      <c r="L87" s="20" t="str">
        <f t="shared" si="9"/>
        <v/>
      </c>
      <c r="N87" s="1"/>
    </row>
    <row r="88" spans="1:14" ht="25" customHeight="1" x14ac:dyDescent="0.45">
      <c r="A88" s="5"/>
      <c r="B88" s="30"/>
      <c r="C88" s="73">
        <v>19</v>
      </c>
      <c r="D88" s="59">
        <f t="shared" si="10"/>
        <v>72</v>
      </c>
      <c r="E88" s="74">
        <f t="shared" si="8"/>
        <v>8</v>
      </c>
      <c r="F88" s="60">
        <f t="shared" si="11"/>
        <v>7.35</v>
      </c>
      <c r="G88" s="61">
        <f>IF(D88=D87,"",_xlfn.IFNA(VLOOKUP(D88,'인원 입력 기능(국수)'!$A$5:$D$103,4,FALSE),0))</f>
        <v>12595</v>
      </c>
      <c r="H88" s="62">
        <f t="shared" si="12"/>
        <v>4.6136207123913905E-2</v>
      </c>
      <c r="I88" s="75">
        <f>SUM($G$7:G88)</f>
        <v>259229</v>
      </c>
      <c r="J88" s="64">
        <f t="shared" si="13"/>
        <v>0.9495706896804349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73">
        <v>18</v>
      </c>
      <c r="D89" s="59">
        <f t="shared" si="10"/>
        <v>71</v>
      </c>
      <c r="E89" s="74">
        <f t="shared" si="8"/>
        <v>8</v>
      </c>
      <c r="F89" s="60">
        <f t="shared" si="11"/>
        <v>4.62</v>
      </c>
      <c r="G89" s="61">
        <f>IF(D89=D88,"",_xlfn.IFNA(VLOOKUP(D89,'인원 입력 기능(국수)'!$A$5:$D$103,4,FALSE),0))</f>
        <v>2322</v>
      </c>
      <c r="H89" s="62">
        <f t="shared" si="12"/>
        <v>8.5056191299506222E-3</v>
      </c>
      <c r="I89" s="75">
        <f>SUM($G$7:G89)</f>
        <v>261551</v>
      </c>
      <c r="J89" s="64">
        <f t="shared" si="13"/>
        <v>0.95807630881038552</v>
      </c>
      <c r="K89" s="31"/>
      <c r="L89" s="20" t="str">
        <f t="shared" si="9"/>
        <v/>
      </c>
      <c r="N89" s="1"/>
    </row>
    <row r="90" spans="1:14" ht="25" customHeight="1" x14ac:dyDescent="0.45">
      <c r="A90" s="5"/>
      <c r="B90" s="30"/>
      <c r="C90" s="73">
        <v>17</v>
      </c>
      <c r="D90" s="59">
        <f t="shared" si="10"/>
        <v>70</v>
      </c>
      <c r="E90" s="74">
        <f t="shared" si="8"/>
        <v>8</v>
      </c>
      <c r="F90" s="60">
        <f t="shared" si="11"/>
        <v>3.78</v>
      </c>
      <c r="G90" s="61">
        <f>IF(D90=D89,"",_xlfn.IFNA(VLOOKUP(D90,'인원 입력 기능(국수)'!$A$5:$D$103,4,FALSE),0))</f>
        <v>2259</v>
      </c>
      <c r="H90" s="62">
        <f t="shared" si="12"/>
        <v>8.2748465178976976E-3</v>
      </c>
      <c r="I90" s="75">
        <f>SUM($G$7:G90)</f>
        <v>263810</v>
      </c>
      <c r="J90" s="64">
        <f t="shared" si="13"/>
        <v>0.9663511553282832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73">
        <v>16</v>
      </c>
      <c r="D91" s="59">
        <f t="shared" si="10"/>
        <v>69</v>
      </c>
      <c r="E91" s="74">
        <f t="shared" si="8"/>
        <v>9</v>
      </c>
      <c r="F91" s="60">
        <f t="shared" si="11"/>
        <v>3.06</v>
      </c>
      <c r="G91" s="61">
        <f>IF(D91=D90,"",_xlfn.IFNA(VLOOKUP(D91,'인원 입력 기능(국수)'!$A$5:$D$103,4,FALSE),0))</f>
        <v>1667</v>
      </c>
      <c r="H91" s="62">
        <f t="shared" si="12"/>
        <v>6.1063165760670488E-3</v>
      </c>
      <c r="I91" s="75">
        <f>SUM($G$7:G91)</f>
        <v>265477</v>
      </c>
      <c r="J91" s="64">
        <f t="shared" si="13"/>
        <v>0.97245747190435028</v>
      </c>
      <c r="K91" s="31"/>
      <c r="L91" s="20" t="str">
        <f t="shared" si="9"/>
        <v/>
      </c>
      <c r="N91" s="1"/>
    </row>
    <row r="92" spans="1:14" ht="25" customHeight="1" x14ac:dyDescent="0.45">
      <c r="A92" s="5"/>
      <c r="B92" s="30"/>
      <c r="C92" s="73">
        <v>15</v>
      </c>
      <c r="D92" s="59">
        <f t="shared" si="10"/>
        <v>68</v>
      </c>
      <c r="E92" s="74">
        <f t="shared" si="8"/>
        <v>9</v>
      </c>
      <c r="F92" s="60">
        <f t="shared" si="11"/>
        <v>2.48</v>
      </c>
      <c r="G92" s="61">
        <f>IF(D92=D91,"",_xlfn.IFNA(VLOOKUP(D92,'인원 입력 기능(국수)'!$A$5:$D$103,4,FALSE),0))</f>
        <v>1500</v>
      </c>
      <c r="H92" s="62">
        <f t="shared" si="12"/>
        <v>5.4945860012600919E-3</v>
      </c>
      <c r="I92" s="75">
        <f>SUM($G$7:G92)</f>
        <v>266977</v>
      </c>
      <c r="J92" s="64">
        <f t="shared" si="13"/>
        <v>0.97795205790561035</v>
      </c>
      <c r="K92" s="31"/>
      <c r="L92" s="20" t="str">
        <f t="shared" si="9"/>
        <v/>
      </c>
      <c r="N92" s="1"/>
    </row>
    <row r="93" spans="1:14" ht="25" customHeight="1" x14ac:dyDescent="0.45">
      <c r="A93" s="5"/>
      <c r="B93" s="30"/>
      <c r="C93" s="73">
        <v>14</v>
      </c>
      <c r="D93" s="59">
        <f t="shared" si="10"/>
        <v>67</v>
      </c>
      <c r="E93" s="74">
        <f t="shared" si="8"/>
        <v>9</v>
      </c>
      <c r="F93" s="60">
        <f t="shared" si="11"/>
        <v>1.99</v>
      </c>
      <c r="G93" s="61">
        <f>IF(D93=D92,"",_xlfn.IFNA(VLOOKUP(D93,'인원 입력 기능(국수)'!$A$5:$D$103,4,FALSE),0))</f>
        <v>1164</v>
      </c>
      <c r="H93" s="62">
        <f t="shared" si="12"/>
        <v>4.2637987369778313E-3</v>
      </c>
      <c r="I93" s="75">
        <f>SUM($G$7:G93)</f>
        <v>268141</v>
      </c>
      <c r="J93" s="64">
        <f t="shared" si="13"/>
        <v>0.98221585664258815</v>
      </c>
      <c r="K93" s="31"/>
      <c r="L93" s="20" t="str">
        <f t="shared" si="9"/>
        <v/>
      </c>
      <c r="N93" s="1"/>
    </row>
    <row r="94" spans="1:14" ht="25" customHeight="1" x14ac:dyDescent="0.45">
      <c r="A94" s="5"/>
      <c r="B94" s="30"/>
      <c r="C94" s="73">
        <v>13</v>
      </c>
      <c r="D94" s="59">
        <f t="shared" si="10"/>
        <v>66</v>
      </c>
      <c r="E94" s="74">
        <f t="shared" si="8"/>
        <v>9</v>
      </c>
      <c r="F94" s="60">
        <f t="shared" si="11"/>
        <v>1.59</v>
      </c>
      <c r="G94" s="61">
        <f>IF(D94=D93,"",_xlfn.IFNA(VLOOKUP(D94,'인원 입력 기능(국수)'!$A$5:$D$103,4,FALSE),0))</f>
        <v>1041</v>
      </c>
      <c r="H94" s="62">
        <f t="shared" si="12"/>
        <v>3.8132426848745036E-3</v>
      </c>
      <c r="I94" s="75">
        <f>SUM($G$7:G94)</f>
        <v>269182</v>
      </c>
      <c r="J94" s="64">
        <f t="shared" si="13"/>
        <v>0.98602909932746263</v>
      </c>
      <c r="K94" s="31"/>
      <c r="L94" s="20" t="str">
        <f t="shared" si="9"/>
        <v/>
      </c>
      <c r="N94" s="1"/>
    </row>
    <row r="95" spans="1:14" ht="25" customHeight="1" x14ac:dyDescent="0.45">
      <c r="A95" s="5"/>
      <c r="B95" s="30"/>
      <c r="C95" s="73">
        <v>12</v>
      </c>
      <c r="D95" s="59">
        <f t="shared" si="10"/>
        <v>65</v>
      </c>
      <c r="E95" s="74">
        <f t="shared" si="8"/>
        <v>9</v>
      </c>
      <c r="F95" s="60">
        <f t="shared" si="11"/>
        <v>1.23</v>
      </c>
      <c r="G95" s="61">
        <f>IF(D95=D94,"",_xlfn.IFNA(VLOOKUP(D95,'인원 입력 기능(국수)'!$A$5:$D$103,4,FALSE),0))</f>
        <v>888</v>
      </c>
      <c r="H95" s="62">
        <f t="shared" si="12"/>
        <v>3.2527949127459741E-3</v>
      </c>
      <c r="I95" s="75">
        <f>SUM($G$7:G95)</f>
        <v>270070</v>
      </c>
      <c r="J95" s="64">
        <f t="shared" si="13"/>
        <v>0.98928189424020863</v>
      </c>
      <c r="K95" s="31"/>
      <c r="L95" s="20" t="str">
        <f t="shared" si="9"/>
        <v/>
      </c>
      <c r="N95" s="1"/>
    </row>
    <row r="96" spans="1:14" ht="25" customHeight="1" x14ac:dyDescent="0.45">
      <c r="A96" s="5"/>
      <c r="B96" s="30"/>
      <c r="C96" s="73">
        <v>11</v>
      </c>
      <c r="D96" s="59">
        <f t="shared" si="10"/>
        <v>64</v>
      </c>
      <c r="E96" s="74">
        <f t="shared" si="8"/>
        <v>9</v>
      </c>
      <c r="F96" s="60">
        <f t="shared" si="11"/>
        <v>0.98</v>
      </c>
      <c r="G96" s="61">
        <f>IF(D96=D95,"",_xlfn.IFNA(VLOOKUP(D96,'인원 입력 기능(국수)'!$A$5:$D$103,4,FALSE),0))</f>
        <v>478</v>
      </c>
      <c r="H96" s="62">
        <f t="shared" si="12"/>
        <v>1.7509414057348825E-3</v>
      </c>
      <c r="I96" s="75">
        <f>SUM($G$7:G96)</f>
        <v>270548</v>
      </c>
      <c r="J96" s="64">
        <f t="shared" si="13"/>
        <v>0.99103283564594358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73">
        <v>10</v>
      </c>
      <c r="D97" s="201">
        <f t="shared" si="10"/>
        <v>63</v>
      </c>
      <c r="E97" s="203">
        <f t="shared" si="8"/>
        <v>9</v>
      </c>
      <c r="F97" s="205">
        <f t="shared" si="11"/>
        <v>0.78</v>
      </c>
      <c r="G97" s="207">
        <f>IF(D97=D96,"",_xlfn.IFNA(VLOOKUP(D97,'인원 입력 기능(국수)'!$A$5:$D$103,4,FALSE),0))</f>
        <v>646</v>
      </c>
      <c r="H97" s="208">
        <f t="shared" si="12"/>
        <v>2.3663350378760129E-3</v>
      </c>
      <c r="I97" s="210">
        <f>SUM($G$7:G97)</f>
        <v>271194</v>
      </c>
      <c r="J97" s="212">
        <f t="shared" si="13"/>
        <v>0.99339917068381955</v>
      </c>
      <c r="K97" s="31"/>
      <c r="L97" s="20" t="str">
        <f t="shared" si="9"/>
        <v/>
      </c>
      <c r="N97" s="1"/>
    </row>
    <row r="98" spans="1:14" ht="25" customHeight="1" x14ac:dyDescent="0.45">
      <c r="A98" s="5"/>
      <c r="B98" s="30"/>
      <c r="C98" s="73">
        <v>9</v>
      </c>
      <c r="D98" s="200"/>
      <c r="E98" s="202"/>
      <c r="F98" s="204"/>
      <c r="G98" s="206"/>
      <c r="H98" s="209"/>
      <c r="I98" s="211"/>
      <c r="J98" s="213"/>
      <c r="K98" s="31"/>
      <c r="L98" s="20" t="str">
        <f t="shared" si="9"/>
        <v>경고</v>
      </c>
      <c r="N98" s="1"/>
    </row>
    <row r="99" spans="1:14" ht="25" customHeight="1" x14ac:dyDescent="0.45">
      <c r="A99" s="5"/>
      <c r="B99" s="30"/>
      <c r="C99" s="73">
        <v>8</v>
      </c>
      <c r="D99" s="59">
        <f t="shared" si="10"/>
        <v>62</v>
      </c>
      <c r="E99" s="74">
        <f t="shared" si="8"/>
        <v>9</v>
      </c>
      <c r="F99" s="60">
        <f t="shared" si="11"/>
        <v>0.62</v>
      </c>
      <c r="G99" s="61">
        <f>IF(D99=D98,"",_xlfn.IFNA(VLOOKUP(D99,'인원 입력 기능(국수)'!$A$5:$D$103,4,FALSE),0))</f>
        <v>200</v>
      </c>
      <c r="H99" s="62">
        <f t="shared" si="12"/>
        <v>7.3261146683467886E-4</v>
      </c>
      <c r="I99" s="75">
        <f>SUM($G$7:G99)</f>
        <v>271394</v>
      </c>
      <c r="J99" s="64">
        <f t="shared" si="13"/>
        <v>0.99413178215065423</v>
      </c>
      <c r="K99" s="31"/>
      <c r="L99" s="20" t="str">
        <f t="shared" si="9"/>
        <v/>
      </c>
      <c r="N99" s="1"/>
    </row>
    <row r="100" spans="1:14" ht="25" customHeight="1" x14ac:dyDescent="0.45">
      <c r="A100" s="5"/>
      <c r="B100" s="30"/>
      <c r="C100" s="73">
        <v>7</v>
      </c>
      <c r="D100" s="59">
        <f t="shared" si="10"/>
        <v>61</v>
      </c>
      <c r="E100" s="74">
        <f t="shared" si="8"/>
        <v>9</v>
      </c>
      <c r="F100" s="60">
        <f t="shared" si="11"/>
        <v>0.56999999999999995</v>
      </c>
      <c r="G100" s="61">
        <f>IF(D100=D99,"",_xlfn.IFNA(VLOOKUP(D100,'인원 입력 기능(국수)'!$A$5:$D$103,4,FALSE),0))</f>
        <v>113</v>
      </c>
      <c r="H100" s="62">
        <f t="shared" si="12"/>
        <v>4.1392547876159357E-4</v>
      </c>
      <c r="I100" s="75">
        <f>SUM($G$7:G100)</f>
        <v>271507</v>
      </c>
      <c r="J100" s="64">
        <f t="shared" si="13"/>
        <v>0.99454570762941585</v>
      </c>
      <c r="K100" s="31"/>
      <c r="L100" s="20" t="str">
        <f t="shared" si="9"/>
        <v/>
      </c>
      <c r="N100" s="1"/>
    </row>
    <row r="101" spans="1:14" ht="25" customHeight="1" x14ac:dyDescent="0.45">
      <c r="A101" s="5"/>
      <c r="B101" s="30"/>
      <c r="C101" s="65">
        <v>6</v>
      </c>
      <c r="D101" s="59">
        <f t="shared" si="10"/>
        <v>60</v>
      </c>
      <c r="E101" s="59">
        <f t="shared" si="8"/>
        <v>9</v>
      </c>
      <c r="F101" s="60">
        <f t="shared" si="11"/>
        <v>0.52</v>
      </c>
      <c r="G101" s="61">
        <f>IF(D101=D100,"",_xlfn.IFNA(VLOOKUP(D101,'인원 입력 기능(국수)'!$A$5:$D$103,4,FALSE),0))</f>
        <v>112</v>
      </c>
      <c r="H101" s="62">
        <f t="shared" si="12"/>
        <v>4.1026242142742019E-4</v>
      </c>
      <c r="I101" s="72">
        <f>SUM($G$7:G101)</f>
        <v>271619</v>
      </c>
      <c r="J101" s="64">
        <f t="shared" si="13"/>
        <v>0.99495597005084324</v>
      </c>
      <c r="K101" s="31"/>
      <c r="L101" s="20" t="str">
        <f t="shared" si="9"/>
        <v/>
      </c>
      <c r="N101" s="1"/>
    </row>
    <row r="102" spans="1:14" ht="25" customHeight="1" x14ac:dyDescent="0.45">
      <c r="A102" s="5"/>
      <c r="B102" s="30"/>
      <c r="C102" s="65">
        <v>5</v>
      </c>
      <c r="D102" s="59">
        <f t="shared" si="10"/>
        <v>59</v>
      </c>
      <c r="E102" s="59">
        <f t="shared" si="8"/>
        <v>9</v>
      </c>
      <c r="F102" s="60">
        <f t="shared" si="11"/>
        <v>0.5</v>
      </c>
      <c r="G102" s="61">
        <f>IF(D102=D101,"",_xlfn.IFNA(VLOOKUP(D102,'인원 입력 기능(국수)'!$A$5:$D$103,4,FALSE),0))</f>
        <v>47</v>
      </c>
      <c r="H102" s="62">
        <f t="shared" si="12"/>
        <v>1.7216369470614954E-4</v>
      </c>
      <c r="I102" s="72">
        <f>SUM($G$7:G102)</f>
        <v>271666</v>
      </c>
      <c r="J102" s="64">
        <f t="shared" si="13"/>
        <v>0.99512813374554943</v>
      </c>
      <c r="K102" s="31"/>
      <c r="L102" s="20" t="str">
        <f t="shared" si="9"/>
        <v/>
      </c>
      <c r="N102" s="1"/>
    </row>
    <row r="103" spans="1:14" ht="25" customHeight="1" x14ac:dyDescent="0.45">
      <c r="A103" s="5"/>
      <c r="B103" s="30"/>
      <c r="C103" s="65">
        <v>4</v>
      </c>
      <c r="D103" s="59">
        <f t="shared" si="10"/>
        <v>58</v>
      </c>
      <c r="E103" s="59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60">
        <f t="shared" si="11"/>
        <v>0.47</v>
      </c>
      <c r="G103" s="61">
        <f>IF(D103=D102,"",_xlfn.IFNA(VLOOKUP(D103,'인원 입력 기능(국수)'!$A$5:$D$103,4,FALSE),0))</f>
        <v>104</v>
      </c>
      <c r="H103" s="62">
        <f t="shared" si="12"/>
        <v>3.8095796275403304E-4</v>
      </c>
      <c r="I103" s="72">
        <f>SUM($G$7:G103)</f>
        <v>271770</v>
      </c>
      <c r="J103" s="64">
        <f t="shared" si="13"/>
        <v>0.99550909170830337</v>
      </c>
      <c r="K103" s="31"/>
      <c r="L103" s="20" t="str">
        <f t="shared" si="9"/>
        <v/>
      </c>
      <c r="N103" s="1"/>
    </row>
    <row r="104" spans="1:14" ht="25" customHeight="1" x14ac:dyDescent="0.45">
      <c r="A104" s="5"/>
      <c r="B104" s="30"/>
      <c r="C104" s="65">
        <v>3</v>
      </c>
      <c r="D104" s="59">
        <f t="shared" si="10"/>
        <v>57</v>
      </c>
      <c r="E104" s="59">
        <f t="shared" si="14"/>
        <v>9</v>
      </c>
      <c r="F104" s="60">
        <f t="shared" si="11"/>
        <v>0.45</v>
      </c>
      <c r="G104" s="61">
        <f>IF(D104=D103,"",_xlfn.IFNA(VLOOKUP(D104,'인원 입력 기능(국수)'!$A$5:$D$103,4,FALSE),0))</f>
        <v>7</v>
      </c>
      <c r="H104" s="62">
        <f t="shared" si="12"/>
        <v>2.5641401339213762E-5</v>
      </c>
      <c r="I104" s="72">
        <f>SUM($G$7:G104)</f>
        <v>271777</v>
      </c>
      <c r="J104" s="64">
        <f t="shared" si="13"/>
        <v>0.99553473310964258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65">
        <v>2</v>
      </c>
      <c r="D105" s="59">
        <f t="shared" si="10"/>
        <v>56</v>
      </c>
      <c r="E105" s="59">
        <f t="shared" si="14"/>
        <v>9</v>
      </c>
      <c r="F105" s="60">
        <f t="shared" si="11"/>
        <v>0.43</v>
      </c>
      <c r="G105" s="61">
        <f>IF(D105=D104,"",_xlfn.IFNA(VLOOKUP(D105,'인원 입력 기능(국수)'!$A$5:$D$103,4,FALSE),0))</f>
        <v>88</v>
      </c>
      <c r="H105" s="62">
        <f t="shared" si="12"/>
        <v>3.2234904540725872E-4</v>
      </c>
      <c r="I105" s="72">
        <f>SUM($G$7:G105)</f>
        <v>271865</v>
      </c>
      <c r="J105" s="64">
        <f t="shared" si="13"/>
        <v>0.99585708215504987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65">
        <v>1</v>
      </c>
      <c r="D106" s="66" t="s">
        <v>56</v>
      </c>
      <c r="E106" s="66"/>
      <c r="F106" s="67"/>
      <c r="G106" s="68"/>
      <c r="H106" s="69"/>
      <c r="I106" s="76"/>
      <c r="J106" s="71"/>
      <c r="K106" s="31"/>
      <c r="L106" s="20"/>
    </row>
    <row r="107" spans="1:14" ht="25" customHeight="1" thickBot="1" x14ac:dyDescent="0.5">
      <c r="A107" s="5"/>
      <c r="B107" s="30"/>
      <c r="C107" s="77">
        <v>0</v>
      </c>
      <c r="D107" s="78">
        <f>ROUND(20*(C107-$H$3)/$H$4+100,0)</f>
        <v>54</v>
      </c>
      <c r="E107" s="7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9">
        <f>IF(I105=0,ROUND(100*(1-(I104+I107)/2/$J$3),2),ROUND(100*(1-(I105+I107)/2/$J$3),2))</f>
        <v>0.21</v>
      </c>
      <c r="G107" s="80">
        <f>_xlfn.IFNA(VLOOKUP(D107,'인원 입력 기능(국수)'!$A$5:$D$103,4,FALSE),0)</f>
        <v>1131</v>
      </c>
      <c r="H107" s="81">
        <f>G107/$J$3</f>
        <v>4.1429178449501093E-3</v>
      </c>
      <c r="I107" s="82">
        <f>SUM($G$7:G107)</f>
        <v>272996</v>
      </c>
      <c r="J107" s="83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52">
    <mergeCell ref="I84:I85"/>
    <mergeCell ref="J84:J85"/>
    <mergeCell ref="D97:D98"/>
    <mergeCell ref="E97:E98"/>
    <mergeCell ref="F97:F98"/>
    <mergeCell ref="G97:G98"/>
    <mergeCell ref="H97:H98"/>
    <mergeCell ref="I97:I98"/>
    <mergeCell ref="J97:J98"/>
    <mergeCell ref="D84:D85"/>
    <mergeCell ref="E84:E85"/>
    <mergeCell ref="F84:F85"/>
    <mergeCell ref="G84:G85"/>
    <mergeCell ref="H84:H85"/>
    <mergeCell ref="I58:I59"/>
    <mergeCell ref="J58:J59"/>
    <mergeCell ref="D71:D72"/>
    <mergeCell ref="E71:E72"/>
    <mergeCell ref="F71:F72"/>
    <mergeCell ref="G71:G72"/>
    <mergeCell ref="H71:H72"/>
    <mergeCell ref="I71:I72"/>
    <mergeCell ref="J71:J72"/>
    <mergeCell ref="D58:D59"/>
    <mergeCell ref="E58:E59"/>
    <mergeCell ref="F58:F59"/>
    <mergeCell ref="G58:G59"/>
    <mergeCell ref="H58:H59"/>
    <mergeCell ref="I33:I34"/>
    <mergeCell ref="J33:J34"/>
    <mergeCell ref="D46:D47"/>
    <mergeCell ref="E46:E47"/>
    <mergeCell ref="F46:F47"/>
    <mergeCell ref="G46:G47"/>
    <mergeCell ref="H46:H47"/>
    <mergeCell ref="I46:I47"/>
    <mergeCell ref="J46:J47"/>
    <mergeCell ref="D33:D34"/>
    <mergeCell ref="E33:E34"/>
    <mergeCell ref="F33:F34"/>
    <mergeCell ref="G33:G34"/>
    <mergeCell ref="H33:H34"/>
    <mergeCell ref="D3:F3"/>
    <mergeCell ref="D4:F4"/>
    <mergeCell ref="I4:J5"/>
    <mergeCell ref="D20:D21"/>
    <mergeCell ref="E20:E21"/>
    <mergeCell ref="F20:F21"/>
    <mergeCell ref="G20:G21"/>
    <mergeCell ref="H20:H21"/>
    <mergeCell ref="I20:I21"/>
    <mergeCell ref="J20:J21"/>
  </mergeCells>
  <phoneticPr fontId="1" type="noConversion"/>
  <conditionalFormatting sqref="C7:C106">
    <cfRule type="expression" dxfId="61" priority="2">
      <formula>OR(AND($D7=0,OR($D6=$Q$7:$Q$14)),AND($D8&gt;0,OR($D7=$Q$7:$Q$14)))</formula>
    </cfRule>
  </conditionalFormatting>
  <conditionalFormatting sqref="D7:J20 D22:J33 D35:J46 D48:J58 D60:J71 D73:J84 D86:J97 D99:J107">
    <cfRule type="expression" dxfId="60" priority="3">
      <formula>OR($D7=$Q$7:$Q$14)</formula>
    </cfRule>
  </conditionalFormatting>
  <conditionalFormatting sqref="D7:D20 D22:D33 D35:D46 D48:D58 D60:D71 D73:D84 D86:D97 D99:D106">
    <cfRule type="expression" dxfId="59" priority="1">
      <formula>$D7=$D8</formula>
    </cfRule>
  </conditionalFormatting>
  <conditionalFormatting sqref="C107">
    <cfRule type="expression" dxfId="58" priority="7">
      <formula>OR(AND($D107=0,OR($D106=$Q$7:$Q$14)),AND($D109&gt;0,OR($D107=$Q$7:$Q$14)))</formula>
    </cfRule>
  </conditionalFormatting>
  <conditionalFormatting sqref="D107">
    <cfRule type="expression" dxfId="57" priority="9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zoomScale="70" zoomScaleNormal="7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152" t="s">
        <v>66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156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기능'!D5</f>
        <v>41.93</v>
      </c>
      <c r="I3" s="21" t="s">
        <v>70</v>
      </c>
      <c r="J3" s="50">
        <f>'통계 및 응시자 수 입력 기능'!C5</f>
        <v>271189</v>
      </c>
      <c r="K3" s="31"/>
      <c r="L3" s="5"/>
    </row>
    <row r="4" spans="1:17" ht="25" customHeight="1" thickBot="1" x14ac:dyDescent="0.5">
      <c r="A4" s="5"/>
      <c r="B4" s="30"/>
      <c r="C4" s="51" t="s">
        <v>71</v>
      </c>
      <c r="D4" s="184" t="s">
        <v>74</v>
      </c>
      <c r="E4" s="185"/>
      <c r="F4" s="186"/>
      <c r="G4" s="52" t="s">
        <v>73</v>
      </c>
      <c r="H4" s="53" t="str">
        <f>'통계 및 응시자 수 입력 기능'!E5</f>
        <v>25.85</v>
      </c>
      <c r="I4" s="187"/>
      <c r="J4" s="188"/>
      <c r="K4" s="31"/>
      <c r="L4" s="5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189"/>
      <c r="J5" s="189"/>
      <c r="K5" s="31"/>
      <c r="L5" s="5"/>
    </row>
    <row r="6" spans="1:17" ht="25" customHeight="1" thickBot="1" x14ac:dyDescent="0.5">
      <c r="A6" s="5"/>
      <c r="B6" s="30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6" t="s">
        <v>80</v>
      </c>
      <c r="I6" s="56" t="s">
        <v>81</v>
      </c>
      <c r="J6" s="57" t="s">
        <v>82</v>
      </c>
      <c r="K6" s="31"/>
      <c r="L6" s="3" t="s">
        <v>65</v>
      </c>
      <c r="M6" s="3"/>
      <c r="N6" s="4"/>
    </row>
    <row r="7" spans="1:17" ht="25" customHeight="1" x14ac:dyDescent="0.45">
      <c r="A7" s="5"/>
      <c r="B7" s="30"/>
      <c r="C7" s="160">
        <v>100</v>
      </c>
      <c r="D7" s="59">
        <f>ROUND(20*(C7-$H$3)/$H$4+100,0)</f>
        <v>145</v>
      </c>
      <c r="E7" s="59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99.76</v>
      </c>
      <c r="G7" s="61">
        <f>_xlfn.IFNA(VLOOKUP(D7,'인원 입력 기능(국수)'!$F$5:$I$103,4,FALSE),0)</f>
        <v>1278</v>
      </c>
      <c r="H7" s="62">
        <f>G7/$J$3</f>
        <v>4.7125805250212947E-3</v>
      </c>
      <c r="I7" s="63">
        <f>G7</f>
        <v>1278</v>
      </c>
      <c r="J7" s="64">
        <f>I7/$J$3</f>
        <v>4.7125805250212947E-3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136</v>
      </c>
    </row>
    <row r="8" spans="1:17" ht="25" customHeight="1" x14ac:dyDescent="0.45">
      <c r="A8" s="5"/>
      <c r="B8" s="30"/>
      <c r="C8" s="58">
        <v>99</v>
      </c>
      <c r="D8" s="66" t="s">
        <v>56</v>
      </c>
      <c r="E8" s="66"/>
      <c r="F8" s="67"/>
      <c r="G8" s="68"/>
      <c r="H8" s="69"/>
      <c r="I8" s="70"/>
      <c r="J8" s="71"/>
      <c r="K8" s="31"/>
      <c r="L8" s="20"/>
      <c r="N8" s="1"/>
      <c r="P8" s="1">
        <v>2</v>
      </c>
      <c r="Q8" s="1">
        <f>'표점등급&amp;절평인원 입력 기능'!C14</f>
        <v>129</v>
      </c>
    </row>
    <row r="9" spans="1:17" ht="25" customHeight="1" x14ac:dyDescent="0.45">
      <c r="A9" s="5"/>
      <c r="B9" s="30"/>
      <c r="C9" s="65">
        <v>98</v>
      </c>
      <c r="D9" s="201">
        <f t="shared" ref="D9:D40" si="1">ROUND(20*(C9-$H$3)/$H$4+100,0)</f>
        <v>143</v>
      </c>
      <c r="E9" s="201">
        <f t="shared" si="0"/>
        <v>1</v>
      </c>
      <c r="F9" s="205">
        <f>IF(I8=0,ROUND(100*(1-(I7+I9)/2/$J$3),2),ROUND(100*(1-(I8+I9)/2/$J$3),2))</f>
        <v>99.51</v>
      </c>
      <c r="G9" s="207">
        <f>_xlfn.IFNA(VLOOKUP(D9,'인원 입력 기능(국수)'!$F$5:$I$103,4,FALSE),0)</f>
        <v>90</v>
      </c>
      <c r="H9" s="208">
        <f>G9/$J$3</f>
        <v>3.3187186795924611E-4</v>
      </c>
      <c r="I9" s="214">
        <f>SUM($G$7:G9)</f>
        <v>1368</v>
      </c>
      <c r="J9" s="212">
        <f>I9/$J$3</f>
        <v>5.044452392980541E-3</v>
      </c>
      <c r="K9" s="31"/>
      <c r="L9" s="20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119</v>
      </c>
    </row>
    <row r="10" spans="1:17" ht="25" customHeight="1" x14ac:dyDescent="0.45">
      <c r="A10" s="5"/>
      <c r="B10" s="30"/>
      <c r="C10" s="65">
        <v>97</v>
      </c>
      <c r="D10" s="200"/>
      <c r="E10" s="200"/>
      <c r="F10" s="204"/>
      <c r="G10" s="206"/>
      <c r="H10" s="209"/>
      <c r="I10" s="215"/>
      <c r="J10" s="213"/>
      <c r="K10" s="31"/>
      <c r="L10" s="20" t="str">
        <f t="shared" si="2"/>
        <v>경고</v>
      </c>
      <c r="N10" s="1"/>
      <c r="P10" s="1">
        <v>4</v>
      </c>
      <c r="Q10" s="1">
        <f>'표점등급&amp;절평인원 입력 기능'!C16</f>
        <v>105</v>
      </c>
    </row>
    <row r="11" spans="1:17" ht="25" customHeight="1" x14ac:dyDescent="0.45">
      <c r="A11" s="5"/>
      <c r="B11" s="30"/>
      <c r="C11" s="65">
        <v>96</v>
      </c>
      <c r="D11" s="59">
        <f t="shared" si="1"/>
        <v>142</v>
      </c>
      <c r="E11" s="59">
        <f t="shared" si="0"/>
        <v>1</v>
      </c>
      <c r="F11" s="60">
        <f t="shared" ref="F10:F73" si="3">IF(I10=0,ROUND(100*(1-(I9+I11)/2/$J$3),2),ROUND(100*(1-(I10+I11)/2/$J$3),2))</f>
        <v>99.11</v>
      </c>
      <c r="G11" s="61">
        <f>IF(D11=D10,"",_xlfn.IFNA(VLOOKUP(D11,'인원 입력 기능(국수)'!$F$5:$I$103,4,FALSE),0))</f>
        <v>2100</v>
      </c>
      <c r="H11" s="62">
        <f t="shared" ref="H10:H73" si="4">G11/$J$3</f>
        <v>7.7436769190490761E-3</v>
      </c>
      <c r="I11" s="72">
        <f>SUM($G$7:G11)</f>
        <v>3468</v>
      </c>
      <c r="J11" s="64">
        <f t="shared" ref="J10:J73" si="5">I11/$J$3</f>
        <v>1.2788129312029618E-2</v>
      </c>
      <c r="K11" s="31"/>
      <c r="L11" s="20" t="str">
        <f t="shared" si="2"/>
        <v/>
      </c>
      <c r="N11" s="1"/>
      <c r="P11" s="1">
        <v>5</v>
      </c>
      <c r="Q11" s="1">
        <f>'표점등급&amp;절평인원 입력 기능'!C17</f>
        <v>89</v>
      </c>
    </row>
    <row r="12" spans="1:17" ht="25" customHeight="1" x14ac:dyDescent="0.45">
      <c r="A12" s="5"/>
      <c r="B12" s="30"/>
      <c r="C12" s="65">
        <v>95</v>
      </c>
      <c r="D12" s="59">
        <f t="shared" si="1"/>
        <v>141</v>
      </c>
      <c r="E12" s="59">
        <f t="shared" si="0"/>
        <v>1</v>
      </c>
      <c r="F12" s="60">
        <f t="shared" si="3"/>
        <v>98.72</v>
      </c>
      <c r="G12" s="61">
        <f>IF(D12=D11,"",_xlfn.IFNA(VLOOKUP(D12,'인원 입력 기능(국수)'!$F$5:$I$103,4,FALSE),0))</f>
        <v>0</v>
      </c>
      <c r="H12" s="62">
        <f t="shared" si="4"/>
        <v>0</v>
      </c>
      <c r="I12" s="72">
        <f>SUM($G$7:G12)</f>
        <v>3468</v>
      </c>
      <c r="J12" s="64">
        <f t="shared" si="5"/>
        <v>1.2788129312029618E-2</v>
      </c>
      <c r="K12" s="31"/>
      <c r="L12" s="20" t="str">
        <f t="shared" si="2"/>
        <v/>
      </c>
      <c r="N12" s="1"/>
      <c r="P12" s="1">
        <v>6</v>
      </c>
      <c r="Q12" s="1">
        <f>'표점등급&amp;절평인원 입력 기능'!C18</f>
        <v>81</v>
      </c>
    </row>
    <row r="13" spans="1:17" ht="25" customHeight="1" x14ac:dyDescent="0.45">
      <c r="A13" s="5"/>
      <c r="B13" s="30"/>
      <c r="C13" s="65">
        <v>94</v>
      </c>
      <c r="D13" s="201">
        <f t="shared" si="1"/>
        <v>140</v>
      </c>
      <c r="E13" s="201">
        <f t="shared" si="0"/>
        <v>1</v>
      </c>
      <c r="F13" s="205">
        <f t="shared" si="3"/>
        <v>98.68</v>
      </c>
      <c r="G13" s="207">
        <f>IF(D13=D12,"",_xlfn.IFNA(VLOOKUP(D13,'인원 입력 기능(국수)'!$F$5:$I$103,4,FALSE),0))</f>
        <v>238</v>
      </c>
      <c r="H13" s="208">
        <f t="shared" si="4"/>
        <v>8.7761671749222862E-4</v>
      </c>
      <c r="I13" s="214">
        <f>SUM($G$7:G13)</f>
        <v>3706</v>
      </c>
      <c r="J13" s="212">
        <f t="shared" si="5"/>
        <v>1.3665746029521846E-2</v>
      </c>
      <c r="K13" s="31"/>
      <c r="L13" s="20" t="str">
        <f t="shared" si="2"/>
        <v/>
      </c>
      <c r="N13" s="1"/>
      <c r="P13" s="1">
        <v>7</v>
      </c>
      <c r="Q13" s="1">
        <f>'표점등급&amp;절평인원 입력 기능'!C19</f>
        <v>78</v>
      </c>
    </row>
    <row r="14" spans="1:17" ht="25" customHeight="1" x14ac:dyDescent="0.45">
      <c r="A14" s="5"/>
      <c r="B14" s="30"/>
      <c r="C14" s="65">
        <v>93</v>
      </c>
      <c r="D14" s="200"/>
      <c r="E14" s="200"/>
      <c r="F14" s="204"/>
      <c r="G14" s="206"/>
      <c r="H14" s="209"/>
      <c r="I14" s="215"/>
      <c r="J14" s="213"/>
      <c r="K14" s="31"/>
      <c r="L14" s="20" t="str">
        <f t="shared" si="2"/>
        <v>경고</v>
      </c>
      <c r="N14" s="1"/>
      <c r="P14" s="1">
        <v>8</v>
      </c>
      <c r="Q14" s="1">
        <f>'표점등급&amp;절평인원 입력 기능'!C20</f>
        <v>75</v>
      </c>
    </row>
    <row r="15" spans="1:17" ht="25" customHeight="1" x14ac:dyDescent="0.45">
      <c r="A15" s="5"/>
      <c r="B15" s="30"/>
      <c r="C15" s="65">
        <v>92</v>
      </c>
      <c r="D15" s="59">
        <f t="shared" si="1"/>
        <v>139</v>
      </c>
      <c r="E15" s="59">
        <f t="shared" si="0"/>
        <v>1</v>
      </c>
      <c r="F15" s="60">
        <f t="shared" si="3"/>
        <v>97.98</v>
      </c>
      <c r="G15" s="61">
        <f>IF(D15=D14,"",_xlfn.IFNA(VLOOKUP(D15,'인원 입력 기능(국수)'!$F$5:$I$103,4,FALSE),0))</f>
        <v>3522</v>
      </c>
      <c r="H15" s="62">
        <f t="shared" si="4"/>
        <v>1.2987252432805166E-2</v>
      </c>
      <c r="I15" s="72">
        <f>SUM($G$7:G15)</f>
        <v>7228</v>
      </c>
      <c r="J15" s="64">
        <f t="shared" si="5"/>
        <v>2.6652998462327011E-2</v>
      </c>
      <c r="K15" s="31"/>
      <c r="L15" s="20" t="str">
        <f t="shared" si="2"/>
        <v/>
      </c>
      <c r="N15" s="1"/>
      <c r="P15" s="1">
        <v>9</v>
      </c>
    </row>
    <row r="16" spans="1:17" ht="25" customHeight="1" x14ac:dyDescent="0.45">
      <c r="A16" s="5"/>
      <c r="B16" s="30"/>
      <c r="C16" s="65">
        <v>91</v>
      </c>
      <c r="D16" s="59">
        <f t="shared" si="1"/>
        <v>138</v>
      </c>
      <c r="E16" s="59">
        <f t="shared" si="0"/>
        <v>1</v>
      </c>
      <c r="F16" s="60">
        <f t="shared" si="3"/>
        <v>97.33</v>
      </c>
      <c r="G16" s="61">
        <f>IF(D16=D15,"",_xlfn.IFNA(VLOOKUP(D16,'인원 입력 기능(국수)'!$F$5:$I$103,4,FALSE),0))</f>
        <v>3</v>
      </c>
      <c r="H16" s="62">
        <f t="shared" si="4"/>
        <v>1.1062395598641537E-5</v>
      </c>
      <c r="I16" s="72">
        <f>SUM($G$7:G16)</f>
        <v>7231</v>
      </c>
      <c r="J16" s="64">
        <f t="shared" si="5"/>
        <v>2.6664060857925654E-2</v>
      </c>
      <c r="K16" s="31"/>
      <c r="L16" s="20" t="str">
        <f t="shared" si="2"/>
        <v/>
      </c>
      <c r="N16" s="1"/>
    </row>
    <row r="17" spans="1:17" ht="25" customHeight="1" x14ac:dyDescent="0.45">
      <c r="A17" s="5"/>
      <c r="B17" s="30"/>
      <c r="C17" s="65">
        <v>90</v>
      </c>
      <c r="D17" s="59">
        <f t="shared" si="1"/>
        <v>137</v>
      </c>
      <c r="E17" s="59">
        <f t="shared" si="0"/>
        <v>1</v>
      </c>
      <c r="F17" s="60">
        <f t="shared" si="3"/>
        <v>97.33</v>
      </c>
      <c r="G17" s="61">
        <f>IF(D17=D16,"",_xlfn.IFNA(VLOOKUP(D17,'인원 입력 기능(국수)'!$F$5:$I$103,4,FALSE),0))</f>
        <v>40</v>
      </c>
      <c r="H17" s="62">
        <f t="shared" si="4"/>
        <v>1.4749860798188717E-4</v>
      </c>
      <c r="I17" s="72">
        <f>SUM($G$7:G17)</f>
        <v>7271</v>
      </c>
      <c r="J17" s="64">
        <f t="shared" si="5"/>
        <v>2.681155946590754E-2</v>
      </c>
      <c r="K17" s="31"/>
      <c r="L17" s="20" t="str">
        <f t="shared" si="2"/>
        <v/>
      </c>
      <c r="N17" s="1"/>
      <c r="Q17" s="1">
        <f>Q7*H3*H4*J3*IFERROR(IF(J107=1, 1, 0), 0)</f>
        <v>39975728589.412003</v>
      </c>
    </row>
    <row r="18" spans="1:17" ht="25" customHeight="1" x14ac:dyDescent="0.45">
      <c r="A18" s="5"/>
      <c r="B18" s="30"/>
      <c r="C18" s="65">
        <v>89</v>
      </c>
      <c r="D18" s="201">
        <f t="shared" si="1"/>
        <v>136</v>
      </c>
      <c r="E18" s="201">
        <f t="shared" si="0"/>
        <v>1</v>
      </c>
      <c r="F18" s="205">
        <f t="shared" si="3"/>
        <v>96.15</v>
      </c>
      <c r="G18" s="207">
        <f>IF(D18=D17,"",_xlfn.IFNA(VLOOKUP(D18,'인원 입력 기능(국수)'!$F$5:$I$103,4,FALSE),0))</f>
        <v>6313</v>
      </c>
      <c r="H18" s="208">
        <f t="shared" si="4"/>
        <v>2.3278967804741344E-2</v>
      </c>
      <c r="I18" s="214">
        <f>SUM($G$7:G18)</f>
        <v>13584</v>
      </c>
      <c r="J18" s="212">
        <f t="shared" si="5"/>
        <v>5.0090527270648881E-2</v>
      </c>
      <c r="K18" s="31"/>
      <c r="L18" s="20" t="str">
        <f t="shared" si="2"/>
        <v/>
      </c>
      <c r="N18" s="1"/>
    </row>
    <row r="19" spans="1:17" ht="25" customHeight="1" x14ac:dyDescent="0.45">
      <c r="A19" s="5"/>
      <c r="B19" s="30"/>
      <c r="C19" s="65">
        <v>88</v>
      </c>
      <c r="D19" s="200"/>
      <c r="E19" s="200"/>
      <c r="F19" s="204"/>
      <c r="G19" s="206"/>
      <c r="H19" s="209"/>
      <c r="I19" s="215"/>
      <c r="J19" s="213"/>
      <c r="K19" s="31"/>
      <c r="L19" s="20" t="str">
        <f t="shared" si="2"/>
        <v>경고</v>
      </c>
      <c r="N19" s="1"/>
    </row>
    <row r="20" spans="1:17" ht="25" customHeight="1" x14ac:dyDescent="0.45">
      <c r="A20" s="5"/>
      <c r="B20" s="30"/>
      <c r="C20" s="65">
        <v>87</v>
      </c>
      <c r="D20" s="59">
        <f t="shared" si="1"/>
        <v>135</v>
      </c>
      <c r="E20" s="74">
        <f t="shared" si="0"/>
        <v>2</v>
      </c>
      <c r="F20" s="60">
        <f t="shared" si="3"/>
        <v>94.99</v>
      </c>
      <c r="G20" s="61">
        <f>IF(D20=D19,"",_xlfn.IFNA(VLOOKUP(D20,'인원 입력 기능(국수)'!$F$5:$I$103,4,FALSE),0))</f>
        <v>6</v>
      </c>
      <c r="H20" s="62">
        <f t="shared" si="4"/>
        <v>2.2124791197283075E-5</v>
      </c>
      <c r="I20" s="72">
        <f>SUM($G$7:G20)</f>
        <v>13590</v>
      </c>
      <c r="J20" s="64">
        <f t="shared" si="5"/>
        <v>5.0112652061846168E-2</v>
      </c>
      <c r="K20" s="31"/>
      <c r="L20" s="20" t="str">
        <f t="shared" si="2"/>
        <v/>
      </c>
      <c r="N20" s="1"/>
    </row>
    <row r="21" spans="1:17" ht="25" customHeight="1" x14ac:dyDescent="0.45">
      <c r="A21" s="5"/>
      <c r="B21" s="30"/>
      <c r="C21" s="65">
        <v>86</v>
      </c>
      <c r="D21" s="59">
        <f t="shared" si="1"/>
        <v>134</v>
      </c>
      <c r="E21" s="74">
        <f t="shared" si="0"/>
        <v>2</v>
      </c>
      <c r="F21" s="60">
        <f t="shared" si="3"/>
        <v>94.97</v>
      </c>
      <c r="G21" s="61">
        <f>IF(D21=D20,"",_xlfn.IFNA(VLOOKUP(D21,'인원 입력 기능(국수)'!$F$5:$I$103,4,FALSE),0))</f>
        <v>113</v>
      </c>
      <c r="H21" s="62">
        <f t="shared" si="4"/>
        <v>4.1668356754883128E-4</v>
      </c>
      <c r="I21" s="72">
        <f>SUM($G$7:G21)</f>
        <v>13703</v>
      </c>
      <c r="J21" s="64">
        <f t="shared" si="5"/>
        <v>5.0529335629394996E-2</v>
      </c>
      <c r="K21" s="31"/>
      <c r="L21" s="20" t="str">
        <f t="shared" si="2"/>
        <v/>
      </c>
      <c r="N21" s="1"/>
    </row>
    <row r="22" spans="1:17" ht="25" customHeight="1" x14ac:dyDescent="0.45">
      <c r="A22" s="5"/>
      <c r="B22" s="30"/>
      <c r="C22" s="65">
        <v>85</v>
      </c>
      <c r="D22" s="201">
        <f t="shared" si="1"/>
        <v>133</v>
      </c>
      <c r="E22" s="203">
        <f t="shared" si="0"/>
        <v>2</v>
      </c>
      <c r="F22" s="205">
        <f t="shared" si="3"/>
        <v>93.52</v>
      </c>
      <c r="G22" s="207">
        <f>IF(D22=D21,"",_xlfn.IFNA(VLOOKUP(D22,'인원 입력 기능(국수)'!$F$5:$I$103,4,FALSE),0))</f>
        <v>7714</v>
      </c>
      <c r="H22" s="208">
        <f t="shared" si="4"/>
        <v>2.8445106549306941E-2</v>
      </c>
      <c r="I22" s="214">
        <f>SUM($G$7:G22)</f>
        <v>21417</v>
      </c>
      <c r="J22" s="212">
        <f t="shared" si="5"/>
        <v>7.8974442178701934E-2</v>
      </c>
      <c r="K22" s="31"/>
      <c r="L22" s="20" t="str">
        <f t="shared" si="2"/>
        <v/>
      </c>
      <c r="N22" s="1"/>
    </row>
    <row r="23" spans="1:17" ht="25" customHeight="1" x14ac:dyDescent="0.45">
      <c r="A23" s="5"/>
      <c r="B23" s="30"/>
      <c r="C23" s="65">
        <v>84</v>
      </c>
      <c r="D23" s="200"/>
      <c r="E23" s="202"/>
      <c r="F23" s="204"/>
      <c r="G23" s="206"/>
      <c r="H23" s="209"/>
      <c r="I23" s="215"/>
      <c r="J23" s="213"/>
      <c r="K23" s="31"/>
      <c r="L23" s="20" t="str">
        <f t="shared" si="2"/>
        <v>경고</v>
      </c>
      <c r="N23" s="1"/>
    </row>
    <row r="24" spans="1:17" ht="25" customHeight="1" x14ac:dyDescent="0.45">
      <c r="A24" s="5"/>
      <c r="B24" s="30"/>
      <c r="C24" s="73">
        <v>83</v>
      </c>
      <c r="D24" s="74">
        <f t="shared" si="1"/>
        <v>132</v>
      </c>
      <c r="E24" s="74">
        <f t="shared" si="0"/>
        <v>2</v>
      </c>
      <c r="F24" s="60">
        <f t="shared" si="3"/>
        <v>92.1</v>
      </c>
      <c r="G24" s="61">
        <f>IF(D24=D23,"",_xlfn.IFNA(VLOOKUP(D24,'인원 입력 기능(국수)'!$F$5:$I$103,4,FALSE),0))</f>
        <v>16</v>
      </c>
      <c r="H24" s="62">
        <f t="shared" si="4"/>
        <v>5.899944319275487E-5</v>
      </c>
      <c r="I24" s="75">
        <f>SUM($G$7:G24)</f>
        <v>21433</v>
      </c>
      <c r="J24" s="64">
        <f t="shared" si="5"/>
        <v>7.9033441621894698E-2</v>
      </c>
      <c r="K24" s="31"/>
      <c r="L24" s="20" t="str">
        <f t="shared" si="2"/>
        <v/>
      </c>
      <c r="N24" s="1"/>
    </row>
    <row r="25" spans="1:17" ht="25" customHeight="1" x14ac:dyDescent="0.45">
      <c r="A25" s="5"/>
      <c r="B25" s="30"/>
      <c r="C25" s="73">
        <v>82</v>
      </c>
      <c r="D25" s="74">
        <f t="shared" si="1"/>
        <v>131</v>
      </c>
      <c r="E25" s="74">
        <f t="shared" si="0"/>
        <v>2</v>
      </c>
      <c r="F25" s="60">
        <f t="shared" si="3"/>
        <v>92.05</v>
      </c>
      <c r="G25" s="61">
        <f>IF(D25=D24,"",_xlfn.IFNA(VLOOKUP(D25,'인원 입력 기능(국수)'!$F$5:$I$103,4,FALSE),0))</f>
        <v>271</v>
      </c>
      <c r="H25" s="62">
        <f t="shared" si="4"/>
        <v>9.9930306907728556E-4</v>
      </c>
      <c r="I25" s="75">
        <f>SUM($G$7:G25)</f>
        <v>21704</v>
      </c>
      <c r="J25" s="64">
        <f t="shared" si="5"/>
        <v>8.0032744690971977E-2</v>
      </c>
      <c r="K25" s="31"/>
      <c r="L25" s="20" t="str">
        <f t="shared" si="2"/>
        <v/>
      </c>
      <c r="N25" s="1"/>
    </row>
    <row r="26" spans="1:17" ht="25" customHeight="1" x14ac:dyDescent="0.45">
      <c r="A26" s="5"/>
      <c r="B26" s="30"/>
      <c r="C26" s="73">
        <v>81</v>
      </c>
      <c r="D26" s="74">
        <f t="shared" si="1"/>
        <v>130</v>
      </c>
      <c r="E26" s="74">
        <f t="shared" si="0"/>
        <v>2</v>
      </c>
      <c r="F26" s="60">
        <f t="shared" si="3"/>
        <v>91.63</v>
      </c>
      <c r="G26" s="61">
        <f>IF(D26=D25,"",_xlfn.IFNA(VLOOKUP(D26,'인원 입력 기능(국수)'!$F$5:$I$103,4,FALSE),0))</f>
        <v>1984</v>
      </c>
      <c r="H26" s="62">
        <f t="shared" si="4"/>
        <v>7.3159309559016035E-3</v>
      </c>
      <c r="I26" s="75">
        <f>SUM($G$7:G26)</f>
        <v>23688</v>
      </c>
      <c r="J26" s="64">
        <f t="shared" si="5"/>
        <v>8.7348675646873583E-2</v>
      </c>
      <c r="K26" s="31"/>
      <c r="L26" s="20" t="str">
        <f t="shared" si="2"/>
        <v/>
      </c>
      <c r="N26" s="1"/>
    </row>
    <row r="27" spans="1:17" ht="25" customHeight="1" x14ac:dyDescent="0.45">
      <c r="A27" s="5"/>
      <c r="B27" s="30"/>
      <c r="C27" s="73">
        <v>80</v>
      </c>
      <c r="D27" s="203">
        <f t="shared" si="1"/>
        <v>129</v>
      </c>
      <c r="E27" s="203">
        <f t="shared" si="0"/>
        <v>2</v>
      </c>
      <c r="F27" s="205">
        <f t="shared" si="3"/>
        <v>90.05</v>
      </c>
      <c r="G27" s="207">
        <f>IF(D27=D26,"",_xlfn.IFNA(VLOOKUP(D27,'인원 입력 기능(국수)'!$F$5:$I$103,4,FALSE),0))</f>
        <v>6609</v>
      </c>
      <c r="H27" s="208">
        <f t="shared" si="4"/>
        <v>2.4370457503807307E-2</v>
      </c>
      <c r="I27" s="210">
        <f>SUM($G$7:G27)</f>
        <v>30297</v>
      </c>
      <c r="J27" s="212">
        <f t="shared" si="5"/>
        <v>0.1117191331506809</v>
      </c>
      <c r="K27" s="31"/>
      <c r="L27" s="20" t="str">
        <f t="shared" si="2"/>
        <v/>
      </c>
      <c r="N27" s="1"/>
    </row>
    <row r="28" spans="1:17" ht="25" customHeight="1" x14ac:dyDescent="0.45">
      <c r="A28" s="5"/>
      <c r="B28" s="30"/>
      <c r="C28" s="73">
        <v>79</v>
      </c>
      <c r="D28" s="202"/>
      <c r="E28" s="202"/>
      <c r="F28" s="204"/>
      <c r="G28" s="206"/>
      <c r="H28" s="209"/>
      <c r="I28" s="211"/>
      <c r="J28" s="213"/>
      <c r="K28" s="31"/>
      <c r="L28" s="20" t="str">
        <f t="shared" si="2"/>
        <v>경고</v>
      </c>
      <c r="N28" s="1"/>
    </row>
    <row r="29" spans="1:17" ht="25" customHeight="1" x14ac:dyDescent="0.45">
      <c r="A29" s="5"/>
      <c r="B29" s="30"/>
      <c r="C29" s="73">
        <v>78</v>
      </c>
      <c r="D29" s="74">
        <f t="shared" si="1"/>
        <v>128</v>
      </c>
      <c r="E29" s="74">
        <f t="shared" si="0"/>
        <v>3</v>
      </c>
      <c r="F29" s="60">
        <f t="shared" si="3"/>
        <v>88.73</v>
      </c>
      <c r="G29" s="61">
        <f>IF(D29=D28,"",_xlfn.IFNA(VLOOKUP(D29,'인원 입력 기능(국수)'!$F$5:$I$103,4,FALSE),0))</f>
        <v>510</v>
      </c>
      <c r="H29" s="62">
        <f t="shared" si="4"/>
        <v>1.8806072517690614E-3</v>
      </c>
      <c r="I29" s="75">
        <f>SUM($G$7:G29)</f>
        <v>30807</v>
      </c>
      <c r="J29" s="64">
        <f t="shared" si="5"/>
        <v>0.11359974040244995</v>
      </c>
      <c r="K29" s="31"/>
      <c r="L29" s="20" t="str">
        <f t="shared" si="2"/>
        <v/>
      </c>
      <c r="N29" s="1"/>
    </row>
    <row r="30" spans="1:17" ht="25" customHeight="1" x14ac:dyDescent="0.45">
      <c r="A30" s="5"/>
      <c r="B30" s="30"/>
      <c r="C30" s="73">
        <v>77</v>
      </c>
      <c r="D30" s="74">
        <f t="shared" si="1"/>
        <v>127</v>
      </c>
      <c r="E30" s="74">
        <f t="shared" si="0"/>
        <v>3</v>
      </c>
      <c r="F30" s="60">
        <f t="shared" si="3"/>
        <v>88.14</v>
      </c>
      <c r="G30" s="61">
        <f>IF(D30=D29,"",_xlfn.IFNA(VLOOKUP(D30,'인원 입력 기능(국수)'!$F$5:$I$103,4,FALSE),0))</f>
        <v>2689</v>
      </c>
      <c r="H30" s="62">
        <f t="shared" si="4"/>
        <v>9.9155939215823646E-3</v>
      </c>
      <c r="I30" s="75">
        <f>SUM($G$7:G30)</f>
        <v>33496</v>
      </c>
      <c r="J30" s="64">
        <f t="shared" si="5"/>
        <v>0.12351533432403232</v>
      </c>
      <c r="K30" s="31"/>
      <c r="L30" s="20" t="str">
        <f t="shared" si="2"/>
        <v/>
      </c>
      <c r="N30" s="1"/>
    </row>
    <row r="31" spans="1:17" ht="25" customHeight="1" x14ac:dyDescent="0.45">
      <c r="A31" s="5"/>
      <c r="B31" s="30"/>
      <c r="C31" s="73">
        <v>76</v>
      </c>
      <c r="D31" s="203">
        <f t="shared" si="1"/>
        <v>126</v>
      </c>
      <c r="E31" s="203">
        <f t="shared" si="0"/>
        <v>3</v>
      </c>
      <c r="F31" s="205">
        <f t="shared" si="3"/>
        <v>86.45</v>
      </c>
      <c r="G31" s="207">
        <f>IF(D31=D30,"",_xlfn.IFNA(VLOOKUP(D31,'인원 입력 기능(국수)'!$F$5:$I$103,4,FALSE),0))</f>
        <v>6486</v>
      </c>
      <c r="H31" s="208">
        <f t="shared" si="4"/>
        <v>2.3916899284263004E-2</v>
      </c>
      <c r="I31" s="210">
        <f>SUM($G$7:G31)</f>
        <v>39982</v>
      </c>
      <c r="J31" s="212">
        <f t="shared" si="5"/>
        <v>0.14743223360829533</v>
      </c>
      <c r="K31" s="31"/>
      <c r="L31" s="20" t="str">
        <f t="shared" si="2"/>
        <v/>
      </c>
      <c r="N31" s="1"/>
    </row>
    <row r="32" spans="1:17" ht="25" customHeight="1" x14ac:dyDescent="0.45">
      <c r="A32" s="5"/>
      <c r="B32" s="30"/>
      <c r="C32" s="73">
        <v>75</v>
      </c>
      <c r="D32" s="202"/>
      <c r="E32" s="202"/>
      <c r="F32" s="204"/>
      <c r="G32" s="206"/>
      <c r="H32" s="209"/>
      <c r="I32" s="211"/>
      <c r="J32" s="213"/>
      <c r="K32" s="31"/>
      <c r="L32" s="20" t="str">
        <f t="shared" si="2"/>
        <v>경고</v>
      </c>
      <c r="N32" s="1"/>
    </row>
    <row r="33" spans="1:14" ht="25" customHeight="1" x14ac:dyDescent="0.45">
      <c r="A33" s="5"/>
      <c r="B33" s="30"/>
      <c r="C33" s="73">
        <v>74</v>
      </c>
      <c r="D33" s="74">
        <f t="shared" si="1"/>
        <v>125</v>
      </c>
      <c r="E33" s="74">
        <f t="shared" si="0"/>
        <v>3</v>
      </c>
      <c r="F33" s="60">
        <f t="shared" si="3"/>
        <v>85.09</v>
      </c>
      <c r="G33" s="61">
        <f>IF(D33=D32,"",_xlfn.IFNA(VLOOKUP(D33,'인원 입력 기능(국수)'!$F$5:$I$103,4,FALSE),0))</f>
        <v>915</v>
      </c>
      <c r="H33" s="62">
        <f t="shared" si="4"/>
        <v>3.3740306575856692E-3</v>
      </c>
      <c r="I33" s="75">
        <f>SUM($G$7:G33)</f>
        <v>40897</v>
      </c>
      <c r="J33" s="64">
        <f t="shared" si="5"/>
        <v>0.15080626426588098</v>
      </c>
      <c r="K33" s="31"/>
      <c r="L33" s="20" t="str">
        <f t="shared" si="2"/>
        <v/>
      </c>
      <c r="N33" s="1"/>
    </row>
    <row r="34" spans="1:14" ht="25" customHeight="1" x14ac:dyDescent="0.45">
      <c r="A34" s="5"/>
      <c r="B34" s="30"/>
      <c r="C34" s="73">
        <v>73</v>
      </c>
      <c r="D34" s="74">
        <f t="shared" si="1"/>
        <v>124</v>
      </c>
      <c r="E34" s="74">
        <f t="shared" si="0"/>
        <v>3</v>
      </c>
      <c r="F34" s="60">
        <f t="shared" si="3"/>
        <v>84.29</v>
      </c>
      <c r="G34" s="61">
        <f>IF(D34=D33,"",_xlfn.IFNA(VLOOKUP(D34,'인원 입력 기능(국수)'!$F$5:$I$103,4,FALSE),0))</f>
        <v>3403</v>
      </c>
      <c r="H34" s="62">
        <f t="shared" si="4"/>
        <v>1.2548444074059051E-2</v>
      </c>
      <c r="I34" s="75">
        <f>SUM($G$7:G34)</f>
        <v>44300</v>
      </c>
      <c r="J34" s="64">
        <f t="shared" si="5"/>
        <v>0.16335470833994004</v>
      </c>
      <c r="K34" s="31"/>
      <c r="L34" s="20" t="str">
        <f t="shared" si="2"/>
        <v/>
      </c>
      <c r="N34" s="1"/>
    </row>
    <row r="35" spans="1:14" ht="25" customHeight="1" x14ac:dyDescent="0.45">
      <c r="A35" s="5"/>
      <c r="B35" s="30"/>
      <c r="C35" s="73">
        <v>72</v>
      </c>
      <c r="D35" s="203">
        <f t="shared" si="1"/>
        <v>123</v>
      </c>
      <c r="E35" s="203">
        <f t="shared" si="0"/>
        <v>3</v>
      </c>
      <c r="F35" s="205">
        <f t="shared" si="3"/>
        <v>82.68</v>
      </c>
      <c r="G35" s="207">
        <f>IF(D35=D34,"",_xlfn.IFNA(VLOOKUP(D35,'인원 입력 기능(국수)'!$F$5:$I$103,4,FALSE),0))</f>
        <v>5331</v>
      </c>
      <c r="H35" s="208">
        <f t="shared" si="4"/>
        <v>1.9657876978786012E-2</v>
      </c>
      <c r="I35" s="210">
        <f>SUM($G$7:G35)</f>
        <v>49631</v>
      </c>
      <c r="J35" s="212">
        <f t="shared" si="5"/>
        <v>0.18301258531872605</v>
      </c>
      <c r="K35" s="31"/>
      <c r="L35" s="20" t="str">
        <f t="shared" si="2"/>
        <v/>
      </c>
      <c r="N35" s="1"/>
    </row>
    <row r="36" spans="1:14" ht="25" customHeight="1" x14ac:dyDescent="0.45">
      <c r="A36" s="5"/>
      <c r="B36" s="30"/>
      <c r="C36" s="73">
        <v>71</v>
      </c>
      <c r="D36" s="202"/>
      <c r="E36" s="202"/>
      <c r="F36" s="204"/>
      <c r="G36" s="206"/>
      <c r="H36" s="209"/>
      <c r="I36" s="211"/>
      <c r="J36" s="213"/>
      <c r="K36" s="31"/>
      <c r="L36" s="20" t="str">
        <f t="shared" si="2"/>
        <v>경고</v>
      </c>
      <c r="N36" s="1"/>
    </row>
    <row r="37" spans="1:14" ht="25" customHeight="1" x14ac:dyDescent="0.45">
      <c r="A37" s="5"/>
      <c r="B37" s="30"/>
      <c r="C37" s="73">
        <v>70</v>
      </c>
      <c r="D37" s="74">
        <f t="shared" si="1"/>
        <v>122</v>
      </c>
      <c r="E37" s="74">
        <f t="shared" si="0"/>
        <v>3</v>
      </c>
      <c r="F37" s="60">
        <f t="shared" si="3"/>
        <v>81.37</v>
      </c>
      <c r="G37" s="61">
        <f>IF(D37=D36,"",_xlfn.IFNA(VLOOKUP(D37,'인원 입력 기능(국수)'!$F$5:$I$103,4,FALSE),0))</f>
        <v>1793</v>
      </c>
      <c r="H37" s="62">
        <f t="shared" si="4"/>
        <v>6.6116251027880926E-3</v>
      </c>
      <c r="I37" s="75">
        <f>SUM($G$7:G37)</f>
        <v>51424</v>
      </c>
      <c r="J37" s="64">
        <f t="shared" si="5"/>
        <v>0.18962421042151414</v>
      </c>
      <c r="K37" s="31"/>
      <c r="L37" s="20" t="str">
        <f t="shared" si="2"/>
        <v/>
      </c>
      <c r="N37" s="1"/>
    </row>
    <row r="38" spans="1:14" ht="25" customHeight="1" x14ac:dyDescent="0.45">
      <c r="A38" s="5"/>
      <c r="B38" s="30"/>
      <c r="C38" s="73">
        <v>69</v>
      </c>
      <c r="D38" s="74">
        <f t="shared" si="1"/>
        <v>121</v>
      </c>
      <c r="E38" s="74">
        <f t="shared" si="0"/>
        <v>3</v>
      </c>
      <c r="F38" s="60">
        <f t="shared" si="3"/>
        <v>80.27</v>
      </c>
      <c r="G38" s="61">
        <f>IF(D38=D37,"",_xlfn.IFNA(VLOOKUP(D38,'인원 입력 기능(국수)'!$F$5:$I$103,4,FALSE),0))</f>
        <v>4164</v>
      </c>
      <c r="H38" s="62">
        <f t="shared" si="4"/>
        <v>1.5354605090914455E-2</v>
      </c>
      <c r="I38" s="75">
        <f>SUM($G$7:G38)</f>
        <v>55588</v>
      </c>
      <c r="J38" s="64">
        <f t="shared" si="5"/>
        <v>0.20497881551242861</v>
      </c>
      <c r="K38" s="31"/>
      <c r="L38" s="20" t="str">
        <f t="shared" si="2"/>
        <v/>
      </c>
      <c r="N38" s="1"/>
    </row>
    <row r="39" spans="1:14" ht="25" customHeight="1" x14ac:dyDescent="0.45">
      <c r="A39" s="5"/>
      <c r="B39" s="30"/>
      <c r="C39" s="73">
        <v>68</v>
      </c>
      <c r="D39" s="74">
        <f t="shared" si="1"/>
        <v>120</v>
      </c>
      <c r="E39" s="74">
        <f t="shared" si="0"/>
        <v>3</v>
      </c>
      <c r="F39" s="60">
        <f t="shared" si="3"/>
        <v>78.72</v>
      </c>
      <c r="G39" s="61">
        <f>IF(D39=D38,"",_xlfn.IFNA(VLOOKUP(D39,'인원 입력 기능(국수)'!$F$5:$I$103,4,FALSE),0))</f>
        <v>4254</v>
      </c>
      <c r="H39" s="62">
        <f t="shared" si="4"/>
        <v>1.56864769588737E-2</v>
      </c>
      <c r="I39" s="75">
        <f>SUM($G$7:G39)</f>
        <v>59842</v>
      </c>
      <c r="J39" s="64">
        <f t="shared" si="5"/>
        <v>0.22066529247130232</v>
      </c>
      <c r="K39" s="31"/>
      <c r="L39" s="20" t="str">
        <f t="shared" si="2"/>
        <v/>
      </c>
      <c r="N39" s="1"/>
    </row>
    <row r="40" spans="1:14" ht="25" customHeight="1" x14ac:dyDescent="0.45">
      <c r="A40" s="5"/>
      <c r="B40" s="30"/>
      <c r="C40" s="73">
        <v>67</v>
      </c>
      <c r="D40" s="203">
        <f t="shared" si="1"/>
        <v>119</v>
      </c>
      <c r="E40" s="203">
        <f t="shared" si="0"/>
        <v>3</v>
      </c>
      <c r="F40" s="205">
        <f t="shared" si="3"/>
        <v>77.37</v>
      </c>
      <c r="G40" s="207">
        <f>IF(D40=D39,"",_xlfn.IFNA(VLOOKUP(D40,'인원 입력 기능(국수)'!$F$5:$I$103,4,FALSE),0))</f>
        <v>3031</v>
      </c>
      <c r="H40" s="208">
        <f t="shared" si="4"/>
        <v>1.11767070198275E-2</v>
      </c>
      <c r="I40" s="210">
        <f>SUM($G$7:G40)</f>
        <v>62873</v>
      </c>
      <c r="J40" s="212">
        <f t="shared" si="5"/>
        <v>0.2318419994911298</v>
      </c>
      <c r="K40" s="31"/>
      <c r="L40" s="20" t="str">
        <f t="shared" si="2"/>
        <v/>
      </c>
      <c r="N40" s="1"/>
    </row>
    <row r="41" spans="1:14" ht="25" customHeight="1" x14ac:dyDescent="0.45">
      <c r="A41" s="5"/>
      <c r="B41" s="30"/>
      <c r="C41" s="73">
        <v>66</v>
      </c>
      <c r="D41" s="202"/>
      <c r="E41" s="202"/>
      <c r="F41" s="204"/>
      <c r="G41" s="206"/>
      <c r="H41" s="209"/>
      <c r="I41" s="211"/>
      <c r="J41" s="213"/>
      <c r="K41" s="31"/>
      <c r="L41" s="20" t="str">
        <f t="shared" ref="L41:L72" si="6">IF(ABS((C41-$H$3)/$H$4*20+100-D41)&gt;0.49, "경고", "")</f>
        <v>경고</v>
      </c>
      <c r="N41" s="1"/>
    </row>
    <row r="42" spans="1:14" ht="25" customHeight="1" x14ac:dyDescent="0.45">
      <c r="A42" s="5"/>
      <c r="B42" s="30"/>
      <c r="C42" s="73">
        <v>65</v>
      </c>
      <c r="D42" s="74">
        <f t="shared" ref="D41:D72" si="7">ROUND(20*(C42-$H$3)/$H$4+100,0)</f>
        <v>118</v>
      </c>
      <c r="E42" s="74">
        <f t="shared" si="0"/>
        <v>4</v>
      </c>
      <c r="F42" s="60">
        <f t="shared" si="3"/>
        <v>76.040000000000006</v>
      </c>
      <c r="G42" s="61">
        <f>IF(D42=D41,"",_xlfn.IFNA(VLOOKUP(D42,'인원 입력 기능(국수)'!$F$5:$I$103,4,FALSE),0))</f>
        <v>4231</v>
      </c>
      <c r="H42" s="62">
        <f t="shared" si="4"/>
        <v>1.5601665259284116E-2</v>
      </c>
      <c r="I42" s="75">
        <f>SUM($G$7:G42)</f>
        <v>67104</v>
      </c>
      <c r="J42" s="64">
        <f t="shared" si="5"/>
        <v>0.24744366475041391</v>
      </c>
      <c r="K42" s="31"/>
      <c r="L42" s="20" t="str">
        <f t="shared" si="6"/>
        <v/>
      </c>
      <c r="N42" s="1"/>
    </row>
    <row r="43" spans="1:14" ht="25" customHeight="1" x14ac:dyDescent="0.45">
      <c r="A43" s="5"/>
      <c r="B43" s="30"/>
      <c r="C43" s="73">
        <v>64</v>
      </c>
      <c r="D43" s="74">
        <f t="shared" si="7"/>
        <v>117</v>
      </c>
      <c r="E43" s="74">
        <f t="shared" si="0"/>
        <v>4</v>
      </c>
      <c r="F43" s="60">
        <f t="shared" si="3"/>
        <v>74.709999999999994</v>
      </c>
      <c r="G43" s="61">
        <f>IF(D43=D42,"",_xlfn.IFNA(VLOOKUP(D43,'인원 입력 기능(국수)'!$F$5:$I$103,4,FALSE),0))</f>
        <v>2951</v>
      </c>
      <c r="H43" s="62">
        <f t="shared" si="4"/>
        <v>1.0881709803863725E-2</v>
      </c>
      <c r="I43" s="75">
        <f>SUM($G$7:G43)</f>
        <v>70055</v>
      </c>
      <c r="J43" s="64">
        <f t="shared" si="5"/>
        <v>0.25832537455427762</v>
      </c>
      <c r="K43" s="31"/>
      <c r="L43" s="20" t="str">
        <f t="shared" si="6"/>
        <v/>
      </c>
      <c r="N43" s="1"/>
    </row>
    <row r="44" spans="1:14" ht="25" customHeight="1" x14ac:dyDescent="0.45">
      <c r="A44" s="5"/>
      <c r="B44" s="30"/>
      <c r="C44" s="73">
        <v>63</v>
      </c>
      <c r="D44" s="203">
        <f t="shared" si="7"/>
        <v>116</v>
      </c>
      <c r="E44" s="203">
        <f t="shared" si="0"/>
        <v>4</v>
      </c>
      <c r="F44" s="205">
        <f t="shared" si="3"/>
        <v>73.38</v>
      </c>
      <c r="G44" s="207">
        <f>IF(D44=D43,"",_xlfn.IFNA(VLOOKUP(D44,'인원 입력 기능(국수)'!$F$5:$I$103,4,FALSE),0))</f>
        <v>4297</v>
      </c>
      <c r="H44" s="208">
        <f t="shared" si="4"/>
        <v>1.584503796245423E-2</v>
      </c>
      <c r="I44" s="210">
        <f>SUM($G$7:G44)</f>
        <v>74352</v>
      </c>
      <c r="J44" s="212">
        <f t="shared" si="5"/>
        <v>0.27417041251673185</v>
      </c>
      <c r="K44" s="31"/>
      <c r="L44" s="20" t="str">
        <f t="shared" si="6"/>
        <v/>
      </c>
      <c r="N44" s="1"/>
    </row>
    <row r="45" spans="1:14" ht="25" customHeight="1" x14ac:dyDescent="0.45">
      <c r="A45" s="5"/>
      <c r="B45" s="30"/>
      <c r="C45" s="73">
        <v>62</v>
      </c>
      <c r="D45" s="202"/>
      <c r="E45" s="202"/>
      <c r="F45" s="204"/>
      <c r="G45" s="206"/>
      <c r="H45" s="209"/>
      <c r="I45" s="211"/>
      <c r="J45" s="213"/>
      <c r="K45" s="31"/>
      <c r="L45" s="20" t="str">
        <f t="shared" si="6"/>
        <v>경고</v>
      </c>
      <c r="N45" s="1"/>
    </row>
    <row r="46" spans="1:14" ht="25" customHeight="1" x14ac:dyDescent="0.45">
      <c r="A46" s="5"/>
      <c r="B46" s="30"/>
      <c r="C46" s="73">
        <v>61</v>
      </c>
      <c r="D46" s="74">
        <f t="shared" si="7"/>
        <v>115</v>
      </c>
      <c r="E46" s="74">
        <f t="shared" si="0"/>
        <v>4</v>
      </c>
      <c r="F46" s="60">
        <f t="shared" si="3"/>
        <v>71.87</v>
      </c>
      <c r="G46" s="61">
        <f>IF(D46=D45,"",_xlfn.IFNA(VLOOKUP(D46,'인원 입력 기능(국수)'!$F$5:$I$103,4,FALSE),0))</f>
        <v>3858</v>
      </c>
      <c r="H46" s="62">
        <f t="shared" si="4"/>
        <v>1.4226240739853018E-2</v>
      </c>
      <c r="I46" s="75">
        <f>SUM($G$7:G46)</f>
        <v>78210</v>
      </c>
      <c r="J46" s="64">
        <f t="shared" si="5"/>
        <v>0.28839665325658487</v>
      </c>
      <c r="K46" s="31"/>
      <c r="L46" s="20" t="str">
        <f t="shared" si="6"/>
        <v/>
      </c>
      <c r="N46" s="1"/>
    </row>
    <row r="47" spans="1:14" ht="25" customHeight="1" x14ac:dyDescent="0.45">
      <c r="A47" s="5"/>
      <c r="B47" s="30"/>
      <c r="C47" s="73">
        <v>60</v>
      </c>
      <c r="D47" s="74">
        <f t="shared" si="7"/>
        <v>114</v>
      </c>
      <c r="E47" s="74">
        <f t="shared" si="0"/>
        <v>4</v>
      </c>
      <c r="F47" s="60">
        <f t="shared" si="3"/>
        <v>70.75</v>
      </c>
      <c r="G47" s="61">
        <f>IF(D47=D46,"",_xlfn.IFNA(VLOOKUP(D47,'인원 입력 기능(국수)'!$F$5:$I$103,4,FALSE),0))</f>
        <v>2232</v>
      </c>
      <c r="H47" s="62">
        <f t="shared" si="4"/>
        <v>8.2304223253893034E-3</v>
      </c>
      <c r="I47" s="75">
        <f>SUM($G$7:G47)</f>
        <v>80442</v>
      </c>
      <c r="J47" s="64">
        <f t="shared" si="5"/>
        <v>0.29662707558197421</v>
      </c>
      <c r="K47" s="31"/>
      <c r="L47" s="20" t="str">
        <f t="shared" si="6"/>
        <v/>
      </c>
      <c r="N47" s="1"/>
    </row>
    <row r="48" spans="1:14" ht="25" customHeight="1" x14ac:dyDescent="0.45">
      <c r="A48" s="5"/>
      <c r="B48" s="30"/>
      <c r="C48" s="73">
        <v>59</v>
      </c>
      <c r="D48" s="74">
        <f t="shared" si="7"/>
        <v>113</v>
      </c>
      <c r="E48" s="74">
        <f t="shared" si="0"/>
        <v>4</v>
      </c>
      <c r="F48" s="60">
        <f t="shared" si="3"/>
        <v>69.97</v>
      </c>
      <c r="G48" s="61">
        <f>IF(D48=D47,"",_xlfn.IFNA(VLOOKUP(D48,'인원 입력 기능(국수)'!$F$5:$I$103,4,FALSE),0))</f>
        <v>1969</v>
      </c>
      <c r="H48" s="62">
        <f t="shared" si="4"/>
        <v>7.2606189779083957E-3</v>
      </c>
      <c r="I48" s="75">
        <f>SUM($G$7:G48)</f>
        <v>82411</v>
      </c>
      <c r="J48" s="64">
        <f t="shared" si="5"/>
        <v>0.30388769455988257</v>
      </c>
      <c r="K48" s="31"/>
      <c r="L48" s="20" t="str">
        <f t="shared" si="6"/>
        <v/>
      </c>
      <c r="N48" s="1"/>
    </row>
    <row r="49" spans="1:14" ht="25" customHeight="1" x14ac:dyDescent="0.45">
      <c r="A49" s="5"/>
      <c r="B49" s="30"/>
      <c r="C49" s="73">
        <v>58</v>
      </c>
      <c r="D49" s="203">
        <f t="shared" si="7"/>
        <v>112</v>
      </c>
      <c r="E49" s="203">
        <f t="shared" si="0"/>
        <v>4</v>
      </c>
      <c r="F49" s="205">
        <f t="shared" si="3"/>
        <v>68.47</v>
      </c>
      <c r="G49" s="207">
        <f>IF(D49=D48,"",_xlfn.IFNA(VLOOKUP(D49,'인원 입력 기능(국수)'!$F$5:$I$103,4,FALSE),0))</f>
        <v>6209</v>
      </c>
      <c r="H49" s="208">
        <f t="shared" si="4"/>
        <v>2.2895471423988435E-2</v>
      </c>
      <c r="I49" s="210">
        <f>SUM($G$7:G49)</f>
        <v>88620</v>
      </c>
      <c r="J49" s="212">
        <f t="shared" si="5"/>
        <v>0.32678316598387103</v>
      </c>
      <c r="K49" s="31"/>
      <c r="L49" s="20" t="str">
        <f t="shared" si="6"/>
        <v/>
      </c>
      <c r="N49" s="1"/>
    </row>
    <row r="50" spans="1:14" ht="25" customHeight="1" x14ac:dyDescent="0.45">
      <c r="A50" s="5"/>
      <c r="B50" s="30"/>
      <c r="C50" s="73">
        <v>57</v>
      </c>
      <c r="D50" s="202"/>
      <c r="E50" s="202"/>
      <c r="F50" s="204"/>
      <c r="G50" s="206"/>
      <c r="H50" s="209"/>
      <c r="I50" s="211"/>
      <c r="J50" s="213"/>
      <c r="K50" s="31"/>
      <c r="L50" s="20" t="str">
        <f t="shared" si="6"/>
        <v>경고</v>
      </c>
      <c r="N50" s="1"/>
    </row>
    <row r="51" spans="1:14" ht="25" customHeight="1" x14ac:dyDescent="0.45">
      <c r="A51" s="5"/>
      <c r="B51" s="30"/>
      <c r="C51" s="73">
        <v>56</v>
      </c>
      <c r="D51" s="74">
        <f t="shared" si="7"/>
        <v>111</v>
      </c>
      <c r="E51" s="74">
        <f t="shared" si="0"/>
        <v>4</v>
      </c>
      <c r="F51" s="60">
        <f t="shared" si="3"/>
        <v>66.94</v>
      </c>
      <c r="G51" s="61">
        <f>IF(D51=D50,"",_xlfn.IFNA(VLOOKUP(D51,'인원 입력 기능(국수)'!$F$5:$I$103,4,FALSE),0))</f>
        <v>2089</v>
      </c>
      <c r="H51" s="62">
        <f t="shared" si="4"/>
        <v>7.7031148018540576E-3</v>
      </c>
      <c r="I51" s="75">
        <f>SUM($G$7:G51)</f>
        <v>90709</v>
      </c>
      <c r="J51" s="64">
        <f t="shared" si="5"/>
        <v>0.33448628078572507</v>
      </c>
      <c r="K51" s="31"/>
      <c r="L51" s="20" t="str">
        <f t="shared" si="6"/>
        <v/>
      </c>
      <c r="N51" s="1"/>
    </row>
    <row r="52" spans="1:14" ht="25" customHeight="1" x14ac:dyDescent="0.45">
      <c r="A52" s="5"/>
      <c r="B52" s="30"/>
      <c r="C52" s="73">
        <v>55</v>
      </c>
      <c r="D52" s="74">
        <f t="shared" si="7"/>
        <v>110</v>
      </c>
      <c r="E52" s="74">
        <f t="shared" si="0"/>
        <v>4</v>
      </c>
      <c r="F52" s="60">
        <f t="shared" si="3"/>
        <v>66.08</v>
      </c>
      <c r="G52" s="61">
        <f>IF(D52=D51,"",_xlfn.IFNA(VLOOKUP(D52,'인원 입력 기능(국수)'!$F$5:$I$103,4,FALSE),0))</f>
        <v>2576</v>
      </c>
      <c r="H52" s="62">
        <f t="shared" si="4"/>
        <v>9.4989103540335344E-3</v>
      </c>
      <c r="I52" s="75">
        <f>SUM($G$7:G52)</f>
        <v>93285</v>
      </c>
      <c r="J52" s="64">
        <f t="shared" si="5"/>
        <v>0.34398519113975862</v>
      </c>
      <c r="K52" s="31"/>
      <c r="L52" s="20" t="str">
        <f t="shared" si="6"/>
        <v/>
      </c>
      <c r="N52" s="1"/>
    </row>
    <row r="53" spans="1:14" ht="25" customHeight="1" x14ac:dyDescent="0.45">
      <c r="A53" s="5"/>
      <c r="B53" s="30"/>
      <c r="C53" s="73">
        <v>54</v>
      </c>
      <c r="D53" s="203">
        <f t="shared" si="7"/>
        <v>109</v>
      </c>
      <c r="E53" s="203">
        <f t="shared" si="0"/>
        <v>4</v>
      </c>
      <c r="F53" s="205">
        <f t="shared" si="3"/>
        <v>64.62</v>
      </c>
      <c r="G53" s="207">
        <f>IF(D53=D52,"",_xlfn.IFNA(VLOOKUP(D53,'인원 입력 기능(국수)'!$F$5:$I$103,4,FALSE),0))</f>
        <v>5320</v>
      </c>
      <c r="H53" s="208">
        <f t="shared" si="4"/>
        <v>1.9617314861590993E-2</v>
      </c>
      <c r="I53" s="210">
        <f>SUM($G$7:G53)</f>
        <v>98605</v>
      </c>
      <c r="J53" s="212">
        <f t="shared" si="5"/>
        <v>0.36360250600134963</v>
      </c>
      <c r="K53" s="31"/>
      <c r="L53" s="20" t="str">
        <f t="shared" si="6"/>
        <v/>
      </c>
      <c r="N53" s="1"/>
    </row>
    <row r="54" spans="1:14" ht="25" customHeight="1" x14ac:dyDescent="0.45">
      <c r="A54" s="5"/>
      <c r="B54" s="30"/>
      <c r="C54" s="73">
        <v>53</v>
      </c>
      <c r="D54" s="202"/>
      <c r="E54" s="202"/>
      <c r="F54" s="204"/>
      <c r="G54" s="206"/>
      <c r="H54" s="209"/>
      <c r="I54" s="211"/>
      <c r="J54" s="213"/>
      <c r="K54" s="31"/>
      <c r="L54" s="20" t="str">
        <f t="shared" si="6"/>
        <v>경고</v>
      </c>
      <c r="N54" s="1"/>
    </row>
    <row r="55" spans="1:14" ht="25" customHeight="1" x14ac:dyDescent="0.45">
      <c r="A55" s="5"/>
      <c r="B55" s="30"/>
      <c r="C55" s="73">
        <v>52</v>
      </c>
      <c r="D55" s="74">
        <f t="shared" si="7"/>
        <v>108</v>
      </c>
      <c r="E55" s="74">
        <f t="shared" si="0"/>
        <v>4</v>
      </c>
      <c r="F55" s="60">
        <f t="shared" si="3"/>
        <v>63.22</v>
      </c>
      <c r="G55" s="61">
        <f>IF(D55=D54,"",_xlfn.IFNA(VLOOKUP(D55,'인원 입력 기능(국수)'!$F$5:$I$103,4,FALSE),0))</f>
        <v>2259</v>
      </c>
      <c r="H55" s="62">
        <f t="shared" si="4"/>
        <v>8.3299838857770776E-3</v>
      </c>
      <c r="I55" s="75">
        <f>SUM($G$7:G55)</f>
        <v>100864</v>
      </c>
      <c r="J55" s="64">
        <f t="shared" si="5"/>
        <v>0.37193248988712668</v>
      </c>
      <c r="K55" s="31"/>
      <c r="L55" s="20" t="str">
        <f t="shared" si="6"/>
        <v/>
      </c>
      <c r="N55" s="1"/>
    </row>
    <row r="56" spans="1:14" ht="25" customHeight="1" x14ac:dyDescent="0.45">
      <c r="A56" s="5"/>
      <c r="B56" s="30"/>
      <c r="C56" s="73">
        <v>51</v>
      </c>
      <c r="D56" s="74">
        <f t="shared" si="7"/>
        <v>107</v>
      </c>
      <c r="E56" s="74">
        <f t="shared" si="0"/>
        <v>4</v>
      </c>
      <c r="F56" s="60">
        <f t="shared" si="3"/>
        <v>62.28</v>
      </c>
      <c r="G56" s="61">
        <f>IF(D56=D55,"",_xlfn.IFNA(VLOOKUP(D56,'인원 입력 기능(국수)'!$F$5:$I$103,4,FALSE),0))</f>
        <v>2860</v>
      </c>
      <c r="H56" s="62">
        <f t="shared" si="4"/>
        <v>1.0546150470704932E-2</v>
      </c>
      <c r="I56" s="75">
        <f>SUM($G$7:G56)</f>
        <v>103724</v>
      </c>
      <c r="J56" s="64">
        <f t="shared" si="5"/>
        <v>0.38247864035783163</v>
      </c>
      <c r="K56" s="31"/>
      <c r="L56" s="20" t="str">
        <f t="shared" si="6"/>
        <v/>
      </c>
      <c r="N56" s="1"/>
    </row>
    <row r="57" spans="1:14" ht="25" customHeight="1" x14ac:dyDescent="0.45">
      <c r="A57" s="5"/>
      <c r="B57" s="30"/>
      <c r="C57" s="73">
        <v>50</v>
      </c>
      <c r="D57" s="74">
        <f t="shared" si="7"/>
        <v>106</v>
      </c>
      <c r="E57" s="74">
        <f t="shared" si="0"/>
        <v>4</v>
      </c>
      <c r="F57" s="60">
        <f t="shared" si="3"/>
        <v>61.28</v>
      </c>
      <c r="G57" s="61">
        <f>IF(D57=D56,"",_xlfn.IFNA(VLOOKUP(D57,'인원 입력 기능(국수)'!$F$5:$I$103,4,FALSE),0))</f>
        <v>2584</v>
      </c>
      <c r="H57" s="62">
        <f t="shared" si="4"/>
        <v>9.5284100756299114E-3</v>
      </c>
      <c r="I57" s="75">
        <f>SUM($G$7:G57)</f>
        <v>106308</v>
      </c>
      <c r="J57" s="64">
        <f t="shared" si="5"/>
        <v>0.39200705043346151</v>
      </c>
      <c r="K57" s="31"/>
      <c r="L57" s="20" t="str">
        <f t="shared" si="6"/>
        <v/>
      </c>
      <c r="N57" s="1"/>
    </row>
    <row r="58" spans="1:14" ht="25" customHeight="1" x14ac:dyDescent="0.45">
      <c r="A58" s="5"/>
      <c r="B58" s="30"/>
      <c r="C58" s="73">
        <v>49</v>
      </c>
      <c r="D58" s="203">
        <f t="shared" si="7"/>
        <v>105</v>
      </c>
      <c r="E58" s="203">
        <f t="shared" si="0"/>
        <v>4</v>
      </c>
      <c r="F58" s="205">
        <f t="shared" si="3"/>
        <v>59.91</v>
      </c>
      <c r="G58" s="207">
        <f>IF(D58=D57,"",_xlfn.IFNA(VLOOKUP(D58,'인원 입력 기능(국수)'!$F$5:$I$103,4,FALSE),0))</f>
        <v>4828</v>
      </c>
      <c r="H58" s="208">
        <f t="shared" si="4"/>
        <v>1.7803081983413783E-2</v>
      </c>
      <c r="I58" s="210">
        <f>SUM($G$7:G58)</f>
        <v>111136</v>
      </c>
      <c r="J58" s="212">
        <f t="shared" si="5"/>
        <v>0.40981013241687531</v>
      </c>
      <c r="K58" s="31"/>
      <c r="L58" s="20" t="str">
        <f t="shared" si="6"/>
        <v/>
      </c>
      <c r="N58" s="1"/>
    </row>
    <row r="59" spans="1:14" ht="25" customHeight="1" x14ac:dyDescent="0.45">
      <c r="A59" s="5"/>
      <c r="B59" s="30"/>
      <c r="C59" s="73">
        <v>48</v>
      </c>
      <c r="D59" s="202"/>
      <c r="E59" s="202"/>
      <c r="F59" s="204"/>
      <c r="G59" s="206"/>
      <c r="H59" s="209"/>
      <c r="I59" s="211"/>
      <c r="J59" s="213"/>
      <c r="K59" s="31"/>
      <c r="L59" s="20" t="str">
        <f t="shared" si="6"/>
        <v>경고</v>
      </c>
      <c r="N59" s="1"/>
    </row>
    <row r="60" spans="1:14" ht="25" customHeight="1" x14ac:dyDescent="0.45">
      <c r="A60" s="5"/>
      <c r="B60" s="30"/>
      <c r="C60" s="73">
        <v>47</v>
      </c>
      <c r="D60" s="74">
        <f t="shared" si="7"/>
        <v>104</v>
      </c>
      <c r="E60" s="74">
        <f t="shared" si="0"/>
        <v>5</v>
      </c>
      <c r="F60" s="60">
        <f t="shared" si="3"/>
        <v>58.55</v>
      </c>
      <c r="G60" s="61">
        <f>IF(D60=D59,"",_xlfn.IFNA(VLOOKUP(D60,'인원 입력 기능(국수)'!$F$5:$I$103,4,FALSE),0))</f>
        <v>2535</v>
      </c>
      <c r="H60" s="62">
        <f t="shared" si="4"/>
        <v>9.3477242808521002E-3</v>
      </c>
      <c r="I60" s="75">
        <f>SUM($G$7:G60)</f>
        <v>113671</v>
      </c>
      <c r="J60" s="64">
        <f t="shared" si="5"/>
        <v>0.41915785669772743</v>
      </c>
      <c r="K60" s="31"/>
      <c r="L60" s="20" t="str">
        <f t="shared" si="6"/>
        <v/>
      </c>
      <c r="N60" s="1"/>
    </row>
    <row r="61" spans="1:14" ht="25" customHeight="1" x14ac:dyDescent="0.45">
      <c r="A61" s="5"/>
      <c r="B61" s="30"/>
      <c r="C61" s="73">
        <v>46</v>
      </c>
      <c r="D61" s="74">
        <f t="shared" si="7"/>
        <v>103</v>
      </c>
      <c r="E61" s="74">
        <f t="shared" si="0"/>
        <v>5</v>
      </c>
      <c r="F61" s="60">
        <f t="shared" si="3"/>
        <v>57.69</v>
      </c>
      <c r="G61" s="61">
        <f>IF(D61=D60,"",_xlfn.IFNA(VLOOKUP(D61,'인원 입력 기능(국수)'!$F$5:$I$103,4,FALSE),0))</f>
        <v>2156</v>
      </c>
      <c r="H61" s="62">
        <f t="shared" si="4"/>
        <v>7.9501749702237182E-3</v>
      </c>
      <c r="I61" s="75">
        <f>SUM($G$7:G61)</f>
        <v>115827</v>
      </c>
      <c r="J61" s="64">
        <f t="shared" si="5"/>
        <v>0.42710803166795114</v>
      </c>
      <c r="K61" s="31"/>
      <c r="L61" s="20" t="str">
        <f t="shared" si="6"/>
        <v/>
      </c>
      <c r="N61" s="1"/>
    </row>
    <row r="62" spans="1:14" ht="25" customHeight="1" x14ac:dyDescent="0.45">
      <c r="A62" s="5"/>
      <c r="B62" s="30"/>
      <c r="C62" s="73">
        <v>45</v>
      </c>
      <c r="D62" s="203">
        <f t="shared" si="7"/>
        <v>102</v>
      </c>
      <c r="E62" s="203">
        <f t="shared" si="0"/>
        <v>5</v>
      </c>
      <c r="F62" s="205">
        <f t="shared" si="3"/>
        <v>56.36</v>
      </c>
      <c r="G62" s="207">
        <f>IF(D62=D61,"",_xlfn.IFNA(VLOOKUP(D62,'인원 입력 기능(국수)'!$F$5:$I$103,4,FALSE),0))</f>
        <v>5060</v>
      </c>
      <c r="H62" s="208">
        <f t="shared" si="4"/>
        <v>1.8658573909708726E-2</v>
      </c>
      <c r="I62" s="210">
        <f>SUM($G$7:G62)</f>
        <v>120887</v>
      </c>
      <c r="J62" s="212">
        <f t="shared" si="5"/>
        <v>0.44576660557765985</v>
      </c>
      <c r="K62" s="31"/>
      <c r="L62" s="20" t="str">
        <f t="shared" si="6"/>
        <v/>
      </c>
      <c r="N62" s="1"/>
    </row>
    <row r="63" spans="1:14" ht="25" customHeight="1" x14ac:dyDescent="0.45">
      <c r="A63" s="5"/>
      <c r="B63" s="30"/>
      <c r="C63" s="73">
        <v>44</v>
      </c>
      <c r="D63" s="202"/>
      <c r="E63" s="202"/>
      <c r="F63" s="204"/>
      <c r="G63" s="206"/>
      <c r="H63" s="209"/>
      <c r="I63" s="211"/>
      <c r="J63" s="213"/>
      <c r="K63" s="31"/>
      <c r="L63" s="20" t="str">
        <f t="shared" si="6"/>
        <v>경고</v>
      </c>
      <c r="N63" s="1"/>
    </row>
    <row r="64" spans="1:14" ht="25" customHeight="1" x14ac:dyDescent="0.45">
      <c r="A64" s="5"/>
      <c r="B64" s="30"/>
      <c r="C64" s="73">
        <v>43</v>
      </c>
      <c r="D64" s="74">
        <f t="shared" si="7"/>
        <v>101</v>
      </c>
      <c r="E64" s="74">
        <f t="shared" si="0"/>
        <v>5</v>
      </c>
      <c r="F64" s="60">
        <f t="shared" si="3"/>
        <v>55.04</v>
      </c>
      <c r="G64" s="61">
        <f>IF(D64=D63,"",_xlfn.IFNA(VLOOKUP(D64,'인원 입력 기능(국수)'!$F$5:$I$103,4,FALSE),0))</f>
        <v>2104</v>
      </c>
      <c r="H64" s="62">
        <f t="shared" si="4"/>
        <v>7.7584267798472654E-3</v>
      </c>
      <c r="I64" s="75">
        <f>SUM($G$7:G64)</f>
        <v>122991</v>
      </c>
      <c r="J64" s="64">
        <f t="shared" si="5"/>
        <v>0.45352503235750713</v>
      </c>
      <c r="K64" s="31"/>
      <c r="L64" s="20" t="str">
        <f t="shared" si="6"/>
        <v/>
      </c>
      <c r="N64" s="1"/>
    </row>
    <row r="65" spans="1:14" ht="25" customHeight="1" x14ac:dyDescent="0.45">
      <c r="A65" s="5"/>
      <c r="B65" s="30"/>
      <c r="C65" s="73">
        <v>42</v>
      </c>
      <c r="D65" s="74">
        <f t="shared" si="7"/>
        <v>100</v>
      </c>
      <c r="E65" s="74">
        <f t="shared" si="0"/>
        <v>5</v>
      </c>
      <c r="F65" s="60">
        <f t="shared" si="3"/>
        <v>54.21</v>
      </c>
      <c r="G65" s="61">
        <f>IF(D65=D64,"",_xlfn.IFNA(VLOOKUP(D65,'인원 입력 기능(국수)'!$F$5:$I$103,4,FALSE),0))</f>
        <v>2382</v>
      </c>
      <c r="H65" s="62">
        <f t="shared" si="4"/>
        <v>8.7835421053213802E-3</v>
      </c>
      <c r="I65" s="75">
        <f>SUM($G$7:G65)</f>
        <v>125373</v>
      </c>
      <c r="J65" s="64">
        <f t="shared" si="5"/>
        <v>0.46230857446282853</v>
      </c>
      <c r="K65" s="31"/>
      <c r="L65" s="20" t="str">
        <f t="shared" si="6"/>
        <v/>
      </c>
      <c r="N65" s="1"/>
    </row>
    <row r="66" spans="1:14" ht="25" customHeight="1" x14ac:dyDescent="0.45">
      <c r="A66" s="5"/>
      <c r="B66" s="30"/>
      <c r="C66" s="73">
        <v>41</v>
      </c>
      <c r="D66" s="203">
        <f t="shared" si="7"/>
        <v>99</v>
      </c>
      <c r="E66" s="203">
        <f t="shared" si="0"/>
        <v>5</v>
      </c>
      <c r="F66" s="205">
        <f t="shared" si="3"/>
        <v>52.88</v>
      </c>
      <c r="G66" s="207">
        <f>IF(D66=D65,"",_xlfn.IFNA(VLOOKUP(D66,'인원 입력 기능(국수)'!$F$5:$I$103,4,FALSE),0))</f>
        <v>4812</v>
      </c>
      <c r="H66" s="208">
        <f t="shared" si="4"/>
        <v>1.7744082540221025E-2</v>
      </c>
      <c r="I66" s="210">
        <f>SUM($G$7:G66)</f>
        <v>130185</v>
      </c>
      <c r="J66" s="212">
        <f t="shared" si="5"/>
        <v>0.48005265700304955</v>
      </c>
      <c r="K66" s="31"/>
      <c r="L66" s="20" t="str">
        <f t="shared" si="6"/>
        <v/>
      </c>
      <c r="N66" s="1"/>
    </row>
    <row r="67" spans="1:14" ht="25" customHeight="1" x14ac:dyDescent="0.45">
      <c r="A67" s="5"/>
      <c r="B67" s="30"/>
      <c r="C67" s="73">
        <v>40</v>
      </c>
      <c r="D67" s="202"/>
      <c r="E67" s="202"/>
      <c r="F67" s="204"/>
      <c r="G67" s="206"/>
      <c r="H67" s="209"/>
      <c r="I67" s="211"/>
      <c r="J67" s="213"/>
      <c r="K67" s="31"/>
      <c r="L67" s="20" t="str">
        <f t="shared" si="6"/>
        <v>경고</v>
      </c>
      <c r="N67" s="1"/>
    </row>
    <row r="68" spans="1:14" ht="25" customHeight="1" x14ac:dyDescent="0.45">
      <c r="A68" s="5"/>
      <c r="B68" s="30"/>
      <c r="C68" s="73">
        <v>39</v>
      </c>
      <c r="D68" s="74">
        <f t="shared" si="7"/>
        <v>98</v>
      </c>
      <c r="E68" s="74">
        <f t="shared" si="0"/>
        <v>5</v>
      </c>
      <c r="F68" s="60">
        <f t="shared" si="3"/>
        <v>51.54</v>
      </c>
      <c r="G68" s="61">
        <f>IF(D68=D67,"",_xlfn.IFNA(VLOOKUP(D68,'인원 입력 기능(국수)'!$F$5:$I$103,4,FALSE),0))</f>
        <v>2453</v>
      </c>
      <c r="H68" s="62">
        <f t="shared" si="4"/>
        <v>9.0453521344892301E-3</v>
      </c>
      <c r="I68" s="75">
        <f>SUM($G$7:G68)</f>
        <v>132638</v>
      </c>
      <c r="J68" s="64">
        <f t="shared" si="5"/>
        <v>0.48909800913753876</v>
      </c>
      <c r="K68" s="31"/>
      <c r="L68" s="20" t="str">
        <f t="shared" si="6"/>
        <v/>
      </c>
      <c r="N68" s="1"/>
    </row>
    <row r="69" spans="1:14" ht="25" customHeight="1" x14ac:dyDescent="0.45">
      <c r="A69" s="5"/>
      <c r="B69" s="30"/>
      <c r="C69" s="73">
        <v>38</v>
      </c>
      <c r="D69" s="74">
        <f t="shared" si="7"/>
        <v>97</v>
      </c>
      <c r="E69" s="74">
        <f t="shared" si="0"/>
        <v>5</v>
      </c>
      <c r="F69" s="60">
        <f t="shared" si="3"/>
        <v>50.59</v>
      </c>
      <c r="G69" s="61">
        <f>IF(D69=D68,"",_xlfn.IFNA(VLOOKUP(D69,'인원 입력 기능(국수)'!$F$5:$I$103,4,FALSE),0))</f>
        <v>2700</v>
      </c>
      <c r="H69" s="62">
        <f t="shared" si="4"/>
        <v>9.9561560387773848E-3</v>
      </c>
      <c r="I69" s="75">
        <f>SUM($G$7:G69)</f>
        <v>135338</v>
      </c>
      <c r="J69" s="64">
        <f t="shared" si="5"/>
        <v>0.49905416517631612</v>
      </c>
      <c r="K69" s="31"/>
      <c r="L69" s="20" t="str">
        <f t="shared" si="6"/>
        <v/>
      </c>
      <c r="N69" s="1"/>
    </row>
    <row r="70" spans="1:14" ht="25" customHeight="1" x14ac:dyDescent="0.45">
      <c r="A70" s="5"/>
      <c r="B70" s="30"/>
      <c r="C70" s="73">
        <v>37</v>
      </c>
      <c r="D70" s="74">
        <f t="shared" si="7"/>
        <v>96</v>
      </c>
      <c r="E70" s="74">
        <f t="shared" si="0"/>
        <v>5</v>
      </c>
      <c r="F70" s="60">
        <f t="shared" si="3"/>
        <v>49.66</v>
      </c>
      <c r="G70" s="61">
        <f>IF(D70=D69,"",_xlfn.IFNA(VLOOKUP(D70,'인원 입력 기능(국수)'!$F$5:$I$103,4,FALSE),0))</f>
        <v>2331</v>
      </c>
      <c r="H70" s="62">
        <f t="shared" si="4"/>
        <v>8.5954813801444752E-3</v>
      </c>
      <c r="I70" s="75">
        <f>SUM($G$7:G70)</f>
        <v>137669</v>
      </c>
      <c r="J70" s="64">
        <f t="shared" si="5"/>
        <v>0.50764964655646061</v>
      </c>
      <c r="K70" s="31"/>
      <c r="L70" s="20" t="str">
        <f t="shared" si="6"/>
        <v/>
      </c>
      <c r="N70" s="1"/>
    </row>
    <row r="71" spans="1:14" ht="25" customHeight="1" x14ac:dyDescent="0.45">
      <c r="A71" s="5"/>
      <c r="B71" s="30"/>
      <c r="C71" s="73">
        <v>36</v>
      </c>
      <c r="D71" s="203">
        <f t="shared" si="7"/>
        <v>95</v>
      </c>
      <c r="E71" s="203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205">
        <f t="shared" si="3"/>
        <v>48.24</v>
      </c>
      <c r="G71" s="207">
        <f>IF(D71=D70,"",_xlfn.IFNA(VLOOKUP(D71,'인원 입력 기능(국수)'!$F$5:$I$103,4,FALSE),0))</f>
        <v>5389</v>
      </c>
      <c r="H71" s="208">
        <f t="shared" si="4"/>
        <v>1.9871749960359748E-2</v>
      </c>
      <c r="I71" s="210">
        <f>SUM($G$7:G71)</f>
        <v>143058</v>
      </c>
      <c r="J71" s="212">
        <f t="shared" si="5"/>
        <v>0.5275213965168204</v>
      </c>
      <c r="K71" s="31"/>
      <c r="L71" s="20" t="str">
        <f t="shared" si="6"/>
        <v/>
      </c>
      <c r="N71" s="1"/>
    </row>
    <row r="72" spans="1:14" ht="25" customHeight="1" x14ac:dyDescent="0.45">
      <c r="A72" s="5"/>
      <c r="B72" s="30"/>
      <c r="C72" s="73">
        <v>35</v>
      </c>
      <c r="D72" s="202"/>
      <c r="E72" s="202"/>
      <c r="F72" s="204"/>
      <c r="G72" s="206"/>
      <c r="H72" s="209"/>
      <c r="I72" s="211"/>
      <c r="J72" s="213"/>
      <c r="K72" s="31"/>
      <c r="L72" s="20" t="str">
        <f t="shared" si="6"/>
        <v>경고</v>
      </c>
      <c r="N72" s="1"/>
    </row>
    <row r="73" spans="1:14" ht="25" customHeight="1" x14ac:dyDescent="0.45">
      <c r="A73" s="5"/>
      <c r="B73" s="30"/>
      <c r="C73" s="73">
        <v>34</v>
      </c>
      <c r="D73" s="74">
        <f t="shared" ref="D73:D104" si="9">ROUND(20*(C73-$H$3)/$H$4+100,0)</f>
        <v>94</v>
      </c>
      <c r="E73" s="74">
        <f t="shared" si="8"/>
        <v>5</v>
      </c>
      <c r="F73" s="60">
        <f t="shared" si="3"/>
        <v>46.76</v>
      </c>
      <c r="G73" s="61">
        <f>IF(D73=D72,"",_xlfn.IFNA(VLOOKUP(D73,'인원 입력 기능(국수)'!$F$5:$I$103,4,FALSE),0))</f>
        <v>2628</v>
      </c>
      <c r="H73" s="62">
        <f t="shared" si="4"/>
        <v>9.6906585444099871E-3</v>
      </c>
      <c r="I73" s="75">
        <f>SUM($G$7:G73)</f>
        <v>145686</v>
      </c>
      <c r="J73" s="64">
        <f t="shared" si="5"/>
        <v>0.53721205506123038</v>
      </c>
      <c r="K73" s="31"/>
      <c r="L73" s="20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30"/>
      <c r="C74" s="73">
        <v>33</v>
      </c>
      <c r="D74" s="74">
        <f t="shared" si="9"/>
        <v>93</v>
      </c>
      <c r="E74" s="74">
        <f t="shared" si="8"/>
        <v>5</v>
      </c>
      <c r="F74" s="60">
        <f t="shared" ref="F74:F105" si="11">IF(I73=0,ROUND(100*(1-(I72+I74)/2/$J$3),2),ROUND(100*(1-(I73+I74)/2/$J$3),2))</f>
        <v>45.8</v>
      </c>
      <c r="G74" s="61">
        <f>IF(D74=D73,"",_xlfn.IFNA(VLOOKUP(D74,'인원 입력 기능(국수)'!$F$5:$I$103,4,FALSE),0))</f>
        <v>2590</v>
      </c>
      <c r="H74" s="62">
        <f t="shared" ref="H74:H105" si="12">G74/$J$3</f>
        <v>9.5505348668271945E-3</v>
      </c>
      <c r="I74" s="75">
        <f>SUM($G$7:G74)</f>
        <v>148276</v>
      </c>
      <c r="J74" s="64">
        <f t="shared" ref="J74:J105" si="13">I74/$J$3</f>
        <v>0.5467625899280576</v>
      </c>
      <c r="K74" s="31"/>
      <c r="L74" s="20" t="str">
        <f t="shared" si="10"/>
        <v/>
      </c>
      <c r="N74" s="1"/>
    </row>
    <row r="75" spans="1:14" ht="25" customHeight="1" x14ac:dyDescent="0.45">
      <c r="A75" s="5"/>
      <c r="B75" s="30"/>
      <c r="C75" s="73">
        <v>32</v>
      </c>
      <c r="D75" s="203">
        <f t="shared" si="9"/>
        <v>92</v>
      </c>
      <c r="E75" s="203">
        <f t="shared" si="8"/>
        <v>5</v>
      </c>
      <c r="F75" s="205">
        <f t="shared" si="11"/>
        <v>44.2</v>
      </c>
      <c r="G75" s="207">
        <f>IF(D75=D74,"",_xlfn.IFNA(VLOOKUP(D75,'인원 입력 기능(국수)'!$F$5:$I$103,4,FALSE),0))</f>
        <v>6101</v>
      </c>
      <c r="H75" s="208">
        <f t="shared" si="12"/>
        <v>2.2497225182437342E-2</v>
      </c>
      <c r="I75" s="210">
        <f>SUM($G$7:G75)</f>
        <v>154377</v>
      </c>
      <c r="J75" s="212">
        <f t="shared" si="13"/>
        <v>0.56925981511049495</v>
      </c>
      <c r="K75" s="31"/>
      <c r="L75" s="20" t="str">
        <f t="shared" si="10"/>
        <v/>
      </c>
      <c r="N75" s="1"/>
    </row>
    <row r="76" spans="1:14" ht="25" customHeight="1" x14ac:dyDescent="0.45">
      <c r="A76" s="5"/>
      <c r="B76" s="30"/>
      <c r="C76" s="73">
        <v>31</v>
      </c>
      <c r="D76" s="202"/>
      <c r="E76" s="202"/>
      <c r="F76" s="204"/>
      <c r="G76" s="206"/>
      <c r="H76" s="209"/>
      <c r="I76" s="211"/>
      <c r="J76" s="213"/>
      <c r="K76" s="31"/>
      <c r="L76" s="20" t="str">
        <f t="shared" si="10"/>
        <v>경고</v>
      </c>
      <c r="N76" s="1"/>
    </row>
    <row r="77" spans="1:14" ht="25" customHeight="1" x14ac:dyDescent="0.45">
      <c r="A77" s="5"/>
      <c r="B77" s="30"/>
      <c r="C77" s="73">
        <v>30</v>
      </c>
      <c r="D77" s="74">
        <f t="shared" si="9"/>
        <v>91</v>
      </c>
      <c r="E77" s="74">
        <f t="shared" si="8"/>
        <v>5</v>
      </c>
      <c r="F77" s="60">
        <f t="shared" si="11"/>
        <v>42.56</v>
      </c>
      <c r="G77" s="61">
        <f>IF(D77=D76,"",_xlfn.IFNA(VLOOKUP(D77,'인원 입력 기능(국수)'!$F$5:$I$103,4,FALSE),0))</f>
        <v>2776</v>
      </c>
      <c r="H77" s="62">
        <f t="shared" si="12"/>
        <v>1.023640339394297E-2</v>
      </c>
      <c r="I77" s="75">
        <f>SUM($G$7:G77)</f>
        <v>157153</v>
      </c>
      <c r="J77" s="64">
        <f t="shared" si="13"/>
        <v>0.57949621850443789</v>
      </c>
      <c r="K77" s="31"/>
      <c r="L77" s="20" t="str">
        <f t="shared" si="10"/>
        <v/>
      </c>
      <c r="N77" s="1"/>
    </row>
    <row r="78" spans="1:14" ht="25" customHeight="1" x14ac:dyDescent="0.45">
      <c r="A78" s="5"/>
      <c r="B78" s="30"/>
      <c r="C78" s="73">
        <v>29</v>
      </c>
      <c r="D78" s="74">
        <f t="shared" si="9"/>
        <v>90</v>
      </c>
      <c r="E78" s="74">
        <f t="shared" si="8"/>
        <v>5</v>
      </c>
      <c r="F78" s="60">
        <f t="shared" si="11"/>
        <v>41.43</v>
      </c>
      <c r="G78" s="61">
        <f>IF(D78=D77,"",_xlfn.IFNA(VLOOKUP(D78,'인원 입력 기능(국수)'!$F$5:$I$103,4,FALSE),0))</f>
        <v>3366</v>
      </c>
      <c r="H78" s="62">
        <f t="shared" si="12"/>
        <v>1.2412007861675805E-2</v>
      </c>
      <c r="I78" s="75">
        <f>SUM($G$7:G78)</f>
        <v>160519</v>
      </c>
      <c r="J78" s="64">
        <f t="shared" si="13"/>
        <v>0.59190822636611362</v>
      </c>
      <c r="K78" s="31"/>
      <c r="L78" s="20" t="str">
        <f t="shared" si="10"/>
        <v/>
      </c>
      <c r="N78" s="1"/>
    </row>
    <row r="79" spans="1:14" ht="25" customHeight="1" x14ac:dyDescent="0.45">
      <c r="A79" s="5"/>
      <c r="B79" s="30"/>
      <c r="C79" s="73">
        <v>28</v>
      </c>
      <c r="D79" s="74">
        <f t="shared" si="9"/>
        <v>89</v>
      </c>
      <c r="E79" s="74">
        <f t="shared" si="8"/>
        <v>5</v>
      </c>
      <c r="F79" s="60">
        <f t="shared" si="11"/>
        <v>40.21</v>
      </c>
      <c r="G79" s="61">
        <f>IF(D79=D78,"",_xlfn.IFNA(VLOOKUP(D79,'인원 입력 기능(국수)'!$F$5:$I$103,4,FALSE),0))</f>
        <v>3234</v>
      </c>
      <c r="H79" s="62">
        <f t="shared" si="12"/>
        <v>1.1925262455335577E-2</v>
      </c>
      <c r="I79" s="75">
        <f>SUM($G$7:G79)</f>
        <v>163753</v>
      </c>
      <c r="J79" s="64">
        <f t="shared" si="13"/>
        <v>0.60383348882144927</v>
      </c>
      <c r="K79" s="31"/>
      <c r="L79" s="20" t="str">
        <f t="shared" si="10"/>
        <v/>
      </c>
      <c r="N79" s="1"/>
    </row>
    <row r="80" spans="1:14" ht="25" customHeight="1" x14ac:dyDescent="0.45">
      <c r="A80" s="5"/>
      <c r="B80" s="30"/>
      <c r="C80" s="73">
        <v>27</v>
      </c>
      <c r="D80" s="203">
        <f t="shared" si="9"/>
        <v>88</v>
      </c>
      <c r="E80" s="203">
        <f t="shared" si="8"/>
        <v>6</v>
      </c>
      <c r="F80" s="205">
        <f t="shared" si="11"/>
        <v>38.42</v>
      </c>
      <c r="G80" s="207">
        <f>IF(D80=D79,"",_xlfn.IFNA(VLOOKUP(D80,'인원 입력 기능(국수)'!$F$5:$I$103,4,FALSE),0))</f>
        <v>6504</v>
      </c>
      <c r="H80" s="208">
        <f t="shared" si="12"/>
        <v>2.3983273657854853E-2</v>
      </c>
      <c r="I80" s="210">
        <f>SUM($G$7:G80)</f>
        <v>170257</v>
      </c>
      <c r="J80" s="212">
        <f t="shared" si="13"/>
        <v>0.62781676247930407</v>
      </c>
      <c r="K80" s="31"/>
      <c r="L80" s="20" t="str">
        <f t="shared" si="10"/>
        <v/>
      </c>
      <c r="N80" s="1"/>
    </row>
    <row r="81" spans="1:14" ht="25" customHeight="1" x14ac:dyDescent="0.45">
      <c r="A81" s="5"/>
      <c r="B81" s="30"/>
      <c r="C81" s="73">
        <v>26</v>
      </c>
      <c r="D81" s="202"/>
      <c r="E81" s="202"/>
      <c r="F81" s="204"/>
      <c r="G81" s="206"/>
      <c r="H81" s="209"/>
      <c r="I81" s="211"/>
      <c r="J81" s="213"/>
      <c r="K81" s="31"/>
      <c r="L81" s="20" t="str">
        <f t="shared" si="10"/>
        <v>경고</v>
      </c>
      <c r="N81" s="1"/>
    </row>
    <row r="82" spans="1:14" ht="25" customHeight="1" x14ac:dyDescent="0.45">
      <c r="A82" s="5"/>
      <c r="B82" s="30"/>
      <c r="C82" s="73">
        <v>25</v>
      </c>
      <c r="D82" s="74">
        <f t="shared" si="9"/>
        <v>87</v>
      </c>
      <c r="E82" s="74">
        <f t="shared" si="8"/>
        <v>6</v>
      </c>
      <c r="F82" s="60">
        <f t="shared" si="11"/>
        <v>36.53</v>
      </c>
      <c r="G82" s="61">
        <f>IF(D82=D81,"",_xlfn.IFNA(VLOOKUP(D82,'인원 입력 기능(국수)'!$F$5:$I$103,4,FALSE),0))</f>
        <v>3747</v>
      </c>
      <c r="H82" s="62">
        <f t="shared" si="12"/>
        <v>1.381693210270328E-2</v>
      </c>
      <c r="I82" s="75">
        <f>SUM($G$7:G82)</f>
        <v>174004</v>
      </c>
      <c r="J82" s="64">
        <f t="shared" si="13"/>
        <v>0.64163369458200736</v>
      </c>
      <c r="K82" s="31"/>
      <c r="L82" s="20" t="str">
        <f t="shared" si="10"/>
        <v/>
      </c>
      <c r="N82" s="1"/>
    </row>
    <row r="83" spans="1:14" ht="25" customHeight="1" x14ac:dyDescent="0.45">
      <c r="A83" s="5"/>
      <c r="B83" s="30"/>
      <c r="C83" s="73">
        <v>24</v>
      </c>
      <c r="D83" s="74">
        <f t="shared" si="9"/>
        <v>86</v>
      </c>
      <c r="E83" s="74">
        <f t="shared" si="8"/>
        <v>6</v>
      </c>
      <c r="F83" s="60">
        <f t="shared" si="11"/>
        <v>35.200000000000003</v>
      </c>
      <c r="G83" s="61">
        <f>IF(D83=D82,"",_xlfn.IFNA(VLOOKUP(D83,'인원 입력 기능(국수)'!$F$5:$I$103,4,FALSE),0))</f>
        <v>3479</v>
      </c>
      <c r="H83" s="62">
        <f t="shared" si="12"/>
        <v>1.2828691429224636E-2</v>
      </c>
      <c r="I83" s="75">
        <f>SUM($G$7:G83)</f>
        <v>177483</v>
      </c>
      <c r="J83" s="64">
        <f t="shared" si="13"/>
        <v>0.65446238601123197</v>
      </c>
      <c r="K83" s="31"/>
      <c r="L83" s="20" t="str">
        <f t="shared" si="10"/>
        <v/>
      </c>
      <c r="N83" s="1"/>
    </row>
    <row r="84" spans="1:14" ht="25" customHeight="1" x14ac:dyDescent="0.45">
      <c r="A84" s="5"/>
      <c r="B84" s="30"/>
      <c r="C84" s="73">
        <v>23</v>
      </c>
      <c r="D84" s="203">
        <f t="shared" si="9"/>
        <v>85</v>
      </c>
      <c r="E84" s="203">
        <f t="shared" si="8"/>
        <v>6</v>
      </c>
      <c r="F84" s="205">
        <f t="shared" si="11"/>
        <v>33.07</v>
      </c>
      <c r="G84" s="207">
        <f>IF(D84=D83,"",_xlfn.IFNA(VLOOKUP(D84,'인원 입력 기능(국수)'!$F$5:$I$103,4,FALSE),0))</f>
        <v>8071</v>
      </c>
      <c r="H84" s="208">
        <f t="shared" si="12"/>
        <v>2.9761531625545283E-2</v>
      </c>
      <c r="I84" s="210">
        <f>SUM($G$7:G84)</f>
        <v>185554</v>
      </c>
      <c r="J84" s="212">
        <f t="shared" si="13"/>
        <v>0.68422391763677726</v>
      </c>
      <c r="K84" s="31"/>
      <c r="L84" s="20" t="str">
        <f t="shared" si="10"/>
        <v/>
      </c>
      <c r="N84" s="1"/>
    </row>
    <row r="85" spans="1:14" ht="25" customHeight="1" x14ac:dyDescent="0.45">
      <c r="A85" s="5"/>
      <c r="B85" s="30"/>
      <c r="C85" s="73">
        <v>22</v>
      </c>
      <c r="D85" s="202"/>
      <c r="E85" s="202"/>
      <c r="F85" s="204"/>
      <c r="G85" s="206"/>
      <c r="H85" s="209"/>
      <c r="I85" s="211"/>
      <c r="J85" s="213"/>
      <c r="K85" s="31"/>
      <c r="L85" s="20" t="str">
        <f t="shared" si="10"/>
        <v>경고</v>
      </c>
      <c r="N85" s="1"/>
    </row>
    <row r="86" spans="1:14" ht="25" customHeight="1" x14ac:dyDescent="0.45">
      <c r="A86" s="5"/>
      <c r="B86" s="30"/>
      <c r="C86" s="73">
        <v>21</v>
      </c>
      <c r="D86" s="74">
        <f t="shared" si="9"/>
        <v>84</v>
      </c>
      <c r="E86" s="74">
        <f t="shared" si="8"/>
        <v>6</v>
      </c>
      <c r="F86" s="60">
        <f t="shared" si="11"/>
        <v>30.79</v>
      </c>
      <c r="G86" s="61">
        <f>IF(D86=D85,"",_xlfn.IFNA(VLOOKUP(D86,'인원 입력 기능(국수)'!$F$5:$I$103,4,FALSE),0))</f>
        <v>4256</v>
      </c>
      <c r="H86" s="62">
        <f t="shared" si="12"/>
        <v>1.5693851889272796E-2</v>
      </c>
      <c r="I86" s="75">
        <f>SUM($G$7:G86)</f>
        <v>189810</v>
      </c>
      <c r="J86" s="64">
        <f t="shared" si="13"/>
        <v>0.69991776952605012</v>
      </c>
      <c r="K86" s="31"/>
      <c r="L86" s="20" t="str">
        <f t="shared" si="10"/>
        <v/>
      </c>
      <c r="N86" s="1"/>
    </row>
    <row r="87" spans="1:14" ht="25" customHeight="1" x14ac:dyDescent="0.45">
      <c r="A87" s="5"/>
      <c r="B87" s="30"/>
      <c r="C87" s="73">
        <v>20</v>
      </c>
      <c r="D87" s="74">
        <f t="shared" si="9"/>
        <v>83</v>
      </c>
      <c r="E87" s="74">
        <f t="shared" si="8"/>
        <v>6</v>
      </c>
      <c r="F87" s="60">
        <f t="shared" si="11"/>
        <v>29.15</v>
      </c>
      <c r="G87" s="61">
        <f>IF(D87=D86,"",_xlfn.IFNA(VLOOKUP(D87,'인원 입력 기능(국수)'!$F$5:$I$103,4,FALSE),0))</f>
        <v>4640</v>
      </c>
      <c r="H87" s="62">
        <f t="shared" si="12"/>
        <v>1.7109838525898913E-2</v>
      </c>
      <c r="I87" s="75">
        <f>SUM($G$7:G87)</f>
        <v>194450</v>
      </c>
      <c r="J87" s="64">
        <f t="shared" si="13"/>
        <v>0.71702760805194898</v>
      </c>
      <c r="K87" s="31"/>
      <c r="L87" s="20" t="str">
        <f t="shared" si="10"/>
        <v/>
      </c>
      <c r="N87" s="1"/>
    </row>
    <row r="88" spans="1:14" ht="25" customHeight="1" x14ac:dyDescent="0.45">
      <c r="A88" s="5"/>
      <c r="B88" s="30"/>
      <c r="C88" s="73">
        <v>19</v>
      </c>
      <c r="D88" s="74">
        <f t="shared" si="9"/>
        <v>82</v>
      </c>
      <c r="E88" s="74">
        <f t="shared" si="8"/>
        <v>6</v>
      </c>
      <c r="F88" s="60">
        <f t="shared" si="11"/>
        <v>27.5</v>
      </c>
      <c r="G88" s="61">
        <f>IF(D88=D87,"",_xlfn.IFNA(VLOOKUP(D88,'인원 입력 기능(국수)'!$F$5:$I$103,4,FALSE),0))</f>
        <v>4315</v>
      </c>
      <c r="H88" s="62">
        <f t="shared" si="12"/>
        <v>1.591141233604608E-2</v>
      </c>
      <c r="I88" s="75">
        <f>SUM($G$7:G88)</f>
        <v>198765</v>
      </c>
      <c r="J88" s="64">
        <f t="shared" si="13"/>
        <v>0.73293902038799508</v>
      </c>
      <c r="K88" s="31"/>
      <c r="L88" s="20" t="str">
        <f t="shared" si="10"/>
        <v/>
      </c>
      <c r="N88" s="1"/>
    </row>
    <row r="89" spans="1:14" ht="25" customHeight="1" x14ac:dyDescent="0.45">
      <c r="A89" s="5"/>
      <c r="B89" s="30"/>
      <c r="C89" s="73">
        <v>18</v>
      </c>
      <c r="D89" s="203">
        <f t="shared" si="9"/>
        <v>81</v>
      </c>
      <c r="E89" s="203">
        <f t="shared" si="8"/>
        <v>6</v>
      </c>
      <c r="F89" s="205">
        <f t="shared" si="11"/>
        <v>24.54</v>
      </c>
      <c r="G89" s="207">
        <f>IF(D89=D88,"",_xlfn.IFNA(VLOOKUP(D89,'인원 입력 기능(국수)'!$F$5:$I$103,4,FALSE),0))</f>
        <v>11742</v>
      </c>
      <c r="H89" s="208">
        <f t="shared" si="12"/>
        <v>4.3298216373082982E-2</v>
      </c>
      <c r="I89" s="210">
        <f>SUM($G$7:G89)</f>
        <v>210507</v>
      </c>
      <c r="J89" s="212">
        <f t="shared" si="13"/>
        <v>0.77623723676107803</v>
      </c>
      <c r="K89" s="31"/>
      <c r="L89" s="20" t="str">
        <f t="shared" si="10"/>
        <v/>
      </c>
      <c r="N89" s="1"/>
    </row>
    <row r="90" spans="1:14" ht="25" customHeight="1" x14ac:dyDescent="0.45">
      <c r="A90" s="5"/>
      <c r="B90" s="30"/>
      <c r="C90" s="73">
        <v>17</v>
      </c>
      <c r="D90" s="202"/>
      <c r="E90" s="202"/>
      <c r="F90" s="204"/>
      <c r="G90" s="206"/>
      <c r="H90" s="209"/>
      <c r="I90" s="211"/>
      <c r="J90" s="213"/>
      <c r="K90" s="31"/>
      <c r="L90" s="20" t="str">
        <f t="shared" si="10"/>
        <v>경고</v>
      </c>
      <c r="N90" s="1"/>
    </row>
    <row r="91" spans="1:14" ht="25" customHeight="1" x14ac:dyDescent="0.45">
      <c r="A91" s="5"/>
      <c r="B91" s="30"/>
      <c r="C91" s="73">
        <v>16</v>
      </c>
      <c r="D91" s="74">
        <f t="shared" si="9"/>
        <v>80</v>
      </c>
      <c r="E91" s="74">
        <f t="shared" si="8"/>
        <v>7</v>
      </c>
      <c r="F91" s="60">
        <f t="shared" si="11"/>
        <v>21.3</v>
      </c>
      <c r="G91" s="61">
        <f>IF(D91=D90,"",_xlfn.IFNA(VLOOKUP(D91,'인원 입력 기능(국수)'!$F$5:$I$103,4,FALSE),0))</f>
        <v>5814</v>
      </c>
      <c r="H91" s="62">
        <f t="shared" si="12"/>
        <v>2.1438922670167299E-2</v>
      </c>
      <c r="I91" s="75">
        <f>SUM($G$7:G91)</f>
        <v>216321</v>
      </c>
      <c r="J91" s="64">
        <f t="shared" si="13"/>
        <v>0.79767615943124537</v>
      </c>
      <c r="K91" s="31"/>
      <c r="L91" s="20" t="str">
        <f t="shared" si="10"/>
        <v/>
      </c>
      <c r="N91" s="1"/>
    </row>
    <row r="92" spans="1:14" ht="25" customHeight="1" x14ac:dyDescent="0.45">
      <c r="A92" s="5"/>
      <c r="B92" s="30"/>
      <c r="C92" s="73">
        <v>15</v>
      </c>
      <c r="D92" s="74">
        <f t="shared" si="9"/>
        <v>79</v>
      </c>
      <c r="E92" s="74">
        <f t="shared" si="8"/>
        <v>7</v>
      </c>
      <c r="F92" s="60">
        <f t="shared" si="11"/>
        <v>19.170000000000002</v>
      </c>
      <c r="G92" s="61">
        <f>IF(D92=D91,"",_xlfn.IFNA(VLOOKUP(D92,'인원 입력 기능(국수)'!$F$5:$I$103,4,FALSE),0))</f>
        <v>5759</v>
      </c>
      <c r="H92" s="62">
        <f t="shared" si="12"/>
        <v>2.1236112084192207E-2</v>
      </c>
      <c r="I92" s="75">
        <f>SUM($G$7:G92)</f>
        <v>222080</v>
      </c>
      <c r="J92" s="64">
        <f t="shared" si="13"/>
        <v>0.81891227151543755</v>
      </c>
      <c r="K92" s="31"/>
      <c r="L92" s="20" t="str">
        <f t="shared" si="10"/>
        <v/>
      </c>
      <c r="N92" s="1"/>
    </row>
    <row r="93" spans="1:14" ht="25" customHeight="1" x14ac:dyDescent="0.45">
      <c r="A93" s="5"/>
      <c r="B93" s="30"/>
      <c r="C93" s="73">
        <v>14</v>
      </c>
      <c r="D93" s="203">
        <f t="shared" si="9"/>
        <v>78</v>
      </c>
      <c r="E93" s="203">
        <f t="shared" si="8"/>
        <v>7</v>
      </c>
      <c r="F93" s="205">
        <f t="shared" si="11"/>
        <v>13.06</v>
      </c>
      <c r="G93" s="207">
        <f>IF(D93=D92,"",_xlfn.IFNA(VLOOKUP(D93,'인원 입력 기능(국수)'!$F$5:$I$103,4,FALSE),0))</f>
        <v>27369</v>
      </c>
      <c r="H93" s="208">
        <f t="shared" si="12"/>
        <v>0.10092223504640675</v>
      </c>
      <c r="I93" s="210">
        <f>SUM($G$7:G93)</f>
        <v>249449</v>
      </c>
      <c r="J93" s="212">
        <f t="shared" si="13"/>
        <v>0.91983450656184429</v>
      </c>
      <c r="K93" s="31"/>
      <c r="L93" s="20" t="str">
        <f t="shared" si="10"/>
        <v/>
      </c>
      <c r="N93" s="1"/>
    </row>
    <row r="94" spans="1:14" ht="25" customHeight="1" x14ac:dyDescent="0.45">
      <c r="A94" s="5"/>
      <c r="B94" s="30"/>
      <c r="C94" s="73">
        <v>13</v>
      </c>
      <c r="D94" s="202"/>
      <c r="E94" s="202"/>
      <c r="F94" s="204"/>
      <c r="G94" s="206"/>
      <c r="H94" s="209"/>
      <c r="I94" s="211"/>
      <c r="J94" s="213"/>
      <c r="K94" s="31"/>
      <c r="L94" s="20" t="str">
        <f t="shared" si="10"/>
        <v>경고</v>
      </c>
      <c r="N94" s="1"/>
    </row>
    <row r="95" spans="1:14" ht="25" customHeight="1" x14ac:dyDescent="0.45">
      <c r="A95" s="5"/>
      <c r="B95" s="30"/>
      <c r="C95" s="73">
        <v>12</v>
      </c>
      <c r="D95" s="74">
        <f t="shared" si="9"/>
        <v>77</v>
      </c>
      <c r="E95" s="74">
        <f t="shared" si="8"/>
        <v>8</v>
      </c>
      <c r="F95" s="60">
        <f t="shared" si="11"/>
        <v>7.42</v>
      </c>
      <c r="G95" s="61">
        <f>IF(D95=D94,"",_xlfn.IFNA(VLOOKUP(D95,'인원 입력 기능(국수)'!$F$5:$I$103,4,FALSE),0))</f>
        <v>3243</v>
      </c>
      <c r="H95" s="62">
        <f t="shared" si="12"/>
        <v>1.1958449642131502E-2</v>
      </c>
      <c r="I95" s="75">
        <f>SUM($G$7:G95)</f>
        <v>252692</v>
      </c>
      <c r="J95" s="64">
        <f t="shared" si="13"/>
        <v>0.93179295620397584</v>
      </c>
      <c r="K95" s="31"/>
      <c r="L95" s="20" t="str">
        <f t="shared" si="10"/>
        <v/>
      </c>
      <c r="N95" s="1"/>
    </row>
    <row r="96" spans="1:14" ht="25" customHeight="1" x14ac:dyDescent="0.45">
      <c r="A96" s="5"/>
      <c r="B96" s="30"/>
      <c r="C96" s="73">
        <v>11</v>
      </c>
      <c r="D96" s="74">
        <f t="shared" si="9"/>
        <v>76</v>
      </c>
      <c r="E96" s="74">
        <f t="shared" si="8"/>
        <v>8</v>
      </c>
      <c r="F96" s="60">
        <f t="shared" si="11"/>
        <v>6.28</v>
      </c>
      <c r="G96" s="61">
        <f>IF(D96=D95,"",_xlfn.IFNA(VLOOKUP(D96,'인원 입력 기능(국수)'!$F$5:$I$103,4,FALSE),0))</f>
        <v>2932</v>
      </c>
      <c r="H96" s="62">
        <f t="shared" si="12"/>
        <v>1.081164796507233E-2</v>
      </c>
      <c r="I96" s="75">
        <f>SUM($G$7:G96)</f>
        <v>255624</v>
      </c>
      <c r="J96" s="64">
        <f t="shared" si="13"/>
        <v>0.94260460416904812</v>
      </c>
      <c r="K96" s="31"/>
      <c r="L96" s="20" t="str">
        <f t="shared" si="10"/>
        <v/>
      </c>
      <c r="N96" s="1"/>
    </row>
    <row r="97" spans="1:14" ht="25" customHeight="1" x14ac:dyDescent="0.45">
      <c r="A97" s="5"/>
      <c r="B97" s="30"/>
      <c r="C97" s="73">
        <v>10</v>
      </c>
      <c r="D97" s="203">
        <f t="shared" si="9"/>
        <v>75</v>
      </c>
      <c r="E97" s="203">
        <f t="shared" si="8"/>
        <v>8</v>
      </c>
      <c r="F97" s="205">
        <f t="shared" si="11"/>
        <v>4.24</v>
      </c>
      <c r="G97" s="207">
        <f>IF(D97=D96,"",_xlfn.IFNA(VLOOKUP(D97,'인원 입력 기능(국수)'!$F$5:$I$103,4,FALSE),0))</f>
        <v>8155</v>
      </c>
      <c r="H97" s="208">
        <f t="shared" si="12"/>
        <v>3.0071278702307247E-2</v>
      </c>
      <c r="I97" s="210">
        <f>SUM($G$7:G97)</f>
        <v>263779</v>
      </c>
      <c r="J97" s="212">
        <f t="shared" si="13"/>
        <v>0.97267588287135542</v>
      </c>
      <c r="K97" s="31"/>
      <c r="L97" s="20" t="str">
        <f t="shared" si="10"/>
        <v/>
      </c>
      <c r="N97" s="1"/>
    </row>
    <row r="98" spans="1:14" ht="25" customHeight="1" x14ac:dyDescent="0.45">
      <c r="A98" s="5"/>
      <c r="B98" s="30"/>
      <c r="C98" s="73">
        <v>9</v>
      </c>
      <c r="D98" s="202"/>
      <c r="E98" s="202"/>
      <c r="F98" s="204"/>
      <c r="G98" s="206"/>
      <c r="H98" s="209"/>
      <c r="I98" s="211"/>
      <c r="J98" s="213"/>
      <c r="K98" s="31"/>
      <c r="L98" s="20" t="str">
        <f t="shared" si="10"/>
        <v>경고</v>
      </c>
      <c r="N98" s="1"/>
    </row>
    <row r="99" spans="1:14" ht="25" customHeight="1" x14ac:dyDescent="0.45">
      <c r="A99" s="5"/>
      <c r="B99" s="30"/>
      <c r="C99" s="73">
        <v>8</v>
      </c>
      <c r="D99" s="74">
        <f t="shared" si="9"/>
        <v>74</v>
      </c>
      <c r="E99" s="74">
        <f t="shared" si="8"/>
        <v>9</v>
      </c>
      <c r="F99" s="60">
        <f t="shared" si="11"/>
        <v>2.4700000000000002</v>
      </c>
      <c r="G99" s="61">
        <f>IF(D99=D98,"",_xlfn.IFNA(VLOOKUP(D99,'인원 입력 기능(국수)'!$F$5:$I$103,4,FALSE),0))</f>
        <v>1432</v>
      </c>
      <c r="H99" s="62">
        <f t="shared" si="12"/>
        <v>5.2804501657515608E-3</v>
      </c>
      <c r="I99" s="75">
        <f>SUM($G$7:G99)</f>
        <v>265211</v>
      </c>
      <c r="J99" s="64">
        <f t="shared" si="13"/>
        <v>0.97795633303710694</v>
      </c>
      <c r="K99" s="31"/>
      <c r="L99" s="20" t="str">
        <f t="shared" si="10"/>
        <v/>
      </c>
      <c r="N99" s="1"/>
    </row>
    <row r="100" spans="1:14" ht="25" customHeight="1" x14ac:dyDescent="0.45">
      <c r="A100" s="5"/>
      <c r="B100" s="30"/>
      <c r="C100" s="73">
        <v>7</v>
      </c>
      <c r="D100" s="74">
        <f t="shared" si="9"/>
        <v>73</v>
      </c>
      <c r="E100" s="74">
        <f t="shared" si="8"/>
        <v>9</v>
      </c>
      <c r="F100" s="60">
        <f t="shared" si="11"/>
        <v>1.93</v>
      </c>
      <c r="G100" s="61">
        <f>IF(D100=D99,"",_xlfn.IFNA(VLOOKUP(D100,'인원 입력 기능(국수)'!$F$5:$I$103,4,FALSE),0))</f>
        <v>1462</v>
      </c>
      <c r="H100" s="62">
        <f t="shared" si="12"/>
        <v>5.3910741217379765E-3</v>
      </c>
      <c r="I100" s="75">
        <f>SUM($G$7:G100)</f>
        <v>266673</v>
      </c>
      <c r="J100" s="64">
        <f t="shared" si="13"/>
        <v>0.98334740715884494</v>
      </c>
      <c r="K100" s="31"/>
      <c r="L100" s="20" t="str">
        <f t="shared" si="10"/>
        <v/>
      </c>
      <c r="N100" s="1"/>
    </row>
    <row r="101" spans="1:14" ht="25" customHeight="1" x14ac:dyDescent="0.45">
      <c r="A101" s="5"/>
      <c r="B101" s="30"/>
      <c r="C101" s="65">
        <v>6</v>
      </c>
      <c r="D101" s="59">
        <f t="shared" si="9"/>
        <v>72</v>
      </c>
      <c r="E101" s="74">
        <f t="shared" si="8"/>
        <v>9</v>
      </c>
      <c r="F101" s="60">
        <f t="shared" si="11"/>
        <v>1.47</v>
      </c>
      <c r="G101" s="61">
        <f>IF(D101=D100,"",_xlfn.IFNA(VLOOKUP(D101,'인원 입력 기능(국수)'!$F$5:$I$103,4,FALSE),0))</f>
        <v>1055</v>
      </c>
      <c r="H101" s="62">
        <f t="shared" si="12"/>
        <v>3.8902757855222743E-3</v>
      </c>
      <c r="I101" s="72">
        <f>SUM($G$7:G101)</f>
        <v>267728</v>
      </c>
      <c r="J101" s="64">
        <f t="shared" si="13"/>
        <v>0.9872376829443672</v>
      </c>
      <c r="K101" s="31"/>
      <c r="L101" s="20" t="str">
        <f t="shared" si="10"/>
        <v/>
      </c>
      <c r="N101" s="1"/>
    </row>
    <row r="102" spans="1:14" ht="25" customHeight="1" x14ac:dyDescent="0.45">
      <c r="A102" s="5"/>
      <c r="B102" s="30"/>
      <c r="C102" s="65">
        <v>5</v>
      </c>
      <c r="D102" s="201">
        <f t="shared" si="9"/>
        <v>71</v>
      </c>
      <c r="E102" s="203">
        <f t="shared" si="8"/>
        <v>9</v>
      </c>
      <c r="F102" s="205">
        <f t="shared" si="11"/>
        <v>1.03</v>
      </c>
      <c r="G102" s="207">
        <f>IF(D102=D101,"",_xlfn.IFNA(VLOOKUP(D102,'인원 입력 기능(국수)'!$F$5:$I$103,4,FALSE),0))</f>
        <v>1322</v>
      </c>
      <c r="H102" s="208">
        <f t="shared" si="12"/>
        <v>4.8748289938013714E-3</v>
      </c>
      <c r="I102" s="214">
        <f>SUM($G$7:G102)</f>
        <v>269050</v>
      </c>
      <c r="J102" s="212">
        <f t="shared" si="13"/>
        <v>0.99211251193816863</v>
      </c>
      <c r="K102" s="31"/>
      <c r="L102" s="20" t="str">
        <f t="shared" si="10"/>
        <v/>
      </c>
      <c r="N102" s="1"/>
    </row>
    <row r="103" spans="1:14" ht="25" customHeight="1" x14ac:dyDescent="0.45">
      <c r="A103" s="5"/>
      <c r="B103" s="30"/>
      <c r="C103" s="65">
        <v>4</v>
      </c>
      <c r="D103" s="200"/>
      <c r="E103" s="202"/>
      <c r="F103" s="204"/>
      <c r="G103" s="206"/>
      <c r="H103" s="209"/>
      <c r="I103" s="215"/>
      <c r="J103" s="213"/>
      <c r="K103" s="31"/>
      <c r="L103" s="20" t="str">
        <f t="shared" si="10"/>
        <v>경고</v>
      </c>
      <c r="N103" s="1"/>
    </row>
    <row r="104" spans="1:14" ht="25" customHeight="1" x14ac:dyDescent="0.45">
      <c r="A104" s="5"/>
      <c r="B104" s="30"/>
      <c r="C104" s="65">
        <v>3</v>
      </c>
      <c r="D104" s="59">
        <f t="shared" si="9"/>
        <v>70</v>
      </c>
      <c r="E104" s="59">
        <f t="shared" si="8"/>
        <v>9</v>
      </c>
      <c r="F104" s="60">
        <f t="shared" si="11"/>
        <v>0.71</v>
      </c>
      <c r="G104" s="61">
        <f>IF(D104=D103,"",_xlfn.IFNA(VLOOKUP(D104,'인원 입력 기능(국수)'!$F$5:$I$103,4,FALSE),0))</f>
        <v>444</v>
      </c>
      <c r="H104" s="62">
        <f t="shared" si="12"/>
        <v>1.6372345485989475E-3</v>
      </c>
      <c r="I104" s="72">
        <f>SUM($G$7:G104)</f>
        <v>269494</v>
      </c>
      <c r="J104" s="64">
        <f t="shared" si="13"/>
        <v>0.9937497464867675</v>
      </c>
      <c r="K104" s="31"/>
      <c r="L104" s="20" t="str">
        <f t="shared" si="10"/>
        <v/>
      </c>
      <c r="N104" s="1"/>
    </row>
    <row r="105" spans="1:14" ht="25" customHeight="1" x14ac:dyDescent="0.45">
      <c r="A105" s="5"/>
      <c r="B105" s="30"/>
      <c r="C105" s="65">
        <v>2</v>
      </c>
      <c r="D105" s="59">
        <f t="shared" ref="D105" si="14">ROUND(20*(C105-$H$3)/$H$4+100,0)</f>
        <v>69</v>
      </c>
      <c r="E105" s="59">
        <f t="shared" si="8"/>
        <v>9</v>
      </c>
      <c r="F105" s="60">
        <f t="shared" si="11"/>
        <v>0.56999999999999995</v>
      </c>
      <c r="G105" s="61">
        <f>IF(D105=D104,"",_xlfn.IFNA(VLOOKUP(D105,'인원 입력 기능(국수)'!$F$5:$I$103,4,FALSE),0))</f>
        <v>315</v>
      </c>
      <c r="H105" s="62">
        <f t="shared" si="12"/>
        <v>1.1615515378573615E-3</v>
      </c>
      <c r="I105" s="72">
        <f>SUM($G$7:G105)</f>
        <v>269809</v>
      </c>
      <c r="J105" s="64">
        <f t="shared" si="13"/>
        <v>0.99491129802462486</v>
      </c>
      <c r="K105" s="31"/>
      <c r="L105" s="20" t="str">
        <f t="shared" si="10"/>
        <v/>
      </c>
      <c r="N105" s="1"/>
    </row>
    <row r="106" spans="1:14" ht="25" customHeight="1" x14ac:dyDescent="0.45">
      <c r="A106" s="5"/>
      <c r="B106" s="30"/>
      <c r="C106" s="65">
        <v>1</v>
      </c>
      <c r="D106" s="66" t="s">
        <v>56</v>
      </c>
      <c r="E106" s="66"/>
      <c r="F106" s="67"/>
      <c r="G106" s="68"/>
      <c r="H106" s="69"/>
      <c r="I106" s="76"/>
      <c r="J106" s="71"/>
      <c r="K106" s="31"/>
      <c r="L106" s="20"/>
    </row>
    <row r="107" spans="1:14" ht="25" customHeight="1" thickBot="1" x14ac:dyDescent="0.5">
      <c r="A107" s="5"/>
      <c r="B107" s="30"/>
      <c r="C107" s="77">
        <v>0</v>
      </c>
      <c r="D107" s="78">
        <f>ROUND(20*(C107-$H$3)/$H$4+100,0)</f>
        <v>68</v>
      </c>
      <c r="E107" s="7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9">
        <f>IF(I105=0,ROUND(100*(1-(I104+I107)/2/$J$3),2),ROUND(100*(1-(I105+I107)/2/$J$3),2))</f>
        <v>0.25</v>
      </c>
      <c r="G107" s="80">
        <f>_xlfn.IFNA(VLOOKUP(D107,'인원 입력 기능(국수)'!$F$5:$I$103,4,FALSE),0)</f>
        <v>1380</v>
      </c>
      <c r="H107" s="81">
        <f>G107/$J$3</f>
        <v>5.0887019753751072E-3</v>
      </c>
      <c r="I107" s="82">
        <f>SUM($G$7:G107)</f>
        <v>271189</v>
      </c>
      <c r="J107" s="83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157">
    <mergeCell ref="I102:I103"/>
    <mergeCell ref="J102:J103"/>
    <mergeCell ref="D102:D103"/>
    <mergeCell ref="E102:E103"/>
    <mergeCell ref="F102:F103"/>
    <mergeCell ref="G102:G103"/>
    <mergeCell ref="H102:H103"/>
    <mergeCell ref="I93:I94"/>
    <mergeCell ref="J93:J94"/>
    <mergeCell ref="D97:D98"/>
    <mergeCell ref="E97:E98"/>
    <mergeCell ref="F97:F98"/>
    <mergeCell ref="G97:G98"/>
    <mergeCell ref="H97:H98"/>
    <mergeCell ref="I97:I98"/>
    <mergeCell ref="J97:J98"/>
    <mergeCell ref="D93:D94"/>
    <mergeCell ref="E93:E94"/>
    <mergeCell ref="F93:F94"/>
    <mergeCell ref="G93:G94"/>
    <mergeCell ref="H93:H94"/>
    <mergeCell ref="I84:I85"/>
    <mergeCell ref="J84:J85"/>
    <mergeCell ref="D89:D90"/>
    <mergeCell ref="E89:E90"/>
    <mergeCell ref="F89:F90"/>
    <mergeCell ref="G89:G90"/>
    <mergeCell ref="H89:H90"/>
    <mergeCell ref="I89:I90"/>
    <mergeCell ref="J89:J90"/>
    <mergeCell ref="D84:D85"/>
    <mergeCell ref="E84:E85"/>
    <mergeCell ref="F84:F85"/>
    <mergeCell ref="G84:G85"/>
    <mergeCell ref="H84:H85"/>
    <mergeCell ref="I75:I76"/>
    <mergeCell ref="J75:J76"/>
    <mergeCell ref="D80:D81"/>
    <mergeCell ref="E80:E81"/>
    <mergeCell ref="F80:F81"/>
    <mergeCell ref="G80:G81"/>
    <mergeCell ref="H80:H81"/>
    <mergeCell ref="I80:I81"/>
    <mergeCell ref="J80:J81"/>
    <mergeCell ref="D75:D76"/>
    <mergeCell ref="E75:E76"/>
    <mergeCell ref="F75:F76"/>
    <mergeCell ref="G75:G76"/>
    <mergeCell ref="H75:H76"/>
    <mergeCell ref="I66:I67"/>
    <mergeCell ref="J66:J67"/>
    <mergeCell ref="D71:D72"/>
    <mergeCell ref="E71:E72"/>
    <mergeCell ref="F71:F72"/>
    <mergeCell ref="G71:G72"/>
    <mergeCell ref="H71:H72"/>
    <mergeCell ref="I71:I72"/>
    <mergeCell ref="J71:J72"/>
    <mergeCell ref="D66:D67"/>
    <mergeCell ref="E66:E67"/>
    <mergeCell ref="F66:F67"/>
    <mergeCell ref="G66:G67"/>
    <mergeCell ref="H66:H67"/>
    <mergeCell ref="I58:I59"/>
    <mergeCell ref="J58:J59"/>
    <mergeCell ref="D62:D63"/>
    <mergeCell ref="E62:E63"/>
    <mergeCell ref="F62:F63"/>
    <mergeCell ref="G62:G63"/>
    <mergeCell ref="H62:H63"/>
    <mergeCell ref="I62:I63"/>
    <mergeCell ref="J62:J63"/>
    <mergeCell ref="D58:D59"/>
    <mergeCell ref="E58:E59"/>
    <mergeCell ref="F58:F59"/>
    <mergeCell ref="G58:G59"/>
    <mergeCell ref="H58:H59"/>
    <mergeCell ref="I49:I50"/>
    <mergeCell ref="J49:J50"/>
    <mergeCell ref="D53:D54"/>
    <mergeCell ref="E53:E54"/>
    <mergeCell ref="F53:F54"/>
    <mergeCell ref="G53:G54"/>
    <mergeCell ref="H53:H54"/>
    <mergeCell ref="I53:I54"/>
    <mergeCell ref="J53:J54"/>
    <mergeCell ref="D49:D50"/>
    <mergeCell ref="E49:E50"/>
    <mergeCell ref="F49:F50"/>
    <mergeCell ref="G49:G50"/>
    <mergeCell ref="H49:H50"/>
    <mergeCell ref="I40:I41"/>
    <mergeCell ref="J40:J41"/>
    <mergeCell ref="D44:D45"/>
    <mergeCell ref="E44:E45"/>
    <mergeCell ref="F44:F45"/>
    <mergeCell ref="G44:G45"/>
    <mergeCell ref="H44:H45"/>
    <mergeCell ref="I44:I45"/>
    <mergeCell ref="J44:J45"/>
    <mergeCell ref="D40:D41"/>
    <mergeCell ref="E40:E41"/>
    <mergeCell ref="F40:F41"/>
    <mergeCell ref="G40:G41"/>
    <mergeCell ref="H40:H41"/>
    <mergeCell ref="I31:I32"/>
    <mergeCell ref="J31:J32"/>
    <mergeCell ref="D35:D36"/>
    <mergeCell ref="E35:E36"/>
    <mergeCell ref="F35:F36"/>
    <mergeCell ref="G35:G36"/>
    <mergeCell ref="H35:H36"/>
    <mergeCell ref="I35:I36"/>
    <mergeCell ref="J35:J36"/>
    <mergeCell ref="D31:D32"/>
    <mergeCell ref="E31:E32"/>
    <mergeCell ref="F31:F32"/>
    <mergeCell ref="G31:G32"/>
    <mergeCell ref="H31:H32"/>
    <mergeCell ref="I22:I23"/>
    <mergeCell ref="J22:J23"/>
    <mergeCell ref="D27:D28"/>
    <mergeCell ref="E27:E28"/>
    <mergeCell ref="F27:F28"/>
    <mergeCell ref="G27:G28"/>
    <mergeCell ref="H27:H28"/>
    <mergeCell ref="I27:I28"/>
    <mergeCell ref="J27:J28"/>
    <mergeCell ref="D22:D23"/>
    <mergeCell ref="E22:E23"/>
    <mergeCell ref="F22:F23"/>
    <mergeCell ref="G22:G23"/>
    <mergeCell ref="H22:H23"/>
    <mergeCell ref="I13:I14"/>
    <mergeCell ref="J13:J14"/>
    <mergeCell ref="D18:D19"/>
    <mergeCell ref="E18:E19"/>
    <mergeCell ref="F18:F19"/>
    <mergeCell ref="G18:G19"/>
    <mergeCell ref="H18:H19"/>
    <mergeCell ref="I18:I19"/>
    <mergeCell ref="J18:J19"/>
    <mergeCell ref="D13:D14"/>
    <mergeCell ref="E13:E14"/>
    <mergeCell ref="F13:F14"/>
    <mergeCell ref="G13:G14"/>
    <mergeCell ref="H13:H14"/>
    <mergeCell ref="D3:F3"/>
    <mergeCell ref="D4:F4"/>
    <mergeCell ref="I4:J5"/>
    <mergeCell ref="D9:D10"/>
    <mergeCell ref="E9:E10"/>
    <mergeCell ref="F9:F10"/>
    <mergeCell ref="G9:G10"/>
    <mergeCell ref="H9:H10"/>
    <mergeCell ref="I9:I10"/>
    <mergeCell ref="J9:J10"/>
  </mergeCells>
  <phoneticPr fontId="1" type="noConversion"/>
  <conditionalFormatting sqref="D7:G9 I7:J9 D11:G13 I11:J13 D15:G18 I15:J18 D20:G22 I20:J22 D24:G27 I24:J27 D29:G31 I29:J31 D33:G35 I33:J35 D37:G40 I37:J40 D42:G44 I42:J44 D46:G49 I46:J49 D51:G53 I51:J53 D55:G58 I55:J58 D60:G62 I60:J62 D64:G66 I64:J66 D68:G71 I68:J71 D73:G75 I73:J75 D77:G80 I77:J80 D82:G84 I82:J84 D86:G89 I86:J89 D91:G93 I91:J93 D95:G97 I95:J97 D99:G102 I99:J102 D104:G107 I104:J107">
    <cfRule type="expression" dxfId="56" priority="4">
      <formula>OR($D7=$Q$7:$Q$14)</formula>
    </cfRule>
  </conditionalFormatting>
  <conditionalFormatting sqref="C7:C106">
    <cfRule type="expression" dxfId="55" priority="3">
      <formula>OR(AND($D7=0,OR($D6=$Q$7:$Q$14)),AND($D8&gt;0,OR($D7=$Q$7:$Q$14)))</formula>
    </cfRule>
  </conditionalFormatting>
  <conditionalFormatting sqref="D7:D9 D11:D13 D15:D18 D20:D22 D24:D27 D29:D31 D33:D35 D37:D40 D42:D44 D46:D49 D51:D53 D55:D58 D60:D62 D64:D66 D68:D71 D73:D75 D77:D80 D82:D84 D86:D89 D91:D93 D95:D97 D99:D102 D104:D106">
    <cfRule type="expression" dxfId="54" priority="2">
      <formula>$D7=$D8</formula>
    </cfRule>
  </conditionalFormatting>
  <conditionalFormatting sqref="H7:H9 H11:H13 H15:H18 H20:H22 H24:H27 H29:H31 H33:H35 H37:H40 H42:H44 H46:H49 H51:H53 H55:H58 H60:H62 H64:H66 H68:H71 H73:H75 H77:H80 H82:H84 H86:H89 H91:H93 H95:H97 H99:H102 H104:H107">
    <cfRule type="expression" dxfId="53" priority="1">
      <formula>OR($D7=$Q$7:$Q$14)</formula>
    </cfRule>
  </conditionalFormatting>
  <conditionalFormatting sqref="C107">
    <cfRule type="expression" dxfId="52" priority="11">
      <formula>OR(AND($D107=0,OR($D106=$Q$7:$Q$14)),AND($D109&gt;0,OR($D107=$Q$7:$Q$14)))</formula>
    </cfRule>
  </conditionalFormatting>
  <conditionalFormatting sqref="D107">
    <cfRule type="expression" dxfId="51" priority="13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52" t="s">
        <v>132</v>
      </c>
      <c r="B1" s="157"/>
      <c r="C1" s="33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156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기능'!D6</f>
        <v>54.12</v>
      </c>
      <c r="I3" s="21" t="s">
        <v>70</v>
      </c>
      <c r="J3" s="50">
        <f>'통계 및 응시자 수 입력 기능'!C6</f>
        <v>269124</v>
      </c>
      <c r="K3" s="31"/>
    </row>
    <row r="4" spans="1:12" ht="25" customHeight="1" thickBot="1" x14ac:dyDescent="0.5">
      <c r="A4" s="5"/>
      <c r="B4" s="30"/>
      <c r="C4" s="51" t="s">
        <v>71</v>
      </c>
      <c r="D4" s="184" t="s">
        <v>83</v>
      </c>
      <c r="E4" s="185"/>
      <c r="F4" s="186"/>
      <c r="G4" s="52" t="s">
        <v>73</v>
      </c>
      <c r="H4" s="53" t="str">
        <f>'통계 및 응시자 수 입력 기능'!E6</f>
        <v>20.51</v>
      </c>
      <c r="I4" s="187"/>
      <c r="J4" s="18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190"/>
      <c r="J5" s="190"/>
      <c r="K5" s="31"/>
    </row>
    <row r="6" spans="1:12" ht="25" customHeight="1" thickBot="1" x14ac:dyDescent="0.5">
      <c r="A6" s="5"/>
      <c r="B6" s="30"/>
      <c r="C6" s="54" t="s">
        <v>85</v>
      </c>
      <c r="D6" s="84" t="s">
        <v>86</v>
      </c>
      <c r="E6" s="85" t="s">
        <v>87</v>
      </c>
      <c r="F6" s="55" t="s">
        <v>88</v>
      </c>
      <c r="G6" s="55" t="s">
        <v>89</v>
      </c>
      <c r="H6" s="57" t="s">
        <v>90</v>
      </c>
      <c r="I6" s="20"/>
      <c r="J6" s="20"/>
      <c r="K6" s="31"/>
      <c r="L6" s="5"/>
    </row>
    <row r="7" spans="1:12" ht="25" customHeight="1" x14ac:dyDescent="0.45">
      <c r="A7" s="5"/>
      <c r="B7" s="30"/>
      <c r="C7" s="159">
        <v>1</v>
      </c>
      <c r="D7" s="86">
        <v>90</v>
      </c>
      <c r="E7" s="87">
        <f>'표점등급&amp;절평인원 입력 기능'!D22</f>
        <v>10621</v>
      </c>
      <c r="F7" s="88">
        <f>E7/$J$3</f>
        <v>3.9465079294302999E-2</v>
      </c>
      <c r="G7" s="89">
        <f>SUM($E$7:E7)</f>
        <v>10621</v>
      </c>
      <c r="H7" s="90">
        <f>G7/$J$3</f>
        <v>3.9465079294302999E-2</v>
      </c>
      <c r="I7" s="20"/>
      <c r="J7" s="20"/>
      <c r="K7" s="31"/>
      <c r="L7" s="5"/>
    </row>
    <row r="8" spans="1:12" ht="25" customHeight="1" x14ac:dyDescent="0.45">
      <c r="A8" s="5"/>
      <c r="B8" s="30"/>
      <c r="C8" s="154">
        <v>2</v>
      </c>
      <c r="D8" s="92">
        <v>80</v>
      </c>
      <c r="E8" s="93">
        <f>'표점등급&amp;절평인원 입력 기능'!D23</f>
        <v>20661</v>
      </c>
      <c r="F8" s="94">
        <f t="shared" ref="F8:F15" si="0">E8/$J$3</f>
        <v>7.6771302447942211E-2</v>
      </c>
      <c r="G8" s="95">
        <f>SUM($E$7:E8)</f>
        <v>31282</v>
      </c>
      <c r="H8" s="96">
        <f t="shared" ref="H8:H15" si="1">G8/$J$3</f>
        <v>0.11623638174224521</v>
      </c>
      <c r="I8" s="20"/>
      <c r="J8" s="20"/>
      <c r="K8" s="31"/>
      <c r="L8" s="5"/>
    </row>
    <row r="9" spans="1:12" ht="25" customHeight="1" x14ac:dyDescent="0.45">
      <c r="A9" s="5"/>
      <c r="B9" s="30"/>
      <c r="C9" s="91">
        <v>3</v>
      </c>
      <c r="D9" s="92">
        <v>70</v>
      </c>
      <c r="E9" s="93">
        <f>'표점등급&amp;절평인원 입력 기능'!D24</f>
        <v>35344</v>
      </c>
      <c r="F9" s="94">
        <f t="shared" si="0"/>
        <v>0.13132979593050043</v>
      </c>
      <c r="G9" s="95">
        <f>SUM($E$7:E9)</f>
        <v>66626</v>
      </c>
      <c r="H9" s="96">
        <f t="shared" si="1"/>
        <v>0.24756617767274564</v>
      </c>
      <c r="I9" s="20"/>
      <c r="J9" s="20"/>
      <c r="K9" s="31"/>
      <c r="L9" s="5"/>
    </row>
    <row r="10" spans="1:12" ht="25" customHeight="1" x14ac:dyDescent="0.45">
      <c r="A10" s="5"/>
      <c r="B10" s="30"/>
      <c r="C10" s="91">
        <v>4</v>
      </c>
      <c r="D10" s="92">
        <v>60</v>
      </c>
      <c r="E10" s="93">
        <f>'표점등급&amp;절평인원 입력 기능'!D25</f>
        <v>45013</v>
      </c>
      <c r="F10" s="94">
        <f t="shared" si="0"/>
        <v>0.16725747239190855</v>
      </c>
      <c r="G10" s="95">
        <f>SUM($E$7:E10)</f>
        <v>111639</v>
      </c>
      <c r="H10" s="96">
        <f t="shared" si="1"/>
        <v>0.41482365006465421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1">
        <v>5</v>
      </c>
      <c r="D11" s="92">
        <v>50</v>
      </c>
      <c r="E11" s="93">
        <f>'표점등급&amp;절평인원 입력 기능'!D26</f>
        <v>46290</v>
      </c>
      <c r="F11" s="94">
        <f t="shared" si="0"/>
        <v>0.17200249699023498</v>
      </c>
      <c r="G11" s="95">
        <f>SUM($E$7:E11)</f>
        <v>157929</v>
      </c>
      <c r="H11" s="96">
        <f t="shared" si="1"/>
        <v>0.58682614705488922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1">
        <v>6</v>
      </c>
      <c r="D12" s="92">
        <v>40</v>
      </c>
      <c r="E12" s="93">
        <f>'표점등급&amp;절평인원 입력 기능'!D27</f>
        <v>42488</v>
      </c>
      <c r="F12" s="94">
        <f t="shared" si="0"/>
        <v>0.15787518021432501</v>
      </c>
      <c r="G12" s="95">
        <f>SUM($E$7:E12)</f>
        <v>200417</v>
      </c>
      <c r="H12" s="96">
        <f t="shared" si="1"/>
        <v>0.74470132726921423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1">
        <v>7</v>
      </c>
      <c r="D13" s="92">
        <v>30</v>
      </c>
      <c r="E13" s="93">
        <f>'표점등급&amp;절평인원 입력 기능'!D28</f>
        <v>31459</v>
      </c>
      <c r="F13" s="94">
        <f t="shared" si="0"/>
        <v>0.11689407113449563</v>
      </c>
      <c r="G13" s="95">
        <f>SUM($E$7:E13)</f>
        <v>231876</v>
      </c>
      <c r="H13" s="96">
        <f t="shared" si="1"/>
        <v>0.8615953984037098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1">
        <v>8</v>
      </c>
      <c r="D14" s="92">
        <v>20</v>
      </c>
      <c r="E14" s="93">
        <f>'표점등급&amp;절평인원 입력 기능'!D29</f>
        <v>26409</v>
      </c>
      <c r="F14" s="94">
        <f t="shared" si="0"/>
        <v>9.8129486779328493E-2</v>
      </c>
      <c r="G14" s="95">
        <f>SUM($E$7:E14)</f>
        <v>258285</v>
      </c>
      <c r="H14" s="96">
        <f t="shared" si="1"/>
        <v>0.95972488518303833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7">
        <v>9</v>
      </c>
      <c r="D15" s="98">
        <v>0</v>
      </c>
      <c r="E15" s="99">
        <f>'표점등급&amp;절평인원 입력 기능'!D30</f>
        <v>10839</v>
      </c>
      <c r="F15" s="100">
        <f t="shared" si="0"/>
        <v>4.02751148169617E-2</v>
      </c>
      <c r="G15" s="101">
        <f>SUM($E$7:E15)</f>
        <v>269124</v>
      </c>
      <c r="H15" s="102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52" t="s">
        <v>132</v>
      </c>
      <c r="B1" s="157"/>
      <c r="C1" s="33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156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기능'!D7</f>
        <v>24.02</v>
      </c>
      <c r="I3" s="21" t="s">
        <v>70</v>
      </c>
      <c r="J3" s="50">
        <f>'통계 및 응시자 수 입력 기능'!C7</f>
        <v>268010</v>
      </c>
      <c r="K3" s="31"/>
    </row>
    <row r="4" spans="1:12" ht="25" customHeight="1" thickBot="1" x14ac:dyDescent="0.5">
      <c r="A4" s="5"/>
      <c r="B4" s="30"/>
      <c r="C4" s="51" t="s">
        <v>71</v>
      </c>
      <c r="D4" s="184" t="s">
        <v>84</v>
      </c>
      <c r="E4" s="185"/>
      <c r="F4" s="186"/>
      <c r="G4" s="52" t="s">
        <v>73</v>
      </c>
      <c r="H4" s="53" t="str">
        <f>'통계 및 응시자 수 입력 기능'!E7</f>
        <v>11.60</v>
      </c>
      <c r="I4" s="187"/>
      <c r="J4" s="18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190"/>
      <c r="J5" s="190"/>
      <c r="K5" s="31"/>
    </row>
    <row r="6" spans="1:12" ht="25" customHeight="1" thickBot="1" x14ac:dyDescent="0.5">
      <c r="A6" s="5"/>
      <c r="B6" s="30"/>
      <c r="C6" s="54" t="s">
        <v>85</v>
      </c>
      <c r="D6" s="84" t="s">
        <v>86</v>
      </c>
      <c r="E6" s="85" t="s">
        <v>87</v>
      </c>
      <c r="F6" s="55" t="s">
        <v>88</v>
      </c>
      <c r="G6" s="55" t="s">
        <v>89</v>
      </c>
      <c r="H6" s="57" t="s">
        <v>90</v>
      </c>
      <c r="I6" s="20"/>
      <c r="J6" s="20"/>
      <c r="K6" s="31"/>
      <c r="L6" s="5"/>
    </row>
    <row r="7" spans="1:12" ht="25" customHeight="1" x14ac:dyDescent="0.45">
      <c r="A7" s="5"/>
      <c r="B7" s="30"/>
      <c r="C7" s="161">
        <v>1</v>
      </c>
      <c r="D7" s="103">
        <v>40</v>
      </c>
      <c r="E7" s="87">
        <f>'표점등급&amp;절평인원 입력 기능'!D31</f>
        <v>32775</v>
      </c>
      <c r="F7" s="88">
        <f>E7/$J$3</f>
        <v>0.12229021305175181</v>
      </c>
      <c r="G7" s="89">
        <f>SUM($E$7:E7)</f>
        <v>32775</v>
      </c>
      <c r="H7" s="90">
        <f>G7/$J$3</f>
        <v>0.12229021305175181</v>
      </c>
      <c r="I7" s="20"/>
      <c r="J7" s="20"/>
      <c r="K7" s="31"/>
      <c r="L7" s="5"/>
    </row>
    <row r="8" spans="1:12" ht="25" customHeight="1" x14ac:dyDescent="0.45">
      <c r="A8" s="5"/>
      <c r="B8" s="30"/>
      <c r="C8" s="153">
        <v>2</v>
      </c>
      <c r="D8" s="105">
        <v>35</v>
      </c>
      <c r="E8" s="93">
        <f>'표점등급&amp;절평인원 입력 기능'!D32</f>
        <v>23448</v>
      </c>
      <c r="F8" s="94">
        <f t="shared" ref="F8:F15" si="0">E8/$J$3</f>
        <v>8.7489272788328798E-2</v>
      </c>
      <c r="G8" s="95">
        <f>SUM($E$7:E8)</f>
        <v>56223</v>
      </c>
      <c r="H8" s="96">
        <f t="shared" ref="H8:H15" si="1">G8/$J$3</f>
        <v>0.2097794858400806</v>
      </c>
      <c r="I8" s="20"/>
      <c r="J8" s="20"/>
      <c r="K8" s="31"/>
      <c r="L8" s="5"/>
    </row>
    <row r="9" spans="1:12" ht="25" customHeight="1" x14ac:dyDescent="0.45">
      <c r="A9" s="5"/>
      <c r="B9" s="30"/>
      <c r="C9" s="104">
        <v>3</v>
      </c>
      <c r="D9" s="105">
        <v>30</v>
      </c>
      <c r="E9" s="93">
        <f>'표점등급&amp;절평인원 입력 기능'!D33</f>
        <v>29371</v>
      </c>
      <c r="F9" s="94">
        <f t="shared" si="0"/>
        <v>0.10958919443304355</v>
      </c>
      <c r="G9" s="95">
        <f>SUM($E$7:E9)</f>
        <v>85594</v>
      </c>
      <c r="H9" s="96">
        <f t="shared" si="1"/>
        <v>0.31936868027312415</v>
      </c>
      <c r="I9" s="20"/>
      <c r="J9" s="20"/>
      <c r="K9" s="31"/>
      <c r="L9" s="5"/>
    </row>
    <row r="10" spans="1:12" ht="25" customHeight="1" x14ac:dyDescent="0.45">
      <c r="A10" s="5"/>
      <c r="B10" s="30"/>
      <c r="C10" s="104">
        <v>4</v>
      </c>
      <c r="D10" s="105">
        <v>25</v>
      </c>
      <c r="E10" s="93">
        <f>'표점등급&amp;절평인원 입력 기능'!D34</f>
        <v>35244</v>
      </c>
      <c r="F10" s="94">
        <f t="shared" si="0"/>
        <v>0.1315025558747808</v>
      </c>
      <c r="G10" s="95">
        <f>SUM($E$7:E10)</f>
        <v>120838</v>
      </c>
      <c r="H10" s="96">
        <f t="shared" si="1"/>
        <v>0.45087123614790492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04">
        <v>5</v>
      </c>
      <c r="D11" s="105">
        <v>20</v>
      </c>
      <c r="E11" s="93">
        <f>'표점등급&amp;절평인원 입력 기능'!D35</f>
        <v>39146</v>
      </c>
      <c r="F11" s="94">
        <f t="shared" si="0"/>
        <v>0.14606171411514496</v>
      </c>
      <c r="G11" s="95">
        <f>SUM($E$7:E11)</f>
        <v>159984</v>
      </c>
      <c r="H11" s="96">
        <f t="shared" si="1"/>
        <v>0.59693295026304993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04">
        <v>6</v>
      </c>
      <c r="D12" s="105">
        <v>15</v>
      </c>
      <c r="E12" s="93">
        <f>'표점등급&amp;절평인원 입력 기능'!D36</f>
        <v>39350</v>
      </c>
      <c r="F12" s="94">
        <f t="shared" si="0"/>
        <v>0.14682287974329317</v>
      </c>
      <c r="G12" s="95">
        <f>SUM($E$7:E12)</f>
        <v>199334</v>
      </c>
      <c r="H12" s="96">
        <f t="shared" si="1"/>
        <v>0.74375583000634304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04">
        <v>7</v>
      </c>
      <c r="D13" s="105">
        <v>10</v>
      </c>
      <c r="E13" s="93">
        <f>'표점등급&amp;절평인원 입력 기능'!D37</f>
        <v>48864</v>
      </c>
      <c r="F13" s="94">
        <f t="shared" si="0"/>
        <v>0.18232155516585202</v>
      </c>
      <c r="G13" s="95">
        <f>SUM($E$7:E13)</f>
        <v>248198</v>
      </c>
      <c r="H13" s="96">
        <f t="shared" si="1"/>
        <v>0.92607738517219507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04">
        <v>8</v>
      </c>
      <c r="D14" s="105">
        <v>5</v>
      </c>
      <c r="E14" s="93">
        <f>'표점등급&amp;절평인원 입력 기능'!D38</f>
        <v>16247</v>
      </c>
      <c r="F14" s="94">
        <f t="shared" si="0"/>
        <v>6.0620872355509121E-2</v>
      </c>
      <c r="G14" s="95">
        <f>SUM($E$7:E14)</f>
        <v>264445</v>
      </c>
      <c r="H14" s="96">
        <f t="shared" si="1"/>
        <v>0.98669825752770424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06">
        <v>9</v>
      </c>
      <c r="D15" s="107">
        <v>0</v>
      </c>
      <c r="E15" s="99">
        <f>'표점등급&amp;절평인원 입력 기능'!D39</f>
        <v>3565</v>
      </c>
      <c r="F15" s="100">
        <f t="shared" si="0"/>
        <v>1.330174247229581E-2</v>
      </c>
      <c r="G15" s="101">
        <f>SUM($E$7:E15)</f>
        <v>268010</v>
      </c>
      <c r="H15" s="102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기능'!D8</f>
        <v>29.31</v>
      </c>
      <c r="I3" s="21" t="s">
        <v>70</v>
      </c>
      <c r="J3" s="50">
        <f>'통계 및 응시자 수 입력 기능'!C8</f>
        <v>58806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91</v>
      </c>
      <c r="E4" s="185"/>
      <c r="F4" s="186"/>
      <c r="G4" s="52" t="s">
        <v>73</v>
      </c>
      <c r="H4" s="53" t="str">
        <f>'통계 및 응시자 수 입력 기능'!E8</f>
        <v>13.08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66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98.47</v>
      </c>
      <c r="G7" s="61">
        <f>_xlfn.IFNA(VLOOKUP(D7,'인원 입력 기능(사과탐)'!$A$5:$D$59,4,FALSE),0)</f>
        <v>1802</v>
      </c>
      <c r="H7" s="62">
        <f>G7/$J$3</f>
        <v>3.0643131653232663E-2</v>
      </c>
      <c r="I7" s="63">
        <f>G7</f>
        <v>1802</v>
      </c>
      <c r="J7" s="64">
        <f>I7/$J$3</f>
        <v>3.0643131653232663E-2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기능'!C40</f>
        <v>64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기능'!C41</f>
        <v>62</v>
      </c>
    </row>
    <row r="9" spans="1:17" s="22" customFormat="1" ht="25" customHeight="1" x14ac:dyDescent="0.45">
      <c r="A9" s="20"/>
      <c r="B9" s="35"/>
      <c r="C9" s="58">
        <v>48</v>
      </c>
      <c r="D9" s="201">
        <f>ROUND(10*(C9-$H$3)/$H$4+50,0)</f>
        <v>64</v>
      </c>
      <c r="E9" s="201">
        <f t="shared" si="0"/>
        <v>1</v>
      </c>
      <c r="F9" s="205">
        <f>IF(I8=0,ROUND(100*(1-(I7+I9)/2/$J$3),2),ROUND(100*(1-(I8+I9)/2/$J$3),2))</f>
        <v>94.18</v>
      </c>
      <c r="G9" s="207">
        <f>_xlfn.IFNA(VLOOKUP(D9,'인원 입력 기능(사과탐)'!$A$5:$D$59,4,FALSE),0)</f>
        <v>3241</v>
      </c>
      <c r="H9" s="208">
        <f t="shared" ref="H9:H55" si="1">G9/$J$3</f>
        <v>5.5113423800292487E-2</v>
      </c>
      <c r="I9" s="214">
        <f>SUM($G$7:G9)</f>
        <v>5043</v>
      </c>
      <c r="J9" s="212">
        <f>I9/$J$3</f>
        <v>8.5756555453525146E-2</v>
      </c>
      <c r="K9" s="36"/>
      <c r="L9" s="20" t="str">
        <f t="shared" ref="L9:L55" si="2">IF(ABS((C9-$H$3)/$H$4*10+50-D9)&gt;0.49, "경고", "")</f>
        <v/>
      </c>
      <c r="N9" s="24"/>
      <c r="P9" s="24">
        <v>3</v>
      </c>
      <c r="Q9" s="24">
        <f>'표점등급&amp;절평인원 입력 기능'!C42</f>
        <v>59</v>
      </c>
    </row>
    <row r="10" spans="1:17" s="22" customFormat="1" ht="25" customHeight="1" x14ac:dyDescent="0.45">
      <c r="A10" s="20"/>
      <c r="B10" s="35"/>
      <c r="C10" s="65">
        <v>47</v>
      </c>
      <c r="D10" s="200"/>
      <c r="E10" s="200"/>
      <c r="F10" s="204"/>
      <c r="G10" s="206"/>
      <c r="H10" s="209"/>
      <c r="I10" s="215"/>
      <c r="J10" s="213"/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기능'!C43</f>
        <v>55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ref="D10:D55" si="3">ROUND(10*(C11-$H$3)/$H$4+50,0)</f>
        <v>63</v>
      </c>
      <c r="E11" s="59">
        <f t="shared" si="0"/>
        <v>2</v>
      </c>
      <c r="F11" s="60">
        <f t="shared" ref="F10:F55" si="4">IF(I10=0,ROUND(100*(1-(I9+I11)/2/$J$3),2),ROUND(100*(1-(I10+I11)/2/$J$3),2))</f>
        <v>91.18</v>
      </c>
      <c r="G11" s="61">
        <f>IF(D11=D10,"",_xlfn.IFNA(VLOOKUP(D11,'인원 입력 기능(사과탐)'!$A$5:$D$59,4,FALSE),0))</f>
        <v>286</v>
      </c>
      <c r="H11" s="62">
        <f t="shared" si="1"/>
        <v>4.8634493078937528E-3</v>
      </c>
      <c r="I11" s="72">
        <f>SUM($G$7:G11)</f>
        <v>5329</v>
      </c>
      <c r="J11" s="64">
        <f t="shared" ref="J10:J55" si="5">I11/$J$3</f>
        <v>9.0620004761418904E-2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기능'!C44</f>
        <v>48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62</v>
      </c>
      <c r="E12" s="59">
        <f t="shared" si="0"/>
        <v>2</v>
      </c>
      <c r="F12" s="60">
        <f t="shared" si="4"/>
        <v>89.37</v>
      </c>
      <c r="G12" s="61">
        <f>IF(D12=D11,"",_xlfn.IFNA(VLOOKUP(D12,'인원 입력 기능(사과탐)'!$A$5:$D$59,4,FALSE),0))</f>
        <v>1848</v>
      </c>
      <c r="H12" s="62">
        <f t="shared" si="1"/>
        <v>3.1425364758698095E-2</v>
      </c>
      <c r="I12" s="72">
        <f>SUM($G$7:G12)</f>
        <v>7177</v>
      </c>
      <c r="J12" s="64">
        <f t="shared" si="5"/>
        <v>0.12204536952011699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기능'!C45</f>
        <v>40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61</v>
      </c>
      <c r="E13" s="59">
        <f t="shared" si="0"/>
        <v>3</v>
      </c>
      <c r="F13" s="60">
        <f t="shared" si="4"/>
        <v>85.88</v>
      </c>
      <c r="G13" s="61">
        <f>IF(D13=D12,"",_xlfn.IFNA(VLOOKUP(D13,'인원 입력 기능(사과탐)'!$A$5:$D$59,4,FALSE),0))</f>
        <v>2257</v>
      </c>
      <c r="H13" s="62">
        <f t="shared" si="1"/>
        <v>3.8380437370336362E-2</v>
      </c>
      <c r="I13" s="72">
        <f>SUM($G$7:G13)</f>
        <v>9434</v>
      </c>
      <c r="J13" s="64">
        <f t="shared" si="5"/>
        <v>0.16042580689045335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기능'!C46</f>
        <v>36</v>
      </c>
    </row>
    <row r="14" spans="1:17" s="22" customFormat="1" ht="25" customHeight="1" x14ac:dyDescent="0.45">
      <c r="A14" s="20"/>
      <c r="B14" s="35"/>
      <c r="C14" s="65">
        <v>43</v>
      </c>
      <c r="D14" s="201">
        <f t="shared" si="3"/>
        <v>60</v>
      </c>
      <c r="E14" s="201">
        <f t="shared" si="0"/>
        <v>3</v>
      </c>
      <c r="F14" s="205">
        <f t="shared" si="4"/>
        <v>81.13</v>
      </c>
      <c r="G14" s="207">
        <f>IF(D14=D13,"",_xlfn.IFNA(VLOOKUP(D14,'인원 입력 기능(사과탐)'!$A$5:$D$59,4,FALSE),0))</f>
        <v>3328</v>
      </c>
      <c r="H14" s="208">
        <f t="shared" si="1"/>
        <v>5.6592864673672756E-2</v>
      </c>
      <c r="I14" s="214">
        <f>SUM($G$7:G14)</f>
        <v>12762</v>
      </c>
      <c r="J14" s="212">
        <f t="shared" si="5"/>
        <v>0.2170186715641261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기능'!C47</f>
        <v>33</v>
      </c>
    </row>
    <row r="15" spans="1:17" s="22" customFormat="1" ht="25" customHeight="1" x14ac:dyDescent="0.45">
      <c r="A15" s="20"/>
      <c r="B15" s="35"/>
      <c r="C15" s="58">
        <v>42</v>
      </c>
      <c r="D15" s="200"/>
      <c r="E15" s="200"/>
      <c r="F15" s="204"/>
      <c r="G15" s="206"/>
      <c r="H15" s="209"/>
      <c r="I15" s="215"/>
      <c r="J15" s="213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59</v>
      </c>
      <c r="E16" s="59">
        <f t="shared" si="0"/>
        <v>3</v>
      </c>
      <c r="F16" s="60">
        <f t="shared" si="4"/>
        <v>76.77</v>
      </c>
      <c r="G16" s="61">
        <f>IF(D16=D15,"",_xlfn.IFNA(VLOOKUP(D16,'인원 입력 기능(사과탐)'!$A$5:$D$59,4,FALSE),0))</f>
        <v>1798</v>
      </c>
      <c r="H16" s="62">
        <f t="shared" si="1"/>
        <v>3.0575111383192192E-2</v>
      </c>
      <c r="I16" s="72">
        <f>SUM($G$7:G16)</f>
        <v>14560</v>
      </c>
      <c r="J16" s="64">
        <f t="shared" si="5"/>
        <v>0.24759378294731829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58</v>
      </c>
      <c r="E17" s="59">
        <f t="shared" si="0"/>
        <v>4</v>
      </c>
      <c r="F17" s="60">
        <f t="shared" si="4"/>
        <v>73.930000000000007</v>
      </c>
      <c r="G17" s="61">
        <f>IF(D17=D16,"",_xlfn.IFNA(VLOOKUP(D17,'인원 입력 기능(사과탐)'!$A$5:$D$59,4,FALSE),0))</f>
        <v>1546</v>
      </c>
      <c r="H17" s="62">
        <f t="shared" si="1"/>
        <v>2.6289834370642452E-2</v>
      </c>
      <c r="I17" s="72">
        <f>SUM($G$7:G17)</f>
        <v>16106</v>
      </c>
      <c r="J17" s="64">
        <f t="shared" si="5"/>
        <v>0.27388361731796074</v>
      </c>
      <c r="K17" s="36"/>
      <c r="L17" s="20" t="str">
        <f t="shared" si="2"/>
        <v/>
      </c>
      <c r="N17" s="24"/>
      <c r="Q17" s="24">
        <f>Q7*H3*H4*J3*IFERROR(IF(J57=1, 1, 0), 0)</f>
        <v>1442863263.2832</v>
      </c>
    </row>
    <row r="18" spans="1:17" s="22" customFormat="1" ht="25" customHeight="1" x14ac:dyDescent="0.45">
      <c r="A18" s="20"/>
      <c r="B18" s="35"/>
      <c r="C18" s="65">
        <v>39</v>
      </c>
      <c r="D18" s="201">
        <f t="shared" si="3"/>
        <v>57</v>
      </c>
      <c r="E18" s="201">
        <f t="shared" si="0"/>
        <v>4</v>
      </c>
      <c r="F18" s="205">
        <f t="shared" si="4"/>
        <v>69.38</v>
      </c>
      <c r="G18" s="207">
        <f>IF(D18=D17,"",_xlfn.IFNA(VLOOKUP(D18,'인원 입력 기능(사과탐)'!$A$5:$D$59,4,FALSE),0))</f>
        <v>3802</v>
      </c>
      <c r="H18" s="208">
        <f t="shared" si="1"/>
        <v>6.4653266673468698E-2</v>
      </c>
      <c r="I18" s="214">
        <f>SUM($G$7:G18)</f>
        <v>19908</v>
      </c>
      <c r="J18" s="212">
        <f t="shared" si="5"/>
        <v>0.33853688399142945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00"/>
      <c r="E19" s="200"/>
      <c r="F19" s="204"/>
      <c r="G19" s="206"/>
      <c r="H19" s="209"/>
      <c r="I19" s="215"/>
      <c r="J19" s="213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56</v>
      </c>
      <c r="E20" s="59">
        <f t="shared" si="0"/>
        <v>4</v>
      </c>
      <c r="F20" s="60">
        <f t="shared" si="4"/>
        <v>64.599999999999994</v>
      </c>
      <c r="G20" s="61">
        <f>IF(D20=D19,"",_xlfn.IFNA(VLOOKUP(D20,'인원 입력 기능(사과탐)'!$A$5:$D$59,4,FALSE),0))</f>
        <v>1820</v>
      </c>
      <c r="H20" s="62">
        <f t="shared" si="1"/>
        <v>3.0949222868414786E-2</v>
      </c>
      <c r="I20" s="72">
        <f>SUM($G$7:G20)</f>
        <v>21728</v>
      </c>
      <c r="J20" s="64">
        <f t="shared" si="5"/>
        <v>0.36948610685984423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55</v>
      </c>
      <c r="E21" s="74">
        <f t="shared" si="0"/>
        <v>4</v>
      </c>
      <c r="F21" s="60">
        <f t="shared" si="4"/>
        <v>61.47</v>
      </c>
      <c r="G21" s="61">
        <f>IF(D21=D20,"",_xlfn.IFNA(VLOOKUP(D21,'인원 입력 기능(사과탐)'!$A$5:$D$59,4,FALSE),0))</f>
        <v>1864</v>
      </c>
      <c r="H21" s="62">
        <f t="shared" si="1"/>
        <v>3.1697445838859979E-2</v>
      </c>
      <c r="I21" s="72">
        <f>SUM($G$7:G21)</f>
        <v>23592</v>
      </c>
      <c r="J21" s="64">
        <f t="shared" si="5"/>
        <v>0.4011835526987042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03">
        <f t="shared" si="3"/>
        <v>54</v>
      </c>
      <c r="E22" s="203">
        <f t="shared" si="0"/>
        <v>5</v>
      </c>
      <c r="F22" s="205">
        <f t="shared" si="4"/>
        <v>57.19</v>
      </c>
      <c r="G22" s="207">
        <f>IF(D22=D21,"",_xlfn.IFNA(VLOOKUP(D22,'인원 입력 기능(사과탐)'!$A$5:$D$59,4,FALSE),0))</f>
        <v>3167</v>
      </c>
      <c r="H22" s="208">
        <f t="shared" si="1"/>
        <v>5.3855048804543754E-2</v>
      </c>
      <c r="I22" s="214">
        <f>SUM($G$7:G22)</f>
        <v>26759</v>
      </c>
      <c r="J22" s="212">
        <f t="shared" si="5"/>
        <v>0.45503860150324799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02"/>
      <c r="E23" s="202"/>
      <c r="F23" s="204"/>
      <c r="G23" s="206"/>
      <c r="H23" s="209"/>
      <c r="I23" s="215"/>
      <c r="J23" s="213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53</v>
      </c>
      <c r="E24" s="74">
        <f t="shared" si="0"/>
        <v>5</v>
      </c>
      <c r="F24" s="60">
        <f t="shared" si="4"/>
        <v>53.25</v>
      </c>
      <c r="G24" s="61">
        <f>IF(D24=D23,"",_xlfn.IFNA(VLOOKUP(D24,'인원 입력 기능(사과탐)'!$A$5:$D$59,4,FALSE),0))</f>
        <v>1465</v>
      </c>
      <c r="H24" s="62">
        <f t="shared" si="1"/>
        <v>2.4912423902322893E-2</v>
      </c>
      <c r="I24" s="72">
        <f>SUM($G$7:G24)</f>
        <v>28224</v>
      </c>
      <c r="J24" s="64">
        <f t="shared" si="5"/>
        <v>0.47995102540557089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52</v>
      </c>
      <c r="E25" s="74">
        <f t="shared" si="0"/>
        <v>5</v>
      </c>
      <c r="F25" s="60">
        <f t="shared" si="4"/>
        <v>50.81</v>
      </c>
      <c r="G25" s="61">
        <f>IF(D25=D24,"",_xlfn.IFNA(VLOOKUP(D25,'인원 입력 기능(사과탐)'!$A$5:$D$59,4,FALSE),0))</f>
        <v>1408</v>
      </c>
      <c r="H25" s="62">
        <f t="shared" si="1"/>
        <v>2.3943135054246164E-2</v>
      </c>
      <c r="I25" s="72">
        <f>SUM($G$7:G25)</f>
        <v>29632</v>
      </c>
      <c r="J25" s="64">
        <f t="shared" si="5"/>
        <v>0.50389416045981705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203">
        <f t="shared" si="3"/>
        <v>51</v>
      </c>
      <c r="E26" s="203">
        <f t="shared" si="0"/>
        <v>5</v>
      </c>
      <c r="F26" s="205">
        <f t="shared" si="4"/>
        <v>47.41</v>
      </c>
      <c r="G26" s="207">
        <f>IF(D26=D25,"",_xlfn.IFNA(VLOOKUP(D26,'인원 입력 기능(사과탐)'!$A$5:$D$59,4,FALSE),0))</f>
        <v>2584</v>
      </c>
      <c r="H26" s="208">
        <f t="shared" si="1"/>
        <v>4.3941094446144954E-2</v>
      </c>
      <c r="I26" s="214">
        <f>SUM($G$7:G26)</f>
        <v>32216</v>
      </c>
      <c r="J26" s="212">
        <f t="shared" si="5"/>
        <v>0.54783525490596197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202"/>
      <c r="E27" s="202"/>
      <c r="F27" s="204"/>
      <c r="G27" s="206"/>
      <c r="H27" s="209"/>
      <c r="I27" s="215"/>
      <c r="J27" s="213"/>
      <c r="K27" s="36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50</v>
      </c>
      <c r="E28" s="74">
        <f t="shared" si="0"/>
        <v>5</v>
      </c>
      <c r="F28" s="60">
        <f t="shared" si="4"/>
        <v>44.12</v>
      </c>
      <c r="G28" s="61">
        <f>IF(D28=D27,"",_xlfn.IFNA(VLOOKUP(D28,'인원 입력 기능(사과탐)'!$A$5:$D$59,4,FALSE),0))</f>
        <v>1286</v>
      </c>
      <c r="H28" s="62">
        <f t="shared" si="1"/>
        <v>2.1868516818011767E-2</v>
      </c>
      <c r="I28" s="72">
        <f>SUM($G$7:G28)</f>
        <v>33502</v>
      </c>
      <c r="J28" s="64">
        <f t="shared" si="5"/>
        <v>0.5697037717239738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49</v>
      </c>
      <c r="E29" s="74">
        <f t="shared" si="0"/>
        <v>5</v>
      </c>
      <c r="F29" s="60">
        <f t="shared" si="4"/>
        <v>41.98</v>
      </c>
      <c r="G29" s="61">
        <f>IF(D29=D28,"",_xlfn.IFNA(VLOOKUP(D29,'인원 입력 기능(사과탐)'!$A$5:$D$59,4,FALSE),0))</f>
        <v>1232</v>
      </c>
      <c r="H29" s="62">
        <f t="shared" si="1"/>
        <v>2.0950243172465393E-2</v>
      </c>
      <c r="I29" s="72">
        <f>SUM($G$7:G29)</f>
        <v>34734</v>
      </c>
      <c r="J29" s="64">
        <f t="shared" si="5"/>
        <v>0.59065401489643909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48</v>
      </c>
      <c r="E30" s="74">
        <f t="shared" si="0"/>
        <v>5</v>
      </c>
      <c r="F30" s="60">
        <f t="shared" si="4"/>
        <v>40.020000000000003</v>
      </c>
      <c r="G30" s="61">
        <f>IF(D30=D29,"",_xlfn.IFNA(VLOOKUP(D30,'인원 입력 기능(사과탐)'!$A$5:$D$59,4,FALSE),0))</f>
        <v>1076</v>
      </c>
      <c r="H30" s="62">
        <f t="shared" si="1"/>
        <v>1.8297452640886985E-2</v>
      </c>
      <c r="I30" s="72">
        <f>SUM($G$7:G30)</f>
        <v>35810</v>
      </c>
      <c r="J30" s="64">
        <f t="shared" si="5"/>
        <v>0.6089514675373261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203">
        <f t="shared" si="3"/>
        <v>47</v>
      </c>
      <c r="E31" s="203">
        <f t="shared" si="0"/>
        <v>6</v>
      </c>
      <c r="F31" s="205">
        <f t="shared" si="4"/>
        <v>37.39</v>
      </c>
      <c r="G31" s="207">
        <f>IF(D31=D30,"",_xlfn.IFNA(VLOOKUP(D31,'인원 입력 기능(사과탐)'!$A$5:$D$59,4,FALSE),0))</f>
        <v>2015</v>
      </c>
      <c r="H31" s="208">
        <f t="shared" si="1"/>
        <v>3.42652110328878E-2</v>
      </c>
      <c r="I31" s="214">
        <f>SUM($G$7:G31)</f>
        <v>37825</v>
      </c>
      <c r="J31" s="212">
        <f t="shared" si="5"/>
        <v>0.64321667857021392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02"/>
      <c r="E32" s="202"/>
      <c r="F32" s="204"/>
      <c r="G32" s="206"/>
      <c r="H32" s="209"/>
      <c r="I32" s="215"/>
      <c r="J32" s="213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46</v>
      </c>
      <c r="E33" s="74">
        <f t="shared" si="0"/>
        <v>6</v>
      </c>
      <c r="F33" s="60">
        <f t="shared" si="4"/>
        <v>34.85</v>
      </c>
      <c r="G33" s="61">
        <f>IF(D33=D32,"",_xlfn.IFNA(VLOOKUP(D33,'인원 입력 기능(사과탐)'!$A$5:$D$59,4,FALSE),0))</f>
        <v>969</v>
      </c>
      <c r="H33" s="62">
        <f t="shared" si="1"/>
        <v>1.6477910417304356E-2</v>
      </c>
      <c r="I33" s="72">
        <f>SUM($G$7:G33)</f>
        <v>38794</v>
      </c>
      <c r="J33" s="64">
        <f t="shared" si="5"/>
        <v>0.65969458898751832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45</v>
      </c>
      <c r="E34" s="74">
        <f t="shared" si="0"/>
        <v>6</v>
      </c>
      <c r="F34" s="60">
        <f t="shared" si="4"/>
        <v>33.21</v>
      </c>
      <c r="G34" s="61">
        <f>IF(D34=D33,"",_xlfn.IFNA(VLOOKUP(D34,'인원 입력 기능(사과탐)'!$A$5:$D$59,4,FALSE),0))</f>
        <v>968</v>
      </c>
      <c r="H34" s="62">
        <f t="shared" si="1"/>
        <v>1.646090534979424E-2</v>
      </c>
      <c r="I34" s="72">
        <f>SUM($G$7:G34)</f>
        <v>39762</v>
      </c>
      <c r="J34" s="64">
        <f t="shared" si="5"/>
        <v>0.67615549433731248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03">
        <f t="shared" si="3"/>
        <v>44</v>
      </c>
      <c r="E35" s="203">
        <f t="shared" si="0"/>
        <v>6</v>
      </c>
      <c r="F35" s="205">
        <f t="shared" si="4"/>
        <v>30.93</v>
      </c>
      <c r="G35" s="207">
        <f>IF(D35=D34,"",_xlfn.IFNA(VLOOKUP(D35,'인원 입력 기능(사과탐)'!$A$5:$D$59,4,FALSE),0))</f>
        <v>1716</v>
      </c>
      <c r="H35" s="208">
        <f t="shared" si="1"/>
        <v>2.9180695847362513E-2</v>
      </c>
      <c r="I35" s="214">
        <f>SUM($G$7:G35)</f>
        <v>41478</v>
      </c>
      <c r="J35" s="212">
        <f t="shared" si="5"/>
        <v>0.70533619018467508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02"/>
      <c r="E36" s="202"/>
      <c r="F36" s="204"/>
      <c r="G36" s="206"/>
      <c r="H36" s="209"/>
      <c r="I36" s="215"/>
      <c r="J36" s="213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43</v>
      </c>
      <c r="E37" s="74">
        <f t="shared" si="0"/>
        <v>6</v>
      </c>
      <c r="F37" s="60">
        <f t="shared" si="4"/>
        <v>28.79</v>
      </c>
      <c r="G37" s="61">
        <f>IF(D37=D36,"",_xlfn.IFNA(VLOOKUP(D37,'인원 입력 기능(사과탐)'!$A$5:$D$59,4,FALSE),0))</f>
        <v>792</v>
      </c>
      <c r="H37" s="62">
        <f t="shared" si="1"/>
        <v>1.3468013468013467E-2</v>
      </c>
      <c r="I37" s="72">
        <f>SUM($G$7:G37)</f>
        <v>42270</v>
      </c>
      <c r="J37" s="64">
        <f t="shared" si="5"/>
        <v>0.71880420365268849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42</v>
      </c>
      <c r="E38" s="74">
        <f t="shared" si="0"/>
        <v>6</v>
      </c>
      <c r="F38" s="60">
        <f t="shared" si="4"/>
        <v>27.41</v>
      </c>
      <c r="G38" s="61">
        <f>IF(D38=D37,"",_xlfn.IFNA(VLOOKUP(D38,'인원 입력 기능(사과탐)'!$A$5:$D$59,4,FALSE),0))</f>
        <v>834</v>
      </c>
      <c r="H38" s="62">
        <f t="shared" si="1"/>
        <v>1.4182226303438425E-2</v>
      </c>
      <c r="I38" s="72">
        <f>SUM($G$7:G38)</f>
        <v>43104</v>
      </c>
      <c r="J38" s="64">
        <f t="shared" si="5"/>
        <v>0.73298642995612695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203">
        <f t="shared" si="3"/>
        <v>41</v>
      </c>
      <c r="E39" s="203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205">
        <f t="shared" si="4"/>
        <v>25.3</v>
      </c>
      <c r="G39" s="207">
        <f>IF(D39=D38,"",_xlfn.IFNA(VLOOKUP(D39,'인원 입력 기능(사과탐)'!$A$5:$D$59,4,FALSE),0))</f>
        <v>1652</v>
      </c>
      <c r="H39" s="208">
        <f t="shared" si="1"/>
        <v>2.8092371526714961E-2</v>
      </c>
      <c r="I39" s="214">
        <f>SUM($G$7:G39)</f>
        <v>44756</v>
      </c>
      <c r="J39" s="212">
        <f t="shared" si="5"/>
        <v>0.7610788014828419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02"/>
      <c r="E40" s="202"/>
      <c r="F40" s="204"/>
      <c r="G40" s="206"/>
      <c r="H40" s="209"/>
      <c r="I40" s="215"/>
      <c r="J40" s="213"/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40</v>
      </c>
      <c r="E41" s="74">
        <f t="shared" si="6"/>
        <v>6</v>
      </c>
      <c r="F41" s="60">
        <f t="shared" si="4"/>
        <v>23.21</v>
      </c>
      <c r="G41" s="61">
        <f>IF(D41=D40,"",_xlfn.IFNA(VLOOKUP(D41,'인원 입력 기능(사과탐)'!$A$5:$D$59,4,FALSE),0))</f>
        <v>804</v>
      </c>
      <c r="H41" s="62">
        <f t="shared" si="1"/>
        <v>1.3672074278134884E-2</v>
      </c>
      <c r="I41" s="72">
        <f>SUM($G$7:G41)</f>
        <v>45560</v>
      </c>
      <c r="J41" s="64">
        <f t="shared" si="5"/>
        <v>0.77475087576097679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39</v>
      </c>
      <c r="E42" s="74">
        <f t="shared" si="6"/>
        <v>7</v>
      </c>
      <c r="F42" s="60">
        <f t="shared" si="4"/>
        <v>21.81</v>
      </c>
      <c r="G42" s="61">
        <f>IF(D42=D41,"",_xlfn.IFNA(VLOOKUP(D42,'인원 입력 기능(사과탐)'!$A$5:$D$59,4,FALSE),0))</f>
        <v>845</v>
      </c>
      <c r="H42" s="62">
        <f t="shared" si="1"/>
        <v>1.4369282046049724E-2</v>
      </c>
      <c r="I42" s="72">
        <f>SUM($G$7:G42)</f>
        <v>46405</v>
      </c>
      <c r="J42" s="64">
        <f t="shared" si="5"/>
        <v>0.78912015780702649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03">
        <f t="shared" si="3"/>
        <v>38</v>
      </c>
      <c r="E43" s="203">
        <f t="shared" si="6"/>
        <v>7</v>
      </c>
      <c r="F43" s="205">
        <f t="shared" si="4"/>
        <v>18.57</v>
      </c>
      <c r="G43" s="207">
        <f>IF(D43=D42,"",_xlfn.IFNA(VLOOKUP(D43,'인원 입력 기능(사과탐)'!$A$5:$D$59,4,FALSE),0))</f>
        <v>2956</v>
      </c>
      <c r="H43" s="208">
        <f t="shared" si="1"/>
        <v>5.0266979559908852E-2</v>
      </c>
      <c r="I43" s="214">
        <f>SUM($G$7:G43)</f>
        <v>49361</v>
      </c>
      <c r="J43" s="212">
        <f t="shared" si="5"/>
        <v>0.83938713736693538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02"/>
      <c r="E44" s="202"/>
      <c r="F44" s="204"/>
      <c r="G44" s="206"/>
      <c r="H44" s="209"/>
      <c r="I44" s="215"/>
      <c r="J44" s="213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37</v>
      </c>
      <c r="E45" s="74">
        <f t="shared" si="6"/>
        <v>7</v>
      </c>
      <c r="F45" s="60">
        <f t="shared" si="4"/>
        <v>15.1</v>
      </c>
      <c r="G45" s="61">
        <f>IF(D45=D44,"",_xlfn.IFNA(VLOOKUP(D45,'인원 입력 기능(사과탐)'!$A$5:$D$59,4,FALSE),0))</f>
        <v>1134</v>
      </c>
      <c r="H45" s="62">
        <f t="shared" si="1"/>
        <v>1.928374655647383E-2</v>
      </c>
      <c r="I45" s="72">
        <f>SUM($G$7:G45)</f>
        <v>50495</v>
      </c>
      <c r="J45" s="64">
        <f t="shared" si="5"/>
        <v>0.85867088392340918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36</v>
      </c>
      <c r="E46" s="74">
        <f t="shared" si="6"/>
        <v>7</v>
      </c>
      <c r="F46" s="60">
        <f t="shared" si="4"/>
        <v>11.2</v>
      </c>
      <c r="G46" s="61">
        <f>IF(D46=D45,"",_xlfn.IFNA(VLOOKUP(D46,'인원 입력 기능(사과탐)'!$A$5:$D$59,4,FALSE),0))</f>
        <v>3450</v>
      </c>
      <c r="H46" s="62">
        <f t="shared" si="1"/>
        <v>5.866748290990715E-2</v>
      </c>
      <c r="I46" s="72">
        <f>SUM($G$7:G46)</f>
        <v>53945</v>
      </c>
      <c r="J46" s="64">
        <f t="shared" si="5"/>
        <v>0.91733836683331638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35</v>
      </c>
      <c r="E47" s="74">
        <f t="shared" si="6"/>
        <v>8</v>
      </c>
      <c r="F47" s="60">
        <f t="shared" si="4"/>
        <v>7.6</v>
      </c>
      <c r="G47" s="61">
        <f>IF(D47=D46,"",_xlfn.IFNA(VLOOKUP(D47,'인원 입력 기능(사과탐)'!$A$5:$D$59,4,FALSE),0))</f>
        <v>783</v>
      </c>
      <c r="H47" s="62">
        <f t="shared" si="1"/>
        <v>1.3314967860422406E-2</v>
      </c>
      <c r="I47" s="72">
        <f>SUM($G$7:G47)</f>
        <v>54728</v>
      </c>
      <c r="J47" s="64">
        <f t="shared" si="5"/>
        <v>0.93065333469373879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03">
        <f t="shared" si="3"/>
        <v>34</v>
      </c>
      <c r="E48" s="203">
        <f t="shared" si="6"/>
        <v>8</v>
      </c>
      <c r="F48" s="205">
        <f t="shared" si="4"/>
        <v>5.8</v>
      </c>
      <c r="G48" s="207">
        <f>IF(D48=D47,"",_xlfn.IFNA(VLOOKUP(D48,'인원 입력 기능(사과탐)'!$A$5:$D$59,4,FALSE),0))</f>
        <v>1331</v>
      </c>
      <c r="H48" s="208">
        <f t="shared" si="1"/>
        <v>2.2633744855967079E-2</v>
      </c>
      <c r="I48" s="214">
        <f>SUM($G$7:G48)</f>
        <v>56059</v>
      </c>
      <c r="J48" s="212">
        <f t="shared" si="5"/>
        <v>0.95328707954970582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02"/>
      <c r="E49" s="202"/>
      <c r="F49" s="204"/>
      <c r="G49" s="206"/>
      <c r="H49" s="209"/>
      <c r="I49" s="215"/>
      <c r="J49" s="213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33</v>
      </c>
      <c r="E50" s="74">
        <f t="shared" si="6"/>
        <v>8</v>
      </c>
      <c r="F50" s="60">
        <f t="shared" si="4"/>
        <v>3.56</v>
      </c>
      <c r="G50" s="61">
        <f>IF(D50=D49,"",_xlfn.IFNA(VLOOKUP(D50,'인원 입력 기능(사과탐)'!$A$5:$D$59,4,FALSE),0))</f>
        <v>1302</v>
      </c>
      <c r="H50" s="62">
        <f t="shared" si="1"/>
        <v>2.2140597898173655E-2</v>
      </c>
      <c r="I50" s="72">
        <f>SUM($G$7:G50)</f>
        <v>57361</v>
      </c>
      <c r="J50" s="64">
        <f t="shared" si="5"/>
        <v>0.9754276774478795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32</v>
      </c>
      <c r="E51" s="74">
        <f t="shared" si="6"/>
        <v>9</v>
      </c>
      <c r="F51" s="60">
        <f t="shared" si="4"/>
        <v>2.15</v>
      </c>
      <c r="G51" s="61">
        <f>IF(D51=D50,"",_xlfn.IFNA(VLOOKUP(D51,'인원 입력 기능(사과탐)'!$A$5:$D$59,4,FALSE),0))</f>
        <v>357</v>
      </c>
      <c r="H51" s="62">
        <f t="shared" si="1"/>
        <v>6.0708091011121316E-3</v>
      </c>
      <c r="I51" s="72">
        <f>SUM($G$7:G51)</f>
        <v>57718</v>
      </c>
      <c r="J51" s="64">
        <f t="shared" si="5"/>
        <v>0.98149848654899163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203">
        <f t="shared" si="3"/>
        <v>31</v>
      </c>
      <c r="E52" s="203">
        <f t="shared" si="6"/>
        <v>9</v>
      </c>
      <c r="F52" s="205">
        <f t="shared" si="4"/>
        <v>1.34</v>
      </c>
      <c r="G52" s="207">
        <f>IF(D52=D51,"",_xlfn.IFNA(VLOOKUP(D52,'인원 입력 기능(사과탐)'!$A$5:$D$59,4,FALSE),0))</f>
        <v>597</v>
      </c>
      <c r="H52" s="208">
        <f t="shared" si="1"/>
        <v>1.0152025303540455E-2</v>
      </c>
      <c r="I52" s="214">
        <f>SUM($G$7:G52)</f>
        <v>58315</v>
      </c>
      <c r="J52" s="212">
        <f t="shared" si="5"/>
        <v>0.99165051185253206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202"/>
      <c r="E53" s="202"/>
      <c r="F53" s="204"/>
      <c r="G53" s="206"/>
      <c r="H53" s="209"/>
      <c r="I53" s="215"/>
      <c r="J53" s="213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30</v>
      </c>
      <c r="E54" s="59">
        <f t="shared" si="6"/>
        <v>9</v>
      </c>
      <c r="F54" s="60">
        <f t="shared" si="4"/>
        <v>0.61</v>
      </c>
      <c r="G54" s="61">
        <f>IF(D54=D53,"",_xlfn.IFNA(VLOOKUP(D54,'인원 입력 기능(사과탐)'!$A$5:$D$59,4,FALSE),0))</f>
        <v>266</v>
      </c>
      <c r="H54" s="62">
        <f t="shared" si="1"/>
        <v>4.5233479576913919E-3</v>
      </c>
      <c r="I54" s="72">
        <f>SUM($G$7:G54)</f>
        <v>58581</v>
      </c>
      <c r="J54" s="64">
        <f t="shared" si="5"/>
        <v>0.99617385981022344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29</v>
      </c>
      <c r="E55" s="59">
        <f t="shared" si="6"/>
        <v>9</v>
      </c>
      <c r="F55" s="60">
        <f t="shared" si="4"/>
        <v>0.24</v>
      </c>
      <c r="G55" s="61">
        <f>IF(D55=D54,"",_xlfn.IFNA(VLOOKUP(D55,'인원 입력 기능(사과탐)'!$A$5:$D$59,4,FALSE),0))</f>
        <v>168</v>
      </c>
      <c r="H55" s="62">
        <f t="shared" si="1"/>
        <v>2.8568513416998265E-3</v>
      </c>
      <c r="I55" s="72">
        <f>SUM($G$7:G55)</f>
        <v>58749</v>
      </c>
      <c r="J55" s="64">
        <f t="shared" si="5"/>
        <v>0.99903071115192332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28</v>
      </c>
      <c r="E57" s="112">
        <f t="shared" si="6"/>
        <v>9</v>
      </c>
      <c r="F57" s="79">
        <f>IF(I55=0,ROUND(100*(1-(I54+I57)/2/$J$3),2),ROUND(100*(1-(I55+I57)/2/$J$3),2))</f>
        <v>0.05</v>
      </c>
      <c r="G57" s="113">
        <f>_xlfn.IFNA(VLOOKUP(D57,'인원 입력 기능(사과탐)'!$A$5:$D$59,4,FALSE),0)</f>
        <v>57</v>
      </c>
      <c r="H57" s="81">
        <f>G57/$J$3</f>
        <v>9.6928884807672691E-4</v>
      </c>
      <c r="I57" s="82">
        <f>SUM($G$7:G57)</f>
        <v>58806</v>
      </c>
      <c r="J57" s="114">
        <f>I57/$J$3</f>
        <v>1</v>
      </c>
      <c r="K57" s="36"/>
      <c r="L57" s="20" t="str">
        <f>IF(ABS((C57-$H$3)/$H$4*10+50-D57)&gt;0.49, "경고", "")</f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80">
    <mergeCell ref="I48:I49"/>
    <mergeCell ref="J48:J49"/>
    <mergeCell ref="D52:D53"/>
    <mergeCell ref="E52:E53"/>
    <mergeCell ref="F52:F53"/>
    <mergeCell ref="G52:G53"/>
    <mergeCell ref="H52:H53"/>
    <mergeCell ref="I52:I53"/>
    <mergeCell ref="J52:J53"/>
    <mergeCell ref="D48:D49"/>
    <mergeCell ref="E48:E49"/>
    <mergeCell ref="F48:F49"/>
    <mergeCell ref="G48:G49"/>
    <mergeCell ref="H48:H49"/>
    <mergeCell ref="I39:I40"/>
    <mergeCell ref="J39:J40"/>
    <mergeCell ref="D43:D44"/>
    <mergeCell ref="E43:E44"/>
    <mergeCell ref="F43:F44"/>
    <mergeCell ref="G43:G44"/>
    <mergeCell ref="H43:H44"/>
    <mergeCell ref="I43:I44"/>
    <mergeCell ref="J43:J44"/>
    <mergeCell ref="D39:D40"/>
    <mergeCell ref="E39:E40"/>
    <mergeCell ref="F39:F40"/>
    <mergeCell ref="G39:G40"/>
    <mergeCell ref="H39:H40"/>
    <mergeCell ref="I31:I32"/>
    <mergeCell ref="J31:J32"/>
    <mergeCell ref="D35:D36"/>
    <mergeCell ref="E35:E36"/>
    <mergeCell ref="F35:F36"/>
    <mergeCell ref="G35:G36"/>
    <mergeCell ref="H35:H36"/>
    <mergeCell ref="I35:I36"/>
    <mergeCell ref="J35:J36"/>
    <mergeCell ref="D31:D32"/>
    <mergeCell ref="E31:E32"/>
    <mergeCell ref="F31:F32"/>
    <mergeCell ref="G31:G32"/>
    <mergeCell ref="H31:H32"/>
    <mergeCell ref="I22:I23"/>
    <mergeCell ref="J22:J23"/>
    <mergeCell ref="D26:D27"/>
    <mergeCell ref="E26:E27"/>
    <mergeCell ref="F26:F27"/>
    <mergeCell ref="G26:G27"/>
    <mergeCell ref="H26:H27"/>
    <mergeCell ref="I26:I27"/>
    <mergeCell ref="J26:J27"/>
    <mergeCell ref="D22:D23"/>
    <mergeCell ref="E22:E23"/>
    <mergeCell ref="F22:F23"/>
    <mergeCell ref="G22:G23"/>
    <mergeCell ref="H22:H23"/>
    <mergeCell ref="I14:I15"/>
    <mergeCell ref="J14:J15"/>
    <mergeCell ref="D18:D19"/>
    <mergeCell ref="E18:E19"/>
    <mergeCell ref="F18:F19"/>
    <mergeCell ref="G18:G19"/>
    <mergeCell ref="H18:H19"/>
    <mergeCell ref="I18:I19"/>
    <mergeCell ref="J18:J19"/>
    <mergeCell ref="D14:D15"/>
    <mergeCell ref="E14:E15"/>
    <mergeCell ref="F14:F15"/>
    <mergeCell ref="G14:G15"/>
    <mergeCell ref="H14:H15"/>
    <mergeCell ref="D3:F3"/>
    <mergeCell ref="D4:F4"/>
    <mergeCell ref="I4:J5"/>
    <mergeCell ref="D9:D10"/>
    <mergeCell ref="E9:E10"/>
    <mergeCell ref="F9:F10"/>
    <mergeCell ref="G9:G10"/>
    <mergeCell ref="H9:H10"/>
    <mergeCell ref="I9:I10"/>
    <mergeCell ref="J9:J10"/>
  </mergeCells>
  <phoneticPr fontId="1" type="noConversion"/>
  <conditionalFormatting sqref="D7:J9 D11:J14 D16:J18 D20:J22 D24:J26 D28:J31 D33:J35 D37:J39 D41:J43 D45:J48 D50:J52 D54:J57">
    <cfRule type="expression" dxfId="50" priority="3">
      <formula>OR($D7=$Q$7:$Q$14)</formula>
    </cfRule>
  </conditionalFormatting>
  <conditionalFormatting sqref="C7:C57">
    <cfRule type="expression" dxfId="49" priority="2">
      <formula>OR(AND($D7=0,OR($D6=$Q$7:$Q$14)),AND($D8&gt;0,OR($D7=$Q$7:$Q$14)))</formula>
    </cfRule>
  </conditionalFormatting>
  <conditionalFormatting sqref="D7:D9 D11:D14 D16:D18 D20:D22 D24:D26 D28:D31 D33:D35 D37:D39 D41:D43 D45:D48 D50:D52 D54:D57">
    <cfRule type="expression" dxfId="48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기능'!D9</f>
        <v>25.38</v>
      </c>
      <c r="I3" s="21" t="s">
        <v>70</v>
      </c>
      <c r="J3" s="50">
        <f>'통계 및 응시자 수 입력 기능'!C9</f>
        <v>37563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103</v>
      </c>
      <c r="E4" s="185"/>
      <c r="F4" s="186"/>
      <c r="G4" s="52" t="s">
        <v>73</v>
      </c>
      <c r="H4" s="53" t="str">
        <f>'통계 및 응시자 수 입력 기능'!E9</f>
        <v>11.95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71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99.14</v>
      </c>
      <c r="G7" s="61">
        <f>_xlfn.IFNA(VLOOKUP(D7,'인원 입력 기능(사과탐)'!$F$5:$I$59,4,FALSE),0)</f>
        <v>646</v>
      </c>
      <c r="H7" s="62">
        <f>G7/$J$3</f>
        <v>1.719777440566515E-2</v>
      </c>
      <c r="I7" s="63">
        <f>G7</f>
        <v>646</v>
      </c>
      <c r="J7" s="64">
        <f>I7/$J$3</f>
        <v>1.719777440566515E-2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기능'!C49</f>
        <v>68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기능'!C50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69</v>
      </c>
      <c r="E9" s="59">
        <f t="shared" si="0"/>
        <v>1</v>
      </c>
      <c r="F9" s="60">
        <f>IF(I8=0,ROUND(100*(1-(I7+I9)/2/$J$3),2),ROUND(100*(1-(I8+I9)/2/$J$3),2))</f>
        <v>97.82</v>
      </c>
      <c r="G9" s="61">
        <f>_xlfn.IFNA(VLOOKUP(D9,'인원 입력 기능(사과탐)'!$F$5:$I$59,4,FALSE),0)</f>
        <v>349</v>
      </c>
      <c r="H9" s="62">
        <f t="shared" ref="H9:H55" si="1">G9/$J$3</f>
        <v>9.2910576897478909E-3</v>
      </c>
      <c r="I9" s="72">
        <f>SUM($G$7:G9)</f>
        <v>995</v>
      </c>
      <c r="J9" s="64">
        <f>I9/$J$3</f>
        <v>2.6488832095413039E-2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기능'!C51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68</v>
      </c>
      <c r="E10" s="59">
        <f t="shared" si="0"/>
        <v>1</v>
      </c>
      <c r="F10" s="60">
        <f t="shared" ref="F10:F55" si="4">IF(I9=0,ROUND(100*(1-(I8+I10)/2/$J$3),2),ROUND(100*(1-(I9+I10)/2/$J$3),2))</f>
        <v>96.51</v>
      </c>
      <c r="G10" s="61">
        <f>IF(D10=D9,"",_xlfn.IFNA(VLOOKUP(D10,'인원 입력 기능(사과탐)'!$F$5:$I$59,4,FALSE),0))</f>
        <v>630</v>
      </c>
      <c r="H10" s="62">
        <f t="shared" si="1"/>
        <v>1.6771823336794184E-2</v>
      </c>
      <c r="I10" s="72">
        <f>SUM($G$7:G10)</f>
        <v>1625</v>
      </c>
      <c r="J10" s="64">
        <f t="shared" ref="J10:J55" si="5">I10/$J$3</f>
        <v>4.3260655432207223E-2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기능'!C52</f>
        <v>53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67</v>
      </c>
      <c r="E11" s="59">
        <f t="shared" si="0"/>
        <v>2</v>
      </c>
      <c r="F11" s="60">
        <f t="shared" si="4"/>
        <v>95.5</v>
      </c>
      <c r="G11" s="61">
        <f>IF(D11=D10,"",_xlfn.IFNA(VLOOKUP(D11,'인원 입력 기능(사과탐)'!$F$5:$I$59,4,FALSE),0))</f>
        <v>133</v>
      </c>
      <c r="H11" s="62">
        <f t="shared" si="1"/>
        <v>3.5407182599898838E-3</v>
      </c>
      <c r="I11" s="72">
        <f>SUM($G$7:G11)</f>
        <v>1758</v>
      </c>
      <c r="J11" s="64">
        <f t="shared" si="5"/>
        <v>4.6801373692197105E-2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기능'!C53</f>
        <v>47</v>
      </c>
    </row>
    <row r="12" spans="1:17" s="22" customFormat="1" ht="25" customHeight="1" x14ac:dyDescent="0.45">
      <c r="A12" s="20"/>
      <c r="B12" s="35"/>
      <c r="C12" s="65">
        <v>45</v>
      </c>
      <c r="D12" s="201">
        <f t="shared" si="3"/>
        <v>66</v>
      </c>
      <c r="E12" s="201">
        <f t="shared" si="0"/>
        <v>2</v>
      </c>
      <c r="F12" s="205">
        <f t="shared" si="4"/>
        <v>93.83</v>
      </c>
      <c r="G12" s="207">
        <f>IF(D12=D11,"",_xlfn.IFNA(VLOOKUP(D12,'인원 입력 기능(사과탐)'!$F$5:$I$59,4,FALSE),0))</f>
        <v>1116</v>
      </c>
      <c r="H12" s="208">
        <f t="shared" si="1"/>
        <v>2.9710087053749702E-2</v>
      </c>
      <c r="I12" s="214">
        <f>SUM($G$7:G12)</f>
        <v>2874</v>
      </c>
      <c r="J12" s="212">
        <f t="shared" si="5"/>
        <v>7.6511460745946808E-2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기능'!C54</f>
        <v>40</v>
      </c>
    </row>
    <row r="13" spans="1:17" s="22" customFormat="1" ht="25" customHeight="1" x14ac:dyDescent="0.45">
      <c r="A13" s="20"/>
      <c r="B13" s="35"/>
      <c r="C13" s="58">
        <v>44</v>
      </c>
      <c r="D13" s="200"/>
      <c r="E13" s="200"/>
      <c r="F13" s="204"/>
      <c r="G13" s="206"/>
      <c r="H13" s="209"/>
      <c r="I13" s="215"/>
      <c r="J13" s="213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기능'!C55</f>
        <v>37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65</v>
      </c>
      <c r="E14" s="59">
        <f t="shared" si="0"/>
        <v>2</v>
      </c>
      <c r="F14" s="60">
        <f t="shared" si="4"/>
        <v>91.86</v>
      </c>
      <c r="G14" s="61">
        <f>IF(D14=D13,"",_xlfn.IFNA(VLOOKUP(D14,'인원 입력 기능(사과탐)'!$F$5:$I$59,4,FALSE),0))</f>
        <v>370</v>
      </c>
      <c r="H14" s="62">
        <f t="shared" si="1"/>
        <v>9.8501184676410298E-3</v>
      </c>
      <c r="I14" s="72">
        <f>SUM($G$7:G14)</f>
        <v>3244</v>
      </c>
      <c r="J14" s="64">
        <f t="shared" si="5"/>
        <v>8.6361579213587836E-2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기능'!C56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64</v>
      </c>
      <c r="E15" s="59">
        <f t="shared" si="0"/>
        <v>2</v>
      </c>
      <c r="F15" s="60">
        <f t="shared" si="4"/>
        <v>90.26</v>
      </c>
      <c r="G15" s="61">
        <f>IF(D15=D14,"",_xlfn.IFNA(VLOOKUP(D15,'인원 입력 기능(사과탐)'!$F$5:$I$59,4,FALSE),0))</f>
        <v>832</v>
      </c>
      <c r="H15" s="62">
        <f t="shared" si="1"/>
        <v>2.2149455581290098E-2</v>
      </c>
      <c r="I15" s="72">
        <f>SUM($G$7:G15)</f>
        <v>4076</v>
      </c>
      <c r="J15" s="64">
        <f t="shared" si="5"/>
        <v>0.10851103479487793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63</v>
      </c>
      <c r="E16" s="59">
        <f t="shared" si="0"/>
        <v>2</v>
      </c>
      <c r="F16" s="60">
        <f t="shared" si="4"/>
        <v>88.5</v>
      </c>
      <c r="G16" s="61">
        <f>IF(D16=D15,"",_xlfn.IFNA(VLOOKUP(D16,'인원 입력 기능(사과탐)'!$F$5:$I$59,4,FALSE),0))</f>
        <v>485</v>
      </c>
      <c r="H16" s="62">
        <f t="shared" si="1"/>
        <v>1.291164177515108E-2</v>
      </c>
      <c r="I16" s="72">
        <f>SUM($G$7:G16)</f>
        <v>4561</v>
      </c>
      <c r="J16" s="64">
        <f t="shared" si="5"/>
        <v>0.12142267657002902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62</v>
      </c>
      <c r="E17" s="59">
        <f t="shared" si="0"/>
        <v>3</v>
      </c>
      <c r="F17" s="60">
        <f t="shared" si="4"/>
        <v>86.85</v>
      </c>
      <c r="G17" s="61">
        <f>IF(D17=D16,"",_xlfn.IFNA(VLOOKUP(D17,'인원 입력 기능(사과탐)'!$F$5:$I$59,4,FALSE),0))</f>
        <v>757</v>
      </c>
      <c r="H17" s="62">
        <f t="shared" si="1"/>
        <v>2.0152809945957459E-2</v>
      </c>
      <c r="I17" s="72">
        <f>SUM($G$7:G17)</f>
        <v>5318</v>
      </c>
      <c r="J17" s="64">
        <f t="shared" si="5"/>
        <v>0.14157548651598648</v>
      </c>
      <c r="K17" s="36"/>
      <c r="L17" s="20" t="str">
        <f t="shared" si="2"/>
        <v/>
      </c>
      <c r="N17" s="24"/>
      <c r="Q17" s="24">
        <f>Q7*H3*H4*J3*IFERROR(IF(J57=1, 1, 0), 0)</f>
        <v>774691348.64399993</v>
      </c>
    </row>
    <row r="18" spans="1:17" s="22" customFormat="1" ht="25" customHeight="1" x14ac:dyDescent="0.45">
      <c r="A18" s="20"/>
      <c r="B18" s="35"/>
      <c r="C18" s="65">
        <v>39</v>
      </c>
      <c r="D18" s="201">
        <f t="shared" si="3"/>
        <v>61</v>
      </c>
      <c r="E18" s="201">
        <f t="shared" si="0"/>
        <v>3</v>
      </c>
      <c r="F18" s="205">
        <f t="shared" si="4"/>
        <v>83.87</v>
      </c>
      <c r="G18" s="207">
        <f>IF(D18=D17,"",_xlfn.IFNA(VLOOKUP(D18,'인원 입력 기능(사과탐)'!$F$5:$I$59,4,FALSE),0))</f>
        <v>1481</v>
      </c>
      <c r="H18" s="208">
        <f t="shared" si="1"/>
        <v>3.9427095812368557E-2</v>
      </c>
      <c r="I18" s="214">
        <f>SUM($G$7:G18)</f>
        <v>6799</v>
      </c>
      <c r="J18" s="212">
        <f t="shared" si="5"/>
        <v>0.18100258232835503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00"/>
      <c r="E19" s="200"/>
      <c r="F19" s="204"/>
      <c r="G19" s="206"/>
      <c r="H19" s="209"/>
      <c r="I19" s="215"/>
      <c r="J19" s="213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60</v>
      </c>
      <c r="E20" s="59">
        <f t="shared" si="0"/>
        <v>3</v>
      </c>
      <c r="F20" s="60">
        <f t="shared" si="4"/>
        <v>80.63</v>
      </c>
      <c r="G20" s="61">
        <f>IF(D20=D19,"",_xlfn.IFNA(VLOOKUP(D20,'인원 입력 기능(사과탐)'!$F$5:$I$59,4,FALSE),0))</f>
        <v>952</v>
      </c>
      <c r="H20" s="62">
        <f t="shared" si="1"/>
        <v>2.5344088597822324E-2</v>
      </c>
      <c r="I20" s="72">
        <f>SUM($G$7:G20)</f>
        <v>7751</v>
      </c>
      <c r="J20" s="64">
        <f t="shared" si="5"/>
        <v>0.20634667092617737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59</v>
      </c>
      <c r="E21" s="74">
        <f t="shared" si="0"/>
        <v>3</v>
      </c>
      <c r="F21" s="60">
        <f t="shared" si="4"/>
        <v>78.27</v>
      </c>
      <c r="G21" s="61">
        <f>IF(D21=D20,"",_xlfn.IFNA(VLOOKUP(D21,'인원 입력 기능(사과탐)'!$F$5:$I$59,4,FALSE),0))</f>
        <v>825</v>
      </c>
      <c r="H21" s="62">
        <f t="shared" si="1"/>
        <v>2.1963101988659053E-2</v>
      </c>
      <c r="I21" s="72">
        <f>SUM($G$7:G21)</f>
        <v>8576</v>
      </c>
      <c r="J21" s="64">
        <f t="shared" si="5"/>
        <v>0.2283097729148364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58</v>
      </c>
      <c r="E22" s="74">
        <f t="shared" si="0"/>
        <v>3</v>
      </c>
      <c r="F22" s="60">
        <f t="shared" si="4"/>
        <v>75.95</v>
      </c>
      <c r="G22" s="61">
        <f>IF(D22=D21,"",_xlfn.IFNA(VLOOKUP(D22,'인원 입력 기능(사과탐)'!$F$5:$I$59,4,FALSE),0))</f>
        <v>914</v>
      </c>
      <c r="H22" s="62">
        <f t="shared" si="1"/>
        <v>2.4332454809253785E-2</v>
      </c>
      <c r="I22" s="72">
        <f>SUM($G$7:G22)</f>
        <v>9490</v>
      </c>
      <c r="J22" s="64">
        <f t="shared" si="5"/>
        <v>0.25264222772409017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57</v>
      </c>
      <c r="E23" s="74">
        <f t="shared" si="0"/>
        <v>4</v>
      </c>
      <c r="F23" s="60">
        <f t="shared" si="4"/>
        <v>73.400000000000006</v>
      </c>
      <c r="G23" s="61">
        <f>IF(D23=D22,"",_xlfn.IFNA(VLOOKUP(D23,'인원 입력 기능(사과탐)'!$F$5:$I$59,4,FALSE),0))</f>
        <v>1007</v>
      </c>
      <c r="H23" s="62">
        <f t="shared" si="1"/>
        <v>2.6808295397066261E-2</v>
      </c>
      <c r="I23" s="72">
        <f>SUM($G$7:G23)</f>
        <v>10497</v>
      </c>
      <c r="J23" s="64">
        <f t="shared" si="5"/>
        <v>0.27945052312115648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03">
        <f t="shared" si="3"/>
        <v>56</v>
      </c>
      <c r="E24" s="203">
        <f t="shared" si="0"/>
        <v>4</v>
      </c>
      <c r="F24" s="205">
        <f t="shared" si="4"/>
        <v>69.5</v>
      </c>
      <c r="G24" s="207">
        <f>IF(D24=D23,"",_xlfn.IFNA(VLOOKUP(D24,'인원 입력 기능(사과탐)'!$F$5:$I$59,4,FALSE),0))</f>
        <v>1920</v>
      </c>
      <c r="H24" s="208">
        <f t="shared" si="1"/>
        <v>5.1114128264515613E-2</v>
      </c>
      <c r="I24" s="214">
        <f>SUM($G$7:G24)</f>
        <v>12417</v>
      </c>
      <c r="J24" s="212">
        <f t="shared" si="5"/>
        <v>0.33056465138567209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02"/>
      <c r="E25" s="202"/>
      <c r="F25" s="204"/>
      <c r="G25" s="206"/>
      <c r="H25" s="209"/>
      <c r="I25" s="215"/>
      <c r="J25" s="213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55</v>
      </c>
      <c r="E26" s="74">
        <f t="shared" si="0"/>
        <v>4</v>
      </c>
      <c r="F26" s="60">
        <f t="shared" si="4"/>
        <v>65.58</v>
      </c>
      <c r="G26" s="61">
        <f>IF(D26=D25,"",_xlfn.IFNA(VLOOKUP(D26,'인원 입력 기능(사과탐)'!$F$5:$I$59,4,FALSE),0))</f>
        <v>1023</v>
      </c>
      <c r="H26" s="62">
        <f t="shared" si="1"/>
        <v>2.7234246465937226E-2</v>
      </c>
      <c r="I26" s="72">
        <f>SUM($G$7:G26)</f>
        <v>13440</v>
      </c>
      <c r="J26" s="64">
        <f t="shared" si="5"/>
        <v>0.35779889785160929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54</v>
      </c>
      <c r="E27" s="74">
        <f t="shared" si="0"/>
        <v>4</v>
      </c>
      <c r="F27" s="60">
        <f t="shared" si="4"/>
        <v>62.96</v>
      </c>
      <c r="G27" s="61">
        <f>IF(D27=D26,"",_xlfn.IFNA(VLOOKUP(D27,'인원 입력 기능(사과탐)'!$F$5:$I$59,4,FALSE),0))</f>
        <v>944</v>
      </c>
      <c r="H27" s="62">
        <f t="shared" si="1"/>
        <v>2.5131113063386844E-2</v>
      </c>
      <c r="I27" s="72">
        <f>SUM($G$7:G27)</f>
        <v>14384</v>
      </c>
      <c r="J27" s="64">
        <f t="shared" si="5"/>
        <v>0.38293001091499612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53</v>
      </c>
      <c r="E28" s="74">
        <f t="shared" si="0"/>
        <v>4</v>
      </c>
      <c r="F28" s="60">
        <f t="shared" si="4"/>
        <v>60.23</v>
      </c>
      <c r="G28" s="61">
        <f>IF(D28=D27,"",_xlfn.IFNA(VLOOKUP(D28,'인원 입력 기능(사과탐)'!$F$5:$I$59,4,FALSE),0))</f>
        <v>1109</v>
      </c>
      <c r="H28" s="62">
        <f t="shared" si="1"/>
        <v>2.9523733461118654E-2</v>
      </c>
      <c r="I28" s="72">
        <f>SUM($G$7:G28)</f>
        <v>15493</v>
      </c>
      <c r="J28" s="64">
        <f t="shared" si="5"/>
        <v>0.41245374437611482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52</v>
      </c>
      <c r="E29" s="74">
        <f t="shared" si="0"/>
        <v>5</v>
      </c>
      <c r="F29" s="60">
        <f t="shared" si="4"/>
        <v>57.48</v>
      </c>
      <c r="G29" s="61">
        <f>IF(D29=D28,"",_xlfn.IFNA(VLOOKUP(D29,'인원 입력 기능(사과탐)'!$F$5:$I$59,4,FALSE),0))</f>
        <v>956</v>
      </c>
      <c r="H29" s="62">
        <f t="shared" si="1"/>
        <v>2.5450576365040067E-2</v>
      </c>
      <c r="I29" s="72">
        <f>SUM($G$7:G29)</f>
        <v>16449</v>
      </c>
      <c r="J29" s="64">
        <f t="shared" si="5"/>
        <v>0.43790432074115487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03">
        <f t="shared" si="3"/>
        <v>51</v>
      </c>
      <c r="E30" s="203">
        <f t="shared" si="0"/>
        <v>5</v>
      </c>
      <c r="F30" s="205">
        <f t="shared" si="4"/>
        <v>53.39</v>
      </c>
      <c r="G30" s="207">
        <f>IF(D30=D29,"",_xlfn.IFNA(VLOOKUP(D30,'인원 입력 기능(사과탐)'!$F$5:$I$59,4,FALSE),0))</f>
        <v>2118</v>
      </c>
      <c r="H30" s="208">
        <f t="shared" si="1"/>
        <v>5.6385272741793786E-2</v>
      </c>
      <c r="I30" s="214">
        <f>SUM($G$7:G30)</f>
        <v>18567</v>
      </c>
      <c r="J30" s="212">
        <f t="shared" si="5"/>
        <v>0.49428959348294865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202"/>
      <c r="E31" s="202"/>
      <c r="F31" s="204"/>
      <c r="G31" s="206"/>
      <c r="H31" s="209"/>
      <c r="I31" s="215"/>
      <c r="J31" s="213"/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50</v>
      </c>
      <c r="E32" s="74">
        <f t="shared" si="0"/>
        <v>5</v>
      </c>
      <c r="F32" s="60">
        <f t="shared" si="4"/>
        <v>49.27</v>
      </c>
      <c r="G32" s="61">
        <f>IF(D32=D31,"",_xlfn.IFNA(VLOOKUP(D32,'인원 입력 기능(사과탐)'!$F$5:$I$59,4,FALSE),0))</f>
        <v>974</v>
      </c>
      <c r="H32" s="62">
        <f t="shared" si="1"/>
        <v>2.59297713175199E-2</v>
      </c>
      <c r="I32" s="72">
        <f>SUM($G$7:G32)</f>
        <v>19541</v>
      </c>
      <c r="J32" s="64">
        <f t="shared" si="5"/>
        <v>0.5202193648004686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49</v>
      </c>
      <c r="E33" s="74">
        <f t="shared" si="0"/>
        <v>5</v>
      </c>
      <c r="F33" s="60">
        <f t="shared" si="4"/>
        <v>46.58</v>
      </c>
      <c r="G33" s="61">
        <f>IF(D33=D32,"",_xlfn.IFNA(VLOOKUP(D33,'인원 입력 기능(사과탐)'!$F$5:$I$59,4,FALSE),0))</f>
        <v>1051</v>
      </c>
      <c r="H33" s="62">
        <f t="shared" si="1"/>
        <v>2.7979660836461411E-2</v>
      </c>
      <c r="I33" s="72">
        <f>SUM($G$7:G33)</f>
        <v>20592</v>
      </c>
      <c r="J33" s="64">
        <f t="shared" si="5"/>
        <v>0.5481990256369299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48</v>
      </c>
      <c r="E34" s="74">
        <f t="shared" si="0"/>
        <v>5</v>
      </c>
      <c r="F34" s="60">
        <f t="shared" si="4"/>
        <v>43.91</v>
      </c>
      <c r="G34" s="61">
        <f>IF(D34=D33,"",_xlfn.IFNA(VLOOKUP(D34,'인원 입력 기능(사과탐)'!$F$5:$I$59,4,FALSE),0))</f>
        <v>957</v>
      </c>
      <c r="H34" s="62">
        <f t="shared" si="1"/>
        <v>2.5477198306844501E-2</v>
      </c>
      <c r="I34" s="72">
        <f>SUM($G$7:G34)</f>
        <v>21549</v>
      </c>
      <c r="J34" s="64">
        <f t="shared" si="5"/>
        <v>0.57367622394377449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47</v>
      </c>
      <c r="E35" s="74">
        <f t="shared" si="0"/>
        <v>5</v>
      </c>
      <c r="F35" s="60">
        <f t="shared" si="4"/>
        <v>41.3</v>
      </c>
      <c r="G35" s="61">
        <f>IF(D35=D34,"",_xlfn.IFNA(VLOOKUP(D35,'인원 입력 기능(사과탐)'!$F$5:$I$59,4,FALSE),0))</f>
        <v>1001</v>
      </c>
      <c r="H35" s="62">
        <f t="shared" si="1"/>
        <v>2.664856374623965E-2</v>
      </c>
      <c r="I35" s="72">
        <f>SUM($G$7:G35)</f>
        <v>22550</v>
      </c>
      <c r="J35" s="64">
        <f t="shared" si="5"/>
        <v>0.60032478769001407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46</v>
      </c>
      <c r="E36" s="74">
        <f t="shared" si="0"/>
        <v>6</v>
      </c>
      <c r="F36" s="60">
        <f t="shared" si="4"/>
        <v>38.68</v>
      </c>
      <c r="G36" s="61">
        <f>IF(D36=D35,"",_xlfn.IFNA(VLOOKUP(D36,'인원 입력 기능(사과탐)'!$F$5:$I$59,4,FALSE),0))</f>
        <v>965</v>
      </c>
      <c r="H36" s="62">
        <f t="shared" si="1"/>
        <v>2.5690173841279983E-2</v>
      </c>
      <c r="I36" s="72">
        <f>SUM($G$7:G36)</f>
        <v>23515</v>
      </c>
      <c r="J36" s="64">
        <f t="shared" si="5"/>
        <v>0.6260149615312941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203">
        <f t="shared" si="3"/>
        <v>45</v>
      </c>
      <c r="E37" s="203">
        <f t="shared" si="0"/>
        <v>6</v>
      </c>
      <c r="F37" s="205">
        <f t="shared" si="4"/>
        <v>34.9</v>
      </c>
      <c r="G37" s="207">
        <f>IF(D37=D36,"",_xlfn.IFNA(VLOOKUP(D37,'인원 입력 기능(사과탐)'!$F$5:$I$59,4,FALSE),0))</f>
        <v>1874</v>
      </c>
      <c r="H37" s="208">
        <f t="shared" si="1"/>
        <v>4.9889518941511592E-2</v>
      </c>
      <c r="I37" s="214">
        <f>SUM($G$7:G37)</f>
        <v>25389</v>
      </c>
      <c r="J37" s="212">
        <f t="shared" si="5"/>
        <v>0.67590448047280571</v>
      </c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73">
        <v>19</v>
      </c>
      <c r="D38" s="202"/>
      <c r="E38" s="202"/>
      <c r="F38" s="204"/>
      <c r="G38" s="206"/>
      <c r="H38" s="209"/>
      <c r="I38" s="215"/>
      <c r="J38" s="213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44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31.32</v>
      </c>
      <c r="G39" s="61">
        <f>IF(D39=D38,"",_xlfn.IFNA(VLOOKUP(D39,'인원 입력 기능(사과탐)'!$F$5:$I$59,4,FALSE),0))</f>
        <v>818</v>
      </c>
      <c r="H39" s="62">
        <f t="shared" si="1"/>
        <v>2.1776748396028008E-2</v>
      </c>
      <c r="I39" s="72">
        <f>SUM($G$7:G39)</f>
        <v>26207</v>
      </c>
      <c r="J39" s="64">
        <f t="shared" si="5"/>
        <v>0.69768122886883366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43</v>
      </c>
      <c r="E40" s="74">
        <f t="shared" si="6"/>
        <v>6</v>
      </c>
      <c r="F40" s="60">
        <f t="shared" si="4"/>
        <v>28.95</v>
      </c>
      <c r="G40" s="61">
        <f>IF(D40=D39,"",_xlfn.IFNA(VLOOKUP(D40,'인원 입력 기능(사과탐)'!$F$5:$I$59,4,FALSE),0))</f>
        <v>964</v>
      </c>
      <c r="H40" s="62">
        <f t="shared" si="1"/>
        <v>2.5663551899475549E-2</v>
      </c>
      <c r="I40" s="72">
        <f>SUM($G$7:G40)</f>
        <v>27171</v>
      </c>
      <c r="J40" s="64">
        <f t="shared" si="5"/>
        <v>0.72334478076830921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42</v>
      </c>
      <c r="E41" s="74">
        <f t="shared" si="6"/>
        <v>6</v>
      </c>
      <c r="F41" s="60">
        <f t="shared" si="4"/>
        <v>26.55</v>
      </c>
      <c r="G41" s="61">
        <f>IF(D41=D40,"",_xlfn.IFNA(VLOOKUP(D41,'인원 입력 기능(사과탐)'!$F$5:$I$59,4,FALSE),0))</f>
        <v>840</v>
      </c>
      <c r="H41" s="62">
        <f t="shared" si="1"/>
        <v>2.236243111572558E-2</v>
      </c>
      <c r="I41" s="72">
        <f>SUM($G$7:G41)</f>
        <v>28011</v>
      </c>
      <c r="J41" s="64">
        <f t="shared" si="5"/>
        <v>0.74570721188403477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41</v>
      </c>
      <c r="E42" s="74">
        <f t="shared" si="6"/>
        <v>6</v>
      </c>
      <c r="F42" s="60">
        <f t="shared" si="4"/>
        <v>24.43</v>
      </c>
      <c r="G42" s="61">
        <f>IF(D42=D41,"",_xlfn.IFNA(VLOOKUP(D42,'인원 입력 기능(사과탐)'!$F$5:$I$59,4,FALSE),0))</f>
        <v>748</v>
      </c>
      <c r="H42" s="62">
        <f t="shared" si="1"/>
        <v>1.9913212469717542E-2</v>
      </c>
      <c r="I42" s="72">
        <f>SUM($G$7:G42)</f>
        <v>28759</v>
      </c>
      <c r="J42" s="64">
        <f t="shared" si="5"/>
        <v>0.76562042435375233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03">
        <f t="shared" si="3"/>
        <v>40</v>
      </c>
      <c r="E43" s="203">
        <f t="shared" si="6"/>
        <v>6</v>
      </c>
      <c r="F43" s="205">
        <f t="shared" si="4"/>
        <v>21.27</v>
      </c>
      <c r="G43" s="207">
        <f>IF(D43=D42,"",_xlfn.IFNA(VLOOKUP(D43,'인원 입력 기능(사과탐)'!$F$5:$I$59,4,FALSE),0))</f>
        <v>1630</v>
      </c>
      <c r="H43" s="208">
        <f t="shared" si="1"/>
        <v>4.3393765141229404E-2</v>
      </c>
      <c r="I43" s="214">
        <f>SUM($G$7:G43)</f>
        <v>30389</v>
      </c>
      <c r="J43" s="212">
        <f t="shared" si="5"/>
        <v>0.80901418949498172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02"/>
      <c r="E44" s="202"/>
      <c r="F44" s="204"/>
      <c r="G44" s="206"/>
      <c r="H44" s="209"/>
      <c r="I44" s="215"/>
      <c r="J44" s="213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39</v>
      </c>
      <c r="E45" s="74">
        <f t="shared" si="6"/>
        <v>7</v>
      </c>
      <c r="F45" s="60">
        <f t="shared" si="4"/>
        <v>16.71</v>
      </c>
      <c r="G45" s="61">
        <f>IF(D45=D44,"",_xlfn.IFNA(VLOOKUP(D45,'인원 입력 기능(사과탐)'!$F$5:$I$59,4,FALSE),0))</f>
        <v>1796</v>
      </c>
      <c r="H45" s="62">
        <f t="shared" si="1"/>
        <v>4.7813007480765647E-2</v>
      </c>
      <c r="I45" s="72">
        <f>SUM($G$7:G45)</f>
        <v>32185</v>
      </c>
      <c r="J45" s="64">
        <f t="shared" si="5"/>
        <v>0.85682719697574738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38</v>
      </c>
      <c r="E46" s="74">
        <f t="shared" si="6"/>
        <v>7</v>
      </c>
      <c r="F46" s="60">
        <f t="shared" si="4"/>
        <v>13.23</v>
      </c>
      <c r="G46" s="61">
        <f>IF(D46=D45,"",_xlfn.IFNA(VLOOKUP(D46,'인원 입력 기능(사과탐)'!$F$5:$I$59,4,FALSE),0))</f>
        <v>819</v>
      </c>
      <c r="H46" s="62">
        <f t="shared" si="1"/>
        <v>2.1803370337832442E-2</v>
      </c>
      <c r="I46" s="72">
        <f>SUM($G$7:G46)</f>
        <v>33004</v>
      </c>
      <c r="J46" s="64">
        <f t="shared" si="5"/>
        <v>0.8786305673135798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37</v>
      </c>
      <c r="E47" s="74">
        <f t="shared" si="6"/>
        <v>7</v>
      </c>
      <c r="F47" s="60">
        <f t="shared" si="4"/>
        <v>11.43</v>
      </c>
      <c r="G47" s="61">
        <f>IF(D47=D46,"",_xlfn.IFNA(VLOOKUP(D47,'인원 입력 기능(사과탐)'!$F$5:$I$59,4,FALSE),0))</f>
        <v>529</v>
      </c>
      <c r="H47" s="62">
        <f t="shared" si="1"/>
        <v>1.408300721454623E-2</v>
      </c>
      <c r="I47" s="72">
        <f>SUM($G$7:G47)</f>
        <v>33533</v>
      </c>
      <c r="J47" s="64">
        <f t="shared" si="5"/>
        <v>0.89271357452812605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36</v>
      </c>
      <c r="E48" s="74">
        <f t="shared" si="6"/>
        <v>8</v>
      </c>
      <c r="F48" s="60">
        <f t="shared" si="4"/>
        <v>9.85</v>
      </c>
      <c r="G48" s="61">
        <f>IF(D48=D47,"",_xlfn.IFNA(VLOOKUP(D48,'인원 입력 기능(사과탐)'!$F$5:$I$59,4,FALSE),0))</f>
        <v>657</v>
      </c>
      <c r="H48" s="62">
        <f t="shared" si="1"/>
        <v>1.7490615765513938E-2</v>
      </c>
      <c r="I48" s="72">
        <f>SUM($G$7:G48)</f>
        <v>34190</v>
      </c>
      <c r="J48" s="64">
        <f t="shared" si="5"/>
        <v>0.91020419029363997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03">
        <f t="shared" si="3"/>
        <v>35</v>
      </c>
      <c r="E49" s="203">
        <f t="shared" si="6"/>
        <v>8</v>
      </c>
      <c r="F49" s="205">
        <f t="shared" si="4"/>
        <v>5.54</v>
      </c>
      <c r="G49" s="207">
        <f>IF(D49=D48,"",_xlfn.IFNA(VLOOKUP(D49,'인원 입력 기능(사과탐)'!$F$5:$I$59,4,FALSE),0))</f>
        <v>2586</v>
      </c>
      <c r="H49" s="208">
        <f t="shared" si="1"/>
        <v>6.8844341506269474E-2</v>
      </c>
      <c r="I49" s="214">
        <f>SUM($G$7:G49)</f>
        <v>36776</v>
      </c>
      <c r="J49" s="212">
        <f t="shared" si="5"/>
        <v>0.97904853179990947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202"/>
      <c r="E50" s="202"/>
      <c r="F50" s="204"/>
      <c r="G50" s="206"/>
      <c r="H50" s="209"/>
      <c r="I50" s="215"/>
      <c r="J50" s="213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34</v>
      </c>
      <c r="E51" s="74">
        <f t="shared" si="6"/>
        <v>9</v>
      </c>
      <c r="F51" s="60">
        <f t="shared" si="4"/>
        <v>1.79</v>
      </c>
      <c r="G51" s="61">
        <f>IF(D51=D50,"",_xlfn.IFNA(VLOOKUP(D51,'인원 입력 기능(사과탐)'!$F$5:$I$59,4,FALSE),0))</f>
        <v>229</v>
      </c>
      <c r="H51" s="62">
        <f t="shared" si="1"/>
        <v>6.0964246732156642E-3</v>
      </c>
      <c r="I51" s="72">
        <f>SUM($G$7:G51)</f>
        <v>37005</v>
      </c>
      <c r="J51" s="64">
        <f t="shared" si="5"/>
        <v>0.98514495647312517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33</v>
      </c>
      <c r="E52" s="74">
        <f t="shared" si="6"/>
        <v>9</v>
      </c>
      <c r="F52" s="60">
        <f t="shared" si="4"/>
        <v>1.21</v>
      </c>
      <c r="G52" s="61">
        <f>IF(D52=D51,"",_xlfn.IFNA(VLOOKUP(D52,'인원 입력 기능(사과탐)'!$F$5:$I$59,4,FALSE),0))</f>
        <v>209</v>
      </c>
      <c r="H52" s="62">
        <f t="shared" si="1"/>
        <v>5.5639858371269602E-3</v>
      </c>
      <c r="I52" s="72">
        <f>SUM($G$7:G52)</f>
        <v>37214</v>
      </c>
      <c r="J52" s="64">
        <f t="shared" si="5"/>
        <v>0.99070894231025208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32</v>
      </c>
      <c r="E53" s="59">
        <f t="shared" si="6"/>
        <v>9</v>
      </c>
      <c r="F53" s="60">
        <f t="shared" si="4"/>
        <v>0.73</v>
      </c>
      <c r="G53" s="61">
        <f>IF(D53=D52,"",_xlfn.IFNA(VLOOKUP(D53,'인원 입력 기능(사과탐)'!$F$5:$I$59,4,FALSE),0))</f>
        <v>149</v>
      </c>
      <c r="H53" s="62">
        <f t="shared" si="1"/>
        <v>3.9666693288608473E-3</v>
      </c>
      <c r="I53" s="72">
        <f>SUM($G$7:G53)</f>
        <v>37363</v>
      </c>
      <c r="J53" s="64">
        <f t="shared" si="5"/>
        <v>0.994675611639113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31</v>
      </c>
      <c r="E54" s="59">
        <f t="shared" si="6"/>
        <v>9</v>
      </c>
      <c r="F54" s="60">
        <f t="shared" si="4"/>
        <v>0.45</v>
      </c>
      <c r="G54" s="61">
        <f>IF(D54=D53,"",_xlfn.IFNA(VLOOKUP(D54,'인원 입력 기능(사과탐)'!$F$5:$I$59,4,FALSE),0))</f>
        <v>61</v>
      </c>
      <c r="H54" s="62">
        <f t="shared" si="1"/>
        <v>1.6239384500705482E-3</v>
      </c>
      <c r="I54" s="72">
        <f>SUM($G$7:G54)</f>
        <v>37424</v>
      </c>
      <c r="J54" s="64">
        <f t="shared" si="5"/>
        <v>0.99629955008918347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30</v>
      </c>
      <c r="E55" s="59">
        <f t="shared" si="6"/>
        <v>9</v>
      </c>
      <c r="F55" s="60">
        <f t="shared" si="4"/>
        <v>0.23</v>
      </c>
      <c r="G55" s="61">
        <f>IF(D55=D54,"",_xlfn.IFNA(VLOOKUP(D55,'인원 입력 기능(사과탐)'!$F$5:$I$59,4,FALSE),0))</f>
        <v>106</v>
      </c>
      <c r="H55" s="62">
        <f t="shared" si="1"/>
        <v>2.8219258312701329E-3</v>
      </c>
      <c r="I55" s="72">
        <f>SUM($G$7:G55)</f>
        <v>37530</v>
      </c>
      <c r="J55" s="64">
        <f t="shared" si="5"/>
        <v>0.99912147592045364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0.04</v>
      </c>
      <c r="G57" s="113">
        <f>_xlfn.IFNA(VLOOKUP(D57,'인원 입력 기능(사과탐)'!$F$5:$I$59,4,FALSE),0)</f>
        <v>33</v>
      </c>
      <c r="H57" s="81">
        <f>G57/$J$3</f>
        <v>8.7852407954636211E-4</v>
      </c>
      <c r="I57" s="82">
        <f>SUM($G$7:G57)</f>
        <v>37563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2">
    <mergeCell ref="I43:I44"/>
    <mergeCell ref="J43:J44"/>
    <mergeCell ref="D49:D50"/>
    <mergeCell ref="E49:E50"/>
    <mergeCell ref="F49:F50"/>
    <mergeCell ref="G49:G50"/>
    <mergeCell ref="H49:H50"/>
    <mergeCell ref="I49:I50"/>
    <mergeCell ref="J49:J50"/>
    <mergeCell ref="D43:D44"/>
    <mergeCell ref="E43:E44"/>
    <mergeCell ref="F43:F44"/>
    <mergeCell ref="G43:G44"/>
    <mergeCell ref="H43:H44"/>
    <mergeCell ref="I30:I31"/>
    <mergeCell ref="J30:J31"/>
    <mergeCell ref="D37:D38"/>
    <mergeCell ref="E37:E38"/>
    <mergeCell ref="F37:F38"/>
    <mergeCell ref="G37:G38"/>
    <mergeCell ref="H37:H38"/>
    <mergeCell ref="I37:I38"/>
    <mergeCell ref="J37:J38"/>
    <mergeCell ref="D30:D31"/>
    <mergeCell ref="E30:E31"/>
    <mergeCell ref="F30:F31"/>
    <mergeCell ref="G30:G31"/>
    <mergeCell ref="H30:H31"/>
    <mergeCell ref="I18:I19"/>
    <mergeCell ref="J18:J19"/>
    <mergeCell ref="D24:D25"/>
    <mergeCell ref="E24:E25"/>
    <mergeCell ref="F24:F25"/>
    <mergeCell ref="G24:G25"/>
    <mergeCell ref="H24:H25"/>
    <mergeCell ref="I24:I25"/>
    <mergeCell ref="J24:J25"/>
    <mergeCell ref="D18:D19"/>
    <mergeCell ref="E18:E19"/>
    <mergeCell ref="F18:F19"/>
    <mergeCell ref="G18:G19"/>
    <mergeCell ref="H18:H19"/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</mergeCells>
  <phoneticPr fontId="1" type="noConversion"/>
  <conditionalFormatting sqref="D7:G12 I7:J12 D14:G18 I14:J18 D20:G24 I20:J24 D26:G30 I26:J30 D32:G37 I32:J37 D39:G43 I39:J43 D45:G49 I45:J49 D51:G57 I51:J57">
    <cfRule type="expression" dxfId="47" priority="4">
      <formula>OR($D7=$Q$7:$Q$14)</formula>
    </cfRule>
  </conditionalFormatting>
  <conditionalFormatting sqref="C7:C57">
    <cfRule type="expression" dxfId="46" priority="3">
      <formula>OR(AND($D7=0,OR($D6=$Q$7:$Q$14)),AND($D8&gt;0,OR($D7=$Q$7:$Q$14)))</formula>
    </cfRule>
  </conditionalFormatting>
  <conditionalFormatting sqref="D7:D12 D14:D18 D20:D24 D26:D30 D32:D37 D39:D43 D45:D49 D51:D57">
    <cfRule type="expression" dxfId="45" priority="2">
      <formula>$D7=$D8</formula>
    </cfRule>
  </conditionalFormatting>
  <conditionalFormatting sqref="H7:H12 H14:H18 H20:H24 H26:H30 H32:H37 H39:H43 H45:H49 H51:H57">
    <cfRule type="expression" dxfId="4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기능'!D10</f>
        <v>25.83</v>
      </c>
      <c r="I3" s="21" t="s">
        <v>70</v>
      </c>
      <c r="J3" s="50">
        <f>'통계 및 응시자 수 입력 기능'!C10</f>
        <v>24806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102</v>
      </c>
      <c r="E4" s="185"/>
      <c r="F4" s="186"/>
      <c r="G4" s="52" t="s">
        <v>73</v>
      </c>
      <c r="H4" s="53" t="str">
        <f>'통계 및 응시자 수 입력 기능'!E10</f>
        <v>12.12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70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99.29</v>
      </c>
      <c r="G7" s="61">
        <f>_xlfn.IFNA(VLOOKUP(D7,'인원 입력 기능(사과탐)'!$K$5:$N$59,4,FALSE),0)</f>
        <v>351</v>
      </c>
      <c r="H7" s="62">
        <f>G7/$J$3</f>
        <v>1.4149802467145046E-2</v>
      </c>
      <c r="I7" s="63">
        <f>G7</f>
        <v>351</v>
      </c>
      <c r="J7" s="64">
        <f>I7/$J$3</f>
        <v>1.4149802467145046E-2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기능'!C58</f>
        <v>67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기능'!C59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68</v>
      </c>
      <c r="E9" s="59">
        <f t="shared" si="0"/>
        <v>1</v>
      </c>
      <c r="F9" s="60">
        <f>IF(I8=0,ROUND(100*(1-(I7+I9)/2/$J$3),2),ROUND(100*(1-(I8+I9)/2/$J$3),2))</f>
        <v>97.93</v>
      </c>
      <c r="G9" s="61">
        <f>_xlfn.IFNA(VLOOKUP(D9,'인원 입력 기능(사과탐)'!$K$5:$N$59,4,FALSE),0)</f>
        <v>325</v>
      </c>
      <c r="H9" s="62">
        <f t="shared" ref="H9:H55" si="1">G9/$J$3</f>
        <v>1.3101668951060227E-2</v>
      </c>
      <c r="I9" s="72">
        <f>SUM($G$7:G9)</f>
        <v>676</v>
      </c>
      <c r="J9" s="64">
        <f>I9/$J$3</f>
        <v>2.7251471418205272E-2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기능'!C60</f>
        <v>58</v>
      </c>
    </row>
    <row r="10" spans="1:17" s="22" customFormat="1" ht="25" customHeight="1" x14ac:dyDescent="0.45">
      <c r="A10" s="20"/>
      <c r="B10" s="35"/>
      <c r="C10" s="65">
        <v>47</v>
      </c>
      <c r="D10" s="201">
        <f t="shared" ref="D10:D55" si="3">ROUND(10*(C10-$H$3)/$H$4+50,0)</f>
        <v>67</v>
      </c>
      <c r="E10" s="201">
        <f t="shared" si="0"/>
        <v>1</v>
      </c>
      <c r="F10" s="205">
        <f t="shared" ref="F10:F55" si="4">IF(I9=0,ROUND(100*(1-(I8+I10)/2/$J$3),2),ROUND(100*(1-(I9+I10)/2/$J$3),2))</f>
        <v>96.31</v>
      </c>
      <c r="G10" s="207">
        <f>IF(D10=D9,"",_xlfn.IFNA(VLOOKUP(D10,'인원 입력 기능(사과탐)'!$K$5:$N$59,4,FALSE),0))</f>
        <v>481</v>
      </c>
      <c r="H10" s="208">
        <f t="shared" si="1"/>
        <v>1.9390470047569136E-2</v>
      </c>
      <c r="I10" s="214">
        <f>SUM($G$7:G10)</f>
        <v>1157</v>
      </c>
      <c r="J10" s="212">
        <f t="shared" ref="J10:J55" si="5">I10/$J$3</f>
        <v>4.6641941465774411E-2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기능'!C61</f>
        <v>53</v>
      </c>
    </row>
    <row r="11" spans="1:17" s="22" customFormat="1" ht="25" customHeight="1" x14ac:dyDescent="0.45">
      <c r="A11" s="20"/>
      <c r="B11" s="35"/>
      <c r="C11" s="58">
        <v>46</v>
      </c>
      <c r="D11" s="200"/>
      <c r="E11" s="200"/>
      <c r="F11" s="204"/>
      <c r="G11" s="206"/>
      <c r="H11" s="209"/>
      <c r="I11" s="215"/>
      <c r="J11" s="213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기능'!C62</f>
        <v>47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66</v>
      </c>
      <c r="E12" s="59">
        <f t="shared" si="0"/>
        <v>2</v>
      </c>
      <c r="F12" s="60">
        <f t="shared" si="4"/>
        <v>94.36</v>
      </c>
      <c r="G12" s="61">
        <f>IF(D12=D11,"",_xlfn.IFNA(VLOOKUP(D12,'인원 입력 기능(사과탐)'!$K$5:$N$59,4,FALSE),0))</f>
        <v>482</v>
      </c>
      <c r="H12" s="62">
        <f t="shared" si="1"/>
        <v>1.9430782875110859E-2</v>
      </c>
      <c r="I12" s="72">
        <f>SUM($G$7:G12)</f>
        <v>1639</v>
      </c>
      <c r="J12" s="64">
        <f t="shared" si="5"/>
        <v>6.6072724340885264E-2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기능'!C63</f>
        <v>40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65</v>
      </c>
      <c r="E13" s="59">
        <f t="shared" si="0"/>
        <v>2</v>
      </c>
      <c r="F13" s="60">
        <f t="shared" si="4"/>
        <v>92.85</v>
      </c>
      <c r="G13" s="61">
        <f>IF(D13=D12,"",_xlfn.IFNA(VLOOKUP(D13,'인원 입력 기능(사과탐)'!$K$5:$N$59,4,FALSE),0))</f>
        <v>269</v>
      </c>
      <c r="H13" s="62">
        <f t="shared" si="1"/>
        <v>1.0844150608723695E-2</v>
      </c>
      <c r="I13" s="72">
        <f>SUM($G$7:G13)</f>
        <v>1908</v>
      </c>
      <c r="J13" s="64">
        <f t="shared" si="5"/>
        <v>7.6916874949608971E-2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기능'!C64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64</v>
      </c>
      <c r="E14" s="59">
        <f t="shared" si="0"/>
        <v>2</v>
      </c>
      <c r="F14" s="60">
        <f t="shared" si="4"/>
        <v>91.42</v>
      </c>
      <c r="G14" s="61">
        <f>IF(D14=D13,"",_xlfn.IFNA(VLOOKUP(D14,'인원 입력 기능(사과탐)'!$K$5:$N$59,4,FALSE),0))</f>
        <v>439</v>
      </c>
      <c r="H14" s="62">
        <f t="shared" si="1"/>
        <v>1.7697331290816739E-2</v>
      </c>
      <c r="I14" s="72">
        <f>SUM($G$7:G14)</f>
        <v>2347</v>
      </c>
      <c r="J14" s="64">
        <f t="shared" si="5"/>
        <v>9.4614206240425699E-2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기능'!C65</f>
        <v>34</v>
      </c>
    </row>
    <row r="15" spans="1:17" s="22" customFormat="1" ht="25" customHeight="1" x14ac:dyDescent="0.45">
      <c r="A15" s="20"/>
      <c r="B15" s="35"/>
      <c r="C15" s="58">
        <v>42</v>
      </c>
      <c r="D15" s="201">
        <f t="shared" si="3"/>
        <v>63</v>
      </c>
      <c r="E15" s="201">
        <f t="shared" si="0"/>
        <v>2</v>
      </c>
      <c r="F15" s="205">
        <f t="shared" si="4"/>
        <v>88.75</v>
      </c>
      <c r="G15" s="207">
        <f>IF(D15=D14,"",_xlfn.IFNA(VLOOKUP(D15,'인원 입력 기능(사과탐)'!$K$5:$N$59,4,FALSE),0))</f>
        <v>889</v>
      </c>
      <c r="H15" s="208">
        <f t="shared" si="1"/>
        <v>3.5838103684592434E-2</v>
      </c>
      <c r="I15" s="214">
        <f>SUM($G$7:G15)</f>
        <v>3236</v>
      </c>
      <c r="J15" s="212">
        <f t="shared" si="5"/>
        <v>0.13045230992501813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200"/>
      <c r="E16" s="200"/>
      <c r="F16" s="204"/>
      <c r="G16" s="206"/>
      <c r="H16" s="209"/>
      <c r="I16" s="215"/>
      <c r="J16" s="213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62</v>
      </c>
      <c r="E17" s="59">
        <f t="shared" si="0"/>
        <v>3</v>
      </c>
      <c r="F17" s="60">
        <f t="shared" si="4"/>
        <v>85.64</v>
      </c>
      <c r="G17" s="61">
        <f>IF(D17=D16,"",_xlfn.IFNA(VLOOKUP(D17,'인원 입력 기능(사과탐)'!$K$5:$N$59,4,FALSE),0))</f>
        <v>652</v>
      </c>
      <c r="H17" s="62">
        <f t="shared" si="1"/>
        <v>2.6283963557203902E-2</v>
      </c>
      <c r="I17" s="72">
        <f>SUM($G$7:G17)</f>
        <v>3888</v>
      </c>
      <c r="J17" s="64">
        <f t="shared" si="5"/>
        <v>0.15673627348222205</v>
      </c>
      <c r="K17" s="36"/>
      <c r="L17" s="20" t="str">
        <f t="shared" si="2"/>
        <v/>
      </c>
      <c r="N17" s="24"/>
      <c r="Q17" s="24">
        <f>Q7*H3*H4*J3*IFERROR(IF(J57=1, 1, 0), 0)</f>
        <v>520305681.31919992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61</v>
      </c>
      <c r="E18" s="59">
        <f t="shared" si="0"/>
        <v>3</v>
      </c>
      <c r="F18" s="60">
        <f t="shared" si="4"/>
        <v>83.25</v>
      </c>
      <c r="G18" s="61">
        <f>IF(D18=D17,"",_xlfn.IFNA(VLOOKUP(D18,'인원 입력 기능(사과탐)'!$K$5:$N$59,4,FALSE),0))</f>
        <v>532</v>
      </c>
      <c r="H18" s="62">
        <f t="shared" si="1"/>
        <v>2.144642425219705E-2</v>
      </c>
      <c r="I18" s="72">
        <f>SUM($G$7:G18)</f>
        <v>4420</v>
      </c>
      <c r="J18" s="64">
        <f t="shared" si="5"/>
        <v>0.17818269773441908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60</v>
      </c>
      <c r="E19" s="59">
        <f t="shared" si="0"/>
        <v>3</v>
      </c>
      <c r="F19" s="60">
        <f t="shared" si="4"/>
        <v>81.09</v>
      </c>
      <c r="G19" s="61">
        <f>IF(D19=D18,"",_xlfn.IFNA(VLOOKUP(D19,'인원 입력 기능(사과탐)'!$K$5:$N$59,4,FALSE),0))</f>
        <v>540</v>
      </c>
      <c r="H19" s="62">
        <f t="shared" si="1"/>
        <v>2.176892687253084E-2</v>
      </c>
      <c r="I19" s="72">
        <f>SUM($G$7:G19)</f>
        <v>4960</v>
      </c>
      <c r="J19" s="64">
        <f t="shared" si="5"/>
        <v>0.19995162460694993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59</v>
      </c>
      <c r="E20" s="59">
        <f t="shared" si="0"/>
        <v>3</v>
      </c>
      <c r="F20" s="60">
        <f t="shared" si="4"/>
        <v>78.59</v>
      </c>
      <c r="G20" s="61">
        <f>IF(D20=D19,"",_xlfn.IFNA(VLOOKUP(D20,'인원 입력 기능(사과탐)'!$K$5:$N$59,4,FALSE),0))</f>
        <v>703</v>
      </c>
      <c r="H20" s="62">
        <f t="shared" si="1"/>
        <v>2.8339917761831816E-2</v>
      </c>
      <c r="I20" s="72">
        <f>SUM($G$7:G20)</f>
        <v>5663</v>
      </c>
      <c r="J20" s="64">
        <f t="shared" si="5"/>
        <v>0.22829154236878174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203">
        <f t="shared" si="3"/>
        <v>58</v>
      </c>
      <c r="E21" s="203">
        <f t="shared" si="0"/>
        <v>3</v>
      </c>
      <c r="F21" s="205">
        <f t="shared" si="4"/>
        <v>74.61</v>
      </c>
      <c r="G21" s="207">
        <f>IF(D21=D20,"",_xlfn.IFNA(VLOOKUP(D21,'인원 입력 기능(사과탐)'!$K$5:$N$59,4,FALSE),0))</f>
        <v>1271</v>
      </c>
      <c r="H21" s="208">
        <f t="shared" si="1"/>
        <v>5.1237603805530919E-2</v>
      </c>
      <c r="I21" s="214">
        <f>SUM($G$7:G21)</f>
        <v>6934</v>
      </c>
      <c r="J21" s="212">
        <f t="shared" si="5"/>
        <v>0.27952914617431268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02"/>
      <c r="E22" s="202"/>
      <c r="F22" s="204"/>
      <c r="G22" s="206"/>
      <c r="H22" s="209"/>
      <c r="I22" s="215"/>
      <c r="J22" s="213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57</v>
      </c>
      <c r="E23" s="74">
        <f t="shared" si="0"/>
        <v>4</v>
      </c>
      <c r="F23" s="60">
        <f t="shared" si="4"/>
        <v>70.78</v>
      </c>
      <c r="G23" s="61">
        <f>IF(D23=D22,"",_xlfn.IFNA(VLOOKUP(D23,'인원 입력 기능(사과탐)'!$K$5:$N$59,4,FALSE),0))</f>
        <v>628</v>
      </c>
      <c r="H23" s="62">
        <f t="shared" si="1"/>
        <v>2.5316455696202531E-2</v>
      </c>
      <c r="I23" s="72">
        <f>SUM($G$7:G23)</f>
        <v>7562</v>
      </c>
      <c r="J23" s="64">
        <f t="shared" si="5"/>
        <v>0.30484560187051518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56</v>
      </c>
      <c r="E24" s="74">
        <f t="shared" si="0"/>
        <v>4</v>
      </c>
      <c r="F24" s="60">
        <f t="shared" si="4"/>
        <v>68.13</v>
      </c>
      <c r="G24" s="61">
        <f>IF(D24=D23,"",_xlfn.IFNA(VLOOKUP(D24,'인원 입력 기능(사과탐)'!$K$5:$N$59,4,FALSE),0))</f>
        <v>687</v>
      </c>
      <c r="H24" s="62">
        <f t="shared" si="1"/>
        <v>2.7694912521164235E-2</v>
      </c>
      <c r="I24" s="72">
        <f>SUM($G$7:G24)</f>
        <v>8249</v>
      </c>
      <c r="J24" s="64">
        <f t="shared" si="5"/>
        <v>0.33254051439167942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55</v>
      </c>
      <c r="E25" s="74">
        <f t="shared" si="0"/>
        <v>4</v>
      </c>
      <c r="F25" s="60">
        <f t="shared" si="4"/>
        <v>65.39</v>
      </c>
      <c r="G25" s="61">
        <f>IF(D25=D24,"",_xlfn.IFNA(VLOOKUP(D25,'인원 입력 기능(사과탐)'!$K$5:$N$59,4,FALSE),0))</f>
        <v>674</v>
      </c>
      <c r="H25" s="62">
        <f t="shared" si="1"/>
        <v>2.7170845763121825E-2</v>
      </c>
      <c r="I25" s="72">
        <f>SUM($G$7:G25)</f>
        <v>8923</v>
      </c>
      <c r="J25" s="64">
        <f t="shared" si="5"/>
        <v>0.35971136015480126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54</v>
      </c>
      <c r="E26" s="74">
        <f t="shared" si="0"/>
        <v>4</v>
      </c>
      <c r="F26" s="60">
        <f t="shared" si="4"/>
        <v>62.71</v>
      </c>
      <c r="G26" s="61">
        <f>IF(D26=D25,"",_xlfn.IFNA(VLOOKUP(D26,'인원 입력 기능(사과탐)'!$K$5:$N$59,4,FALSE),0))</f>
        <v>653</v>
      </c>
      <c r="H26" s="62">
        <f t="shared" si="1"/>
        <v>2.6324276384745625E-2</v>
      </c>
      <c r="I26" s="72">
        <f>SUM($G$7:G26)</f>
        <v>9576</v>
      </c>
      <c r="J26" s="64">
        <f t="shared" si="5"/>
        <v>0.38603563653954687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203">
        <f t="shared" si="3"/>
        <v>53</v>
      </c>
      <c r="E27" s="203">
        <f t="shared" si="0"/>
        <v>4</v>
      </c>
      <c r="F27" s="205">
        <f t="shared" si="4"/>
        <v>58.73</v>
      </c>
      <c r="G27" s="207">
        <f>IF(D27=D26,"",_xlfn.IFNA(VLOOKUP(D27,'인원 입력 기능(사과탐)'!$K$5:$N$59,4,FALSE),0))</f>
        <v>1323</v>
      </c>
      <c r="H27" s="208">
        <f t="shared" si="1"/>
        <v>5.3333870837700553E-2</v>
      </c>
      <c r="I27" s="214">
        <f>SUM($G$7:G27)</f>
        <v>10899</v>
      </c>
      <c r="J27" s="212">
        <f t="shared" si="5"/>
        <v>0.43936950737724745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202"/>
      <c r="E28" s="202"/>
      <c r="F28" s="204"/>
      <c r="G28" s="206"/>
      <c r="H28" s="209"/>
      <c r="I28" s="215"/>
      <c r="J28" s="213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52</v>
      </c>
      <c r="E29" s="74">
        <f t="shared" si="0"/>
        <v>5</v>
      </c>
      <c r="F29" s="60">
        <f t="shared" si="4"/>
        <v>54.85</v>
      </c>
      <c r="G29" s="61">
        <f>IF(D29=D28,"",_xlfn.IFNA(VLOOKUP(D29,'인원 입력 기능(사과탐)'!$K$5:$N$59,4,FALSE),0))</f>
        <v>604</v>
      </c>
      <c r="H29" s="62">
        <f t="shared" si="1"/>
        <v>2.4348947835201161E-2</v>
      </c>
      <c r="I29" s="72">
        <f>SUM($G$7:G29)</f>
        <v>11503</v>
      </c>
      <c r="J29" s="64">
        <f t="shared" si="5"/>
        <v>0.46371845521244859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51</v>
      </c>
      <c r="E30" s="74">
        <f t="shared" si="0"/>
        <v>5</v>
      </c>
      <c r="F30" s="60">
        <f t="shared" si="4"/>
        <v>52.26</v>
      </c>
      <c r="G30" s="61">
        <f>IF(D30=D29,"",_xlfn.IFNA(VLOOKUP(D30,'인원 입력 기능(사과탐)'!$K$5:$N$59,4,FALSE),0))</f>
        <v>680</v>
      </c>
      <c r="H30" s="62">
        <f t="shared" si="1"/>
        <v>2.7412722728372169E-2</v>
      </c>
      <c r="I30" s="72">
        <f>SUM($G$7:G30)</f>
        <v>12183</v>
      </c>
      <c r="J30" s="64">
        <f t="shared" si="5"/>
        <v>0.49113117794082078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50</v>
      </c>
      <c r="E31" s="74">
        <f t="shared" si="0"/>
        <v>5</v>
      </c>
      <c r="F31" s="60">
        <f t="shared" si="4"/>
        <v>49.69</v>
      </c>
      <c r="G31" s="61">
        <f>IF(D31=D30,"",_xlfn.IFNA(VLOOKUP(D31,'인원 입력 기능(사과탐)'!$K$5:$N$59,4,FALSE),0))</f>
        <v>592</v>
      </c>
      <c r="H31" s="62">
        <f t="shared" si="1"/>
        <v>2.3865193904700474E-2</v>
      </c>
      <c r="I31" s="72">
        <f>SUM($G$7:G31)</f>
        <v>12775</v>
      </c>
      <c r="J31" s="64">
        <f t="shared" si="5"/>
        <v>0.51499637184552127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49</v>
      </c>
      <c r="E32" s="74">
        <f t="shared" si="0"/>
        <v>5</v>
      </c>
      <c r="F32" s="60">
        <f t="shared" si="4"/>
        <v>47.1</v>
      </c>
      <c r="G32" s="61">
        <f>IF(D32=D31,"",_xlfn.IFNA(VLOOKUP(D32,'인원 입력 기능(사과탐)'!$K$5:$N$59,4,FALSE),0))</f>
        <v>693</v>
      </c>
      <c r="H32" s="62">
        <f t="shared" si="1"/>
        <v>2.7936789486414579E-2</v>
      </c>
      <c r="I32" s="72">
        <f>SUM($G$7:G32)</f>
        <v>13468</v>
      </c>
      <c r="J32" s="64">
        <f t="shared" si="5"/>
        <v>0.54293316133193581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03">
        <f t="shared" si="3"/>
        <v>48</v>
      </c>
      <c r="E33" s="203">
        <f t="shared" si="0"/>
        <v>5</v>
      </c>
      <c r="F33" s="205">
        <f t="shared" si="4"/>
        <v>43.46</v>
      </c>
      <c r="G33" s="207">
        <f>IF(D33=D32,"",_xlfn.IFNA(VLOOKUP(D33,'인원 입력 기능(사과탐)'!$K$5:$N$59,4,FALSE),0))</f>
        <v>1115</v>
      </c>
      <c r="H33" s="208">
        <f t="shared" si="1"/>
        <v>4.4948802709022011E-2</v>
      </c>
      <c r="I33" s="214">
        <f>SUM($G$7:G33)</f>
        <v>14583</v>
      </c>
      <c r="J33" s="212">
        <f t="shared" si="5"/>
        <v>0.58788196404095783</v>
      </c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73">
        <v>23</v>
      </c>
      <c r="D34" s="202"/>
      <c r="E34" s="202"/>
      <c r="F34" s="204"/>
      <c r="G34" s="206"/>
      <c r="H34" s="209"/>
      <c r="I34" s="215"/>
      <c r="J34" s="213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47</v>
      </c>
      <c r="E35" s="74">
        <f t="shared" si="0"/>
        <v>5</v>
      </c>
      <c r="F35" s="60">
        <f t="shared" si="4"/>
        <v>40.159999999999997</v>
      </c>
      <c r="G35" s="61">
        <f>IF(D35=D34,"",_xlfn.IFNA(VLOOKUP(D35,'인원 입력 기능(사과탐)'!$K$5:$N$59,4,FALSE),0))</f>
        <v>520</v>
      </c>
      <c r="H35" s="62">
        <f t="shared" si="1"/>
        <v>2.0962670321696363E-2</v>
      </c>
      <c r="I35" s="72">
        <f>SUM($G$7:G35)</f>
        <v>15103</v>
      </c>
      <c r="J35" s="64">
        <f t="shared" si="5"/>
        <v>0.60884463436265424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46</v>
      </c>
      <c r="E36" s="74">
        <f t="shared" si="0"/>
        <v>6</v>
      </c>
      <c r="F36" s="60">
        <f t="shared" si="4"/>
        <v>38.08</v>
      </c>
      <c r="G36" s="61">
        <f>IF(D36=D35,"",_xlfn.IFNA(VLOOKUP(D36,'인원 입력 기능(사과탐)'!$K$5:$N$59,4,FALSE),0))</f>
        <v>515</v>
      </c>
      <c r="H36" s="62">
        <f t="shared" si="1"/>
        <v>2.0761106183987747E-2</v>
      </c>
      <c r="I36" s="72">
        <f>SUM($G$7:G36)</f>
        <v>15618</v>
      </c>
      <c r="J36" s="64">
        <f t="shared" si="5"/>
        <v>0.62960574054664198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45</v>
      </c>
      <c r="E37" s="74">
        <f t="shared" si="0"/>
        <v>6</v>
      </c>
      <c r="F37" s="60">
        <f t="shared" si="4"/>
        <v>35.93</v>
      </c>
      <c r="G37" s="61">
        <f>IF(D37=D36,"",_xlfn.IFNA(VLOOKUP(D37,'인원 입력 기능(사과탐)'!$K$5:$N$59,4,FALSE),0))</f>
        <v>548</v>
      </c>
      <c r="H37" s="62">
        <f t="shared" si="1"/>
        <v>2.209142949286463E-2</v>
      </c>
      <c r="I37" s="72">
        <f>SUM($G$7:G37)</f>
        <v>16166</v>
      </c>
      <c r="J37" s="64">
        <f t="shared" si="5"/>
        <v>0.65169717003950656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203">
        <f t="shared" si="3"/>
        <v>44</v>
      </c>
      <c r="E38" s="203">
        <f t="shared" si="0"/>
        <v>6</v>
      </c>
      <c r="F38" s="205">
        <f t="shared" si="4"/>
        <v>32.700000000000003</v>
      </c>
      <c r="G38" s="207">
        <f>IF(D38=D37,"",_xlfn.IFNA(VLOOKUP(D38,'인원 입력 기능(사과탐)'!$K$5:$N$59,4,FALSE),0))</f>
        <v>1057</v>
      </c>
      <c r="H38" s="208">
        <f t="shared" si="1"/>
        <v>4.261065871160203E-2</v>
      </c>
      <c r="I38" s="214">
        <f>SUM($G$7:G38)</f>
        <v>17223</v>
      </c>
      <c r="J38" s="212">
        <f t="shared" si="5"/>
        <v>0.69430782875110864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202"/>
      <c r="E39" s="202"/>
      <c r="F39" s="204"/>
      <c r="G39" s="206"/>
      <c r="H39" s="209"/>
      <c r="I39" s="215"/>
      <c r="J39" s="213"/>
      <c r="K39" s="36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43</v>
      </c>
      <c r="E40" s="74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6</v>
      </c>
      <c r="F40" s="60">
        <f t="shared" si="4"/>
        <v>29.44</v>
      </c>
      <c r="G40" s="61">
        <f>IF(D40=D39,"",_xlfn.IFNA(VLOOKUP(D40,'인원 입력 기능(사과탐)'!$K$5:$N$59,4,FALSE),0))</f>
        <v>559</v>
      </c>
      <c r="H40" s="62">
        <f t="shared" si="1"/>
        <v>2.253487059582359E-2</v>
      </c>
      <c r="I40" s="72">
        <f>SUM($G$7:G40)</f>
        <v>17782</v>
      </c>
      <c r="J40" s="64">
        <f t="shared" si="5"/>
        <v>0.71684269934693223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42</v>
      </c>
      <c r="E41" s="74">
        <f t="shared" si="6"/>
        <v>6</v>
      </c>
      <c r="F41" s="60">
        <f t="shared" si="4"/>
        <v>27.29</v>
      </c>
      <c r="G41" s="61">
        <f>IF(D41=D40,"",_xlfn.IFNA(VLOOKUP(D41,'인원 입력 기능(사과탐)'!$K$5:$N$59,4,FALSE),0))</f>
        <v>508</v>
      </c>
      <c r="H41" s="62">
        <f t="shared" si="1"/>
        <v>2.047891639119568E-2</v>
      </c>
      <c r="I41" s="72">
        <f>SUM($G$7:G41)</f>
        <v>18290</v>
      </c>
      <c r="J41" s="64">
        <f t="shared" si="5"/>
        <v>0.73732161573812782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41</v>
      </c>
      <c r="E42" s="74">
        <f t="shared" si="6"/>
        <v>6</v>
      </c>
      <c r="F42" s="60">
        <f t="shared" si="4"/>
        <v>25.17</v>
      </c>
      <c r="G42" s="61">
        <f>IF(D42=D41,"",_xlfn.IFNA(VLOOKUP(D42,'인원 입력 기능(사과탐)'!$K$5:$N$59,4,FALSE),0))</f>
        <v>545</v>
      </c>
      <c r="H42" s="62">
        <f t="shared" si="1"/>
        <v>2.1970491010239457E-2</v>
      </c>
      <c r="I42" s="72">
        <f>SUM($G$7:G42)</f>
        <v>18835</v>
      </c>
      <c r="J42" s="64">
        <f t="shared" si="5"/>
        <v>0.75929210674836733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40</v>
      </c>
      <c r="E43" s="74">
        <f t="shared" si="6"/>
        <v>6</v>
      </c>
      <c r="F43" s="60">
        <f t="shared" si="4"/>
        <v>23.22</v>
      </c>
      <c r="G43" s="61">
        <f>IF(D43=D42,"",_xlfn.IFNA(VLOOKUP(D43,'인원 입력 기능(사과탐)'!$K$5:$N$59,4,FALSE),0))</f>
        <v>421</v>
      </c>
      <c r="H43" s="62">
        <f t="shared" si="1"/>
        <v>1.6971700395065709E-2</v>
      </c>
      <c r="I43" s="72">
        <f>SUM($G$7:G43)</f>
        <v>19256</v>
      </c>
      <c r="J43" s="64">
        <f t="shared" si="5"/>
        <v>0.77626380714343302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03">
        <f t="shared" si="3"/>
        <v>39</v>
      </c>
      <c r="E44" s="203">
        <f t="shared" si="6"/>
        <v>7</v>
      </c>
      <c r="F44" s="205">
        <f t="shared" si="4"/>
        <v>20.34</v>
      </c>
      <c r="G44" s="207">
        <f>IF(D44=D43,"",_xlfn.IFNA(VLOOKUP(D44,'인원 입력 기능(사과탐)'!$K$5:$N$59,4,FALSE),0))</f>
        <v>1008</v>
      </c>
      <c r="H44" s="208">
        <f t="shared" si="1"/>
        <v>4.0635330162057566E-2</v>
      </c>
      <c r="I44" s="214">
        <f>SUM($G$7:G44)</f>
        <v>20264</v>
      </c>
      <c r="J44" s="212">
        <f t="shared" si="5"/>
        <v>0.81689913730549057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202"/>
      <c r="E45" s="202"/>
      <c r="F45" s="204"/>
      <c r="G45" s="206"/>
      <c r="H45" s="209"/>
      <c r="I45" s="215"/>
      <c r="J45" s="213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38</v>
      </c>
      <c r="E46" s="74">
        <f t="shared" si="6"/>
        <v>7</v>
      </c>
      <c r="F46" s="60">
        <f t="shared" si="4"/>
        <v>14.34</v>
      </c>
      <c r="G46" s="61">
        <f>IF(D46=D45,"",_xlfn.IFNA(VLOOKUP(D46,'인원 입력 기능(사과탐)'!$K$5:$N$59,4,FALSE),0))</f>
        <v>1970</v>
      </c>
      <c r="H46" s="62">
        <f t="shared" si="1"/>
        <v>7.9416270257195845E-2</v>
      </c>
      <c r="I46" s="72">
        <f>SUM($G$7:G46)</f>
        <v>22234</v>
      </c>
      <c r="J46" s="64">
        <f t="shared" si="5"/>
        <v>0.89631540756268646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37</v>
      </c>
      <c r="E47" s="74">
        <f t="shared" si="6"/>
        <v>8</v>
      </c>
      <c r="F47" s="60">
        <f t="shared" si="4"/>
        <v>9.0399999999999991</v>
      </c>
      <c r="G47" s="61">
        <f>IF(D47=D46,"",_xlfn.IFNA(VLOOKUP(D47,'인원 입력 기능(사과탐)'!$K$5:$N$59,4,FALSE),0))</f>
        <v>661</v>
      </c>
      <c r="H47" s="62">
        <f t="shared" si="1"/>
        <v>2.6646779005079415E-2</v>
      </c>
      <c r="I47" s="72">
        <f>SUM($G$7:G47)</f>
        <v>22895</v>
      </c>
      <c r="J47" s="64">
        <f t="shared" si="5"/>
        <v>0.92296218656776585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36</v>
      </c>
      <c r="E48" s="74">
        <f t="shared" si="6"/>
        <v>8</v>
      </c>
      <c r="F48" s="60">
        <f t="shared" si="4"/>
        <v>6.87</v>
      </c>
      <c r="G48" s="61">
        <f>IF(D48=D47,"",_xlfn.IFNA(VLOOKUP(D48,'인원 입력 기능(사과탐)'!$K$5:$N$59,4,FALSE),0))</f>
        <v>413</v>
      </c>
      <c r="H48" s="62">
        <f t="shared" si="1"/>
        <v>1.6649197774731919E-2</v>
      </c>
      <c r="I48" s="72">
        <f>SUM($G$7:G48)</f>
        <v>23308</v>
      </c>
      <c r="J48" s="64">
        <f t="shared" si="5"/>
        <v>0.9396113843424978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35</v>
      </c>
      <c r="E49" s="74">
        <f t="shared" si="6"/>
        <v>8</v>
      </c>
      <c r="F49" s="60">
        <f t="shared" si="4"/>
        <v>5.12</v>
      </c>
      <c r="G49" s="61">
        <f>IF(D49=D48,"",_xlfn.IFNA(VLOOKUP(D49,'인원 입력 기능(사과탐)'!$K$5:$N$59,4,FALSE),0))</f>
        <v>456</v>
      </c>
      <c r="H49" s="62">
        <f t="shared" si="1"/>
        <v>1.8382649359026042E-2</v>
      </c>
      <c r="I49" s="72">
        <f>SUM($G$7:G49)</f>
        <v>23764</v>
      </c>
      <c r="J49" s="64">
        <f t="shared" si="5"/>
        <v>0.95799403370152381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203">
        <f t="shared" si="3"/>
        <v>34</v>
      </c>
      <c r="E50" s="203">
        <f t="shared" si="6"/>
        <v>8</v>
      </c>
      <c r="F50" s="205">
        <f t="shared" si="4"/>
        <v>3.15</v>
      </c>
      <c r="G50" s="207">
        <f>IF(D50=D49,"",_xlfn.IFNA(VLOOKUP(D50,'인원 입력 기능(사과탐)'!$K$5:$N$59,4,FALSE),0))</f>
        <v>519</v>
      </c>
      <c r="H50" s="208">
        <f t="shared" si="1"/>
        <v>2.092235749415464E-2</v>
      </c>
      <c r="I50" s="214">
        <f>SUM($G$7:G50)</f>
        <v>24283</v>
      </c>
      <c r="J50" s="212">
        <f t="shared" si="5"/>
        <v>0.97891639119567841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202"/>
      <c r="E51" s="202"/>
      <c r="F51" s="204"/>
      <c r="G51" s="206"/>
      <c r="H51" s="209"/>
      <c r="I51" s="215"/>
      <c r="J51" s="213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33</v>
      </c>
      <c r="E52" s="74">
        <f t="shared" si="6"/>
        <v>9</v>
      </c>
      <c r="F52" s="60">
        <f t="shared" si="4"/>
        <v>1.66</v>
      </c>
      <c r="G52" s="61">
        <f>IF(D52=D51,"",_xlfn.IFNA(VLOOKUP(D52,'인원 입력 기능(사과탐)'!$K$5:$N$59,4,FALSE),0))</f>
        <v>223</v>
      </c>
      <c r="H52" s="62">
        <f t="shared" si="1"/>
        <v>8.9897605418044028E-3</v>
      </c>
      <c r="I52" s="72">
        <f>SUM($G$7:G52)</f>
        <v>24506</v>
      </c>
      <c r="J52" s="64">
        <f t="shared" si="5"/>
        <v>0.98790615173748286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32</v>
      </c>
      <c r="E53" s="59">
        <f t="shared" si="6"/>
        <v>9</v>
      </c>
      <c r="F53" s="60">
        <f t="shared" si="4"/>
        <v>0.95</v>
      </c>
      <c r="G53" s="61">
        <f>IF(D53=D52,"",_xlfn.IFNA(VLOOKUP(D53,'인원 입력 기능(사과탐)'!$K$5:$N$59,4,FALSE),0))</f>
        <v>131</v>
      </c>
      <c r="H53" s="62">
        <f t="shared" si="1"/>
        <v>5.280980407965815E-3</v>
      </c>
      <c r="I53" s="72">
        <f>SUM($G$7:G53)</f>
        <v>24637</v>
      </c>
      <c r="J53" s="64">
        <f t="shared" si="5"/>
        <v>0.99318713214544874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31</v>
      </c>
      <c r="E54" s="59">
        <f t="shared" si="6"/>
        <v>9</v>
      </c>
      <c r="F54" s="60">
        <f t="shared" si="4"/>
        <v>0.55000000000000004</v>
      </c>
      <c r="G54" s="61">
        <f>IF(D54=D53,"",_xlfn.IFNA(VLOOKUP(D54,'인원 입력 기능(사과탐)'!$K$5:$N$59,4,FALSE),0))</f>
        <v>64</v>
      </c>
      <c r="H54" s="62">
        <f t="shared" si="1"/>
        <v>2.5800209626703216E-3</v>
      </c>
      <c r="I54" s="72">
        <f>SUM($G$7:G54)</f>
        <v>24701</v>
      </c>
      <c r="J54" s="64">
        <f t="shared" si="5"/>
        <v>0.99576715310811903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30</v>
      </c>
      <c r="E55" s="59">
        <f t="shared" si="6"/>
        <v>9</v>
      </c>
      <c r="F55" s="60">
        <f t="shared" si="4"/>
        <v>0.27</v>
      </c>
      <c r="G55" s="61">
        <f>IF(D55=D54,"",_xlfn.IFNA(VLOOKUP(D55,'인원 입력 기능(사과탐)'!$K$5:$N$59,4,FALSE),0))</f>
        <v>76</v>
      </c>
      <c r="H55" s="62">
        <f t="shared" si="1"/>
        <v>3.0637748931710072E-3</v>
      </c>
      <c r="I55" s="72">
        <f>SUM($G$7:G55)</f>
        <v>24777</v>
      </c>
      <c r="J55" s="64">
        <f t="shared" si="5"/>
        <v>0.99883092800129003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0.06</v>
      </c>
      <c r="G57" s="113">
        <f>_xlfn.IFNA(VLOOKUP(D57,'인원 입력 기능(사과탐)'!$K$5:$N$59,4,FALSE),0)</f>
        <v>29</v>
      </c>
      <c r="H57" s="81">
        <f>G57/$J$3</f>
        <v>1.1690719987099895E-3</v>
      </c>
      <c r="I57" s="82">
        <f>SUM($G$7:G57)</f>
        <v>24806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I50:I51"/>
    <mergeCell ref="J50:J51"/>
    <mergeCell ref="D50:D51"/>
    <mergeCell ref="E50:E51"/>
    <mergeCell ref="F50:F51"/>
    <mergeCell ref="G50:G51"/>
    <mergeCell ref="H50:H51"/>
    <mergeCell ref="I38:I39"/>
    <mergeCell ref="J38:J39"/>
    <mergeCell ref="D44:D45"/>
    <mergeCell ref="E44:E45"/>
    <mergeCell ref="F44:F45"/>
    <mergeCell ref="G44:G45"/>
    <mergeCell ref="H44:H45"/>
    <mergeCell ref="I44:I45"/>
    <mergeCell ref="J44:J45"/>
    <mergeCell ref="D38:D39"/>
    <mergeCell ref="E38:E39"/>
    <mergeCell ref="F38:F39"/>
    <mergeCell ref="G38:G39"/>
    <mergeCell ref="H38:H39"/>
    <mergeCell ref="I27:I28"/>
    <mergeCell ref="J27:J28"/>
    <mergeCell ref="D33:D34"/>
    <mergeCell ref="E33:E34"/>
    <mergeCell ref="F33:F34"/>
    <mergeCell ref="G33:G34"/>
    <mergeCell ref="H33:H34"/>
    <mergeCell ref="I33:I34"/>
    <mergeCell ref="J33:J34"/>
    <mergeCell ref="D27:D28"/>
    <mergeCell ref="E27:E28"/>
    <mergeCell ref="F27:F28"/>
    <mergeCell ref="G27:G28"/>
    <mergeCell ref="H27:H28"/>
    <mergeCell ref="I15:I16"/>
    <mergeCell ref="J15:J16"/>
    <mergeCell ref="D21:D22"/>
    <mergeCell ref="E21:E22"/>
    <mergeCell ref="F21:F22"/>
    <mergeCell ref="G21:G22"/>
    <mergeCell ref="H21:H22"/>
    <mergeCell ref="I21:I22"/>
    <mergeCell ref="J21:J22"/>
    <mergeCell ref="D15:D16"/>
    <mergeCell ref="E15:E16"/>
    <mergeCell ref="F15:F16"/>
    <mergeCell ref="G15:G16"/>
    <mergeCell ref="H15:H16"/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</mergeCells>
  <phoneticPr fontId="1" type="noConversion"/>
  <conditionalFormatting sqref="D7:G10 I7:J10 D12:G15 I12:J15 D17:G21 I17:J21 D23:G27 I23:J27 D29:G33 I29:J33 D35:G38 I35:J38 D40:G44 I40:J44 D46:G50 I46:J50 D52:G57 I52:J57">
    <cfRule type="expression" dxfId="43" priority="4">
      <formula>OR($D7=$Q$7:$Q$14)</formula>
    </cfRule>
  </conditionalFormatting>
  <conditionalFormatting sqref="C7:C57">
    <cfRule type="expression" dxfId="42" priority="3">
      <formula>OR(AND($D7=0,OR($D6=$Q$7:$Q$14)),AND($D8&gt;0,OR($D7=$Q$7:$Q$14)))</formula>
    </cfRule>
  </conditionalFormatting>
  <conditionalFormatting sqref="D7:D10 D12:D15 D17:D21 D23:D27 D29:D33 D35:D38 D40:D44 D46:D50 D52:D57">
    <cfRule type="expression" dxfId="41" priority="2">
      <formula>$D7=$D8</formula>
    </cfRule>
  </conditionalFormatting>
  <conditionalFormatting sqref="H7:H10 H12:H15 H17:H21 H23:H27 H29:H33 H35:H38 H40:H44 H46:H50 H52:H57">
    <cfRule type="expression" dxfId="4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기능'!D11</f>
        <v>28.08</v>
      </c>
      <c r="I3" s="21" t="s">
        <v>70</v>
      </c>
      <c r="J3" s="50">
        <f>'통계 및 응시자 수 입력 기능'!C11</f>
        <v>18381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101</v>
      </c>
      <c r="E4" s="185"/>
      <c r="F4" s="186"/>
      <c r="G4" s="52" t="s">
        <v>73</v>
      </c>
      <c r="H4" s="53" t="str">
        <f>'통계 및 응시자 수 입력 기능'!E11</f>
        <v>12.51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68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98.35</v>
      </c>
      <c r="G7" s="61">
        <f>_xlfn.IFNA(VLOOKUP(D7,'인원 입력 기능(사과탐)'!$P$5:$S$59,4,FALSE),0)</f>
        <v>608</v>
      </c>
      <c r="H7" s="62">
        <f>G7/$J$3</f>
        <v>3.3077634513900223E-2</v>
      </c>
      <c r="I7" s="63">
        <f>G7</f>
        <v>608</v>
      </c>
      <c r="J7" s="64">
        <f>I7/$J$3</f>
        <v>3.3077634513900223E-2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기능'!C67</f>
        <v>66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기능'!C68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66</v>
      </c>
      <c r="E9" s="59">
        <f t="shared" si="0"/>
        <v>1</v>
      </c>
      <c r="F9" s="60">
        <f>IF(I8=0,ROUND(100*(1-(I7+I9)/2/$J$3),2),ROUND(100*(1-(I8+I9)/2/$J$3),2))</f>
        <v>95.92</v>
      </c>
      <c r="G9" s="61">
        <f>_xlfn.IFNA(VLOOKUP(D9,'인원 입력 기능(사과탐)'!$P$5:$S$59,4,FALSE),0)</f>
        <v>283</v>
      </c>
      <c r="H9" s="62">
        <f t="shared" ref="H9:H55" si="1">G9/$J$3</f>
        <v>1.5396333170121321E-2</v>
      </c>
      <c r="I9" s="72">
        <f>SUM($G$7:G9)</f>
        <v>891</v>
      </c>
      <c r="J9" s="64">
        <f>I9/$J$3</f>
        <v>4.8473967684021541E-2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기능'!C69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65</v>
      </c>
      <c r="E10" s="59">
        <f t="shared" si="0"/>
        <v>2</v>
      </c>
      <c r="F10" s="60">
        <f t="shared" ref="F10:F55" si="4">IF(I9=0,ROUND(100*(1-(I8+I10)/2/$J$3),2),ROUND(100*(1-(I9+I10)/2/$J$3),2))</f>
        <v>93.8</v>
      </c>
      <c r="G10" s="61">
        <f>IF(D10=D9,"",_xlfn.IFNA(VLOOKUP(D10,'인원 입력 기능(사과탐)'!$P$5:$S$59,4,FALSE),0))</f>
        <v>499</v>
      </c>
      <c r="H10" s="62">
        <f t="shared" si="1"/>
        <v>2.7147598063217454E-2</v>
      </c>
      <c r="I10" s="72">
        <f>SUM($G$7:G10)</f>
        <v>1390</v>
      </c>
      <c r="J10" s="64">
        <f t="shared" ref="J10:J55" si="5">I10/$J$3</f>
        <v>7.5621565747238995E-2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기능'!C70</f>
        <v>54</v>
      </c>
    </row>
    <row r="11" spans="1:17" s="22" customFormat="1" ht="25" customHeight="1" x14ac:dyDescent="0.45">
      <c r="A11" s="20"/>
      <c r="B11" s="35"/>
      <c r="C11" s="58">
        <v>46</v>
      </c>
      <c r="D11" s="201">
        <f t="shared" si="3"/>
        <v>64</v>
      </c>
      <c r="E11" s="201">
        <f t="shared" si="0"/>
        <v>2</v>
      </c>
      <c r="F11" s="205">
        <f t="shared" si="4"/>
        <v>90.86</v>
      </c>
      <c r="G11" s="207">
        <f>IF(D11=D10,"",_xlfn.IFNA(VLOOKUP(D11,'인원 입력 기능(사과탐)'!$P$5:$S$59,4,FALSE),0))</f>
        <v>581</v>
      </c>
      <c r="H11" s="208">
        <f t="shared" si="1"/>
        <v>3.1608726402263206E-2</v>
      </c>
      <c r="I11" s="214">
        <f>SUM($G$7:G11)</f>
        <v>1971</v>
      </c>
      <c r="J11" s="212">
        <f t="shared" si="5"/>
        <v>0.10723029214950221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기능'!C71</f>
        <v>48</v>
      </c>
    </row>
    <row r="12" spans="1:17" s="22" customFormat="1" ht="25" customHeight="1" x14ac:dyDescent="0.45">
      <c r="A12" s="20"/>
      <c r="B12" s="35"/>
      <c r="C12" s="65">
        <v>45</v>
      </c>
      <c r="D12" s="200"/>
      <c r="E12" s="200"/>
      <c r="F12" s="204"/>
      <c r="G12" s="206"/>
      <c r="H12" s="209"/>
      <c r="I12" s="215"/>
      <c r="J12" s="213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기능'!C72</f>
        <v>40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63</v>
      </c>
      <c r="E13" s="59">
        <f t="shared" si="0"/>
        <v>2</v>
      </c>
      <c r="F13" s="60">
        <f t="shared" si="4"/>
        <v>88.18</v>
      </c>
      <c r="G13" s="61">
        <f>IF(D13=D12,"",_xlfn.IFNA(VLOOKUP(D13,'인원 입력 기능(사과탐)'!$P$5:$S$59,4,FALSE),0))</f>
        <v>404</v>
      </c>
      <c r="H13" s="62">
        <f t="shared" si="1"/>
        <v>2.1979217670420544E-2</v>
      </c>
      <c r="I13" s="72">
        <f>SUM($G$7:G13)</f>
        <v>2375</v>
      </c>
      <c r="J13" s="64">
        <f t="shared" si="5"/>
        <v>0.12920950981992274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기능'!C73</f>
        <v>37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62</v>
      </c>
      <c r="E14" s="59">
        <f t="shared" si="0"/>
        <v>3</v>
      </c>
      <c r="F14" s="60">
        <f t="shared" si="4"/>
        <v>86.3</v>
      </c>
      <c r="G14" s="61">
        <f>IF(D14=D13,"",_xlfn.IFNA(VLOOKUP(D14,'인원 입력 기능(사과탐)'!$P$5:$S$59,4,FALSE),0))</f>
        <v>285</v>
      </c>
      <c r="H14" s="62">
        <f t="shared" si="1"/>
        <v>1.5505141178390729E-2</v>
      </c>
      <c r="I14" s="72">
        <f>SUM($G$7:G14)</f>
        <v>2660</v>
      </c>
      <c r="J14" s="64">
        <f t="shared" si="5"/>
        <v>0.14471465099831349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기능'!C74</f>
        <v>33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61</v>
      </c>
      <c r="E15" s="59">
        <f t="shared" si="0"/>
        <v>3</v>
      </c>
      <c r="F15" s="60">
        <f t="shared" si="4"/>
        <v>84.1</v>
      </c>
      <c r="G15" s="61">
        <f>IF(D15=D14,"",_xlfn.IFNA(VLOOKUP(D15,'인원 입력 기능(사과탐)'!$P$5:$S$59,4,FALSE),0))</f>
        <v>526</v>
      </c>
      <c r="H15" s="62">
        <f t="shared" si="1"/>
        <v>2.8616506174854468E-2</v>
      </c>
      <c r="I15" s="72">
        <f>SUM($G$7:G15)</f>
        <v>3186</v>
      </c>
      <c r="J15" s="64">
        <f t="shared" si="5"/>
        <v>0.17333115717316794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201">
        <f t="shared" si="3"/>
        <v>60</v>
      </c>
      <c r="E16" s="201">
        <f t="shared" si="0"/>
        <v>3</v>
      </c>
      <c r="F16" s="205">
        <f t="shared" si="4"/>
        <v>80.38</v>
      </c>
      <c r="G16" s="207">
        <f>IF(D16=D15,"",_xlfn.IFNA(VLOOKUP(D16,'인원 입력 기능(사과탐)'!$P$5:$S$59,4,FALSE),0))</f>
        <v>840</v>
      </c>
      <c r="H16" s="208">
        <f t="shared" si="1"/>
        <v>4.5699363473151622E-2</v>
      </c>
      <c r="I16" s="214">
        <f>SUM($G$7:G16)</f>
        <v>4026</v>
      </c>
      <c r="J16" s="212">
        <f t="shared" si="5"/>
        <v>0.21903052064631956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00"/>
      <c r="E17" s="200"/>
      <c r="F17" s="204"/>
      <c r="G17" s="206"/>
      <c r="H17" s="209"/>
      <c r="I17" s="215"/>
      <c r="J17" s="213"/>
      <c r="K17" s="36"/>
      <c r="L17" s="20" t="str">
        <f t="shared" si="2"/>
        <v>경고</v>
      </c>
      <c r="N17" s="24"/>
      <c r="Q17" s="24">
        <f>Q7*H3*H4*J3*IFERROR(IF(J57=1, 1, 0), 0)</f>
        <v>426154897.39680004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59</v>
      </c>
      <c r="E18" s="59">
        <f t="shared" si="0"/>
        <v>3</v>
      </c>
      <c r="F18" s="60">
        <f t="shared" si="4"/>
        <v>76.790000000000006</v>
      </c>
      <c r="G18" s="61">
        <f>IF(D18=D17,"",_xlfn.IFNA(VLOOKUP(D18,'인원 입력 기능(사과탐)'!$P$5:$S$59,4,FALSE),0))</f>
        <v>480</v>
      </c>
      <c r="H18" s="62">
        <f t="shared" si="1"/>
        <v>2.6113921984658072E-2</v>
      </c>
      <c r="I18" s="72">
        <f>SUM($G$7:G18)</f>
        <v>4506</v>
      </c>
      <c r="J18" s="64">
        <f t="shared" si="5"/>
        <v>0.24514444263097765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58</v>
      </c>
      <c r="E19" s="59">
        <f t="shared" si="0"/>
        <v>4</v>
      </c>
      <c r="F19" s="60">
        <f t="shared" si="4"/>
        <v>74.41</v>
      </c>
      <c r="G19" s="61">
        <f>IF(D19=D18,"",_xlfn.IFNA(VLOOKUP(D19,'인원 입력 기능(사과탐)'!$P$5:$S$59,4,FALSE),0))</f>
        <v>394</v>
      </c>
      <c r="H19" s="62">
        <f t="shared" si="1"/>
        <v>2.1435177629073501E-2</v>
      </c>
      <c r="I19" s="72">
        <f>SUM($G$7:G19)</f>
        <v>4900</v>
      </c>
      <c r="J19" s="64">
        <f t="shared" si="5"/>
        <v>0.26657962026005116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57</v>
      </c>
      <c r="E20" s="59">
        <f t="shared" si="0"/>
        <v>4</v>
      </c>
      <c r="F20" s="60">
        <f t="shared" si="4"/>
        <v>71.86</v>
      </c>
      <c r="G20" s="61">
        <f>IF(D20=D19,"",_xlfn.IFNA(VLOOKUP(D20,'인원 입력 기능(사과탐)'!$P$5:$S$59,4,FALSE),0))</f>
        <v>546</v>
      </c>
      <c r="H20" s="62">
        <f t="shared" si="1"/>
        <v>2.9704586257548557E-2</v>
      </c>
      <c r="I20" s="72">
        <f>SUM($G$7:G20)</f>
        <v>5446</v>
      </c>
      <c r="J20" s="64">
        <f t="shared" si="5"/>
        <v>0.29628420651759968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203">
        <f t="shared" si="3"/>
        <v>56</v>
      </c>
      <c r="E21" s="203">
        <f t="shared" si="0"/>
        <v>4</v>
      </c>
      <c r="F21" s="205">
        <f t="shared" si="4"/>
        <v>67.680000000000007</v>
      </c>
      <c r="G21" s="207">
        <f>IF(D21=D20,"",_xlfn.IFNA(VLOOKUP(D21,'인원 입력 기능(사과탐)'!$P$5:$S$59,4,FALSE),0))</f>
        <v>989</v>
      </c>
      <c r="H21" s="208">
        <f t="shared" si="1"/>
        <v>5.3805560089222569E-2</v>
      </c>
      <c r="I21" s="214">
        <f>SUM($G$7:G21)</f>
        <v>6435</v>
      </c>
      <c r="J21" s="212">
        <f t="shared" si="5"/>
        <v>0.35008976660682228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02"/>
      <c r="E22" s="202"/>
      <c r="F22" s="204"/>
      <c r="G22" s="206"/>
      <c r="H22" s="209"/>
      <c r="I22" s="215"/>
      <c r="J22" s="213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55</v>
      </c>
      <c r="E23" s="74">
        <f t="shared" si="0"/>
        <v>4</v>
      </c>
      <c r="F23" s="60">
        <f t="shared" si="4"/>
        <v>63.61</v>
      </c>
      <c r="G23" s="61">
        <f>IF(D23=D22,"",_xlfn.IFNA(VLOOKUP(D23,'인원 입력 기능(사과탐)'!$P$5:$S$59,4,FALSE),0))</f>
        <v>508</v>
      </c>
      <c r="H23" s="62">
        <f t="shared" si="1"/>
        <v>2.7637234100429793E-2</v>
      </c>
      <c r="I23" s="72">
        <f>SUM($G$7:G23)</f>
        <v>6943</v>
      </c>
      <c r="J23" s="64">
        <f t="shared" si="5"/>
        <v>0.37772700070725207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54</v>
      </c>
      <c r="E24" s="74">
        <f t="shared" si="0"/>
        <v>4</v>
      </c>
      <c r="F24" s="60">
        <f t="shared" si="4"/>
        <v>60.85</v>
      </c>
      <c r="G24" s="61">
        <f>IF(D24=D23,"",_xlfn.IFNA(VLOOKUP(D24,'인원 입력 기능(사과탐)'!$P$5:$S$59,4,FALSE),0))</f>
        <v>506</v>
      </c>
      <c r="H24" s="62">
        <f t="shared" si="1"/>
        <v>2.7528426092160382E-2</v>
      </c>
      <c r="I24" s="72">
        <f>SUM($G$7:G24)</f>
        <v>7449</v>
      </c>
      <c r="J24" s="64">
        <f t="shared" si="5"/>
        <v>0.40525542679941245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53</v>
      </c>
      <c r="E25" s="74">
        <f t="shared" si="0"/>
        <v>5</v>
      </c>
      <c r="F25" s="60">
        <f t="shared" si="4"/>
        <v>58.13</v>
      </c>
      <c r="G25" s="61">
        <f>IF(D25=D24,"",_xlfn.IFNA(VLOOKUP(D25,'인원 입력 기능(사과탐)'!$P$5:$S$59,4,FALSE),0))</f>
        <v>495</v>
      </c>
      <c r="H25" s="62">
        <f t="shared" si="1"/>
        <v>2.6929982046678635E-2</v>
      </c>
      <c r="I25" s="72">
        <f>SUM($G$7:G25)</f>
        <v>7944</v>
      </c>
      <c r="J25" s="64">
        <f t="shared" si="5"/>
        <v>0.43218540884609108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203">
        <f t="shared" si="3"/>
        <v>52</v>
      </c>
      <c r="E26" s="203">
        <f t="shared" si="0"/>
        <v>5</v>
      </c>
      <c r="F26" s="205">
        <f t="shared" si="4"/>
        <v>54.25</v>
      </c>
      <c r="G26" s="207">
        <f>IF(D26=D25,"",_xlfn.IFNA(VLOOKUP(D26,'인원 입력 기능(사과탐)'!$P$5:$S$59,4,FALSE),0))</f>
        <v>929</v>
      </c>
      <c r="H26" s="208">
        <f t="shared" si="1"/>
        <v>5.0541319841140311E-2</v>
      </c>
      <c r="I26" s="214">
        <f>SUM($G$7:G26)</f>
        <v>8873</v>
      </c>
      <c r="J26" s="212">
        <f t="shared" si="5"/>
        <v>0.48272672868723138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202"/>
      <c r="E27" s="202"/>
      <c r="F27" s="204"/>
      <c r="G27" s="206"/>
      <c r="H27" s="209"/>
      <c r="I27" s="215"/>
      <c r="J27" s="213"/>
      <c r="K27" s="36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51</v>
      </c>
      <c r="E28" s="74">
        <f t="shared" si="0"/>
        <v>5</v>
      </c>
      <c r="F28" s="60">
        <f t="shared" si="4"/>
        <v>50.47</v>
      </c>
      <c r="G28" s="61">
        <f>IF(D28=D27,"",_xlfn.IFNA(VLOOKUP(D28,'인원 입력 기능(사과탐)'!$P$5:$S$59,4,FALSE),0))</f>
        <v>461</v>
      </c>
      <c r="H28" s="62">
        <f t="shared" si="1"/>
        <v>2.508024590609869E-2</v>
      </c>
      <c r="I28" s="72">
        <f>SUM($G$7:G28)</f>
        <v>9334</v>
      </c>
      <c r="J28" s="64">
        <f t="shared" si="5"/>
        <v>0.50780697459333002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50</v>
      </c>
      <c r="E29" s="74">
        <f t="shared" si="0"/>
        <v>5</v>
      </c>
      <c r="F29" s="60">
        <f t="shared" si="4"/>
        <v>47.99</v>
      </c>
      <c r="G29" s="61">
        <f>IF(D29=D28,"",_xlfn.IFNA(VLOOKUP(D29,'인원 입력 기능(사과탐)'!$P$5:$S$59,4,FALSE),0))</f>
        <v>452</v>
      </c>
      <c r="H29" s="62">
        <f t="shared" si="1"/>
        <v>2.4590609868886351E-2</v>
      </c>
      <c r="I29" s="72">
        <f>SUM($G$7:G29)</f>
        <v>9786</v>
      </c>
      <c r="J29" s="64">
        <f t="shared" si="5"/>
        <v>0.53239758446221641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49</v>
      </c>
      <c r="E30" s="74">
        <f t="shared" si="0"/>
        <v>5</v>
      </c>
      <c r="F30" s="60">
        <f t="shared" si="4"/>
        <v>45.48</v>
      </c>
      <c r="G30" s="61">
        <f>IF(D30=D29,"",_xlfn.IFNA(VLOOKUP(D30,'인원 입력 기능(사과탐)'!$P$5:$S$59,4,FALSE),0))</f>
        <v>469</v>
      </c>
      <c r="H30" s="62">
        <f t="shared" si="1"/>
        <v>2.5515477939176322E-2</v>
      </c>
      <c r="I30" s="72">
        <f>SUM($G$7:G30)</f>
        <v>10255</v>
      </c>
      <c r="J30" s="64">
        <f t="shared" si="5"/>
        <v>0.55791306240139271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203">
        <f t="shared" si="3"/>
        <v>48</v>
      </c>
      <c r="E31" s="203">
        <f t="shared" si="0"/>
        <v>5</v>
      </c>
      <c r="F31" s="205">
        <f t="shared" si="4"/>
        <v>41.83</v>
      </c>
      <c r="G31" s="207">
        <f>IF(D31=D30,"",_xlfn.IFNA(VLOOKUP(D31,'인원 입력 기능(사과탐)'!$P$5:$S$59,4,FALSE),0))</f>
        <v>873</v>
      </c>
      <c r="H31" s="208">
        <f t="shared" si="1"/>
        <v>4.7494695609596869E-2</v>
      </c>
      <c r="I31" s="214">
        <f>SUM($G$7:G31)</f>
        <v>11128</v>
      </c>
      <c r="J31" s="212">
        <f t="shared" si="5"/>
        <v>0.60540775801098956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02"/>
      <c r="E32" s="202"/>
      <c r="F32" s="204"/>
      <c r="G32" s="206"/>
      <c r="H32" s="209"/>
      <c r="I32" s="215"/>
      <c r="J32" s="213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47</v>
      </c>
      <c r="E33" s="74">
        <f t="shared" si="0"/>
        <v>6</v>
      </c>
      <c r="F33" s="60">
        <f t="shared" si="4"/>
        <v>38.35</v>
      </c>
      <c r="G33" s="61">
        <f>IF(D33=D32,"",_xlfn.IFNA(VLOOKUP(D33,'인원 입력 기능(사과탐)'!$P$5:$S$59,4,FALSE),0))</f>
        <v>407</v>
      </c>
      <c r="H33" s="62">
        <f t="shared" si="1"/>
        <v>2.2142429682824656E-2</v>
      </c>
      <c r="I33" s="72">
        <f>SUM($G$7:G33)</f>
        <v>11535</v>
      </c>
      <c r="J33" s="64">
        <f t="shared" si="5"/>
        <v>0.62755018769381421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46</v>
      </c>
      <c r="E34" s="74">
        <f t="shared" si="0"/>
        <v>6</v>
      </c>
      <c r="F34" s="60">
        <f t="shared" si="4"/>
        <v>36.14</v>
      </c>
      <c r="G34" s="61">
        <f>IF(D34=D33,"",_xlfn.IFNA(VLOOKUP(D34,'인원 입력 기능(사과탐)'!$P$5:$S$59,4,FALSE),0))</f>
        <v>405</v>
      </c>
      <c r="H34" s="62">
        <f t="shared" si="1"/>
        <v>2.2033621674555248E-2</v>
      </c>
      <c r="I34" s="72">
        <f>SUM($G$7:G34)</f>
        <v>11940</v>
      </c>
      <c r="J34" s="64">
        <f t="shared" si="5"/>
        <v>0.64958380936836946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45</v>
      </c>
      <c r="E35" s="74">
        <f t="shared" si="0"/>
        <v>6</v>
      </c>
      <c r="F35" s="60">
        <f t="shared" si="4"/>
        <v>34.03</v>
      </c>
      <c r="G35" s="61">
        <f>IF(D35=D34,"",_xlfn.IFNA(VLOOKUP(D35,'인원 입력 기능(사과탐)'!$P$5:$S$59,4,FALSE),0))</f>
        <v>372</v>
      </c>
      <c r="H35" s="62">
        <f t="shared" si="1"/>
        <v>2.0238289538110004E-2</v>
      </c>
      <c r="I35" s="72">
        <f>SUM($G$7:G35)</f>
        <v>12312</v>
      </c>
      <c r="J35" s="64">
        <f t="shared" si="5"/>
        <v>0.66982209890647948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03">
        <f t="shared" si="3"/>
        <v>44</v>
      </c>
      <c r="E36" s="203">
        <f t="shared" si="0"/>
        <v>6</v>
      </c>
      <c r="F36" s="205">
        <f t="shared" si="4"/>
        <v>30.97</v>
      </c>
      <c r="G36" s="207">
        <f>IF(D36=D35,"",_xlfn.IFNA(VLOOKUP(D36,'인원 입력 기능(사과탐)'!$P$5:$S$59,4,FALSE),0))</f>
        <v>751</v>
      </c>
      <c r="H36" s="208">
        <f t="shared" si="1"/>
        <v>4.0857407105162939E-2</v>
      </c>
      <c r="I36" s="214">
        <f>SUM($G$7:G36)</f>
        <v>13063</v>
      </c>
      <c r="J36" s="212">
        <f t="shared" si="5"/>
        <v>0.71067950601164243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202"/>
      <c r="E37" s="202"/>
      <c r="F37" s="204"/>
      <c r="G37" s="206"/>
      <c r="H37" s="209"/>
      <c r="I37" s="215"/>
      <c r="J37" s="213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43</v>
      </c>
      <c r="E38" s="74">
        <f t="shared" si="0"/>
        <v>6</v>
      </c>
      <c r="F38" s="60">
        <f t="shared" si="4"/>
        <v>28.01</v>
      </c>
      <c r="G38" s="61">
        <f>IF(D38=D37,"",_xlfn.IFNA(VLOOKUP(D38,'인원 입력 기능(사과탐)'!$P$5:$S$59,4,FALSE),0))</f>
        <v>340</v>
      </c>
      <c r="H38" s="62">
        <f t="shared" si="1"/>
        <v>1.8497361405799467E-2</v>
      </c>
      <c r="I38" s="72">
        <f>SUM($G$7:G38)</f>
        <v>13403</v>
      </c>
      <c r="J38" s="64">
        <f t="shared" si="5"/>
        <v>0.72917686741744192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42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26.19</v>
      </c>
      <c r="G39" s="61">
        <f>IF(D39=D38,"",_xlfn.IFNA(VLOOKUP(D39,'인원 입력 기능(사과탐)'!$P$5:$S$59,4,FALSE),0))</f>
        <v>329</v>
      </c>
      <c r="H39" s="62">
        <f t="shared" si="1"/>
        <v>1.789891736031772E-2</v>
      </c>
      <c r="I39" s="72">
        <f>SUM($G$7:G39)</f>
        <v>13732</v>
      </c>
      <c r="J39" s="64">
        <f t="shared" si="5"/>
        <v>0.7470757847777596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41</v>
      </c>
      <c r="E40" s="74">
        <f t="shared" si="6"/>
        <v>6</v>
      </c>
      <c r="F40" s="60">
        <f t="shared" si="4"/>
        <v>24.32</v>
      </c>
      <c r="G40" s="61">
        <f>IF(D40=D39,"",_xlfn.IFNA(VLOOKUP(D40,'인원 입력 기능(사과탐)'!$P$5:$S$59,4,FALSE),0))</f>
        <v>356</v>
      </c>
      <c r="H40" s="62">
        <f t="shared" si="1"/>
        <v>1.9367825471954737E-2</v>
      </c>
      <c r="I40" s="72">
        <f>SUM($G$7:G40)</f>
        <v>14088</v>
      </c>
      <c r="J40" s="64">
        <f t="shared" si="5"/>
        <v>0.76644361024971441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03">
        <f t="shared" si="3"/>
        <v>40</v>
      </c>
      <c r="E41" s="203">
        <f t="shared" si="6"/>
        <v>6</v>
      </c>
      <c r="F41" s="205">
        <f t="shared" si="4"/>
        <v>21.47</v>
      </c>
      <c r="G41" s="207">
        <f>IF(D41=D40,"",_xlfn.IFNA(VLOOKUP(D41,'인원 입력 기능(사과탐)'!$P$5:$S$59,4,FALSE),0))</f>
        <v>694</v>
      </c>
      <c r="H41" s="208">
        <f t="shared" si="1"/>
        <v>3.7756378869484797E-2</v>
      </c>
      <c r="I41" s="214">
        <f>SUM($G$7:G41)</f>
        <v>14782</v>
      </c>
      <c r="J41" s="212">
        <f t="shared" si="5"/>
        <v>0.80419998911919921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02"/>
      <c r="E42" s="202"/>
      <c r="F42" s="204"/>
      <c r="G42" s="206"/>
      <c r="H42" s="209"/>
      <c r="I42" s="215"/>
      <c r="J42" s="213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39</v>
      </c>
      <c r="E43" s="74">
        <f t="shared" si="6"/>
        <v>7</v>
      </c>
      <c r="F43" s="60">
        <f t="shared" si="4"/>
        <v>18.489999999999998</v>
      </c>
      <c r="G43" s="61">
        <f>IF(D43=D42,"",_xlfn.IFNA(VLOOKUP(D43,'인원 입력 기능(사과탐)'!$P$5:$S$59,4,FALSE),0))</f>
        <v>401</v>
      </c>
      <c r="H43" s="62">
        <f t="shared" si="1"/>
        <v>2.1816005658016429E-2</v>
      </c>
      <c r="I43" s="72">
        <f>SUM($G$7:G43)</f>
        <v>15183</v>
      </c>
      <c r="J43" s="64">
        <f t="shared" si="5"/>
        <v>0.82601599477721566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38</v>
      </c>
      <c r="E44" s="74">
        <f t="shared" si="6"/>
        <v>7</v>
      </c>
      <c r="F44" s="60">
        <f t="shared" si="4"/>
        <v>16.63</v>
      </c>
      <c r="G44" s="61">
        <f>IF(D44=D43,"",_xlfn.IFNA(VLOOKUP(D44,'인원 입력 기능(사과탐)'!$P$5:$S$59,4,FALSE),0))</f>
        <v>284</v>
      </c>
      <c r="H44" s="62">
        <f t="shared" si="1"/>
        <v>1.5450737174256025E-2</v>
      </c>
      <c r="I44" s="72">
        <f>SUM($G$7:G44)</f>
        <v>15467</v>
      </c>
      <c r="J44" s="64">
        <f t="shared" si="5"/>
        <v>0.84146673195147159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37</v>
      </c>
      <c r="E45" s="74">
        <f t="shared" si="6"/>
        <v>7</v>
      </c>
      <c r="F45" s="60">
        <f t="shared" si="4"/>
        <v>13.17</v>
      </c>
      <c r="G45" s="61">
        <f>IF(D45=D44,"",_xlfn.IFNA(VLOOKUP(D45,'인원 입력 기능(사과탐)'!$P$5:$S$59,4,FALSE),0))</f>
        <v>987</v>
      </c>
      <c r="H45" s="62">
        <f t="shared" si="1"/>
        <v>5.3696752080953161E-2</v>
      </c>
      <c r="I45" s="72">
        <f>SUM($G$7:G45)</f>
        <v>16454</v>
      </c>
      <c r="J45" s="64">
        <f t="shared" si="5"/>
        <v>0.89516348403242474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203">
        <f t="shared" si="3"/>
        <v>36</v>
      </c>
      <c r="E46" s="203">
        <f t="shared" si="6"/>
        <v>8</v>
      </c>
      <c r="F46" s="205">
        <f t="shared" si="4"/>
        <v>8.67</v>
      </c>
      <c r="G46" s="207">
        <f>IF(D46=D45,"",_xlfn.IFNA(VLOOKUP(D46,'인원 입력 기능(사과탐)'!$P$5:$S$59,4,FALSE),0))</f>
        <v>667</v>
      </c>
      <c r="H46" s="208">
        <f t="shared" si="1"/>
        <v>3.628747075784778E-2</v>
      </c>
      <c r="I46" s="214">
        <f>SUM($G$7:G46)</f>
        <v>17121</v>
      </c>
      <c r="J46" s="212">
        <f t="shared" si="5"/>
        <v>0.93145095479027251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202"/>
      <c r="E47" s="202"/>
      <c r="F47" s="204"/>
      <c r="G47" s="206"/>
      <c r="H47" s="209"/>
      <c r="I47" s="215"/>
      <c r="J47" s="213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35</v>
      </c>
      <c r="E48" s="74">
        <f t="shared" si="6"/>
        <v>8</v>
      </c>
      <c r="F48" s="60">
        <f t="shared" si="4"/>
        <v>6.28</v>
      </c>
      <c r="G48" s="61">
        <f>IF(D48=D47,"",_xlfn.IFNA(VLOOKUP(D48,'인원 입력 기능(사과탐)'!$P$5:$S$59,4,FALSE),0))</f>
        <v>212</v>
      </c>
      <c r="H48" s="62">
        <f t="shared" si="1"/>
        <v>1.1533648876557315E-2</v>
      </c>
      <c r="I48" s="72">
        <f>SUM($G$7:G48)</f>
        <v>17333</v>
      </c>
      <c r="J48" s="64">
        <f t="shared" si="5"/>
        <v>0.9429846036668299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34</v>
      </c>
      <c r="E49" s="74">
        <f t="shared" si="6"/>
        <v>8</v>
      </c>
      <c r="F49" s="60">
        <f t="shared" si="4"/>
        <v>5.3</v>
      </c>
      <c r="G49" s="61">
        <f>IF(D49=D48,"",_xlfn.IFNA(VLOOKUP(D49,'인원 입력 기능(사과탐)'!$P$5:$S$59,4,FALSE),0))</f>
        <v>149</v>
      </c>
      <c r="H49" s="62">
        <f t="shared" si="1"/>
        <v>8.1061966160709421E-3</v>
      </c>
      <c r="I49" s="72">
        <f>SUM($G$7:G49)</f>
        <v>17482</v>
      </c>
      <c r="J49" s="64">
        <f t="shared" si="5"/>
        <v>0.95109080028290083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33</v>
      </c>
      <c r="E50" s="74">
        <f t="shared" si="6"/>
        <v>8</v>
      </c>
      <c r="F50" s="60">
        <f t="shared" si="4"/>
        <v>3.4</v>
      </c>
      <c r="G50" s="61">
        <f>IF(D50=D49,"",_xlfn.IFNA(VLOOKUP(D50,'인원 입력 기능(사과탐)'!$P$5:$S$59,4,FALSE),0))</f>
        <v>549</v>
      </c>
      <c r="H50" s="62">
        <f t="shared" si="1"/>
        <v>2.9867798269952669E-2</v>
      </c>
      <c r="I50" s="72">
        <f>SUM($G$7:G50)</f>
        <v>18031</v>
      </c>
      <c r="J50" s="64">
        <f t="shared" si="5"/>
        <v>0.9809585985528535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203">
        <f t="shared" si="3"/>
        <v>32</v>
      </c>
      <c r="E51" s="203">
        <f t="shared" si="6"/>
        <v>9</v>
      </c>
      <c r="F51" s="205">
        <f t="shared" si="4"/>
        <v>1.37</v>
      </c>
      <c r="G51" s="207">
        <f>IF(D51=D50,"",_xlfn.IFNA(VLOOKUP(D51,'인원 입력 기능(사과탐)'!$P$5:$S$59,4,FALSE),0))</f>
        <v>196</v>
      </c>
      <c r="H51" s="208">
        <f t="shared" si="1"/>
        <v>1.0663184810402045E-2</v>
      </c>
      <c r="I51" s="214">
        <f>SUM($G$7:G51)</f>
        <v>18227</v>
      </c>
      <c r="J51" s="212">
        <f t="shared" si="5"/>
        <v>0.99162178336325557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202"/>
      <c r="E52" s="202"/>
      <c r="F52" s="204"/>
      <c r="G52" s="206"/>
      <c r="H52" s="209"/>
      <c r="I52" s="215"/>
      <c r="J52" s="213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31</v>
      </c>
      <c r="E53" s="59">
        <f t="shared" si="6"/>
        <v>9</v>
      </c>
      <c r="F53" s="60">
        <f t="shared" si="4"/>
        <v>0.7</v>
      </c>
      <c r="G53" s="61">
        <f>IF(D53=D52,"",_xlfn.IFNA(VLOOKUP(D53,'인원 입력 기능(사과탐)'!$P$5:$S$59,4,FALSE),0))</f>
        <v>51</v>
      </c>
      <c r="H53" s="62">
        <f t="shared" si="1"/>
        <v>2.77460421086992E-3</v>
      </c>
      <c r="I53" s="72">
        <f>SUM($G$7:G53)</f>
        <v>18278</v>
      </c>
      <c r="J53" s="64">
        <f t="shared" si="5"/>
        <v>0.99439638757412541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30</v>
      </c>
      <c r="E54" s="59">
        <f t="shared" si="6"/>
        <v>9</v>
      </c>
      <c r="F54" s="60">
        <f t="shared" si="4"/>
        <v>0.45</v>
      </c>
      <c r="G54" s="61">
        <f>IF(D54=D53,"",_xlfn.IFNA(VLOOKUP(D54,'인원 입력 기능(사과탐)'!$P$5:$S$59,4,FALSE),0))</f>
        <v>39</v>
      </c>
      <c r="H54" s="62">
        <f t="shared" si="1"/>
        <v>2.1217561612534683E-3</v>
      </c>
      <c r="I54" s="72">
        <f>SUM($G$7:G54)</f>
        <v>18317</v>
      </c>
      <c r="J54" s="64">
        <f t="shared" si="5"/>
        <v>0.99651814373537895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29</v>
      </c>
      <c r="E55" s="59">
        <f t="shared" si="6"/>
        <v>9</v>
      </c>
      <c r="F55" s="60">
        <f t="shared" si="4"/>
        <v>0.21</v>
      </c>
      <c r="G55" s="61">
        <f>IF(D55=D54,"",_xlfn.IFNA(VLOOKUP(D55,'인원 입력 기능(사과탐)'!$P$5:$S$59,4,FALSE),0))</f>
        <v>49</v>
      </c>
      <c r="H55" s="62">
        <f t="shared" si="1"/>
        <v>2.6657962026005112E-3</v>
      </c>
      <c r="I55" s="72">
        <f>SUM($G$7:G55)</f>
        <v>18366</v>
      </c>
      <c r="J55" s="64">
        <f t="shared" si="5"/>
        <v>0.99918393993797938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28</v>
      </c>
      <c r="E57" s="112">
        <f t="shared" si="6"/>
        <v>9</v>
      </c>
      <c r="F57" s="79">
        <f>IF(I55=0,ROUND(100*(1-(I54+I57)/2/$J$3),2),ROUND(100*(1-(I55+I57)/2/$J$3),2))</f>
        <v>0.04</v>
      </c>
      <c r="G57" s="113">
        <f>_xlfn.IFNA(VLOOKUP(D57,'인원 입력 기능(사과탐)'!$P$5:$S$59,4,FALSE),0)</f>
        <v>15</v>
      </c>
      <c r="H57" s="81">
        <f>G57/$J$3</f>
        <v>8.1606006202056475E-4</v>
      </c>
      <c r="I57" s="82">
        <f>SUM($G$7:G57)</f>
        <v>18381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6">
    <mergeCell ref="I46:I47"/>
    <mergeCell ref="J46:J47"/>
    <mergeCell ref="D51:D52"/>
    <mergeCell ref="E51:E52"/>
    <mergeCell ref="F51:F52"/>
    <mergeCell ref="G51:G52"/>
    <mergeCell ref="H51:H52"/>
    <mergeCell ref="I51:I52"/>
    <mergeCell ref="J51:J52"/>
    <mergeCell ref="D46:D47"/>
    <mergeCell ref="E46:E47"/>
    <mergeCell ref="F46:F47"/>
    <mergeCell ref="G46:G47"/>
    <mergeCell ref="H46:H47"/>
    <mergeCell ref="I36:I37"/>
    <mergeCell ref="J36:J37"/>
    <mergeCell ref="D41:D42"/>
    <mergeCell ref="E41:E42"/>
    <mergeCell ref="F41:F42"/>
    <mergeCell ref="G41:G42"/>
    <mergeCell ref="H41:H42"/>
    <mergeCell ref="I41:I42"/>
    <mergeCell ref="J41:J42"/>
    <mergeCell ref="D36:D37"/>
    <mergeCell ref="E36:E37"/>
    <mergeCell ref="F36:F37"/>
    <mergeCell ref="G36:G37"/>
    <mergeCell ref="H36:H37"/>
    <mergeCell ref="I26:I27"/>
    <mergeCell ref="J26:J27"/>
    <mergeCell ref="D31:D32"/>
    <mergeCell ref="E31:E32"/>
    <mergeCell ref="F31:F32"/>
    <mergeCell ref="G31:G32"/>
    <mergeCell ref="H31:H32"/>
    <mergeCell ref="I31:I32"/>
    <mergeCell ref="J31:J32"/>
    <mergeCell ref="D26:D27"/>
    <mergeCell ref="E26:E27"/>
    <mergeCell ref="F26:F27"/>
    <mergeCell ref="G26:G27"/>
    <mergeCell ref="H26:H27"/>
    <mergeCell ref="I16:I17"/>
    <mergeCell ref="J16:J17"/>
    <mergeCell ref="D21:D22"/>
    <mergeCell ref="E21:E22"/>
    <mergeCell ref="F21:F22"/>
    <mergeCell ref="G21:G22"/>
    <mergeCell ref="H21:H22"/>
    <mergeCell ref="I21:I22"/>
    <mergeCell ref="J21:J22"/>
    <mergeCell ref="D16:D17"/>
    <mergeCell ref="E16:E17"/>
    <mergeCell ref="F16:F17"/>
    <mergeCell ref="G16:G17"/>
    <mergeCell ref="H16:H17"/>
    <mergeCell ref="D3:F3"/>
    <mergeCell ref="D4:F4"/>
    <mergeCell ref="I4:J5"/>
    <mergeCell ref="D11:D12"/>
    <mergeCell ref="E11:E12"/>
    <mergeCell ref="F11:F12"/>
    <mergeCell ref="G11:G12"/>
    <mergeCell ref="H11:H12"/>
    <mergeCell ref="I11:I12"/>
    <mergeCell ref="J11:J12"/>
  </mergeCells>
  <phoneticPr fontId="1" type="noConversion"/>
  <conditionalFormatting sqref="D7:G11 I7:J11 D13:G16 I13:J16 D18:G21 I18:J21 D23:G26 I23:J26 D28:G31 I28:J31 D33:G36 I33:J36 D38:G41 I38:J41 D43:G46 I43:J46 D48:G51 I48:J51 D53:G57 I53:J57">
    <cfRule type="expression" dxfId="39" priority="4">
      <formula>OR($D7=$Q$7:$Q$14)</formula>
    </cfRule>
  </conditionalFormatting>
  <conditionalFormatting sqref="C7:C57">
    <cfRule type="expression" dxfId="38" priority="3">
      <formula>OR(AND($D7=0,OR($D6=$Q$7:$Q$14)),AND($D8&gt;0,OR($D7=$Q$7:$Q$14)))</formula>
    </cfRule>
  </conditionalFormatting>
  <conditionalFormatting sqref="D7:D11 D13:D16 D18:D21 D23:D26 D28:D31 D33:D36 D38:D41 D43:D46 D48:D51 D53:D57">
    <cfRule type="expression" dxfId="37" priority="2">
      <formula>$D7=$D8</formula>
    </cfRule>
  </conditionalFormatting>
  <conditionalFormatting sqref="H7:H11 H13:H16 H18:H21 H23:H26 H28:H31 H33:H36 H38:H41 H43:H46 H48:H51 H53:H57">
    <cfRule type="expression" dxfId="3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기능'!D12</f>
        <v>24.34</v>
      </c>
      <c r="I3" s="21" t="s">
        <v>70</v>
      </c>
      <c r="J3" s="50">
        <f>'통계 및 응시자 수 입력 기능'!C12</f>
        <v>10505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100</v>
      </c>
      <c r="E4" s="185"/>
      <c r="F4" s="186"/>
      <c r="G4" s="52" t="s">
        <v>73</v>
      </c>
      <c r="H4" s="53" t="str">
        <f>'통계 및 응시자 수 입력 기능'!E12</f>
        <v>12.05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71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98.9</v>
      </c>
      <c r="G7" s="61">
        <f>_xlfn.IFNA(VLOOKUP(D7,'인원 입력 기능(사과탐)'!$A$64:$D$116,4,FALSE),0)</f>
        <v>231</v>
      </c>
      <c r="H7" s="62">
        <f>G7/$J$3</f>
        <v>2.1989528795811519E-2</v>
      </c>
      <c r="I7" s="63">
        <f>G7</f>
        <v>231</v>
      </c>
      <c r="J7" s="64">
        <f>I7/$J$3</f>
        <v>2.1989528795811519E-2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기능'!C76</f>
        <v>69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기능'!C77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70</v>
      </c>
      <c r="E9" s="59">
        <f t="shared" si="0"/>
        <v>1</v>
      </c>
      <c r="F9" s="60">
        <f>IF(I8=0,ROUND(100*(1-(I7+I9)/2/$J$3),2),ROUND(100*(1-(I8+I9)/2/$J$3),2))</f>
        <v>97.48</v>
      </c>
      <c r="G9" s="61">
        <f>_xlfn.IFNA(VLOOKUP(D9,'인원 입력 기능(사과탐)'!$A$64:$D$116,4,FALSE),0)</f>
        <v>68</v>
      </c>
      <c r="H9" s="62">
        <f t="shared" ref="H9:H55" si="1">G9/$J$3</f>
        <v>6.4731080437886723E-3</v>
      </c>
      <c r="I9" s="72">
        <f>SUM($G$7:G9)</f>
        <v>299</v>
      </c>
      <c r="J9" s="64">
        <f>I9/$J$3</f>
        <v>2.8462636839600191E-2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기능'!C78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69</v>
      </c>
      <c r="E10" s="59">
        <f t="shared" si="0"/>
        <v>1</v>
      </c>
      <c r="F10" s="60">
        <f t="shared" ref="F10:F55" si="4">IF(I9=0,ROUND(100*(1-(I8+I10)/2/$J$3),2),ROUND(100*(1-(I9+I10)/2/$J$3),2))</f>
        <v>95.96</v>
      </c>
      <c r="G10" s="61">
        <f>IF(D10=D9,"",_xlfn.IFNA(VLOOKUP(D10,'인원 입력 기능(사과탐)'!$A$64:$D$116,4,FALSE),0))</f>
        <v>250</v>
      </c>
      <c r="H10" s="62">
        <f t="shared" si="1"/>
        <v>2.3798191337458353E-2</v>
      </c>
      <c r="I10" s="72">
        <f>SUM($G$7:G10)</f>
        <v>549</v>
      </c>
      <c r="J10" s="64">
        <f t="shared" ref="J10:J55" si="5">I10/$J$3</f>
        <v>5.2260828177058544E-2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기능'!C79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68</v>
      </c>
      <c r="E11" s="59">
        <f t="shared" si="0"/>
        <v>2</v>
      </c>
      <c r="F11" s="60">
        <f t="shared" si="4"/>
        <v>94.71</v>
      </c>
      <c r="G11" s="61">
        <f>IF(D11=D10,"",_xlfn.IFNA(VLOOKUP(D11,'인원 입력 기능(사과탐)'!$A$64:$D$116,4,FALSE),0))</f>
        <v>14</v>
      </c>
      <c r="H11" s="62">
        <f t="shared" si="1"/>
        <v>1.3326987148976678E-3</v>
      </c>
      <c r="I11" s="72">
        <f>SUM($G$7:G11)</f>
        <v>563</v>
      </c>
      <c r="J11" s="64">
        <f t="shared" si="5"/>
        <v>5.3593526891956213E-2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기능'!C80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67</v>
      </c>
      <c r="E12" s="59">
        <f t="shared" si="0"/>
        <v>2</v>
      </c>
      <c r="F12" s="60">
        <f t="shared" si="4"/>
        <v>93.96</v>
      </c>
      <c r="G12" s="61">
        <f>IF(D12=D11,"",_xlfn.IFNA(VLOOKUP(D12,'인원 입력 기능(사과탐)'!$A$64:$D$116,4,FALSE),0))</f>
        <v>143</v>
      </c>
      <c r="H12" s="62">
        <f t="shared" si="1"/>
        <v>1.3612565445026177E-2</v>
      </c>
      <c r="I12" s="72">
        <f>SUM($G$7:G12)</f>
        <v>706</v>
      </c>
      <c r="J12" s="64">
        <f t="shared" si="5"/>
        <v>6.7206092336982395E-2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기능'!C81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66</v>
      </c>
      <c r="E13" s="59">
        <f t="shared" si="0"/>
        <v>2</v>
      </c>
      <c r="F13" s="60">
        <f t="shared" si="4"/>
        <v>92.27</v>
      </c>
      <c r="G13" s="61">
        <f>IF(D13=D12,"",_xlfn.IFNA(VLOOKUP(D13,'인원 입력 기능(사과탐)'!$A$64:$D$116,4,FALSE),0))</f>
        <v>213</v>
      </c>
      <c r="H13" s="62">
        <f t="shared" si="1"/>
        <v>2.0276059019514518E-2</v>
      </c>
      <c r="I13" s="72">
        <f>SUM($G$7:G13)</f>
        <v>919</v>
      </c>
      <c r="J13" s="64">
        <f t="shared" si="5"/>
        <v>8.7482151356496909E-2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기능'!C82</f>
        <v>39</v>
      </c>
    </row>
    <row r="14" spans="1:17" s="22" customFormat="1" ht="25" customHeight="1" x14ac:dyDescent="0.45">
      <c r="A14" s="20"/>
      <c r="B14" s="35"/>
      <c r="C14" s="65">
        <v>43</v>
      </c>
      <c r="D14" s="201">
        <f t="shared" si="3"/>
        <v>65</v>
      </c>
      <c r="E14" s="201">
        <f t="shared" si="0"/>
        <v>2</v>
      </c>
      <c r="F14" s="205">
        <f t="shared" si="4"/>
        <v>90.03</v>
      </c>
      <c r="G14" s="207">
        <f>IF(D14=D13,"",_xlfn.IFNA(VLOOKUP(D14,'인원 입력 기능(사과탐)'!$A$64:$D$116,4,FALSE),0))</f>
        <v>257</v>
      </c>
      <c r="H14" s="208">
        <f t="shared" si="1"/>
        <v>2.4464540694907187E-2</v>
      </c>
      <c r="I14" s="214">
        <f>SUM($G$7:G14)</f>
        <v>1176</v>
      </c>
      <c r="J14" s="212">
        <f t="shared" si="5"/>
        <v>0.11194669205140409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기능'!C83</f>
        <v>36</v>
      </c>
    </row>
    <row r="15" spans="1:17" s="22" customFormat="1" ht="25" customHeight="1" x14ac:dyDescent="0.45">
      <c r="A15" s="20"/>
      <c r="B15" s="35"/>
      <c r="C15" s="58">
        <v>42</v>
      </c>
      <c r="D15" s="200"/>
      <c r="E15" s="200"/>
      <c r="F15" s="204"/>
      <c r="G15" s="206"/>
      <c r="H15" s="209"/>
      <c r="I15" s="215"/>
      <c r="J15" s="213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64</v>
      </c>
      <c r="E16" s="59">
        <f t="shared" si="0"/>
        <v>3</v>
      </c>
      <c r="F16" s="60">
        <f t="shared" si="4"/>
        <v>87.85</v>
      </c>
      <c r="G16" s="61">
        <f>IF(D16=D15,"",_xlfn.IFNA(VLOOKUP(D16,'인원 입력 기능(사과탐)'!$A$64:$D$116,4,FALSE),0))</f>
        <v>201</v>
      </c>
      <c r="H16" s="62">
        <f t="shared" si="1"/>
        <v>1.9133745835316514E-2</v>
      </c>
      <c r="I16" s="72">
        <f>SUM($G$7:G16)</f>
        <v>1377</v>
      </c>
      <c r="J16" s="64">
        <f t="shared" si="5"/>
        <v>0.13108043788672061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63</v>
      </c>
      <c r="E17" s="59">
        <f t="shared" si="0"/>
        <v>3</v>
      </c>
      <c r="F17" s="60">
        <f t="shared" si="4"/>
        <v>86.36</v>
      </c>
      <c r="G17" s="61">
        <f>IF(D17=D16,"",_xlfn.IFNA(VLOOKUP(D17,'인원 입력 기능(사과탐)'!$A$64:$D$116,4,FALSE),0))</f>
        <v>111</v>
      </c>
      <c r="H17" s="62">
        <f t="shared" si="1"/>
        <v>1.0566396953831509E-2</v>
      </c>
      <c r="I17" s="72">
        <f>SUM($G$7:G17)</f>
        <v>1488</v>
      </c>
      <c r="J17" s="64">
        <f t="shared" si="5"/>
        <v>0.14164683484055213</v>
      </c>
      <c r="K17" s="36"/>
      <c r="L17" s="20" t="str">
        <f t="shared" si="2"/>
        <v/>
      </c>
      <c r="N17" s="24"/>
      <c r="Q17" s="24">
        <f>Q7*H3*H4*J3*IFERROR(IF(J57=1, 1, 0), 0)</f>
        <v>212594863.96500003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62</v>
      </c>
      <c r="E18" s="59">
        <f t="shared" si="0"/>
        <v>3</v>
      </c>
      <c r="F18" s="60">
        <f t="shared" si="4"/>
        <v>84.76</v>
      </c>
      <c r="G18" s="61">
        <f>IF(D18=D17,"",_xlfn.IFNA(VLOOKUP(D18,'인원 입력 기능(사과탐)'!$A$64:$D$116,4,FALSE),0))</f>
        <v>225</v>
      </c>
      <c r="H18" s="62">
        <f t="shared" si="1"/>
        <v>2.1418372203712517E-2</v>
      </c>
      <c r="I18" s="72">
        <f>SUM($G$7:G18)</f>
        <v>1713</v>
      </c>
      <c r="J18" s="64">
        <f t="shared" si="5"/>
        <v>0.16306520704426464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01">
        <f t="shared" si="3"/>
        <v>61</v>
      </c>
      <c r="E19" s="201">
        <f t="shared" si="0"/>
        <v>3</v>
      </c>
      <c r="F19" s="205">
        <f t="shared" si="4"/>
        <v>82.12</v>
      </c>
      <c r="G19" s="207">
        <f>IF(D19=D18,"",_xlfn.IFNA(VLOOKUP(D19,'인원 입력 기능(사과탐)'!$A$64:$D$116,4,FALSE),0))</f>
        <v>330</v>
      </c>
      <c r="H19" s="208">
        <f t="shared" si="1"/>
        <v>3.1413612565445025E-2</v>
      </c>
      <c r="I19" s="214">
        <f>SUM($G$7:G19)</f>
        <v>2043</v>
      </c>
      <c r="J19" s="212">
        <f t="shared" si="5"/>
        <v>0.19447881960970967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200"/>
      <c r="E20" s="200"/>
      <c r="F20" s="204"/>
      <c r="G20" s="206"/>
      <c r="H20" s="209"/>
      <c r="I20" s="215"/>
      <c r="J20" s="213"/>
      <c r="K20" s="36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60</v>
      </c>
      <c r="E21" s="74">
        <f t="shared" si="0"/>
        <v>3</v>
      </c>
      <c r="F21" s="60">
        <f t="shared" si="4"/>
        <v>79.569999999999993</v>
      </c>
      <c r="G21" s="61">
        <f>IF(D21=D20,"",_xlfn.IFNA(VLOOKUP(D21,'인원 입력 기능(사과탐)'!$A$64:$D$116,4,FALSE),0))</f>
        <v>207</v>
      </c>
      <c r="H21" s="62">
        <f t="shared" si="1"/>
        <v>1.9704902427415516E-2</v>
      </c>
      <c r="I21" s="72">
        <f>SUM($G$7:G21)</f>
        <v>2250</v>
      </c>
      <c r="J21" s="64">
        <f t="shared" si="5"/>
        <v>0.21418372203712518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59</v>
      </c>
      <c r="E22" s="74">
        <f t="shared" si="0"/>
        <v>3</v>
      </c>
      <c r="F22" s="60">
        <f t="shared" si="4"/>
        <v>77.8</v>
      </c>
      <c r="G22" s="61">
        <f>IF(D22=D21,"",_xlfn.IFNA(VLOOKUP(D22,'인원 입력 기능(사과탐)'!$A$64:$D$116,4,FALSE),0))</f>
        <v>164</v>
      </c>
      <c r="H22" s="62">
        <f t="shared" si="1"/>
        <v>1.5611613517372679E-2</v>
      </c>
      <c r="I22" s="72">
        <f>SUM($G$7:G22)</f>
        <v>2414</v>
      </c>
      <c r="J22" s="64">
        <f t="shared" si="5"/>
        <v>0.22979533555449785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58</v>
      </c>
      <c r="E23" s="74">
        <f t="shared" si="0"/>
        <v>3</v>
      </c>
      <c r="F23" s="60">
        <f t="shared" si="4"/>
        <v>76.010000000000005</v>
      </c>
      <c r="G23" s="61">
        <f>IF(D23=D22,"",_xlfn.IFNA(VLOOKUP(D23,'인원 입력 기능(사과탐)'!$A$64:$D$116,4,FALSE),0))</f>
        <v>212</v>
      </c>
      <c r="H23" s="62">
        <f t="shared" si="1"/>
        <v>2.0180866254164685E-2</v>
      </c>
      <c r="I23" s="72">
        <f>SUM($G$7:G23)</f>
        <v>2626</v>
      </c>
      <c r="J23" s="64">
        <f t="shared" si="5"/>
        <v>0.24997620180866253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57</v>
      </c>
      <c r="E24" s="74">
        <f t="shared" si="0"/>
        <v>4</v>
      </c>
      <c r="F24" s="60">
        <f t="shared" si="4"/>
        <v>74.06</v>
      </c>
      <c r="G24" s="61">
        <f>IF(D24=D23,"",_xlfn.IFNA(VLOOKUP(D24,'인원 입력 기능(사과탐)'!$A$64:$D$116,4,FALSE),0))</f>
        <v>199</v>
      </c>
      <c r="H24" s="62">
        <f t="shared" si="1"/>
        <v>1.8943360304616848E-2</v>
      </c>
      <c r="I24" s="72">
        <f>SUM($G$7:G24)</f>
        <v>2825</v>
      </c>
      <c r="J24" s="64">
        <f t="shared" si="5"/>
        <v>0.26891956211327939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03">
        <f t="shared" si="3"/>
        <v>56</v>
      </c>
      <c r="E25" s="203">
        <f t="shared" si="0"/>
        <v>4</v>
      </c>
      <c r="F25" s="205">
        <f t="shared" si="4"/>
        <v>70.930000000000007</v>
      </c>
      <c r="G25" s="207">
        <f>IF(D25=D24,"",_xlfn.IFNA(VLOOKUP(D25,'인원 입력 기능(사과탐)'!$A$64:$D$116,4,FALSE),0))</f>
        <v>458</v>
      </c>
      <c r="H25" s="208">
        <f t="shared" si="1"/>
        <v>4.3598286530223705E-2</v>
      </c>
      <c r="I25" s="214">
        <f>SUM($G$7:G25)</f>
        <v>3283</v>
      </c>
      <c r="J25" s="212">
        <f t="shared" si="5"/>
        <v>0.31251784864350307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202"/>
      <c r="E26" s="202"/>
      <c r="F26" s="204"/>
      <c r="G26" s="206"/>
      <c r="H26" s="209"/>
      <c r="I26" s="215"/>
      <c r="J26" s="213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55</v>
      </c>
      <c r="E27" s="74">
        <f t="shared" si="0"/>
        <v>4</v>
      </c>
      <c r="F27" s="60">
        <f t="shared" si="4"/>
        <v>67.650000000000006</v>
      </c>
      <c r="G27" s="61">
        <f>IF(D27=D26,"",_xlfn.IFNA(VLOOKUP(D27,'인원 입력 기능(사과탐)'!$A$64:$D$116,4,FALSE),0))</f>
        <v>230</v>
      </c>
      <c r="H27" s="62">
        <f t="shared" si="1"/>
        <v>2.1894336030461686E-2</v>
      </c>
      <c r="I27" s="72">
        <f>SUM($G$7:G27)</f>
        <v>3513</v>
      </c>
      <c r="J27" s="64">
        <f t="shared" si="5"/>
        <v>0.33441218467396477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54</v>
      </c>
      <c r="E28" s="74">
        <f t="shared" si="0"/>
        <v>4</v>
      </c>
      <c r="F28" s="60">
        <f t="shared" si="4"/>
        <v>65.459999999999994</v>
      </c>
      <c r="G28" s="61">
        <f>IF(D28=D27,"",_xlfn.IFNA(VLOOKUP(D28,'인원 입력 기능(사과탐)'!$A$64:$D$116,4,FALSE),0))</f>
        <v>231</v>
      </c>
      <c r="H28" s="62">
        <f t="shared" si="1"/>
        <v>2.1989528795811519E-2</v>
      </c>
      <c r="I28" s="72">
        <f>SUM($G$7:G28)</f>
        <v>3744</v>
      </c>
      <c r="J28" s="64">
        <f t="shared" si="5"/>
        <v>0.35640171346977628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53</v>
      </c>
      <c r="E29" s="74">
        <f t="shared" si="0"/>
        <v>4</v>
      </c>
      <c r="F29" s="60">
        <f t="shared" si="4"/>
        <v>63.27</v>
      </c>
      <c r="G29" s="61">
        <f>IF(D29=D28,"",_xlfn.IFNA(VLOOKUP(D29,'인원 입력 기능(사과탐)'!$A$64:$D$116,4,FALSE),0))</f>
        <v>229</v>
      </c>
      <c r="H29" s="62">
        <f t="shared" si="1"/>
        <v>2.1799143265111853E-2</v>
      </c>
      <c r="I29" s="72">
        <f>SUM($G$7:G29)</f>
        <v>3973</v>
      </c>
      <c r="J29" s="64">
        <f t="shared" si="5"/>
        <v>0.37820085673488812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52</v>
      </c>
      <c r="E30" s="74">
        <f t="shared" si="0"/>
        <v>4</v>
      </c>
      <c r="F30" s="60">
        <f t="shared" si="4"/>
        <v>61.06</v>
      </c>
      <c r="G30" s="61">
        <f>IF(D30=D29,"",_xlfn.IFNA(VLOOKUP(D30,'인원 입력 기능(사과탐)'!$A$64:$D$116,4,FALSE),0))</f>
        <v>236</v>
      </c>
      <c r="H30" s="62">
        <f t="shared" si="1"/>
        <v>2.2465492622560684E-2</v>
      </c>
      <c r="I30" s="72">
        <f>SUM($G$7:G30)</f>
        <v>4209</v>
      </c>
      <c r="J30" s="64">
        <f t="shared" si="5"/>
        <v>0.40066634935744883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203">
        <f t="shared" si="3"/>
        <v>51</v>
      </c>
      <c r="E31" s="203">
        <f t="shared" si="0"/>
        <v>5</v>
      </c>
      <c r="F31" s="205">
        <f t="shared" si="4"/>
        <v>57.4</v>
      </c>
      <c r="G31" s="207">
        <f>IF(D31=D30,"",_xlfn.IFNA(VLOOKUP(D31,'인원 입력 기능(사과탐)'!$A$64:$D$116,4,FALSE),0))</f>
        <v>532</v>
      </c>
      <c r="H31" s="208">
        <f t="shared" si="1"/>
        <v>5.0642551166111376E-2</v>
      </c>
      <c r="I31" s="214">
        <f>SUM($G$7:G31)</f>
        <v>4741</v>
      </c>
      <c r="J31" s="212">
        <f t="shared" si="5"/>
        <v>0.45130890052356021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02"/>
      <c r="E32" s="202"/>
      <c r="F32" s="204"/>
      <c r="G32" s="206"/>
      <c r="H32" s="209"/>
      <c r="I32" s="215"/>
      <c r="J32" s="213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50</v>
      </c>
      <c r="E33" s="74">
        <f t="shared" si="0"/>
        <v>5</v>
      </c>
      <c r="F33" s="60">
        <f t="shared" si="4"/>
        <v>53.5</v>
      </c>
      <c r="G33" s="61">
        <f>IF(D33=D32,"",_xlfn.IFNA(VLOOKUP(D33,'인원 입력 기능(사과탐)'!$A$64:$D$116,4,FALSE),0))</f>
        <v>287</v>
      </c>
      <c r="H33" s="62">
        <f t="shared" si="1"/>
        <v>2.7320323655402188E-2</v>
      </c>
      <c r="I33" s="72">
        <f>SUM($G$7:G33)</f>
        <v>5028</v>
      </c>
      <c r="J33" s="64">
        <f t="shared" si="5"/>
        <v>0.47862922417896242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49</v>
      </c>
      <c r="E34" s="74">
        <f t="shared" si="0"/>
        <v>5</v>
      </c>
      <c r="F34" s="60">
        <f t="shared" si="4"/>
        <v>50.82</v>
      </c>
      <c r="G34" s="61">
        <f>IF(D34=D33,"",_xlfn.IFNA(VLOOKUP(D34,'인원 입력 기능(사과탐)'!$A$64:$D$116,4,FALSE),0))</f>
        <v>277</v>
      </c>
      <c r="H34" s="62">
        <f t="shared" si="1"/>
        <v>2.6368396001903854E-2</v>
      </c>
      <c r="I34" s="72">
        <f>SUM($G$7:G34)</f>
        <v>5305</v>
      </c>
      <c r="J34" s="64">
        <f t="shared" si="5"/>
        <v>0.50499762018086625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48</v>
      </c>
      <c r="E35" s="74">
        <f t="shared" si="0"/>
        <v>5</v>
      </c>
      <c r="F35" s="60">
        <f t="shared" si="4"/>
        <v>48.16</v>
      </c>
      <c r="G35" s="61">
        <f>IF(D35=D34,"",_xlfn.IFNA(VLOOKUP(D35,'인원 입력 기능(사과탐)'!$A$64:$D$116,4,FALSE),0))</f>
        <v>282</v>
      </c>
      <c r="H35" s="62">
        <f t="shared" si="1"/>
        <v>2.6844359828653023E-2</v>
      </c>
      <c r="I35" s="72">
        <f>SUM($G$7:G35)</f>
        <v>5587</v>
      </c>
      <c r="J35" s="64">
        <f t="shared" si="5"/>
        <v>0.53184198000951932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47</v>
      </c>
      <c r="E36" s="74">
        <f t="shared" si="0"/>
        <v>5</v>
      </c>
      <c r="F36" s="60">
        <f t="shared" si="4"/>
        <v>45.48</v>
      </c>
      <c r="G36" s="61">
        <f>IF(D36=D35,"",_xlfn.IFNA(VLOOKUP(D36,'인원 입력 기능(사과탐)'!$A$64:$D$116,4,FALSE),0))</f>
        <v>281</v>
      </c>
      <c r="H36" s="62">
        <f t="shared" si="1"/>
        <v>2.674916706330319E-2</v>
      </c>
      <c r="I36" s="72">
        <f>SUM($G$7:G36)</f>
        <v>5868</v>
      </c>
      <c r="J36" s="64">
        <f t="shared" si="5"/>
        <v>0.55859114707282242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203">
        <f t="shared" si="3"/>
        <v>46</v>
      </c>
      <c r="E37" s="203">
        <f t="shared" si="0"/>
        <v>5</v>
      </c>
      <c r="F37" s="205">
        <f t="shared" si="4"/>
        <v>41.33</v>
      </c>
      <c r="G37" s="207">
        <f>IF(D37=D36,"",_xlfn.IFNA(VLOOKUP(D37,'인원 입력 기능(사과탐)'!$A$64:$D$116,4,FALSE),0))</f>
        <v>590</v>
      </c>
      <c r="H37" s="208">
        <f t="shared" si="1"/>
        <v>5.6163731556401711E-2</v>
      </c>
      <c r="I37" s="214">
        <f>SUM($G$7:G37)</f>
        <v>6458</v>
      </c>
      <c r="J37" s="212">
        <f t="shared" si="5"/>
        <v>0.61475487862922418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202"/>
      <c r="E38" s="202"/>
      <c r="F38" s="204"/>
      <c r="G38" s="206"/>
      <c r="H38" s="209"/>
      <c r="I38" s="215"/>
      <c r="J38" s="213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45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37</v>
      </c>
      <c r="G39" s="61">
        <f>IF(D39=D38,"",_xlfn.IFNA(VLOOKUP(D39,'인원 입력 기능(사과탐)'!$A$64:$D$116,4,FALSE),0))</f>
        <v>321</v>
      </c>
      <c r="H39" s="62">
        <f t="shared" si="1"/>
        <v>3.0556877677296524E-2</v>
      </c>
      <c r="I39" s="72">
        <f>SUM($G$7:G39)</f>
        <v>6779</v>
      </c>
      <c r="J39" s="64">
        <f t="shared" si="5"/>
        <v>0.64531175630652071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44</v>
      </c>
      <c r="E40" s="74">
        <f t="shared" si="6"/>
        <v>6</v>
      </c>
      <c r="F40" s="60">
        <f t="shared" si="4"/>
        <v>34.04</v>
      </c>
      <c r="G40" s="61">
        <f>IF(D40=D39,"",_xlfn.IFNA(VLOOKUP(D40,'인원 입력 기능(사과탐)'!$A$64:$D$116,4,FALSE),0))</f>
        <v>300</v>
      </c>
      <c r="H40" s="62">
        <f t="shared" si="1"/>
        <v>2.8557829604950024E-2</v>
      </c>
      <c r="I40" s="72">
        <f>SUM($G$7:G40)</f>
        <v>7079</v>
      </c>
      <c r="J40" s="64">
        <f t="shared" si="5"/>
        <v>0.67386958591147073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43</v>
      </c>
      <c r="E41" s="74">
        <f t="shared" si="6"/>
        <v>6</v>
      </c>
      <c r="F41" s="60">
        <f t="shared" si="4"/>
        <v>31.07</v>
      </c>
      <c r="G41" s="61">
        <f>IF(D41=D40,"",_xlfn.IFNA(VLOOKUP(D41,'인원 입력 기능(사과탐)'!$A$64:$D$116,4,FALSE),0))</f>
        <v>324</v>
      </c>
      <c r="H41" s="62">
        <f t="shared" si="1"/>
        <v>3.0842455973346027E-2</v>
      </c>
      <c r="I41" s="72">
        <f>SUM($G$7:G41)</f>
        <v>7403</v>
      </c>
      <c r="J41" s="64">
        <f t="shared" si="5"/>
        <v>0.70471204188481673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42</v>
      </c>
      <c r="E42" s="74">
        <f t="shared" si="6"/>
        <v>6</v>
      </c>
      <c r="F42" s="60">
        <f t="shared" si="4"/>
        <v>27.85</v>
      </c>
      <c r="G42" s="61">
        <f>IF(D42=D41,"",_xlfn.IFNA(VLOOKUP(D42,'인원 입력 기능(사과탐)'!$A$64:$D$116,4,FALSE),0))</f>
        <v>353</v>
      </c>
      <c r="H42" s="62">
        <f t="shared" si="1"/>
        <v>3.3603046168491198E-2</v>
      </c>
      <c r="I42" s="72">
        <f>SUM($G$7:G42)</f>
        <v>7756</v>
      </c>
      <c r="J42" s="64">
        <f t="shared" si="5"/>
        <v>0.73831508805330792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03">
        <f t="shared" si="3"/>
        <v>41</v>
      </c>
      <c r="E43" s="203">
        <f t="shared" si="6"/>
        <v>6</v>
      </c>
      <c r="F43" s="205">
        <f t="shared" si="4"/>
        <v>22.41</v>
      </c>
      <c r="G43" s="207">
        <f>IF(D43=D42,"",_xlfn.IFNA(VLOOKUP(D43,'인원 입력 기능(사과탐)'!$A$64:$D$116,4,FALSE),0))</f>
        <v>789</v>
      </c>
      <c r="H43" s="208">
        <f t="shared" si="1"/>
        <v>7.5107091861018563E-2</v>
      </c>
      <c r="I43" s="214">
        <f>SUM($G$7:G43)</f>
        <v>8545</v>
      </c>
      <c r="J43" s="212">
        <f t="shared" si="5"/>
        <v>0.81342217991432653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02"/>
      <c r="E44" s="202"/>
      <c r="F44" s="204"/>
      <c r="G44" s="206"/>
      <c r="H44" s="209"/>
      <c r="I44" s="215"/>
      <c r="J44" s="213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40</v>
      </c>
      <c r="E45" s="74">
        <f t="shared" si="6"/>
        <v>7</v>
      </c>
      <c r="F45" s="60">
        <f t="shared" si="4"/>
        <v>17.34</v>
      </c>
      <c r="G45" s="61">
        <f>IF(D45=D44,"",_xlfn.IFNA(VLOOKUP(D45,'인원 입력 기능(사과탐)'!$A$64:$D$116,4,FALSE),0))</f>
        <v>276</v>
      </c>
      <c r="H45" s="62">
        <f t="shared" si="1"/>
        <v>2.6273203236554021E-2</v>
      </c>
      <c r="I45" s="72">
        <f>SUM($G$7:G45)</f>
        <v>8821</v>
      </c>
      <c r="J45" s="64">
        <f t="shared" si="5"/>
        <v>0.83969538315088055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39</v>
      </c>
      <c r="E46" s="74">
        <f t="shared" si="6"/>
        <v>7</v>
      </c>
      <c r="F46" s="60">
        <f t="shared" si="4"/>
        <v>13.5</v>
      </c>
      <c r="G46" s="61">
        <f>IF(D46=D45,"",_xlfn.IFNA(VLOOKUP(D46,'인원 입력 기능(사과탐)'!$A$64:$D$116,4,FALSE),0))</f>
        <v>531</v>
      </c>
      <c r="H46" s="62">
        <f t="shared" si="1"/>
        <v>5.0547358400761543E-2</v>
      </c>
      <c r="I46" s="72">
        <f>SUM($G$7:G46)</f>
        <v>9352</v>
      </c>
      <c r="J46" s="64">
        <f t="shared" si="5"/>
        <v>0.89024274155164207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38</v>
      </c>
      <c r="E47" s="74">
        <f t="shared" si="6"/>
        <v>8</v>
      </c>
      <c r="F47" s="60">
        <f t="shared" si="4"/>
        <v>9.67</v>
      </c>
      <c r="G47" s="61">
        <f>IF(D47=D46,"",_xlfn.IFNA(VLOOKUP(D47,'인원 입력 기능(사과탐)'!$A$64:$D$116,4,FALSE),0))</f>
        <v>275</v>
      </c>
      <c r="H47" s="62">
        <f t="shared" si="1"/>
        <v>2.6178010471204188E-2</v>
      </c>
      <c r="I47" s="72">
        <f>SUM($G$7:G47)</f>
        <v>9627</v>
      </c>
      <c r="J47" s="64">
        <f t="shared" si="5"/>
        <v>0.91642075202284623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37</v>
      </c>
      <c r="E48" s="74">
        <f t="shared" si="6"/>
        <v>8</v>
      </c>
      <c r="F48" s="60">
        <f t="shared" si="4"/>
        <v>7.54</v>
      </c>
      <c r="G48" s="61">
        <f>IF(D48=D47,"",_xlfn.IFNA(VLOOKUP(D48,'인원 입력 기능(사과탐)'!$A$64:$D$116,4,FALSE),0))</f>
        <v>171</v>
      </c>
      <c r="H48" s="62">
        <f t="shared" si="1"/>
        <v>1.6277962874821514E-2</v>
      </c>
      <c r="I48" s="72">
        <f>SUM($G$7:G48)</f>
        <v>9798</v>
      </c>
      <c r="J48" s="64">
        <f t="shared" si="5"/>
        <v>0.93269871489766776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03">
        <f t="shared" si="3"/>
        <v>36</v>
      </c>
      <c r="E49" s="203">
        <f t="shared" si="6"/>
        <v>8</v>
      </c>
      <c r="F49" s="205">
        <f t="shared" si="4"/>
        <v>4.75</v>
      </c>
      <c r="G49" s="207">
        <f>IF(D49=D48,"",_xlfn.IFNA(VLOOKUP(D49,'인원 입력 기능(사과탐)'!$A$64:$D$116,4,FALSE),0))</f>
        <v>416</v>
      </c>
      <c r="H49" s="208">
        <f t="shared" si="1"/>
        <v>3.9600190385530698E-2</v>
      </c>
      <c r="I49" s="214">
        <f>SUM($G$7:G49)</f>
        <v>10214</v>
      </c>
      <c r="J49" s="212">
        <f t="shared" si="5"/>
        <v>0.97229890528319851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202"/>
      <c r="E50" s="202"/>
      <c r="F50" s="204"/>
      <c r="G50" s="206"/>
      <c r="H50" s="209"/>
      <c r="I50" s="215"/>
      <c r="J50" s="213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2.42</v>
      </c>
      <c r="G51" s="61">
        <f>IF(D51=D50,"",_xlfn.IFNA(VLOOKUP(D51,'인원 입력 기능(사과탐)'!$A$64:$D$116,4,FALSE),0))</f>
        <v>74</v>
      </c>
      <c r="H51" s="62">
        <f t="shared" si="1"/>
        <v>7.0442646358876721E-3</v>
      </c>
      <c r="I51" s="72">
        <f>SUM($G$7:G51)</f>
        <v>10288</v>
      </c>
      <c r="J51" s="64">
        <f t="shared" si="5"/>
        <v>0.9793431699190861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1.6</v>
      </c>
      <c r="G52" s="61">
        <f>IF(D52=D51,"",_xlfn.IFNA(VLOOKUP(D52,'인원 입력 기능(사과탐)'!$A$64:$D$116,4,FALSE),0))</f>
        <v>97</v>
      </c>
      <c r="H52" s="62">
        <f t="shared" si="1"/>
        <v>9.2336982389338417E-3</v>
      </c>
      <c r="I52" s="72">
        <f>SUM($G$7:G52)</f>
        <v>10385</v>
      </c>
      <c r="J52" s="64">
        <f t="shared" si="5"/>
        <v>0.98857686815802004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0.93</v>
      </c>
      <c r="G53" s="61">
        <f>IF(D53=D52,"",_xlfn.IFNA(VLOOKUP(D53,'인원 입력 기능(사과탐)'!$A$64:$D$116,4,FALSE),0))</f>
        <v>45</v>
      </c>
      <c r="H53" s="62">
        <f t="shared" si="1"/>
        <v>4.2836744407425036E-3</v>
      </c>
      <c r="I53" s="72">
        <f>SUM($G$7:G53)</f>
        <v>10430</v>
      </c>
      <c r="J53" s="64">
        <f t="shared" si="5"/>
        <v>0.99286054259876244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0.59</v>
      </c>
      <c r="G54" s="61">
        <f>IF(D54=D53,"",_xlfn.IFNA(VLOOKUP(D54,'인원 입력 기능(사과탐)'!$A$64:$D$116,4,FALSE),0))</f>
        <v>25</v>
      </c>
      <c r="H54" s="62">
        <f t="shared" si="1"/>
        <v>2.3798191337458352E-3</v>
      </c>
      <c r="I54" s="72">
        <f>SUM($G$7:G54)</f>
        <v>10455</v>
      </c>
      <c r="J54" s="64">
        <f t="shared" si="5"/>
        <v>0.99524036173250829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0.33</v>
      </c>
      <c r="G55" s="61">
        <f>IF(D55=D54,"",_xlfn.IFNA(VLOOKUP(D55,'인원 입력 기능(사과탐)'!$A$64:$D$116,4,FALSE),0))</f>
        <v>31</v>
      </c>
      <c r="H55" s="62">
        <f t="shared" si="1"/>
        <v>2.9509757258448358E-3</v>
      </c>
      <c r="I55" s="72">
        <f>SUM($G$7:G55)</f>
        <v>10486</v>
      </c>
      <c r="J55" s="64">
        <f t="shared" si="5"/>
        <v>0.9981913374583532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30</v>
      </c>
      <c r="E57" s="112">
        <f t="shared" si="6"/>
        <v>9</v>
      </c>
      <c r="F57" s="79">
        <f>IF(I55=0,ROUND(100*(1-(I54+I57)/2/$J$3),2),ROUND(100*(1-(I55+I57)/2/$J$3),2))</f>
        <v>0.09</v>
      </c>
      <c r="G57" s="113">
        <f>_xlfn.IFNA(VLOOKUP(D57,'인원 입력 기능(사과탐)'!$A$64:$D$116,4,FALSE),0)</f>
        <v>19</v>
      </c>
      <c r="H57" s="81">
        <f>G57/$J$3</f>
        <v>1.8086625416468347E-3</v>
      </c>
      <c r="I57" s="82">
        <f>SUM($G$7:G57)</f>
        <v>10505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2">
    <mergeCell ref="I43:I44"/>
    <mergeCell ref="J43:J44"/>
    <mergeCell ref="D49:D50"/>
    <mergeCell ref="E49:E50"/>
    <mergeCell ref="F49:F50"/>
    <mergeCell ref="G49:G50"/>
    <mergeCell ref="H49:H50"/>
    <mergeCell ref="I49:I50"/>
    <mergeCell ref="J49:J50"/>
    <mergeCell ref="D43:D44"/>
    <mergeCell ref="E43:E44"/>
    <mergeCell ref="F43:F44"/>
    <mergeCell ref="G43:G44"/>
    <mergeCell ref="H43:H44"/>
    <mergeCell ref="I31:I32"/>
    <mergeCell ref="J31:J32"/>
    <mergeCell ref="D37:D38"/>
    <mergeCell ref="E37:E38"/>
    <mergeCell ref="F37:F38"/>
    <mergeCell ref="G37:G38"/>
    <mergeCell ref="H37:H38"/>
    <mergeCell ref="I37:I38"/>
    <mergeCell ref="J37:J38"/>
    <mergeCell ref="D31:D32"/>
    <mergeCell ref="E31:E32"/>
    <mergeCell ref="F31:F32"/>
    <mergeCell ref="G31:G32"/>
    <mergeCell ref="H31:H32"/>
    <mergeCell ref="I19:I20"/>
    <mergeCell ref="J19:J20"/>
    <mergeCell ref="D25:D26"/>
    <mergeCell ref="E25:E26"/>
    <mergeCell ref="F25:F26"/>
    <mergeCell ref="G25:G26"/>
    <mergeCell ref="H25:H26"/>
    <mergeCell ref="I25:I26"/>
    <mergeCell ref="J25:J26"/>
    <mergeCell ref="D19:D20"/>
    <mergeCell ref="E19:E20"/>
    <mergeCell ref="F19:F20"/>
    <mergeCell ref="G19:G20"/>
    <mergeCell ref="H19:H20"/>
    <mergeCell ref="D3:F3"/>
    <mergeCell ref="D4:F4"/>
    <mergeCell ref="I4:J5"/>
    <mergeCell ref="D14:D15"/>
    <mergeCell ref="E14:E15"/>
    <mergeCell ref="F14:F15"/>
    <mergeCell ref="G14:G15"/>
    <mergeCell ref="H14:H15"/>
    <mergeCell ref="I14:I15"/>
    <mergeCell ref="J14:J15"/>
  </mergeCells>
  <phoneticPr fontId="1" type="noConversion"/>
  <conditionalFormatting sqref="D7:G14 I7:J14 D16:G19 I16:J19 D21:G25 I21:J25 D27:G31 I27:J31 D33:G37 I33:J37 D39:G43 I39:J43 D45:G49 I45:J49 D51:G57 I51:J57">
    <cfRule type="expression" dxfId="35" priority="4">
      <formula>OR($D7=$Q$7:$Q$14)</formula>
    </cfRule>
  </conditionalFormatting>
  <conditionalFormatting sqref="C7:C57">
    <cfRule type="expression" dxfId="34" priority="3">
      <formula>OR(AND($D7=0,OR($D6=$Q$7:$Q$14)),AND($D8&gt;0,OR($D7=$Q$7:$Q$14)))</formula>
    </cfRule>
  </conditionalFormatting>
  <conditionalFormatting sqref="D7:D14 D16:D19 D21:D25 D27:D31 D33:D37 D39:D43 D45:D49 D51:D57">
    <cfRule type="expression" dxfId="33" priority="2">
      <formula>$D7=$D8</formula>
    </cfRule>
  </conditionalFormatting>
  <conditionalFormatting sqref="H7:H14 H16:H19 H21:H25 H27:H31 H33:H37 H39:H43 H45:H49 H51:H57">
    <cfRule type="expression" dxfId="3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기능'!D13</f>
        <v>21.73</v>
      </c>
      <c r="I3" s="21" t="s">
        <v>70</v>
      </c>
      <c r="J3" s="50">
        <f>'통계 및 응시자 수 입력 기능'!C13</f>
        <v>16415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99</v>
      </c>
      <c r="E4" s="185"/>
      <c r="F4" s="186"/>
      <c r="G4" s="52" t="s">
        <v>73</v>
      </c>
      <c r="H4" s="53" t="str">
        <f>'통계 및 응시자 수 입력 기능'!E13</f>
        <v>12.01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74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98.75</v>
      </c>
      <c r="G7" s="61">
        <f>_xlfn.IFNA(VLOOKUP(D7,'인원 입력 기능(사과탐)'!$F$64:$I$116,4,FALSE),0)</f>
        <v>409</v>
      </c>
      <c r="H7" s="62">
        <f>G7/$J$3</f>
        <v>2.491623515077673E-2</v>
      </c>
      <c r="I7" s="63">
        <f>G7</f>
        <v>409</v>
      </c>
      <c r="J7" s="64">
        <f>I7/$J$3</f>
        <v>2.491623515077673E-2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기능'!C85</f>
        <v>71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기능'!C86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72</v>
      </c>
      <c r="E9" s="59">
        <f t="shared" si="0"/>
        <v>1</v>
      </c>
      <c r="F9" s="60">
        <f>IF(I8=0,ROUND(100*(1-(I7+I9)/2/$J$3),2),ROUND(100*(1-(I8+I9)/2/$J$3),2))</f>
        <v>96.86</v>
      </c>
      <c r="G9" s="61">
        <f>_xlfn.IFNA(VLOOKUP(D9,'인원 입력 기능(사과탐)'!$F$64:$I$116,4,FALSE),0)</f>
        <v>213</v>
      </c>
      <c r="H9" s="62">
        <f t="shared" ref="H9:H55" si="1">G9/$J$3</f>
        <v>1.2975936643314041E-2</v>
      </c>
      <c r="I9" s="72">
        <f>SUM($G$7:G9)</f>
        <v>622</v>
      </c>
      <c r="J9" s="64">
        <f>I9/$J$3</f>
        <v>3.7892171794090768E-2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기능'!C87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71</v>
      </c>
      <c r="E10" s="59">
        <f t="shared" si="0"/>
        <v>1</v>
      </c>
      <c r="F10" s="60">
        <f t="shared" ref="F10:F55" si="4">IF(I9=0,ROUND(100*(1-(I8+I10)/2/$J$3),2),ROUND(100*(1-(I9+I10)/2/$J$3),2))</f>
        <v>95.68</v>
      </c>
      <c r="G10" s="61">
        <f>IF(D10=D9,"",_xlfn.IFNA(VLOOKUP(D10,'인원 입력 기능(사과탐)'!$F$64:$I$116,4,FALSE),0))</f>
        <v>175</v>
      </c>
      <c r="H10" s="62">
        <f t="shared" si="1"/>
        <v>1.0660980810234541E-2</v>
      </c>
      <c r="I10" s="72">
        <f>SUM($G$7:G10)</f>
        <v>797</v>
      </c>
      <c r="J10" s="64">
        <f t="shared" ref="J10:J55" si="5">I10/$J$3</f>
        <v>4.8553152604325314E-2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기능'!C88</f>
        <v>50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70</v>
      </c>
      <c r="E11" s="59">
        <f t="shared" si="0"/>
        <v>2</v>
      </c>
      <c r="F11" s="60">
        <f t="shared" si="4"/>
        <v>94.77</v>
      </c>
      <c r="G11" s="61">
        <f>IF(D11=D10,"",_xlfn.IFNA(VLOOKUP(D11,'인원 입력 기능(사과탐)'!$F$64:$I$116,4,FALSE),0))</f>
        <v>124</v>
      </c>
      <c r="H11" s="62">
        <f t="shared" si="1"/>
        <v>7.5540664026804748E-3</v>
      </c>
      <c r="I11" s="72">
        <f>SUM($G$7:G11)</f>
        <v>921</v>
      </c>
      <c r="J11" s="64">
        <f t="shared" si="5"/>
        <v>5.6107219007005785E-2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기능'!C89</f>
        <v>44</v>
      </c>
    </row>
    <row r="12" spans="1:17" s="22" customFormat="1" ht="25" customHeight="1" x14ac:dyDescent="0.45">
      <c r="A12" s="20"/>
      <c r="B12" s="35"/>
      <c r="C12" s="65">
        <v>45</v>
      </c>
      <c r="D12" s="201">
        <f t="shared" si="3"/>
        <v>69</v>
      </c>
      <c r="E12" s="201">
        <f t="shared" si="0"/>
        <v>2</v>
      </c>
      <c r="F12" s="205">
        <f t="shared" si="4"/>
        <v>93.33</v>
      </c>
      <c r="G12" s="207">
        <f>IF(D12=D11,"",_xlfn.IFNA(VLOOKUP(D12,'인원 입력 기능(사과탐)'!$F$64:$I$116,4,FALSE),0))</f>
        <v>347</v>
      </c>
      <c r="H12" s="208">
        <f t="shared" si="1"/>
        <v>2.1139201949436491E-2</v>
      </c>
      <c r="I12" s="214">
        <f>SUM($G$7:G12)</f>
        <v>1268</v>
      </c>
      <c r="J12" s="212">
        <f t="shared" si="5"/>
        <v>7.7246420956442283E-2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기능'!C90</f>
        <v>42</v>
      </c>
    </row>
    <row r="13" spans="1:17" s="22" customFormat="1" ht="25" customHeight="1" x14ac:dyDescent="0.45">
      <c r="A13" s="20"/>
      <c r="B13" s="35"/>
      <c r="C13" s="58">
        <v>44</v>
      </c>
      <c r="D13" s="200"/>
      <c r="E13" s="200"/>
      <c r="F13" s="204"/>
      <c r="G13" s="206"/>
      <c r="H13" s="209"/>
      <c r="I13" s="215"/>
      <c r="J13" s="213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기능'!C91</f>
        <v>40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68</v>
      </c>
      <c r="E14" s="59">
        <f t="shared" si="0"/>
        <v>2</v>
      </c>
      <c r="F14" s="60">
        <f t="shared" si="4"/>
        <v>91.66</v>
      </c>
      <c r="G14" s="61">
        <f>IF(D14=D13,"",_xlfn.IFNA(VLOOKUP(D14,'인원 입력 기능(사과탐)'!$F$64:$I$116,4,FALSE),0))</f>
        <v>203</v>
      </c>
      <c r="H14" s="62">
        <f t="shared" si="1"/>
        <v>1.2366737739872069E-2</v>
      </c>
      <c r="I14" s="72">
        <f>SUM($G$7:G14)</f>
        <v>1471</v>
      </c>
      <c r="J14" s="64">
        <f t="shared" si="5"/>
        <v>8.9613158696314352E-2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기능'!C92</f>
        <v>38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67</v>
      </c>
      <c r="E15" s="59">
        <f t="shared" si="0"/>
        <v>2</v>
      </c>
      <c r="F15" s="60">
        <f t="shared" si="4"/>
        <v>90.53</v>
      </c>
      <c r="G15" s="61">
        <f>IF(D15=D14,"",_xlfn.IFNA(VLOOKUP(D15,'인원 입력 기능(사과탐)'!$F$64:$I$116,4,FALSE),0))</f>
        <v>167</v>
      </c>
      <c r="H15" s="62">
        <f t="shared" si="1"/>
        <v>1.0173621687480962E-2</v>
      </c>
      <c r="I15" s="72">
        <f>SUM($G$7:G15)</f>
        <v>1638</v>
      </c>
      <c r="J15" s="64">
        <f t="shared" si="5"/>
        <v>9.9786780383795307E-2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66</v>
      </c>
      <c r="E16" s="59">
        <f t="shared" si="0"/>
        <v>2</v>
      </c>
      <c r="F16" s="60">
        <f t="shared" si="4"/>
        <v>89.54</v>
      </c>
      <c r="G16" s="61">
        <f>IF(D16=D15,"",_xlfn.IFNA(VLOOKUP(D16,'인원 입력 기능(사과탐)'!$F$64:$I$116,4,FALSE),0))</f>
        <v>158</v>
      </c>
      <c r="H16" s="62">
        <f t="shared" si="1"/>
        <v>9.6253426743831867E-3</v>
      </c>
      <c r="I16" s="72">
        <f>SUM($G$7:G16)</f>
        <v>1796</v>
      </c>
      <c r="J16" s="64">
        <f t="shared" si="5"/>
        <v>0.10941212305817849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65</v>
      </c>
      <c r="E17" s="59">
        <f t="shared" si="0"/>
        <v>2</v>
      </c>
      <c r="F17" s="60">
        <f t="shared" si="4"/>
        <v>88.45</v>
      </c>
      <c r="G17" s="61">
        <f>IF(D17=D16,"",_xlfn.IFNA(VLOOKUP(D17,'인원 입력 기능(사과탐)'!$F$64:$I$116,4,FALSE),0))</f>
        <v>199</v>
      </c>
      <c r="H17" s="62">
        <f t="shared" si="1"/>
        <v>1.2123058178495278E-2</v>
      </c>
      <c r="I17" s="72">
        <f>SUM($G$7:G17)</f>
        <v>1995</v>
      </c>
      <c r="J17" s="64">
        <f t="shared" si="5"/>
        <v>0.12153518123667377</v>
      </c>
      <c r="K17" s="36"/>
      <c r="L17" s="20" t="str">
        <f t="shared" si="2"/>
        <v/>
      </c>
      <c r="N17" s="24"/>
      <c r="Q17" s="24">
        <f>Q7*H3*H4*J3*IFERROR(IF(J57=1, 1, 0), 0)</f>
        <v>304159908.94449997</v>
      </c>
    </row>
    <row r="18" spans="1:17" s="22" customFormat="1" ht="25" customHeight="1" x14ac:dyDescent="0.45">
      <c r="A18" s="20"/>
      <c r="B18" s="35"/>
      <c r="C18" s="65">
        <v>39</v>
      </c>
      <c r="D18" s="201">
        <f t="shared" si="3"/>
        <v>64</v>
      </c>
      <c r="E18" s="201">
        <f t="shared" si="0"/>
        <v>3</v>
      </c>
      <c r="F18" s="205">
        <f t="shared" si="4"/>
        <v>86.79</v>
      </c>
      <c r="G18" s="207">
        <f>IF(D18=D17,"",_xlfn.IFNA(VLOOKUP(D18,'인원 입력 기능(사과탐)'!$F$64:$I$116,4,FALSE),0))</f>
        <v>348</v>
      </c>
      <c r="H18" s="208">
        <f t="shared" si="1"/>
        <v>2.1200121839780688E-2</v>
      </c>
      <c r="I18" s="214">
        <f>SUM($G$7:G18)</f>
        <v>2343</v>
      </c>
      <c r="J18" s="212">
        <f t="shared" si="5"/>
        <v>0.14273530307645446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200"/>
      <c r="E19" s="200"/>
      <c r="F19" s="204"/>
      <c r="G19" s="206"/>
      <c r="H19" s="209"/>
      <c r="I19" s="215"/>
      <c r="J19" s="213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63</v>
      </c>
      <c r="E20" s="59">
        <f t="shared" si="0"/>
        <v>3</v>
      </c>
      <c r="F20" s="60">
        <f t="shared" si="4"/>
        <v>85.14</v>
      </c>
      <c r="G20" s="61">
        <f>IF(D20=D19,"",_xlfn.IFNA(VLOOKUP(D20,'인원 입력 기능(사과탐)'!$F$64:$I$116,4,FALSE),0))</f>
        <v>192</v>
      </c>
      <c r="H20" s="62">
        <f t="shared" si="1"/>
        <v>1.1696618946085898E-2</v>
      </c>
      <c r="I20" s="72">
        <f>SUM($G$7:G20)</f>
        <v>2535</v>
      </c>
      <c r="J20" s="64">
        <f t="shared" si="5"/>
        <v>0.15443192202254036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62</v>
      </c>
      <c r="E21" s="74">
        <f t="shared" si="0"/>
        <v>3</v>
      </c>
      <c r="F21" s="60">
        <f t="shared" si="4"/>
        <v>83.98</v>
      </c>
      <c r="G21" s="61">
        <f>IF(D21=D20,"",_xlfn.IFNA(VLOOKUP(D21,'인원 입력 기능(사과탐)'!$F$64:$I$116,4,FALSE),0))</f>
        <v>189</v>
      </c>
      <c r="H21" s="62">
        <f t="shared" si="1"/>
        <v>1.1513859275053304E-2</v>
      </c>
      <c r="I21" s="72">
        <f>SUM($G$7:G21)</f>
        <v>2724</v>
      </c>
      <c r="J21" s="64">
        <f t="shared" si="5"/>
        <v>0.16594578129759366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61</v>
      </c>
      <c r="E22" s="74">
        <f t="shared" si="0"/>
        <v>3</v>
      </c>
      <c r="F22" s="60">
        <f t="shared" si="4"/>
        <v>82.72</v>
      </c>
      <c r="G22" s="61">
        <f>IF(D22=D21,"",_xlfn.IFNA(VLOOKUP(D22,'인원 입력 기능(사과탐)'!$F$64:$I$116,4,FALSE),0))</f>
        <v>226</v>
      </c>
      <c r="H22" s="62">
        <f t="shared" si="1"/>
        <v>1.3767895217788609E-2</v>
      </c>
      <c r="I22" s="72">
        <f>SUM($G$7:G22)</f>
        <v>2950</v>
      </c>
      <c r="J22" s="64">
        <f t="shared" si="5"/>
        <v>0.17971367651538228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60</v>
      </c>
      <c r="E23" s="74">
        <f t="shared" si="0"/>
        <v>3</v>
      </c>
      <c r="F23" s="60">
        <f t="shared" si="4"/>
        <v>81.53</v>
      </c>
      <c r="G23" s="61">
        <f>IF(D23=D22,"",_xlfn.IFNA(VLOOKUP(D23,'인원 입력 기능(사과탐)'!$F$64:$I$116,4,FALSE),0))</f>
        <v>163</v>
      </c>
      <c r="H23" s="62">
        <f t="shared" si="1"/>
        <v>9.9299421261041729E-3</v>
      </c>
      <c r="I23" s="72">
        <f>SUM($G$7:G23)</f>
        <v>3113</v>
      </c>
      <c r="J23" s="64">
        <f t="shared" si="5"/>
        <v>0.18964361864148643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203">
        <f t="shared" si="3"/>
        <v>59</v>
      </c>
      <c r="E24" s="203">
        <f t="shared" si="0"/>
        <v>3</v>
      </c>
      <c r="F24" s="205">
        <f t="shared" si="4"/>
        <v>79.66</v>
      </c>
      <c r="G24" s="207">
        <f>IF(D24=D23,"",_xlfn.IFNA(VLOOKUP(D24,'인원 입력 기능(사과탐)'!$F$64:$I$116,4,FALSE),0))</f>
        <v>453</v>
      </c>
      <c r="H24" s="208">
        <f t="shared" si="1"/>
        <v>2.7596710325921415E-2</v>
      </c>
      <c r="I24" s="214">
        <f>SUM($G$7:G24)</f>
        <v>3566</v>
      </c>
      <c r="J24" s="212">
        <f t="shared" si="5"/>
        <v>0.21724032896740786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02"/>
      <c r="E25" s="202"/>
      <c r="F25" s="204"/>
      <c r="G25" s="206"/>
      <c r="H25" s="209"/>
      <c r="I25" s="215"/>
      <c r="J25" s="213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58</v>
      </c>
      <c r="E26" s="74">
        <f t="shared" si="0"/>
        <v>3</v>
      </c>
      <c r="F26" s="60">
        <f t="shared" si="4"/>
        <v>77.540000000000006</v>
      </c>
      <c r="G26" s="61">
        <f>IF(D26=D25,"",_xlfn.IFNA(VLOOKUP(D26,'인원 입력 기능(사과탐)'!$F$64:$I$116,4,FALSE),0))</f>
        <v>242</v>
      </c>
      <c r="H26" s="62">
        <f t="shared" si="1"/>
        <v>1.4742613463295766E-2</v>
      </c>
      <c r="I26" s="72">
        <f>SUM($G$7:G26)</f>
        <v>3808</v>
      </c>
      <c r="J26" s="64">
        <f t="shared" si="5"/>
        <v>0.23198294243070364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57</v>
      </c>
      <c r="E27" s="74">
        <f t="shared" si="0"/>
        <v>4</v>
      </c>
      <c r="F27" s="60">
        <f t="shared" si="4"/>
        <v>76.02</v>
      </c>
      <c r="G27" s="61">
        <f>IF(D27=D26,"",_xlfn.IFNA(VLOOKUP(D27,'인원 입력 기능(사과탐)'!$F$64:$I$116,4,FALSE),0))</f>
        <v>257</v>
      </c>
      <c r="H27" s="62">
        <f t="shared" si="1"/>
        <v>1.5656411818458726E-2</v>
      </c>
      <c r="I27" s="72">
        <f>SUM($G$7:G27)</f>
        <v>4065</v>
      </c>
      <c r="J27" s="64">
        <f t="shared" si="5"/>
        <v>0.24763935424916236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56</v>
      </c>
      <c r="E28" s="74">
        <f t="shared" si="0"/>
        <v>4</v>
      </c>
      <c r="F28" s="60">
        <f t="shared" si="4"/>
        <v>74.400000000000006</v>
      </c>
      <c r="G28" s="61">
        <f>IF(D28=D27,"",_xlfn.IFNA(VLOOKUP(D28,'인원 입력 기능(사과탐)'!$F$64:$I$116,4,FALSE),0))</f>
        <v>275</v>
      </c>
      <c r="H28" s="62">
        <f t="shared" si="1"/>
        <v>1.675296984465428E-2</v>
      </c>
      <c r="I28" s="72">
        <f>SUM($G$7:G28)</f>
        <v>4340</v>
      </c>
      <c r="J28" s="64">
        <f t="shared" si="5"/>
        <v>0.26439232409381663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55</v>
      </c>
      <c r="E29" s="74">
        <f t="shared" si="0"/>
        <v>4</v>
      </c>
      <c r="F29" s="60">
        <f t="shared" si="4"/>
        <v>72.73</v>
      </c>
      <c r="G29" s="61">
        <f>IF(D29=D28,"",_xlfn.IFNA(VLOOKUP(D29,'인원 입력 기능(사과탐)'!$F$64:$I$116,4,FALSE),0))</f>
        <v>273</v>
      </c>
      <c r="H29" s="62">
        <f t="shared" si="1"/>
        <v>1.6631130063965886E-2</v>
      </c>
      <c r="I29" s="72">
        <f>SUM($G$7:G29)</f>
        <v>4613</v>
      </c>
      <c r="J29" s="64">
        <f t="shared" si="5"/>
        <v>0.28102345415778252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03">
        <f t="shared" si="3"/>
        <v>54</v>
      </c>
      <c r="E30" s="203">
        <f t="shared" si="0"/>
        <v>4</v>
      </c>
      <c r="F30" s="205">
        <f t="shared" si="4"/>
        <v>70.27</v>
      </c>
      <c r="G30" s="207">
        <f>IF(D30=D29,"",_xlfn.IFNA(VLOOKUP(D30,'인원 입력 기능(사과탐)'!$F$64:$I$116,4,FALSE),0))</f>
        <v>536</v>
      </c>
      <c r="H30" s="208">
        <f t="shared" si="1"/>
        <v>3.2653061224489799E-2</v>
      </c>
      <c r="I30" s="214">
        <f>SUM($G$7:G30)</f>
        <v>5149</v>
      </c>
      <c r="J30" s="212">
        <f t="shared" si="5"/>
        <v>0.31367651538227231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202"/>
      <c r="E31" s="202"/>
      <c r="F31" s="204"/>
      <c r="G31" s="206"/>
      <c r="H31" s="209"/>
      <c r="I31" s="215"/>
      <c r="J31" s="213"/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67.59</v>
      </c>
      <c r="G32" s="61">
        <f>IF(D32=D31,"",_xlfn.IFNA(VLOOKUP(D32,'인원 입력 기능(사과탐)'!$F$64:$I$116,4,FALSE),0))</f>
        <v>342</v>
      </c>
      <c r="H32" s="62">
        <f t="shared" si="1"/>
        <v>2.0834602497715505E-2</v>
      </c>
      <c r="I32" s="72">
        <f>SUM($G$7:G32)</f>
        <v>5491</v>
      </c>
      <c r="J32" s="64">
        <f t="shared" si="5"/>
        <v>0.33451111787998783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65.45</v>
      </c>
      <c r="G33" s="61">
        <f>IF(D33=D32,"",_xlfn.IFNA(VLOOKUP(D33,'인원 입력 기능(사과탐)'!$F$64:$I$116,4,FALSE),0))</f>
        <v>362</v>
      </c>
      <c r="H33" s="62">
        <f t="shared" si="1"/>
        <v>2.2053000304599453E-2</v>
      </c>
      <c r="I33" s="72">
        <f>SUM($G$7:G33)</f>
        <v>5853</v>
      </c>
      <c r="J33" s="64">
        <f t="shared" si="5"/>
        <v>0.35656411818458728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4</v>
      </c>
      <c r="F34" s="60">
        <f t="shared" si="4"/>
        <v>63.14</v>
      </c>
      <c r="G34" s="61">
        <f>IF(D34=D33,"",_xlfn.IFNA(VLOOKUP(D34,'인원 입력 기능(사과탐)'!$F$64:$I$116,4,FALSE),0))</f>
        <v>394</v>
      </c>
      <c r="H34" s="62">
        <f t="shared" si="1"/>
        <v>2.4002436795613768E-2</v>
      </c>
      <c r="I34" s="72">
        <f>SUM($G$7:G34)</f>
        <v>6247</v>
      </c>
      <c r="J34" s="64">
        <f t="shared" si="5"/>
        <v>0.38056655498020103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50</v>
      </c>
      <c r="E35" s="74">
        <f t="shared" si="0"/>
        <v>4</v>
      </c>
      <c r="F35" s="60">
        <f t="shared" si="4"/>
        <v>60.55</v>
      </c>
      <c r="G35" s="61">
        <f>IF(D35=D34,"",_xlfn.IFNA(VLOOKUP(D35,'인원 입력 기능(사과탐)'!$F$64:$I$116,4,FALSE),0))</f>
        <v>459</v>
      </c>
      <c r="H35" s="62">
        <f t="shared" si="1"/>
        <v>2.7962229667986598E-2</v>
      </c>
      <c r="I35" s="72">
        <f>SUM($G$7:G35)</f>
        <v>6706</v>
      </c>
      <c r="J35" s="64">
        <f t="shared" si="5"/>
        <v>0.40852878464818765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03">
        <f t="shared" si="3"/>
        <v>49</v>
      </c>
      <c r="E36" s="203">
        <f t="shared" si="0"/>
        <v>5</v>
      </c>
      <c r="F36" s="205">
        <f t="shared" si="4"/>
        <v>56.43</v>
      </c>
      <c r="G36" s="207">
        <f>IF(D36=D35,"",_xlfn.IFNA(VLOOKUP(D36,'인원 입력 기능(사과탐)'!$F$64:$I$116,4,FALSE),0))</f>
        <v>891</v>
      </c>
      <c r="H36" s="208">
        <f t="shared" si="1"/>
        <v>5.4279622296679868E-2</v>
      </c>
      <c r="I36" s="214">
        <f>SUM($G$7:G36)</f>
        <v>7597</v>
      </c>
      <c r="J36" s="212">
        <f t="shared" si="5"/>
        <v>0.46280840694486752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202"/>
      <c r="E37" s="202"/>
      <c r="F37" s="204"/>
      <c r="G37" s="206"/>
      <c r="H37" s="209"/>
      <c r="I37" s="215"/>
      <c r="J37" s="213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52.13</v>
      </c>
      <c r="G38" s="61">
        <f>IF(D38=D37,"",_xlfn.IFNA(VLOOKUP(D38,'인원 입력 기능(사과탐)'!$F$64:$I$116,4,FALSE),0))</f>
        <v>523</v>
      </c>
      <c r="H38" s="62">
        <f t="shared" si="1"/>
        <v>3.1861102650015231E-2</v>
      </c>
      <c r="I38" s="72">
        <f>SUM($G$7:G38)</f>
        <v>8120</v>
      </c>
      <c r="J38" s="64">
        <f t="shared" si="5"/>
        <v>0.49466950959488271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49</v>
      </c>
      <c r="G39" s="61">
        <f>IF(D39=D38,"",_xlfn.IFNA(VLOOKUP(D39,'인원 입력 기능(사과탐)'!$F$64:$I$116,4,FALSE),0))</f>
        <v>502</v>
      </c>
      <c r="H39" s="62">
        <f t="shared" si="1"/>
        <v>3.0581784952787086E-2</v>
      </c>
      <c r="I39" s="72">
        <f>SUM($G$7:G39)</f>
        <v>8622</v>
      </c>
      <c r="J39" s="64">
        <f t="shared" si="5"/>
        <v>0.52525129454766983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6"/>
        <v>5</v>
      </c>
      <c r="F40" s="60">
        <f t="shared" si="4"/>
        <v>45.68</v>
      </c>
      <c r="G40" s="61">
        <f>IF(D40=D39,"",_xlfn.IFNA(VLOOKUP(D40,'인원 입력 기능(사과탐)'!$F$64:$I$116,4,FALSE),0))</f>
        <v>590</v>
      </c>
      <c r="H40" s="62">
        <f t="shared" si="1"/>
        <v>3.5942735303076456E-2</v>
      </c>
      <c r="I40" s="72">
        <f>SUM($G$7:G40)</f>
        <v>9212</v>
      </c>
      <c r="J40" s="64">
        <f t="shared" si="5"/>
        <v>0.56119402985074629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6"/>
        <v>5</v>
      </c>
      <c r="F41" s="60">
        <f t="shared" si="4"/>
        <v>42.07</v>
      </c>
      <c r="G41" s="61">
        <f>IF(D41=D40,"",_xlfn.IFNA(VLOOKUP(D41,'인원 입력 기능(사과탐)'!$F$64:$I$116,4,FALSE),0))</f>
        <v>593</v>
      </c>
      <c r="H41" s="62">
        <f t="shared" si="1"/>
        <v>3.6125494974109044E-2</v>
      </c>
      <c r="I41" s="72">
        <f>SUM($G$7:G41)</f>
        <v>9805</v>
      </c>
      <c r="J41" s="64">
        <f t="shared" si="5"/>
        <v>0.59731952482485529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03">
        <f t="shared" si="3"/>
        <v>44</v>
      </c>
      <c r="E42" s="203">
        <f t="shared" si="6"/>
        <v>5</v>
      </c>
      <c r="F42" s="205">
        <f t="shared" si="4"/>
        <v>35.99</v>
      </c>
      <c r="G42" s="207">
        <f>IF(D42=D41,"",_xlfn.IFNA(VLOOKUP(D42,'인원 입력 기능(사과탐)'!$F$64:$I$116,4,FALSE),0))</f>
        <v>1403</v>
      </c>
      <c r="H42" s="208">
        <f t="shared" si="1"/>
        <v>8.5470606152908926E-2</v>
      </c>
      <c r="I42" s="214">
        <f>SUM($G$7:G42)</f>
        <v>11208</v>
      </c>
      <c r="J42" s="212">
        <f t="shared" si="5"/>
        <v>0.6827901309777642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02"/>
      <c r="E43" s="202"/>
      <c r="F43" s="204"/>
      <c r="G43" s="206"/>
      <c r="H43" s="209"/>
      <c r="I43" s="215"/>
      <c r="J43" s="213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43</v>
      </c>
      <c r="E44" s="74">
        <f t="shared" si="6"/>
        <v>6</v>
      </c>
      <c r="F44" s="60">
        <f t="shared" si="4"/>
        <v>29.99</v>
      </c>
      <c r="G44" s="61">
        <f>IF(D44=D43,"",_xlfn.IFNA(VLOOKUP(D44,'인원 입력 기능(사과탐)'!$F$64:$I$116,4,FALSE),0))</f>
        <v>568</v>
      </c>
      <c r="H44" s="62">
        <f t="shared" si="1"/>
        <v>3.460249771550411E-2</v>
      </c>
      <c r="I44" s="72">
        <f>SUM($G$7:G44)</f>
        <v>11776</v>
      </c>
      <c r="J44" s="64">
        <f t="shared" si="5"/>
        <v>0.71739262869326836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42</v>
      </c>
      <c r="E45" s="74">
        <f t="shared" si="6"/>
        <v>6</v>
      </c>
      <c r="F45" s="60">
        <f t="shared" si="4"/>
        <v>22.96</v>
      </c>
      <c r="G45" s="61">
        <f>IF(D45=D44,"",_xlfn.IFNA(VLOOKUP(D45,'인원 입력 기능(사과탐)'!$F$64:$I$116,4,FALSE),0))</f>
        <v>1740</v>
      </c>
      <c r="H45" s="62">
        <f t="shared" si="1"/>
        <v>0.10600060919890344</v>
      </c>
      <c r="I45" s="72">
        <f>SUM($G$7:G45)</f>
        <v>13516</v>
      </c>
      <c r="J45" s="64">
        <f t="shared" si="5"/>
        <v>0.82339323789217178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6"/>
        <v>7</v>
      </c>
      <c r="F46" s="60">
        <f t="shared" si="4"/>
        <v>15.83</v>
      </c>
      <c r="G46" s="61">
        <f>IF(D46=D45,"",_xlfn.IFNA(VLOOKUP(D46,'인원 입력 기능(사과탐)'!$F$64:$I$116,4,FALSE),0))</f>
        <v>602</v>
      </c>
      <c r="H46" s="62">
        <f t="shared" si="1"/>
        <v>3.6673773987206823E-2</v>
      </c>
      <c r="I46" s="72">
        <f>SUM($G$7:G46)</f>
        <v>14118</v>
      </c>
      <c r="J46" s="64">
        <f t="shared" si="5"/>
        <v>0.86006701187937862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6"/>
        <v>7</v>
      </c>
      <c r="F47" s="60">
        <f t="shared" si="4"/>
        <v>12.41</v>
      </c>
      <c r="G47" s="61">
        <f>IF(D47=D46,"",_xlfn.IFNA(VLOOKUP(D47,'인원 입력 기능(사과탐)'!$F$64:$I$116,4,FALSE),0))</f>
        <v>519</v>
      </c>
      <c r="H47" s="62">
        <f t="shared" si="1"/>
        <v>3.1617423088638442E-2</v>
      </c>
      <c r="I47" s="72">
        <f>SUM($G$7:G47)</f>
        <v>14637</v>
      </c>
      <c r="J47" s="64">
        <f t="shared" si="5"/>
        <v>0.89168443496801708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03">
        <f t="shared" si="3"/>
        <v>39</v>
      </c>
      <c r="E48" s="203">
        <f t="shared" si="6"/>
        <v>8</v>
      </c>
      <c r="F48" s="205">
        <f t="shared" si="4"/>
        <v>8.2899999999999991</v>
      </c>
      <c r="G48" s="207">
        <f>IF(D48=D47,"",_xlfn.IFNA(VLOOKUP(D48,'인원 입력 기능(사과탐)'!$F$64:$I$116,4,FALSE),0))</f>
        <v>835</v>
      </c>
      <c r="H48" s="208">
        <f t="shared" si="1"/>
        <v>5.0868108437404816E-2</v>
      </c>
      <c r="I48" s="214">
        <f>SUM($G$7:G48)</f>
        <v>15472</v>
      </c>
      <c r="J48" s="212">
        <f t="shared" si="5"/>
        <v>0.94255254340542183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02"/>
      <c r="E49" s="202"/>
      <c r="F49" s="204"/>
      <c r="G49" s="206"/>
      <c r="H49" s="209"/>
      <c r="I49" s="215"/>
      <c r="J49" s="213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38</v>
      </c>
      <c r="E50" s="74">
        <f t="shared" si="6"/>
        <v>8</v>
      </c>
      <c r="F50" s="60">
        <f t="shared" si="4"/>
        <v>4.41</v>
      </c>
      <c r="G50" s="61">
        <f>IF(D50=D49,"",_xlfn.IFNA(VLOOKUP(D50,'인원 입력 기능(사과탐)'!$F$64:$I$116,4,FALSE),0))</f>
        <v>437</v>
      </c>
      <c r="H50" s="62">
        <f t="shared" si="1"/>
        <v>2.6621992080414256E-2</v>
      </c>
      <c r="I50" s="72">
        <f>SUM($G$7:G50)</f>
        <v>15909</v>
      </c>
      <c r="J50" s="64">
        <f t="shared" si="5"/>
        <v>0.9691745354858361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37</v>
      </c>
      <c r="E51" s="74">
        <f t="shared" si="6"/>
        <v>9</v>
      </c>
      <c r="F51" s="60">
        <f t="shared" si="4"/>
        <v>2.62</v>
      </c>
      <c r="G51" s="61">
        <f>IF(D51=D50,"",_xlfn.IFNA(VLOOKUP(D51,'인원 입력 기능(사과탐)'!$F$64:$I$116,4,FALSE),0))</f>
        <v>151</v>
      </c>
      <c r="H51" s="62">
        <f t="shared" si="1"/>
        <v>9.1989034419738044E-3</v>
      </c>
      <c r="I51" s="72">
        <f>SUM($G$7:G51)</f>
        <v>16060</v>
      </c>
      <c r="J51" s="64">
        <f t="shared" si="5"/>
        <v>0.97837343892780992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36</v>
      </c>
      <c r="E52" s="74">
        <f t="shared" si="6"/>
        <v>9</v>
      </c>
      <c r="F52" s="60">
        <f t="shared" si="4"/>
        <v>1.71</v>
      </c>
      <c r="G52" s="61">
        <f>IF(D52=D51,"",_xlfn.IFNA(VLOOKUP(D52,'인원 입력 기능(사과탐)'!$F$64:$I$116,4,FALSE),0))</f>
        <v>150</v>
      </c>
      <c r="H52" s="62">
        <f t="shared" si="1"/>
        <v>9.1379835516296071E-3</v>
      </c>
      <c r="I52" s="72">
        <f>SUM($G$7:G52)</f>
        <v>16210</v>
      </c>
      <c r="J52" s="64">
        <f t="shared" si="5"/>
        <v>0.98751142247943957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35</v>
      </c>
      <c r="E53" s="59">
        <f t="shared" si="6"/>
        <v>9</v>
      </c>
      <c r="F53" s="60">
        <f t="shared" si="4"/>
        <v>0.96</v>
      </c>
      <c r="G53" s="61">
        <f>IF(D53=D52,"",_xlfn.IFNA(VLOOKUP(D53,'인원 입력 기능(사과탐)'!$F$64:$I$116,4,FALSE),0))</f>
        <v>96</v>
      </c>
      <c r="H53" s="62">
        <f t="shared" si="1"/>
        <v>5.8483094730429489E-3</v>
      </c>
      <c r="I53" s="72">
        <f>SUM($G$7:G53)</f>
        <v>16306</v>
      </c>
      <c r="J53" s="64">
        <f t="shared" si="5"/>
        <v>0.99335973195248251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201">
        <f t="shared" si="3"/>
        <v>34</v>
      </c>
      <c r="E54" s="201">
        <f t="shared" si="6"/>
        <v>9</v>
      </c>
      <c r="F54" s="205">
        <f t="shared" si="4"/>
        <v>0.38</v>
      </c>
      <c r="G54" s="207">
        <f>IF(D54=D53,"",_xlfn.IFNA(VLOOKUP(D54,'인원 입력 기능(사과탐)'!$F$64:$I$116,4,FALSE),0))</f>
        <v>93</v>
      </c>
      <c r="H54" s="208">
        <f t="shared" si="1"/>
        <v>5.6655498020103563E-3</v>
      </c>
      <c r="I54" s="214">
        <f>SUM($G$7:G54)</f>
        <v>16399</v>
      </c>
      <c r="J54" s="212">
        <f t="shared" si="5"/>
        <v>0.99902528175449279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200"/>
      <c r="E55" s="200"/>
      <c r="F55" s="204"/>
      <c r="G55" s="206"/>
      <c r="H55" s="209"/>
      <c r="I55" s="215"/>
      <c r="J55" s="213"/>
      <c r="K55" s="36"/>
      <c r="L55" s="20" t="str">
        <f t="shared" si="2"/>
        <v>경고</v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32</v>
      </c>
      <c r="E57" s="112">
        <f t="shared" si="6"/>
        <v>9</v>
      </c>
      <c r="F57" s="79">
        <f>IF(I55=0,ROUND(100*(1-(I54+I57)/2/$J$3),2),ROUND(100*(1-(I55+I57)/2/$J$3),2))</f>
        <v>0.05</v>
      </c>
      <c r="G57" s="113">
        <f>_xlfn.IFNA(VLOOKUP(D57,'인원 입력 기능(사과탐)'!$F$64:$I$116,4,FALSE),0)</f>
        <v>16</v>
      </c>
      <c r="H57" s="81">
        <f>G57/$J$3</f>
        <v>9.7471824550715807E-4</v>
      </c>
      <c r="I57" s="82">
        <f>SUM($G$7:G57)</f>
        <v>16415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I54:I55"/>
    <mergeCell ref="J54:J55"/>
    <mergeCell ref="D54:D55"/>
    <mergeCell ref="E54:E55"/>
    <mergeCell ref="F54:F55"/>
    <mergeCell ref="G54:G55"/>
    <mergeCell ref="H54:H55"/>
    <mergeCell ref="I42:I43"/>
    <mergeCell ref="J42:J43"/>
    <mergeCell ref="D48:D49"/>
    <mergeCell ref="E48:E49"/>
    <mergeCell ref="F48:F49"/>
    <mergeCell ref="G48:G49"/>
    <mergeCell ref="H48:H49"/>
    <mergeCell ref="I48:I49"/>
    <mergeCell ref="J48:J49"/>
    <mergeCell ref="D42:D43"/>
    <mergeCell ref="E42:E43"/>
    <mergeCell ref="F42:F43"/>
    <mergeCell ref="G42:G43"/>
    <mergeCell ref="H42:H43"/>
    <mergeCell ref="I30:I31"/>
    <mergeCell ref="J30:J31"/>
    <mergeCell ref="D36:D37"/>
    <mergeCell ref="E36:E37"/>
    <mergeCell ref="F36:F37"/>
    <mergeCell ref="G36:G37"/>
    <mergeCell ref="H36:H37"/>
    <mergeCell ref="I36:I37"/>
    <mergeCell ref="J36:J37"/>
    <mergeCell ref="D30:D31"/>
    <mergeCell ref="E30:E31"/>
    <mergeCell ref="F30:F31"/>
    <mergeCell ref="G30:G31"/>
    <mergeCell ref="H30:H31"/>
    <mergeCell ref="I18:I19"/>
    <mergeCell ref="J18:J19"/>
    <mergeCell ref="D24:D25"/>
    <mergeCell ref="E24:E25"/>
    <mergeCell ref="F24:F25"/>
    <mergeCell ref="G24:G25"/>
    <mergeCell ref="H24:H25"/>
    <mergeCell ref="I24:I25"/>
    <mergeCell ref="J24:J25"/>
    <mergeCell ref="D18:D19"/>
    <mergeCell ref="E18:E19"/>
    <mergeCell ref="F18:F19"/>
    <mergeCell ref="G18:G19"/>
    <mergeCell ref="H18:H19"/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</mergeCells>
  <phoneticPr fontId="1" type="noConversion"/>
  <conditionalFormatting sqref="D7:G12 I7:J12 D14:G18 I14:J18 D20:G24 I20:J24 D26:G30 I26:J30 D32:G36 I32:J36 D38:G42 I38:J42 D44:G48 I44:J48 D50:G54 I50:J54 D56:G57 I56:J57">
    <cfRule type="expression" dxfId="31" priority="4">
      <formula>OR($D7=$Q$7:$Q$14)</formula>
    </cfRule>
  </conditionalFormatting>
  <conditionalFormatting sqref="C7:C57">
    <cfRule type="expression" dxfId="30" priority="3">
      <formula>OR(AND($D7=0,OR($D6=$Q$7:$Q$14)),AND($D8&gt;0,OR($D7=$Q$7:$Q$14)))</formula>
    </cfRule>
  </conditionalFormatting>
  <conditionalFormatting sqref="D7:D12 D14:D18 D20:D24 D26:D30 D32:D36 D38:D42 D44:D48 D50:D54 D56:D57">
    <cfRule type="expression" dxfId="29" priority="2">
      <formula>$D7=$D8</formula>
    </cfRule>
  </conditionalFormatting>
  <conditionalFormatting sqref="H7:H12 H14:H18 H20:H24 H26:H30 H32:H36 H38:H42 H44:H48 H50:H54 H56:H57">
    <cfRule type="expression" dxfId="2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기능'!D14</f>
        <v>25.41</v>
      </c>
      <c r="I3" s="21" t="s">
        <v>70</v>
      </c>
      <c r="J3" s="50">
        <f>'통계 및 응시자 수 입력 기능'!C14</f>
        <v>11721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98</v>
      </c>
      <c r="E4" s="185"/>
      <c r="F4" s="186"/>
      <c r="G4" s="52" t="s">
        <v>73</v>
      </c>
      <c r="H4" s="53" t="str">
        <f>'통계 및 응시자 수 입력 기능'!E14</f>
        <v>12.88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69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98.69</v>
      </c>
      <c r="G7" s="61">
        <f>_xlfn.IFNA(VLOOKUP(D7,'인원 입력 기능(사과탐)'!$K$64:$N$116,4,FALSE),0)</f>
        <v>307</v>
      </c>
      <c r="H7" s="62">
        <f>G7/$J$3</f>
        <v>2.6192304410886443E-2</v>
      </c>
      <c r="I7" s="63">
        <f>G7</f>
        <v>307</v>
      </c>
      <c r="J7" s="64">
        <f>I7/$J$3</f>
        <v>2.6192304410886443E-2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기능'!C94</f>
        <v>68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기능'!C95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68</v>
      </c>
      <c r="E9" s="59">
        <f t="shared" si="0"/>
        <v>1</v>
      </c>
      <c r="F9" s="60">
        <f>IF(I8=0,ROUND(100*(1-(I7+I9)/2/$J$3),2),ROUND(100*(1-(I8+I9)/2/$J$3),2))</f>
        <v>96.25</v>
      </c>
      <c r="G9" s="61">
        <f>_xlfn.IFNA(VLOOKUP(D9,'인원 입력 기능(사과탐)'!$K$64:$N$116,4,FALSE),0)</f>
        <v>265</v>
      </c>
      <c r="H9" s="62">
        <f t="shared" ref="H9:H55" si="1">G9/$J$3</f>
        <v>2.2608992406791231E-2</v>
      </c>
      <c r="I9" s="72">
        <f>SUM($G$7:G9)</f>
        <v>572</v>
      </c>
      <c r="J9" s="64">
        <f>I9/$J$3</f>
        <v>4.880129681767767E-2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기능'!C96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67</v>
      </c>
      <c r="E10" s="59">
        <f t="shared" si="0"/>
        <v>2</v>
      </c>
      <c r="F10" s="60">
        <f t="shared" ref="F10:F55" si="4">IF(I9=0,ROUND(100*(1-(I8+I10)/2/$J$3),2),ROUND(100*(1-(I9+I10)/2/$J$3),2))</f>
        <v>94.44</v>
      </c>
      <c r="G10" s="61">
        <f>IF(D10=D9,"",_xlfn.IFNA(VLOOKUP(D10,'인원 입력 기능(사과탐)'!$K$64:$N$116,4,FALSE),0))</f>
        <v>159</v>
      </c>
      <c r="H10" s="62">
        <f t="shared" si="1"/>
        <v>1.3565395444074738E-2</v>
      </c>
      <c r="I10" s="72">
        <f>SUM($G$7:G10)</f>
        <v>731</v>
      </c>
      <c r="J10" s="64">
        <f t="shared" ref="J10:J55" si="5">I10/$J$3</f>
        <v>6.2366692261752413E-2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기능'!C97</f>
        <v>53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66</v>
      </c>
      <c r="E11" s="59">
        <f t="shared" si="0"/>
        <v>2</v>
      </c>
      <c r="F11" s="60">
        <f t="shared" si="4"/>
        <v>93.24</v>
      </c>
      <c r="G11" s="61">
        <f>IF(D11=D10,"",_xlfn.IFNA(VLOOKUP(D11,'인원 입력 기능(사과탐)'!$K$64:$N$116,4,FALSE),0))</f>
        <v>122</v>
      </c>
      <c r="H11" s="62">
        <f t="shared" si="1"/>
        <v>1.0408668202371811E-2</v>
      </c>
      <c r="I11" s="72">
        <f>SUM($G$7:G11)</f>
        <v>853</v>
      </c>
      <c r="J11" s="64">
        <f t="shared" si="5"/>
        <v>7.2775360464124222E-2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기능'!C98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65</v>
      </c>
      <c r="E12" s="59">
        <f t="shared" si="0"/>
        <v>2</v>
      </c>
      <c r="F12" s="60">
        <f t="shared" si="4"/>
        <v>91.38</v>
      </c>
      <c r="G12" s="61">
        <f>IF(D12=D11,"",_xlfn.IFNA(VLOOKUP(D12,'인원 입력 기능(사과탐)'!$K$64:$N$116,4,FALSE),0))</f>
        <v>314</v>
      </c>
      <c r="H12" s="62">
        <f t="shared" si="1"/>
        <v>2.6789523078235646E-2</v>
      </c>
      <c r="I12" s="72">
        <f>SUM($G$7:G12)</f>
        <v>1167</v>
      </c>
      <c r="J12" s="64">
        <f t="shared" si="5"/>
        <v>9.9564883542359872E-2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기능'!C99</f>
        <v>41</v>
      </c>
    </row>
    <row r="13" spans="1:17" s="22" customFormat="1" ht="25" customHeight="1" x14ac:dyDescent="0.45">
      <c r="A13" s="20"/>
      <c r="B13" s="35"/>
      <c r="C13" s="58">
        <v>44</v>
      </c>
      <c r="D13" s="201">
        <f t="shared" si="3"/>
        <v>64</v>
      </c>
      <c r="E13" s="201">
        <f t="shared" si="0"/>
        <v>2</v>
      </c>
      <c r="F13" s="205">
        <f t="shared" si="4"/>
        <v>88.76</v>
      </c>
      <c r="G13" s="207">
        <f>IF(D13=D12,"",_xlfn.IFNA(VLOOKUP(D13,'인원 입력 기능(사과탐)'!$K$64:$N$116,4,FALSE),0))</f>
        <v>302</v>
      </c>
      <c r="H13" s="208">
        <f t="shared" si="1"/>
        <v>2.5765719648494157E-2</v>
      </c>
      <c r="I13" s="214">
        <f>SUM($G$7:G13)</f>
        <v>1469</v>
      </c>
      <c r="J13" s="212">
        <f t="shared" si="5"/>
        <v>0.12533060319085401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기능'!C100</f>
        <v>38</v>
      </c>
    </row>
    <row r="14" spans="1:17" s="22" customFormat="1" ht="25" customHeight="1" x14ac:dyDescent="0.45">
      <c r="A14" s="20"/>
      <c r="B14" s="35"/>
      <c r="C14" s="65">
        <v>43</v>
      </c>
      <c r="D14" s="200"/>
      <c r="E14" s="200"/>
      <c r="F14" s="204"/>
      <c r="G14" s="206"/>
      <c r="H14" s="209"/>
      <c r="I14" s="215"/>
      <c r="J14" s="213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기능'!C101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63</v>
      </c>
      <c r="E15" s="59">
        <f t="shared" si="0"/>
        <v>3</v>
      </c>
      <c r="F15" s="60">
        <f t="shared" si="4"/>
        <v>86.33</v>
      </c>
      <c r="G15" s="61">
        <f>IF(D15=D14,"",_xlfn.IFNA(VLOOKUP(D15,'인원 입력 기능(사과탐)'!$K$64:$N$116,4,FALSE),0))</f>
        <v>267</v>
      </c>
      <c r="H15" s="62">
        <f t="shared" si="1"/>
        <v>2.2779626311748145E-2</v>
      </c>
      <c r="I15" s="72">
        <f>SUM($G$7:G15)</f>
        <v>1736</v>
      </c>
      <c r="J15" s="64">
        <f t="shared" si="5"/>
        <v>0.14811022950260216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62</v>
      </c>
      <c r="E16" s="59">
        <f t="shared" si="0"/>
        <v>3</v>
      </c>
      <c r="F16" s="60">
        <f t="shared" si="4"/>
        <v>84.69</v>
      </c>
      <c r="G16" s="61">
        <f>IF(D16=D15,"",_xlfn.IFNA(VLOOKUP(D16,'인원 입력 기능(사과탐)'!$K$64:$N$116,4,FALSE),0))</f>
        <v>117</v>
      </c>
      <c r="H16" s="62">
        <f t="shared" si="1"/>
        <v>9.9820834399795243E-3</v>
      </c>
      <c r="I16" s="72">
        <f>SUM($G$7:G16)</f>
        <v>1853</v>
      </c>
      <c r="J16" s="64">
        <f t="shared" si="5"/>
        <v>0.15809231294258169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01">
        <f t="shared" si="3"/>
        <v>61</v>
      </c>
      <c r="E17" s="201">
        <f t="shared" si="0"/>
        <v>3</v>
      </c>
      <c r="F17" s="205">
        <f t="shared" si="4"/>
        <v>82.04</v>
      </c>
      <c r="G17" s="207">
        <f>IF(D17=D16,"",_xlfn.IFNA(VLOOKUP(D17,'인원 입력 기능(사과탐)'!$K$64:$N$116,4,FALSE),0))</f>
        <v>505</v>
      </c>
      <c r="H17" s="208">
        <f t="shared" si="1"/>
        <v>4.3085061001621024E-2</v>
      </c>
      <c r="I17" s="214">
        <f>SUM($G$7:G17)</f>
        <v>2358</v>
      </c>
      <c r="J17" s="212">
        <f t="shared" si="5"/>
        <v>0.20117737394420271</v>
      </c>
      <c r="K17" s="36"/>
      <c r="L17" s="20" t="str">
        <f t="shared" si="2"/>
        <v/>
      </c>
      <c r="N17" s="24"/>
      <c r="Q17" s="24">
        <f>Q7*H3*H4*J3*IFERROR(IF(J57=1, 1, 0), 0)</f>
        <v>260851961.46240002</v>
      </c>
    </row>
    <row r="18" spans="1:17" s="22" customFormat="1" ht="25" customHeight="1" x14ac:dyDescent="0.45">
      <c r="A18" s="20"/>
      <c r="B18" s="35"/>
      <c r="C18" s="65">
        <v>39</v>
      </c>
      <c r="D18" s="200"/>
      <c r="E18" s="200"/>
      <c r="F18" s="204"/>
      <c r="G18" s="206"/>
      <c r="H18" s="209"/>
      <c r="I18" s="215"/>
      <c r="J18" s="213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60</v>
      </c>
      <c r="E19" s="59">
        <f t="shared" si="0"/>
        <v>3</v>
      </c>
      <c r="F19" s="60">
        <f t="shared" si="4"/>
        <v>79.08</v>
      </c>
      <c r="G19" s="61">
        <f>IF(D19=D18,"",_xlfn.IFNA(VLOOKUP(D19,'인원 입력 기능(사과탐)'!$K$64:$N$116,4,FALSE),0))</f>
        <v>189</v>
      </c>
      <c r="H19" s="62">
        <f t="shared" si="1"/>
        <v>1.6124904018428463E-2</v>
      </c>
      <c r="I19" s="72">
        <f>SUM($G$7:G19)</f>
        <v>2547</v>
      </c>
      <c r="J19" s="64">
        <f t="shared" si="5"/>
        <v>0.21730227796263119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59</v>
      </c>
      <c r="E20" s="59">
        <f t="shared" si="0"/>
        <v>3</v>
      </c>
      <c r="F20" s="60">
        <f t="shared" si="4"/>
        <v>77.040000000000006</v>
      </c>
      <c r="G20" s="61">
        <f>IF(D20=D19,"",_xlfn.IFNA(VLOOKUP(D20,'인원 입력 기능(사과탐)'!$K$64:$N$116,4,FALSE),0))</f>
        <v>289</v>
      </c>
      <c r="H20" s="62">
        <f t="shared" si="1"/>
        <v>2.4656599266274209E-2</v>
      </c>
      <c r="I20" s="72">
        <f>SUM($G$7:G20)</f>
        <v>2836</v>
      </c>
      <c r="J20" s="64">
        <f t="shared" si="5"/>
        <v>0.24195887722890538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58</v>
      </c>
      <c r="E21" s="74">
        <f t="shared" si="0"/>
        <v>4</v>
      </c>
      <c r="F21" s="60">
        <f t="shared" si="4"/>
        <v>74.86</v>
      </c>
      <c r="G21" s="61">
        <f>IF(D21=D20,"",_xlfn.IFNA(VLOOKUP(D21,'인원 입력 기능(사과탐)'!$K$64:$N$116,4,FALSE),0))</f>
        <v>222</v>
      </c>
      <c r="H21" s="62">
        <f t="shared" si="1"/>
        <v>1.8940363450217559E-2</v>
      </c>
      <c r="I21" s="72">
        <f>SUM($G$7:G21)</f>
        <v>3058</v>
      </c>
      <c r="J21" s="64">
        <f t="shared" si="5"/>
        <v>0.26089924067912296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03">
        <f t="shared" si="3"/>
        <v>57</v>
      </c>
      <c r="E22" s="203">
        <f t="shared" si="0"/>
        <v>4</v>
      </c>
      <c r="F22" s="205">
        <f t="shared" si="4"/>
        <v>71.599999999999994</v>
      </c>
      <c r="G22" s="207">
        <f>IF(D22=D21,"",_xlfn.IFNA(VLOOKUP(D22,'인원 입력 기능(사과탐)'!$K$64:$N$116,4,FALSE),0))</f>
        <v>542</v>
      </c>
      <c r="H22" s="208">
        <f t="shared" si="1"/>
        <v>4.624178824332395E-2</v>
      </c>
      <c r="I22" s="214">
        <f>SUM($G$7:G22)</f>
        <v>3600</v>
      </c>
      <c r="J22" s="212">
        <f t="shared" si="5"/>
        <v>0.30714102892244688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02"/>
      <c r="E23" s="202"/>
      <c r="F23" s="204"/>
      <c r="G23" s="206"/>
      <c r="H23" s="209"/>
      <c r="I23" s="215"/>
      <c r="J23" s="213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56</v>
      </c>
      <c r="E24" s="74">
        <f t="shared" si="0"/>
        <v>4</v>
      </c>
      <c r="F24" s="60">
        <f t="shared" si="4"/>
        <v>68.47</v>
      </c>
      <c r="G24" s="61">
        <f>IF(D24=D23,"",_xlfn.IFNA(VLOOKUP(D24,'인원 입력 기능(사과탐)'!$K$64:$N$116,4,FALSE),0))</f>
        <v>191</v>
      </c>
      <c r="H24" s="62">
        <f t="shared" si="1"/>
        <v>1.6295537923385377E-2</v>
      </c>
      <c r="I24" s="72">
        <f>SUM($G$7:G24)</f>
        <v>3791</v>
      </c>
      <c r="J24" s="64">
        <f t="shared" si="5"/>
        <v>0.32343656684583227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55</v>
      </c>
      <c r="E25" s="74">
        <f t="shared" si="0"/>
        <v>4</v>
      </c>
      <c r="F25" s="60">
        <f t="shared" si="4"/>
        <v>66.599999999999994</v>
      </c>
      <c r="G25" s="61">
        <f>IF(D25=D24,"",_xlfn.IFNA(VLOOKUP(D25,'인원 입력 기능(사과탐)'!$K$64:$N$116,4,FALSE),0))</f>
        <v>248</v>
      </c>
      <c r="H25" s="62">
        <f t="shared" si="1"/>
        <v>2.1158604214657453E-2</v>
      </c>
      <c r="I25" s="72">
        <f>SUM($G$7:G25)</f>
        <v>4039</v>
      </c>
      <c r="J25" s="64">
        <f t="shared" si="5"/>
        <v>0.3445951710604897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203">
        <f t="shared" si="3"/>
        <v>54</v>
      </c>
      <c r="E26" s="203">
        <f t="shared" si="0"/>
        <v>4</v>
      </c>
      <c r="F26" s="205">
        <f t="shared" si="4"/>
        <v>63.38</v>
      </c>
      <c r="G26" s="207">
        <f>IF(D26=D25,"",_xlfn.IFNA(VLOOKUP(D26,'인원 입력 기능(사과탐)'!$K$64:$N$116,4,FALSE),0))</f>
        <v>507</v>
      </c>
      <c r="H26" s="208">
        <f t="shared" si="1"/>
        <v>4.3255694906577935E-2</v>
      </c>
      <c r="I26" s="214">
        <f>SUM($G$7:G26)</f>
        <v>4546</v>
      </c>
      <c r="J26" s="212">
        <f t="shared" si="5"/>
        <v>0.38785086596706764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202"/>
      <c r="E27" s="202"/>
      <c r="F27" s="204"/>
      <c r="G27" s="206"/>
      <c r="H27" s="209"/>
      <c r="I27" s="215"/>
      <c r="J27" s="213"/>
      <c r="K27" s="36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53</v>
      </c>
      <c r="E28" s="74">
        <f t="shared" si="0"/>
        <v>4</v>
      </c>
      <c r="F28" s="60">
        <f t="shared" si="4"/>
        <v>59.92</v>
      </c>
      <c r="G28" s="61">
        <f>IF(D28=D27,"",_xlfn.IFNA(VLOOKUP(D28,'인원 입력 기능(사과탐)'!$K$64:$N$116,4,FALSE),0))</f>
        <v>303</v>
      </c>
      <c r="H28" s="62">
        <f t="shared" si="1"/>
        <v>2.5851036600972613E-2</v>
      </c>
      <c r="I28" s="72">
        <f>SUM($G$7:G28)</f>
        <v>4849</v>
      </c>
      <c r="J28" s="64">
        <f t="shared" si="5"/>
        <v>0.41370190256804029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52</v>
      </c>
      <c r="E29" s="74">
        <f t="shared" si="0"/>
        <v>5</v>
      </c>
      <c r="F29" s="60">
        <f t="shared" si="4"/>
        <v>57.55</v>
      </c>
      <c r="G29" s="61">
        <f>IF(D29=D28,"",_xlfn.IFNA(VLOOKUP(D29,'인원 입력 기능(사과탐)'!$K$64:$N$116,4,FALSE),0))</f>
        <v>253</v>
      </c>
      <c r="H29" s="62">
        <f t="shared" si="1"/>
        <v>2.1585188977049741E-2</v>
      </c>
      <c r="I29" s="72">
        <f>SUM($G$7:G29)</f>
        <v>5102</v>
      </c>
      <c r="J29" s="64">
        <f t="shared" si="5"/>
        <v>0.43528709154508999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51</v>
      </c>
      <c r="E30" s="74">
        <f t="shared" si="0"/>
        <v>5</v>
      </c>
      <c r="F30" s="60">
        <f t="shared" si="4"/>
        <v>55.4</v>
      </c>
      <c r="G30" s="61">
        <f>IF(D30=D29,"",_xlfn.IFNA(VLOOKUP(D30,'인원 입력 기능(사과탐)'!$K$64:$N$116,4,FALSE),0))</f>
        <v>250</v>
      </c>
      <c r="H30" s="62">
        <f t="shared" si="1"/>
        <v>2.1329238119614367E-2</v>
      </c>
      <c r="I30" s="72">
        <f>SUM($G$7:G30)</f>
        <v>5352</v>
      </c>
      <c r="J30" s="64">
        <f t="shared" si="5"/>
        <v>0.45661632966470439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203">
        <f t="shared" si="3"/>
        <v>50</v>
      </c>
      <c r="E31" s="203">
        <f t="shared" si="0"/>
        <v>5</v>
      </c>
      <c r="F31" s="205">
        <f t="shared" si="4"/>
        <v>52.28</v>
      </c>
      <c r="G31" s="207">
        <f>IF(D31=D30,"",_xlfn.IFNA(VLOOKUP(D31,'인원 입력 기능(사과탐)'!$K$64:$N$116,4,FALSE),0))</f>
        <v>482</v>
      </c>
      <c r="H31" s="208">
        <f t="shared" si="1"/>
        <v>4.1122771094616498E-2</v>
      </c>
      <c r="I31" s="214">
        <f>SUM($G$7:G31)</f>
        <v>5834</v>
      </c>
      <c r="J31" s="212">
        <f t="shared" si="5"/>
        <v>0.49773910075932087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02"/>
      <c r="E32" s="202"/>
      <c r="F32" s="204"/>
      <c r="G32" s="206"/>
      <c r="H32" s="209"/>
      <c r="I32" s="215"/>
      <c r="J32" s="213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49</v>
      </c>
      <c r="E33" s="74">
        <f t="shared" si="0"/>
        <v>5</v>
      </c>
      <c r="F33" s="60">
        <f t="shared" si="4"/>
        <v>49.15</v>
      </c>
      <c r="G33" s="61">
        <f>IF(D33=D32,"",_xlfn.IFNA(VLOOKUP(D33,'인원 입력 기능(사과탐)'!$K$64:$N$116,4,FALSE),0))</f>
        <v>253</v>
      </c>
      <c r="H33" s="62">
        <f t="shared" si="1"/>
        <v>2.1585188977049741E-2</v>
      </c>
      <c r="I33" s="72">
        <f>SUM($G$7:G33)</f>
        <v>6087</v>
      </c>
      <c r="J33" s="64">
        <f t="shared" si="5"/>
        <v>0.51932428973637057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48</v>
      </c>
      <c r="E34" s="74">
        <f t="shared" si="0"/>
        <v>5</v>
      </c>
      <c r="F34" s="60">
        <f t="shared" si="4"/>
        <v>47.08</v>
      </c>
      <c r="G34" s="61">
        <f>IF(D34=D33,"",_xlfn.IFNA(VLOOKUP(D34,'인원 입력 기능(사과탐)'!$K$64:$N$116,4,FALSE),0))</f>
        <v>231</v>
      </c>
      <c r="H34" s="62">
        <f t="shared" si="1"/>
        <v>1.9708216022523675E-2</v>
      </c>
      <c r="I34" s="72">
        <f>SUM($G$7:G34)</f>
        <v>6318</v>
      </c>
      <c r="J34" s="64">
        <f t="shared" si="5"/>
        <v>0.53903250575889428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203">
        <f t="shared" si="3"/>
        <v>47</v>
      </c>
      <c r="E35" s="203">
        <f t="shared" si="0"/>
        <v>5</v>
      </c>
      <c r="F35" s="205">
        <f t="shared" si="4"/>
        <v>43.99</v>
      </c>
      <c r="G35" s="207">
        <f>IF(D35=D34,"",_xlfn.IFNA(VLOOKUP(D35,'인원 입력 기능(사과탐)'!$K$64:$N$116,4,FALSE),0))</f>
        <v>493</v>
      </c>
      <c r="H35" s="208">
        <f t="shared" si="1"/>
        <v>4.2061257571879535E-2</v>
      </c>
      <c r="I35" s="214">
        <f>SUM($G$7:G35)</f>
        <v>6811</v>
      </c>
      <c r="J35" s="212">
        <f t="shared" si="5"/>
        <v>0.58109376333077378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02"/>
      <c r="E36" s="202"/>
      <c r="F36" s="204"/>
      <c r="G36" s="206"/>
      <c r="H36" s="209"/>
      <c r="I36" s="215"/>
      <c r="J36" s="213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46</v>
      </c>
      <c r="E37" s="74">
        <f t="shared" si="0"/>
        <v>5</v>
      </c>
      <c r="F37" s="60">
        <f t="shared" si="4"/>
        <v>40.97</v>
      </c>
      <c r="G37" s="61">
        <f>IF(D37=D36,"",_xlfn.IFNA(VLOOKUP(D37,'인원 입력 기능(사과탐)'!$K$64:$N$116,4,FALSE),0))</f>
        <v>216</v>
      </c>
      <c r="H37" s="62">
        <f t="shared" si="1"/>
        <v>1.8428461735346815E-2</v>
      </c>
      <c r="I37" s="72">
        <f>SUM($G$7:G37)</f>
        <v>7027</v>
      </c>
      <c r="J37" s="64">
        <f t="shared" si="5"/>
        <v>0.59952222506612063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45</v>
      </c>
      <c r="E38" s="74">
        <f t="shared" si="0"/>
        <v>5</v>
      </c>
      <c r="F38" s="60">
        <f t="shared" si="4"/>
        <v>38.869999999999997</v>
      </c>
      <c r="G38" s="61">
        <f>IF(D38=D37,"",_xlfn.IFNA(VLOOKUP(D38,'인원 입력 기능(사과탐)'!$K$64:$N$116,4,FALSE),0))</f>
        <v>277</v>
      </c>
      <c r="H38" s="62">
        <f t="shared" si="1"/>
        <v>2.363279583653272E-2</v>
      </c>
      <c r="I38" s="72">
        <f>SUM($G$7:G38)</f>
        <v>7304</v>
      </c>
      <c r="J38" s="64">
        <f t="shared" si="5"/>
        <v>0.6231550209026534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44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36.68</v>
      </c>
      <c r="G39" s="61">
        <f>IF(D39=D38,"",_xlfn.IFNA(VLOOKUP(D39,'인원 입력 기능(사과탐)'!$K$64:$N$116,4,FALSE),0))</f>
        <v>236</v>
      </c>
      <c r="H39" s="62">
        <f t="shared" si="1"/>
        <v>2.0134800784915963E-2</v>
      </c>
      <c r="I39" s="72">
        <f>SUM($G$7:G39)</f>
        <v>7540</v>
      </c>
      <c r="J39" s="64">
        <f t="shared" si="5"/>
        <v>0.64328982168756932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03">
        <f t="shared" si="3"/>
        <v>43</v>
      </c>
      <c r="E40" s="203">
        <f t="shared" si="6"/>
        <v>6</v>
      </c>
      <c r="F40" s="205">
        <f t="shared" si="4"/>
        <v>33.380000000000003</v>
      </c>
      <c r="G40" s="207">
        <f>IF(D40=D39,"",_xlfn.IFNA(VLOOKUP(D40,'인원 입력 기능(사과탐)'!$K$64:$N$116,4,FALSE),0))</f>
        <v>537</v>
      </c>
      <c r="H40" s="208">
        <f t="shared" si="1"/>
        <v>4.5815203480931661E-2</v>
      </c>
      <c r="I40" s="214">
        <f>SUM($G$7:G40)</f>
        <v>8077</v>
      </c>
      <c r="J40" s="212">
        <f t="shared" si="5"/>
        <v>0.68910502516850103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02"/>
      <c r="E41" s="202"/>
      <c r="F41" s="204"/>
      <c r="G41" s="206"/>
      <c r="H41" s="209"/>
      <c r="I41" s="215"/>
      <c r="J41" s="213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42</v>
      </c>
      <c r="E42" s="74">
        <f t="shared" si="6"/>
        <v>6</v>
      </c>
      <c r="F42" s="60">
        <f t="shared" si="4"/>
        <v>27.54</v>
      </c>
      <c r="G42" s="61">
        <f>IF(D42=D41,"",_xlfn.IFNA(VLOOKUP(D42,'인원 입력 기능(사과탐)'!$K$64:$N$116,4,FALSE),0))</f>
        <v>833</v>
      </c>
      <c r="H42" s="62">
        <f t="shared" si="1"/>
        <v>7.1069021414555067E-2</v>
      </c>
      <c r="I42" s="72">
        <f>SUM($G$7:G42)</f>
        <v>8910</v>
      </c>
      <c r="J42" s="64">
        <f t="shared" si="5"/>
        <v>0.7601740465830561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41</v>
      </c>
      <c r="E43" s="74">
        <f t="shared" si="6"/>
        <v>6</v>
      </c>
      <c r="F43" s="60">
        <f t="shared" si="4"/>
        <v>22.88</v>
      </c>
      <c r="G43" s="61">
        <f>IF(D43=D42,"",_xlfn.IFNA(VLOOKUP(D43,'인원 입력 기능(사과탐)'!$K$64:$N$116,4,FALSE),0))</f>
        <v>259</v>
      </c>
      <c r="H43" s="62">
        <f t="shared" si="1"/>
        <v>2.2097090691920486E-2</v>
      </c>
      <c r="I43" s="72">
        <f>SUM($G$7:G43)</f>
        <v>9169</v>
      </c>
      <c r="J43" s="64">
        <f t="shared" si="5"/>
        <v>0.78227113727497655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203">
        <f t="shared" si="3"/>
        <v>40</v>
      </c>
      <c r="E44" s="203">
        <f t="shared" si="6"/>
        <v>7</v>
      </c>
      <c r="F44" s="205">
        <f t="shared" si="4"/>
        <v>19.440000000000001</v>
      </c>
      <c r="G44" s="207">
        <f>IF(D44=D43,"",_xlfn.IFNA(VLOOKUP(D44,'인원 입력 기능(사과탐)'!$K$64:$N$116,4,FALSE),0))</f>
        <v>547</v>
      </c>
      <c r="H44" s="208">
        <f t="shared" si="1"/>
        <v>4.6668373005716239E-2</v>
      </c>
      <c r="I44" s="214">
        <f>SUM($G$7:G44)</f>
        <v>9716</v>
      </c>
      <c r="J44" s="212">
        <f t="shared" si="5"/>
        <v>0.82893951028069279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202"/>
      <c r="E45" s="202"/>
      <c r="F45" s="204"/>
      <c r="G45" s="206"/>
      <c r="H45" s="209"/>
      <c r="I45" s="215"/>
      <c r="J45" s="213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39</v>
      </c>
      <c r="E46" s="74">
        <f t="shared" si="6"/>
        <v>7</v>
      </c>
      <c r="F46" s="60">
        <f t="shared" si="4"/>
        <v>15.81</v>
      </c>
      <c r="G46" s="61">
        <f>IF(D46=D45,"",_xlfn.IFNA(VLOOKUP(D46,'인원 입력 기능(사과탐)'!$K$64:$N$116,4,FALSE),0))</f>
        <v>304</v>
      </c>
      <c r="H46" s="62">
        <f t="shared" si="1"/>
        <v>2.5936353553451072E-2</v>
      </c>
      <c r="I46" s="72">
        <f>SUM($G$7:G46)</f>
        <v>10020</v>
      </c>
      <c r="J46" s="64">
        <f t="shared" si="5"/>
        <v>0.85487586383414382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38</v>
      </c>
      <c r="E47" s="74">
        <f t="shared" si="6"/>
        <v>7</v>
      </c>
      <c r="F47" s="60">
        <f t="shared" si="4"/>
        <v>12.67</v>
      </c>
      <c r="G47" s="61">
        <f>IF(D47=D46,"",_xlfn.IFNA(VLOOKUP(D47,'인원 입력 기능(사과탐)'!$K$64:$N$116,4,FALSE),0))</f>
        <v>432</v>
      </c>
      <c r="H47" s="62">
        <f t="shared" si="1"/>
        <v>3.685692347069363E-2</v>
      </c>
      <c r="I47" s="72">
        <f>SUM($G$7:G47)</f>
        <v>10452</v>
      </c>
      <c r="J47" s="64">
        <f t="shared" si="5"/>
        <v>0.89173278730483752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37</v>
      </c>
      <c r="E48" s="74">
        <f t="shared" si="6"/>
        <v>8</v>
      </c>
      <c r="F48" s="60">
        <f t="shared" si="4"/>
        <v>8.83</v>
      </c>
      <c r="G48" s="61">
        <f>IF(D48=D47,"",_xlfn.IFNA(VLOOKUP(D48,'인원 입력 기능(사과탐)'!$K$64:$N$116,4,FALSE),0))</f>
        <v>467</v>
      </c>
      <c r="H48" s="62">
        <f t="shared" si="1"/>
        <v>3.9843016807439638E-2</v>
      </c>
      <c r="I48" s="72">
        <f>SUM($G$7:G48)</f>
        <v>10919</v>
      </c>
      <c r="J48" s="64">
        <f t="shared" si="5"/>
        <v>0.93157580411227714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03">
        <f t="shared" si="3"/>
        <v>36</v>
      </c>
      <c r="E49" s="203">
        <f t="shared" si="6"/>
        <v>8</v>
      </c>
      <c r="F49" s="205">
        <f t="shared" si="4"/>
        <v>5.36</v>
      </c>
      <c r="G49" s="207">
        <f>IF(D49=D48,"",_xlfn.IFNA(VLOOKUP(D49,'인원 입력 기능(사과탐)'!$K$64:$N$116,4,FALSE),0))</f>
        <v>347</v>
      </c>
      <c r="H49" s="208">
        <f t="shared" si="1"/>
        <v>2.9604982510024743E-2</v>
      </c>
      <c r="I49" s="214">
        <f>SUM($G$7:G49)</f>
        <v>11266</v>
      </c>
      <c r="J49" s="212">
        <f t="shared" si="5"/>
        <v>0.96118078662230189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202"/>
      <c r="E50" s="202"/>
      <c r="F50" s="204"/>
      <c r="G50" s="206"/>
      <c r="H50" s="209"/>
      <c r="I50" s="215"/>
      <c r="J50" s="213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3.07</v>
      </c>
      <c r="G51" s="61">
        <f>IF(D51=D50,"",_xlfn.IFNA(VLOOKUP(D51,'인원 입력 기능(사과탐)'!$K$64:$N$116,4,FALSE),0))</f>
        <v>190</v>
      </c>
      <c r="H51" s="62">
        <f t="shared" si="1"/>
        <v>1.6210220970906918E-2</v>
      </c>
      <c r="I51" s="72">
        <f>SUM($G$7:G51)</f>
        <v>11456</v>
      </c>
      <c r="J51" s="64">
        <f t="shared" si="5"/>
        <v>0.97739100759320874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1.85</v>
      </c>
      <c r="G52" s="61">
        <f>IF(D52=D51,"",_xlfn.IFNA(VLOOKUP(D52,'인원 입력 기능(사과탐)'!$K$64:$N$116,4,FALSE),0))</f>
        <v>96</v>
      </c>
      <c r="H52" s="62">
        <f t="shared" si="1"/>
        <v>8.1904274379319165E-3</v>
      </c>
      <c r="I52" s="72">
        <f>SUM($G$7:G52)</f>
        <v>11552</v>
      </c>
      <c r="J52" s="64">
        <f t="shared" si="5"/>
        <v>0.98558143503114071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201">
        <f t="shared" si="3"/>
        <v>33</v>
      </c>
      <c r="E53" s="201">
        <f t="shared" si="6"/>
        <v>9</v>
      </c>
      <c r="F53" s="205">
        <f t="shared" si="4"/>
        <v>0.96</v>
      </c>
      <c r="G53" s="207">
        <f>IF(D53=D52,"",_xlfn.IFNA(VLOOKUP(D53,'인원 입력 기능(사과탐)'!$K$64:$N$116,4,FALSE),0))</f>
        <v>112</v>
      </c>
      <c r="H53" s="208">
        <f t="shared" si="1"/>
        <v>9.5554986775872371E-3</v>
      </c>
      <c r="I53" s="214">
        <f>SUM($G$7:G53)</f>
        <v>11664</v>
      </c>
      <c r="J53" s="212">
        <f t="shared" si="5"/>
        <v>0.99513693370872791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200"/>
      <c r="E54" s="200"/>
      <c r="F54" s="204"/>
      <c r="G54" s="206"/>
      <c r="H54" s="209"/>
      <c r="I54" s="215"/>
      <c r="J54" s="213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32</v>
      </c>
      <c r="E55" s="59">
        <f t="shared" si="6"/>
        <v>9</v>
      </c>
      <c r="F55" s="60">
        <f t="shared" si="4"/>
        <v>0.32</v>
      </c>
      <c r="G55" s="61">
        <f>IF(D55=D54,"",_xlfn.IFNA(VLOOKUP(D55,'인원 입력 기능(사과탐)'!$K$64:$N$116,4,FALSE),0))</f>
        <v>38</v>
      </c>
      <c r="H55" s="62">
        <f t="shared" si="1"/>
        <v>3.242044194181384E-3</v>
      </c>
      <c r="I55" s="72">
        <f>SUM($G$7:G55)</f>
        <v>11702</v>
      </c>
      <c r="J55" s="64">
        <f t="shared" si="5"/>
        <v>0.9983789779029093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30</v>
      </c>
      <c r="E57" s="112">
        <f t="shared" si="6"/>
        <v>9</v>
      </c>
      <c r="F57" s="79">
        <f>IF(I55=0,ROUND(100*(1-(I54+I57)/2/$J$3),2),ROUND(100*(1-(I55+I57)/2/$J$3),2))</f>
        <v>0.08</v>
      </c>
      <c r="G57" s="113">
        <f>_xlfn.IFNA(VLOOKUP(D57,'인원 입력 기능(사과탐)'!$K$64:$N$116,4,FALSE),0)</f>
        <v>19</v>
      </c>
      <c r="H57" s="81">
        <f>G57/$J$3</f>
        <v>1.621022097090692E-3</v>
      </c>
      <c r="I57" s="82">
        <f>SUM($G$7:G57)</f>
        <v>11721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73">
    <mergeCell ref="I53:I54"/>
    <mergeCell ref="J53:J54"/>
    <mergeCell ref="D53:D54"/>
    <mergeCell ref="E53:E54"/>
    <mergeCell ref="F53:F54"/>
    <mergeCell ref="G53:G54"/>
    <mergeCell ref="H53:H54"/>
    <mergeCell ref="I44:I45"/>
    <mergeCell ref="J44:J45"/>
    <mergeCell ref="D49:D50"/>
    <mergeCell ref="E49:E50"/>
    <mergeCell ref="F49:F50"/>
    <mergeCell ref="G49:G50"/>
    <mergeCell ref="H49:H50"/>
    <mergeCell ref="I49:I50"/>
    <mergeCell ref="J49:J50"/>
    <mergeCell ref="D44:D45"/>
    <mergeCell ref="E44:E45"/>
    <mergeCell ref="F44:F45"/>
    <mergeCell ref="G44:G45"/>
    <mergeCell ref="H44:H45"/>
    <mergeCell ref="I35:I36"/>
    <mergeCell ref="J35:J36"/>
    <mergeCell ref="D40:D41"/>
    <mergeCell ref="E40:E41"/>
    <mergeCell ref="F40:F41"/>
    <mergeCell ref="G40:G41"/>
    <mergeCell ref="H40:H41"/>
    <mergeCell ref="I40:I41"/>
    <mergeCell ref="J40:J41"/>
    <mergeCell ref="D35:D36"/>
    <mergeCell ref="E35:E36"/>
    <mergeCell ref="F35:F36"/>
    <mergeCell ref="G35:G36"/>
    <mergeCell ref="H35:H36"/>
    <mergeCell ref="I26:I27"/>
    <mergeCell ref="J26:J27"/>
    <mergeCell ref="D31:D32"/>
    <mergeCell ref="E31:E32"/>
    <mergeCell ref="F31:F32"/>
    <mergeCell ref="G31:G32"/>
    <mergeCell ref="H31:H32"/>
    <mergeCell ref="I31:I32"/>
    <mergeCell ref="J31:J32"/>
    <mergeCell ref="D26:D27"/>
    <mergeCell ref="E26:E27"/>
    <mergeCell ref="F26:F27"/>
    <mergeCell ref="G26:G27"/>
    <mergeCell ref="H26:H27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17:D18"/>
    <mergeCell ref="E17:E18"/>
    <mergeCell ref="F17:F18"/>
    <mergeCell ref="G17:G18"/>
    <mergeCell ref="H17:H18"/>
    <mergeCell ref="D3:F3"/>
    <mergeCell ref="D4:F4"/>
    <mergeCell ref="I4:J5"/>
    <mergeCell ref="D13:D14"/>
    <mergeCell ref="E13:E14"/>
    <mergeCell ref="F13:F14"/>
    <mergeCell ref="G13:G14"/>
    <mergeCell ref="H13:H14"/>
    <mergeCell ref="I13:I14"/>
    <mergeCell ref="J13:J14"/>
  </mergeCells>
  <phoneticPr fontId="1" type="noConversion"/>
  <conditionalFormatting sqref="D7:G13 I7:J13 D15:G17 I15:J17 D19:G22 I19:J22 D24:G26 I24:J26 D28:G31 I28:J31 D33:G35 I33:J35 D37:G40 I37:J40 D42:G44 I42:J44 D46:G49 I46:J49 D51:G53 I51:J53 D55:G57 I55:J57">
    <cfRule type="expression" dxfId="27" priority="4">
      <formula>OR($D7=$Q$7:$Q$14)</formula>
    </cfRule>
  </conditionalFormatting>
  <conditionalFormatting sqref="C7:C57">
    <cfRule type="expression" dxfId="26" priority="3">
      <formula>OR(AND($D7=0,OR($D6=$Q$7:$Q$14)),AND($D8&gt;0,OR($D7=$Q$7:$Q$14)))</formula>
    </cfRule>
  </conditionalFormatting>
  <conditionalFormatting sqref="D7:D13 D15:D17 D19:D22 D24:D26 D28:D31 D33:D35 D37:D40 D42:D44 D46:D49 D51:D53 D55:D57">
    <cfRule type="expression" dxfId="25" priority="2">
      <formula>$D7=$D8</formula>
    </cfRule>
  </conditionalFormatting>
  <conditionalFormatting sqref="H7:H13 H15:H17 H19:H22 H24:H26 H28:H31 H33:H35 H37:H40 H42:H44 H46:H49 H51:H53 H55:H57">
    <cfRule type="expression" dxfId="2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기능'!D15</f>
        <v>21.70</v>
      </c>
      <c r="I3" s="21" t="s">
        <v>70</v>
      </c>
      <c r="J3" s="50">
        <f>'통계 및 응시자 수 입력 기능'!C15</f>
        <v>33409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97</v>
      </c>
      <c r="E4" s="185"/>
      <c r="F4" s="186"/>
      <c r="G4" s="52" t="s">
        <v>73</v>
      </c>
      <c r="H4" s="53" t="str">
        <f>'통계 및 응시자 수 입력 기능'!E15</f>
        <v>10.32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77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99.65</v>
      </c>
      <c r="G7" s="61">
        <f>_xlfn.IFNA(VLOOKUP(D7,'인원 입력 기능(사과탐)'!$P$64:$S$116,4,FALSE),0)</f>
        <v>232</v>
      </c>
      <c r="H7" s="62">
        <f>G7/$J$3</f>
        <v>6.9442365829566885E-3</v>
      </c>
      <c r="I7" s="63">
        <f>G7</f>
        <v>232</v>
      </c>
      <c r="J7" s="64">
        <f>I7/$J$3</f>
        <v>6.9442365829566885E-3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기능'!C103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기능'!C104</f>
        <v>64</v>
      </c>
    </row>
    <row r="9" spans="1:17" s="22" customFormat="1" ht="25" customHeight="1" x14ac:dyDescent="0.45">
      <c r="A9" s="20"/>
      <c r="B9" s="35"/>
      <c r="C9" s="58">
        <v>48</v>
      </c>
      <c r="D9" s="201">
        <f>ROUND(10*(C9-$H$3)/$H$4+50,0)</f>
        <v>75</v>
      </c>
      <c r="E9" s="201">
        <f t="shared" si="0"/>
        <v>1</v>
      </c>
      <c r="F9" s="205">
        <f>IF(I8=0,ROUND(100*(1-(I7+I9)/2/$J$3),2),ROUND(100*(1-(I8+I9)/2/$J$3),2))</f>
        <v>98.77</v>
      </c>
      <c r="G9" s="207">
        <f>_xlfn.IFNA(VLOOKUP(D9,'인원 입력 기능(사과탐)'!$P$64:$S$116,4,FALSE),0)</f>
        <v>358</v>
      </c>
      <c r="H9" s="208">
        <f t="shared" ref="H9:H55" si="1">G9/$J$3</f>
        <v>1.0715675416803854E-2</v>
      </c>
      <c r="I9" s="214">
        <f>SUM($G$7:G9)</f>
        <v>590</v>
      </c>
      <c r="J9" s="212">
        <f>I9/$J$3</f>
        <v>1.7659911999760542E-2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기능'!C105</f>
        <v>58</v>
      </c>
    </row>
    <row r="10" spans="1:17" s="22" customFormat="1" ht="25" customHeight="1" x14ac:dyDescent="0.45">
      <c r="A10" s="20"/>
      <c r="B10" s="35"/>
      <c r="C10" s="65">
        <v>47</v>
      </c>
      <c r="D10" s="200"/>
      <c r="E10" s="200"/>
      <c r="F10" s="204"/>
      <c r="G10" s="206"/>
      <c r="H10" s="209"/>
      <c r="I10" s="215"/>
      <c r="J10" s="213"/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기능'!C106</f>
        <v>51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ref="D10:D55" si="3">ROUND(10*(C11-$H$3)/$H$4+50,0)</f>
        <v>74</v>
      </c>
      <c r="E11" s="59">
        <f t="shared" si="0"/>
        <v>1</v>
      </c>
      <c r="F11" s="60">
        <f t="shared" ref="F10:F55" si="4">IF(I10=0,ROUND(100*(1-(I9+I11)/2/$J$3),2),ROUND(100*(1-(I10+I11)/2/$J$3),2))</f>
        <v>98.17</v>
      </c>
      <c r="G11" s="61">
        <f>IF(D11=D10,"",_xlfn.IFNA(VLOOKUP(D11,'인원 입력 기능(사과탐)'!$P$64:$S$116,4,FALSE),0))</f>
        <v>45</v>
      </c>
      <c r="H11" s="62">
        <f t="shared" si="1"/>
        <v>1.3469424406597026E-3</v>
      </c>
      <c r="I11" s="72">
        <f>SUM($G$7:G11)</f>
        <v>635</v>
      </c>
      <c r="J11" s="64">
        <f t="shared" ref="J10:J55" si="5">I11/$J$3</f>
        <v>1.9006854440420246E-2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기능'!C107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73</v>
      </c>
      <c r="E12" s="59">
        <f t="shared" si="0"/>
        <v>1</v>
      </c>
      <c r="F12" s="60">
        <f t="shared" si="4"/>
        <v>97.77</v>
      </c>
      <c r="G12" s="61">
        <f>IF(D12=D11,"",_xlfn.IFNA(VLOOKUP(D12,'인원 입력 기능(사과탐)'!$P$64:$S$116,4,FALSE),0))</f>
        <v>220</v>
      </c>
      <c r="H12" s="62">
        <f t="shared" si="1"/>
        <v>6.5850519321141009E-3</v>
      </c>
      <c r="I12" s="72">
        <f>SUM($G$7:G12)</f>
        <v>855</v>
      </c>
      <c r="J12" s="64">
        <f t="shared" si="5"/>
        <v>2.5591906372534348E-2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기능'!C108</f>
        <v>42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72</v>
      </c>
      <c r="E13" s="59">
        <f t="shared" si="0"/>
        <v>1</v>
      </c>
      <c r="F13" s="60">
        <f t="shared" si="4"/>
        <v>97.11</v>
      </c>
      <c r="G13" s="61">
        <f>IF(D13=D12,"",_xlfn.IFNA(VLOOKUP(D13,'인원 입력 기능(사과탐)'!$P$64:$S$116,4,FALSE),0))</f>
        <v>221</v>
      </c>
      <c r="H13" s="62">
        <f t="shared" si="1"/>
        <v>6.6149839863509832E-3</v>
      </c>
      <c r="I13" s="72">
        <f>SUM($G$7:G13)</f>
        <v>1076</v>
      </c>
      <c r="J13" s="64">
        <f t="shared" si="5"/>
        <v>3.2206890358885333E-2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기능'!C109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71</v>
      </c>
      <c r="E14" s="59">
        <f t="shared" si="0"/>
        <v>1</v>
      </c>
      <c r="F14" s="60">
        <f t="shared" si="4"/>
        <v>96.6</v>
      </c>
      <c r="G14" s="61">
        <f>IF(D14=D13,"",_xlfn.IFNA(VLOOKUP(D14,'인원 입력 기능(사과탐)'!$P$64:$S$116,4,FALSE),0))</f>
        <v>120</v>
      </c>
      <c r="H14" s="62">
        <f t="shared" si="1"/>
        <v>3.5918465084258731E-3</v>
      </c>
      <c r="I14" s="72">
        <f>SUM($G$7:G14)</f>
        <v>1196</v>
      </c>
      <c r="J14" s="64">
        <f t="shared" si="5"/>
        <v>3.5798736867311207E-2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기능'!C110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70</v>
      </c>
      <c r="E15" s="59">
        <f t="shared" si="0"/>
        <v>1</v>
      </c>
      <c r="F15" s="60">
        <f t="shared" si="4"/>
        <v>95.94</v>
      </c>
      <c r="G15" s="61">
        <f>IF(D15=D14,"",_xlfn.IFNA(VLOOKUP(D15,'인원 입력 기능(사과탐)'!$P$64:$S$116,4,FALSE),0))</f>
        <v>321</v>
      </c>
      <c r="H15" s="62">
        <f t="shared" si="1"/>
        <v>9.6081894100392105E-3</v>
      </c>
      <c r="I15" s="72">
        <f>SUM($G$7:G15)</f>
        <v>1517</v>
      </c>
      <c r="J15" s="64">
        <f t="shared" si="5"/>
        <v>4.5406926277350414E-2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69</v>
      </c>
      <c r="E16" s="59">
        <f t="shared" si="0"/>
        <v>2</v>
      </c>
      <c r="F16" s="60">
        <f t="shared" si="4"/>
        <v>95.09</v>
      </c>
      <c r="G16" s="61">
        <f>IF(D16=D15,"",_xlfn.IFNA(VLOOKUP(D16,'인원 입력 기능(사과탐)'!$P$64:$S$116,4,FALSE),0))</f>
        <v>249</v>
      </c>
      <c r="H16" s="62">
        <f t="shared" si="1"/>
        <v>7.4530815049836871E-3</v>
      </c>
      <c r="I16" s="72">
        <f>SUM($G$7:G16)</f>
        <v>1766</v>
      </c>
      <c r="J16" s="64">
        <f t="shared" si="5"/>
        <v>5.2860007782334101E-2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68</v>
      </c>
      <c r="E17" s="59">
        <f t="shared" si="0"/>
        <v>2</v>
      </c>
      <c r="F17" s="60">
        <f t="shared" si="4"/>
        <v>94.29</v>
      </c>
      <c r="G17" s="61">
        <f>IF(D17=D16,"",_xlfn.IFNA(VLOOKUP(D17,'인원 입력 기능(사과탐)'!$P$64:$S$116,4,FALSE),0))</f>
        <v>281</v>
      </c>
      <c r="H17" s="62">
        <f t="shared" si="1"/>
        <v>8.4109072405639199E-3</v>
      </c>
      <c r="I17" s="72">
        <f>SUM($G$7:G17)</f>
        <v>2047</v>
      </c>
      <c r="J17" s="64">
        <f t="shared" si="5"/>
        <v>6.1270915022898019E-2</v>
      </c>
      <c r="K17" s="36"/>
      <c r="L17" s="20" t="str">
        <f t="shared" si="2"/>
        <v/>
      </c>
      <c r="N17" s="24"/>
      <c r="Q17" s="24">
        <f>Q7*H3*H4*J3*IFERROR(IF(J57=1, 1, 0), 0)</f>
        <v>523722156.71999997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67</v>
      </c>
      <c r="E18" s="59">
        <f t="shared" si="0"/>
        <v>2</v>
      </c>
      <c r="F18" s="60">
        <f t="shared" si="4"/>
        <v>93.25</v>
      </c>
      <c r="G18" s="61">
        <f>IF(D18=D17,"",_xlfn.IFNA(VLOOKUP(D18,'인원 입력 기능(사과탐)'!$P$64:$S$116,4,FALSE),0))</f>
        <v>419</v>
      </c>
      <c r="H18" s="62">
        <f t="shared" si="1"/>
        <v>1.2541530725253673E-2</v>
      </c>
      <c r="I18" s="72">
        <f>SUM($G$7:G18)</f>
        <v>2466</v>
      </c>
      <c r="J18" s="64">
        <f t="shared" si="5"/>
        <v>7.3812445748151698E-2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66</v>
      </c>
      <c r="E19" s="59">
        <f t="shared" si="0"/>
        <v>2</v>
      </c>
      <c r="F19" s="60">
        <f t="shared" si="4"/>
        <v>92.12</v>
      </c>
      <c r="G19" s="61">
        <f>IF(D19=D18,"",_xlfn.IFNA(VLOOKUP(D19,'인원 입력 기능(사과탐)'!$P$64:$S$116,4,FALSE),0))</f>
        <v>333</v>
      </c>
      <c r="H19" s="62">
        <f t="shared" si="1"/>
        <v>9.9673740608817989E-3</v>
      </c>
      <c r="I19" s="72">
        <f>SUM($G$7:G19)</f>
        <v>2799</v>
      </c>
      <c r="J19" s="64">
        <f t="shared" si="5"/>
        <v>8.3779819809033498E-2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65</v>
      </c>
      <c r="E20" s="59">
        <f t="shared" si="0"/>
        <v>2</v>
      </c>
      <c r="F20" s="60">
        <f t="shared" si="4"/>
        <v>90.96</v>
      </c>
      <c r="G20" s="61">
        <f>IF(D20=D19,"",_xlfn.IFNA(VLOOKUP(D20,'인원 입력 기능(사과탐)'!$P$64:$S$116,4,FALSE),0))</f>
        <v>442</v>
      </c>
      <c r="H20" s="62">
        <f t="shared" si="1"/>
        <v>1.3229967972701966E-2</v>
      </c>
      <c r="I20" s="72">
        <f>SUM($G$7:G20)</f>
        <v>3241</v>
      </c>
      <c r="J20" s="64">
        <f t="shared" si="5"/>
        <v>9.7009787781735454E-2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64</v>
      </c>
      <c r="E21" s="74">
        <f t="shared" si="0"/>
        <v>2</v>
      </c>
      <c r="F21" s="60">
        <f t="shared" si="4"/>
        <v>89.5</v>
      </c>
      <c r="G21" s="61">
        <f>IF(D21=D20,"",_xlfn.IFNA(VLOOKUP(D21,'인원 입력 기능(사과탐)'!$P$64:$S$116,4,FALSE),0))</f>
        <v>532</v>
      </c>
      <c r="H21" s="62">
        <f t="shared" si="1"/>
        <v>1.5923852854021373E-2</v>
      </c>
      <c r="I21" s="72">
        <f>SUM($G$7:G21)</f>
        <v>3773</v>
      </c>
      <c r="J21" s="64">
        <f t="shared" si="5"/>
        <v>0.11293364063575684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63</v>
      </c>
      <c r="E22" s="74">
        <f t="shared" si="0"/>
        <v>3</v>
      </c>
      <c r="F22" s="60">
        <f t="shared" si="4"/>
        <v>87.95</v>
      </c>
      <c r="G22" s="61">
        <f>IF(D22=D21,"",_xlfn.IFNA(VLOOKUP(D22,'인원 입력 기능(사과탐)'!$P$64:$S$116,4,FALSE),0))</f>
        <v>506</v>
      </c>
      <c r="H22" s="62">
        <f t="shared" si="1"/>
        <v>1.5145619443862432E-2</v>
      </c>
      <c r="I22" s="72">
        <f>SUM($G$7:G22)</f>
        <v>4279</v>
      </c>
      <c r="J22" s="64">
        <f t="shared" si="5"/>
        <v>0.12807926007961926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62</v>
      </c>
      <c r="E23" s="74">
        <f t="shared" si="0"/>
        <v>3</v>
      </c>
      <c r="F23" s="60">
        <f t="shared" si="4"/>
        <v>86.23</v>
      </c>
      <c r="G23" s="61">
        <f>IF(D23=D22,"",_xlfn.IFNA(VLOOKUP(D23,'인원 입력 기능(사과탐)'!$P$64:$S$116,4,FALSE),0))</f>
        <v>642</v>
      </c>
      <c r="H23" s="62">
        <f t="shared" si="1"/>
        <v>1.9216378820078421E-2</v>
      </c>
      <c r="I23" s="72">
        <f>SUM($G$7:G23)</f>
        <v>4921</v>
      </c>
      <c r="J23" s="64">
        <f t="shared" si="5"/>
        <v>0.14729563889969768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61</v>
      </c>
      <c r="E24" s="74">
        <f t="shared" si="0"/>
        <v>3</v>
      </c>
      <c r="F24" s="60">
        <f t="shared" si="4"/>
        <v>84.38</v>
      </c>
      <c r="G24" s="61">
        <f>IF(D24=D23,"",_xlfn.IFNA(VLOOKUP(D24,'인원 입력 기능(사과탐)'!$P$64:$S$116,4,FALSE),0))</f>
        <v>596</v>
      </c>
      <c r="H24" s="62">
        <f t="shared" si="1"/>
        <v>1.7839504325181839E-2</v>
      </c>
      <c r="I24" s="72">
        <f>SUM($G$7:G24)</f>
        <v>5517</v>
      </c>
      <c r="J24" s="64">
        <f t="shared" si="5"/>
        <v>0.16513514322487952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60</v>
      </c>
      <c r="E25" s="74">
        <f t="shared" si="0"/>
        <v>3</v>
      </c>
      <c r="F25" s="60">
        <f t="shared" si="4"/>
        <v>82.5</v>
      </c>
      <c r="G25" s="61">
        <f>IF(D25=D24,"",_xlfn.IFNA(VLOOKUP(D25,'인원 입력 기능(사과탐)'!$P$64:$S$116,4,FALSE),0))</f>
        <v>657</v>
      </c>
      <c r="H25" s="62">
        <f t="shared" si="1"/>
        <v>1.9665359633631658E-2</v>
      </c>
      <c r="I25" s="72">
        <f>SUM($G$7:G25)</f>
        <v>6174</v>
      </c>
      <c r="J25" s="64">
        <f t="shared" si="5"/>
        <v>0.18480050285851118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59</v>
      </c>
      <c r="E26" s="74">
        <f t="shared" si="0"/>
        <v>3</v>
      </c>
      <c r="F26" s="60">
        <f t="shared" si="4"/>
        <v>80.290000000000006</v>
      </c>
      <c r="G26" s="61">
        <f>IF(D26=D25,"",_xlfn.IFNA(VLOOKUP(D26,'인원 입력 기능(사과탐)'!$P$64:$S$116,4,FALSE),0))</f>
        <v>822</v>
      </c>
      <c r="H26" s="62">
        <f t="shared" si="1"/>
        <v>2.4604148582717231E-2</v>
      </c>
      <c r="I26" s="72">
        <f>SUM($G$7:G26)</f>
        <v>6996</v>
      </c>
      <c r="J26" s="64">
        <f t="shared" si="5"/>
        <v>0.20940465144122841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58</v>
      </c>
      <c r="E27" s="74">
        <f t="shared" si="0"/>
        <v>3</v>
      </c>
      <c r="F27" s="60">
        <f t="shared" si="4"/>
        <v>78</v>
      </c>
      <c r="G27" s="61">
        <f>IF(D27=D26,"",_xlfn.IFNA(VLOOKUP(D27,'인원 입력 기능(사과탐)'!$P$64:$S$116,4,FALSE),0))</f>
        <v>705</v>
      </c>
      <c r="H27" s="62">
        <f t="shared" si="1"/>
        <v>2.1102098237002005E-2</v>
      </c>
      <c r="I27" s="72">
        <f>SUM($G$7:G27)</f>
        <v>7701</v>
      </c>
      <c r="J27" s="64">
        <f t="shared" si="5"/>
        <v>0.23050674967823043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57</v>
      </c>
      <c r="E28" s="74">
        <f t="shared" si="0"/>
        <v>4</v>
      </c>
      <c r="F28" s="60">
        <f t="shared" si="4"/>
        <v>75.59</v>
      </c>
      <c r="G28" s="61">
        <f>IF(D28=D27,"",_xlfn.IFNA(VLOOKUP(D28,'인원 입력 기능(사과탐)'!$P$64:$S$116,4,FALSE),0))</f>
        <v>907</v>
      </c>
      <c r="H28" s="62">
        <f t="shared" si="1"/>
        <v>2.7148373192852224E-2</v>
      </c>
      <c r="I28" s="72">
        <f>SUM($G$7:G28)</f>
        <v>8608</v>
      </c>
      <c r="J28" s="64">
        <f t="shared" si="5"/>
        <v>0.25765512287108266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56</v>
      </c>
      <c r="E29" s="74">
        <f t="shared" si="0"/>
        <v>4</v>
      </c>
      <c r="F29" s="60">
        <f t="shared" si="4"/>
        <v>72.94</v>
      </c>
      <c r="G29" s="61">
        <f>IF(D29=D28,"",_xlfn.IFNA(VLOOKUP(D29,'인원 입력 기능(사과탐)'!$P$64:$S$116,4,FALSE),0))</f>
        <v>863</v>
      </c>
      <c r="H29" s="62">
        <f t="shared" si="1"/>
        <v>2.5831362806429406E-2</v>
      </c>
      <c r="I29" s="72">
        <f>SUM($G$7:G29)</f>
        <v>9471</v>
      </c>
      <c r="J29" s="64">
        <f t="shared" si="5"/>
        <v>0.28348648567751206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55</v>
      </c>
      <c r="E30" s="74">
        <f t="shared" si="0"/>
        <v>4</v>
      </c>
      <c r="F30" s="60">
        <f t="shared" si="4"/>
        <v>70.260000000000005</v>
      </c>
      <c r="G30" s="61">
        <f>IF(D30=D29,"",_xlfn.IFNA(VLOOKUP(D30,'인원 입력 기능(사과탐)'!$P$64:$S$116,4,FALSE),0))</f>
        <v>930</v>
      </c>
      <c r="H30" s="62">
        <f t="shared" si="1"/>
        <v>2.7836810440300518E-2</v>
      </c>
      <c r="I30" s="72">
        <f>SUM($G$7:G30)</f>
        <v>10401</v>
      </c>
      <c r="J30" s="64">
        <f t="shared" si="5"/>
        <v>0.31132329611781256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54</v>
      </c>
      <c r="E31" s="74">
        <f t="shared" si="0"/>
        <v>4</v>
      </c>
      <c r="F31" s="60">
        <f t="shared" si="4"/>
        <v>67.430000000000007</v>
      </c>
      <c r="G31" s="61">
        <f>IF(D31=D30,"",_xlfn.IFNA(VLOOKUP(D31,'인원 입력 기능(사과탐)'!$P$64:$S$116,4,FALSE),0))</f>
        <v>963</v>
      </c>
      <c r="H31" s="62">
        <f t="shared" si="1"/>
        <v>2.8824568230117632E-2</v>
      </c>
      <c r="I31" s="72">
        <f>SUM($G$7:G31)</f>
        <v>11364</v>
      </c>
      <c r="J31" s="64">
        <f t="shared" si="5"/>
        <v>0.34014786434793021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53</v>
      </c>
      <c r="E32" s="74">
        <f t="shared" si="0"/>
        <v>4</v>
      </c>
      <c r="F32" s="60">
        <f t="shared" si="4"/>
        <v>64.569999999999993</v>
      </c>
      <c r="G32" s="61">
        <f>IF(D32=D31,"",_xlfn.IFNA(VLOOKUP(D32,'인원 입력 기능(사과탐)'!$P$64:$S$116,4,FALSE),0))</f>
        <v>948</v>
      </c>
      <c r="H32" s="62">
        <f t="shared" si="1"/>
        <v>2.8375587416564398E-2</v>
      </c>
      <c r="I32" s="72">
        <f>SUM($G$7:G32)</f>
        <v>12312</v>
      </c>
      <c r="J32" s="64">
        <f t="shared" si="5"/>
        <v>0.36852345176449458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52</v>
      </c>
      <c r="E33" s="74">
        <f t="shared" si="0"/>
        <v>4</v>
      </c>
      <c r="F33" s="60">
        <f t="shared" si="4"/>
        <v>61.59</v>
      </c>
      <c r="G33" s="61">
        <f>IF(D33=D32,"",_xlfn.IFNA(VLOOKUP(D33,'인원 입력 기능(사과탐)'!$P$64:$S$116,4,FALSE),0))</f>
        <v>1040</v>
      </c>
      <c r="H33" s="62">
        <f t="shared" si="1"/>
        <v>3.112933640635757E-2</v>
      </c>
      <c r="I33" s="72">
        <f>SUM($G$7:G33)</f>
        <v>13352</v>
      </c>
      <c r="J33" s="64">
        <f t="shared" si="5"/>
        <v>0.39965278817085215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51</v>
      </c>
      <c r="E34" s="74">
        <f t="shared" si="0"/>
        <v>4</v>
      </c>
      <c r="F34" s="60">
        <f t="shared" si="4"/>
        <v>58.63</v>
      </c>
      <c r="G34" s="61">
        <f>IF(D34=D33,"",_xlfn.IFNA(VLOOKUP(D34,'인원 입력 기능(사과탐)'!$P$64:$S$116,4,FALSE),0))</f>
        <v>940</v>
      </c>
      <c r="H34" s="62">
        <f t="shared" si="1"/>
        <v>2.8136130982669341E-2</v>
      </c>
      <c r="I34" s="72">
        <f>SUM($G$7:G34)</f>
        <v>14292</v>
      </c>
      <c r="J34" s="64">
        <f t="shared" si="5"/>
        <v>0.42778891915352152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50</v>
      </c>
      <c r="E35" s="74">
        <f t="shared" si="0"/>
        <v>5</v>
      </c>
      <c r="F35" s="60">
        <f t="shared" si="4"/>
        <v>55.65</v>
      </c>
      <c r="G35" s="61">
        <f>IF(D35=D34,"",_xlfn.IFNA(VLOOKUP(D35,'인원 입력 기능(사과탐)'!$P$64:$S$116,4,FALSE),0))</f>
        <v>1047</v>
      </c>
      <c r="H35" s="62">
        <f t="shared" si="1"/>
        <v>3.1338860786015742E-2</v>
      </c>
      <c r="I35" s="72">
        <f>SUM($G$7:G35)</f>
        <v>15339</v>
      </c>
      <c r="J35" s="64">
        <f t="shared" si="5"/>
        <v>0.45912777993953724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49</v>
      </c>
      <c r="E36" s="74">
        <f t="shared" si="0"/>
        <v>5</v>
      </c>
      <c r="F36" s="60">
        <f t="shared" si="4"/>
        <v>52.52</v>
      </c>
      <c r="G36" s="61">
        <f>IF(D36=D35,"",_xlfn.IFNA(VLOOKUP(D36,'인원 입력 기능(사과탐)'!$P$64:$S$116,4,FALSE),0))</f>
        <v>1046</v>
      </c>
      <c r="H36" s="62">
        <f t="shared" si="1"/>
        <v>3.1308928731778859E-2</v>
      </c>
      <c r="I36" s="72">
        <f>SUM($G$7:G36)</f>
        <v>16385</v>
      </c>
      <c r="J36" s="64">
        <f t="shared" si="5"/>
        <v>0.49043670867131611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48</v>
      </c>
      <c r="E37" s="74">
        <f t="shared" si="0"/>
        <v>5</v>
      </c>
      <c r="F37" s="60">
        <f t="shared" si="4"/>
        <v>49.41</v>
      </c>
      <c r="G37" s="61">
        <f>IF(D37=D36,"",_xlfn.IFNA(VLOOKUP(D37,'인원 입력 기능(사과탐)'!$P$64:$S$116,4,FALSE),0))</f>
        <v>1031</v>
      </c>
      <c r="H37" s="62">
        <f t="shared" si="1"/>
        <v>3.0859947918225626E-2</v>
      </c>
      <c r="I37" s="72">
        <f>SUM($G$7:G37)</f>
        <v>17416</v>
      </c>
      <c r="J37" s="64">
        <f t="shared" si="5"/>
        <v>0.52129665658954172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47</v>
      </c>
      <c r="E38" s="74">
        <f t="shared" si="0"/>
        <v>5</v>
      </c>
      <c r="F38" s="60">
        <f t="shared" si="4"/>
        <v>46.07</v>
      </c>
      <c r="G38" s="61">
        <f>IF(D38=D37,"",_xlfn.IFNA(VLOOKUP(D38,'인원 입력 기능(사과탐)'!$P$64:$S$116,4,FALSE),0))</f>
        <v>1205</v>
      </c>
      <c r="H38" s="62">
        <f t="shared" si="1"/>
        <v>3.6068125355443147E-2</v>
      </c>
      <c r="I38" s="72">
        <f>SUM($G$7:G38)</f>
        <v>18621</v>
      </c>
      <c r="J38" s="64">
        <f t="shared" si="5"/>
        <v>0.55736478194498484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46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42.65</v>
      </c>
      <c r="G39" s="61">
        <f>IF(D39=D38,"",_xlfn.IFNA(VLOOKUP(D39,'인원 입력 기능(사과탐)'!$P$64:$S$116,4,FALSE),0))</f>
        <v>1081</v>
      </c>
      <c r="H39" s="62">
        <f t="shared" si="1"/>
        <v>3.2356550630069744E-2</v>
      </c>
      <c r="I39" s="72">
        <f>SUM($G$7:G39)</f>
        <v>19702</v>
      </c>
      <c r="J39" s="64">
        <f t="shared" si="5"/>
        <v>0.58972133257505466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45</v>
      </c>
      <c r="E40" s="74">
        <f t="shared" si="6"/>
        <v>5</v>
      </c>
      <c r="F40" s="60">
        <f t="shared" si="4"/>
        <v>39.31</v>
      </c>
      <c r="G40" s="61">
        <f>IF(D40=D39,"",_xlfn.IFNA(VLOOKUP(D40,'인원 입력 기능(사과탐)'!$P$64:$S$116,4,FALSE),0))</f>
        <v>1151</v>
      </c>
      <c r="H40" s="62">
        <f t="shared" si="1"/>
        <v>3.44517944266515E-2</v>
      </c>
      <c r="I40" s="72">
        <f>SUM($G$7:G40)</f>
        <v>20853</v>
      </c>
      <c r="J40" s="64">
        <f t="shared" si="5"/>
        <v>0.62417312700170613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03">
        <f t="shared" si="3"/>
        <v>44</v>
      </c>
      <c r="E41" s="203">
        <f t="shared" si="6"/>
        <v>6</v>
      </c>
      <c r="F41" s="205">
        <f t="shared" si="4"/>
        <v>34.22</v>
      </c>
      <c r="G41" s="207">
        <f>IF(D41=D40,"",_xlfn.IFNA(VLOOKUP(D41,'인원 입력 기능(사과탐)'!$P$64:$S$116,4,FALSE),0))</f>
        <v>2249</v>
      </c>
      <c r="H41" s="208">
        <f t="shared" si="1"/>
        <v>6.7317189978748235E-2</v>
      </c>
      <c r="I41" s="214">
        <f>SUM($G$7:G41)</f>
        <v>23102</v>
      </c>
      <c r="J41" s="212">
        <f t="shared" si="5"/>
        <v>0.69149031698045438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02"/>
      <c r="E42" s="202"/>
      <c r="F42" s="204"/>
      <c r="G42" s="206"/>
      <c r="H42" s="209"/>
      <c r="I42" s="215"/>
      <c r="J42" s="213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43</v>
      </c>
      <c r="E43" s="74">
        <f t="shared" si="6"/>
        <v>6</v>
      </c>
      <c r="F43" s="60">
        <f t="shared" si="4"/>
        <v>29.01</v>
      </c>
      <c r="G43" s="61">
        <f>IF(D43=D42,"",_xlfn.IFNA(VLOOKUP(D43,'인원 입력 기능(사과탐)'!$P$64:$S$116,4,FALSE),0))</f>
        <v>1229</v>
      </c>
      <c r="H43" s="62">
        <f t="shared" si="1"/>
        <v>3.678649465712832E-2</v>
      </c>
      <c r="I43" s="72">
        <f>SUM($G$7:G43)</f>
        <v>24331</v>
      </c>
      <c r="J43" s="64">
        <f t="shared" si="5"/>
        <v>0.72827681163758273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42</v>
      </c>
      <c r="E44" s="74">
        <f t="shared" si="6"/>
        <v>6</v>
      </c>
      <c r="F44" s="60">
        <f t="shared" si="4"/>
        <v>23.66</v>
      </c>
      <c r="G44" s="61">
        <f>IF(D44=D43,"",_xlfn.IFNA(VLOOKUP(D44,'인원 입력 기능(사과탐)'!$P$64:$S$116,4,FALSE),0))</f>
        <v>2344</v>
      </c>
      <c r="H44" s="62">
        <f t="shared" si="1"/>
        <v>7.0160735131252053E-2</v>
      </c>
      <c r="I44" s="72">
        <f>SUM($G$7:G44)</f>
        <v>26675</v>
      </c>
      <c r="J44" s="64">
        <f t="shared" si="5"/>
        <v>0.79843754676883472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41</v>
      </c>
      <c r="E45" s="74">
        <f t="shared" si="6"/>
        <v>7</v>
      </c>
      <c r="F45" s="60">
        <f t="shared" si="4"/>
        <v>17.43</v>
      </c>
      <c r="G45" s="61">
        <f>IF(D45=D44,"",_xlfn.IFNA(VLOOKUP(D45,'인원 입력 기능(사과탐)'!$P$64:$S$116,4,FALSE),0))</f>
        <v>1821</v>
      </c>
      <c r="H45" s="62">
        <f t="shared" si="1"/>
        <v>5.450627076536263E-2</v>
      </c>
      <c r="I45" s="72">
        <f>SUM($G$7:G45)</f>
        <v>28496</v>
      </c>
      <c r="J45" s="64">
        <f t="shared" si="5"/>
        <v>0.85294381753419735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40</v>
      </c>
      <c r="E46" s="74">
        <f t="shared" si="6"/>
        <v>7</v>
      </c>
      <c r="F46" s="60">
        <f t="shared" si="4"/>
        <v>13.44</v>
      </c>
      <c r="G46" s="61">
        <f>IF(D46=D45,"",_xlfn.IFNA(VLOOKUP(D46,'인원 입력 기능(사과탐)'!$P$64:$S$116,4,FALSE),0))</f>
        <v>845</v>
      </c>
      <c r="H46" s="62">
        <f t="shared" si="1"/>
        <v>2.5292585830165526E-2</v>
      </c>
      <c r="I46" s="72">
        <f>SUM($G$7:G46)</f>
        <v>29341</v>
      </c>
      <c r="J46" s="64">
        <f t="shared" si="5"/>
        <v>0.87823640336436293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39</v>
      </c>
      <c r="E47" s="74">
        <f t="shared" si="6"/>
        <v>7</v>
      </c>
      <c r="F47" s="60">
        <f t="shared" si="4"/>
        <v>10.5</v>
      </c>
      <c r="G47" s="61">
        <f>IF(D47=D46,"",_xlfn.IFNA(VLOOKUP(D47,'인원 입력 기능(사과탐)'!$P$64:$S$116,4,FALSE),0))</f>
        <v>1117</v>
      </c>
      <c r="H47" s="62">
        <f t="shared" si="1"/>
        <v>3.3434104582597504E-2</v>
      </c>
      <c r="I47" s="72">
        <f>SUM($G$7:G47)</f>
        <v>30458</v>
      </c>
      <c r="J47" s="64">
        <f t="shared" si="5"/>
        <v>0.91167050794696036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38</v>
      </c>
      <c r="E48" s="74">
        <f t="shared" si="6"/>
        <v>8</v>
      </c>
      <c r="F48" s="60">
        <f t="shared" si="4"/>
        <v>7.89</v>
      </c>
      <c r="G48" s="61">
        <f>IF(D48=D47,"",_xlfn.IFNA(VLOOKUP(D48,'인원 입력 기능(사과탐)'!$P$64:$S$116,4,FALSE),0))</f>
        <v>629</v>
      </c>
      <c r="H48" s="62">
        <f t="shared" si="1"/>
        <v>1.8827262114998952E-2</v>
      </c>
      <c r="I48" s="72">
        <f>SUM($G$7:G48)</f>
        <v>31087</v>
      </c>
      <c r="J48" s="64">
        <f t="shared" si="5"/>
        <v>0.93049777006195933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37</v>
      </c>
      <c r="E49" s="74">
        <f t="shared" si="6"/>
        <v>8</v>
      </c>
      <c r="F49" s="60">
        <f t="shared" si="4"/>
        <v>5.88</v>
      </c>
      <c r="G49" s="61">
        <f>IF(D49=D48,"",_xlfn.IFNA(VLOOKUP(D49,'인원 입력 기능(사과탐)'!$P$64:$S$116,4,FALSE),0))</f>
        <v>712</v>
      </c>
      <c r="H49" s="62">
        <f t="shared" si="1"/>
        <v>2.131162261666018E-2</v>
      </c>
      <c r="I49" s="72">
        <f>SUM($G$7:G49)</f>
        <v>31799</v>
      </c>
      <c r="J49" s="64">
        <f t="shared" si="5"/>
        <v>0.95180939267861953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36</v>
      </c>
      <c r="E50" s="74">
        <f t="shared" si="6"/>
        <v>8</v>
      </c>
      <c r="F50" s="60">
        <f t="shared" si="4"/>
        <v>3.92</v>
      </c>
      <c r="G50" s="61">
        <f>IF(D50=D49,"",_xlfn.IFNA(VLOOKUP(D50,'인원 입력 기능(사과탐)'!$P$64:$S$116,4,FALSE),0))</f>
        <v>601</v>
      </c>
      <c r="H50" s="62">
        <f t="shared" si="1"/>
        <v>1.798916459636625E-2</v>
      </c>
      <c r="I50" s="72">
        <f>SUM($G$7:G50)</f>
        <v>32400</v>
      </c>
      <c r="J50" s="64">
        <f t="shared" si="5"/>
        <v>0.96979855727498576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9</v>
      </c>
      <c r="F51" s="60">
        <f t="shared" si="4"/>
        <v>2.65</v>
      </c>
      <c r="G51" s="61">
        <f>IF(D51=D50,"",_xlfn.IFNA(VLOOKUP(D51,'인원 입력 기능(사과탐)'!$P$64:$S$116,4,FALSE),0))</f>
        <v>244</v>
      </c>
      <c r="H51" s="62">
        <f t="shared" si="1"/>
        <v>7.303421233799276E-3</v>
      </c>
      <c r="I51" s="72">
        <f>SUM($G$7:G51)</f>
        <v>32644</v>
      </c>
      <c r="J51" s="64">
        <f t="shared" si="5"/>
        <v>0.97710197850878511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1.82</v>
      </c>
      <c r="G52" s="61">
        <f>IF(D52=D51,"",_xlfn.IFNA(VLOOKUP(D52,'인원 입력 기능(사과탐)'!$P$64:$S$116,4,FALSE),0))</f>
        <v>313</v>
      </c>
      <c r="H52" s="62">
        <f t="shared" si="1"/>
        <v>9.3687329761441528E-3</v>
      </c>
      <c r="I52" s="72">
        <f>SUM($G$7:G52)</f>
        <v>32957</v>
      </c>
      <c r="J52" s="64">
        <f t="shared" si="5"/>
        <v>0.98647071148492926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1.08</v>
      </c>
      <c r="G53" s="61">
        <f>IF(D53=D52,"",_xlfn.IFNA(VLOOKUP(D53,'인원 입력 기능(사과탐)'!$P$64:$S$116,4,FALSE),0))</f>
        <v>185</v>
      </c>
      <c r="H53" s="62">
        <f t="shared" si="1"/>
        <v>5.5374300338232214E-3</v>
      </c>
      <c r="I53" s="72">
        <f>SUM($G$7:G53)</f>
        <v>33142</v>
      </c>
      <c r="J53" s="64">
        <f t="shared" si="5"/>
        <v>0.99200814151875238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0.63</v>
      </c>
      <c r="G54" s="61">
        <f>IF(D54=D53,"",_xlfn.IFNA(VLOOKUP(D54,'인원 입력 기능(사과탐)'!$P$64:$S$116,4,FALSE),0))</f>
        <v>115</v>
      </c>
      <c r="H54" s="62">
        <f t="shared" si="1"/>
        <v>3.442186237241462E-3</v>
      </c>
      <c r="I54" s="72">
        <f>SUM($G$7:G54)</f>
        <v>33257</v>
      </c>
      <c r="J54" s="64">
        <f t="shared" si="5"/>
        <v>0.99545032775599385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0.28000000000000003</v>
      </c>
      <c r="G55" s="61">
        <f>IF(D55=D54,"",_xlfn.IFNA(VLOOKUP(D55,'인원 입력 기능(사과탐)'!$P$64:$S$116,4,FALSE),0))</f>
        <v>117</v>
      </c>
      <c r="H55" s="62">
        <f t="shared" si="1"/>
        <v>3.5020503457152265E-3</v>
      </c>
      <c r="I55" s="72">
        <f>SUM($G$7:G55)</f>
        <v>33374</v>
      </c>
      <c r="J55" s="64">
        <f t="shared" si="5"/>
        <v>0.99895237810170912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0.05</v>
      </c>
      <c r="G57" s="113">
        <f>_xlfn.IFNA(VLOOKUP(D57,'인원 입력 기능(사과탐)'!$P$64:$S$116,4,FALSE),0)</f>
        <v>35</v>
      </c>
      <c r="H57" s="81">
        <f>G57/$J$3</f>
        <v>1.0476218982908797E-3</v>
      </c>
      <c r="I57" s="82">
        <f>SUM($G$7:G57)</f>
        <v>33409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I41:I42"/>
    <mergeCell ref="J41:J42"/>
    <mergeCell ref="D41:D42"/>
    <mergeCell ref="E41:E42"/>
    <mergeCell ref="F41:F42"/>
    <mergeCell ref="G41:G42"/>
    <mergeCell ref="H41:H42"/>
    <mergeCell ref="D3:F3"/>
    <mergeCell ref="D4:F4"/>
    <mergeCell ref="I4:J5"/>
    <mergeCell ref="D9:D10"/>
    <mergeCell ref="E9:E10"/>
    <mergeCell ref="F9:F10"/>
    <mergeCell ref="G9:G10"/>
    <mergeCell ref="H9:H10"/>
    <mergeCell ref="I9:I10"/>
    <mergeCell ref="J9:J10"/>
  </mergeCells>
  <phoneticPr fontId="1" type="noConversion"/>
  <conditionalFormatting sqref="D7:G9 I7:J9 D11:G41 I11:J41 D43:G57 I43:J57">
    <cfRule type="expression" dxfId="23" priority="4">
      <formula>OR($D7=$Q$7:$Q$14)</formula>
    </cfRule>
  </conditionalFormatting>
  <conditionalFormatting sqref="C7:C57">
    <cfRule type="expression" dxfId="22" priority="3">
      <formula>OR(AND($D7=0,OR($D6=$Q$7:$Q$14)),AND($D8&gt;0,OR($D7=$Q$7:$Q$14)))</formula>
    </cfRule>
  </conditionalFormatting>
  <conditionalFormatting sqref="D7:D9 D11:D41 D43:D57">
    <cfRule type="expression" dxfId="21" priority="2">
      <formula>$D7=$D8</formula>
    </cfRule>
  </conditionalFormatting>
  <conditionalFormatting sqref="H7:H9 H11:H41 H43:H57">
    <cfRule type="expression" dxfId="2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기능'!D16</f>
        <v>24.25</v>
      </c>
      <c r="I3" s="21" t="s">
        <v>70</v>
      </c>
      <c r="J3" s="50">
        <f>'통계 및 응시자 수 입력 기능'!C16</f>
        <v>47887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96</v>
      </c>
      <c r="E4" s="185"/>
      <c r="F4" s="186"/>
      <c r="G4" s="52" t="s">
        <v>73</v>
      </c>
      <c r="H4" s="53" t="str">
        <f>'통계 및 응시자 수 입력 기능'!E16</f>
        <v>12.18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71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99.48</v>
      </c>
      <c r="G7" s="61">
        <f>_xlfn.IFNA(VLOOKUP(D7,'인원 입력 기능(사과탐)'!$A$121:$D$172,4,FALSE),0)</f>
        <v>498</v>
      </c>
      <c r="H7" s="62">
        <f>G7/$J$3</f>
        <v>1.0399482114143713E-2</v>
      </c>
      <c r="I7" s="63">
        <f>G7</f>
        <v>498</v>
      </c>
      <c r="J7" s="64">
        <f>I7/$J$3</f>
        <v>1.0399482114143713E-2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기능'!C112</f>
        <v>67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기능'!C113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v>70</v>
      </c>
      <c r="E9" s="59">
        <f t="shared" si="0"/>
        <v>1</v>
      </c>
      <c r="F9" s="60">
        <f>IF(I8=0,ROUND(100*(1-(I7+I9)/2/$J$3),2),ROUND(100*(1-(I8+I9)/2/$J$3),2))</f>
        <v>98.67</v>
      </c>
      <c r="G9" s="61">
        <f>_xlfn.IFNA(VLOOKUP(D9,'인원 입력 기능(사과탐)'!$A$121:$D$172,4,FALSE),0)</f>
        <v>279</v>
      </c>
      <c r="H9" s="62">
        <f t="shared" ref="H9:H55" si="1">G9/$J$3</f>
        <v>5.8262158832250921E-3</v>
      </c>
      <c r="I9" s="72">
        <f>SUM($G$7:G9)</f>
        <v>777</v>
      </c>
      <c r="J9" s="64">
        <f>I9/$J$3</f>
        <v>1.6225697997368806E-2</v>
      </c>
      <c r="K9" s="36"/>
      <c r="L9" s="20" t="str">
        <f t="shared" ref="L9:L57" si="2">IF(ABS((C9-$H$3)/$H$4*10+50-D9)&gt;0.49, "경고", "")</f>
        <v>경고</v>
      </c>
      <c r="N9" s="24"/>
      <c r="P9" s="24">
        <v>3</v>
      </c>
      <c r="Q9" s="24">
        <f>'표점등급&amp;절평인원 입력 기능'!C114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69</v>
      </c>
      <c r="E10" s="59">
        <f t="shared" si="0"/>
        <v>1</v>
      </c>
      <c r="F10" s="60">
        <f t="shared" ref="F10:F55" si="4">IF(I9=0,ROUND(100*(1-(I8+I10)/2/$J$3),2),ROUND(100*(1-(I9+I10)/2/$J$3),2))</f>
        <v>97.63</v>
      </c>
      <c r="G10" s="61">
        <f>IF(D10=D9,"",_xlfn.IFNA(VLOOKUP(D10,'인원 입력 기능(사과탐)'!$A$121:$D$172,4,FALSE),0))</f>
        <v>719</v>
      </c>
      <c r="H10" s="62">
        <f t="shared" si="1"/>
        <v>1.501451333347255E-2</v>
      </c>
      <c r="I10" s="72">
        <f>SUM($G$7:G10)</f>
        <v>1496</v>
      </c>
      <c r="J10" s="64">
        <f t="shared" ref="J10:J55" si="5">I10/$J$3</f>
        <v>3.1240211330841355E-2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기능'!C115</f>
        <v>53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68</v>
      </c>
      <c r="E11" s="59">
        <f t="shared" si="0"/>
        <v>1</v>
      </c>
      <c r="F11" s="60">
        <f t="shared" si="4"/>
        <v>96.73</v>
      </c>
      <c r="G11" s="61">
        <f>IF(D11=D10,"",_xlfn.IFNA(VLOOKUP(D11,'인원 입력 기능(사과탐)'!$A$121:$D$172,4,FALSE),0))</f>
        <v>140</v>
      </c>
      <c r="H11" s="62">
        <f t="shared" si="1"/>
        <v>2.9235491887151001E-3</v>
      </c>
      <c r="I11" s="72">
        <f>SUM($G$7:G11)</f>
        <v>1636</v>
      </c>
      <c r="J11" s="64">
        <f t="shared" si="5"/>
        <v>3.4163760519556455E-2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기능'!C116</f>
        <v>47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67</v>
      </c>
      <c r="E12" s="59">
        <f t="shared" si="0"/>
        <v>1</v>
      </c>
      <c r="F12" s="60">
        <f t="shared" si="4"/>
        <v>95.75</v>
      </c>
      <c r="G12" s="61">
        <f>IF(D12=D11,"",_xlfn.IFNA(VLOOKUP(D12,'인원 입력 기능(사과탐)'!$A$121:$D$172,4,FALSE),0))</f>
        <v>797</v>
      </c>
      <c r="H12" s="62">
        <f t="shared" si="1"/>
        <v>1.6643347881470962E-2</v>
      </c>
      <c r="I12" s="72">
        <f>SUM($G$7:G12)</f>
        <v>2433</v>
      </c>
      <c r="J12" s="64">
        <f t="shared" si="5"/>
        <v>5.0807108401027416E-2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기능'!C117</f>
        <v>40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66</v>
      </c>
      <c r="E13" s="59">
        <f t="shared" si="0"/>
        <v>2</v>
      </c>
      <c r="F13" s="60">
        <f t="shared" si="4"/>
        <v>94.28</v>
      </c>
      <c r="G13" s="61">
        <f>IF(D13=D12,"",_xlfn.IFNA(VLOOKUP(D13,'인원 입력 기능(사과탐)'!$A$121:$D$172,4,FALSE),0))</f>
        <v>612</v>
      </c>
      <c r="H13" s="62">
        <f t="shared" si="1"/>
        <v>1.278008645352601E-2</v>
      </c>
      <c r="I13" s="72">
        <f>SUM($G$7:G13)</f>
        <v>3045</v>
      </c>
      <c r="J13" s="64">
        <f t="shared" si="5"/>
        <v>6.3587194854553428E-2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기능'!C118</f>
        <v>37</v>
      </c>
    </row>
    <row r="14" spans="1:17" s="22" customFormat="1" ht="25" customHeight="1" x14ac:dyDescent="0.45">
      <c r="A14" s="20"/>
      <c r="B14" s="35"/>
      <c r="C14" s="65">
        <v>43</v>
      </c>
      <c r="D14" s="201">
        <f t="shared" si="3"/>
        <v>65</v>
      </c>
      <c r="E14" s="201">
        <f t="shared" si="0"/>
        <v>2</v>
      </c>
      <c r="F14" s="205">
        <f t="shared" si="4"/>
        <v>91.93</v>
      </c>
      <c r="G14" s="207">
        <f>IF(D14=D13,"",_xlfn.IFNA(VLOOKUP(D14,'인원 입력 기능(사과탐)'!$A$121:$D$172,4,FALSE),0))</f>
        <v>1639</v>
      </c>
      <c r="H14" s="208">
        <f t="shared" si="1"/>
        <v>3.4226408002171776E-2</v>
      </c>
      <c r="I14" s="214">
        <f>SUM($G$7:G14)</f>
        <v>4684</v>
      </c>
      <c r="J14" s="212">
        <f t="shared" si="5"/>
        <v>9.7813602856725204E-2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기능'!C119</f>
        <v>35</v>
      </c>
    </row>
    <row r="15" spans="1:17" s="22" customFormat="1" ht="25" customHeight="1" x14ac:dyDescent="0.45">
      <c r="A15" s="20"/>
      <c r="B15" s="35"/>
      <c r="C15" s="58">
        <v>42</v>
      </c>
      <c r="D15" s="200"/>
      <c r="E15" s="200"/>
      <c r="F15" s="204"/>
      <c r="G15" s="206"/>
      <c r="H15" s="209"/>
      <c r="I15" s="215"/>
      <c r="J15" s="213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64</v>
      </c>
      <c r="E16" s="59">
        <f t="shared" si="0"/>
        <v>2</v>
      </c>
      <c r="F16" s="60">
        <f t="shared" si="4"/>
        <v>89.62</v>
      </c>
      <c r="G16" s="61">
        <f>IF(D16=D15,"",_xlfn.IFNA(VLOOKUP(D16,'인원 입력 기능(사과탐)'!$A$121:$D$172,4,FALSE),0))</f>
        <v>572</v>
      </c>
      <c r="H16" s="62">
        <f t="shared" si="1"/>
        <v>1.1944786685321694E-2</v>
      </c>
      <c r="I16" s="72">
        <f>SUM($G$7:G16)</f>
        <v>5256</v>
      </c>
      <c r="J16" s="64">
        <f t="shared" si="5"/>
        <v>0.10975838954204691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63</v>
      </c>
      <c r="E17" s="59">
        <f t="shared" si="0"/>
        <v>2</v>
      </c>
      <c r="F17" s="60">
        <f t="shared" si="4"/>
        <v>88.02</v>
      </c>
      <c r="G17" s="61">
        <f>IF(D17=D16,"",_xlfn.IFNA(VLOOKUP(D17,'인원 입력 기능(사과탐)'!$A$121:$D$172,4,FALSE),0))</f>
        <v>965</v>
      </c>
      <c r="H17" s="62">
        <f t="shared" si="1"/>
        <v>2.0151606907929082E-2</v>
      </c>
      <c r="I17" s="72">
        <f>SUM($G$7:G17)</f>
        <v>6221</v>
      </c>
      <c r="J17" s="64">
        <f t="shared" si="5"/>
        <v>0.12990999644997597</v>
      </c>
      <c r="K17" s="36"/>
      <c r="L17" s="20" t="str">
        <f t="shared" si="2"/>
        <v/>
      </c>
      <c r="N17" s="24"/>
      <c r="Q17" s="24">
        <f>Q7*H3*H4*J3*IFERROR(IF(J57=1, 1, 0), 0)</f>
        <v>947657631.58499992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62</v>
      </c>
      <c r="E18" s="59">
        <f t="shared" si="0"/>
        <v>3</v>
      </c>
      <c r="F18" s="60">
        <f t="shared" si="4"/>
        <v>86.09</v>
      </c>
      <c r="G18" s="61">
        <f>IF(D18=D17,"",_xlfn.IFNA(VLOOKUP(D18,'인원 입력 기능(사과탐)'!$A$121:$D$172,4,FALSE),0))</f>
        <v>879</v>
      </c>
      <c r="H18" s="62">
        <f t="shared" si="1"/>
        <v>1.8355712406289807E-2</v>
      </c>
      <c r="I18" s="72">
        <f>SUM($G$7:G18)</f>
        <v>7100</v>
      </c>
      <c r="J18" s="64">
        <f t="shared" si="5"/>
        <v>0.1482657088562658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61</v>
      </c>
      <c r="E19" s="59">
        <f t="shared" si="0"/>
        <v>3</v>
      </c>
      <c r="F19" s="60">
        <f t="shared" si="4"/>
        <v>84.23</v>
      </c>
      <c r="G19" s="61">
        <f>IF(D19=D18,"",_xlfn.IFNA(VLOOKUP(D19,'인원 입력 기능(사과탐)'!$A$121:$D$172,4,FALSE),0))</f>
        <v>901</v>
      </c>
      <c r="H19" s="62">
        <f t="shared" si="1"/>
        <v>1.881512727880218E-2</v>
      </c>
      <c r="I19" s="72">
        <f>SUM($G$7:G19)</f>
        <v>8001</v>
      </c>
      <c r="J19" s="64">
        <f t="shared" si="5"/>
        <v>0.16708083613506797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201">
        <f t="shared" si="3"/>
        <v>60</v>
      </c>
      <c r="E20" s="201">
        <f t="shared" si="0"/>
        <v>3</v>
      </c>
      <c r="F20" s="205">
        <f t="shared" si="4"/>
        <v>81.13</v>
      </c>
      <c r="G20" s="207">
        <f>IF(D20=D19,"",_xlfn.IFNA(VLOOKUP(D20,'인원 입력 기능(사과탐)'!$A$121:$D$172,4,FALSE),0))</f>
        <v>2073</v>
      </c>
      <c r="H20" s="208">
        <f t="shared" si="1"/>
        <v>4.3289410487188588E-2</v>
      </c>
      <c r="I20" s="214">
        <f>SUM($G$7:G20)</f>
        <v>10074</v>
      </c>
      <c r="J20" s="212">
        <f t="shared" si="5"/>
        <v>0.21037024662225656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200"/>
      <c r="E21" s="200"/>
      <c r="F21" s="204"/>
      <c r="G21" s="206"/>
      <c r="H21" s="209"/>
      <c r="I21" s="215"/>
      <c r="J21" s="213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59</v>
      </c>
      <c r="E22" s="74">
        <f t="shared" si="0"/>
        <v>3</v>
      </c>
      <c r="F22" s="60">
        <f t="shared" si="4"/>
        <v>77.709999999999994</v>
      </c>
      <c r="G22" s="61">
        <f>IF(D22=D21,"",_xlfn.IFNA(VLOOKUP(D22,'인원 입력 기능(사과탐)'!$A$121:$D$172,4,FALSE),0))</f>
        <v>1202</v>
      </c>
      <c r="H22" s="62">
        <f t="shared" si="1"/>
        <v>2.5100758034539646E-2</v>
      </c>
      <c r="I22" s="72">
        <f>SUM($G$7:G22)</f>
        <v>11276</v>
      </c>
      <c r="J22" s="64">
        <f t="shared" si="5"/>
        <v>0.23547100465679621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58</v>
      </c>
      <c r="E23" s="74">
        <f t="shared" si="0"/>
        <v>4</v>
      </c>
      <c r="F23" s="60">
        <f t="shared" si="4"/>
        <v>75.400000000000006</v>
      </c>
      <c r="G23" s="61">
        <f>IF(D23=D22,"",_xlfn.IFNA(VLOOKUP(D23,'인원 입력 기능(사과탐)'!$A$121:$D$172,4,FALSE),0))</f>
        <v>1011</v>
      </c>
      <c r="H23" s="62">
        <f t="shared" si="1"/>
        <v>2.1112201641364046E-2</v>
      </c>
      <c r="I23" s="72">
        <f>SUM($G$7:G23)</f>
        <v>12287</v>
      </c>
      <c r="J23" s="64">
        <f t="shared" si="5"/>
        <v>0.25658320629816023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57</v>
      </c>
      <c r="E24" s="74">
        <f t="shared" si="0"/>
        <v>4</v>
      </c>
      <c r="F24" s="60">
        <f t="shared" si="4"/>
        <v>73.16</v>
      </c>
      <c r="G24" s="61">
        <f>IF(D24=D23,"",_xlfn.IFNA(VLOOKUP(D24,'인원 입력 기능(사과탐)'!$A$121:$D$172,4,FALSE),0))</f>
        <v>1135</v>
      </c>
      <c r="H24" s="62">
        <f t="shared" si="1"/>
        <v>2.370163092279742E-2</v>
      </c>
      <c r="I24" s="72">
        <f>SUM($G$7:G24)</f>
        <v>13422</v>
      </c>
      <c r="J24" s="64">
        <f t="shared" si="5"/>
        <v>0.28028483722095765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03">
        <f t="shared" si="3"/>
        <v>56</v>
      </c>
      <c r="E25" s="203">
        <f t="shared" si="0"/>
        <v>4</v>
      </c>
      <c r="F25" s="205">
        <f t="shared" si="4"/>
        <v>69.44</v>
      </c>
      <c r="G25" s="207">
        <f>IF(D25=D24,"",_xlfn.IFNA(VLOOKUP(D25,'인원 입력 기능(사과탐)'!$A$121:$D$172,4,FALSE),0))</f>
        <v>2422</v>
      </c>
      <c r="H25" s="208">
        <f t="shared" si="1"/>
        <v>5.057740096477123E-2</v>
      </c>
      <c r="I25" s="214">
        <f>SUM($G$7:G25)</f>
        <v>15844</v>
      </c>
      <c r="J25" s="212">
        <f t="shared" si="5"/>
        <v>0.33086223818572891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202"/>
      <c r="E26" s="202"/>
      <c r="F26" s="204"/>
      <c r="G26" s="206"/>
      <c r="H26" s="209"/>
      <c r="I26" s="215"/>
      <c r="J26" s="213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55</v>
      </c>
      <c r="E27" s="74">
        <f t="shared" si="0"/>
        <v>4</v>
      </c>
      <c r="F27" s="60">
        <f t="shared" si="4"/>
        <v>65.41</v>
      </c>
      <c r="G27" s="61">
        <f>IF(D27=D26,"",_xlfn.IFNA(VLOOKUP(D27,'인원 입력 기능(사과탐)'!$A$121:$D$172,4,FALSE),0))</f>
        <v>1438</v>
      </c>
      <c r="H27" s="62">
        <f t="shared" si="1"/>
        <v>3.00290266669451E-2</v>
      </c>
      <c r="I27" s="72">
        <f>SUM($G$7:G27)</f>
        <v>17282</v>
      </c>
      <c r="J27" s="64">
        <f t="shared" si="5"/>
        <v>0.36089126485267398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54</v>
      </c>
      <c r="E28" s="74">
        <f t="shared" si="0"/>
        <v>4</v>
      </c>
      <c r="F28" s="60">
        <f t="shared" si="4"/>
        <v>62.57</v>
      </c>
      <c r="G28" s="61">
        <f>IF(D28=D27,"",_xlfn.IFNA(VLOOKUP(D28,'인원 입력 기능(사과탐)'!$A$121:$D$172,4,FALSE),0))</f>
        <v>1285</v>
      </c>
      <c r="H28" s="62">
        <f t="shared" si="1"/>
        <v>2.6834005053563599E-2</v>
      </c>
      <c r="I28" s="72">
        <f>SUM($G$7:G28)</f>
        <v>18567</v>
      </c>
      <c r="J28" s="64">
        <f t="shared" si="5"/>
        <v>0.38772526990623762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53</v>
      </c>
      <c r="E29" s="74">
        <f t="shared" si="0"/>
        <v>4</v>
      </c>
      <c r="F29" s="60">
        <f t="shared" si="4"/>
        <v>59.94</v>
      </c>
      <c r="G29" s="61">
        <f>IF(D29=D28,"",_xlfn.IFNA(VLOOKUP(D29,'인원 입력 기능(사과탐)'!$A$121:$D$172,4,FALSE),0))</f>
        <v>1231</v>
      </c>
      <c r="H29" s="62">
        <f t="shared" si="1"/>
        <v>2.5706350366487773E-2</v>
      </c>
      <c r="I29" s="72">
        <f>SUM($G$7:G29)</f>
        <v>19798</v>
      </c>
      <c r="J29" s="64">
        <f t="shared" si="5"/>
        <v>0.4134316202727254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52</v>
      </c>
      <c r="E30" s="74">
        <f t="shared" si="0"/>
        <v>5</v>
      </c>
      <c r="F30" s="60">
        <f t="shared" si="4"/>
        <v>57.08</v>
      </c>
      <c r="G30" s="61">
        <f>IF(D30=D29,"",_xlfn.IFNA(VLOOKUP(D30,'인원 입력 기능(사과탐)'!$A$121:$D$172,4,FALSE),0))</f>
        <v>1508</v>
      </c>
      <c r="H30" s="62">
        <f t="shared" si="1"/>
        <v>3.1490801261302652E-2</v>
      </c>
      <c r="I30" s="72">
        <f>SUM($G$7:G30)</f>
        <v>21306</v>
      </c>
      <c r="J30" s="64">
        <f t="shared" si="5"/>
        <v>0.444922421534028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203">
        <f t="shared" si="3"/>
        <v>51</v>
      </c>
      <c r="E31" s="203">
        <f t="shared" si="0"/>
        <v>5</v>
      </c>
      <c r="F31" s="205">
        <f t="shared" si="4"/>
        <v>52.92</v>
      </c>
      <c r="G31" s="207">
        <f>IF(D31=D30,"",_xlfn.IFNA(VLOOKUP(D31,'인원 입력 기능(사과탐)'!$A$121:$D$172,4,FALSE),0))</f>
        <v>2483</v>
      </c>
      <c r="H31" s="208">
        <f t="shared" si="1"/>
        <v>5.1851233111282813E-2</v>
      </c>
      <c r="I31" s="214">
        <f>SUM($G$7:G31)</f>
        <v>23789</v>
      </c>
      <c r="J31" s="212">
        <f t="shared" si="5"/>
        <v>0.49677365464531081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02"/>
      <c r="E32" s="202"/>
      <c r="F32" s="204"/>
      <c r="G32" s="206"/>
      <c r="H32" s="209"/>
      <c r="I32" s="215"/>
      <c r="J32" s="213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50</v>
      </c>
      <c r="E33" s="74">
        <f t="shared" si="0"/>
        <v>5</v>
      </c>
      <c r="F33" s="60">
        <f t="shared" si="4"/>
        <v>48.95</v>
      </c>
      <c r="G33" s="61">
        <f>IF(D33=D32,"",_xlfn.IFNA(VLOOKUP(D33,'인원 입력 기능(사과탐)'!$A$121:$D$172,4,FALSE),0))</f>
        <v>1315</v>
      </c>
      <c r="H33" s="62">
        <f t="shared" si="1"/>
        <v>2.7460479879716834E-2</v>
      </c>
      <c r="I33" s="72">
        <f>SUM($G$7:G33)</f>
        <v>25104</v>
      </c>
      <c r="J33" s="64">
        <f t="shared" si="5"/>
        <v>0.52423413452502765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49</v>
      </c>
      <c r="E34" s="74">
        <f t="shared" si="0"/>
        <v>5</v>
      </c>
      <c r="F34" s="60">
        <f t="shared" si="4"/>
        <v>46.41</v>
      </c>
      <c r="G34" s="61">
        <f>IF(D34=D33,"",_xlfn.IFNA(VLOOKUP(D34,'인원 입력 기능(사과탐)'!$A$121:$D$172,4,FALSE),0))</f>
        <v>1122</v>
      </c>
      <c r="H34" s="62">
        <f t="shared" si="1"/>
        <v>2.3430158498131015E-2</v>
      </c>
      <c r="I34" s="72">
        <f>SUM($G$7:G34)</f>
        <v>26226</v>
      </c>
      <c r="J34" s="64">
        <f t="shared" si="5"/>
        <v>0.54766429302315867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48</v>
      </c>
      <c r="E35" s="74">
        <f t="shared" si="0"/>
        <v>5</v>
      </c>
      <c r="F35" s="60">
        <f t="shared" si="4"/>
        <v>44.04</v>
      </c>
      <c r="G35" s="61">
        <f>IF(D35=D34,"",_xlfn.IFNA(VLOOKUP(D35,'인원 입력 기능(사과탐)'!$A$121:$D$172,4,FALSE),0))</f>
        <v>1145</v>
      </c>
      <c r="H35" s="62">
        <f t="shared" si="1"/>
        <v>2.3910455864848499E-2</v>
      </c>
      <c r="I35" s="72">
        <f>SUM($G$7:G35)</f>
        <v>27371</v>
      </c>
      <c r="J35" s="64">
        <f t="shared" si="5"/>
        <v>0.57157474888800719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203">
        <f t="shared" si="3"/>
        <v>47</v>
      </c>
      <c r="E36" s="203">
        <f t="shared" si="0"/>
        <v>5</v>
      </c>
      <c r="F36" s="205">
        <f t="shared" si="4"/>
        <v>40.630000000000003</v>
      </c>
      <c r="G36" s="207">
        <f>IF(D36=D35,"",_xlfn.IFNA(VLOOKUP(D36,'인원 입력 기능(사과탐)'!$A$121:$D$172,4,FALSE),0))</f>
        <v>2122</v>
      </c>
      <c r="H36" s="208">
        <f t="shared" si="1"/>
        <v>4.4312652703238878E-2</v>
      </c>
      <c r="I36" s="214">
        <f>SUM($G$7:G36)</f>
        <v>29493</v>
      </c>
      <c r="J36" s="212">
        <f t="shared" si="5"/>
        <v>0.61588740159124611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202"/>
      <c r="E37" s="202"/>
      <c r="F37" s="204"/>
      <c r="G37" s="206"/>
      <c r="H37" s="209"/>
      <c r="I37" s="215"/>
      <c r="J37" s="213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46</v>
      </c>
      <c r="E38" s="74">
        <f t="shared" si="0"/>
        <v>6</v>
      </c>
      <c r="F38" s="60">
        <f t="shared" si="4"/>
        <v>37.409999999999997</v>
      </c>
      <c r="G38" s="61">
        <f>IF(D38=D37,"",_xlfn.IFNA(VLOOKUP(D38,'인원 입력 기능(사과탐)'!$A$121:$D$172,4,FALSE),0))</f>
        <v>956</v>
      </c>
      <c r="H38" s="62">
        <f t="shared" si="1"/>
        <v>1.9963664460083113E-2</v>
      </c>
      <c r="I38" s="72">
        <f>SUM($G$7:G38)</f>
        <v>30449</v>
      </c>
      <c r="J38" s="64">
        <f t="shared" si="5"/>
        <v>0.63585106605132913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45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35.520000000000003</v>
      </c>
      <c r="G39" s="61">
        <f>IF(D39=D38,"",_xlfn.IFNA(VLOOKUP(D39,'인원 입력 기능(사과탐)'!$A$121:$D$172,4,FALSE),0))</f>
        <v>861</v>
      </c>
      <c r="H39" s="62">
        <f t="shared" si="1"/>
        <v>1.7979827510597866E-2</v>
      </c>
      <c r="I39" s="72">
        <f>SUM($G$7:G39)</f>
        <v>31310</v>
      </c>
      <c r="J39" s="64">
        <f t="shared" si="5"/>
        <v>0.65383089356192703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44</v>
      </c>
      <c r="E40" s="74">
        <f t="shared" si="6"/>
        <v>6</v>
      </c>
      <c r="F40" s="60">
        <f t="shared" si="4"/>
        <v>33.520000000000003</v>
      </c>
      <c r="G40" s="61">
        <f>IF(D40=D39,"",_xlfn.IFNA(VLOOKUP(D40,'인원 입력 기능(사과탐)'!$A$121:$D$172,4,FALSE),0))</f>
        <v>1052</v>
      </c>
      <c r="H40" s="62">
        <f t="shared" si="1"/>
        <v>2.1968383903773467E-2</v>
      </c>
      <c r="I40" s="72">
        <f>SUM($G$7:G40)</f>
        <v>32362</v>
      </c>
      <c r="J40" s="64">
        <f t="shared" si="5"/>
        <v>0.67579927746570045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43</v>
      </c>
      <c r="E41" s="74">
        <f t="shared" si="6"/>
        <v>6</v>
      </c>
      <c r="F41" s="60">
        <f t="shared" si="4"/>
        <v>31.47</v>
      </c>
      <c r="G41" s="61">
        <f>IF(D41=D40,"",_xlfn.IFNA(VLOOKUP(D41,'인원 입력 기능(사과탐)'!$A$121:$D$172,4,FALSE),0))</f>
        <v>908</v>
      </c>
      <c r="H41" s="62">
        <f t="shared" si="1"/>
        <v>1.8961304738237934E-2</v>
      </c>
      <c r="I41" s="72">
        <f>SUM($G$7:G41)</f>
        <v>33270</v>
      </c>
      <c r="J41" s="64">
        <f t="shared" si="5"/>
        <v>0.69476058220393844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03">
        <f t="shared" si="3"/>
        <v>42</v>
      </c>
      <c r="E42" s="203">
        <f t="shared" si="6"/>
        <v>6</v>
      </c>
      <c r="F42" s="205">
        <f t="shared" si="4"/>
        <v>28.44</v>
      </c>
      <c r="G42" s="207">
        <f>IF(D42=D41,"",_xlfn.IFNA(VLOOKUP(D42,'인원 입력 기능(사과탐)'!$A$121:$D$172,4,FALSE),0))</f>
        <v>1993</v>
      </c>
      <c r="H42" s="208">
        <f t="shared" si="1"/>
        <v>4.1618810950779961E-2</v>
      </c>
      <c r="I42" s="214">
        <f>SUM($G$7:G42)</f>
        <v>35263</v>
      </c>
      <c r="J42" s="212">
        <f t="shared" si="5"/>
        <v>0.73637939315471845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02"/>
      <c r="E43" s="202"/>
      <c r="F43" s="204"/>
      <c r="G43" s="206"/>
      <c r="H43" s="209"/>
      <c r="I43" s="215"/>
      <c r="J43" s="213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41</v>
      </c>
      <c r="E44" s="74">
        <f t="shared" si="6"/>
        <v>6</v>
      </c>
      <c r="F44" s="60">
        <f t="shared" si="4"/>
        <v>25.06</v>
      </c>
      <c r="G44" s="61">
        <f>IF(D44=D43,"",_xlfn.IFNA(VLOOKUP(D44,'인원 입력 기능(사과탐)'!$A$121:$D$172,4,FALSE),0))</f>
        <v>1245</v>
      </c>
      <c r="H44" s="62">
        <f t="shared" si="1"/>
        <v>2.5998705285359282E-2</v>
      </c>
      <c r="I44" s="72">
        <f>SUM($G$7:G44)</f>
        <v>36508</v>
      </c>
      <c r="J44" s="64">
        <f t="shared" si="5"/>
        <v>0.76237809844007765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40</v>
      </c>
      <c r="E45" s="74">
        <f t="shared" si="6"/>
        <v>6</v>
      </c>
      <c r="F45" s="60">
        <f t="shared" si="4"/>
        <v>22.57</v>
      </c>
      <c r="G45" s="61">
        <f>IF(D45=D44,"",_xlfn.IFNA(VLOOKUP(D45,'인원 입력 기능(사과탐)'!$A$121:$D$172,4,FALSE),0))</f>
        <v>1138</v>
      </c>
      <c r="H45" s="62">
        <f t="shared" si="1"/>
        <v>2.3764278405412741E-2</v>
      </c>
      <c r="I45" s="72">
        <f>SUM($G$7:G45)</f>
        <v>37646</v>
      </c>
      <c r="J45" s="64">
        <f t="shared" si="5"/>
        <v>0.78614237684549038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39</v>
      </c>
      <c r="E46" s="74">
        <f t="shared" si="6"/>
        <v>7</v>
      </c>
      <c r="F46" s="60">
        <f t="shared" si="4"/>
        <v>20.420000000000002</v>
      </c>
      <c r="G46" s="61">
        <f>IF(D46=D45,"",_xlfn.IFNA(VLOOKUP(D46,'인원 입력 기능(사과탐)'!$A$121:$D$172,4,FALSE),0))</f>
        <v>923</v>
      </c>
      <c r="H46" s="62">
        <f t="shared" si="1"/>
        <v>1.9274542151314553E-2</v>
      </c>
      <c r="I46" s="72">
        <f>SUM($G$7:G46)</f>
        <v>38569</v>
      </c>
      <c r="J46" s="64">
        <f t="shared" si="5"/>
        <v>0.80541691899680501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38</v>
      </c>
      <c r="E47" s="74">
        <f t="shared" si="6"/>
        <v>7</v>
      </c>
      <c r="F47" s="60">
        <f t="shared" si="4"/>
        <v>17.13</v>
      </c>
      <c r="G47" s="61">
        <f>IF(D47=D46,"",_xlfn.IFNA(VLOOKUP(D47,'인원 입력 기능(사과탐)'!$A$121:$D$172,4,FALSE),0))</f>
        <v>2226</v>
      </c>
      <c r="H47" s="62">
        <f t="shared" si="1"/>
        <v>4.6484432100570093E-2</v>
      </c>
      <c r="I47" s="72">
        <f>SUM($G$7:G47)</f>
        <v>40795</v>
      </c>
      <c r="J47" s="64">
        <f t="shared" si="5"/>
        <v>0.85190135109737508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03">
        <f t="shared" si="3"/>
        <v>37</v>
      </c>
      <c r="E48" s="203">
        <f t="shared" si="6"/>
        <v>7</v>
      </c>
      <c r="F48" s="205">
        <f t="shared" si="4"/>
        <v>10.36</v>
      </c>
      <c r="G48" s="207">
        <f>IF(D48=D47,"",_xlfn.IFNA(VLOOKUP(D48,'인원 입력 기능(사과탐)'!$A$121:$D$172,4,FALSE),0))</f>
        <v>4261</v>
      </c>
      <c r="H48" s="208">
        <f t="shared" si="1"/>
        <v>8.8980307807964579E-2</v>
      </c>
      <c r="I48" s="214">
        <f>SUM($G$7:G48)</f>
        <v>45056</v>
      </c>
      <c r="J48" s="212">
        <f t="shared" si="5"/>
        <v>0.9408816589053397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02"/>
      <c r="E49" s="202"/>
      <c r="F49" s="204"/>
      <c r="G49" s="206"/>
      <c r="H49" s="209"/>
      <c r="I49" s="215"/>
      <c r="J49" s="213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36</v>
      </c>
      <c r="E50" s="74">
        <f t="shared" si="6"/>
        <v>8</v>
      </c>
      <c r="F50" s="60">
        <f t="shared" si="4"/>
        <v>5.05</v>
      </c>
      <c r="G50" s="61">
        <f>IF(D50=D49,"",_xlfn.IFNA(VLOOKUP(D50,'인원 입력 기능(사과탐)'!$A$121:$D$172,4,FALSE),0))</f>
        <v>826</v>
      </c>
      <c r="H50" s="62">
        <f t="shared" si="1"/>
        <v>1.7248940213419092E-2</v>
      </c>
      <c r="I50" s="72">
        <f>SUM($G$7:G50)</f>
        <v>45882</v>
      </c>
      <c r="J50" s="64">
        <f t="shared" si="5"/>
        <v>0.95813059911875875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35</v>
      </c>
      <c r="E51" s="74">
        <f t="shared" si="6"/>
        <v>8</v>
      </c>
      <c r="F51" s="60">
        <f t="shared" si="4"/>
        <v>3.63</v>
      </c>
      <c r="G51" s="61">
        <f>IF(D51=D50,"",_xlfn.IFNA(VLOOKUP(D51,'인원 입력 기능(사과탐)'!$A$121:$D$172,4,FALSE),0))</f>
        <v>537</v>
      </c>
      <c r="H51" s="62">
        <f t="shared" si="1"/>
        <v>1.121389938814292E-2</v>
      </c>
      <c r="I51" s="72">
        <f>SUM($G$7:G51)</f>
        <v>46419</v>
      </c>
      <c r="J51" s="64">
        <f t="shared" si="5"/>
        <v>0.96934449850690163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34</v>
      </c>
      <c r="E52" s="74">
        <f t="shared" si="6"/>
        <v>9</v>
      </c>
      <c r="F52" s="60">
        <f t="shared" si="4"/>
        <v>2.4900000000000002</v>
      </c>
      <c r="G52" s="61">
        <f>IF(D52=D51,"",_xlfn.IFNA(VLOOKUP(D52,'인원 입력 기능(사과탐)'!$A$121:$D$172,4,FALSE),0))</f>
        <v>552</v>
      </c>
      <c r="H52" s="62">
        <f t="shared" si="1"/>
        <v>1.1527136801219537E-2</v>
      </c>
      <c r="I52" s="72">
        <f>SUM($G$7:G52)</f>
        <v>46971</v>
      </c>
      <c r="J52" s="64">
        <f t="shared" si="5"/>
        <v>0.98087163530812116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201">
        <f t="shared" si="3"/>
        <v>33</v>
      </c>
      <c r="E53" s="201">
        <f t="shared" si="6"/>
        <v>9</v>
      </c>
      <c r="F53" s="205">
        <f t="shared" si="4"/>
        <v>1.32</v>
      </c>
      <c r="G53" s="207">
        <f>IF(D53=D52,"",_xlfn.IFNA(VLOOKUP(D53,'인원 입력 기능(사과탐)'!$A$121:$D$172,4,FALSE),0))</f>
        <v>571</v>
      </c>
      <c r="H53" s="208">
        <f t="shared" si="1"/>
        <v>1.1923904191116587E-2</v>
      </c>
      <c r="I53" s="214">
        <f>SUM($G$7:G53)</f>
        <v>47542</v>
      </c>
      <c r="J53" s="212">
        <f t="shared" si="5"/>
        <v>0.99279553949923782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200"/>
      <c r="E54" s="200"/>
      <c r="F54" s="204"/>
      <c r="G54" s="206"/>
      <c r="H54" s="209"/>
      <c r="I54" s="215"/>
      <c r="J54" s="213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32</v>
      </c>
      <c r="E55" s="59">
        <f t="shared" si="6"/>
        <v>9</v>
      </c>
      <c r="F55" s="60">
        <f t="shared" si="4"/>
        <v>0.44</v>
      </c>
      <c r="G55" s="61">
        <f>IF(D55=D54,"",_xlfn.IFNA(VLOOKUP(D55,'인원 입력 기능(사과탐)'!$A$121:$D$172,4,FALSE),0))</f>
        <v>264</v>
      </c>
      <c r="H55" s="62">
        <f t="shared" si="1"/>
        <v>5.5129784701484748E-3</v>
      </c>
      <c r="I55" s="72">
        <f>SUM($G$7:G55)</f>
        <v>47806</v>
      </c>
      <c r="J55" s="64">
        <f t="shared" si="5"/>
        <v>0.99830851796938624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30</v>
      </c>
      <c r="E57" s="112">
        <f t="shared" si="6"/>
        <v>9</v>
      </c>
      <c r="F57" s="79">
        <f>IF(I55=0,ROUND(100*(1-(I54+I57)/2/$J$3),2),ROUND(100*(1-(I55+I57)/2/$J$3),2))</f>
        <v>0.08</v>
      </c>
      <c r="G57" s="113">
        <f>_xlfn.IFNA(VLOOKUP(D57,'인원 입력 기능(사과탐)'!$A$121:$D$172,4,FALSE),0)</f>
        <v>81</v>
      </c>
      <c r="H57" s="81">
        <f>G57/$J$3</f>
        <v>1.6914820306137366E-3</v>
      </c>
      <c r="I57" s="82">
        <f>SUM($G$7:G57)</f>
        <v>47887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I53:I54"/>
    <mergeCell ref="J53:J54"/>
    <mergeCell ref="D53:D54"/>
    <mergeCell ref="E53:E54"/>
    <mergeCell ref="F53:F54"/>
    <mergeCell ref="G53:G54"/>
    <mergeCell ref="H53:H54"/>
    <mergeCell ref="I42:I43"/>
    <mergeCell ref="J42:J43"/>
    <mergeCell ref="D48:D49"/>
    <mergeCell ref="E48:E49"/>
    <mergeCell ref="F48:F49"/>
    <mergeCell ref="G48:G49"/>
    <mergeCell ref="H48:H49"/>
    <mergeCell ref="I48:I49"/>
    <mergeCell ref="J48:J49"/>
    <mergeCell ref="D42:D43"/>
    <mergeCell ref="E42:E43"/>
    <mergeCell ref="F42:F43"/>
    <mergeCell ref="G42:G43"/>
    <mergeCell ref="H42:H43"/>
    <mergeCell ref="I31:I32"/>
    <mergeCell ref="J31:J32"/>
    <mergeCell ref="D36:D37"/>
    <mergeCell ref="E36:E37"/>
    <mergeCell ref="F36:F37"/>
    <mergeCell ref="G36:G37"/>
    <mergeCell ref="H36:H37"/>
    <mergeCell ref="I36:I37"/>
    <mergeCell ref="J36:J37"/>
    <mergeCell ref="D31:D32"/>
    <mergeCell ref="E31:E32"/>
    <mergeCell ref="F31:F32"/>
    <mergeCell ref="G31:G32"/>
    <mergeCell ref="H31:H32"/>
    <mergeCell ref="I20:I21"/>
    <mergeCell ref="J20:J21"/>
    <mergeCell ref="D25:D26"/>
    <mergeCell ref="E25:E26"/>
    <mergeCell ref="F25:F26"/>
    <mergeCell ref="G25:G26"/>
    <mergeCell ref="H25:H26"/>
    <mergeCell ref="I25:I26"/>
    <mergeCell ref="J25:J26"/>
    <mergeCell ref="D20:D21"/>
    <mergeCell ref="E20:E21"/>
    <mergeCell ref="F20:F21"/>
    <mergeCell ref="G20:G21"/>
    <mergeCell ref="H20:H21"/>
    <mergeCell ref="D3:F3"/>
    <mergeCell ref="D4:F4"/>
    <mergeCell ref="I4:J5"/>
    <mergeCell ref="D14:D15"/>
    <mergeCell ref="E14:E15"/>
    <mergeCell ref="F14:F15"/>
    <mergeCell ref="G14:G15"/>
    <mergeCell ref="H14:H15"/>
    <mergeCell ref="I14:I15"/>
    <mergeCell ref="J14:J15"/>
  </mergeCells>
  <phoneticPr fontId="1" type="noConversion"/>
  <conditionalFormatting sqref="D7:G14 I7:J14 D16:G20 I16:J20 D22:G25 I22:J25 D27:G31 I27:J31 D33:G36 I33:J36 D38:G42 I38:J42 D44:G48 I44:J48 D50:G53 I50:J53 D55:G57 I55:J57">
    <cfRule type="expression" dxfId="19" priority="4">
      <formula>OR($D7=$Q$7:$Q$14)</formula>
    </cfRule>
  </conditionalFormatting>
  <conditionalFormatting sqref="C7:C57">
    <cfRule type="expression" dxfId="18" priority="3">
      <formula>OR(AND($D7=0,OR($D6=$Q$7:$Q$14)),AND($D8&gt;0,OR($D7=$Q$7:$Q$14)))</formula>
    </cfRule>
  </conditionalFormatting>
  <conditionalFormatting sqref="D7:D14 D16:D20 D22:D25 D27:D31 D33:D36 D38:D42 D44:D48 D50:D53 D55:D57">
    <cfRule type="expression" dxfId="17" priority="2">
      <formula>$D7=$D8</formula>
    </cfRule>
  </conditionalFormatting>
  <conditionalFormatting sqref="H7:H14 H16:H20 H22:H25 H27:H31 H33:H36 H38:H42 H44:H48 H50:H53 H55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기능'!D17</f>
        <v>20.84</v>
      </c>
      <c r="I3" s="21" t="s">
        <v>70</v>
      </c>
      <c r="J3" s="50">
        <f>'통계 및 응시자 수 입력 기능'!C17</f>
        <v>48306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95</v>
      </c>
      <c r="E4" s="185"/>
      <c r="F4" s="186"/>
      <c r="G4" s="52" t="s">
        <v>73</v>
      </c>
      <c r="H4" s="53" t="str">
        <f>'통계 및 응시자 수 입력 기능'!E17</f>
        <v>10.52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78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99.34</v>
      </c>
      <c r="G7" s="61">
        <f>_xlfn.IFNA(VLOOKUP(D7,'인원 입력 기능(사과탐)'!$A$177:$D$231,4,FALSE),0)</f>
        <v>634</v>
      </c>
      <c r="H7" s="62">
        <f>G7/$J$3</f>
        <v>1.3124663602865069E-2</v>
      </c>
      <c r="I7" s="63">
        <f>G7</f>
        <v>634</v>
      </c>
      <c r="J7" s="64">
        <f>I7/$J$3</f>
        <v>1.3124663602865069E-2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기능'!C121</f>
        <v>73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기능'!C122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76</v>
      </c>
      <c r="E9" s="59">
        <f t="shared" si="0"/>
        <v>1</v>
      </c>
      <c r="F9" s="60">
        <f>IF(I8=0,ROUND(100*(1-(I7+I9)/2/$J$3),2),ROUND(100*(1-(I8+I9)/2/$J$3),2))</f>
        <v>98.41</v>
      </c>
      <c r="G9" s="61">
        <f>_xlfn.IFNA(VLOOKUP(D9,'인원 입력 기능(사과탐)'!$A$177:$D$231,4,FALSE),0)</f>
        <v>267</v>
      </c>
      <c r="H9" s="62">
        <f t="shared" ref="H9:H55" si="1">G9/$J$3</f>
        <v>5.5272636939510617E-3</v>
      </c>
      <c r="I9" s="72">
        <f>SUM($G$7:G9)</f>
        <v>901</v>
      </c>
      <c r="J9" s="64">
        <f>I9/$J$3</f>
        <v>1.8651927296816129E-2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기능'!C123</f>
        <v>56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75</v>
      </c>
      <c r="E10" s="59">
        <f t="shared" si="0"/>
        <v>1</v>
      </c>
      <c r="F10" s="60">
        <f t="shared" ref="F10:F55" si="4">IF(I9=0,ROUND(100*(1-(I8+I10)/2/$J$3),2),ROUND(100*(1-(I9+I10)/2/$J$3),2))</f>
        <v>97.56</v>
      </c>
      <c r="G10" s="61">
        <f>IF(D10=D9,"",_xlfn.IFNA(VLOOKUP(D10,'인원 입력 기능(사과탐)'!$A$177:$D$231,4,FALSE),0))</f>
        <v>558</v>
      </c>
      <c r="H10" s="62">
        <f t="shared" si="1"/>
        <v>1.155136007949323E-2</v>
      </c>
      <c r="I10" s="72">
        <f>SUM($G$7:G10)</f>
        <v>1459</v>
      </c>
      <c r="J10" s="64">
        <f t="shared" ref="J10:J55" si="5">I10/$J$3</f>
        <v>3.0203287376309361E-2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기능'!C124</f>
        <v>50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74</v>
      </c>
      <c r="E11" s="59">
        <f t="shared" si="0"/>
        <v>1</v>
      </c>
      <c r="F11" s="60">
        <f t="shared" si="4"/>
        <v>96.91</v>
      </c>
      <c r="G11" s="61">
        <f>IF(D11=D10,"",_xlfn.IFNA(VLOOKUP(D11,'인원 입력 기능(사과탐)'!$A$177:$D$231,4,FALSE),0))</f>
        <v>65</v>
      </c>
      <c r="H11" s="62">
        <f t="shared" si="1"/>
        <v>1.3455885397259139E-3</v>
      </c>
      <c r="I11" s="72">
        <f>SUM($G$7:G11)</f>
        <v>1524</v>
      </c>
      <c r="J11" s="64">
        <f t="shared" si="5"/>
        <v>3.1548875916035272E-2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기능'!C125</f>
        <v>45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73</v>
      </c>
      <c r="E12" s="59">
        <f t="shared" si="0"/>
        <v>1</v>
      </c>
      <c r="F12" s="60">
        <f t="shared" si="4"/>
        <v>96.4</v>
      </c>
      <c r="G12" s="61">
        <f>IF(D12=D11,"",_xlfn.IFNA(VLOOKUP(D12,'인원 입력 기능(사과탐)'!$A$177:$D$231,4,FALSE),0))</f>
        <v>431</v>
      </c>
      <c r="H12" s="62">
        <f t="shared" si="1"/>
        <v>8.9222870864902916E-3</v>
      </c>
      <c r="I12" s="72">
        <f>SUM($G$7:G12)</f>
        <v>1955</v>
      </c>
      <c r="J12" s="64">
        <f t="shared" si="5"/>
        <v>4.0471163002525568E-2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기능'!C126</f>
        <v>43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72</v>
      </c>
      <c r="E13" s="59">
        <f t="shared" si="0"/>
        <v>2</v>
      </c>
      <c r="F13" s="60">
        <f t="shared" si="4"/>
        <v>95.56</v>
      </c>
      <c r="G13" s="61">
        <f>IF(D13=D12,"",_xlfn.IFNA(VLOOKUP(D13,'인원 입력 기능(사과탐)'!$A$177:$D$231,4,FALSE),0))</f>
        <v>378</v>
      </c>
      <c r="H13" s="62">
        <f t="shared" si="1"/>
        <v>7.8251148925599298E-3</v>
      </c>
      <c r="I13" s="72">
        <f>SUM($G$7:G13)</f>
        <v>2333</v>
      </c>
      <c r="J13" s="64">
        <f t="shared" si="5"/>
        <v>4.8296277895085497E-2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기능'!C127</f>
        <v>40</v>
      </c>
    </row>
    <row r="14" spans="1:17" s="22" customFormat="1" ht="25" customHeight="1" x14ac:dyDescent="0.45">
      <c r="A14" s="20"/>
      <c r="B14" s="35"/>
      <c r="C14" s="73">
        <v>43</v>
      </c>
      <c r="D14" s="115">
        <f t="shared" si="3"/>
        <v>71</v>
      </c>
      <c r="E14" s="115">
        <f t="shared" si="0"/>
        <v>2</v>
      </c>
      <c r="F14" s="60">
        <f t="shared" si="4"/>
        <v>94.96</v>
      </c>
      <c r="G14" s="61">
        <f>IF(D14=D13,"",_xlfn.IFNA(VLOOKUP(D14,'인원 입력 기능(사과탐)'!$A$177:$D$231,4,FALSE),0))</f>
        <v>205</v>
      </c>
      <c r="H14" s="62">
        <f t="shared" si="1"/>
        <v>4.2437792406740367E-3</v>
      </c>
      <c r="I14" s="72">
        <f>SUM($G$7:G14)</f>
        <v>2538</v>
      </c>
      <c r="J14" s="64">
        <f t="shared" si="5"/>
        <v>5.254005713575953E-2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기능'!C128</f>
        <v>37</v>
      </c>
    </row>
    <row r="15" spans="1:17" s="22" customFormat="1" ht="25" customHeight="1" x14ac:dyDescent="0.45">
      <c r="A15" s="20"/>
      <c r="B15" s="35"/>
      <c r="C15" s="58">
        <v>42</v>
      </c>
      <c r="D15" s="115">
        <f t="shared" ref="D15" si="6">ROUND(10*(C15-$H$3)/$H$4+50,0)</f>
        <v>70</v>
      </c>
      <c r="E15" s="115">
        <f t="shared" si="0"/>
        <v>2</v>
      </c>
      <c r="F15" s="60">
        <f t="shared" si="4"/>
        <v>94.23</v>
      </c>
      <c r="G15" s="61">
        <f>IF(D15=D14,"",_xlfn.IFNA(VLOOKUP(D15,'인원 입력 기능(사과탐)'!$A$177:$D$231,4,FALSE),0))</f>
        <v>494</v>
      </c>
      <c r="H15" s="62">
        <f t="shared" si="1"/>
        <v>1.0226472901916946E-2</v>
      </c>
      <c r="I15" s="72">
        <f>SUM($G$7:G15)</f>
        <v>3032</v>
      </c>
      <c r="J15" s="64">
        <f t="shared" si="5"/>
        <v>6.2766530037676474E-2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69</v>
      </c>
      <c r="E16" s="59">
        <f t="shared" si="0"/>
        <v>2</v>
      </c>
      <c r="F16" s="60">
        <f t="shared" si="4"/>
        <v>93.38</v>
      </c>
      <c r="G16" s="61">
        <f>IF(D16=D15,"",_xlfn.IFNA(VLOOKUP(D16,'인원 입력 기능(사과탐)'!$A$177:$D$231,4,FALSE),0))</f>
        <v>333</v>
      </c>
      <c r="H16" s="62">
        <f t="shared" si="1"/>
        <v>6.8935535958266052E-3</v>
      </c>
      <c r="I16" s="72">
        <f>SUM($G$7:G16)</f>
        <v>3365</v>
      </c>
      <c r="J16" s="64">
        <f t="shared" si="5"/>
        <v>6.9660083633503081E-2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68</v>
      </c>
      <c r="E17" s="59">
        <f t="shared" si="0"/>
        <v>2</v>
      </c>
      <c r="F17" s="60">
        <f t="shared" si="4"/>
        <v>92.65</v>
      </c>
      <c r="G17" s="61">
        <f>IF(D17=D16,"",_xlfn.IFNA(VLOOKUP(D17,'인원 입력 기능(사과탐)'!$A$177:$D$231,4,FALSE),0))</f>
        <v>373</v>
      </c>
      <c r="H17" s="62">
        <f t="shared" si="1"/>
        <v>7.7216080818117835E-3</v>
      </c>
      <c r="I17" s="72">
        <f>SUM($G$7:G17)</f>
        <v>3738</v>
      </c>
      <c r="J17" s="64">
        <f t="shared" si="5"/>
        <v>7.7381691715314865E-2</v>
      </c>
      <c r="K17" s="36"/>
      <c r="L17" s="20" t="str">
        <f t="shared" si="2"/>
        <v/>
      </c>
      <c r="N17" s="24"/>
      <c r="Q17" s="24">
        <f>Q7*H3*H4*J3*IFERROR(IF(J57=1, 1, 0), 0)</f>
        <v>773103058.83840001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67</v>
      </c>
      <c r="E18" s="59">
        <f t="shared" si="0"/>
        <v>2</v>
      </c>
      <c r="F18" s="60">
        <f t="shared" si="4"/>
        <v>91.71</v>
      </c>
      <c r="G18" s="61">
        <f>IF(D18=D17,"",_xlfn.IFNA(VLOOKUP(D18,'인원 입력 기능(사과탐)'!$A$177:$D$231,4,FALSE),0))</f>
        <v>537</v>
      </c>
      <c r="H18" s="62">
        <f t="shared" si="1"/>
        <v>1.1116631474351012E-2</v>
      </c>
      <c r="I18" s="72">
        <f>SUM($G$7:G18)</f>
        <v>4275</v>
      </c>
      <c r="J18" s="64">
        <f t="shared" si="5"/>
        <v>8.8498323189665884E-2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66</v>
      </c>
      <c r="E19" s="59">
        <f t="shared" si="0"/>
        <v>2</v>
      </c>
      <c r="F19" s="60">
        <f t="shared" si="4"/>
        <v>90.84</v>
      </c>
      <c r="G19" s="61">
        <f>IF(D19=D18,"",_xlfn.IFNA(VLOOKUP(D19,'인원 입력 기능(사과탐)'!$A$177:$D$231,4,FALSE),0))</f>
        <v>303</v>
      </c>
      <c r="H19" s="62">
        <f t="shared" si="1"/>
        <v>6.2725127313377222E-3</v>
      </c>
      <c r="I19" s="72">
        <f>SUM($G$7:G19)</f>
        <v>4578</v>
      </c>
      <c r="J19" s="64">
        <f t="shared" si="5"/>
        <v>9.4770835921003604E-2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65</v>
      </c>
      <c r="E20" s="59">
        <f t="shared" si="0"/>
        <v>2</v>
      </c>
      <c r="F20" s="60">
        <f t="shared" si="4"/>
        <v>89.95</v>
      </c>
      <c r="G20" s="61">
        <f>IF(D20=D19,"",_xlfn.IFNA(VLOOKUP(D20,'인원 입력 기능(사과탐)'!$A$177:$D$231,4,FALSE),0))</f>
        <v>550</v>
      </c>
      <c r="H20" s="62">
        <f t="shared" si="1"/>
        <v>1.1385749182296194E-2</v>
      </c>
      <c r="I20" s="72">
        <f>SUM($G$7:G20)</f>
        <v>5128</v>
      </c>
      <c r="J20" s="64">
        <f t="shared" si="5"/>
        <v>0.1061565851032998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64</v>
      </c>
      <c r="E21" s="74">
        <f t="shared" si="0"/>
        <v>2</v>
      </c>
      <c r="F21" s="60">
        <f t="shared" si="4"/>
        <v>88.88</v>
      </c>
      <c r="G21" s="61">
        <f>IF(D21=D20,"",_xlfn.IFNA(VLOOKUP(D21,'인원 입력 기능(사과탐)'!$A$177:$D$231,4,FALSE),0))</f>
        <v>490</v>
      </c>
      <c r="H21" s="62">
        <f t="shared" si="1"/>
        <v>1.0143667453318428E-2</v>
      </c>
      <c r="I21" s="72">
        <f>SUM($G$7:G21)</f>
        <v>5618</v>
      </c>
      <c r="J21" s="64">
        <f t="shared" si="5"/>
        <v>0.11630025255661823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03">
        <f t="shared" si="3"/>
        <v>63</v>
      </c>
      <c r="E22" s="203">
        <f t="shared" si="0"/>
        <v>3</v>
      </c>
      <c r="F22" s="205">
        <f t="shared" si="4"/>
        <v>87.22</v>
      </c>
      <c r="G22" s="207">
        <f>IF(D22=D21,"",_xlfn.IFNA(VLOOKUP(D22,'인원 입력 기능(사과탐)'!$A$177:$D$231,4,FALSE),0))</f>
        <v>1107</v>
      </c>
      <c r="H22" s="208">
        <f t="shared" si="1"/>
        <v>2.2916407899639796E-2</v>
      </c>
      <c r="I22" s="214">
        <f>SUM($G$7:G22)</f>
        <v>6725</v>
      </c>
      <c r="J22" s="212">
        <f t="shared" si="5"/>
        <v>0.13921666045625802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02"/>
      <c r="E23" s="202"/>
      <c r="F23" s="204"/>
      <c r="G23" s="206"/>
      <c r="H23" s="209"/>
      <c r="I23" s="215"/>
      <c r="J23" s="213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62</v>
      </c>
      <c r="E24" s="74">
        <f t="shared" si="0"/>
        <v>3</v>
      </c>
      <c r="F24" s="60">
        <f t="shared" si="4"/>
        <v>85.52</v>
      </c>
      <c r="G24" s="61">
        <f>IF(D24=D23,"",_xlfn.IFNA(VLOOKUP(D24,'인원 입력 기능(사과탐)'!$A$177:$D$231,4,FALSE),0))</f>
        <v>541</v>
      </c>
      <c r="H24" s="62">
        <f t="shared" si="1"/>
        <v>1.1199436922949529E-2</v>
      </c>
      <c r="I24" s="72">
        <f>SUM($G$7:G24)</f>
        <v>7266</v>
      </c>
      <c r="J24" s="64">
        <f t="shared" si="5"/>
        <v>0.15041609737920755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61</v>
      </c>
      <c r="E25" s="74">
        <f t="shared" si="0"/>
        <v>3</v>
      </c>
      <c r="F25" s="60">
        <f t="shared" si="4"/>
        <v>84.26</v>
      </c>
      <c r="G25" s="61">
        <f>IF(D25=D24,"",_xlfn.IFNA(VLOOKUP(D25,'인원 입력 기능(사과탐)'!$A$177:$D$231,4,FALSE),0))</f>
        <v>670</v>
      </c>
      <c r="H25" s="62">
        <f t="shared" si="1"/>
        <v>1.3869912640251728E-2</v>
      </c>
      <c r="I25" s="72">
        <f>SUM($G$7:G25)</f>
        <v>7936</v>
      </c>
      <c r="J25" s="64">
        <f t="shared" si="5"/>
        <v>0.16428601001945928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60</v>
      </c>
      <c r="E26" s="74">
        <f t="shared" si="0"/>
        <v>3</v>
      </c>
      <c r="F26" s="60">
        <f t="shared" si="4"/>
        <v>82.83</v>
      </c>
      <c r="G26" s="61">
        <f>IF(D26=D25,"",_xlfn.IFNA(VLOOKUP(D26,'인원 입력 기능(사과탐)'!$A$177:$D$231,4,FALSE),0))</f>
        <v>714</v>
      </c>
      <c r="H26" s="62">
        <f t="shared" si="1"/>
        <v>1.4780772574835423E-2</v>
      </c>
      <c r="I26" s="72">
        <f>SUM($G$7:G26)</f>
        <v>8650</v>
      </c>
      <c r="J26" s="64">
        <f t="shared" si="5"/>
        <v>0.1790667825942947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59</v>
      </c>
      <c r="E27" s="74">
        <f t="shared" si="0"/>
        <v>3</v>
      </c>
      <c r="F27" s="60">
        <f t="shared" si="4"/>
        <v>81.400000000000006</v>
      </c>
      <c r="G27" s="61">
        <f>IF(D27=D26,"",_xlfn.IFNA(VLOOKUP(D27,'인원 입력 기능(사과탐)'!$A$177:$D$231,4,FALSE),0))</f>
        <v>672</v>
      </c>
      <c r="H27" s="62">
        <f t="shared" si="1"/>
        <v>1.3911315364550987E-2</v>
      </c>
      <c r="I27" s="72">
        <f>SUM($G$7:G27)</f>
        <v>9322</v>
      </c>
      <c r="J27" s="64">
        <f t="shared" si="5"/>
        <v>0.19297809795884568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58</v>
      </c>
      <c r="E28" s="74">
        <f t="shared" si="0"/>
        <v>3</v>
      </c>
      <c r="F28" s="60">
        <f t="shared" si="4"/>
        <v>79.8</v>
      </c>
      <c r="G28" s="61">
        <f>IF(D28=D27,"",_xlfn.IFNA(VLOOKUP(D28,'인원 입력 기능(사과탐)'!$A$177:$D$231,4,FALSE),0))</f>
        <v>875</v>
      </c>
      <c r="H28" s="62">
        <f t="shared" si="1"/>
        <v>1.8113691880925764E-2</v>
      </c>
      <c r="I28" s="72">
        <f>SUM($G$7:G28)</f>
        <v>10197</v>
      </c>
      <c r="J28" s="64">
        <f t="shared" si="5"/>
        <v>0.21109178983977145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57</v>
      </c>
      <c r="E29" s="74">
        <f t="shared" si="0"/>
        <v>3</v>
      </c>
      <c r="F29" s="60">
        <f t="shared" si="4"/>
        <v>78.05</v>
      </c>
      <c r="G29" s="61">
        <f>IF(D29=D28,"",_xlfn.IFNA(VLOOKUP(D29,'인원 입력 기능(사과탐)'!$A$177:$D$231,4,FALSE),0))</f>
        <v>810</v>
      </c>
      <c r="H29" s="62">
        <f t="shared" si="1"/>
        <v>1.6768103341199853E-2</v>
      </c>
      <c r="I29" s="72">
        <f>SUM($G$7:G29)</f>
        <v>11007</v>
      </c>
      <c r="J29" s="64">
        <f t="shared" si="5"/>
        <v>0.2278598931809713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56</v>
      </c>
      <c r="E30" s="74">
        <f t="shared" si="0"/>
        <v>3</v>
      </c>
      <c r="F30" s="60">
        <f t="shared" si="4"/>
        <v>76.260000000000005</v>
      </c>
      <c r="G30" s="61">
        <f>IF(D30=D29,"",_xlfn.IFNA(VLOOKUP(D30,'인원 입력 기능(사과탐)'!$A$177:$D$231,4,FALSE),0))</f>
        <v>926</v>
      </c>
      <c r="H30" s="62">
        <f t="shared" si="1"/>
        <v>1.9169461350556867E-2</v>
      </c>
      <c r="I30" s="72">
        <f>SUM($G$7:G30)</f>
        <v>11933</v>
      </c>
      <c r="J30" s="64">
        <f t="shared" si="5"/>
        <v>0.24702935453152816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55</v>
      </c>
      <c r="E31" s="74">
        <f t="shared" si="0"/>
        <v>4</v>
      </c>
      <c r="F31" s="60">
        <f t="shared" si="4"/>
        <v>74.069999999999993</v>
      </c>
      <c r="G31" s="61">
        <f>IF(D31=D30,"",_xlfn.IFNA(VLOOKUP(D31,'인원 입력 기능(사과탐)'!$A$177:$D$231,4,FALSE),0))</f>
        <v>1189</v>
      </c>
      <c r="H31" s="62">
        <f t="shared" si="1"/>
        <v>2.461391959590941E-2</v>
      </c>
      <c r="I31" s="72">
        <f>SUM($G$7:G31)</f>
        <v>13122</v>
      </c>
      <c r="J31" s="64">
        <f t="shared" si="5"/>
        <v>0.27164327412743761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54</v>
      </c>
      <c r="E32" s="74">
        <f t="shared" si="0"/>
        <v>4</v>
      </c>
      <c r="F32" s="60">
        <f t="shared" si="4"/>
        <v>71.73</v>
      </c>
      <c r="G32" s="61">
        <f>IF(D32=D31,"",_xlfn.IFNA(VLOOKUP(D32,'인원 입력 기능(사과탐)'!$A$177:$D$231,4,FALSE),0))</f>
        <v>1070</v>
      </c>
      <c r="H32" s="62">
        <f t="shared" si="1"/>
        <v>2.2150457500103506E-2</v>
      </c>
      <c r="I32" s="72">
        <f>SUM($G$7:G32)</f>
        <v>14192</v>
      </c>
      <c r="J32" s="64">
        <f t="shared" si="5"/>
        <v>0.29379373162754108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53</v>
      </c>
      <c r="E33" s="74">
        <f t="shared" si="0"/>
        <v>4</v>
      </c>
      <c r="F33" s="60">
        <f t="shared" si="4"/>
        <v>69.25</v>
      </c>
      <c r="G33" s="61">
        <f>IF(D33=D32,"",_xlfn.IFNA(VLOOKUP(D33,'인원 입력 기능(사과탐)'!$A$177:$D$231,4,FALSE),0))</f>
        <v>1320</v>
      </c>
      <c r="H33" s="62">
        <f t="shared" si="1"/>
        <v>2.7325798037510868E-2</v>
      </c>
      <c r="I33" s="72">
        <f>SUM($G$7:G33)</f>
        <v>15512</v>
      </c>
      <c r="J33" s="64">
        <f t="shared" si="5"/>
        <v>0.32111952966505197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52</v>
      </c>
      <c r="E34" s="74">
        <f t="shared" si="0"/>
        <v>4</v>
      </c>
      <c r="F34" s="60">
        <f t="shared" si="4"/>
        <v>66.459999999999994</v>
      </c>
      <c r="G34" s="61">
        <f>IF(D34=D33,"",_xlfn.IFNA(VLOOKUP(D34,'인원 입력 기능(사과탐)'!$A$177:$D$231,4,FALSE),0))</f>
        <v>1375</v>
      </c>
      <c r="H34" s="62">
        <f t="shared" si="1"/>
        <v>2.8464372955740488E-2</v>
      </c>
      <c r="I34" s="72">
        <f>SUM($G$7:G34)</f>
        <v>16887</v>
      </c>
      <c r="J34" s="64">
        <f t="shared" si="5"/>
        <v>0.34958390262079247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51</v>
      </c>
      <c r="E35" s="74">
        <f t="shared" si="0"/>
        <v>4</v>
      </c>
      <c r="F35" s="60">
        <f t="shared" si="4"/>
        <v>63.47</v>
      </c>
      <c r="G35" s="61">
        <f>IF(D35=D34,"",_xlfn.IFNA(VLOOKUP(D35,'인원 입력 기능(사과탐)'!$A$177:$D$231,4,FALSE),0))</f>
        <v>1519</v>
      </c>
      <c r="H35" s="62">
        <f t="shared" si="1"/>
        <v>3.1445369105287127E-2</v>
      </c>
      <c r="I35" s="72">
        <f>SUM($G$7:G35)</f>
        <v>18406</v>
      </c>
      <c r="J35" s="64">
        <f t="shared" si="5"/>
        <v>0.38102927172607959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50</v>
      </c>
      <c r="E36" s="74">
        <f t="shared" si="0"/>
        <v>4</v>
      </c>
      <c r="F36" s="60">
        <f t="shared" si="4"/>
        <v>60.21</v>
      </c>
      <c r="G36" s="61">
        <f>IF(D36=D35,"",_xlfn.IFNA(VLOOKUP(D36,'인원 입력 기능(사과탐)'!$A$177:$D$231,4,FALSE),0))</f>
        <v>1629</v>
      </c>
      <c r="H36" s="62">
        <f t="shared" si="1"/>
        <v>3.3722518941746368E-2</v>
      </c>
      <c r="I36" s="72">
        <f>SUM($G$7:G36)</f>
        <v>20035</v>
      </c>
      <c r="J36" s="64">
        <f t="shared" si="5"/>
        <v>0.41475179066782597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49</v>
      </c>
      <c r="E37" s="74">
        <f t="shared" si="0"/>
        <v>5</v>
      </c>
      <c r="F37" s="60">
        <f t="shared" si="4"/>
        <v>56.68</v>
      </c>
      <c r="G37" s="61">
        <f>IF(D37=D36,"",_xlfn.IFNA(VLOOKUP(D37,'인원 입력 기능(사과탐)'!$A$177:$D$231,4,FALSE),0))</f>
        <v>1787</v>
      </c>
      <c r="H37" s="62">
        <f t="shared" si="1"/>
        <v>3.6993334161387822E-2</v>
      </c>
      <c r="I37" s="72">
        <f>SUM($G$7:G37)</f>
        <v>21822</v>
      </c>
      <c r="J37" s="64">
        <f t="shared" si="5"/>
        <v>0.45174512482921375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48</v>
      </c>
      <c r="E38" s="74">
        <f t="shared" si="0"/>
        <v>5</v>
      </c>
      <c r="F38" s="60">
        <f t="shared" si="4"/>
        <v>52.74</v>
      </c>
      <c r="G38" s="61">
        <f>IF(D38=D37,"",_xlfn.IFNA(VLOOKUP(D38,'인원 입력 기능(사과탐)'!$A$177:$D$231,4,FALSE),0))</f>
        <v>2015</v>
      </c>
      <c r="H38" s="62">
        <f t="shared" si="1"/>
        <v>4.1713244731503334E-2</v>
      </c>
      <c r="I38" s="72">
        <f>SUM($G$7:G38)</f>
        <v>23837</v>
      </c>
      <c r="J38" s="64">
        <f t="shared" si="5"/>
        <v>0.49345836956071709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47</v>
      </c>
      <c r="E39" s="74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60">
        <f t="shared" si="4"/>
        <v>48.57</v>
      </c>
      <c r="G39" s="61">
        <f>IF(D39=D38,"",_xlfn.IFNA(VLOOKUP(D39,'인원 입력 기능(사과탐)'!$A$177:$D$231,4,FALSE),0))</f>
        <v>2009</v>
      </c>
      <c r="H39" s="62">
        <f t="shared" si="1"/>
        <v>4.1589036558605554E-2</v>
      </c>
      <c r="I39" s="72">
        <f>SUM($G$7:G39)</f>
        <v>25846</v>
      </c>
      <c r="J39" s="64">
        <f t="shared" si="5"/>
        <v>0.53504740611932267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46</v>
      </c>
      <c r="E40" s="74">
        <f t="shared" si="7"/>
        <v>5</v>
      </c>
      <c r="F40" s="60">
        <f t="shared" si="4"/>
        <v>44.2</v>
      </c>
      <c r="G40" s="61">
        <f>IF(D40=D39,"",_xlfn.IFNA(VLOOKUP(D40,'인원 입력 기능(사과탐)'!$A$177:$D$231,4,FALSE),0))</f>
        <v>2219</v>
      </c>
      <c r="H40" s="62">
        <f t="shared" si="1"/>
        <v>4.5936322610027738E-2</v>
      </c>
      <c r="I40" s="72">
        <f>SUM($G$7:G40)</f>
        <v>28065</v>
      </c>
      <c r="J40" s="64">
        <f t="shared" si="5"/>
        <v>0.58098372872935045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45</v>
      </c>
      <c r="E41" s="74">
        <f t="shared" si="7"/>
        <v>5</v>
      </c>
      <c r="F41" s="60">
        <f t="shared" si="4"/>
        <v>39.619999999999997</v>
      </c>
      <c r="G41" s="61">
        <f>IF(D41=D40,"",_xlfn.IFNA(VLOOKUP(D41,'인원 입력 기능(사과탐)'!$A$177:$D$231,4,FALSE),0))</f>
        <v>2207</v>
      </c>
      <c r="H41" s="62">
        <f t="shared" si="1"/>
        <v>4.5687906264232185E-2</v>
      </c>
      <c r="I41" s="72">
        <f>SUM($G$7:G41)</f>
        <v>30272</v>
      </c>
      <c r="J41" s="64">
        <f t="shared" si="5"/>
        <v>0.62667163499358258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44</v>
      </c>
      <c r="E42" s="74">
        <f t="shared" si="7"/>
        <v>6</v>
      </c>
      <c r="F42" s="60">
        <f t="shared" si="4"/>
        <v>32.590000000000003</v>
      </c>
      <c r="G42" s="61">
        <f>IF(D42=D41,"",_xlfn.IFNA(VLOOKUP(D42,'인원 입력 기능(사과탐)'!$A$177:$D$231,4,FALSE),0))</f>
        <v>4583</v>
      </c>
      <c r="H42" s="62">
        <f t="shared" si="1"/>
        <v>9.4874342731751743E-2</v>
      </c>
      <c r="I42" s="72">
        <f>SUM($G$7:G42)</f>
        <v>34855</v>
      </c>
      <c r="J42" s="64">
        <f t="shared" si="5"/>
        <v>0.72154597772533435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203">
        <f t="shared" si="3"/>
        <v>43</v>
      </c>
      <c r="E43" s="203">
        <f t="shared" si="7"/>
        <v>6</v>
      </c>
      <c r="F43" s="205">
        <f t="shared" si="4"/>
        <v>24.59</v>
      </c>
      <c r="G43" s="207">
        <f>IF(D43=D42,"",_xlfn.IFNA(VLOOKUP(D43,'인원 입력 기능(사과탐)'!$A$177:$D$231,4,FALSE),0))</f>
        <v>3149</v>
      </c>
      <c r="H43" s="208">
        <f t="shared" si="1"/>
        <v>6.5188589409183123E-2</v>
      </c>
      <c r="I43" s="214">
        <f>SUM($G$7:G43)</f>
        <v>38004</v>
      </c>
      <c r="J43" s="212">
        <f t="shared" si="5"/>
        <v>0.7867345671345175</v>
      </c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73">
        <v>13</v>
      </c>
      <c r="D44" s="202"/>
      <c r="E44" s="202"/>
      <c r="F44" s="204"/>
      <c r="G44" s="206"/>
      <c r="H44" s="209"/>
      <c r="I44" s="215"/>
      <c r="J44" s="213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42</v>
      </c>
      <c r="E45" s="74">
        <f t="shared" si="7"/>
        <v>7</v>
      </c>
      <c r="F45" s="60">
        <f t="shared" si="4"/>
        <v>19.239999999999998</v>
      </c>
      <c r="G45" s="61">
        <f>IF(D45=D44,"",_xlfn.IFNA(VLOOKUP(D45,'인원 입력 기능(사과탐)'!$A$177:$D$231,4,FALSE),0))</f>
        <v>2020</v>
      </c>
      <c r="H45" s="62">
        <f t="shared" si="1"/>
        <v>4.1816751542251479E-2</v>
      </c>
      <c r="I45" s="72">
        <f>SUM($G$7:G45)</f>
        <v>40024</v>
      </c>
      <c r="J45" s="64">
        <f t="shared" si="5"/>
        <v>0.8285513186767689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41</v>
      </c>
      <c r="E46" s="74">
        <f t="shared" si="7"/>
        <v>7</v>
      </c>
      <c r="F46" s="60">
        <f t="shared" si="4"/>
        <v>15.04</v>
      </c>
      <c r="G46" s="61">
        <f>IF(D46=D45,"",_xlfn.IFNA(VLOOKUP(D46,'인원 입력 기능(사과탐)'!$A$177:$D$231,4,FALSE),0))</f>
        <v>2038</v>
      </c>
      <c r="H46" s="62">
        <f t="shared" si="1"/>
        <v>4.2189376060944812E-2</v>
      </c>
      <c r="I46" s="72">
        <f>SUM($G$7:G46)</f>
        <v>42062</v>
      </c>
      <c r="J46" s="64">
        <f t="shared" si="5"/>
        <v>0.87074069473771376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40</v>
      </c>
      <c r="E47" s="74">
        <f t="shared" si="7"/>
        <v>7</v>
      </c>
      <c r="F47" s="60">
        <f t="shared" si="4"/>
        <v>11.07</v>
      </c>
      <c r="G47" s="61">
        <f>IF(D47=D46,"",_xlfn.IFNA(VLOOKUP(D47,'인원 입력 기능(사과탐)'!$A$177:$D$231,4,FALSE),0))</f>
        <v>1793</v>
      </c>
      <c r="H47" s="62">
        <f t="shared" si="1"/>
        <v>3.7117542334285596E-2</v>
      </c>
      <c r="I47" s="72">
        <f>SUM($G$7:G47)</f>
        <v>43855</v>
      </c>
      <c r="J47" s="64">
        <f t="shared" si="5"/>
        <v>0.90785823707199931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39</v>
      </c>
      <c r="E48" s="74">
        <f t="shared" si="7"/>
        <v>8</v>
      </c>
      <c r="F48" s="60">
        <f t="shared" si="4"/>
        <v>7.84</v>
      </c>
      <c r="G48" s="61">
        <f>IF(D48=D47,"",_xlfn.IFNA(VLOOKUP(D48,'인원 입력 기능(사과탐)'!$A$177:$D$231,4,FALSE),0))</f>
        <v>1327</v>
      </c>
      <c r="H48" s="62">
        <f t="shared" si="1"/>
        <v>2.7470707572558276E-2</v>
      </c>
      <c r="I48" s="72">
        <f>SUM($G$7:G48)</f>
        <v>45182</v>
      </c>
      <c r="J48" s="64">
        <f t="shared" si="5"/>
        <v>0.93532894464455762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38</v>
      </c>
      <c r="E49" s="74">
        <f t="shared" si="7"/>
        <v>8</v>
      </c>
      <c r="F49" s="60">
        <f t="shared" si="4"/>
        <v>5.58</v>
      </c>
      <c r="G49" s="61">
        <f>IF(D49=D48,"",_xlfn.IFNA(VLOOKUP(D49,'인원 입력 기능(사과탐)'!$A$177:$D$231,4,FALSE),0))</f>
        <v>854</v>
      </c>
      <c r="H49" s="62">
        <f t="shared" si="1"/>
        <v>1.7678963275783548E-2</v>
      </c>
      <c r="I49" s="72">
        <f>SUM($G$7:G49)</f>
        <v>46036</v>
      </c>
      <c r="J49" s="64">
        <f t="shared" si="5"/>
        <v>0.95300790792034118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37</v>
      </c>
      <c r="E50" s="74">
        <f t="shared" si="7"/>
        <v>8</v>
      </c>
      <c r="F50" s="60">
        <f t="shared" si="4"/>
        <v>3.7</v>
      </c>
      <c r="G50" s="61">
        <f>IF(D50=D49,"",_xlfn.IFNA(VLOOKUP(D50,'인원 입력 기능(사과탐)'!$A$177:$D$231,4,FALSE),0))</f>
        <v>969</v>
      </c>
      <c r="H50" s="62">
        <f t="shared" si="1"/>
        <v>2.0059619922990934E-2</v>
      </c>
      <c r="I50" s="72">
        <f>SUM($G$7:G50)</f>
        <v>47005</v>
      </c>
      <c r="J50" s="64">
        <f t="shared" si="5"/>
        <v>0.97306752784333206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36</v>
      </c>
      <c r="E51" s="74">
        <f t="shared" si="7"/>
        <v>9</v>
      </c>
      <c r="F51" s="60">
        <f t="shared" si="4"/>
        <v>2.3199999999999998</v>
      </c>
      <c r="G51" s="61">
        <f>IF(D51=D50,"",_xlfn.IFNA(VLOOKUP(D51,'인원 입력 기능(사과탐)'!$A$177:$D$231,4,FALSE),0))</f>
        <v>361</v>
      </c>
      <c r="H51" s="62">
        <f t="shared" si="1"/>
        <v>7.4731917360162303E-3</v>
      </c>
      <c r="I51" s="72">
        <f>SUM($G$7:G51)</f>
        <v>47366</v>
      </c>
      <c r="J51" s="64">
        <f t="shared" si="5"/>
        <v>0.9805407195793483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35</v>
      </c>
      <c r="E52" s="74">
        <f t="shared" si="7"/>
        <v>9</v>
      </c>
      <c r="F52" s="60">
        <f t="shared" si="4"/>
        <v>1.48</v>
      </c>
      <c r="G52" s="61">
        <f>IF(D52=D51,"",_xlfn.IFNA(VLOOKUP(D52,'인원 입력 기능(사과탐)'!$A$177:$D$231,4,FALSE),0))</f>
        <v>448</v>
      </c>
      <c r="H52" s="62">
        <f t="shared" si="1"/>
        <v>9.274210243033992E-3</v>
      </c>
      <c r="I52" s="72">
        <f>SUM($G$7:G52)</f>
        <v>47814</v>
      </c>
      <c r="J52" s="64">
        <f t="shared" si="5"/>
        <v>0.98981492982238228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9">
        <v>4</v>
      </c>
      <c r="D53" s="59">
        <f t="shared" si="3"/>
        <v>34</v>
      </c>
      <c r="E53" s="59">
        <f t="shared" si="7"/>
        <v>9</v>
      </c>
      <c r="F53" s="60">
        <f t="shared" si="4"/>
        <v>0.78</v>
      </c>
      <c r="G53" s="61">
        <f>IF(D53=D52,"",_xlfn.IFNA(VLOOKUP(D53,'인원 입력 기능(사과탐)'!$A$177:$D$231,4,FALSE),0))</f>
        <v>227</v>
      </c>
      <c r="H53" s="62">
        <f t="shared" si="1"/>
        <v>4.6992092079658843E-3</v>
      </c>
      <c r="I53" s="72">
        <f>SUM($G$7:G53)</f>
        <v>48041</v>
      </c>
      <c r="J53" s="64">
        <f t="shared" si="5"/>
        <v>0.99451413903034824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33</v>
      </c>
      <c r="E54" s="59">
        <f t="shared" si="7"/>
        <v>9</v>
      </c>
      <c r="F54" s="60">
        <f t="shared" si="4"/>
        <v>0.44</v>
      </c>
      <c r="G54" s="61">
        <f>IF(D54=D53,"",_xlfn.IFNA(VLOOKUP(D54,'인원 입력 기능(사과탐)'!$A$177:$D$231,4,FALSE),0))</f>
        <v>108</v>
      </c>
      <c r="H54" s="62">
        <f t="shared" si="1"/>
        <v>2.2357471121599803E-3</v>
      </c>
      <c r="I54" s="72">
        <f>SUM($G$7:G54)</f>
        <v>48149</v>
      </c>
      <c r="J54" s="64">
        <f t="shared" si="5"/>
        <v>0.99674988614250815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32</v>
      </c>
      <c r="E55" s="59">
        <f t="shared" si="7"/>
        <v>9</v>
      </c>
      <c r="F55" s="60">
        <f t="shared" si="4"/>
        <v>0.2</v>
      </c>
      <c r="G55" s="61">
        <f>IF(D55=D54,"",_xlfn.IFNA(VLOOKUP(D55,'인원 입력 기능(사과탐)'!$A$177:$D$231,4,FALSE),0))</f>
        <v>119</v>
      </c>
      <c r="H55" s="62">
        <f t="shared" si="1"/>
        <v>2.463462095805904E-3</v>
      </c>
      <c r="I55" s="72">
        <f>SUM($G$7:G55)</f>
        <v>48268</v>
      </c>
      <c r="J55" s="64">
        <f t="shared" si="5"/>
        <v>0.99921334823831409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30</v>
      </c>
      <c r="E57" s="112">
        <f t="shared" si="7"/>
        <v>9</v>
      </c>
      <c r="F57" s="79">
        <f>IF(I55=0,ROUND(100*(1-(I54+I57)/2/$J$3),2),ROUND(100*(1-(I55+I57)/2/$J$3),2))</f>
        <v>0.04</v>
      </c>
      <c r="G57" s="113">
        <f>_xlfn.IFNA(VLOOKUP(D57,'인원 입력 기능(사과탐)'!$A$177:$D$231,4,FALSE),0)</f>
        <v>38</v>
      </c>
      <c r="H57" s="81">
        <f>G57/$J$3</f>
        <v>7.8665176168591896E-4</v>
      </c>
      <c r="I57" s="82">
        <f>SUM($G$7:G57)</f>
        <v>48306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I43:I44"/>
    <mergeCell ref="J43:J44"/>
    <mergeCell ref="D43:D44"/>
    <mergeCell ref="E43:E44"/>
    <mergeCell ref="F43:F44"/>
    <mergeCell ref="G43:G44"/>
    <mergeCell ref="H43:H44"/>
    <mergeCell ref="D3:F3"/>
    <mergeCell ref="D4:F4"/>
    <mergeCell ref="I4:J5"/>
    <mergeCell ref="D22:D23"/>
    <mergeCell ref="E22:E23"/>
    <mergeCell ref="F22:F23"/>
    <mergeCell ref="G22:G23"/>
    <mergeCell ref="H22:H23"/>
    <mergeCell ref="I22:I23"/>
    <mergeCell ref="J22:J23"/>
  </mergeCells>
  <phoneticPr fontId="1" type="noConversion"/>
  <conditionalFormatting sqref="D7:G22 I7:J22 D24:G43 I24:J43 D45:G57 I45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22 D24:D43 D45:D57">
    <cfRule type="expression" dxfId="13" priority="2">
      <formula>$D7=$D8</formula>
    </cfRule>
  </conditionalFormatting>
  <conditionalFormatting sqref="H7:H22 H24:H43 H45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기능'!D18</f>
        <v>26.90</v>
      </c>
      <c r="I3" s="21" t="s">
        <v>70</v>
      </c>
      <c r="J3" s="50">
        <f>'통계 및 응시자 수 입력 기능'!C18</f>
        <v>61281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94</v>
      </c>
      <c r="E4" s="185"/>
      <c r="F4" s="186"/>
      <c r="G4" s="52" t="s">
        <v>73</v>
      </c>
      <c r="H4" s="53" t="str">
        <f>'통계 및 응시자 수 입력 기능'!E18</f>
        <v>11.36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70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98.83</v>
      </c>
      <c r="G7" s="61">
        <f>_xlfn.IFNA(VLOOKUP(D7,'인원 입력 기능(사과탐)'!$F$177:$I$231,4,FALSE),0)</f>
        <v>1434</v>
      </c>
      <c r="H7" s="62">
        <f>G7/$J$3</f>
        <v>2.3400401429480588E-2</v>
      </c>
      <c r="I7" s="63">
        <f>G7</f>
        <v>1434</v>
      </c>
      <c r="J7" s="64">
        <f>I7/$J$3</f>
        <v>2.3400401429480588E-2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기능'!C130</f>
        <v>68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기능'!C131</f>
        <v>65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69</v>
      </c>
      <c r="E9" s="59">
        <f t="shared" si="0"/>
        <v>1</v>
      </c>
      <c r="F9" s="60">
        <f>IF(I8=0,ROUND(100*(1-(I7+I9)/2/$J$3),2),ROUND(100*(1-(I8+I9)/2/$J$3),2))</f>
        <v>97.41</v>
      </c>
      <c r="G9" s="61">
        <f>_xlfn.IFNA(VLOOKUP(D9,'인원 입력 기능(사과탐)'!$F$177:$I$231,4,FALSE),0)</f>
        <v>304</v>
      </c>
      <c r="H9" s="62">
        <f t="shared" ref="H9:H55" si="1">G9/$J$3</f>
        <v>4.9607545568773354E-3</v>
      </c>
      <c r="I9" s="72">
        <f>SUM($G$7:G9)</f>
        <v>1738</v>
      </c>
      <c r="J9" s="64">
        <f>I9/$J$3</f>
        <v>2.8361155986357925E-2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기능'!C132</f>
        <v>59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68</v>
      </c>
      <c r="E10" s="59">
        <f t="shared" si="0"/>
        <v>1</v>
      </c>
      <c r="F10" s="60">
        <f t="shared" ref="F10:F55" si="4">IF(I9=0,ROUND(100*(1-(I8+I10)/2/$J$3),2),ROUND(100*(1-(I9+I10)/2/$J$3),2))</f>
        <v>95.49</v>
      </c>
      <c r="G10" s="61">
        <f>IF(D10=D9,"",_xlfn.IFNA(VLOOKUP(D10,'인원 입력 기능(사과탐)'!$F$177:$I$231,4,FALSE),0))</f>
        <v>2046</v>
      </c>
      <c r="H10" s="62">
        <f t="shared" si="1"/>
        <v>3.3387183629509959E-2</v>
      </c>
      <c r="I10" s="72">
        <f>SUM($G$7:G10)</f>
        <v>3784</v>
      </c>
      <c r="J10" s="64">
        <f t="shared" ref="J10:J55" si="5">I10/$J$3</f>
        <v>6.1748339615867891E-2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기능'!C133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67</v>
      </c>
      <c r="E11" s="59">
        <f t="shared" si="0"/>
        <v>2</v>
      </c>
      <c r="F11" s="60">
        <f t="shared" si="4"/>
        <v>93.78</v>
      </c>
      <c r="G11" s="61">
        <f>IF(D11=D10,"",_xlfn.IFNA(VLOOKUP(D11,'인원 입력 기능(사과탐)'!$F$177:$I$231,4,FALSE),0))</f>
        <v>50</v>
      </c>
      <c r="H11" s="62">
        <f t="shared" si="1"/>
        <v>8.1591357843377227E-4</v>
      </c>
      <c r="I11" s="72">
        <f>SUM($G$7:G11)</f>
        <v>3834</v>
      </c>
      <c r="J11" s="64">
        <f t="shared" si="5"/>
        <v>6.2564253194301658E-2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기능'!C134</f>
        <v>46</v>
      </c>
    </row>
    <row r="12" spans="1:17" s="22" customFormat="1" ht="25" customHeight="1" x14ac:dyDescent="0.45">
      <c r="A12" s="20"/>
      <c r="B12" s="35"/>
      <c r="C12" s="65">
        <v>45</v>
      </c>
      <c r="D12" s="59">
        <f t="shared" si="3"/>
        <v>66</v>
      </c>
      <c r="E12" s="59">
        <f t="shared" si="0"/>
        <v>2</v>
      </c>
      <c r="F12" s="60">
        <f t="shared" si="4"/>
        <v>93.05</v>
      </c>
      <c r="G12" s="61">
        <f>IF(D12=D11,"",_xlfn.IFNA(VLOOKUP(D12,'인원 입력 기능(사과탐)'!$F$177:$I$231,4,FALSE),0))</f>
        <v>845</v>
      </c>
      <c r="H12" s="62">
        <f t="shared" si="1"/>
        <v>1.3788939475530752E-2</v>
      </c>
      <c r="I12" s="72">
        <f>SUM($G$7:G12)</f>
        <v>4679</v>
      </c>
      <c r="J12" s="64">
        <f t="shared" si="5"/>
        <v>7.6353192669832412E-2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기능'!C135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65</v>
      </c>
      <c r="E13" s="59">
        <f t="shared" si="0"/>
        <v>2</v>
      </c>
      <c r="F13" s="60">
        <f t="shared" si="4"/>
        <v>90.62</v>
      </c>
      <c r="G13" s="61">
        <f>IF(D13=D12,"",_xlfn.IFNA(VLOOKUP(D13,'인원 입력 기능(사과탐)'!$F$177:$I$231,4,FALSE),0))</f>
        <v>2133</v>
      </c>
      <c r="H13" s="62">
        <f t="shared" si="1"/>
        <v>3.4806873255984729E-2</v>
      </c>
      <c r="I13" s="72">
        <f>SUM($G$7:G13)</f>
        <v>6812</v>
      </c>
      <c r="J13" s="64">
        <f t="shared" si="5"/>
        <v>0.11116006592581713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기능'!C136</f>
        <v>38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64</v>
      </c>
      <c r="E14" s="59">
        <f t="shared" si="0"/>
        <v>3</v>
      </c>
      <c r="F14" s="60">
        <f t="shared" si="4"/>
        <v>88.72</v>
      </c>
      <c r="G14" s="61">
        <f>IF(D14=D13,"",_xlfn.IFNA(VLOOKUP(D14,'인원 입력 기능(사과탐)'!$F$177:$I$231,4,FALSE),0))</f>
        <v>203</v>
      </c>
      <c r="H14" s="62">
        <f t="shared" si="1"/>
        <v>3.3126091284411156E-3</v>
      </c>
      <c r="I14" s="72">
        <f>SUM($G$7:G14)</f>
        <v>7015</v>
      </c>
      <c r="J14" s="64">
        <f t="shared" si="5"/>
        <v>0.11447267505425825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기능'!C137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63</v>
      </c>
      <c r="E15" s="59">
        <f t="shared" si="0"/>
        <v>3</v>
      </c>
      <c r="F15" s="60">
        <f t="shared" si="4"/>
        <v>87.46</v>
      </c>
      <c r="G15" s="61">
        <f>IF(D15=D14,"",_xlfn.IFNA(VLOOKUP(D15,'인원 입력 기능(사과탐)'!$F$177:$I$231,4,FALSE),0))</f>
        <v>1337</v>
      </c>
      <c r="H15" s="62">
        <f t="shared" si="1"/>
        <v>2.1817529087319071E-2</v>
      </c>
      <c r="I15" s="72">
        <f>SUM($G$7:G15)</f>
        <v>8352</v>
      </c>
      <c r="J15" s="64">
        <f t="shared" si="5"/>
        <v>0.13629020414157733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201">
        <f t="shared" si="3"/>
        <v>62</v>
      </c>
      <c r="E16" s="201">
        <f t="shared" si="0"/>
        <v>3</v>
      </c>
      <c r="F16" s="205">
        <f t="shared" si="4"/>
        <v>84.57</v>
      </c>
      <c r="G16" s="207">
        <f>IF(D16=D15,"",_xlfn.IFNA(VLOOKUP(D16,'인원 입력 기능(사과탐)'!$F$177:$I$231,4,FALSE),0))</f>
        <v>2210</v>
      </c>
      <c r="H16" s="208">
        <f t="shared" si="1"/>
        <v>3.6063380166772734E-2</v>
      </c>
      <c r="I16" s="214">
        <f>SUM($G$7:G16)</f>
        <v>10562</v>
      </c>
      <c r="J16" s="212">
        <f t="shared" si="5"/>
        <v>0.17235358430835007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200"/>
      <c r="E17" s="200"/>
      <c r="F17" s="204"/>
      <c r="G17" s="206"/>
      <c r="H17" s="209"/>
      <c r="I17" s="215"/>
      <c r="J17" s="213"/>
      <c r="K17" s="36"/>
      <c r="L17" s="20" t="str">
        <f t="shared" si="2"/>
        <v>경고</v>
      </c>
      <c r="N17" s="24"/>
      <c r="Q17" s="24">
        <f>Q7*H3*H4*J3*IFERROR(IF(J57=1, 1, 0), 0)</f>
        <v>1273401531.0719998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61</v>
      </c>
      <c r="E18" s="59">
        <f t="shared" si="0"/>
        <v>3</v>
      </c>
      <c r="F18" s="60">
        <f t="shared" si="4"/>
        <v>81.39</v>
      </c>
      <c r="G18" s="61">
        <f>IF(D18=D17,"",_xlfn.IFNA(VLOOKUP(D18,'인원 입력 기능(사과탐)'!$F$177:$I$231,4,FALSE),0))</f>
        <v>1683</v>
      </c>
      <c r="H18" s="62">
        <f t="shared" si="1"/>
        <v>2.7463651050080775E-2</v>
      </c>
      <c r="I18" s="72">
        <f>SUM($G$7:G18)</f>
        <v>12245</v>
      </c>
      <c r="J18" s="64">
        <f t="shared" si="5"/>
        <v>0.19981723535843082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60</v>
      </c>
      <c r="E19" s="59">
        <f t="shared" si="0"/>
        <v>3</v>
      </c>
      <c r="F19" s="60">
        <f t="shared" si="4"/>
        <v>79.09</v>
      </c>
      <c r="G19" s="61">
        <f>IF(D19=D18,"",_xlfn.IFNA(VLOOKUP(D19,'인원 입력 기능(사과탐)'!$F$177:$I$231,4,FALSE),0))</f>
        <v>1141</v>
      </c>
      <c r="H19" s="62">
        <f t="shared" si="1"/>
        <v>1.8619147859858683E-2</v>
      </c>
      <c r="I19" s="72">
        <f>SUM($G$7:G19)</f>
        <v>13386</v>
      </c>
      <c r="J19" s="64">
        <f t="shared" si="5"/>
        <v>0.21843638321828951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59</v>
      </c>
      <c r="E20" s="59">
        <f t="shared" si="0"/>
        <v>3</v>
      </c>
      <c r="F20" s="60">
        <f t="shared" si="4"/>
        <v>77.23</v>
      </c>
      <c r="G20" s="61">
        <f>IF(D20=D19,"",_xlfn.IFNA(VLOOKUP(D20,'인원 입력 기능(사과탐)'!$F$177:$I$231,4,FALSE),0))</f>
        <v>1130</v>
      </c>
      <c r="H20" s="62">
        <f t="shared" si="1"/>
        <v>1.8439646872603254E-2</v>
      </c>
      <c r="I20" s="72">
        <f>SUM($G$7:G20)</f>
        <v>14516</v>
      </c>
      <c r="J20" s="64">
        <f t="shared" si="5"/>
        <v>0.23687603009089278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58</v>
      </c>
      <c r="E21" s="74">
        <f t="shared" si="0"/>
        <v>4</v>
      </c>
      <c r="F21" s="60">
        <f t="shared" si="4"/>
        <v>75.03</v>
      </c>
      <c r="G21" s="61">
        <f>IF(D21=D20,"",_xlfn.IFNA(VLOOKUP(D21,'인원 입력 기능(사과탐)'!$F$177:$I$231,4,FALSE),0))</f>
        <v>1566</v>
      </c>
      <c r="H21" s="62">
        <f t="shared" si="1"/>
        <v>2.555441327654575E-2</v>
      </c>
      <c r="I21" s="72">
        <f>SUM($G$7:G21)</f>
        <v>16082</v>
      </c>
      <c r="J21" s="64">
        <f t="shared" si="5"/>
        <v>0.26243044336743854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57</v>
      </c>
      <c r="E22" s="74">
        <f t="shared" si="0"/>
        <v>4</v>
      </c>
      <c r="F22" s="60">
        <f t="shared" si="4"/>
        <v>72.95</v>
      </c>
      <c r="G22" s="61">
        <f>IF(D22=D21,"",_xlfn.IFNA(VLOOKUP(D22,'인원 입력 기능(사과탐)'!$F$177:$I$231,4,FALSE),0))</f>
        <v>986</v>
      </c>
      <c r="H22" s="62">
        <f t="shared" si="1"/>
        <v>1.6089815766713991E-2</v>
      </c>
      <c r="I22" s="72">
        <f>SUM($G$7:G22)</f>
        <v>17068</v>
      </c>
      <c r="J22" s="64">
        <f t="shared" si="5"/>
        <v>0.27852025913415251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56</v>
      </c>
      <c r="E23" s="74">
        <f t="shared" si="0"/>
        <v>4</v>
      </c>
      <c r="F23" s="60">
        <f t="shared" si="4"/>
        <v>70.87</v>
      </c>
      <c r="G23" s="61">
        <f>IF(D23=D22,"",_xlfn.IFNA(VLOOKUP(D23,'인원 입력 기능(사과탐)'!$F$177:$I$231,4,FALSE),0))</f>
        <v>1571</v>
      </c>
      <c r="H23" s="62">
        <f t="shared" si="1"/>
        <v>2.5636004634389125E-2</v>
      </c>
      <c r="I23" s="72">
        <f>SUM($G$7:G23)</f>
        <v>18639</v>
      </c>
      <c r="J23" s="64">
        <f t="shared" si="5"/>
        <v>0.30415626376854166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55</v>
      </c>
      <c r="E24" s="74">
        <f t="shared" si="0"/>
        <v>4</v>
      </c>
      <c r="F24" s="60">
        <f t="shared" si="4"/>
        <v>68.58</v>
      </c>
      <c r="G24" s="61">
        <f>IF(D24=D23,"",_xlfn.IFNA(VLOOKUP(D24,'인원 입력 기능(사과탐)'!$F$177:$I$231,4,FALSE),0))</f>
        <v>1235</v>
      </c>
      <c r="H24" s="62">
        <f t="shared" si="1"/>
        <v>2.0153065387314175E-2</v>
      </c>
      <c r="I24" s="72">
        <f>SUM($G$7:G24)</f>
        <v>19874</v>
      </c>
      <c r="J24" s="64">
        <f t="shared" si="5"/>
        <v>0.32430932915585581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203">
        <f t="shared" si="3"/>
        <v>54</v>
      </c>
      <c r="E25" s="203">
        <f t="shared" si="0"/>
        <v>4</v>
      </c>
      <c r="F25" s="205">
        <f t="shared" si="4"/>
        <v>65.099999999999994</v>
      </c>
      <c r="G25" s="207">
        <f>IF(D25=D24,"",_xlfn.IFNA(VLOOKUP(D25,'인원 입력 기능(사과탐)'!$F$177:$I$231,4,FALSE),0))</f>
        <v>3032</v>
      </c>
      <c r="H25" s="208">
        <f t="shared" si="1"/>
        <v>4.947699939622395E-2</v>
      </c>
      <c r="I25" s="214">
        <f>SUM($G$7:G25)</f>
        <v>22906</v>
      </c>
      <c r="J25" s="212">
        <f t="shared" si="5"/>
        <v>0.37378632855207977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202"/>
      <c r="E26" s="202"/>
      <c r="F26" s="204"/>
      <c r="G26" s="206"/>
      <c r="H26" s="209"/>
      <c r="I26" s="215"/>
      <c r="J26" s="213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53</v>
      </c>
      <c r="E27" s="74">
        <f t="shared" si="0"/>
        <v>4</v>
      </c>
      <c r="F27" s="60">
        <f t="shared" si="4"/>
        <v>61.64</v>
      </c>
      <c r="G27" s="61">
        <f>IF(D27=D26,"",_xlfn.IFNA(VLOOKUP(D27,'인원 입력 기능(사과탐)'!$F$177:$I$231,4,FALSE),0))</f>
        <v>1208</v>
      </c>
      <c r="H27" s="62">
        <f t="shared" si="1"/>
        <v>1.9712472054959938E-2</v>
      </c>
      <c r="I27" s="72">
        <f>SUM($G$7:G27)</f>
        <v>24114</v>
      </c>
      <c r="J27" s="64">
        <f t="shared" si="5"/>
        <v>0.39349880060703968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52</v>
      </c>
      <c r="E28" s="74">
        <f t="shared" si="0"/>
        <v>4</v>
      </c>
      <c r="F28" s="60">
        <f t="shared" si="4"/>
        <v>59.31</v>
      </c>
      <c r="G28" s="61">
        <f>IF(D28=D27,"",_xlfn.IFNA(VLOOKUP(D28,'인원 입력 기능(사과탐)'!$F$177:$I$231,4,FALSE),0))</f>
        <v>1642</v>
      </c>
      <c r="H28" s="62">
        <f t="shared" si="1"/>
        <v>2.6794601915765083E-2</v>
      </c>
      <c r="I28" s="72">
        <f>SUM($G$7:G28)</f>
        <v>25756</v>
      </c>
      <c r="J28" s="64">
        <f t="shared" si="5"/>
        <v>0.42029340252280478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51</v>
      </c>
      <c r="E29" s="74">
        <f t="shared" si="0"/>
        <v>5</v>
      </c>
      <c r="F29" s="60">
        <f t="shared" si="4"/>
        <v>56.74</v>
      </c>
      <c r="G29" s="61">
        <f>IF(D29=D28,"",_xlfn.IFNA(VLOOKUP(D29,'인원 입력 기능(사과탐)'!$F$177:$I$231,4,FALSE),0))</f>
        <v>1508</v>
      </c>
      <c r="H29" s="62">
        <f t="shared" si="1"/>
        <v>2.4607953525562571E-2</v>
      </c>
      <c r="I29" s="72">
        <f>SUM($G$7:G29)</f>
        <v>27264</v>
      </c>
      <c r="J29" s="64">
        <f t="shared" si="5"/>
        <v>0.44490135604836734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50</v>
      </c>
      <c r="E30" s="74">
        <f t="shared" si="0"/>
        <v>5</v>
      </c>
      <c r="F30" s="60">
        <f t="shared" si="4"/>
        <v>54.28</v>
      </c>
      <c r="G30" s="61">
        <f>IF(D30=D29,"",_xlfn.IFNA(VLOOKUP(D30,'인원 입력 기능(사과탐)'!$F$177:$I$231,4,FALSE),0))</f>
        <v>1513</v>
      </c>
      <c r="H30" s="62">
        <f t="shared" si="1"/>
        <v>2.468954488340595E-2</v>
      </c>
      <c r="I30" s="72">
        <f>SUM($G$7:G30)</f>
        <v>28777</v>
      </c>
      <c r="J30" s="64">
        <f t="shared" si="5"/>
        <v>0.4695909009317733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49</v>
      </c>
      <c r="E31" s="74">
        <f t="shared" si="0"/>
        <v>5</v>
      </c>
      <c r="F31" s="60">
        <f t="shared" si="4"/>
        <v>51.49</v>
      </c>
      <c r="G31" s="61">
        <f>IF(D31=D30,"",_xlfn.IFNA(VLOOKUP(D31,'인원 입력 기능(사과탐)'!$F$177:$I$231,4,FALSE),0))</f>
        <v>1900</v>
      </c>
      <c r="H31" s="62">
        <f t="shared" si="1"/>
        <v>3.1004715980483346E-2</v>
      </c>
      <c r="I31" s="72">
        <f>SUM($G$7:G31)</f>
        <v>30677</v>
      </c>
      <c r="J31" s="64">
        <f t="shared" si="5"/>
        <v>0.50059561691225662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48</v>
      </c>
      <c r="E32" s="74">
        <f t="shared" si="0"/>
        <v>5</v>
      </c>
      <c r="F32" s="60">
        <f t="shared" si="4"/>
        <v>48.66</v>
      </c>
      <c r="G32" s="61">
        <f>IF(D32=D31,"",_xlfn.IFNA(VLOOKUP(D32,'인원 입력 기능(사과탐)'!$F$177:$I$231,4,FALSE),0))</f>
        <v>1575</v>
      </c>
      <c r="H32" s="62">
        <f t="shared" si="1"/>
        <v>2.5701277720663829E-2</v>
      </c>
      <c r="I32" s="72">
        <f>SUM($G$7:G32)</f>
        <v>32252</v>
      </c>
      <c r="J32" s="64">
        <f t="shared" si="5"/>
        <v>0.52629689463292051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203">
        <f t="shared" si="3"/>
        <v>47</v>
      </c>
      <c r="E33" s="203">
        <f t="shared" si="0"/>
        <v>5</v>
      </c>
      <c r="F33" s="205">
        <f t="shared" si="4"/>
        <v>44.21</v>
      </c>
      <c r="G33" s="207">
        <f>IF(D33=D32,"",_xlfn.IFNA(VLOOKUP(D33,'인원 입력 기능(사과탐)'!$F$177:$I$231,4,FALSE),0))</f>
        <v>3869</v>
      </c>
      <c r="H33" s="208">
        <f t="shared" si="1"/>
        <v>6.3135392699205303E-2</v>
      </c>
      <c r="I33" s="214">
        <f>SUM($G$7:G33)</f>
        <v>36121</v>
      </c>
      <c r="J33" s="212">
        <f t="shared" si="5"/>
        <v>0.58943228733212583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202"/>
      <c r="E34" s="202"/>
      <c r="F34" s="204"/>
      <c r="G34" s="206"/>
      <c r="H34" s="209"/>
      <c r="I34" s="215"/>
      <c r="J34" s="213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46</v>
      </c>
      <c r="E35" s="74">
        <f t="shared" si="0"/>
        <v>5</v>
      </c>
      <c r="F35" s="60">
        <f t="shared" si="4"/>
        <v>39.42</v>
      </c>
      <c r="G35" s="61">
        <f>IF(D35=D34,"",_xlfn.IFNA(VLOOKUP(D35,'인원 입력 기능(사과탐)'!$F$177:$I$231,4,FALSE),0))</f>
        <v>2011</v>
      </c>
      <c r="H35" s="62">
        <f t="shared" si="1"/>
        <v>3.2816044124606321E-2</v>
      </c>
      <c r="I35" s="72">
        <f>SUM($G$7:G35)</f>
        <v>38132</v>
      </c>
      <c r="J35" s="64">
        <f t="shared" si="5"/>
        <v>0.62224833145673208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45</v>
      </c>
      <c r="E36" s="74">
        <f t="shared" si="0"/>
        <v>6</v>
      </c>
      <c r="F36" s="60">
        <f t="shared" si="4"/>
        <v>36.049999999999997</v>
      </c>
      <c r="G36" s="61">
        <f>IF(D36=D35,"",_xlfn.IFNA(VLOOKUP(D36,'인원 입력 기능(사과탐)'!$F$177:$I$231,4,FALSE),0))</f>
        <v>2111</v>
      </c>
      <c r="H36" s="62">
        <f t="shared" si="1"/>
        <v>3.4447871281473863E-2</v>
      </c>
      <c r="I36" s="72">
        <f>SUM($G$7:G36)</f>
        <v>40243</v>
      </c>
      <c r="J36" s="64">
        <f t="shared" si="5"/>
        <v>0.65669620273820595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44</v>
      </c>
      <c r="E37" s="74">
        <f t="shared" si="0"/>
        <v>6</v>
      </c>
      <c r="F37" s="60">
        <f t="shared" si="4"/>
        <v>32.79</v>
      </c>
      <c r="G37" s="61">
        <f>IF(D37=D36,"",_xlfn.IFNA(VLOOKUP(D37,'인원 입력 기능(사과탐)'!$F$177:$I$231,4,FALSE),0))</f>
        <v>1885</v>
      </c>
      <c r="H37" s="62">
        <f t="shared" si="1"/>
        <v>3.0759941906953216E-2</v>
      </c>
      <c r="I37" s="72">
        <f>SUM($G$7:G37)</f>
        <v>42128</v>
      </c>
      <c r="J37" s="64">
        <f t="shared" si="5"/>
        <v>0.68745614464515914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43</v>
      </c>
      <c r="E38" s="74">
        <f t="shared" si="0"/>
        <v>6</v>
      </c>
      <c r="F38" s="60">
        <f t="shared" si="4"/>
        <v>29.51</v>
      </c>
      <c r="G38" s="61">
        <f>IF(D38=D37,"",_xlfn.IFNA(VLOOKUP(D38,'인원 입력 기능(사과탐)'!$F$177:$I$231,4,FALSE),0))</f>
        <v>2143</v>
      </c>
      <c r="H38" s="62">
        <f t="shared" si="1"/>
        <v>3.4970055971671479E-2</v>
      </c>
      <c r="I38" s="72">
        <f>SUM($G$7:G38)</f>
        <v>44271</v>
      </c>
      <c r="J38" s="64">
        <f t="shared" si="5"/>
        <v>0.72242620061683072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42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26.13</v>
      </c>
      <c r="G39" s="61">
        <f>IF(D39=D38,"",_xlfn.IFNA(VLOOKUP(D39,'인원 입력 기능(사과탐)'!$F$177:$I$231,4,FALSE),0))</f>
        <v>1999</v>
      </c>
      <c r="H39" s="62">
        <f t="shared" si="1"/>
        <v>3.2620224865782213E-2</v>
      </c>
      <c r="I39" s="72">
        <f>SUM($G$7:G39)</f>
        <v>46270</v>
      </c>
      <c r="J39" s="64">
        <f t="shared" si="5"/>
        <v>0.75504642548261292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41</v>
      </c>
      <c r="E40" s="74">
        <f t="shared" si="6"/>
        <v>6</v>
      </c>
      <c r="F40" s="60">
        <f t="shared" si="4"/>
        <v>22.94</v>
      </c>
      <c r="G40" s="61">
        <f>IF(D40=D39,"",_xlfn.IFNA(VLOOKUP(D40,'인원 입력 기능(사과탐)'!$F$177:$I$231,4,FALSE),0))</f>
        <v>1909</v>
      </c>
      <c r="H40" s="62">
        <f t="shared" si="1"/>
        <v>3.1151580424601425E-2</v>
      </c>
      <c r="I40" s="72">
        <f>SUM($G$7:G40)</f>
        <v>48179</v>
      </c>
      <c r="J40" s="64">
        <f t="shared" si="5"/>
        <v>0.78619800590721434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03">
        <f t="shared" si="3"/>
        <v>40</v>
      </c>
      <c r="E41" s="203">
        <f t="shared" si="6"/>
        <v>7</v>
      </c>
      <c r="F41" s="205">
        <f t="shared" si="4"/>
        <v>18.489999999999998</v>
      </c>
      <c r="G41" s="207">
        <f>IF(D41=D40,"",_xlfn.IFNA(VLOOKUP(D41,'인원 입력 기능(사과탐)'!$F$177:$I$231,4,FALSE),0))</f>
        <v>3548</v>
      </c>
      <c r="H41" s="208">
        <f t="shared" si="1"/>
        <v>5.7897227525660483E-2</v>
      </c>
      <c r="I41" s="214">
        <f>SUM($G$7:G41)</f>
        <v>51727</v>
      </c>
      <c r="J41" s="212">
        <f t="shared" si="5"/>
        <v>0.84409523343287474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02"/>
      <c r="E42" s="202"/>
      <c r="F42" s="204"/>
      <c r="G42" s="206"/>
      <c r="H42" s="209"/>
      <c r="I42" s="215"/>
      <c r="J42" s="213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39</v>
      </c>
      <c r="E43" s="74">
        <f t="shared" si="6"/>
        <v>7</v>
      </c>
      <c r="F43" s="60">
        <f t="shared" si="4"/>
        <v>13.88</v>
      </c>
      <c r="G43" s="61">
        <f>IF(D43=D42,"",_xlfn.IFNA(VLOOKUP(D43,'인원 입력 기능(사과탐)'!$F$177:$I$231,4,FALSE),0))</f>
        <v>2099</v>
      </c>
      <c r="H43" s="62">
        <f t="shared" si="1"/>
        <v>3.4252052022649762E-2</v>
      </c>
      <c r="I43" s="72">
        <f>SUM($G$7:G43)</f>
        <v>53826</v>
      </c>
      <c r="J43" s="64">
        <f t="shared" si="5"/>
        <v>0.87834728545552454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38</v>
      </c>
      <c r="E44" s="74">
        <f t="shared" si="6"/>
        <v>7</v>
      </c>
      <c r="F44" s="60">
        <f t="shared" si="4"/>
        <v>10.24</v>
      </c>
      <c r="G44" s="61">
        <f>IF(D44=D43,"",_xlfn.IFNA(VLOOKUP(D44,'인원 입력 기능(사과탐)'!$F$177:$I$231,4,FALSE),0))</f>
        <v>2361</v>
      </c>
      <c r="H44" s="62">
        <f t="shared" si="1"/>
        <v>3.8527439173642729E-2</v>
      </c>
      <c r="I44" s="72">
        <f>SUM($G$7:G44)</f>
        <v>56187</v>
      </c>
      <c r="J44" s="64">
        <f t="shared" si="5"/>
        <v>0.9168747246291673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37</v>
      </c>
      <c r="E45" s="74">
        <f t="shared" si="6"/>
        <v>8</v>
      </c>
      <c r="F45" s="60">
        <f t="shared" si="4"/>
        <v>7.51</v>
      </c>
      <c r="G45" s="61">
        <f>IF(D45=D44,"",_xlfn.IFNA(VLOOKUP(D45,'인원 입력 기능(사과탐)'!$F$177:$I$231,4,FALSE),0))</f>
        <v>980</v>
      </c>
      <c r="H45" s="62">
        <f t="shared" si="1"/>
        <v>1.5991906137301937E-2</v>
      </c>
      <c r="I45" s="72">
        <f>SUM($G$7:G45)</f>
        <v>57167</v>
      </c>
      <c r="J45" s="64">
        <f t="shared" si="5"/>
        <v>0.93286663076646925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36</v>
      </c>
      <c r="E46" s="74">
        <f t="shared" si="6"/>
        <v>8</v>
      </c>
      <c r="F46" s="60">
        <f t="shared" si="4"/>
        <v>5.78</v>
      </c>
      <c r="G46" s="61">
        <f>IF(D46=D45,"",_xlfn.IFNA(VLOOKUP(D46,'인원 입력 기능(사과탐)'!$F$177:$I$231,4,FALSE),0))</f>
        <v>1145</v>
      </c>
      <c r="H46" s="62">
        <f t="shared" si="1"/>
        <v>1.8684420946133387E-2</v>
      </c>
      <c r="I46" s="72">
        <f>SUM($G$7:G46)</f>
        <v>58312</v>
      </c>
      <c r="J46" s="64">
        <f t="shared" si="5"/>
        <v>0.95155105171260257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35</v>
      </c>
      <c r="E47" s="74">
        <f t="shared" si="6"/>
        <v>8</v>
      </c>
      <c r="F47" s="60">
        <f t="shared" si="4"/>
        <v>4.16</v>
      </c>
      <c r="G47" s="61">
        <f>IF(D47=D46,"",_xlfn.IFNA(VLOOKUP(D47,'인원 입력 기능(사과탐)'!$F$177:$I$231,4,FALSE),0))</f>
        <v>841</v>
      </c>
      <c r="H47" s="62">
        <f t="shared" si="1"/>
        <v>1.372366638925605E-2</v>
      </c>
      <c r="I47" s="72">
        <f>SUM($G$7:G47)</f>
        <v>59153</v>
      </c>
      <c r="J47" s="64">
        <f t="shared" si="5"/>
        <v>0.96527471810185861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34</v>
      </c>
      <c r="E48" s="74">
        <f t="shared" si="6"/>
        <v>9</v>
      </c>
      <c r="F48" s="60">
        <f t="shared" si="4"/>
        <v>2.89</v>
      </c>
      <c r="G48" s="61">
        <f>IF(D48=D47,"",_xlfn.IFNA(VLOOKUP(D48,'인원 입력 기능(사과탐)'!$F$177:$I$231,4,FALSE),0))</f>
        <v>714</v>
      </c>
      <c r="H48" s="62">
        <f t="shared" si="1"/>
        <v>1.1651245900034269E-2</v>
      </c>
      <c r="I48" s="72">
        <f>SUM($G$7:G48)</f>
        <v>59867</v>
      </c>
      <c r="J48" s="64">
        <f t="shared" si="5"/>
        <v>0.97692596400189291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33</v>
      </c>
      <c r="E49" s="74">
        <f t="shared" si="6"/>
        <v>9</v>
      </c>
      <c r="F49" s="60">
        <f t="shared" si="4"/>
        <v>1.96</v>
      </c>
      <c r="G49" s="61">
        <f>IF(D49=D48,"",_xlfn.IFNA(VLOOKUP(D49,'인원 입력 기능(사과탐)'!$F$177:$I$231,4,FALSE),0))</f>
        <v>431</v>
      </c>
      <c r="H49" s="62">
        <f t="shared" si="1"/>
        <v>7.0331750460991176E-3</v>
      </c>
      <c r="I49" s="72">
        <f>SUM($G$7:G49)</f>
        <v>60298</v>
      </c>
      <c r="J49" s="64">
        <f t="shared" si="5"/>
        <v>0.98395913904799204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203">
        <f t="shared" si="3"/>
        <v>32</v>
      </c>
      <c r="E50" s="203">
        <f t="shared" si="6"/>
        <v>9</v>
      </c>
      <c r="F50" s="205">
        <f t="shared" si="4"/>
        <v>1.01</v>
      </c>
      <c r="G50" s="207">
        <f>IF(D50=D49,"",_xlfn.IFNA(VLOOKUP(D50,'인원 입력 기능(사과탐)'!$F$177:$I$231,4,FALSE),0))</f>
        <v>729</v>
      </c>
      <c r="H50" s="208">
        <f t="shared" si="1"/>
        <v>1.18960199735644E-2</v>
      </c>
      <c r="I50" s="214">
        <f>SUM($G$7:G50)</f>
        <v>61027</v>
      </c>
      <c r="J50" s="212">
        <f t="shared" si="5"/>
        <v>0.99585515902155641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202"/>
      <c r="E51" s="202"/>
      <c r="F51" s="204"/>
      <c r="G51" s="206"/>
      <c r="H51" s="209"/>
      <c r="I51" s="215"/>
      <c r="J51" s="213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31</v>
      </c>
      <c r="E52" s="74">
        <f t="shared" si="6"/>
        <v>9</v>
      </c>
      <c r="F52" s="60">
        <f t="shared" si="4"/>
        <v>0.33</v>
      </c>
      <c r="G52" s="61">
        <f>IF(D52=D51,"",_xlfn.IFNA(VLOOKUP(D52,'인원 입력 기능(사과탐)'!$F$177:$I$231,4,FALSE),0))</f>
        <v>103</v>
      </c>
      <c r="H52" s="62">
        <f t="shared" si="1"/>
        <v>1.6807819715735708E-3</v>
      </c>
      <c r="I52" s="72">
        <f>SUM($G$7:G52)</f>
        <v>61130</v>
      </c>
      <c r="J52" s="64">
        <f t="shared" si="5"/>
        <v>0.99753594099313003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30</v>
      </c>
      <c r="E53" s="59">
        <f t="shared" si="6"/>
        <v>9</v>
      </c>
      <c r="F53" s="60">
        <f t="shared" si="4"/>
        <v>0.16</v>
      </c>
      <c r="G53" s="61">
        <f>IF(D53=D52,"",_xlfn.IFNA(VLOOKUP(D53,'인원 입력 기능(사과탐)'!$F$177:$I$231,4,FALSE),0))</f>
        <v>102</v>
      </c>
      <c r="H53" s="62">
        <f t="shared" si="1"/>
        <v>1.6644637000048956E-3</v>
      </c>
      <c r="I53" s="72">
        <f>SUM($G$7:G53)</f>
        <v>61232</v>
      </c>
      <c r="J53" s="64">
        <f t="shared" si="5"/>
        <v>0.99920040469313487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66">
        <f t="shared" si="3"/>
        <v>29</v>
      </c>
      <c r="E54" s="66">
        <f t="shared" si="6"/>
        <v>9</v>
      </c>
      <c r="F54" s="67">
        <f t="shared" si="4"/>
        <v>0.08</v>
      </c>
      <c r="G54" s="170">
        <f>IF(D54=D53,"",_xlfn.IFNA(VLOOKUP(D54,'인원 입력 기능(사과탐)'!$F$177:$I$231,4,FALSE),0))</f>
        <v>0</v>
      </c>
      <c r="H54" s="171">
        <f t="shared" si="1"/>
        <v>0</v>
      </c>
      <c r="I54" s="76">
        <f>SUM($G$7:G54)</f>
        <v>61232</v>
      </c>
      <c r="J54" s="172">
        <f t="shared" si="5"/>
        <v>0.99920040469313487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79">
        <v>2</v>
      </c>
      <c r="D55" s="173">
        <f t="shared" si="3"/>
        <v>28</v>
      </c>
      <c r="E55" s="173">
        <f t="shared" si="6"/>
        <v>9</v>
      </c>
      <c r="F55" s="174">
        <f t="shared" si="4"/>
        <v>0.04</v>
      </c>
      <c r="G55" s="175">
        <f>IF(D55=D54,"",_xlfn.IFNA(VLOOKUP(D55,'인원 입력 기능(사과탐)'!$F$177:$I$231,4,FALSE),0))</f>
        <v>49</v>
      </c>
      <c r="H55" s="176">
        <f t="shared" si="1"/>
        <v>7.9959530686509687E-4</v>
      </c>
      <c r="I55" s="177">
        <f>SUM($G$7:G55)</f>
        <v>61281</v>
      </c>
      <c r="J55" s="178">
        <f t="shared" si="5"/>
        <v>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62">
        <v>0</v>
      </c>
      <c r="D57" s="163">
        <f>ROUND(10*(C57-$H$3)/$H$4+50,0)</f>
        <v>26</v>
      </c>
      <c r="E57" s="164">
        <f t="shared" si="6"/>
        <v>9</v>
      </c>
      <c r="F57" s="165">
        <f>IF(I55=0,ROUND(100*(1-(I54+I57)/2/$J$3),2),ROUND(100*(1-(I55+I57)/2/$J$3),2))</f>
        <v>0</v>
      </c>
      <c r="G57" s="166">
        <f>_xlfn.IFNA(VLOOKUP(D57,'인원 입력 기능(사과탐)'!$F$177:$I$231,4,FALSE),0)</f>
        <v>0</v>
      </c>
      <c r="H57" s="167">
        <f>G57/$J$3</f>
        <v>0</v>
      </c>
      <c r="I57" s="168">
        <f>SUM($G$7:G57)</f>
        <v>61281</v>
      </c>
      <c r="J57" s="169">
        <f>I57/$J$3</f>
        <v>1</v>
      </c>
      <c r="K57" s="36"/>
      <c r="L57" s="20" t="str">
        <f t="shared" si="2"/>
        <v/>
      </c>
      <c r="N57" s="24"/>
    </row>
    <row r="58" spans="1:14" ht="25" customHeight="1" x14ac:dyDescent="0.45">
      <c r="A58" s="5"/>
      <c r="B58" s="32"/>
      <c r="C58" s="191" t="s">
        <v>135</v>
      </c>
      <c r="D58" s="191"/>
      <c r="E58" s="191"/>
      <c r="F58" s="191"/>
      <c r="G58" s="191"/>
      <c r="H58" s="191"/>
      <c r="I58" s="191"/>
      <c r="J58" s="191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9">
    <mergeCell ref="I41:I42"/>
    <mergeCell ref="J41:J42"/>
    <mergeCell ref="D50:D51"/>
    <mergeCell ref="E50:E51"/>
    <mergeCell ref="F50:F51"/>
    <mergeCell ref="G50:G51"/>
    <mergeCell ref="H50:H51"/>
    <mergeCell ref="I50:I51"/>
    <mergeCell ref="J50:J51"/>
    <mergeCell ref="D41:D42"/>
    <mergeCell ref="E41:E42"/>
    <mergeCell ref="F41:F42"/>
    <mergeCell ref="G41:G42"/>
    <mergeCell ref="H41:H42"/>
    <mergeCell ref="I25:I26"/>
    <mergeCell ref="J25:J26"/>
    <mergeCell ref="D33:D34"/>
    <mergeCell ref="E33:E34"/>
    <mergeCell ref="F33:F34"/>
    <mergeCell ref="G33:G34"/>
    <mergeCell ref="H33:H34"/>
    <mergeCell ref="I33:I34"/>
    <mergeCell ref="J33:J34"/>
    <mergeCell ref="D3:F3"/>
    <mergeCell ref="D4:F4"/>
    <mergeCell ref="I4:J5"/>
    <mergeCell ref="C58:J58"/>
    <mergeCell ref="D16:D17"/>
    <mergeCell ref="E16:E17"/>
    <mergeCell ref="F16:F17"/>
    <mergeCell ref="G16:G17"/>
    <mergeCell ref="H16:H17"/>
    <mergeCell ref="I16:I17"/>
    <mergeCell ref="J16:J17"/>
    <mergeCell ref="D25:D26"/>
    <mergeCell ref="E25:E26"/>
    <mergeCell ref="F25:F26"/>
    <mergeCell ref="G25:G26"/>
    <mergeCell ref="H25:H26"/>
  </mergeCells>
  <phoneticPr fontId="1" type="noConversion"/>
  <conditionalFormatting sqref="D7:G16 I7:J16 D18:G25 I18:J25 D27:G33 I27:J33 D35:G41 I35:J41 D43:G50 I43:J50 D52:G57 I52:J57">
    <cfRule type="expression" dxfId="11" priority="4">
      <formula>OR($D7=$Q$7:$Q$14)</formula>
    </cfRule>
  </conditionalFormatting>
  <conditionalFormatting sqref="C7:C57">
    <cfRule type="expression" dxfId="10" priority="3">
      <formula>OR(AND($D7=0,OR($D6=$Q$7:$Q$14)),AND($D8&gt;0,OR($D7=$Q$7:$Q$14)))</formula>
    </cfRule>
  </conditionalFormatting>
  <conditionalFormatting sqref="D7:D16 D18:D25 D27:D33 D35:D41 D43:D50 D52:D57">
    <cfRule type="expression" dxfId="9" priority="2">
      <formula>$D7=$D8</formula>
    </cfRule>
  </conditionalFormatting>
  <conditionalFormatting sqref="H7:H16 H18:H25 H27:H33 H35:H41 H43:H50 H52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기능'!D19</f>
        <v>23.33</v>
      </c>
      <c r="I3" s="21" t="s">
        <v>70</v>
      </c>
      <c r="J3" s="50">
        <f>'통계 및 응시자 수 입력 기능'!C19</f>
        <v>95569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93</v>
      </c>
      <c r="E4" s="185"/>
      <c r="F4" s="186"/>
      <c r="G4" s="52" t="s">
        <v>73</v>
      </c>
      <c r="H4" s="53" t="str">
        <f>'통계 및 응시자 수 입력 기능'!E19</f>
        <v>11.13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74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99.28</v>
      </c>
      <c r="G7" s="61">
        <f>_xlfn.IFNA(VLOOKUP(D7,'인원 입력 기능(사과탐)'!$K$177:$N$231,4,FALSE),0)</f>
        <v>1385</v>
      </c>
      <c r="H7" s="62">
        <f>G7/$J$3</f>
        <v>1.4492147035126452E-2</v>
      </c>
      <c r="I7" s="63">
        <f>G7</f>
        <v>1385</v>
      </c>
      <c r="J7" s="64">
        <f>I7/$J$3</f>
        <v>1.4492147035126452E-2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기능'!C139</f>
        <v>70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기능'!C140</f>
        <v>64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72</v>
      </c>
      <c r="E9" s="59">
        <f t="shared" si="0"/>
        <v>1</v>
      </c>
      <c r="F9" s="60">
        <f>IF(I8=0,ROUND(100*(1-(I7+I9)/2/$J$3),2),ROUND(100*(1-(I8+I9)/2/$J$3),2))</f>
        <v>97.99</v>
      </c>
      <c r="G9" s="61">
        <f>_xlfn.IFNA(VLOOKUP(D9,'인원 입력 기능(사과탐)'!$K$177:$N$231,4,FALSE),0)</f>
        <v>1070</v>
      </c>
      <c r="H9" s="62">
        <f t="shared" ref="H9:H55" si="1">G9/$J$3</f>
        <v>1.1196099153491195E-2</v>
      </c>
      <c r="I9" s="72">
        <f>SUM($G$7:G9)</f>
        <v>2455</v>
      </c>
      <c r="J9" s="64">
        <f>I9/$J$3</f>
        <v>2.5688246188617647E-2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기능'!C141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71</v>
      </c>
      <c r="E10" s="59">
        <f t="shared" si="0"/>
        <v>1</v>
      </c>
      <c r="F10" s="60">
        <f t="shared" ref="F10:F55" si="4">IF(I9=0,ROUND(100*(1-(I8+I10)/2/$J$3),2),ROUND(100*(1-(I9+I10)/2/$J$3),2))</f>
        <v>96.87</v>
      </c>
      <c r="G10" s="61">
        <f>IF(D10=D9,"",_xlfn.IFNA(VLOOKUP(D10,'인원 입력 기능(사과탐)'!$K$177:$N$231,4,FALSE),0))</f>
        <v>1081</v>
      </c>
      <c r="H10" s="62">
        <f t="shared" si="1"/>
        <v>1.1311199238246712E-2</v>
      </c>
      <c r="I10" s="72">
        <f>SUM($G$7:G10)</f>
        <v>3536</v>
      </c>
      <c r="J10" s="64">
        <f t="shared" ref="J10:J55" si="5">I10/$J$3</f>
        <v>3.6999445426864362E-2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기능'!C142</f>
        <v>52</v>
      </c>
    </row>
    <row r="11" spans="1:17" s="22" customFormat="1" ht="25" customHeight="1" x14ac:dyDescent="0.45">
      <c r="A11" s="20"/>
      <c r="B11" s="35"/>
      <c r="C11" s="58">
        <v>46</v>
      </c>
      <c r="D11" s="59">
        <f t="shared" si="3"/>
        <v>70</v>
      </c>
      <c r="E11" s="59">
        <f t="shared" si="0"/>
        <v>1</v>
      </c>
      <c r="F11" s="60">
        <f t="shared" si="4"/>
        <v>96.05</v>
      </c>
      <c r="G11" s="61">
        <f>IF(D11=D10,"",_xlfn.IFNA(VLOOKUP(D11,'인원 입력 기능(사과탐)'!$K$177:$N$231,4,FALSE),0))</f>
        <v>481</v>
      </c>
      <c r="H11" s="62">
        <f t="shared" si="1"/>
        <v>5.0330127970366961E-3</v>
      </c>
      <c r="I11" s="72">
        <f>SUM($G$7:G11)</f>
        <v>4017</v>
      </c>
      <c r="J11" s="64">
        <f t="shared" si="5"/>
        <v>4.2032458223901059E-2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기능'!C143</f>
        <v>46</v>
      </c>
    </row>
    <row r="12" spans="1:17" s="22" customFormat="1" ht="25" customHeight="1" x14ac:dyDescent="0.45">
      <c r="A12" s="20"/>
      <c r="B12" s="35"/>
      <c r="C12" s="65">
        <v>45</v>
      </c>
      <c r="D12" s="201">
        <f t="shared" si="3"/>
        <v>69</v>
      </c>
      <c r="E12" s="201">
        <f t="shared" si="0"/>
        <v>2</v>
      </c>
      <c r="F12" s="205">
        <f t="shared" si="4"/>
        <v>94.68</v>
      </c>
      <c r="G12" s="207">
        <f>IF(D12=D11,"",_xlfn.IFNA(VLOOKUP(D12,'인원 입력 기능(사과탐)'!$K$177:$N$231,4,FALSE),0))</f>
        <v>2134</v>
      </c>
      <c r="H12" s="208">
        <f t="shared" si="1"/>
        <v>2.2329416442570291E-2</v>
      </c>
      <c r="I12" s="214">
        <f>SUM($G$7:G12)</f>
        <v>6151</v>
      </c>
      <c r="J12" s="212">
        <f t="shared" si="5"/>
        <v>6.436187466647135E-2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기능'!C144</f>
        <v>42</v>
      </c>
    </row>
    <row r="13" spans="1:17" s="22" customFormat="1" ht="25" customHeight="1" x14ac:dyDescent="0.45">
      <c r="A13" s="20"/>
      <c r="B13" s="35"/>
      <c r="C13" s="58">
        <v>44</v>
      </c>
      <c r="D13" s="200"/>
      <c r="E13" s="200"/>
      <c r="F13" s="204"/>
      <c r="G13" s="206"/>
      <c r="H13" s="209"/>
      <c r="I13" s="215"/>
      <c r="J13" s="213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기능'!C145</f>
        <v>39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68</v>
      </c>
      <c r="E14" s="59">
        <f t="shared" si="0"/>
        <v>2</v>
      </c>
      <c r="F14" s="60">
        <f t="shared" si="4"/>
        <v>93.09</v>
      </c>
      <c r="G14" s="61">
        <f>IF(D14=D13,"",_xlfn.IFNA(VLOOKUP(D14,'인원 입력 기능(사과탐)'!$K$177:$N$231,4,FALSE),0))</f>
        <v>897</v>
      </c>
      <c r="H14" s="62">
        <f t="shared" si="1"/>
        <v>9.3858887296089741E-3</v>
      </c>
      <c r="I14" s="72">
        <f>SUM($G$7:G14)</f>
        <v>7048</v>
      </c>
      <c r="J14" s="64">
        <f t="shared" si="5"/>
        <v>7.3747763396080315E-2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기능'!C146</f>
        <v>35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67</v>
      </c>
      <c r="E15" s="59">
        <f t="shared" si="0"/>
        <v>2</v>
      </c>
      <c r="F15" s="60">
        <f t="shared" si="4"/>
        <v>91.89</v>
      </c>
      <c r="G15" s="61">
        <f>IF(D15=D14,"",_xlfn.IFNA(VLOOKUP(D15,'인원 입력 기능(사과탐)'!$K$177:$N$231,4,FALSE),0))</f>
        <v>1411</v>
      </c>
      <c r="H15" s="62">
        <f t="shared" si="1"/>
        <v>1.476420178091222E-2</v>
      </c>
      <c r="I15" s="72">
        <f>SUM($G$7:G15)</f>
        <v>8459</v>
      </c>
      <c r="J15" s="64">
        <f t="shared" si="5"/>
        <v>8.8511965176992544E-2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66</v>
      </c>
      <c r="E16" s="59">
        <f t="shared" si="0"/>
        <v>2</v>
      </c>
      <c r="F16" s="60">
        <f t="shared" si="4"/>
        <v>90.75</v>
      </c>
      <c r="G16" s="61">
        <f>IF(D16=D15,"",_xlfn.IFNA(VLOOKUP(D16,'인원 입력 기능(사과탐)'!$K$177:$N$231,4,FALSE),0))</f>
        <v>766</v>
      </c>
      <c r="H16" s="62">
        <f t="shared" si="1"/>
        <v>8.0151513566114538E-3</v>
      </c>
      <c r="I16" s="72">
        <f>SUM($G$7:G16)</f>
        <v>9225</v>
      </c>
      <c r="J16" s="64">
        <f t="shared" si="5"/>
        <v>9.652711653360399E-2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65</v>
      </c>
      <c r="E17" s="59">
        <f t="shared" si="0"/>
        <v>2</v>
      </c>
      <c r="F17" s="60">
        <f t="shared" si="4"/>
        <v>89.7</v>
      </c>
      <c r="G17" s="61">
        <f>IF(D17=D16,"",_xlfn.IFNA(VLOOKUP(D17,'인원 입력 기능(사과탐)'!$K$177:$N$231,4,FALSE),0))</f>
        <v>1228</v>
      </c>
      <c r="H17" s="62">
        <f t="shared" si="1"/>
        <v>1.2849354916343165E-2</v>
      </c>
      <c r="I17" s="72">
        <f>SUM($G$7:G17)</f>
        <v>10453</v>
      </c>
      <c r="J17" s="64">
        <f t="shared" si="5"/>
        <v>0.10937647144994715</v>
      </c>
      <c r="K17" s="36"/>
      <c r="L17" s="20" t="str">
        <f t="shared" si="2"/>
        <v/>
      </c>
      <c r="N17" s="24"/>
      <c r="Q17" s="24">
        <f>Q7*H3*H4*J3*IFERROR(IF(J57=1, 1, 0), 0)</f>
        <v>1737100658.3070002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64</v>
      </c>
      <c r="E18" s="59">
        <f t="shared" si="0"/>
        <v>2</v>
      </c>
      <c r="F18" s="60">
        <f t="shared" si="4"/>
        <v>88.37</v>
      </c>
      <c r="G18" s="61">
        <f>IF(D18=D17,"",_xlfn.IFNA(VLOOKUP(D18,'인원 입력 기능(사과탐)'!$K$177:$N$231,4,FALSE),0))</f>
        <v>1316</v>
      </c>
      <c r="H18" s="62">
        <f t="shared" si="1"/>
        <v>1.3770155594387301E-2</v>
      </c>
      <c r="I18" s="72">
        <f>SUM($G$7:G18)</f>
        <v>11769</v>
      </c>
      <c r="J18" s="64">
        <f t="shared" si="5"/>
        <v>0.12314662704433446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63</v>
      </c>
      <c r="E19" s="59">
        <f t="shared" si="0"/>
        <v>3</v>
      </c>
      <c r="F19" s="60">
        <f t="shared" si="4"/>
        <v>87.17</v>
      </c>
      <c r="G19" s="61">
        <f>IF(D19=D18,"",_xlfn.IFNA(VLOOKUP(D19,'인원 입력 기능(사과탐)'!$K$177:$N$231,4,FALSE),0))</f>
        <v>988</v>
      </c>
      <c r="H19" s="62">
        <f t="shared" si="1"/>
        <v>1.0338080339859159E-2</v>
      </c>
      <c r="I19" s="72">
        <f>SUM($G$7:G19)</f>
        <v>12757</v>
      </c>
      <c r="J19" s="64">
        <f t="shared" si="5"/>
        <v>0.13348470738419363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59">
        <f t="shared" si="3"/>
        <v>62</v>
      </c>
      <c r="E20" s="59">
        <f t="shared" si="0"/>
        <v>3</v>
      </c>
      <c r="F20" s="60">
        <f t="shared" si="4"/>
        <v>85.81</v>
      </c>
      <c r="G20" s="61">
        <f>IF(D20=D19,"",_xlfn.IFNA(VLOOKUP(D20,'인원 입력 기능(사과탐)'!$K$177:$N$231,4,FALSE),0))</f>
        <v>1603</v>
      </c>
      <c r="H20" s="62">
        <f t="shared" si="1"/>
        <v>1.6773221442099424E-2</v>
      </c>
      <c r="I20" s="72">
        <f>SUM($G$7:G20)</f>
        <v>14360</v>
      </c>
      <c r="J20" s="64">
        <f t="shared" si="5"/>
        <v>0.15025792882629305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74">
        <f t="shared" si="3"/>
        <v>61</v>
      </c>
      <c r="E21" s="74">
        <f t="shared" si="0"/>
        <v>3</v>
      </c>
      <c r="F21" s="60">
        <f t="shared" si="4"/>
        <v>84.3</v>
      </c>
      <c r="G21" s="61">
        <f>IF(D21=D20,"",_xlfn.IFNA(VLOOKUP(D21,'인원 입력 기능(사과탐)'!$K$177:$N$231,4,FALSE),0))</f>
        <v>1283</v>
      </c>
      <c r="H21" s="62">
        <f t="shared" si="1"/>
        <v>1.342485534012075E-2</v>
      </c>
      <c r="I21" s="72">
        <f>SUM($G$7:G21)</f>
        <v>15643</v>
      </c>
      <c r="J21" s="64">
        <f t="shared" si="5"/>
        <v>0.1636827841664138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73">
        <v>35</v>
      </c>
      <c r="D22" s="203">
        <f t="shared" si="3"/>
        <v>60</v>
      </c>
      <c r="E22" s="203">
        <f t="shared" si="0"/>
        <v>3</v>
      </c>
      <c r="F22" s="205">
        <f t="shared" si="4"/>
        <v>81.97</v>
      </c>
      <c r="G22" s="207">
        <f>IF(D22=D21,"",_xlfn.IFNA(VLOOKUP(D22,'인원 입력 기능(사과탐)'!$K$177:$N$231,4,FALSE),0))</f>
        <v>3179</v>
      </c>
      <c r="H22" s="208">
        <f t="shared" si="1"/>
        <v>3.3263924494344399E-2</v>
      </c>
      <c r="I22" s="214">
        <f>SUM($G$7:G22)</f>
        <v>18822</v>
      </c>
      <c r="J22" s="212">
        <f t="shared" si="5"/>
        <v>0.1969467086607582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202"/>
      <c r="E23" s="202"/>
      <c r="F23" s="204"/>
      <c r="G23" s="206"/>
      <c r="H23" s="209"/>
      <c r="I23" s="215"/>
      <c r="J23" s="213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59</v>
      </c>
      <c r="E24" s="74">
        <f t="shared" si="0"/>
        <v>3</v>
      </c>
      <c r="F24" s="60">
        <f t="shared" si="4"/>
        <v>79.569999999999993</v>
      </c>
      <c r="G24" s="61">
        <f>IF(D24=D23,"",_xlfn.IFNA(VLOOKUP(D24,'인원 입력 기능(사과탐)'!$K$177:$N$231,4,FALSE),0))</f>
        <v>1405</v>
      </c>
      <c r="H24" s="62">
        <f t="shared" si="1"/>
        <v>1.4701419916500121E-2</v>
      </c>
      <c r="I24" s="72">
        <f>SUM($G$7:G24)</f>
        <v>20227</v>
      </c>
      <c r="J24" s="64">
        <f t="shared" si="5"/>
        <v>0.21164812857725832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58</v>
      </c>
      <c r="E25" s="74">
        <f t="shared" si="0"/>
        <v>3</v>
      </c>
      <c r="F25" s="60">
        <f t="shared" si="4"/>
        <v>77.86</v>
      </c>
      <c r="G25" s="61">
        <f>IF(D25=D24,"",_xlfn.IFNA(VLOOKUP(D25,'인원 입력 기능(사과탐)'!$K$177:$N$231,4,FALSE),0))</f>
        <v>1862</v>
      </c>
      <c r="H25" s="62">
        <f t="shared" si="1"/>
        <v>1.9483305255888414E-2</v>
      </c>
      <c r="I25" s="72">
        <f>SUM($G$7:G25)</f>
        <v>22089</v>
      </c>
      <c r="J25" s="64">
        <f t="shared" si="5"/>
        <v>0.23113143383314674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57</v>
      </c>
      <c r="E26" s="74">
        <f t="shared" si="0"/>
        <v>4</v>
      </c>
      <c r="F26" s="60">
        <f t="shared" si="4"/>
        <v>75.900000000000006</v>
      </c>
      <c r="G26" s="61">
        <f>IF(D26=D25,"",_xlfn.IFNA(VLOOKUP(D26,'인원 입력 기능(사과탐)'!$K$177:$N$231,4,FALSE),0))</f>
        <v>1878</v>
      </c>
      <c r="H26" s="62">
        <f t="shared" si="1"/>
        <v>1.9650723560987349E-2</v>
      </c>
      <c r="I26" s="72">
        <f>SUM($G$7:G26)</f>
        <v>23967</v>
      </c>
      <c r="J26" s="64">
        <f t="shared" si="5"/>
        <v>0.25078215739413406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56</v>
      </c>
      <c r="E27" s="74">
        <f t="shared" si="0"/>
        <v>4</v>
      </c>
      <c r="F27" s="60">
        <f t="shared" si="4"/>
        <v>73.94</v>
      </c>
      <c r="G27" s="61">
        <f>IF(D27=D26,"",_xlfn.IFNA(VLOOKUP(D27,'인원 입력 기능(사과탐)'!$K$177:$N$231,4,FALSE),0))</f>
        <v>1870</v>
      </c>
      <c r="H27" s="62">
        <f t="shared" si="1"/>
        <v>1.9567014408437881E-2</v>
      </c>
      <c r="I27" s="72">
        <f>SUM($G$7:G27)</f>
        <v>25837</v>
      </c>
      <c r="J27" s="64">
        <f t="shared" si="5"/>
        <v>0.27034917180257195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55</v>
      </c>
      <c r="E28" s="74">
        <f t="shared" si="0"/>
        <v>4</v>
      </c>
      <c r="F28" s="60">
        <f t="shared" si="4"/>
        <v>71.709999999999994</v>
      </c>
      <c r="G28" s="61">
        <f>IF(D28=D27,"",_xlfn.IFNA(VLOOKUP(D28,'인원 입력 기능(사과탐)'!$K$177:$N$231,4,FALSE),0))</f>
        <v>2392</v>
      </c>
      <c r="H28" s="62">
        <f t="shared" si="1"/>
        <v>2.5029036612290598E-2</v>
      </c>
      <c r="I28" s="72">
        <f>SUM($G$7:G28)</f>
        <v>28229</v>
      </c>
      <c r="J28" s="64">
        <f t="shared" si="5"/>
        <v>0.29537820841486256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74">
        <f t="shared" si="3"/>
        <v>54</v>
      </c>
      <c r="E29" s="74">
        <f t="shared" si="0"/>
        <v>4</v>
      </c>
      <c r="F29" s="60">
        <f t="shared" si="4"/>
        <v>69.3</v>
      </c>
      <c r="G29" s="61">
        <f>IF(D29=D28,"",_xlfn.IFNA(VLOOKUP(D29,'인원 입력 기능(사과탐)'!$K$177:$N$231,4,FALSE),0))</f>
        <v>2212</v>
      </c>
      <c r="H29" s="62">
        <f t="shared" si="1"/>
        <v>2.3145580679927592E-2</v>
      </c>
      <c r="I29" s="72">
        <f>SUM($G$7:G29)</f>
        <v>30441</v>
      </c>
      <c r="J29" s="64">
        <f t="shared" si="5"/>
        <v>0.31852378909479018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74">
        <f t="shared" si="3"/>
        <v>53</v>
      </c>
      <c r="E30" s="74">
        <f t="shared" si="0"/>
        <v>4</v>
      </c>
      <c r="F30" s="60">
        <f t="shared" si="4"/>
        <v>66.8</v>
      </c>
      <c r="G30" s="61">
        <f>IF(D30=D29,"",_xlfn.IFNA(VLOOKUP(D30,'인원 입력 기능(사과탐)'!$K$177:$N$231,4,FALSE),0))</f>
        <v>2581</v>
      </c>
      <c r="H30" s="62">
        <f t="shared" si="1"/>
        <v>2.700666534127175E-2</v>
      </c>
      <c r="I30" s="72">
        <f>SUM($G$7:G30)</f>
        <v>33022</v>
      </c>
      <c r="J30" s="64">
        <f t="shared" si="5"/>
        <v>0.3455304544360619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9">
        <v>26</v>
      </c>
      <c r="D31" s="203">
        <f t="shared" si="3"/>
        <v>52</v>
      </c>
      <c r="E31" s="203">
        <f t="shared" si="0"/>
        <v>4</v>
      </c>
      <c r="F31" s="205">
        <f t="shared" si="4"/>
        <v>62.56</v>
      </c>
      <c r="G31" s="207">
        <f>IF(D31=D30,"",_xlfn.IFNA(VLOOKUP(D31,'인원 입력 기능(사과탐)'!$K$177:$N$231,4,FALSE),0))</f>
        <v>5517</v>
      </c>
      <c r="H31" s="208">
        <f t="shared" si="1"/>
        <v>5.7727924326926097E-2</v>
      </c>
      <c r="I31" s="214">
        <f>SUM($G$7:G31)</f>
        <v>38539</v>
      </c>
      <c r="J31" s="212">
        <f t="shared" si="5"/>
        <v>0.40325837876298798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202"/>
      <c r="E32" s="202"/>
      <c r="F32" s="204"/>
      <c r="G32" s="206"/>
      <c r="H32" s="209"/>
      <c r="I32" s="215"/>
      <c r="J32" s="213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51</v>
      </c>
      <c r="E33" s="74">
        <f t="shared" si="0"/>
        <v>5</v>
      </c>
      <c r="F33" s="60">
        <f t="shared" si="4"/>
        <v>57.96</v>
      </c>
      <c r="G33" s="61">
        <f>IF(D33=D32,"",_xlfn.IFNA(VLOOKUP(D33,'인원 입력 기능(사과탐)'!$K$177:$N$231,4,FALSE),0))</f>
        <v>3282</v>
      </c>
      <c r="H33" s="62">
        <f t="shared" si="1"/>
        <v>3.4341679833418785E-2</v>
      </c>
      <c r="I33" s="72">
        <f>SUM($G$7:G33)</f>
        <v>41821</v>
      </c>
      <c r="J33" s="64">
        <f t="shared" si="5"/>
        <v>0.43760005859640677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50</v>
      </c>
      <c r="E34" s="74">
        <f t="shared" si="0"/>
        <v>5</v>
      </c>
      <c r="F34" s="60">
        <f t="shared" si="4"/>
        <v>54.69</v>
      </c>
      <c r="G34" s="61">
        <f>IF(D34=D33,"",_xlfn.IFNA(VLOOKUP(D34,'인원 입력 기능(사과탐)'!$K$177:$N$231,4,FALSE),0))</f>
        <v>2963</v>
      </c>
      <c r="H34" s="62">
        <f t="shared" si="1"/>
        <v>3.1003777375508794E-2</v>
      </c>
      <c r="I34" s="72">
        <f>SUM($G$7:G34)</f>
        <v>44784</v>
      </c>
      <c r="J34" s="64">
        <f t="shared" si="5"/>
        <v>0.46860383597191557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49</v>
      </c>
      <c r="E35" s="74">
        <f t="shared" si="0"/>
        <v>5</v>
      </c>
      <c r="F35" s="60">
        <f t="shared" si="4"/>
        <v>51.45</v>
      </c>
      <c r="G35" s="61">
        <f>IF(D35=D34,"",_xlfn.IFNA(VLOOKUP(D35,'인원 입력 기능(사과탐)'!$K$177:$N$231,4,FALSE),0))</f>
        <v>3239</v>
      </c>
      <c r="H35" s="62">
        <f t="shared" si="1"/>
        <v>3.3891743138465401E-2</v>
      </c>
      <c r="I35" s="72">
        <f>SUM($G$7:G35)</f>
        <v>48023</v>
      </c>
      <c r="J35" s="64">
        <f t="shared" si="5"/>
        <v>0.50249557911038101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48</v>
      </c>
      <c r="E36" s="74">
        <f t="shared" si="0"/>
        <v>5</v>
      </c>
      <c r="F36" s="60">
        <f t="shared" si="4"/>
        <v>47.92</v>
      </c>
      <c r="G36" s="61">
        <f>IF(D36=D35,"",_xlfn.IFNA(VLOOKUP(D36,'인원 입력 기능(사과탐)'!$K$177:$N$231,4,FALSE),0))</f>
        <v>3505</v>
      </c>
      <c r="H36" s="62">
        <f t="shared" si="1"/>
        <v>3.6675072460735175E-2</v>
      </c>
      <c r="I36" s="72">
        <f>SUM($G$7:G36)</f>
        <v>51528</v>
      </c>
      <c r="J36" s="64">
        <f t="shared" si="5"/>
        <v>0.53917065157111621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47</v>
      </c>
      <c r="E37" s="74">
        <f t="shared" si="0"/>
        <v>5</v>
      </c>
      <c r="F37" s="60">
        <f t="shared" si="4"/>
        <v>44.41</v>
      </c>
      <c r="G37" s="61">
        <f>IF(D37=D36,"",_xlfn.IFNA(VLOOKUP(D37,'인원 입력 기능(사과탐)'!$K$177:$N$231,4,FALSE),0))</f>
        <v>3189</v>
      </c>
      <c r="H37" s="62">
        <f t="shared" si="1"/>
        <v>3.3368560935031231E-2</v>
      </c>
      <c r="I37" s="72">
        <f>SUM($G$7:G37)</f>
        <v>54717</v>
      </c>
      <c r="J37" s="64">
        <f t="shared" si="5"/>
        <v>0.57253921250614737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46</v>
      </c>
      <c r="E38" s="74">
        <f t="shared" si="0"/>
        <v>5</v>
      </c>
      <c r="F38" s="60">
        <f t="shared" si="4"/>
        <v>40.770000000000003</v>
      </c>
      <c r="G38" s="61">
        <f>IF(D38=D37,"",_xlfn.IFNA(VLOOKUP(D38,'인원 입력 기능(사과탐)'!$K$177:$N$231,4,FALSE),0))</f>
        <v>3782</v>
      </c>
      <c r="H38" s="62">
        <f t="shared" si="1"/>
        <v>3.9573501867760465E-2</v>
      </c>
      <c r="I38" s="72">
        <f>SUM($G$7:G38)</f>
        <v>58499</v>
      </c>
      <c r="J38" s="64">
        <f t="shared" si="5"/>
        <v>0.61211271437390791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74">
        <f t="shared" si="3"/>
        <v>45</v>
      </c>
      <c r="E39" s="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60">
        <f t="shared" si="4"/>
        <v>36.97</v>
      </c>
      <c r="G39" s="61">
        <f>IF(D39=D38,"",_xlfn.IFNA(VLOOKUP(D39,'인원 입력 기능(사과탐)'!$K$177:$N$231,4,FALSE),0))</f>
        <v>3479</v>
      </c>
      <c r="H39" s="62">
        <f t="shared" si="1"/>
        <v>3.6403017714949408E-2</v>
      </c>
      <c r="I39" s="72">
        <f>SUM($G$7:G39)</f>
        <v>61978</v>
      </c>
      <c r="J39" s="64">
        <f t="shared" si="5"/>
        <v>0.64851573208885727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74">
        <f t="shared" si="3"/>
        <v>44</v>
      </c>
      <c r="E40" s="74">
        <f t="shared" si="6"/>
        <v>6</v>
      </c>
      <c r="F40" s="60">
        <f t="shared" si="4"/>
        <v>33.409999999999997</v>
      </c>
      <c r="G40" s="61">
        <f>IF(D40=D39,"",_xlfn.IFNA(VLOOKUP(D40,'인원 입력 기능(사과탐)'!$K$177:$N$231,4,FALSE),0))</f>
        <v>3328</v>
      </c>
      <c r="H40" s="62">
        <f t="shared" si="1"/>
        <v>3.4823007460578224E-2</v>
      </c>
      <c r="I40" s="72">
        <f>SUM($G$7:G40)</f>
        <v>65306</v>
      </c>
      <c r="J40" s="64">
        <f t="shared" si="5"/>
        <v>0.68333873954943547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9">
        <v>16</v>
      </c>
      <c r="D41" s="203">
        <f t="shared" si="3"/>
        <v>43</v>
      </c>
      <c r="E41" s="203">
        <f t="shared" si="6"/>
        <v>6</v>
      </c>
      <c r="F41" s="205">
        <f t="shared" si="4"/>
        <v>28.22</v>
      </c>
      <c r="G41" s="207">
        <f>IF(D41=D40,"",_xlfn.IFNA(VLOOKUP(D41,'인원 입력 기능(사과탐)'!$K$177:$N$231,4,FALSE),0))</f>
        <v>6591</v>
      </c>
      <c r="H41" s="208">
        <f t="shared" si="1"/>
        <v>6.896587805669202E-2</v>
      </c>
      <c r="I41" s="214">
        <f>SUM($G$7:G41)</f>
        <v>71897</v>
      </c>
      <c r="J41" s="212">
        <f t="shared" si="5"/>
        <v>0.75230461760612755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202"/>
      <c r="E42" s="202"/>
      <c r="F42" s="204"/>
      <c r="G42" s="206"/>
      <c r="H42" s="209"/>
      <c r="I42" s="215"/>
      <c r="J42" s="213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42</v>
      </c>
      <c r="E43" s="74">
        <f t="shared" si="6"/>
        <v>6</v>
      </c>
      <c r="F43" s="60">
        <f t="shared" si="4"/>
        <v>22.95</v>
      </c>
      <c r="G43" s="61">
        <f>IF(D43=D42,"",_xlfn.IFNA(VLOOKUP(D43,'인원 입력 기능(사과탐)'!$K$177:$N$231,4,FALSE),0))</f>
        <v>3475</v>
      </c>
      <c r="H43" s="62">
        <f t="shared" si="1"/>
        <v>3.6361163138674678E-2</v>
      </c>
      <c r="I43" s="72">
        <f>SUM($G$7:G43)</f>
        <v>75372</v>
      </c>
      <c r="J43" s="64">
        <f t="shared" si="5"/>
        <v>0.7886657807448022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41</v>
      </c>
      <c r="E44" s="74">
        <f t="shared" si="6"/>
        <v>7</v>
      </c>
      <c r="F44" s="60">
        <f t="shared" si="4"/>
        <v>19.7</v>
      </c>
      <c r="G44" s="61">
        <f>IF(D44=D43,"",_xlfn.IFNA(VLOOKUP(D44,'인원 입력 기능(사과탐)'!$K$177:$N$231,4,FALSE),0))</f>
        <v>2743</v>
      </c>
      <c r="H44" s="62">
        <f t="shared" si="1"/>
        <v>2.8701775680398455E-2</v>
      </c>
      <c r="I44" s="72">
        <f>SUM($G$7:G44)</f>
        <v>78115</v>
      </c>
      <c r="J44" s="64">
        <f t="shared" si="5"/>
        <v>0.81736755642520065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40</v>
      </c>
      <c r="E45" s="74">
        <f t="shared" si="6"/>
        <v>7</v>
      </c>
      <c r="F45" s="60">
        <f t="shared" si="4"/>
        <v>15.93</v>
      </c>
      <c r="G45" s="61">
        <f>IF(D45=D44,"",_xlfn.IFNA(VLOOKUP(D45,'인원 입력 기능(사과탐)'!$K$177:$N$231,4,FALSE),0))</f>
        <v>4458</v>
      </c>
      <c r="H45" s="62">
        <f t="shared" si="1"/>
        <v>4.6646925258190419E-2</v>
      </c>
      <c r="I45" s="72">
        <f>SUM($G$7:G45)</f>
        <v>82573</v>
      </c>
      <c r="J45" s="64">
        <f t="shared" si="5"/>
        <v>0.86401448168339101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39</v>
      </c>
      <c r="E46" s="74">
        <f t="shared" si="6"/>
        <v>7</v>
      </c>
      <c r="F46" s="60">
        <f t="shared" si="4"/>
        <v>12</v>
      </c>
      <c r="G46" s="61">
        <f>IF(D46=D45,"",_xlfn.IFNA(VLOOKUP(D46,'인원 입력 기능(사과탐)'!$K$177:$N$231,4,FALSE),0))</f>
        <v>3050</v>
      </c>
      <c r="H46" s="62">
        <f t="shared" si="1"/>
        <v>3.1914114409484245E-2</v>
      </c>
      <c r="I46" s="72">
        <f>SUM($G$7:G46)</f>
        <v>85623</v>
      </c>
      <c r="J46" s="64">
        <f t="shared" si="5"/>
        <v>0.89592859609287534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38</v>
      </c>
      <c r="E47" s="74">
        <f t="shared" si="6"/>
        <v>8</v>
      </c>
      <c r="F47" s="60">
        <f t="shared" si="4"/>
        <v>9.4</v>
      </c>
      <c r="G47" s="61">
        <f>IF(D47=D46,"",_xlfn.IFNA(VLOOKUP(D47,'인원 입력 기능(사과탐)'!$K$177:$N$231,4,FALSE),0))</f>
        <v>1929</v>
      </c>
      <c r="H47" s="62">
        <f t="shared" si="1"/>
        <v>2.0184369408490201E-2</v>
      </c>
      <c r="I47" s="72">
        <f>SUM($G$7:G47)</f>
        <v>87552</v>
      </c>
      <c r="J47" s="64">
        <f t="shared" si="5"/>
        <v>0.91611296550136545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74">
        <f t="shared" si="3"/>
        <v>37</v>
      </c>
      <c r="E48" s="74">
        <f t="shared" si="6"/>
        <v>8</v>
      </c>
      <c r="F48" s="60">
        <f t="shared" si="4"/>
        <v>7.2</v>
      </c>
      <c r="G48" s="61">
        <f>IF(D48=D47,"",_xlfn.IFNA(VLOOKUP(D48,'인원 입력 기능(사과탐)'!$K$177:$N$231,4,FALSE),0))</f>
        <v>2280</v>
      </c>
      <c r="H48" s="62">
        <f t="shared" si="1"/>
        <v>2.3857108476598061E-2</v>
      </c>
      <c r="I48" s="72">
        <f>SUM($G$7:G48)</f>
        <v>89832</v>
      </c>
      <c r="J48" s="64">
        <f t="shared" si="5"/>
        <v>0.93997007397796362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74">
        <f t="shared" si="3"/>
        <v>36</v>
      </c>
      <c r="E49" s="74">
        <f t="shared" si="6"/>
        <v>8</v>
      </c>
      <c r="F49" s="60">
        <f t="shared" si="4"/>
        <v>5.29</v>
      </c>
      <c r="G49" s="61">
        <f>IF(D49=D48,"",_xlfn.IFNA(VLOOKUP(D49,'인원 입력 기능(사과탐)'!$K$177:$N$231,4,FALSE),0))</f>
        <v>1364</v>
      </c>
      <c r="H49" s="62">
        <f t="shared" si="1"/>
        <v>1.4272410509684103E-2</v>
      </c>
      <c r="I49" s="72">
        <f>SUM($G$7:G49)</f>
        <v>91196</v>
      </c>
      <c r="J49" s="64">
        <f t="shared" si="5"/>
        <v>0.9542424844876477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35</v>
      </c>
      <c r="E50" s="74">
        <f t="shared" si="6"/>
        <v>8</v>
      </c>
      <c r="F50" s="60">
        <f t="shared" si="4"/>
        <v>3.42</v>
      </c>
      <c r="G50" s="61">
        <f>IF(D50=D49,"",_xlfn.IFNA(VLOOKUP(D50,'인원 입력 기능(사과탐)'!$K$177:$N$231,4,FALSE),0))</f>
        <v>2217</v>
      </c>
      <c r="H50" s="62">
        <f t="shared" si="1"/>
        <v>2.3197898900271009E-2</v>
      </c>
      <c r="I50" s="72">
        <f>SUM($G$7:G50)</f>
        <v>93413</v>
      </c>
      <c r="J50" s="64">
        <f t="shared" si="5"/>
        <v>0.97744038338791872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203">
        <f t="shared" si="3"/>
        <v>34</v>
      </c>
      <c r="E51" s="203">
        <f t="shared" si="6"/>
        <v>9</v>
      </c>
      <c r="F51" s="205">
        <f t="shared" si="4"/>
        <v>1.55</v>
      </c>
      <c r="G51" s="207">
        <f>IF(D51=D50,"",_xlfn.IFNA(VLOOKUP(D51,'인원 입력 기능(사과탐)'!$K$177:$N$231,4,FALSE),0))</f>
        <v>1355</v>
      </c>
      <c r="H51" s="208">
        <f t="shared" si="1"/>
        <v>1.4178237713065952E-2</v>
      </c>
      <c r="I51" s="214">
        <f>SUM($G$7:G51)</f>
        <v>94768</v>
      </c>
      <c r="J51" s="212">
        <f t="shared" si="5"/>
        <v>0.99161862110098464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202"/>
      <c r="E52" s="202"/>
      <c r="F52" s="204"/>
      <c r="G52" s="206"/>
      <c r="H52" s="209"/>
      <c r="I52" s="215"/>
      <c r="J52" s="213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33</v>
      </c>
      <c r="E53" s="59">
        <f t="shared" si="6"/>
        <v>9</v>
      </c>
      <c r="F53" s="60">
        <f t="shared" si="4"/>
        <v>0.64</v>
      </c>
      <c r="G53" s="61">
        <f>IF(D53=D52,"",_xlfn.IFNA(VLOOKUP(D53,'인원 입력 기능(사과탐)'!$K$177:$N$231,4,FALSE),0))</f>
        <v>378</v>
      </c>
      <c r="H53" s="62">
        <f t="shared" si="1"/>
        <v>3.9552574579623098E-3</v>
      </c>
      <c r="I53" s="72">
        <f>SUM($G$7:G53)</f>
        <v>95146</v>
      </c>
      <c r="J53" s="64">
        <f t="shared" si="5"/>
        <v>0.99557387855894697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32</v>
      </c>
      <c r="E54" s="59">
        <f t="shared" si="6"/>
        <v>9</v>
      </c>
      <c r="F54" s="60">
        <f t="shared" si="4"/>
        <v>0.35</v>
      </c>
      <c r="G54" s="61">
        <f>IF(D54=D53,"",_xlfn.IFNA(VLOOKUP(D54,'인원 입력 기능(사과탐)'!$K$177:$N$231,4,FALSE),0))</f>
        <v>180</v>
      </c>
      <c r="H54" s="62">
        <f t="shared" si="1"/>
        <v>1.8834559323630048E-3</v>
      </c>
      <c r="I54" s="72">
        <f>SUM($G$7:G54)</f>
        <v>95326</v>
      </c>
      <c r="J54" s="64">
        <f t="shared" si="5"/>
        <v>0.99745733449130991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31</v>
      </c>
      <c r="E55" s="59">
        <f t="shared" si="6"/>
        <v>9</v>
      </c>
      <c r="F55" s="60">
        <f t="shared" si="4"/>
        <v>0.16</v>
      </c>
      <c r="G55" s="61">
        <f>IF(D55=D54,"",_xlfn.IFNA(VLOOKUP(D55,'인원 입력 기능(사과탐)'!$K$177:$N$231,4,FALSE),0))</f>
        <v>189</v>
      </c>
      <c r="H55" s="62">
        <f t="shared" si="1"/>
        <v>1.9776287289811549E-3</v>
      </c>
      <c r="I55" s="72">
        <f>SUM($G$7:G55)</f>
        <v>95515</v>
      </c>
      <c r="J55" s="64">
        <f t="shared" si="5"/>
        <v>0.99943496322029113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29</v>
      </c>
      <c r="E57" s="112">
        <f t="shared" si="6"/>
        <v>9</v>
      </c>
      <c r="F57" s="79">
        <f>IF(I55=0,ROUND(100*(1-(I54+I57)/2/$J$3),2),ROUND(100*(1-(I55+I57)/2/$J$3),2))</f>
        <v>0.03</v>
      </c>
      <c r="G57" s="113">
        <f>_xlfn.IFNA(VLOOKUP(D57,'인원 입력 기능(사과탐)'!$K$177:$N$231,4,FALSE),0)</f>
        <v>54</v>
      </c>
      <c r="H57" s="81">
        <f>G57/$J$3</f>
        <v>5.6503677970890138E-4</v>
      </c>
      <c r="I57" s="82">
        <f>SUM($G$7:G57)</f>
        <v>95569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I41:I42"/>
    <mergeCell ref="J41:J42"/>
    <mergeCell ref="D51:D52"/>
    <mergeCell ref="E51:E52"/>
    <mergeCell ref="F51:F52"/>
    <mergeCell ref="G51:G52"/>
    <mergeCell ref="H51:H52"/>
    <mergeCell ref="I51:I52"/>
    <mergeCell ref="J51:J52"/>
    <mergeCell ref="D41:D42"/>
    <mergeCell ref="E41:E42"/>
    <mergeCell ref="F41:F42"/>
    <mergeCell ref="G41:G42"/>
    <mergeCell ref="H41:H42"/>
    <mergeCell ref="I22:I23"/>
    <mergeCell ref="J22:J23"/>
    <mergeCell ref="D31:D32"/>
    <mergeCell ref="E31:E32"/>
    <mergeCell ref="F31:F32"/>
    <mergeCell ref="G31:G32"/>
    <mergeCell ref="H31:H32"/>
    <mergeCell ref="I31:I32"/>
    <mergeCell ref="J31:J32"/>
    <mergeCell ref="D22:D23"/>
    <mergeCell ref="E22:E23"/>
    <mergeCell ref="F22:F23"/>
    <mergeCell ref="G22:G23"/>
    <mergeCell ref="H22:H23"/>
    <mergeCell ref="D3:F3"/>
    <mergeCell ref="D4:F4"/>
    <mergeCell ref="I4:J5"/>
    <mergeCell ref="D12:D13"/>
    <mergeCell ref="E12:E13"/>
    <mergeCell ref="F12:F13"/>
    <mergeCell ref="G12:G13"/>
    <mergeCell ref="H12:H13"/>
    <mergeCell ref="I12:I13"/>
    <mergeCell ref="J12:J13"/>
  </mergeCells>
  <phoneticPr fontId="1" type="noConversion"/>
  <conditionalFormatting sqref="D7:G12 I7:J12 D14:G22 I14:J22 D24:G31 I24:J31 D33:G41 I33:J41 D43:G51 I43:J51 D53:G57 I53:J57">
    <cfRule type="expression" dxfId="7" priority="5">
      <formula>OR($D7=$Q$7:$Q$14)</formula>
    </cfRule>
  </conditionalFormatting>
  <conditionalFormatting sqref="C7:C57">
    <cfRule type="expression" dxfId="6" priority="4">
      <formula>OR(AND($D7=0,OR($D6=$Q$7:$Q$14)),AND($D8&gt;0,OR($D7=$Q$7:$Q$14)))</formula>
    </cfRule>
  </conditionalFormatting>
  <conditionalFormatting sqref="D7:D12 D14:D22 D24:D31 D33:D41 D43:D51 D53:D57">
    <cfRule type="expression" dxfId="5" priority="2">
      <formula>$D7=$D8</formula>
    </cfRule>
  </conditionalFormatting>
  <conditionalFormatting sqref="H7:H12 H14:H22 H24:H31 H33:H41 H43:H51 H53:H57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52" t="s">
        <v>133</v>
      </c>
      <c r="B1" s="157"/>
      <c r="C1" s="33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8"/>
      <c r="B2" s="152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155"/>
      <c r="C3" s="48" t="s">
        <v>68</v>
      </c>
      <c r="D3" s="181" t="s">
        <v>134</v>
      </c>
      <c r="E3" s="182"/>
      <c r="F3" s="183"/>
      <c r="G3" s="48" t="s">
        <v>69</v>
      </c>
      <c r="H3" s="49" t="str">
        <f>'통계 및 응시자 수 입력 기능'!D20</f>
        <v>24.20</v>
      </c>
      <c r="I3" s="21" t="s">
        <v>70</v>
      </c>
      <c r="J3" s="50">
        <f>'통계 및 응시자 수 입력 기능'!C20</f>
        <v>67253</v>
      </c>
      <c r="K3" s="36"/>
      <c r="L3" s="20"/>
    </row>
    <row r="4" spans="1:17" s="22" customFormat="1" ht="25" customHeight="1" thickBot="1" x14ac:dyDescent="0.5">
      <c r="A4" s="20"/>
      <c r="B4" s="35"/>
      <c r="C4" s="51" t="s">
        <v>71</v>
      </c>
      <c r="D4" s="184" t="s">
        <v>92</v>
      </c>
      <c r="E4" s="185"/>
      <c r="F4" s="186"/>
      <c r="G4" s="52" t="s">
        <v>73</v>
      </c>
      <c r="H4" s="53" t="str">
        <f>'통계 및 응시자 수 입력 기능'!E20</f>
        <v>11.18</v>
      </c>
      <c r="I4" s="187"/>
      <c r="J4" s="18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189"/>
      <c r="J5" s="189"/>
      <c r="K5" s="36"/>
      <c r="L5" s="20"/>
    </row>
    <row r="6" spans="1:17" s="22" customFormat="1" ht="25" customHeight="1" thickBot="1" x14ac:dyDescent="0.5">
      <c r="A6" s="20"/>
      <c r="B6" s="35"/>
      <c r="C6" s="54" t="s">
        <v>75</v>
      </c>
      <c r="D6" s="55" t="s">
        <v>76</v>
      </c>
      <c r="E6" s="55" t="s">
        <v>77</v>
      </c>
      <c r="F6" s="55" t="s">
        <v>78</v>
      </c>
      <c r="G6" s="55" t="s">
        <v>79</v>
      </c>
      <c r="H6" s="55" t="s">
        <v>80</v>
      </c>
      <c r="I6" s="56" t="s">
        <v>81</v>
      </c>
      <c r="J6" s="57" t="s">
        <v>82</v>
      </c>
      <c r="K6" s="36"/>
      <c r="L6" s="19" t="s">
        <v>64</v>
      </c>
      <c r="M6" s="19"/>
      <c r="N6" s="23"/>
    </row>
    <row r="7" spans="1:17" s="22" customFormat="1" ht="25" customHeight="1" x14ac:dyDescent="0.45">
      <c r="A7" s="20"/>
      <c r="B7" s="35"/>
      <c r="C7" s="160">
        <v>50</v>
      </c>
      <c r="D7" s="59">
        <f>ROUND(10*(C7-$H$3)/$H$4+50,0)</f>
        <v>73</v>
      </c>
      <c r="E7" s="59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60">
        <f>ROUND(100*(1-(0+I7)/2/$J$3),2)</f>
        <v>99.63</v>
      </c>
      <c r="G7" s="61">
        <f>_xlfn.IFNA(VLOOKUP(D7,'인원 입력 기능(사과탐)'!$P$177:$S$231,4,FALSE),0)</f>
        <v>496</v>
      </c>
      <c r="H7" s="62">
        <f>G7/$J$3</f>
        <v>7.3751356816796274E-3</v>
      </c>
      <c r="I7" s="63">
        <f>G7</f>
        <v>496</v>
      </c>
      <c r="J7" s="64">
        <f>I7/$J$3</f>
        <v>7.3751356816796274E-3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기능'!C148</f>
        <v>68</v>
      </c>
    </row>
    <row r="8" spans="1:17" s="22" customFormat="1" ht="25" customHeight="1" x14ac:dyDescent="0.45">
      <c r="A8" s="20"/>
      <c r="B8" s="35"/>
      <c r="C8" s="58">
        <v>49</v>
      </c>
      <c r="D8" s="66" t="s">
        <v>56</v>
      </c>
      <c r="E8" s="66"/>
      <c r="F8" s="67"/>
      <c r="G8" s="68"/>
      <c r="H8" s="108"/>
      <c r="I8" s="70"/>
      <c r="J8" s="71"/>
      <c r="K8" s="36"/>
      <c r="L8" s="20"/>
      <c r="N8" s="24"/>
      <c r="P8" s="24">
        <v>2</v>
      </c>
      <c r="Q8" s="24">
        <f>'표점등급&amp;절평인원 입력 기능'!C149</f>
        <v>63</v>
      </c>
    </row>
    <row r="9" spans="1:17" s="22" customFormat="1" ht="25" customHeight="1" x14ac:dyDescent="0.45">
      <c r="A9" s="20"/>
      <c r="B9" s="35"/>
      <c r="C9" s="58">
        <v>48</v>
      </c>
      <c r="D9" s="59">
        <f>ROUND(10*(C9-$H$3)/$H$4+50,0)</f>
        <v>71</v>
      </c>
      <c r="E9" s="59">
        <f t="shared" si="0"/>
        <v>1</v>
      </c>
      <c r="F9" s="60">
        <f>IF(I8=0,ROUND(100*(1-(I7+I9)/2/$J$3),2),ROUND(100*(1-(I8+I9)/2/$J$3),2))</f>
        <v>99.17</v>
      </c>
      <c r="G9" s="61">
        <f>_xlfn.IFNA(VLOOKUP(D9,'인원 입력 기능(사과탐)'!$P$177:$S$231,4,FALSE),0)</f>
        <v>126</v>
      </c>
      <c r="H9" s="62">
        <f t="shared" ref="H9:H55" si="1">G9/$J$3</f>
        <v>1.8735223707492604E-3</v>
      </c>
      <c r="I9" s="72">
        <f>SUM($G$7:G9)</f>
        <v>622</v>
      </c>
      <c r="J9" s="64">
        <f>I9/$J$3</f>
        <v>9.2486580524288875E-3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기능'!C150</f>
        <v>58</v>
      </c>
    </row>
    <row r="10" spans="1:17" s="22" customFormat="1" ht="25" customHeight="1" x14ac:dyDescent="0.45">
      <c r="A10" s="20"/>
      <c r="B10" s="35"/>
      <c r="C10" s="65">
        <v>47</v>
      </c>
      <c r="D10" s="59">
        <f t="shared" ref="D10:D55" si="3">ROUND(10*(C10-$H$3)/$H$4+50,0)</f>
        <v>70</v>
      </c>
      <c r="E10" s="59">
        <f t="shared" si="0"/>
        <v>1</v>
      </c>
      <c r="F10" s="60">
        <f t="shared" ref="F10:F55" si="4">IF(I9=0,ROUND(100*(1-(I8+I10)/2/$J$3),2),ROUND(100*(1-(I9+I10)/2/$J$3),2))</f>
        <v>98.27</v>
      </c>
      <c r="G10" s="61">
        <f>IF(D10=D9,"",_xlfn.IFNA(VLOOKUP(D10,'인원 입력 기능(사과탐)'!$P$177:$S$231,4,FALSE),0))</f>
        <v>1079</v>
      </c>
      <c r="H10" s="62">
        <f t="shared" si="1"/>
        <v>1.6043893952686124E-2</v>
      </c>
      <c r="I10" s="72">
        <f>SUM($G$7:G10)</f>
        <v>1701</v>
      </c>
      <c r="J10" s="64">
        <f t="shared" ref="J10:J55" si="5">I10/$J$3</f>
        <v>2.5292552005115012E-2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기능'!C151</f>
        <v>53</v>
      </c>
    </row>
    <row r="11" spans="1:17" s="22" customFormat="1" ht="25" customHeight="1" x14ac:dyDescent="0.45">
      <c r="A11" s="20"/>
      <c r="B11" s="35"/>
      <c r="C11" s="58">
        <v>46</v>
      </c>
      <c r="D11" s="201">
        <f t="shared" si="3"/>
        <v>69</v>
      </c>
      <c r="E11" s="201">
        <f t="shared" si="0"/>
        <v>1</v>
      </c>
      <c r="F11" s="205">
        <f t="shared" si="4"/>
        <v>97.06</v>
      </c>
      <c r="G11" s="207">
        <f>IF(D11=D10,"",_xlfn.IFNA(VLOOKUP(D11,'인원 입력 기능(사과탐)'!$P$177:$S$231,4,FALSE),0))</f>
        <v>558</v>
      </c>
      <c r="H11" s="208">
        <f t="shared" si="1"/>
        <v>8.2970276418895816E-3</v>
      </c>
      <c r="I11" s="214">
        <f>SUM($G$7:G11)</f>
        <v>2259</v>
      </c>
      <c r="J11" s="212">
        <f t="shared" si="5"/>
        <v>3.3589579647004597E-2</v>
      </c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기능'!C152</f>
        <v>46</v>
      </c>
    </row>
    <row r="12" spans="1:17" s="22" customFormat="1" ht="25" customHeight="1" x14ac:dyDescent="0.45">
      <c r="A12" s="20"/>
      <c r="B12" s="35"/>
      <c r="C12" s="65">
        <v>45</v>
      </c>
      <c r="D12" s="200"/>
      <c r="E12" s="200"/>
      <c r="F12" s="204"/>
      <c r="G12" s="206"/>
      <c r="H12" s="209"/>
      <c r="I12" s="215"/>
      <c r="J12" s="213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기능'!C153</f>
        <v>41</v>
      </c>
    </row>
    <row r="13" spans="1:17" s="22" customFormat="1" ht="25" customHeight="1" x14ac:dyDescent="0.45">
      <c r="A13" s="20"/>
      <c r="B13" s="35"/>
      <c r="C13" s="58">
        <v>44</v>
      </c>
      <c r="D13" s="59">
        <f t="shared" si="3"/>
        <v>68</v>
      </c>
      <c r="E13" s="59">
        <f t="shared" si="0"/>
        <v>1</v>
      </c>
      <c r="F13" s="60">
        <f t="shared" si="4"/>
        <v>95.58</v>
      </c>
      <c r="G13" s="61">
        <f>IF(D13=D12,"",_xlfn.IFNA(VLOOKUP(D13,'인원 입력 기능(사과탐)'!$P$177:$S$231,4,FALSE),0))</f>
        <v>1422</v>
      </c>
      <c r="H13" s="62">
        <f t="shared" si="1"/>
        <v>2.1144038184170221E-2</v>
      </c>
      <c r="I13" s="72">
        <f>SUM($G$7:G13)</f>
        <v>3681</v>
      </c>
      <c r="J13" s="64">
        <f t="shared" si="5"/>
        <v>5.4733617831174815E-2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기능'!C154</f>
        <v>37</v>
      </c>
    </row>
    <row r="14" spans="1:17" s="22" customFormat="1" ht="25" customHeight="1" x14ac:dyDescent="0.45">
      <c r="A14" s="20"/>
      <c r="B14" s="35"/>
      <c r="C14" s="65">
        <v>43</v>
      </c>
      <c r="D14" s="59">
        <f t="shared" si="3"/>
        <v>67</v>
      </c>
      <c r="E14" s="59">
        <f t="shared" si="0"/>
        <v>2</v>
      </c>
      <c r="F14" s="60">
        <f t="shared" si="4"/>
        <v>94.41</v>
      </c>
      <c r="G14" s="61">
        <f>IF(D14=D13,"",_xlfn.IFNA(VLOOKUP(D14,'인원 입력 기능(사과탐)'!$P$177:$S$231,4,FALSE),0))</f>
        <v>157</v>
      </c>
      <c r="H14" s="62">
        <f t="shared" si="1"/>
        <v>2.3344683508542369E-3</v>
      </c>
      <c r="I14" s="72">
        <f>SUM($G$7:G14)</f>
        <v>3838</v>
      </c>
      <c r="J14" s="64">
        <f t="shared" si="5"/>
        <v>5.7068086182029056E-2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기능'!C155</f>
        <v>36</v>
      </c>
    </row>
    <row r="15" spans="1:17" s="22" customFormat="1" ht="25" customHeight="1" x14ac:dyDescent="0.45">
      <c r="A15" s="20"/>
      <c r="B15" s="35"/>
      <c r="C15" s="58">
        <v>42</v>
      </c>
      <c r="D15" s="59">
        <f t="shared" si="3"/>
        <v>66</v>
      </c>
      <c r="E15" s="59">
        <f t="shared" si="0"/>
        <v>2</v>
      </c>
      <c r="F15" s="60">
        <f t="shared" si="4"/>
        <v>93.48</v>
      </c>
      <c r="G15" s="61">
        <f>IF(D15=D14,"",_xlfn.IFNA(VLOOKUP(D15,'인원 입력 기능(사과탐)'!$P$177:$S$231,4,FALSE),0))</f>
        <v>1093</v>
      </c>
      <c r="H15" s="62">
        <f t="shared" si="1"/>
        <v>1.6252063104991599E-2</v>
      </c>
      <c r="I15" s="72">
        <f>SUM($G$7:G15)</f>
        <v>4931</v>
      </c>
      <c r="J15" s="64">
        <f t="shared" si="5"/>
        <v>7.3320149287020658E-2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5">
        <v>41</v>
      </c>
      <c r="D16" s="59">
        <f t="shared" si="3"/>
        <v>65</v>
      </c>
      <c r="E16" s="59">
        <f t="shared" si="0"/>
        <v>2</v>
      </c>
      <c r="F16" s="60">
        <f t="shared" si="4"/>
        <v>91.64</v>
      </c>
      <c r="G16" s="61">
        <f>IF(D16=D15,"",_xlfn.IFNA(VLOOKUP(D16,'인원 입력 기능(사과탐)'!$P$177:$S$231,4,FALSE),0))</f>
        <v>1388</v>
      </c>
      <c r="H16" s="62">
        <f t="shared" si="1"/>
        <v>2.0638484528571217E-2</v>
      </c>
      <c r="I16" s="72">
        <f>SUM($G$7:G16)</f>
        <v>6319</v>
      </c>
      <c r="J16" s="64">
        <f t="shared" si="5"/>
        <v>9.3958633815591872E-2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8">
        <v>40</v>
      </c>
      <c r="D17" s="59">
        <f t="shared" si="3"/>
        <v>64</v>
      </c>
      <c r="E17" s="59">
        <f t="shared" si="0"/>
        <v>2</v>
      </c>
      <c r="F17" s="60">
        <f t="shared" si="4"/>
        <v>90.24</v>
      </c>
      <c r="G17" s="61">
        <f>IF(D17=D16,"",_xlfn.IFNA(VLOOKUP(D17,'인원 입력 기능(사과탐)'!$P$177:$S$231,4,FALSE),0))</f>
        <v>485</v>
      </c>
      <c r="H17" s="62">
        <f t="shared" si="1"/>
        <v>7.2115742048681842E-3</v>
      </c>
      <c r="I17" s="72">
        <f>SUM($G$7:G17)</f>
        <v>6804</v>
      </c>
      <c r="J17" s="64">
        <f t="shared" si="5"/>
        <v>0.10117020802046005</v>
      </c>
      <c r="K17" s="36"/>
      <c r="L17" s="20" t="str">
        <f t="shared" si="2"/>
        <v/>
      </c>
      <c r="N17" s="24"/>
      <c r="Q17" s="24">
        <f>Q7*H3*H4*J3*IFERROR(IF(J57=1, 1, 0), 0)</f>
        <v>1237307781.4239998</v>
      </c>
    </row>
    <row r="18" spans="1:17" s="22" customFormat="1" ht="25" customHeight="1" x14ac:dyDescent="0.45">
      <c r="A18" s="20"/>
      <c r="B18" s="35"/>
      <c r="C18" s="65">
        <v>39</v>
      </c>
      <c r="D18" s="59">
        <f t="shared" si="3"/>
        <v>63</v>
      </c>
      <c r="E18" s="59">
        <f t="shared" si="0"/>
        <v>2</v>
      </c>
      <c r="F18" s="60">
        <f t="shared" si="4"/>
        <v>88.68</v>
      </c>
      <c r="G18" s="61">
        <f>IF(D18=D17,"",_xlfn.IFNA(VLOOKUP(D18,'인원 입력 기능(사과탐)'!$P$177:$S$231,4,FALSE),0))</f>
        <v>1616</v>
      </c>
      <c r="H18" s="62">
        <f t="shared" si="1"/>
        <v>2.4028667866117497E-2</v>
      </c>
      <c r="I18" s="72">
        <f>SUM($G$7:G18)</f>
        <v>8420</v>
      </c>
      <c r="J18" s="64">
        <f t="shared" si="5"/>
        <v>0.12519887588657755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8">
        <v>38</v>
      </c>
      <c r="D19" s="59">
        <f t="shared" si="3"/>
        <v>62</v>
      </c>
      <c r="E19" s="59">
        <f t="shared" si="0"/>
        <v>3</v>
      </c>
      <c r="F19" s="60">
        <f t="shared" si="4"/>
        <v>86.56</v>
      </c>
      <c r="G19" s="61">
        <f>IF(D19=D18,"",_xlfn.IFNA(VLOOKUP(D19,'인원 입력 기능(사과탐)'!$P$177:$S$231,4,FALSE),0))</f>
        <v>1239</v>
      </c>
      <c r="H19" s="62">
        <f t="shared" si="1"/>
        <v>1.8422969979034393E-2</v>
      </c>
      <c r="I19" s="72">
        <f>SUM($G$7:G19)</f>
        <v>9659</v>
      </c>
      <c r="J19" s="64">
        <f t="shared" si="5"/>
        <v>0.14362184586561194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5">
        <v>37</v>
      </c>
      <c r="D20" s="201">
        <f t="shared" si="3"/>
        <v>61</v>
      </c>
      <c r="E20" s="201">
        <f t="shared" si="0"/>
        <v>3</v>
      </c>
      <c r="F20" s="205">
        <f t="shared" si="4"/>
        <v>83.47</v>
      </c>
      <c r="G20" s="207">
        <f>IF(D20=D19,"",_xlfn.IFNA(VLOOKUP(D20,'인원 입력 기능(사과탐)'!$P$177:$S$231,4,FALSE),0))</f>
        <v>2913</v>
      </c>
      <c r="H20" s="208">
        <f t="shared" si="1"/>
        <v>4.3314052904703138E-2</v>
      </c>
      <c r="I20" s="214">
        <f>SUM($G$7:G20)</f>
        <v>12572</v>
      </c>
      <c r="J20" s="212">
        <f t="shared" si="5"/>
        <v>0.18693589877031508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9">
        <v>36</v>
      </c>
      <c r="D21" s="200"/>
      <c r="E21" s="200"/>
      <c r="F21" s="204"/>
      <c r="G21" s="206"/>
      <c r="H21" s="209"/>
      <c r="I21" s="215"/>
      <c r="J21" s="213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73">
        <v>35</v>
      </c>
      <c r="D22" s="74">
        <f t="shared" si="3"/>
        <v>60</v>
      </c>
      <c r="E22" s="74">
        <f t="shared" si="0"/>
        <v>3</v>
      </c>
      <c r="F22" s="60">
        <f t="shared" si="4"/>
        <v>80.37</v>
      </c>
      <c r="G22" s="61">
        <f>IF(D22=D21,"",_xlfn.IFNA(VLOOKUP(D22,'인원 입력 기능(사과탐)'!$P$177:$S$231,4,FALSE),0))</f>
        <v>1259</v>
      </c>
      <c r="H22" s="62">
        <f t="shared" si="1"/>
        <v>1.8720354482327926E-2</v>
      </c>
      <c r="I22" s="72">
        <f>SUM($G$7:G22)</f>
        <v>13831</v>
      </c>
      <c r="J22" s="64">
        <f t="shared" si="5"/>
        <v>0.205656253252643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9">
        <v>34</v>
      </c>
      <c r="D23" s="74">
        <f t="shared" si="3"/>
        <v>59</v>
      </c>
      <c r="E23" s="74">
        <f t="shared" si="0"/>
        <v>3</v>
      </c>
      <c r="F23" s="60">
        <f t="shared" si="4"/>
        <v>78.290000000000006</v>
      </c>
      <c r="G23" s="61">
        <f>IF(D23=D22,"",_xlfn.IFNA(VLOOKUP(D23,'인원 입력 기능(사과탐)'!$P$177:$S$231,4,FALSE),0))</f>
        <v>1533</v>
      </c>
      <c r="H23" s="62">
        <f t="shared" si="1"/>
        <v>2.2794522177449334E-2</v>
      </c>
      <c r="I23" s="72">
        <f>SUM($G$7:G23)</f>
        <v>15364</v>
      </c>
      <c r="J23" s="64">
        <f t="shared" si="5"/>
        <v>0.22845077543009235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73">
        <v>33</v>
      </c>
      <c r="D24" s="74">
        <f t="shared" si="3"/>
        <v>58</v>
      </c>
      <c r="E24" s="74">
        <f t="shared" si="0"/>
        <v>3</v>
      </c>
      <c r="F24" s="60">
        <f t="shared" si="4"/>
        <v>75.709999999999994</v>
      </c>
      <c r="G24" s="61">
        <f>IF(D24=D23,"",_xlfn.IFNA(VLOOKUP(D24,'인원 입력 기능(사과탐)'!$P$177:$S$231,4,FALSE),0))</f>
        <v>1939</v>
      </c>
      <c r="H24" s="62">
        <f t="shared" si="1"/>
        <v>2.8831427594308061E-2</v>
      </c>
      <c r="I24" s="72">
        <f>SUM($G$7:G24)</f>
        <v>17303</v>
      </c>
      <c r="J24" s="64">
        <f t="shared" si="5"/>
        <v>0.25728220302440041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9">
        <v>32</v>
      </c>
      <c r="D25" s="74">
        <f t="shared" si="3"/>
        <v>57</v>
      </c>
      <c r="E25" s="74">
        <f t="shared" si="0"/>
        <v>4</v>
      </c>
      <c r="F25" s="60">
        <f t="shared" si="4"/>
        <v>73.19</v>
      </c>
      <c r="G25" s="61">
        <f>IF(D25=D24,"",_xlfn.IFNA(VLOOKUP(D25,'인원 입력 기능(사과탐)'!$P$177:$S$231,4,FALSE),0))</f>
        <v>1452</v>
      </c>
      <c r="H25" s="62">
        <f t="shared" si="1"/>
        <v>2.1590114939110523E-2</v>
      </c>
      <c r="I25" s="72">
        <f>SUM($G$7:G25)</f>
        <v>18755</v>
      </c>
      <c r="J25" s="64">
        <f t="shared" si="5"/>
        <v>0.27887231796351092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73">
        <v>31</v>
      </c>
      <c r="D26" s="74">
        <f t="shared" si="3"/>
        <v>56</v>
      </c>
      <c r="E26" s="74">
        <f t="shared" si="0"/>
        <v>4</v>
      </c>
      <c r="F26" s="60">
        <f t="shared" si="4"/>
        <v>70.7</v>
      </c>
      <c r="G26" s="61">
        <f>IF(D26=D25,"",_xlfn.IFNA(VLOOKUP(D26,'인원 입력 기능(사과탐)'!$P$177:$S$231,4,FALSE),0))</f>
        <v>1895</v>
      </c>
      <c r="H26" s="62">
        <f t="shared" si="1"/>
        <v>2.8177181687062288E-2</v>
      </c>
      <c r="I26" s="72">
        <f>SUM($G$7:G26)</f>
        <v>20650</v>
      </c>
      <c r="J26" s="64">
        <f t="shared" si="5"/>
        <v>0.30704949965057321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9">
        <v>30</v>
      </c>
      <c r="D27" s="74">
        <f t="shared" si="3"/>
        <v>55</v>
      </c>
      <c r="E27" s="74">
        <f t="shared" si="0"/>
        <v>4</v>
      </c>
      <c r="F27" s="60">
        <f t="shared" si="4"/>
        <v>67.91</v>
      </c>
      <c r="G27" s="61">
        <f>IF(D27=D26,"",_xlfn.IFNA(VLOOKUP(D27,'인원 입력 기능(사과탐)'!$P$177:$S$231,4,FALSE),0))</f>
        <v>1860</v>
      </c>
      <c r="H27" s="62">
        <f t="shared" si="1"/>
        <v>2.7656758806298604E-2</v>
      </c>
      <c r="I27" s="72">
        <f>SUM($G$7:G27)</f>
        <v>22510</v>
      </c>
      <c r="J27" s="64">
        <f t="shared" si="5"/>
        <v>0.3347062584568718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73">
        <v>29</v>
      </c>
      <c r="D28" s="74">
        <f t="shared" si="3"/>
        <v>54</v>
      </c>
      <c r="E28" s="74">
        <f t="shared" si="0"/>
        <v>4</v>
      </c>
      <c r="F28" s="60">
        <f t="shared" si="4"/>
        <v>65.17</v>
      </c>
      <c r="G28" s="61">
        <f>IF(D28=D27,"",_xlfn.IFNA(VLOOKUP(D28,'인원 입력 기능(사과탐)'!$P$177:$S$231,4,FALSE),0))</f>
        <v>1826</v>
      </c>
      <c r="H28" s="62">
        <f t="shared" si="1"/>
        <v>2.7151205150699596E-2</v>
      </c>
      <c r="I28" s="72">
        <f>SUM($G$7:G28)</f>
        <v>24336</v>
      </c>
      <c r="J28" s="64">
        <f t="shared" si="5"/>
        <v>0.36185746360757143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9">
        <v>28</v>
      </c>
      <c r="D29" s="203">
        <f t="shared" si="3"/>
        <v>53</v>
      </c>
      <c r="E29" s="203">
        <f t="shared" si="0"/>
        <v>4</v>
      </c>
      <c r="F29" s="205">
        <f t="shared" si="4"/>
        <v>60.95</v>
      </c>
      <c r="G29" s="207">
        <f>IF(D29=D28,"",_xlfn.IFNA(VLOOKUP(D29,'인원 입력 기능(사과탐)'!$P$177:$S$231,4,FALSE),0))</f>
        <v>3850</v>
      </c>
      <c r="H29" s="208">
        <f t="shared" si="1"/>
        <v>5.7246516884005172E-2</v>
      </c>
      <c r="I29" s="214">
        <f>SUM($G$7:G29)</f>
        <v>28186</v>
      </c>
      <c r="J29" s="212">
        <f t="shared" si="5"/>
        <v>0.4191039804915766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73">
        <v>27</v>
      </c>
      <c r="D30" s="202"/>
      <c r="E30" s="202"/>
      <c r="F30" s="204"/>
      <c r="G30" s="206"/>
      <c r="H30" s="209"/>
      <c r="I30" s="215"/>
      <c r="J30" s="213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9">
        <v>26</v>
      </c>
      <c r="D31" s="74">
        <f t="shared" si="3"/>
        <v>52</v>
      </c>
      <c r="E31" s="74">
        <f t="shared" si="0"/>
        <v>5</v>
      </c>
      <c r="F31" s="60">
        <f t="shared" si="4"/>
        <v>56.58</v>
      </c>
      <c r="G31" s="61">
        <f>IF(D31=D30,"",_xlfn.IFNA(VLOOKUP(D31,'인원 입력 기능(사과탐)'!$P$177:$S$231,4,FALSE),0))</f>
        <v>2031</v>
      </c>
      <c r="H31" s="62">
        <f t="shared" si="1"/>
        <v>3.0199396309458313E-2</v>
      </c>
      <c r="I31" s="72">
        <f>SUM($G$7:G31)</f>
        <v>30217</v>
      </c>
      <c r="J31" s="64">
        <f t="shared" si="5"/>
        <v>0.44930337680103488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73">
        <v>25</v>
      </c>
      <c r="D32" s="74">
        <f t="shared" si="3"/>
        <v>51</v>
      </c>
      <c r="E32" s="74">
        <f t="shared" si="0"/>
        <v>5</v>
      </c>
      <c r="F32" s="60">
        <f t="shared" si="4"/>
        <v>53.7</v>
      </c>
      <c r="G32" s="61">
        <f>IF(D32=D31,"",_xlfn.IFNA(VLOOKUP(D32,'인원 입력 기능(사과탐)'!$P$177:$S$231,4,FALSE),0))</f>
        <v>1836</v>
      </c>
      <c r="H32" s="62">
        <f t="shared" si="1"/>
        <v>2.7299897402346365E-2</v>
      </c>
      <c r="I32" s="72">
        <f>SUM($G$7:G32)</f>
        <v>32053</v>
      </c>
      <c r="J32" s="64">
        <f t="shared" si="5"/>
        <v>0.47660327420338128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9">
        <v>24</v>
      </c>
      <c r="D33" s="74">
        <f t="shared" si="3"/>
        <v>50</v>
      </c>
      <c r="E33" s="74">
        <f t="shared" si="0"/>
        <v>5</v>
      </c>
      <c r="F33" s="60">
        <f t="shared" si="4"/>
        <v>50.97</v>
      </c>
      <c r="G33" s="61">
        <f>IF(D33=D32,"",_xlfn.IFNA(VLOOKUP(D33,'인원 입력 기능(사과탐)'!$P$177:$S$231,4,FALSE),0))</f>
        <v>1848</v>
      </c>
      <c r="H33" s="62">
        <f t="shared" si="1"/>
        <v>2.7478328104322484E-2</v>
      </c>
      <c r="I33" s="72">
        <f>SUM($G$7:G33)</f>
        <v>33901</v>
      </c>
      <c r="J33" s="64">
        <f t="shared" si="5"/>
        <v>0.50408160230770371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73">
        <v>23</v>
      </c>
      <c r="D34" s="74">
        <f t="shared" si="3"/>
        <v>49</v>
      </c>
      <c r="E34" s="74">
        <f t="shared" si="0"/>
        <v>5</v>
      </c>
      <c r="F34" s="60">
        <f t="shared" si="4"/>
        <v>48.1</v>
      </c>
      <c r="G34" s="61">
        <f>IF(D34=D33,"",_xlfn.IFNA(VLOOKUP(D34,'인원 입력 기능(사과탐)'!$P$177:$S$231,4,FALSE),0))</f>
        <v>2008</v>
      </c>
      <c r="H34" s="62">
        <f t="shared" si="1"/>
        <v>2.9857404130670749E-2</v>
      </c>
      <c r="I34" s="72">
        <f>SUM($G$7:G34)</f>
        <v>35909</v>
      </c>
      <c r="J34" s="64">
        <f t="shared" si="5"/>
        <v>0.53393900643837444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9">
        <v>22</v>
      </c>
      <c r="D35" s="74">
        <f t="shared" si="3"/>
        <v>48</v>
      </c>
      <c r="E35" s="74">
        <f t="shared" si="0"/>
        <v>5</v>
      </c>
      <c r="F35" s="60">
        <f t="shared" si="4"/>
        <v>45.17</v>
      </c>
      <c r="G35" s="61">
        <f>IF(D35=D34,"",_xlfn.IFNA(VLOOKUP(D35,'인원 입력 기능(사과탐)'!$P$177:$S$231,4,FALSE),0))</f>
        <v>1928</v>
      </c>
      <c r="H35" s="62">
        <f t="shared" si="1"/>
        <v>2.8667866117496617E-2</v>
      </c>
      <c r="I35" s="72">
        <f>SUM($G$7:G35)</f>
        <v>37837</v>
      </c>
      <c r="J35" s="64">
        <f t="shared" si="5"/>
        <v>0.56260687255587116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73">
        <v>21</v>
      </c>
      <c r="D36" s="74">
        <f t="shared" si="3"/>
        <v>47</v>
      </c>
      <c r="E36" s="74">
        <f t="shared" si="0"/>
        <v>5</v>
      </c>
      <c r="F36" s="60">
        <f t="shared" si="4"/>
        <v>42.24</v>
      </c>
      <c r="G36" s="61">
        <f>IF(D36=D35,"",_xlfn.IFNA(VLOOKUP(D36,'인원 입력 기능(사과탐)'!$P$177:$S$231,4,FALSE),0))</f>
        <v>2012</v>
      </c>
      <c r="H36" s="62">
        <f t="shared" si="1"/>
        <v>2.9916881031329456E-2</v>
      </c>
      <c r="I36" s="72">
        <f>SUM($G$7:G36)</f>
        <v>39849</v>
      </c>
      <c r="J36" s="64">
        <f t="shared" si="5"/>
        <v>0.59252375358720055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9">
        <v>20</v>
      </c>
      <c r="D37" s="74">
        <f t="shared" si="3"/>
        <v>46</v>
      </c>
      <c r="E37" s="74">
        <f t="shared" si="0"/>
        <v>5</v>
      </c>
      <c r="F37" s="60">
        <f t="shared" si="4"/>
        <v>39.39</v>
      </c>
      <c r="G37" s="61">
        <f>IF(D37=D36,"",_xlfn.IFNA(VLOOKUP(D37,'인원 입력 기능(사과탐)'!$P$177:$S$231,4,FALSE),0))</f>
        <v>1824</v>
      </c>
      <c r="H37" s="62">
        <f t="shared" si="1"/>
        <v>2.7121466700370245E-2</v>
      </c>
      <c r="I37" s="72">
        <f>SUM($G$7:G37)</f>
        <v>41673</v>
      </c>
      <c r="J37" s="64">
        <f t="shared" si="5"/>
        <v>0.61964522028757085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73">
        <v>19</v>
      </c>
      <c r="D38" s="74">
        <f t="shared" si="3"/>
        <v>45</v>
      </c>
      <c r="E38" s="74">
        <f t="shared" si="0"/>
        <v>6</v>
      </c>
      <c r="F38" s="60">
        <f t="shared" si="4"/>
        <v>36.58</v>
      </c>
      <c r="G38" s="61">
        <f>IF(D38=D37,"",_xlfn.IFNA(VLOOKUP(D38,'인원 입력 기능(사과탐)'!$P$177:$S$231,4,FALSE),0))</f>
        <v>1958</v>
      </c>
      <c r="H38" s="62">
        <f t="shared" si="1"/>
        <v>2.9113942872436918E-2</v>
      </c>
      <c r="I38" s="72">
        <f>SUM($G$7:G38)</f>
        <v>43631</v>
      </c>
      <c r="J38" s="64">
        <f t="shared" si="5"/>
        <v>0.6487591631600077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9">
        <v>18</v>
      </c>
      <c r="D39" s="203">
        <f t="shared" si="3"/>
        <v>44</v>
      </c>
      <c r="E39" s="203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205">
        <f t="shared" si="4"/>
        <v>32.4</v>
      </c>
      <c r="G39" s="207">
        <f>IF(D39=D38,"",_xlfn.IFNA(VLOOKUP(D39,'인원 입력 기능(사과탐)'!$P$177:$S$231,4,FALSE),0))</f>
        <v>3668</v>
      </c>
      <c r="H39" s="208">
        <f t="shared" si="1"/>
        <v>5.4540317904034019E-2</v>
      </c>
      <c r="I39" s="214">
        <f>SUM($G$7:G39)</f>
        <v>47299</v>
      </c>
      <c r="J39" s="212">
        <f t="shared" si="5"/>
        <v>0.70329948106404172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73">
        <v>17</v>
      </c>
      <c r="D40" s="202"/>
      <c r="E40" s="202"/>
      <c r="F40" s="204"/>
      <c r="G40" s="206"/>
      <c r="H40" s="209"/>
      <c r="I40" s="215"/>
      <c r="J40" s="213"/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109">
        <v>16</v>
      </c>
      <c r="D41" s="74">
        <f t="shared" si="3"/>
        <v>43</v>
      </c>
      <c r="E41" s="74">
        <f t="shared" si="6"/>
        <v>6</v>
      </c>
      <c r="F41" s="60">
        <f t="shared" si="4"/>
        <v>28.29</v>
      </c>
      <c r="G41" s="61">
        <f>IF(D41=D40,"",_xlfn.IFNA(VLOOKUP(D41,'인원 입력 기능(사과탐)'!$P$177:$S$231,4,FALSE),0))</f>
        <v>1862</v>
      </c>
      <c r="H41" s="62">
        <f t="shared" si="1"/>
        <v>2.7686497256627956E-2</v>
      </c>
      <c r="I41" s="72">
        <f>SUM($G$7:G41)</f>
        <v>49161</v>
      </c>
      <c r="J41" s="64">
        <f t="shared" si="5"/>
        <v>0.73098597832066969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73">
        <v>15</v>
      </c>
      <c r="D42" s="74">
        <f t="shared" si="3"/>
        <v>42</v>
      </c>
      <c r="E42" s="74">
        <f t="shared" si="6"/>
        <v>6</v>
      </c>
      <c r="F42" s="60">
        <f t="shared" si="4"/>
        <v>25.58</v>
      </c>
      <c r="G42" s="61">
        <f>IF(D42=D41,"",_xlfn.IFNA(VLOOKUP(D42,'인원 입력 기능(사과탐)'!$P$177:$S$231,4,FALSE),0))</f>
        <v>1777</v>
      </c>
      <c r="H42" s="62">
        <f t="shared" si="1"/>
        <v>2.6422613117630441E-2</v>
      </c>
      <c r="I42" s="72">
        <f>SUM($G$7:G42)</f>
        <v>50938</v>
      </c>
      <c r="J42" s="64">
        <f t="shared" si="5"/>
        <v>0.75740859143830019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9">
        <v>14</v>
      </c>
      <c r="D43" s="74">
        <f t="shared" si="3"/>
        <v>41</v>
      </c>
      <c r="E43" s="74">
        <f t="shared" si="6"/>
        <v>6</v>
      </c>
      <c r="F43" s="60">
        <f t="shared" si="4"/>
        <v>22.94</v>
      </c>
      <c r="G43" s="61">
        <f>IF(D43=D42,"",_xlfn.IFNA(VLOOKUP(D43,'인원 입력 기능(사과탐)'!$P$177:$S$231,4,FALSE),0))</f>
        <v>1770</v>
      </c>
      <c r="H43" s="62">
        <f t="shared" si="1"/>
        <v>2.6318528541477704E-2</v>
      </c>
      <c r="I43" s="72">
        <f>SUM($G$7:G43)</f>
        <v>52708</v>
      </c>
      <c r="J43" s="64">
        <f t="shared" si="5"/>
        <v>0.78372711997977784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73">
        <v>13</v>
      </c>
      <c r="D44" s="74">
        <f t="shared" si="3"/>
        <v>40</v>
      </c>
      <c r="E44" s="74">
        <f t="shared" si="6"/>
        <v>7</v>
      </c>
      <c r="F44" s="60">
        <f t="shared" si="4"/>
        <v>20.3</v>
      </c>
      <c r="G44" s="61">
        <f>IF(D44=D43,"",_xlfn.IFNA(VLOOKUP(D44,'인원 입력 기능(사과탐)'!$P$177:$S$231,4,FALSE),0))</f>
        <v>1784</v>
      </c>
      <c r="H44" s="62">
        <f t="shared" si="1"/>
        <v>2.6526697693783179E-2</v>
      </c>
      <c r="I44" s="72">
        <f>SUM($G$7:G44)</f>
        <v>54492</v>
      </c>
      <c r="J44" s="64">
        <f t="shared" si="5"/>
        <v>0.81025381767356108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9">
        <v>12</v>
      </c>
      <c r="D45" s="74">
        <f t="shared" si="3"/>
        <v>39</v>
      </c>
      <c r="E45" s="74">
        <f t="shared" si="6"/>
        <v>7</v>
      </c>
      <c r="F45" s="60">
        <f t="shared" si="4"/>
        <v>17.61</v>
      </c>
      <c r="G45" s="61">
        <f>IF(D45=D44,"",_xlfn.IFNA(VLOOKUP(D45,'인원 입력 기능(사과탐)'!$P$177:$S$231,4,FALSE),0))</f>
        <v>1833</v>
      </c>
      <c r="H45" s="62">
        <f t="shared" si="1"/>
        <v>2.7255289726852334E-2</v>
      </c>
      <c r="I45" s="72">
        <f>SUM($G$7:G45)</f>
        <v>56325</v>
      </c>
      <c r="J45" s="64">
        <f t="shared" si="5"/>
        <v>0.8375091074004134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73">
        <v>11</v>
      </c>
      <c r="D46" s="74">
        <f t="shared" si="3"/>
        <v>38</v>
      </c>
      <c r="E46" s="74">
        <f t="shared" si="6"/>
        <v>7</v>
      </c>
      <c r="F46" s="60">
        <f t="shared" si="4"/>
        <v>14.21</v>
      </c>
      <c r="G46" s="61">
        <f>IF(D46=D45,"",_xlfn.IFNA(VLOOKUP(D46,'인원 입력 기능(사과탐)'!$P$177:$S$231,4,FALSE),0))</f>
        <v>2741</v>
      </c>
      <c r="H46" s="62">
        <f t="shared" si="1"/>
        <v>4.075654617637875E-2</v>
      </c>
      <c r="I46" s="72">
        <f>SUM($G$7:G46)</f>
        <v>59066</v>
      </c>
      <c r="J46" s="64">
        <f t="shared" si="5"/>
        <v>0.87826565357679209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9">
        <v>10</v>
      </c>
      <c r="D47" s="74">
        <f t="shared" si="3"/>
        <v>37</v>
      </c>
      <c r="E47" s="74">
        <f t="shared" si="6"/>
        <v>7</v>
      </c>
      <c r="F47" s="60">
        <f t="shared" si="4"/>
        <v>11.3</v>
      </c>
      <c r="G47" s="61">
        <f>IF(D47=D46,"",_xlfn.IFNA(VLOOKUP(D47,'인원 입력 기능(사과탐)'!$P$177:$S$231,4,FALSE),0))</f>
        <v>1174</v>
      </c>
      <c r="H47" s="62">
        <f t="shared" si="1"/>
        <v>1.7456470343330407E-2</v>
      </c>
      <c r="I47" s="72">
        <f>SUM($G$7:G47)</f>
        <v>60240</v>
      </c>
      <c r="J47" s="64">
        <f t="shared" si="5"/>
        <v>0.89572212392012251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73">
        <v>9</v>
      </c>
      <c r="D48" s="203">
        <f t="shared" si="3"/>
        <v>36</v>
      </c>
      <c r="E48" s="203">
        <f t="shared" si="6"/>
        <v>8</v>
      </c>
      <c r="F48" s="205">
        <f t="shared" si="4"/>
        <v>7.07</v>
      </c>
      <c r="G48" s="207">
        <f>IF(D48=D47,"",_xlfn.IFNA(VLOOKUP(D48,'인원 입력 기능(사과탐)'!$P$177:$S$231,4,FALSE),0))</f>
        <v>4514</v>
      </c>
      <c r="H48" s="208">
        <f t="shared" si="1"/>
        <v>6.7119682393350477E-2</v>
      </c>
      <c r="I48" s="214">
        <f>SUM($G$7:G48)</f>
        <v>64754</v>
      </c>
      <c r="J48" s="212">
        <f t="shared" si="5"/>
        <v>0.96284180631347305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9">
        <v>8</v>
      </c>
      <c r="D49" s="202"/>
      <c r="E49" s="202"/>
      <c r="F49" s="204"/>
      <c r="G49" s="206"/>
      <c r="H49" s="209"/>
      <c r="I49" s="215"/>
      <c r="J49" s="213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73">
        <v>7</v>
      </c>
      <c r="D50" s="74">
        <f t="shared" si="3"/>
        <v>35</v>
      </c>
      <c r="E50" s="74">
        <f t="shared" si="6"/>
        <v>9</v>
      </c>
      <c r="F50" s="60">
        <f t="shared" si="4"/>
        <v>3.15</v>
      </c>
      <c r="G50" s="61">
        <f>IF(D50=D49,"",_xlfn.IFNA(VLOOKUP(D50,'인원 입력 기능(사과탐)'!$P$177:$S$231,4,FALSE),0))</f>
        <v>760</v>
      </c>
      <c r="H50" s="62">
        <f t="shared" si="1"/>
        <v>1.1300611125154267E-2</v>
      </c>
      <c r="I50" s="72">
        <f>SUM($G$7:G50)</f>
        <v>65514</v>
      </c>
      <c r="J50" s="64">
        <f t="shared" si="5"/>
        <v>0.97414241743862728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9">
        <v>6</v>
      </c>
      <c r="D51" s="74">
        <f t="shared" si="3"/>
        <v>34</v>
      </c>
      <c r="E51" s="74">
        <f t="shared" si="6"/>
        <v>9</v>
      </c>
      <c r="F51" s="60">
        <f t="shared" si="4"/>
        <v>2.2200000000000002</v>
      </c>
      <c r="G51" s="61">
        <f>IF(D51=D50,"",_xlfn.IFNA(VLOOKUP(D51,'인원 입력 기능(사과탐)'!$P$177:$S$231,4,FALSE),0))</f>
        <v>492</v>
      </c>
      <c r="H51" s="62">
        <f t="shared" si="1"/>
        <v>7.3156587810209207E-3</v>
      </c>
      <c r="I51" s="72">
        <f>SUM($G$7:G51)</f>
        <v>66006</v>
      </c>
      <c r="J51" s="64">
        <f t="shared" si="5"/>
        <v>0.9814580762196482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73">
        <v>5</v>
      </c>
      <c r="D52" s="74">
        <f t="shared" si="3"/>
        <v>33</v>
      </c>
      <c r="E52" s="74">
        <f t="shared" si="6"/>
        <v>9</v>
      </c>
      <c r="F52" s="60">
        <f t="shared" si="4"/>
        <v>1.45</v>
      </c>
      <c r="G52" s="61">
        <f>IF(D52=D51,"",_xlfn.IFNA(VLOOKUP(D52,'인원 입력 기능(사과탐)'!$P$177:$S$231,4,FALSE),0))</f>
        <v>544</v>
      </c>
      <c r="H52" s="62">
        <f t="shared" si="1"/>
        <v>8.0888584895841085E-3</v>
      </c>
      <c r="I52" s="72">
        <f>SUM($G$7:G52)</f>
        <v>66550</v>
      </c>
      <c r="J52" s="64">
        <f t="shared" si="5"/>
        <v>0.98954693470923227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8">
        <v>4</v>
      </c>
      <c r="D53" s="59">
        <f t="shared" si="3"/>
        <v>32</v>
      </c>
      <c r="E53" s="59">
        <f t="shared" si="6"/>
        <v>9</v>
      </c>
      <c r="F53" s="60">
        <f t="shared" si="4"/>
        <v>0.82</v>
      </c>
      <c r="G53" s="61">
        <f>IF(D53=D52,"",_xlfn.IFNA(VLOOKUP(D53,'인원 입력 기능(사과탐)'!$P$177:$S$231,4,FALSE),0))</f>
        <v>298</v>
      </c>
      <c r="H53" s="62">
        <f t="shared" si="1"/>
        <v>4.4310290990736472E-3</v>
      </c>
      <c r="I53" s="72">
        <f>SUM($G$7:G53)</f>
        <v>66848</v>
      </c>
      <c r="J53" s="64">
        <f t="shared" si="5"/>
        <v>0.99397796380830594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5">
        <v>3</v>
      </c>
      <c r="D54" s="59">
        <f t="shared" si="3"/>
        <v>31</v>
      </c>
      <c r="E54" s="59">
        <f t="shared" si="6"/>
        <v>9</v>
      </c>
      <c r="F54" s="60">
        <f t="shared" si="4"/>
        <v>0.47</v>
      </c>
      <c r="G54" s="61">
        <f>IF(D54=D53,"",_xlfn.IFNA(VLOOKUP(D54,'인원 입력 기능(사과탐)'!$P$177:$S$231,4,FALSE),0))</f>
        <v>173</v>
      </c>
      <c r="H54" s="62">
        <f t="shared" si="1"/>
        <v>2.5723759534890638E-3</v>
      </c>
      <c r="I54" s="72">
        <f>SUM($G$7:G54)</f>
        <v>67021</v>
      </c>
      <c r="J54" s="64">
        <f t="shared" si="5"/>
        <v>0.99655033976179497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8">
        <v>2</v>
      </c>
      <c r="D55" s="59">
        <f t="shared" si="3"/>
        <v>30</v>
      </c>
      <c r="E55" s="59">
        <f t="shared" si="6"/>
        <v>9</v>
      </c>
      <c r="F55" s="60">
        <f t="shared" si="4"/>
        <v>0.23</v>
      </c>
      <c r="G55" s="61">
        <f>IF(D55=D54,"",_xlfn.IFNA(VLOOKUP(D55,'인원 입력 기능(사과탐)'!$P$177:$S$231,4,FALSE),0))</f>
        <v>159</v>
      </c>
      <c r="H55" s="62">
        <f t="shared" si="1"/>
        <v>2.3642068011835902E-3</v>
      </c>
      <c r="I55" s="72">
        <f>SUM($G$7:G55)</f>
        <v>67180</v>
      </c>
      <c r="J55" s="64">
        <f t="shared" si="5"/>
        <v>0.99891454656297862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5">
        <v>1</v>
      </c>
      <c r="D56" s="66" t="s">
        <v>56</v>
      </c>
      <c r="E56" s="66"/>
      <c r="F56" s="67"/>
      <c r="G56" s="110"/>
      <c r="H56" s="108"/>
      <c r="I56" s="76"/>
      <c r="J56" s="71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11">
        <v>0</v>
      </c>
      <c r="D57" s="78">
        <f>ROUND(10*(C57-$H$3)/$H$4+50,0)</f>
        <v>28</v>
      </c>
      <c r="E57" s="112">
        <f t="shared" si="6"/>
        <v>9</v>
      </c>
      <c r="F57" s="79">
        <f>IF(I55=0,ROUND(100*(1-(I54+I57)/2/$J$3),2),ROUND(100*(1-(I55+I57)/2/$J$3),2))</f>
        <v>0.05</v>
      </c>
      <c r="G57" s="113">
        <f>_xlfn.IFNA(VLOOKUP(D57,'인원 입력 기능(사과탐)'!$P$177:$S$231,4,FALSE),0)</f>
        <v>73</v>
      </c>
      <c r="H57" s="81">
        <f>G57/$J$3</f>
        <v>1.0854534370213968E-3</v>
      </c>
      <c r="I57" s="82">
        <f>SUM($G$7:G57)</f>
        <v>67253</v>
      </c>
      <c r="J57" s="114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I39:I40"/>
    <mergeCell ref="J39:J40"/>
    <mergeCell ref="D48:D49"/>
    <mergeCell ref="E48:E49"/>
    <mergeCell ref="F48:F49"/>
    <mergeCell ref="G48:G49"/>
    <mergeCell ref="H48:H49"/>
    <mergeCell ref="I48:I49"/>
    <mergeCell ref="J48:J49"/>
    <mergeCell ref="D39:D40"/>
    <mergeCell ref="E39:E40"/>
    <mergeCell ref="F39:F40"/>
    <mergeCell ref="G39:G40"/>
    <mergeCell ref="H39:H40"/>
    <mergeCell ref="I20:I21"/>
    <mergeCell ref="J20:J21"/>
    <mergeCell ref="D29:D30"/>
    <mergeCell ref="E29:E30"/>
    <mergeCell ref="F29:F30"/>
    <mergeCell ref="G29:G30"/>
    <mergeCell ref="H29:H30"/>
    <mergeCell ref="I29:I30"/>
    <mergeCell ref="J29:J30"/>
    <mergeCell ref="D20:D21"/>
    <mergeCell ref="E20:E21"/>
    <mergeCell ref="F20:F21"/>
    <mergeCell ref="G20:G21"/>
    <mergeCell ref="H20:H21"/>
    <mergeCell ref="D3:F3"/>
    <mergeCell ref="D4:F4"/>
    <mergeCell ref="I4:J5"/>
    <mergeCell ref="D11:D12"/>
    <mergeCell ref="E11:E12"/>
    <mergeCell ref="F11:F12"/>
    <mergeCell ref="G11:G12"/>
    <mergeCell ref="H11:H12"/>
    <mergeCell ref="I11:I12"/>
    <mergeCell ref="J11:J12"/>
  </mergeCells>
  <phoneticPr fontId="1" type="noConversion"/>
  <conditionalFormatting sqref="D7:G11 I7:J11 D13:G20 I13:J20 D22:G29 I22:J29 D31:G39 I31:J39 D41:G48 I41:J48 D50:G57 I50:J57">
    <cfRule type="expression" dxfId="3" priority="4">
      <formula>OR($D7=$Q$7:$Q$14)</formula>
    </cfRule>
  </conditionalFormatting>
  <conditionalFormatting sqref="C7:C57">
    <cfRule type="expression" dxfId="2" priority="3">
      <formula>OR(AND($D7=0,OR($D6=$Q$7:$Q$14)),AND($D8&gt;0,OR($D7=$Q$7:$Q$14)))</formula>
    </cfRule>
  </conditionalFormatting>
  <conditionalFormatting sqref="D7:D11 D13:D20 D22:D29 D31:D39 D41:D48 D50:D57">
    <cfRule type="expression" dxfId="1" priority="2">
      <formula>$D7=$D8</formula>
    </cfRule>
  </conditionalFormatting>
  <conditionalFormatting sqref="H7:H11 H13:H20 H22:H29 H31:H39 H41:H48 H50:H57">
    <cfRule type="expression" dxfId="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M40"/>
  <sheetViews>
    <sheetView zoomScale="85" zoomScaleNormal="85" workbookViewId="0">
      <selection activeCell="B3" sqref="B3:M39"/>
    </sheetView>
  </sheetViews>
  <sheetFormatPr defaultRowHeight="17" x14ac:dyDescent="0.45"/>
  <cols>
    <col min="1" max="1" width="8.6640625" style="5"/>
    <col min="2" max="2" width="1" customWidth="1"/>
    <col min="3" max="3" width="11.4140625" style="18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67</v>
      </c>
      <c r="C1" s="17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7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7"/>
      <c r="C3" s="39"/>
      <c r="D3" s="40"/>
      <c r="E3" s="40"/>
      <c r="F3" s="40"/>
      <c r="G3" s="40"/>
      <c r="H3" s="40"/>
      <c r="I3" s="40"/>
      <c r="J3" s="40"/>
      <c r="K3" s="40"/>
      <c r="L3" s="28"/>
      <c r="M3" s="29"/>
    </row>
    <row r="4" spans="1:13" s="119" customFormat="1" ht="25" customHeight="1" x14ac:dyDescent="0.45">
      <c r="A4" s="116"/>
      <c r="B4" s="117"/>
      <c r="C4" s="48" t="s">
        <v>68</v>
      </c>
      <c r="D4" s="192" t="s">
        <v>134</v>
      </c>
      <c r="E4" s="192"/>
      <c r="F4" s="192"/>
      <c r="G4" s="193"/>
      <c r="H4" s="37"/>
      <c r="I4" s="37"/>
      <c r="J4" s="37"/>
      <c r="K4" s="37"/>
      <c r="L4" s="38"/>
      <c r="M4" s="118"/>
    </row>
    <row r="5" spans="1:13" s="119" customFormat="1" ht="25" customHeight="1" thickBot="1" x14ac:dyDescent="0.5">
      <c r="A5" s="116"/>
      <c r="B5" s="117"/>
      <c r="C5" s="51" t="s">
        <v>104</v>
      </c>
      <c r="D5" s="194" t="s">
        <v>105</v>
      </c>
      <c r="E5" s="194"/>
      <c r="F5" s="194"/>
      <c r="G5" s="195"/>
      <c r="H5" s="37"/>
      <c r="I5" s="37"/>
      <c r="J5" s="37"/>
      <c r="K5" s="37"/>
      <c r="L5" s="38"/>
      <c r="M5" s="118"/>
    </row>
    <row r="6" spans="1:13" ht="25" customHeight="1" x14ac:dyDescent="0.45">
      <c r="B6" s="30"/>
      <c r="C6" s="19"/>
      <c r="D6" s="19"/>
      <c r="E6" s="19"/>
      <c r="F6" s="19"/>
      <c r="G6" s="19"/>
      <c r="H6" s="19"/>
      <c r="I6" s="19"/>
      <c r="J6" s="19"/>
      <c r="K6" s="19"/>
      <c r="L6" s="20"/>
      <c r="M6" s="31"/>
    </row>
    <row r="7" spans="1:13" ht="25" customHeight="1" thickBot="1" x14ac:dyDescent="0.5">
      <c r="B7" s="30"/>
      <c r="C7" s="19"/>
      <c r="D7" s="19"/>
      <c r="E7" s="19"/>
      <c r="F7" s="19"/>
      <c r="G7" s="19"/>
      <c r="H7" s="19"/>
      <c r="I7" s="19"/>
      <c r="J7" s="19"/>
      <c r="K7" s="19"/>
      <c r="L7" s="20"/>
      <c r="M7" s="31"/>
    </row>
    <row r="8" spans="1:13" s="128" customFormat="1" ht="25" customHeight="1" thickBot="1" x14ac:dyDescent="0.5">
      <c r="A8" s="120"/>
      <c r="B8" s="121"/>
      <c r="C8" s="122" t="s">
        <v>106</v>
      </c>
      <c r="D8" s="123" t="s">
        <v>107</v>
      </c>
      <c r="E8" s="124" t="s">
        <v>108</v>
      </c>
      <c r="F8" s="125"/>
      <c r="G8" s="126"/>
      <c r="H8" s="126"/>
      <c r="I8" s="126"/>
      <c r="J8" s="126"/>
      <c r="K8" s="126"/>
      <c r="L8" s="126"/>
      <c r="M8" s="127"/>
    </row>
    <row r="9" spans="1:13" s="128" customFormat="1" ht="25" customHeight="1" x14ac:dyDescent="0.45">
      <c r="A9" s="120"/>
      <c r="B9" s="121"/>
      <c r="C9" s="129" t="s">
        <v>109</v>
      </c>
      <c r="D9" s="130">
        <f>ROUNDUP((국어!$Q7-0.5-100)/20*국어!$H$4+국어!$H$3, 0)</f>
        <v>86</v>
      </c>
      <c r="E9" s="131">
        <f>ROUNDUP((수학!$Q7-0.5-100)/20*수학!$H$4+수학!$H$3, 0)</f>
        <v>88</v>
      </c>
      <c r="F9" s="125"/>
      <c r="G9" s="126"/>
      <c r="H9" s="126"/>
      <c r="I9" s="126"/>
      <c r="J9" s="126"/>
      <c r="K9" s="126"/>
      <c r="L9" s="126"/>
      <c r="M9" s="127"/>
    </row>
    <row r="10" spans="1:13" s="128" customFormat="1" ht="25" customHeight="1" x14ac:dyDescent="0.45">
      <c r="A10" s="120"/>
      <c r="B10" s="121"/>
      <c r="C10" s="132" t="s">
        <v>110</v>
      </c>
      <c r="D10" s="109">
        <f>ROUNDUP((국어!$Q8-0.5-100)/20*국어!$H$4+국어!$H$3, 0)</f>
        <v>78</v>
      </c>
      <c r="E10" s="133">
        <f>ROUNDUP((수학!$Q8-0.5-100)/20*수학!$H$4+수학!$H$3, 0)</f>
        <v>79</v>
      </c>
      <c r="F10" s="125"/>
      <c r="G10" s="126"/>
      <c r="H10" s="126"/>
      <c r="I10" s="126"/>
      <c r="J10" s="126"/>
      <c r="K10" s="126"/>
      <c r="L10" s="126"/>
      <c r="M10" s="127"/>
    </row>
    <row r="11" spans="1:13" s="128" customFormat="1" ht="25" customHeight="1" x14ac:dyDescent="0.45">
      <c r="A11" s="120"/>
      <c r="B11" s="121"/>
      <c r="C11" s="132" t="s">
        <v>111</v>
      </c>
      <c r="D11" s="109">
        <f>ROUNDUP((국어!$Q9-0.5-100)/20*국어!$H$4+국어!$H$3, 0)</f>
        <v>68</v>
      </c>
      <c r="E11" s="133">
        <f>ROUNDUP((수학!$Q9-0.5-100)/20*수학!$H$4+수학!$H$3, 0)</f>
        <v>66</v>
      </c>
      <c r="F11" s="125"/>
      <c r="G11" s="126"/>
      <c r="H11" s="126"/>
      <c r="I11" s="126"/>
      <c r="J11" s="126"/>
      <c r="K11" s="126"/>
      <c r="L11" s="126"/>
      <c r="M11" s="127"/>
    </row>
    <row r="12" spans="1:13" s="128" customFormat="1" ht="25" customHeight="1" x14ac:dyDescent="0.45">
      <c r="A12" s="120"/>
      <c r="B12" s="121"/>
      <c r="C12" s="132" t="s">
        <v>112</v>
      </c>
      <c r="D12" s="109">
        <f>ROUNDUP((국어!$Q10-0.5-100)/20*국어!$H$4+국어!$H$3, 0)</f>
        <v>57</v>
      </c>
      <c r="E12" s="133">
        <f>ROUNDUP((수학!$Q10-0.5-100)/20*수학!$H$4+수학!$H$3, 0)</f>
        <v>48</v>
      </c>
      <c r="F12" s="125"/>
      <c r="G12" s="125"/>
      <c r="H12" s="125"/>
      <c r="I12" s="125"/>
      <c r="J12" s="125"/>
      <c r="K12" s="125"/>
      <c r="L12" s="126"/>
      <c r="M12" s="127"/>
    </row>
    <row r="13" spans="1:13" s="128" customFormat="1" ht="25" customHeight="1" x14ac:dyDescent="0.45">
      <c r="A13" s="120"/>
      <c r="B13" s="121"/>
      <c r="C13" s="132" t="s">
        <v>113</v>
      </c>
      <c r="D13" s="109">
        <f>ROUNDUP((국어!$Q11-0.5-100)/20*국어!$H$4+국어!$H$3, 0)</f>
        <v>43</v>
      </c>
      <c r="E13" s="133">
        <f>ROUNDUP((수학!$Q11-0.5-100)/20*수학!$H$4+수학!$H$3, 0)</f>
        <v>28</v>
      </c>
      <c r="F13" s="125"/>
      <c r="G13" s="125"/>
      <c r="H13" s="125"/>
      <c r="I13" s="125"/>
      <c r="J13" s="125"/>
      <c r="K13" s="125"/>
      <c r="L13" s="126"/>
      <c r="M13" s="127"/>
    </row>
    <row r="14" spans="1:13" s="128" customFormat="1" ht="25" customHeight="1" x14ac:dyDescent="0.45">
      <c r="A14" s="120"/>
      <c r="B14" s="121"/>
      <c r="C14" s="132" t="s">
        <v>114</v>
      </c>
      <c r="D14" s="109">
        <f>ROUNDUP((국어!$Q12-0.5-100)/20*국어!$H$4+국어!$H$3, 0)</f>
        <v>29</v>
      </c>
      <c r="E14" s="133">
        <f>ROUNDUP((수학!$Q12-0.5-100)/20*수학!$H$4+수학!$H$3, 0)</f>
        <v>17</v>
      </c>
      <c r="F14" s="125"/>
      <c r="G14" s="125"/>
      <c r="H14" s="125"/>
      <c r="I14" s="125"/>
      <c r="J14" s="125"/>
      <c r="K14" s="125"/>
      <c r="L14" s="126"/>
      <c r="M14" s="127"/>
    </row>
    <row r="15" spans="1:13" s="128" customFormat="1" ht="25" customHeight="1" x14ac:dyDescent="0.45">
      <c r="A15" s="120"/>
      <c r="B15" s="121"/>
      <c r="C15" s="132" t="s">
        <v>115</v>
      </c>
      <c r="D15" s="109">
        <f>ROUNDUP((국어!$Q13-0.5-100)/20*국어!$H$4+국어!$H$3, 0)</f>
        <v>21</v>
      </c>
      <c r="E15" s="133">
        <f>ROUNDUP((수학!$Q13-0.5-100)/20*수학!$H$4+수학!$H$3, 0)</f>
        <v>13</v>
      </c>
      <c r="F15" s="125"/>
      <c r="G15" s="125"/>
      <c r="H15" s="125"/>
      <c r="I15" s="125"/>
      <c r="J15" s="125"/>
      <c r="K15" s="125"/>
      <c r="L15" s="126"/>
      <c r="M15" s="127"/>
    </row>
    <row r="16" spans="1:13" s="128" customFormat="1" ht="25" customHeight="1" thickBot="1" x14ac:dyDescent="0.5">
      <c r="A16" s="120"/>
      <c r="B16" s="121"/>
      <c r="C16" s="134" t="s">
        <v>116</v>
      </c>
      <c r="D16" s="135">
        <f>ROUNDUP((국어!$Q14-0.5-100)/20*국어!$H$4+국어!$H$3, 0)</f>
        <v>17</v>
      </c>
      <c r="E16" s="136">
        <f>ROUNDUP((수학!$Q14-0.5-100)/20*수학!$H$4+수학!$H$3, 0)</f>
        <v>9</v>
      </c>
      <c r="F16" s="125"/>
      <c r="G16" s="125"/>
      <c r="H16" s="125"/>
      <c r="I16" s="125"/>
      <c r="J16" s="125"/>
      <c r="K16" s="125"/>
      <c r="L16" s="126"/>
      <c r="M16" s="127"/>
    </row>
    <row r="17" spans="1:13" s="128" customFormat="1" ht="25" customHeight="1" x14ac:dyDescent="0.45">
      <c r="A17" s="120"/>
      <c r="B17" s="121"/>
      <c r="C17" s="125"/>
      <c r="D17" s="125"/>
      <c r="E17" s="125"/>
      <c r="F17" s="125"/>
      <c r="G17" s="125"/>
      <c r="H17" s="125"/>
      <c r="I17" s="125"/>
      <c r="J17" s="125"/>
      <c r="K17" s="125"/>
      <c r="L17" s="126"/>
      <c r="M17" s="127"/>
    </row>
    <row r="18" spans="1:13" s="128" customFormat="1" ht="25" customHeight="1" thickBot="1" x14ac:dyDescent="0.5">
      <c r="A18" s="120"/>
      <c r="B18" s="121"/>
      <c r="C18" s="125"/>
      <c r="D18" s="125"/>
      <c r="E18" s="125"/>
      <c r="F18" s="125"/>
      <c r="G18" s="125"/>
      <c r="H18" s="125"/>
      <c r="I18" s="125"/>
      <c r="J18" s="125"/>
      <c r="K18" s="125"/>
      <c r="L18" s="126"/>
      <c r="M18" s="127"/>
    </row>
    <row r="19" spans="1:13" s="128" customFormat="1" ht="25" customHeight="1" thickBot="1" x14ac:dyDescent="0.5">
      <c r="A19" s="120"/>
      <c r="B19" s="121"/>
      <c r="C19" s="137" t="s">
        <v>117</v>
      </c>
      <c r="D19" s="138" t="s">
        <v>118</v>
      </c>
      <c r="E19" s="139" t="s">
        <v>119</v>
      </c>
      <c r="F19" s="139" t="s">
        <v>120</v>
      </c>
      <c r="G19" s="139" t="s">
        <v>121</v>
      </c>
      <c r="H19" s="139" t="s">
        <v>122</v>
      </c>
      <c r="I19" s="139" t="s">
        <v>123</v>
      </c>
      <c r="J19" s="139" t="s">
        <v>124</v>
      </c>
      <c r="K19" s="139" t="s">
        <v>125</v>
      </c>
      <c r="L19" s="124" t="s">
        <v>126</v>
      </c>
      <c r="M19" s="127"/>
    </row>
    <row r="20" spans="1:13" s="128" customFormat="1" ht="25" customHeight="1" x14ac:dyDescent="0.45">
      <c r="A20" s="120"/>
      <c r="B20" s="121"/>
      <c r="C20" s="140" t="s">
        <v>109</v>
      </c>
      <c r="D20" s="109">
        <f>ROUNDUP(('생활과 윤리'!$Q7-0.5-50)/10*'생활과 윤리'!$H$4+'생활과 윤리'!$H$3, 0)</f>
        <v>47</v>
      </c>
      <c r="E20" s="74">
        <f>ROUNDUP(('윤리와 사상'!$Q7-0.5-50)/10*'윤리와 사상'!$H$4+'윤리와 사상'!$H$3, 0)</f>
        <v>47</v>
      </c>
      <c r="F20" s="74">
        <f>ROUNDUP((한국지리!$Q7-0.5-50)/10*한국지리!$H$4+한국지리!$H$3, 0)</f>
        <v>46</v>
      </c>
      <c r="G20" s="74">
        <f>ROUNDUP((세계지리!$Q7-0.5-50)/10*세계지리!$H$4+세계지리!$H$3, 0)</f>
        <v>48</v>
      </c>
      <c r="H20" s="74">
        <f>ROUNDUP((동아시아사!$Q7-0.5-50)/10*동아시아사!$H$4+동아시아사!$H$3, 0)</f>
        <v>47</v>
      </c>
      <c r="I20" s="74">
        <f>ROUNDUP((세계사!$Q7-0.5-50)/10*세계사!$H$4+세계사!$H$3, 0)</f>
        <v>47</v>
      </c>
      <c r="J20" s="74">
        <f>ROUNDUP((경제!$Q7-0.5-50)/10*경제!$H$4+경제!$H$3, 0)</f>
        <v>48</v>
      </c>
      <c r="K20" s="74">
        <f>ROUNDUP(('정치와 법'!$Q7-0.5-50)/10*'정치와 법'!$H$4+'정치와 법'!$H$3, 0)</f>
        <v>42</v>
      </c>
      <c r="L20" s="141">
        <f>ROUNDUP((사회∙문화!$Q7-0.5-50)/10*사회∙문화!$H$4+사회∙문화!$H$3, 0)</f>
        <v>45</v>
      </c>
      <c r="M20" s="127"/>
    </row>
    <row r="21" spans="1:13" s="128" customFormat="1" ht="25" customHeight="1" x14ac:dyDescent="0.45">
      <c r="A21" s="120"/>
      <c r="B21" s="121"/>
      <c r="C21" s="142" t="s">
        <v>110</v>
      </c>
      <c r="D21" s="73">
        <f>ROUNDUP(('생활과 윤리'!$Q8-0.5-50)/10*'생활과 윤리'!$H$4+'생활과 윤리'!$H$3, 0)</f>
        <v>45</v>
      </c>
      <c r="E21" s="143">
        <f>ROUNDUP(('윤리와 사상'!$Q8-0.5-50)/10*'윤리와 사상'!$H$4+'윤리와 사상'!$H$3, 0)</f>
        <v>41</v>
      </c>
      <c r="F21" s="143">
        <f>ROUNDUP((한국지리!$Q8-0.5-50)/10*한국지리!$H$4+한국지리!$H$3, 0)</f>
        <v>41</v>
      </c>
      <c r="G21" s="143">
        <f>ROUNDUP((세계지리!$Q8-0.5-50)/10*세계지리!$H$4+세계지리!$H$3, 0)</f>
        <v>44</v>
      </c>
      <c r="H21" s="143">
        <f>ROUNDUP((동아시아사!$Q8-0.5-50)/10*동아시아사!$H$4+동아시아사!$H$3, 0)</f>
        <v>42</v>
      </c>
      <c r="I21" s="143">
        <f>ROUNDUP((세계사!$Q8-0.5-50)/10*세계사!$H$4+세계사!$H$3, 0)</f>
        <v>40</v>
      </c>
      <c r="J21" s="143">
        <f>ROUNDUP((경제!$Q8-0.5-50)/10*경제!$H$4+경제!$H$3, 0)</f>
        <v>43</v>
      </c>
      <c r="K21" s="143">
        <f>ROUNDUP(('정치와 법'!$Q8-0.5-50)/10*'정치와 법'!$H$4+'정치와 법'!$H$3, 0)</f>
        <v>36</v>
      </c>
      <c r="L21" s="144">
        <f>ROUNDUP((사회∙문화!$Q8-0.5-50)/10*사회∙문화!$H$4+사회∙문화!$H$3, 0)</f>
        <v>40</v>
      </c>
      <c r="M21" s="127"/>
    </row>
    <row r="22" spans="1:13" s="128" customFormat="1" ht="25" customHeight="1" x14ac:dyDescent="0.45">
      <c r="A22" s="120"/>
      <c r="B22" s="121"/>
      <c r="C22" s="142" t="s">
        <v>111</v>
      </c>
      <c r="D22" s="73">
        <f>ROUNDUP(('생활과 윤리'!$Q9-0.5-50)/10*'생활과 윤리'!$H$4+'생활과 윤리'!$H$3, 0)</f>
        <v>41</v>
      </c>
      <c r="E22" s="143">
        <f>ROUNDUP(('윤리와 사상'!$Q9-0.5-50)/10*'윤리와 사상'!$H$4+'윤리와 사상'!$H$3, 0)</f>
        <v>35</v>
      </c>
      <c r="F22" s="143">
        <f>ROUNDUP((한국지리!$Q9-0.5-50)/10*한국지리!$H$4+한국지리!$H$3, 0)</f>
        <v>35</v>
      </c>
      <c r="G22" s="143">
        <f>ROUNDUP((세계지리!$Q9-0.5-50)/10*세계지리!$H$4+세계지리!$H$3, 0)</f>
        <v>39</v>
      </c>
      <c r="H22" s="143">
        <f>ROUNDUP((동아시아사!$Q9-0.5-50)/10*동아시아사!$H$4+동아시아사!$H$3, 0)</f>
        <v>34</v>
      </c>
      <c r="I22" s="143">
        <f>ROUNDUP((세계사!$Q9-0.5-50)/10*세계사!$H$4+세계사!$H$3, 0)</f>
        <v>31</v>
      </c>
      <c r="J22" s="143">
        <f>ROUNDUP((경제!$Q9-0.5-50)/10*경제!$H$4+경제!$H$3, 0)</f>
        <v>37</v>
      </c>
      <c r="K22" s="143">
        <f>ROUNDUP(('정치와 법'!$Q9-0.5-50)/10*'정치와 법'!$H$4+'정치와 법'!$H$3, 0)</f>
        <v>30</v>
      </c>
      <c r="L22" s="144">
        <f>ROUNDUP((사회∙문화!$Q9-0.5-50)/10*사회∙문화!$H$4+사회∙문화!$H$3, 0)</f>
        <v>35</v>
      </c>
      <c r="M22" s="127"/>
    </row>
    <row r="23" spans="1:13" s="128" customFormat="1" ht="25" customHeight="1" x14ac:dyDescent="0.45">
      <c r="A23" s="120"/>
      <c r="B23" s="121"/>
      <c r="C23" s="142" t="s">
        <v>112</v>
      </c>
      <c r="D23" s="73">
        <f>ROUNDUP(('생활과 윤리'!$Q10-0.5-50)/10*'생활과 윤리'!$H$4+'생활과 윤리'!$H$3, 0)</f>
        <v>36</v>
      </c>
      <c r="E23" s="143">
        <f>ROUNDUP(('윤리와 사상'!$Q10-0.5-50)/10*'윤리와 사상'!$H$4+'윤리와 사상'!$H$3, 0)</f>
        <v>29</v>
      </c>
      <c r="F23" s="143">
        <f>ROUNDUP((한국지리!$Q10-0.5-50)/10*한국지리!$H$4+한국지리!$H$3, 0)</f>
        <v>29</v>
      </c>
      <c r="G23" s="143">
        <f>ROUNDUP((세계지리!$Q10-0.5-50)/10*세계지리!$H$4+세계지리!$H$3, 0)</f>
        <v>33</v>
      </c>
      <c r="H23" s="143">
        <f>ROUNDUP((동아시아사!$Q10-0.5-50)/10*동아시아사!$H$4+동아시아사!$H$3, 0)</f>
        <v>27</v>
      </c>
      <c r="I23" s="143">
        <f>ROUNDUP((세계사!$Q10-0.5-50)/10*세계사!$H$4+세계사!$H$3, 0)</f>
        <v>22</v>
      </c>
      <c r="J23" s="143">
        <f>ROUNDUP((경제!$Q10-0.5-50)/10*경제!$H$4+경제!$H$3, 0)</f>
        <v>29</v>
      </c>
      <c r="K23" s="143">
        <f>ROUNDUP(('정치와 법'!$Q10-0.5-50)/10*'정치와 법'!$H$4+'정치와 법'!$H$3, 0)</f>
        <v>23</v>
      </c>
      <c r="L23" s="144">
        <f>ROUNDUP((사회∙문화!$Q10-0.5-50)/10*사회∙문화!$H$4+사회∙문화!$H$3, 0)</f>
        <v>28</v>
      </c>
      <c r="M23" s="127"/>
    </row>
    <row r="24" spans="1:13" s="128" customFormat="1" ht="25" customHeight="1" x14ac:dyDescent="0.45">
      <c r="A24" s="120"/>
      <c r="B24" s="121"/>
      <c r="C24" s="142" t="s">
        <v>113</v>
      </c>
      <c r="D24" s="73">
        <f>ROUNDUP(('생활과 윤리'!$Q11-0.5-50)/10*'생활과 윤리'!$H$4+'생활과 윤리'!$H$3, 0)</f>
        <v>27</v>
      </c>
      <c r="E24" s="143">
        <f>ROUNDUP(('윤리와 사상'!$Q11-0.5-50)/10*'윤리와 사상'!$H$4+'윤리와 사상'!$H$3, 0)</f>
        <v>22</v>
      </c>
      <c r="F24" s="143">
        <f>ROUNDUP((한국지리!$Q11-0.5-50)/10*한국지리!$H$4+한국지리!$H$3, 0)</f>
        <v>22</v>
      </c>
      <c r="G24" s="143">
        <f>ROUNDUP((세계지리!$Q11-0.5-50)/10*세계지리!$H$4+세계지리!$H$3, 0)</f>
        <v>25</v>
      </c>
      <c r="H24" s="143">
        <f>ROUNDUP((동아시아사!$Q11-0.5-50)/10*동아시아사!$H$4+동아시아사!$H$3, 0)</f>
        <v>19</v>
      </c>
      <c r="I24" s="143">
        <f>ROUNDUP((세계사!$Q11-0.5-50)/10*세계사!$H$4+세계사!$H$3, 0)</f>
        <v>14</v>
      </c>
      <c r="J24" s="143">
        <f>ROUNDUP((경제!$Q11-0.5-50)/10*경제!$H$4+경제!$H$3, 0)</f>
        <v>19</v>
      </c>
      <c r="K24" s="143">
        <f>ROUNDUP(('정치와 법'!$Q11-0.5-50)/10*'정치와 법'!$H$4+'정치와 법'!$H$3, 0)</f>
        <v>17</v>
      </c>
      <c r="L24" s="144">
        <f>ROUNDUP((사회∙문화!$Q11-0.5-50)/10*사회∙문화!$H$4+사회∙문화!$H$3, 0)</f>
        <v>20</v>
      </c>
      <c r="M24" s="127"/>
    </row>
    <row r="25" spans="1:13" s="128" customFormat="1" ht="25" customHeight="1" x14ac:dyDescent="0.45">
      <c r="A25" s="120"/>
      <c r="B25" s="121"/>
      <c r="C25" s="142" t="s">
        <v>114</v>
      </c>
      <c r="D25" s="73">
        <f>ROUNDUP(('생활과 윤리'!$Q12-0.5-50)/10*'생활과 윤리'!$H$4+'생활과 윤리'!$H$3, 0)</f>
        <v>16</v>
      </c>
      <c r="E25" s="143">
        <f>ROUNDUP(('윤리와 사상'!$Q12-0.5-50)/10*'윤리와 사상'!$H$4+'윤리와 사상'!$H$3, 0)</f>
        <v>13</v>
      </c>
      <c r="F25" s="143">
        <f>ROUNDUP((한국지리!$Q12-0.5-50)/10*한국지리!$H$4+한국지리!$H$3, 0)</f>
        <v>14</v>
      </c>
      <c r="G25" s="143">
        <f>ROUNDUP((세계지리!$Q12-0.5-50)/10*세계지리!$H$4+세계지리!$H$3, 0)</f>
        <v>15</v>
      </c>
      <c r="H25" s="143">
        <f>ROUNDUP((동아시아사!$Q12-0.5-50)/10*동아시아사!$H$4+동아시아사!$H$3, 0)</f>
        <v>13</v>
      </c>
      <c r="I25" s="143">
        <f>ROUNDUP((세계사!$Q12-0.5-50)/10*세계사!$H$4+세계사!$H$3, 0)</f>
        <v>12</v>
      </c>
      <c r="J25" s="143">
        <f>ROUNDUP((경제!$Q12-0.5-50)/10*경제!$H$4+경제!$H$3, 0)</f>
        <v>14</v>
      </c>
      <c r="K25" s="143">
        <f>ROUNDUP(('정치와 법'!$Q12-0.5-50)/10*'정치와 법'!$H$4+'정치와 법'!$H$3, 0)</f>
        <v>13</v>
      </c>
      <c r="L25" s="144">
        <f>ROUNDUP((사회∙문화!$Q12-0.5-50)/10*사회∙문화!$H$4+사회∙문화!$H$3, 0)</f>
        <v>12</v>
      </c>
      <c r="M25" s="127"/>
    </row>
    <row r="26" spans="1:13" s="128" customFormat="1" ht="25" customHeight="1" x14ac:dyDescent="0.45">
      <c r="A26" s="120"/>
      <c r="B26" s="121"/>
      <c r="C26" s="142" t="s">
        <v>115</v>
      </c>
      <c r="D26" s="73">
        <f>ROUNDUP(('생활과 윤리'!$Q13-0.5-50)/10*'생활과 윤리'!$H$4+'생활과 윤리'!$H$3, 0)</f>
        <v>11</v>
      </c>
      <c r="E26" s="143">
        <f>ROUNDUP(('윤리와 사상'!$Q13-0.5-50)/10*'윤리와 사상'!$H$4+'윤리와 사상'!$H$3, 0)</f>
        <v>10</v>
      </c>
      <c r="F26" s="143">
        <f>ROUNDUP((한국지리!$Q13-0.5-50)/10*한국지리!$H$4+한국지리!$H$3, 0)</f>
        <v>11</v>
      </c>
      <c r="G26" s="143">
        <f>ROUNDUP((세계지리!$Q13-0.5-50)/10*세계지리!$H$4+세계지리!$H$3, 0)</f>
        <v>12</v>
      </c>
      <c r="H26" s="143">
        <f>ROUNDUP((동아시아사!$Q13-0.5-50)/10*동아시아사!$H$4+동아시아사!$H$3, 0)</f>
        <v>11</v>
      </c>
      <c r="I26" s="143">
        <f>ROUNDUP((세계사!$Q13-0.5-50)/10*세계사!$H$4+세계사!$H$3, 0)</f>
        <v>10</v>
      </c>
      <c r="J26" s="143">
        <f>ROUNDUP((경제!$Q13-0.5-50)/10*경제!$H$4+경제!$H$3, 0)</f>
        <v>10</v>
      </c>
      <c r="K26" s="143">
        <f>ROUNDUP(('정치와 법'!$Q13-0.5-50)/10*'정치와 법'!$H$4+'정치와 법'!$H$3, 0)</f>
        <v>10</v>
      </c>
      <c r="L26" s="144">
        <f>ROUNDUP((사회∙문화!$Q13-0.5-50)/10*사회∙문화!$H$4+사회∙문화!$H$3, 0)</f>
        <v>8</v>
      </c>
      <c r="M26" s="127"/>
    </row>
    <row r="27" spans="1:13" s="128" customFormat="1" ht="25" customHeight="1" thickBot="1" x14ac:dyDescent="0.5">
      <c r="A27" s="120"/>
      <c r="B27" s="121"/>
      <c r="C27" s="145" t="s">
        <v>116</v>
      </c>
      <c r="D27" s="146">
        <f>ROUNDUP(('생활과 윤리'!$Q14-0.5-50)/10*'생활과 윤리'!$H$4+'생활과 윤리'!$H$3, 0)</f>
        <v>7</v>
      </c>
      <c r="E27" s="147">
        <f>ROUNDUP(('윤리와 사상'!$Q14-0.5-50)/10*'윤리와 사상'!$H$4+'윤리와 사상'!$H$3, 0)</f>
        <v>7</v>
      </c>
      <c r="F27" s="147">
        <f>ROUNDUP((한국지리!$Q14-0.5-50)/10*한국지리!$H$4+한국지리!$H$3, 0)</f>
        <v>6</v>
      </c>
      <c r="G27" s="147">
        <f>ROUNDUP((세계지리!$Q14-0.5-50)/10*세계지리!$H$4+세계지리!$H$3, 0)</f>
        <v>7</v>
      </c>
      <c r="H27" s="147">
        <f>ROUNDUP((동아시아사!$Q14-0.5-50)/10*동아시아사!$H$4+동아시아사!$H$3, 0)</f>
        <v>7</v>
      </c>
      <c r="I27" s="147">
        <f>ROUNDUP((세계사!$Q14-0.5-50)/10*세계사!$H$4+세계사!$H$3, 0)</f>
        <v>7</v>
      </c>
      <c r="J27" s="147">
        <f>ROUNDUP((경제!$Q14-0.5-50)/10*경제!$H$4+경제!$H$3, 0)</f>
        <v>7</v>
      </c>
      <c r="K27" s="147">
        <f>ROUNDUP(('정치와 법'!$Q14-0.5-50)/10*'정치와 법'!$H$4+'정치와 법'!$H$3, 0)</f>
        <v>7</v>
      </c>
      <c r="L27" s="148">
        <f>ROUNDUP((사회∙문화!$Q14-0.5-50)/10*사회∙문화!$H$4+사회∙문화!$H$3, 0)</f>
        <v>6</v>
      </c>
      <c r="M27" s="127"/>
    </row>
    <row r="28" spans="1:13" s="128" customFormat="1" ht="25" customHeight="1" x14ac:dyDescent="0.45">
      <c r="A28" s="120"/>
      <c r="B28" s="121"/>
      <c r="C28" s="125"/>
      <c r="D28" s="125"/>
      <c r="E28" s="125"/>
      <c r="F28" s="125"/>
      <c r="G28" s="125"/>
      <c r="H28" s="125"/>
      <c r="I28" s="125"/>
      <c r="J28" s="125"/>
      <c r="K28" s="125"/>
      <c r="L28" s="126"/>
      <c r="M28" s="127"/>
    </row>
    <row r="29" spans="1:13" s="128" customFormat="1" ht="25" customHeight="1" thickBot="1" x14ac:dyDescent="0.5">
      <c r="A29" s="120"/>
      <c r="B29" s="121"/>
      <c r="C29" s="125"/>
      <c r="D29" s="125"/>
      <c r="E29" s="125"/>
      <c r="F29" s="125"/>
      <c r="G29" s="125"/>
      <c r="H29" s="125"/>
      <c r="I29" s="125"/>
      <c r="J29" s="125"/>
      <c r="K29" s="125"/>
      <c r="L29" s="126"/>
      <c r="M29" s="127"/>
    </row>
    <row r="30" spans="1:13" s="128" customFormat="1" ht="25" customHeight="1" thickBot="1" x14ac:dyDescent="0.5">
      <c r="A30" s="120"/>
      <c r="B30" s="121"/>
      <c r="C30" s="122" t="s">
        <v>127</v>
      </c>
      <c r="D30" s="123" t="s">
        <v>128</v>
      </c>
      <c r="E30" s="139" t="s">
        <v>129</v>
      </c>
      <c r="F30" s="123" t="s">
        <v>130</v>
      </c>
      <c r="G30" s="124" t="s">
        <v>131</v>
      </c>
      <c r="H30" s="125"/>
      <c r="I30" s="125"/>
      <c r="J30" s="126"/>
      <c r="K30" s="126"/>
      <c r="L30" s="126"/>
      <c r="M30" s="127"/>
    </row>
    <row r="31" spans="1:13" s="128" customFormat="1" ht="25" customHeight="1" x14ac:dyDescent="0.45">
      <c r="A31" s="120"/>
      <c r="B31" s="121"/>
      <c r="C31" s="129" t="s">
        <v>109</v>
      </c>
      <c r="D31" s="149">
        <f>ROUNDUP((물리학Ⅰ!$Q7-0.5-50)/10*물리학Ⅰ!$H$4+물리학Ⅰ!$H$3, 0)</f>
        <v>45</v>
      </c>
      <c r="E31" s="149">
        <f>ROUNDUP((화학Ⅰ!$Q7-0.5-50)/10*화학Ⅰ!$H$4+화학Ⅰ!$H$3, 0)</f>
        <v>47</v>
      </c>
      <c r="F31" s="149">
        <f>ROUNDUP((생명과학Ⅰ!$Q7-0.5-50)/10*생명과학Ⅰ!$H$4+생명과학Ⅰ!$H$3, 0)</f>
        <v>46</v>
      </c>
      <c r="G31" s="131">
        <f>ROUNDUP((지구과학Ⅰ!$Q7-0.5-50)/10*지구과학Ⅰ!$H$4+지구과학Ⅰ!$H$3, 0)</f>
        <v>44</v>
      </c>
      <c r="H31" s="125"/>
      <c r="I31" s="125"/>
      <c r="J31" s="126"/>
      <c r="K31" s="126"/>
      <c r="L31" s="126"/>
      <c r="M31" s="127"/>
    </row>
    <row r="32" spans="1:13" s="128" customFormat="1" ht="25" customHeight="1" x14ac:dyDescent="0.45">
      <c r="A32" s="120"/>
      <c r="B32" s="121"/>
      <c r="C32" s="132" t="s">
        <v>110</v>
      </c>
      <c r="D32" s="150">
        <f>ROUNDUP((물리학Ⅰ!$Q8-0.5-50)/10*물리학Ⅰ!$H$4+물리학Ⅰ!$H$3, 0)</f>
        <v>36</v>
      </c>
      <c r="E32" s="150">
        <f>ROUNDUP((화학Ⅰ!$Q8-0.5-50)/10*화학Ⅰ!$H$4+화학Ⅰ!$H$3, 0)</f>
        <v>44</v>
      </c>
      <c r="F32" s="150">
        <f>ROUNDUP((생명과학Ⅰ!$Q8-0.5-50)/10*생명과학Ⅰ!$H$4+생명과학Ⅰ!$H$3, 0)</f>
        <v>39</v>
      </c>
      <c r="G32" s="133">
        <f>ROUNDUP((지구과학Ⅰ!$Q8-0.5-50)/10*지구과학Ⅰ!$H$4+지구과학Ⅰ!$H$3, 0)</f>
        <v>39</v>
      </c>
      <c r="H32" s="125"/>
      <c r="I32" s="125"/>
      <c r="J32" s="126"/>
      <c r="K32" s="126"/>
      <c r="L32" s="126"/>
      <c r="M32" s="127"/>
    </row>
    <row r="33" spans="1:13" s="128" customFormat="1" ht="25" customHeight="1" x14ac:dyDescent="0.45">
      <c r="A33" s="120"/>
      <c r="B33" s="121"/>
      <c r="C33" s="132" t="s">
        <v>111</v>
      </c>
      <c r="D33" s="150">
        <f>ROUNDUP((물리학Ⅰ!$Q9-0.5-50)/10*물리학Ⅰ!$H$4+물리학Ⅰ!$H$3, 0)</f>
        <v>27</v>
      </c>
      <c r="E33" s="150">
        <f>ROUNDUP((화학Ⅰ!$Q9-0.5-50)/10*화학Ⅰ!$H$4+화학Ⅰ!$H$3, 0)</f>
        <v>37</v>
      </c>
      <c r="F33" s="150">
        <f>ROUNDUP((생명과학Ⅰ!$Q9-0.5-50)/10*생명과학Ⅰ!$H$4+생명과학Ⅰ!$H$3, 0)</f>
        <v>32</v>
      </c>
      <c r="G33" s="133">
        <f>ROUNDUP((지구과학Ⅰ!$Q9-0.5-50)/10*지구과학Ⅰ!$H$4+지구과학Ⅰ!$H$3, 0)</f>
        <v>33</v>
      </c>
      <c r="H33" s="125"/>
      <c r="I33" s="125"/>
      <c r="J33" s="126"/>
      <c r="K33" s="126"/>
      <c r="L33" s="126"/>
      <c r="M33" s="127"/>
    </row>
    <row r="34" spans="1:13" s="128" customFormat="1" ht="25" customHeight="1" x14ac:dyDescent="0.45">
      <c r="A34" s="120"/>
      <c r="B34" s="121"/>
      <c r="C34" s="132" t="s">
        <v>112</v>
      </c>
      <c r="D34" s="150">
        <f>ROUNDUP((물리학Ⅰ!$Q10-0.5-50)/10*물리학Ⅰ!$H$4+물리학Ⅰ!$H$3, 0)</f>
        <v>21</v>
      </c>
      <c r="E34" s="150">
        <f>ROUNDUP((화학Ⅰ!$Q10-0.5-50)/10*화학Ⅰ!$H$4+화학Ⅰ!$H$3, 0)</f>
        <v>29</v>
      </c>
      <c r="F34" s="150">
        <f>ROUNDUP((생명과학Ⅰ!$Q10-0.5-50)/10*생명과학Ⅰ!$H$4+생명과학Ⅰ!$H$3, 0)</f>
        <v>25</v>
      </c>
      <c r="G34" s="133">
        <f>ROUNDUP((지구과학Ⅰ!$Q10-0.5-50)/10*지구과학Ⅰ!$H$4+지구과학Ⅰ!$H$3, 0)</f>
        <v>27</v>
      </c>
      <c r="H34" s="125"/>
      <c r="I34" s="125"/>
      <c r="J34" s="126"/>
      <c r="K34" s="126"/>
      <c r="L34" s="126"/>
      <c r="M34" s="127"/>
    </row>
    <row r="35" spans="1:13" s="128" customFormat="1" ht="25" customHeight="1" x14ac:dyDescent="0.45">
      <c r="A35" s="120"/>
      <c r="B35" s="121"/>
      <c r="C35" s="132" t="s">
        <v>113</v>
      </c>
      <c r="D35" s="150">
        <f>ROUNDUP((물리학Ⅰ!$Q11-0.5-50)/10*물리학Ⅰ!$H$4+물리학Ⅰ!$H$3, 0)</f>
        <v>16</v>
      </c>
      <c r="E35" s="150">
        <f>ROUNDUP((화학Ⅰ!$Q11-0.5-50)/10*화학Ⅰ!$H$4+화학Ⅰ!$H$3, 0)</f>
        <v>22</v>
      </c>
      <c r="F35" s="150">
        <f>ROUNDUP((생명과학Ⅰ!$Q11-0.5-50)/10*생명과학Ⅰ!$H$4+생명과학Ⅰ!$H$3, 0)</f>
        <v>19</v>
      </c>
      <c r="G35" s="133">
        <f>ROUNDUP((지구과학Ⅰ!$Q11-0.5-50)/10*지구과학Ⅰ!$H$4+지구과학Ⅰ!$H$3, 0)</f>
        <v>20</v>
      </c>
      <c r="H35" s="125"/>
      <c r="I35" s="125"/>
      <c r="J35" s="126"/>
      <c r="K35" s="126"/>
      <c r="L35" s="126"/>
      <c r="M35" s="127"/>
    </row>
    <row r="36" spans="1:13" s="128" customFormat="1" ht="25" customHeight="1" x14ac:dyDescent="0.45">
      <c r="A36" s="120"/>
      <c r="B36" s="121"/>
      <c r="C36" s="132" t="s">
        <v>114</v>
      </c>
      <c r="D36" s="150">
        <f>ROUNDUP((물리학Ⅰ!$Q12-0.5-50)/10*물리학Ⅰ!$H$4+물리학Ⅰ!$H$3, 0)</f>
        <v>13</v>
      </c>
      <c r="E36" s="150">
        <f>ROUNDUP((화학Ⅰ!$Q12-0.5-50)/10*화학Ⅰ!$H$4+화학Ⅰ!$H$3, 0)</f>
        <v>17</v>
      </c>
      <c r="F36" s="150">
        <f>ROUNDUP((생명과학Ⅰ!$Q12-0.5-50)/10*생명과학Ⅰ!$H$4+생명과학Ⅰ!$H$3, 0)</f>
        <v>14</v>
      </c>
      <c r="G36" s="133">
        <f>ROUNDUP((지구과학Ⅰ!$Q12-0.5-50)/10*지구과학Ⅰ!$H$4+지구과학Ⅰ!$H$3, 0)</f>
        <v>14</v>
      </c>
      <c r="H36" s="125"/>
      <c r="I36" s="125"/>
      <c r="J36" s="126"/>
      <c r="K36" s="126"/>
      <c r="L36" s="126"/>
      <c r="M36" s="127"/>
    </row>
    <row r="37" spans="1:13" s="128" customFormat="1" ht="25" customHeight="1" x14ac:dyDescent="0.45">
      <c r="A37" s="120"/>
      <c r="B37" s="121"/>
      <c r="C37" s="132" t="s">
        <v>115</v>
      </c>
      <c r="D37" s="150">
        <f>ROUNDUP((물리학Ⅰ!$Q13-0.5-50)/10*물리학Ⅰ!$H$4+물리학Ⅰ!$H$3, 0)</f>
        <v>10</v>
      </c>
      <c r="E37" s="150">
        <f>ROUNDUP((화학Ⅰ!$Q13-0.5-50)/10*화학Ⅰ!$H$4+화학Ⅰ!$H$3, 0)</f>
        <v>13</v>
      </c>
      <c r="F37" s="150">
        <f>ROUNDUP((생명과학Ⅰ!$Q13-0.5-50)/10*생명과학Ⅰ!$H$4+생명과학Ⅰ!$H$3, 0)</f>
        <v>11</v>
      </c>
      <c r="G37" s="133">
        <f>ROUNDUP((지구과학Ⅰ!$Q13-0.5-50)/10*지구과학Ⅰ!$H$4+지구과학Ⅰ!$H$3, 0)</f>
        <v>10</v>
      </c>
      <c r="H37" s="125"/>
      <c r="I37" s="125"/>
      <c r="J37" s="126"/>
      <c r="K37" s="126"/>
      <c r="L37" s="126"/>
      <c r="M37" s="127"/>
    </row>
    <row r="38" spans="1:13" s="128" customFormat="1" ht="25" customHeight="1" thickBot="1" x14ac:dyDescent="0.5">
      <c r="A38" s="120"/>
      <c r="B38" s="121"/>
      <c r="C38" s="134" t="s">
        <v>116</v>
      </c>
      <c r="D38" s="151">
        <f>ROUNDUP((물리학Ⅰ!$Q14-0.5-50)/10*물리학Ⅰ!$H$4+물리학Ⅰ!$H$3, 0)</f>
        <v>7</v>
      </c>
      <c r="E38" s="151">
        <f>ROUNDUP((화학Ⅰ!$Q14-0.5-50)/10*화학Ⅰ!$H$4+화학Ⅰ!$H$3, 0)</f>
        <v>10</v>
      </c>
      <c r="F38" s="151">
        <f>ROUNDUP((생명과학Ⅰ!$Q14-0.5-50)/10*생명과학Ⅰ!$H$4+생명과학Ⅰ!$H$3, 0)</f>
        <v>7</v>
      </c>
      <c r="G38" s="136">
        <f>ROUNDUP((지구과학Ⅰ!$Q14-0.5-50)/10*지구과학Ⅰ!$H$4+지구과학Ⅰ!$H$3, 0)</f>
        <v>8</v>
      </c>
      <c r="H38" s="125"/>
      <c r="I38" s="125"/>
      <c r="J38" s="126"/>
      <c r="K38" s="126"/>
      <c r="L38" s="126"/>
      <c r="M38" s="127"/>
    </row>
    <row r="39" spans="1:13" s="26" customFormat="1" ht="6" customHeight="1" x14ac:dyDescent="0.45">
      <c r="A39" s="25"/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3"/>
      <c r="M39" s="44"/>
    </row>
    <row r="40" spans="1:13" x14ac:dyDescent="0.45">
      <c r="B40" s="5"/>
      <c r="C40" s="17"/>
      <c r="D40" s="3"/>
      <c r="E40" s="3"/>
      <c r="F40" s="3"/>
      <c r="G40" s="3"/>
      <c r="H40" s="3"/>
      <c r="I40" s="3"/>
      <c r="J40" s="3"/>
      <c r="K40" s="3"/>
      <c r="L40" s="5"/>
      <c r="M40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2023-06-22T05:35:23Z</dcterms:modified>
</cp:coreProperties>
</file>