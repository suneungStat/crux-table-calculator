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hongik-my.sharepoint.com/personal/edc9566_mail_hongik_ac_kr/Documents/바탕 화면/모의고사&amp;수능 관련/2024/고3/영한탐(외)/"/>
    </mc:Choice>
  </mc:AlternateContent>
  <xr:revisionPtr revIDLastSave="953" documentId="13_ncr:1_{333F9EFB-6AF6-441E-9853-BDE3A3C579BF}" xr6:coauthVersionLast="47" xr6:coauthVersionMax="47" xr10:uidLastSave="{F6C0C0B1-5426-42DB-A627-D64D61DA5ABD}"/>
  <bookViews>
    <workbookView xWindow="-110" yWindow="-110" windowWidth="19420" windowHeight="11620" firstSheet="4" activeTab="12" xr2:uid="{AB9EE284-95EA-49B1-8133-EE4E7651E7F1}"/>
  </bookViews>
  <sheets>
    <sheet name="통계 및 응시자 수 입력 기능" sheetId="67" r:id="rId1"/>
    <sheet name="인원 입력 기능 (사과탐)" sheetId="64" r:id="rId2"/>
    <sheet name="표준점수 등급컷 입력기능" sheetId="66" r:id="rId3"/>
    <sheet name="영어" sheetId="6" r:id="rId4"/>
    <sheet name="한국사" sheetId="25" r:id="rId5"/>
    <sheet name="생활과 윤리" sheetId="3" r:id="rId6"/>
    <sheet name="윤리와 사상" sheetId="26" r:id="rId7"/>
    <sheet name="한국지리" sheetId="27" r:id="rId8"/>
    <sheet name="세계지리" sheetId="28" r:id="rId9"/>
    <sheet name="동아시아사" sheetId="29" r:id="rId10"/>
    <sheet name="세계사" sheetId="30" r:id="rId11"/>
    <sheet name="경제" sheetId="31" r:id="rId12"/>
    <sheet name="정치와 법" sheetId="32" r:id="rId13"/>
    <sheet name="사회∙문화" sheetId="33" r:id="rId14"/>
    <sheet name="물리학Ⅰ" sheetId="34" r:id="rId15"/>
    <sheet name="화학Ⅰ" sheetId="35" r:id="rId16"/>
    <sheet name="생명과학Ⅰ" sheetId="36" r:id="rId17"/>
    <sheet name="지구과학Ⅰ" sheetId="37" r:id="rId18"/>
    <sheet name="물리학Ⅱ" sheetId="38" r:id="rId19"/>
    <sheet name="화학Ⅱ" sheetId="39" r:id="rId20"/>
    <sheet name="생명과학Ⅱ" sheetId="40" r:id="rId21"/>
    <sheet name="지구과학Ⅱ" sheetId="41" r:id="rId22"/>
    <sheet name="등급컷 모아보기" sheetId="69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39" l="1"/>
  <c r="E11" i="39" s="1"/>
  <c r="G11" i="39"/>
  <c r="E12" i="39"/>
  <c r="D10" i="41"/>
  <c r="E10" i="41"/>
  <c r="G10" i="41"/>
  <c r="H10" i="41"/>
  <c r="I10" i="41"/>
  <c r="F10" i="41" s="1"/>
  <c r="J10" i="41"/>
  <c r="D10" i="40"/>
  <c r="D10" i="39"/>
  <c r="E10" i="39"/>
  <c r="G10" i="39"/>
  <c r="I10" i="39" s="1"/>
  <c r="H10" i="39"/>
  <c r="D10" i="38"/>
  <c r="E10" i="38"/>
  <c r="F10" i="38"/>
  <c r="G10" i="38"/>
  <c r="H10" i="38"/>
  <c r="I10" i="38"/>
  <c r="J10" i="38" s="1"/>
  <c r="D10" i="37"/>
  <c r="E10" i="37"/>
  <c r="G10" i="37"/>
  <c r="D10" i="36"/>
  <c r="E10" i="36"/>
  <c r="G10" i="36"/>
  <c r="H10" i="36"/>
  <c r="I10" i="36"/>
  <c r="J10" i="36"/>
  <c r="D10" i="35"/>
  <c r="E10" i="35"/>
  <c r="G10" i="35"/>
  <c r="H10" i="35"/>
  <c r="I10" i="35"/>
  <c r="D10" i="34"/>
  <c r="E10" i="34"/>
  <c r="G10" i="34"/>
  <c r="H10" i="34" s="1"/>
  <c r="I10" i="34"/>
  <c r="F10" i="34" s="1"/>
  <c r="J10" i="34"/>
  <c r="D10" i="33"/>
  <c r="E10" i="33"/>
  <c r="F10" i="33"/>
  <c r="G10" i="33"/>
  <c r="H10" i="33"/>
  <c r="I10" i="33"/>
  <c r="J10" i="33"/>
  <c r="D10" i="32"/>
  <c r="D10" i="31"/>
  <c r="E10" i="31"/>
  <c r="G10" i="31"/>
  <c r="I10" i="31" s="1"/>
  <c r="H10" i="31"/>
  <c r="D10" i="30"/>
  <c r="E10" i="30"/>
  <c r="F10" i="30"/>
  <c r="G10" i="30"/>
  <c r="H10" i="30"/>
  <c r="I10" i="30"/>
  <c r="J10" i="30" s="1"/>
  <c r="D10" i="29"/>
  <c r="E10" i="29"/>
  <c r="G10" i="29"/>
  <c r="D10" i="28"/>
  <c r="E10" i="28"/>
  <c r="G10" i="28"/>
  <c r="I10" i="28" s="1"/>
  <c r="H10" i="28"/>
  <c r="D10" i="27"/>
  <c r="E10" i="27"/>
  <c r="G10" i="27"/>
  <c r="H10" i="27"/>
  <c r="I10" i="27"/>
  <c r="D10" i="26"/>
  <c r="E10" i="26"/>
  <c r="F10" i="26"/>
  <c r="G10" i="26"/>
  <c r="H10" i="26"/>
  <c r="I10" i="26"/>
  <c r="J10" i="26"/>
  <c r="D9" i="3"/>
  <c r="E9" i="3"/>
  <c r="F9" i="3"/>
  <c r="G9" i="3"/>
  <c r="H9" i="3"/>
  <c r="I9" i="3"/>
  <c r="J9" i="3"/>
  <c r="D9" i="41"/>
  <c r="E9" i="41"/>
  <c r="F9" i="41"/>
  <c r="G9" i="41"/>
  <c r="H9" i="41"/>
  <c r="I9" i="41"/>
  <c r="J9" i="41"/>
  <c r="D9" i="40"/>
  <c r="E9" i="40"/>
  <c r="F9" i="40"/>
  <c r="G9" i="40"/>
  <c r="H9" i="40"/>
  <c r="I9" i="40"/>
  <c r="J9" i="40"/>
  <c r="D9" i="39"/>
  <c r="E9" i="39"/>
  <c r="F9" i="39"/>
  <c r="G9" i="39"/>
  <c r="H9" i="39"/>
  <c r="I9" i="39"/>
  <c r="J9" i="39"/>
  <c r="D9" i="38"/>
  <c r="E9" i="38"/>
  <c r="F9" i="38"/>
  <c r="G9" i="38"/>
  <c r="H9" i="38"/>
  <c r="I9" i="38"/>
  <c r="J9" i="38"/>
  <c r="D9" i="37"/>
  <c r="E9" i="37"/>
  <c r="F9" i="37"/>
  <c r="G9" i="37"/>
  <c r="H9" i="37"/>
  <c r="I9" i="37"/>
  <c r="J9" i="37"/>
  <c r="D9" i="36"/>
  <c r="E9" i="36"/>
  <c r="G9" i="36"/>
  <c r="H9" i="36"/>
  <c r="I9" i="36"/>
  <c r="D9" i="35"/>
  <c r="E9" i="35"/>
  <c r="F9" i="35"/>
  <c r="G9" i="35"/>
  <c r="H9" i="35"/>
  <c r="I9" i="35"/>
  <c r="J9" i="35"/>
  <c r="D9" i="34"/>
  <c r="E9" i="34"/>
  <c r="F9" i="34"/>
  <c r="G9" i="34"/>
  <c r="H9" i="34"/>
  <c r="I9" i="34"/>
  <c r="J9" i="34"/>
  <c r="D9" i="33"/>
  <c r="E9" i="33"/>
  <c r="F9" i="33"/>
  <c r="G9" i="33"/>
  <c r="H9" i="33"/>
  <c r="I9" i="33"/>
  <c r="J9" i="33"/>
  <c r="D9" i="32"/>
  <c r="E9" i="32"/>
  <c r="G9" i="32"/>
  <c r="H9" i="32"/>
  <c r="D9" i="31"/>
  <c r="E9" i="31"/>
  <c r="F9" i="31"/>
  <c r="G9" i="31"/>
  <c r="H9" i="31"/>
  <c r="I9" i="31"/>
  <c r="J9" i="31"/>
  <c r="D9" i="30"/>
  <c r="E9" i="30"/>
  <c r="F9" i="30"/>
  <c r="G9" i="30"/>
  <c r="H9" i="30"/>
  <c r="I9" i="30"/>
  <c r="J9" i="30"/>
  <c r="D9" i="29"/>
  <c r="E9" i="29"/>
  <c r="G9" i="29"/>
  <c r="H9" i="29"/>
  <c r="I9" i="29"/>
  <c r="J9" i="29" s="1"/>
  <c r="D9" i="28"/>
  <c r="E9" i="28"/>
  <c r="G9" i="28"/>
  <c r="H9" i="28"/>
  <c r="I9" i="28"/>
  <c r="D9" i="27"/>
  <c r="E9" i="27"/>
  <c r="F9" i="27"/>
  <c r="G9" i="27"/>
  <c r="H9" i="27"/>
  <c r="I9" i="27"/>
  <c r="J9" i="27"/>
  <c r="D9" i="26"/>
  <c r="E9" i="26"/>
  <c r="F9" i="26"/>
  <c r="G9" i="26"/>
  <c r="H9" i="26"/>
  <c r="I9" i="26"/>
  <c r="J9" i="26"/>
  <c r="D12" i="3"/>
  <c r="E12" i="3"/>
  <c r="G12" i="3"/>
  <c r="H12" i="3"/>
  <c r="D13" i="3"/>
  <c r="E13" i="3"/>
  <c r="G13" i="3"/>
  <c r="H13" i="3"/>
  <c r="D14" i="3"/>
  <c r="E14" i="3"/>
  <c r="G14" i="3"/>
  <c r="H14" i="3"/>
  <c r="D15" i="3"/>
  <c r="E15" i="3"/>
  <c r="G15" i="3"/>
  <c r="H15" i="3"/>
  <c r="D16" i="3"/>
  <c r="E16" i="3"/>
  <c r="G16" i="3"/>
  <c r="H16" i="3"/>
  <c r="D17" i="3"/>
  <c r="E17" i="3"/>
  <c r="G17" i="3"/>
  <c r="H17" i="3"/>
  <c r="D12" i="41"/>
  <c r="E12" i="41"/>
  <c r="G12" i="41"/>
  <c r="H12" i="41"/>
  <c r="D13" i="41"/>
  <c r="E13" i="41"/>
  <c r="G13" i="41"/>
  <c r="H13" i="41"/>
  <c r="D14" i="41"/>
  <c r="E14" i="41"/>
  <c r="G14" i="41"/>
  <c r="H14" i="41"/>
  <c r="D15" i="41"/>
  <c r="E15" i="41"/>
  <c r="G15" i="41"/>
  <c r="H15" i="41"/>
  <c r="D16" i="41"/>
  <c r="E16" i="41"/>
  <c r="G16" i="41"/>
  <c r="H16" i="41"/>
  <c r="D17" i="41"/>
  <c r="E17" i="41"/>
  <c r="G17" i="41"/>
  <c r="H17" i="41"/>
  <c r="D12" i="40"/>
  <c r="E12" i="40"/>
  <c r="G12" i="40"/>
  <c r="H12" i="40"/>
  <c r="D13" i="40"/>
  <c r="E13" i="40"/>
  <c r="G13" i="40"/>
  <c r="H13" i="40"/>
  <c r="D14" i="40"/>
  <c r="E14" i="40"/>
  <c r="G14" i="40"/>
  <c r="H14" i="40"/>
  <c r="D15" i="40"/>
  <c r="E15" i="40"/>
  <c r="G15" i="40"/>
  <c r="H15" i="40"/>
  <c r="D16" i="40"/>
  <c r="E16" i="40"/>
  <c r="G16" i="40"/>
  <c r="H16" i="40"/>
  <c r="D17" i="40"/>
  <c r="E17" i="40"/>
  <c r="G17" i="40"/>
  <c r="H17" i="40"/>
  <c r="D14" i="39"/>
  <c r="E14" i="39"/>
  <c r="G14" i="39"/>
  <c r="H14" i="39"/>
  <c r="D15" i="39"/>
  <c r="E15" i="39"/>
  <c r="G15" i="39"/>
  <c r="H15" i="39"/>
  <c r="D16" i="39"/>
  <c r="E16" i="39"/>
  <c r="G16" i="39"/>
  <c r="H16" i="39"/>
  <c r="D17" i="39"/>
  <c r="E17" i="39"/>
  <c r="G17" i="39"/>
  <c r="H17" i="39"/>
  <c r="D12" i="38"/>
  <c r="E12" i="38"/>
  <c r="G12" i="38"/>
  <c r="H12" i="38"/>
  <c r="D13" i="38"/>
  <c r="E13" i="38"/>
  <c r="G13" i="38"/>
  <c r="H13" i="38"/>
  <c r="D14" i="38"/>
  <c r="E14" i="38"/>
  <c r="G14" i="38"/>
  <c r="H14" i="38"/>
  <c r="D15" i="38"/>
  <c r="E15" i="38"/>
  <c r="G15" i="38"/>
  <c r="H15" i="38"/>
  <c r="D16" i="38"/>
  <c r="E16" i="38"/>
  <c r="G16" i="38"/>
  <c r="H16" i="38"/>
  <c r="D17" i="38"/>
  <c r="E17" i="38"/>
  <c r="G17" i="38"/>
  <c r="H17" i="38"/>
  <c r="D12" i="37"/>
  <c r="E12" i="37"/>
  <c r="G12" i="37"/>
  <c r="H12" i="37"/>
  <c r="D14" i="37"/>
  <c r="E14" i="37"/>
  <c r="G14" i="37"/>
  <c r="H14" i="37"/>
  <c r="D15" i="37"/>
  <c r="E15" i="37"/>
  <c r="G15" i="37"/>
  <c r="H15" i="37"/>
  <c r="D16" i="37"/>
  <c r="E16" i="37"/>
  <c r="G16" i="37"/>
  <c r="H16" i="37"/>
  <c r="D17" i="37"/>
  <c r="E17" i="37"/>
  <c r="G17" i="37"/>
  <c r="H17" i="37"/>
  <c r="D12" i="36"/>
  <c r="E12" i="36"/>
  <c r="G12" i="36"/>
  <c r="H12" i="36"/>
  <c r="D13" i="36"/>
  <c r="E13" i="36"/>
  <c r="G13" i="36"/>
  <c r="H13" i="36"/>
  <c r="D14" i="36"/>
  <c r="E14" i="36"/>
  <c r="G14" i="36"/>
  <c r="H14" i="36"/>
  <c r="D15" i="36"/>
  <c r="E15" i="36"/>
  <c r="G15" i="36"/>
  <c r="H15" i="36"/>
  <c r="D16" i="36"/>
  <c r="E16" i="36"/>
  <c r="G16" i="36"/>
  <c r="H16" i="36"/>
  <c r="D17" i="36"/>
  <c r="E17" i="36"/>
  <c r="G17" i="36"/>
  <c r="H17" i="36"/>
  <c r="D13" i="35"/>
  <c r="E13" i="35"/>
  <c r="G13" i="35"/>
  <c r="H13" i="35"/>
  <c r="D14" i="35"/>
  <c r="E14" i="35"/>
  <c r="G14" i="35"/>
  <c r="H14" i="35"/>
  <c r="D15" i="35"/>
  <c r="E15" i="35"/>
  <c r="G15" i="35"/>
  <c r="H15" i="35"/>
  <c r="D16" i="35"/>
  <c r="E16" i="35"/>
  <c r="G16" i="35"/>
  <c r="H16" i="35"/>
  <c r="D12" i="34"/>
  <c r="E12" i="34"/>
  <c r="G12" i="34"/>
  <c r="H12" i="34"/>
  <c r="D13" i="34"/>
  <c r="E13" i="34"/>
  <c r="G13" i="34"/>
  <c r="H13" i="34"/>
  <c r="D14" i="34"/>
  <c r="E14" i="34"/>
  <c r="G14" i="34"/>
  <c r="H14" i="34"/>
  <c r="D15" i="34"/>
  <c r="E15" i="34"/>
  <c r="G15" i="34"/>
  <c r="H15" i="34"/>
  <c r="D16" i="34"/>
  <c r="E16" i="34"/>
  <c r="G16" i="34"/>
  <c r="H16" i="34"/>
  <c r="D17" i="34"/>
  <c r="E17" i="34"/>
  <c r="G17" i="34"/>
  <c r="H17" i="34"/>
  <c r="D12" i="33"/>
  <c r="E12" i="33"/>
  <c r="F12" i="33"/>
  <c r="G12" i="33"/>
  <c r="H12" i="33"/>
  <c r="I12" i="33"/>
  <c r="J12" i="33"/>
  <c r="D13" i="33"/>
  <c r="E13" i="33"/>
  <c r="F13" i="33"/>
  <c r="G13" i="33"/>
  <c r="H13" i="33"/>
  <c r="I13" i="33"/>
  <c r="J13" i="33"/>
  <c r="D14" i="33"/>
  <c r="E14" i="33"/>
  <c r="F14" i="33"/>
  <c r="G14" i="33"/>
  <c r="H14" i="33"/>
  <c r="I14" i="33"/>
  <c r="J14" i="33"/>
  <c r="D15" i="33"/>
  <c r="E15" i="33"/>
  <c r="G15" i="33"/>
  <c r="H15" i="33"/>
  <c r="I15" i="33"/>
  <c r="D17" i="33"/>
  <c r="E17" i="33"/>
  <c r="G17" i="33"/>
  <c r="H17" i="33"/>
  <c r="I17" i="33"/>
  <c r="J17" i="33"/>
  <c r="D12" i="32"/>
  <c r="E12" i="32"/>
  <c r="G12" i="32"/>
  <c r="H12" i="32"/>
  <c r="D14" i="32"/>
  <c r="E14" i="32"/>
  <c r="G14" i="32"/>
  <c r="H14" i="32" s="1"/>
  <c r="D15" i="32"/>
  <c r="E15" i="32"/>
  <c r="G15" i="32"/>
  <c r="H15" i="32"/>
  <c r="D16" i="32"/>
  <c r="E16" i="32"/>
  <c r="G16" i="32"/>
  <c r="H16" i="32"/>
  <c r="D17" i="32"/>
  <c r="E17" i="32"/>
  <c r="G17" i="32"/>
  <c r="H17" i="32"/>
  <c r="D12" i="31"/>
  <c r="E12" i="31"/>
  <c r="G12" i="31"/>
  <c r="H12" i="31"/>
  <c r="D13" i="31"/>
  <c r="E13" i="31"/>
  <c r="G13" i="31"/>
  <c r="H13" i="31"/>
  <c r="D14" i="31"/>
  <c r="E14" i="31"/>
  <c r="G14" i="31"/>
  <c r="H14" i="31"/>
  <c r="D15" i="31"/>
  <c r="E15" i="31"/>
  <c r="G15" i="31"/>
  <c r="H15" i="31"/>
  <c r="D16" i="31"/>
  <c r="E16" i="31"/>
  <c r="G16" i="31"/>
  <c r="H16" i="31"/>
  <c r="D17" i="31"/>
  <c r="E17" i="31"/>
  <c r="G17" i="31"/>
  <c r="H17" i="31"/>
  <c r="D13" i="30"/>
  <c r="E13" i="30"/>
  <c r="G13" i="30"/>
  <c r="H13" i="30" s="1"/>
  <c r="D14" i="30"/>
  <c r="E14" i="30"/>
  <c r="G14" i="30"/>
  <c r="H14" i="30"/>
  <c r="D15" i="30"/>
  <c r="E15" i="30"/>
  <c r="G15" i="30"/>
  <c r="H15" i="30"/>
  <c r="D17" i="30"/>
  <c r="E17" i="30"/>
  <c r="G17" i="30"/>
  <c r="H17" i="30"/>
  <c r="D13" i="29"/>
  <c r="E13" i="29"/>
  <c r="G13" i="29"/>
  <c r="H13" i="29"/>
  <c r="D14" i="29"/>
  <c r="D15" i="29"/>
  <c r="E15" i="29"/>
  <c r="D17" i="29"/>
  <c r="E17" i="29"/>
  <c r="G17" i="29"/>
  <c r="H17" i="29"/>
  <c r="D12" i="28"/>
  <c r="E12" i="28"/>
  <c r="G12" i="28"/>
  <c r="I14" i="28" s="1"/>
  <c r="D13" i="28"/>
  <c r="E13" i="28"/>
  <c r="G13" i="28"/>
  <c r="H13" i="28"/>
  <c r="D14" i="28"/>
  <c r="E14" i="28"/>
  <c r="G14" i="28"/>
  <c r="H14" i="28" s="1"/>
  <c r="D15" i="28"/>
  <c r="E15" i="28"/>
  <c r="G15" i="28"/>
  <c r="H15" i="28"/>
  <c r="D16" i="28"/>
  <c r="E16" i="28"/>
  <c r="G16" i="28"/>
  <c r="H16" i="28"/>
  <c r="D17" i="28"/>
  <c r="D12" i="27"/>
  <c r="E12" i="27"/>
  <c r="G12" i="27"/>
  <c r="H12" i="27"/>
  <c r="D14" i="27"/>
  <c r="E14" i="27"/>
  <c r="G14" i="27"/>
  <c r="H14" i="27"/>
  <c r="D15" i="27"/>
  <c r="E15" i="27"/>
  <c r="G15" i="27"/>
  <c r="H15" i="27" s="1"/>
  <c r="D16" i="27"/>
  <c r="E16" i="27"/>
  <c r="G16" i="27"/>
  <c r="H16" i="27"/>
  <c r="D17" i="27"/>
  <c r="E17" i="27"/>
  <c r="G17" i="27"/>
  <c r="H17" i="27" s="1"/>
  <c r="D12" i="26"/>
  <c r="E12" i="26"/>
  <c r="F12" i="26"/>
  <c r="G12" i="26"/>
  <c r="H12" i="26"/>
  <c r="I12" i="26"/>
  <c r="J12" i="26"/>
  <c r="D13" i="26"/>
  <c r="E13" i="26"/>
  <c r="G13" i="26"/>
  <c r="H13" i="26"/>
  <c r="I13" i="26"/>
  <c r="D14" i="26"/>
  <c r="D15" i="26"/>
  <c r="E15" i="26"/>
  <c r="D16" i="26"/>
  <c r="E16" i="26"/>
  <c r="G16" i="26"/>
  <c r="H16" i="26"/>
  <c r="D17" i="26"/>
  <c r="E17" i="26"/>
  <c r="G17" i="26"/>
  <c r="H17" i="26" s="1"/>
  <c r="D19" i="3"/>
  <c r="E19" i="3"/>
  <c r="G19" i="3"/>
  <c r="H19" i="3"/>
  <c r="D20" i="3"/>
  <c r="E20" i="3"/>
  <c r="G20" i="3"/>
  <c r="H20" i="3"/>
  <c r="D21" i="3"/>
  <c r="E21" i="3"/>
  <c r="G21" i="3"/>
  <c r="H21" i="3"/>
  <c r="D18" i="41"/>
  <c r="E18" i="41"/>
  <c r="G18" i="41"/>
  <c r="H18" i="41"/>
  <c r="D20" i="41"/>
  <c r="E20" i="41"/>
  <c r="G20" i="41"/>
  <c r="H20" i="41"/>
  <c r="D21" i="41"/>
  <c r="E21" i="41"/>
  <c r="G21" i="41"/>
  <c r="H21" i="41"/>
  <c r="D18" i="40"/>
  <c r="E18" i="40"/>
  <c r="G18" i="40"/>
  <c r="H18" i="40"/>
  <c r="D19" i="40"/>
  <c r="E19" i="40"/>
  <c r="G19" i="40"/>
  <c r="H19" i="40"/>
  <c r="D20" i="40"/>
  <c r="E20" i="40"/>
  <c r="G20" i="40"/>
  <c r="H20" i="40"/>
  <c r="D21" i="40"/>
  <c r="E21" i="40"/>
  <c r="G21" i="40"/>
  <c r="H21" i="40"/>
  <c r="D18" i="39"/>
  <c r="E18" i="39"/>
  <c r="G18" i="39"/>
  <c r="H18" i="39"/>
  <c r="D19" i="39"/>
  <c r="E19" i="39"/>
  <c r="G19" i="39"/>
  <c r="H19" i="39"/>
  <c r="D20" i="39"/>
  <c r="E20" i="39"/>
  <c r="G20" i="39"/>
  <c r="H20" i="39"/>
  <c r="D21" i="39"/>
  <c r="E21" i="39"/>
  <c r="G21" i="39"/>
  <c r="H21" i="39"/>
  <c r="D18" i="38"/>
  <c r="E18" i="38"/>
  <c r="G18" i="38"/>
  <c r="H18" i="38"/>
  <c r="D19" i="38"/>
  <c r="E19" i="38"/>
  <c r="G19" i="38"/>
  <c r="H19" i="38"/>
  <c r="D20" i="38"/>
  <c r="E20" i="38"/>
  <c r="G20" i="38"/>
  <c r="H20" i="38"/>
  <c r="D21" i="38"/>
  <c r="E21" i="38"/>
  <c r="G21" i="38"/>
  <c r="H21" i="38"/>
  <c r="D18" i="37"/>
  <c r="E18" i="37"/>
  <c r="G18" i="37"/>
  <c r="H18" i="37"/>
  <c r="D20" i="37"/>
  <c r="E20" i="37"/>
  <c r="G20" i="37"/>
  <c r="H20" i="37"/>
  <c r="D21" i="37"/>
  <c r="E21" i="37"/>
  <c r="G21" i="37"/>
  <c r="H21" i="37"/>
  <c r="D18" i="36"/>
  <c r="E18" i="36"/>
  <c r="G18" i="36"/>
  <c r="H18" i="36"/>
  <c r="D19" i="36"/>
  <c r="E19" i="36"/>
  <c r="G19" i="36"/>
  <c r="H19" i="36"/>
  <c r="D20" i="36"/>
  <c r="E20" i="36"/>
  <c r="G20" i="36"/>
  <c r="H20" i="36"/>
  <c r="D21" i="36"/>
  <c r="E21" i="36"/>
  <c r="G21" i="36"/>
  <c r="H21" i="36"/>
  <c r="D18" i="35"/>
  <c r="E18" i="35"/>
  <c r="G18" i="35"/>
  <c r="H18" i="35"/>
  <c r="D19" i="35"/>
  <c r="E19" i="35"/>
  <c r="G19" i="35"/>
  <c r="H19" i="35"/>
  <c r="D20" i="35"/>
  <c r="E20" i="35"/>
  <c r="G20" i="35"/>
  <c r="H20" i="35"/>
  <c r="D21" i="35"/>
  <c r="E21" i="35" s="1"/>
  <c r="G21" i="35"/>
  <c r="H21" i="35" s="1"/>
  <c r="D18" i="34"/>
  <c r="E18" i="34"/>
  <c r="G18" i="34"/>
  <c r="H18" i="34"/>
  <c r="D19" i="34"/>
  <c r="E19" i="34"/>
  <c r="G19" i="34"/>
  <c r="H19" i="34"/>
  <c r="D20" i="34"/>
  <c r="E20" i="34" s="1"/>
  <c r="D21" i="34"/>
  <c r="E21" i="34"/>
  <c r="G21" i="34"/>
  <c r="H21" i="34" s="1"/>
  <c r="D18" i="33"/>
  <c r="E18" i="33"/>
  <c r="G18" i="33"/>
  <c r="H18" i="33"/>
  <c r="I18" i="33"/>
  <c r="F18" i="33" s="1"/>
  <c r="D19" i="33"/>
  <c r="E19" i="33"/>
  <c r="G19" i="33"/>
  <c r="I19" i="33" s="1"/>
  <c r="H19" i="33"/>
  <c r="D20" i="33"/>
  <c r="E20" i="33"/>
  <c r="G20" i="33"/>
  <c r="H20" i="33"/>
  <c r="I20" i="33"/>
  <c r="J20" i="33" s="1"/>
  <c r="D18" i="32"/>
  <c r="E18" i="32" s="1"/>
  <c r="G18" i="32"/>
  <c r="H18" i="32" s="1"/>
  <c r="D20" i="32"/>
  <c r="E20" i="32"/>
  <c r="D21" i="32"/>
  <c r="E21" i="32"/>
  <c r="G21" i="32"/>
  <c r="H21" i="32" s="1"/>
  <c r="D18" i="31"/>
  <c r="E18" i="31" s="1"/>
  <c r="D19" i="31"/>
  <c r="E19" i="31"/>
  <c r="G19" i="31"/>
  <c r="H19" i="31" s="1"/>
  <c r="D20" i="31"/>
  <c r="E20" i="31"/>
  <c r="G20" i="31"/>
  <c r="H20" i="31" s="1"/>
  <c r="D21" i="31"/>
  <c r="E21" i="31"/>
  <c r="G21" i="31"/>
  <c r="H21" i="31"/>
  <c r="D18" i="30"/>
  <c r="E18" i="30"/>
  <c r="G18" i="30"/>
  <c r="H18" i="30" s="1"/>
  <c r="D19" i="30"/>
  <c r="E19" i="30"/>
  <c r="G19" i="30"/>
  <c r="H19" i="30"/>
  <c r="D21" i="30"/>
  <c r="G21" i="30" s="1"/>
  <c r="H21" i="30" s="1"/>
  <c r="E21" i="30"/>
  <c r="D18" i="29"/>
  <c r="E18" i="29"/>
  <c r="G18" i="29"/>
  <c r="H18" i="29" s="1"/>
  <c r="D19" i="29"/>
  <c r="E19" i="29"/>
  <c r="G19" i="29"/>
  <c r="H19" i="29"/>
  <c r="D20" i="29"/>
  <c r="E20" i="29"/>
  <c r="G20" i="29"/>
  <c r="H20" i="29"/>
  <c r="D18" i="28"/>
  <c r="E18" i="28"/>
  <c r="G18" i="28"/>
  <c r="H18" i="28"/>
  <c r="D20" i="28"/>
  <c r="E20" i="28"/>
  <c r="G20" i="28"/>
  <c r="H20" i="28"/>
  <c r="D21" i="28"/>
  <c r="E21" i="28" s="1"/>
  <c r="D18" i="27"/>
  <c r="D20" i="27"/>
  <c r="G20" i="27" s="1"/>
  <c r="H20" i="27" s="1"/>
  <c r="E20" i="27"/>
  <c r="D21" i="27"/>
  <c r="E21" i="27"/>
  <c r="G21" i="27"/>
  <c r="H21" i="27" s="1"/>
  <c r="D18" i="26"/>
  <c r="E18" i="26" s="1"/>
  <c r="D20" i="26"/>
  <c r="D21" i="26"/>
  <c r="G21" i="26" s="1"/>
  <c r="H21" i="26" s="1"/>
  <c r="E21" i="26"/>
  <c r="D23" i="3"/>
  <c r="E23" i="3"/>
  <c r="G23" i="3"/>
  <c r="H23" i="3" s="1"/>
  <c r="D24" i="3"/>
  <c r="E24" i="3" s="1"/>
  <c r="G24" i="3"/>
  <c r="H24" i="3"/>
  <c r="D25" i="3"/>
  <c r="E25" i="3"/>
  <c r="G25" i="3"/>
  <c r="H25" i="3" s="1"/>
  <c r="D26" i="3"/>
  <c r="E26" i="3"/>
  <c r="G26" i="3"/>
  <c r="H26" i="3" s="1"/>
  <c r="D28" i="3"/>
  <c r="E28" i="3"/>
  <c r="G28" i="3"/>
  <c r="H28" i="3"/>
  <c r="D29" i="3"/>
  <c r="E29" i="3"/>
  <c r="G29" i="3"/>
  <c r="H29" i="3"/>
  <c r="D30" i="3"/>
  <c r="E30" i="3"/>
  <c r="G30" i="3"/>
  <c r="H30" i="3"/>
  <c r="D31" i="3"/>
  <c r="E31" i="3"/>
  <c r="G31" i="3"/>
  <c r="H31" i="3"/>
  <c r="D32" i="3"/>
  <c r="E32" i="3"/>
  <c r="G32" i="3"/>
  <c r="H32" i="3"/>
  <c r="D33" i="3"/>
  <c r="E33" i="3"/>
  <c r="G33" i="3"/>
  <c r="H33" i="3"/>
  <c r="D34" i="3"/>
  <c r="E34" i="3"/>
  <c r="G34" i="3"/>
  <c r="H34" i="3" s="1"/>
  <c r="D36" i="3"/>
  <c r="E36" i="3"/>
  <c r="G36" i="3"/>
  <c r="H36" i="3"/>
  <c r="D37" i="3"/>
  <c r="E37" i="3"/>
  <c r="G37" i="3"/>
  <c r="H37" i="3" s="1"/>
  <c r="D38" i="3"/>
  <c r="E38" i="3"/>
  <c r="G38" i="3"/>
  <c r="H38" i="3" s="1"/>
  <c r="D39" i="3"/>
  <c r="E39" i="3"/>
  <c r="G39" i="3"/>
  <c r="H39" i="3"/>
  <c r="D40" i="3"/>
  <c r="E40" i="3"/>
  <c r="G40" i="3"/>
  <c r="H40" i="3" s="1"/>
  <c r="D41" i="3"/>
  <c r="E41" i="3"/>
  <c r="G41" i="3"/>
  <c r="H41" i="3"/>
  <c r="D42" i="3"/>
  <c r="E42" i="3" s="1"/>
  <c r="D43" i="3"/>
  <c r="E43" i="3" s="1"/>
  <c r="D45" i="3"/>
  <c r="E45" i="3"/>
  <c r="G45" i="3"/>
  <c r="H45" i="3"/>
  <c r="D46" i="3"/>
  <c r="D47" i="3"/>
  <c r="E47" i="3"/>
  <c r="D48" i="3"/>
  <c r="E48" i="3"/>
  <c r="G48" i="3"/>
  <c r="H48" i="3"/>
  <c r="D49" i="3"/>
  <c r="E49" i="3"/>
  <c r="G49" i="3"/>
  <c r="H49" i="3" s="1"/>
  <c r="D50" i="3"/>
  <c r="E50" i="3"/>
  <c r="G50" i="3"/>
  <c r="H50" i="3"/>
  <c r="D51" i="3"/>
  <c r="E51" i="3" s="1"/>
  <c r="G51" i="3"/>
  <c r="H51" i="3" s="1"/>
  <c r="D53" i="3"/>
  <c r="E53" i="3" s="1"/>
  <c r="D54" i="3"/>
  <c r="E54" i="3"/>
  <c r="D55" i="3"/>
  <c r="D23" i="41"/>
  <c r="E23" i="41"/>
  <c r="G23" i="41"/>
  <c r="H23" i="41" s="1"/>
  <c r="D24" i="41"/>
  <c r="E24" i="41"/>
  <c r="G24" i="41"/>
  <c r="H24" i="41"/>
  <c r="D25" i="41"/>
  <c r="E25" i="41"/>
  <c r="G25" i="41"/>
  <c r="H25" i="41" s="1"/>
  <c r="D26" i="41"/>
  <c r="E26" i="41"/>
  <c r="G26" i="41"/>
  <c r="H26" i="41"/>
  <c r="D27" i="41"/>
  <c r="E27" i="41" s="1"/>
  <c r="G27" i="41"/>
  <c r="H27" i="41" s="1"/>
  <c r="D28" i="41"/>
  <c r="E28" i="41" s="1"/>
  <c r="D29" i="41"/>
  <c r="E29" i="41"/>
  <c r="D30" i="41"/>
  <c r="D31" i="41"/>
  <c r="E31" i="41"/>
  <c r="D32" i="41"/>
  <c r="E32" i="41"/>
  <c r="G32" i="41"/>
  <c r="H32" i="41"/>
  <c r="D33" i="41"/>
  <c r="E33" i="41"/>
  <c r="G33" i="41"/>
  <c r="H33" i="41" s="1"/>
  <c r="D34" i="41"/>
  <c r="E34" i="41"/>
  <c r="G34" i="41"/>
  <c r="H34" i="41"/>
  <c r="D35" i="41"/>
  <c r="E35" i="41" s="1"/>
  <c r="G35" i="41"/>
  <c r="H35" i="41" s="1"/>
  <c r="D36" i="41"/>
  <c r="D37" i="41"/>
  <c r="E37" i="41"/>
  <c r="D38" i="41"/>
  <c r="D39" i="41"/>
  <c r="E39" i="41"/>
  <c r="D40" i="41"/>
  <c r="E40" i="41"/>
  <c r="G40" i="41"/>
  <c r="H40" i="41"/>
  <c r="D41" i="41"/>
  <c r="E41" i="41"/>
  <c r="G41" i="41"/>
  <c r="H41" i="41" s="1"/>
  <c r="D42" i="41"/>
  <c r="E42" i="41"/>
  <c r="G42" i="41"/>
  <c r="H42" i="41"/>
  <c r="D43" i="41"/>
  <c r="E43" i="41" s="1"/>
  <c r="G43" i="41"/>
  <c r="H43" i="41" s="1"/>
  <c r="D44" i="41"/>
  <c r="D45" i="41"/>
  <c r="E45" i="41"/>
  <c r="D46" i="41"/>
  <c r="D47" i="41"/>
  <c r="E47" i="41"/>
  <c r="G47" i="41"/>
  <c r="H47" i="41" s="1"/>
  <c r="D48" i="41"/>
  <c r="E48" i="41"/>
  <c r="G48" i="41"/>
  <c r="H48" i="41"/>
  <c r="D49" i="41"/>
  <c r="E49" i="41"/>
  <c r="G49" i="41"/>
  <c r="H49" i="41" s="1"/>
  <c r="D50" i="41"/>
  <c r="E50" i="41"/>
  <c r="G50" i="41"/>
  <c r="H50" i="41"/>
  <c r="D51" i="41"/>
  <c r="E51" i="41" s="1"/>
  <c r="G51" i="41"/>
  <c r="H51" i="41" s="1"/>
  <c r="D53" i="41"/>
  <c r="G53" i="41" s="1"/>
  <c r="H53" i="41" s="1"/>
  <c r="D54" i="41"/>
  <c r="E54" i="41"/>
  <c r="D55" i="41"/>
  <c r="D23" i="40"/>
  <c r="G24" i="40" s="1"/>
  <c r="E23" i="40"/>
  <c r="G23" i="40"/>
  <c r="H23" i="40"/>
  <c r="D24" i="40"/>
  <c r="E24" i="40"/>
  <c r="H24" i="40"/>
  <c r="D25" i="40"/>
  <c r="E25" i="40"/>
  <c r="G25" i="40"/>
  <c r="H25" i="40" s="1"/>
  <c r="D26" i="40"/>
  <c r="E26" i="40"/>
  <c r="G26" i="40"/>
  <c r="H26" i="40"/>
  <c r="D27" i="40"/>
  <c r="E27" i="40" s="1"/>
  <c r="G27" i="40"/>
  <c r="H27" i="40" s="1"/>
  <c r="D28" i="40"/>
  <c r="D29" i="40"/>
  <c r="E29" i="40"/>
  <c r="D30" i="40"/>
  <c r="E30" i="40" s="1"/>
  <c r="D31" i="40"/>
  <c r="G32" i="40" s="1"/>
  <c r="E31" i="40"/>
  <c r="D32" i="40"/>
  <c r="E32" i="40"/>
  <c r="H32" i="40"/>
  <c r="D33" i="40"/>
  <c r="E33" i="40"/>
  <c r="G33" i="40"/>
  <c r="H33" i="40" s="1"/>
  <c r="D34" i="40"/>
  <c r="E34" i="40"/>
  <c r="G34" i="40"/>
  <c r="H34" i="40" s="1"/>
  <c r="D35" i="40"/>
  <c r="E35" i="40" s="1"/>
  <c r="G35" i="40"/>
  <c r="H35" i="40"/>
  <c r="D36" i="40"/>
  <c r="G37" i="40" s="1"/>
  <c r="H37" i="40" s="1"/>
  <c r="D37" i="40"/>
  <c r="E37" i="40"/>
  <c r="D38" i="40"/>
  <c r="E38" i="40" s="1"/>
  <c r="G38" i="40"/>
  <c r="H38" i="40" s="1"/>
  <c r="D39" i="40"/>
  <c r="G40" i="40" s="1"/>
  <c r="D40" i="40"/>
  <c r="E40" i="40"/>
  <c r="H40" i="40"/>
  <c r="D41" i="40"/>
  <c r="E41" i="40"/>
  <c r="G41" i="40"/>
  <c r="H41" i="40" s="1"/>
  <c r="D42" i="40"/>
  <c r="E42" i="40"/>
  <c r="G42" i="40"/>
  <c r="H42" i="40" s="1"/>
  <c r="D43" i="40"/>
  <c r="E43" i="40" s="1"/>
  <c r="G43" i="40"/>
  <c r="H43" i="40" s="1"/>
  <c r="D44" i="40"/>
  <c r="G45" i="40" s="1"/>
  <c r="H45" i="40" s="1"/>
  <c r="G44" i="40"/>
  <c r="H44" i="40" s="1"/>
  <c r="D45" i="40"/>
  <c r="E45" i="40"/>
  <c r="D46" i="40"/>
  <c r="E46" i="40" s="1"/>
  <c r="D47" i="40"/>
  <c r="G48" i="40" s="1"/>
  <c r="E47" i="40"/>
  <c r="D48" i="40"/>
  <c r="E48" i="40"/>
  <c r="H48" i="40"/>
  <c r="D49" i="40"/>
  <c r="E49" i="40"/>
  <c r="G49" i="40"/>
  <c r="H49" i="40" s="1"/>
  <c r="D50" i="40"/>
  <c r="E50" i="40"/>
  <c r="G50" i="40"/>
  <c r="H50" i="40" s="1"/>
  <c r="D51" i="40"/>
  <c r="E51" i="40" s="1"/>
  <c r="G51" i="40"/>
  <c r="H51" i="40"/>
  <c r="D52" i="40"/>
  <c r="G53" i="40" s="1"/>
  <c r="H53" i="40" s="1"/>
  <c r="D53" i="40"/>
  <c r="E53" i="40"/>
  <c r="D54" i="40"/>
  <c r="E54" i="40" s="1"/>
  <c r="G54" i="40"/>
  <c r="H54" i="40" s="1"/>
  <c r="D55" i="40"/>
  <c r="E55" i="40" s="1"/>
  <c r="D23" i="39"/>
  <c r="E23" i="39"/>
  <c r="G23" i="39"/>
  <c r="H23" i="39"/>
  <c r="D25" i="39"/>
  <c r="E25" i="39"/>
  <c r="G25" i="39"/>
  <c r="H25" i="39" s="1"/>
  <c r="D26" i="39"/>
  <c r="E26" i="39"/>
  <c r="G26" i="39"/>
  <c r="H26" i="39"/>
  <c r="D27" i="39"/>
  <c r="E27" i="39" s="1"/>
  <c r="D28" i="39"/>
  <c r="D29" i="39"/>
  <c r="E29" i="39"/>
  <c r="D30" i="39"/>
  <c r="E30" i="39" s="1"/>
  <c r="G30" i="39"/>
  <c r="H30" i="39" s="1"/>
  <c r="D31" i="39"/>
  <c r="G32" i="39" s="1"/>
  <c r="E31" i="39"/>
  <c r="G31" i="39"/>
  <c r="H31" i="39" s="1"/>
  <c r="D32" i="39"/>
  <c r="E32" i="39"/>
  <c r="H32" i="39"/>
  <c r="D33" i="39"/>
  <c r="D34" i="39"/>
  <c r="D35" i="39"/>
  <c r="E35" i="39"/>
  <c r="D37" i="39"/>
  <c r="E37" i="39" s="1"/>
  <c r="D38" i="39"/>
  <c r="E38" i="39"/>
  <c r="D39" i="39"/>
  <c r="D40" i="39"/>
  <c r="G41" i="39" s="1"/>
  <c r="H41" i="39" s="1"/>
  <c r="D41" i="39"/>
  <c r="E41" i="39"/>
  <c r="D42" i="39"/>
  <c r="E42" i="39" s="1"/>
  <c r="D43" i="39"/>
  <c r="D44" i="39"/>
  <c r="E44" i="39"/>
  <c r="D45" i="39"/>
  <c r="G45" i="39" s="1"/>
  <c r="H45" i="39" s="1"/>
  <c r="D46" i="39"/>
  <c r="E46" i="39"/>
  <c r="G46" i="39"/>
  <c r="H46" i="39" s="1"/>
  <c r="D48" i="39"/>
  <c r="E48" i="39"/>
  <c r="G48" i="39"/>
  <c r="H48" i="39"/>
  <c r="D49" i="39"/>
  <c r="E49" i="39"/>
  <c r="G49" i="39"/>
  <c r="H49" i="39" s="1"/>
  <c r="D50" i="39"/>
  <c r="E50" i="39" s="1"/>
  <c r="D51" i="39"/>
  <c r="E51" i="39"/>
  <c r="D52" i="39"/>
  <c r="D53" i="39"/>
  <c r="E53" i="39"/>
  <c r="D54" i="39"/>
  <c r="D55" i="39"/>
  <c r="E55" i="39"/>
  <c r="D23" i="38"/>
  <c r="E23" i="38"/>
  <c r="G23" i="38"/>
  <c r="H23" i="38"/>
  <c r="D24" i="38"/>
  <c r="E24" i="38"/>
  <c r="G24" i="38"/>
  <c r="H24" i="38" s="1"/>
  <c r="D25" i="38"/>
  <c r="E25" i="38" s="1"/>
  <c r="D26" i="38"/>
  <c r="E26" i="38"/>
  <c r="D27" i="38"/>
  <c r="D28" i="38"/>
  <c r="E28" i="38"/>
  <c r="G28" i="38"/>
  <c r="H28" i="38" s="1"/>
  <c r="D29" i="38"/>
  <c r="D30" i="38"/>
  <c r="E30" i="38"/>
  <c r="D31" i="38"/>
  <c r="E31" i="38"/>
  <c r="G31" i="38"/>
  <c r="H31" i="38"/>
  <c r="D32" i="38"/>
  <c r="E32" i="38"/>
  <c r="G32" i="38"/>
  <c r="H32" i="38" s="1"/>
  <c r="D33" i="38"/>
  <c r="D34" i="38"/>
  <c r="E34" i="38"/>
  <c r="D35" i="38"/>
  <c r="D36" i="38"/>
  <c r="E36" i="38"/>
  <c r="D37" i="38"/>
  <c r="G37" i="38" s="1"/>
  <c r="H37" i="38"/>
  <c r="D38" i="38"/>
  <c r="E38" i="38"/>
  <c r="D39" i="38"/>
  <c r="E39" i="38"/>
  <c r="G39" i="38"/>
  <c r="H39" i="38"/>
  <c r="D40" i="38"/>
  <c r="E40" i="38"/>
  <c r="G40" i="38"/>
  <c r="H40" i="38"/>
  <c r="D41" i="38"/>
  <c r="D42" i="38"/>
  <c r="E42" i="38"/>
  <c r="D43" i="38"/>
  <c r="G44" i="38" s="1"/>
  <c r="H44" i="38" s="1"/>
  <c r="D44" i="38"/>
  <c r="E44" i="38"/>
  <c r="D45" i="38"/>
  <c r="D46" i="38"/>
  <c r="E46" i="38"/>
  <c r="D47" i="38"/>
  <c r="E47" i="38"/>
  <c r="G47" i="38"/>
  <c r="H47" i="38"/>
  <c r="D48" i="38"/>
  <c r="E48" i="38"/>
  <c r="G48" i="38"/>
  <c r="H48" i="38" s="1"/>
  <c r="D49" i="38"/>
  <c r="G49" i="38" s="1"/>
  <c r="H49" i="38" s="1"/>
  <c r="D50" i="38"/>
  <c r="E50" i="38"/>
  <c r="D51" i="38"/>
  <c r="D52" i="38"/>
  <c r="E52" i="38" s="1"/>
  <c r="G52" i="38"/>
  <c r="H52" i="38" s="1"/>
  <c r="D53" i="38"/>
  <c r="G53" i="38" s="1"/>
  <c r="H53" i="38" s="1"/>
  <c r="E53" i="38"/>
  <c r="D54" i="38"/>
  <c r="E54" i="38" s="1"/>
  <c r="D55" i="38"/>
  <c r="D23" i="37"/>
  <c r="E23" i="37"/>
  <c r="G23" i="37"/>
  <c r="H23" i="37" s="1"/>
  <c r="D24" i="37"/>
  <c r="E24" i="37" s="1"/>
  <c r="G24" i="37"/>
  <c r="H24" i="37"/>
  <c r="D26" i="37"/>
  <c r="E26" i="37"/>
  <c r="G26" i="37"/>
  <c r="H26" i="37"/>
  <c r="D27" i="37"/>
  <c r="D28" i="37"/>
  <c r="E28" i="37" s="1"/>
  <c r="D29" i="37"/>
  <c r="E29" i="37"/>
  <c r="D31" i="37"/>
  <c r="G31" i="37" s="1"/>
  <c r="H31" i="37" s="1"/>
  <c r="E31" i="37"/>
  <c r="D32" i="37"/>
  <c r="E32" i="37"/>
  <c r="G32" i="37"/>
  <c r="H32" i="37"/>
  <c r="D33" i="37"/>
  <c r="E33" i="37"/>
  <c r="G33" i="37"/>
  <c r="H33" i="37" s="1"/>
  <c r="D34" i="37"/>
  <c r="D35" i="37"/>
  <c r="E35" i="37"/>
  <c r="G35" i="37"/>
  <c r="H35" i="37" s="1"/>
  <c r="D37" i="37"/>
  <c r="D38" i="37"/>
  <c r="E38" i="37" s="1"/>
  <c r="G38" i="37"/>
  <c r="H38" i="37" s="1"/>
  <c r="D39" i="37"/>
  <c r="E39" i="37"/>
  <c r="D40" i="37"/>
  <c r="E40" i="37" s="1"/>
  <c r="D41" i="37"/>
  <c r="D43" i="37"/>
  <c r="E43" i="37"/>
  <c r="G43" i="37"/>
  <c r="H43" i="37" s="1"/>
  <c r="D44" i="37"/>
  <c r="E44" i="37" s="1"/>
  <c r="D45" i="37"/>
  <c r="E45" i="37"/>
  <c r="G45" i="37"/>
  <c r="H45" i="37"/>
  <c r="D46" i="37"/>
  <c r="D48" i="37"/>
  <c r="E48" i="37" s="1"/>
  <c r="G48" i="37"/>
  <c r="H48" i="37" s="1"/>
  <c r="D49" i="37"/>
  <c r="E49" i="37"/>
  <c r="D50" i="37"/>
  <c r="D51" i="37"/>
  <c r="E51" i="37"/>
  <c r="D52" i="37"/>
  <c r="E52" i="37"/>
  <c r="G52" i="37"/>
  <c r="H52" i="37"/>
  <c r="D54" i="37"/>
  <c r="E54" i="37"/>
  <c r="G54" i="37"/>
  <c r="H54" i="37" s="1"/>
  <c r="D55" i="37"/>
  <c r="E55" i="37"/>
  <c r="G55" i="37"/>
  <c r="H55" i="37"/>
  <c r="D23" i="36"/>
  <c r="D24" i="36"/>
  <c r="E24" i="36"/>
  <c r="G24" i="36"/>
  <c r="H24" i="36" s="1"/>
  <c r="D25" i="36"/>
  <c r="G25" i="36" s="1"/>
  <c r="E25" i="36"/>
  <c r="H25" i="36"/>
  <c r="D26" i="36"/>
  <c r="E26" i="36"/>
  <c r="G26" i="36"/>
  <c r="H26" i="36" s="1"/>
  <c r="D27" i="36"/>
  <c r="D28" i="36"/>
  <c r="G28" i="36" s="1"/>
  <c r="H28" i="36" s="1"/>
  <c r="E28" i="36"/>
  <c r="D29" i="36"/>
  <c r="G30" i="36" s="1"/>
  <c r="H30" i="36" s="1"/>
  <c r="E29" i="36"/>
  <c r="G29" i="36"/>
  <c r="H29" i="36"/>
  <c r="D30" i="36"/>
  <c r="E30" i="36"/>
  <c r="D31" i="36"/>
  <c r="E31" i="36" s="1"/>
  <c r="G31" i="36"/>
  <c r="H31" i="36"/>
  <c r="D32" i="36"/>
  <c r="D33" i="36"/>
  <c r="E33" i="36"/>
  <c r="D34" i="36"/>
  <c r="E34" i="36"/>
  <c r="G34" i="36"/>
  <c r="H34" i="36" s="1"/>
  <c r="D35" i="36"/>
  <c r="E35" i="36"/>
  <c r="G35" i="36"/>
  <c r="H35" i="36" s="1"/>
  <c r="D36" i="36"/>
  <c r="D37" i="36"/>
  <c r="E37" i="36"/>
  <c r="D38" i="36"/>
  <c r="E38" i="36"/>
  <c r="G38" i="36"/>
  <c r="H38" i="36" s="1"/>
  <c r="D39" i="36"/>
  <c r="E39" i="36" s="1"/>
  <c r="D40" i="36"/>
  <c r="E40" i="36"/>
  <c r="G40" i="36"/>
  <c r="H40" i="36"/>
  <c r="D41" i="36"/>
  <c r="D42" i="36"/>
  <c r="G42" i="36" s="1"/>
  <c r="H42" i="36" s="1"/>
  <c r="E42" i="36"/>
  <c r="D43" i="36"/>
  <c r="E43" i="36"/>
  <c r="G43" i="36"/>
  <c r="H43" i="36"/>
  <c r="D44" i="36"/>
  <c r="E44" i="36"/>
  <c r="G44" i="36"/>
  <c r="H44" i="36" s="1"/>
  <c r="D45" i="36"/>
  <c r="D46" i="36"/>
  <c r="E46" i="36"/>
  <c r="D47" i="36"/>
  <c r="E47" i="36" s="1"/>
  <c r="G47" i="36"/>
  <c r="H47" i="36" s="1"/>
  <c r="D48" i="36"/>
  <c r="G48" i="36" s="1"/>
  <c r="E48" i="36"/>
  <c r="H48" i="36"/>
  <c r="D49" i="36"/>
  <c r="E49" i="36"/>
  <c r="D50" i="36"/>
  <c r="D51" i="36"/>
  <c r="G51" i="36" s="1"/>
  <c r="H51" i="36" s="1"/>
  <c r="E51" i="36"/>
  <c r="D52" i="36"/>
  <c r="E52" i="36"/>
  <c r="G52" i="36"/>
  <c r="H52" i="36"/>
  <c r="D53" i="36"/>
  <c r="E53" i="36"/>
  <c r="G53" i="36"/>
  <c r="H53" i="36" s="1"/>
  <c r="D54" i="36"/>
  <c r="E54" i="36"/>
  <c r="G54" i="36"/>
  <c r="H54" i="36"/>
  <c r="D55" i="36"/>
  <c r="D23" i="35"/>
  <c r="G23" i="35" s="1"/>
  <c r="H23" i="35" s="1"/>
  <c r="E23" i="35"/>
  <c r="D24" i="35"/>
  <c r="G24" i="35" s="1"/>
  <c r="H24" i="35" s="1"/>
  <c r="E24" i="35"/>
  <c r="D25" i="35"/>
  <c r="D26" i="35"/>
  <c r="E26" i="35"/>
  <c r="D28" i="35"/>
  <c r="E28" i="35" s="1"/>
  <c r="D29" i="35"/>
  <c r="E29" i="35"/>
  <c r="G29" i="35"/>
  <c r="H29" i="35" s="1"/>
  <c r="D30" i="35"/>
  <c r="E30" i="35"/>
  <c r="G30" i="35"/>
  <c r="H30" i="35"/>
  <c r="D31" i="35"/>
  <c r="D33" i="35"/>
  <c r="G33" i="35" s="1"/>
  <c r="H33" i="35" s="1"/>
  <c r="E33" i="35"/>
  <c r="D34" i="35"/>
  <c r="G34" i="35" s="1"/>
  <c r="H34" i="35" s="1"/>
  <c r="E34" i="35"/>
  <c r="D35" i="35"/>
  <c r="E35" i="35" s="1"/>
  <c r="G35" i="35"/>
  <c r="H35" i="35" s="1"/>
  <c r="D36" i="35"/>
  <c r="E36" i="35"/>
  <c r="G36" i="35"/>
  <c r="H36" i="35" s="1"/>
  <c r="D37" i="35"/>
  <c r="E37" i="35" s="1"/>
  <c r="D39" i="35"/>
  <c r="E39" i="35"/>
  <c r="G39" i="35"/>
  <c r="H39" i="35" s="1"/>
  <c r="D40" i="35"/>
  <c r="E40" i="35"/>
  <c r="G40" i="35"/>
  <c r="H40" i="35"/>
  <c r="D41" i="35"/>
  <c r="E41" i="35" s="1"/>
  <c r="G41" i="35"/>
  <c r="H41" i="35" s="1"/>
  <c r="D42" i="35"/>
  <c r="G42" i="35" s="1"/>
  <c r="E42" i="35"/>
  <c r="H42" i="35"/>
  <c r="D44" i="35"/>
  <c r="G44" i="35" s="1"/>
  <c r="H44" i="35" s="1"/>
  <c r="E44" i="35"/>
  <c r="D45" i="35"/>
  <c r="E45" i="35" s="1"/>
  <c r="G45" i="35"/>
  <c r="H45" i="35" s="1"/>
  <c r="D46" i="35"/>
  <c r="E46" i="35"/>
  <c r="G46" i="35"/>
  <c r="H46" i="35"/>
  <c r="D47" i="35"/>
  <c r="D49" i="35"/>
  <c r="E49" i="35"/>
  <c r="G49" i="35"/>
  <c r="H49" i="35" s="1"/>
  <c r="D50" i="35"/>
  <c r="E50" i="35"/>
  <c r="G50" i="35"/>
  <c r="H50" i="35"/>
  <c r="D51" i="35"/>
  <c r="E51" i="35" s="1"/>
  <c r="G51" i="35"/>
  <c r="H51" i="35"/>
  <c r="D52" i="35"/>
  <c r="G52" i="35" s="1"/>
  <c r="H52" i="35" s="1"/>
  <c r="E52" i="35"/>
  <c r="D54" i="35"/>
  <c r="G54" i="35" s="1"/>
  <c r="H54" i="35" s="1"/>
  <c r="E54" i="35"/>
  <c r="D55" i="35"/>
  <c r="E55" i="35" s="1"/>
  <c r="G55" i="35"/>
  <c r="H55" i="35" s="1"/>
  <c r="D23" i="34"/>
  <c r="E23" i="34"/>
  <c r="G23" i="34"/>
  <c r="H23" i="34"/>
  <c r="D24" i="34"/>
  <c r="G24" i="34" s="1"/>
  <c r="E24" i="34"/>
  <c r="H24" i="34"/>
  <c r="D25" i="34"/>
  <c r="E25" i="34"/>
  <c r="G25" i="34"/>
  <c r="H25" i="34" s="1"/>
  <c r="D26" i="34"/>
  <c r="E26" i="34"/>
  <c r="G26" i="34"/>
  <c r="H26" i="34"/>
  <c r="D27" i="34"/>
  <c r="E27" i="34" s="1"/>
  <c r="G27" i="34"/>
  <c r="H27" i="34"/>
  <c r="D28" i="34"/>
  <c r="D29" i="34"/>
  <c r="G29" i="34" s="1"/>
  <c r="H29" i="34" s="1"/>
  <c r="E29" i="34"/>
  <c r="D30" i="34"/>
  <c r="E30" i="34" s="1"/>
  <c r="G30" i="34"/>
  <c r="H30" i="34" s="1"/>
  <c r="D31" i="34"/>
  <c r="E31" i="34"/>
  <c r="G31" i="34"/>
  <c r="H31" i="34"/>
  <c r="D32" i="34"/>
  <c r="G32" i="34" s="1"/>
  <c r="E32" i="34"/>
  <c r="H32" i="34"/>
  <c r="D33" i="34"/>
  <c r="E33" i="34"/>
  <c r="G33" i="34"/>
  <c r="H33" i="34" s="1"/>
  <c r="D34" i="34"/>
  <c r="E34" i="34"/>
  <c r="G34" i="34"/>
  <c r="H34" i="34"/>
  <c r="D35" i="34"/>
  <c r="E35" i="34" s="1"/>
  <c r="G35" i="34"/>
  <c r="H35" i="34"/>
  <c r="D36" i="34"/>
  <c r="E36" i="34"/>
  <c r="G36" i="34"/>
  <c r="H36" i="34" s="1"/>
  <c r="D37" i="34"/>
  <c r="G37" i="34" s="1"/>
  <c r="H37" i="34" s="1"/>
  <c r="E37" i="34"/>
  <c r="D38" i="34"/>
  <c r="D39" i="34"/>
  <c r="E39" i="34"/>
  <c r="D40" i="34"/>
  <c r="G40" i="34" s="1"/>
  <c r="E40" i="34"/>
  <c r="H40" i="34"/>
  <c r="D41" i="34"/>
  <c r="E41" i="34"/>
  <c r="G41" i="34"/>
  <c r="H41" i="34" s="1"/>
  <c r="D42" i="34"/>
  <c r="E42" i="34"/>
  <c r="G42" i="34"/>
  <c r="H42" i="34" s="1"/>
  <c r="D44" i="34"/>
  <c r="E44" i="34" s="1"/>
  <c r="G44" i="34"/>
  <c r="H44" i="34"/>
  <c r="D45" i="34"/>
  <c r="E45" i="34"/>
  <c r="G45" i="34"/>
  <c r="H45" i="34"/>
  <c r="D46" i="34"/>
  <c r="G46" i="34" s="1"/>
  <c r="E46" i="34"/>
  <c r="H46" i="34"/>
  <c r="D47" i="34"/>
  <c r="E47" i="34"/>
  <c r="G47" i="34"/>
  <c r="H47" i="34" s="1"/>
  <c r="D48" i="34"/>
  <c r="E48" i="34"/>
  <c r="G48" i="34"/>
  <c r="H48" i="34" s="1"/>
  <c r="D49" i="34"/>
  <c r="E49" i="34"/>
  <c r="G49" i="34"/>
  <c r="H49" i="34"/>
  <c r="D50" i="34"/>
  <c r="E50" i="34"/>
  <c r="G50" i="34"/>
  <c r="H50" i="34" s="1"/>
  <c r="D51" i="34"/>
  <c r="E51" i="34"/>
  <c r="G51" i="34"/>
  <c r="H51" i="34"/>
  <c r="D52" i="34"/>
  <c r="E52" i="34" s="1"/>
  <c r="G52" i="34"/>
  <c r="H52" i="34"/>
  <c r="D53" i="34"/>
  <c r="E53" i="34"/>
  <c r="G53" i="34"/>
  <c r="H53" i="34"/>
  <c r="D54" i="34"/>
  <c r="G54" i="34" s="1"/>
  <c r="H54" i="34" s="1"/>
  <c r="E54" i="34"/>
  <c r="D55" i="34"/>
  <c r="E55" i="34"/>
  <c r="G55" i="34"/>
  <c r="H55" i="34" s="1"/>
  <c r="D23" i="33"/>
  <c r="E23" i="33"/>
  <c r="G23" i="33"/>
  <c r="H23" i="33" s="1"/>
  <c r="D24" i="33"/>
  <c r="E24" i="33"/>
  <c r="G24" i="33"/>
  <c r="H24" i="33" s="1"/>
  <c r="D25" i="33"/>
  <c r="E25" i="33"/>
  <c r="G25" i="33"/>
  <c r="H25" i="33"/>
  <c r="D27" i="33"/>
  <c r="E27" i="33"/>
  <c r="G27" i="33"/>
  <c r="H27" i="33"/>
  <c r="D28" i="33"/>
  <c r="E28" i="33" s="1"/>
  <c r="G28" i="33"/>
  <c r="H28" i="33"/>
  <c r="D29" i="33"/>
  <c r="E29" i="33"/>
  <c r="G29" i="33"/>
  <c r="H29" i="33"/>
  <c r="D30" i="33"/>
  <c r="G30" i="33" s="1"/>
  <c r="E30" i="33"/>
  <c r="H30" i="33"/>
  <c r="D32" i="33"/>
  <c r="E32" i="33"/>
  <c r="G32" i="33"/>
  <c r="H32" i="33" s="1"/>
  <c r="D33" i="33"/>
  <c r="E33" i="33"/>
  <c r="G33" i="33"/>
  <c r="H33" i="33" s="1"/>
  <c r="D34" i="33"/>
  <c r="E34" i="33"/>
  <c r="G34" i="33"/>
  <c r="H34" i="33" s="1"/>
  <c r="D35" i="33"/>
  <c r="E35" i="33"/>
  <c r="G35" i="33"/>
  <c r="H35" i="33" s="1"/>
  <c r="D37" i="33"/>
  <c r="E37" i="33"/>
  <c r="G37" i="33"/>
  <c r="H37" i="33"/>
  <c r="D38" i="33"/>
  <c r="E38" i="33" s="1"/>
  <c r="G38" i="33"/>
  <c r="H38" i="33"/>
  <c r="D39" i="33"/>
  <c r="E39" i="33"/>
  <c r="G39" i="33"/>
  <c r="H39" i="33"/>
  <c r="D40" i="33"/>
  <c r="G40" i="33" s="1"/>
  <c r="E40" i="33"/>
  <c r="H40" i="33"/>
  <c r="D42" i="33"/>
  <c r="E42" i="33"/>
  <c r="G42" i="33"/>
  <c r="H42" i="33" s="1"/>
  <c r="D43" i="33"/>
  <c r="E43" i="33"/>
  <c r="G43" i="33"/>
  <c r="H43" i="33"/>
  <c r="D44" i="33"/>
  <c r="E44" i="33"/>
  <c r="G44" i="33"/>
  <c r="H44" i="33" s="1"/>
  <c r="D45" i="33"/>
  <c r="E45" i="33"/>
  <c r="G45" i="33"/>
  <c r="H45" i="33" s="1"/>
  <c r="D47" i="33"/>
  <c r="E47" i="33"/>
  <c r="G47" i="33"/>
  <c r="H47" i="33"/>
  <c r="D48" i="33"/>
  <c r="E48" i="33" s="1"/>
  <c r="G48" i="33"/>
  <c r="H48" i="33"/>
  <c r="D49" i="33"/>
  <c r="E49" i="33"/>
  <c r="G49" i="33"/>
  <c r="H49" i="33"/>
  <c r="D50" i="33"/>
  <c r="G50" i="33" s="1"/>
  <c r="E50" i="33"/>
  <c r="H50" i="33"/>
  <c r="D52" i="33"/>
  <c r="E52" i="33"/>
  <c r="G52" i="33"/>
  <c r="H52" i="33" s="1"/>
  <c r="D53" i="33"/>
  <c r="E53" i="33"/>
  <c r="G53" i="33"/>
  <c r="H53" i="33" s="1"/>
  <c r="D54" i="33"/>
  <c r="E54" i="33"/>
  <c r="G54" i="33"/>
  <c r="H54" i="33"/>
  <c r="D55" i="33"/>
  <c r="E55" i="33"/>
  <c r="G55" i="33"/>
  <c r="H55" i="33" s="1"/>
  <c r="D23" i="32"/>
  <c r="E23" i="32"/>
  <c r="G23" i="32"/>
  <c r="H23" i="32"/>
  <c r="D24" i="32"/>
  <c r="E24" i="32"/>
  <c r="G24" i="32"/>
  <c r="H24" i="32" s="1"/>
  <c r="D26" i="32"/>
  <c r="E26" i="32"/>
  <c r="G26" i="32"/>
  <c r="H26" i="32" s="1"/>
  <c r="D27" i="32"/>
  <c r="E27" i="32"/>
  <c r="G27" i="32"/>
  <c r="H27" i="32"/>
  <c r="D28" i="32"/>
  <c r="E28" i="32"/>
  <c r="G28" i="32"/>
  <c r="H28" i="32"/>
  <c r="D29" i="32"/>
  <c r="D30" i="32"/>
  <c r="E30" i="32"/>
  <c r="D32" i="32"/>
  <c r="E32" i="32"/>
  <c r="G32" i="32"/>
  <c r="H32" i="32" s="1"/>
  <c r="D33" i="32"/>
  <c r="E33" i="32"/>
  <c r="G33" i="32"/>
  <c r="H33" i="32"/>
  <c r="D34" i="32"/>
  <c r="E34" i="32"/>
  <c r="G34" i="32"/>
  <c r="H34" i="32" s="1"/>
  <c r="D35" i="32"/>
  <c r="E35" i="32"/>
  <c r="G35" i="32"/>
  <c r="H35" i="32"/>
  <c r="D36" i="32"/>
  <c r="E36" i="32"/>
  <c r="G36" i="32"/>
  <c r="H36" i="32" s="1"/>
  <c r="D38" i="32"/>
  <c r="E38" i="32"/>
  <c r="D39" i="32"/>
  <c r="E39" i="32"/>
  <c r="G39" i="32"/>
  <c r="H39" i="32"/>
  <c r="D40" i="32"/>
  <c r="E40" i="32"/>
  <c r="G40" i="32"/>
  <c r="H40" i="32" s="1"/>
  <c r="D41" i="32"/>
  <c r="E41" i="32"/>
  <c r="G41" i="32"/>
  <c r="H41" i="32"/>
  <c r="D42" i="32"/>
  <c r="E42" i="32"/>
  <c r="G42" i="32"/>
  <c r="H42" i="32" s="1"/>
  <c r="D44" i="32"/>
  <c r="E44" i="32"/>
  <c r="G44" i="32"/>
  <c r="H44" i="32" s="1"/>
  <c r="D45" i="32"/>
  <c r="D46" i="32"/>
  <c r="E46" i="32"/>
  <c r="D47" i="32"/>
  <c r="E47" i="32"/>
  <c r="G47" i="32"/>
  <c r="H47" i="32"/>
  <c r="D48" i="32"/>
  <c r="E48" i="32"/>
  <c r="G48" i="32"/>
  <c r="H48" i="32" s="1"/>
  <c r="D50" i="32"/>
  <c r="E50" i="32"/>
  <c r="G50" i="32"/>
  <c r="H50" i="32" s="1"/>
  <c r="D51" i="32"/>
  <c r="E51" i="32"/>
  <c r="G51" i="32"/>
  <c r="H51" i="32"/>
  <c r="D52" i="32"/>
  <c r="E52" i="32"/>
  <c r="G52" i="32"/>
  <c r="H52" i="32" s="1"/>
  <c r="D53" i="32"/>
  <c r="G54" i="32" s="1"/>
  <c r="H54" i="32" s="1"/>
  <c r="D54" i="32"/>
  <c r="E54" i="32"/>
  <c r="D23" i="31"/>
  <c r="E23" i="31"/>
  <c r="G23" i="31"/>
  <c r="H23" i="31" s="1"/>
  <c r="D24" i="31"/>
  <c r="E24" i="31"/>
  <c r="G24" i="31"/>
  <c r="H24" i="31"/>
  <c r="D25" i="31"/>
  <c r="E25" i="31"/>
  <c r="G25" i="31"/>
  <c r="H25" i="31" s="1"/>
  <c r="D26" i="31"/>
  <c r="E26" i="31"/>
  <c r="G26" i="31"/>
  <c r="H26" i="31"/>
  <c r="D27" i="31"/>
  <c r="E27" i="31"/>
  <c r="G27" i="31"/>
  <c r="H27" i="31" s="1"/>
  <c r="D28" i="31"/>
  <c r="D29" i="31"/>
  <c r="E29" i="31"/>
  <c r="D31" i="31"/>
  <c r="E31" i="31"/>
  <c r="G31" i="31"/>
  <c r="H31" i="31"/>
  <c r="D32" i="31"/>
  <c r="E32" i="31"/>
  <c r="G32" i="31"/>
  <c r="H32" i="31" s="1"/>
  <c r="D33" i="31"/>
  <c r="E33" i="31"/>
  <c r="G33" i="31"/>
  <c r="H33" i="31"/>
  <c r="D34" i="31"/>
  <c r="E34" i="31"/>
  <c r="G34" i="31"/>
  <c r="H34" i="31" s="1"/>
  <c r="D35" i="31"/>
  <c r="E35" i="31"/>
  <c r="G35" i="31"/>
  <c r="H35" i="31"/>
  <c r="D36" i="31"/>
  <c r="E36" i="31"/>
  <c r="G36" i="31"/>
  <c r="H36" i="31" s="1"/>
  <c r="D37" i="31"/>
  <c r="D38" i="31"/>
  <c r="E38" i="31"/>
  <c r="D39" i="31"/>
  <c r="E39" i="31"/>
  <c r="G39" i="31"/>
  <c r="H39" i="31"/>
  <c r="D40" i="31"/>
  <c r="E40" i="31"/>
  <c r="G40" i="31"/>
  <c r="H40" i="31" s="1"/>
  <c r="D41" i="31"/>
  <c r="E41" i="31"/>
  <c r="G41" i="31"/>
  <c r="H41" i="31"/>
  <c r="D42" i="31"/>
  <c r="E42" i="31"/>
  <c r="G42" i="31"/>
  <c r="H42" i="31" s="1"/>
  <c r="D43" i="31"/>
  <c r="E43" i="31"/>
  <c r="G43" i="31"/>
  <c r="H43" i="31"/>
  <c r="D44" i="31"/>
  <c r="E44" i="31"/>
  <c r="G44" i="31"/>
  <c r="H44" i="31" s="1"/>
  <c r="D45" i="31"/>
  <c r="D46" i="31"/>
  <c r="E46" i="31"/>
  <c r="D47" i="31"/>
  <c r="D48" i="31"/>
  <c r="E48" i="31"/>
  <c r="D49" i="31"/>
  <c r="E49" i="31"/>
  <c r="G49" i="31"/>
  <c r="H49" i="31"/>
  <c r="D50" i="31"/>
  <c r="E50" i="31"/>
  <c r="G50" i="31"/>
  <c r="H50" i="31" s="1"/>
  <c r="D52" i="31"/>
  <c r="E52" i="31"/>
  <c r="G52" i="31"/>
  <c r="H52" i="31"/>
  <c r="D53" i="31"/>
  <c r="E53" i="31"/>
  <c r="G53" i="31"/>
  <c r="H53" i="31" s="1"/>
  <c r="D54" i="31"/>
  <c r="E54" i="31" s="1"/>
  <c r="D55" i="31"/>
  <c r="E55" i="31"/>
  <c r="D23" i="30"/>
  <c r="D25" i="30"/>
  <c r="G26" i="30" s="1"/>
  <c r="E25" i="30"/>
  <c r="G25" i="30"/>
  <c r="H25" i="30" s="1"/>
  <c r="D26" i="30"/>
  <c r="E26" i="30"/>
  <c r="H26" i="30"/>
  <c r="D27" i="30"/>
  <c r="E27" i="30"/>
  <c r="G27" i="30"/>
  <c r="H27" i="30" s="1"/>
  <c r="D28" i="30"/>
  <c r="E28" i="30" s="1"/>
  <c r="G28" i="30"/>
  <c r="H28" i="30" s="1"/>
  <c r="D30" i="30"/>
  <c r="E30" i="30"/>
  <c r="G30" i="30"/>
  <c r="H30" i="30"/>
  <c r="D31" i="30"/>
  <c r="E31" i="30"/>
  <c r="G31" i="30"/>
  <c r="H31" i="30" s="1"/>
  <c r="D32" i="30"/>
  <c r="E32" i="30"/>
  <c r="G32" i="30"/>
  <c r="H32" i="30"/>
  <c r="D34" i="30"/>
  <c r="E34" i="30" s="1"/>
  <c r="D35" i="30"/>
  <c r="G36" i="30" s="1"/>
  <c r="H36" i="30" s="1"/>
  <c r="D36" i="30"/>
  <c r="E36" i="30"/>
  <c r="D38" i="30"/>
  <c r="E38" i="30"/>
  <c r="G38" i="30"/>
  <c r="H38" i="30" s="1"/>
  <c r="D39" i="30"/>
  <c r="E39" i="30"/>
  <c r="G39" i="30"/>
  <c r="H39" i="30" s="1"/>
  <c r="D40" i="30"/>
  <c r="E40" i="30"/>
  <c r="G40" i="30"/>
  <c r="H40" i="30" s="1"/>
  <c r="D41" i="30"/>
  <c r="G41" i="30" s="1"/>
  <c r="H41" i="30" s="1"/>
  <c r="E41" i="30"/>
  <c r="D43" i="30"/>
  <c r="E43" i="30"/>
  <c r="G43" i="30"/>
  <c r="H43" i="30" s="1"/>
  <c r="D44" i="30"/>
  <c r="E44" i="30" s="1"/>
  <c r="G44" i="30"/>
  <c r="H44" i="30"/>
  <c r="D45" i="30"/>
  <c r="G45" i="30" s="1"/>
  <c r="E45" i="30"/>
  <c r="H45" i="30"/>
  <c r="D47" i="30"/>
  <c r="E47" i="30"/>
  <c r="G47" i="30"/>
  <c r="H47" i="30"/>
  <c r="D48" i="30"/>
  <c r="E48" i="30"/>
  <c r="G48" i="30"/>
  <c r="H48" i="30" s="1"/>
  <c r="D49" i="30"/>
  <c r="G49" i="30" s="1"/>
  <c r="H49" i="30" s="1"/>
  <c r="E49" i="30"/>
  <c r="D51" i="30"/>
  <c r="E51" i="30"/>
  <c r="G51" i="30"/>
  <c r="H51" i="30"/>
  <c r="D52" i="30"/>
  <c r="E52" i="30"/>
  <c r="G52" i="30"/>
  <c r="H52" i="30"/>
  <c r="D53" i="30"/>
  <c r="D54" i="30"/>
  <c r="E54" i="30" s="1"/>
  <c r="D23" i="29"/>
  <c r="G23" i="29" s="1"/>
  <c r="E23" i="29"/>
  <c r="H23" i="29"/>
  <c r="D24" i="29"/>
  <c r="E24" i="29"/>
  <c r="G24" i="29"/>
  <c r="H24" i="29" s="1"/>
  <c r="D25" i="29"/>
  <c r="G25" i="29" s="1"/>
  <c r="H25" i="29" s="1"/>
  <c r="E25" i="29"/>
  <c r="D27" i="29"/>
  <c r="G27" i="29" s="1"/>
  <c r="H27" i="29" s="1"/>
  <c r="E27" i="29"/>
  <c r="D28" i="29"/>
  <c r="E28" i="29"/>
  <c r="G28" i="29"/>
  <c r="H28" i="29" s="1"/>
  <c r="D29" i="29"/>
  <c r="E29" i="29"/>
  <c r="G29" i="29"/>
  <c r="H29" i="29"/>
  <c r="D31" i="29"/>
  <c r="D32" i="29"/>
  <c r="E32" i="29" s="1"/>
  <c r="D33" i="29"/>
  <c r="E33" i="29"/>
  <c r="D34" i="29"/>
  <c r="E34" i="29"/>
  <c r="G34" i="29"/>
  <c r="H34" i="29" s="1"/>
  <c r="D36" i="29"/>
  <c r="G36" i="29" s="1"/>
  <c r="E36" i="29"/>
  <c r="H36" i="29"/>
  <c r="D37" i="29"/>
  <c r="G37" i="29" s="1"/>
  <c r="H37" i="29" s="1"/>
  <c r="E37" i="29"/>
  <c r="D38" i="29"/>
  <c r="E38" i="29"/>
  <c r="G38" i="29"/>
  <c r="H38" i="29" s="1"/>
  <c r="D40" i="29"/>
  <c r="E40" i="29"/>
  <c r="G40" i="29"/>
  <c r="H40" i="29"/>
  <c r="D41" i="29"/>
  <c r="D42" i="29"/>
  <c r="E42" i="29" s="1"/>
  <c r="D43" i="29"/>
  <c r="E43" i="29"/>
  <c r="D45" i="29"/>
  <c r="E45" i="29"/>
  <c r="G45" i="29"/>
  <c r="H45" i="29" s="1"/>
  <c r="D46" i="29"/>
  <c r="D47" i="29"/>
  <c r="E47" i="29"/>
  <c r="D49" i="29"/>
  <c r="E49" i="29"/>
  <c r="G49" i="29"/>
  <c r="H49" i="29"/>
  <c r="D50" i="29"/>
  <c r="E50" i="29"/>
  <c r="G50" i="29"/>
  <c r="H50" i="29"/>
  <c r="D51" i="29"/>
  <c r="E51" i="29" s="1"/>
  <c r="G51" i="29"/>
  <c r="H51" i="29"/>
  <c r="D52" i="29"/>
  <c r="E52" i="29"/>
  <c r="G52" i="29"/>
  <c r="H52" i="29" s="1"/>
  <c r="D54" i="29"/>
  <c r="G54" i="29" s="1"/>
  <c r="H54" i="29" s="1"/>
  <c r="E54" i="29"/>
  <c r="D55" i="29"/>
  <c r="D23" i="28"/>
  <c r="G23" i="28" s="1"/>
  <c r="H23" i="28" s="1"/>
  <c r="E23" i="28"/>
  <c r="D24" i="28"/>
  <c r="G24" i="28" s="1"/>
  <c r="H24" i="28" s="1"/>
  <c r="D25" i="28"/>
  <c r="E25" i="28"/>
  <c r="G25" i="28"/>
  <c r="H25" i="28" s="1"/>
  <c r="D26" i="28"/>
  <c r="E26" i="28"/>
  <c r="G26" i="28"/>
  <c r="H26" i="28" s="1"/>
  <c r="D28" i="28"/>
  <c r="E28" i="28" s="1"/>
  <c r="G28" i="28"/>
  <c r="H28" i="28"/>
  <c r="D29" i="28"/>
  <c r="D30" i="28"/>
  <c r="E30" i="28"/>
  <c r="D31" i="28"/>
  <c r="E31" i="28" s="1"/>
  <c r="G31" i="28"/>
  <c r="H31" i="28" s="1"/>
  <c r="D32" i="28"/>
  <c r="E32" i="28"/>
  <c r="G32" i="28"/>
  <c r="H32" i="28" s="1"/>
  <c r="D33" i="28"/>
  <c r="D34" i="28"/>
  <c r="E34" i="28"/>
  <c r="D35" i="28"/>
  <c r="E35" i="28"/>
  <c r="G35" i="28"/>
  <c r="H35" i="28"/>
  <c r="D37" i="28"/>
  <c r="E37" i="28" s="1"/>
  <c r="G37" i="28"/>
  <c r="H37" i="28"/>
  <c r="D38" i="28"/>
  <c r="E38" i="28"/>
  <c r="G38" i="28"/>
  <c r="H38" i="28" s="1"/>
  <c r="D39" i="28"/>
  <c r="G39" i="28" s="1"/>
  <c r="H39" i="28" s="1"/>
  <c r="E39" i="28"/>
  <c r="D40" i="28"/>
  <c r="D41" i="28"/>
  <c r="E41" i="28"/>
  <c r="D42" i="28"/>
  <c r="G42" i="28" s="1"/>
  <c r="H42" i="28" s="1"/>
  <c r="D43" i="28"/>
  <c r="E43" i="28"/>
  <c r="G43" i="28"/>
  <c r="H43" i="28" s="1"/>
  <c r="D45" i="28"/>
  <c r="E45" i="28"/>
  <c r="G45" i="28"/>
  <c r="H45" i="28" s="1"/>
  <c r="D46" i="28"/>
  <c r="E46" i="28" s="1"/>
  <c r="D47" i="28"/>
  <c r="D48" i="28"/>
  <c r="E48" i="28"/>
  <c r="D49" i="28"/>
  <c r="E49" i="28" s="1"/>
  <c r="G49" i="28"/>
  <c r="H49" i="28" s="1"/>
  <c r="D50" i="28"/>
  <c r="E50" i="28"/>
  <c r="G50" i="28"/>
  <c r="H50" i="28" s="1"/>
  <c r="D51" i="28"/>
  <c r="D53" i="28"/>
  <c r="E53" i="28"/>
  <c r="G53" i="28"/>
  <c r="H53" i="28" s="1"/>
  <c r="D54" i="28"/>
  <c r="E54" i="28"/>
  <c r="G54" i="28"/>
  <c r="H54" i="28"/>
  <c r="D55" i="28"/>
  <c r="E55" i="28" s="1"/>
  <c r="G55" i="28"/>
  <c r="H55" i="28"/>
  <c r="D23" i="27"/>
  <c r="E23" i="27"/>
  <c r="G23" i="27"/>
  <c r="H23" i="27" s="1"/>
  <c r="D24" i="27"/>
  <c r="G24" i="27" s="1"/>
  <c r="H24" i="27" s="1"/>
  <c r="E24" i="27"/>
  <c r="D26" i="27"/>
  <c r="D27" i="27"/>
  <c r="E27" i="27"/>
  <c r="D28" i="27"/>
  <c r="G28" i="27" s="1"/>
  <c r="H28" i="27" s="1"/>
  <c r="D29" i="27"/>
  <c r="E29" i="27"/>
  <c r="G29" i="27"/>
  <c r="H29" i="27" s="1"/>
  <c r="D30" i="27"/>
  <c r="E30" i="27"/>
  <c r="G30" i="27"/>
  <c r="H30" i="27" s="1"/>
  <c r="D32" i="27"/>
  <c r="E32" i="27" s="1"/>
  <c r="D33" i="27"/>
  <c r="D34" i="27"/>
  <c r="E34" i="27"/>
  <c r="D35" i="27"/>
  <c r="E35" i="27" s="1"/>
  <c r="G35" i="27"/>
  <c r="H35" i="27" s="1"/>
  <c r="D36" i="27"/>
  <c r="E36" i="27"/>
  <c r="G36" i="27"/>
  <c r="H36" i="27"/>
  <c r="D38" i="27"/>
  <c r="E38" i="27"/>
  <c r="G38" i="27"/>
  <c r="H38" i="27" s="1"/>
  <c r="D39" i="27"/>
  <c r="G40" i="27" s="1"/>
  <c r="E39" i="27"/>
  <c r="G39" i="27"/>
  <c r="H39" i="27" s="1"/>
  <c r="D40" i="27"/>
  <c r="E40" i="27"/>
  <c r="H40" i="27"/>
  <c r="D41" i="27"/>
  <c r="E41" i="27" s="1"/>
  <c r="G41" i="27"/>
  <c r="H41" i="27" s="1"/>
  <c r="D42" i="27"/>
  <c r="E42" i="27" s="1"/>
  <c r="D44" i="27"/>
  <c r="E44" i="27"/>
  <c r="G44" i="27"/>
  <c r="H44" i="27"/>
  <c r="D45" i="27"/>
  <c r="D46" i="27"/>
  <c r="E46" i="27"/>
  <c r="D47" i="27"/>
  <c r="D48" i="27"/>
  <c r="E48" i="27"/>
  <c r="D49" i="27"/>
  <c r="G49" i="27" s="1"/>
  <c r="E49" i="27"/>
  <c r="H49" i="27"/>
  <c r="D51" i="27"/>
  <c r="E51" i="27" s="1"/>
  <c r="G51" i="27"/>
  <c r="H51" i="27" s="1"/>
  <c r="D52" i="27"/>
  <c r="E52" i="27" s="1"/>
  <c r="D53" i="27"/>
  <c r="E53" i="27"/>
  <c r="D54" i="27"/>
  <c r="D55" i="27"/>
  <c r="E55" i="27"/>
  <c r="D23" i="26"/>
  <c r="D24" i="26"/>
  <c r="E24" i="26"/>
  <c r="D25" i="26"/>
  <c r="G25" i="26" s="1"/>
  <c r="H25" i="26" s="1"/>
  <c r="E25" i="26"/>
  <c r="D27" i="26"/>
  <c r="E27" i="26" s="1"/>
  <c r="G27" i="26"/>
  <c r="H27" i="26" s="1"/>
  <c r="D28" i="26"/>
  <c r="E28" i="26" s="1"/>
  <c r="D29" i="26"/>
  <c r="G29" i="26" s="1"/>
  <c r="H29" i="26" s="1"/>
  <c r="E29" i="26"/>
  <c r="D30" i="26"/>
  <c r="D31" i="26"/>
  <c r="E31" i="26"/>
  <c r="D32" i="26"/>
  <c r="D34" i="26"/>
  <c r="E34" i="26"/>
  <c r="G34" i="26"/>
  <c r="H34" i="26" s="1"/>
  <c r="D35" i="26"/>
  <c r="G35" i="26" s="1"/>
  <c r="H35" i="26" s="1"/>
  <c r="E35" i="26"/>
  <c r="D36" i="26"/>
  <c r="E36" i="26" s="1"/>
  <c r="G36" i="26"/>
  <c r="H36" i="26" s="1"/>
  <c r="D37" i="26"/>
  <c r="E37" i="26" s="1"/>
  <c r="D38" i="26"/>
  <c r="G38" i="26" s="1"/>
  <c r="H38" i="26" s="1"/>
  <c r="E38" i="26"/>
  <c r="D39" i="26"/>
  <c r="D40" i="26"/>
  <c r="E40" i="26"/>
  <c r="D42" i="26"/>
  <c r="D43" i="26"/>
  <c r="E43" i="26"/>
  <c r="G43" i="26"/>
  <c r="H43" i="26" s="1"/>
  <c r="D44" i="26"/>
  <c r="G44" i="26" s="1"/>
  <c r="H44" i="26" s="1"/>
  <c r="E44" i="26"/>
  <c r="D45" i="26"/>
  <c r="E45" i="26" s="1"/>
  <c r="G45" i="26"/>
  <c r="H45" i="26" s="1"/>
  <c r="D46" i="26"/>
  <c r="E46" i="26" s="1"/>
  <c r="D47" i="26"/>
  <c r="G47" i="26" s="1"/>
  <c r="H47" i="26" s="1"/>
  <c r="E47" i="26"/>
  <c r="D49" i="26"/>
  <c r="D50" i="26"/>
  <c r="E50" i="26"/>
  <c r="D51" i="26"/>
  <c r="D52" i="26"/>
  <c r="E52" i="26"/>
  <c r="D53" i="26"/>
  <c r="G53" i="26" s="1"/>
  <c r="E53" i="26"/>
  <c r="H53" i="26"/>
  <c r="D54" i="26"/>
  <c r="E54" i="26" s="1"/>
  <c r="G54" i="26"/>
  <c r="H54" i="26" s="1"/>
  <c r="D55" i="26"/>
  <c r="E55" i="26" s="1"/>
  <c r="Q7" i="3"/>
  <c r="Q7" i="41"/>
  <c r="Q7" i="40"/>
  <c r="Q7" i="39"/>
  <c r="Q7" i="38"/>
  <c r="Q7" i="37"/>
  <c r="Q7" i="36"/>
  <c r="Q7" i="35"/>
  <c r="Q7" i="34"/>
  <c r="Q7" i="33"/>
  <c r="Q7" i="32"/>
  <c r="Q7" i="31"/>
  <c r="Q7" i="30"/>
  <c r="Q7" i="29"/>
  <c r="Q7" i="28"/>
  <c r="Q7" i="27"/>
  <c r="Q7" i="26"/>
  <c r="H4" i="3"/>
  <c r="H3" i="3"/>
  <c r="H3" i="26"/>
  <c r="I11" i="39" l="1"/>
  <c r="H11" i="39"/>
  <c r="G12" i="39"/>
  <c r="H12" i="39" s="1"/>
  <c r="G51" i="26"/>
  <c r="H51" i="26" s="1"/>
  <c r="E51" i="26"/>
  <c r="E30" i="26"/>
  <c r="G31" i="26"/>
  <c r="H31" i="26" s="1"/>
  <c r="G30" i="26"/>
  <c r="H30" i="26" s="1"/>
  <c r="G47" i="27"/>
  <c r="H47" i="27" s="1"/>
  <c r="E47" i="27"/>
  <c r="G41" i="28"/>
  <c r="H41" i="28" s="1"/>
  <c r="G30" i="28"/>
  <c r="H30" i="28" s="1"/>
  <c r="E55" i="29"/>
  <c r="G55" i="29"/>
  <c r="H55" i="29" s="1"/>
  <c r="G32" i="29"/>
  <c r="H32" i="29" s="1"/>
  <c r="G33" i="28"/>
  <c r="H33" i="28" s="1"/>
  <c r="E33" i="28"/>
  <c r="E29" i="28"/>
  <c r="G29" i="28"/>
  <c r="H29" i="28" s="1"/>
  <c r="E46" i="29"/>
  <c r="G46" i="29"/>
  <c r="H46" i="29" s="1"/>
  <c r="E39" i="26"/>
  <c r="G40" i="26"/>
  <c r="H40" i="26" s="1"/>
  <c r="G39" i="26"/>
  <c r="H39" i="26" s="1"/>
  <c r="G23" i="26"/>
  <c r="H23" i="26" s="1"/>
  <c r="E23" i="26"/>
  <c r="G27" i="27"/>
  <c r="H27" i="27" s="1"/>
  <c r="G48" i="28"/>
  <c r="H48" i="28" s="1"/>
  <c r="G42" i="29"/>
  <c r="H42" i="29" s="1"/>
  <c r="G51" i="28"/>
  <c r="H51" i="28" s="1"/>
  <c r="E51" i="28"/>
  <c r="E26" i="27"/>
  <c r="G26" i="27"/>
  <c r="H26" i="27" s="1"/>
  <c r="E47" i="28"/>
  <c r="G47" i="28"/>
  <c r="H47" i="28" s="1"/>
  <c r="G34" i="28"/>
  <c r="H34" i="28" s="1"/>
  <c r="G52" i="26"/>
  <c r="H52" i="26" s="1"/>
  <c r="G32" i="26"/>
  <c r="H32" i="26" s="1"/>
  <c r="E32" i="26"/>
  <c r="G48" i="27"/>
  <c r="H48" i="27" s="1"/>
  <c r="E45" i="27"/>
  <c r="G46" i="27"/>
  <c r="H46" i="27" s="1"/>
  <c r="G45" i="27"/>
  <c r="H45" i="27" s="1"/>
  <c r="G34" i="27"/>
  <c r="H34" i="27" s="1"/>
  <c r="E33" i="27"/>
  <c r="G33" i="27"/>
  <c r="H33" i="27" s="1"/>
  <c r="E40" i="28"/>
  <c r="G40" i="28"/>
  <c r="H40" i="28" s="1"/>
  <c r="E49" i="26"/>
  <c r="G50" i="26"/>
  <c r="H50" i="26" s="1"/>
  <c r="G49" i="26"/>
  <c r="H49" i="26" s="1"/>
  <c r="G42" i="26"/>
  <c r="H42" i="26" s="1"/>
  <c r="E42" i="26"/>
  <c r="G24" i="26"/>
  <c r="H24" i="26" s="1"/>
  <c r="E54" i="27"/>
  <c r="G55" i="27"/>
  <c r="H55" i="27" s="1"/>
  <c r="G54" i="27"/>
  <c r="H54" i="27" s="1"/>
  <c r="G54" i="30"/>
  <c r="H54" i="30" s="1"/>
  <c r="E45" i="31"/>
  <c r="G45" i="31"/>
  <c r="H45" i="31" s="1"/>
  <c r="G46" i="31"/>
  <c r="H46" i="31" s="1"/>
  <c r="G32" i="27"/>
  <c r="H32" i="27" s="1"/>
  <c r="G46" i="28"/>
  <c r="H46" i="28" s="1"/>
  <c r="G47" i="29"/>
  <c r="H47" i="29" s="1"/>
  <c r="G55" i="26"/>
  <c r="H55" i="26" s="1"/>
  <c r="G46" i="26"/>
  <c r="H46" i="26" s="1"/>
  <c r="G37" i="26"/>
  <c r="H37" i="26" s="1"/>
  <c r="G28" i="26"/>
  <c r="H28" i="26" s="1"/>
  <c r="G52" i="27"/>
  <c r="H52" i="27" s="1"/>
  <c r="G42" i="27"/>
  <c r="H42" i="27" s="1"/>
  <c r="G53" i="27"/>
  <c r="H53" i="27" s="1"/>
  <c r="G43" i="29"/>
  <c r="H43" i="29" s="1"/>
  <c r="E37" i="31"/>
  <c r="G37" i="31"/>
  <c r="H37" i="31" s="1"/>
  <c r="G38" i="31"/>
  <c r="H38" i="31" s="1"/>
  <c r="E28" i="27"/>
  <c r="E42" i="28"/>
  <c r="E24" i="28"/>
  <c r="G33" i="29"/>
  <c r="H33" i="29" s="1"/>
  <c r="G41" i="29"/>
  <c r="H41" i="29" s="1"/>
  <c r="E41" i="29"/>
  <c r="G31" i="29"/>
  <c r="H31" i="29" s="1"/>
  <c r="E31" i="29"/>
  <c r="G53" i="30"/>
  <c r="H53" i="30" s="1"/>
  <c r="E53" i="30"/>
  <c r="G47" i="31"/>
  <c r="H47" i="31" s="1"/>
  <c r="E47" i="31"/>
  <c r="G48" i="31"/>
  <c r="H48" i="31" s="1"/>
  <c r="G34" i="30"/>
  <c r="H34" i="30" s="1"/>
  <c r="E29" i="32"/>
  <c r="G30" i="32"/>
  <c r="H30" i="32" s="1"/>
  <c r="G29" i="32"/>
  <c r="H29" i="32" s="1"/>
  <c r="G35" i="30"/>
  <c r="H35" i="30" s="1"/>
  <c r="G38" i="32"/>
  <c r="H38" i="32" s="1"/>
  <c r="E38" i="34"/>
  <c r="G38" i="34"/>
  <c r="H38" i="34" s="1"/>
  <c r="G39" i="34"/>
  <c r="H39" i="34" s="1"/>
  <c r="E35" i="30"/>
  <c r="G23" i="30"/>
  <c r="H23" i="30" s="1"/>
  <c r="E23" i="30"/>
  <c r="G54" i="31"/>
  <c r="H54" i="31" s="1"/>
  <c r="E28" i="31"/>
  <c r="G28" i="31"/>
  <c r="H28" i="31" s="1"/>
  <c r="E45" i="32"/>
  <c r="G46" i="32"/>
  <c r="H46" i="32" s="1"/>
  <c r="G45" i="32"/>
  <c r="H45" i="32" s="1"/>
  <c r="E53" i="32"/>
  <c r="G53" i="32"/>
  <c r="H53" i="32" s="1"/>
  <c r="E28" i="34"/>
  <c r="G28" i="34"/>
  <c r="H28" i="34" s="1"/>
  <c r="E25" i="35"/>
  <c r="G25" i="35"/>
  <c r="H25" i="35" s="1"/>
  <c r="G26" i="35"/>
  <c r="H26" i="35" s="1"/>
  <c r="G55" i="31"/>
  <c r="H55" i="31" s="1"/>
  <c r="G29" i="31"/>
  <c r="H29" i="31" s="1"/>
  <c r="G37" i="36"/>
  <c r="H37" i="36" s="1"/>
  <c r="E47" i="35"/>
  <c r="G47" i="35"/>
  <c r="H47" i="35" s="1"/>
  <c r="E31" i="35"/>
  <c r="G31" i="35"/>
  <c r="H31" i="35" s="1"/>
  <c r="E55" i="36"/>
  <c r="G55" i="36"/>
  <c r="H55" i="36" s="1"/>
  <c r="E50" i="36"/>
  <c r="G50" i="36"/>
  <c r="H50" i="36" s="1"/>
  <c r="E45" i="36"/>
  <c r="G46" i="36"/>
  <c r="H46" i="36" s="1"/>
  <c r="G45" i="36"/>
  <c r="H45" i="36" s="1"/>
  <c r="G41" i="36"/>
  <c r="H41" i="36" s="1"/>
  <c r="E41" i="36"/>
  <c r="E36" i="36"/>
  <c r="G36" i="36"/>
  <c r="H36" i="36" s="1"/>
  <c r="E32" i="36"/>
  <c r="G32" i="36"/>
  <c r="H32" i="36" s="1"/>
  <c r="E27" i="36"/>
  <c r="G27" i="36"/>
  <c r="H27" i="36" s="1"/>
  <c r="E23" i="36"/>
  <c r="G23" i="36"/>
  <c r="H23" i="36" s="1"/>
  <c r="E50" i="37"/>
  <c r="G51" i="37"/>
  <c r="H51" i="37" s="1"/>
  <c r="G50" i="37"/>
  <c r="H50" i="37" s="1"/>
  <c r="E46" i="37"/>
  <c r="G46" i="37"/>
  <c r="H46" i="37" s="1"/>
  <c r="E41" i="37"/>
  <c r="G41" i="37"/>
  <c r="H41" i="37" s="1"/>
  <c r="E34" i="37"/>
  <c r="G34" i="37"/>
  <c r="H34" i="37" s="1"/>
  <c r="E27" i="37"/>
  <c r="G27" i="37"/>
  <c r="H27" i="37" s="1"/>
  <c r="E55" i="38"/>
  <c r="G55" i="38"/>
  <c r="H55" i="38" s="1"/>
  <c r="G45" i="38"/>
  <c r="H45" i="38" s="1"/>
  <c r="E45" i="38"/>
  <c r="G46" i="38"/>
  <c r="H46" i="38" s="1"/>
  <c r="G29" i="38"/>
  <c r="H29" i="38" s="1"/>
  <c r="E29" i="38"/>
  <c r="G30" i="38"/>
  <c r="H30" i="38" s="1"/>
  <c r="J9" i="36"/>
  <c r="F9" i="36"/>
  <c r="F10" i="36"/>
  <c r="G28" i="37"/>
  <c r="H28" i="37" s="1"/>
  <c r="E51" i="38"/>
  <c r="G51" i="38"/>
  <c r="H51" i="38" s="1"/>
  <c r="E35" i="38"/>
  <c r="G35" i="38"/>
  <c r="H35" i="38" s="1"/>
  <c r="E39" i="39"/>
  <c r="G39" i="39"/>
  <c r="H39" i="39" s="1"/>
  <c r="G37" i="35"/>
  <c r="H37" i="35" s="1"/>
  <c r="G28" i="35"/>
  <c r="H28" i="35" s="1"/>
  <c r="G39" i="36"/>
  <c r="H39" i="36" s="1"/>
  <c r="G33" i="36"/>
  <c r="H33" i="36" s="1"/>
  <c r="G44" i="37"/>
  <c r="H44" i="37" s="1"/>
  <c r="G40" i="37"/>
  <c r="H40" i="37" s="1"/>
  <c r="G39" i="37"/>
  <c r="H39" i="37" s="1"/>
  <c r="G54" i="38"/>
  <c r="H54" i="38" s="1"/>
  <c r="E37" i="38"/>
  <c r="G54" i="39"/>
  <c r="H54" i="39" s="1"/>
  <c r="E54" i="39"/>
  <c r="E43" i="39"/>
  <c r="G44" i="39"/>
  <c r="H44" i="39" s="1"/>
  <c r="G43" i="39"/>
  <c r="H43" i="39" s="1"/>
  <c r="G34" i="39"/>
  <c r="H34" i="39" s="1"/>
  <c r="E49" i="38"/>
  <c r="G50" i="38"/>
  <c r="H50" i="38" s="1"/>
  <c r="E33" i="39"/>
  <c r="G33" i="39"/>
  <c r="H33" i="39" s="1"/>
  <c r="E46" i="3"/>
  <c r="G47" i="3"/>
  <c r="H47" i="3" s="1"/>
  <c r="G46" i="3"/>
  <c r="H46" i="3" s="1"/>
  <c r="E37" i="37"/>
  <c r="G37" i="37"/>
  <c r="H37" i="37" s="1"/>
  <c r="G38" i="38"/>
  <c r="H38" i="38" s="1"/>
  <c r="G36" i="38"/>
  <c r="H36" i="38" s="1"/>
  <c r="G29" i="40"/>
  <c r="H29" i="40" s="1"/>
  <c r="E28" i="40"/>
  <c r="G28" i="40"/>
  <c r="H28" i="40" s="1"/>
  <c r="G49" i="36"/>
  <c r="H49" i="36" s="1"/>
  <c r="G49" i="37"/>
  <c r="H49" i="37" s="1"/>
  <c r="G29" i="37"/>
  <c r="H29" i="37" s="1"/>
  <c r="E27" i="38"/>
  <c r="G27" i="38"/>
  <c r="H27" i="38" s="1"/>
  <c r="G55" i="39"/>
  <c r="H55" i="39" s="1"/>
  <c r="E52" i="39"/>
  <c r="G53" i="39"/>
  <c r="H53" i="39" s="1"/>
  <c r="G52" i="39"/>
  <c r="H52" i="39" s="1"/>
  <c r="E43" i="38"/>
  <c r="G43" i="38"/>
  <c r="H43" i="38" s="1"/>
  <c r="E41" i="38"/>
  <c r="G42" i="38"/>
  <c r="H42" i="38" s="1"/>
  <c r="G41" i="38"/>
  <c r="H41" i="38" s="1"/>
  <c r="E33" i="38"/>
  <c r="G34" i="38"/>
  <c r="H34" i="38" s="1"/>
  <c r="G33" i="38"/>
  <c r="H33" i="38" s="1"/>
  <c r="G40" i="39"/>
  <c r="H40" i="39" s="1"/>
  <c r="E28" i="39"/>
  <c r="G29" i="39"/>
  <c r="H29" i="39" s="1"/>
  <c r="G28" i="39"/>
  <c r="H28" i="39" s="1"/>
  <c r="E45" i="39"/>
  <c r="E40" i="39"/>
  <c r="G35" i="39"/>
  <c r="H35" i="39" s="1"/>
  <c r="E34" i="39"/>
  <c r="E44" i="40"/>
  <c r="E38" i="41"/>
  <c r="G38" i="41"/>
  <c r="H38" i="41" s="1"/>
  <c r="E55" i="3"/>
  <c r="G55" i="3"/>
  <c r="H55" i="3" s="1"/>
  <c r="F20" i="33"/>
  <c r="J19" i="33"/>
  <c r="G25" i="38"/>
  <c r="H25" i="38" s="1"/>
  <c r="G50" i="39"/>
  <c r="H50" i="39" s="1"/>
  <c r="G42" i="39"/>
  <c r="H42" i="39" s="1"/>
  <c r="G37" i="39"/>
  <c r="H37" i="39" s="1"/>
  <c r="G27" i="39"/>
  <c r="H27" i="39" s="1"/>
  <c r="G55" i="40"/>
  <c r="H55" i="40" s="1"/>
  <c r="G39" i="40"/>
  <c r="H39" i="40" s="1"/>
  <c r="E44" i="41"/>
  <c r="G45" i="41"/>
  <c r="H45" i="41" s="1"/>
  <c r="G44" i="41"/>
  <c r="H44" i="41" s="1"/>
  <c r="E30" i="41"/>
  <c r="G30" i="41"/>
  <c r="H30" i="41" s="1"/>
  <c r="J14" i="28"/>
  <c r="F15" i="28"/>
  <c r="G26" i="38"/>
  <c r="H26" i="38" s="1"/>
  <c r="G51" i="39"/>
  <c r="H51" i="39" s="1"/>
  <c r="G38" i="39"/>
  <c r="H38" i="39" s="1"/>
  <c r="G52" i="40"/>
  <c r="H52" i="40" s="1"/>
  <c r="G46" i="40"/>
  <c r="H46" i="40" s="1"/>
  <c r="E39" i="40"/>
  <c r="G36" i="40"/>
  <c r="H36" i="40" s="1"/>
  <c r="G30" i="40"/>
  <c r="H30" i="40" s="1"/>
  <c r="E52" i="40"/>
  <c r="E36" i="40"/>
  <c r="E55" i="41"/>
  <c r="G55" i="41"/>
  <c r="H55" i="41" s="1"/>
  <c r="E53" i="41"/>
  <c r="G54" i="41"/>
  <c r="H54" i="41" s="1"/>
  <c r="E46" i="41"/>
  <c r="G46" i="41"/>
  <c r="H46" i="41" s="1"/>
  <c r="G39" i="41"/>
  <c r="H39" i="41" s="1"/>
  <c r="E36" i="41"/>
  <c r="G37" i="41"/>
  <c r="H37" i="41" s="1"/>
  <c r="G36" i="41"/>
  <c r="H36" i="41" s="1"/>
  <c r="E20" i="26"/>
  <c r="G20" i="26"/>
  <c r="H20" i="26" s="1"/>
  <c r="G47" i="40"/>
  <c r="H47" i="40" s="1"/>
  <c r="G31" i="40"/>
  <c r="H31" i="40" s="1"/>
  <c r="G31" i="41"/>
  <c r="H31" i="41" s="1"/>
  <c r="E18" i="27"/>
  <c r="G18" i="27"/>
  <c r="H18" i="27" s="1"/>
  <c r="J15" i="33"/>
  <c r="F17" i="33"/>
  <c r="F15" i="33"/>
  <c r="E17" i="28"/>
  <c r="G17" i="28"/>
  <c r="F10" i="31"/>
  <c r="J10" i="31"/>
  <c r="J10" i="35"/>
  <c r="F10" i="35"/>
  <c r="E10" i="40"/>
  <c r="G10" i="40"/>
  <c r="G42" i="3"/>
  <c r="H42" i="3" s="1"/>
  <c r="I16" i="28"/>
  <c r="G28" i="41"/>
  <c r="H28" i="41" s="1"/>
  <c r="G53" i="3"/>
  <c r="H53" i="3" s="1"/>
  <c r="G43" i="3"/>
  <c r="H43" i="3" s="1"/>
  <c r="G18" i="26"/>
  <c r="H18" i="26" s="1"/>
  <c r="G18" i="31"/>
  <c r="H18" i="31" s="1"/>
  <c r="G20" i="34"/>
  <c r="H20" i="34" s="1"/>
  <c r="E14" i="26"/>
  <c r="G15" i="26"/>
  <c r="H15" i="26" s="1"/>
  <c r="G14" i="26"/>
  <c r="E14" i="29"/>
  <c r="G15" i="29"/>
  <c r="H15" i="29" s="1"/>
  <c r="G14" i="29"/>
  <c r="H14" i="29" s="1"/>
  <c r="G29" i="41"/>
  <c r="H29" i="41" s="1"/>
  <c r="G54" i="3"/>
  <c r="H54" i="3" s="1"/>
  <c r="G21" i="28"/>
  <c r="H21" i="28" s="1"/>
  <c r="F13" i="26"/>
  <c r="J13" i="26"/>
  <c r="J9" i="28"/>
  <c r="F9" i="28"/>
  <c r="F10" i="28"/>
  <c r="J10" i="28"/>
  <c r="F12" i="28"/>
  <c r="E10" i="32"/>
  <c r="G10" i="32"/>
  <c r="H10" i="37"/>
  <c r="I10" i="37"/>
  <c r="G20" i="32"/>
  <c r="H20" i="32" s="1"/>
  <c r="H12" i="28"/>
  <c r="I13" i="28"/>
  <c r="I12" i="28"/>
  <c r="I15" i="28"/>
  <c r="J10" i="27"/>
  <c r="F10" i="27"/>
  <c r="F10" i="39"/>
  <c r="J10" i="39"/>
  <c r="J18" i="33"/>
  <c r="F19" i="33"/>
  <c r="H10" i="29"/>
  <c r="I10" i="29"/>
  <c r="J10" i="29" s="1"/>
  <c r="F9" i="29"/>
  <c r="J3" i="3"/>
  <c r="J3" i="41"/>
  <c r="J3" i="40"/>
  <c r="J3" i="39"/>
  <c r="J3" i="38"/>
  <c r="J3" i="37"/>
  <c r="J3" i="36"/>
  <c r="J3" i="35"/>
  <c r="J3" i="34"/>
  <c r="J3" i="33"/>
  <c r="J3" i="32"/>
  <c r="J3" i="31"/>
  <c r="J3" i="30"/>
  <c r="J3" i="29"/>
  <c r="J3" i="28"/>
  <c r="J3" i="27"/>
  <c r="J3" i="26"/>
  <c r="J3" i="6"/>
  <c r="J3" i="25"/>
  <c r="E7" i="6"/>
  <c r="E7" i="25"/>
  <c r="E15" i="25"/>
  <c r="E14" i="25"/>
  <c r="E9" i="25"/>
  <c r="F9" i="25" s="1"/>
  <c r="E10" i="25"/>
  <c r="E11" i="25"/>
  <c r="E12" i="25"/>
  <c r="E13" i="25"/>
  <c r="F13" i="25" s="1"/>
  <c r="E8" i="25"/>
  <c r="E15" i="6"/>
  <c r="E9" i="6"/>
  <c r="E10" i="6"/>
  <c r="E11" i="6"/>
  <c r="E12" i="6"/>
  <c r="E13" i="6"/>
  <c r="E14" i="6"/>
  <c r="E8" i="6"/>
  <c r="F8" i="6" s="1"/>
  <c r="I12" i="39" l="1"/>
  <c r="F12" i="39" s="1"/>
  <c r="F11" i="39"/>
  <c r="J11" i="39"/>
  <c r="F10" i="29"/>
  <c r="I17" i="26"/>
  <c r="J17" i="26" s="1"/>
  <c r="F16" i="28"/>
  <c r="J15" i="28"/>
  <c r="J12" i="28"/>
  <c r="F13" i="28"/>
  <c r="J13" i="28"/>
  <c r="F14" i="28"/>
  <c r="J10" i="37"/>
  <c r="F10" i="37"/>
  <c r="H10" i="32"/>
  <c r="I18" i="26"/>
  <c r="I16" i="26"/>
  <c r="H14" i="26"/>
  <c r="I15" i="26"/>
  <c r="I21" i="26"/>
  <c r="J21" i="26" s="1"/>
  <c r="I20" i="26"/>
  <c r="I14" i="26"/>
  <c r="F14" i="26" s="1"/>
  <c r="F17" i="28"/>
  <c r="J16" i="28"/>
  <c r="H10" i="40"/>
  <c r="I10" i="40"/>
  <c r="H17" i="28"/>
  <c r="I18" i="28"/>
  <c r="I21" i="28"/>
  <c r="J21" i="28" s="1"/>
  <c r="I17" i="28"/>
  <c r="I20" i="28"/>
  <c r="F7" i="6"/>
  <c r="F9" i="6"/>
  <c r="F13" i="6"/>
  <c r="F12" i="6"/>
  <c r="F8" i="25"/>
  <c r="F10" i="6"/>
  <c r="F12" i="25"/>
  <c r="F15" i="6"/>
  <c r="F11" i="6"/>
  <c r="F15" i="25"/>
  <c r="F11" i="25"/>
  <c r="F14" i="6"/>
  <c r="F14" i="25"/>
  <c r="F10" i="25"/>
  <c r="F7" i="25"/>
  <c r="Q8" i="26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Q13" i="30"/>
  <c r="Q14" i="30"/>
  <c r="Q8" i="31"/>
  <c r="Q9" i="31"/>
  <c r="Q10" i="31"/>
  <c r="Q11" i="31"/>
  <c r="Q12" i="31"/>
  <c r="Q13" i="3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Q12" i="37"/>
  <c r="Q13" i="37"/>
  <c r="Q14" i="37"/>
  <c r="Q8" i="38"/>
  <c r="Q9" i="38"/>
  <c r="Q10" i="38"/>
  <c r="Q11" i="38"/>
  <c r="Q12" i="38"/>
  <c r="Q13" i="38"/>
  <c r="Q14" i="38"/>
  <c r="Q8" i="39"/>
  <c r="Q9" i="39"/>
  <c r="Q10" i="39"/>
  <c r="Q11" i="39"/>
  <c r="Q12" i="39"/>
  <c r="Q13" i="39"/>
  <c r="Q14" i="39"/>
  <c r="Q8" i="40"/>
  <c r="Q9" i="40"/>
  <c r="Q10" i="40"/>
  <c r="Q11" i="40"/>
  <c r="Q12" i="40"/>
  <c r="Q13" i="40"/>
  <c r="Q14" i="40"/>
  <c r="Q8" i="41"/>
  <c r="Q9" i="41"/>
  <c r="Q10" i="41"/>
  <c r="Q11" i="41"/>
  <c r="Q12" i="41"/>
  <c r="Q13" i="41"/>
  <c r="Q14" i="41"/>
  <c r="Q8" i="3"/>
  <c r="D10" i="69" s="1"/>
  <c r="Q9" i="3"/>
  <c r="D11" i="69" s="1"/>
  <c r="Q10" i="3"/>
  <c r="D12" i="69" s="1"/>
  <c r="Q11" i="3"/>
  <c r="D13" i="69" s="1"/>
  <c r="Q12" i="3"/>
  <c r="D14" i="69" s="1"/>
  <c r="Q13" i="3"/>
  <c r="D15" i="69" s="1"/>
  <c r="Q14" i="3"/>
  <c r="D16" i="69" s="1"/>
  <c r="D9" i="69"/>
  <c r="H4" i="41"/>
  <c r="H4" i="40"/>
  <c r="H4" i="39"/>
  <c r="H4" i="38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3" i="41"/>
  <c r="H3" i="40"/>
  <c r="H3" i="39"/>
  <c r="H3" i="38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J12" i="39" l="1"/>
  <c r="F18" i="26"/>
  <c r="J20" i="28"/>
  <c r="F21" i="28"/>
  <c r="J17" i="28"/>
  <c r="F18" i="28"/>
  <c r="J18" i="28"/>
  <c r="F20" i="28"/>
  <c r="F10" i="40"/>
  <c r="J10" i="40"/>
  <c r="F15" i="26"/>
  <c r="J14" i="26"/>
  <c r="J20" i="26"/>
  <c r="F21" i="26"/>
  <c r="J15" i="26"/>
  <c r="F16" i="26"/>
  <c r="J16" i="26"/>
  <c r="F17" i="26"/>
  <c r="F20" i="26"/>
  <c r="J18" i="26"/>
  <c r="H9" i="69"/>
  <c r="L9" i="69"/>
  <c r="G20" i="69"/>
  <c r="K20" i="69"/>
  <c r="K23" i="69"/>
  <c r="I25" i="69"/>
  <c r="I21" i="69"/>
  <c r="G27" i="69"/>
  <c r="G23" i="69"/>
  <c r="E25" i="69"/>
  <c r="E21" i="69"/>
  <c r="L16" i="69"/>
  <c r="L12" i="69"/>
  <c r="J14" i="69"/>
  <c r="J10" i="69"/>
  <c r="H16" i="69"/>
  <c r="H12" i="69"/>
  <c r="F14" i="69"/>
  <c r="F10" i="69"/>
  <c r="F9" i="69"/>
  <c r="J9" i="69"/>
  <c r="E20" i="69"/>
  <c r="I20" i="69"/>
  <c r="K25" i="69"/>
  <c r="K21" i="69"/>
  <c r="I27" i="69"/>
  <c r="I23" i="69"/>
  <c r="G25" i="69"/>
  <c r="G21" i="69"/>
  <c r="E27" i="69"/>
  <c r="E23" i="69"/>
  <c r="L14" i="69"/>
  <c r="L10" i="69"/>
  <c r="J16" i="69"/>
  <c r="J12" i="69"/>
  <c r="H14" i="69"/>
  <c r="H10" i="69"/>
  <c r="F16" i="69"/>
  <c r="F12" i="69"/>
  <c r="D22" i="69"/>
  <c r="I11" i="69"/>
  <c r="J26" i="69"/>
  <c r="J22" i="69"/>
  <c r="H24" i="69"/>
  <c r="F22" i="69"/>
  <c r="D24" i="69"/>
  <c r="K15" i="69"/>
  <c r="K11" i="69"/>
  <c r="G15" i="69"/>
  <c r="G11" i="69"/>
  <c r="I9" i="69"/>
  <c r="D20" i="69"/>
  <c r="H20" i="69"/>
  <c r="K26" i="69"/>
  <c r="K22" i="69"/>
  <c r="J25" i="69"/>
  <c r="J21" i="69"/>
  <c r="I24" i="69"/>
  <c r="H27" i="69"/>
  <c r="H23" i="69"/>
  <c r="G26" i="69"/>
  <c r="G22" i="69"/>
  <c r="F25" i="69"/>
  <c r="F21" i="69"/>
  <c r="E24" i="69"/>
  <c r="D27" i="69"/>
  <c r="D23" i="69"/>
  <c r="L15" i="69"/>
  <c r="L11" i="69"/>
  <c r="K14" i="69"/>
  <c r="K10" i="69"/>
  <c r="J13" i="69"/>
  <c r="I16" i="69"/>
  <c r="I12" i="69"/>
  <c r="H15" i="69"/>
  <c r="H11" i="69"/>
  <c r="G14" i="69"/>
  <c r="G10" i="69"/>
  <c r="F13" i="69"/>
  <c r="D26" i="69"/>
  <c r="J24" i="69"/>
  <c r="H22" i="69"/>
  <c r="F24" i="69"/>
  <c r="K13" i="69"/>
  <c r="G13" i="69"/>
  <c r="G9" i="69"/>
  <c r="K9" i="69"/>
  <c r="F20" i="69"/>
  <c r="J20" i="69"/>
  <c r="K24" i="69"/>
  <c r="J27" i="69"/>
  <c r="J23" i="69"/>
  <c r="I26" i="69"/>
  <c r="I22" i="69"/>
  <c r="H25" i="69"/>
  <c r="H21" i="69"/>
  <c r="G24" i="69"/>
  <c r="F27" i="69"/>
  <c r="F23" i="69"/>
  <c r="E26" i="69"/>
  <c r="E22" i="69"/>
  <c r="D25" i="69"/>
  <c r="D21" i="69"/>
  <c r="L13" i="69"/>
  <c r="K12" i="69"/>
  <c r="J15" i="69"/>
  <c r="J11" i="69"/>
  <c r="I14" i="69"/>
  <c r="I10" i="69"/>
  <c r="H13" i="69"/>
  <c r="G16" i="69"/>
  <c r="G12" i="69"/>
  <c r="F15" i="69"/>
  <c r="F11" i="69"/>
  <c r="H26" i="69"/>
  <c r="I15" i="69"/>
  <c r="F26" i="69"/>
  <c r="I13" i="69"/>
  <c r="L15" i="34"/>
  <c r="L13" i="28" l="1"/>
  <c r="L17" i="28"/>
  <c r="L21" i="28"/>
  <c r="D22" i="28"/>
  <c r="L25" i="28"/>
  <c r="L29" i="28"/>
  <c r="L33" i="28"/>
  <c r="L37" i="28"/>
  <c r="L41" i="28"/>
  <c r="L45" i="28"/>
  <c r="L49" i="28"/>
  <c r="L53" i="28"/>
  <c r="D57" i="28"/>
  <c r="G57" i="28" l="1"/>
  <c r="H57" i="28" s="1"/>
  <c r="L57" i="28"/>
  <c r="L52" i="28"/>
  <c r="L48" i="28"/>
  <c r="L44" i="28"/>
  <c r="L40" i="28"/>
  <c r="L36" i="28"/>
  <c r="L32" i="28"/>
  <c r="L28" i="28"/>
  <c r="L24" i="28"/>
  <c r="L20" i="28"/>
  <c r="L16" i="28"/>
  <c r="L55" i="28"/>
  <c r="L47" i="28"/>
  <c r="L39" i="28"/>
  <c r="L35" i="28"/>
  <c r="L31" i="28"/>
  <c r="L27" i="28"/>
  <c r="L23" i="28"/>
  <c r="L19" i="28"/>
  <c r="L15" i="28"/>
  <c r="L51" i="28"/>
  <c r="L43" i="28"/>
  <c r="L54" i="28"/>
  <c r="L50" i="28"/>
  <c r="L46" i="28"/>
  <c r="L42" i="28"/>
  <c r="L38" i="28"/>
  <c r="L34" i="28"/>
  <c r="L30" i="28"/>
  <c r="L26" i="28"/>
  <c r="G22" i="28"/>
  <c r="L22" i="28"/>
  <c r="L18" i="28"/>
  <c r="L14" i="28"/>
  <c r="D57" i="41"/>
  <c r="L55" i="41"/>
  <c r="L54" i="41"/>
  <c r="L53" i="41"/>
  <c r="L52" i="41"/>
  <c r="L51" i="41"/>
  <c r="L50" i="41"/>
  <c r="L49" i="41"/>
  <c r="L48" i="41"/>
  <c r="L47" i="41"/>
  <c r="L46" i="41"/>
  <c r="L45" i="41"/>
  <c r="L44" i="41"/>
  <c r="L43" i="41"/>
  <c r="L42" i="41"/>
  <c r="L41" i="41"/>
  <c r="L40" i="41"/>
  <c r="L39" i="41"/>
  <c r="L38" i="41"/>
  <c r="L37" i="41"/>
  <c r="L36" i="41"/>
  <c r="L35" i="41"/>
  <c r="L34" i="41"/>
  <c r="L33" i="41"/>
  <c r="L32" i="41"/>
  <c r="L31" i="41"/>
  <c r="L30" i="41"/>
  <c r="L29" i="41"/>
  <c r="L28" i="41"/>
  <c r="L27" i="41"/>
  <c r="L26" i="41"/>
  <c r="L25" i="41"/>
  <c r="L24" i="41"/>
  <c r="L23" i="41"/>
  <c r="D22" i="41"/>
  <c r="L22" i="41" s="1"/>
  <c r="L21" i="41"/>
  <c r="L20" i="41"/>
  <c r="L19" i="41"/>
  <c r="L18" i="41"/>
  <c r="L17" i="41"/>
  <c r="L16" i="41"/>
  <c r="L15" i="41"/>
  <c r="L14" i="41"/>
  <c r="L13" i="41"/>
  <c r="L12" i="41"/>
  <c r="D11" i="41"/>
  <c r="L11" i="41" s="1"/>
  <c r="L10" i="41"/>
  <c r="D7" i="41"/>
  <c r="D57" i="40"/>
  <c r="L55" i="40"/>
  <c r="L54" i="40"/>
  <c r="L53" i="40"/>
  <c r="L52" i="40"/>
  <c r="L51" i="40"/>
  <c r="L50" i="40"/>
  <c r="L49" i="40"/>
  <c r="L48" i="40"/>
  <c r="L47" i="40"/>
  <c r="L46" i="40"/>
  <c r="L45" i="40"/>
  <c r="L44" i="40"/>
  <c r="L43" i="40"/>
  <c r="L42" i="40"/>
  <c r="L41" i="40"/>
  <c r="L40" i="40"/>
  <c r="L39" i="40"/>
  <c r="L38" i="40"/>
  <c r="L37" i="40"/>
  <c r="L36" i="40"/>
  <c r="L35" i="40"/>
  <c r="L34" i="40"/>
  <c r="L33" i="40"/>
  <c r="L32" i="40"/>
  <c r="L31" i="40"/>
  <c r="L30" i="40"/>
  <c r="L29" i="40"/>
  <c r="L28" i="40"/>
  <c r="L27" i="40"/>
  <c r="L26" i="40"/>
  <c r="L25" i="40"/>
  <c r="L24" i="40"/>
  <c r="L23" i="40"/>
  <c r="D22" i="40"/>
  <c r="L22" i="40" s="1"/>
  <c r="L21" i="40"/>
  <c r="L20" i="40"/>
  <c r="L19" i="40"/>
  <c r="L18" i="40"/>
  <c r="L17" i="40"/>
  <c r="L16" i="40"/>
  <c r="L15" i="40"/>
  <c r="L14" i="40"/>
  <c r="L13" i="40"/>
  <c r="L12" i="40"/>
  <c r="D11" i="40"/>
  <c r="L11" i="40" s="1"/>
  <c r="L10" i="40"/>
  <c r="D7" i="40"/>
  <c r="D57" i="39"/>
  <c r="L55" i="39"/>
  <c r="L54" i="39"/>
  <c r="L53" i="39"/>
  <c r="L52" i="39"/>
  <c r="L51" i="39"/>
  <c r="L50" i="39"/>
  <c r="L49" i="39"/>
  <c r="L48" i="39"/>
  <c r="L47" i="39"/>
  <c r="L46" i="39"/>
  <c r="L45" i="39"/>
  <c r="L44" i="39"/>
  <c r="L43" i="39"/>
  <c r="L42" i="39"/>
  <c r="L41" i="39"/>
  <c r="L40" i="39"/>
  <c r="L39" i="39"/>
  <c r="L38" i="39"/>
  <c r="L37" i="39"/>
  <c r="L36" i="39"/>
  <c r="L35" i="39"/>
  <c r="L34" i="39"/>
  <c r="L33" i="39"/>
  <c r="L32" i="39"/>
  <c r="L31" i="39"/>
  <c r="L30" i="39"/>
  <c r="L29" i="39"/>
  <c r="L28" i="39"/>
  <c r="L27" i="39"/>
  <c r="L26" i="39"/>
  <c r="L25" i="39"/>
  <c r="L24" i="39"/>
  <c r="L23" i="39"/>
  <c r="D22" i="39"/>
  <c r="L22" i="39" s="1"/>
  <c r="L21" i="39"/>
  <c r="L20" i="39"/>
  <c r="L19" i="39"/>
  <c r="L18" i="39"/>
  <c r="L17" i="39"/>
  <c r="L16" i="39"/>
  <c r="L15" i="39"/>
  <c r="L14" i="39"/>
  <c r="L13" i="39"/>
  <c r="L12" i="39"/>
  <c r="L11" i="39"/>
  <c r="L10" i="39"/>
  <c r="D7" i="39"/>
  <c r="D57" i="38"/>
  <c r="L55" i="38"/>
  <c r="L54" i="38"/>
  <c r="L53" i="38"/>
  <c r="L52" i="38"/>
  <c r="L51" i="38"/>
  <c r="L50" i="38"/>
  <c r="L49" i="38"/>
  <c r="L48" i="38"/>
  <c r="L47" i="38"/>
  <c r="L46" i="38"/>
  <c r="L45" i="38"/>
  <c r="L44" i="38"/>
  <c r="L43" i="38"/>
  <c r="L42" i="38"/>
  <c r="L41" i="38"/>
  <c r="L40" i="38"/>
  <c r="L39" i="38"/>
  <c r="L38" i="38"/>
  <c r="L37" i="38"/>
  <c r="L36" i="38"/>
  <c r="L35" i="38"/>
  <c r="L34" i="38"/>
  <c r="L33" i="38"/>
  <c r="L32" i="38"/>
  <c r="L31" i="38"/>
  <c r="L30" i="38"/>
  <c r="L29" i="38"/>
  <c r="L28" i="38"/>
  <c r="L27" i="38"/>
  <c r="L26" i="38"/>
  <c r="L25" i="38"/>
  <c r="L24" i="38"/>
  <c r="L23" i="38"/>
  <c r="D22" i="38"/>
  <c r="L22" i="38" s="1"/>
  <c r="L21" i="38"/>
  <c r="L20" i="38"/>
  <c r="L19" i="38"/>
  <c r="L18" i="38"/>
  <c r="L17" i="38"/>
  <c r="L16" i="38"/>
  <c r="L15" i="38"/>
  <c r="L14" i="38"/>
  <c r="L13" i="38"/>
  <c r="L12" i="38"/>
  <c r="D11" i="38"/>
  <c r="L11" i="38" s="1"/>
  <c r="L10" i="38"/>
  <c r="D7" i="38"/>
  <c r="D57" i="37"/>
  <c r="L55" i="37"/>
  <c r="L54" i="37"/>
  <c r="L53" i="37"/>
  <c r="L52" i="37"/>
  <c r="L51" i="37"/>
  <c r="L50" i="37"/>
  <c r="L49" i="37"/>
  <c r="L48" i="37"/>
  <c r="L47" i="37"/>
  <c r="L46" i="37"/>
  <c r="L45" i="37"/>
  <c r="L44" i="37"/>
  <c r="L43" i="37"/>
  <c r="L42" i="37"/>
  <c r="L41" i="37"/>
  <c r="L40" i="37"/>
  <c r="L39" i="37"/>
  <c r="L38" i="37"/>
  <c r="L37" i="37"/>
  <c r="L36" i="37"/>
  <c r="L35" i="37"/>
  <c r="L34" i="37"/>
  <c r="L33" i="37"/>
  <c r="L32" i="37"/>
  <c r="L31" i="37"/>
  <c r="L30" i="37"/>
  <c r="L29" i="37"/>
  <c r="L28" i="37"/>
  <c r="L27" i="37"/>
  <c r="L26" i="37"/>
  <c r="L25" i="37"/>
  <c r="L24" i="37"/>
  <c r="L23" i="37"/>
  <c r="D22" i="37"/>
  <c r="L22" i="37" s="1"/>
  <c r="L21" i="37"/>
  <c r="L20" i="37"/>
  <c r="L19" i="37"/>
  <c r="L18" i="37"/>
  <c r="L17" i="37"/>
  <c r="L16" i="37"/>
  <c r="L15" i="37"/>
  <c r="L14" i="37"/>
  <c r="L13" i="37"/>
  <c r="L12" i="37"/>
  <c r="D11" i="37"/>
  <c r="L11" i="37" s="1"/>
  <c r="L10" i="37"/>
  <c r="D7" i="37"/>
  <c r="D57" i="36"/>
  <c r="L55" i="36"/>
  <c r="L54" i="36"/>
  <c r="L53" i="36"/>
  <c r="L52" i="36"/>
  <c r="L51" i="36"/>
  <c r="L50" i="36"/>
  <c r="L49" i="36"/>
  <c r="L48" i="36"/>
  <c r="L47" i="36"/>
  <c r="L46" i="36"/>
  <c r="L45" i="36"/>
  <c r="L44" i="36"/>
  <c r="L43" i="36"/>
  <c r="L42" i="36"/>
  <c r="L41" i="36"/>
  <c r="L40" i="36"/>
  <c r="L39" i="36"/>
  <c r="L38" i="36"/>
  <c r="L37" i="36"/>
  <c r="L36" i="36"/>
  <c r="L35" i="36"/>
  <c r="L34" i="36"/>
  <c r="L33" i="36"/>
  <c r="L32" i="36"/>
  <c r="L31" i="36"/>
  <c r="L30" i="36"/>
  <c r="L29" i="36"/>
  <c r="L28" i="36"/>
  <c r="L27" i="36"/>
  <c r="L26" i="36"/>
  <c r="L25" i="36"/>
  <c r="L24" i="36"/>
  <c r="L23" i="36"/>
  <c r="D22" i="36"/>
  <c r="L22" i="36" s="1"/>
  <c r="L21" i="36"/>
  <c r="L20" i="36"/>
  <c r="L19" i="36"/>
  <c r="L18" i="36"/>
  <c r="L17" i="36"/>
  <c r="L16" i="36"/>
  <c r="L15" i="36"/>
  <c r="L14" i="36"/>
  <c r="L13" i="36"/>
  <c r="L12" i="36"/>
  <c r="D11" i="36"/>
  <c r="L11" i="36" s="1"/>
  <c r="L10" i="36"/>
  <c r="D7" i="36"/>
  <c r="D57" i="35"/>
  <c r="L55" i="35"/>
  <c r="L54" i="35"/>
  <c r="L53" i="35"/>
  <c r="L52" i="35"/>
  <c r="L51" i="35"/>
  <c r="L50" i="35"/>
  <c r="L49" i="35"/>
  <c r="L48" i="35"/>
  <c r="L47" i="35"/>
  <c r="L46" i="35"/>
  <c r="L45" i="35"/>
  <c r="L44" i="35"/>
  <c r="L43" i="35"/>
  <c r="L42" i="35"/>
  <c r="L41" i="35"/>
  <c r="L40" i="35"/>
  <c r="L39" i="35"/>
  <c r="L38" i="35"/>
  <c r="L37" i="35"/>
  <c r="L36" i="35"/>
  <c r="L35" i="35"/>
  <c r="L34" i="35"/>
  <c r="L33" i="35"/>
  <c r="L32" i="35"/>
  <c r="L31" i="35"/>
  <c r="L30" i="35"/>
  <c r="L29" i="35"/>
  <c r="L28" i="35"/>
  <c r="L27" i="35"/>
  <c r="L26" i="35"/>
  <c r="L25" i="35"/>
  <c r="L24" i="35"/>
  <c r="L23" i="35"/>
  <c r="L22" i="35"/>
  <c r="L21" i="35"/>
  <c r="L20" i="35"/>
  <c r="L19" i="35"/>
  <c r="L18" i="35"/>
  <c r="L17" i="35"/>
  <c r="L16" i="35"/>
  <c r="L15" i="35"/>
  <c r="L14" i="35"/>
  <c r="L13" i="35"/>
  <c r="L12" i="35"/>
  <c r="D11" i="35"/>
  <c r="L11" i="35" s="1"/>
  <c r="L10" i="35"/>
  <c r="D7" i="35"/>
  <c r="D57" i="34"/>
  <c r="L55" i="34"/>
  <c r="L54" i="34"/>
  <c r="L53" i="34"/>
  <c r="L52" i="34"/>
  <c r="L51" i="34"/>
  <c r="L50" i="34"/>
  <c r="L49" i="34"/>
  <c r="L48" i="34"/>
  <c r="L47" i="34"/>
  <c r="L46" i="34"/>
  <c r="L45" i="34"/>
  <c r="L44" i="34"/>
  <c r="L43" i="34"/>
  <c r="L42" i="34"/>
  <c r="L41" i="34"/>
  <c r="L40" i="34"/>
  <c r="L39" i="34"/>
  <c r="L38" i="34"/>
  <c r="L37" i="34"/>
  <c r="L36" i="34"/>
  <c r="L35" i="34"/>
  <c r="L34" i="34"/>
  <c r="L33" i="34"/>
  <c r="L32" i="34"/>
  <c r="L31" i="34"/>
  <c r="L30" i="34"/>
  <c r="L29" i="34"/>
  <c r="L28" i="34"/>
  <c r="L27" i="34"/>
  <c r="L26" i="34"/>
  <c r="L25" i="34"/>
  <c r="L24" i="34"/>
  <c r="L23" i="34"/>
  <c r="D22" i="34"/>
  <c r="L22" i="34" s="1"/>
  <c r="L21" i="34"/>
  <c r="L20" i="34"/>
  <c r="L19" i="34"/>
  <c r="L18" i="34"/>
  <c r="L17" i="34"/>
  <c r="L14" i="34"/>
  <c r="L13" i="34"/>
  <c r="L12" i="34"/>
  <c r="D11" i="34"/>
  <c r="L11" i="34" s="1"/>
  <c r="L10" i="34"/>
  <c r="D7" i="34"/>
  <c r="D57" i="33"/>
  <c r="L55" i="33"/>
  <c r="L54" i="33"/>
  <c r="L53" i="33"/>
  <c r="L52" i="33"/>
  <c r="L51" i="33"/>
  <c r="L50" i="33"/>
  <c r="L49" i="33"/>
  <c r="L48" i="33"/>
  <c r="L47" i="33"/>
  <c r="L46" i="33"/>
  <c r="L45" i="33"/>
  <c r="L44" i="33"/>
  <c r="L43" i="33"/>
  <c r="L42" i="33"/>
  <c r="L41" i="33"/>
  <c r="L40" i="33"/>
  <c r="L39" i="33"/>
  <c r="L38" i="33"/>
  <c r="L37" i="33"/>
  <c r="L36" i="33"/>
  <c r="L35" i="33"/>
  <c r="L34" i="33"/>
  <c r="L33" i="33"/>
  <c r="L32" i="33"/>
  <c r="L31" i="33"/>
  <c r="L30" i="33"/>
  <c r="L29" i="33"/>
  <c r="L28" i="33"/>
  <c r="L27" i="33"/>
  <c r="L26" i="33"/>
  <c r="L25" i="33"/>
  <c r="L24" i="33"/>
  <c r="L23" i="33"/>
  <c r="D22" i="33"/>
  <c r="L22" i="33" s="1"/>
  <c r="L21" i="33"/>
  <c r="L20" i="33"/>
  <c r="L19" i="33"/>
  <c r="L18" i="33"/>
  <c r="L17" i="33"/>
  <c r="L16" i="33"/>
  <c r="L15" i="33"/>
  <c r="L14" i="33"/>
  <c r="L13" i="33"/>
  <c r="L12" i="33"/>
  <c r="L11" i="33"/>
  <c r="L10" i="33"/>
  <c r="D7" i="33"/>
  <c r="D57" i="32"/>
  <c r="L55" i="32"/>
  <c r="L54" i="32"/>
  <c r="L53" i="32"/>
  <c r="L52" i="32"/>
  <c r="L51" i="32"/>
  <c r="L50" i="32"/>
  <c r="L49" i="32"/>
  <c r="L48" i="32"/>
  <c r="L47" i="32"/>
  <c r="L46" i="32"/>
  <c r="L45" i="32"/>
  <c r="L44" i="32"/>
  <c r="L43" i="32"/>
  <c r="L42" i="32"/>
  <c r="L41" i="32"/>
  <c r="L40" i="32"/>
  <c r="L39" i="32"/>
  <c r="L38" i="32"/>
  <c r="L37" i="32"/>
  <c r="L36" i="32"/>
  <c r="L35" i="32"/>
  <c r="L34" i="32"/>
  <c r="L33" i="32"/>
  <c r="L32" i="32"/>
  <c r="L31" i="32"/>
  <c r="L30" i="32"/>
  <c r="L29" i="32"/>
  <c r="L28" i="32"/>
  <c r="L27" i="32"/>
  <c r="L26" i="32"/>
  <c r="L25" i="32"/>
  <c r="L24" i="32"/>
  <c r="L23" i="32"/>
  <c r="D22" i="32"/>
  <c r="L22" i="32" s="1"/>
  <c r="L21" i="32"/>
  <c r="L20" i="32"/>
  <c r="L19" i="32"/>
  <c r="L18" i="32"/>
  <c r="L17" i="32"/>
  <c r="L16" i="32"/>
  <c r="L15" i="32"/>
  <c r="L14" i="32"/>
  <c r="L13" i="32"/>
  <c r="L12" i="32"/>
  <c r="D11" i="32"/>
  <c r="L11" i="32" s="1"/>
  <c r="L10" i="32"/>
  <c r="D57" i="31"/>
  <c r="L55" i="31"/>
  <c r="L54" i="31"/>
  <c r="L53" i="31"/>
  <c r="L52" i="31"/>
  <c r="L51" i="31"/>
  <c r="L50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L24" i="31"/>
  <c r="L23" i="31"/>
  <c r="D22" i="31"/>
  <c r="L22" i="31" s="1"/>
  <c r="L21" i="31"/>
  <c r="L20" i="31"/>
  <c r="L19" i="31"/>
  <c r="L18" i="31"/>
  <c r="L17" i="31"/>
  <c r="L16" i="31"/>
  <c r="L15" i="31"/>
  <c r="L14" i="31"/>
  <c r="L13" i="31"/>
  <c r="L12" i="31"/>
  <c r="D11" i="31"/>
  <c r="L11" i="31" s="1"/>
  <c r="L10" i="31"/>
  <c r="D7" i="31"/>
  <c r="D57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D22" i="30"/>
  <c r="L22" i="30" s="1"/>
  <c r="L21" i="30"/>
  <c r="L20" i="30"/>
  <c r="L19" i="30"/>
  <c r="L18" i="30"/>
  <c r="L17" i="30"/>
  <c r="L16" i="30"/>
  <c r="L15" i="30"/>
  <c r="L14" i="30"/>
  <c r="L13" i="30"/>
  <c r="L12" i="30"/>
  <c r="D11" i="30"/>
  <c r="L11" i="30" s="1"/>
  <c r="L10" i="30"/>
  <c r="D7" i="30"/>
  <c r="D57" i="29"/>
  <c r="L55" i="29"/>
  <c r="L54" i="29"/>
  <c r="L53" i="29"/>
  <c r="L52" i="29"/>
  <c r="L51" i="29"/>
  <c r="L50" i="29"/>
  <c r="L49" i="29"/>
  <c r="L48" i="29"/>
  <c r="L47" i="29"/>
  <c r="L46" i="29"/>
  <c r="L45" i="29"/>
  <c r="L44" i="29"/>
  <c r="L43" i="29"/>
  <c r="L42" i="29"/>
  <c r="L41" i="29"/>
  <c r="L40" i="29"/>
  <c r="L39" i="29"/>
  <c r="L38" i="29"/>
  <c r="L37" i="29"/>
  <c r="L36" i="29"/>
  <c r="L35" i="29"/>
  <c r="L34" i="29"/>
  <c r="L33" i="29"/>
  <c r="L32" i="29"/>
  <c r="L31" i="29"/>
  <c r="L30" i="29"/>
  <c r="L29" i="29"/>
  <c r="L28" i="29"/>
  <c r="L27" i="29"/>
  <c r="L26" i="29"/>
  <c r="L25" i="29"/>
  <c r="L24" i="29"/>
  <c r="L23" i="29"/>
  <c r="D22" i="29"/>
  <c r="L22" i="29" s="1"/>
  <c r="L21" i="29"/>
  <c r="L20" i="29"/>
  <c r="L19" i="29"/>
  <c r="L18" i="29"/>
  <c r="L17" i="29"/>
  <c r="L16" i="29"/>
  <c r="L15" i="29"/>
  <c r="L14" i="29"/>
  <c r="L13" i="29"/>
  <c r="L12" i="29"/>
  <c r="D11" i="29"/>
  <c r="L11" i="29" s="1"/>
  <c r="L10" i="29"/>
  <c r="D7" i="29"/>
  <c r="E57" i="28"/>
  <c r="E22" i="28"/>
  <c r="L12" i="28"/>
  <c r="L11" i="28"/>
  <c r="L10" i="28"/>
  <c r="D7" i="28"/>
  <c r="D57" i="27"/>
  <c r="L55" i="27"/>
  <c r="L54" i="27"/>
  <c r="L53" i="27"/>
  <c r="L52" i="27"/>
  <c r="L51" i="27"/>
  <c r="L50" i="27"/>
  <c r="L49" i="27"/>
  <c r="L48" i="27"/>
  <c r="L47" i="27"/>
  <c r="L46" i="27"/>
  <c r="L45" i="27"/>
  <c r="L44" i="27"/>
  <c r="L43" i="27"/>
  <c r="L42" i="27"/>
  <c r="L41" i="27"/>
  <c r="L40" i="27"/>
  <c r="L39" i="27"/>
  <c r="L38" i="27"/>
  <c r="L37" i="27"/>
  <c r="L36" i="27"/>
  <c r="L35" i="27"/>
  <c r="L34" i="27"/>
  <c r="L33" i="27"/>
  <c r="L32" i="27"/>
  <c r="L31" i="27"/>
  <c r="L30" i="27"/>
  <c r="L29" i="27"/>
  <c r="L28" i="27"/>
  <c r="L27" i="27"/>
  <c r="L26" i="27"/>
  <c r="L25" i="27"/>
  <c r="L24" i="27"/>
  <c r="L23" i="27"/>
  <c r="D22" i="27"/>
  <c r="L22" i="27" s="1"/>
  <c r="L21" i="27"/>
  <c r="L20" i="27"/>
  <c r="L19" i="27"/>
  <c r="L18" i="27"/>
  <c r="L17" i="27"/>
  <c r="L16" i="27"/>
  <c r="L15" i="27"/>
  <c r="L14" i="27"/>
  <c r="L13" i="27"/>
  <c r="L12" i="27"/>
  <c r="D11" i="27"/>
  <c r="L11" i="27" s="1"/>
  <c r="L10" i="27"/>
  <c r="D7" i="27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H22" i="28" l="1"/>
  <c r="I45" i="28"/>
  <c r="I48" i="28"/>
  <c r="I47" i="28"/>
  <c r="I42" i="28"/>
  <c r="I43" i="28"/>
  <c r="I54" i="28"/>
  <c r="I51" i="28"/>
  <c r="I28" i="28"/>
  <c r="I24" i="28"/>
  <c r="I46" i="28"/>
  <c r="I49" i="28"/>
  <c r="I23" i="28"/>
  <c r="I25" i="28"/>
  <c r="I31" i="28"/>
  <c r="I39" i="28"/>
  <c r="I41" i="28"/>
  <c r="I32" i="28"/>
  <c r="I37" i="28"/>
  <c r="I34" i="28"/>
  <c r="I40" i="28"/>
  <c r="I50" i="28"/>
  <c r="I26" i="28"/>
  <c r="I30" i="28"/>
  <c r="I55" i="28"/>
  <c r="J55" i="28" s="1"/>
  <c r="I53" i="28"/>
  <c r="I35" i="28"/>
  <c r="I33" i="28"/>
  <c r="I29" i="28"/>
  <c r="I38" i="28"/>
  <c r="G7" i="27"/>
  <c r="H7" i="27" s="1"/>
  <c r="L7" i="27"/>
  <c r="L9" i="34"/>
  <c r="L9" i="27"/>
  <c r="G7" i="28"/>
  <c r="H7" i="28" s="1"/>
  <c r="L7" i="28"/>
  <c r="L9" i="28"/>
  <c r="G57" i="29"/>
  <c r="H57" i="29" s="1"/>
  <c r="L57" i="29"/>
  <c r="L9" i="32"/>
  <c r="G7" i="33"/>
  <c r="H7" i="33" s="1"/>
  <c r="L7" i="33"/>
  <c r="G57" i="33"/>
  <c r="H57" i="33" s="1"/>
  <c r="L57" i="33"/>
  <c r="L16" i="34"/>
  <c r="G57" i="34"/>
  <c r="H57" i="34" s="1"/>
  <c r="L57" i="34"/>
  <c r="L9" i="37"/>
  <c r="G7" i="38"/>
  <c r="H7" i="38" s="1"/>
  <c r="L7" i="38"/>
  <c r="G57" i="38"/>
  <c r="H57" i="38" s="1"/>
  <c r="L57" i="38"/>
  <c r="L9" i="41"/>
  <c r="G57" i="31"/>
  <c r="H57" i="31" s="1"/>
  <c r="L57" i="31"/>
  <c r="G7" i="29"/>
  <c r="H7" i="29" s="1"/>
  <c r="L7" i="29"/>
  <c r="L9" i="29"/>
  <c r="G7" i="30"/>
  <c r="H7" i="30" s="1"/>
  <c r="L7" i="30"/>
  <c r="G57" i="30"/>
  <c r="H57" i="30" s="1"/>
  <c r="L57" i="30"/>
  <c r="L9" i="33"/>
  <c r="G7" i="34"/>
  <c r="H7" i="34" s="1"/>
  <c r="L7" i="34"/>
  <c r="G7" i="35"/>
  <c r="H7" i="35" s="1"/>
  <c r="L7" i="35"/>
  <c r="G57" i="35"/>
  <c r="H57" i="35" s="1"/>
  <c r="L57" i="35"/>
  <c r="L9" i="38"/>
  <c r="G7" i="39"/>
  <c r="H7" i="39" s="1"/>
  <c r="L7" i="39"/>
  <c r="G57" i="39"/>
  <c r="H57" i="39" s="1"/>
  <c r="L57" i="39"/>
  <c r="G7" i="31"/>
  <c r="H7" i="31" s="1"/>
  <c r="L7" i="31"/>
  <c r="L9" i="35"/>
  <c r="G7" i="36"/>
  <c r="H7" i="36" s="1"/>
  <c r="L7" i="36"/>
  <c r="G57" i="36"/>
  <c r="H57" i="36" s="1"/>
  <c r="L57" i="36"/>
  <c r="L9" i="39"/>
  <c r="G7" i="40"/>
  <c r="H7" i="40" s="1"/>
  <c r="L7" i="40"/>
  <c r="G57" i="40"/>
  <c r="H57" i="40" s="1"/>
  <c r="L57" i="40"/>
  <c r="G57" i="27"/>
  <c r="H57" i="27" s="1"/>
  <c r="L57" i="27"/>
  <c r="L9" i="30"/>
  <c r="L9" i="31"/>
  <c r="G7" i="32"/>
  <c r="L7" i="32"/>
  <c r="G57" i="32"/>
  <c r="H57" i="32" s="1"/>
  <c r="L57" i="32"/>
  <c r="L9" i="36"/>
  <c r="G7" i="37"/>
  <c r="H7" i="37" s="1"/>
  <c r="L7" i="37"/>
  <c r="G57" i="37"/>
  <c r="H57" i="37" s="1"/>
  <c r="L57" i="37"/>
  <c r="L9" i="40"/>
  <c r="G7" i="41"/>
  <c r="H7" i="41" s="1"/>
  <c r="L7" i="41"/>
  <c r="G57" i="41"/>
  <c r="H57" i="41" s="1"/>
  <c r="L57" i="41"/>
  <c r="G22" i="27"/>
  <c r="H22" i="27" s="1"/>
  <c r="G11" i="30"/>
  <c r="G22" i="31"/>
  <c r="H22" i="31" s="1"/>
  <c r="G11" i="34"/>
  <c r="G11" i="35"/>
  <c r="G22" i="36"/>
  <c r="H22" i="36" s="1"/>
  <c r="G22" i="40"/>
  <c r="H22" i="40" s="1"/>
  <c r="G22" i="29"/>
  <c r="H22" i="29" s="1"/>
  <c r="G11" i="37"/>
  <c r="G22" i="38"/>
  <c r="H22" i="38" s="1"/>
  <c r="G11" i="29"/>
  <c r="G22" i="30"/>
  <c r="H22" i="30" s="1"/>
  <c r="G11" i="32"/>
  <c r="G22" i="33"/>
  <c r="G22" i="34"/>
  <c r="H22" i="34" s="1"/>
  <c r="G11" i="38"/>
  <c r="G22" i="39"/>
  <c r="H22" i="39" s="1"/>
  <c r="G11" i="27"/>
  <c r="G11" i="31"/>
  <c r="G22" i="32"/>
  <c r="H22" i="32" s="1"/>
  <c r="G11" i="36"/>
  <c r="G22" i="37"/>
  <c r="H22" i="37" s="1"/>
  <c r="G11" i="40"/>
  <c r="G22" i="41"/>
  <c r="H22" i="41" s="1"/>
  <c r="G11" i="41"/>
  <c r="E22" i="41"/>
  <c r="E57" i="39"/>
  <c r="E7" i="32"/>
  <c r="E7" i="31"/>
  <c r="E22" i="31"/>
  <c r="E57" i="31"/>
  <c r="E11" i="36"/>
  <c r="E7" i="33"/>
  <c r="E57" i="32"/>
  <c r="E22" i="33"/>
  <c r="E7" i="34"/>
  <c r="E11" i="34"/>
  <c r="E57" i="34"/>
  <c r="E22" i="39"/>
  <c r="E11" i="31"/>
  <c r="E11" i="40"/>
  <c r="E11" i="32"/>
  <c r="E22" i="32"/>
  <c r="E7" i="36"/>
  <c r="E7" i="40"/>
  <c r="E57" i="33"/>
  <c r="E57" i="35"/>
  <c r="E7" i="37"/>
  <c r="E7" i="38"/>
  <c r="E22" i="38"/>
  <c r="E7" i="39"/>
  <c r="E7" i="41"/>
  <c r="E11" i="41"/>
  <c r="E57" i="41"/>
  <c r="E22" i="34"/>
  <c r="E7" i="35"/>
  <c r="E11" i="35"/>
  <c r="E22" i="36"/>
  <c r="E57" i="36"/>
  <c r="E11" i="37"/>
  <c r="E22" i="37"/>
  <c r="E57" i="37"/>
  <c r="E11" i="38"/>
  <c r="E57" i="38"/>
  <c r="E22" i="40"/>
  <c r="E57" i="40"/>
  <c r="E22" i="29"/>
  <c r="E7" i="30"/>
  <c r="E57" i="29"/>
  <c r="E7" i="27"/>
  <c r="E57" i="27"/>
  <c r="E22" i="30"/>
  <c r="E57" i="30"/>
  <c r="E7" i="28"/>
  <c r="E11" i="27"/>
  <c r="E22" i="27"/>
  <c r="E7" i="29"/>
  <c r="E11" i="29"/>
  <c r="E11" i="30"/>
  <c r="H7" i="32" l="1"/>
  <c r="I9" i="32"/>
  <c r="I10" i="32"/>
  <c r="J10" i="32" s="1"/>
  <c r="J30" i="28"/>
  <c r="F31" i="28"/>
  <c r="F40" i="28"/>
  <c r="J39" i="28"/>
  <c r="J51" i="28"/>
  <c r="F53" i="28"/>
  <c r="I29" i="33"/>
  <c r="I40" i="33"/>
  <c r="I47" i="33"/>
  <c r="I52" i="33"/>
  <c r="I34" i="33"/>
  <c r="I45" i="33"/>
  <c r="I28" i="33"/>
  <c r="I39" i="33"/>
  <c r="I50" i="33"/>
  <c r="I44" i="33"/>
  <c r="I55" i="33"/>
  <c r="J55" i="33" s="1"/>
  <c r="I27" i="33"/>
  <c r="I32" i="33"/>
  <c r="I38" i="33"/>
  <c r="I49" i="33"/>
  <c r="I30" i="33"/>
  <c r="I37" i="33"/>
  <c r="I42" i="33"/>
  <c r="I48" i="33"/>
  <c r="I35" i="33"/>
  <c r="I25" i="33"/>
  <c r="I24" i="33"/>
  <c r="I54" i="33"/>
  <c r="J26" i="28"/>
  <c r="F28" i="28"/>
  <c r="F32" i="28"/>
  <c r="J31" i="28"/>
  <c r="F55" i="28"/>
  <c r="J54" i="28"/>
  <c r="J50" i="28"/>
  <c r="F51" i="28"/>
  <c r="J43" i="28"/>
  <c r="F45" i="28"/>
  <c r="I47" i="35"/>
  <c r="I54" i="35"/>
  <c r="I28" i="35"/>
  <c r="I39" i="35"/>
  <c r="I52" i="35"/>
  <c r="I41" i="35"/>
  <c r="I44" i="35"/>
  <c r="I49" i="35"/>
  <c r="I37" i="35"/>
  <c r="I31" i="35"/>
  <c r="I29" i="35"/>
  <c r="I51" i="35"/>
  <c r="J29" i="28"/>
  <c r="F30" i="28"/>
  <c r="F41" i="28"/>
  <c r="J40" i="28"/>
  <c r="J23" i="28"/>
  <c r="F24" i="28"/>
  <c r="J42" i="28"/>
  <c r="F43" i="28"/>
  <c r="H11" i="32"/>
  <c r="I23" i="32"/>
  <c r="I54" i="32"/>
  <c r="I51" i="32"/>
  <c r="I50" i="32"/>
  <c r="I34" i="32"/>
  <c r="I21" i="32"/>
  <c r="J21" i="32" s="1"/>
  <c r="I27" i="32"/>
  <c r="I33" i="32"/>
  <c r="I29" i="32"/>
  <c r="I42" i="32"/>
  <c r="I18" i="32"/>
  <c r="I32" i="32"/>
  <c r="I26" i="32"/>
  <c r="I15" i="32"/>
  <c r="I41" i="32"/>
  <c r="I39" i="32"/>
  <c r="I52" i="32"/>
  <c r="I17" i="32"/>
  <c r="I12" i="32"/>
  <c r="I24" i="32"/>
  <c r="I53" i="32"/>
  <c r="I47" i="32"/>
  <c r="I45" i="32"/>
  <c r="I44" i="32"/>
  <c r="I16" i="32"/>
  <c r="I20" i="32"/>
  <c r="I30" i="32"/>
  <c r="I40" i="32"/>
  <c r="I38" i="32"/>
  <c r="I35" i="32"/>
  <c r="I36" i="32"/>
  <c r="I48" i="32"/>
  <c r="I46" i="32"/>
  <c r="I28" i="32"/>
  <c r="I14" i="32"/>
  <c r="I24" i="31"/>
  <c r="I33" i="31"/>
  <c r="I41" i="31"/>
  <c r="I49" i="31"/>
  <c r="I31" i="31"/>
  <c r="I39" i="31"/>
  <c r="I47" i="31"/>
  <c r="I29" i="31"/>
  <c r="I38" i="31"/>
  <c r="I46" i="31"/>
  <c r="I28" i="31"/>
  <c r="I37" i="31"/>
  <c r="I45" i="31"/>
  <c r="I54" i="31"/>
  <c r="I26" i="31"/>
  <c r="I35" i="31"/>
  <c r="I43" i="31"/>
  <c r="I52" i="31"/>
  <c r="I53" i="31"/>
  <c r="I25" i="31"/>
  <c r="I32" i="31"/>
  <c r="I27" i="31"/>
  <c r="I55" i="31"/>
  <c r="J55" i="31" s="1"/>
  <c r="I34" i="31"/>
  <c r="I40" i="31"/>
  <c r="I48" i="31"/>
  <c r="I36" i="31"/>
  <c r="I44" i="31"/>
  <c r="I23" i="31"/>
  <c r="I50" i="31"/>
  <c r="I42" i="31"/>
  <c r="J33" i="28"/>
  <c r="F34" i="28"/>
  <c r="F35" i="28"/>
  <c r="J34" i="28"/>
  <c r="F50" i="28"/>
  <c r="J49" i="28"/>
  <c r="J47" i="28"/>
  <c r="F48" i="28"/>
  <c r="I30" i="36"/>
  <c r="I53" i="36"/>
  <c r="I55" i="36"/>
  <c r="J55" i="36" s="1"/>
  <c r="I48" i="36"/>
  <c r="I25" i="36"/>
  <c r="I34" i="36"/>
  <c r="I39" i="36"/>
  <c r="I44" i="36"/>
  <c r="J38" i="28"/>
  <c r="F39" i="28"/>
  <c r="J25" i="28"/>
  <c r="F26" i="28"/>
  <c r="I23" i="29"/>
  <c r="I33" i="29"/>
  <c r="I29" i="29"/>
  <c r="I40" i="29"/>
  <c r="I50" i="29"/>
  <c r="I25" i="29"/>
  <c r="I36" i="29"/>
  <c r="I46" i="29"/>
  <c r="I32" i="29"/>
  <c r="I47" i="29"/>
  <c r="I42" i="29"/>
  <c r="I28" i="29"/>
  <c r="I38" i="29"/>
  <c r="I51" i="29"/>
  <c r="I55" i="29"/>
  <c r="J55" i="29" s="1"/>
  <c r="I24" i="29"/>
  <c r="I34" i="29"/>
  <c r="I31" i="29"/>
  <c r="I41" i="29"/>
  <c r="I49" i="29"/>
  <c r="I43" i="29"/>
  <c r="I37" i="29"/>
  <c r="I52" i="29"/>
  <c r="I54" i="29"/>
  <c r="I27" i="29"/>
  <c r="I45" i="29"/>
  <c r="I15" i="29"/>
  <c r="I19" i="29"/>
  <c r="I18" i="29"/>
  <c r="I17" i="29"/>
  <c r="I47" i="34"/>
  <c r="I52" i="34"/>
  <c r="I29" i="34"/>
  <c r="I32" i="34"/>
  <c r="I35" i="34"/>
  <c r="I38" i="34"/>
  <c r="I41" i="34"/>
  <c r="I46" i="34"/>
  <c r="I51" i="34"/>
  <c r="I55" i="34"/>
  <c r="J55" i="34" s="1"/>
  <c r="I25" i="34"/>
  <c r="I28" i="34"/>
  <c r="I50" i="34"/>
  <c r="I45" i="34"/>
  <c r="I54" i="34"/>
  <c r="I24" i="34"/>
  <c r="I27" i="34"/>
  <c r="I30" i="34"/>
  <c r="I33" i="34"/>
  <c r="I44" i="34"/>
  <c r="I53" i="34"/>
  <c r="I36" i="34"/>
  <c r="I49" i="34"/>
  <c r="I37" i="34"/>
  <c r="I40" i="34"/>
  <c r="I30" i="27"/>
  <c r="I27" i="27"/>
  <c r="I36" i="27"/>
  <c r="I40" i="27"/>
  <c r="I49" i="27"/>
  <c r="I34" i="27"/>
  <c r="I39" i="27"/>
  <c r="I48" i="27"/>
  <c r="I26" i="27"/>
  <c r="I29" i="27"/>
  <c r="I47" i="27"/>
  <c r="I33" i="27"/>
  <c r="I38" i="27"/>
  <c r="I46" i="27"/>
  <c r="I55" i="27"/>
  <c r="J55" i="27" s="1"/>
  <c r="I45" i="27"/>
  <c r="I54" i="27"/>
  <c r="I32" i="27"/>
  <c r="I35" i="27"/>
  <c r="I42" i="27"/>
  <c r="I52" i="27"/>
  <c r="I28" i="27"/>
  <c r="I51" i="27"/>
  <c r="I41" i="27"/>
  <c r="I44" i="27"/>
  <c r="I24" i="27"/>
  <c r="I23" i="27"/>
  <c r="I53" i="27"/>
  <c r="J35" i="28"/>
  <c r="F37" i="28"/>
  <c r="J37" i="28"/>
  <c r="F38" i="28"/>
  <c r="J46" i="28"/>
  <c r="F47" i="28"/>
  <c r="J48" i="28"/>
  <c r="F49" i="28"/>
  <c r="I44" i="37"/>
  <c r="I48" i="37"/>
  <c r="I28" i="37"/>
  <c r="I24" i="37"/>
  <c r="I17" i="37"/>
  <c r="I15" i="37"/>
  <c r="I16" i="37"/>
  <c r="I18" i="37"/>
  <c r="I14" i="37"/>
  <c r="I28" i="30"/>
  <c r="I39" i="30"/>
  <c r="I27" i="30"/>
  <c r="I34" i="30"/>
  <c r="I45" i="30"/>
  <c r="I26" i="30"/>
  <c r="I32" i="30"/>
  <c r="I31" i="30"/>
  <c r="I52" i="30"/>
  <c r="I25" i="30"/>
  <c r="I36" i="30"/>
  <c r="I43" i="30"/>
  <c r="I23" i="30"/>
  <c r="I35" i="30"/>
  <c r="I48" i="30"/>
  <c r="I54" i="30"/>
  <c r="J54" i="30" s="1"/>
  <c r="I44" i="30"/>
  <c r="I47" i="30"/>
  <c r="I51" i="30"/>
  <c r="I38" i="30"/>
  <c r="I40" i="30"/>
  <c r="I30" i="30"/>
  <c r="I49" i="30"/>
  <c r="I53" i="30"/>
  <c r="I41" i="30"/>
  <c r="F54" i="28"/>
  <c r="J53" i="28"/>
  <c r="J32" i="28"/>
  <c r="F33" i="28"/>
  <c r="J24" i="28"/>
  <c r="F25" i="28"/>
  <c r="J45" i="28"/>
  <c r="F46" i="28"/>
  <c r="H11" i="40"/>
  <c r="I20" i="40"/>
  <c r="I14" i="40"/>
  <c r="I47" i="40"/>
  <c r="I41" i="40"/>
  <c r="I30" i="40"/>
  <c r="I48" i="40"/>
  <c r="I26" i="40"/>
  <c r="I33" i="40"/>
  <c r="I29" i="40"/>
  <c r="I37" i="40"/>
  <c r="I36" i="40"/>
  <c r="I19" i="40"/>
  <c r="I55" i="40"/>
  <c r="J55" i="40" s="1"/>
  <c r="I51" i="40"/>
  <c r="I32" i="40"/>
  <c r="I50" i="40"/>
  <c r="I25" i="40"/>
  <c r="I23" i="40"/>
  <c r="I39" i="40"/>
  <c r="I27" i="40"/>
  <c r="I18" i="40"/>
  <c r="I34" i="40"/>
  <c r="I21" i="40"/>
  <c r="J21" i="40" s="1"/>
  <c r="I54" i="40"/>
  <c r="I43" i="40"/>
  <c r="I45" i="40"/>
  <c r="I24" i="40"/>
  <c r="I38" i="40"/>
  <c r="I42" i="40"/>
  <c r="I13" i="40"/>
  <c r="I44" i="40"/>
  <c r="I46" i="40"/>
  <c r="I17" i="40"/>
  <c r="I28" i="40"/>
  <c r="I49" i="40"/>
  <c r="I12" i="40"/>
  <c r="I53" i="40"/>
  <c r="I16" i="40"/>
  <c r="I31" i="40"/>
  <c r="I35" i="40"/>
  <c r="I40" i="40"/>
  <c r="I52" i="40"/>
  <c r="I15" i="40"/>
  <c r="I32" i="38"/>
  <c r="I46" i="38"/>
  <c r="I49" i="38"/>
  <c r="I40" i="38"/>
  <c r="J41" i="28"/>
  <c r="F42" i="28"/>
  <c r="J28" i="28"/>
  <c r="F29" i="28"/>
  <c r="H11" i="41"/>
  <c r="I17" i="41"/>
  <c r="I16" i="41"/>
  <c r="I15" i="41"/>
  <c r="I21" i="41"/>
  <c r="J21" i="41" s="1"/>
  <c r="I14" i="41"/>
  <c r="I13" i="41"/>
  <c r="I12" i="41"/>
  <c r="I26" i="41"/>
  <c r="I34" i="41"/>
  <c r="I42" i="41"/>
  <c r="I50" i="41"/>
  <c r="I25" i="41"/>
  <c r="I24" i="41"/>
  <c r="I32" i="41"/>
  <c r="I40" i="41"/>
  <c r="I48" i="41"/>
  <c r="I20" i="41"/>
  <c r="I23" i="41"/>
  <c r="I31" i="41"/>
  <c r="I39" i="41"/>
  <c r="I47" i="41"/>
  <c r="I30" i="41"/>
  <c r="I38" i="41"/>
  <c r="I46" i="41"/>
  <c r="I29" i="41"/>
  <c r="I37" i="41"/>
  <c r="I18" i="41"/>
  <c r="I28" i="41"/>
  <c r="I36" i="41"/>
  <c r="I44" i="41"/>
  <c r="I53" i="41"/>
  <c r="I49" i="41"/>
  <c r="I33" i="41"/>
  <c r="I35" i="41"/>
  <c r="I45" i="41"/>
  <c r="I51" i="41"/>
  <c r="I54" i="41"/>
  <c r="I41" i="41"/>
  <c r="I43" i="41"/>
  <c r="I55" i="41"/>
  <c r="J55" i="41" s="1"/>
  <c r="I27" i="41"/>
  <c r="H11" i="36"/>
  <c r="I14" i="36"/>
  <c r="I21" i="36"/>
  <c r="J21" i="36" s="1"/>
  <c r="I13" i="36"/>
  <c r="I20" i="36"/>
  <c r="I12" i="36"/>
  <c r="I18" i="36"/>
  <c r="I17" i="36"/>
  <c r="I16" i="36"/>
  <c r="I15" i="36"/>
  <c r="I19" i="36"/>
  <c r="I27" i="36"/>
  <c r="I35" i="36"/>
  <c r="I43" i="36"/>
  <c r="I51" i="36"/>
  <c r="I29" i="36"/>
  <c r="I52" i="36"/>
  <c r="I24" i="36"/>
  <c r="I33" i="36"/>
  <c r="I38" i="36"/>
  <c r="I42" i="36"/>
  <c r="I47" i="36"/>
  <c r="I28" i="36"/>
  <c r="I37" i="36"/>
  <c r="I23" i="36"/>
  <c r="I32" i="36"/>
  <c r="I41" i="36"/>
  <c r="I46" i="36"/>
  <c r="I50" i="36"/>
  <c r="I36" i="36"/>
  <c r="I45" i="36"/>
  <c r="I26" i="36"/>
  <c r="I31" i="36"/>
  <c r="I40" i="36"/>
  <c r="I49" i="36"/>
  <c r="I54" i="36"/>
  <c r="H11" i="31"/>
  <c r="I18" i="31"/>
  <c r="I17" i="31"/>
  <c r="I16" i="31"/>
  <c r="I13" i="31"/>
  <c r="I15" i="31"/>
  <c r="I21" i="31"/>
  <c r="J21" i="31" s="1"/>
  <c r="I12" i="31"/>
  <c r="I20" i="31"/>
  <c r="I14" i="31"/>
  <c r="I19" i="31"/>
  <c r="H11" i="27"/>
  <c r="I16" i="27"/>
  <c r="I15" i="27"/>
  <c r="I14" i="27"/>
  <c r="I12" i="27"/>
  <c r="I20" i="27"/>
  <c r="I18" i="27"/>
  <c r="I17" i="27"/>
  <c r="I21" i="27"/>
  <c r="J21" i="27" s="1"/>
  <c r="H11" i="38"/>
  <c r="I17" i="38"/>
  <c r="I20" i="38"/>
  <c r="I16" i="38"/>
  <c r="I19" i="38"/>
  <c r="I15" i="38"/>
  <c r="I14" i="38"/>
  <c r="I13" i="38"/>
  <c r="I12" i="38"/>
  <c r="I18" i="38"/>
  <c r="I21" i="38"/>
  <c r="J21" i="38" s="1"/>
  <c r="I23" i="38"/>
  <c r="I31" i="38"/>
  <c r="I39" i="38"/>
  <c r="I47" i="38"/>
  <c r="I55" i="38"/>
  <c r="J55" i="38" s="1"/>
  <c r="I29" i="38"/>
  <c r="I37" i="38"/>
  <c r="I45" i="38"/>
  <c r="I53" i="38"/>
  <c r="I28" i="38"/>
  <c r="I36" i="38"/>
  <c r="I44" i="38"/>
  <c r="I52" i="38"/>
  <c r="I27" i="38"/>
  <c r="I35" i="38"/>
  <c r="I43" i="38"/>
  <c r="I25" i="38"/>
  <c r="I33" i="38"/>
  <c r="I26" i="38"/>
  <c r="I51" i="38"/>
  <c r="I24" i="38"/>
  <c r="I41" i="38"/>
  <c r="I48" i="38"/>
  <c r="I38" i="38"/>
  <c r="I50" i="38"/>
  <c r="I30" i="38"/>
  <c r="I34" i="38"/>
  <c r="I42" i="38"/>
  <c r="I54" i="38"/>
  <c r="H22" i="33"/>
  <c r="I23" i="33"/>
  <c r="I33" i="33"/>
  <c r="I43" i="33"/>
  <c r="I53" i="33"/>
  <c r="H11" i="29"/>
  <c r="I20" i="29"/>
  <c r="J20" i="29" s="1"/>
  <c r="I13" i="29"/>
  <c r="I14" i="29"/>
  <c r="H11" i="37"/>
  <c r="I21" i="37"/>
  <c r="J21" i="37" s="1"/>
  <c r="I20" i="37"/>
  <c r="I12" i="37"/>
  <c r="I32" i="37"/>
  <c r="I41" i="37"/>
  <c r="I51" i="37"/>
  <c r="I29" i="37"/>
  <c r="I39" i="37"/>
  <c r="I52" i="37"/>
  <c r="I35" i="37"/>
  <c r="I23" i="37"/>
  <c r="I27" i="37"/>
  <c r="I31" i="37"/>
  <c r="I43" i="37"/>
  <c r="I46" i="37"/>
  <c r="I34" i="37"/>
  <c r="I38" i="37"/>
  <c r="I50" i="37"/>
  <c r="I26" i="37"/>
  <c r="I45" i="37"/>
  <c r="I49" i="37"/>
  <c r="I55" i="37"/>
  <c r="J55" i="37" s="1"/>
  <c r="I33" i="37"/>
  <c r="I37" i="37"/>
  <c r="I40" i="37"/>
  <c r="I54" i="37"/>
  <c r="I15" i="39"/>
  <c r="I14" i="39"/>
  <c r="I21" i="39"/>
  <c r="J21" i="39" s="1"/>
  <c r="I17" i="39"/>
  <c r="I18" i="39"/>
  <c r="I26" i="39"/>
  <c r="I34" i="39"/>
  <c r="I16" i="39"/>
  <c r="I20" i="39"/>
  <c r="I35" i="39"/>
  <c r="I48" i="39"/>
  <c r="I25" i="39"/>
  <c r="I30" i="39"/>
  <c r="I40" i="39"/>
  <c r="I46" i="39"/>
  <c r="I55" i="39"/>
  <c r="J55" i="39" s="1"/>
  <c r="I45" i="39"/>
  <c r="I54" i="39"/>
  <c r="I29" i="39"/>
  <c r="I33" i="39"/>
  <c r="I39" i="39"/>
  <c r="I44" i="39"/>
  <c r="I53" i="39"/>
  <c r="I23" i="39"/>
  <c r="I28" i="39"/>
  <c r="I43" i="39"/>
  <c r="I52" i="39"/>
  <c r="I32" i="39"/>
  <c r="I38" i="39"/>
  <c r="I42" i="39"/>
  <c r="I51" i="39"/>
  <c r="I27" i="39"/>
  <c r="I37" i="39"/>
  <c r="I50" i="39"/>
  <c r="I31" i="39"/>
  <c r="I19" i="39"/>
  <c r="I41" i="39"/>
  <c r="I49" i="39"/>
  <c r="H11" i="35"/>
  <c r="I16" i="35"/>
  <c r="I15" i="35"/>
  <c r="I14" i="35"/>
  <c r="I20" i="35"/>
  <c r="I19" i="35"/>
  <c r="I18" i="35"/>
  <c r="I21" i="35"/>
  <c r="I26" i="35"/>
  <c r="I36" i="35"/>
  <c r="I46" i="35"/>
  <c r="I25" i="35"/>
  <c r="I35" i="35"/>
  <c r="I45" i="35"/>
  <c r="I55" i="35"/>
  <c r="J55" i="35" s="1"/>
  <c r="I24" i="35"/>
  <c r="I34" i="35"/>
  <c r="I23" i="35"/>
  <c r="I33" i="35"/>
  <c r="I42" i="35"/>
  <c r="I30" i="35"/>
  <c r="I40" i="35"/>
  <c r="I50" i="35"/>
  <c r="I13" i="35"/>
  <c r="H11" i="34"/>
  <c r="I12" i="34"/>
  <c r="I21" i="34"/>
  <c r="J21" i="34" s="1"/>
  <c r="I20" i="34"/>
  <c r="I17" i="34"/>
  <c r="I18" i="34"/>
  <c r="I14" i="34"/>
  <c r="I19" i="34"/>
  <c r="I15" i="34"/>
  <c r="I16" i="34"/>
  <c r="I13" i="34"/>
  <c r="I23" i="34"/>
  <c r="I31" i="34"/>
  <c r="I39" i="34"/>
  <c r="I48" i="34"/>
  <c r="I26" i="34"/>
  <c r="I34" i="34"/>
  <c r="I42" i="34"/>
  <c r="H11" i="30"/>
  <c r="I14" i="30"/>
  <c r="I13" i="30"/>
  <c r="I17" i="30"/>
  <c r="I15" i="30"/>
  <c r="I21" i="30"/>
  <c r="J21" i="30" s="1"/>
  <c r="I19" i="30"/>
  <c r="I18" i="30"/>
  <c r="I7" i="29"/>
  <c r="J7" i="29" s="1"/>
  <c r="I22" i="29"/>
  <c r="F23" i="29" s="1"/>
  <c r="I57" i="29"/>
  <c r="J57" i="29" s="1"/>
  <c r="P17" i="29" s="1"/>
  <c r="I11" i="29"/>
  <c r="F13" i="29" s="1"/>
  <c r="I57" i="35"/>
  <c r="J57" i="35" s="1"/>
  <c r="P17" i="35" s="1"/>
  <c r="I11" i="35"/>
  <c r="F13" i="35" s="1"/>
  <c r="I7" i="35"/>
  <c r="J7" i="35" s="1"/>
  <c r="I57" i="39"/>
  <c r="J57" i="39" s="1"/>
  <c r="P17" i="39" s="1"/>
  <c r="I7" i="39"/>
  <c r="J7" i="39" s="1"/>
  <c r="I22" i="39"/>
  <c r="I7" i="37"/>
  <c r="J7" i="37" s="1"/>
  <c r="I22" i="37"/>
  <c r="F23" i="37" s="1"/>
  <c r="I57" i="37"/>
  <c r="J57" i="37" s="1"/>
  <c r="P17" i="37" s="1"/>
  <c r="I11" i="37"/>
  <c r="F12" i="37" s="1"/>
  <c r="I57" i="31"/>
  <c r="J57" i="31" s="1"/>
  <c r="P17" i="31" s="1"/>
  <c r="I22" i="31"/>
  <c r="F23" i="31" s="1"/>
  <c r="I7" i="31"/>
  <c r="J7" i="31" s="1"/>
  <c r="I11" i="31"/>
  <c r="F12" i="31" s="1"/>
  <c r="I22" i="38"/>
  <c r="F23" i="38" s="1"/>
  <c r="I7" i="38"/>
  <c r="J7" i="38" s="1"/>
  <c r="I57" i="38"/>
  <c r="J57" i="38" s="1"/>
  <c r="P17" i="38" s="1"/>
  <c r="I11" i="38"/>
  <c r="I11" i="36"/>
  <c r="F12" i="36" s="1"/>
  <c r="I7" i="36"/>
  <c r="J7" i="36" s="1"/>
  <c r="I57" i="36"/>
  <c r="J57" i="36" s="1"/>
  <c r="P17" i="36" s="1"/>
  <c r="I22" i="36"/>
  <c r="F23" i="36" s="1"/>
  <c r="I7" i="32"/>
  <c r="I11" i="32"/>
  <c r="I11" i="40"/>
  <c r="F12" i="40" s="1"/>
  <c r="I7" i="40"/>
  <c r="J7" i="40" s="1"/>
  <c r="I57" i="40"/>
  <c r="J57" i="40" s="1"/>
  <c r="P17" i="40" s="1"/>
  <c r="I22" i="40"/>
  <c r="F23" i="40" s="1"/>
  <c r="I7" i="34"/>
  <c r="J7" i="34" s="1"/>
  <c r="I57" i="34"/>
  <c r="J57" i="34" s="1"/>
  <c r="P17" i="34" s="1"/>
  <c r="I11" i="34"/>
  <c r="F12" i="34" s="1"/>
  <c r="I22" i="34"/>
  <c r="F23" i="34" s="1"/>
  <c r="I57" i="33"/>
  <c r="J57" i="33" s="1"/>
  <c r="P17" i="33" s="1"/>
  <c r="I22" i="33"/>
  <c r="F23" i="33" s="1"/>
  <c r="I7" i="33"/>
  <c r="J7" i="33" s="1"/>
  <c r="I57" i="41"/>
  <c r="J57" i="41" s="1"/>
  <c r="P17" i="41" s="1"/>
  <c r="I22" i="41"/>
  <c r="I11" i="41"/>
  <c r="F12" i="41" s="1"/>
  <c r="I7" i="41"/>
  <c r="J7" i="41" s="1"/>
  <c r="I22" i="30"/>
  <c r="F23" i="30" s="1"/>
  <c r="I11" i="30"/>
  <c r="I57" i="30"/>
  <c r="J57" i="30" s="1"/>
  <c r="P17" i="30" s="1"/>
  <c r="I7" i="30"/>
  <c r="J7" i="30" s="1"/>
  <c r="I22" i="28"/>
  <c r="F23" i="28" s="1"/>
  <c r="I7" i="28"/>
  <c r="J7" i="28" s="1"/>
  <c r="I57" i="28"/>
  <c r="J57" i="28" s="1"/>
  <c r="P17" i="28" s="1"/>
  <c r="I57" i="27"/>
  <c r="J57" i="27" s="1"/>
  <c r="P17" i="27" s="1"/>
  <c r="I7" i="27"/>
  <c r="J7" i="27" s="1"/>
  <c r="I22" i="27"/>
  <c r="F23" i="27" s="1"/>
  <c r="I11" i="27"/>
  <c r="F12" i="27" s="1"/>
  <c r="F23" i="39" l="1"/>
  <c r="F12" i="32"/>
  <c r="J7" i="32"/>
  <c r="F9" i="32"/>
  <c r="J9" i="32"/>
  <c r="F10" i="32"/>
  <c r="F47" i="40"/>
  <c r="J46" i="40"/>
  <c r="J54" i="40"/>
  <c r="F55" i="40"/>
  <c r="F40" i="30"/>
  <c r="J39" i="30"/>
  <c r="J39" i="27"/>
  <c r="F40" i="27"/>
  <c r="J46" i="34"/>
  <c r="F47" i="34"/>
  <c r="J51" i="29"/>
  <c r="F52" i="29"/>
  <c r="J40" i="31"/>
  <c r="F41" i="31"/>
  <c r="F44" i="31"/>
  <c r="J43" i="31"/>
  <c r="J38" i="31"/>
  <c r="F39" i="31"/>
  <c r="F25" i="31"/>
  <c r="J24" i="31"/>
  <c r="J38" i="32"/>
  <c r="F39" i="32"/>
  <c r="J47" i="32"/>
  <c r="F48" i="32"/>
  <c r="J39" i="32"/>
  <c r="F40" i="32"/>
  <c r="F30" i="32"/>
  <c r="J29" i="32"/>
  <c r="F52" i="32"/>
  <c r="J51" i="32"/>
  <c r="F39" i="35"/>
  <c r="J37" i="35"/>
  <c r="J47" i="35"/>
  <c r="F49" i="35"/>
  <c r="F43" i="33"/>
  <c r="J42" i="33"/>
  <c r="J44" i="33"/>
  <c r="F45" i="33"/>
  <c r="J40" i="33"/>
  <c r="F42" i="33"/>
  <c r="J39" i="34"/>
  <c r="F40" i="34"/>
  <c r="F41" i="35"/>
  <c r="J40" i="35"/>
  <c r="F46" i="35"/>
  <c r="J45" i="35"/>
  <c r="F38" i="37"/>
  <c r="J37" i="37"/>
  <c r="J23" i="33"/>
  <c r="F24" i="33"/>
  <c r="J32" i="36"/>
  <c r="F33" i="36"/>
  <c r="J40" i="38"/>
  <c r="F41" i="38"/>
  <c r="J31" i="40"/>
  <c r="F32" i="40"/>
  <c r="J44" i="40"/>
  <c r="F45" i="40"/>
  <c r="J32" i="40"/>
  <c r="F33" i="40"/>
  <c r="J26" i="40"/>
  <c r="F27" i="40"/>
  <c r="J41" i="30"/>
  <c r="F43" i="30"/>
  <c r="F45" i="30"/>
  <c r="J44" i="30"/>
  <c r="J52" i="30"/>
  <c r="F53" i="30"/>
  <c r="F30" i="30"/>
  <c r="J28" i="30"/>
  <c r="F49" i="37"/>
  <c r="J48" i="37"/>
  <c r="J28" i="27"/>
  <c r="F29" i="27"/>
  <c r="J46" i="27"/>
  <c r="F47" i="27"/>
  <c r="J34" i="27"/>
  <c r="F35" i="27"/>
  <c r="J49" i="34"/>
  <c r="F50" i="34"/>
  <c r="F55" i="34"/>
  <c r="J54" i="34"/>
  <c r="J41" i="34"/>
  <c r="F42" i="34"/>
  <c r="F19" i="29"/>
  <c r="J18" i="29"/>
  <c r="J43" i="29"/>
  <c r="F45" i="29"/>
  <c r="F40" i="29"/>
  <c r="J38" i="29"/>
  <c r="J50" i="29"/>
  <c r="F51" i="29"/>
  <c r="J30" i="36"/>
  <c r="F31" i="36"/>
  <c r="J34" i="31"/>
  <c r="F35" i="31"/>
  <c r="F36" i="31"/>
  <c r="J35" i="31"/>
  <c r="J29" i="31"/>
  <c r="F31" i="31"/>
  <c r="J14" i="32"/>
  <c r="F15" i="32"/>
  <c r="J40" i="32"/>
  <c r="F41" i="32"/>
  <c r="F50" i="32"/>
  <c r="J41" i="32"/>
  <c r="F42" i="32"/>
  <c r="F32" i="32"/>
  <c r="J54" i="32"/>
  <c r="F50" i="35"/>
  <c r="J49" i="35"/>
  <c r="F38" i="33"/>
  <c r="J37" i="33"/>
  <c r="J50" i="33"/>
  <c r="F52" i="33"/>
  <c r="J29" i="33"/>
  <c r="F30" i="33"/>
  <c r="F38" i="34"/>
  <c r="J37" i="34"/>
  <c r="J25" i="29"/>
  <c r="F27" i="29"/>
  <c r="J31" i="34"/>
  <c r="F32" i="34"/>
  <c r="F50" i="38"/>
  <c r="J49" i="38"/>
  <c r="J16" i="40"/>
  <c r="F17" i="40"/>
  <c r="J34" i="40"/>
  <c r="F35" i="40"/>
  <c r="F46" i="34"/>
  <c r="J45" i="34"/>
  <c r="F23" i="41"/>
  <c r="J23" i="34"/>
  <c r="F24" i="34"/>
  <c r="J42" i="35"/>
  <c r="F44" i="35"/>
  <c r="F47" i="38"/>
  <c r="J46" i="38"/>
  <c r="J53" i="40"/>
  <c r="F54" i="40"/>
  <c r="F43" i="40"/>
  <c r="J42" i="40"/>
  <c r="J18" i="40"/>
  <c r="F19" i="40"/>
  <c r="F31" i="40"/>
  <c r="J30" i="40"/>
  <c r="J49" i="30"/>
  <c r="F51" i="30"/>
  <c r="F49" i="30"/>
  <c r="J48" i="30"/>
  <c r="J32" i="30"/>
  <c r="F34" i="30"/>
  <c r="F20" i="37"/>
  <c r="J18" i="37"/>
  <c r="F54" i="27"/>
  <c r="J53" i="27"/>
  <c r="F44" i="27"/>
  <c r="J42" i="27"/>
  <c r="J33" i="27"/>
  <c r="F34" i="27"/>
  <c r="J40" i="27"/>
  <c r="F41" i="27"/>
  <c r="F54" i="34"/>
  <c r="J53" i="34"/>
  <c r="J50" i="34"/>
  <c r="F51" i="34"/>
  <c r="J35" i="34"/>
  <c r="F36" i="34"/>
  <c r="J15" i="29"/>
  <c r="F17" i="29"/>
  <c r="J41" i="29"/>
  <c r="F42" i="29"/>
  <c r="J42" i="29"/>
  <c r="F43" i="29"/>
  <c r="J29" i="29"/>
  <c r="F31" i="29"/>
  <c r="F40" i="36"/>
  <c r="J39" i="36"/>
  <c r="J50" i="31"/>
  <c r="F52" i="31"/>
  <c r="J27" i="31"/>
  <c r="F28" i="31"/>
  <c r="F55" i="31"/>
  <c r="J54" i="31"/>
  <c r="J39" i="31"/>
  <c r="F40" i="31"/>
  <c r="F44" i="32"/>
  <c r="J24" i="32"/>
  <c r="J26" i="32"/>
  <c r="F27" i="32"/>
  <c r="F14" i="32"/>
  <c r="F26" i="32"/>
  <c r="J41" i="35"/>
  <c r="F42" i="35"/>
  <c r="J54" i="33"/>
  <c r="F55" i="33"/>
  <c r="F50" i="33"/>
  <c r="J49" i="33"/>
  <c r="F29" i="33"/>
  <c r="J28" i="33"/>
  <c r="J33" i="33"/>
  <c r="F34" i="33"/>
  <c r="J38" i="38"/>
  <c r="F39" i="38"/>
  <c r="F51" i="40"/>
  <c r="J50" i="40"/>
  <c r="F26" i="30"/>
  <c r="J25" i="30"/>
  <c r="J51" i="27"/>
  <c r="F52" i="27"/>
  <c r="J17" i="29"/>
  <c r="F18" i="29"/>
  <c r="J53" i="30"/>
  <c r="F54" i="30"/>
  <c r="J44" i="37"/>
  <c r="F45" i="37"/>
  <c r="J38" i="27"/>
  <c r="F39" i="27"/>
  <c r="J36" i="34"/>
  <c r="F37" i="34"/>
  <c r="J19" i="29"/>
  <c r="F20" i="29"/>
  <c r="J44" i="36"/>
  <c r="F45" i="36"/>
  <c r="J47" i="31"/>
  <c r="F48" i="31"/>
  <c r="J30" i="32"/>
  <c r="J33" i="32"/>
  <c r="F34" i="32"/>
  <c r="J44" i="35"/>
  <c r="F45" i="35"/>
  <c r="J39" i="33"/>
  <c r="F40" i="33"/>
  <c r="J33" i="35"/>
  <c r="F34" i="35"/>
  <c r="J46" i="35"/>
  <c r="F47" i="35"/>
  <c r="J41" i="37"/>
  <c r="F43" i="37"/>
  <c r="F43" i="38"/>
  <c r="J42" i="38"/>
  <c r="J32" i="38"/>
  <c r="F33" i="38"/>
  <c r="F13" i="40"/>
  <c r="J12" i="40"/>
  <c r="F39" i="40"/>
  <c r="J38" i="40"/>
  <c r="J27" i="40"/>
  <c r="F28" i="40"/>
  <c r="J19" i="40"/>
  <c r="F20" i="40"/>
  <c r="J41" i="40"/>
  <c r="F42" i="40"/>
  <c r="J30" i="30"/>
  <c r="F31" i="30"/>
  <c r="J35" i="30"/>
  <c r="F36" i="30"/>
  <c r="J26" i="30"/>
  <c r="F27" i="30"/>
  <c r="F17" i="37"/>
  <c r="J16" i="37"/>
  <c r="J23" i="27"/>
  <c r="F24" i="27"/>
  <c r="F36" i="27"/>
  <c r="J35" i="27"/>
  <c r="J47" i="27"/>
  <c r="F48" i="27"/>
  <c r="F38" i="27"/>
  <c r="J36" i="27"/>
  <c r="F45" i="34"/>
  <c r="J44" i="34"/>
  <c r="J28" i="34"/>
  <c r="F29" i="34"/>
  <c r="J32" i="34"/>
  <c r="F33" i="34"/>
  <c r="F46" i="29"/>
  <c r="J45" i="29"/>
  <c r="J31" i="29"/>
  <c r="F32" i="29"/>
  <c r="J47" i="29"/>
  <c r="F49" i="29"/>
  <c r="F34" i="29"/>
  <c r="J33" i="29"/>
  <c r="J34" i="36"/>
  <c r="F35" i="36"/>
  <c r="J23" i="31"/>
  <c r="F24" i="31"/>
  <c r="J32" i="31"/>
  <c r="F33" i="31"/>
  <c r="F46" i="31"/>
  <c r="J45" i="31"/>
  <c r="J31" i="31"/>
  <c r="F32" i="31"/>
  <c r="J46" i="32"/>
  <c r="F47" i="32"/>
  <c r="F21" i="32"/>
  <c r="J20" i="32"/>
  <c r="J12" i="32"/>
  <c r="J32" i="32"/>
  <c r="F33" i="32"/>
  <c r="F28" i="32"/>
  <c r="J27" i="32"/>
  <c r="J52" i="35"/>
  <c r="F54" i="35"/>
  <c r="J24" i="33"/>
  <c r="F25" i="33"/>
  <c r="F39" i="33"/>
  <c r="J38" i="33"/>
  <c r="J45" i="33"/>
  <c r="F47" i="33"/>
  <c r="J41" i="36"/>
  <c r="F42" i="36"/>
  <c r="J28" i="37"/>
  <c r="F29" i="37"/>
  <c r="J24" i="34"/>
  <c r="F25" i="34"/>
  <c r="F54" i="36"/>
  <c r="J53" i="36"/>
  <c r="F31" i="35"/>
  <c r="J30" i="35"/>
  <c r="J51" i="40"/>
  <c r="F52" i="40"/>
  <c r="F15" i="37"/>
  <c r="J14" i="37"/>
  <c r="J49" i="27"/>
  <c r="F51" i="27"/>
  <c r="F39" i="34"/>
  <c r="J38" i="34"/>
  <c r="F50" i="29"/>
  <c r="J49" i="29"/>
  <c r="F29" i="29"/>
  <c r="J28" i="29"/>
  <c r="J40" i="29"/>
  <c r="F41" i="29"/>
  <c r="J42" i="31"/>
  <c r="F43" i="31"/>
  <c r="F27" i="31"/>
  <c r="J26" i="31"/>
  <c r="F29" i="32"/>
  <c r="J28" i="32"/>
  <c r="F54" i="32"/>
  <c r="J53" i="32"/>
  <c r="J15" i="32"/>
  <c r="F16" i="32"/>
  <c r="J23" i="32"/>
  <c r="F24" i="32"/>
  <c r="F32" i="33"/>
  <c r="J30" i="33"/>
  <c r="J42" i="34"/>
  <c r="F44" i="34"/>
  <c r="J23" i="35"/>
  <c r="F24" i="35"/>
  <c r="J36" i="35"/>
  <c r="F37" i="35"/>
  <c r="J34" i="38"/>
  <c r="F35" i="38"/>
  <c r="J36" i="36"/>
  <c r="F37" i="36"/>
  <c r="F16" i="40"/>
  <c r="J15" i="40"/>
  <c r="F50" i="40"/>
  <c r="J49" i="40"/>
  <c r="F25" i="40"/>
  <c r="J24" i="40"/>
  <c r="F40" i="40"/>
  <c r="J39" i="40"/>
  <c r="F37" i="40"/>
  <c r="J36" i="40"/>
  <c r="F48" i="40"/>
  <c r="J47" i="40"/>
  <c r="J40" i="30"/>
  <c r="F41" i="30"/>
  <c r="F25" i="30"/>
  <c r="J23" i="30"/>
  <c r="F47" i="30"/>
  <c r="J45" i="30"/>
  <c r="F16" i="37"/>
  <c r="J15" i="37"/>
  <c r="F26" i="27"/>
  <c r="J24" i="27"/>
  <c r="J32" i="27"/>
  <c r="F33" i="27"/>
  <c r="J29" i="27"/>
  <c r="F30" i="27"/>
  <c r="J27" i="27"/>
  <c r="F28" i="27"/>
  <c r="F34" i="34"/>
  <c r="J33" i="34"/>
  <c r="J25" i="34"/>
  <c r="F26" i="34"/>
  <c r="J29" i="34"/>
  <c r="F30" i="34"/>
  <c r="J27" i="29"/>
  <c r="F28" i="29"/>
  <c r="J34" i="29"/>
  <c r="F36" i="29"/>
  <c r="J32" i="29"/>
  <c r="F33" i="29"/>
  <c r="F24" i="29"/>
  <c r="J23" i="29"/>
  <c r="J25" i="36"/>
  <c r="F26" i="36"/>
  <c r="J44" i="31"/>
  <c r="F45" i="31"/>
  <c r="J25" i="31"/>
  <c r="F26" i="31"/>
  <c r="F38" i="31"/>
  <c r="J37" i="31"/>
  <c r="F50" i="31"/>
  <c r="J49" i="31"/>
  <c r="J48" i="32"/>
  <c r="J16" i="32"/>
  <c r="F17" i="32"/>
  <c r="J17" i="32"/>
  <c r="F18" i="32"/>
  <c r="F20" i="32"/>
  <c r="J51" i="35"/>
  <c r="F52" i="35"/>
  <c r="J39" i="35"/>
  <c r="F40" i="35"/>
  <c r="F27" i="33"/>
  <c r="J25" i="33"/>
  <c r="F33" i="33"/>
  <c r="J32" i="33"/>
  <c r="J34" i="33"/>
  <c r="F35" i="33"/>
  <c r="F51" i="35"/>
  <c r="J50" i="35"/>
  <c r="F50" i="36"/>
  <c r="J49" i="36"/>
  <c r="F36" i="40"/>
  <c r="J35" i="40"/>
  <c r="F34" i="40"/>
  <c r="J33" i="40"/>
  <c r="J47" i="30"/>
  <c r="F48" i="30"/>
  <c r="J37" i="29"/>
  <c r="F38" i="29"/>
  <c r="J48" i="40"/>
  <c r="F49" i="40"/>
  <c r="F53" i="27"/>
  <c r="J52" i="27"/>
  <c r="F12" i="38"/>
  <c r="J34" i="34"/>
  <c r="F35" i="34"/>
  <c r="J34" i="35"/>
  <c r="F35" i="35"/>
  <c r="J26" i="35"/>
  <c r="F28" i="35"/>
  <c r="F54" i="33"/>
  <c r="J53" i="33"/>
  <c r="J50" i="36"/>
  <c r="F51" i="36"/>
  <c r="J52" i="40"/>
  <c r="F53" i="40"/>
  <c r="J28" i="40"/>
  <c r="F29" i="40"/>
  <c r="F46" i="40"/>
  <c r="J45" i="40"/>
  <c r="J23" i="40"/>
  <c r="F24" i="40"/>
  <c r="J37" i="40"/>
  <c r="F38" i="40"/>
  <c r="J14" i="40"/>
  <c r="F15" i="40"/>
  <c r="J38" i="30"/>
  <c r="F39" i="30"/>
  <c r="J43" i="30"/>
  <c r="F44" i="30"/>
  <c r="F35" i="30"/>
  <c r="J34" i="30"/>
  <c r="F18" i="37"/>
  <c r="J17" i="37"/>
  <c r="F45" i="27"/>
  <c r="J44" i="27"/>
  <c r="F55" i="27"/>
  <c r="J54" i="27"/>
  <c r="F27" i="27"/>
  <c r="J26" i="27"/>
  <c r="J30" i="27"/>
  <c r="F32" i="27"/>
  <c r="F31" i="34"/>
  <c r="J30" i="34"/>
  <c r="F53" i="34"/>
  <c r="J52" i="34"/>
  <c r="F55" i="29"/>
  <c r="J54" i="29"/>
  <c r="J24" i="29"/>
  <c r="F25" i="29"/>
  <c r="J46" i="29"/>
  <c r="F47" i="29"/>
  <c r="J48" i="36"/>
  <c r="F49" i="36"/>
  <c r="J36" i="31"/>
  <c r="F37" i="31"/>
  <c r="J53" i="31"/>
  <c r="F54" i="31"/>
  <c r="F29" i="31"/>
  <c r="J28" i="31"/>
  <c r="F42" i="31"/>
  <c r="J41" i="31"/>
  <c r="J36" i="32"/>
  <c r="F45" i="32"/>
  <c r="J44" i="32"/>
  <c r="J52" i="32"/>
  <c r="F53" i="32"/>
  <c r="J18" i="32"/>
  <c r="J34" i="32"/>
  <c r="F35" i="32"/>
  <c r="F30" i="35"/>
  <c r="J29" i="35"/>
  <c r="F29" i="35"/>
  <c r="J28" i="35"/>
  <c r="J35" i="33"/>
  <c r="F37" i="33"/>
  <c r="J27" i="33"/>
  <c r="F28" i="33"/>
  <c r="J52" i="33"/>
  <c r="F53" i="33"/>
  <c r="F49" i="34"/>
  <c r="J48" i="34"/>
  <c r="J38" i="37"/>
  <c r="F39" i="37"/>
  <c r="J13" i="40"/>
  <c r="F14" i="40"/>
  <c r="J31" i="30"/>
  <c r="F32" i="30"/>
  <c r="F13" i="30"/>
  <c r="F27" i="34"/>
  <c r="J26" i="34"/>
  <c r="J24" i="35"/>
  <c r="F25" i="35"/>
  <c r="F55" i="37"/>
  <c r="J54" i="37"/>
  <c r="J50" i="37"/>
  <c r="F51" i="37"/>
  <c r="F44" i="33"/>
  <c r="J43" i="33"/>
  <c r="J50" i="38"/>
  <c r="F51" i="38"/>
  <c r="F55" i="36"/>
  <c r="J54" i="36"/>
  <c r="J46" i="36"/>
  <c r="F47" i="36"/>
  <c r="J27" i="36"/>
  <c r="F28" i="36"/>
  <c r="F41" i="40"/>
  <c r="J40" i="40"/>
  <c r="F18" i="40"/>
  <c r="J17" i="40"/>
  <c r="F44" i="40"/>
  <c r="J43" i="40"/>
  <c r="J25" i="40"/>
  <c r="F26" i="40"/>
  <c r="J29" i="40"/>
  <c r="F30" i="40"/>
  <c r="J20" i="40"/>
  <c r="F21" i="40"/>
  <c r="F52" i="30"/>
  <c r="J51" i="30"/>
  <c r="F38" i="30"/>
  <c r="J36" i="30"/>
  <c r="J27" i="30"/>
  <c r="F28" i="30"/>
  <c r="F26" i="37"/>
  <c r="J24" i="37"/>
  <c r="J41" i="27"/>
  <c r="F42" i="27"/>
  <c r="F46" i="27"/>
  <c r="J45" i="27"/>
  <c r="J48" i="27"/>
  <c r="F49" i="27"/>
  <c r="J40" i="34"/>
  <c r="F41" i="34"/>
  <c r="J27" i="34"/>
  <c r="F28" i="34"/>
  <c r="J51" i="34"/>
  <c r="F52" i="34"/>
  <c r="J47" i="34"/>
  <c r="F48" i="34"/>
  <c r="J52" i="29"/>
  <c r="F54" i="29"/>
  <c r="J36" i="29"/>
  <c r="F37" i="29"/>
  <c r="J48" i="31"/>
  <c r="F49" i="31"/>
  <c r="J52" i="31"/>
  <c r="F53" i="31"/>
  <c r="J46" i="31"/>
  <c r="F47" i="31"/>
  <c r="F34" i="31"/>
  <c r="J33" i="31"/>
  <c r="F36" i="32"/>
  <c r="J35" i="32"/>
  <c r="F46" i="32"/>
  <c r="J45" i="32"/>
  <c r="F38" i="32"/>
  <c r="J42" i="32"/>
  <c r="J50" i="32"/>
  <c r="F51" i="32"/>
  <c r="F33" i="35"/>
  <c r="J31" i="35"/>
  <c r="J54" i="35"/>
  <c r="F55" i="35"/>
  <c r="F49" i="33"/>
  <c r="J48" i="33"/>
  <c r="J47" i="33"/>
  <c r="F48" i="33"/>
  <c r="F19" i="30"/>
  <c r="J18" i="30"/>
  <c r="F21" i="30"/>
  <c r="J19" i="30"/>
  <c r="J15" i="30"/>
  <c r="F17" i="30"/>
  <c r="F18" i="30"/>
  <c r="J17" i="30"/>
  <c r="J13" i="30"/>
  <c r="F14" i="30"/>
  <c r="J14" i="30"/>
  <c r="F15" i="30"/>
  <c r="J13" i="34"/>
  <c r="F14" i="34"/>
  <c r="F17" i="34"/>
  <c r="J16" i="34"/>
  <c r="F16" i="34"/>
  <c r="J15" i="34"/>
  <c r="J19" i="34"/>
  <c r="F20" i="34"/>
  <c r="F15" i="34"/>
  <c r="J14" i="34"/>
  <c r="J18" i="34"/>
  <c r="F19" i="34"/>
  <c r="F18" i="34"/>
  <c r="J17" i="34"/>
  <c r="F21" i="34"/>
  <c r="J20" i="34"/>
  <c r="J12" i="34"/>
  <c r="F13" i="34"/>
  <c r="F14" i="35"/>
  <c r="J13" i="35"/>
  <c r="J35" i="35"/>
  <c r="F36" i="35"/>
  <c r="J25" i="35"/>
  <c r="F26" i="35"/>
  <c r="J21" i="35"/>
  <c r="F23" i="35"/>
  <c r="J18" i="35"/>
  <c r="F19" i="35"/>
  <c r="J19" i="35"/>
  <c r="F20" i="35"/>
  <c r="F21" i="35"/>
  <c r="J20" i="35"/>
  <c r="J14" i="35"/>
  <c r="F15" i="35"/>
  <c r="J15" i="35"/>
  <c r="F16" i="35"/>
  <c r="J16" i="35"/>
  <c r="F18" i="35"/>
  <c r="J49" i="39"/>
  <c r="F50" i="39"/>
  <c r="J41" i="39"/>
  <c r="F42" i="39"/>
  <c r="F20" i="39"/>
  <c r="J19" i="39"/>
  <c r="J31" i="39"/>
  <c r="F32" i="39"/>
  <c r="F51" i="39"/>
  <c r="J50" i="39"/>
  <c r="F38" i="39"/>
  <c r="J37" i="39"/>
  <c r="J27" i="39"/>
  <c r="F28" i="39"/>
  <c r="F52" i="39"/>
  <c r="J51" i="39"/>
  <c r="F43" i="39"/>
  <c r="J42" i="39"/>
  <c r="F39" i="39"/>
  <c r="J38" i="39"/>
  <c r="F33" i="39"/>
  <c r="J32" i="39"/>
  <c r="F53" i="39"/>
  <c r="J52" i="39"/>
  <c r="F44" i="39"/>
  <c r="J43" i="39"/>
  <c r="F29" i="39"/>
  <c r="J28" i="39"/>
  <c r="J23" i="39"/>
  <c r="F25" i="39"/>
  <c r="J53" i="39"/>
  <c r="F54" i="39"/>
  <c r="J44" i="39"/>
  <c r="F45" i="39"/>
  <c r="F40" i="39"/>
  <c r="J39" i="39"/>
  <c r="J33" i="39"/>
  <c r="F34" i="39"/>
  <c r="J29" i="39"/>
  <c r="F30" i="39"/>
  <c r="J54" i="39"/>
  <c r="F55" i="39"/>
  <c r="J45" i="39"/>
  <c r="F46" i="39"/>
  <c r="J46" i="39"/>
  <c r="F48" i="39"/>
  <c r="J40" i="39"/>
  <c r="F41" i="39"/>
  <c r="F31" i="39"/>
  <c r="J30" i="39"/>
  <c r="J25" i="39"/>
  <c r="F26" i="39"/>
  <c r="J48" i="39"/>
  <c r="F49" i="39"/>
  <c r="J35" i="39"/>
  <c r="F37" i="39"/>
  <c r="F21" i="39"/>
  <c r="J20" i="39"/>
  <c r="J16" i="39"/>
  <c r="F17" i="39"/>
  <c r="J34" i="39"/>
  <c r="F35" i="39"/>
  <c r="J26" i="39"/>
  <c r="F27" i="39"/>
  <c r="F19" i="39"/>
  <c r="J18" i="39"/>
  <c r="F18" i="39"/>
  <c r="J17" i="39"/>
  <c r="F14" i="39"/>
  <c r="J14" i="39"/>
  <c r="F15" i="39"/>
  <c r="J15" i="39"/>
  <c r="F16" i="39"/>
  <c r="J40" i="37"/>
  <c r="F41" i="37"/>
  <c r="J33" i="37"/>
  <c r="F34" i="37"/>
  <c r="F50" i="37"/>
  <c r="J49" i="37"/>
  <c r="F46" i="37"/>
  <c r="J45" i="37"/>
  <c r="F27" i="37"/>
  <c r="J26" i="37"/>
  <c r="F35" i="37"/>
  <c r="J34" i="37"/>
  <c r="F48" i="37"/>
  <c r="J46" i="37"/>
  <c r="J43" i="37"/>
  <c r="F44" i="37"/>
  <c r="J31" i="37"/>
  <c r="F32" i="37"/>
  <c r="F28" i="37"/>
  <c r="J27" i="37"/>
  <c r="J23" i="37"/>
  <c r="F24" i="37"/>
  <c r="J35" i="37"/>
  <c r="F37" i="37"/>
  <c r="J52" i="37"/>
  <c r="F54" i="37"/>
  <c r="J39" i="37"/>
  <c r="F40" i="37"/>
  <c r="F31" i="37"/>
  <c r="J29" i="37"/>
  <c r="J51" i="37"/>
  <c r="F52" i="37"/>
  <c r="J32" i="37"/>
  <c r="F33" i="37"/>
  <c r="J12" i="37"/>
  <c r="F14" i="37"/>
  <c r="F21" i="37"/>
  <c r="J20" i="37"/>
  <c r="F15" i="29"/>
  <c r="J14" i="29"/>
  <c r="F14" i="29"/>
  <c r="J13" i="29"/>
  <c r="J54" i="38"/>
  <c r="F55" i="38"/>
  <c r="J30" i="38"/>
  <c r="F31" i="38"/>
  <c r="J48" i="38"/>
  <c r="F49" i="38"/>
  <c r="F42" i="38"/>
  <c r="J41" i="38"/>
  <c r="J24" i="38"/>
  <c r="F25" i="38"/>
  <c r="F52" i="38"/>
  <c r="J51" i="38"/>
  <c r="J26" i="38"/>
  <c r="F27" i="38"/>
  <c r="F34" i="38"/>
  <c r="J33" i="38"/>
  <c r="F26" i="38"/>
  <c r="J25" i="38"/>
  <c r="F44" i="38"/>
  <c r="J43" i="38"/>
  <c r="F36" i="38"/>
  <c r="J35" i="38"/>
  <c r="F28" i="38"/>
  <c r="J27" i="38"/>
  <c r="F53" i="38"/>
  <c r="J52" i="38"/>
  <c r="F45" i="38"/>
  <c r="J44" i="38"/>
  <c r="J36" i="38"/>
  <c r="F37" i="38"/>
  <c r="J28" i="38"/>
  <c r="F29" i="38"/>
  <c r="J53" i="38"/>
  <c r="F54" i="38"/>
  <c r="J45" i="38"/>
  <c r="F46" i="38"/>
  <c r="J37" i="38"/>
  <c r="F38" i="38"/>
  <c r="J29" i="38"/>
  <c r="F30" i="38"/>
  <c r="F48" i="38"/>
  <c r="J47" i="38"/>
  <c r="F40" i="38"/>
  <c r="J39" i="38"/>
  <c r="F32" i="38"/>
  <c r="J31" i="38"/>
  <c r="J23" i="38"/>
  <c r="F24" i="38"/>
  <c r="J18" i="38"/>
  <c r="F19" i="38"/>
  <c r="F13" i="38"/>
  <c r="J12" i="38"/>
  <c r="F14" i="38"/>
  <c r="J13" i="38"/>
  <c r="J14" i="38"/>
  <c r="F15" i="38"/>
  <c r="J15" i="38"/>
  <c r="F16" i="38"/>
  <c r="F20" i="38"/>
  <c r="J19" i="38"/>
  <c r="J16" i="38"/>
  <c r="F17" i="38"/>
  <c r="J20" i="38"/>
  <c r="F21" i="38"/>
  <c r="J17" i="38"/>
  <c r="F18" i="38"/>
  <c r="J17" i="27"/>
  <c r="F18" i="27"/>
  <c r="J18" i="27"/>
  <c r="F20" i="27"/>
  <c r="J20" i="27"/>
  <c r="F21" i="27"/>
  <c r="F14" i="27"/>
  <c r="J12" i="27"/>
  <c r="J14" i="27"/>
  <c r="F15" i="27"/>
  <c r="J15" i="27"/>
  <c r="F16" i="27"/>
  <c r="J16" i="27"/>
  <c r="F17" i="27"/>
  <c r="J19" i="31"/>
  <c r="F20" i="31"/>
  <c r="F15" i="31"/>
  <c r="J14" i="31"/>
  <c r="J20" i="31"/>
  <c r="F21" i="31"/>
  <c r="J12" i="31"/>
  <c r="F13" i="31"/>
  <c r="F16" i="31"/>
  <c r="J15" i="31"/>
  <c r="F14" i="31"/>
  <c r="J13" i="31"/>
  <c r="F17" i="31"/>
  <c r="J16" i="31"/>
  <c r="J17" i="31"/>
  <c r="F18" i="31"/>
  <c r="J18" i="31"/>
  <c r="F19" i="31"/>
  <c r="F41" i="36"/>
  <c r="J40" i="36"/>
  <c r="F32" i="36"/>
  <c r="J31" i="36"/>
  <c r="F27" i="36"/>
  <c r="J26" i="36"/>
  <c r="F46" i="36"/>
  <c r="J45" i="36"/>
  <c r="F24" i="36"/>
  <c r="J23" i="36"/>
  <c r="J37" i="36"/>
  <c r="F38" i="36"/>
  <c r="J28" i="36"/>
  <c r="F29" i="36"/>
  <c r="F48" i="36"/>
  <c r="J47" i="36"/>
  <c r="J42" i="36"/>
  <c r="F43" i="36"/>
  <c r="J38" i="36"/>
  <c r="F39" i="36"/>
  <c r="J33" i="36"/>
  <c r="F34" i="36"/>
  <c r="J24" i="36"/>
  <c r="F25" i="36"/>
  <c r="J52" i="36"/>
  <c r="F53" i="36"/>
  <c r="J29" i="36"/>
  <c r="F30" i="36"/>
  <c r="J51" i="36"/>
  <c r="F52" i="36"/>
  <c r="J43" i="36"/>
  <c r="F44" i="36"/>
  <c r="F36" i="36"/>
  <c r="J35" i="36"/>
  <c r="J19" i="36"/>
  <c r="F20" i="36"/>
  <c r="J15" i="36"/>
  <c r="F16" i="36"/>
  <c r="F17" i="36"/>
  <c r="J16" i="36"/>
  <c r="F18" i="36"/>
  <c r="J17" i="36"/>
  <c r="F19" i="36"/>
  <c r="J18" i="36"/>
  <c r="J12" i="36"/>
  <c r="F13" i="36"/>
  <c r="J20" i="36"/>
  <c r="F21" i="36"/>
  <c r="J13" i="36"/>
  <c r="F14" i="36"/>
  <c r="J14" i="36"/>
  <c r="F15" i="36"/>
  <c r="J27" i="41"/>
  <c r="F28" i="41"/>
  <c r="J43" i="41"/>
  <c r="F44" i="41"/>
  <c r="J41" i="41"/>
  <c r="F42" i="41"/>
  <c r="J54" i="41"/>
  <c r="F55" i="41"/>
  <c r="J51" i="41"/>
  <c r="F53" i="41"/>
  <c r="J45" i="41"/>
  <c r="F46" i="41"/>
  <c r="J35" i="41"/>
  <c r="F36" i="41"/>
  <c r="J33" i="41"/>
  <c r="F34" i="41"/>
  <c r="J49" i="41"/>
  <c r="F50" i="41"/>
  <c r="F54" i="41"/>
  <c r="J53" i="41"/>
  <c r="F45" i="41"/>
  <c r="J44" i="41"/>
  <c r="F37" i="41"/>
  <c r="J36" i="41"/>
  <c r="F29" i="41"/>
  <c r="J28" i="41"/>
  <c r="F20" i="41"/>
  <c r="J18" i="41"/>
  <c r="J37" i="41"/>
  <c r="F38" i="41"/>
  <c r="J29" i="41"/>
  <c r="F30" i="41"/>
  <c r="F47" i="41"/>
  <c r="J46" i="41"/>
  <c r="F39" i="41"/>
  <c r="J38" i="41"/>
  <c r="F31" i="41"/>
  <c r="J30" i="41"/>
  <c r="J47" i="41"/>
  <c r="F48" i="41"/>
  <c r="J39" i="41"/>
  <c r="F40" i="41"/>
  <c r="J31" i="41"/>
  <c r="F32" i="41"/>
  <c r="J23" i="41"/>
  <c r="F24" i="41"/>
  <c r="F21" i="41"/>
  <c r="J20" i="41"/>
  <c r="J48" i="41"/>
  <c r="F49" i="41"/>
  <c r="J40" i="41"/>
  <c r="F41" i="41"/>
  <c r="J32" i="41"/>
  <c r="F33" i="41"/>
  <c r="J24" i="41"/>
  <c r="F25" i="41"/>
  <c r="J25" i="41"/>
  <c r="F26" i="41"/>
  <c r="F51" i="41"/>
  <c r="J50" i="41"/>
  <c r="F43" i="41"/>
  <c r="J42" i="41"/>
  <c r="F35" i="41"/>
  <c r="J34" i="41"/>
  <c r="J26" i="41"/>
  <c r="F27" i="41"/>
  <c r="F13" i="41"/>
  <c r="J12" i="41"/>
  <c r="F14" i="41"/>
  <c r="J13" i="41"/>
  <c r="F15" i="41"/>
  <c r="J14" i="41"/>
  <c r="J15" i="41"/>
  <c r="F16" i="41"/>
  <c r="J16" i="41"/>
  <c r="F17" i="41"/>
  <c r="J17" i="41"/>
  <c r="F18" i="41"/>
  <c r="F57" i="36"/>
  <c r="F22" i="38"/>
  <c r="J11" i="31"/>
  <c r="F11" i="41"/>
  <c r="F22" i="41"/>
  <c r="J11" i="36"/>
  <c r="J22" i="31"/>
  <c r="F57" i="27"/>
  <c r="J22" i="30"/>
  <c r="F22" i="33"/>
  <c r="F57" i="34"/>
  <c r="F11" i="37"/>
  <c r="J22" i="28"/>
  <c r="F57" i="28"/>
  <c r="F57" i="41"/>
  <c r="F57" i="33"/>
  <c r="F11" i="34"/>
  <c r="F11" i="32"/>
  <c r="J11" i="38"/>
  <c r="J22" i="38"/>
  <c r="F57" i="38"/>
  <c r="F22" i="39"/>
  <c r="F11" i="35"/>
  <c r="J11" i="35"/>
  <c r="J22" i="27"/>
  <c r="F22" i="28"/>
  <c r="F22" i="30"/>
  <c r="J22" i="41"/>
  <c r="J22" i="33"/>
  <c r="J11" i="34"/>
  <c r="F22" i="34"/>
  <c r="F11" i="40"/>
  <c r="F57" i="40"/>
  <c r="F22" i="36"/>
  <c r="F11" i="31"/>
  <c r="F22" i="31"/>
  <c r="J22" i="37"/>
  <c r="J22" i="39"/>
  <c r="F57" i="39"/>
  <c r="F57" i="35"/>
  <c r="F11" i="29"/>
  <c r="F22" i="29"/>
  <c r="J22" i="29"/>
  <c r="F22" i="40"/>
  <c r="F11" i="36"/>
  <c r="J11" i="27"/>
  <c r="F57" i="30"/>
  <c r="F22" i="27"/>
  <c r="F11" i="27"/>
  <c r="F11" i="30"/>
  <c r="J11" i="30"/>
  <c r="J11" i="41"/>
  <c r="J22" i="34"/>
  <c r="J22" i="40"/>
  <c r="J11" i="40"/>
  <c r="J11" i="32"/>
  <c r="J22" i="36"/>
  <c r="F11" i="38"/>
  <c r="F57" i="31"/>
  <c r="J11" i="37"/>
  <c r="F22" i="37"/>
  <c r="F57" i="37"/>
  <c r="J11" i="29"/>
  <c r="F7" i="29"/>
  <c r="F57" i="29"/>
  <c r="F7" i="33"/>
  <c r="F7" i="38"/>
  <c r="F7" i="37"/>
  <c r="F7" i="39"/>
  <c r="F7" i="27"/>
  <c r="F7" i="41"/>
  <c r="F7" i="28"/>
  <c r="F7" i="40"/>
  <c r="F7" i="32"/>
  <c r="F7" i="36"/>
  <c r="F7" i="31"/>
  <c r="F7" i="34"/>
  <c r="F7" i="30"/>
  <c r="F7" i="35"/>
  <c r="D57" i="3" l="1"/>
  <c r="L10" i="3"/>
  <c r="D11" i="3"/>
  <c r="L11" i="3" s="1"/>
  <c r="L12" i="3"/>
  <c r="L13" i="3"/>
  <c r="L14" i="3"/>
  <c r="L15" i="3"/>
  <c r="L16" i="3"/>
  <c r="L17" i="3"/>
  <c r="L18" i="3"/>
  <c r="L19" i="3"/>
  <c r="L20" i="3"/>
  <c r="L21" i="3"/>
  <c r="D22" i="3"/>
  <c r="L22" i="3" s="1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9" i="3"/>
  <c r="D7" i="3"/>
  <c r="L7" i="3" s="1"/>
  <c r="G11" i="3" l="1"/>
  <c r="G7" i="3"/>
  <c r="H7" i="3" s="1"/>
  <c r="G57" i="3"/>
  <c r="H57" i="3" s="1"/>
  <c r="L57" i="3"/>
  <c r="G22" i="3"/>
  <c r="H22" i="3" s="1"/>
  <c r="H11" i="3" l="1"/>
  <c r="I16" i="3"/>
  <c r="I19" i="3"/>
  <c r="I15" i="3"/>
  <c r="I14" i="3"/>
  <c r="I13" i="3"/>
  <c r="I12" i="3"/>
  <c r="I21" i="3"/>
  <c r="J21" i="3" s="1"/>
  <c r="I32" i="3"/>
  <c r="I41" i="3"/>
  <c r="I50" i="3"/>
  <c r="I23" i="3"/>
  <c r="I31" i="3"/>
  <c r="I40" i="3"/>
  <c r="I49" i="3"/>
  <c r="I30" i="3"/>
  <c r="I39" i="3"/>
  <c r="I48" i="3"/>
  <c r="I17" i="3"/>
  <c r="I29" i="3"/>
  <c r="I38" i="3"/>
  <c r="I47" i="3"/>
  <c r="I20" i="3"/>
  <c r="I28" i="3"/>
  <c r="I37" i="3"/>
  <c r="I46" i="3"/>
  <c r="I55" i="3"/>
  <c r="J55" i="3" s="1"/>
  <c r="I26" i="3"/>
  <c r="I36" i="3"/>
  <c r="I45" i="3"/>
  <c r="I54" i="3"/>
  <c r="I25" i="3"/>
  <c r="I34" i="3"/>
  <c r="I43" i="3"/>
  <c r="I53" i="3"/>
  <c r="I42" i="3"/>
  <c r="I51" i="3"/>
  <c r="I24" i="3"/>
  <c r="I33" i="3"/>
  <c r="I22" i="3"/>
  <c r="I57" i="3"/>
  <c r="J57" i="3" s="1"/>
  <c r="P17" i="3" s="1"/>
  <c r="I7" i="3"/>
  <c r="J7" i="3" s="1"/>
  <c r="I11" i="3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J11" i="3" l="1"/>
  <c r="F12" i="3"/>
  <c r="J22" i="3"/>
  <c r="F23" i="3"/>
  <c r="J33" i="3"/>
  <c r="F34" i="3"/>
  <c r="J24" i="3"/>
  <c r="F25" i="3"/>
  <c r="J51" i="3"/>
  <c r="F53" i="3"/>
  <c r="J42" i="3"/>
  <c r="F43" i="3"/>
  <c r="F54" i="3"/>
  <c r="J53" i="3"/>
  <c r="F45" i="3"/>
  <c r="J43" i="3"/>
  <c r="F36" i="3"/>
  <c r="J34" i="3"/>
  <c r="F26" i="3"/>
  <c r="J25" i="3"/>
  <c r="F55" i="3"/>
  <c r="J54" i="3"/>
  <c r="F46" i="3"/>
  <c r="J45" i="3"/>
  <c r="F37" i="3"/>
  <c r="J36" i="3"/>
  <c r="F28" i="3"/>
  <c r="J26" i="3"/>
  <c r="F47" i="3"/>
  <c r="J46" i="3"/>
  <c r="F38" i="3"/>
  <c r="J37" i="3"/>
  <c r="F29" i="3"/>
  <c r="J28" i="3"/>
  <c r="J20" i="3"/>
  <c r="F21" i="3"/>
  <c r="J47" i="3"/>
  <c r="F48" i="3"/>
  <c r="J38" i="3"/>
  <c r="F39" i="3"/>
  <c r="J29" i="3"/>
  <c r="F30" i="3"/>
  <c r="J17" i="3"/>
  <c r="F19" i="3"/>
  <c r="J48" i="3"/>
  <c r="F49" i="3"/>
  <c r="J39" i="3"/>
  <c r="F40" i="3"/>
  <c r="J30" i="3"/>
  <c r="F31" i="3"/>
  <c r="J49" i="3"/>
  <c r="F50" i="3"/>
  <c r="J40" i="3"/>
  <c r="F41" i="3"/>
  <c r="J31" i="3"/>
  <c r="F32" i="3"/>
  <c r="J23" i="3"/>
  <c r="F24" i="3"/>
  <c r="J50" i="3"/>
  <c r="F51" i="3"/>
  <c r="J41" i="3"/>
  <c r="F42" i="3"/>
  <c r="J32" i="3"/>
  <c r="F33" i="3"/>
  <c r="F13" i="3"/>
  <c r="J12" i="3"/>
  <c r="J13" i="3"/>
  <c r="F14" i="3"/>
  <c r="J14" i="3"/>
  <c r="F15" i="3"/>
  <c r="J15" i="3"/>
  <c r="F16" i="3"/>
  <c r="J19" i="3"/>
  <c r="F20" i="3"/>
  <c r="J16" i="3"/>
  <c r="F17" i="3"/>
  <c r="F57" i="3"/>
  <c r="F11" i="3"/>
  <c r="F22" i="3"/>
  <c r="F7" i="3"/>
  <c r="E7" i="3"/>
  <c r="E11" i="3"/>
  <c r="E22" i="3"/>
  <c r="E57" i="3"/>
  <c r="I22" i="32" l="1"/>
  <c r="F23" i="32" s="1"/>
  <c r="I57" i="32"/>
  <c r="J57" i="32" s="1"/>
  <c r="P17" i="32" s="1"/>
  <c r="J22" i="32" l="1"/>
  <c r="F22" i="32"/>
  <c r="F57" i="32"/>
  <c r="L14" i="26" l="1"/>
  <c r="L29" i="26"/>
  <c r="D57" i="26"/>
  <c r="E57" i="26" s="1"/>
  <c r="L19" i="26"/>
  <c r="D22" i="26"/>
  <c r="E22" i="26" s="1"/>
  <c r="E14" i="69"/>
  <c r="E13" i="69"/>
  <c r="E10" i="69"/>
  <c r="E11" i="69"/>
  <c r="E15" i="69"/>
  <c r="E9" i="69"/>
  <c r="E12" i="69"/>
  <c r="E16" i="69"/>
  <c r="L51" i="26"/>
  <c r="L46" i="26"/>
  <c r="L30" i="26"/>
  <c r="L17" i="26"/>
  <c r="L9" i="26"/>
  <c r="L48" i="26"/>
  <c r="L44" i="26"/>
  <c r="D7" i="26"/>
  <c r="E7" i="26" s="1"/>
  <c r="L12" i="26" l="1"/>
  <c r="L28" i="26"/>
  <c r="L15" i="26"/>
  <c r="L35" i="26"/>
  <c r="L45" i="26"/>
  <c r="L57" i="26"/>
  <c r="L26" i="26"/>
  <c r="L20" i="26"/>
  <c r="L22" i="26"/>
  <c r="G57" i="26"/>
  <c r="H57" i="26" s="1"/>
  <c r="L36" i="26"/>
  <c r="L34" i="26"/>
  <c r="L25" i="26"/>
  <c r="L43" i="26"/>
  <c r="L16" i="26"/>
  <c r="L40" i="26"/>
  <c r="L13" i="26"/>
  <c r="L41" i="26"/>
  <c r="L54" i="26"/>
  <c r="L27" i="26"/>
  <c r="L47" i="26"/>
  <c r="L11" i="26"/>
  <c r="L31" i="26"/>
  <c r="L32" i="26"/>
  <c r="L33" i="26"/>
  <c r="L49" i="26"/>
  <c r="L18" i="26"/>
  <c r="L50" i="26"/>
  <c r="G22" i="26"/>
  <c r="L37" i="26"/>
  <c r="L52" i="26"/>
  <c r="L21" i="26"/>
  <c r="L53" i="26"/>
  <c r="L38" i="26"/>
  <c r="G7" i="26"/>
  <c r="L24" i="26"/>
  <c r="L10" i="26"/>
  <c r="L42" i="26"/>
  <c r="L7" i="26"/>
  <c r="L23" i="26"/>
  <c r="L39" i="26"/>
  <c r="L55" i="26"/>
  <c r="H22" i="26" l="1"/>
  <c r="I43" i="26"/>
  <c r="I39" i="26"/>
  <c r="I45" i="26"/>
  <c r="I46" i="26"/>
  <c r="I25" i="26"/>
  <c r="I23" i="26"/>
  <c r="I49" i="26"/>
  <c r="I27" i="26"/>
  <c r="I51" i="26"/>
  <c r="I31" i="26"/>
  <c r="I35" i="26"/>
  <c r="I32" i="26"/>
  <c r="I30" i="26"/>
  <c r="I47" i="26"/>
  <c r="I53" i="26"/>
  <c r="I29" i="26"/>
  <c r="I44" i="26"/>
  <c r="I42" i="26"/>
  <c r="I28" i="26"/>
  <c r="I38" i="26"/>
  <c r="I37" i="26"/>
  <c r="I52" i="26"/>
  <c r="I36" i="26"/>
  <c r="I24" i="26"/>
  <c r="I40" i="26"/>
  <c r="I55" i="26"/>
  <c r="J55" i="26" s="1"/>
  <c r="I34" i="26"/>
  <c r="I50" i="26"/>
  <c r="I54" i="26"/>
  <c r="I22" i="26"/>
  <c r="F23" i="26" s="1"/>
  <c r="I57" i="26"/>
  <c r="J57" i="26" s="1"/>
  <c r="P17" i="26" s="1"/>
  <c r="I7" i="26"/>
  <c r="H7" i="26"/>
  <c r="J36" i="26" l="1"/>
  <c r="F37" i="26"/>
  <c r="J54" i="26"/>
  <c r="F55" i="26"/>
  <c r="J25" i="26"/>
  <c r="F27" i="26"/>
  <c r="J35" i="26"/>
  <c r="F36" i="26"/>
  <c r="F50" i="26"/>
  <c r="J49" i="26"/>
  <c r="F38" i="26"/>
  <c r="J37" i="26"/>
  <c r="F39" i="26"/>
  <c r="J38" i="26"/>
  <c r="J42" i="26"/>
  <c r="F43" i="26"/>
  <c r="J53" i="26"/>
  <c r="F54" i="26"/>
  <c r="F49" i="26"/>
  <c r="J47" i="26"/>
  <c r="F31" i="26"/>
  <c r="J30" i="26"/>
  <c r="J32" i="26"/>
  <c r="F34" i="26"/>
  <c r="J34" i="26"/>
  <c r="F35" i="26"/>
  <c r="J45" i="26"/>
  <c r="F46" i="26"/>
  <c r="J31" i="26"/>
  <c r="F32" i="26"/>
  <c r="J51" i="26"/>
  <c r="F52" i="26"/>
  <c r="J52" i="26"/>
  <c r="F53" i="26"/>
  <c r="J23" i="26"/>
  <c r="F24" i="26"/>
  <c r="J50" i="26"/>
  <c r="F51" i="26"/>
  <c r="F47" i="26"/>
  <c r="J46" i="26"/>
  <c r="F29" i="26"/>
  <c r="J28" i="26"/>
  <c r="F40" i="26"/>
  <c r="J39" i="26"/>
  <c r="J40" i="26"/>
  <c r="F42" i="26"/>
  <c r="J44" i="26"/>
  <c r="F45" i="26"/>
  <c r="J43" i="26"/>
  <c r="F44" i="26"/>
  <c r="J24" i="26"/>
  <c r="F25" i="26"/>
  <c r="F30" i="26"/>
  <c r="J29" i="26"/>
  <c r="J27" i="26"/>
  <c r="F28" i="26"/>
  <c r="J7" i="26"/>
  <c r="F7" i="26"/>
  <c r="F57" i="26"/>
  <c r="F22" i="26"/>
  <c r="J22" i="26"/>
</calcChain>
</file>

<file path=xl/sharedStrings.xml><?xml version="1.0" encoding="utf-8"?>
<sst xmlns="http://schemas.openxmlformats.org/spreadsheetml/2006/main" count="726" uniqueCount="179">
  <si>
    <t>인원</t>
    <phoneticPr fontId="1" type="noConversion"/>
  </si>
  <si>
    <t>표준점수</t>
    <phoneticPr fontId="1" type="noConversion"/>
  </si>
  <si>
    <t>표준편차</t>
    <phoneticPr fontId="1" type="noConversion"/>
  </si>
  <si>
    <t>응시자 수</t>
    <phoneticPr fontId="1" type="noConversion"/>
  </si>
  <si>
    <t>평균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</si>
  <si>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</si>
  <si>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</si>
  <si>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</si>
  <si>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</si>
  <si>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</si>
  <si>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</si>
  <si>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</si>
  <si>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</si>
  <si>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</si>
  <si>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</si>
  <si>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</si>
  <si>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</si>
  <si>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</si>
  <si>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물리Ⅰ</t>
    <phoneticPr fontId="1" type="noConversion"/>
  </si>
  <si>
    <t>생명과학Ⅰ</t>
    <phoneticPr fontId="1" type="noConversion"/>
  </si>
  <si>
    <t>지구과학Ⅰ</t>
    <phoneticPr fontId="1" type="noConversion"/>
  </si>
  <si>
    <t>물리Ⅱ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</si>
  <si>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</si>
  <si>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</si>
  <si>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</si>
  <si>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</si>
  <si>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</si>
  <si>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</si>
  <si>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</si>
  <si>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</si>
  <si>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</si>
  <si>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</si>
  <si>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</si>
  <si>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</si>
  <si>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</si>
  <si>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</si>
  <si>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</si>
  <si>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</si>
  <si>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</si>
  <si>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</si>
  <si>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</si>
  <si>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</si>
  <si>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</si>
  <si>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</si>
  <si>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</si>
  <si>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</si>
  <si>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</si>
  <si>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</si>
  <si>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</si>
  <si>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</si>
  <si>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</si>
  <si>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</si>
  <si>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</si>
  <si>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</si>
  <si>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</si>
  <si>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</si>
  <si>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물2</t>
    <phoneticPr fontId="1" type="noConversion"/>
  </si>
  <si>
    <t>화2</t>
    <phoneticPr fontId="1" type="noConversion"/>
  </si>
  <si>
    <t>생2</t>
    <phoneticPr fontId="1" type="noConversion"/>
  </si>
  <si>
    <t>지2</t>
    <phoneticPr fontId="1" type="noConversion"/>
  </si>
  <si>
    <t>이 아래로 붙여넣기</t>
    <phoneticPr fontId="1" type="noConversion"/>
  </si>
  <si>
    <t>.</t>
    <phoneticPr fontId="1" type="noConversion"/>
  </si>
  <si>
    <t>정치와 법</t>
    <phoneticPr fontId="1" type="noConversion"/>
  </si>
  <si>
    <t>물리학Ⅰ</t>
    <phoneticPr fontId="1" type="noConversion"/>
  </si>
  <si>
    <t>물리학Ⅱ</t>
    <phoneticPr fontId="1" type="noConversion"/>
  </si>
  <si>
    <t>정</t>
    <phoneticPr fontId="1" type="noConversion"/>
  </si>
  <si>
    <t>영</t>
    <phoneticPr fontId="1" type="noConversion"/>
  </si>
  <si>
    <t>한</t>
    <phoneticPr fontId="1" type="noConversion"/>
  </si>
  <si>
    <t>오차 경고</t>
    <phoneticPr fontId="1" type="noConversion"/>
  </si>
  <si>
    <t>B2:K58</t>
    <phoneticPr fontId="1" type="noConversion"/>
  </si>
  <si>
    <t>B2:K16</t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</si>
  <si>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</si>
  <si>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</si>
  <si>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3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수</t>
    </r>
    <phoneticPr fontId="1" type="noConversion"/>
  </si>
  <si>
    <r>
      <rPr>
        <sz val="12"/>
        <color theme="1"/>
        <rFont val="맑은 고딕"/>
        <family val="3"/>
        <charset val="129"/>
      </rPr>
      <t>과목</t>
    </r>
    <phoneticPr fontId="1" type="noConversion"/>
  </si>
  <si>
    <r>
      <rPr>
        <sz val="12"/>
        <color theme="1"/>
        <rFont val="맑은 고딕"/>
        <family val="3"/>
        <charset val="129"/>
      </rPr>
      <t>영어</t>
    </r>
    <phoneticPr fontId="1" type="noConversion"/>
  </si>
  <si>
    <r>
      <rPr>
        <sz val="12"/>
        <color theme="1"/>
        <rFont val="맑은 고딕"/>
        <family val="3"/>
        <charset val="129"/>
      </rPr>
      <t>표준편차</t>
    </r>
    <phoneticPr fontId="1" type="noConversion"/>
  </si>
  <si>
    <r>
      <rPr>
        <sz val="12"/>
        <color theme="1"/>
        <rFont val="맑은 고딕"/>
        <family val="3"/>
        <charset val="129"/>
      </rPr>
      <t>한국사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</si>
  <si>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</si>
  <si>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등급컷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</si>
  <si>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</si>
  <si>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</si>
  <si>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</si>
  <si>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</si>
  <si>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</si>
  <si>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</si>
  <si>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</si>
  <si>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</si>
  <si>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</si>
  <si>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</si>
  <si>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</si>
  <si>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</si>
  <si>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</si>
  <si>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</si>
  <si>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</si>
  <si>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</si>
  <si>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</si>
  <si>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</si>
  <si>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</si>
  <si>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</si>
  <si>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</si>
  <si>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</si>
  <si>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</si>
  <si>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</si>
  <si>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</si>
  <si>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</si>
  <si>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</si>
  <si>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</si>
  <si>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</si>
  <si>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</si>
  <si>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</si>
  <si>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</si>
  <si>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</si>
  <si>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</si>
  <si>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</si>
  <si>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</si>
  <si>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</si>
  <si>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</si>
  <si>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</si>
  <si>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</si>
  <si>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</si>
  <si>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</si>
  <si>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</si>
  <si>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</si>
  <si>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</si>
  <si>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</si>
  <si>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</si>
  <si>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</si>
  <si>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</si>
  <si>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</si>
  <si>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</si>
  <si>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</si>
  <si>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</si>
  <si>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</si>
  <si>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지구과학Ⅱ</t>
    </r>
    <phoneticPr fontId="1" type="noConversion"/>
  </si>
  <si>
    <r>
      <t xml:space="preserve"> </t>
    </r>
    <r>
      <rPr>
        <sz val="12"/>
        <color theme="1"/>
        <rFont val="맑은 고딕"/>
        <family val="2"/>
        <charset val="129"/>
      </rPr>
      <t>탐구 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</si>
  <si>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t>2024학년도 5월 고3 전국연합학력평가</t>
  </si>
  <si>
    <r>
      <t xml:space="preserve">작성자 : 크럭스(Crux) 컨설팅 입시분석 팀장 </t>
    </r>
    <r>
      <rPr>
        <b/>
        <sz val="10"/>
        <color rgb="FF888888"/>
        <rFont val="맑은 고딕"/>
        <family val="3"/>
        <charset val="129"/>
        <scheme val="minor"/>
      </rPr>
      <t>환동</t>
    </r>
    <phoneticPr fontId="1" type="noConversion"/>
  </si>
  <si>
    <r>
      <t xml:space="preserve">작성자 : 크럭스(Crux) 컨설팅 입시분석 팀장 </t>
    </r>
    <r>
      <rPr>
        <b/>
        <sz val="16"/>
        <color rgb="FF888888"/>
        <rFont val="맑은 고딕"/>
        <family val="3"/>
        <charset val="129"/>
        <scheme val="minor"/>
      </rPr>
      <t>환동</t>
    </r>
    <phoneticPr fontId="1" type="noConversion"/>
  </si>
  <si>
    <t>56.50</t>
  </si>
  <si>
    <t>22.22</t>
  </si>
  <si>
    <t>25.78</t>
  </si>
  <si>
    <t>11.23</t>
  </si>
  <si>
    <t>28.20</t>
  </si>
  <si>
    <t>11.32</t>
  </si>
  <si>
    <t>22.25</t>
  </si>
  <si>
    <t>11.56</t>
  </si>
  <si>
    <t>26.55</t>
  </si>
  <si>
    <t>11.96</t>
  </si>
  <si>
    <t>22.58</t>
  </si>
  <si>
    <t>11.40</t>
  </si>
  <si>
    <t>24.97</t>
  </si>
  <si>
    <t>12.79</t>
  </si>
  <si>
    <t>23.23</t>
  </si>
  <si>
    <t>13.02</t>
  </si>
  <si>
    <t>19.10</t>
  </si>
  <si>
    <t>10.49</t>
  </si>
  <si>
    <t>24.11</t>
  </si>
  <si>
    <t>12.04</t>
  </si>
  <si>
    <t>26.53</t>
  </si>
  <si>
    <t>12.49</t>
  </si>
  <si>
    <t>21.66</t>
  </si>
  <si>
    <t>10.24</t>
  </si>
  <si>
    <t>23.12</t>
  </si>
  <si>
    <t>12.44</t>
  </si>
  <si>
    <t>25.36</t>
  </si>
  <si>
    <t xml:space="preserve"> 9.77</t>
  </si>
  <si>
    <t>25.15</t>
  </si>
  <si>
    <t>12.14</t>
  </si>
  <si>
    <t>15.09</t>
  </si>
  <si>
    <t xml:space="preserve"> 9.43</t>
  </si>
  <si>
    <t>15.98</t>
  </si>
  <si>
    <t>10.95</t>
  </si>
  <si>
    <t>14.57</t>
  </si>
  <si>
    <t xml:space="preserve"> 9.41</t>
  </si>
  <si>
    <t>12.72</t>
  </si>
  <si>
    <t>10.31</t>
  </si>
  <si>
    <t>-</t>
  </si>
  <si>
    <t>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</si>
</sst>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0.00_);[Red]\(0.00\)"/>
    <numFmt numFmtId="178" formatCode="0.00_ "/>
  </numFmts>
  <fonts count="4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theme="1"/>
      <name val="Microsoft Sans Serif"/>
      <family val="2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1"/>
      <color rgb="FF00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sz val="13"/>
      <name val="Microsoft Sans Serif"/>
      <family val="2"/>
    </font>
    <font>
      <b/>
      <sz val="13"/>
      <color theme="1"/>
      <name val="맑은 고딕"/>
      <family val="3"/>
      <charset val="129"/>
    </font>
    <font>
      <sz val="10"/>
      <color rgb="FF888888"/>
      <name val="맑은 고딕"/>
      <family val="3"/>
      <charset val="129"/>
      <scheme val="minor"/>
    </font>
    <font>
      <b/>
      <sz val="10"/>
      <color rgb="FF888888"/>
      <name val="맑은 고딕"/>
      <family val="3"/>
      <charset val="129"/>
      <scheme val="minor"/>
    </font>
    <font>
      <sz val="16"/>
      <color rgb="FF888888"/>
      <name val="맑은 고딕"/>
      <family val="3"/>
      <charset val="129"/>
      <scheme val="minor"/>
    </font>
    <font>
      <b/>
      <sz val="16"/>
      <color rgb="FF888888"/>
      <name val="맑은 고딕"/>
      <family val="3"/>
      <charset val="129"/>
      <scheme val="minor"/>
    </font>
    <font>
      <sz val="10"/>
      <name val="돋움"/>
      <family val="3"/>
      <charset val="129"/>
    </font>
  </fonts>
  <fills count="3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99FF"/>
        <bgColor indexed="64"/>
      </patternFill>
    </fill>
  </fills>
  <borders count="69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3">
    <xf numFmtId="0" fontId="0" fillId="0" borderId="0">
      <alignment vertical="center"/>
    </xf>
    <xf numFmtId="0" fontId="2" fillId="0" borderId="0"/>
    <xf numFmtId="0" fontId="4" fillId="0" borderId="26" applyNumberFormat="0" applyFill="0" applyAlignment="0" applyProtection="0">
      <alignment vertical="center"/>
    </xf>
    <xf numFmtId="0" fontId="5" fillId="0" borderId="27" applyNumberFormat="0" applyFill="0" applyAlignment="0" applyProtection="0">
      <alignment vertical="center"/>
    </xf>
    <xf numFmtId="0" fontId="6" fillId="0" borderId="28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9" borderId="29" applyNumberFormat="0" applyAlignment="0" applyProtection="0">
      <alignment vertical="center"/>
    </xf>
    <xf numFmtId="0" fontId="10" fillId="10" borderId="30" applyNumberFormat="0" applyAlignment="0" applyProtection="0">
      <alignment vertical="center"/>
    </xf>
    <xf numFmtId="0" fontId="11" fillId="10" borderId="29" applyNumberFormat="0" applyAlignment="0" applyProtection="0">
      <alignment vertical="center"/>
    </xf>
    <xf numFmtId="0" fontId="12" fillId="0" borderId="31" applyNumberFormat="0" applyFill="0" applyAlignment="0" applyProtection="0">
      <alignment vertical="center"/>
    </xf>
    <xf numFmtId="0" fontId="13" fillId="11" borderId="32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4" applyNumberFormat="0" applyFill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8" fillId="0" borderId="0"/>
    <xf numFmtId="0" fontId="19" fillId="0" borderId="0" applyNumberFormat="0" applyFill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12" borderId="33" applyNumberFormat="0" applyFont="0" applyAlignment="0" applyProtection="0">
      <alignment vertical="center"/>
    </xf>
    <xf numFmtId="0" fontId="2" fillId="0" borderId="0"/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18" fillId="0" borderId="0"/>
    <xf numFmtId="0" fontId="18" fillId="0" borderId="0"/>
    <xf numFmtId="9" fontId="3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/>
  </cellStyleXfs>
  <cellXfs count="17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5" borderId="0" xfId="0" quotePrefix="1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36" xfId="0" applyBorder="1">
      <alignment vertical="center"/>
    </xf>
    <xf numFmtId="0" fontId="0" fillId="0" borderId="40" xfId="0" applyBorder="1">
      <alignment vertical="center"/>
    </xf>
    <xf numFmtId="0" fontId="0" fillId="0" borderId="37" xfId="0" applyBorder="1">
      <alignment vertical="center"/>
    </xf>
    <xf numFmtId="0" fontId="24" fillId="4" borderId="15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0" fillId="5" borderId="57" xfId="0" applyFill="1" applyBorder="1">
      <alignment vertical="center"/>
    </xf>
    <xf numFmtId="0" fontId="0" fillId="5" borderId="59" xfId="0" applyFill="1" applyBorder="1">
      <alignment vertical="center"/>
    </xf>
    <xf numFmtId="0" fontId="0" fillId="5" borderId="60" xfId="0" applyFill="1" applyBorder="1">
      <alignment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>
      <alignment vertical="center"/>
    </xf>
    <xf numFmtId="0" fontId="0" fillId="5" borderId="62" xfId="0" applyFill="1" applyBorder="1">
      <alignment vertical="center"/>
    </xf>
    <xf numFmtId="0" fontId="0" fillId="5" borderId="63" xfId="0" applyFill="1" applyBorder="1">
      <alignment vertical="center"/>
    </xf>
    <xf numFmtId="0" fontId="0" fillId="5" borderId="64" xfId="0" applyFill="1" applyBorder="1">
      <alignment vertical="center"/>
    </xf>
    <xf numFmtId="0" fontId="0" fillId="5" borderId="58" xfId="0" applyFill="1" applyBorder="1">
      <alignment vertical="center"/>
    </xf>
    <xf numFmtId="0" fontId="23" fillId="5" borderId="58" xfId="0" applyFont="1" applyFill="1" applyBorder="1" applyAlignment="1">
      <alignment horizontal="center" vertical="center"/>
    </xf>
    <xf numFmtId="0" fontId="0" fillId="5" borderId="58" xfId="0" applyFill="1" applyBorder="1" applyAlignment="1">
      <alignment horizontal="center" vertical="center"/>
    </xf>
    <xf numFmtId="0" fontId="0" fillId="5" borderId="61" xfId="0" applyFill="1" applyBorder="1">
      <alignment vertical="center"/>
    </xf>
    <xf numFmtId="0" fontId="24" fillId="5" borderId="0" xfId="0" applyFont="1" applyFill="1">
      <alignment vertical="center"/>
    </xf>
    <xf numFmtId="0" fontId="23" fillId="5" borderId="63" xfId="0" applyFont="1" applyFill="1" applyBorder="1" applyAlignment="1">
      <alignment horizontal="center" vertical="center"/>
    </xf>
    <xf numFmtId="0" fontId="0" fillId="5" borderId="63" xfId="0" applyFill="1" applyBorder="1" applyAlignment="1">
      <alignment horizontal="center" vertical="center"/>
    </xf>
    <xf numFmtId="0" fontId="0" fillId="5" borderId="61" xfId="0" applyFill="1" applyBorder="1" applyAlignment="1">
      <alignment horizontal="center" vertical="center"/>
    </xf>
    <xf numFmtId="0" fontId="24" fillId="4" borderId="21" xfId="0" applyFont="1" applyFill="1" applyBorder="1" applyAlignment="1">
      <alignment horizontal="center" vertical="center"/>
    </xf>
    <xf numFmtId="2" fontId="24" fillId="0" borderId="20" xfId="0" applyNumberFormat="1" applyFont="1" applyBorder="1" applyAlignment="1">
      <alignment horizontal="center" vertical="center"/>
    </xf>
    <xf numFmtId="3" fontId="24" fillId="0" borderId="19" xfId="0" applyNumberFormat="1" applyFont="1" applyBorder="1" applyAlignment="1">
      <alignment horizontal="center" vertical="center"/>
    </xf>
    <xf numFmtId="0" fontId="24" fillId="4" borderId="4" xfId="0" applyFont="1" applyFill="1" applyBorder="1" applyAlignment="1">
      <alignment horizontal="center" vertical="center"/>
    </xf>
    <xf numFmtId="0" fontId="24" fillId="4" borderId="17" xfId="0" applyFont="1" applyFill="1" applyBorder="1" applyAlignment="1">
      <alignment horizontal="center" vertical="center"/>
    </xf>
    <xf numFmtId="2" fontId="24" fillId="0" borderId="16" xfId="0" applyNumberFormat="1" applyFont="1" applyBorder="1" applyAlignment="1">
      <alignment horizontal="center" vertical="center"/>
    </xf>
    <xf numFmtId="0" fontId="29" fillId="4" borderId="15" xfId="0" applyFont="1" applyFill="1" applyBorder="1" applyAlignment="1">
      <alignment horizontal="center" vertical="center"/>
    </xf>
    <xf numFmtId="0" fontId="29" fillId="4" borderId="19" xfId="0" applyFont="1" applyFill="1" applyBorder="1" applyAlignment="1">
      <alignment horizontal="center" vertical="center"/>
    </xf>
    <xf numFmtId="0" fontId="29" fillId="4" borderId="47" xfId="0" applyFont="1" applyFill="1" applyBorder="1" applyAlignment="1">
      <alignment horizontal="center" vertical="center"/>
    </xf>
    <xf numFmtId="0" fontId="29" fillId="4" borderId="14" xfId="0" applyFont="1" applyFill="1" applyBorder="1" applyAlignment="1">
      <alignment horizontal="center" vertical="center"/>
    </xf>
    <xf numFmtId="0" fontId="29" fillId="4" borderId="12" xfId="0" applyFont="1" applyFill="1" applyBorder="1" applyAlignment="1">
      <alignment horizontal="center" vertical="center"/>
    </xf>
    <xf numFmtId="0" fontId="31" fillId="37" borderId="21" xfId="0" applyFont="1" applyFill="1" applyBorder="1" applyAlignment="1">
      <alignment horizontal="center" vertical="center"/>
    </xf>
    <xf numFmtId="0" fontId="31" fillId="37" borderId="22" xfId="0" applyFont="1" applyFill="1" applyBorder="1" applyAlignment="1">
      <alignment horizontal="center" vertical="center"/>
    </xf>
    <xf numFmtId="3" fontId="29" fillId="0" borderId="48" xfId="0" applyNumberFormat="1" applyFont="1" applyBorder="1" applyAlignment="1">
      <alignment horizontal="center" vertical="center"/>
    </xf>
    <xf numFmtId="10" fontId="29" fillId="0" borderId="10" xfId="51" applyNumberFormat="1" applyFont="1" applyBorder="1" applyAlignment="1">
      <alignment horizontal="center" vertical="center"/>
    </xf>
    <xf numFmtId="3" fontId="29" fillId="0" borderId="10" xfId="0" applyNumberFormat="1" applyFont="1" applyBorder="1" applyAlignment="1">
      <alignment horizontal="center" vertical="center"/>
    </xf>
    <xf numFmtId="10" fontId="29" fillId="0" borderId="45" xfId="51" applyNumberFormat="1" applyFont="1" applyBorder="1" applyAlignment="1">
      <alignment horizontal="center" vertical="center"/>
    </xf>
    <xf numFmtId="0" fontId="31" fillId="37" borderId="9" xfId="0" applyFont="1" applyFill="1" applyBorder="1" applyAlignment="1">
      <alignment horizontal="center" vertical="center"/>
    </xf>
    <xf numFmtId="0" fontId="31" fillId="37" borderId="44" xfId="0" applyFont="1" applyFill="1" applyBorder="1" applyAlignment="1">
      <alignment horizontal="center" vertical="center"/>
    </xf>
    <xf numFmtId="3" fontId="29" fillId="0" borderId="49" xfId="0" applyNumberFormat="1" applyFont="1" applyBorder="1" applyAlignment="1">
      <alignment horizontal="center" vertical="center"/>
    </xf>
    <xf numFmtId="10" fontId="29" fillId="0" borderId="8" xfId="51" applyNumberFormat="1" applyFont="1" applyBorder="1" applyAlignment="1">
      <alignment horizontal="center" vertical="center"/>
    </xf>
    <xf numFmtId="3" fontId="29" fillId="0" borderId="6" xfId="0" applyNumberFormat="1" applyFont="1" applyBorder="1" applyAlignment="1">
      <alignment horizontal="center" vertical="center"/>
    </xf>
    <xf numFmtId="10" fontId="29" fillId="0" borderId="25" xfId="51" applyNumberFormat="1" applyFont="1" applyBorder="1" applyAlignment="1">
      <alignment horizontal="center" vertical="center"/>
    </xf>
    <xf numFmtId="0" fontId="31" fillId="37" borderId="4" xfId="0" applyFont="1" applyFill="1" applyBorder="1" applyAlignment="1">
      <alignment horizontal="center" vertical="center"/>
    </xf>
    <xf numFmtId="0" fontId="31" fillId="37" borderId="1" xfId="0" applyFont="1" applyFill="1" applyBorder="1" applyAlignment="1">
      <alignment horizontal="center" vertical="center"/>
    </xf>
    <xf numFmtId="3" fontId="29" fillId="0" borderId="50" xfId="0" applyNumberFormat="1" applyFont="1" applyBorder="1" applyAlignment="1">
      <alignment horizontal="center" vertical="center"/>
    </xf>
    <xf numFmtId="10" fontId="29" fillId="0" borderId="24" xfId="51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10" fontId="29" fillId="0" borderId="46" xfId="51" applyNumberFormat="1" applyFont="1" applyBorder="1" applyAlignment="1">
      <alignment horizontal="center" vertical="center"/>
    </xf>
    <xf numFmtId="0" fontId="32" fillId="37" borderId="21" xfId="0" applyFont="1" applyFill="1" applyBorder="1" applyAlignment="1">
      <alignment horizontal="center" vertical="center"/>
    </xf>
    <xf numFmtId="0" fontId="32" fillId="37" borderId="22" xfId="0" applyFont="1" applyFill="1" applyBorder="1" applyAlignment="1">
      <alignment horizontal="center" vertical="center"/>
    </xf>
    <xf numFmtId="0" fontId="32" fillId="37" borderId="9" xfId="0" applyFont="1" applyFill="1" applyBorder="1" applyAlignment="1">
      <alignment horizontal="center" vertical="center"/>
    </xf>
    <xf numFmtId="0" fontId="32" fillId="37" borderId="44" xfId="0" applyFon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0" fontId="32" fillId="37" borderId="1" xfId="0" applyFont="1" applyFill="1" applyBorder="1" applyAlignment="1">
      <alignment horizontal="center" vertical="center"/>
    </xf>
    <xf numFmtId="0" fontId="29" fillId="4" borderId="13" xfId="0" applyFont="1" applyFill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177" fontId="29" fillId="0" borderId="8" xfId="0" applyNumberFormat="1" applyFont="1" applyBorder="1" applyAlignment="1">
      <alignment horizontal="center" vertical="center"/>
    </xf>
    <xf numFmtId="176" fontId="33" fillId="0" borderId="8" xfId="1" applyNumberFormat="1" applyFont="1" applyBorder="1" applyAlignment="1">
      <alignment horizontal="center" vertical="center"/>
    </xf>
    <xf numFmtId="10" fontId="33" fillId="0" borderId="7" xfId="51" applyNumberFormat="1" applyFont="1" applyBorder="1" applyAlignment="1">
      <alignment horizontal="center" vertical="center"/>
    </xf>
    <xf numFmtId="176" fontId="29" fillId="0" borderId="10" xfId="0" applyNumberFormat="1" applyFont="1" applyBorder="1" applyAlignment="1">
      <alignment horizontal="center" vertical="center"/>
    </xf>
    <xf numFmtId="10" fontId="33" fillId="0" borderId="5" xfId="51" applyNumberFormat="1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176" fontId="29" fillId="0" borderId="6" xfId="0" applyNumberFormat="1" applyFont="1" applyBorder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2" borderId="17" xfId="0" applyFont="1" applyFill="1" applyBorder="1" applyAlignment="1">
      <alignment horizontal="center" vertical="center"/>
    </xf>
    <xf numFmtId="0" fontId="29" fillId="2" borderId="2" xfId="0" applyFont="1" applyFill="1" applyBorder="1" applyAlignment="1">
      <alignment horizontal="center" vertical="center"/>
    </xf>
    <xf numFmtId="0" fontId="29" fillId="2" borderId="24" xfId="0" applyFont="1" applyFill="1" applyBorder="1" applyAlignment="1">
      <alignment horizontal="center" vertical="center"/>
    </xf>
    <xf numFmtId="177" fontId="29" fillId="2" borderId="2" xfId="0" applyNumberFormat="1" applyFont="1" applyFill="1" applyBorder="1" applyAlignment="1">
      <alignment horizontal="center" vertical="center"/>
    </xf>
    <xf numFmtId="176" fontId="33" fillId="2" borderId="24" xfId="1" applyNumberFormat="1" applyFont="1" applyFill="1" applyBorder="1" applyAlignment="1">
      <alignment horizontal="center" vertical="center"/>
    </xf>
    <xf numFmtId="10" fontId="33" fillId="2" borderId="24" xfId="51" applyNumberFormat="1" applyFont="1" applyFill="1" applyBorder="1" applyAlignment="1">
      <alignment horizontal="center" vertical="center"/>
    </xf>
    <xf numFmtId="176" fontId="29" fillId="2" borderId="2" xfId="0" applyNumberFormat="1" applyFont="1" applyFill="1" applyBorder="1" applyAlignment="1">
      <alignment horizontal="center" vertical="center"/>
    </xf>
    <xf numFmtId="10" fontId="33" fillId="2" borderId="16" xfId="51" applyNumberFormat="1" applyFont="1" applyFill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31" fillId="37" borderId="52" xfId="0" applyFont="1" applyFill="1" applyBorder="1" applyAlignment="1">
      <alignment horizontal="center" vertical="center"/>
    </xf>
    <xf numFmtId="0" fontId="31" fillId="37" borderId="15" xfId="0" applyFont="1" applyFill="1" applyBorder="1" applyAlignment="1">
      <alignment horizontal="center" vertical="center"/>
    </xf>
    <xf numFmtId="0" fontId="31" fillId="37" borderId="14" xfId="0" applyFont="1" applyFill="1" applyBorder="1" applyAlignment="1">
      <alignment horizontal="center" vertical="center"/>
    </xf>
    <xf numFmtId="0" fontId="31" fillId="37" borderId="12" xfId="0" applyFont="1" applyFill="1" applyBorder="1" applyAlignment="1">
      <alignment horizontal="center" vertical="center"/>
    </xf>
    <xf numFmtId="0" fontId="31" fillId="37" borderId="53" xfId="0" applyFont="1" applyFill="1" applyBorder="1" applyAlignment="1">
      <alignment horizontal="center" vertical="center"/>
    </xf>
    <xf numFmtId="0" fontId="29" fillId="5" borderId="25" xfId="0" applyFont="1" applyFill="1" applyBorder="1" applyAlignment="1">
      <alignment horizontal="center" vertical="center"/>
    </xf>
    <xf numFmtId="0" fontId="31" fillId="37" borderId="54" xfId="0" applyFont="1" applyFill="1" applyBorder="1" applyAlignment="1">
      <alignment horizontal="center" vertical="center"/>
    </xf>
    <xf numFmtId="0" fontId="29" fillId="5" borderId="6" xfId="0" applyFont="1" applyFill="1" applyBorder="1" applyAlignment="1">
      <alignment horizontal="center" vertical="center"/>
    </xf>
    <xf numFmtId="0" fontId="29" fillId="5" borderId="55" xfId="0" applyFont="1" applyFill="1" applyBorder="1" applyAlignment="1">
      <alignment horizontal="center" vertical="center"/>
    </xf>
    <xf numFmtId="0" fontId="31" fillId="37" borderId="56" xfId="0" applyFont="1" applyFill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2" xfId="0" applyFont="1" applyFill="1" applyBorder="1" applyAlignment="1">
      <alignment horizontal="center" vertical="center"/>
    </xf>
    <xf numFmtId="0" fontId="29" fillId="5" borderId="51" xfId="0" applyFon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0" xfId="0" applyFont="1" applyFill="1">
      <alignment vertical="center"/>
    </xf>
    <xf numFmtId="176" fontId="39" fillId="0" borderId="6" xfId="45" applyNumberFormat="1" applyFont="1" applyBorder="1" applyAlignment="1">
      <alignment horizontal="center" vertical="center"/>
    </xf>
    <xf numFmtId="178" fontId="39" fillId="0" borderId="6" xfId="45" applyNumberFormat="1" applyFont="1" applyBorder="1" applyAlignment="1">
      <alignment horizontal="center" vertical="center"/>
    </xf>
    <xf numFmtId="0" fontId="39" fillId="0" borderId="6" xfId="45" applyFont="1" applyBorder="1" applyAlignment="1">
      <alignment horizontal="center" vertical="center"/>
    </xf>
    <xf numFmtId="38" fontId="39" fillId="0" borderId="6" xfId="45" applyNumberFormat="1" applyFont="1" applyBorder="1" applyAlignment="1">
      <alignment horizontal="center" vertical="center"/>
    </xf>
    <xf numFmtId="0" fontId="39" fillId="0" borderId="65" xfId="45" applyFont="1" applyBorder="1" applyAlignment="1">
      <alignment horizontal="center" vertical="center"/>
    </xf>
    <xf numFmtId="38" fontId="39" fillId="0" borderId="65" xfId="45" applyNumberFormat="1" applyFont="1" applyBorder="1" applyAlignment="1">
      <alignment horizontal="center" vertical="center"/>
    </xf>
    <xf numFmtId="38" fontId="39" fillId="0" borderId="65" xfId="34" applyNumberFormat="1" applyFont="1" applyBorder="1" applyAlignment="1">
      <alignment horizontal="center" vertical="center"/>
    </xf>
    <xf numFmtId="0" fontId="39" fillId="0" borderId="65" xfId="34" applyFont="1" applyBorder="1" applyAlignment="1">
      <alignment horizontal="center" vertical="center"/>
    </xf>
    <xf numFmtId="38" fontId="39" fillId="0" borderId="65" xfId="45" applyNumberFormat="1" applyFont="1" applyBorder="1" applyAlignment="1">
      <alignment horizontal="center" vertical="center" wrapText="1" shrinkToFit="1"/>
    </xf>
    <xf numFmtId="0" fontId="39" fillId="0" borderId="66" xfId="45" applyFont="1" applyBorder="1" applyAlignment="1">
      <alignment horizontal="center" vertical="center"/>
    </xf>
    <xf numFmtId="38" fontId="39" fillId="0" borderId="66" xfId="45" applyNumberFormat="1" applyFont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0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3" xfId="0" applyFont="1" applyFill="1" applyBorder="1" applyAlignment="1">
      <alignment horizontal="center" vertical="center"/>
    </xf>
    <xf numFmtId="0" fontId="24" fillId="5" borderId="18" xfId="0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0" fontId="35" fillId="5" borderId="41" xfId="0" applyFont="1" applyFill="1" applyBorder="1" applyAlignment="1">
      <alignment horizontal="right" vertical="center" wrapText="1"/>
    </xf>
    <xf numFmtId="0" fontId="29" fillId="3" borderId="42" xfId="0" applyFont="1" applyFill="1" applyBorder="1" applyAlignment="1">
      <alignment horizontal="center" vertical="center"/>
    </xf>
    <xf numFmtId="0" fontId="29" fillId="3" borderId="43" xfId="0" applyFont="1" applyFill="1" applyBorder="1" applyAlignment="1">
      <alignment horizontal="center" vertical="center"/>
    </xf>
    <xf numFmtId="0" fontId="29" fillId="3" borderId="44" xfId="0" applyFont="1" applyFill="1" applyBorder="1" applyAlignment="1">
      <alignment horizontal="center" vertical="center"/>
    </xf>
    <xf numFmtId="0" fontId="29" fillId="0" borderId="67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177" fontId="29" fillId="0" borderId="67" xfId="0" applyNumberFormat="1" applyFont="1" applyBorder="1" applyAlignment="1">
      <alignment horizontal="center" vertical="center"/>
    </xf>
    <xf numFmtId="177" fontId="29" fillId="0" borderId="8" xfId="0" applyNumberFormat="1" applyFont="1" applyBorder="1" applyAlignment="1">
      <alignment horizontal="center" vertical="center"/>
    </xf>
    <xf numFmtId="176" fontId="33" fillId="0" borderId="67" xfId="1" applyNumberFormat="1" applyFont="1" applyBorder="1" applyAlignment="1">
      <alignment horizontal="center" vertical="center"/>
    </xf>
    <xf numFmtId="176" fontId="33" fillId="0" borderId="8" xfId="1" applyNumberFormat="1" applyFont="1" applyBorder="1" applyAlignment="1">
      <alignment horizontal="center" vertical="center"/>
    </xf>
    <xf numFmtId="10" fontId="33" fillId="0" borderId="67" xfId="51" applyNumberFormat="1" applyFont="1" applyBorder="1" applyAlignment="1">
      <alignment horizontal="center" vertical="center"/>
    </xf>
    <xf numFmtId="10" fontId="33" fillId="0" borderId="8" xfId="51" applyNumberFormat="1" applyFont="1" applyBorder="1" applyAlignment="1">
      <alignment horizontal="center" vertical="center"/>
    </xf>
    <xf numFmtId="176" fontId="29" fillId="0" borderId="67" xfId="0" applyNumberFormat="1" applyFont="1" applyBorder="1" applyAlignment="1">
      <alignment horizontal="center" vertical="center"/>
    </xf>
    <xf numFmtId="176" fontId="29" fillId="0" borderId="8" xfId="0" applyNumberFormat="1" applyFont="1" applyBorder="1" applyAlignment="1">
      <alignment horizontal="center" vertical="center"/>
    </xf>
    <xf numFmtId="10" fontId="33" fillId="0" borderId="68" xfId="51" applyNumberFormat="1" applyFont="1" applyBorder="1" applyAlignment="1">
      <alignment horizontal="center" vertical="center"/>
    </xf>
    <xf numFmtId="10" fontId="33" fillId="0" borderId="25" xfId="51" applyNumberFormat="1" applyFont="1" applyBorder="1" applyAlignment="1">
      <alignment horizontal="center" vertical="center"/>
    </xf>
    <xf numFmtId="0" fontId="29" fillId="5" borderId="67" xfId="0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0" borderId="8" xfId="0" applyFont="1" applyBorder="1">
      <alignment vertical="center"/>
    </xf>
    <xf numFmtId="177" fontId="29" fillId="0" borderId="8" xfId="0" applyNumberFormat="1" applyFont="1" applyBorder="1">
      <alignment vertical="center"/>
    </xf>
    <xf numFmtId="176" fontId="33" fillId="0" borderId="8" xfId="1" applyNumberFormat="1" applyFont="1" applyBorder="1" applyAlignment="1">
      <alignment vertical="center"/>
    </xf>
    <xf numFmtId="10" fontId="33" fillId="0" borderId="8" xfId="51" applyNumberFormat="1" applyFont="1" applyBorder="1" applyAlignment="1">
      <alignment vertical="center"/>
    </xf>
    <xf numFmtId="176" fontId="29" fillId="0" borderId="8" xfId="0" applyNumberFormat="1" applyFont="1" applyBorder="1">
      <alignment vertical="center"/>
    </xf>
    <xf numFmtId="10" fontId="33" fillId="0" borderId="25" xfId="51" applyNumberFormat="1" applyFont="1" applyBorder="1" applyAlignment="1">
      <alignment vertical="center"/>
    </xf>
    <xf numFmtId="0" fontId="29" fillId="5" borderId="8" xfId="0" applyFont="1" applyFill="1" applyBorder="1">
      <alignment vertical="center"/>
    </xf>
    <xf numFmtId="0" fontId="24" fillId="5" borderId="10" xfId="0" applyFont="1" applyFill="1" applyBorder="1" applyAlignment="1">
      <alignment horizontal="center" vertical="center"/>
    </xf>
    <xf numFmtId="0" fontId="24" fillId="5" borderId="45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4" fillId="5" borderId="51" xfId="0" applyFont="1" applyFill="1" applyBorder="1" applyAlignment="1">
      <alignment horizontal="center" vertical="center"/>
    </xf>
    <xf numFmtId="0" fontId="37" fillId="5" borderId="0" xfId="0" applyFont="1" applyFill="1" applyAlignment="1">
      <alignment horizontal="right" vertical="center"/>
    </xf>
    <xf numFmtId="0" fontId="37" fillId="5" borderId="41" xfId="0" applyFont="1" applyFill="1" applyBorder="1" applyAlignment="1">
      <alignment horizontal="right" vertical="center"/>
    </xf>
    <xf numFmtId="0" fontId="35" fillId="5" borderId="0" xfId="0" applyFont="1" applyFill="1" applyBorder="1" applyAlignment="1">
      <alignment horizontal="right" vertical="center" wrapText="1"/>
    </xf>
    <xf numFmtId="2" fontId="24" fillId="0" borderId="22" xfId="0" applyNumberFormat="1" applyFont="1" applyBorder="1" applyAlignment="1">
      <alignment horizontal="center" vertical="center"/>
    </xf>
    <xf numFmtId="0" fontId="29" fillId="38" borderId="11" xfId="0" applyFont="1" applyFill="1" applyBorder="1" applyAlignment="1">
      <alignment horizontal="center" vertical="center"/>
    </xf>
    <xf numFmtId="0" fontId="29" fillId="38" borderId="67" xfId="0" applyFont="1" applyFill="1" applyBorder="1" applyAlignment="1">
      <alignment horizontal="center" vertical="center"/>
    </xf>
    <xf numFmtId="177" fontId="29" fillId="38" borderId="67" xfId="0" applyNumberFormat="1" applyFont="1" applyFill="1" applyBorder="1" applyAlignment="1">
      <alignment horizontal="center" vertical="center"/>
    </xf>
    <xf numFmtId="176" fontId="33" fillId="38" borderId="67" xfId="1" applyNumberFormat="1" applyFont="1" applyFill="1" applyBorder="1" applyAlignment="1">
      <alignment horizontal="center" vertical="center"/>
    </xf>
    <xf numFmtId="10" fontId="33" fillId="38" borderId="67" xfId="51" applyNumberFormat="1" applyFont="1" applyFill="1" applyBorder="1" applyAlignment="1">
      <alignment horizontal="center" vertical="center"/>
    </xf>
    <xf numFmtId="176" fontId="29" fillId="38" borderId="67" xfId="0" applyNumberFormat="1" applyFont="1" applyFill="1" applyBorder="1" applyAlignment="1">
      <alignment horizontal="center" vertical="center"/>
    </xf>
    <xf numFmtId="10" fontId="33" fillId="38" borderId="68" xfId="51" applyNumberFormat="1" applyFont="1" applyFill="1" applyBorder="1" applyAlignment="1">
      <alignment horizontal="center" vertical="center"/>
    </xf>
    <xf numFmtId="0" fontId="29" fillId="38" borderId="8" xfId="0" applyFont="1" applyFill="1" applyBorder="1" applyAlignment="1">
      <alignment horizontal="center" vertical="center"/>
    </xf>
    <xf numFmtId="177" fontId="29" fillId="38" borderId="8" xfId="0" applyNumberFormat="1" applyFont="1" applyFill="1" applyBorder="1" applyAlignment="1">
      <alignment horizontal="center" vertical="center"/>
    </xf>
    <xf numFmtId="176" fontId="33" fillId="38" borderId="8" xfId="1" applyNumberFormat="1" applyFont="1" applyFill="1" applyBorder="1" applyAlignment="1">
      <alignment horizontal="center" vertical="center"/>
    </xf>
    <xf numFmtId="10" fontId="33" fillId="38" borderId="8" xfId="51" applyNumberFormat="1" applyFont="1" applyFill="1" applyBorder="1" applyAlignment="1">
      <alignment horizontal="center" vertical="center"/>
    </xf>
    <xf numFmtId="176" fontId="29" fillId="38" borderId="8" xfId="0" applyNumberFormat="1" applyFont="1" applyFill="1" applyBorder="1" applyAlignment="1">
      <alignment horizontal="center" vertical="center"/>
    </xf>
    <xf numFmtId="10" fontId="33" fillId="38" borderId="25" xfId="51" applyNumberFormat="1" applyFont="1" applyFill="1" applyBorder="1" applyAlignment="1">
      <alignment horizontal="center" vertical="center"/>
    </xf>
    <xf numFmtId="0" fontId="29" fillId="38" borderId="8" xfId="0" applyFont="1" applyFill="1" applyBorder="1" applyAlignment="1">
      <alignment horizontal="center" vertical="center"/>
    </xf>
    <xf numFmtId="177" fontId="29" fillId="38" borderId="8" xfId="0" applyNumberFormat="1" applyFont="1" applyFill="1" applyBorder="1" applyAlignment="1">
      <alignment horizontal="center" vertical="center"/>
    </xf>
    <xf numFmtId="176" fontId="33" fillId="38" borderId="8" xfId="1" applyNumberFormat="1" applyFont="1" applyFill="1" applyBorder="1" applyAlignment="1">
      <alignment horizontal="center" vertical="center"/>
    </xf>
    <xf numFmtId="10" fontId="33" fillId="38" borderId="7" xfId="51" applyNumberFormat="1" applyFont="1" applyFill="1" applyBorder="1" applyAlignment="1">
      <alignment horizontal="center" vertical="center"/>
    </xf>
    <xf numFmtId="176" fontId="29" fillId="38" borderId="6" xfId="0" applyNumberFormat="1" applyFont="1" applyFill="1" applyBorder="1" applyAlignment="1">
      <alignment horizontal="center" vertical="center"/>
    </xf>
    <xf numFmtId="10" fontId="33" fillId="38" borderId="5" xfId="51" applyNumberFormat="1" applyFont="1" applyFill="1" applyBorder="1" applyAlignment="1">
      <alignment horizontal="center" vertical="center"/>
    </xf>
  </cellXfs>
  <cellStyles count="53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백분율" xfId="51" builtinId="5"/>
    <cellStyle name="보통 2" xfId="36" xr:uid="{00000000-0005-0000-0000-000039000000}"/>
    <cellStyle name="설명 텍스트" xfId="14" builtinId="53" customBuiltin="1"/>
    <cellStyle name="셀 확인" xfId="12" builtinId="23" customBuiltin="1"/>
    <cellStyle name="쉼표 [0] 2" xfId="52" xr:uid="{2C30EC2A-B8DB-484D-AACD-D733645206C1}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4 3" xfId="50" xr:uid="{7DE1655F-D382-4187-A654-AE792D843963}"/>
    <cellStyle name="표준 5" xfId="48" xr:uid="{00000000-0005-0000-0000-00002F000000}"/>
    <cellStyle name="하이퍼링크 2" xfId="46" xr:uid="{00000000-0005-0000-0000-000030000000}"/>
  </cellStyles>
  <dxfs count="57"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99FF"/>
      <color rgb="FFFFCCFF"/>
      <color rgb="FFD4D4D4"/>
      <color rgb="FFCCFFCC"/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654050</xdr:colOff>
          <xdr:row>5</xdr:row>
          <xdr:rowOff>0</xdr:rowOff>
        </xdr:from>
        <xdr:to>
          <xdr:col>8</xdr:col>
          <xdr:colOff>0</xdr:colOff>
          <xdr:row>8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6350</xdr:colOff>
      <xdr:row>43</xdr:row>
      <xdr:rowOff>285750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742950" y="1359535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22"/>
  <sheetViews>
    <sheetView topLeftCell="A5" workbookViewId="0">
      <selection activeCell="C4" sqref="C4:E22"/>
    </sheetView>
  </sheetViews>
  <sheetFormatPr defaultRowHeight="17" x14ac:dyDescent="0.45"/>
  <cols>
    <col min="2" max="5" width="12.58203125" style="1" customWidth="1"/>
  </cols>
  <sheetData>
    <row r="3" spans="2:5" x14ac:dyDescent="0.45">
      <c r="C3" s="1" t="s">
        <v>3</v>
      </c>
      <c r="D3" s="1" t="s">
        <v>4</v>
      </c>
      <c r="E3" s="1" t="s">
        <v>2</v>
      </c>
    </row>
    <row r="4" spans="2:5" x14ac:dyDescent="0.45">
      <c r="B4" s="1" t="s">
        <v>5</v>
      </c>
      <c r="C4" s="105">
        <v>299941</v>
      </c>
      <c r="D4" s="106" t="s">
        <v>139</v>
      </c>
      <c r="E4" s="106" t="s">
        <v>140</v>
      </c>
    </row>
    <row r="5" spans="2:5" x14ac:dyDescent="0.45">
      <c r="B5" s="1" t="s">
        <v>6</v>
      </c>
      <c r="C5" s="105">
        <v>300471</v>
      </c>
      <c r="D5" s="106" t="s">
        <v>141</v>
      </c>
      <c r="E5" s="106" t="s">
        <v>142</v>
      </c>
    </row>
    <row r="6" spans="2:5" x14ac:dyDescent="0.45">
      <c r="B6" s="1" t="s">
        <v>9</v>
      </c>
      <c r="C6" s="105">
        <v>104747</v>
      </c>
      <c r="D6" s="106" t="s">
        <v>143</v>
      </c>
      <c r="E6" s="106" t="s">
        <v>144</v>
      </c>
    </row>
    <row r="7" spans="2:5" x14ac:dyDescent="0.45">
      <c r="B7" s="1" t="s">
        <v>10</v>
      </c>
      <c r="C7" s="105">
        <v>27692</v>
      </c>
      <c r="D7" s="106" t="s">
        <v>145</v>
      </c>
      <c r="E7" s="106" t="s">
        <v>146</v>
      </c>
    </row>
    <row r="8" spans="2:5" x14ac:dyDescent="0.45">
      <c r="B8" s="1" t="s">
        <v>11</v>
      </c>
      <c r="C8" s="105">
        <v>25161</v>
      </c>
      <c r="D8" s="106" t="s">
        <v>147</v>
      </c>
      <c r="E8" s="106" t="s">
        <v>148</v>
      </c>
    </row>
    <row r="9" spans="2:5" x14ac:dyDescent="0.45">
      <c r="B9" s="1" t="s">
        <v>12</v>
      </c>
      <c r="C9" s="105">
        <v>21155</v>
      </c>
      <c r="D9" s="106" t="s">
        <v>149</v>
      </c>
      <c r="E9" s="106" t="s">
        <v>150</v>
      </c>
    </row>
    <row r="10" spans="2:5" x14ac:dyDescent="0.45">
      <c r="B10" s="1" t="s">
        <v>13</v>
      </c>
      <c r="C10" s="105">
        <v>12581</v>
      </c>
      <c r="D10" s="106" t="s">
        <v>151</v>
      </c>
      <c r="E10" s="106" t="s">
        <v>152</v>
      </c>
    </row>
    <row r="11" spans="2:5" x14ac:dyDescent="0.45">
      <c r="B11" s="1" t="s">
        <v>14</v>
      </c>
      <c r="C11" s="105">
        <v>11689</v>
      </c>
      <c r="D11" s="106" t="s">
        <v>153</v>
      </c>
      <c r="E11" s="106" t="s">
        <v>154</v>
      </c>
    </row>
    <row r="12" spans="2:5" x14ac:dyDescent="0.45">
      <c r="B12" s="1" t="s">
        <v>15</v>
      </c>
      <c r="C12" s="105">
        <v>5753</v>
      </c>
      <c r="D12" s="106" t="s">
        <v>155</v>
      </c>
      <c r="E12" s="106" t="s">
        <v>156</v>
      </c>
    </row>
    <row r="13" spans="2:5" x14ac:dyDescent="0.45">
      <c r="B13" s="1" t="s">
        <v>62</v>
      </c>
      <c r="C13" s="105">
        <v>21967</v>
      </c>
      <c r="D13" s="106" t="s">
        <v>157</v>
      </c>
      <c r="E13" s="106" t="s">
        <v>158</v>
      </c>
    </row>
    <row r="14" spans="2:5" x14ac:dyDescent="0.45">
      <c r="B14" s="1" t="s">
        <v>16</v>
      </c>
      <c r="C14" s="105">
        <v>102703</v>
      </c>
      <c r="D14" s="106" t="s">
        <v>159</v>
      </c>
      <c r="E14" s="106" t="s">
        <v>160</v>
      </c>
    </row>
    <row r="15" spans="2:5" x14ac:dyDescent="0.45">
      <c r="B15" s="1" t="s">
        <v>63</v>
      </c>
      <c r="C15" s="105">
        <v>39727</v>
      </c>
      <c r="D15" s="106" t="s">
        <v>161</v>
      </c>
      <c r="E15" s="106" t="s">
        <v>162</v>
      </c>
    </row>
    <row r="16" spans="2:5" x14ac:dyDescent="0.45">
      <c r="B16" s="1" t="s">
        <v>17</v>
      </c>
      <c r="C16" s="105">
        <v>31102</v>
      </c>
      <c r="D16" s="106" t="s">
        <v>163</v>
      </c>
      <c r="E16" s="106" t="s">
        <v>164</v>
      </c>
    </row>
    <row r="17" spans="2:5" x14ac:dyDescent="0.45">
      <c r="B17" s="1" t="s">
        <v>19</v>
      </c>
      <c r="C17" s="105">
        <v>84255</v>
      </c>
      <c r="D17" s="106" t="s">
        <v>165</v>
      </c>
      <c r="E17" s="106" t="s">
        <v>166</v>
      </c>
    </row>
    <row r="18" spans="2:5" x14ac:dyDescent="0.45">
      <c r="B18" s="1" t="s">
        <v>20</v>
      </c>
      <c r="C18" s="105">
        <v>82994</v>
      </c>
      <c r="D18" s="106" t="s">
        <v>167</v>
      </c>
      <c r="E18" s="106" t="s">
        <v>168</v>
      </c>
    </row>
    <row r="19" spans="2:5" x14ac:dyDescent="0.45">
      <c r="B19" s="1" t="s">
        <v>64</v>
      </c>
      <c r="C19" s="105">
        <v>4728</v>
      </c>
      <c r="D19" s="106" t="s">
        <v>169</v>
      </c>
      <c r="E19" s="106" t="s">
        <v>170</v>
      </c>
    </row>
    <row r="20" spans="2:5" x14ac:dyDescent="0.45">
      <c r="B20" s="1" t="s">
        <v>22</v>
      </c>
      <c r="C20" s="105">
        <v>4648</v>
      </c>
      <c r="D20" s="106" t="s">
        <v>171</v>
      </c>
      <c r="E20" s="106" t="s">
        <v>172</v>
      </c>
    </row>
    <row r="21" spans="2:5" x14ac:dyDescent="0.45">
      <c r="B21" s="1" t="s">
        <v>23</v>
      </c>
      <c r="C21" s="105">
        <v>8749</v>
      </c>
      <c r="D21" s="106" t="s">
        <v>173</v>
      </c>
      <c r="E21" s="106" t="s">
        <v>174</v>
      </c>
    </row>
    <row r="22" spans="2:5" x14ac:dyDescent="0.45">
      <c r="B22" s="1" t="s">
        <v>24</v>
      </c>
      <c r="C22" s="105">
        <v>6330</v>
      </c>
      <c r="D22" s="106" t="s">
        <v>175</v>
      </c>
      <c r="E22" s="106" t="s">
        <v>176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매크로3">
                <anchor moveWithCells="1" sizeWithCells="1">
                  <from>
                    <xdr:col>5</xdr:col>
                    <xdr:colOff>654050</xdr:colOff>
                    <xdr:row>5</xdr:row>
                    <xdr:rowOff>0</xdr:rowOff>
                  </from>
                  <to>
                    <xdr:col>8</xdr:col>
                    <xdr:colOff>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2"/>
  <dimension ref="A2:T284"/>
  <sheetViews>
    <sheetView topLeftCell="A228" workbookViewId="0">
      <selection activeCell="A228" sqref="A1:XFD1048576"/>
    </sheetView>
  </sheetViews>
  <sheetFormatPr defaultRowHeight="17" x14ac:dyDescent="0.45"/>
  <sheetData>
    <row r="2" spans="1:20" ht="17.5" thickBot="1" x14ac:dyDescent="0.5"/>
    <row r="3" spans="1:20" x14ac:dyDescent="0.45">
      <c r="A3" s="12" t="s">
        <v>9</v>
      </c>
      <c r="B3" s="13"/>
      <c r="C3" s="13"/>
      <c r="D3" s="14"/>
      <c r="F3" s="12" t="s">
        <v>10</v>
      </c>
      <c r="G3" s="13"/>
      <c r="H3" s="13"/>
      <c r="I3" s="14"/>
      <c r="K3" s="12" t="s">
        <v>11</v>
      </c>
      <c r="L3" s="13"/>
      <c r="M3" s="13"/>
      <c r="N3" s="14"/>
      <c r="P3" s="12" t="s">
        <v>12</v>
      </c>
      <c r="Q3" s="13"/>
      <c r="R3" s="13"/>
      <c r="S3" s="14"/>
    </row>
    <row r="4" spans="1:20" x14ac:dyDescent="0.45">
      <c r="A4" s="6" t="s">
        <v>7</v>
      </c>
      <c r="B4" s="1"/>
      <c r="C4" s="1"/>
      <c r="D4" s="7" t="s">
        <v>8</v>
      </c>
      <c r="F4" s="6" t="s">
        <v>7</v>
      </c>
      <c r="G4" s="1"/>
      <c r="H4" s="1"/>
      <c r="I4" s="7" t="s">
        <v>8</v>
      </c>
      <c r="K4" s="6" t="s">
        <v>7</v>
      </c>
      <c r="L4" s="1"/>
      <c r="M4" s="1"/>
      <c r="N4" s="7" t="s">
        <v>8</v>
      </c>
      <c r="P4" s="6" t="s">
        <v>7</v>
      </c>
      <c r="Q4" s="1"/>
      <c r="R4" s="1"/>
      <c r="S4" s="7" t="s">
        <v>8</v>
      </c>
    </row>
    <row r="5" spans="1:20" x14ac:dyDescent="0.45">
      <c r="A5" s="109">
        <v>69</v>
      </c>
      <c r="B5" s="110">
        <v>500</v>
      </c>
      <c r="C5" s="110">
        <v>916</v>
      </c>
      <c r="D5" s="110">
        <v>1417</v>
      </c>
      <c r="E5" s="110">
        <v>1417</v>
      </c>
      <c r="F5" s="109">
        <v>74</v>
      </c>
      <c r="G5" s="110">
        <v>103</v>
      </c>
      <c r="H5" s="110">
        <v>135</v>
      </c>
      <c r="I5" s="110">
        <v>239</v>
      </c>
      <c r="J5" s="110">
        <v>239</v>
      </c>
      <c r="K5" s="109">
        <v>70</v>
      </c>
      <c r="L5" s="110">
        <v>507</v>
      </c>
      <c r="M5" s="110">
        <v>365</v>
      </c>
      <c r="N5" s="110">
        <v>872</v>
      </c>
      <c r="O5" s="110">
        <v>872</v>
      </c>
      <c r="P5" s="109">
        <v>74</v>
      </c>
      <c r="Q5" s="110">
        <v>160</v>
      </c>
      <c r="R5" s="110">
        <v>98</v>
      </c>
      <c r="S5" s="110">
        <v>258</v>
      </c>
      <c r="T5" s="110">
        <v>258</v>
      </c>
    </row>
    <row r="6" spans="1:20" x14ac:dyDescent="0.45">
      <c r="A6" s="109">
        <v>67</v>
      </c>
      <c r="B6" s="110">
        <v>1004</v>
      </c>
      <c r="C6" s="110">
        <v>2156</v>
      </c>
      <c r="D6" s="110">
        <v>3166</v>
      </c>
      <c r="E6" s="110">
        <v>4583</v>
      </c>
      <c r="F6" s="109">
        <v>72</v>
      </c>
      <c r="G6" s="110">
        <v>94</v>
      </c>
      <c r="H6" s="110">
        <v>132</v>
      </c>
      <c r="I6" s="110">
        <v>226</v>
      </c>
      <c r="J6" s="110">
        <v>465</v>
      </c>
      <c r="K6" s="109">
        <v>68</v>
      </c>
      <c r="L6" s="110">
        <v>150</v>
      </c>
      <c r="M6" s="110">
        <v>139</v>
      </c>
      <c r="N6" s="110">
        <v>290</v>
      </c>
      <c r="O6" s="110">
        <v>1162</v>
      </c>
      <c r="P6" s="109">
        <v>72</v>
      </c>
      <c r="Q6" s="110">
        <v>69</v>
      </c>
      <c r="R6" s="110">
        <v>52</v>
      </c>
      <c r="S6" s="110">
        <v>123</v>
      </c>
      <c r="T6" s="110">
        <v>381</v>
      </c>
    </row>
    <row r="7" spans="1:20" x14ac:dyDescent="0.45">
      <c r="A7" s="109">
        <v>66</v>
      </c>
      <c r="B7" s="110">
        <v>28</v>
      </c>
      <c r="C7" s="110">
        <v>44</v>
      </c>
      <c r="D7" s="110">
        <v>73</v>
      </c>
      <c r="E7" s="110">
        <v>4656</v>
      </c>
      <c r="F7" s="109">
        <v>71</v>
      </c>
      <c r="G7" s="110">
        <v>121</v>
      </c>
      <c r="H7" s="110">
        <v>227</v>
      </c>
      <c r="I7" s="110">
        <v>349</v>
      </c>
      <c r="J7" s="110">
        <v>814</v>
      </c>
      <c r="K7" s="109">
        <v>67</v>
      </c>
      <c r="L7" s="110">
        <v>319</v>
      </c>
      <c r="M7" s="110">
        <v>274</v>
      </c>
      <c r="N7" s="110">
        <v>593</v>
      </c>
      <c r="O7" s="110">
        <v>1755</v>
      </c>
      <c r="P7" s="109">
        <v>71</v>
      </c>
      <c r="Q7" s="110">
        <v>176</v>
      </c>
      <c r="R7" s="110">
        <v>139</v>
      </c>
      <c r="S7" s="110">
        <v>316</v>
      </c>
      <c r="T7" s="110">
        <v>697</v>
      </c>
    </row>
    <row r="8" spans="1:20" x14ac:dyDescent="0.45">
      <c r="A8" s="109">
        <v>65</v>
      </c>
      <c r="B8" s="110">
        <v>426</v>
      </c>
      <c r="C8" s="110">
        <v>834</v>
      </c>
      <c r="D8" s="110">
        <v>1264</v>
      </c>
      <c r="E8" s="110">
        <v>5920</v>
      </c>
      <c r="F8" s="109">
        <v>70</v>
      </c>
      <c r="G8" s="110">
        <v>138</v>
      </c>
      <c r="H8" s="110">
        <v>249</v>
      </c>
      <c r="I8" s="110">
        <v>387</v>
      </c>
      <c r="J8" s="110">
        <v>1201</v>
      </c>
      <c r="K8" s="109">
        <v>66</v>
      </c>
      <c r="L8" s="110">
        <v>32</v>
      </c>
      <c r="M8" s="110">
        <v>40</v>
      </c>
      <c r="N8" s="110">
        <v>72</v>
      </c>
      <c r="O8" s="110">
        <v>1827</v>
      </c>
      <c r="P8" s="109">
        <v>70</v>
      </c>
      <c r="Q8" s="110">
        <v>151</v>
      </c>
      <c r="R8" s="110">
        <v>99</v>
      </c>
      <c r="S8" s="110">
        <v>250</v>
      </c>
      <c r="T8" s="110">
        <v>947</v>
      </c>
    </row>
    <row r="9" spans="1:20" x14ac:dyDescent="0.45">
      <c r="A9" s="109">
        <v>64</v>
      </c>
      <c r="B9" s="110">
        <v>1098</v>
      </c>
      <c r="C9" s="110">
        <v>2526</v>
      </c>
      <c r="D9" s="110">
        <v>3627</v>
      </c>
      <c r="E9" s="110">
        <v>9547</v>
      </c>
      <c r="F9" s="109">
        <v>69</v>
      </c>
      <c r="G9" s="110">
        <v>64</v>
      </c>
      <c r="H9" s="110">
        <v>129</v>
      </c>
      <c r="I9" s="110">
        <v>193</v>
      </c>
      <c r="J9" s="110">
        <v>1394</v>
      </c>
      <c r="K9" s="109">
        <v>65</v>
      </c>
      <c r="L9" s="110">
        <v>452</v>
      </c>
      <c r="M9" s="110">
        <v>420</v>
      </c>
      <c r="N9" s="110">
        <v>874</v>
      </c>
      <c r="O9" s="110">
        <v>2701</v>
      </c>
      <c r="P9" s="109">
        <v>69</v>
      </c>
      <c r="Q9" s="110">
        <v>141</v>
      </c>
      <c r="R9" s="110">
        <v>100</v>
      </c>
      <c r="S9" s="110">
        <v>241</v>
      </c>
      <c r="T9" s="110">
        <v>1188</v>
      </c>
    </row>
    <row r="10" spans="1:20" x14ac:dyDescent="0.45">
      <c r="A10" s="109">
        <v>63</v>
      </c>
      <c r="B10" s="110">
        <v>133</v>
      </c>
      <c r="C10" s="110">
        <v>237</v>
      </c>
      <c r="D10" s="110">
        <v>370</v>
      </c>
      <c r="E10" s="110">
        <v>9917</v>
      </c>
      <c r="F10" s="109">
        <v>68</v>
      </c>
      <c r="G10" s="110">
        <v>84</v>
      </c>
      <c r="H10" s="110">
        <v>223</v>
      </c>
      <c r="I10" s="110">
        <v>307</v>
      </c>
      <c r="J10" s="110">
        <v>1701</v>
      </c>
      <c r="K10" s="109">
        <v>64</v>
      </c>
      <c r="L10" s="110">
        <v>112</v>
      </c>
      <c r="M10" s="110">
        <v>97</v>
      </c>
      <c r="N10" s="110">
        <v>210</v>
      </c>
      <c r="O10" s="110">
        <v>2911</v>
      </c>
      <c r="P10" s="109">
        <v>68</v>
      </c>
      <c r="Q10" s="110">
        <v>80</v>
      </c>
      <c r="R10" s="110">
        <v>46</v>
      </c>
      <c r="S10" s="110">
        <v>126</v>
      </c>
      <c r="T10" s="110">
        <v>1314</v>
      </c>
    </row>
    <row r="11" spans="1:20" x14ac:dyDescent="0.45">
      <c r="A11" s="109">
        <v>62</v>
      </c>
      <c r="B11" s="110">
        <v>812</v>
      </c>
      <c r="C11" s="110">
        <v>1712</v>
      </c>
      <c r="D11" s="110">
        <v>2526</v>
      </c>
      <c r="E11" s="110">
        <v>12443</v>
      </c>
      <c r="F11" s="109">
        <v>67</v>
      </c>
      <c r="G11" s="110">
        <v>111</v>
      </c>
      <c r="H11" s="110">
        <v>245</v>
      </c>
      <c r="I11" s="110">
        <v>356</v>
      </c>
      <c r="J11" s="110">
        <v>2057</v>
      </c>
      <c r="K11" s="109">
        <v>63</v>
      </c>
      <c r="L11" s="110">
        <v>221</v>
      </c>
      <c r="M11" s="110">
        <v>309</v>
      </c>
      <c r="N11" s="110">
        <v>530</v>
      </c>
      <c r="O11" s="110">
        <v>3441</v>
      </c>
      <c r="P11" s="109">
        <v>67</v>
      </c>
      <c r="Q11" s="110">
        <v>161</v>
      </c>
      <c r="R11" s="110">
        <v>150</v>
      </c>
      <c r="S11" s="110">
        <v>311</v>
      </c>
      <c r="T11" s="110">
        <v>1625</v>
      </c>
    </row>
    <row r="12" spans="1:20" x14ac:dyDescent="0.45">
      <c r="A12" s="109">
        <v>61</v>
      </c>
      <c r="B12" s="110">
        <v>1192</v>
      </c>
      <c r="C12" s="110">
        <v>2815</v>
      </c>
      <c r="D12" s="110">
        <v>4010</v>
      </c>
      <c r="E12" s="110">
        <v>16453</v>
      </c>
      <c r="F12" s="109">
        <v>66</v>
      </c>
      <c r="G12" s="110">
        <v>92</v>
      </c>
      <c r="H12" s="110">
        <v>198</v>
      </c>
      <c r="I12" s="110">
        <v>290</v>
      </c>
      <c r="J12" s="110">
        <v>2347</v>
      </c>
      <c r="K12" s="109">
        <v>62</v>
      </c>
      <c r="L12" s="110">
        <v>170</v>
      </c>
      <c r="M12" s="110">
        <v>179</v>
      </c>
      <c r="N12" s="110">
        <v>350</v>
      </c>
      <c r="O12" s="110">
        <v>3791</v>
      </c>
      <c r="P12" s="109">
        <v>66</v>
      </c>
      <c r="Q12" s="110">
        <v>123</v>
      </c>
      <c r="R12" s="110">
        <v>103</v>
      </c>
      <c r="S12" s="110">
        <v>227</v>
      </c>
      <c r="T12" s="110">
        <v>1852</v>
      </c>
    </row>
    <row r="13" spans="1:20" x14ac:dyDescent="0.45">
      <c r="A13" s="109">
        <v>60</v>
      </c>
      <c r="B13" s="110">
        <v>1506</v>
      </c>
      <c r="C13" s="110">
        <v>3248</v>
      </c>
      <c r="D13" s="110">
        <v>4758</v>
      </c>
      <c r="E13" s="110">
        <v>21211</v>
      </c>
      <c r="F13" s="109">
        <v>65</v>
      </c>
      <c r="G13" s="110">
        <v>118</v>
      </c>
      <c r="H13" s="110">
        <v>296</v>
      </c>
      <c r="I13" s="110">
        <v>416</v>
      </c>
      <c r="J13" s="110">
        <v>2763</v>
      </c>
      <c r="K13" s="109">
        <v>61</v>
      </c>
      <c r="L13" s="110">
        <v>179</v>
      </c>
      <c r="M13" s="110">
        <v>200</v>
      </c>
      <c r="N13" s="110">
        <v>379</v>
      </c>
      <c r="O13" s="110">
        <v>4170</v>
      </c>
      <c r="P13" s="109">
        <v>65</v>
      </c>
      <c r="Q13" s="110">
        <v>131</v>
      </c>
      <c r="R13" s="110">
        <v>96</v>
      </c>
      <c r="S13" s="110">
        <v>227</v>
      </c>
      <c r="T13" s="110">
        <v>2079</v>
      </c>
    </row>
    <row r="14" spans="1:20" x14ac:dyDescent="0.45">
      <c r="A14" s="109">
        <v>59</v>
      </c>
      <c r="B14" s="110">
        <v>1121</v>
      </c>
      <c r="C14" s="110">
        <v>2616</v>
      </c>
      <c r="D14" s="110">
        <v>3738</v>
      </c>
      <c r="E14" s="110">
        <v>24949</v>
      </c>
      <c r="F14" s="109">
        <v>64</v>
      </c>
      <c r="G14" s="110">
        <v>268</v>
      </c>
      <c r="H14" s="110">
        <v>546</v>
      </c>
      <c r="I14" s="110">
        <v>814</v>
      </c>
      <c r="J14" s="110">
        <v>3577</v>
      </c>
      <c r="K14" s="109">
        <v>60</v>
      </c>
      <c r="L14" s="110">
        <v>444</v>
      </c>
      <c r="M14" s="110">
        <v>493</v>
      </c>
      <c r="N14" s="110">
        <v>938</v>
      </c>
      <c r="O14" s="110">
        <v>5108</v>
      </c>
      <c r="P14" s="109">
        <v>64</v>
      </c>
      <c r="Q14" s="110">
        <v>350</v>
      </c>
      <c r="R14" s="110">
        <v>273</v>
      </c>
      <c r="S14" s="110">
        <v>624</v>
      </c>
      <c r="T14" s="110">
        <v>2703</v>
      </c>
    </row>
    <row r="15" spans="1:20" x14ac:dyDescent="0.45">
      <c r="A15" s="109">
        <v>58</v>
      </c>
      <c r="B15" s="110">
        <v>771</v>
      </c>
      <c r="C15" s="110">
        <v>1387</v>
      </c>
      <c r="D15" s="110">
        <v>2158</v>
      </c>
      <c r="E15" s="110">
        <v>27107</v>
      </c>
      <c r="F15" s="109">
        <v>63</v>
      </c>
      <c r="G15" s="110">
        <v>150</v>
      </c>
      <c r="H15" s="110">
        <v>286</v>
      </c>
      <c r="I15" s="110">
        <v>436</v>
      </c>
      <c r="J15" s="110">
        <v>4013</v>
      </c>
      <c r="K15" s="109">
        <v>59</v>
      </c>
      <c r="L15" s="110">
        <v>301</v>
      </c>
      <c r="M15" s="110">
        <v>342</v>
      </c>
      <c r="N15" s="110">
        <v>643</v>
      </c>
      <c r="O15" s="110">
        <v>5751</v>
      </c>
      <c r="P15" s="109">
        <v>63</v>
      </c>
      <c r="Q15" s="110">
        <v>210</v>
      </c>
      <c r="R15" s="110">
        <v>137</v>
      </c>
      <c r="S15" s="110">
        <v>349</v>
      </c>
      <c r="T15" s="110">
        <v>3052</v>
      </c>
    </row>
    <row r="16" spans="1:20" x14ac:dyDescent="0.45">
      <c r="A16" s="109">
        <v>57</v>
      </c>
      <c r="B16" s="110">
        <v>1389</v>
      </c>
      <c r="C16" s="110">
        <v>3061</v>
      </c>
      <c r="D16" s="110">
        <v>4455</v>
      </c>
      <c r="E16" s="110">
        <v>31562</v>
      </c>
      <c r="F16" s="109">
        <v>62</v>
      </c>
      <c r="G16" s="110">
        <v>123</v>
      </c>
      <c r="H16" s="110">
        <v>290</v>
      </c>
      <c r="I16" s="110">
        <v>413</v>
      </c>
      <c r="J16" s="110">
        <v>4426</v>
      </c>
      <c r="K16" s="109">
        <v>58</v>
      </c>
      <c r="L16" s="110">
        <v>236</v>
      </c>
      <c r="M16" s="110">
        <v>304</v>
      </c>
      <c r="N16" s="110">
        <v>541</v>
      </c>
      <c r="O16" s="110">
        <v>6292</v>
      </c>
      <c r="P16" s="109">
        <v>62</v>
      </c>
      <c r="Q16" s="110">
        <v>177</v>
      </c>
      <c r="R16" s="110">
        <v>173</v>
      </c>
      <c r="S16" s="110">
        <v>351</v>
      </c>
      <c r="T16" s="110">
        <v>3403</v>
      </c>
    </row>
    <row r="17" spans="1:20" x14ac:dyDescent="0.45">
      <c r="A17" s="109">
        <v>56</v>
      </c>
      <c r="B17" s="110">
        <v>1049</v>
      </c>
      <c r="C17" s="110">
        <v>2298</v>
      </c>
      <c r="D17" s="110">
        <v>3350</v>
      </c>
      <c r="E17" s="110">
        <v>34912</v>
      </c>
      <c r="F17" s="109">
        <v>61</v>
      </c>
      <c r="G17" s="110">
        <v>126</v>
      </c>
      <c r="H17" s="110">
        <v>328</v>
      </c>
      <c r="I17" s="110">
        <v>454</v>
      </c>
      <c r="J17" s="110">
        <v>4880</v>
      </c>
      <c r="K17" s="109">
        <v>57</v>
      </c>
      <c r="L17" s="110">
        <v>285</v>
      </c>
      <c r="M17" s="110">
        <v>274</v>
      </c>
      <c r="N17" s="110">
        <v>560</v>
      </c>
      <c r="O17" s="110">
        <v>6852</v>
      </c>
      <c r="P17" s="109">
        <v>61</v>
      </c>
      <c r="Q17" s="110">
        <v>189</v>
      </c>
      <c r="R17" s="110">
        <v>133</v>
      </c>
      <c r="S17" s="110">
        <v>322</v>
      </c>
      <c r="T17" s="110">
        <v>3725</v>
      </c>
    </row>
    <row r="18" spans="1:20" x14ac:dyDescent="0.45">
      <c r="A18" s="109">
        <v>55</v>
      </c>
      <c r="B18" s="110">
        <v>1082</v>
      </c>
      <c r="C18" s="110">
        <v>2166</v>
      </c>
      <c r="D18" s="110">
        <v>3251</v>
      </c>
      <c r="E18" s="110">
        <v>38163</v>
      </c>
      <c r="F18" s="109">
        <v>60</v>
      </c>
      <c r="G18" s="110">
        <v>177</v>
      </c>
      <c r="H18" s="110">
        <v>351</v>
      </c>
      <c r="I18" s="110">
        <v>529</v>
      </c>
      <c r="J18" s="110">
        <v>5409</v>
      </c>
      <c r="K18" s="109">
        <v>56</v>
      </c>
      <c r="L18" s="110">
        <v>328</v>
      </c>
      <c r="M18" s="110">
        <v>327</v>
      </c>
      <c r="N18" s="110">
        <v>656</v>
      </c>
      <c r="O18" s="110">
        <v>7508</v>
      </c>
      <c r="P18" s="109">
        <v>60</v>
      </c>
      <c r="Q18" s="110">
        <v>226</v>
      </c>
      <c r="R18" s="110">
        <v>200</v>
      </c>
      <c r="S18" s="110">
        <v>427</v>
      </c>
      <c r="T18" s="110">
        <v>4152</v>
      </c>
    </row>
    <row r="19" spans="1:20" x14ac:dyDescent="0.45">
      <c r="A19" s="109">
        <v>54</v>
      </c>
      <c r="B19" s="110">
        <v>1308</v>
      </c>
      <c r="C19" s="110">
        <v>2838</v>
      </c>
      <c r="D19" s="110">
        <v>4154</v>
      </c>
      <c r="E19" s="110">
        <v>42317</v>
      </c>
      <c r="F19" s="109">
        <v>59</v>
      </c>
      <c r="G19" s="110">
        <v>161</v>
      </c>
      <c r="H19" s="110">
        <v>365</v>
      </c>
      <c r="I19" s="110">
        <v>527</v>
      </c>
      <c r="J19" s="110">
        <v>5936</v>
      </c>
      <c r="K19" s="109">
        <v>55</v>
      </c>
      <c r="L19" s="110">
        <v>587</v>
      </c>
      <c r="M19" s="110">
        <v>652</v>
      </c>
      <c r="N19" s="110">
        <v>1241</v>
      </c>
      <c r="O19" s="110">
        <v>8749</v>
      </c>
      <c r="P19" s="109">
        <v>59</v>
      </c>
      <c r="Q19" s="110">
        <v>200</v>
      </c>
      <c r="R19" s="110">
        <v>169</v>
      </c>
      <c r="S19" s="110">
        <v>369</v>
      </c>
      <c r="T19" s="110">
        <v>4521</v>
      </c>
    </row>
    <row r="20" spans="1:20" x14ac:dyDescent="0.45">
      <c r="A20" s="109">
        <v>53</v>
      </c>
      <c r="B20" s="110">
        <v>1035</v>
      </c>
      <c r="C20" s="110">
        <v>2043</v>
      </c>
      <c r="D20" s="110">
        <v>3087</v>
      </c>
      <c r="E20" s="110">
        <v>45404</v>
      </c>
      <c r="F20" s="109">
        <v>58</v>
      </c>
      <c r="G20" s="110">
        <v>319</v>
      </c>
      <c r="H20" s="110">
        <v>760</v>
      </c>
      <c r="I20" s="110">
        <v>1079</v>
      </c>
      <c r="J20" s="110">
        <v>7015</v>
      </c>
      <c r="K20" s="109">
        <v>54</v>
      </c>
      <c r="L20" s="110">
        <v>317</v>
      </c>
      <c r="M20" s="110">
        <v>337</v>
      </c>
      <c r="N20" s="110">
        <v>654</v>
      </c>
      <c r="O20" s="110">
        <v>9403</v>
      </c>
      <c r="P20" s="109">
        <v>58</v>
      </c>
      <c r="Q20" s="110">
        <v>237</v>
      </c>
      <c r="R20" s="110">
        <v>185</v>
      </c>
      <c r="S20" s="110">
        <v>425</v>
      </c>
      <c r="T20" s="110">
        <v>4946</v>
      </c>
    </row>
    <row r="21" spans="1:20" x14ac:dyDescent="0.45">
      <c r="A21" s="109">
        <v>52</v>
      </c>
      <c r="B21" s="110">
        <v>2514</v>
      </c>
      <c r="C21" s="110">
        <v>4662</v>
      </c>
      <c r="D21" s="110">
        <v>7183</v>
      </c>
      <c r="E21" s="110">
        <v>52587</v>
      </c>
      <c r="F21" s="109">
        <v>57</v>
      </c>
      <c r="G21" s="110">
        <v>176</v>
      </c>
      <c r="H21" s="110">
        <v>394</v>
      </c>
      <c r="I21" s="110">
        <v>572</v>
      </c>
      <c r="J21" s="110">
        <v>7587</v>
      </c>
      <c r="K21" s="109">
        <v>53</v>
      </c>
      <c r="L21" s="110">
        <v>353</v>
      </c>
      <c r="M21" s="110">
        <v>340</v>
      </c>
      <c r="N21" s="110">
        <v>695</v>
      </c>
      <c r="O21" s="110">
        <v>10098</v>
      </c>
      <c r="P21" s="109">
        <v>57</v>
      </c>
      <c r="Q21" s="110">
        <v>479</v>
      </c>
      <c r="R21" s="110">
        <v>395</v>
      </c>
      <c r="S21" s="110">
        <v>875</v>
      </c>
      <c r="T21" s="110">
        <v>5821</v>
      </c>
    </row>
    <row r="22" spans="1:20" x14ac:dyDescent="0.45">
      <c r="A22" s="109">
        <v>51</v>
      </c>
      <c r="B22" s="110">
        <v>1172</v>
      </c>
      <c r="C22" s="110">
        <v>2035</v>
      </c>
      <c r="D22" s="110">
        <v>3212</v>
      </c>
      <c r="E22" s="110">
        <v>55799</v>
      </c>
      <c r="F22" s="109">
        <v>56</v>
      </c>
      <c r="G22" s="110">
        <v>199</v>
      </c>
      <c r="H22" s="110">
        <v>426</v>
      </c>
      <c r="I22" s="110">
        <v>626</v>
      </c>
      <c r="J22" s="110">
        <v>8213</v>
      </c>
      <c r="K22" s="109">
        <v>52</v>
      </c>
      <c r="L22" s="110">
        <v>350</v>
      </c>
      <c r="M22" s="110">
        <v>373</v>
      </c>
      <c r="N22" s="110">
        <v>724</v>
      </c>
      <c r="O22" s="110">
        <v>10822</v>
      </c>
      <c r="P22" s="109">
        <v>56</v>
      </c>
      <c r="Q22" s="110">
        <v>272</v>
      </c>
      <c r="R22" s="110">
        <v>220</v>
      </c>
      <c r="S22" s="110">
        <v>492</v>
      </c>
      <c r="T22" s="110">
        <v>6313</v>
      </c>
    </row>
    <row r="23" spans="1:20" x14ac:dyDescent="0.45">
      <c r="A23" s="109">
        <v>50</v>
      </c>
      <c r="B23" s="110">
        <v>1149</v>
      </c>
      <c r="C23" s="110">
        <v>2170</v>
      </c>
      <c r="D23" s="110">
        <v>3324</v>
      </c>
      <c r="E23" s="110">
        <v>59123</v>
      </c>
      <c r="F23" s="109">
        <v>55</v>
      </c>
      <c r="G23" s="110">
        <v>203</v>
      </c>
      <c r="H23" s="110">
        <v>407</v>
      </c>
      <c r="I23" s="110">
        <v>610</v>
      </c>
      <c r="J23" s="110">
        <v>8823</v>
      </c>
      <c r="K23" s="109">
        <v>51</v>
      </c>
      <c r="L23" s="110">
        <v>315</v>
      </c>
      <c r="M23" s="110">
        <v>388</v>
      </c>
      <c r="N23" s="110">
        <v>705</v>
      </c>
      <c r="O23" s="110">
        <v>11527</v>
      </c>
      <c r="P23" s="109">
        <v>55</v>
      </c>
      <c r="Q23" s="110">
        <v>258</v>
      </c>
      <c r="R23" s="110">
        <v>246</v>
      </c>
      <c r="S23" s="110">
        <v>504</v>
      </c>
      <c r="T23" s="110">
        <v>6817</v>
      </c>
    </row>
    <row r="24" spans="1:20" x14ac:dyDescent="0.45">
      <c r="A24" s="109">
        <v>49</v>
      </c>
      <c r="B24" s="110">
        <v>1049</v>
      </c>
      <c r="C24" s="110">
        <v>1814</v>
      </c>
      <c r="D24" s="110">
        <v>2867</v>
      </c>
      <c r="E24" s="110">
        <v>61990</v>
      </c>
      <c r="F24" s="109">
        <v>54</v>
      </c>
      <c r="G24" s="110">
        <v>231</v>
      </c>
      <c r="H24" s="110">
        <v>460</v>
      </c>
      <c r="I24" s="110">
        <v>691</v>
      </c>
      <c r="J24" s="110">
        <v>9514</v>
      </c>
      <c r="K24" s="109">
        <v>50</v>
      </c>
      <c r="L24" s="110">
        <v>706</v>
      </c>
      <c r="M24" s="110">
        <v>818</v>
      </c>
      <c r="N24" s="110">
        <v>1529</v>
      </c>
      <c r="O24" s="110">
        <v>13056</v>
      </c>
      <c r="P24" s="109">
        <v>54</v>
      </c>
      <c r="Q24" s="110">
        <v>254</v>
      </c>
      <c r="R24" s="110">
        <v>248</v>
      </c>
      <c r="S24" s="110">
        <v>502</v>
      </c>
      <c r="T24" s="110">
        <v>7319</v>
      </c>
    </row>
    <row r="25" spans="1:20" x14ac:dyDescent="0.45">
      <c r="A25" s="109">
        <v>48</v>
      </c>
      <c r="B25" s="110">
        <v>1117</v>
      </c>
      <c r="C25" s="110">
        <v>1817</v>
      </c>
      <c r="D25" s="110">
        <v>2937</v>
      </c>
      <c r="E25" s="110">
        <v>64927</v>
      </c>
      <c r="F25" s="109">
        <v>53</v>
      </c>
      <c r="G25" s="110">
        <v>197</v>
      </c>
      <c r="H25" s="110">
        <v>471</v>
      </c>
      <c r="I25" s="110">
        <v>669</v>
      </c>
      <c r="J25" s="110">
        <v>10183</v>
      </c>
      <c r="K25" s="109">
        <v>49</v>
      </c>
      <c r="L25" s="110">
        <v>354</v>
      </c>
      <c r="M25" s="110">
        <v>409</v>
      </c>
      <c r="N25" s="110">
        <v>765</v>
      </c>
      <c r="O25" s="110">
        <v>13821</v>
      </c>
      <c r="P25" s="109">
        <v>53</v>
      </c>
      <c r="Q25" s="110">
        <v>277</v>
      </c>
      <c r="R25" s="110">
        <v>265</v>
      </c>
      <c r="S25" s="110">
        <v>542</v>
      </c>
      <c r="T25" s="110">
        <v>7861</v>
      </c>
    </row>
    <row r="26" spans="1:20" x14ac:dyDescent="0.45">
      <c r="A26" s="109">
        <v>47</v>
      </c>
      <c r="B26" s="110">
        <v>902</v>
      </c>
      <c r="C26" s="110">
        <v>1712</v>
      </c>
      <c r="D26" s="110">
        <v>2619</v>
      </c>
      <c r="E26" s="110">
        <v>67546</v>
      </c>
      <c r="F26" s="109">
        <v>52</v>
      </c>
      <c r="G26" s="110">
        <v>488</v>
      </c>
      <c r="H26" s="110">
        <v>931</v>
      </c>
      <c r="I26" s="110">
        <v>1421</v>
      </c>
      <c r="J26" s="110">
        <v>11604</v>
      </c>
      <c r="K26" s="109">
        <v>48</v>
      </c>
      <c r="L26" s="110">
        <v>359</v>
      </c>
      <c r="M26" s="110">
        <v>357</v>
      </c>
      <c r="N26" s="110">
        <v>716</v>
      </c>
      <c r="O26" s="110">
        <v>14537</v>
      </c>
      <c r="P26" s="109">
        <v>52</v>
      </c>
      <c r="Q26" s="110">
        <v>253</v>
      </c>
      <c r="R26" s="110">
        <v>248</v>
      </c>
      <c r="S26" s="110">
        <v>501</v>
      </c>
      <c r="T26" s="110">
        <v>8362</v>
      </c>
    </row>
    <row r="27" spans="1:20" x14ac:dyDescent="0.45">
      <c r="A27" s="109">
        <v>46</v>
      </c>
      <c r="B27" s="110">
        <v>952</v>
      </c>
      <c r="C27" s="110">
        <v>1516</v>
      </c>
      <c r="D27" s="110">
        <v>2470</v>
      </c>
      <c r="E27" s="110">
        <v>70016</v>
      </c>
      <c r="F27" s="109">
        <v>51</v>
      </c>
      <c r="G27" s="110">
        <v>264</v>
      </c>
      <c r="H27" s="110">
        <v>472</v>
      </c>
      <c r="I27" s="110">
        <v>738</v>
      </c>
      <c r="J27" s="110">
        <v>12342</v>
      </c>
      <c r="K27" s="109">
        <v>47</v>
      </c>
      <c r="L27" s="110">
        <v>297</v>
      </c>
      <c r="M27" s="110">
        <v>340</v>
      </c>
      <c r="N27" s="110">
        <v>637</v>
      </c>
      <c r="O27" s="110">
        <v>15174</v>
      </c>
      <c r="P27" s="109">
        <v>51</v>
      </c>
      <c r="Q27" s="110">
        <v>368</v>
      </c>
      <c r="R27" s="110">
        <v>299</v>
      </c>
      <c r="S27" s="110">
        <v>669</v>
      </c>
      <c r="T27" s="110">
        <v>9031</v>
      </c>
    </row>
    <row r="28" spans="1:20" x14ac:dyDescent="0.45">
      <c r="A28" s="109">
        <v>45</v>
      </c>
      <c r="B28" s="110">
        <v>1669</v>
      </c>
      <c r="C28" s="110">
        <v>2718</v>
      </c>
      <c r="D28" s="110">
        <v>4396</v>
      </c>
      <c r="E28" s="110">
        <v>74412</v>
      </c>
      <c r="F28" s="109">
        <v>50</v>
      </c>
      <c r="G28" s="110">
        <v>267</v>
      </c>
      <c r="H28" s="110">
        <v>507</v>
      </c>
      <c r="I28" s="110">
        <v>774</v>
      </c>
      <c r="J28" s="110">
        <v>13116</v>
      </c>
      <c r="K28" s="109">
        <v>46</v>
      </c>
      <c r="L28" s="110">
        <v>324</v>
      </c>
      <c r="M28" s="110">
        <v>368</v>
      </c>
      <c r="N28" s="110">
        <v>695</v>
      </c>
      <c r="O28" s="110">
        <v>15869</v>
      </c>
      <c r="P28" s="109">
        <v>50</v>
      </c>
      <c r="Q28" s="110">
        <v>301</v>
      </c>
      <c r="R28" s="110">
        <v>289</v>
      </c>
      <c r="S28" s="110">
        <v>591</v>
      </c>
      <c r="T28" s="110">
        <v>9622</v>
      </c>
    </row>
    <row r="29" spans="1:20" x14ac:dyDescent="0.45">
      <c r="A29" s="109">
        <v>44</v>
      </c>
      <c r="B29" s="110">
        <v>829</v>
      </c>
      <c r="C29" s="110">
        <v>1218</v>
      </c>
      <c r="D29" s="110">
        <v>2053</v>
      </c>
      <c r="E29" s="110">
        <v>76465</v>
      </c>
      <c r="F29" s="109">
        <v>49</v>
      </c>
      <c r="G29" s="110">
        <v>251</v>
      </c>
      <c r="H29" s="110">
        <v>451</v>
      </c>
      <c r="I29" s="110">
        <v>703</v>
      </c>
      <c r="J29" s="110">
        <v>13819</v>
      </c>
      <c r="K29" s="109">
        <v>45</v>
      </c>
      <c r="L29" s="110">
        <v>679</v>
      </c>
      <c r="M29" s="110">
        <v>592</v>
      </c>
      <c r="N29" s="110">
        <v>1272</v>
      </c>
      <c r="O29" s="110">
        <v>17141</v>
      </c>
      <c r="P29" s="109">
        <v>49</v>
      </c>
      <c r="Q29" s="110">
        <v>574</v>
      </c>
      <c r="R29" s="110">
        <v>588</v>
      </c>
      <c r="S29" s="110">
        <v>1163</v>
      </c>
      <c r="T29" s="110">
        <v>10785</v>
      </c>
    </row>
    <row r="30" spans="1:20" x14ac:dyDescent="0.45">
      <c r="A30" s="109">
        <v>43</v>
      </c>
      <c r="B30" s="110">
        <v>751</v>
      </c>
      <c r="C30" s="110">
        <v>979</v>
      </c>
      <c r="D30" s="110">
        <v>1732</v>
      </c>
      <c r="E30" s="110">
        <v>78197</v>
      </c>
      <c r="F30" s="109">
        <v>48</v>
      </c>
      <c r="G30" s="110">
        <v>303</v>
      </c>
      <c r="H30" s="110">
        <v>459</v>
      </c>
      <c r="I30" s="110">
        <v>764</v>
      </c>
      <c r="J30" s="110">
        <v>14583</v>
      </c>
      <c r="K30" s="109">
        <v>44</v>
      </c>
      <c r="L30" s="110">
        <v>302</v>
      </c>
      <c r="M30" s="110">
        <v>286</v>
      </c>
      <c r="N30" s="110">
        <v>589</v>
      </c>
      <c r="O30" s="110">
        <v>17730</v>
      </c>
      <c r="P30" s="109">
        <v>48</v>
      </c>
      <c r="Q30" s="110">
        <v>310</v>
      </c>
      <c r="R30" s="110">
        <v>303</v>
      </c>
      <c r="S30" s="110">
        <v>615</v>
      </c>
      <c r="T30" s="110">
        <v>11400</v>
      </c>
    </row>
    <row r="31" spans="1:20" x14ac:dyDescent="0.45">
      <c r="A31" s="109">
        <v>42</v>
      </c>
      <c r="B31" s="110">
        <v>729</v>
      </c>
      <c r="C31" s="110">
        <v>998</v>
      </c>
      <c r="D31" s="110">
        <v>1729</v>
      </c>
      <c r="E31" s="110">
        <v>79926</v>
      </c>
      <c r="F31" s="109">
        <v>47</v>
      </c>
      <c r="G31" s="110">
        <v>263</v>
      </c>
      <c r="H31" s="110">
        <v>478</v>
      </c>
      <c r="I31" s="110">
        <v>744</v>
      </c>
      <c r="J31" s="110">
        <v>15327</v>
      </c>
      <c r="K31" s="109">
        <v>43</v>
      </c>
      <c r="L31" s="110">
        <v>281</v>
      </c>
      <c r="M31" s="110">
        <v>291</v>
      </c>
      <c r="N31" s="110">
        <v>572</v>
      </c>
      <c r="O31" s="110">
        <v>18302</v>
      </c>
      <c r="P31" s="109">
        <v>47</v>
      </c>
      <c r="Q31" s="110">
        <v>309</v>
      </c>
      <c r="R31" s="110">
        <v>311</v>
      </c>
      <c r="S31" s="110">
        <v>621</v>
      </c>
      <c r="T31" s="110">
        <v>12021</v>
      </c>
    </row>
    <row r="32" spans="1:20" x14ac:dyDescent="0.45">
      <c r="A32" s="109">
        <v>41</v>
      </c>
      <c r="B32" s="110">
        <v>688</v>
      </c>
      <c r="C32" s="110">
        <v>935</v>
      </c>
      <c r="D32" s="110">
        <v>1628</v>
      </c>
      <c r="E32" s="110">
        <v>81554</v>
      </c>
      <c r="F32" s="109">
        <v>46</v>
      </c>
      <c r="G32" s="110">
        <v>311</v>
      </c>
      <c r="H32" s="110">
        <v>425</v>
      </c>
      <c r="I32" s="110">
        <v>737</v>
      </c>
      <c r="J32" s="110">
        <v>16064</v>
      </c>
      <c r="K32" s="109">
        <v>42</v>
      </c>
      <c r="L32" s="110">
        <v>302</v>
      </c>
      <c r="M32" s="110">
        <v>278</v>
      </c>
      <c r="N32" s="110">
        <v>581</v>
      </c>
      <c r="O32" s="110">
        <v>18883</v>
      </c>
      <c r="P32" s="109">
        <v>46</v>
      </c>
      <c r="Q32" s="110">
        <v>323</v>
      </c>
      <c r="R32" s="110">
        <v>312</v>
      </c>
      <c r="S32" s="110">
        <v>636</v>
      </c>
      <c r="T32" s="110">
        <v>12657</v>
      </c>
    </row>
    <row r="33" spans="1:20" x14ac:dyDescent="0.45">
      <c r="A33" s="109">
        <v>40</v>
      </c>
      <c r="B33" s="110">
        <v>691</v>
      </c>
      <c r="C33" s="110">
        <v>803</v>
      </c>
      <c r="D33" s="110">
        <v>1496</v>
      </c>
      <c r="E33" s="110">
        <v>83050</v>
      </c>
      <c r="F33" s="109">
        <v>45</v>
      </c>
      <c r="G33" s="110">
        <v>656</v>
      </c>
      <c r="H33" s="110">
        <v>878</v>
      </c>
      <c r="I33" s="110">
        <v>1536</v>
      </c>
      <c r="J33" s="110">
        <v>17600</v>
      </c>
      <c r="K33" s="109">
        <v>41</v>
      </c>
      <c r="L33" s="110">
        <v>272</v>
      </c>
      <c r="M33" s="110">
        <v>233</v>
      </c>
      <c r="N33" s="110">
        <v>506</v>
      </c>
      <c r="O33" s="110">
        <v>19389</v>
      </c>
      <c r="P33" s="109">
        <v>45</v>
      </c>
      <c r="Q33" s="110">
        <v>352</v>
      </c>
      <c r="R33" s="110">
        <v>311</v>
      </c>
      <c r="S33" s="110">
        <v>663</v>
      </c>
      <c r="T33" s="110">
        <v>13320</v>
      </c>
    </row>
    <row r="34" spans="1:20" x14ac:dyDescent="0.45">
      <c r="A34" s="109">
        <v>39</v>
      </c>
      <c r="B34" s="110">
        <v>710</v>
      </c>
      <c r="C34" s="110">
        <v>879</v>
      </c>
      <c r="D34" s="110">
        <v>1590</v>
      </c>
      <c r="E34" s="110">
        <v>84640</v>
      </c>
      <c r="F34" s="109">
        <v>44</v>
      </c>
      <c r="G34" s="110">
        <v>396</v>
      </c>
      <c r="H34" s="110">
        <v>469</v>
      </c>
      <c r="I34" s="110">
        <v>868</v>
      </c>
      <c r="J34" s="110">
        <v>18468</v>
      </c>
      <c r="K34" s="109">
        <v>40</v>
      </c>
      <c r="L34" s="110">
        <v>609</v>
      </c>
      <c r="M34" s="110">
        <v>441</v>
      </c>
      <c r="N34" s="110">
        <v>1052</v>
      </c>
      <c r="O34" s="110">
        <v>20441</v>
      </c>
      <c r="P34" s="109">
        <v>44</v>
      </c>
      <c r="Q34" s="110">
        <v>377</v>
      </c>
      <c r="R34" s="110">
        <v>306</v>
      </c>
      <c r="S34" s="110">
        <v>683</v>
      </c>
      <c r="T34" s="110">
        <v>14003</v>
      </c>
    </row>
    <row r="35" spans="1:20" x14ac:dyDescent="0.45">
      <c r="A35" s="109">
        <v>38</v>
      </c>
      <c r="B35" s="110">
        <v>702</v>
      </c>
      <c r="C35" s="110">
        <v>774</v>
      </c>
      <c r="D35" s="110">
        <v>1480</v>
      </c>
      <c r="E35" s="110">
        <v>86120</v>
      </c>
      <c r="F35" s="109">
        <v>43</v>
      </c>
      <c r="G35" s="110">
        <v>300</v>
      </c>
      <c r="H35" s="110">
        <v>357</v>
      </c>
      <c r="I35" s="110">
        <v>658</v>
      </c>
      <c r="J35" s="110">
        <v>19126</v>
      </c>
      <c r="K35" s="109">
        <v>39</v>
      </c>
      <c r="L35" s="110">
        <v>608</v>
      </c>
      <c r="M35" s="110">
        <v>343</v>
      </c>
      <c r="N35" s="110">
        <v>954</v>
      </c>
      <c r="O35" s="110">
        <v>21395</v>
      </c>
      <c r="P35" s="109">
        <v>43</v>
      </c>
      <c r="Q35" s="110">
        <v>288</v>
      </c>
      <c r="R35" s="110">
        <v>300</v>
      </c>
      <c r="S35" s="110">
        <v>589</v>
      </c>
      <c r="T35" s="110">
        <v>14592</v>
      </c>
    </row>
    <row r="36" spans="1:20" x14ac:dyDescent="0.45">
      <c r="A36" s="109">
        <v>37</v>
      </c>
      <c r="B36" s="110">
        <v>4162</v>
      </c>
      <c r="C36" s="110">
        <v>2820</v>
      </c>
      <c r="D36" s="110">
        <v>7001</v>
      </c>
      <c r="E36" s="110">
        <v>93121</v>
      </c>
      <c r="F36" s="109">
        <v>42</v>
      </c>
      <c r="G36" s="110">
        <v>1545</v>
      </c>
      <c r="H36" s="110">
        <v>942</v>
      </c>
      <c r="I36" s="110">
        <v>2496</v>
      </c>
      <c r="J36" s="110">
        <v>21622</v>
      </c>
      <c r="K36" s="109">
        <v>38</v>
      </c>
      <c r="L36" s="110">
        <v>997</v>
      </c>
      <c r="M36" s="110">
        <v>456</v>
      </c>
      <c r="N36" s="110">
        <v>1459</v>
      </c>
      <c r="O36" s="110">
        <v>22854</v>
      </c>
      <c r="P36" s="109">
        <v>42</v>
      </c>
      <c r="Q36" s="110">
        <v>720</v>
      </c>
      <c r="R36" s="110">
        <v>640</v>
      </c>
      <c r="S36" s="110">
        <v>1363</v>
      </c>
      <c r="T36" s="110">
        <v>15955</v>
      </c>
    </row>
    <row r="37" spans="1:20" x14ac:dyDescent="0.45">
      <c r="A37" s="109">
        <v>36</v>
      </c>
      <c r="B37" s="110">
        <v>751</v>
      </c>
      <c r="C37" s="110">
        <v>603</v>
      </c>
      <c r="D37" s="110">
        <v>1358</v>
      </c>
      <c r="E37" s="110">
        <v>94479</v>
      </c>
      <c r="F37" s="109">
        <v>41</v>
      </c>
      <c r="G37" s="110">
        <v>389</v>
      </c>
      <c r="H37" s="110">
        <v>380</v>
      </c>
      <c r="I37" s="110">
        <v>770</v>
      </c>
      <c r="J37" s="110">
        <v>22392</v>
      </c>
      <c r="K37" s="109">
        <v>37</v>
      </c>
      <c r="L37" s="110">
        <v>324</v>
      </c>
      <c r="M37" s="110">
        <v>179</v>
      </c>
      <c r="N37" s="110">
        <v>505</v>
      </c>
      <c r="O37" s="110">
        <v>23359</v>
      </c>
      <c r="P37" s="109">
        <v>41</v>
      </c>
      <c r="Q37" s="110">
        <v>1016</v>
      </c>
      <c r="R37" s="110">
        <v>477</v>
      </c>
      <c r="S37" s="110">
        <v>1498</v>
      </c>
      <c r="T37" s="110">
        <v>17453</v>
      </c>
    </row>
    <row r="38" spans="1:20" x14ac:dyDescent="0.45">
      <c r="A38" s="109">
        <v>35</v>
      </c>
      <c r="B38" s="110">
        <v>1932</v>
      </c>
      <c r="C38" s="110">
        <v>1501</v>
      </c>
      <c r="D38" s="110">
        <v>3445</v>
      </c>
      <c r="E38" s="110">
        <v>97924</v>
      </c>
      <c r="F38" s="109">
        <v>40</v>
      </c>
      <c r="G38" s="110">
        <v>299</v>
      </c>
      <c r="H38" s="110">
        <v>308</v>
      </c>
      <c r="I38" s="110">
        <v>607</v>
      </c>
      <c r="J38" s="110">
        <v>22999</v>
      </c>
      <c r="K38" s="109">
        <v>36</v>
      </c>
      <c r="L38" s="110">
        <v>230</v>
      </c>
      <c r="M38" s="110">
        <v>120</v>
      </c>
      <c r="N38" s="110">
        <v>350</v>
      </c>
      <c r="O38" s="110">
        <v>23709</v>
      </c>
      <c r="P38" s="109">
        <v>40</v>
      </c>
      <c r="Q38" s="110">
        <v>543</v>
      </c>
      <c r="R38" s="110">
        <v>324</v>
      </c>
      <c r="S38" s="110">
        <v>870</v>
      </c>
      <c r="T38" s="110">
        <v>18323</v>
      </c>
    </row>
    <row r="39" spans="1:20" x14ac:dyDescent="0.45">
      <c r="A39" s="109">
        <v>34</v>
      </c>
      <c r="B39" s="110">
        <v>1027</v>
      </c>
      <c r="C39" s="110">
        <v>751</v>
      </c>
      <c r="D39" s="110">
        <v>1785</v>
      </c>
      <c r="E39" s="110">
        <v>99709</v>
      </c>
      <c r="F39" s="109">
        <v>39</v>
      </c>
      <c r="G39" s="110">
        <v>1065</v>
      </c>
      <c r="H39" s="110">
        <v>838</v>
      </c>
      <c r="I39" s="110">
        <v>1906</v>
      </c>
      <c r="J39" s="110">
        <v>24905</v>
      </c>
      <c r="K39" s="109">
        <v>35</v>
      </c>
      <c r="L39" s="110">
        <v>171</v>
      </c>
      <c r="M39" s="110">
        <v>99</v>
      </c>
      <c r="N39" s="110">
        <v>270</v>
      </c>
      <c r="O39" s="110">
        <v>23979</v>
      </c>
      <c r="P39" s="109">
        <v>39</v>
      </c>
      <c r="Q39" s="110">
        <v>262</v>
      </c>
      <c r="R39" s="110">
        <v>186</v>
      </c>
      <c r="S39" s="110">
        <v>448</v>
      </c>
      <c r="T39" s="110">
        <v>18771</v>
      </c>
    </row>
    <row r="40" spans="1:20" x14ac:dyDescent="0.45">
      <c r="A40" s="109">
        <v>33</v>
      </c>
      <c r="B40" s="110">
        <v>804</v>
      </c>
      <c r="C40" s="110">
        <v>648</v>
      </c>
      <c r="D40" s="110">
        <v>1456</v>
      </c>
      <c r="E40" s="110">
        <v>101165</v>
      </c>
      <c r="F40" s="109">
        <v>38</v>
      </c>
      <c r="G40" s="110">
        <v>273</v>
      </c>
      <c r="H40" s="110">
        <v>193</v>
      </c>
      <c r="I40" s="110">
        <v>467</v>
      </c>
      <c r="J40" s="110">
        <v>25372</v>
      </c>
      <c r="K40" s="109">
        <v>34</v>
      </c>
      <c r="L40" s="110">
        <v>451</v>
      </c>
      <c r="M40" s="110">
        <v>238</v>
      </c>
      <c r="N40" s="110">
        <v>691</v>
      </c>
      <c r="O40" s="110">
        <v>24670</v>
      </c>
      <c r="P40" s="109">
        <v>38</v>
      </c>
      <c r="Q40" s="110">
        <v>663</v>
      </c>
      <c r="R40" s="110">
        <v>345</v>
      </c>
      <c r="S40" s="110">
        <v>1010</v>
      </c>
      <c r="T40" s="110">
        <v>19781</v>
      </c>
    </row>
    <row r="41" spans="1:20" x14ac:dyDescent="0.45">
      <c r="A41" s="109">
        <v>32</v>
      </c>
      <c r="B41" s="110">
        <v>477</v>
      </c>
      <c r="C41" s="110">
        <v>321</v>
      </c>
      <c r="D41" s="110">
        <v>800</v>
      </c>
      <c r="E41" s="110">
        <v>101965</v>
      </c>
      <c r="F41" s="109">
        <v>37</v>
      </c>
      <c r="G41" s="110">
        <v>813</v>
      </c>
      <c r="H41" s="110">
        <v>566</v>
      </c>
      <c r="I41" s="110">
        <v>1381</v>
      </c>
      <c r="J41" s="110">
        <v>26753</v>
      </c>
      <c r="K41" s="109">
        <v>33</v>
      </c>
      <c r="L41" s="110">
        <v>67</v>
      </c>
      <c r="M41" s="110">
        <v>50</v>
      </c>
      <c r="N41" s="110">
        <v>117</v>
      </c>
      <c r="O41" s="110">
        <v>24787</v>
      </c>
      <c r="P41" s="109">
        <v>37</v>
      </c>
      <c r="Q41" s="110">
        <v>192</v>
      </c>
      <c r="R41" s="110">
        <v>131</v>
      </c>
      <c r="S41" s="110">
        <v>324</v>
      </c>
      <c r="T41" s="110">
        <v>20105</v>
      </c>
    </row>
    <row r="42" spans="1:20" x14ac:dyDescent="0.45">
      <c r="A42" s="109">
        <v>31</v>
      </c>
      <c r="B42" s="110">
        <v>739</v>
      </c>
      <c r="C42" s="110">
        <v>551</v>
      </c>
      <c r="D42" s="110">
        <v>1296</v>
      </c>
      <c r="E42" s="110">
        <v>103261</v>
      </c>
      <c r="F42" s="109">
        <v>36</v>
      </c>
      <c r="G42" s="110">
        <v>130</v>
      </c>
      <c r="H42" s="110">
        <v>109</v>
      </c>
      <c r="I42" s="110">
        <v>239</v>
      </c>
      <c r="J42" s="110">
        <v>26992</v>
      </c>
      <c r="K42" s="109">
        <v>32</v>
      </c>
      <c r="L42" s="110">
        <v>94</v>
      </c>
      <c r="M42" s="110">
        <v>49</v>
      </c>
      <c r="N42" s="110">
        <v>143</v>
      </c>
      <c r="O42" s="110">
        <v>24930</v>
      </c>
      <c r="P42" s="109">
        <v>36</v>
      </c>
      <c r="Q42" s="110">
        <v>237</v>
      </c>
      <c r="R42" s="110">
        <v>146</v>
      </c>
      <c r="S42" s="110">
        <v>385</v>
      </c>
      <c r="T42" s="110">
        <v>20490</v>
      </c>
    </row>
    <row r="43" spans="1:20" x14ac:dyDescent="0.45">
      <c r="A43" s="109">
        <v>30</v>
      </c>
      <c r="B43" s="110">
        <v>517</v>
      </c>
      <c r="C43" s="110">
        <v>354</v>
      </c>
      <c r="D43" s="110">
        <v>873</v>
      </c>
      <c r="E43" s="110">
        <v>104134</v>
      </c>
      <c r="F43" s="109">
        <v>35</v>
      </c>
      <c r="G43" s="110">
        <v>194</v>
      </c>
      <c r="H43" s="110">
        <v>123</v>
      </c>
      <c r="I43" s="110">
        <v>317</v>
      </c>
      <c r="J43" s="110">
        <v>27309</v>
      </c>
      <c r="K43" s="109">
        <v>31</v>
      </c>
      <c r="L43" s="110">
        <v>50</v>
      </c>
      <c r="M43" s="110">
        <v>28</v>
      </c>
      <c r="N43" s="110">
        <v>78</v>
      </c>
      <c r="O43" s="110">
        <v>25008</v>
      </c>
      <c r="P43" s="109">
        <v>35</v>
      </c>
      <c r="Q43" s="110">
        <v>264</v>
      </c>
      <c r="R43" s="110">
        <v>139</v>
      </c>
      <c r="S43" s="110">
        <v>404</v>
      </c>
      <c r="T43" s="110">
        <v>20894</v>
      </c>
    </row>
    <row r="44" spans="1:20" x14ac:dyDescent="0.45">
      <c r="A44" s="109">
        <v>29</v>
      </c>
      <c r="B44" s="110">
        <v>118</v>
      </c>
      <c r="C44" s="110">
        <v>94</v>
      </c>
      <c r="D44" s="110">
        <v>212</v>
      </c>
      <c r="E44" s="110">
        <v>104346</v>
      </c>
      <c r="F44" s="109">
        <v>34</v>
      </c>
      <c r="G44" s="110">
        <v>81</v>
      </c>
      <c r="H44" s="110">
        <v>57</v>
      </c>
      <c r="I44" s="110">
        <v>139</v>
      </c>
      <c r="J44" s="110">
        <v>27448</v>
      </c>
      <c r="K44" s="109">
        <v>30</v>
      </c>
      <c r="L44" s="110">
        <v>33</v>
      </c>
      <c r="M44" s="110">
        <v>18</v>
      </c>
      <c r="N44" s="110">
        <v>51</v>
      </c>
      <c r="O44" s="110">
        <v>25059</v>
      </c>
      <c r="P44" s="109">
        <v>34</v>
      </c>
      <c r="Q44" s="110">
        <v>67</v>
      </c>
      <c r="R44" s="110">
        <v>39</v>
      </c>
      <c r="S44" s="110">
        <v>106</v>
      </c>
      <c r="T44" s="110">
        <v>21000</v>
      </c>
    </row>
    <row r="45" spans="1:20" x14ac:dyDescent="0.45">
      <c r="A45" s="109">
        <v>28</v>
      </c>
      <c r="B45" s="110">
        <v>115</v>
      </c>
      <c r="C45" s="110">
        <v>61</v>
      </c>
      <c r="D45" s="110">
        <v>176</v>
      </c>
      <c r="E45" s="110">
        <v>104522</v>
      </c>
      <c r="F45" s="109">
        <v>33</v>
      </c>
      <c r="G45" s="110">
        <v>60</v>
      </c>
      <c r="H45" s="110">
        <v>46</v>
      </c>
      <c r="I45" s="110">
        <v>106</v>
      </c>
      <c r="J45" s="110">
        <v>27554</v>
      </c>
      <c r="K45" s="109">
        <v>29</v>
      </c>
      <c r="L45" s="110">
        <v>59</v>
      </c>
      <c r="M45" s="110">
        <v>21</v>
      </c>
      <c r="N45" s="110">
        <v>80</v>
      </c>
      <c r="O45" s="110">
        <v>25139</v>
      </c>
      <c r="P45" s="109">
        <v>33</v>
      </c>
      <c r="Q45" s="110">
        <v>40</v>
      </c>
      <c r="R45" s="110">
        <v>19</v>
      </c>
      <c r="S45" s="110">
        <v>59</v>
      </c>
      <c r="T45" s="110">
        <v>21059</v>
      </c>
    </row>
    <row r="46" spans="1:20" x14ac:dyDescent="0.45">
      <c r="A46" s="109">
        <v>27</v>
      </c>
      <c r="B46" s="110">
        <v>97</v>
      </c>
      <c r="C46" s="110">
        <v>63</v>
      </c>
      <c r="D46" s="110">
        <v>160</v>
      </c>
      <c r="E46" s="110">
        <v>104682</v>
      </c>
      <c r="F46" s="109">
        <v>32</v>
      </c>
      <c r="G46" s="110">
        <v>56</v>
      </c>
      <c r="H46" s="110">
        <v>39</v>
      </c>
      <c r="I46" s="110">
        <v>95</v>
      </c>
      <c r="J46" s="110">
        <v>27649</v>
      </c>
      <c r="K46" s="109">
        <v>28</v>
      </c>
      <c r="L46" s="110">
        <v>13</v>
      </c>
      <c r="M46" s="110">
        <v>9</v>
      </c>
      <c r="N46" s="110">
        <v>22</v>
      </c>
      <c r="O46" s="110">
        <v>25161</v>
      </c>
      <c r="P46" s="109">
        <v>32</v>
      </c>
      <c r="Q46" s="110">
        <v>41</v>
      </c>
      <c r="R46" s="110">
        <v>22</v>
      </c>
      <c r="S46" s="110">
        <v>64</v>
      </c>
      <c r="T46" s="110">
        <v>21123</v>
      </c>
    </row>
    <row r="47" spans="1:20" x14ac:dyDescent="0.45">
      <c r="A47" s="109">
        <v>25</v>
      </c>
      <c r="B47" s="110">
        <v>40</v>
      </c>
      <c r="C47" s="110">
        <v>22</v>
      </c>
      <c r="D47" s="110">
        <v>65</v>
      </c>
      <c r="E47" s="110">
        <v>104747</v>
      </c>
      <c r="F47" s="109">
        <v>31</v>
      </c>
      <c r="G47" s="110">
        <v>28</v>
      </c>
      <c r="H47" s="110">
        <v>15</v>
      </c>
      <c r="I47" s="110">
        <v>43</v>
      </c>
      <c r="J47" s="110">
        <v>27692</v>
      </c>
      <c r="K47" s="109"/>
      <c r="L47" s="110"/>
      <c r="M47" s="110"/>
      <c r="N47" s="110"/>
      <c r="O47" s="110"/>
      <c r="P47" s="109">
        <v>30</v>
      </c>
      <c r="Q47" s="110">
        <v>21</v>
      </c>
      <c r="R47" s="110">
        <v>11</v>
      </c>
      <c r="S47" s="110">
        <v>32</v>
      </c>
      <c r="T47" s="110">
        <v>21155</v>
      </c>
    </row>
    <row r="48" spans="1:20" x14ac:dyDescent="0.45">
      <c r="A48" s="6"/>
      <c r="B48" s="1"/>
      <c r="C48" s="1"/>
      <c r="D48" s="7"/>
      <c r="F48" s="6"/>
      <c r="G48" s="1"/>
      <c r="H48" s="1"/>
      <c r="I48" s="7"/>
      <c r="K48" s="6"/>
      <c r="L48" s="1"/>
      <c r="M48" s="1"/>
      <c r="N48" s="7"/>
      <c r="P48" s="6"/>
      <c r="Q48" s="1"/>
      <c r="R48" s="1"/>
      <c r="S48" s="7"/>
    </row>
    <row r="49" spans="1:20" x14ac:dyDescent="0.45">
      <c r="A49" s="6"/>
      <c r="B49" s="1"/>
      <c r="C49" s="1"/>
      <c r="D49" s="7"/>
      <c r="F49" s="6"/>
      <c r="G49" s="1"/>
      <c r="H49" s="1"/>
      <c r="I49" s="7"/>
      <c r="K49" s="6"/>
      <c r="L49" s="1"/>
      <c r="M49" s="1"/>
      <c r="N49" s="7"/>
      <c r="P49" s="6"/>
      <c r="Q49" s="1"/>
      <c r="R49" s="1"/>
      <c r="S49" s="7"/>
    </row>
    <row r="50" spans="1:20" x14ac:dyDescent="0.45">
      <c r="A50" s="6"/>
      <c r="B50" s="1"/>
      <c r="C50" s="1"/>
      <c r="D50" s="7"/>
      <c r="F50" s="6"/>
      <c r="G50" s="1"/>
      <c r="H50" s="1"/>
      <c r="I50" s="7"/>
      <c r="K50" s="6"/>
      <c r="L50" s="1"/>
      <c r="M50" s="1"/>
      <c r="N50" s="7"/>
      <c r="P50" s="6"/>
      <c r="Q50" s="1"/>
      <c r="R50" s="1"/>
      <c r="S50" s="7"/>
    </row>
    <row r="51" spans="1:20" x14ac:dyDescent="0.45">
      <c r="A51" s="6"/>
      <c r="B51" s="1"/>
      <c r="C51" s="1"/>
      <c r="D51" s="7"/>
      <c r="F51" s="6"/>
      <c r="G51" s="1"/>
      <c r="H51" s="1"/>
      <c r="I51" s="7"/>
      <c r="K51" s="6"/>
      <c r="L51" s="1"/>
      <c r="M51" s="1"/>
      <c r="N51" s="7"/>
      <c r="P51" s="6"/>
      <c r="Q51" s="1"/>
      <c r="R51" s="1"/>
      <c r="S51" s="7"/>
    </row>
    <row r="52" spans="1:20" ht="17.5" thickBot="1" x14ac:dyDescent="0.5">
      <c r="A52" s="8"/>
      <c r="B52" s="9"/>
      <c r="C52" s="9"/>
      <c r="D52" s="2"/>
      <c r="F52" s="8"/>
      <c r="G52" s="9"/>
      <c r="H52" s="9"/>
      <c r="I52" s="2"/>
      <c r="K52" s="8"/>
      <c r="L52" s="9"/>
      <c r="M52" s="9"/>
      <c r="N52" s="2"/>
      <c r="P52" s="8"/>
      <c r="Q52" s="9"/>
      <c r="R52" s="9"/>
      <c r="S52" s="2"/>
    </row>
    <row r="61" spans="1:20" ht="17.5" thickBot="1" x14ac:dyDescent="0.5"/>
    <row r="62" spans="1:20" x14ac:dyDescent="0.45">
      <c r="A62" s="12" t="s">
        <v>13</v>
      </c>
      <c r="B62" s="13"/>
      <c r="C62" s="13"/>
      <c r="D62" s="14"/>
      <c r="F62" s="12" t="s">
        <v>14</v>
      </c>
      <c r="G62" s="13"/>
      <c r="H62" s="13"/>
      <c r="I62" s="14"/>
      <c r="K62" s="12" t="s">
        <v>15</v>
      </c>
      <c r="L62" s="13"/>
      <c r="M62" s="13"/>
      <c r="N62" s="14"/>
      <c r="P62" s="12" t="s">
        <v>62</v>
      </c>
      <c r="Q62" s="13"/>
      <c r="R62" s="13"/>
      <c r="S62" s="14"/>
    </row>
    <row r="63" spans="1:20" x14ac:dyDescent="0.45">
      <c r="A63" s="6" t="s">
        <v>1</v>
      </c>
      <c r="B63" s="1"/>
      <c r="C63" s="1"/>
      <c r="D63" s="7" t="s">
        <v>0</v>
      </c>
      <c r="F63" s="6" t="s">
        <v>1</v>
      </c>
      <c r="G63" s="1"/>
      <c r="H63" s="1"/>
      <c r="I63" s="7" t="s">
        <v>0</v>
      </c>
      <c r="K63" s="6" t="s">
        <v>1</v>
      </c>
      <c r="L63" s="1"/>
      <c r="M63" s="1"/>
      <c r="N63" s="7" t="s">
        <v>0</v>
      </c>
      <c r="P63" s="6" t="s">
        <v>1</v>
      </c>
      <c r="Q63" s="1"/>
      <c r="R63" s="1"/>
      <c r="S63" s="7" t="s">
        <v>0</v>
      </c>
    </row>
    <row r="64" spans="1:20" x14ac:dyDescent="0.45">
      <c r="A64" s="109">
        <v>70</v>
      </c>
      <c r="B64" s="110">
        <v>336</v>
      </c>
      <c r="C64" s="110">
        <v>134</v>
      </c>
      <c r="D64" s="110">
        <v>470</v>
      </c>
      <c r="E64" s="110">
        <v>470</v>
      </c>
      <c r="F64" s="109">
        <v>71</v>
      </c>
      <c r="G64" s="110">
        <v>396</v>
      </c>
      <c r="H64" s="110">
        <v>134</v>
      </c>
      <c r="I64" s="110">
        <v>530</v>
      </c>
      <c r="J64" s="110">
        <v>530</v>
      </c>
      <c r="K64" s="109">
        <v>79</v>
      </c>
      <c r="L64" s="110">
        <v>15</v>
      </c>
      <c r="M64" s="110">
        <v>1</v>
      </c>
      <c r="N64" s="110">
        <v>16</v>
      </c>
      <c r="O64" s="110">
        <v>16</v>
      </c>
      <c r="P64" s="109">
        <v>71</v>
      </c>
      <c r="Q64" s="110">
        <v>233</v>
      </c>
      <c r="R64" s="110">
        <v>248</v>
      </c>
      <c r="S64" s="110">
        <v>481</v>
      </c>
      <c r="T64" s="110">
        <v>481</v>
      </c>
    </row>
    <row r="65" spans="1:20" x14ac:dyDescent="0.45">
      <c r="A65" s="109">
        <v>68</v>
      </c>
      <c r="B65" s="110">
        <v>29</v>
      </c>
      <c r="C65" s="110">
        <v>24</v>
      </c>
      <c r="D65" s="110">
        <v>53</v>
      </c>
      <c r="E65" s="110">
        <v>523</v>
      </c>
      <c r="F65" s="109">
        <v>69</v>
      </c>
      <c r="G65" s="110">
        <v>93</v>
      </c>
      <c r="H65" s="110">
        <v>48</v>
      </c>
      <c r="I65" s="110">
        <v>142</v>
      </c>
      <c r="J65" s="110">
        <v>672</v>
      </c>
      <c r="K65" s="109">
        <v>78</v>
      </c>
      <c r="L65" s="110">
        <v>9</v>
      </c>
      <c r="M65" s="110">
        <v>5</v>
      </c>
      <c r="N65" s="110">
        <v>14</v>
      </c>
      <c r="O65" s="110">
        <v>30</v>
      </c>
      <c r="P65" s="109">
        <v>70</v>
      </c>
      <c r="Q65" s="110">
        <v>139</v>
      </c>
      <c r="R65" s="110">
        <v>164</v>
      </c>
      <c r="S65" s="110">
        <v>303</v>
      </c>
      <c r="T65" s="110">
        <v>784</v>
      </c>
    </row>
    <row r="66" spans="1:20" x14ac:dyDescent="0.45">
      <c r="A66" s="109">
        <v>67</v>
      </c>
      <c r="B66" s="110">
        <v>273</v>
      </c>
      <c r="C66" s="110">
        <v>145</v>
      </c>
      <c r="D66" s="110">
        <v>419</v>
      </c>
      <c r="E66" s="110">
        <v>942</v>
      </c>
      <c r="F66" s="109">
        <v>68</v>
      </c>
      <c r="G66" s="110">
        <v>166</v>
      </c>
      <c r="H66" s="110">
        <v>56</v>
      </c>
      <c r="I66" s="110">
        <v>222</v>
      </c>
      <c r="J66" s="110">
        <v>894</v>
      </c>
      <c r="K66" s="109">
        <v>77</v>
      </c>
      <c r="L66" s="110">
        <v>16</v>
      </c>
      <c r="M66" s="110">
        <v>5</v>
      </c>
      <c r="N66" s="110">
        <v>21</v>
      </c>
      <c r="O66" s="110">
        <v>51</v>
      </c>
      <c r="P66" s="109">
        <v>69</v>
      </c>
      <c r="Q66" s="110">
        <v>138</v>
      </c>
      <c r="R66" s="110">
        <v>151</v>
      </c>
      <c r="S66" s="110">
        <v>289</v>
      </c>
      <c r="T66" s="110">
        <v>1073</v>
      </c>
    </row>
    <row r="67" spans="1:20" x14ac:dyDescent="0.45">
      <c r="A67" s="109">
        <v>66</v>
      </c>
      <c r="B67" s="110">
        <v>89</v>
      </c>
      <c r="C67" s="110">
        <v>59</v>
      </c>
      <c r="D67" s="110">
        <v>148</v>
      </c>
      <c r="E67" s="110">
        <v>1090</v>
      </c>
      <c r="F67" s="109">
        <v>67</v>
      </c>
      <c r="G67" s="110">
        <v>164</v>
      </c>
      <c r="H67" s="110">
        <v>85</v>
      </c>
      <c r="I67" s="110">
        <v>249</v>
      </c>
      <c r="J67" s="110">
        <v>1143</v>
      </c>
      <c r="K67" s="109">
        <v>76</v>
      </c>
      <c r="L67" s="110">
        <v>10</v>
      </c>
      <c r="M67" s="110">
        <v>1</v>
      </c>
      <c r="N67" s="110">
        <v>11</v>
      </c>
      <c r="O67" s="110">
        <v>62</v>
      </c>
      <c r="P67" s="109">
        <v>68</v>
      </c>
      <c r="Q67" s="110">
        <v>53</v>
      </c>
      <c r="R67" s="110">
        <v>76</v>
      </c>
      <c r="S67" s="110">
        <v>130</v>
      </c>
      <c r="T67" s="110">
        <v>1203</v>
      </c>
    </row>
    <row r="68" spans="1:20" x14ac:dyDescent="0.45">
      <c r="A68" s="109">
        <v>65</v>
      </c>
      <c r="B68" s="110">
        <v>225</v>
      </c>
      <c r="C68" s="110">
        <v>109</v>
      </c>
      <c r="D68" s="110">
        <v>334</v>
      </c>
      <c r="E68" s="110">
        <v>1424</v>
      </c>
      <c r="F68" s="109">
        <v>66</v>
      </c>
      <c r="G68" s="110">
        <v>77</v>
      </c>
      <c r="H68" s="110">
        <v>39</v>
      </c>
      <c r="I68" s="110">
        <v>117</v>
      </c>
      <c r="J68" s="110">
        <v>1260</v>
      </c>
      <c r="K68" s="109">
        <v>75</v>
      </c>
      <c r="L68" s="110">
        <v>22</v>
      </c>
      <c r="M68" s="110">
        <v>6</v>
      </c>
      <c r="N68" s="110">
        <v>28</v>
      </c>
      <c r="O68" s="110">
        <v>90</v>
      </c>
      <c r="P68" s="109">
        <v>67</v>
      </c>
      <c r="Q68" s="110">
        <v>265</v>
      </c>
      <c r="R68" s="110">
        <v>263</v>
      </c>
      <c r="S68" s="110">
        <v>529</v>
      </c>
      <c r="T68" s="110">
        <v>1732</v>
      </c>
    </row>
    <row r="69" spans="1:20" x14ac:dyDescent="0.45">
      <c r="A69" s="109">
        <v>64</v>
      </c>
      <c r="B69" s="110">
        <v>23</v>
      </c>
      <c r="C69" s="110">
        <v>30</v>
      </c>
      <c r="D69" s="110">
        <v>53</v>
      </c>
      <c r="E69" s="110">
        <v>1477</v>
      </c>
      <c r="F69" s="109">
        <v>65</v>
      </c>
      <c r="G69" s="110">
        <v>84</v>
      </c>
      <c r="H69" s="110">
        <v>50</v>
      </c>
      <c r="I69" s="110">
        <v>134</v>
      </c>
      <c r="J69" s="110">
        <v>1394</v>
      </c>
      <c r="K69" s="109">
        <v>74</v>
      </c>
      <c r="L69" s="110">
        <v>20</v>
      </c>
      <c r="M69" s="110">
        <v>3</v>
      </c>
      <c r="N69" s="110">
        <v>23</v>
      </c>
      <c r="O69" s="110">
        <v>113</v>
      </c>
      <c r="P69" s="109">
        <v>66</v>
      </c>
      <c r="Q69" s="110">
        <v>121</v>
      </c>
      <c r="R69" s="110">
        <v>164</v>
      </c>
      <c r="S69" s="110">
        <v>286</v>
      </c>
      <c r="T69" s="110">
        <v>2018</v>
      </c>
    </row>
    <row r="70" spans="1:20" x14ac:dyDescent="0.45">
      <c r="A70" s="109">
        <v>63</v>
      </c>
      <c r="B70" s="110">
        <v>330</v>
      </c>
      <c r="C70" s="110">
        <v>191</v>
      </c>
      <c r="D70" s="110">
        <v>521</v>
      </c>
      <c r="E70" s="110">
        <v>1998</v>
      </c>
      <c r="F70" s="109">
        <v>64</v>
      </c>
      <c r="G70" s="110">
        <v>201</v>
      </c>
      <c r="H70" s="110">
        <v>80</v>
      </c>
      <c r="I70" s="110">
        <v>283</v>
      </c>
      <c r="J70" s="110">
        <v>1677</v>
      </c>
      <c r="K70" s="109">
        <v>73</v>
      </c>
      <c r="L70" s="110">
        <v>37</v>
      </c>
      <c r="M70" s="110">
        <v>7</v>
      </c>
      <c r="N70" s="110">
        <v>44</v>
      </c>
      <c r="O70" s="110">
        <v>157</v>
      </c>
      <c r="P70" s="109">
        <v>65</v>
      </c>
      <c r="Q70" s="110">
        <v>143</v>
      </c>
      <c r="R70" s="110">
        <v>168</v>
      </c>
      <c r="S70" s="110">
        <v>311</v>
      </c>
      <c r="T70" s="110">
        <v>2329</v>
      </c>
    </row>
    <row r="71" spans="1:20" x14ac:dyDescent="0.45">
      <c r="A71" s="109">
        <v>62</v>
      </c>
      <c r="B71" s="110">
        <v>77</v>
      </c>
      <c r="C71" s="110">
        <v>66</v>
      </c>
      <c r="D71" s="110">
        <v>143</v>
      </c>
      <c r="E71" s="110">
        <v>2141</v>
      </c>
      <c r="F71" s="109">
        <v>63</v>
      </c>
      <c r="G71" s="110">
        <v>116</v>
      </c>
      <c r="H71" s="110">
        <v>40</v>
      </c>
      <c r="I71" s="110">
        <v>156</v>
      </c>
      <c r="J71" s="110">
        <v>1833</v>
      </c>
      <c r="K71" s="109">
        <v>72</v>
      </c>
      <c r="L71" s="110">
        <v>36</v>
      </c>
      <c r="M71" s="110">
        <v>6</v>
      </c>
      <c r="N71" s="110">
        <v>43</v>
      </c>
      <c r="O71" s="110">
        <v>200</v>
      </c>
      <c r="P71" s="109">
        <v>64</v>
      </c>
      <c r="Q71" s="110">
        <v>93</v>
      </c>
      <c r="R71" s="110">
        <v>119</v>
      </c>
      <c r="S71" s="110">
        <v>212</v>
      </c>
      <c r="T71" s="110">
        <v>2541</v>
      </c>
    </row>
    <row r="72" spans="1:20" x14ac:dyDescent="0.45">
      <c r="A72" s="109">
        <v>61</v>
      </c>
      <c r="B72" s="110">
        <v>175</v>
      </c>
      <c r="C72" s="110">
        <v>99</v>
      </c>
      <c r="D72" s="110">
        <v>274</v>
      </c>
      <c r="E72" s="110">
        <v>2415</v>
      </c>
      <c r="F72" s="109">
        <v>62</v>
      </c>
      <c r="G72" s="110">
        <v>91</v>
      </c>
      <c r="H72" s="110">
        <v>50</v>
      </c>
      <c r="I72" s="110">
        <v>141</v>
      </c>
      <c r="J72" s="110">
        <v>1974</v>
      </c>
      <c r="K72" s="109">
        <v>71</v>
      </c>
      <c r="L72" s="110">
        <v>33</v>
      </c>
      <c r="M72" s="110">
        <v>9</v>
      </c>
      <c r="N72" s="110">
        <v>42</v>
      </c>
      <c r="O72" s="110">
        <v>242</v>
      </c>
      <c r="P72" s="109">
        <v>63</v>
      </c>
      <c r="Q72" s="110">
        <v>153</v>
      </c>
      <c r="R72" s="110">
        <v>228</v>
      </c>
      <c r="S72" s="110">
        <v>381</v>
      </c>
      <c r="T72" s="110">
        <v>2922</v>
      </c>
    </row>
    <row r="73" spans="1:20" x14ac:dyDescent="0.45">
      <c r="A73" s="109">
        <v>60</v>
      </c>
      <c r="B73" s="110">
        <v>121</v>
      </c>
      <c r="C73" s="110">
        <v>68</v>
      </c>
      <c r="D73" s="110">
        <v>190</v>
      </c>
      <c r="E73" s="110">
        <v>2605</v>
      </c>
      <c r="F73" s="109">
        <v>61</v>
      </c>
      <c r="G73" s="110">
        <v>201</v>
      </c>
      <c r="H73" s="110">
        <v>86</v>
      </c>
      <c r="I73" s="110">
        <v>287</v>
      </c>
      <c r="J73" s="110">
        <v>2261</v>
      </c>
      <c r="K73" s="109">
        <v>70</v>
      </c>
      <c r="L73" s="110">
        <v>48</v>
      </c>
      <c r="M73" s="110">
        <v>17</v>
      </c>
      <c r="N73" s="110">
        <v>65</v>
      </c>
      <c r="O73" s="110">
        <v>307</v>
      </c>
      <c r="P73" s="109">
        <v>62</v>
      </c>
      <c r="Q73" s="110">
        <v>239</v>
      </c>
      <c r="R73" s="110">
        <v>358</v>
      </c>
      <c r="S73" s="110">
        <v>597</v>
      </c>
      <c r="T73" s="110">
        <v>3519</v>
      </c>
    </row>
    <row r="74" spans="1:20" x14ac:dyDescent="0.45">
      <c r="A74" s="109">
        <v>59</v>
      </c>
      <c r="B74" s="110">
        <v>281</v>
      </c>
      <c r="C74" s="110">
        <v>217</v>
      </c>
      <c r="D74" s="110">
        <v>499</v>
      </c>
      <c r="E74" s="110">
        <v>3104</v>
      </c>
      <c r="F74" s="109">
        <v>60</v>
      </c>
      <c r="G74" s="110">
        <v>96</v>
      </c>
      <c r="H74" s="110">
        <v>55</v>
      </c>
      <c r="I74" s="110">
        <v>151</v>
      </c>
      <c r="J74" s="110">
        <v>2412</v>
      </c>
      <c r="K74" s="109">
        <v>69</v>
      </c>
      <c r="L74" s="110">
        <v>41</v>
      </c>
      <c r="M74" s="110">
        <v>13</v>
      </c>
      <c r="N74" s="110">
        <v>54</v>
      </c>
      <c r="O74" s="110">
        <v>361</v>
      </c>
      <c r="P74" s="109">
        <v>61</v>
      </c>
      <c r="Q74" s="110">
        <v>176</v>
      </c>
      <c r="R74" s="110">
        <v>220</v>
      </c>
      <c r="S74" s="110">
        <v>396</v>
      </c>
      <c r="T74" s="110">
        <v>3915</v>
      </c>
    </row>
    <row r="75" spans="1:20" x14ac:dyDescent="0.45">
      <c r="A75" s="109">
        <v>58</v>
      </c>
      <c r="B75" s="110">
        <v>120</v>
      </c>
      <c r="C75" s="110">
        <v>92</v>
      </c>
      <c r="D75" s="110">
        <v>212</v>
      </c>
      <c r="E75" s="110">
        <v>3316</v>
      </c>
      <c r="F75" s="109">
        <v>59</v>
      </c>
      <c r="G75" s="110">
        <v>131</v>
      </c>
      <c r="H75" s="110">
        <v>74</v>
      </c>
      <c r="I75" s="110">
        <v>205</v>
      </c>
      <c r="J75" s="110">
        <v>2617</v>
      </c>
      <c r="K75" s="109">
        <v>68</v>
      </c>
      <c r="L75" s="110">
        <v>47</v>
      </c>
      <c r="M75" s="110">
        <v>18</v>
      </c>
      <c r="N75" s="110">
        <v>65</v>
      </c>
      <c r="O75" s="110">
        <v>426</v>
      </c>
      <c r="P75" s="109">
        <v>60</v>
      </c>
      <c r="Q75" s="110">
        <v>148</v>
      </c>
      <c r="R75" s="110">
        <v>183</v>
      </c>
      <c r="S75" s="110">
        <v>332</v>
      </c>
      <c r="T75" s="110">
        <v>4247</v>
      </c>
    </row>
    <row r="76" spans="1:20" x14ac:dyDescent="0.45">
      <c r="A76" s="109">
        <v>57</v>
      </c>
      <c r="B76" s="110">
        <v>133</v>
      </c>
      <c r="C76" s="110">
        <v>130</v>
      </c>
      <c r="D76" s="110">
        <v>263</v>
      </c>
      <c r="E76" s="110">
        <v>3579</v>
      </c>
      <c r="F76" s="109">
        <v>58</v>
      </c>
      <c r="G76" s="110">
        <v>226</v>
      </c>
      <c r="H76" s="110">
        <v>118</v>
      </c>
      <c r="I76" s="110">
        <v>346</v>
      </c>
      <c r="J76" s="110">
        <v>2963</v>
      </c>
      <c r="K76" s="109">
        <v>67</v>
      </c>
      <c r="L76" s="110">
        <v>32</v>
      </c>
      <c r="M76" s="110">
        <v>19</v>
      </c>
      <c r="N76" s="110">
        <v>51</v>
      </c>
      <c r="O76" s="110">
        <v>477</v>
      </c>
      <c r="P76" s="109">
        <v>59</v>
      </c>
      <c r="Q76" s="110">
        <v>213</v>
      </c>
      <c r="R76" s="110">
        <v>270</v>
      </c>
      <c r="S76" s="110">
        <v>486</v>
      </c>
      <c r="T76" s="110">
        <v>4733</v>
      </c>
    </row>
    <row r="77" spans="1:20" x14ac:dyDescent="0.45">
      <c r="A77" s="109">
        <v>56</v>
      </c>
      <c r="B77" s="110">
        <v>146</v>
      </c>
      <c r="C77" s="110">
        <v>106</v>
      </c>
      <c r="D77" s="110">
        <v>252</v>
      </c>
      <c r="E77" s="110">
        <v>3831</v>
      </c>
      <c r="F77" s="109">
        <v>57</v>
      </c>
      <c r="G77" s="110">
        <v>132</v>
      </c>
      <c r="H77" s="110">
        <v>72</v>
      </c>
      <c r="I77" s="110">
        <v>204</v>
      </c>
      <c r="J77" s="110">
        <v>3167</v>
      </c>
      <c r="K77" s="109">
        <v>66</v>
      </c>
      <c r="L77" s="110">
        <v>48</v>
      </c>
      <c r="M77" s="110">
        <v>17</v>
      </c>
      <c r="N77" s="110">
        <v>65</v>
      </c>
      <c r="O77" s="110">
        <v>542</v>
      </c>
      <c r="P77" s="109">
        <v>58</v>
      </c>
      <c r="Q77" s="110">
        <v>155</v>
      </c>
      <c r="R77" s="110">
        <v>236</v>
      </c>
      <c r="S77" s="110">
        <v>391</v>
      </c>
      <c r="T77" s="110">
        <v>5124</v>
      </c>
    </row>
    <row r="78" spans="1:20" x14ac:dyDescent="0.45">
      <c r="A78" s="109">
        <v>55</v>
      </c>
      <c r="B78" s="110">
        <v>272</v>
      </c>
      <c r="C78" s="110">
        <v>225</v>
      </c>
      <c r="D78" s="110">
        <v>497</v>
      </c>
      <c r="E78" s="110">
        <v>4328</v>
      </c>
      <c r="F78" s="109">
        <v>56</v>
      </c>
      <c r="G78" s="110">
        <v>123</v>
      </c>
      <c r="H78" s="110">
        <v>61</v>
      </c>
      <c r="I78" s="110">
        <v>184</v>
      </c>
      <c r="J78" s="110">
        <v>3351</v>
      </c>
      <c r="K78" s="109">
        <v>65</v>
      </c>
      <c r="L78" s="110">
        <v>60</v>
      </c>
      <c r="M78" s="110">
        <v>18</v>
      </c>
      <c r="N78" s="110">
        <v>78</v>
      </c>
      <c r="O78" s="110">
        <v>620</v>
      </c>
      <c r="P78" s="109">
        <v>57</v>
      </c>
      <c r="Q78" s="110">
        <v>375</v>
      </c>
      <c r="R78" s="110">
        <v>595</v>
      </c>
      <c r="S78" s="110">
        <v>970</v>
      </c>
      <c r="T78" s="110">
        <v>6094</v>
      </c>
    </row>
    <row r="79" spans="1:20" x14ac:dyDescent="0.45">
      <c r="A79" s="109">
        <v>54</v>
      </c>
      <c r="B79" s="110">
        <v>147</v>
      </c>
      <c r="C79" s="110">
        <v>135</v>
      </c>
      <c r="D79" s="110">
        <v>282</v>
      </c>
      <c r="E79" s="110">
        <v>4610</v>
      </c>
      <c r="F79" s="109">
        <v>55</v>
      </c>
      <c r="G79" s="110">
        <v>128</v>
      </c>
      <c r="H79" s="110">
        <v>66</v>
      </c>
      <c r="I79" s="110">
        <v>194</v>
      </c>
      <c r="J79" s="110">
        <v>3545</v>
      </c>
      <c r="K79" s="109">
        <v>64</v>
      </c>
      <c r="L79" s="110">
        <v>42</v>
      </c>
      <c r="M79" s="110">
        <v>17</v>
      </c>
      <c r="N79" s="110">
        <v>59</v>
      </c>
      <c r="O79" s="110">
        <v>679</v>
      </c>
      <c r="P79" s="109">
        <v>56</v>
      </c>
      <c r="Q79" s="110">
        <v>169</v>
      </c>
      <c r="R79" s="110">
        <v>313</v>
      </c>
      <c r="S79" s="110">
        <v>482</v>
      </c>
      <c r="T79" s="110">
        <v>6576</v>
      </c>
    </row>
    <row r="80" spans="1:20" x14ac:dyDescent="0.45">
      <c r="A80" s="109">
        <v>53</v>
      </c>
      <c r="B80" s="110">
        <v>139</v>
      </c>
      <c r="C80" s="110">
        <v>136</v>
      </c>
      <c r="D80" s="110">
        <v>276</v>
      </c>
      <c r="E80" s="110">
        <v>4886</v>
      </c>
      <c r="F80" s="109">
        <v>54</v>
      </c>
      <c r="G80" s="110">
        <v>251</v>
      </c>
      <c r="H80" s="110">
        <v>150</v>
      </c>
      <c r="I80" s="110">
        <v>401</v>
      </c>
      <c r="J80" s="110">
        <v>3946</v>
      </c>
      <c r="K80" s="109">
        <v>63</v>
      </c>
      <c r="L80" s="110">
        <v>52</v>
      </c>
      <c r="M80" s="110">
        <v>18</v>
      </c>
      <c r="N80" s="110">
        <v>70</v>
      </c>
      <c r="O80" s="110">
        <v>749</v>
      </c>
      <c r="P80" s="109">
        <v>55</v>
      </c>
      <c r="Q80" s="110">
        <v>223</v>
      </c>
      <c r="R80" s="110">
        <v>358</v>
      </c>
      <c r="S80" s="110">
        <v>583</v>
      </c>
      <c r="T80" s="110">
        <v>7159</v>
      </c>
    </row>
    <row r="81" spans="1:20" x14ac:dyDescent="0.45">
      <c r="A81" s="109">
        <v>52</v>
      </c>
      <c r="B81" s="110">
        <v>258</v>
      </c>
      <c r="C81" s="110">
        <v>232</v>
      </c>
      <c r="D81" s="110">
        <v>492</v>
      </c>
      <c r="E81" s="110">
        <v>5378</v>
      </c>
      <c r="F81" s="109">
        <v>53</v>
      </c>
      <c r="G81" s="110">
        <v>155</v>
      </c>
      <c r="H81" s="110">
        <v>78</v>
      </c>
      <c r="I81" s="110">
        <v>233</v>
      </c>
      <c r="J81" s="110">
        <v>4179</v>
      </c>
      <c r="K81" s="109">
        <v>62</v>
      </c>
      <c r="L81" s="110">
        <v>60</v>
      </c>
      <c r="M81" s="110">
        <v>27</v>
      </c>
      <c r="N81" s="110">
        <v>87</v>
      </c>
      <c r="O81" s="110">
        <v>836</v>
      </c>
      <c r="P81" s="109">
        <v>54</v>
      </c>
      <c r="Q81" s="110">
        <v>205</v>
      </c>
      <c r="R81" s="110">
        <v>338</v>
      </c>
      <c r="S81" s="110">
        <v>543</v>
      </c>
      <c r="T81" s="110">
        <v>7702</v>
      </c>
    </row>
    <row r="82" spans="1:20" x14ac:dyDescent="0.45">
      <c r="A82" s="109">
        <v>51</v>
      </c>
      <c r="B82" s="110">
        <v>161</v>
      </c>
      <c r="C82" s="110">
        <v>126</v>
      </c>
      <c r="D82" s="110">
        <v>288</v>
      </c>
      <c r="E82" s="110">
        <v>5666</v>
      </c>
      <c r="F82" s="109">
        <v>52</v>
      </c>
      <c r="G82" s="110">
        <v>138</v>
      </c>
      <c r="H82" s="110">
        <v>74</v>
      </c>
      <c r="I82" s="110">
        <v>213</v>
      </c>
      <c r="J82" s="110">
        <v>4392</v>
      </c>
      <c r="K82" s="109">
        <v>61</v>
      </c>
      <c r="L82" s="110">
        <v>67</v>
      </c>
      <c r="M82" s="110">
        <v>25</v>
      </c>
      <c r="N82" s="110">
        <v>92</v>
      </c>
      <c r="O82" s="110">
        <v>928</v>
      </c>
      <c r="P82" s="109">
        <v>53</v>
      </c>
      <c r="Q82" s="110">
        <v>245</v>
      </c>
      <c r="R82" s="110">
        <v>322</v>
      </c>
      <c r="S82" s="110">
        <v>568</v>
      </c>
      <c r="T82" s="110">
        <v>8270</v>
      </c>
    </row>
    <row r="83" spans="1:20" x14ac:dyDescent="0.45">
      <c r="A83" s="109">
        <v>50</v>
      </c>
      <c r="B83" s="110">
        <v>148</v>
      </c>
      <c r="C83" s="110">
        <v>150</v>
      </c>
      <c r="D83" s="110">
        <v>299</v>
      </c>
      <c r="E83" s="110">
        <v>5965</v>
      </c>
      <c r="F83" s="109">
        <v>51</v>
      </c>
      <c r="G83" s="110">
        <v>295</v>
      </c>
      <c r="H83" s="110">
        <v>215</v>
      </c>
      <c r="I83" s="110">
        <v>512</v>
      </c>
      <c r="J83" s="110">
        <v>4904</v>
      </c>
      <c r="K83" s="109">
        <v>60</v>
      </c>
      <c r="L83" s="110">
        <v>89</v>
      </c>
      <c r="M83" s="110">
        <v>35</v>
      </c>
      <c r="N83" s="110">
        <v>124</v>
      </c>
      <c r="O83" s="110">
        <v>1052</v>
      </c>
      <c r="P83" s="109">
        <v>52</v>
      </c>
      <c r="Q83" s="110">
        <v>444</v>
      </c>
      <c r="R83" s="110">
        <v>767</v>
      </c>
      <c r="S83" s="110">
        <v>1212</v>
      </c>
      <c r="T83" s="110">
        <v>9482</v>
      </c>
    </row>
    <row r="84" spans="1:20" x14ac:dyDescent="0.45">
      <c r="A84" s="109">
        <v>49</v>
      </c>
      <c r="B84" s="110">
        <v>154</v>
      </c>
      <c r="C84" s="110">
        <v>131</v>
      </c>
      <c r="D84" s="110">
        <v>285</v>
      </c>
      <c r="E84" s="110">
        <v>6250</v>
      </c>
      <c r="F84" s="109">
        <v>50</v>
      </c>
      <c r="G84" s="110">
        <v>168</v>
      </c>
      <c r="H84" s="110">
        <v>122</v>
      </c>
      <c r="I84" s="110">
        <v>291</v>
      </c>
      <c r="J84" s="110">
        <v>5195</v>
      </c>
      <c r="K84" s="109">
        <v>59</v>
      </c>
      <c r="L84" s="110">
        <v>66</v>
      </c>
      <c r="M84" s="110">
        <v>33</v>
      </c>
      <c r="N84" s="110">
        <v>99</v>
      </c>
      <c r="O84" s="110">
        <v>1151</v>
      </c>
      <c r="P84" s="109">
        <v>51</v>
      </c>
      <c r="Q84" s="110">
        <v>245</v>
      </c>
      <c r="R84" s="110">
        <v>440</v>
      </c>
      <c r="S84" s="110">
        <v>685</v>
      </c>
      <c r="T84" s="110">
        <v>10167</v>
      </c>
    </row>
    <row r="85" spans="1:20" x14ac:dyDescent="0.45">
      <c r="A85" s="109">
        <v>48</v>
      </c>
      <c r="B85" s="110">
        <v>311</v>
      </c>
      <c r="C85" s="110">
        <v>281</v>
      </c>
      <c r="D85" s="110">
        <v>592</v>
      </c>
      <c r="E85" s="110">
        <v>6842</v>
      </c>
      <c r="F85" s="109">
        <v>49</v>
      </c>
      <c r="G85" s="110">
        <v>166</v>
      </c>
      <c r="H85" s="110">
        <v>116</v>
      </c>
      <c r="I85" s="110">
        <v>283</v>
      </c>
      <c r="J85" s="110">
        <v>5478</v>
      </c>
      <c r="K85" s="109">
        <v>58</v>
      </c>
      <c r="L85" s="110">
        <v>151</v>
      </c>
      <c r="M85" s="110">
        <v>76</v>
      </c>
      <c r="N85" s="110">
        <v>228</v>
      </c>
      <c r="O85" s="110">
        <v>1379</v>
      </c>
      <c r="P85" s="109">
        <v>50</v>
      </c>
      <c r="Q85" s="110">
        <v>235</v>
      </c>
      <c r="R85" s="110">
        <v>375</v>
      </c>
      <c r="S85" s="110">
        <v>610</v>
      </c>
      <c r="T85" s="110">
        <v>10777</v>
      </c>
    </row>
    <row r="86" spans="1:20" x14ac:dyDescent="0.45">
      <c r="A86" s="109">
        <v>47</v>
      </c>
      <c r="B86" s="110">
        <v>129</v>
      </c>
      <c r="C86" s="110">
        <v>157</v>
      </c>
      <c r="D86" s="110">
        <v>286</v>
      </c>
      <c r="E86" s="110">
        <v>7128</v>
      </c>
      <c r="F86" s="109">
        <v>48</v>
      </c>
      <c r="G86" s="110">
        <v>328</v>
      </c>
      <c r="H86" s="110">
        <v>286</v>
      </c>
      <c r="I86" s="110">
        <v>614</v>
      </c>
      <c r="J86" s="110">
        <v>6092</v>
      </c>
      <c r="K86" s="109">
        <v>57</v>
      </c>
      <c r="L86" s="110">
        <v>68</v>
      </c>
      <c r="M86" s="110">
        <v>50</v>
      </c>
      <c r="N86" s="110">
        <v>118</v>
      </c>
      <c r="O86" s="110">
        <v>1497</v>
      </c>
      <c r="P86" s="109">
        <v>49</v>
      </c>
      <c r="Q86" s="110">
        <v>259</v>
      </c>
      <c r="R86" s="110">
        <v>366</v>
      </c>
      <c r="S86" s="110">
        <v>628</v>
      </c>
      <c r="T86" s="110">
        <v>11405</v>
      </c>
    </row>
    <row r="87" spans="1:20" x14ac:dyDescent="0.45">
      <c r="A87" s="109">
        <v>46</v>
      </c>
      <c r="B87" s="110">
        <v>143</v>
      </c>
      <c r="C87" s="110">
        <v>152</v>
      </c>
      <c r="D87" s="110">
        <v>296</v>
      </c>
      <c r="E87" s="110">
        <v>7424</v>
      </c>
      <c r="F87" s="109">
        <v>47</v>
      </c>
      <c r="G87" s="110">
        <v>138</v>
      </c>
      <c r="H87" s="110">
        <v>154</v>
      </c>
      <c r="I87" s="110">
        <v>292</v>
      </c>
      <c r="J87" s="110">
        <v>6384</v>
      </c>
      <c r="K87" s="109">
        <v>56</v>
      </c>
      <c r="L87" s="110">
        <v>114</v>
      </c>
      <c r="M87" s="110">
        <v>58</v>
      </c>
      <c r="N87" s="110">
        <v>172</v>
      </c>
      <c r="O87" s="110">
        <v>1669</v>
      </c>
      <c r="P87" s="109">
        <v>48</v>
      </c>
      <c r="Q87" s="110">
        <v>262</v>
      </c>
      <c r="R87" s="110">
        <v>410</v>
      </c>
      <c r="S87" s="110">
        <v>673</v>
      </c>
      <c r="T87" s="110">
        <v>12078</v>
      </c>
    </row>
    <row r="88" spans="1:20" x14ac:dyDescent="0.45">
      <c r="A88" s="109">
        <v>45</v>
      </c>
      <c r="B88" s="110">
        <v>355</v>
      </c>
      <c r="C88" s="110">
        <v>320</v>
      </c>
      <c r="D88" s="110">
        <v>677</v>
      </c>
      <c r="E88" s="110">
        <v>8101</v>
      </c>
      <c r="F88" s="109">
        <v>46</v>
      </c>
      <c r="G88" s="110">
        <v>194</v>
      </c>
      <c r="H88" s="110">
        <v>144</v>
      </c>
      <c r="I88" s="110">
        <v>338</v>
      </c>
      <c r="J88" s="110">
        <v>6722</v>
      </c>
      <c r="K88" s="109">
        <v>55</v>
      </c>
      <c r="L88" s="110">
        <v>78</v>
      </c>
      <c r="M88" s="110">
        <v>30</v>
      </c>
      <c r="N88" s="110">
        <v>109</v>
      </c>
      <c r="O88" s="110">
        <v>1778</v>
      </c>
      <c r="P88" s="109">
        <v>47</v>
      </c>
      <c r="Q88" s="110">
        <v>501</v>
      </c>
      <c r="R88" s="110">
        <v>720</v>
      </c>
      <c r="S88" s="110">
        <v>1222</v>
      </c>
      <c r="T88" s="110">
        <v>13300</v>
      </c>
    </row>
    <row r="89" spans="1:20" x14ac:dyDescent="0.45">
      <c r="A89" s="109">
        <v>44</v>
      </c>
      <c r="B89" s="110">
        <v>155</v>
      </c>
      <c r="C89" s="110">
        <v>153</v>
      </c>
      <c r="D89" s="110">
        <v>309</v>
      </c>
      <c r="E89" s="110">
        <v>8410</v>
      </c>
      <c r="F89" s="109">
        <v>45</v>
      </c>
      <c r="G89" s="110">
        <v>194</v>
      </c>
      <c r="H89" s="110">
        <v>161</v>
      </c>
      <c r="I89" s="110">
        <v>359</v>
      </c>
      <c r="J89" s="110">
        <v>7081</v>
      </c>
      <c r="K89" s="109">
        <v>54</v>
      </c>
      <c r="L89" s="110">
        <v>107</v>
      </c>
      <c r="M89" s="110">
        <v>47</v>
      </c>
      <c r="N89" s="110">
        <v>154</v>
      </c>
      <c r="O89" s="110">
        <v>1932</v>
      </c>
      <c r="P89" s="109">
        <v>46</v>
      </c>
      <c r="Q89" s="110">
        <v>259</v>
      </c>
      <c r="R89" s="110">
        <v>364</v>
      </c>
      <c r="S89" s="110">
        <v>624</v>
      </c>
      <c r="T89" s="110">
        <v>13924</v>
      </c>
    </row>
    <row r="90" spans="1:20" x14ac:dyDescent="0.45">
      <c r="A90" s="109">
        <v>43</v>
      </c>
      <c r="B90" s="110">
        <v>186</v>
      </c>
      <c r="C90" s="110">
        <v>163</v>
      </c>
      <c r="D90" s="110">
        <v>350</v>
      </c>
      <c r="E90" s="110">
        <v>8760</v>
      </c>
      <c r="F90" s="109">
        <v>44</v>
      </c>
      <c r="G90" s="110">
        <v>435</v>
      </c>
      <c r="H90" s="110">
        <v>309</v>
      </c>
      <c r="I90" s="110">
        <v>747</v>
      </c>
      <c r="J90" s="110">
        <v>7828</v>
      </c>
      <c r="K90" s="109">
        <v>53</v>
      </c>
      <c r="L90" s="110">
        <v>111</v>
      </c>
      <c r="M90" s="110">
        <v>53</v>
      </c>
      <c r="N90" s="110">
        <v>164</v>
      </c>
      <c r="O90" s="110">
        <v>2096</v>
      </c>
      <c r="P90" s="109">
        <v>45</v>
      </c>
      <c r="Q90" s="110">
        <v>223</v>
      </c>
      <c r="R90" s="110">
        <v>342</v>
      </c>
      <c r="S90" s="110">
        <v>566</v>
      </c>
      <c r="T90" s="110">
        <v>14490</v>
      </c>
    </row>
    <row r="91" spans="1:20" x14ac:dyDescent="0.45">
      <c r="A91" s="109">
        <v>42</v>
      </c>
      <c r="B91" s="110">
        <v>184</v>
      </c>
      <c r="C91" s="110">
        <v>170</v>
      </c>
      <c r="D91" s="110">
        <v>355</v>
      </c>
      <c r="E91" s="110">
        <v>9115</v>
      </c>
      <c r="F91" s="109">
        <v>43</v>
      </c>
      <c r="G91" s="110">
        <v>183</v>
      </c>
      <c r="H91" s="110">
        <v>171</v>
      </c>
      <c r="I91" s="110">
        <v>354</v>
      </c>
      <c r="J91" s="110">
        <v>8182</v>
      </c>
      <c r="K91" s="109">
        <v>52</v>
      </c>
      <c r="L91" s="110">
        <v>82</v>
      </c>
      <c r="M91" s="110">
        <v>47</v>
      </c>
      <c r="N91" s="110">
        <v>129</v>
      </c>
      <c r="O91" s="110">
        <v>2225</v>
      </c>
      <c r="P91" s="109">
        <v>44</v>
      </c>
      <c r="Q91" s="110">
        <v>235</v>
      </c>
      <c r="R91" s="110">
        <v>400</v>
      </c>
      <c r="S91" s="110">
        <v>636</v>
      </c>
      <c r="T91" s="110">
        <v>15126</v>
      </c>
    </row>
    <row r="92" spans="1:20" x14ac:dyDescent="0.45">
      <c r="A92" s="109">
        <v>41</v>
      </c>
      <c r="B92" s="110">
        <v>423</v>
      </c>
      <c r="C92" s="110">
        <v>343</v>
      </c>
      <c r="D92" s="110">
        <v>768</v>
      </c>
      <c r="E92" s="110">
        <v>9883</v>
      </c>
      <c r="F92" s="109">
        <v>42</v>
      </c>
      <c r="G92" s="110">
        <v>452</v>
      </c>
      <c r="H92" s="110">
        <v>251</v>
      </c>
      <c r="I92" s="110">
        <v>705</v>
      </c>
      <c r="J92" s="110">
        <v>8887</v>
      </c>
      <c r="K92" s="109">
        <v>51</v>
      </c>
      <c r="L92" s="110">
        <v>122</v>
      </c>
      <c r="M92" s="110">
        <v>52</v>
      </c>
      <c r="N92" s="110">
        <v>176</v>
      </c>
      <c r="O92" s="110">
        <v>2401</v>
      </c>
      <c r="P92" s="109">
        <v>43</v>
      </c>
      <c r="Q92" s="110">
        <v>252</v>
      </c>
      <c r="R92" s="110">
        <v>290</v>
      </c>
      <c r="S92" s="110">
        <v>543</v>
      </c>
      <c r="T92" s="110">
        <v>15669</v>
      </c>
    </row>
    <row r="93" spans="1:20" x14ac:dyDescent="0.45">
      <c r="A93" s="109">
        <v>40</v>
      </c>
      <c r="B93" s="110">
        <v>203</v>
      </c>
      <c r="C93" s="110">
        <v>141</v>
      </c>
      <c r="D93" s="110">
        <v>346</v>
      </c>
      <c r="E93" s="110">
        <v>10229</v>
      </c>
      <c r="F93" s="109">
        <v>41</v>
      </c>
      <c r="G93" s="110">
        <v>405</v>
      </c>
      <c r="H93" s="110">
        <v>275</v>
      </c>
      <c r="I93" s="110">
        <v>682</v>
      </c>
      <c r="J93" s="110">
        <v>9569</v>
      </c>
      <c r="K93" s="109">
        <v>50</v>
      </c>
      <c r="L93" s="110">
        <v>89</v>
      </c>
      <c r="M93" s="110">
        <v>57</v>
      </c>
      <c r="N93" s="110">
        <v>146</v>
      </c>
      <c r="O93" s="110">
        <v>2547</v>
      </c>
      <c r="P93" s="109">
        <v>42</v>
      </c>
      <c r="Q93" s="110">
        <v>487</v>
      </c>
      <c r="R93" s="110">
        <v>547</v>
      </c>
      <c r="S93" s="110">
        <v>1036</v>
      </c>
      <c r="T93" s="110">
        <v>16705</v>
      </c>
    </row>
    <row r="94" spans="1:20" x14ac:dyDescent="0.45">
      <c r="A94" s="109">
        <v>39</v>
      </c>
      <c r="B94" s="110">
        <v>562</v>
      </c>
      <c r="C94" s="110">
        <v>286</v>
      </c>
      <c r="D94" s="110">
        <v>850</v>
      </c>
      <c r="E94" s="110">
        <v>11079</v>
      </c>
      <c r="F94" s="109">
        <v>40</v>
      </c>
      <c r="G94" s="110">
        <v>180</v>
      </c>
      <c r="H94" s="110">
        <v>144</v>
      </c>
      <c r="I94" s="110">
        <v>325</v>
      </c>
      <c r="J94" s="110">
        <v>9894</v>
      </c>
      <c r="K94" s="109">
        <v>49</v>
      </c>
      <c r="L94" s="110">
        <v>123</v>
      </c>
      <c r="M94" s="110">
        <v>50</v>
      </c>
      <c r="N94" s="110">
        <v>173</v>
      </c>
      <c r="O94" s="110">
        <v>2720</v>
      </c>
      <c r="P94" s="109">
        <v>41</v>
      </c>
      <c r="Q94" s="110">
        <v>309</v>
      </c>
      <c r="R94" s="110">
        <v>304</v>
      </c>
      <c r="S94" s="110">
        <v>613</v>
      </c>
      <c r="T94" s="110">
        <v>17318</v>
      </c>
    </row>
    <row r="95" spans="1:20" x14ac:dyDescent="0.45">
      <c r="A95" s="109">
        <v>38</v>
      </c>
      <c r="B95" s="110">
        <v>321</v>
      </c>
      <c r="C95" s="110">
        <v>243</v>
      </c>
      <c r="D95" s="110">
        <v>564</v>
      </c>
      <c r="E95" s="110">
        <v>11643</v>
      </c>
      <c r="F95" s="109">
        <v>39</v>
      </c>
      <c r="G95" s="110">
        <v>534</v>
      </c>
      <c r="H95" s="110">
        <v>238</v>
      </c>
      <c r="I95" s="110">
        <v>775</v>
      </c>
      <c r="J95" s="110">
        <v>10669</v>
      </c>
      <c r="K95" s="109">
        <v>48</v>
      </c>
      <c r="L95" s="110">
        <v>127</v>
      </c>
      <c r="M95" s="110">
        <v>57</v>
      </c>
      <c r="N95" s="110">
        <v>184</v>
      </c>
      <c r="O95" s="110">
        <v>2904</v>
      </c>
      <c r="P95" s="109">
        <v>40</v>
      </c>
      <c r="Q95" s="110">
        <v>299</v>
      </c>
      <c r="R95" s="110">
        <v>262</v>
      </c>
      <c r="S95" s="110">
        <v>562</v>
      </c>
      <c r="T95" s="110">
        <v>17880</v>
      </c>
    </row>
    <row r="96" spans="1:20" x14ac:dyDescent="0.45">
      <c r="A96" s="109">
        <v>37</v>
      </c>
      <c r="B96" s="110">
        <v>125</v>
      </c>
      <c r="C96" s="110">
        <v>60</v>
      </c>
      <c r="D96" s="110">
        <v>186</v>
      </c>
      <c r="E96" s="110">
        <v>11829</v>
      </c>
      <c r="F96" s="109">
        <v>38</v>
      </c>
      <c r="G96" s="110">
        <v>358</v>
      </c>
      <c r="H96" s="110">
        <v>248</v>
      </c>
      <c r="I96" s="110">
        <v>609</v>
      </c>
      <c r="J96" s="110">
        <v>11278</v>
      </c>
      <c r="K96" s="109">
        <v>47</v>
      </c>
      <c r="L96" s="110">
        <v>111</v>
      </c>
      <c r="M96" s="110">
        <v>42</v>
      </c>
      <c r="N96" s="110">
        <v>153</v>
      </c>
      <c r="O96" s="110">
        <v>3057</v>
      </c>
      <c r="P96" s="109">
        <v>39</v>
      </c>
      <c r="Q96" s="110">
        <v>242</v>
      </c>
      <c r="R96" s="110">
        <v>189</v>
      </c>
      <c r="S96" s="110">
        <v>431</v>
      </c>
      <c r="T96" s="110">
        <v>18311</v>
      </c>
    </row>
    <row r="97" spans="1:20" x14ac:dyDescent="0.45">
      <c r="A97" s="109">
        <v>36</v>
      </c>
      <c r="B97" s="110">
        <v>302</v>
      </c>
      <c r="C97" s="110">
        <v>165</v>
      </c>
      <c r="D97" s="110">
        <v>467</v>
      </c>
      <c r="E97" s="110">
        <v>12296</v>
      </c>
      <c r="F97" s="109">
        <v>37</v>
      </c>
      <c r="G97" s="110">
        <v>57</v>
      </c>
      <c r="H97" s="110">
        <v>44</v>
      </c>
      <c r="I97" s="110">
        <v>102</v>
      </c>
      <c r="J97" s="110">
        <v>11380</v>
      </c>
      <c r="K97" s="109">
        <v>46</v>
      </c>
      <c r="L97" s="110">
        <v>128</v>
      </c>
      <c r="M97" s="110">
        <v>59</v>
      </c>
      <c r="N97" s="110">
        <v>187</v>
      </c>
      <c r="O97" s="110">
        <v>3244</v>
      </c>
      <c r="P97" s="109">
        <v>38</v>
      </c>
      <c r="Q97" s="110">
        <v>262</v>
      </c>
      <c r="R97" s="110">
        <v>212</v>
      </c>
      <c r="S97" s="110">
        <v>476</v>
      </c>
      <c r="T97" s="110">
        <v>18787</v>
      </c>
    </row>
    <row r="98" spans="1:20" x14ac:dyDescent="0.45">
      <c r="A98" s="109">
        <v>35</v>
      </c>
      <c r="B98" s="110">
        <v>65</v>
      </c>
      <c r="C98" s="110">
        <v>35</v>
      </c>
      <c r="D98" s="110">
        <v>100</v>
      </c>
      <c r="E98" s="110">
        <v>12396</v>
      </c>
      <c r="F98" s="109">
        <v>36</v>
      </c>
      <c r="G98" s="110">
        <v>76</v>
      </c>
      <c r="H98" s="110">
        <v>47</v>
      </c>
      <c r="I98" s="110">
        <v>125</v>
      </c>
      <c r="J98" s="110">
        <v>11505</v>
      </c>
      <c r="K98" s="109">
        <v>45</v>
      </c>
      <c r="L98" s="110">
        <v>98</v>
      </c>
      <c r="M98" s="110">
        <v>52</v>
      </c>
      <c r="N98" s="110">
        <v>151</v>
      </c>
      <c r="O98" s="110">
        <v>3395</v>
      </c>
      <c r="P98" s="109">
        <v>37</v>
      </c>
      <c r="Q98" s="110">
        <v>1388</v>
      </c>
      <c r="R98" s="110">
        <v>915</v>
      </c>
      <c r="S98" s="110">
        <v>2306</v>
      </c>
      <c r="T98" s="110">
        <v>21093</v>
      </c>
    </row>
    <row r="99" spans="1:20" x14ac:dyDescent="0.45">
      <c r="A99" s="109">
        <v>34</v>
      </c>
      <c r="B99" s="110">
        <v>79</v>
      </c>
      <c r="C99" s="110">
        <v>43</v>
      </c>
      <c r="D99" s="110">
        <v>123</v>
      </c>
      <c r="E99" s="110">
        <v>12519</v>
      </c>
      <c r="F99" s="109">
        <v>35</v>
      </c>
      <c r="G99" s="110">
        <v>67</v>
      </c>
      <c r="H99" s="110">
        <v>37</v>
      </c>
      <c r="I99" s="110">
        <v>104</v>
      </c>
      <c r="J99" s="110">
        <v>11609</v>
      </c>
      <c r="K99" s="109">
        <v>44</v>
      </c>
      <c r="L99" s="110">
        <v>147</v>
      </c>
      <c r="M99" s="110">
        <v>71</v>
      </c>
      <c r="N99" s="110">
        <v>220</v>
      </c>
      <c r="O99" s="110">
        <v>3615</v>
      </c>
      <c r="P99" s="109">
        <v>36</v>
      </c>
      <c r="Q99" s="110">
        <v>150</v>
      </c>
      <c r="R99" s="110">
        <v>135</v>
      </c>
      <c r="S99" s="110">
        <v>285</v>
      </c>
      <c r="T99" s="110">
        <v>21378</v>
      </c>
    </row>
    <row r="100" spans="1:20" x14ac:dyDescent="0.45">
      <c r="A100" s="109">
        <v>33</v>
      </c>
      <c r="B100" s="110">
        <v>21</v>
      </c>
      <c r="C100" s="110">
        <v>7</v>
      </c>
      <c r="D100" s="110">
        <v>28</v>
      </c>
      <c r="E100" s="110">
        <v>12547</v>
      </c>
      <c r="F100" s="109">
        <v>34</v>
      </c>
      <c r="G100" s="110">
        <v>42</v>
      </c>
      <c r="H100" s="110">
        <v>24</v>
      </c>
      <c r="I100" s="110">
        <v>66</v>
      </c>
      <c r="J100" s="110">
        <v>11675</v>
      </c>
      <c r="K100" s="109">
        <v>43</v>
      </c>
      <c r="L100" s="110">
        <v>167</v>
      </c>
      <c r="M100" s="110">
        <v>64</v>
      </c>
      <c r="N100" s="110">
        <v>233</v>
      </c>
      <c r="O100" s="110">
        <v>3848</v>
      </c>
      <c r="P100" s="109">
        <v>35</v>
      </c>
      <c r="Q100" s="110">
        <v>79</v>
      </c>
      <c r="R100" s="110">
        <v>60</v>
      </c>
      <c r="S100" s="110">
        <v>139</v>
      </c>
      <c r="T100" s="110">
        <v>21517</v>
      </c>
    </row>
    <row r="101" spans="1:20" x14ac:dyDescent="0.45">
      <c r="A101" s="109">
        <v>32</v>
      </c>
      <c r="B101" s="110">
        <v>20</v>
      </c>
      <c r="C101" s="110">
        <v>4</v>
      </c>
      <c r="D101" s="110">
        <v>24</v>
      </c>
      <c r="E101" s="110">
        <v>12571</v>
      </c>
      <c r="F101" s="109">
        <v>32</v>
      </c>
      <c r="G101" s="110">
        <v>8</v>
      </c>
      <c r="H101" s="110">
        <v>6</v>
      </c>
      <c r="I101" s="110">
        <v>14</v>
      </c>
      <c r="J101" s="110">
        <v>11689</v>
      </c>
      <c r="K101" s="109">
        <v>42</v>
      </c>
      <c r="L101" s="110">
        <v>190</v>
      </c>
      <c r="M101" s="110">
        <v>73</v>
      </c>
      <c r="N101" s="110">
        <v>263</v>
      </c>
      <c r="O101" s="110">
        <v>4111</v>
      </c>
      <c r="P101" s="109">
        <v>34</v>
      </c>
      <c r="Q101" s="110">
        <v>123</v>
      </c>
      <c r="R101" s="110">
        <v>76</v>
      </c>
      <c r="S101" s="110">
        <v>199</v>
      </c>
      <c r="T101" s="110">
        <v>21716</v>
      </c>
    </row>
    <row r="102" spans="1:20" x14ac:dyDescent="0.45">
      <c r="A102" s="109">
        <v>30</v>
      </c>
      <c r="B102" s="110">
        <v>4</v>
      </c>
      <c r="C102" s="110">
        <v>6</v>
      </c>
      <c r="D102" s="110">
        <v>10</v>
      </c>
      <c r="E102" s="110">
        <v>12581</v>
      </c>
      <c r="F102" s="109"/>
      <c r="G102" s="110"/>
      <c r="H102" s="110"/>
      <c r="I102" s="110"/>
      <c r="J102" s="110"/>
      <c r="K102" s="109">
        <v>41</v>
      </c>
      <c r="L102" s="110">
        <v>729</v>
      </c>
      <c r="M102" s="110">
        <v>227</v>
      </c>
      <c r="N102" s="110">
        <v>959</v>
      </c>
      <c r="O102" s="110">
        <v>5070</v>
      </c>
      <c r="P102" s="109">
        <v>33</v>
      </c>
      <c r="Q102" s="110">
        <v>61</v>
      </c>
      <c r="R102" s="110">
        <v>32</v>
      </c>
      <c r="S102" s="110">
        <v>93</v>
      </c>
      <c r="T102" s="110">
        <v>21809</v>
      </c>
    </row>
    <row r="103" spans="1:20" x14ac:dyDescent="0.45">
      <c r="A103" s="109"/>
      <c r="B103" s="110"/>
      <c r="C103" s="110"/>
      <c r="D103" s="110"/>
      <c r="E103" s="110"/>
      <c r="F103" s="109"/>
      <c r="G103" s="110"/>
      <c r="H103" s="110"/>
      <c r="I103" s="110"/>
      <c r="J103" s="110"/>
      <c r="K103" s="109">
        <v>40</v>
      </c>
      <c r="L103" s="110">
        <v>80</v>
      </c>
      <c r="M103" s="110">
        <v>46</v>
      </c>
      <c r="N103" s="110">
        <v>126</v>
      </c>
      <c r="O103" s="110">
        <v>5196</v>
      </c>
      <c r="P103" s="109">
        <v>32</v>
      </c>
      <c r="Q103" s="110">
        <v>78</v>
      </c>
      <c r="R103" s="110">
        <v>55</v>
      </c>
      <c r="S103" s="110">
        <v>134</v>
      </c>
      <c r="T103" s="110">
        <v>21943</v>
      </c>
    </row>
    <row r="104" spans="1:20" x14ac:dyDescent="0.45">
      <c r="A104" s="109"/>
      <c r="B104" s="110"/>
      <c r="C104" s="110"/>
      <c r="D104" s="110"/>
      <c r="E104" s="110"/>
      <c r="F104" s="109"/>
      <c r="G104" s="110"/>
      <c r="H104" s="110"/>
      <c r="I104" s="110"/>
      <c r="J104" s="110"/>
      <c r="K104" s="109">
        <v>39</v>
      </c>
      <c r="L104" s="110">
        <v>90</v>
      </c>
      <c r="M104" s="110">
        <v>30</v>
      </c>
      <c r="N104" s="110">
        <v>120</v>
      </c>
      <c r="O104" s="110">
        <v>5316</v>
      </c>
      <c r="P104" s="109">
        <v>30</v>
      </c>
      <c r="Q104" s="110">
        <v>13</v>
      </c>
      <c r="R104" s="110">
        <v>11</v>
      </c>
      <c r="S104" s="110">
        <v>24</v>
      </c>
      <c r="T104" s="110">
        <v>21967</v>
      </c>
    </row>
    <row r="105" spans="1:20" x14ac:dyDescent="0.45">
      <c r="A105" s="109"/>
      <c r="B105" s="110"/>
      <c r="C105" s="110"/>
      <c r="D105" s="110"/>
      <c r="E105" s="110"/>
      <c r="F105" s="109"/>
      <c r="G105" s="110"/>
      <c r="H105" s="110"/>
      <c r="I105" s="110"/>
      <c r="J105" s="110"/>
      <c r="K105" s="109">
        <v>38</v>
      </c>
      <c r="L105" s="110">
        <v>163</v>
      </c>
      <c r="M105" s="110">
        <v>69</v>
      </c>
      <c r="N105" s="110">
        <v>232</v>
      </c>
      <c r="O105" s="110">
        <v>5548</v>
      </c>
      <c r="P105" s="109"/>
      <c r="Q105" s="110"/>
      <c r="R105" s="110"/>
      <c r="S105" s="110"/>
      <c r="T105" s="110"/>
    </row>
    <row r="106" spans="1:20" x14ac:dyDescent="0.45">
      <c r="A106" s="109"/>
      <c r="B106" s="110"/>
      <c r="C106" s="110"/>
      <c r="D106" s="110"/>
      <c r="E106" s="110"/>
      <c r="F106" s="109"/>
      <c r="G106" s="110"/>
      <c r="H106" s="110"/>
      <c r="I106" s="110"/>
      <c r="J106" s="110"/>
      <c r="K106" s="109">
        <v>37</v>
      </c>
      <c r="L106" s="110">
        <v>63</v>
      </c>
      <c r="M106" s="110">
        <v>19</v>
      </c>
      <c r="N106" s="110">
        <v>82</v>
      </c>
      <c r="O106" s="110">
        <v>5630</v>
      </c>
      <c r="P106" s="109"/>
      <c r="Q106" s="110"/>
      <c r="R106" s="110"/>
      <c r="S106" s="110"/>
      <c r="T106" s="110"/>
    </row>
    <row r="107" spans="1:20" x14ac:dyDescent="0.45">
      <c r="A107" s="109"/>
      <c r="B107" s="110"/>
      <c r="C107" s="110"/>
      <c r="D107" s="110"/>
      <c r="E107" s="110"/>
      <c r="F107" s="109"/>
      <c r="G107" s="110"/>
      <c r="H107" s="110"/>
      <c r="I107" s="110"/>
      <c r="J107" s="110"/>
      <c r="K107" s="112">
        <v>36</v>
      </c>
      <c r="L107" s="111">
        <v>21</v>
      </c>
      <c r="M107" s="111">
        <v>12</v>
      </c>
      <c r="N107" s="111">
        <v>33</v>
      </c>
      <c r="O107" s="110">
        <v>5663</v>
      </c>
      <c r="P107" s="109"/>
      <c r="Q107" s="110"/>
      <c r="R107" s="110"/>
      <c r="S107" s="110"/>
      <c r="T107" s="110"/>
    </row>
    <row r="108" spans="1:20" x14ac:dyDescent="0.45">
      <c r="A108" s="109"/>
      <c r="B108" s="110"/>
      <c r="C108" s="110"/>
      <c r="D108" s="110"/>
      <c r="E108" s="110"/>
      <c r="F108" s="109"/>
      <c r="G108" s="110"/>
      <c r="H108" s="110"/>
      <c r="I108" s="110"/>
      <c r="J108" s="110"/>
      <c r="K108" s="112">
        <v>35</v>
      </c>
      <c r="L108" s="111">
        <v>30</v>
      </c>
      <c r="M108" s="111">
        <v>10</v>
      </c>
      <c r="N108" s="111">
        <v>40</v>
      </c>
      <c r="O108" s="110">
        <v>5703</v>
      </c>
      <c r="P108" s="109"/>
      <c r="Q108" s="110"/>
      <c r="R108" s="110"/>
      <c r="S108" s="110"/>
      <c r="T108" s="110"/>
    </row>
    <row r="109" spans="1:20" x14ac:dyDescent="0.45">
      <c r="A109" s="109"/>
      <c r="B109" s="110"/>
      <c r="C109" s="110"/>
      <c r="D109" s="110"/>
      <c r="E109" s="110"/>
      <c r="F109" s="109"/>
      <c r="G109" s="110"/>
      <c r="H109" s="110"/>
      <c r="I109" s="110"/>
      <c r="J109" s="110"/>
      <c r="K109" s="112">
        <v>34</v>
      </c>
      <c r="L109" s="111">
        <v>22</v>
      </c>
      <c r="M109" s="111">
        <v>11</v>
      </c>
      <c r="N109" s="111">
        <v>33</v>
      </c>
      <c r="O109" s="110">
        <v>5736</v>
      </c>
      <c r="P109" s="109"/>
      <c r="Q109" s="110"/>
      <c r="R109" s="110"/>
      <c r="S109" s="110"/>
      <c r="T109" s="110"/>
    </row>
    <row r="110" spans="1:20" x14ac:dyDescent="0.45">
      <c r="A110" s="112"/>
      <c r="B110" s="111"/>
      <c r="C110" s="111"/>
      <c r="D110" s="111"/>
      <c r="E110" s="111"/>
      <c r="F110" s="109"/>
      <c r="G110" s="110"/>
      <c r="H110" s="110"/>
      <c r="I110" s="110"/>
      <c r="J110" s="110"/>
      <c r="K110" s="112">
        <v>32</v>
      </c>
      <c r="L110" s="111">
        <v>12</v>
      </c>
      <c r="M110" s="111">
        <v>5</v>
      </c>
      <c r="N110" s="111">
        <v>17</v>
      </c>
      <c r="O110" s="110">
        <v>5753</v>
      </c>
      <c r="P110" s="109"/>
      <c r="Q110" s="110"/>
      <c r="R110" s="110"/>
      <c r="S110" s="110"/>
      <c r="T110" s="110"/>
    </row>
    <row r="111" spans="1:20" ht="17.5" thickBot="1" x14ac:dyDescent="0.5">
      <c r="A111" s="8"/>
      <c r="B111" s="9"/>
      <c r="C111" s="9"/>
      <c r="D111" s="2"/>
      <c r="F111" s="8"/>
      <c r="G111" s="9"/>
      <c r="H111" s="9"/>
      <c r="I111" s="2"/>
      <c r="K111" s="8"/>
      <c r="L111" s="9"/>
      <c r="M111" s="9"/>
      <c r="N111" s="2"/>
      <c r="P111" s="8"/>
      <c r="Q111" s="9"/>
      <c r="R111" s="9"/>
      <c r="S111" s="2"/>
    </row>
    <row r="118" spans="1:5" ht="17.5" thickBot="1" x14ac:dyDescent="0.5"/>
    <row r="119" spans="1:5" x14ac:dyDescent="0.45">
      <c r="A119" s="12" t="s">
        <v>16</v>
      </c>
      <c r="B119" s="13"/>
      <c r="C119" s="13"/>
      <c r="D119" s="14"/>
    </row>
    <row r="120" spans="1:5" x14ac:dyDescent="0.45">
      <c r="A120" s="6" t="s">
        <v>1</v>
      </c>
      <c r="B120" s="1"/>
      <c r="C120" s="1"/>
      <c r="D120" s="7" t="s">
        <v>0</v>
      </c>
    </row>
    <row r="121" spans="1:5" x14ac:dyDescent="0.45">
      <c r="A121" s="109">
        <v>69</v>
      </c>
      <c r="B121" s="110">
        <v>1097</v>
      </c>
      <c r="C121" s="110">
        <v>1396</v>
      </c>
      <c r="D121" s="110">
        <v>2494</v>
      </c>
      <c r="E121" s="110">
        <v>2494</v>
      </c>
    </row>
    <row r="122" spans="1:5" x14ac:dyDescent="0.45">
      <c r="A122" s="109">
        <v>67</v>
      </c>
      <c r="B122" s="110">
        <v>509</v>
      </c>
      <c r="C122" s="110">
        <v>763</v>
      </c>
      <c r="D122" s="110">
        <v>1274</v>
      </c>
      <c r="E122" s="110">
        <v>3768</v>
      </c>
    </row>
    <row r="123" spans="1:5" x14ac:dyDescent="0.45">
      <c r="A123" s="109">
        <v>66</v>
      </c>
      <c r="B123" s="110">
        <v>1019</v>
      </c>
      <c r="C123" s="110">
        <v>1675</v>
      </c>
      <c r="D123" s="110">
        <v>2697</v>
      </c>
      <c r="E123" s="110">
        <v>6465</v>
      </c>
    </row>
    <row r="124" spans="1:5" x14ac:dyDescent="0.45">
      <c r="A124" s="109">
        <v>65</v>
      </c>
      <c r="B124" s="110">
        <v>955</v>
      </c>
      <c r="C124" s="110">
        <v>1913</v>
      </c>
      <c r="D124" s="110">
        <v>2869</v>
      </c>
      <c r="E124" s="110">
        <v>9334</v>
      </c>
    </row>
    <row r="125" spans="1:5" x14ac:dyDescent="0.45">
      <c r="A125" s="109">
        <v>64</v>
      </c>
      <c r="B125" s="110">
        <v>401</v>
      </c>
      <c r="C125" s="110">
        <v>762</v>
      </c>
      <c r="D125" s="110">
        <v>1164</v>
      </c>
      <c r="E125" s="110">
        <v>10498</v>
      </c>
    </row>
    <row r="126" spans="1:5" x14ac:dyDescent="0.45">
      <c r="A126" s="109">
        <v>63</v>
      </c>
      <c r="B126" s="110">
        <v>721</v>
      </c>
      <c r="C126" s="110">
        <v>1379</v>
      </c>
      <c r="D126" s="110">
        <v>2102</v>
      </c>
      <c r="E126" s="110">
        <v>12600</v>
      </c>
    </row>
    <row r="127" spans="1:5" x14ac:dyDescent="0.45">
      <c r="A127" s="109">
        <v>62</v>
      </c>
      <c r="B127" s="110">
        <v>1400</v>
      </c>
      <c r="C127" s="110">
        <v>2609</v>
      </c>
      <c r="D127" s="110">
        <v>4016</v>
      </c>
      <c r="E127" s="110">
        <v>16616</v>
      </c>
    </row>
    <row r="128" spans="1:5" x14ac:dyDescent="0.45">
      <c r="A128" s="109">
        <v>61</v>
      </c>
      <c r="B128" s="110">
        <v>1080</v>
      </c>
      <c r="C128" s="110">
        <v>2119</v>
      </c>
      <c r="D128" s="110">
        <v>3200</v>
      </c>
      <c r="E128" s="110">
        <v>19816</v>
      </c>
    </row>
    <row r="129" spans="1:5" x14ac:dyDescent="0.45">
      <c r="A129" s="109">
        <v>60</v>
      </c>
      <c r="B129" s="110">
        <v>678</v>
      </c>
      <c r="C129" s="110">
        <v>1489</v>
      </c>
      <c r="D129" s="110">
        <v>2171</v>
      </c>
      <c r="E129" s="110">
        <v>21987</v>
      </c>
    </row>
    <row r="130" spans="1:5" x14ac:dyDescent="0.45">
      <c r="A130" s="109">
        <v>59</v>
      </c>
      <c r="B130" s="110">
        <v>611</v>
      </c>
      <c r="C130" s="110">
        <v>1083</v>
      </c>
      <c r="D130" s="110">
        <v>1696</v>
      </c>
      <c r="E130" s="110">
        <v>23683</v>
      </c>
    </row>
    <row r="131" spans="1:5" x14ac:dyDescent="0.45">
      <c r="A131" s="109">
        <v>58</v>
      </c>
      <c r="B131" s="110">
        <v>1745</v>
      </c>
      <c r="C131" s="110">
        <v>3586</v>
      </c>
      <c r="D131" s="110">
        <v>5336</v>
      </c>
      <c r="E131" s="110">
        <v>29019</v>
      </c>
    </row>
    <row r="132" spans="1:5" x14ac:dyDescent="0.45">
      <c r="A132" s="109">
        <v>57</v>
      </c>
      <c r="B132" s="110">
        <v>783</v>
      </c>
      <c r="C132" s="110">
        <v>1433</v>
      </c>
      <c r="D132" s="110">
        <v>2221</v>
      </c>
      <c r="E132" s="110">
        <v>31240</v>
      </c>
    </row>
    <row r="133" spans="1:5" x14ac:dyDescent="0.45">
      <c r="A133" s="109">
        <v>56</v>
      </c>
      <c r="B133" s="110">
        <v>1038</v>
      </c>
      <c r="C133" s="110">
        <v>2133</v>
      </c>
      <c r="D133" s="110">
        <v>3174</v>
      </c>
      <c r="E133" s="110">
        <v>34414</v>
      </c>
    </row>
    <row r="134" spans="1:5" x14ac:dyDescent="0.45">
      <c r="A134" s="109">
        <v>55</v>
      </c>
      <c r="B134" s="110">
        <v>596</v>
      </c>
      <c r="C134" s="110">
        <v>1141</v>
      </c>
      <c r="D134" s="110">
        <v>1743</v>
      </c>
      <c r="E134" s="110">
        <v>36157</v>
      </c>
    </row>
    <row r="135" spans="1:5" x14ac:dyDescent="0.45">
      <c r="A135" s="109">
        <v>54</v>
      </c>
      <c r="B135" s="110">
        <v>1940</v>
      </c>
      <c r="C135" s="110">
        <v>3516</v>
      </c>
      <c r="D135" s="110">
        <v>5460</v>
      </c>
      <c r="E135" s="110">
        <v>41617</v>
      </c>
    </row>
    <row r="136" spans="1:5" x14ac:dyDescent="0.45">
      <c r="A136" s="109">
        <v>53</v>
      </c>
      <c r="B136" s="110">
        <v>757</v>
      </c>
      <c r="C136" s="110">
        <v>1219</v>
      </c>
      <c r="D136" s="110">
        <v>1979</v>
      </c>
      <c r="E136" s="110">
        <v>43596</v>
      </c>
    </row>
    <row r="137" spans="1:5" x14ac:dyDescent="0.45">
      <c r="A137" s="109">
        <v>52</v>
      </c>
      <c r="B137" s="110">
        <v>993</v>
      </c>
      <c r="C137" s="110">
        <v>1785</v>
      </c>
      <c r="D137" s="110">
        <v>2781</v>
      </c>
      <c r="E137" s="110">
        <v>46377</v>
      </c>
    </row>
    <row r="138" spans="1:5" x14ac:dyDescent="0.45">
      <c r="A138" s="109">
        <v>51</v>
      </c>
      <c r="B138" s="110">
        <v>791</v>
      </c>
      <c r="C138" s="110">
        <v>1429</v>
      </c>
      <c r="D138" s="110">
        <v>2223</v>
      </c>
      <c r="E138" s="110">
        <v>48600</v>
      </c>
    </row>
    <row r="139" spans="1:5" x14ac:dyDescent="0.45">
      <c r="A139" s="109">
        <v>50</v>
      </c>
      <c r="B139" s="110">
        <v>1765</v>
      </c>
      <c r="C139" s="110">
        <v>3199</v>
      </c>
      <c r="D139" s="110">
        <v>4976</v>
      </c>
      <c r="E139" s="110">
        <v>53576</v>
      </c>
    </row>
    <row r="140" spans="1:5" x14ac:dyDescent="0.45">
      <c r="A140" s="109">
        <v>49</v>
      </c>
      <c r="B140" s="110">
        <v>843</v>
      </c>
      <c r="C140" s="110">
        <v>1281</v>
      </c>
      <c r="D140" s="110">
        <v>2126</v>
      </c>
      <c r="E140" s="110">
        <v>55702</v>
      </c>
    </row>
    <row r="141" spans="1:5" x14ac:dyDescent="0.45">
      <c r="A141" s="109">
        <v>48</v>
      </c>
      <c r="B141" s="110">
        <v>1041</v>
      </c>
      <c r="C141" s="110">
        <v>1573</v>
      </c>
      <c r="D141" s="110">
        <v>2618</v>
      </c>
      <c r="E141" s="110">
        <v>58320</v>
      </c>
    </row>
    <row r="142" spans="1:5" x14ac:dyDescent="0.45">
      <c r="A142" s="109">
        <v>47</v>
      </c>
      <c r="B142" s="110">
        <v>949</v>
      </c>
      <c r="C142" s="110">
        <v>1477</v>
      </c>
      <c r="D142" s="110">
        <v>2431</v>
      </c>
      <c r="E142" s="110">
        <v>60751</v>
      </c>
    </row>
    <row r="143" spans="1:5" x14ac:dyDescent="0.45">
      <c r="A143" s="109">
        <v>46</v>
      </c>
      <c r="B143" s="110">
        <v>1901</v>
      </c>
      <c r="C143" s="110">
        <v>2932</v>
      </c>
      <c r="D143" s="110">
        <v>4837</v>
      </c>
      <c r="E143" s="110">
        <v>65588</v>
      </c>
    </row>
    <row r="144" spans="1:5" x14ac:dyDescent="0.45">
      <c r="A144" s="109">
        <v>45</v>
      </c>
      <c r="B144" s="110">
        <v>886</v>
      </c>
      <c r="C144" s="110">
        <v>1322</v>
      </c>
      <c r="D144" s="110">
        <v>2212</v>
      </c>
      <c r="E144" s="110">
        <v>67800</v>
      </c>
    </row>
    <row r="145" spans="1:5" x14ac:dyDescent="0.45">
      <c r="A145" s="109">
        <v>44</v>
      </c>
      <c r="B145" s="110">
        <v>1077</v>
      </c>
      <c r="C145" s="110">
        <v>1526</v>
      </c>
      <c r="D145" s="110">
        <v>2608</v>
      </c>
      <c r="E145" s="110">
        <v>70408</v>
      </c>
    </row>
    <row r="146" spans="1:5" x14ac:dyDescent="0.45">
      <c r="A146" s="109">
        <v>43</v>
      </c>
      <c r="B146" s="110">
        <v>944</v>
      </c>
      <c r="C146" s="110">
        <v>1407</v>
      </c>
      <c r="D146" s="110">
        <v>2355</v>
      </c>
      <c r="E146" s="110">
        <v>72763</v>
      </c>
    </row>
    <row r="147" spans="1:5" x14ac:dyDescent="0.45">
      <c r="A147" s="109">
        <v>42</v>
      </c>
      <c r="B147" s="110">
        <v>2058</v>
      </c>
      <c r="C147" s="110">
        <v>2672</v>
      </c>
      <c r="D147" s="110">
        <v>4745</v>
      </c>
      <c r="E147" s="110">
        <v>77508</v>
      </c>
    </row>
    <row r="148" spans="1:5" x14ac:dyDescent="0.45">
      <c r="A148" s="109">
        <v>41</v>
      </c>
      <c r="B148" s="110">
        <v>987</v>
      </c>
      <c r="C148" s="110">
        <v>1139</v>
      </c>
      <c r="D148" s="110">
        <v>2129</v>
      </c>
      <c r="E148" s="110">
        <v>79637</v>
      </c>
    </row>
    <row r="149" spans="1:5" x14ac:dyDescent="0.45">
      <c r="A149" s="109">
        <v>40</v>
      </c>
      <c r="B149" s="110">
        <v>1058</v>
      </c>
      <c r="C149" s="110">
        <v>1251</v>
      </c>
      <c r="D149" s="110">
        <v>2310</v>
      </c>
      <c r="E149" s="110">
        <v>81947</v>
      </c>
    </row>
    <row r="150" spans="1:5" x14ac:dyDescent="0.45">
      <c r="A150" s="109">
        <v>39</v>
      </c>
      <c r="B150" s="110">
        <v>1056</v>
      </c>
      <c r="C150" s="110">
        <v>1205</v>
      </c>
      <c r="D150" s="110">
        <v>2267</v>
      </c>
      <c r="E150" s="110">
        <v>84214</v>
      </c>
    </row>
    <row r="151" spans="1:5" x14ac:dyDescent="0.45">
      <c r="A151" s="109">
        <v>38</v>
      </c>
      <c r="B151" s="110">
        <v>4552</v>
      </c>
      <c r="C151" s="110">
        <v>3660</v>
      </c>
      <c r="D151" s="110">
        <v>8233</v>
      </c>
      <c r="E151" s="110">
        <v>92447</v>
      </c>
    </row>
    <row r="152" spans="1:5" x14ac:dyDescent="0.45">
      <c r="A152" s="109">
        <v>37</v>
      </c>
      <c r="B152" s="110">
        <v>863</v>
      </c>
      <c r="C152" s="110">
        <v>818</v>
      </c>
      <c r="D152" s="110">
        <v>1686</v>
      </c>
      <c r="E152" s="110">
        <v>94133</v>
      </c>
    </row>
    <row r="153" spans="1:5" x14ac:dyDescent="0.45">
      <c r="A153" s="109">
        <v>36</v>
      </c>
      <c r="B153" s="110">
        <v>886</v>
      </c>
      <c r="C153" s="110">
        <v>778</v>
      </c>
      <c r="D153" s="110">
        <v>1667</v>
      </c>
      <c r="E153" s="110">
        <v>95800</v>
      </c>
    </row>
    <row r="154" spans="1:5" x14ac:dyDescent="0.45">
      <c r="A154" s="109">
        <v>35</v>
      </c>
      <c r="B154" s="110">
        <v>708</v>
      </c>
      <c r="C154" s="110">
        <v>554</v>
      </c>
      <c r="D154" s="110">
        <v>1265</v>
      </c>
      <c r="E154" s="110">
        <v>97065</v>
      </c>
    </row>
    <row r="155" spans="1:5" x14ac:dyDescent="0.45">
      <c r="A155" s="109">
        <v>34</v>
      </c>
      <c r="B155" s="110">
        <v>2317</v>
      </c>
      <c r="C155" s="110">
        <v>1778</v>
      </c>
      <c r="D155" s="110">
        <v>4097</v>
      </c>
      <c r="E155" s="110">
        <v>101162</v>
      </c>
    </row>
    <row r="156" spans="1:5" x14ac:dyDescent="0.45">
      <c r="A156" s="109">
        <v>33</v>
      </c>
      <c r="B156" s="110">
        <v>357</v>
      </c>
      <c r="C156" s="110">
        <v>285</v>
      </c>
      <c r="D156" s="110">
        <v>642</v>
      </c>
      <c r="E156" s="110">
        <v>101804</v>
      </c>
    </row>
    <row r="157" spans="1:5" x14ac:dyDescent="0.45">
      <c r="A157" s="109">
        <v>32</v>
      </c>
      <c r="B157" s="110">
        <v>223</v>
      </c>
      <c r="C157" s="110">
        <v>192</v>
      </c>
      <c r="D157" s="110">
        <v>416</v>
      </c>
      <c r="E157" s="110">
        <v>102220</v>
      </c>
    </row>
    <row r="158" spans="1:5" x14ac:dyDescent="0.45">
      <c r="A158" s="109">
        <v>31</v>
      </c>
      <c r="B158" s="110">
        <v>109</v>
      </c>
      <c r="C158" s="110">
        <v>67</v>
      </c>
      <c r="D158" s="110">
        <v>176</v>
      </c>
      <c r="E158" s="110">
        <v>102396</v>
      </c>
    </row>
    <row r="159" spans="1:5" x14ac:dyDescent="0.45">
      <c r="A159" s="109">
        <v>30</v>
      </c>
      <c r="B159" s="110">
        <v>126</v>
      </c>
      <c r="C159" s="110">
        <v>98</v>
      </c>
      <c r="D159" s="110">
        <v>224</v>
      </c>
      <c r="E159" s="110">
        <v>102620</v>
      </c>
    </row>
    <row r="160" spans="1:5" x14ac:dyDescent="0.45">
      <c r="A160" s="109">
        <v>29</v>
      </c>
      <c r="B160" s="110">
        <v>48</v>
      </c>
      <c r="C160" s="110">
        <v>35</v>
      </c>
      <c r="D160" s="110">
        <v>83</v>
      </c>
      <c r="E160" s="110">
        <v>102703</v>
      </c>
    </row>
    <row r="161" spans="1:19" x14ac:dyDescent="0.45">
      <c r="A161" s="6"/>
      <c r="B161" s="1"/>
      <c r="C161" s="1"/>
      <c r="D161" s="7"/>
    </row>
    <row r="162" spans="1:19" x14ac:dyDescent="0.45">
      <c r="A162" s="6"/>
      <c r="B162" s="1"/>
      <c r="C162" s="1"/>
      <c r="D162" s="7"/>
    </row>
    <row r="163" spans="1:19" x14ac:dyDescent="0.45">
      <c r="A163" s="6"/>
      <c r="B163" s="1"/>
      <c r="C163" s="1"/>
      <c r="D163" s="7"/>
    </row>
    <row r="164" spans="1:19" x14ac:dyDescent="0.45">
      <c r="A164" s="6"/>
      <c r="B164" s="1"/>
      <c r="C164" s="1"/>
      <c r="D164" s="7"/>
    </row>
    <row r="165" spans="1:19" x14ac:dyDescent="0.45">
      <c r="A165" s="6"/>
      <c r="B165" s="1"/>
      <c r="C165" s="1"/>
      <c r="D165" s="7"/>
    </row>
    <row r="166" spans="1:19" x14ac:dyDescent="0.45">
      <c r="A166" s="6"/>
      <c r="B166" s="1"/>
      <c r="C166" s="1"/>
      <c r="D166" s="7"/>
    </row>
    <row r="167" spans="1:19" x14ac:dyDescent="0.45">
      <c r="A167" s="6"/>
      <c r="B167" s="1"/>
      <c r="C167" s="1"/>
      <c r="D167" s="7"/>
    </row>
    <row r="168" spans="1:19" ht="17.5" thickBot="1" x14ac:dyDescent="0.5">
      <c r="A168" s="8"/>
      <c r="B168" s="9"/>
      <c r="C168" s="9"/>
      <c r="D168" s="2"/>
    </row>
    <row r="174" spans="1:19" ht="17.5" thickBot="1" x14ac:dyDescent="0.5"/>
    <row r="175" spans="1:19" x14ac:dyDescent="0.45">
      <c r="A175" s="12" t="s">
        <v>18</v>
      </c>
      <c r="B175" s="13"/>
      <c r="C175" s="13"/>
      <c r="D175" s="14"/>
      <c r="F175" s="12" t="s">
        <v>17</v>
      </c>
      <c r="G175" s="13"/>
      <c r="H175" s="13"/>
      <c r="I175" s="14"/>
      <c r="K175" s="12" t="s">
        <v>19</v>
      </c>
      <c r="L175" s="13"/>
      <c r="M175" s="13"/>
      <c r="N175" s="14"/>
      <c r="P175" s="12" t="s">
        <v>20</v>
      </c>
      <c r="Q175" s="13"/>
      <c r="R175" s="13"/>
      <c r="S175" s="14"/>
    </row>
    <row r="176" spans="1:19" x14ac:dyDescent="0.45">
      <c r="A176" s="6" t="s">
        <v>7</v>
      </c>
      <c r="B176" s="1"/>
      <c r="C176" s="1"/>
      <c r="D176" s="7" t="s">
        <v>8</v>
      </c>
      <c r="F176" s="6" t="s">
        <v>7</v>
      </c>
      <c r="G176" s="1"/>
      <c r="H176" s="1"/>
      <c r="I176" s="7" t="s">
        <v>8</v>
      </c>
      <c r="K176" s="6" t="s">
        <v>7</v>
      </c>
      <c r="L176" s="1"/>
      <c r="M176" s="1"/>
      <c r="N176" s="7" t="s">
        <v>8</v>
      </c>
      <c r="P176" s="6" t="s">
        <v>7</v>
      </c>
      <c r="Q176" s="1"/>
      <c r="R176" s="1"/>
      <c r="S176" s="7" t="s">
        <v>8</v>
      </c>
    </row>
    <row r="177" spans="1:19" x14ac:dyDescent="0.45">
      <c r="A177" s="109">
        <v>78</v>
      </c>
      <c r="B177" s="110">
        <v>134</v>
      </c>
      <c r="C177" s="110">
        <v>8</v>
      </c>
      <c r="D177" s="110">
        <v>142</v>
      </c>
      <c r="E177" s="110">
        <v>142</v>
      </c>
      <c r="F177" s="109">
        <v>72</v>
      </c>
      <c r="G177" s="110">
        <v>692</v>
      </c>
      <c r="H177" s="110">
        <v>254</v>
      </c>
      <c r="I177" s="110">
        <v>946</v>
      </c>
      <c r="J177" s="110">
        <v>946</v>
      </c>
      <c r="K177" s="109">
        <v>75</v>
      </c>
      <c r="L177" s="110">
        <v>139</v>
      </c>
      <c r="M177" s="110">
        <v>73</v>
      </c>
      <c r="N177" s="110">
        <v>213</v>
      </c>
      <c r="O177" s="110">
        <v>213</v>
      </c>
      <c r="P177" s="109">
        <v>70</v>
      </c>
      <c r="Q177" s="110">
        <v>1456</v>
      </c>
      <c r="R177" s="110">
        <v>464</v>
      </c>
      <c r="S177" s="110">
        <v>1922</v>
      </c>
    </row>
    <row r="178" spans="1:19" x14ac:dyDescent="0.45">
      <c r="A178" s="109">
        <v>76</v>
      </c>
      <c r="B178" s="110">
        <v>87</v>
      </c>
      <c r="C178" s="110">
        <v>6</v>
      </c>
      <c r="D178" s="110">
        <v>93</v>
      </c>
      <c r="E178" s="110">
        <v>235</v>
      </c>
      <c r="F178" s="109">
        <v>70</v>
      </c>
      <c r="G178" s="110">
        <v>236</v>
      </c>
      <c r="H178" s="110">
        <v>98</v>
      </c>
      <c r="I178" s="110">
        <v>336</v>
      </c>
      <c r="J178" s="110">
        <v>1282</v>
      </c>
      <c r="K178" s="109">
        <v>73</v>
      </c>
      <c r="L178" s="110">
        <v>113</v>
      </c>
      <c r="M178" s="110">
        <v>96</v>
      </c>
      <c r="N178" s="110">
        <v>209</v>
      </c>
      <c r="O178" s="110">
        <v>422</v>
      </c>
      <c r="P178" s="109">
        <v>69</v>
      </c>
      <c r="Q178" s="110">
        <v>520</v>
      </c>
      <c r="R178" s="110">
        <v>192</v>
      </c>
      <c r="S178" s="110">
        <v>712</v>
      </c>
    </row>
    <row r="179" spans="1:19" x14ac:dyDescent="0.45">
      <c r="A179" s="109">
        <v>75</v>
      </c>
      <c r="B179" s="110">
        <v>259</v>
      </c>
      <c r="C179" s="110">
        <v>30</v>
      </c>
      <c r="D179" s="110">
        <v>289</v>
      </c>
      <c r="E179" s="110">
        <v>524</v>
      </c>
      <c r="F179" s="109">
        <v>69</v>
      </c>
      <c r="G179" s="110">
        <v>367</v>
      </c>
      <c r="H179" s="110">
        <v>192</v>
      </c>
      <c r="I179" s="110">
        <v>560</v>
      </c>
      <c r="J179" s="110">
        <v>1842</v>
      </c>
      <c r="K179" s="109">
        <v>72</v>
      </c>
      <c r="L179" s="110">
        <v>408</v>
      </c>
      <c r="M179" s="110">
        <v>234</v>
      </c>
      <c r="N179" s="110">
        <v>643</v>
      </c>
      <c r="O179" s="110">
        <v>1065</v>
      </c>
      <c r="P179" s="109">
        <v>68</v>
      </c>
      <c r="Q179" s="110">
        <v>1447</v>
      </c>
      <c r="R179" s="110">
        <v>746</v>
      </c>
      <c r="S179" s="110">
        <v>2193</v>
      </c>
    </row>
    <row r="180" spans="1:19" x14ac:dyDescent="0.45">
      <c r="A180" s="109">
        <v>74</v>
      </c>
      <c r="B180" s="110">
        <v>34</v>
      </c>
      <c r="C180" s="110">
        <v>8</v>
      </c>
      <c r="D180" s="110">
        <v>42</v>
      </c>
      <c r="E180" s="110">
        <v>566</v>
      </c>
      <c r="F180" s="109">
        <v>68</v>
      </c>
      <c r="G180" s="110">
        <v>319</v>
      </c>
      <c r="H180" s="110">
        <v>159</v>
      </c>
      <c r="I180" s="110">
        <v>478</v>
      </c>
      <c r="J180" s="110">
        <v>2320</v>
      </c>
      <c r="K180" s="109">
        <v>71</v>
      </c>
      <c r="L180" s="110">
        <v>74</v>
      </c>
      <c r="M180" s="110">
        <v>74</v>
      </c>
      <c r="N180" s="110">
        <v>148</v>
      </c>
      <c r="O180" s="110">
        <v>1213</v>
      </c>
      <c r="P180" s="109">
        <v>67</v>
      </c>
      <c r="Q180" s="110">
        <v>151</v>
      </c>
      <c r="R180" s="110">
        <v>49</v>
      </c>
      <c r="S180" s="110">
        <v>200</v>
      </c>
    </row>
    <row r="181" spans="1:19" x14ac:dyDescent="0.45">
      <c r="A181" s="109">
        <v>73</v>
      </c>
      <c r="B181" s="110">
        <v>243</v>
      </c>
      <c r="C181" s="110">
        <v>34</v>
      </c>
      <c r="D181" s="110">
        <v>277</v>
      </c>
      <c r="E181" s="110">
        <v>843</v>
      </c>
      <c r="F181" s="109">
        <v>67</v>
      </c>
      <c r="G181" s="110">
        <v>340</v>
      </c>
      <c r="H181" s="110">
        <v>176</v>
      </c>
      <c r="I181" s="110">
        <v>517</v>
      </c>
      <c r="J181" s="110">
        <v>2837</v>
      </c>
      <c r="K181" s="109">
        <v>70</v>
      </c>
      <c r="L181" s="110">
        <v>550</v>
      </c>
      <c r="M181" s="110">
        <v>324</v>
      </c>
      <c r="N181" s="110">
        <v>874</v>
      </c>
      <c r="O181" s="110">
        <v>2087</v>
      </c>
      <c r="P181" s="109">
        <v>66</v>
      </c>
      <c r="Q181" s="110">
        <v>2101</v>
      </c>
      <c r="R181" s="110">
        <v>1196</v>
      </c>
      <c r="S181" s="110">
        <v>3301</v>
      </c>
    </row>
    <row r="182" spans="1:19" x14ac:dyDescent="0.45">
      <c r="A182" s="109">
        <v>72</v>
      </c>
      <c r="B182" s="110">
        <v>322</v>
      </c>
      <c r="C182" s="110">
        <v>35</v>
      </c>
      <c r="D182" s="110">
        <v>357</v>
      </c>
      <c r="E182" s="110">
        <v>1200</v>
      </c>
      <c r="F182" s="109">
        <v>66</v>
      </c>
      <c r="G182" s="110">
        <v>120</v>
      </c>
      <c r="H182" s="110">
        <v>57</v>
      </c>
      <c r="I182" s="110">
        <v>177</v>
      </c>
      <c r="J182" s="110">
        <v>3014</v>
      </c>
      <c r="K182" s="109">
        <v>69</v>
      </c>
      <c r="L182" s="110">
        <v>484</v>
      </c>
      <c r="M182" s="110">
        <v>336</v>
      </c>
      <c r="N182" s="110">
        <v>822</v>
      </c>
      <c r="O182" s="110">
        <v>2909</v>
      </c>
      <c r="P182" s="109">
        <v>65</v>
      </c>
      <c r="Q182" s="110">
        <v>458</v>
      </c>
      <c r="R182" s="110">
        <v>219</v>
      </c>
      <c r="S182" s="110">
        <v>677</v>
      </c>
    </row>
    <row r="183" spans="1:19" x14ac:dyDescent="0.45">
      <c r="A183" s="109">
        <v>71</v>
      </c>
      <c r="B183" s="110">
        <v>151</v>
      </c>
      <c r="C183" s="110">
        <v>24</v>
      </c>
      <c r="D183" s="110">
        <v>175</v>
      </c>
      <c r="E183" s="110">
        <v>1375</v>
      </c>
      <c r="F183" s="109">
        <v>65</v>
      </c>
      <c r="G183" s="110">
        <v>321</v>
      </c>
      <c r="H183" s="110">
        <v>170</v>
      </c>
      <c r="I183" s="110">
        <v>492</v>
      </c>
      <c r="J183" s="110">
        <v>3506</v>
      </c>
      <c r="K183" s="109">
        <v>68</v>
      </c>
      <c r="L183" s="110">
        <v>372</v>
      </c>
      <c r="M183" s="110">
        <v>331</v>
      </c>
      <c r="N183" s="110">
        <v>703</v>
      </c>
      <c r="O183" s="110">
        <v>3612</v>
      </c>
      <c r="P183" s="109">
        <v>64</v>
      </c>
      <c r="Q183" s="110">
        <v>1160</v>
      </c>
      <c r="R183" s="110">
        <v>656</v>
      </c>
      <c r="S183" s="110">
        <v>1817</v>
      </c>
    </row>
    <row r="184" spans="1:19" x14ac:dyDescent="0.45">
      <c r="A184" s="109">
        <v>70</v>
      </c>
      <c r="B184" s="110">
        <v>471</v>
      </c>
      <c r="C184" s="110">
        <v>83</v>
      </c>
      <c r="D184" s="110">
        <v>556</v>
      </c>
      <c r="E184" s="110">
        <v>1931</v>
      </c>
      <c r="F184" s="109">
        <v>64</v>
      </c>
      <c r="G184" s="110">
        <v>473</v>
      </c>
      <c r="H184" s="110">
        <v>305</v>
      </c>
      <c r="I184" s="110">
        <v>782</v>
      </c>
      <c r="J184" s="110">
        <v>4288</v>
      </c>
      <c r="K184" s="109">
        <v>67</v>
      </c>
      <c r="L184" s="110">
        <v>836</v>
      </c>
      <c r="M184" s="110">
        <v>633</v>
      </c>
      <c r="N184" s="110">
        <v>1471</v>
      </c>
      <c r="O184" s="110">
        <v>5083</v>
      </c>
      <c r="P184" s="109">
        <v>63</v>
      </c>
      <c r="Q184" s="110">
        <v>811</v>
      </c>
      <c r="R184" s="110">
        <v>498</v>
      </c>
      <c r="S184" s="110">
        <v>1311</v>
      </c>
    </row>
    <row r="185" spans="1:19" x14ac:dyDescent="0.45">
      <c r="A185" s="109">
        <v>69</v>
      </c>
      <c r="B185" s="110">
        <v>254</v>
      </c>
      <c r="C185" s="110">
        <v>51</v>
      </c>
      <c r="D185" s="110">
        <v>305</v>
      </c>
      <c r="E185" s="110">
        <v>2236</v>
      </c>
      <c r="F185" s="109">
        <v>63</v>
      </c>
      <c r="G185" s="110">
        <v>340</v>
      </c>
      <c r="H185" s="110">
        <v>223</v>
      </c>
      <c r="I185" s="110">
        <v>564</v>
      </c>
      <c r="J185" s="110">
        <v>4852</v>
      </c>
      <c r="K185" s="109">
        <v>66</v>
      </c>
      <c r="L185" s="110">
        <v>613</v>
      </c>
      <c r="M185" s="110">
        <v>548</v>
      </c>
      <c r="N185" s="110">
        <v>1162</v>
      </c>
      <c r="O185" s="110">
        <v>6245</v>
      </c>
      <c r="P185" s="109">
        <v>62</v>
      </c>
      <c r="Q185" s="110">
        <v>788</v>
      </c>
      <c r="R185" s="110">
        <v>416</v>
      </c>
      <c r="S185" s="110">
        <v>1206</v>
      </c>
    </row>
    <row r="186" spans="1:19" x14ac:dyDescent="0.45">
      <c r="A186" s="109">
        <v>68</v>
      </c>
      <c r="B186" s="110">
        <v>399</v>
      </c>
      <c r="C186" s="110">
        <v>68</v>
      </c>
      <c r="D186" s="110">
        <v>467</v>
      </c>
      <c r="E186" s="110">
        <v>2703</v>
      </c>
      <c r="F186" s="109">
        <v>62</v>
      </c>
      <c r="G186" s="110">
        <v>254</v>
      </c>
      <c r="H186" s="110">
        <v>167</v>
      </c>
      <c r="I186" s="110">
        <v>421</v>
      </c>
      <c r="J186" s="110">
        <v>5273</v>
      </c>
      <c r="K186" s="109">
        <v>65</v>
      </c>
      <c r="L186" s="110">
        <v>685</v>
      </c>
      <c r="M186" s="110">
        <v>681</v>
      </c>
      <c r="N186" s="110">
        <v>1367</v>
      </c>
      <c r="O186" s="110">
        <v>7612</v>
      </c>
      <c r="P186" s="109">
        <v>61</v>
      </c>
      <c r="Q186" s="110">
        <v>1803</v>
      </c>
      <c r="R186" s="110">
        <v>1202</v>
      </c>
      <c r="S186" s="110">
        <v>3011</v>
      </c>
    </row>
    <row r="187" spans="1:19" x14ac:dyDescent="0.45">
      <c r="A187" s="109">
        <v>67</v>
      </c>
      <c r="B187" s="110">
        <v>503</v>
      </c>
      <c r="C187" s="110">
        <v>90</v>
      </c>
      <c r="D187" s="110">
        <v>594</v>
      </c>
      <c r="E187" s="110">
        <v>3297</v>
      </c>
      <c r="F187" s="109">
        <v>61</v>
      </c>
      <c r="G187" s="110">
        <v>268</v>
      </c>
      <c r="H187" s="110">
        <v>174</v>
      </c>
      <c r="I187" s="110">
        <v>442</v>
      </c>
      <c r="J187" s="110">
        <v>5715</v>
      </c>
      <c r="K187" s="109">
        <v>64</v>
      </c>
      <c r="L187" s="110">
        <v>940</v>
      </c>
      <c r="M187" s="110">
        <v>877</v>
      </c>
      <c r="N187" s="110">
        <v>1818</v>
      </c>
      <c r="O187" s="110">
        <v>9430</v>
      </c>
      <c r="P187" s="109">
        <v>60</v>
      </c>
      <c r="Q187" s="110">
        <v>935</v>
      </c>
      <c r="R187" s="110">
        <v>632</v>
      </c>
      <c r="S187" s="110">
        <v>1571</v>
      </c>
    </row>
    <row r="188" spans="1:19" x14ac:dyDescent="0.45">
      <c r="A188" s="109">
        <v>66</v>
      </c>
      <c r="B188" s="110">
        <v>321</v>
      </c>
      <c r="C188" s="110">
        <v>72</v>
      </c>
      <c r="D188" s="110">
        <v>393</v>
      </c>
      <c r="E188" s="110">
        <v>3690</v>
      </c>
      <c r="F188" s="109">
        <v>60</v>
      </c>
      <c r="G188" s="110">
        <v>576</v>
      </c>
      <c r="H188" s="110">
        <v>425</v>
      </c>
      <c r="I188" s="110">
        <v>1001</v>
      </c>
      <c r="J188" s="110">
        <v>6716</v>
      </c>
      <c r="K188" s="109">
        <v>63</v>
      </c>
      <c r="L188" s="110">
        <v>723</v>
      </c>
      <c r="M188" s="110">
        <v>708</v>
      </c>
      <c r="N188" s="110">
        <v>1431</v>
      </c>
      <c r="O188" s="110">
        <v>10861</v>
      </c>
      <c r="P188" s="109">
        <v>59</v>
      </c>
      <c r="Q188" s="110">
        <v>928</v>
      </c>
      <c r="R188" s="110">
        <v>612</v>
      </c>
      <c r="S188" s="110">
        <v>1540</v>
      </c>
    </row>
    <row r="189" spans="1:19" x14ac:dyDescent="0.45">
      <c r="A189" s="109">
        <v>65</v>
      </c>
      <c r="B189" s="110">
        <v>552</v>
      </c>
      <c r="C189" s="110">
        <v>116</v>
      </c>
      <c r="D189" s="110">
        <v>669</v>
      </c>
      <c r="E189" s="110">
        <v>4359</v>
      </c>
      <c r="F189" s="109">
        <v>59</v>
      </c>
      <c r="G189" s="110">
        <v>307</v>
      </c>
      <c r="H189" s="110">
        <v>216</v>
      </c>
      <c r="I189" s="110">
        <v>523</v>
      </c>
      <c r="J189" s="110">
        <v>7239</v>
      </c>
      <c r="K189" s="109">
        <v>62</v>
      </c>
      <c r="L189" s="110">
        <v>983</v>
      </c>
      <c r="M189" s="110">
        <v>1081</v>
      </c>
      <c r="N189" s="110">
        <v>2067</v>
      </c>
      <c r="O189" s="110">
        <v>12928</v>
      </c>
      <c r="P189" s="109">
        <v>58</v>
      </c>
      <c r="Q189" s="110">
        <v>819</v>
      </c>
      <c r="R189" s="110">
        <v>570</v>
      </c>
      <c r="S189" s="110">
        <v>1394</v>
      </c>
    </row>
    <row r="190" spans="1:19" x14ac:dyDescent="0.45">
      <c r="A190" s="109">
        <v>64</v>
      </c>
      <c r="B190" s="110">
        <v>450</v>
      </c>
      <c r="C190" s="110">
        <v>92</v>
      </c>
      <c r="D190" s="110">
        <v>543</v>
      </c>
      <c r="E190" s="110">
        <v>4902</v>
      </c>
      <c r="F190" s="109">
        <v>58</v>
      </c>
      <c r="G190" s="110">
        <v>274</v>
      </c>
      <c r="H190" s="110">
        <v>207</v>
      </c>
      <c r="I190" s="110">
        <v>481</v>
      </c>
      <c r="J190" s="110">
        <v>7720</v>
      </c>
      <c r="K190" s="109">
        <v>61</v>
      </c>
      <c r="L190" s="110">
        <v>892</v>
      </c>
      <c r="M190" s="110">
        <v>957</v>
      </c>
      <c r="N190" s="110">
        <v>1853</v>
      </c>
      <c r="O190" s="110">
        <v>14781</v>
      </c>
      <c r="P190" s="109">
        <v>57</v>
      </c>
      <c r="Q190" s="110">
        <v>1035</v>
      </c>
      <c r="R190" s="110">
        <v>729</v>
      </c>
      <c r="S190" s="110">
        <v>1765</v>
      </c>
    </row>
    <row r="191" spans="1:19" x14ac:dyDescent="0.45">
      <c r="A191" s="109">
        <v>63</v>
      </c>
      <c r="B191" s="110">
        <v>471</v>
      </c>
      <c r="C191" s="110">
        <v>111</v>
      </c>
      <c r="D191" s="110">
        <v>583</v>
      </c>
      <c r="E191" s="110">
        <v>5485</v>
      </c>
      <c r="F191" s="109">
        <v>57</v>
      </c>
      <c r="G191" s="110">
        <v>306</v>
      </c>
      <c r="H191" s="110">
        <v>244</v>
      </c>
      <c r="I191" s="110">
        <v>550</v>
      </c>
      <c r="J191" s="110">
        <v>8270</v>
      </c>
      <c r="K191" s="109">
        <v>60</v>
      </c>
      <c r="L191" s="110">
        <v>841</v>
      </c>
      <c r="M191" s="110">
        <v>1080</v>
      </c>
      <c r="N191" s="110">
        <v>1922</v>
      </c>
      <c r="O191" s="110">
        <v>16703</v>
      </c>
      <c r="P191" s="109">
        <v>56</v>
      </c>
      <c r="Q191" s="110">
        <v>1840</v>
      </c>
      <c r="R191" s="110">
        <v>1412</v>
      </c>
      <c r="S191" s="110">
        <v>3255</v>
      </c>
    </row>
    <row r="192" spans="1:19" x14ac:dyDescent="0.45">
      <c r="A192" s="109">
        <v>62</v>
      </c>
      <c r="B192" s="110">
        <v>587</v>
      </c>
      <c r="C192" s="110">
        <v>139</v>
      </c>
      <c r="D192" s="110">
        <v>727</v>
      </c>
      <c r="E192" s="110">
        <v>6212</v>
      </c>
      <c r="F192" s="109">
        <v>56</v>
      </c>
      <c r="G192" s="110">
        <v>569</v>
      </c>
      <c r="H192" s="110">
        <v>453</v>
      </c>
      <c r="I192" s="110">
        <v>1026</v>
      </c>
      <c r="J192" s="110">
        <v>9296</v>
      </c>
      <c r="K192" s="109">
        <v>59</v>
      </c>
      <c r="L192" s="110">
        <v>1097</v>
      </c>
      <c r="M192" s="110">
        <v>1238</v>
      </c>
      <c r="N192" s="110">
        <v>2336</v>
      </c>
      <c r="O192" s="110">
        <v>19039</v>
      </c>
      <c r="P192" s="109">
        <v>55</v>
      </c>
      <c r="Q192" s="110">
        <v>964</v>
      </c>
      <c r="R192" s="110">
        <v>781</v>
      </c>
      <c r="S192" s="110">
        <v>1747</v>
      </c>
    </row>
    <row r="193" spans="1:19" x14ac:dyDescent="0.45">
      <c r="A193" s="109">
        <v>61</v>
      </c>
      <c r="B193" s="110">
        <v>435</v>
      </c>
      <c r="C193" s="110">
        <v>104</v>
      </c>
      <c r="D193" s="110">
        <v>542</v>
      </c>
      <c r="E193" s="110">
        <v>6754</v>
      </c>
      <c r="F193" s="109">
        <v>55</v>
      </c>
      <c r="G193" s="110">
        <v>288</v>
      </c>
      <c r="H193" s="110">
        <v>296</v>
      </c>
      <c r="I193" s="110">
        <v>585</v>
      </c>
      <c r="J193" s="110">
        <v>9881</v>
      </c>
      <c r="K193" s="109">
        <v>58</v>
      </c>
      <c r="L193" s="110">
        <v>924</v>
      </c>
      <c r="M193" s="110">
        <v>1115</v>
      </c>
      <c r="N193" s="110">
        <v>2041</v>
      </c>
      <c r="O193" s="110">
        <v>21080</v>
      </c>
      <c r="P193" s="109">
        <v>54</v>
      </c>
      <c r="Q193" s="110">
        <v>959</v>
      </c>
      <c r="R193" s="110">
        <v>785</v>
      </c>
      <c r="S193" s="110">
        <v>1747</v>
      </c>
    </row>
    <row r="194" spans="1:19" x14ac:dyDescent="0.45">
      <c r="A194" s="109">
        <v>60</v>
      </c>
      <c r="B194" s="110">
        <v>676</v>
      </c>
      <c r="C194" s="110">
        <v>173</v>
      </c>
      <c r="D194" s="110">
        <v>850</v>
      </c>
      <c r="E194" s="110">
        <v>7604</v>
      </c>
      <c r="F194" s="109">
        <v>54</v>
      </c>
      <c r="G194" s="110">
        <v>260</v>
      </c>
      <c r="H194" s="110">
        <v>235</v>
      </c>
      <c r="I194" s="110">
        <v>496</v>
      </c>
      <c r="J194" s="110">
        <v>10377</v>
      </c>
      <c r="K194" s="109">
        <v>57</v>
      </c>
      <c r="L194" s="110">
        <v>1083</v>
      </c>
      <c r="M194" s="110">
        <v>1363</v>
      </c>
      <c r="N194" s="110">
        <v>2450</v>
      </c>
      <c r="O194" s="110">
        <v>23530</v>
      </c>
      <c r="P194" s="109">
        <v>53</v>
      </c>
      <c r="Q194" s="110">
        <v>1091</v>
      </c>
      <c r="R194" s="110">
        <v>928</v>
      </c>
      <c r="S194" s="110">
        <v>2021</v>
      </c>
    </row>
    <row r="195" spans="1:19" x14ac:dyDescent="0.45">
      <c r="A195" s="109">
        <v>59</v>
      </c>
      <c r="B195" s="110">
        <v>597</v>
      </c>
      <c r="C195" s="110">
        <v>137</v>
      </c>
      <c r="D195" s="110">
        <v>736</v>
      </c>
      <c r="E195" s="110">
        <v>8340</v>
      </c>
      <c r="F195" s="109">
        <v>53</v>
      </c>
      <c r="G195" s="110">
        <v>320</v>
      </c>
      <c r="H195" s="110">
        <v>300</v>
      </c>
      <c r="I195" s="110">
        <v>622</v>
      </c>
      <c r="J195" s="110">
        <v>10999</v>
      </c>
      <c r="K195" s="109">
        <v>56</v>
      </c>
      <c r="L195" s="110">
        <v>1091</v>
      </c>
      <c r="M195" s="110">
        <v>1307</v>
      </c>
      <c r="N195" s="110">
        <v>2400</v>
      </c>
      <c r="O195" s="110">
        <v>25930</v>
      </c>
      <c r="P195" s="109">
        <v>52</v>
      </c>
      <c r="Q195" s="110">
        <v>2095</v>
      </c>
      <c r="R195" s="110">
        <v>1714</v>
      </c>
      <c r="S195" s="110">
        <v>3815</v>
      </c>
    </row>
    <row r="196" spans="1:19" x14ac:dyDescent="0.45">
      <c r="A196" s="109">
        <v>58</v>
      </c>
      <c r="B196" s="110">
        <v>546</v>
      </c>
      <c r="C196" s="110">
        <v>146</v>
      </c>
      <c r="D196" s="110">
        <v>692</v>
      </c>
      <c r="E196" s="110">
        <v>9032</v>
      </c>
      <c r="F196" s="109">
        <v>52</v>
      </c>
      <c r="G196" s="110">
        <v>655</v>
      </c>
      <c r="H196" s="110">
        <v>584</v>
      </c>
      <c r="I196" s="110">
        <v>1240</v>
      </c>
      <c r="J196" s="110">
        <v>12239</v>
      </c>
      <c r="K196" s="109">
        <v>55</v>
      </c>
      <c r="L196" s="110">
        <v>1081</v>
      </c>
      <c r="M196" s="110">
        <v>1302</v>
      </c>
      <c r="N196" s="110">
        <v>2389</v>
      </c>
      <c r="O196" s="110">
        <v>28319</v>
      </c>
      <c r="P196" s="109">
        <v>51</v>
      </c>
      <c r="Q196" s="110">
        <v>1110</v>
      </c>
      <c r="R196" s="110">
        <v>945</v>
      </c>
      <c r="S196" s="110">
        <v>2056</v>
      </c>
    </row>
    <row r="197" spans="1:19" x14ac:dyDescent="0.45">
      <c r="A197" s="109">
        <v>57</v>
      </c>
      <c r="B197" s="110">
        <v>707</v>
      </c>
      <c r="C197" s="110">
        <v>202</v>
      </c>
      <c r="D197" s="110">
        <v>909</v>
      </c>
      <c r="E197" s="110">
        <v>9941</v>
      </c>
      <c r="F197" s="109">
        <v>51</v>
      </c>
      <c r="G197" s="110">
        <v>346</v>
      </c>
      <c r="H197" s="110">
        <v>374</v>
      </c>
      <c r="I197" s="110">
        <v>720</v>
      </c>
      <c r="J197" s="110">
        <v>12959</v>
      </c>
      <c r="K197" s="109">
        <v>54</v>
      </c>
      <c r="L197" s="110">
        <v>1164</v>
      </c>
      <c r="M197" s="110">
        <v>1553</v>
      </c>
      <c r="N197" s="110">
        <v>2720</v>
      </c>
      <c r="O197" s="110">
        <v>31039</v>
      </c>
      <c r="P197" s="109">
        <v>50</v>
      </c>
      <c r="Q197" s="110">
        <v>1168</v>
      </c>
      <c r="R197" s="110">
        <v>937</v>
      </c>
      <c r="S197" s="110">
        <v>2109</v>
      </c>
    </row>
    <row r="198" spans="1:19" x14ac:dyDescent="0.45">
      <c r="A198" s="109">
        <v>56</v>
      </c>
      <c r="B198" s="110">
        <v>629</v>
      </c>
      <c r="C198" s="110">
        <v>216</v>
      </c>
      <c r="D198" s="110">
        <v>845</v>
      </c>
      <c r="E198" s="110">
        <v>10786</v>
      </c>
      <c r="F198" s="109">
        <v>50</v>
      </c>
      <c r="G198" s="110">
        <v>340</v>
      </c>
      <c r="H198" s="110">
        <v>341</v>
      </c>
      <c r="I198" s="110">
        <v>682</v>
      </c>
      <c r="J198" s="110">
        <v>13641</v>
      </c>
      <c r="K198" s="109">
        <v>53</v>
      </c>
      <c r="L198" s="110">
        <v>1125</v>
      </c>
      <c r="M198" s="110">
        <v>1460</v>
      </c>
      <c r="N198" s="110">
        <v>2587</v>
      </c>
      <c r="O198" s="110">
        <v>33626</v>
      </c>
      <c r="P198" s="109">
        <v>49</v>
      </c>
      <c r="Q198" s="110">
        <v>1229</v>
      </c>
      <c r="R198" s="110">
        <v>1108</v>
      </c>
      <c r="S198" s="110">
        <v>2339</v>
      </c>
    </row>
    <row r="199" spans="1:19" x14ac:dyDescent="0.45">
      <c r="A199" s="109">
        <v>55</v>
      </c>
      <c r="B199" s="110">
        <v>760</v>
      </c>
      <c r="C199" s="110">
        <v>224</v>
      </c>
      <c r="D199" s="110">
        <v>987</v>
      </c>
      <c r="E199" s="110">
        <v>11773</v>
      </c>
      <c r="F199" s="109">
        <v>49</v>
      </c>
      <c r="G199" s="110">
        <v>404</v>
      </c>
      <c r="H199" s="110">
        <v>370</v>
      </c>
      <c r="I199" s="110">
        <v>774</v>
      </c>
      <c r="J199" s="110">
        <v>14415</v>
      </c>
      <c r="K199" s="109">
        <v>52</v>
      </c>
      <c r="L199" s="110">
        <v>1264</v>
      </c>
      <c r="M199" s="110">
        <v>1661</v>
      </c>
      <c r="N199" s="110">
        <v>2930</v>
      </c>
      <c r="O199" s="110">
        <v>36556</v>
      </c>
      <c r="P199" s="109">
        <v>48</v>
      </c>
      <c r="Q199" s="110">
        <v>1141</v>
      </c>
      <c r="R199" s="110">
        <v>1060</v>
      </c>
      <c r="S199" s="110">
        <v>2206</v>
      </c>
    </row>
    <row r="200" spans="1:19" x14ac:dyDescent="0.45">
      <c r="A200" s="109">
        <v>54</v>
      </c>
      <c r="B200" s="110">
        <v>798</v>
      </c>
      <c r="C200" s="110">
        <v>238</v>
      </c>
      <c r="D200" s="110">
        <v>1037</v>
      </c>
      <c r="E200" s="110">
        <v>12810</v>
      </c>
      <c r="F200" s="109">
        <v>48</v>
      </c>
      <c r="G200" s="110">
        <v>377</v>
      </c>
      <c r="H200" s="110">
        <v>371</v>
      </c>
      <c r="I200" s="110">
        <v>751</v>
      </c>
      <c r="J200" s="110">
        <v>15166</v>
      </c>
      <c r="K200" s="109">
        <v>51</v>
      </c>
      <c r="L200" s="110">
        <v>1210</v>
      </c>
      <c r="M200" s="110">
        <v>1787</v>
      </c>
      <c r="N200" s="110">
        <v>3002</v>
      </c>
      <c r="O200" s="110">
        <v>39558</v>
      </c>
      <c r="P200" s="109">
        <v>47</v>
      </c>
      <c r="Q200" s="110">
        <v>2527</v>
      </c>
      <c r="R200" s="110">
        <v>2224</v>
      </c>
      <c r="S200" s="110">
        <v>4757</v>
      </c>
    </row>
    <row r="201" spans="1:19" x14ac:dyDescent="0.45">
      <c r="A201" s="109">
        <v>53</v>
      </c>
      <c r="B201" s="110">
        <v>775</v>
      </c>
      <c r="C201" s="110">
        <v>223</v>
      </c>
      <c r="D201" s="110">
        <v>999</v>
      </c>
      <c r="E201" s="110">
        <v>13809</v>
      </c>
      <c r="F201" s="109">
        <v>47</v>
      </c>
      <c r="G201" s="110">
        <v>888</v>
      </c>
      <c r="H201" s="110">
        <v>869</v>
      </c>
      <c r="I201" s="110">
        <v>1758</v>
      </c>
      <c r="J201" s="110">
        <v>16924</v>
      </c>
      <c r="K201" s="109">
        <v>50</v>
      </c>
      <c r="L201" s="110">
        <v>1290</v>
      </c>
      <c r="M201" s="110">
        <v>1850</v>
      </c>
      <c r="N201" s="110">
        <v>3144</v>
      </c>
      <c r="O201" s="110">
        <v>42702</v>
      </c>
      <c r="P201" s="109">
        <v>46</v>
      </c>
      <c r="Q201" s="110">
        <v>1266</v>
      </c>
      <c r="R201" s="110">
        <v>1121</v>
      </c>
      <c r="S201" s="110">
        <v>2390</v>
      </c>
    </row>
    <row r="202" spans="1:19" x14ac:dyDescent="0.45">
      <c r="A202" s="109">
        <v>52</v>
      </c>
      <c r="B202" s="110">
        <v>881</v>
      </c>
      <c r="C202" s="110">
        <v>280</v>
      </c>
      <c r="D202" s="110">
        <v>1163</v>
      </c>
      <c r="E202" s="110">
        <v>14972</v>
      </c>
      <c r="F202" s="109">
        <v>46</v>
      </c>
      <c r="G202" s="110">
        <v>556</v>
      </c>
      <c r="H202" s="110">
        <v>472</v>
      </c>
      <c r="I202" s="110">
        <v>1031</v>
      </c>
      <c r="J202" s="110">
        <v>17955</v>
      </c>
      <c r="K202" s="109">
        <v>49</v>
      </c>
      <c r="L202" s="110">
        <v>1355</v>
      </c>
      <c r="M202" s="110">
        <v>1791</v>
      </c>
      <c r="N202" s="110">
        <v>3152</v>
      </c>
      <c r="O202" s="110">
        <v>45854</v>
      </c>
      <c r="P202" s="109">
        <v>45</v>
      </c>
      <c r="Q202" s="110">
        <v>1384</v>
      </c>
      <c r="R202" s="110">
        <v>1166</v>
      </c>
      <c r="S202" s="110">
        <v>2552</v>
      </c>
    </row>
    <row r="203" spans="1:19" x14ac:dyDescent="0.45">
      <c r="A203" s="109">
        <v>51</v>
      </c>
      <c r="B203" s="110">
        <v>882</v>
      </c>
      <c r="C203" s="110">
        <v>269</v>
      </c>
      <c r="D203" s="110">
        <v>1152</v>
      </c>
      <c r="E203" s="110">
        <v>16124</v>
      </c>
      <c r="F203" s="109">
        <v>45</v>
      </c>
      <c r="G203" s="110">
        <v>521</v>
      </c>
      <c r="H203" s="110">
        <v>484</v>
      </c>
      <c r="I203" s="110">
        <v>1005</v>
      </c>
      <c r="J203" s="110">
        <v>18960</v>
      </c>
      <c r="K203" s="109">
        <v>48</v>
      </c>
      <c r="L203" s="110">
        <v>1391</v>
      </c>
      <c r="M203" s="110">
        <v>1860</v>
      </c>
      <c r="N203" s="110">
        <v>3254</v>
      </c>
      <c r="O203" s="110">
        <v>49108</v>
      </c>
      <c r="P203" s="109">
        <v>44</v>
      </c>
      <c r="Q203" s="110">
        <v>1244</v>
      </c>
      <c r="R203" s="110">
        <v>1054</v>
      </c>
      <c r="S203" s="110">
        <v>2301</v>
      </c>
    </row>
    <row r="204" spans="1:19" x14ac:dyDescent="0.45">
      <c r="A204" s="109">
        <v>50</v>
      </c>
      <c r="B204" s="110">
        <v>1027</v>
      </c>
      <c r="C204" s="110">
        <v>357</v>
      </c>
      <c r="D204" s="110">
        <v>1384</v>
      </c>
      <c r="E204" s="110">
        <v>17508</v>
      </c>
      <c r="F204" s="109">
        <v>44</v>
      </c>
      <c r="G204" s="110">
        <v>683</v>
      </c>
      <c r="H204" s="110">
        <v>518</v>
      </c>
      <c r="I204" s="110">
        <v>1205</v>
      </c>
      <c r="J204" s="110">
        <v>20165</v>
      </c>
      <c r="K204" s="109">
        <v>47</v>
      </c>
      <c r="L204" s="110">
        <v>1489</v>
      </c>
      <c r="M204" s="110">
        <v>1906</v>
      </c>
      <c r="N204" s="110">
        <v>3398</v>
      </c>
      <c r="O204" s="110">
        <v>52506</v>
      </c>
      <c r="P204" s="109">
        <v>43</v>
      </c>
      <c r="Q204" s="110">
        <v>1423</v>
      </c>
      <c r="R204" s="110">
        <v>1236</v>
      </c>
      <c r="S204" s="110">
        <v>2664</v>
      </c>
    </row>
    <row r="205" spans="1:19" x14ac:dyDescent="0.45">
      <c r="A205" s="109">
        <v>49</v>
      </c>
      <c r="B205" s="110">
        <v>1014</v>
      </c>
      <c r="C205" s="110">
        <v>360</v>
      </c>
      <c r="D205" s="110">
        <v>1375</v>
      </c>
      <c r="E205" s="110">
        <v>18883</v>
      </c>
      <c r="F205" s="109">
        <v>43</v>
      </c>
      <c r="G205" s="110">
        <v>1724</v>
      </c>
      <c r="H205" s="110">
        <v>1236</v>
      </c>
      <c r="I205" s="110">
        <v>2965</v>
      </c>
      <c r="J205" s="110">
        <v>23130</v>
      </c>
      <c r="K205" s="109">
        <v>46</v>
      </c>
      <c r="L205" s="110">
        <v>1315</v>
      </c>
      <c r="M205" s="110">
        <v>1767</v>
      </c>
      <c r="N205" s="110">
        <v>3084</v>
      </c>
      <c r="O205" s="110">
        <v>55590</v>
      </c>
      <c r="P205" s="109">
        <v>42</v>
      </c>
      <c r="Q205" s="110">
        <v>2957</v>
      </c>
      <c r="R205" s="110">
        <v>2148</v>
      </c>
      <c r="S205" s="110">
        <v>5115</v>
      </c>
    </row>
    <row r="206" spans="1:19" x14ac:dyDescent="0.45">
      <c r="A206" s="109">
        <v>48</v>
      </c>
      <c r="B206" s="110">
        <v>988</v>
      </c>
      <c r="C206" s="110">
        <v>305</v>
      </c>
      <c r="D206" s="110">
        <v>1294</v>
      </c>
      <c r="E206" s="110">
        <v>20177</v>
      </c>
      <c r="F206" s="109">
        <v>42</v>
      </c>
      <c r="G206" s="110">
        <v>528</v>
      </c>
      <c r="H206" s="110">
        <v>471</v>
      </c>
      <c r="I206" s="110">
        <v>1000</v>
      </c>
      <c r="J206" s="110">
        <v>24130</v>
      </c>
      <c r="K206" s="109">
        <v>45</v>
      </c>
      <c r="L206" s="110">
        <v>1546</v>
      </c>
      <c r="M206" s="110">
        <v>1942</v>
      </c>
      <c r="N206" s="110">
        <v>3491</v>
      </c>
      <c r="O206" s="110">
        <v>59081</v>
      </c>
      <c r="P206" s="109">
        <v>41</v>
      </c>
      <c r="Q206" s="110">
        <v>1366</v>
      </c>
      <c r="R206" s="110">
        <v>1107</v>
      </c>
      <c r="S206" s="110">
        <v>2477</v>
      </c>
    </row>
    <row r="207" spans="1:19" x14ac:dyDescent="0.45">
      <c r="A207" s="109">
        <v>47</v>
      </c>
      <c r="B207" s="110">
        <v>1170</v>
      </c>
      <c r="C207" s="110">
        <v>415</v>
      </c>
      <c r="D207" s="110">
        <v>1587</v>
      </c>
      <c r="E207" s="110">
        <v>21764</v>
      </c>
      <c r="F207" s="109">
        <v>41</v>
      </c>
      <c r="G207" s="110">
        <v>655</v>
      </c>
      <c r="H207" s="110">
        <v>532</v>
      </c>
      <c r="I207" s="110">
        <v>1188</v>
      </c>
      <c r="J207" s="110">
        <v>25318</v>
      </c>
      <c r="K207" s="109">
        <v>43</v>
      </c>
      <c r="L207" s="110">
        <v>1299</v>
      </c>
      <c r="M207" s="110">
        <v>1621</v>
      </c>
      <c r="N207" s="110">
        <v>2923</v>
      </c>
      <c r="O207" s="110">
        <v>62004</v>
      </c>
      <c r="P207" s="109">
        <v>40</v>
      </c>
      <c r="Q207" s="110">
        <v>1209</v>
      </c>
      <c r="R207" s="110">
        <v>836</v>
      </c>
      <c r="S207" s="110">
        <v>2049</v>
      </c>
    </row>
    <row r="208" spans="1:19" x14ac:dyDescent="0.45">
      <c r="A208" s="109">
        <v>46</v>
      </c>
      <c r="B208" s="110">
        <v>1070</v>
      </c>
      <c r="C208" s="110">
        <v>364</v>
      </c>
      <c r="D208" s="110">
        <v>1439</v>
      </c>
      <c r="E208" s="110">
        <v>23203</v>
      </c>
      <c r="F208" s="109">
        <v>40</v>
      </c>
      <c r="G208" s="110">
        <v>605</v>
      </c>
      <c r="H208" s="110">
        <v>460</v>
      </c>
      <c r="I208" s="110">
        <v>1066</v>
      </c>
      <c r="J208" s="110">
        <v>26384</v>
      </c>
      <c r="K208" s="109">
        <v>42</v>
      </c>
      <c r="L208" s="110">
        <v>1305</v>
      </c>
      <c r="M208" s="110">
        <v>1651</v>
      </c>
      <c r="N208" s="110">
        <v>2957</v>
      </c>
      <c r="O208" s="110">
        <v>64961</v>
      </c>
      <c r="P208" s="109">
        <v>39</v>
      </c>
      <c r="Q208" s="110">
        <v>2611</v>
      </c>
      <c r="R208" s="110">
        <v>1330</v>
      </c>
      <c r="S208" s="110">
        <v>3950</v>
      </c>
    </row>
    <row r="209" spans="1:19" x14ac:dyDescent="0.45">
      <c r="A209" s="109">
        <v>45</v>
      </c>
      <c r="B209" s="110">
        <v>1142</v>
      </c>
      <c r="C209" s="110">
        <v>428</v>
      </c>
      <c r="D209" s="110">
        <v>1576</v>
      </c>
      <c r="E209" s="110">
        <v>24779</v>
      </c>
      <c r="F209" s="109">
        <v>39</v>
      </c>
      <c r="G209" s="110">
        <v>1252</v>
      </c>
      <c r="H209" s="110">
        <v>926</v>
      </c>
      <c r="I209" s="110">
        <v>2184</v>
      </c>
      <c r="J209" s="110">
        <v>28568</v>
      </c>
      <c r="K209" s="109">
        <v>41</v>
      </c>
      <c r="L209" s="110">
        <v>1422</v>
      </c>
      <c r="M209" s="110">
        <v>1526</v>
      </c>
      <c r="N209" s="110">
        <v>2950</v>
      </c>
      <c r="O209" s="110">
        <v>67911</v>
      </c>
      <c r="P209" s="109">
        <v>38</v>
      </c>
      <c r="Q209" s="110">
        <v>3019</v>
      </c>
      <c r="R209" s="110">
        <v>1650</v>
      </c>
      <c r="S209" s="110">
        <v>4678</v>
      </c>
    </row>
    <row r="210" spans="1:19" x14ac:dyDescent="0.45">
      <c r="A210" s="109">
        <v>44</v>
      </c>
      <c r="B210" s="110">
        <v>1205</v>
      </c>
      <c r="C210" s="110">
        <v>423</v>
      </c>
      <c r="D210" s="110">
        <v>1629</v>
      </c>
      <c r="E210" s="110">
        <v>26408</v>
      </c>
      <c r="F210" s="109">
        <v>38</v>
      </c>
      <c r="G210" s="110">
        <v>444</v>
      </c>
      <c r="H210" s="110">
        <v>254</v>
      </c>
      <c r="I210" s="110">
        <v>700</v>
      </c>
      <c r="J210" s="110">
        <v>29268</v>
      </c>
      <c r="K210" s="109">
        <v>40</v>
      </c>
      <c r="L210" s="110">
        <v>1028</v>
      </c>
      <c r="M210" s="110">
        <v>1071</v>
      </c>
      <c r="N210" s="110">
        <v>2104</v>
      </c>
      <c r="O210" s="110">
        <v>70015</v>
      </c>
      <c r="P210" s="109">
        <v>37</v>
      </c>
      <c r="Q210" s="110">
        <v>897</v>
      </c>
      <c r="R210" s="110">
        <v>584</v>
      </c>
      <c r="S210" s="110">
        <v>1485</v>
      </c>
    </row>
    <row r="211" spans="1:19" x14ac:dyDescent="0.45">
      <c r="A211" s="109">
        <v>43</v>
      </c>
      <c r="B211" s="110">
        <v>2702</v>
      </c>
      <c r="C211" s="110">
        <v>807</v>
      </c>
      <c r="D211" s="110">
        <v>3514</v>
      </c>
      <c r="E211" s="110">
        <v>29922</v>
      </c>
      <c r="F211" s="109">
        <v>37</v>
      </c>
      <c r="G211" s="110">
        <v>420</v>
      </c>
      <c r="H211" s="110">
        <v>286</v>
      </c>
      <c r="I211" s="110">
        <v>708</v>
      </c>
      <c r="J211" s="110">
        <v>29976</v>
      </c>
      <c r="K211" s="109">
        <v>39</v>
      </c>
      <c r="L211" s="110">
        <v>1248</v>
      </c>
      <c r="M211" s="110">
        <v>1316</v>
      </c>
      <c r="N211" s="110">
        <v>2568</v>
      </c>
      <c r="O211" s="110">
        <v>72583</v>
      </c>
      <c r="P211" s="109">
        <v>36</v>
      </c>
      <c r="Q211" s="110">
        <v>692</v>
      </c>
      <c r="R211" s="110">
        <v>383</v>
      </c>
      <c r="S211" s="110">
        <v>1075</v>
      </c>
    </row>
    <row r="212" spans="1:19" x14ac:dyDescent="0.45">
      <c r="A212" s="109">
        <v>42</v>
      </c>
      <c r="B212" s="110">
        <v>1347</v>
      </c>
      <c r="C212" s="110">
        <v>386</v>
      </c>
      <c r="D212" s="110">
        <v>1738</v>
      </c>
      <c r="E212" s="110">
        <v>31660</v>
      </c>
      <c r="F212" s="109">
        <v>36</v>
      </c>
      <c r="G212" s="110">
        <v>199</v>
      </c>
      <c r="H212" s="110">
        <v>149</v>
      </c>
      <c r="I212" s="110">
        <v>348</v>
      </c>
      <c r="J212" s="110">
        <v>30324</v>
      </c>
      <c r="K212" s="109">
        <v>38</v>
      </c>
      <c r="L212" s="110">
        <v>871</v>
      </c>
      <c r="M212" s="110">
        <v>784</v>
      </c>
      <c r="N212" s="110">
        <v>1658</v>
      </c>
      <c r="O212" s="110">
        <v>74241</v>
      </c>
      <c r="P212" s="109">
        <v>35</v>
      </c>
      <c r="Q212" s="110">
        <v>749</v>
      </c>
      <c r="R212" s="110">
        <v>385</v>
      </c>
      <c r="S212" s="110">
        <v>1136</v>
      </c>
    </row>
    <row r="213" spans="1:19" x14ac:dyDescent="0.45">
      <c r="A213" s="109">
        <v>41</v>
      </c>
      <c r="B213" s="110">
        <v>1910</v>
      </c>
      <c r="C213" s="110">
        <v>456</v>
      </c>
      <c r="D213" s="110">
        <v>2371</v>
      </c>
      <c r="E213" s="110">
        <v>34031</v>
      </c>
      <c r="F213" s="109">
        <v>35</v>
      </c>
      <c r="G213" s="110">
        <v>296</v>
      </c>
      <c r="H213" s="110">
        <v>218</v>
      </c>
      <c r="I213" s="110">
        <v>515</v>
      </c>
      <c r="J213" s="110">
        <v>30839</v>
      </c>
      <c r="K213" s="109">
        <v>37</v>
      </c>
      <c r="L213" s="110">
        <v>806</v>
      </c>
      <c r="M213" s="110">
        <v>700</v>
      </c>
      <c r="N213" s="110">
        <v>1508</v>
      </c>
      <c r="O213" s="110">
        <v>75749</v>
      </c>
      <c r="P213" s="109">
        <v>34</v>
      </c>
      <c r="Q213" s="110">
        <v>671</v>
      </c>
      <c r="R213" s="110">
        <v>373</v>
      </c>
      <c r="S213" s="110">
        <v>1049</v>
      </c>
    </row>
    <row r="214" spans="1:19" x14ac:dyDescent="0.45">
      <c r="A214" s="109">
        <v>40</v>
      </c>
      <c r="B214" s="110">
        <v>883</v>
      </c>
      <c r="C214" s="110">
        <v>276</v>
      </c>
      <c r="D214" s="110">
        <v>1161</v>
      </c>
      <c r="E214" s="110">
        <v>35192</v>
      </c>
      <c r="F214" s="109">
        <v>34</v>
      </c>
      <c r="G214" s="110">
        <v>66</v>
      </c>
      <c r="H214" s="110">
        <v>51</v>
      </c>
      <c r="I214" s="110">
        <v>117</v>
      </c>
      <c r="J214" s="110">
        <v>30956</v>
      </c>
      <c r="K214" s="109">
        <v>36</v>
      </c>
      <c r="L214" s="110">
        <v>1332</v>
      </c>
      <c r="M214" s="110">
        <v>927</v>
      </c>
      <c r="N214" s="110">
        <v>2267</v>
      </c>
      <c r="O214" s="110">
        <v>78016</v>
      </c>
      <c r="P214" s="109">
        <v>33</v>
      </c>
      <c r="Q214" s="110">
        <v>628</v>
      </c>
      <c r="R214" s="110">
        <v>336</v>
      </c>
      <c r="S214" s="110">
        <v>966</v>
      </c>
    </row>
    <row r="215" spans="1:19" x14ac:dyDescent="0.45">
      <c r="A215" s="109">
        <v>39</v>
      </c>
      <c r="B215" s="110">
        <v>830</v>
      </c>
      <c r="C215" s="110">
        <v>250</v>
      </c>
      <c r="D215" s="110">
        <v>1082</v>
      </c>
      <c r="E215" s="110">
        <v>36274</v>
      </c>
      <c r="F215" s="109">
        <v>33</v>
      </c>
      <c r="G215" s="110">
        <v>61</v>
      </c>
      <c r="H215" s="110">
        <v>33</v>
      </c>
      <c r="I215" s="110">
        <v>94</v>
      </c>
      <c r="J215" s="110">
        <v>31050</v>
      </c>
      <c r="K215" s="109">
        <v>35</v>
      </c>
      <c r="L215" s="110">
        <v>514</v>
      </c>
      <c r="M215" s="110">
        <v>367</v>
      </c>
      <c r="N215" s="110">
        <v>881</v>
      </c>
      <c r="O215" s="110">
        <v>78897</v>
      </c>
      <c r="P215" s="109">
        <v>32</v>
      </c>
      <c r="Q215" s="110">
        <v>112</v>
      </c>
      <c r="R215" s="110">
        <v>50</v>
      </c>
      <c r="S215" s="110">
        <v>162</v>
      </c>
    </row>
    <row r="216" spans="1:19" x14ac:dyDescent="0.45">
      <c r="A216" s="109">
        <v>38</v>
      </c>
      <c r="B216" s="110">
        <v>767</v>
      </c>
      <c r="C216" s="110">
        <v>220</v>
      </c>
      <c r="D216" s="110">
        <v>992</v>
      </c>
      <c r="E216" s="110">
        <v>37266</v>
      </c>
      <c r="F216" s="109">
        <v>31</v>
      </c>
      <c r="G216" s="110">
        <v>30</v>
      </c>
      <c r="H216" s="110">
        <v>22</v>
      </c>
      <c r="I216" s="110">
        <v>52</v>
      </c>
      <c r="J216" s="110">
        <v>31102</v>
      </c>
      <c r="K216" s="109">
        <v>34</v>
      </c>
      <c r="L216" s="110">
        <v>1718</v>
      </c>
      <c r="M216" s="110">
        <v>849</v>
      </c>
      <c r="N216" s="110">
        <v>2574</v>
      </c>
      <c r="O216" s="110">
        <v>81471</v>
      </c>
      <c r="P216" s="109">
        <v>31</v>
      </c>
      <c r="Q216" s="110">
        <v>133</v>
      </c>
      <c r="R216" s="110">
        <v>54</v>
      </c>
      <c r="S216" s="110">
        <v>187</v>
      </c>
    </row>
    <row r="217" spans="1:19" x14ac:dyDescent="0.45">
      <c r="A217" s="109">
        <v>37</v>
      </c>
      <c r="B217" s="110">
        <v>571</v>
      </c>
      <c r="C217" s="110">
        <v>151</v>
      </c>
      <c r="D217" s="110">
        <v>725</v>
      </c>
      <c r="E217" s="110">
        <v>37991</v>
      </c>
      <c r="F217" s="109"/>
      <c r="G217" s="110"/>
      <c r="H217" s="110"/>
      <c r="I217" s="110"/>
      <c r="J217" s="110"/>
      <c r="K217" s="109">
        <v>33</v>
      </c>
      <c r="L217" s="110">
        <v>392</v>
      </c>
      <c r="M217" s="110">
        <v>229</v>
      </c>
      <c r="N217" s="110">
        <v>622</v>
      </c>
      <c r="O217" s="110">
        <v>82093</v>
      </c>
      <c r="P217" s="109">
        <v>29</v>
      </c>
      <c r="Q217" s="110">
        <v>65</v>
      </c>
      <c r="R217" s="110">
        <v>21</v>
      </c>
      <c r="S217" s="110">
        <v>86</v>
      </c>
    </row>
    <row r="218" spans="1:19" x14ac:dyDescent="0.45">
      <c r="A218" s="109">
        <v>36</v>
      </c>
      <c r="B218" s="110">
        <v>590</v>
      </c>
      <c r="C218" s="110">
        <v>157</v>
      </c>
      <c r="D218" s="110">
        <v>749</v>
      </c>
      <c r="E218" s="110">
        <v>38740</v>
      </c>
      <c r="F218" s="109"/>
      <c r="G218" s="110"/>
      <c r="H218" s="110"/>
      <c r="I218" s="110"/>
      <c r="J218" s="110"/>
      <c r="K218" s="109">
        <v>32</v>
      </c>
      <c r="L218" s="110">
        <v>276</v>
      </c>
      <c r="M218" s="110">
        <v>213</v>
      </c>
      <c r="N218" s="110">
        <v>490</v>
      </c>
      <c r="O218" s="110">
        <v>82583</v>
      </c>
      <c r="P218" s="109"/>
      <c r="Q218" s="110"/>
      <c r="R218" s="110"/>
      <c r="S218" s="110"/>
    </row>
    <row r="219" spans="1:19" x14ac:dyDescent="0.45">
      <c r="A219" s="109">
        <v>35</v>
      </c>
      <c r="B219" s="110">
        <v>263</v>
      </c>
      <c r="C219" s="110">
        <v>77</v>
      </c>
      <c r="D219" s="110">
        <v>340</v>
      </c>
      <c r="E219" s="110">
        <v>39080</v>
      </c>
      <c r="F219" s="109"/>
      <c r="G219" s="110"/>
      <c r="H219" s="110"/>
      <c r="I219" s="110"/>
      <c r="J219" s="110"/>
      <c r="K219" s="109">
        <v>31</v>
      </c>
      <c r="L219" s="110">
        <v>359</v>
      </c>
      <c r="M219" s="110">
        <v>193</v>
      </c>
      <c r="N219" s="110">
        <v>552</v>
      </c>
      <c r="O219" s="110">
        <v>83135</v>
      </c>
      <c r="P219" s="109"/>
      <c r="Q219" s="110"/>
      <c r="R219" s="110"/>
      <c r="S219" s="110"/>
    </row>
    <row r="220" spans="1:19" x14ac:dyDescent="0.45">
      <c r="A220" s="109">
        <v>34</v>
      </c>
      <c r="B220" s="110">
        <v>225</v>
      </c>
      <c r="C220" s="110">
        <v>44</v>
      </c>
      <c r="D220" s="110">
        <v>270</v>
      </c>
      <c r="E220" s="110">
        <v>39350</v>
      </c>
      <c r="F220" s="109"/>
      <c r="G220" s="110"/>
      <c r="H220" s="110"/>
      <c r="I220" s="110"/>
      <c r="J220" s="110"/>
      <c r="K220" s="109">
        <v>30</v>
      </c>
      <c r="L220" s="110">
        <v>275</v>
      </c>
      <c r="M220" s="110">
        <v>136</v>
      </c>
      <c r="N220" s="110">
        <v>413</v>
      </c>
      <c r="O220" s="110">
        <v>83548</v>
      </c>
      <c r="P220" s="109"/>
      <c r="Q220" s="110"/>
      <c r="R220" s="110"/>
      <c r="S220" s="110"/>
    </row>
    <row r="221" spans="1:19" x14ac:dyDescent="0.45">
      <c r="A221" s="109">
        <v>33</v>
      </c>
      <c r="B221" s="110">
        <v>145</v>
      </c>
      <c r="C221" s="110">
        <v>43</v>
      </c>
      <c r="D221" s="110">
        <v>188</v>
      </c>
      <c r="E221" s="110">
        <v>39538</v>
      </c>
      <c r="F221" s="109"/>
      <c r="G221" s="110"/>
      <c r="H221" s="110"/>
      <c r="I221" s="110"/>
      <c r="J221" s="110"/>
      <c r="K221" s="114">
        <v>29</v>
      </c>
      <c r="L221" s="115">
        <v>182</v>
      </c>
      <c r="M221" s="115">
        <v>99</v>
      </c>
      <c r="N221" s="115">
        <v>281</v>
      </c>
      <c r="O221" s="110">
        <v>83829</v>
      </c>
      <c r="P221" s="114"/>
      <c r="Q221" s="115"/>
      <c r="R221" s="115"/>
      <c r="S221" s="115"/>
    </row>
    <row r="222" spans="1:19" x14ac:dyDescent="0.45">
      <c r="A222" s="114">
        <v>32</v>
      </c>
      <c r="B222" s="115">
        <v>49</v>
      </c>
      <c r="C222" s="115">
        <v>9</v>
      </c>
      <c r="D222" s="115">
        <v>58</v>
      </c>
      <c r="E222" s="110">
        <v>39596</v>
      </c>
      <c r="F222" s="114"/>
      <c r="G222" s="115"/>
      <c r="H222" s="115"/>
      <c r="I222" s="115"/>
      <c r="J222" s="110"/>
      <c r="K222" s="109">
        <v>28</v>
      </c>
      <c r="L222" s="110">
        <v>137</v>
      </c>
      <c r="M222" s="110">
        <v>58</v>
      </c>
      <c r="N222" s="110">
        <v>195</v>
      </c>
      <c r="O222" s="110">
        <v>84024</v>
      </c>
      <c r="P222" s="109"/>
      <c r="Q222" s="110"/>
      <c r="R222" s="110"/>
      <c r="S222" s="110"/>
    </row>
    <row r="223" spans="1:19" x14ac:dyDescent="0.45">
      <c r="A223" s="112">
        <v>31</v>
      </c>
      <c r="B223" s="111">
        <v>72</v>
      </c>
      <c r="C223" s="111">
        <v>23</v>
      </c>
      <c r="D223" s="111">
        <v>95</v>
      </c>
      <c r="E223" s="111">
        <v>39691</v>
      </c>
      <c r="F223" s="109"/>
      <c r="G223" s="110"/>
      <c r="H223" s="110"/>
      <c r="I223" s="110"/>
      <c r="J223" s="110"/>
      <c r="K223" s="109">
        <v>27</v>
      </c>
      <c r="L223" s="110">
        <v>54</v>
      </c>
      <c r="M223" s="110">
        <v>24</v>
      </c>
      <c r="N223" s="110">
        <v>78</v>
      </c>
      <c r="O223" s="110">
        <v>84102</v>
      </c>
      <c r="P223" s="109"/>
      <c r="Q223" s="110"/>
      <c r="R223" s="110"/>
      <c r="S223" s="110"/>
    </row>
    <row r="224" spans="1:19" x14ac:dyDescent="0.45">
      <c r="A224" s="112">
        <v>29</v>
      </c>
      <c r="B224" s="111">
        <v>30</v>
      </c>
      <c r="C224" s="111">
        <v>6</v>
      </c>
      <c r="D224" s="111">
        <v>36</v>
      </c>
      <c r="E224" s="111">
        <v>39727</v>
      </c>
      <c r="F224" s="109"/>
      <c r="G224" s="110"/>
      <c r="H224" s="110"/>
      <c r="I224" s="110"/>
      <c r="J224" s="110"/>
      <c r="K224" s="109">
        <v>26</v>
      </c>
      <c r="L224" s="110">
        <v>79</v>
      </c>
      <c r="M224" s="110">
        <v>39</v>
      </c>
      <c r="N224" s="110">
        <v>118</v>
      </c>
      <c r="O224" s="110">
        <v>84220</v>
      </c>
      <c r="P224" s="109"/>
      <c r="Q224" s="110"/>
      <c r="R224" s="110"/>
      <c r="S224" s="110"/>
    </row>
    <row r="225" spans="1:19" x14ac:dyDescent="0.45">
      <c r="A225" s="113"/>
      <c r="B225" s="113"/>
      <c r="C225" s="113"/>
      <c r="D225" s="113"/>
      <c r="E225" s="113"/>
      <c r="F225" s="109"/>
      <c r="G225" s="110"/>
      <c r="H225" s="110"/>
      <c r="I225" s="110"/>
      <c r="J225" s="110"/>
      <c r="K225" s="109">
        <v>24</v>
      </c>
      <c r="L225" s="110">
        <v>20</v>
      </c>
      <c r="M225" s="110">
        <v>15</v>
      </c>
      <c r="N225" s="110">
        <v>35</v>
      </c>
      <c r="O225" s="110">
        <v>84255</v>
      </c>
      <c r="P225" s="109"/>
      <c r="Q225" s="110"/>
      <c r="R225" s="110"/>
      <c r="S225" s="110"/>
    </row>
    <row r="233" spans="1:19" ht="17.5" thickBot="1" x14ac:dyDescent="0.5"/>
    <row r="234" spans="1:19" x14ac:dyDescent="0.45">
      <c r="A234" s="12" t="s">
        <v>21</v>
      </c>
      <c r="B234" s="13"/>
      <c r="C234" s="13"/>
      <c r="D234" s="14"/>
      <c r="F234" s="12" t="s">
        <v>22</v>
      </c>
      <c r="G234" s="13"/>
      <c r="H234" s="13"/>
      <c r="I234" s="14"/>
      <c r="K234" s="12" t="s">
        <v>23</v>
      </c>
      <c r="L234" s="13"/>
      <c r="M234" s="13"/>
      <c r="N234" s="14"/>
      <c r="P234" s="12" t="s">
        <v>24</v>
      </c>
      <c r="Q234" s="13"/>
      <c r="R234" s="13"/>
      <c r="S234" s="14"/>
    </row>
    <row r="235" spans="1:19" x14ac:dyDescent="0.45">
      <c r="A235" s="6" t="s">
        <v>7</v>
      </c>
      <c r="B235" s="1"/>
      <c r="C235" s="1"/>
      <c r="D235" s="7" t="s">
        <v>8</v>
      </c>
      <c r="F235" s="6" t="s">
        <v>7</v>
      </c>
      <c r="G235" s="1"/>
      <c r="H235" s="1"/>
      <c r="I235" s="7" t="s">
        <v>8</v>
      </c>
      <c r="K235" s="6" t="s">
        <v>7</v>
      </c>
      <c r="L235" s="1"/>
      <c r="M235" s="1"/>
      <c r="N235" s="7" t="s">
        <v>8</v>
      </c>
      <c r="P235" s="6" t="s">
        <v>7</v>
      </c>
      <c r="Q235" s="1"/>
      <c r="R235" s="1"/>
      <c r="S235" s="7" t="s">
        <v>8</v>
      </c>
    </row>
    <row r="236" spans="1:19" x14ac:dyDescent="0.45">
      <c r="A236" s="109">
        <v>87</v>
      </c>
      <c r="B236" s="110">
        <v>28</v>
      </c>
      <c r="C236" s="110">
        <v>0</v>
      </c>
      <c r="D236" s="110">
        <v>28</v>
      </c>
      <c r="E236" s="110">
        <v>28</v>
      </c>
      <c r="F236" s="109">
        <v>81</v>
      </c>
      <c r="G236" s="110">
        <v>63</v>
      </c>
      <c r="H236" s="110">
        <v>12</v>
      </c>
      <c r="I236" s="110">
        <v>75</v>
      </c>
      <c r="J236" s="110">
        <v>75</v>
      </c>
      <c r="K236" s="109">
        <v>88</v>
      </c>
      <c r="L236" s="110">
        <v>48</v>
      </c>
      <c r="M236" s="110">
        <v>19</v>
      </c>
      <c r="N236" s="110">
        <v>67</v>
      </c>
      <c r="O236" s="110">
        <v>67</v>
      </c>
      <c r="P236" s="109">
        <v>86</v>
      </c>
      <c r="Q236" s="110">
        <v>94</v>
      </c>
      <c r="R236" s="110">
        <v>6</v>
      </c>
      <c r="S236" s="110">
        <v>100</v>
      </c>
    </row>
    <row r="237" spans="1:19" x14ac:dyDescent="0.45">
      <c r="A237" s="109">
        <v>85</v>
      </c>
      <c r="B237" s="110">
        <v>8</v>
      </c>
      <c r="C237" s="110">
        <v>1</v>
      </c>
      <c r="D237" s="110">
        <v>9</v>
      </c>
      <c r="E237" s="110">
        <v>37</v>
      </c>
      <c r="F237" s="109">
        <v>79</v>
      </c>
      <c r="G237" s="110">
        <v>21</v>
      </c>
      <c r="H237" s="110">
        <v>1</v>
      </c>
      <c r="I237" s="110">
        <v>22</v>
      </c>
      <c r="J237" s="110">
        <v>97</v>
      </c>
      <c r="K237" s="109">
        <v>86</v>
      </c>
      <c r="L237" s="110">
        <v>19</v>
      </c>
      <c r="M237" s="110">
        <v>7</v>
      </c>
      <c r="N237" s="110">
        <v>26</v>
      </c>
      <c r="O237" s="110">
        <v>93</v>
      </c>
      <c r="P237" s="109">
        <v>84</v>
      </c>
      <c r="Q237" s="110">
        <v>9</v>
      </c>
      <c r="R237" s="110">
        <v>2</v>
      </c>
      <c r="S237" s="110">
        <v>11</v>
      </c>
    </row>
    <row r="238" spans="1:19" x14ac:dyDescent="0.45">
      <c r="A238" s="109">
        <v>84</v>
      </c>
      <c r="B238" s="110">
        <v>28</v>
      </c>
      <c r="C238" s="110">
        <v>1</v>
      </c>
      <c r="D238" s="110">
        <v>29</v>
      </c>
      <c r="E238" s="110">
        <v>66</v>
      </c>
      <c r="F238" s="109">
        <v>78</v>
      </c>
      <c r="G238" s="110">
        <v>38</v>
      </c>
      <c r="H238" s="110">
        <v>6</v>
      </c>
      <c r="I238" s="110">
        <v>44</v>
      </c>
      <c r="J238" s="110">
        <v>141</v>
      </c>
      <c r="K238" s="109">
        <v>84</v>
      </c>
      <c r="L238" s="110">
        <v>25</v>
      </c>
      <c r="M238" s="110">
        <v>14</v>
      </c>
      <c r="N238" s="110">
        <v>40</v>
      </c>
      <c r="O238" s="110">
        <v>133</v>
      </c>
      <c r="P238" s="109">
        <v>83</v>
      </c>
      <c r="Q238" s="110">
        <v>35</v>
      </c>
      <c r="R238" s="110">
        <v>5</v>
      </c>
      <c r="S238" s="110">
        <v>40</v>
      </c>
    </row>
    <row r="239" spans="1:19" x14ac:dyDescent="0.45">
      <c r="A239" s="109">
        <v>82</v>
      </c>
      <c r="B239" s="110">
        <v>14</v>
      </c>
      <c r="C239" s="110">
        <v>0</v>
      </c>
      <c r="D239" s="110">
        <v>14</v>
      </c>
      <c r="E239" s="110">
        <v>80</v>
      </c>
      <c r="F239" s="109">
        <v>77</v>
      </c>
      <c r="G239" s="110">
        <v>7</v>
      </c>
      <c r="H239" s="110">
        <v>0</v>
      </c>
      <c r="I239" s="110">
        <v>7</v>
      </c>
      <c r="J239" s="110">
        <v>148</v>
      </c>
      <c r="K239" s="109">
        <v>83</v>
      </c>
      <c r="L239" s="110">
        <v>2</v>
      </c>
      <c r="M239" s="110">
        <v>0</v>
      </c>
      <c r="N239" s="110">
        <v>2</v>
      </c>
      <c r="O239" s="110">
        <v>135</v>
      </c>
      <c r="P239" s="109">
        <v>82</v>
      </c>
      <c r="Q239" s="110">
        <v>2</v>
      </c>
      <c r="R239" s="110">
        <v>0</v>
      </c>
      <c r="S239" s="110">
        <v>2</v>
      </c>
    </row>
    <row r="240" spans="1:19" x14ac:dyDescent="0.45">
      <c r="A240" s="109">
        <v>81</v>
      </c>
      <c r="B240" s="110">
        <v>32</v>
      </c>
      <c r="C240" s="110">
        <v>0</v>
      </c>
      <c r="D240" s="110">
        <v>32</v>
      </c>
      <c r="E240" s="110">
        <v>112</v>
      </c>
      <c r="F240" s="109">
        <v>76</v>
      </c>
      <c r="G240" s="110">
        <v>50</v>
      </c>
      <c r="H240" s="110">
        <v>15</v>
      </c>
      <c r="I240" s="110">
        <v>65</v>
      </c>
      <c r="J240" s="110">
        <v>213</v>
      </c>
      <c r="K240" s="109">
        <v>82</v>
      </c>
      <c r="L240" s="110">
        <v>32</v>
      </c>
      <c r="M240" s="110">
        <v>11</v>
      </c>
      <c r="N240" s="110">
        <v>43</v>
      </c>
      <c r="O240" s="110">
        <v>178</v>
      </c>
      <c r="P240" s="109">
        <v>81</v>
      </c>
      <c r="Q240" s="110">
        <v>11</v>
      </c>
      <c r="R240" s="110">
        <v>5</v>
      </c>
      <c r="S240" s="110">
        <v>16</v>
      </c>
    </row>
    <row r="241" spans="1:19" x14ac:dyDescent="0.45">
      <c r="A241" s="109">
        <v>80</v>
      </c>
      <c r="B241" s="110">
        <v>10</v>
      </c>
      <c r="C241" s="110">
        <v>2</v>
      </c>
      <c r="D241" s="110">
        <v>12</v>
      </c>
      <c r="E241" s="110">
        <v>124</v>
      </c>
      <c r="F241" s="109">
        <v>75</v>
      </c>
      <c r="G241" s="110">
        <v>14</v>
      </c>
      <c r="H241" s="110">
        <v>2</v>
      </c>
      <c r="I241" s="110">
        <v>16</v>
      </c>
      <c r="J241" s="110">
        <v>229</v>
      </c>
      <c r="K241" s="109">
        <v>81</v>
      </c>
      <c r="L241" s="110">
        <v>12</v>
      </c>
      <c r="M241" s="110">
        <v>10</v>
      </c>
      <c r="N241" s="110">
        <v>22</v>
      </c>
      <c r="O241" s="110">
        <v>200</v>
      </c>
      <c r="P241" s="109">
        <v>80</v>
      </c>
      <c r="Q241" s="110">
        <v>20</v>
      </c>
      <c r="R241" s="110">
        <v>4</v>
      </c>
      <c r="S241" s="110">
        <v>24</v>
      </c>
    </row>
    <row r="242" spans="1:19" x14ac:dyDescent="0.45">
      <c r="A242" s="109">
        <v>79</v>
      </c>
      <c r="B242" s="110">
        <v>40</v>
      </c>
      <c r="C242" s="110">
        <v>3</v>
      </c>
      <c r="D242" s="110">
        <v>43</v>
      </c>
      <c r="E242" s="110">
        <v>167</v>
      </c>
      <c r="F242" s="109">
        <v>74</v>
      </c>
      <c r="G242" s="110">
        <v>23</v>
      </c>
      <c r="H242" s="110">
        <v>5</v>
      </c>
      <c r="I242" s="110">
        <v>28</v>
      </c>
      <c r="J242" s="110">
        <v>257</v>
      </c>
      <c r="K242" s="109">
        <v>80</v>
      </c>
      <c r="L242" s="110">
        <v>12</v>
      </c>
      <c r="M242" s="110">
        <v>8</v>
      </c>
      <c r="N242" s="110">
        <v>20</v>
      </c>
      <c r="O242" s="110">
        <v>220</v>
      </c>
      <c r="P242" s="109">
        <v>79</v>
      </c>
      <c r="Q242" s="110">
        <v>1</v>
      </c>
      <c r="R242" s="110">
        <v>1</v>
      </c>
      <c r="S242" s="110">
        <v>2</v>
      </c>
    </row>
    <row r="243" spans="1:19" x14ac:dyDescent="0.45">
      <c r="A243" s="109">
        <v>77</v>
      </c>
      <c r="B243" s="110">
        <v>16</v>
      </c>
      <c r="C243" s="110">
        <v>3</v>
      </c>
      <c r="D243" s="110">
        <v>19</v>
      </c>
      <c r="E243" s="110">
        <v>186</v>
      </c>
      <c r="F243" s="109">
        <v>73</v>
      </c>
      <c r="G243" s="110">
        <v>22</v>
      </c>
      <c r="H243" s="110">
        <v>2</v>
      </c>
      <c r="I243" s="110">
        <v>25</v>
      </c>
      <c r="J243" s="110">
        <v>282</v>
      </c>
      <c r="K243" s="109">
        <v>79</v>
      </c>
      <c r="L243" s="110">
        <v>26</v>
      </c>
      <c r="M243" s="110">
        <v>10</v>
      </c>
      <c r="N243" s="110">
        <v>36</v>
      </c>
      <c r="O243" s="110">
        <v>256</v>
      </c>
      <c r="P243" s="109">
        <v>78</v>
      </c>
      <c r="Q243" s="110">
        <v>12</v>
      </c>
      <c r="R243" s="110">
        <v>4</v>
      </c>
      <c r="S243" s="110">
        <v>16</v>
      </c>
    </row>
    <row r="244" spans="1:19" x14ac:dyDescent="0.45">
      <c r="A244" s="109">
        <v>76</v>
      </c>
      <c r="B244" s="110">
        <v>21</v>
      </c>
      <c r="C244" s="110">
        <v>1</v>
      </c>
      <c r="D244" s="110">
        <v>22</v>
      </c>
      <c r="E244" s="110">
        <v>208</v>
      </c>
      <c r="F244" s="109">
        <v>72</v>
      </c>
      <c r="G244" s="110">
        <v>19</v>
      </c>
      <c r="H244" s="110">
        <v>3</v>
      </c>
      <c r="I244" s="110">
        <v>22</v>
      </c>
      <c r="J244" s="110">
        <v>304</v>
      </c>
      <c r="K244" s="109">
        <v>78</v>
      </c>
      <c r="L244" s="110">
        <v>6</v>
      </c>
      <c r="M244" s="110">
        <v>9</v>
      </c>
      <c r="N244" s="110">
        <v>15</v>
      </c>
      <c r="O244" s="110">
        <v>271</v>
      </c>
      <c r="P244" s="109">
        <v>77</v>
      </c>
      <c r="Q244" s="110">
        <v>6</v>
      </c>
      <c r="R244" s="110">
        <v>4</v>
      </c>
      <c r="S244" s="110">
        <v>10</v>
      </c>
    </row>
    <row r="245" spans="1:19" x14ac:dyDescent="0.45">
      <c r="A245" s="109">
        <v>75</v>
      </c>
      <c r="B245" s="110">
        <v>32</v>
      </c>
      <c r="C245" s="110">
        <v>1</v>
      </c>
      <c r="D245" s="110">
        <v>33</v>
      </c>
      <c r="E245" s="110">
        <v>241</v>
      </c>
      <c r="F245" s="109">
        <v>71</v>
      </c>
      <c r="G245" s="110">
        <v>28</v>
      </c>
      <c r="H245" s="110">
        <v>7</v>
      </c>
      <c r="I245" s="110">
        <v>35</v>
      </c>
      <c r="J245" s="110">
        <v>339</v>
      </c>
      <c r="K245" s="109">
        <v>77</v>
      </c>
      <c r="L245" s="110">
        <v>23</v>
      </c>
      <c r="M245" s="110">
        <v>8</v>
      </c>
      <c r="N245" s="110">
        <v>31</v>
      </c>
      <c r="O245" s="110">
        <v>302</v>
      </c>
      <c r="P245" s="109">
        <v>76</v>
      </c>
      <c r="Q245" s="110">
        <v>9</v>
      </c>
      <c r="R245" s="110">
        <v>2</v>
      </c>
      <c r="S245" s="110">
        <v>11</v>
      </c>
    </row>
    <row r="246" spans="1:19" x14ac:dyDescent="0.45">
      <c r="A246" s="109">
        <v>74</v>
      </c>
      <c r="B246" s="110">
        <v>14</v>
      </c>
      <c r="C246" s="110">
        <v>1</v>
      </c>
      <c r="D246" s="110">
        <v>15</v>
      </c>
      <c r="E246" s="110">
        <v>256</v>
      </c>
      <c r="F246" s="109">
        <v>70</v>
      </c>
      <c r="G246" s="110">
        <v>18</v>
      </c>
      <c r="H246" s="110">
        <v>5</v>
      </c>
      <c r="I246" s="110">
        <v>23</v>
      </c>
      <c r="J246" s="110">
        <v>362</v>
      </c>
      <c r="K246" s="109">
        <v>76</v>
      </c>
      <c r="L246" s="110">
        <v>25</v>
      </c>
      <c r="M246" s="110">
        <v>15</v>
      </c>
      <c r="N246" s="110">
        <v>40</v>
      </c>
      <c r="O246" s="110">
        <v>342</v>
      </c>
      <c r="P246" s="109">
        <v>75</v>
      </c>
      <c r="Q246" s="110">
        <v>18</v>
      </c>
      <c r="R246" s="110">
        <v>4</v>
      </c>
      <c r="S246" s="110">
        <v>22</v>
      </c>
    </row>
    <row r="247" spans="1:19" x14ac:dyDescent="0.45">
      <c r="A247" s="109">
        <v>73</v>
      </c>
      <c r="B247" s="110">
        <v>23</v>
      </c>
      <c r="C247" s="110">
        <v>1</v>
      </c>
      <c r="D247" s="110">
        <v>24</v>
      </c>
      <c r="E247" s="110">
        <v>280</v>
      </c>
      <c r="F247" s="109">
        <v>69</v>
      </c>
      <c r="G247" s="110">
        <v>20</v>
      </c>
      <c r="H247" s="110">
        <v>5</v>
      </c>
      <c r="I247" s="110">
        <v>26</v>
      </c>
      <c r="J247" s="110">
        <v>388</v>
      </c>
      <c r="K247" s="109">
        <v>75</v>
      </c>
      <c r="L247" s="110">
        <v>19</v>
      </c>
      <c r="M247" s="110">
        <v>11</v>
      </c>
      <c r="N247" s="110">
        <v>30</v>
      </c>
      <c r="O247" s="110">
        <v>372</v>
      </c>
      <c r="P247" s="109">
        <v>74</v>
      </c>
      <c r="Q247" s="110">
        <v>8</v>
      </c>
      <c r="R247" s="110">
        <v>9</v>
      </c>
      <c r="S247" s="110">
        <v>17</v>
      </c>
    </row>
    <row r="248" spans="1:19" x14ac:dyDescent="0.45">
      <c r="A248" s="109">
        <v>72</v>
      </c>
      <c r="B248" s="110">
        <v>22</v>
      </c>
      <c r="C248" s="110">
        <v>1</v>
      </c>
      <c r="D248" s="110">
        <v>23</v>
      </c>
      <c r="E248" s="110">
        <v>303</v>
      </c>
      <c r="F248" s="109">
        <v>68</v>
      </c>
      <c r="G248" s="110">
        <v>15</v>
      </c>
      <c r="H248" s="110">
        <v>7</v>
      </c>
      <c r="I248" s="110">
        <v>22</v>
      </c>
      <c r="J248" s="110">
        <v>410</v>
      </c>
      <c r="K248" s="109">
        <v>74</v>
      </c>
      <c r="L248" s="110">
        <v>26</v>
      </c>
      <c r="M248" s="110">
        <v>13</v>
      </c>
      <c r="N248" s="110">
        <v>39</v>
      </c>
      <c r="O248" s="110">
        <v>411</v>
      </c>
      <c r="P248" s="109">
        <v>73</v>
      </c>
      <c r="Q248" s="110">
        <v>15</v>
      </c>
      <c r="R248" s="110">
        <v>2</v>
      </c>
      <c r="S248" s="110">
        <v>17</v>
      </c>
    </row>
    <row r="249" spans="1:19" x14ac:dyDescent="0.45">
      <c r="A249" s="109">
        <v>71</v>
      </c>
      <c r="B249" s="110">
        <v>13</v>
      </c>
      <c r="C249" s="110">
        <v>2</v>
      </c>
      <c r="D249" s="110">
        <v>15</v>
      </c>
      <c r="E249" s="110">
        <v>318</v>
      </c>
      <c r="F249" s="109">
        <v>67</v>
      </c>
      <c r="G249" s="110">
        <v>18</v>
      </c>
      <c r="H249" s="110">
        <v>4</v>
      </c>
      <c r="I249" s="110">
        <v>22</v>
      </c>
      <c r="J249" s="110">
        <v>432</v>
      </c>
      <c r="K249" s="109">
        <v>73</v>
      </c>
      <c r="L249" s="110">
        <v>15</v>
      </c>
      <c r="M249" s="110">
        <v>11</v>
      </c>
      <c r="N249" s="110">
        <v>26</v>
      </c>
      <c r="O249" s="110">
        <v>437</v>
      </c>
      <c r="P249" s="109">
        <v>72</v>
      </c>
      <c r="Q249" s="110">
        <v>23</v>
      </c>
      <c r="R249" s="110">
        <v>3</v>
      </c>
      <c r="S249" s="110">
        <v>26</v>
      </c>
    </row>
    <row r="250" spans="1:19" x14ac:dyDescent="0.45">
      <c r="A250" s="109">
        <v>70</v>
      </c>
      <c r="B250" s="110">
        <v>19</v>
      </c>
      <c r="C250" s="110">
        <v>5</v>
      </c>
      <c r="D250" s="110">
        <v>24</v>
      </c>
      <c r="E250" s="110">
        <v>342</v>
      </c>
      <c r="F250" s="109">
        <v>66</v>
      </c>
      <c r="G250" s="110">
        <v>32</v>
      </c>
      <c r="H250" s="110">
        <v>19</v>
      </c>
      <c r="I250" s="110">
        <v>51</v>
      </c>
      <c r="J250" s="110">
        <v>483</v>
      </c>
      <c r="K250" s="109">
        <v>72</v>
      </c>
      <c r="L250" s="110">
        <v>21</v>
      </c>
      <c r="M250" s="110">
        <v>20</v>
      </c>
      <c r="N250" s="110">
        <v>41</v>
      </c>
      <c r="O250" s="110">
        <v>478</v>
      </c>
      <c r="P250" s="109">
        <v>71</v>
      </c>
      <c r="Q250" s="110">
        <v>18</v>
      </c>
      <c r="R250" s="110">
        <v>7</v>
      </c>
      <c r="S250" s="110">
        <v>25</v>
      </c>
    </row>
    <row r="251" spans="1:19" x14ac:dyDescent="0.45">
      <c r="A251" s="109">
        <v>69</v>
      </c>
      <c r="B251" s="110">
        <v>22</v>
      </c>
      <c r="C251" s="110">
        <v>2</v>
      </c>
      <c r="D251" s="110">
        <v>24</v>
      </c>
      <c r="E251" s="110">
        <v>366</v>
      </c>
      <c r="F251" s="109">
        <v>65</v>
      </c>
      <c r="G251" s="110">
        <v>14</v>
      </c>
      <c r="H251" s="110">
        <v>3</v>
      </c>
      <c r="I251" s="110">
        <v>17</v>
      </c>
      <c r="J251" s="110">
        <v>500</v>
      </c>
      <c r="K251" s="109">
        <v>71</v>
      </c>
      <c r="L251" s="110">
        <v>21</v>
      </c>
      <c r="M251" s="110">
        <v>15</v>
      </c>
      <c r="N251" s="110">
        <v>36</v>
      </c>
      <c r="O251" s="110">
        <v>514</v>
      </c>
      <c r="P251" s="109">
        <v>70</v>
      </c>
      <c r="Q251" s="110">
        <v>20</v>
      </c>
      <c r="R251" s="110">
        <v>8</v>
      </c>
      <c r="S251" s="110">
        <v>28</v>
      </c>
    </row>
    <row r="252" spans="1:19" x14ac:dyDescent="0.45">
      <c r="A252" s="109">
        <v>68</v>
      </c>
      <c r="B252" s="110">
        <v>24</v>
      </c>
      <c r="C252" s="110">
        <v>3</v>
      </c>
      <c r="D252" s="110">
        <v>27</v>
      </c>
      <c r="E252" s="110">
        <v>393</v>
      </c>
      <c r="F252" s="109">
        <v>64</v>
      </c>
      <c r="G252" s="110">
        <v>15</v>
      </c>
      <c r="H252" s="110">
        <v>11</v>
      </c>
      <c r="I252" s="110">
        <v>27</v>
      </c>
      <c r="J252" s="110">
        <v>527</v>
      </c>
      <c r="K252" s="109">
        <v>70</v>
      </c>
      <c r="L252" s="110">
        <v>22</v>
      </c>
      <c r="M252" s="110">
        <v>21</v>
      </c>
      <c r="N252" s="110">
        <v>43</v>
      </c>
      <c r="O252" s="110">
        <v>557</v>
      </c>
      <c r="P252" s="109">
        <v>69</v>
      </c>
      <c r="Q252" s="110">
        <v>25</v>
      </c>
      <c r="R252" s="110">
        <v>5</v>
      </c>
      <c r="S252" s="110">
        <v>30</v>
      </c>
    </row>
    <row r="253" spans="1:19" x14ac:dyDescent="0.45">
      <c r="A253" s="109">
        <v>67</v>
      </c>
      <c r="B253" s="110">
        <v>16</v>
      </c>
      <c r="C253" s="110">
        <v>1</v>
      </c>
      <c r="D253" s="110">
        <v>17</v>
      </c>
      <c r="E253" s="110">
        <v>410</v>
      </c>
      <c r="F253" s="109">
        <v>63</v>
      </c>
      <c r="G253" s="110">
        <v>14</v>
      </c>
      <c r="H253" s="110">
        <v>9</v>
      </c>
      <c r="I253" s="110">
        <v>23</v>
      </c>
      <c r="J253" s="110">
        <v>550</v>
      </c>
      <c r="K253" s="109">
        <v>69</v>
      </c>
      <c r="L253" s="110">
        <v>25</v>
      </c>
      <c r="M253" s="110">
        <v>35</v>
      </c>
      <c r="N253" s="110">
        <v>60</v>
      </c>
      <c r="O253" s="110">
        <v>617</v>
      </c>
      <c r="P253" s="109">
        <v>68</v>
      </c>
      <c r="Q253" s="110">
        <v>23</v>
      </c>
      <c r="R253" s="110">
        <v>9</v>
      </c>
      <c r="S253" s="110">
        <v>32</v>
      </c>
    </row>
    <row r="254" spans="1:19" x14ac:dyDescent="0.45">
      <c r="A254" s="109">
        <v>66</v>
      </c>
      <c r="B254" s="110">
        <v>19</v>
      </c>
      <c r="C254" s="110">
        <v>0</v>
      </c>
      <c r="D254" s="110">
        <v>20</v>
      </c>
      <c r="E254" s="110">
        <v>430</v>
      </c>
      <c r="F254" s="109">
        <v>62</v>
      </c>
      <c r="G254" s="110">
        <v>22</v>
      </c>
      <c r="H254" s="110">
        <v>17</v>
      </c>
      <c r="I254" s="110">
        <v>39</v>
      </c>
      <c r="J254" s="110">
        <v>589</v>
      </c>
      <c r="K254" s="109">
        <v>67</v>
      </c>
      <c r="L254" s="110">
        <v>25</v>
      </c>
      <c r="M254" s="110">
        <v>24</v>
      </c>
      <c r="N254" s="110">
        <v>49</v>
      </c>
      <c r="O254" s="110">
        <v>666</v>
      </c>
      <c r="P254" s="109">
        <v>67</v>
      </c>
      <c r="Q254" s="110">
        <v>35</v>
      </c>
      <c r="R254" s="110">
        <v>8</v>
      </c>
      <c r="S254" s="110">
        <v>43</v>
      </c>
    </row>
    <row r="255" spans="1:19" x14ac:dyDescent="0.45">
      <c r="A255" s="109">
        <v>65</v>
      </c>
      <c r="B255" s="110">
        <v>28</v>
      </c>
      <c r="C255" s="110">
        <v>4</v>
      </c>
      <c r="D255" s="110">
        <v>32</v>
      </c>
      <c r="E255" s="110">
        <v>462</v>
      </c>
      <c r="F255" s="109">
        <v>61</v>
      </c>
      <c r="G255" s="110">
        <v>35</v>
      </c>
      <c r="H255" s="110">
        <v>10</v>
      </c>
      <c r="I255" s="110">
        <v>45</v>
      </c>
      <c r="J255" s="110">
        <v>634</v>
      </c>
      <c r="K255" s="109">
        <v>66</v>
      </c>
      <c r="L255" s="110">
        <v>28</v>
      </c>
      <c r="M255" s="110">
        <v>25</v>
      </c>
      <c r="N255" s="110">
        <v>53</v>
      </c>
      <c r="O255" s="110">
        <v>719</v>
      </c>
      <c r="P255" s="109">
        <v>66</v>
      </c>
      <c r="Q255" s="110">
        <v>37</v>
      </c>
      <c r="R255" s="110">
        <v>8</v>
      </c>
      <c r="S255" s="110">
        <v>45</v>
      </c>
    </row>
    <row r="256" spans="1:19" x14ac:dyDescent="0.45">
      <c r="A256" s="109">
        <v>64</v>
      </c>
      <c r="B256" s="110">
        <v>24</v>
      </c>
      <c r="C256" s="110">
        <v>4</v>
      </c>
      <c r="D256" s="110">
        <v>28</v>
      </c>
      <c r="E256" s="110">
        <v>490</v>
      </c>
      <c r="F256" s="109">
        <v>60</v>
      </c>
      <c r="G256" s="110">
        <v>30</v>
      </c>
      <c r="H256" s="110">
        <v>15</v>
      </c>
      <c r="I256" s="110">
        <v>45</v>
      </c>
      <c r="J256" s="110">
        <v>679</v>
      </c>
      <c r="K256" s="109">
        <v>65</v>
      </c>
      <c r="L256" s="110">
        <v>38</v>
      </c>
      <c r="M256" s="110">
        <v>36</v>
      </c>
      <c r="N256" s="110">
        <v>74</v>
      </c>
      <c r="O256" s="110">
        <v>793</v>
      </c>
      <c r="P256" s="109">
        <v>65</v>
      </c>
      <c r="Q256" s="110">
        <v>25</v>
      </c>
      <c r="R256" s="110">
        <v>14</v>
      </c>
      <c r="S256" s="110">
        <v>39</v>
      </c>
    </row>
    <row r="257" spans="1:19" x14ac:dyDescent="0.45">
      <c r="A257" s="109">
        <v>63</v>
      </c>
      <c r="B257" s="110">
        <v>35</v>
      </c>
      <c r="C257" s="110">
        <v>5</v>
      </c>
      <c r="D257" s="110">
        <v>40</v>
      </c>
      <c r="E257" s="110">
        <v>530</v>
      </c>
      <c r="F257" s="109">
        <v>59</v>
      </c>
      <c r="G257" s="110">
        <v>43</v>
      </c>
      <c r="H257" s="110">
        <v>18</v>
      </c>
      <c r="I257" s="110">
        <v>61</v>
      </c>
      <c r="J257" s="110">
        <v>740</v>
      </c>
      <c r="K257" s="109">
        <v>64</v>
      </c>
      <c r="L257" s="110">
        <v>33</v>
      </c>
      <c r="M257" s="110">
        <v>37</v>
      </c>
      <c r="N257" s="110">
        <v>70</v>
      </c>
      <c r="O257" s="110">
        <v>863</v>
      </c>
      <c r="P257" s="109">
        <v>64</v>
      </c>
      <c r="Q257" s="110">
        <v>39</v>
      </c>
      <c r="R257" s="110">
        <v>12</v>
      </c>
      <c r="S257" s="110">
        <v>51</v>
      </c>
    </row>
    <row r="258" spans="1:19" x14ac:dyDescent="0.45">
      <c r="A258" s="109">
        <v>62</v>
      </c>
      <c r="B258" s="110">
        <v>27</v>
      </c>
      <c r="C258" s="110">
        <v>3</v>
      </c>
      <c r="D258" s="110">
        <v>30</v>
      </c>
      <c r="E258" s="110">
        <v>560</v>
      </c>
      <c r="F258" s="109">
        <v>58</v>
      </c>
      <c r="G258" s="110">
        <v>35</v>
      </c>
      <c r="H258" s="110">
        <v>13</v>
      </c>
      <c r="I258" s="110">
        <v>48</v>
      </c>
      <c r="J258" s="110">
        <v>788</v>
      </c>
      <c r="K258" s="109">
        <v>63</v>
      </c>
      <c r="L258" s="110">
        <v>44</v>
      </c>
      <c r="M258" s="110">
        <v>38</v>
      </c>
      <c r="N258" s="110">
        <v>82</v>
      </c>
      <c r="O258" s="110">
        <v>945</v>
      </c>
      <c r="P258" s="109">
        <v>63</v>
      </c>
      <c r="Q258" s="110">
        <v>45</v>
      </c>
      <c r="R258" s="110">
        <v>20</v>
      </c>
      <c r="S258" s="110">
        <v>65</v>
      </c>
    </row>
    <row r="259" spans="1:19" x14ac:dyDescent="0.45">
      <c r="A259" s="109">
        <v>61</v>
      </c>
      <c r="B259" s="110">
        <v>23</v>
      </c>
      <c r="C259" s="110">
        <v>4</v>
      </c>
      <c r="D259" s="110">
        <v>27</v>
      </c>
      <c r="E259" s="110">
        <v>587</v>
      </c>
      <c r="F259" s="109">
        <v>57</v>
      </c>
      <c r="G259" s="110">
        <v>36</v>
      </c>
      <c r="H259" s="110">
        <v>19</v>
      </c>
      <c r="I259" s="110">
        <v>55</v>
      </c>
      <c r="J259" s="110">
        <v>843</v>
      </c>
      <c r="K259" s="109">
        <v>62</v>
      </c>
      <c r="L259" s="110">
        <v>39</v>
      </c>
      <c r="M259" s="110">
        <v>49</v>
      </c>
      <c r="N259" s="110">
        <v>88</v>
      </c>
      <c r="O259" s="110">
        <v>1033</v>
      </c>
      <c r="P259" s="109">
        <v>62</v>
      </c>
      <c r="Q259" s="110">
        <v>54</v>
      </c>
      <c r="R259" s="110">
        <v>18</v>
      </c>
      <c r="S259" s="110">
        <v>72</v>
      </c>
    </row>
    <row r="260" spans="1:19" x14ac:dyDescent="0.45">
      <c r="A260" s="109">
        <v>59</v>
      </c>
      <c r="B260" s="110">
        <v>49</v>
      </c>
      <c r="C260" s="110">
        <v>3</v>
      </c>
      <c r="D260" s="110">
        <v>53</v>
      </c>
      <c r="E260" s="110">
        <v>640</v>
      </c>
      <c r="F260" s="109">
        <v>56</v>
      </c>
      <c r="G260" s="110">
        <v>31</v>
      </c>
      <c r="H260" s="110">
        <v>22</v>
      </c>
      <c r="I260" s="110">
        <v>53</v>
      </c>
      <c r="J260" s="110">
        <v>896</v>
      </c>
      <c r="K260" s="109">
        <v>61</v>
      </c>
      <c r="L260" s="110">
        <v>56</v>
      </c>
      <c r="M260" s="110">
        <v>49</v>
      </c>
      <c r="N260" s="110">
        <v>105</v>
      </c>
      <c r="O260" s="110">
        <v>1138</v>
      </c>
      <c r="P260" s="109">
        <v>61</v>
      </c>
      <c r="Q260" s="110">
        <v>55</v>
      </c>
      <c r="R260" s="110">
        <v>17</v>
      </c>
      <c r="S260" s="110">
        <v>72</v>
      </c>
    </row>
    <row r="261" spans="1:19" x14ac:dyDescent="0.45">
      <c r="A261" s="109">
        <v>58</v>
      </c>
      <c r="B261" s="110">
        <v>39</v>
      </c>
      <c r="C261" s="110">
        <v>4</v>
      </c>
      <c r="D261" s="110">
        <v>43</v>
      </c>
      <c r="E261" s="110">
        <v>683</v>
      </c>
      <c r="F261" s="109">
        <v>55</v>
      </c>
      <c r="G261" s="110">
        <v>105</v>
      </c>
      <c r="H261" s="110">
        <v>62</v>
      </c>
      <c r="I261" s="110">
        <v>167</v>
      </c>
      <c r="J261" s="110">
        <v>1063</v>
      </c>
      <c r="K261" s="109">
        <v>60</v>
      </c>
      <c r="L261" s="110">
        <v>48</v>
      </c>
      <c r="M261" s="110">
        <v>53</v>
      </c>
      <c r="N261" s="110">
        <v>101</v>
      </c>
      <c r="O261" s="110">
        <v>1239</v>
      </c>
      <c r="P261" s="109">
        <v>60</v>
      </c>
      <c r="Q261" s="110">
        <v>53</v>
      </c>
      <c r="R261" s="110">
        <v>26</v>
      </c>
      <c r="S261" s="110">
        <v>79</v>
      </c>
    </row>
    <row r="262" spans="1:19" x14ac:dyDescent="0.45">
      <c r="A262" s="109">
        <v>57</v>
      </c>
      <c r="B262" s="110">
        <v>51</v>
      </c>
      <c r="C262" s="110">
        <v>12</v>
      </c>
      <c r="D262" s="110">
        <v>63</v>
      </c>
      <c r="E262" s="110">
        <v>746</v>
      </c>
      <c r="F262" s="109">
        <v>54</v>
      </c>
      <c r="G262" s="110">
        <v>69</v>
      </c>
      <c r="H262" s="110">
        <v>36</v>
      </c>
      <c r="I262" s="110">
        <v>105</v>
      </c>
      <c r="J262" s="110">
        <v>1168</v>
      </c>
      <c r="K262" s="109">
        <v>59</v>
      </c>
      <c r="L262" s="110">
        <v>72</v>
      </c>
      <c r="M262" s="110">
        <v>61</v>
      </c>
      <c r="N262" s="110">
        <v>133</v>
      </c>
      <c r="O262" s="110">
        <v>1372</v>
      </c>
      <c r="P262" s="109">
        <v>59</v>
      </c>
      <c r="Q262" s="110">
        <v>67</v>
      </c>
      <c r="R262" s="110">
        <v>17</v>
      </c>
      <c r="S262" s="110">
        <v>86</v>
      </c>
    </row>
    <row r="263" spans="1:19" x14ac:dyDescent="0.45">
      <c r="A263" s="109">
        <v>56</v>
      </c>
      <c r="B263" s="110">
        <v>78</v>
      </c>
      <c r="C263" s="110">
        <v>15</v>
      </c>
      <c r="D263" s="110">
        <v>93</v>
      </c>
      <c r="E263" s="110">
        <v>839</v>
      </c>
      <c r="F263" s="109">
        <v>53</v>
      </c>
      <c r="G263" s="110">
        <v>79</v>
      </c>
      <c r="H263" s="110">
        <v>42</v>
      </c>
      <c r="I263" s="110">
        <v>121</v>
      </c>
      <c r="J263" s="110">
        <v>1289</v>
      </c>
      <c r="K263" s="109">
        <v>58</v>
      </c>
      <c r="L263" s="110">
        <v>58</v>
      </c>
      <c r="M263" s="110">
        <v>70</v>
      </c>
      <c r="N263" s="110">
        <v>128</v>
      </c>
      <c r="O263" s="110">
        <v>1500</v>
      </c>
      <c r="P263" s="109">
        <v>58</v>
      </c>
      <c r="Q263" s="110">
        <v>77</v>
      </c>
      <c r="R263" s="110">
        <v>28</v>
      </c>
      <c r="S263" s="110">
        <v>105</v>
      </c>
    </row>
    <row r="264" spans="1:19" x14ac:dyDescent="0.45">
      <c r="A264" s="109">
        <v>55</v>
      </c>
      <c r="B264" s="110">
        <v>69</v>
      </c>
      <c r="C264" s="110">
        <v>18</v>
      </c>
      <c r="D264" s="110">
        <v>87</v>
      </c>
      <c r="E264" s="110">
        <v>926</v>
      </c>
      <c r="F264" s="109">
        <v>52</v>
      </c>
      <c r="G264" s="110">
        <v>77</v>
      </c>
      <c r="H264" s="110">
        <v>39</v>
      </c>
      <c r="I264" s="110">
        <v>117</v>
      </c>
      <c r="J264" s="110">
        <v>1406</v>
      </c>
      <c r="K264" s="109">
        <v>57</v>
      </c>
      <c r="L264" s="110">
        <v>72</v>
      </c>
      <c r="M264" s="110">
        <v>87</v>
      </c>
      <c r="N264" s="110">
        <v>159</v>
      </c>
      <c r="O264" s="110">
        <v>1659</v>
      </c>
      <c r="P264" s="109">
        <v>57</v>
      </c>
      <c r="Q264" s="110">
        <v>90</v>
      </c>
      <c r="R264" s="110">
        <v>43</v>
      </c>
      <c r="S264" s="110">
        <v>134</v>
      </c>
    </row>
    <row r="265" spans="1:19" x14ac:dyDescent="0.45">
      <c r="A265" s="109">
        <v>54</v>
      </c>
      <c r="B265" s="110">
        <v>125</v>
      </c>
      <c r="C265" s="110">
        <v>18</v>
      </c>
      <c r="D265" s="110">
        <v>144</v>
      </c>
      <c r="E265" s="110">
        <v>1070</v>
      </c>
      <c r="F265" s="109">
        <v>51</v>
      </c>
      <c r="G265" s="110">
        <v>99</v>
      </c>
      <c r="H265" s="110">
        <v>33</v>
      </c>
      <c r="I265" s="110">
        <v>133</v>
      </c>
      <c r="J265" s="110">
        <v>1539</v>
      </c>
      <c r="K265" s="109">
        <v>56</v>
      </c>
      <c r="L265" s="110">
        <v>91</v>
      </c>
      <c r="M265" s="110">
        <v>90</v>
      </c>
      <c r="N265" s="110">
        <v>181</v>
      </c>
      <c r="O265" s="110">
        <v>1840</v>
      </c>
      <c r="P265" s="109">
        <v>56</v>
      </c>
      <c r="Q265" s="110">
        <v>89</v>
      </c>
      <c r="R265" s="110">
        <v>29</v>
      </c>
      <c r="S265" s="110">
        <v>118</v>
      </c>
    </row>
    <row r="266" spans="1:19" x14ac:dyDescent="0.45">
      <c r="A266" s="109">
        <v>53</v>
      </c>
      <c r="B266" s="110">
        <v>122</v>
      </c>
      <c r="C266" s="110">
        <v>24</v>
      </c>
      <c r="D266" s="110">
        <v>147</v>
      </c>
      <c r="E266" s="110">
        <v>1217</v>
      </c>
      <c r="F266" s="109">
        <v>50</v>
      </c>
      <c r="G266" s="110">
        <v>92</v>
      </c>
      <c r="H266" s="110">
        <v>41</v>
      </c>
      <c r="I266" s="110">
        <v>136</v>
      </c>
      <c r="J266" s="110">
        <v>1675</v>
      </c>
      <c r="K266" s="109">
        <v>55</v>
      </c>
      <c r="L266" s="110">
        <v>81</v>
      </c>
      <c r="M266" s="110">
        <v>91</v>
      </c>
      <c r="N266" s="110">
        <v>172</v>
      </c>
      <c r="O266" s="110">
        <v>2012</v>
      </c>
      <c r="P266" s="109">
        <v>55</v>
      </c>
      <c r="Q266" s="110">
        <v>75</v>
      </c>
      <c r="R266" s="110">
        <v>42</v>
      </c>
      <c r="S266" s="110">
        <v>117</v>
      </c>
    </row>
    <row r="267" spans="1:19" x14ac:dyDescent="0.45">
      <c r="A267" s="109">
        <v>52</v>
      </c>
      <c r="B267" s="110">
        <v>127</v>
      </c>
      <c r="C267" s="110">
        <v>31</v>
      </c>
      <c r="D267" s="110">
        <v>158</v>
      </c>
      <c r="E267" s="110">
        <v>1375</v>
      </c>
      <c r="F267" s="109">
        <v>49</v>
      </c>
      <c r="G267" s="110">
        <v>109</v>
      </c>
      <c r="H267" s="110">
        <v>59</v>
      </c>
      <c r="I267" s="110">
        <v>170</v>
      </c>
      <c r="J267" s="110">
        <v>1845</v>
      </c>
      <c r="K267" s="109">
        <v>54</v>
      </c>
      <c r="L267" s="110">
        <v>93</v>
      </c>
      <c r="M267" s="110">
        <v>109</v>
      </c>
      <c r="N267" s="110">
        <v>202</v>
      </c>
      <c r="O267" s="110">
        <v>2214</v>
      </c>
      <c r="P267" s="109">
        <v>54</v>
      </c>
      <c r="Q267" s="110">
        <v>99</v>
      </c>
      <c r="R267" s="110">
        <v>41</v>
      </c>
      <c r="S267" s="110">
        <v>140</v>
      </c>
    </row>
    <row r="268" spans="1:19" x14ac:dyDescent="0.45">
      <c r="A268" s="109">
        <v>51</v>
      </c>
      <c r="B268" s="110">
        <v>159</v>
      </c>
      <c r="C268" s="110">
        <v>31</v>
      </c>
      <c r="D268" s="110">
        <v>192</v>
      </c>
      <c r="E268" s="110">
        <v>1567</v>
      </c>
      <c r="F268" s="109">
        <v>48</v>
      </c>
      <c r="G268" s="110">
        <v>121</v>
      </c>
      <c r="H268" s="110">
        <v>46</v>
      </c>
      <c r="I268" s="110">
        <v>168</v>
      </c>
      <c r="J268" s="110">
        <v>2013</v>
      </c>
      <c r="K268" s="109">
        <v>53</v>
      </c>
      <c r="L268" s="110">
        <v>143</v>
      </c>
      <c r="M268" s="110">
        <v>130</v>
      </c>
      <c r="N268" s="110">
        <v>274</v>
      </c>
      <c r="O268" s="110">
        <v>2488</v>
      </c>
      <c r="P268" s="109">
        <v>53</v>
      </c>
      <c r="Q268" s="110">
        <v>96</v>
      </c>
      <c r="R268" s="110">
        <v>44</v>
      </c>
      <c r="S268" s="110">
        <v>141</v>
      </c>
    </row>
    <row r="269" spans="1:19" x14ac:dyDescent="0.45">
      <c r="A269" s="109">
        <v>50</v>
      </c>
      <c r="B269" s="110">
        <v>181</v>
      </c>
      <c r="C269" s="110">
        <v>41</v>
      </c>
      <c r="D269" s="110">
        <v>222</v>
      </c>
      <c r="E269" s="110">
        <v>1789</v>
      </c>
      <c r="F269" s="109">
        <v>47</v>
      </c>
      <c r="G269" s="110">
        <v>162</v>
      </c>
      <c r="H269" s="110">
        <v>60</v>
      </c>
      <c r="I269" s="110">
        <v>222</v>
      </c>
      <c r="J269" s="110">
        <v>2235</v>
      </c>
      <c r="K269" s="109">
        <v>52</v>
      </c>
      <c r="L269" s="110">
        <v>153</v>
      </c>
      <c r="M269" s="110">
        <v>122</v>
      </c>
      <c r="N269" s="110">
        <v>275</v>
      </c>
      <c r="O269" s="110">
        <v>2763</v>
      </c>
      <c r="P269" s="109">
        <v>52</v>
      </c>
      <c r="Q269" s="110">
        <v>114</v>
      </c>
      <c r="R269" s="110">
        <v>49</v>
      </c>
      <c r="S269" s="110">
        <v>163</v>
      </c>
    </row>
    <row r="270" spans="1:19" x14ac:dyDescent="0.45">
      <c r="A270" s="109">
        <v>49</v>
      </c>
      <c r="B270" s="110">
        <v>275</v>
      </c>
      <c r="C270" s="110">
        <v>51</v>
      </c>
      <c r="D270" s="110">
        <v>327</v>
      </c>
      <c r="E270" s="110">
        <v>2116</v>
      </c>
      <c r="F270" s="109">
        <v>46</v>
      </c>
      <c r="G270" s="110">
        <v>157</v>
      </c>
      <c r="H270" s="110">
        <v>58</v>
      </c>
      <c r="I270" s="110">
        <v>215</v>
      </c>
      <c r="J270" s="110">
        <v>2450</v>
      </c>
      <c r="K270" s="109">
        <v>50</v>
      </c>
      <c r="L270" s="110">
        <v>180</v>
      </c>
      <c r="M270" s="110">
        <v>162</v>
      </c>
      <c r="N270" s="110">
        <v>344</v>
      </c>
      <c r="O270" s="110">
        <v>3107</v>
      </c>
      <c r="P270" s="109">
        <v>51</v>
      </c>
      <c r="Q270" s="110">
        <v>130</v>
      </c>
      <c r="R270" s="110">
        <v>49</v>
      </c>
      <c r="S270" s="110">
        <v>179</v>
      </c>
    </row>
    <row r="271" spans="1:19" x14ac:dyDescent="0.45">
      <c r="A271" s="109">
        <v>48</v>
      </c>
      <c r="B271" s="110">
        <v>216</v>
      </c>
      <c r="C271" s="110">
        <v>50</v>
      </c>
      <c r="D271" s="110">
        <v>267</v>
      </c>
      <c r="E271" s="110">
        <v>2383</v>
      </c>
      <c r="F271" s="109">
        <v>45</v>
      </c>
      <c r="G271" s="110">
        <v>626</v>
      </c>
      <c r="H271" s="110">
        <v>192</v>
      </c>
      <c r="I271" s="110">
        <v>818</v>
      </c>
      <c r="J271" s="110">
        <v>3268</v>
      </c>
      <c r="K271" s="109">
        <v>49</v>
      </c>
      <c r="L271" s="110">
        <v>186</v>
      </c>
      <c r="M271" s="110">
        <v>172</v>
      </c>
      <c r="N271" s="110">
        <v>359</v>
      </c>
      <c r="O271" s="110">
        <v>3466</v>
      </c>
      <c r="P271" s="109">
        <v>50</v>
      </c>
      <c r="Q271" s="110">
        <v>136</v>
      </c>
      <c r="R271" s="110">
        <v>56</v>
      </c>
      <c r="S271" s="110">
        <v>192</v>
      </c>
    </row>
    <row r="272" spans="1:19" x14ac:dyDescent="0.45">
      <c r="A272" s="109">
        <v>47</v>
      </c>
      <c r="B272" s="110">
        <v>242</v>
      </c>
      <c r="C272" s="110">
        <v>52</v>
      </c>
      <c r="D272" s="110">
        <v>295</v>
      </c>
      <c r="E272" s="110">
        <v>2678</v>
      </c>
      <c r="F272" s="109">
        <v>44</v>
      </c>
      <c r="G272" s="110">
        <v>345</v>
      </c>
      <c r="H272" s="110">
        <v>111</v>
      </c>
      <c r="I272" s="110">
        <v>458</v>
      </c>
      <c r="J272" s="110">
        <v>3726</v>
      </c>
      <c r="K272" s="109">
        <v>48</v>
      </c>
      <c r="L272" s="110">
        <v>185</v>
      </c>
      <c r="M272" s="110">
        <v>174</v>
      </c>
      <c r="N272" s="110">
        <v>361</v>
      </c>
      <c r="O272" s="110">
        <v>3827</v>
      </c>
      <c r="P272" s="109">
        <v>49</v>
      </c>
      <c r="Q272" s="110">
        <v>198</v>
      </c>
      <c r="R272" s="110">
        <v>84</v>
      </c>
      <c r="S272" s="110">
        <v>282</v>
      </c>
    </row>
    <row r="273" spans="1:19" x14ac:dyDescent="0.45">
      <c r="A273" s="109">
        <v>46</v>
      </c>
      <c r="B273" s="110">
        <v>213</v>
      </c>
      <c r="C273" s="110">
        <v>43</v>
      </c>
      <c r="D273" s="110">
        <v>257</v>
      </c>
      <c r="E273" s="110">
        <v>2935</v>
      </c>
      <c r="F273" s="109">
        <v>43</v>
      </c>
      <c r="G273" s="110">
        <v>167</v>
      </c>
      <c r="H273" s="110">
        <v>67</v>
      </c>
      <c r="I273" s="110">
        <v>234</v>
      </c>
      <c r="J273" s="110">
        <v>3960</v>
      </c>
      <c r="K273" s="109">
        <v>47</v>
      </c>
      <c r="L273" s="110">
        <v>329</v>
      </c>
      <c r="M273" s="110">
        <v>302</v>
      </c>
      <c r="N273" s="110">
        <v>632</v>
      </c>
      <c r="O273" s="110">
        <v>4459</v>
      </c>
      <c r="P273" s="109">
        <v>48</v>
      </c>
      <c r="Q273" s="110">
        <v>195</v>
      </c>
      <c r="R273" s="110">
        <v>64</v>
      </c>
      <c r="S273" s="110">
        <v>259</v>
      </c>
    </row>
    <row r="274" spans="1:19" x14ac:dyDescent="0.45">
      <c r="A274" s="109">
        <v>45</v>
      </c>
      <c r="B274" s="110">
        <v>271</v>
      </c>
      <c r="C274" s="110">
        <v>63</v>
      </c>
      <c r="D274" s="110">
        <v>335</v>
      </c>
      <c r="E274" s="110">
        <v>3270</v>
      </c>
      <c r="F274" s="109">
        <v>42</v>
      </c>
      <c r="G274" s="110">
        <v>123</v>
      </c>
      <c r="H274" s="110">
        <v>49</v>
      </c>
      <c r="I274" s="110">
        <v>173</v>
      </c>
      <c r="J274" s="110">
        <v>4133</v>
      </c>
      <c r="K274" s="109">
        <v>46</v>
      </c>
      <c r="L274" s="110">
        <v>601</v>
      </c>
      <c r="M274" s="110">
        <v>293</v>
      </c>
      <c r="N274" s="110">
        <v>896</v>
      </c>
      <c r="O274" s="110">
        <v>5355</v>
      </c>
      <c r="P274" s="109">
        <v>47</v>
      </c>
      <c r="Q274" s="110">
        <v>252</v>
      </c>
      <c r="R274" s="110">
        <v>120</v>
      </c>
      <c r="S274" s="110">
        <v>372</v>
      </c>
    </row>
    <row r="275" spans="1:19" x14ac:dyDescent="0.45">
      <c r="A275" s="109">
        <v>44</v>
      </c>
      <c r="B275" s="110">
        <v>511</v>
      </c>
      <c r="C275" s="110">
        <v>73</v>
      </c>
      <c r="D275" s="110">
        <v>584</v>
      </c>
      <c r="E275" s="110">
        <v>3854</v>
      </c>
      <c r="F275" s="109">
        <v>41</v>
      </c>
      <c r="G275" s="110">
        <v>96</v>
      </c>
      <c r="H275" s="110">
        <v>49</v>
      </c>
      <c r="I275" s="110">
        <v>145</v>
      </c>
      <c r="J275" s="110">
        <v>4278</v>
      </c>
      <c r="K275" s="109">
        <v>45</v>
      </c>
      <c r="L275" s="110">
        <v>345</v>
      </c>
      <c r="M275" s="110">
        <v>253</v>
      </c>
      <c r="N275" s="110">
        <v>601</v>
      </c>
      <c r="O275" s="110">
        <v>5956</v>
      </c>
      <c r="P275" s="109">
        <v>46</v>
      </c>
      <c r="Q275" s="110">
        <v>389</v>
      </c>
      <c r="R275" s="110">
        <v>137</v>
      </c>
      <c r="S275" s="110">
        <v>529</v>
      </c>
    </row>
    <row r="276" spans="1:19" x14ac:dyDescent="0.45">
      <c r="A276" s="109">
        <v>42</v>
      </c>
      <c r="B276" s="110">
        <v>126</v>
      </c>
      <c r="C276" s="110">
        <v>31</v>
      </c>
      <c r="D276" s="110">
        <v>157</v>
      </c>
      <c r="E276" s="110">
        <v>4011</v>
      </c>
      <c r="F276" s="109">
        <v>40</v>
      </c>
      <c r="G276" s="110">
        <v>101</v>
      </c>
      <c r="H276" s="110">
        <v>46</v>
      </c>
      <c r="I276" s="110">
        <v>147</v>
      </c>
      <c r="J276" s="110">
        <v>4425</v>
      </c>
      <c r="K276" s="109">
        <v>44</v>
      </c>
      <c r="L276" s="110">
        <v>461</v>
      </c>
      <c r="M276" s="110">
        <v>296</v>
      </c>
      <c r="N276" s="110">
        <v>759</v>
      </c>
      <c r="O276" s="110">
        <v>6715</v>
      </c>
      <c r="P276" s="109">
        <v>45</v>
      </c>
      <c r="Q276" s="110">
        <v>513</v>
      </c>
      <c r="R276" s="110">
        <v>151</v>
      </c>
      <c r="S276" s="110">
        <v>664</v>
      </c>
    </row>
    <row r="277" spans="1:19" x14ac:dyDescent="0.45">
      <c r="A277" s="109">
        <v>41</v>
      </c>
      <c r="B277" s="110">
        <v>307</v>
      </c>
      <c r="C277" s="110">
        <v>48</v>
      </c>
      <c r="D277" s="110">
        <v>357</v>
      </c>
      <c r="E277" s="110">
        <v>4368</v>
      </c>
      <c r="F277" s="109">
        <v>39</v>
      </c>
      <c r="G277" s="110">
        <v>37</v>
      </c>
      <c r="H277" s="110">
        <v>6</v>
      </c>
      <c r="I277" s="110">
        <v>43</v>
      </c>
      <c r="J277" s="110">
        <v>4468</v>
      </c>
      <c r="K277" s="109">
        <v>43</v>
      </c>
      <c r="L277" s="110">
        <v>290</v>
      </c>
      <c r="M277" s="110">
        <v>200</v>
      </c>
      <c r="N277" s="110">
        <v>494</v>
      </c>
      <c r="O277" s="110">
        <v>7209</v>
      </c>
      <c r="P277" s="109">
        <v>44</v>
      </c>
      <c r="Q277" s="110">
        <v>197</v>
      </c>
      <c r="R277" s="110">
        <v>137</v>
      </c>
      <c r="S277" s="110">
        <v>340</v>
      </c>
    </row>
    <row r="278" spans="1:19" x14ac:dyDescent="0.45">
      <c r="A278" s="109">
        <v>40</v>
      </c>
      <c r="B278" s="110">
        <v>85</v>
      </c>
      <c r="C278" s="110">
        <v>10</v>
      </c>
      <c r="D278" s="110">
        <v>95</v>
      </c>
      <c r="E278" s="110">
        <v>4463</v>
      </c>
      <c r="F278" s="109">
        <v>38</v>
      </c>
      <c r="G278" s="110">
        <v>44</v>
      </c>
      <c r="H278" s="110">
        <v>21</v>
      </c>
      <c r="I278" s="110">
        <v>65</v>
      </c>
      <c r="J278" s="110">
        <v>4533</v>
      </c>
      <c r="K278" s="109">
        <v>42</v>
      </c>
      <c r="L278" s="110">
        <v>264</v>
      </c>
      <c r="M278" s="110">
        <v>240</v>
      </c>
      <c r="N278" s="110">
        <v>504</v>
      </c>
      <c r="O278" s="110">
        <v>7713</v>
      </c>
      <c r="P278" s="109">
        <v>43</v>
      </c>
      <c r="Q278" s="110">
        <v>291</v>
      </c>
      <c r="R278" s="110">
        <v>194</v>
      </c>
      <c r="S278" s="110">
        <v>485</v>
      </c>
    </row>
    <row r="279" spans="1:19" x14ac:dyDescent="0.45">
      <c r="A279" s="109">
        <v>39</v>
      </c>
      <c r="B279" s="110">
        <v>104</v>
      </c>
      <c r="C279" s="110">
        <v>18</v>
      </c>
      <c r="D279" s="110">
        <v>122</v>
      </c>
      <c r="E279" s="110">
        <v>4585</v>
      </c>
      <c r="F279" s="109">
        <v>37</v>
      </c>
      <c r="G279" s="110">
        <v>34</v>
      </c>
      <c r="H279" s="110">
        <v>16</v>
      </c>
      <c r="I279" s="110">
        <v>50</v>
      </c>
      <c r="J279" s="110">
        <v>4583</v>
      </c>
      <c r="K279" s="109">
        <v>41</v>
      </c>
      <c r="L279" s="110">
        <v>159</v>
      </c>
      <c r="M279" s="110">
        <v>124</v>
      </c>
      <c r="N279" s="110">
        <v>283</v>
      </c>
      <c r="O279" s="110">
        <v>7996</v>
      </c>
      <c r="P279" s="109">
        <v>42</v>
      </c>
      <c r="Q279" s="110">
        <v>169</v>
      </c>
      <c r="R279" s="110">
        <v>133</v>
      </c>
      <c r="S279" s="110">
        <v>302</v>
      </c>
    </row>
    <row r="280" spans="1:19" x14ac:dyDescent="0.45">
      <c r="A280" s="109">
        <v>38</v>
      </c>
      <c r="B280" s="110">
        <v>53</v>
      </c>
      <c r="C280" s="110">
        <v>14</v>
      </c>
      <c r="D280" s="110">
        <v>67</v>
      </c>
      <c r="E280" s="110">
        <v>4652</v>
      </c>
      <c r="F280" s="109">
        <v>35</v>
      </c>
      <c r="G280" s="110">
        <v>40</v>
      </c>
      <c r="H280" s="110">
        <v>25</v>
      </c>
      <c r="I280" s="110">
        <v>65</v>
      </c>
      <c r="J280" s="110">
        <v>4648</v>
      </c>
      <c r="K280" s="114">
        <v>40</v>
      </c>
      <c r="L280" s="115">
        <v>132</v>
      </c>
      <c r="M280" s="115">
        <v>141</v>
      </c>
      <c r="N280" s="115">
        <v>273</v>
      </c>
      <c r="O280" s="110">
        <v>8269</v>
      </c>
      <c r="P280" s="114">
        <v>41</v>
      </c>
      <c r="Q280" s="115">
        <v>70</v>
      </c>
      <c r="R280" s="115">
        <v>49</v>
      </c>
      <c r="S280" s="115">
        <v>120</v>
      </c>
    </row>
    <row r="281" spans="1:19" x14ac:dyDescent="0.45">
      <c r="A281" s="114">
        <v>37</v>
      </c>
      <c r="B281" s="115">
        <v>20</v>
      </c>
      <c r="C281" s="115">
        <v>2</v>
      </c>
      <c r="D281" s="115">
        <v>22</v>
      </c>
      <c r="E281" s="110">
        <v>4674</v>
      </c>
      <c r="F281" s="114"/>
      <c r="G281" s="115"/>
      <c r="H281" s="115"/>
      <c r="I281" s="115"/>
      <c r="J281" s="115"/>
      <c r="K281" s="109">
        <v>39</v>
      </c>
      <c r="L281" s="110">
        <v>116</v>
      </c>
      <c r="M281" s="110">
        <v>119</v>
      </c>
      <c r="N281" s="110">
        <v>236</v>
      </c>
      <c r="O281" s="110">
        <v>8505</v>
      </c>
      <c r="P281" s="109">
        <v>40</v>
      </c>
      <c r="Q281" s="110">
        <v>243</v>
      </c>
      <c r="R281" s="110">
        <v>247</v>
      </c>
      <c r="S281" s="110">
        <v>491</v>
      </c>
    </row>
    <row r="282" spans="1:19" x14ac:dyDescent="0.45">
      <c r="A282" s="112">
        <v>36</v>
      </c>
      <c r="B282" s="111">
        <v>38</v>
      </c>
      <c r="C282" s="111">
        <v>4</v>
      </c>
      <c r="D282" s="111">
        <v>42</v>
      </c>
      <c r="E282" s="110">
        <v>4716</v>
      </c>
      <c r="F282" s="109"/>
      <c r="G282" s="110"/>
      <c r="H282" s="110"/>
      <c r="I282" s="110"/>
      <c r="J282" s="110"/>
      <c r="K282" s="109">
        <v>38</v>
      </c>
      <c r="L282" s="110">
        <v>42</v>
      </c>
      <c r="M282" s="110">
        <v>33</v>
      </c>
      <c r="N282" s="110">
        <v>75</v>
      </c>
      <c r="O282" s="110">
        <v>8580</v>
      </c>
      <c r="P282" s="109">
        <v>38</v>
      </c>
      <c r="Q282" s="110">
        <v>119</v>
      </c>
      <c r="R282" s="110">
        <v>95</v>
      </c>
      <c r="S282" s="110">
        <v>216</v>
      </c>
    </row>
    <row r="283" spans="1:19" x14ac:dyDescent="0.45">
      <c r="A283" s="112">
        <v>34</v>
      </c>
      <c r="B283" s="111">
        <v>10</v>
      </c>
      <c r="C283" s="111">
        <v>2</v>
      </c>
      <c r="D283" s="111">
        <v>12</v>
      </c>
      <c r="E283" s="111">
        <v>4728</v>
      </c>
      <c r="F283" s="109"/>
      <c r="G283" s="110"/>
      <c r="H283" s="110"/>
      <c r="I283" s="110"/>
      <c r="J283" s="110"/>
      <c r="K283" s="109">
        <v>37</v>
      </c>
      <c r="L283" s="110">
        <v>70</v>
      </c>
      <c r="M283" s="110">
        <v>58</v>
      </c>
      <c r="N283" s="110">
        <v>129</v>
      </c>
      <c r="O283" s="110">
        <v>8709</v>
      </c>
      <c r="P283" s="109"/>
      <c r="Q283" s="110"/>
      <c r="R283" s="110"/>
      <c r="S283" s="110"/>
    </row>
    <row r="284" spans="1:19" x14ac:dyDescent="0.45">
      <c r="A284" s="113"/>
      <c r="B284" s="110"/>
      <c r="C284" s="110"/>
      <c r="D284" s="110"/>
      <c r="E284" s="110"/>
      <c r="F284" s="109"/>
      <c r="G284" s="110"/>
      <c r="H284" s="110"/>
      <c r="I284" s="110"/>
      <c r="J284" s="110"/>
      <c r="K284" s="109">
        <v>35</v>
      </c>
      <c r="L284" s="110">
        <v>27</v>
      </c>
      <c r="M284" s="110">
        <v>13</v>
      </c>
      <c r="N284" s="110">
        <v>40</v>
      </c>
      <c r="O284" s="110">
        <v>8749</v>
      </c>
      <c r="P284" s="109"/>
      <c r="Q284" s="110"/>
      <c r="R284" s="110"/>
      <c r="S284" s="1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4"/>
  <dimension ref="A3:V174"/>
  <sheetViews>
    <sheetView topLeftCell="A2" workbookViewId="0">
      <selection activeCell="C4" sqref="C4:D174"/>
    </sheetView>
  </sheetViews>
  <sheetFormatPr defaultRowHeight="17" x14ac:dyDescent="0.45"/>
  <cols>
    <col min="2" max="2" width="12.58203125" customWidth="1"/>
    <col min="3" max="3" width="18" customWidth="1"/>
    <col min="4" max="22" width="12.58203125" customWidth="1"/>
  </cols>
  <sheetData>
    <row r="3" spans="1:22" x14ac:dyDescent="0.45">
      <c r="C3" s="1" t="s">
        <v>60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25</v>
      </c>
      <c r="P3" s="1" t="s">
        <v>17</v>
      </c>
      <c r="Q3" s="1" t="s">
        <v>19</v>
      </c>
      <c r="R3" s="1" t="s">
        <v>20</v>
      </c>
      <c r="S3" s="1" t="s">
        <v>26</v>
      </c>
      <c r="T3" s="1" t="s">
        <v>22</v>
      </c>
      <c r="U3" s="1" t="s">
        <v>23</v>
      </c>
      <c r="V3" s="1" t="s">
        <v>24</v>
      </c>
    </row>
    <row r="4" spans="1:22" x14ac:dyDescent="0.45">
      <c r="A4" t="s">
        <v>66</v>
      </c>
      <c r="B4" s="1" t="s">
        <v>27</v>
      </c>
      <c r="C4" s="107">
        <v>90</v>
      </c>
      <c r="D4" s="108">
        <v>18741</v>
      </c>
    </row>
    <row r="5" spans="1:22" x14ac:dyDescent="0.45">
      <c r="B5" s="1" t="s">
        <v>28</v>
      </c>
      <c r="C5" s="107">
        <v>80</v>
      </c>
      <c r="D5" s="108">
        <v>31057</v>
      </c>
    </row>
    <row r="6" spans="1:22" x14ac:dyDescent="0.45">
      <c r="B6" s="1" t="s">
        <v>29</v>
      </c>
      <c r="C6" s="107">
        <v>70</v>
      </c>
      <c r="D6" s="108">
        <v>44743</v>
      </c>
    </row>
    <row r="7" spans="1:22" x14ac:dyDescent="0.45">
      <c r="B7" s="1" t="s">
        <v>30</v>
      </c>
      <c r="C7" s="107">
        <v>60</v>
      </c>
      <c r="D7" s="108">
        <v>51240</v>
      </c>
    </row>
    <row r="8" spans="1:22" x14ac:dyDescent="0.45">
      <c r="B8" s="1" t="s">
        <v>31</v>
      </c>
      <c r="C8" s="107">
        <v>50</v>
      </c>
      <c r="D8" s="108">
        <v>44005</v>
      </c>
    </row>
    <row r="9" spans="1:22" x14ac:dyDescent="0.45">
      <c r="B9" s="1" t="s">
        <v>32</v>
      </c>
      <c r="C9" s="107">
        <v>40</v>
      </c>
      <c r="D9" s="108">
        <v>35300</v>
      </c>
    </row>
    <row r="10" spans="1:22" x14ac:dyDescent="0.45">
      <c r="B10" s="1" t="s">
        <v>33</v>
      </c>
      <c r="C10" s="107">
        <v>30</v>
      </c>
      <c r="D10" s="108">
        <v>28516</v>
      </c>
    </row>
    <row r="11" spans="1:22" x14ac:dyDescent="0.45">
      <c r="B11" s="1" t="s">
        <v>34</v>
      </c>
      <c r="C11" s="107">
        <v>20</v>
      </c>
      <c r="D11" s="108">
        <v>28381</v>
      </c>
    </row>
    <row r="12" spans="1:22" x14ac:dyDescent="0.45">
      <c r="B12" s="1" t="s">
        <v>36</v>
      </c>
      <c r="C12" s="107">
        <v>0</v>
      </c>
      <c r="D12" s="108">
        <v>17958</v>
      </c>
    </row>
    <row r="13" spans="1:22" x14ac:dyDescent="0.45">
      <c r="A13" t="s">
        <v>67</v>
      </c>
      <c r="B13" s="1" t="s">
        <v>27</v>
      </c>
      <c r="C13" s="107">
        <v>40</v>
      </c>
      <c r="D13" s="108">
        <v>37846</v>
      </c>
    </row>
    <row r="14" spans="1:22" x14ac:dyDescent="0.45">
      <c r="B14" s="1" t="s">
        <v>28</v>
      </c>
      <c r="C14" s="107">
        <v>35</v>
      </c>
      <c r="D14" s="108">
        <v>33038</v>
      </c>
    </row>
    <row r="15" spans="1:22" x14ac:dyDescent="0.45">
      <c r="B15" s="1" t="s">
        <v>29</v>
      </c>
      <c r="C15" s="107">
        <v>30</v>
      </c>
      <c r="D15" s="108">
        <v>44202</v>
      </c>
    </row>
    <row r="16" spans="1:22" x14ac:dyDescent="0.45">
      <c r="B16" s="1" t="s">
        <v>30</v>
      </c>
      <c r="C16" s="107">
        <v>25</v>
      </c>
      <c r="D16" s="108">
        <v>49643</v>
      </c>
    </row>
    <row r="17" spans="1:4" x14ac:dyDescent="0.45">
      <c r="B17" s="1" t="s">
        <v>31</v>
      </c>
      <c r="C17" s="107">
        <v>20</v>
      </c>
      <c r="D17" s="108">
        <v>43822</v>
      </c>
    </row>
    <row r="18" spans="1:4" x14ac:dyDescent="0.45">
      <c r="B18" s="1" t="s">
        <v>32</v>
      </c>
      <c r="C18" s="107">
        <v>15</v>
      </c>
      <c r="D18" s="108">
        <v>34888</v>
      </c>
    </row>
    <row r="19" spans="1:4" x14ac:dyDescent="0.45">
      <c r="B19" s="1" t="s">
        <v>33</v>
      </c>
      <c r="C19" s="107">
        <v>10</v>
      </c>
      <c r="D19" s="108">
        <v>28814</v>
      </c>
    </row>
    <row r="20" spans="1:4" x14ac:dyDescent="0.45">
      <c r="B20" s="1" t="s">
        <v>34</v>
      </c>
      <c r="C20" s="107">
        <v>5</v>
      </c>
      <c r="D20" s="108">
        <v>25285</v>
      </c>
    </row>
    <row r="21" spans="1:4" x14ac:dyDescent="0.45">
      <c r="B21" s="1" t="s">
        <v>36</v>
      </c>
      <c r="C21" s="107">
        <v>0</v>
      </c>
      <c r="D21" s="108">
        <v>2933</v>
      </c>
    </row>
    <row r="22" spans="1:4" x14ac:dyDescent="0.45">
      <c r="A22" t="s">
        <v>45</v>
      </c>
      <c r="B22" s="1" t="s">
        <v>37</v>
      </c>
      <c r="C22" s="107">
        <v>67</v>
      </c>
      <c r="D22" s="108">
        <v>4583</v>
      </c>
    </row>
    <row r="23" spans="1:4" x14ac:dyDescent="0.45">
      <c r="B23" s="1" t="s">
        <v>38</v>
      </c>
      <c r="C23" s="107">
        <v>62</v>
      </c>
      <c r="D23" s="108">
        <v>7860</v>
      </c>
    </row>
    <row r="24" spans="1:4" x14ac:dyDescent="0.45">
      <c r="B24" s="1" t="s">
        <v>39</v>
      </c>
      <c r="C24" s="107">
        <v>59</v>
      </c>
      <c r="D24" s="108">
        <v>12506</v>
      </c>
    </row>
    <row r="25" spans="1:4" x14ac:dyDescent="0.45">
      <c r="B25" s="1" t="s">
        <v>40</v>
      </c>
      <c r="C25" s="107">
        <v>54</v>
      </c>
      <c r="D25" s="108">
        <v>17368</v>
      </c>
    </row>
    <row r="26" spans="1:4" x14ac:dyDescent="0.45">
      <c r="B26" s="1" t="s">
        <v>41</v>
      </c>
      <c r="C26" s="107">
        <v>48</v>
      </c>
      <c r="D26" s="108">
        <v>22610</v>
      </c>
    </row>
    <row r="27" spans="1:4" x14ac:dyDescent="0.45">
      <c r="B27" s="1" t="s">
        <v>42</v>
      </c>
      <c r="C27" s="107">
        <v>41</v>
      </c>
      <c r="D27" s="108">
        <v>16627</v>
      </c>
    </row>
    <row r="28" spans="1:4" x14ac:dyDescent="0.45">
      <c r="B28" s="1" t="s">
        <v>43</v>
      </c>
      <c r="C28" s="107">
        <v>36</v>
      </c>
      <c r="D28" s="108">
        <v>12925</v>
      </c>
    </row>
    <row r="29" spans="1:4" x14ac:dyDescent="0.45">
      <c r="B29" s="1" t="s">
        <v>44</v>
      </c>
      <c r="C29" s="107">
        <v>33</v>
      </c>
      <c r="D29" s="108">
        <v>6686</v>
      </c>
    </row>
    <row r="30" spans="1:4" x14ac:dyDescent="0.45">
      <c r="B30" s="1" t="s">
        <v>35</v>
      </c>
      <c r="C30" s="107">
        <v>25</v>
      </c>
      <c r="D30" s="108">
        <v>3582</v>
      </c>
    </row>
    <row r="31" spans="1:4" x14ac:dyDescent="0.45">
      <c r="A31" t="s">
        <v>46</v>
      </c>
      <c r="B31" s="1" t="s">
        <v>27</v>
      </c>
      <c r="C31" s="107">
        <v>70</v>
      </c>
      <c r="D31" s="108">
        <v>1201</v>
      </c>
    </row>
    <row r="32" spans="1:4" x14ac:dyDescent="0.45">
      <c r="B32" s="1" t="s">
        <v>28</v>
      </c>
      <c r="C32" s="107">
        <v>64</v>
      </c>
      <c r="D32" s="108">
        <v>2376</v>
      </c>
    </row>
    <row r="33" spans="1:4" x14ac:dyDescent="0.45">
      <c r="B33" s="1" t="s">
        <v>29</v>
      </c>
      <c r="C33" s="107">
        <v>58</v>
      </c>
      <c r="D33" s="108">
        <v>3438</v>
      </c>
    </row>
    <row r="34" spans="1:4" x14ac:dyDescent="0.45">
      <c r="B34" s="1" t="s">
        <v>30</v>
      </c>
      <c r="C34" s="107">
        <v>52</v>
      </c>
      <c r="D34" s="108">
        <v>4589</v>
      </c>
    </row>
    <row r="35" spans="1:4" x14ac:dyDescent="0.45">
      <c r="B35" s="1" t="s">
        <v>31</v>
      </c>
      <c r="C35" s="107">
        <v>45</v>
      </c>
      <c r="D35" s="108">
        <v>5996</v>
      </c>
    </row>
    <row r="36" spans="1:4" x14ac:dyDescent="0.45">
      <c r="B36" s="1" t="s">
        <v>32</v>
      </c>
      <c r="C36" s="107">
        <v>42</v>
      </c>
      <c r="D36" s="108">
        <v>4022</v>
      </c>
    </row>
    <row r="37" spans="1:4" x14ac:dyDescent="0.45">
      <c r="B37" s="1" t="s">
        <v>33</v>
      </c>
      <c r="C37" s="107">
        <v>39</v>
      </c>
      <c r="D37" s="108">
        <v>3283</v>
      </c>
    </row>
    <row r="38" spans="1:4" x14ac:dyDescent="0.45">
      <c r="B38" s="1" t="s">
        <v>34</v>
      </c>
      <c r="C38" s="107">
        <v>37</v>
      </c>
      <c r="D38" s="108">
        <v>1848</v>
      </c>
    </row>
    <row r="39" spans="1:4" x14ac:dyDescent="0.45">
      <c r="B39" s="1" t="s">
        <v>36</v>
      </c>
      <c r="C39" s="107">
        <v>31</v>
      </c>
      <c r="D39" s="108">
        <v>939</v>
      </c>
    </row>
    <row r="40" spans="1:4" x14ac:dyDescent="0.45">
      <c r="A40" t="s">
        <v>47</v>
      </c>
      <c r="B40" s="1" t="s">
        <v>37</v>
      </c>
      <c r="C40" s="107">
        <v>68</v>
      </c>
      <c r="D40" s="108">
        <v>1162</v>
      </c>
    </row>
    <row r="41" spans="1:4" x14ac:dyDescent="0.45">
      <c r="B41" s="1" t="s">
        <v>38</v>
      </c>
      <c r="C41" s="107">
        <v>64</v>
      </c>
      <c r="D41" s="108">
        <v>1749</v>
      </c>
    </row>
    <row r="42" spans="1:4" x14ac:dyDescent="0.45">
      <c r="B42" s="1" t="s">
        <v>39</v>
      </c>
      <c r="C42" s="107">
        <v>58</v>
      </c>
      <c r="D42" s="108">
        <v>3381</v>
      </c>
    </row>
    <row r="43" spans="1:4" x14ac:dyDescent="0.45">
      <c r="B43" s="1" t="s">
        <v>40</v>
      </c>
      <c r="C43" s="107">
        <v>53</v>
      </c>
      <c r="D43" s="108">
        <v>3806</v>
      </c>
    </row>
    <row r="44" spans="1:4" x14ac:dyDescent="0.45">
      <c r="B44" s="1" t="s">
        <v>41</v>
      </c>
      <c r="C44" s="107">
        <v>47</v>
      </c>
      <c r="D44" s="108">
        <v>5076</v>
      </c>
    </row>
    <row r="45" spans="1:4" x14ac:dyDescent="0.45">
      <c r="B45" s="1" t="s">
        <v>42</v>
      </c>
      <c r="C45" s="107">
        <v>41</v>
      </c>
      <c r="D45" s="108">
        <v>4215</v>
      </c>
    </row>
    <row r="46" spans="1:4" x14ac:dyDescent="0.45">
      <c r="B46" s="1" t="s">
        <v>43</v>
      </c>
      <c r="C46" s="107">
        <v>38</v>
      </c>
      <c r="D46" s="108">
        <v>3465</v>
      </c>
    </row>
    <row r="47" spans="1:4" x14ac:dyDescent="0.45">
      <c r="B47" s="1" t="s">
        <v>44</v>
      </c>
      <c r="C47" s="107">
        <v>34</v>
      </c>
      <c r="D47" s="108">
        <v>1816</v>
      </c>
    </row>
    <row r="48" spans="1:4" x14ac:dyDescent="0.45">
      <c r="B48" s="1" t="s">
        <v>35</v>
      </c>
      <c r="C48" s="107">
        <v>28</v>
      </c>
      <c r="D48" s="108">
        <v>491</v>
      </c>
    </row>
    <row r="49" spans="1:4" x14ac:dyDescent="0.45">
      <c r="A49" t="s">
        <v>48</v>
      </c>
      <c r="B49" s="1" t="s">
        <v>27</v>
      </c>
      <c r="C49" s="107">
        <v>70</v>
      </c>
      <c r="D49" s="108">
        <v>947</v>
      </c>
    </row>
    <row r="50" spans="1:4" x14ac:dyDescent="0.45">
      <c r="B50" s="1" t="s">
        <v>28</v>
      </c>
      <c r="C50" s="107">
        <v>64</v>
      </c>
      <c r="D50" s="108">
        <v>1756</v>
      </c>
    </row>
    <row r="51" spans="1:4" x14ac:dyDescent="0.45">
      <c r="B51" s="1" t="s">
        <v>29</v>
      </c>
      <c r="C51" s="107">
        <v>58</v>
      </c>
      <c r="D51" s="108">
        <v>2243</v>
      </c>
    </row>
    <row r="52" spans="1:4" x14ac:dyDescent="0.45">
      <c r="B52" s="1" t="s">
        <v>30</v>
      </c>
      <c r="C52" s="107">
        <v>51</v>
      </c>
      <c r="D52" s="108">
        <v>4085</v>
      </c>
    </row>
    <row r="53" spans="1:4" x14ac:dyDescent="0.45">
      <c r="B53" s="1" t="s">
        <v>31</v>
      </c>
      <c r="C53" s="107">
        <v>45</v>
      </c>
      <c r="D53" s="108">
        <v>4289</v>
      </c>
    </row>
    <row r="54" spans="1:4" x14ac:dyDescent="0.45">
      <c r="B54" s="1" t="s">
        <v>32</v>
      </c>
      <c r="C54" s="107">
        <v>41</v>
      </c>
      <c r="D54" s="108">
        <v>4133</v>
      </c>
    </row>
    <row r="55" spans="1:4" x14ac:dyDescent="0.45">
      <c r="B55" s="1" t="s">
        <v>33</v>
      </c>
      <c r="C55" s="107">
        <v>38</v>
      </c>
      <c r="D55" s="108">
        <v>2328</v>
      </c>
    </row>
    <row r="56" spans="1:4" x14ac:dyDescent="0.45">
      <c r="B56" s="1" t="s">
        <v>34</v>
      </c>
      <c r="C56" s="107">
        <v>36</v>
      </c>
      <c r="D56" s="108">
        <v>709</v>
      </c>
    </row>
    <row r="57" spans="1:4" x14ac:dyDescent="0.45">
      <c r="B57" s="1" t="s">
        <v>36</v>
      </c>
      <c r="C57" s="107">
        <v>30</v>
      </c>
      <c r="D57" s="108">
        <v>665</v>
      </c>
    </row>
    <row r="58" spans="1:4" x14ac:dyDescent="0.45">
      <c r="A58" t="s">
        <v>49</v>
      </c>
      <c r="B58" s="1" t="s">
        <v>37</v>
      </c>
      <c r="C58" s="107">
        <v>68</v>
      </c>
      <c r="D58" s="108">
        <v>523</v>
      </c>
    </row>
    <row r="59" spans="1:4" x14ac:dyDescent="0.45">
      <c r="B59" s="1" t="s">
        <v>38</v>
      </c>
      <c r="C59" s="107">
        <v>65</v>
      </c>
      <c r="D59" s="108">
        <v>901</v>
      </c>
    </row>
    <row r="60" spans="1:4" x14ac:dyDescent="0.45">
      <c r="B60" s="1" t="s">
        <v>39</v>
      </c>
      <c r="C60" s="107">
        <v>59</v>
      </c>
      <c r="D60" s="108">
        <v>1680</v>
      </c>
    </row>
    <row r="61" spans="1:4" x14ac:dyDescent="0.45">
      <c r="B61" s="1" t="s">
        <v>40</v>
      </c>
      <c r="C61" s="107">
        <v>52</v>
      </c>
      <c r="D61" s="108">
        <v>2274</v>
      </c>
    </row>
    <row r="62" spans="1:4" x14ac:dyDescent="0.45">
      <c r="B62" s="1" t="s">
        <v>41</v>
      </c>
      <c r="C62" s="107">
        <v>45</v>
      </c>
      <c r="D62" s="108">
        <v>2723</v>
      </c>
    </row>
    <row r="63" spans="1:4" x14ac:dyDescent="0.45">
      <c r="B63" s="1" t="s">
        <v>42</v>
      </c>
      <c r="C63" s="107">
        <v>41</v>
      </c>
      <c r="D63" s="108">
        <v>1782</v>
      </c>
    </row>
    <row r="64" spans="1:4" x14ac:dyDescent="0.45">
      <c r="B64" s="1" t="s">
        <v>43</v>
      </c>
      <c r="C64" s="107">
        <v>38</v>
      </c>
      <c r="D64" s="108">
        <v>1760</v>
      </c>
    </row>
    <row r="65" spans="1:4" x14ac:dyDescent="0.45">
      <c r="B65" s="1" t="s">
        <v>44</v>
      </c>
      <c r="C65" s="107">
        <v>36</v>
      </c>
      <c r="D65" s="108">
        <v>653</v>
      </c>
    </row>
    <row r="66" spans="1:4" x14ac:dyDescent="0.45">
      <c r="B66" s="1" t="s">
        <v>35</v>
      </c>
      <c r="C66" s="107">
        <v>30</v>
      </c>
      <c r="D66" s="108">
        <v>285</v>
      </c>
    </row>
    <row r="67" spans="1:4" x14ac:dyDescent="0.45">
      <c r="A67" t="s">
        <v>48</v>
      </c>
      <c r="B67" s="1" t="s">
        <v>27</v>
      </c>
      <c r="C67" s="107">
        <v>71</v>
      </c>
      <c r="D67" s="108">
        <v>530</v>
      </c>
    </row>
    <row r="68" spans="1:4" x14ac:dyDescent="0.45">
      <c r="B68" s="1" t="s">
        <v>28</v>
      </c>
      <c r="C68" s="107">
        <v>65</v>
      </c>
      <c r="D68" s="108">
        <v>864</v>
      </c>
    </row>
    <row r="69" spans="1:4" x14ac:dyDescent="0.45">
      <c r="B69" s="1" t="s">
        <v>29</v>
      </c>
      <c r="C69" s="107">
        <v>58</v>
      </c>
      <c r="D69" s="108">
        <v>1569</v>
      </c>
    </row>
    <row r="70" spans="1:4" x14ac:dyDescent="0.45">
      <c r="B70" s="1" t="s">
        <v>30</v>
      </c>
      <c r="C70" s="107">
        <v>51</v>
      </c>
      <c r="D70" s="108">
        <v>1941</v>
      </c>
    </row>
    <row r="71" spans="1:4" x14ac:dyDescent="0.45">
      <c r="B71" s="1" t="s">
        <v>31</v>
      </c>
      <c r="C71" s="107">
        <v>45</v>
      </c>
      <c r="D71" s="108">
        <v>2177</v>
      </c>
    </row>
    <row r="72" spans="1:4" x14ac:dyDescent="0.45">
      <c r="B72" s="1" t="s">
        <v>32</v>
      </c>
      <c r="C72" s="107">
        <v>41</v>
      </c>
      <c r="D72" s="108">
        <v>2488</v>
      </c>
    </row>
    <row r="73" spans="1:4" x14ac:dyDescent="0.45">
      <c r="B73" s="1" t="s">
        <v>33</v>
      </c>
      <c r="C73" s="107">
        <v>39</v>
      </c>
      <c r="D73" s="108">
        <v>1100</v>
      </c>
    </row>
    <row r="74" spans="1:4" x14ac:dyDescent="0.45">
      <c r="B74" s="1" t="s">
        <v>34</v>
      </c>
      <c r="C74" s="107">
        <v>38</v>
      </c>
      <c r="D74" s="108">
        <v>609</v>
      </c>
    </row>
    <row r="75" spans="1:4" x14ac:dyDescent="0.45">
      <c r="B75" s="1" t="s">
        <v>36</v>
      </c>
      <c r="C75" s="107">
        <v>32</v>
      </c>
      <c r="D75" s="108">
        <v>411</v>
      </c>
    </row>
    <row r="76" spans="1:4" x14ac:dyDescent="0.45">
      <c r="A76" t="s">
        <v>50</v>
      </c>
      <c r="B76" s="1" t="s">
        <v>37</v>
      </c>
      <c r="C76" s="107">
        <v>71</v>
      </c>
      <c r="D76" s="108">
        <v>242</v>
      </c>
    </row>
    <row r="77" spans="1:4" x14ac:dyDescent="0.45">
      <c r="B77" s="1" t="s">
        <v>38</v>
      </c>
      <c r="C77" s="107">
        <v>64</v>
      </c>
      <c r="D77" s="108">
        <v>437</v>
      </c>
    </row>
    <row r="78" spans="1:4" x14ac:dyDescent="0.45">
      <c r="B78" s="1" t="s">
        <v>39</v>
      </c>
      <c r="C78" s="107">
        <v>58</v>
      </c>
      <c r="D78" s="108">
        <v>700</v>
      </c>
    </row>
    <row r="79" spans="1:4" x14ac:dyDescent="0.45">
      <c r="B79" s="1" t="s">
        <v>40</v>
      </c>
      <c r="C79" s="107">
        <v>51</v>
      </c>
      <c r="D79" s="108">
        <v>1022</v>
      </c>
    </row>
    <row r="80" spans="1:4" x14ac:dyDescent="0.45">
      <c r="B80" s="1" t="s">
        <v>41</v>
      </c>
      <c r="C80" s="107">
        <v>44</v>
      </c>
      <c r="D80" s="108">
        <v>1214</v>
      </c>
    </row>
    <row r="81" spans="1:4" x14ac:dyDescent="0.45">
      <c r="B81" s="1" t="s">
        <v>42</v>
      </c>
      <c r="C81" s="107">
        <v>41</v>
      </c>
      <c r="D81" s="108">
        <v>1455</v>
      </c>
    </row>
    <row r="82" spans="1:4" x14ac:dyDescent="0.45">
      <c r="B82" s="1" t="s">
        <v>43</v>
      </c>
      <c r="C82" s="107">
        <v>40</v>
      </c>
      <c r="D82" s="108">
        <v>126</v>
      </c>
    </row>
    <row r="83" spans="1:4" x14ac:dyDescent="0.45">
      <c r="B83" s="1" t="s">
        <v>44</v>
      </c>
      <c r="C83" s="107">
        <v>38</v>
      </c>
      <c r="D83" s="108">
        <v>352</v>
      </c>
    </row>
    <row r="84" spans="1:4" x14ac:dyDescent="0.45">
      <c r="B84" s="1" t="s">
        <v>35</v>
      </c>
      <c r="C84" s="107">
        <v>32</v>
      </c>
      <c r="D84" s="108">
        <v>205</v>
      </c>
    </row>
    <row r="85" spans="1:4" x14ac:dyDescent="0.45">
      <c r="A85" t="s">
        <v>65</v>
      </c>
      <c r="B85" s="1" t="s">
        <v>27</v>
      </c>
      <c r="C85" s="107">
        <v>69</v>
      </c>
      <c r="D85" s="108">
        <v>1073</v>
      </c>
    </row>
    <row r="86" spans="1:4" x14ac:dyDescent="0.45">
      <c r="B86" s="1" t="s">
        <v>28</v>
      </c>
      <c r="C86" s="107">
        <v>64</v>
      </c>
      <c r="D86" s="108">
        <v>1468</v>
      </c>
    </row>
    <row r="87" spans="1:4" x14ac:dyDescent="0.45">
      <c r="B87" s="1" t="s">
        <v>29</v>
      </c>
      <c r="C87" s="107">
        <v>58</v>
      </c>
      <c r="D87" s="108">
        <v>2583</v>
      </c>
    </row>
    <row r="88" spans="1:4" x14ac:dyDescent="0.45">
      <c r="B88" s="1" t="s">
        <v>30</v>
      </c>
      <c r="C88" s="107">
        <v>52</v>
      </c>
      <c r="D88" s="108">
        <v>4358</v>
      </c>
    </row>
    <row r="89" spans="1:4" x14ac:dyDescent="0.45">
      <c r="B89" s="1" t="s">
        <v>31</v>
      </c>
      <c r="C89" s="107">
        <v>47</v>
      </c>
      <c r="D89" s="108">
        <v>3818</v>
      </c>
    </row>
    <row r="90" spans="1:4" x14ac:dyDescent="0.45">
      <c r="B90" s="1" t="s">
        <v>32</v>
      </c>
      <c r="C90" s="107">
        <v>41</v>
      </c>
      <c r="D90" s="108">
        <v>4018</v>
      </c>
    </row>
    <row r="91" spans="1:4" x14ac:dyDescent="0.45">
      <c r="B91" s="1" t="s">
        <v>33</v>
      </c>
      <c r="C91" s="107">
        <v>37</v>
      </c>
      <c r="D91" s="108">
        <v>3775</v>
      </c>
    </row>
    <row r="92" spans="1:4" x14ac:dyDescent="0.45">
      <c r="B92" s="1" t="s">
        <v>34</v>
      </c>
      <c r="C92" s="107" t="s">
        <v>177</v>
      </c>
      <c r="D92" s="108" t="s">
        <v>177</v>
      </c>
    </row>
    <row r="93" spans="1:4" x14ac:dyDescent="0.45">
      <c r="B93" s="1" t="s">
        <v>36</v>
      </c>
      <c r="C93" s="107">
        <v>30</v>
      </c>
      <c r="D93" s="108">
        <v>874</v>
      </c>
    </row>
    <row r="94" spans="1:4" x14ac:dyDescent="0.45">
      <c r="A94" t="s">
        <v>51</v>
      </c>
      <c r="B94" s="1" t="s">
        <v>37</v>
      </c>
      <c r="C94" s="107">
        <v>66</v>
      </c>
      <c r="D94" s="108">
        <v>6465</v>
      </c>
    </row>
    <row r="95" spans="1:4" x14ac:dyDescent="0.45">
      <c r="B95" s="1" t="s">
        <v>38</v>
      </c>
      <c r="C95" s="107">
        <v>63</v>
      </c>
      <c r="D95" s="108">
        <v>6135</v>
      </c>
    </row>
    <row r="96" spans="1:4" x14ac:dyDescent="0.45">
      <c r="B96" s="1" t="s">
        <v>39</v>
      </c>
      <c r="C96" s="107">
        <v>59</v>
      </c>
      <c r="D96" s="108">
        <v>11083</v>
      </c>
    </row>
    <row r="97" spans="1:4" x14ac:dyDescent="0.45">
      <c r="B97" s="1" t="s">
        <v>40</v>
      </c>
      <c r="C97" s="107">
        <v>54</v>
      </c>
      <c r="D97" s="108">
        <v>17934</v>
      </c>
    </row>
    <row r="98" spans="1:4" x14ac:dyDescent="0.45">
      <c r="B98" s="1" t="s">
        <v>41</v>
      </c>
      <c r="C98" s="107">
        <v>46</v>
      </c>
      <c r="D98" s="108">
        <v>23971</v>
      </c>
    </row>
    <row r="99" spans="1:4" x14ac:dyDescent="0.45">
      <c r="B99" s="1" t="s">
        <v>42</v>
      </c>
      <c r="C99" s="107">
        <v>41</v>
      </c>
      <c r="D99" s="108">
        <v>14049</v>
      </c>
    </row>
    <row r="100" spans="1:4" x14ac:dyDescent="0.45">
      <c r="B100" s="1" t="s">
        <v>43</v>
      </c>
      <c r="C100" s="107">
        <v>38</v>
      </c>
      <c r="D100" s="108">
        <v>12810</v>
      </c>
    </row>
    <row r="101" spans="1:4" x14ac:dyDescent="0.45">
      <c r="B101" s="1" t="s">
        <v>44</v>
      </c>
      <c r="C101" s="107">
        <v>34</v>
      </c>
      <c r="D101" s="108">
        <v>8715</v>
      </c>
    </row>
    <row r="102" spans="1:4" x14ac:dyDescent="0.45">
      <c r="B102" s="1" t="s">
        <v>35</v>
      </c>
      <c r="C102" s="107">
        <v>29</v>
      </c>
      <c r="D102" s="108">
        <v>1541</v>
      </c>
    </row>
    <row r="103" spans="1:4" x14ac:dyDescent="0.45">
      <c r="A103" t="s">
        <v>52</v>
      </c>
      <c r="B103" s="1" t="s">
        <v>27</v>
      </c>
      <c r="C103" s="107">
        <v>70</v>
      </c>
      <c r="D103" s="108">
        <v>1931</v>
      </c>
    </row>
    <row r="104" spans="1:4" x14ac:dyDescent="0.45">
      <c r="B104" s="1" t="s">
        <v>28</v>
      </c>
      <c r="C104" s="107">
        <v>64</v>
      </c>
      <c r="D104" s="108">
        <v>2971</v>
      </c>
    </row>
    <row r="105" spans="1:4" x14ac:dyDescent="0.45">
      <c r="B105" s="1" t="s">
        <v>29</v>
      </c>
      <c r="C105" s="107">
        <v>57</v>
      </c>
      <c r="D105" s="108">
        <v>5039</v>
      </c>
    </row>
    <row r="106" spans="1:4" x14ac:dyDescent="0.45">
      <c r="B106" s="1" t="s">
        <v>30</v>
      </c>
      <c r="C106" s="107">
        <v>51</v>
      </c>
      <c r="D106" s="108">
        <v>6183</v>
      </c>
    </row>
    <row r="107" spans="1:4" x14ac:dyDescent="0.45">
      <c r="B107" s="1" t="s">
        <v>31</v>
      </c>
      <c r="C107" s="107">
        <v>45</v>
      </c>
      <c r="D107" s="108">
        <v>8655</v>
      </c>
    </row>
    <row r="108" spans="1:4" x14ac:dyDescent="0.45">
      <c r="B108" s="1" t="s">
        <v>32</v>
      </c>
      <c r="C108" s="107">
        <v>42</v>
      </c>
      <c r="D108" s="108">
        <v>6881</v>
      </c>
    </row>
    <row r="109" spans="1:4" x14ac:dyDescent="0.45">
      <c r="B109" s="1" t="s">
        <v>33</v>
      </c>
      <c r="C109" s="107">
        <v>39</v>
      </c>
      <c r="D109" s="108">
        <v>4614</v>
      </c>
    </row>
    <row r="110" spans="1:4" x14ac:dyDescent="0.45">
      <c r="B110" s="1" t="s">
        <v>34</v>
      </c>
      <c r="C110" s="107">
        <v>36</v>
      </c>
      <c r="D110" s="108">
        <v>2466</v>
      </c>
    </row>
    <row r="111" spans="1:4" x14ac:dyDescent="0.45">
      <c r="B111" s="1" t="s">
        <v>36</v>
      </c>
      <c r="C111" s="107">
        <v>29</v>
      </c>
      <c r="D111" s="108">
        <v>987</v>
      </c>
    </row>
    <row r="112" spans="1:4" x14ac:dyDescent="0.45">
      <c r="A112" t="s">
        <v>53</v>
      </c>
      <c r="B112" s="1" t="s">
        <v>37</v>
      </c>
      <c r="C112" s="107">
        <v>70</v>
      </c>
      <c r="D112" s="108">
        <v>1282</v>
      </c>
    </row>
    <row r="113" spans="1:4" x14ac:dyDescent="0.45">
      <c r="B113" s="1" t="s">
        <v>38</v>
      </c>
      <c r="C113" s="107">
        <v>65</v>
      </c>
      <c r="D113" s="108">
        <v>2224</v>
      </c>
    </row>
    <row r="114" spans="1:4" x14ac:dyDescent="0.45">
      <c r="B114" s="1" t="s">
        <v>39</v>
      </c>
      <c r="C114" s="107">
        <v>59</v>
      </c>
      <c r="D114" s="108">
        <v>3733</v>
      </c>
    </row>
    <row r="115" spans="1:4" x14ac:dyDescent="0.45">
      <c r="B115" s="1" t="s">
        <v>40</v>
      </c>
      <c r="C115" s="107">
        <v>51</v>
      </c>
      <c r="D115" s="108">
        <v>5720</v>
      </c>
    </row>
    <row r="116" spans="1:4" x14ac:dyDescent="0.45">
      <c r="B116" s="1" t="s">
        <v>41</v>
      </c>
      <c r="C116" s="107">
        <v>45</v>
      </c>
      <c r="D116" s="108">
        <v>6001</v>
      </c>
    </row>
    <row r="117" spans="1:4" x14ac:dyDescent="0.45">
      <c r="B117" s="1" t="s">
        <v>42</v>
      </c>
      <c r="C117" s="107">
        <v>42</v>
      </c>
      <c r="D117" s="108">
        <v>5170</v>
      </c>
    </row>
    <row r="118" spans="1:4" x14ac:dyDescent="0.45">
      <c r="B118" s="1" t="s">
        <v>43</v>
      </c>
      <c r="C118" s="107">
        <v>39</v>
      </c>
      <c r="D118" s="108">
        <v>4438</v>
      </c>
    </row>
    <row r="119" spans="1:4" x14ac:dyDescent="0.45">
      <c r="B119" s="1" t="s">
        <v>44</v>
      </c>
      <c r="C119" s="107">
        <v>37</v>
      </c>
      <c r="D119" s="108">
        <v>1408</v>
      </c>
    </row>
    <row r="120" spans="1:4" x14ac:dyDescent="0.45">
      <c r="B120" s="1" t="s">
        <v>35</v>
      </c>
      <c r="C120" s="107">
        <v>31</v>
      </c>
      <c r="D120" s="108">
        <v>1126</v>
      </c>
    </row>
    <row r="121" spans="1:4" x14ac:dyDescent="0.45">
      <c r="A121" t="s">
        <v>54</v>
      </c>
      <c r="B121" s="1" t="s">
        <v>27</v>
      </c>
      <c r="C121" s="107">
        <v>68</v>
      </c>
      <c r="D121" s="108">
        <v>3612</v>
      </c>
    </row>
    <row r="122" spans="1:4" x14ac:dyDescent="0.45">
      <c r="B122" s="1" t="s">
        <v>28</v>
      </c>
      <c r="C122" s="107">
        <v>64</v>
      </c>
      <c r="D122" s="108">
        <v>5818</v>
      </c>
    </row>
    <row r="123" spans="1:4" x14ac:dyDescent="0.45">
      <c r="B123" s="1" t="s">
        <v>29</v>
      </c>
      <c r="C123" s="107">
        <v>58</v>
      </c>
      <c r="D123" s="108">
        <v>11650</v>
      </c>
    </row>
    <row r="124" spans="1:4" x14ac:dyDescent="0.45">
      <c r="B124" s="1" t="s">
        <v>30</v>
      </c>
      <c r="C124" s="107">
        <v>52</v>
      </c>
      <c r="D124" s="108">
        <v>15476</v>
      </c>
    </row>
    <row r="125" spans="1:4" x14ac:dyDescent="0.45">
      <c r="B125" s="1" t="s">
        <v>31</v>
      </c>
      <c r="C125" s="107">
        <v>47</v>
      </c>
      <c r="D125" s="108">
        <v>15950</v>
      </c>
    </row>
    <row r="126" spans="1:4" x14ac:dyDescent="0.45">
      <c r="B126" s="1" t="s">
        <v>32</v>
      </c>
      <c r="C126" s="107">
        <v>42</v>
      </c>
      <c r="D126" s="108">
        <v>12455</v>
      </c>
    </row>
    <row r="127" spans="1:4" x14ac:dyDescent="0.45">
      <c r="B127" s="1" t="s">
        <v>33</v>
      </c>
      <c r="C127" s="107">
        <v>37</v>
      </c>
      <c r="D127" s="108">
        <v>10788</v>
      </c>
    </row>
    <row r="128" spans="1:4" x14ac:dyDescent="0.45">
      <c r="B128" s="1" t="s">
        <v>34</v>
      </c>
      <c r="C128" s="107">
        <v>34</v>
      </c>
      <c r="D128" s="108">
        <v>5722</v>
      </c>
    </row>
    <row r="129" spans="1:4" x14ac:dyDescent="0.45">
      <c r="B129" s="1" t="s">
        <v>36</v>
      </c>
      <c r="C129" s="107">
        <v>24</v>
      </c>
      <c r="D129" s="108">
        <v>2784</v>
      </c>
    </row>
    <row r="130" spans="1:4" x14ac:dyDescent="0.45">
      <c r="A130" t="s">
        <v>55</v>
      </c>
      <c r="B130" s="1" t="s">
        <v>37</v>
      </c>
      <c r="C130" s="107">
        <v>68</v>
      </c>
      <c r="D130" s="108">
        <v>4827</v>
      </c>
    </row>
    <row r="131" spans="1:4" x14ac:dyDescent="0.45">
      <c r="B131" s="1" t="s">
        <v>38</v>
      </c>
      <c r="C131" s="107">
        <v>64</v>
      </c>
      <c r="D131" s="108">
        <v>5995</v>
      </c>
    </row>
    <row r="132" spans="1:4" x14ac:dyDescent="0.45">
      <c r="B132" s="1" t="s">
        <v>39</v>
      </c>
      <c r="C132" s="107">
        <v>59</v>
      </c>
      <c r="D132" s="108">
        <v>8639</v>
      </c>
    </row>
    <row r="133" spans="1:4" x14ac:dyDescent="0.45">
      <c r="B133" s="1" t="s">
        <v>40</v>
      </c>
      <c r="C133" s="107">
        <v>52</v>
      </c>
      <c r="D133" s="108">
        <v>15744</v>
      </c>
    </row>
    <row r="134" spans="1:4" x14ac:dyDescent="0.45">
      <c r="B134" s="1" t="s">
        <v>41</v>
      </c>
      <c r="C134" s="107">
        <v>46</v>
      </c>
      <c r="D134" s="108">
        <v>15857</v>
      </c>
    </row>
    <row r="135" spans="1:4" x14ac:dyDescent="0.45">
      <c r="B135" s="1" t="s">
        <v>42</v>
      </c>
      <c r="C135" s="107">
        <v>41</v>
      </c>
      <c r="D135" s="108">
        <v>15109</v>
      </c>
    </row>
    <row r="136" spans="1:4" x14ac:dyDescent="0.45">
      <c r="B136" s="1" t="s">
        <v>43</v>
      </c>
      <c r="C136" s="107">
        <v>38</v>
      </c>
      <c r="D136" s="108">
        <v>10677</v>
      </c>
    </row>
    <row r="137" spans="1:4" x14ac:dyDescent="0.45">
      <c r="B137" s="1" t="s">
        <v>44</v>
      </c>
      <c r="C137" s="107">
        <v>35</v>
      </c>
      <c r="D137" s="108">
        <v>3696</v>
      </c>
    </row>
    <row r="138" spans="1:4" x14ac:dyDescent="0.45">
      <c r="B138" s="1" t="s">
        <v>35</v>
      </c>
      <c r="C138" s="107">
        <v>29</v>
      </c>
      <c r="D138" s="108">
        <v>2450</v>
      </c>
    </row>
    <row r="139" spans="1:4" x14ac:dyDescent="0.45">
      <c r="A139" t="s">
        <v>56</v>
      </c>
      <c r="B139" s="1" t="s">
        <v>27</v>
      </c>
      <c r="C139" s="107">
        <v>76</v>
      </c>
      <c r="D139" s="108">
        <v>208</v>
      </c>
    </row>
    <row r="140" spans="1:4" x14ac:dyDescent="0.45">
      <c r="B140" s="1" t="s">
        <v>28</v>
      </c>
      <c r="C140" s="107">
        <v>63</v>
      </c>
      <c r="D140" s="108">
        <v>322</v>
      </c>
    </row>
    <row r="141" spans="1:4" x14ac:dyDescent="0.45">
      <c r="B141" s="1" t="s">
        <v>29</v>
      </c>
      <c r="C141" s="107">
        <v>53</v>
      </c>
      <c r="D141" s="108">
        <v>687</v>
      </c>
    </row>
    <row r="142" spans="1:4" x14ac:dyDescent="0.45">
      <c r="B142" s="1" t="s">
        <v>30</v>
      </c>
      <c r="C142" s="107">
        <v>49</v>
      </c>
      <c r="D142" s="108">
        <v>899</v>
      </c>
    </row>
    <row r="143" spans="1:4" x14ac:dyDescent="0.45">
      <c r="B143" s="1" t="s">
        <v>31</v>
      </c>
      <c r="C143" s="107">
        <v>46</v>
      </c>
      <c r="D143" s="108">
        <v>819</v>
      </c>
    </row>
    <row r="144" spans="1:4" x14ac:dyDescent="0.45">
      <c r="B144" s="1" t="s">
        <v>32</v>
      </c>
      <c r="C144" s="107">
        <v>44</v>
      </c>
      <c r="D144" s="108">
        <v>919</v>
      </c>
    </row>
    <row r="145" spans="1:4" x14ac:dyDescent="0.45">
      <c r="B145" s="1" t="s">
        <v>33</v>
      </c>
      <c r="C145" s="107">
        <v>41</v>
      </c>
      <c r="D145" s="108">
        <v>514</v>
      </c>
    </row>
    <row r="146" spans="1:4" x14ac:dyDescent="0.45">
      <c r="B146" s="1" t="s">
        <v>34</v>
      </c>
      <c r="C146" s="107">
        <v>39</v>
      </c>
      <c r="D146" s="108">
        <v>217</v>
      </c>
    </row>
    <row r="147" spans="1:4" x14ac:dyDescent="0.45">
      <c r="B147" s="1" t="s">
        <v>36</v>
      </c>
      <c r="C147" s="107">
        <v>34</v>
      </c>
      <c r="D147" s="108">
        <v>143</v>
      </c>
    </row>
    <row r="148" spans="1:4" x14ac:dyDescent="0.45">
      <c r="A148" t="s">
        <v>57</v>
      </c>
      <c r="B148" s="1" t="s">
        <v>37</v>
      </c>
      <c r="C148" s="107">
        <v>76</v>
      </c>
      <c r="D148" s="108">
        <v>213</v>
      </c>
    </row>
    <row r="149" spans="1:4" x14ac:dyDescent="0.45">
      <c r="B149" s="1" t="s">
        <v>38</v>
      </c>
      <c r="C149" s="107">
        <v>64</v>
      </c>
      <c r="D149" s="108">
        <v>314</v>
      </c>
    </row>
    <row r="150" spans="1:4" x14ac:dyDescent="0.45">
      <c r="B150" s="1" t="s">
        <v>39</v>
      </c>
      <c r="C150" s="107">
        <v>54</v>
      </c>
      <c r="D150" s="108">
        <v>641</v>
      </c>
    </row>
    <row r="151" spans="1:4" x14ac:dyDescent="0.45">
      <c r="B151" s="1" t="s">
        <v>40</v>
      </c>
      <c r="C151" s="107">
        <v>48</v>
      </c>
      <c r="D151" s="108">
        <v>845</v>
      </c>
    </row>
    <row r="152" spans="1:4" x14ac:dyDescent="0.45">
      <c r="B152" s="1" t="s">
        <v>41</v>
      </c>
      <c r="C152" s="107">
        <v>45</v>
      </c>
      <c r="D152" s="108">
        <v>1255</v>
      </c>
    </row>
    <row r="153" spans="1:4" x14ac:dyDescent="0.45">
      <c r="B153" s="1" t="s">
        <v>42</v>
      </c>
      <c r="C153" s="107">
        <v>44</v>
      </c>
      <c r="D153" s="108">
        <v>458</v>
      </c>
    </row>
    <row r="154" spans="1:4" x14ac:dyDescent="0.45">
      <c r="B154" s="1" t="s">
        <v>43</v>
      </c>
      <c r="C154" s="107">
        <v>41</v>
      </c>
      <c r="D154" s="108">
        <v>552</v>
      </c>
    </row>
    <row r="155" spans="1:4" x14ac:dyDescent="0.45">
      <c r="B155" s="1" t="s">
        <v>44</v>
      </c>
      <c r="C155" s="107">
        <v>39</v>
      </c>
      <c r="D155" s="108">
        <v>190</v>
      </c>
    </row>
    <row r="156" spans="1:4" x14ac:dyDescent="0.45">
      <c r="B156" s="1" t="s">
        <v>35</v>
      </c>
      <c r="C156" s="107">
        <v>35</v>
      </c>
      <c r="D156" s="108">
        <v>180</v>
      </c>
    </row>
    <row r="157" spans="1:4" x14ac:dyDescent="0.45">
      <c r="A157" t="s">
        <v>58</v>
      </c>
      <c r="B157" s="1" t="s">
        <v>27</v>
      </c>
      <c r="C157" s="107">
        <v>75</v>
      </c>
      <c r="D157" s="108">
        <v>372</v>
      </c>
    </row>
    <row r="158" spans="1:4" x14ac:dyDescent="0.45">
      <c r="B158" s="1" t="s">
        <v>28</v>
      </c>
      <c r="C158" s="107">
        <v>62</v>
      </c>
      <c r="D158" s="108">
        <v>661</v>
      </c>
    </row>
    <row r="159" spans="1:4" x14ac:dyDescent="0.45">
      <c r="B159" s="1" t="s">
        <v>29</v>
      </c>
      <c r="C159" s="107">
        <v>54</v>
      </c>
      <c r="D159" s="108">
        <v>1181</v>
      </c>
    </row>
    <row r="160" spans="1:4" x14ac:dyDescent="0.45">
      <c r="B160" s="1" t="s">
        <v>30</v>
      </c>
      <c r="C160" s="107">
        <v>48</v>
      </c>
      <c r="D160" s="108">
        <v>1613</v>
      </c>
    </row>
    <row r="161" spans="1:4" x14ac:dyDescent="0.45">
      <c r="B161" s="1" t="s">
        <v>31</v>
      </c>
      <c r="C161" s="107">
        <v>46</v>
      </c>
      <c r="D161" s="108">
        <v>1528</v>
      </c>
    </row>
    <row r="162" spans="1:4" x14ac:dyDescent="0.45">
      <c r="B162" s="1" t="s">
        <v>32</v>
      </c>
      <c r="C162" s="107">
        <v>43</v>
      </c>
      <c r="D162" s="108">
        <v>1854</v>
      </c>
    </row>
    <row r="163" spans="1:4" x14ac:dyDescent="0.45">
      <c r="B163" s="1" t="s">
        <v>33</v>
      </c>
      <c r="C163" s="107">
        <v>41</v>
      </c>
      <c r="D163" s="108">
        <v>787</v>
      </c>
    </row>
    <row r="164" spans="1:4" x14ac:dyDescent="0.45">
      <c r="B164" s="1" t="s">
        <v>34</v>
      </c>
      <c r="C164" s="107">
        <v>39</v>
      </c>
      <c r="D164" s="108">
        <v>509</v>
      </c>
    </row>
    <row r="165" spans="1:4" x14ac:dyDescent="0.45">
      <c r="B165" s="1" t="s">
        <v>36</v>
      </c>
      <c r="C165" s="107">
        <v>35</v>
      </c>
      <c r="D165" s="108">
        <v>244</v>
      </c>
    </row>
    <row r="166" spans="1:4" x14ac:dyDescent="0.45">
      <c r="A166" t="s">
        <v>59</v>
      </c>
      <c r="B166" s="1" t="s">
        <v>37</v>
      </c>
      <c r="C166" s="107">
        <v>75</v>
      </c>
      <c r="D166" s="108">
        <v>254</v>
      </c>
    </row>
    <row r="167" spans="1:4" x14ac:dyDescent="0.45">
      <c r="B167" s="1" t="s">
        <v>38</v>
      </c>
      <c r="C167" s="107">
        <v>62</v>
      </c>
      <c r="D167" s="108">
        <v>490</v>
      </c>
    </row>
    <row r="168" spans="1:4" x14ac:dyDescent="0.45">
      <c r="B168" s="1" t="s">
        <v>39</v>
      </c>
      <c r="C168" s="107">
        <v>54</v>
      </c>
      <c r="D168" s="108">
        <v>851</v>
      </c>
    </row>
    <row r="169" spans="1:4" x14ac:dyDescent="0.45">
      <c r="B169" s="1" t="s">
        <v>40</v>
      </c>
      <c r="C169" s="107">
        <v>49</v>
      </c>
      <c r="D169" s="108">
        <v>957</v>
      </c>
    </row>
    <row r="170" spans="1:4" x14ac:dyDescent="0.45">
      <c r="B170" s="1" t="s">
        <v>41</v>
      </c>
      <c r="C170" s="107">
        <v>45</v>
      </c>
      <c r="D170" s="108">
        <v>1824</v>
      </c>
    </row>
    <row r="171" spans="1:4" x14ac:dyDescent="0.45">
      <c r="B171" s="1" t="s">
        <v>42</v>
      </c>
      <c r="C171" s="107">
        <v>43</v>
      </c>
      <c r="D171" s="108">
        <v>825</v>
      </c>
    </row>
    <row r="172" spans="1:4" x14ac:dyDescent="0.45">
      <c r="B172" s="1" t="s">
        <v>43</v>
      </c>
      <c r="C172" s="107">
        <v>40</v>
      </c>
      <c r="D172" s="108">
        <v>913</v>
      </c>
    </row>
    <row r="173" spans="1:4" x14ac:dyDescent="0.45">
      <c r="B173" s="1" t="s">
        <v>44</v>
      </c>
      <c r="C173" s="107" t="s">
        <v>177</v>
      </c>
      <c r="D173" s="108" t="s">
        <v>177</v>
      </c>
    </row>
    <row r="174" spans="1:4" x14ac:dyDescent="0.45">
      <c r="B174" s="1" t="s">
        <v>35</v>
      </c>
      <c r="C174" s="107">
        <v>38</v>
      </c>
      <c r="D174" s="108">
        <v>216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5"/>
  <dimension ref="A1:L16"/>
  <sheetViews>
    <sheetView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2" x14ac:dyDescent="0.45">
      <c r="A1" s="4" t="s">
        <v>70</v>
      </c>
      <c r="C1" s="4"/>
      <c r="D1" s="4"/>
      <c r="E1" s="4"/>
      <c r="F1" s="4"/>
      <c r="G1" s="4"/>
      <c r="H1" s="4"/>
      <c r="I1" s="4"/>
      <c r="J1" s="4"/>
      <c r="K1" s="4"/>
    </row>
    <row r="2" spans="1:12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</row>
    <row r="3" spans="1:12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154" t="str">
        <f>'통계 및 응시자 수 입력 기능'!D4</f>
        <v>56.50</v>
      </c>
      <c r="I3" s="15" t="s">
        <v>73</v>
      </c>
      <c r="J3" s="35">
        <f>'통계 및 응시자 수 입력 기능'!C4</f>
        <v>299941</v>
      </c>
      <c r="K3" s="28"/>
    </row>
    <row r="4" spans="1:12" ht="25" customHeight="1" thickBot="1" x14ac:dyDescent="0.5">
      <c r="A4" s="4"/>
      <c r="B4" s="19"/>
      <c r="C4" s="36" t="s">
        <v>74</v>
      </c>
      <c r="D4" s="119" t="s">
        <v>75</v>
      </c>
      <c r="E4" s="120"/>
      <c r="F4" s="121"/>
      <c r="G4" s="37" t="s">
        <v>76</v>
      </c>
      <c r="H4" s="38" t="str">
        <f>'통계 및 응시자 수 입력 기능'!E4</f>
        <v>22.22</v>
      </c>
      <c r="I4" s="16"/>
      <c r="J4" s="29"/>
      <c r="K4" s="28"/>
    </row>
    <row r="5" spans="1:12" ht="25" customHeight="1" thickBot="1" x14ac:dyDescent="0.5">
      <c r="A5" s="4"/>
      <c r="B5" s="19"/>
      <c r="C5" s="29"/>
      <c r="D5" s="29"/>
      <c r="E5" s="29"/>
      <c r="F5" s="29"/>
      <c r="G5" s="153" t="s">
        <v>137</v>
      </c>
      <c r="H5" s="153"/>
      <c r="I5" s="153"/>
      <c r="J5" s="153"/>
      <c r="K5" s="28"/>
    </row>
    <row r="6" spans="1:12" ht="25" customHeight="1" thickBot="1" x14ac:dyDescent="0.5">
      <c r="A6" s="4"/>
      <c r="B6" s="19"/>
      <c r="C6" s="39" t="s">
        <v>78</v>
      </c>
      <c r="D6" s="40" t="s">
        <v>79</v>
      </c>
      <c r="E6" s="41" t="s">
        <v>80</v>
      </c>
      <c r="F6" s="42" t="s">
        <v>81</v>
      </c>
      <c r="G6" s="42" t="s">
        <v>82</v>
      </c>
      <c r="H6" s="43" t="s">
        <v>83</v>
      </c>
      <c r="I6" s="29"/>
      <c r="J6" s="29"/>
      <c r="K6" s="28"/>
      <c r="L6" s="4"/>
    </row>
    <row r="7" spans="1:12" ht="25" customHeight="1" x14ac:dyDescent="0.45">
      <c r="A7" s="4"/>
      <c r="B7" s="19"/>
      <c r="C7" s="44">
        <v>1</v>
      </c>
      <c r="D7" s="45">
        <v>90</v>
      </c>
      <c r="E7" s="46">
        <f>'표준점수 등급컷 입력기능'!D4</f>
        <v>18741</v>
      </c>
      <c r="F7" s="47">
        <f>E7/$J$3</f>
        <v>6.2482288183342727E-2</v>
      </c>
      <c r="G7" s="48">
        <f>SUM($E$7:E7)</f>
        <v>18741</v>
      </c>
      <c r="H7" s="49">
        <f>G7/$J$3</f>
        <v>6.2482288183342727E-2</v>
      </c>
      <c r="I7" s="29"/>
      <c r="J7" s="29"/>
      <c r="K7" s="28"/>
      <c r="L7" s="4"/>
    </row>
    <row r="8" spans="1:12" ht="25" customHeight="1" x14ac:dyDescent="0.45">
      <c r="A8" s="4"/>
      <c r="B8" s="19"/>
      <c r="C8" s="50">
        <v>2</v>
      </c>
      <c r="D8" s="51">
        <v>80</v>
      </c>
      <c r="E8" s="52">
        <f>'표준점수 등급컷 입력기능'!D5</f>
        <v>31057</v>
      </c>
      <c r="F8" s="53">
        <f t="shared" ref="F8:F15" si="0">E8/$J$3</f>
        <v>0.10354369692706232</v>
      </c>
      <c r="G8" s="54">
        <f>SUM($E$7:E8)</f>
        <v>49798</v>
      </c>
      <c r="H8" s="55">
        <f t="shared" ref="H8:H15" si="1">G8/$J$3</f>
        <v>0.16602598511040503</v>
      </c>
      <c r="I8" s="29"/>
      <c r="J8" s="29"/>
      <c r="K8" s="28"/>
      <c r="L8" s="4"/>
    </row>
    <row r="9" spans="1:12" ht="25" customHeight="1" x14ac:dyDescent="0.45">
      <c r="A9" s="4"/>
      <c r="B9" s="19"/>
      <c r="C9" s="50">
        <v>3</v>
      </c>
      <c r="D9" s="51">
        <v>70</v>
      </c>
      <c r="E9" s="52">
        <f>'표준점수 등급컷 입력기능'!D6</f>
        <v>44743</v>
      </c>
      <c r="F9" s="53">
        <f t="shared" si="0"/>
        <v>0.14917267062522296</v>
      </c>
      <c r="G9" s="54">
        <f>SUM($E$7:E9)</f>
        <v>94541</v>
      </c>
      <c r="H9" s="55">
        <f t="shared" si="1"/>
        <v>0.315198655735628</v>
      </c>
      <c r="I9" s="29"/>
      <c r="J9" s="29"/>
      <c r="K9" s="28"/>
      <c r="L9" s="4"/>
    </row>
    <row r="10" spans="1:12" ht="25" customHeight="1" x14ac:dyDescent="0.45">
      <c r="A10" s="4"/>
      <c r="B10" s="19"/>
      <c r="C10" s="50">
        <v>4</v>
      </c>
      <c r="D10" s="51">
        <v>60</v>
      </c>
      <c r="E10" s="52">
        <f>'표준점수 등급컷 입력기능'!D7</f>
        <v>51240</v>
      </c>
      <c r="F10" s="53">
        <f t="shared" si="0"/>
        <v>0.17083359727413058</v>
      </c>
      <c r="G10" s="54">
        <f>SUM($E$7:E10)</f>
        <v>145781</v>
      </c>
      <c r="H10" s="55">
        <f t="shared" si="1"/>
        <v>0.48603225300975861</v>
      </c>
      <c r="I10" s="29"/>
      <c r="J10" s="29"/>
      <c r="K10" s="28"/>
      <c r="L10" s="4"/>
    </row>
    <row r="11" spans="1:12" ht="25" customHeight="1" x14ac:dyDescent="0.45">
      <c r="A11" s="4"/>
      <c r="B11" s="19"/>
      <c r="C11" s="50">
        <v>5</v>
      </c>
      <c r="D11" s="51">
        <v>50</v>
      </c>
      <c r="E11" s="52">
        <f>'표준점수 등급컷 입력기능'!D8</f>
        <v>44005</v>
      </c>
      <c r="F11" s="53">
        <f t="shared" si="0"/>
        <v>0.1467121867300569</v>
      </c>
      <c r="G11" s="54">
        <f>SUM($E$7:E11)</f>
        <v>189786</v>
      </c>
      <c r="H11" s="55">
        <f t="shared" si="1"/>
        <v>0.63274443973981553</v>
      </c>
      <c r="I11" s="29"/>
      <c r="J11" s="29"/>
      <c r="K11" s="28"/>
      <c r="L11" s="4"/>
    </row>
    <row r="12" spans="1:12" ht="25" customHeight="1" x14ac:dyDescent="0.45">
      <c r="A12" s="4"/>
      <c r="B12" s="19"/>
      <c r="C12" s="50">
        <v>6</v>
      </c>
      <c r="D12" s="51">
        <v>40</v>
      </c>
      <c r="E12" s="52">
        <f>'표준점수 등급컷 입력기능'!D9</f>
        <v>35300</v>
      </c>
      <c r="F12" s="53">
        <f t="shared" si="0"/>
        <v>0.11768981232975818</v>
      </c>
      <c r="G12" s="54">
        <f>SUM($E$7:E12)</f>
        <v>225086</v>
      </c>
      <c r="H12" s="55">
        <f t="shared" si="1"/>
        <v>0.7504342520695737</v>
      </c>
      <c r="I12" s="29"/>
      <c r="J12" s="29"/>
      <c r="K12" s="28"/>
      <c r="L12" s="4"/>
    </row>
    <row r="13" spans="1:12" ht="25" customHeight="1" x14ac:dyDescent="0.45">
      <c r="A13" s="4"/>
      <c r="B13" s="19"/>
      <c r="C13" s="50">
        <v>7</v>
      </c>
      <c r="D13" s="51">
        <v>30</v>
      </c>
      <c r="E13" s="52">
        <f>'표준점수 등급컷 입력기능'!D10</f>
        <v>28516</v>
      </c>
      <c r="F13" s="53">
        <f t="shared" si="0"/>
        <v>9.5072030832730442E-2</v>
      </c>
      <c r="G13" s="54">
        <f>SUM($E$7:E13)</f>
        <v>253602</v>
      </c>
      <c r="H13" s="55">
        <f t="shared" si="1"/>
        <v>0.84550628290230412</v>
      </c>
      <c r="I13" s="29"/>
      <c r="J13" s="29"/>
      <c r="K13" s="28"/>
      <c r="L13" s="4"/>
    </row>
    <row r="14" spans="1:12" ht="25" customHeight="1" x14ac:dyDescent="0.45">
      <c r="A14" s="4"/>
      <c r="B14" s="19"/>
      <c r="C14" s="50">
        <v>8</v>
      </c>
      <c r="D14" s="51">
        <v>20</v>
      </c>
      <c r="E14" s="52">
        <f>'표준점수 등급컷 입력기능'!D11</f>
        <v>28381</v>
      </c>
      <c r="F14" s="53">
        <f t="shared" si="0"/>
        <v>9.4621942315322019E-2</v>
      </c>
      <c r="G14" s="54">
        <f>SUM($E$7:E14)</f>
        <v>281983</v>
      </c>
      <c r="H14" s="55">
        <f t="shared" si="1"/>
        <v>0.94012822521762618</v>
      </c>
      <c r="I14" s="29"/>
      <c r="J14" s="29"/>
      <c r="K14" s="28"/>
      <c r="L14" s="4"/>
    </row>
    <row r="15" spans="1:12" ht="25" customHeight="1" thickBot="1" x14ac:dyDescent="0.5">
      <c r="A15" s="4"/>
      <c r="B15" s="19"/>
      <c r="C15" s="56">
        <v>9</v>
      </c>
      <c r="D15" s="57">
        <v>0</v>
      </c>
      <c r="E15" s="58">
        <f>'표준점수 등급컷 입력기능'!D12</f>
        <v>17958</v>
      </c>
      <c r="F15" s="59">
        <f t="shared" si="0"/>
        <v>5.987177478237387E-2</v>
      </c>
      <c r="G15" s="60">
        <f>SUM($E$7:E15)</f>
        <v>299941</v>
      </c>
      <c r="H15" s="61">
        <f t="shared" si="1"/>
        <v>1</v>
      </c>
      <c r="I15" s="29"/>
      <c r="J15" s="29"/>
      <c r="K15" s="28"/>
      <c r="L15" s="4"/>
    </row>
    <row r="16" spans="1:12" ht="6" customHeight="1" x14ac:dyDescent="0.45">
      <c r="A16" s="4"/>
      <c r="B16" s="22"/>
      <c r="C16" s="23"/>
      <c r="D16" s="23"/>
      <c r="E16" s="23"/>
      <c r="F16" s="23"/>
      <c r="G16" s="23"/>
      <c r="H16" s="23"/>
      <c r="I16" s="23"/>
      <c r="J16" s="23"/>
      <c r="K16" s="24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6"/>
  <dimension ref="A1:L16"/>
  <sheetViews>
    <sheetView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2" x14ac:dyDescent="0.45">
      <c r="A1" s="4" t="s">
        <v>70</v>
      </c>
      <c r="C1" s="4"/>
      <c r="D1" s="4"/>
      <c r="E1" s="4"/>
      <c r="F1" s="4"/>
      <c r="G1" s="4"/>
      <c r="H1" s="4"/>
      <c r="I1" s="4"/>
      <c r="J1" s="4"/>
      <c r="K1" s="4"/>
    </row>
    <row r="2" spans="1:12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</row>
    <row r="3" spans="1:12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154" t="str">
        <f>'통계 및 응시자 수 입력 기능'!D5</f>
        <v>25.78</v>
      </c>
      <c r="I3" s="15" t="s">
        <v>73</v>
      </c>
      <c r="J3" s="35">
        <f>'통계 및 응시자 수 입력 기능'!C5</f>
        <v>300471</v>
      </c>
      <c r="K3" s="28"/>
    </row>
    <row r="4" spans="1:12" ht="25" customHeight="1" thickBot="1" x14ac:dyDescent="0.5">
      <c r="A4" s="4"/>
      <c r="B4" s="19"/>
      <c r="C4" s="36" t="s">
        <v>74</v>
      </c>
      <c r="D4" s="119" t="s">
        <v>77</v>
      </c>
      <c r="E4" s="120"/>
      <c r="F4" s="121"/>
      <c r="G4" s="37" t="s">
        <v>76</v>
      </c>
      <c r="H4" s="38" t="str">
        <f>'통계 및 응시자 수 입력 기능'!E5</f>
        <v>11.23</v>
      </c>
      <c r="I4" s="16"/>
      <c r="J4" s="29"/>
      <c r="K4" s="28"/>
    </row>
    <row r="5" spans="1:12" ht="25" customHeight="1" thickBot="1" x14ac:dyDescent="0.5">
      <c r="A5" s="4"/>
      <c r="B5" s="19"/>
      <c r="C5" s="29"/>
      <c r="D5" s="29"/>
      <c r="E5" s="29"/>
      <c r="F5" s="29"/>
      <c r="G5" s="153" t="s">
        <v>137</v>
      </c>
      <c r="H5" s="153"/>
      <c r="I5" s="153"/>
      <c r="J5" s="153"/>
      <c r="K5" s="28"/>
    </row>
    <row r="6" spans="1:12" ht="25" customHeight="1" thickBot="1" x14ac:dyDescent="0.5">
      <c r="A6" s="4"/>
      <c r="B6" s="19"/>
      <c r="C6" s="39" t="s">
        <v>78</v>
      </c>
      <c r="D6" s="40" t="s">
        <v>79</v>
      </c>
      <c r="E6" s="41" t="s">
        <v>80</v>
      </c>
      <c r="F6" s="42" t="s">
        <v>81</v>
      </c>
      <c r="G6" s="42" t="s">
        <v>82</v>
      </c>
      <c r="H6" s="43" t="s">
        <v>83</v>
      </c>
      <c r="I6" s="29"/>
      <c r="J6" s="29"/>
      <c r="K6" s="28"/>
      <c r="L6" s="4"/>
    </row>
    <row r="7" spans="1:12" ht="25" customHeight="1" x14ac:dyDescent="0.45">
      <c r="A7" s="4"/>
      <c r="B7" s="19"/>
      <c r="C7" s="62">
        <v>1</v>
      </c>
      <c r="D7" s="63">
        <v>40</v>
      </c>
      <c r="E7" s="46">
        <f>'표준점수 등급컷 입력기능'!D13</f>
        <v>37846</v>
      </c>
      <c r="F7" s="47">
        <f>E7/$J$3</f>
        <v>0.12595558306791671</v>
      </c>
      <c r="G7" s="48">
        <f>SUM($E$7:E7)</f>
        <v>37846</v>
      </c>
      <c r="H7" s="49">
        <f>G7/$J$3</f>
        <v>0.12595558306791671</v>
      </c>
      <c r="I7" s="29"/>
      <c r="J7" s="29"/>
      <c r="K7" s="28"/>
      <c r="L7" s="4"/>
    </row>
    <row r="8" spans="1:12" ht="25" customHeight="1" x14ac:dyDescent="0.45">
      <c r="A8" s="4"/>
      <c r="B8" s="19"/>
      <c r="C8" s="64">
        <v>2</v>
      </c>
      <c r="D8" s="65">
        <v>35</v>
      </c>
      <c r="E8" s="52">
        <f>'표준점수 등급컷 입력기능'!D14</f>
        <v>33038</v>
      </c>
      <c r="F8" s="53">
        <f t="shared" ref="F8:F15" si="0">E8/$J$3</f>
        <v>0.1099540388257103</v>
      </c>
      <c r="G8" s="54">
        <f>SUM($E$7:E8)</f>
        <v>70884</v>
      </c>
      <c r="H8" s="55">
        <f t="shared" ref="H8:H15" si="1">G8/$J$3</f>
        <v>0.23590962189362699</v>
      </c>
      <c r="I8" s="29"/>
      <c r="J8" s="29"/>
      <c r="K8" s="28"/>
      <c r="L8" s="4"/>
    </row>
    <row r="9" spans="1:12" ht="25" customHeight="1" x14ac:dyDescent="0.45">
      <c r="A9" s="4"/>
      <c r="B9" s="19"/>
      <c r="C9" s="64">
        <v>3</v>
      </c>
      <c r="D9" s="65">
        <v>30</v>
      </c>
      <c r="E9" s="52">
        <f>'표준점수 등급컷 입력기능'!D15</f>
        <v>44202</v>
      </c>
      <c r="F9" s="53">
        <f t="shared" si="0"/>
        <v>0.14710903880906975</v>
      </c>
      <c r="G9" s="54">
        <f>SUM($E$7:E9)</f>
        <v>115086</v>
      </c>
      <c r="H9" s="55">
        <f t="shared" si="1"/>
        <v>0.38301866070269674</v>
      </c>
      <c r="I9" s="29"/>
      <c r="J9" s="29"/>
      <c r="K9" s="28"/>
      <c r="L9" s="4"/>
    </row>
    <row r="10" spans="1:12" ht="25" customHeight="1" x14ac:dyDescent="0.45">
      <c r="A10" s="4"/>
      <c r="B10" s="19"/>
      <c r="C10" s="64">
        <v>4</v>
      </c>
      <c r="D10" s="65">
        <v>25</v>
      </c>
      <c r="E10" s="52">
        <f>'표준점수 등급컷 입력기능'!D16</f>
        <v>49643</v>
      </c>
      <c r="F10" s="53">
        <f t="shared" si="0"/>
        <v>0.16521727554406249</v>
      </c>
      <c r="G10" s="54">
        <f>SUM($E$7:E10)</f>
        <v>164729</v>
      </c>
      <c r="H10" s="55">
        <f t="shared" si="1"/>
        <v>0.54823593624675926</v>
      </c>
      <c r="I10" s="29"/>
      <c r="J10" s="29"/>
      <c r="K10" s="28"/>
      <c r="L10" s="4"/>
    </row>
    <row r="11" spans="1:12" ht="25" customHeight="1" x14ac:dyDescent="0.45">
      <c r="A11" s="4"/>
      <c r="B11" s="19"/>
      <c r="C11" s="64">
        <v>5</v>
      </c>
      <c r="D11" s="65">
        <v>20</v>
      </c>
      <c r="E11" s="52">
        <f>'표준점수 등급컷 입력기능'!D17</f>
        <v>43822</v>
      </c>
      <c r="F11" s="53">
        <f t="shared" si="0"/>
        <v>0.14584435769175727</v>
      </c>
      <c r="G11" s="54">
        <f>SUM($E$7:E11)</f>
        <v>208551</v>
      </c>
      <c r="H11" s="55">
        <f t="shared" si="1"/>
        <v>0.69408029393851656</v>
      </c>
      <c r="I11" s="29"/>
      <c r="J11" s="29"/>
      <c r="K11" s="28"/>
      <c r="L11" s="4"/>
    </row>
    <row r="12" spans="1:12" ht="25" customHeight="1" x14ac:dyDescent="0.45">
      <c r="A12" s="4"/>
      <c r="B12" s="19"/>
      <c r="C12" s="64">
        <v>6</v>
      </c>
      <c r="D12" s="65">
        <v>15</v>
      </c>
      <c r="E12" s="52">
        <f>'표준점수 등급컷 입력기능'!D18</f>
        <v>34888</v>
      </c>
      <c r="F12" s="53">
        <f t="shared" si="0"/>
        <v>0.11611103900210004</v>
      </c>
      <c r="G12" s="54">
        <f>SUM($E$7:E12)</f>
        <v>243439</v>
      </c>
      <c r="H12" s="55">
        <f t="shared" si="1"/>
        <v>0.81019133294061652</v>
      </c>
      <c r="I12" s="29"/>
      <c r="J12" s="29"/>
      <c r="K12" s="28"/>
      <c r="L12" s="4"/>
    </row>
    <row r="13" spans="1:12" ht="25" customHeight="1" x14ac:dyDescent="0.45">
      <c r="A13" s="4"/>
      <c r="B13" s="19"/>
      <c r="C13" s="64">
        <v>7</v>
      </c>
      <c r="D13" s="65">
        <v>10</v>
      </c>
      <c r="E13" s="52">
        <f>'표준점수 등급컷 입력기능'!D19</f>
        <v>28814</v>
      </c>
      <c r="F13" s="53">
        <f t="shared" si="0"/>
        <v>9.5896109774320989E-2</v>
      </c>
      <c r="G13" s="54">
        <f>SUM($E$7:E13)</f>
        <v>272253</v>
      </c>
      <c r="H13" s="55">
        <f t="shared" si="1"/>
        <v>0.90608744271493757</v>
      </c>
      <c r="I13" s="29"/>
      <c r="J13" s="29"/>
      <c r="K13" s="28"/>
      <c r="L13" s="4"/>
    </row>
    <row r="14" spans="1:12" ht="25" customHeight="1" x14ac:dyDescent="0.45">
      <c r="A14" s="4"/>
      <c r="B14" s="19"/>
      <c r="C14" s="64">
        <v>8</v>
      </c>
      <c r="D14" s="65">
        <v>5</v>
      </c>
      <c r="E14" s="52">
        <f>'표준점수 등급컷 입력기능'!D20</f>
        <v>25285</v>
      </c>
      <c r="F14" s="53">
        <f t="shared" si="0"/>
        <v>8.4151215924332126E-2</v>
      </c>
      <c r="G14" s="54">
        <f>SUM($E$7:E14)</f>
        <v>297538</v>
      </c>
      <c r="H14" s="55">
        <f t="shared" si="1"/>
        <v>0.99023865863926963</v>
      </c>
      <c r="I14" s="29"/>
      <c r="J14" s="29"/>
      <c r="K14" s="28"/>
      <c r="L14" s="4"/>
    </row>
    <row r="15" spans="1:12" ht="25" customHeight="1" thickBot="1" x14ac:dyDescent="0.5">
      <c r="A15" s="4"/>
      <c r="B15" s="19"/>
      <c r="C15" s="66">
        <v>9</v>
      </c>
      <c r="D15" s="67">
        <v>0</v>
      </c>
      <c r="E15" s="58">
        <f>'표준점수 등급컷 입력기능'!D21</f>
        <v>2933</v>
      </c>
      <c r="F15" s="59">
        <f t="shared" si="0"/>
        <v>9.7613413607303204E-3</v>
      </c>
      <c r="G15" s="60">
        <f>SUM($E$7:E15)</f>
        <v>300471</v>
      </c>
      <c r="H15" s="61">
        <f t="shared" si="1"/>
        <v>1</v>
      </c>
      <c r="I15" s="29"/>
      <c r="J15" s="29"/>
      <c r="K15" s="28"/>
      <c r="L15" s="4"/>
    </row>
    <row r="16" spans="1:12" ht="6" customHeight="1" x14ac:dyDescent="0.45">
      <c r="A16" s="4"/>
      <c r="B16" s="22"/>
      <c r="C16" s="23"/>
      <c r="D16" s="23"/>
      <c r="E16" s="23"/>
      <c r="F16" s="23"/>
      <c r="G16" s="23"/>
      <c r="H16" s="23"/>
      <c r="I16" s="23"/>
      <c r="J16" s="23"/>
      <c r="K16" s="24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7"/>
  <dimension ref="A1:Q105"/>
  <sheetViews>
    <sheetView zoomScale="70" zoomScaleNormal="7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기능'!D6</f>
        <v>28.20</v>
      </c>
      <c r="I3" s="15" t="s">
        <v>84</v>
      </c>
      <c r="J3" s="35">
        <f>'통계 및 응시자 수 입력 기능'!C6</f>
        <v>104747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86</v>
      </c>
      <c r="E4" s="120"/>
      <c r="F4" s="121"/>
      <c r="G4" s="37" t="s">
        <v>87</v>
      </c>
      <c r="H4" s="38" t="str">
        <f>'통계 및 응시자 수 입력 기능'!E6</f>
        <v>11.32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69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99.32</v>
      </c>
      <c r="G7" s="72">
        <f>_xlfn.IFNA(VLOOKUP(D7,'인원 입력 기능 (사과탐)'!$A$5:$D$53,4,FALSE),0)</f>
        <v>1417</v>
      </c>
      <c r="H7" s="73">
        <f>G7/$J$3</f>
        <v>1.3527833732708335E-2</v>
      </c>
      <c r="I7" s="74">
        <f>G7</f>
        <v>1417</v>
      </c>
      <c r="J7" s="75">
        <f>I7/$J$3</f>
        <v>1.3527833732708335E-2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입력기능'!C22</f>
        <v>67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입력기능'!C23</f>
        <v>62</v>
      </c>
    </row>
    <row r="9" spans="1:17" ht="25" customHeight="1" x14ac:dyDescent="0.45">
      <c r="A9" s="4"/>
      <c r="B9" s="19"/>
      <c r="C9" s="69">
        <v>48</v>
      </c>
      <c r="D9" s="126">
        <f>ROUND(10*(C9-$H$3)/$H$4+50,0)</f>
        <v>67</v>
      </c>
      <c r="E9" s="126">
        <f t="shared" si="0"/>
        <v>1</v>
      </c>
      <c r="F9" s="128">
        <f>IF(I8=0,ROUND(100*(1-(I7+I9)/2/$J$3),2),ROUND(100*(1-(I8+I9)/2/$J$3),2))</f>
        <v>97.14</v>
      </c>
      <c r="G9" s="130">
        <f>_xlfn.IFNA(VLOOKUP(D9,'인원 입력 기능 (사과탐)'!$A$5:$D$53,4,FALSE),0)</f>
        <v>3166</v>
      </c>
      <c r="H9" s="132">
        <f>G9/$J$3</f>
        <v>3.0225209313870564E-2</v>
      </c>
      <c r="I9" s="134">
        <f>SUM($G$7:G9)</f>
        <v>4583</v>
      </c>
      <c r="J9" s="136">
        <f>I9/$J$3</f>
        <v>4.3753043046578899E-2</v>
      </c>
      <c r="K9" s="28"/>
      <c r="L9" s="5" t="str">
        <f t="shared" ref="L9:L55" si="1">IF(ABS((C9-$H$3)/$H$4*10+50-D9)&gt;0.49, "경고", "")</f>
        <v>경고</v>
      </c>
      <c r="N9" s="1"/>
      <c r="P9" s="1">
        <v>3</v>
      </c>
      <c r="Q9" s="1">
        <f>'표준점수 등급컷 입력기능'!C24</f>
        <v>59</v>
      </c>
    </row>
    <row r="10" spans="1:17" ht="25" customHeight="1" x14ac:dyDescent="0.45">
      <c r="A10" s="4"/>
      <c r="B10" s="19"/>
      <c r="C10" s="76">
        <v>47</v>
      </c>
      <c r="D10" s="127"/>
      <c r="E10" s="127"/>
      <c r="F10" s="129"/>
      <c r="G10" s="131"/>
      <c r="H10" s="133"/>
      <c r="I10" s="135"/>
      <c r="J10" s="137"/>
      <c r="K10" s="28"/>
      <c r="L10" s="5" t="str">
        <f t="shared" si="1"/>
        <v>경고</v>
      </c>
      <c r="N10" s="1"/>
      <c r="P10" s="1">
        <v>4</v>
      </c>
      <c r="Q10" s="1">
        <f>'표준점수 등급컷 입력기능'!C25</f>
        <v>54</v>
      </c>
    </row>
    <row r="11" spans="1:17" ht="25" customHeight="1" x14ac:dyDescent="0.45">
      <c r="A11" s="4"/>
      <c r="B11" s="19"/>
      <c r="C11" s="69">
        <v>46</v>
      </c>
      <c r="D11" s="70">
        <f t="shared" ref="D11:D55" si="2">ROUND(10*(C11-$H$3)/$H$4+50,0)</f>
        <v>66</v>
      </c>
      <c r="E11" s="70">
        <f t="shared" si="0"/>
        <v>2</v>
      </c>
      <c r="F11" s="71">
        <f t="shared" ref="F11:F55" si="3">IF(I10=0,ROUND(100*(1-(I9+I11)/2/$J$3),2),ROUND(100*(1-(I10+I11)/2/$J$3),2))</f>
        <v>95.59</v>
      </c>
      <c r="G11" s="72">
        <f>IF(D11=D10,"",_xlfn.IFNA(VLOOKUP(D11,'인원 입력 기능 (사과탐)'!$A$5:$D$53,4,FALSE),0))</f>
        <v>73</v>
      </c>
      <c r="H11" s="73">
        <f t="shared" ref="H11:H55" si="4">G11/$J$3</f>
        <v>6.9691733414799467E-4</v>
      </c>
      <c r="I11" s="77">
        <f>SUM($G$7:G11)</f>
        <v>4656</v>
      </c>
      <c r="J11" s="75">
        <f t="shared" ref="J11:J55" si="5">I11/$J$3</f>
        <v>4.4449960380726891E-2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입력기능'!C26</f>
        <v>48</v>
      </c>
    </row>
    <row r="12" spans="1:17" ht="25" customHeight="1" x14ac:dyDescent="0.45">
      <c r="A12" s="4"/>
      <c r="B12" s="19"/>
      <c r="C12" s="76">
        <v>45</v>
      </c>
      <c r="D12" s="70">
        <f t="shared" si="2"/>
        <v>65</v>
      </c>
      <c r="E12" s="70">
        <f t="shared" si="0"/>
        <v>2</v>
      </c>
      <c r="F12" s="71">
        <f t="shared" si="3"/>
        <v>94.95</v>
      </c>
      <c r="G12" s="72">
        <f>IF(D12=D11,"",_xlfn.IFNA(VLOOKUP(D12,'인원 입력 기능 (사과탐)'!$A$5:$D$53,4,FALSE),0))</f>
        <v>1264</v>
      </c>
      <c r="H12" s="73">
        <f t="shared" si="4"/>
        <v>1.2067171374836511E-2</v>
      </c>
      <c r="I12" s="77">
        <f>SUM($G$7:G12)</f>
        <v>5920</v>
      </c>
      <c r="J12" s="75">
        <f t="shared" si="5"/>
        <v>5.6517131755563402E-2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입력기능'!C27</f>
        <v>41</v>
      </c>
    </row>
    <row r="13" spans="1:17" ht="25" customHeight="1" x14ac:dyDescent="0.45">
      <c r="A13" s="4"/>
      <c r="B13" s="19"/>
      <c r="C13" s="69">
        <v>44</v>
      </c>
      <c r="D13" s="70">
        <f t="shared" si="2"/>
        <v>64</v>
      </c>
      <c r="E13" s="70">
        <f t="shared" si="0"/>
        <v>2</v>
      </c>
      <c r="F13" s="71">
        <f t="shared" si="3"/>
        <v>92.62</v>
      </c>
      <c r="G13" s="72">
        <f>IF(D13=D12,"",_xlfn.IFNA(VLOOKUP(D13,'인원 입력 기능 (사과탐)'!$A$5:$D$53,4,FALSE),0))</f>
        <v>3627</v>
      </c>
      <c r="H13" s="73">
        <f t="shared" si="4"/>
        <v>3.4626290013079132E-2</v>
      </c>
      <c r="I13" s="77">
        <f>SUM($G$7:G13)</f>
        <v>9547</v>
      </c>
      <c r="J13" s="75">
        <f t="shared" si="5"/>
        <v>9.1143421768642541E-2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입력기능'!C28</f>
        <v>36</v>
      </c>
    </row>
    <row r="14" spans="1:17" ht="25" customHeight="1" x14ac:dyDescent="0.45">
      <c r="A14" s="4"/>
      <c r="B14" s="19"/>
      <c r="C14" s="76">
        <v>43</v>
      </c>
      <c r="D14" s="70">
        <f t="shared" si="2"/>
        <v>63</v>
      </c>
      <c r="E14" s="70">
        <f t="shared" si="0"/>
        <v>2</v>
      </c>
      <c r="F14" s="71">
        <f t="shared" si="3"/>
        <v>90.71</v>
      </c>
      <c r="G14" s="72">
        <f>IF(D14=D13,"",_xlfn.IFNA(VLOOKUP(D14,'인원 입력 기능 (사과탐)'!$A$5:$D$53,4,FALSE),0))</f>
        <v>370</v>
      </c>
      <c r="H14" s="73">
        <f t="shared" si="4"/>
        <v>3.5323207347227126E-3</v>
      </c>
      <c r="I14" s="77">
        <f>SUM($G$7:G14)</f>
        <v>9917</v>
      </c>
      <c r="J14" s="75">
        <f t="shared" si="5"/>
        <v>9.4675742503365246E-2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입력기능'!C29</f>
        <v>33</v>
      </c>
    </row>
    <row r="15" spans="1:17" ht="25" customHeight="1" x14ac:dyDescent="0.45">
      <c r="A15" s="4"/>
      <c r="B15" s="19"/>
      <c r="C15" s="69">
        <v>42</v>
      </c>
      <c r="D15" s="70">
        <f t="shared" si="2"/>
        <v>62</v>
      </c>
      <c r="E15" s="70">
        <f t="shared" si="0"/>
        <v>2</v>
      </c>
      <c r="F15" s="71">
        <f t="shared" si="3"/>
        <v>89.33</v>
      </c>
      <c r="G15" s="72">
        <f>IF(D15=D14,"",_xlfn.IFNA(VLOOKUP(D15,'인원 입력 기능 (사과탐)'!$A$5:$D$53,4,FALSE),0))</f>
        <v>2526</v>
      </c>
      <c r="H15" s="73">
        <f t="shared" si="4"/>
        <v>2.4115249124079925E-2</v>
      </c>
      <c r="I15" s="77">
        <f>SUM($G$7:G15)</f>
        <v>12443</v>
      </c>
      <c r="J15" s="75">
        <f t="shared" si="5"/>
        <v>0.11879099162744518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61</v>
      </c>
      <c r="E16" s="70">
        <f t="shared" si="0"/>
        <v>3</v>
      </c>
      <c r="F16" s="71">
        <f t="shared" si="3"/>
        <v>86.21</v>
      </c>
      <c r="G16" s="72">
        <f>IF(D16=D15,"",_xlfn.IFNA(VLOOKUP(D16,'인원 입력 기능 (사과탐)'!$A$5:$D$53,4,FALSE),0))</f>
        <v>4010</v>
      </c>
      <c r="H16" s="73">
        <f t="shared" si="4"/>
        <v>3.8282719314156971E-2</v>
      </c>
      <c r="I16" s="77">
        <f>SUM($G$7:G16)</f>
        <v>16453</v>
      </c>
      <c r="J16" s="75">
        <f t="shared" si="5"/>
        <v>0.15707371094160213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126">
        <f t="shared" si="2"/>
        <v>60</v>
      </c>
      <c r="E17" s="126">
        <f t="shared" si="0"/>
        <v>3</v>
      </c>
      <c r="F17" s="128">
        <f t="shared" si="3"/>
        <v>82.02</v>
      </c>
      <c r="G17" s="130">
        <f>IF(D17=D16,"",_xlfn.IFNA(VLOOKUP(D17,'인원 입력 기능 (사과탐)'!$A$5:$D$53,4,FALSE),0))</f>
        <v>4758</v>
      </c>
      <c r="H17" s="132">
        <f t="shared" si="4"/>
        <v>4.5423735285974778E-2</v>
      </c>
      <c r="I17" s="134">
        <f>SUM($G$7:G17)</f>
        <v>21211</v>
      </c>
      <c r="J17" s="136">
        <f t="shared" si="5"/>
        <v>0.20249744622757693</v>
      </c>
      <c r="K17" s="28"/>
      <c r="L17" s="5" t="str">
        <f t="shared" si="1"/>
        <v/>
      </c>
      <c r="N17" s="1"/>
      <c r="P17" s="1">
        <f>Q7*H3*H4*J3*IFERROR(IF(J57=1, 1, 0), 0)</f>
        <v>2240329673.9759998</v>
      </c>
    </row>
    <row r="18" spans="1:16" ht="25" customHeight="1" x14ac:dyDescent="0.45">
      <c r="A18" s="4"/>
      <c r="B18" s="19"/>
      <c r="C18" s="76">
        <v>39</v>
      </c>
      <c r="D18" s="127"/>
      <c r="E18" s="127"/>
      <c r="F18" s="129"/>
      <c r="G18" s="131"/>
      <c r="H18" s="133"/>
      <c r="I18" s="135"/>
      <c r="J18" s="137"/>
      <c r="K18" s="28"/>
      <c r="L18" s="5" t="str">
        <f t="shared" si="1"/>
        <v>경고</v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59</v>
      </c>
      <c r="E19" s="70">
        <f t="shared" si="0"/>
        <v>3</v>
      </c>
      <c r="F19" s="71">
        <f t="shared" si="3"/>
        <v>77.97</v>
      </c>
      <c r="G19" s="72">
        <f>IF(D19=D18,"",_xlfn.IFNA(VLOOKUP(D19,'인원 입력 기능 (사과탐)'!$A$5:$D$53,4,FALSE),0))</f>
        <v>3738</v>
      </c>
      <c r="H19" s="73">
        <f t="shared" si="4"/>
        <v>3.5685986233495948E-2</v>
      </c>
      <c r="I19" s="77">
        <f>SUM($G$7:G19)</f>
        <v>24949</v>
      </c>
      <c r="J19" s="75">
        <f t="shared" si="5"/>
        <v>0.23818343246107287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58</v>
      </c>
      <c r="E20" s="70">
        <f t="shared" si="0"/>
        <v>4</v>
      </c>
      <c r="F20" s="71">
        <f t="shared" si="3"/>
        <v>75.150000000000006</v>
      </c>
      <c r="G20" s="72">
        <f>IF(D20=D19,"",_xlfn.IFNA(VLOOKUP(D20,'인원 입력 기능 (사과탐)'!$A$5:$D$53,4,FALSE),0))</f>
        <v>2158</v>
      </c>
      <c r="H20" s="73">
        <f t="shared" si="4"/>
        <v>2.0602022014950309E-2</v>
      </c>
      <c r="I20" s="77">
        <f>SUM($G$7:G20)</f>
        <v>27107</v>
      </c>
      <c r="J20" s="75">
        <f t="shared" si="5"/>
        <v>0.25878545447602319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57</v>
      </c>
      <c r="E21" s="79">
        <f t="shared" si="0"/>
        <v>4</v>
      </c>
      <c r="F21" s="71">
        <f t="shared" si="3"/>
        <v>71.989999999999995</v>
      </c>
      <c r="G21" s="72">
        <f>IF(D21=D20,"",_xlfn.IFNA(VLOOKUP(D21,'인원 입력 기능 (사과탐)'!$A$5:$D$53,4,FALSE),0))</f>
        <v>4455</v>
      </c>
      <c r="H21" s="73">
        <f t="shared" si="4"/>
        <v>4.2531051008620771E-2</v>
      </c>
      <c r="I21" s="77">
        <f>SUM($G$7:G21)</f>
        <v>31562</v>
      </c>
      <c r="J21" s="75">
        <f t="shared" si="5"/>
        <v>0.30131650548464395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56</v>
      </c>
      <c r="E22" s="79">
        <f t="shared" si="0"/>
        <v>4</v>
      </c>
      <c r="F22" s="71">
        <f t="shared" si="3"/>
        <v>68.27</v>
      </c>
      <c r="G22" s="72">
        <f>IF(D22=D21,"",_xlfn.IFNA(VLOOKUP(D22,'인원 입력 기능 (사과탐)'!$A$5:$D$53,4,FALSE),0))</f>
        <v>3350</v>
      </c>
      <c r="H22" s="73">
        <f t="shared" si="4"/>
        <v>3.1981822868435372E-2</v>
      </c>
      <c r="I22" s="77">
        <f>SUM($G$7:G22)</f>
        <v>34912</v>
      </c>
      <c r="J22" s="75">
        <f t="shared" si="5"/>
        <v>0.33329832835307932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55</v>
      </c>
      <c r="E23" s="79">
        <f t="shared" si="0"/>
        <v>4</v>
      </c>
      <c r="F23" s="71">
        <f t="shared" si="3"/>
        <v>65.12</v>
      </c>
      <c r="G23" s="72">
        <f>IF(D23=D22,"",_xlfn.IFNA(VLOOKUP(D23,'인원 입력 기능 (사과탐)'!$A$5:$D$53,4,FALSE),0))</f>
        <v>3251</v>
      </c>
      <c r="H23" s="73">
        <f t="shared" si="4"/>
        <v>3.1036688401577132E-2</v>
      </c>
      <c r="I23" s="77">
        <f>SUM($G$7:G23)</f>
        <v>38163</v>
      </c>
      <c r="J23" s="75">
        <f t="shared" si="5"/>
        <v>0.36433501675465646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54</v>
      </c>
      <c r="E24" s="79">
        <f t="shared" si="0"/>
        <v>4</v>
      </c>
      <c r="F24" s="71">
        <f t="shared" si="3"/>
        <v>61.58</v>
      </c>
      <c r="G24" s="72">
        <f>IF(D24=D23,"",_xlfn.IFNA(VLOOKUP(D24,'인원 입력 기능 (사과탐)'!$A$5:$D$53,4,FALSE),0))</f>
        <v>4154</v>
      </c>
      <c r="H24" s="73">
        <f t="shared" si="4"/>
        <v>3.965746035685986E-2</v>
      </c>
      <c r="I24" s="77">
        <f>SUM($G$7:G24)</f>
        <v>42317</v>
      </c>
      <c r="J24" s="75">
        <f t="shared" si="5"/>
        <v>0.40399247711151631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53</v>
      </c>
      <c r="E25" s="79">
        <f t="shared" si="0"/>
        <v>5</v>
      </c>
      <c r="F25" s="71">
        <f t="shared" si="3"/>
        <v>58.13</v>
      </c>
      <c r="G25" s="72">
        <f>IF(D25=D24,"",_xlfn.IFNA(VLOOKUP(D25,'인원 입력 기능 (사과탐)'!$A$5:$D$53,4,FALSE),0))</f>
        <v>3087</v>
      </c>
      <c r="H25" s="73">
        <f t="shared" si="4"/>
        <v>2.9471011102943281E-2</v>
      </c>
      <c r="I25" s="77">
        <f>SUM($G$7:G25)</f>
        <v>45404</v>
      </c>
      <c r="J25" s="75">
        <f t="shared" si="5"/>
        <v>0.43346348821445962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138">
        <f t="shared" si="2"/>
        <v>52</v>
      </c>
      <c r="E26" s="138">
        <f t="shared" si="0"/>
        <v>5</v>
      </c>
      <c r="F26" s="128">
        <f t="shared" si="3"/>
        <v>53.22</v>
      </c>
      <c r="G26" s="130">
        <f>IF(D26=D25,"",_xlfn.IFNA(VLOOKUP(D26,'인원 입력 기능 (사과탐)'!$A$5:$D$53,4,FALSE),0))</f>
        <v>7183</v>
      </c>
      <c r="H26" s="132">
        <f t="shared" si="4"/>
        <v>6.8574756317603375E-2</v>
      </c>
      <c r="I26" s="134">
        <f>SUM($G$7:G26)</f>
        <v>52587</v>
      </c>
      <c r="J26" s="136">
        <f t="shared" si="5"/>
        <v>0.50203824453206292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139"/>
      <c r="E27" s="139"/>
      <c r="F27" s="129"/>
      <c r="G27" s="131"/>
      <c r="H27" s="133"/>
      <c r="I27" s="135"/>
      <c r="J27" s="137"/>
      <c r="K27" s="28"/>
      <c r="L27" s="5" t="str">
        <f t="shared" si="1"/>
        <v>경고</v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51</v>
      </c>
      <c r="E28" s="79">
        <f t="shared" si="0"/>
        <v>5</v>
      </c>
      <c r="F28" s="71">
        <f t="shared" si="3"/>
        <v>48.26</v>
      </c>
      <c r="G28" s="72">
        <f>IF(D28=D27,"",_xlfn.IFNA(VLOOKUP(D28,'인원 입력 기능 (사과탐)'!$A$5:$D$53,4,FALSE),0))</f>
        <v>3212</v>
      </c>
      <c r="H28" s="73">
        <f t="shared" si="4"/>
        <v>3.0664362702511768E-2</v>
      </c>
      <c r="I28" s="77">
        <f>SUM($G$7:G28)</f>
        <v>55799</v>
      </c>
      <c r="J28" s="75">
        <f t="shared" si="5"/>
        <v>0.53270260723457474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50</v>
      </c>
      <c r="E29" s="79">
        <f t="shared" si="0"/>
        <v>5</v>
      </c>
      <c r="F29" s="71">
        <f t="shared" si="3"/>
        <v>45.14</v>
      </c>
      <c r="G29" s="72">
        <f>IF(D29=D28,"",_xlfn.IFNA(VLOOKUP(D29,'인원 입력 기능 (사과탐)'!$A$5:$D$53,4,FALSE),0))</f>
        <v>3324</v>
      </c>
      <c r="H29" s="73">
        <f t="shared" si="4"/>
        <v>3.1733605735725125E-2</v>
      </c>
      <c r="I29" s="77">
        <f>SUM($G$7:G29)</f>
        <v>59123</v>
      </c>
      <c r="J29" s="75">
        <f t="shared" si="5"/>
        <v>0.56443621297029989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49</v>
      </c>
      <c r="E30" s="79">
        <f t="shared" si="0"/>
        <v>5</v>
      </c>
      <c r="F30" s="71">
        <f t="shared" si="3"/>
        <v>42.19</v>
      </c>
      <c r="G30" s="72">
        <f>IF(D30=D29,"",_xlfn.IFNA(VLOOKUP(D30,'인원 입력 기능 (사과탐)'!$A$5:$D$53,4,FALSE),0))</f>
        <v>2867</v>
      </c>
      <c r="H30" s="73">
        <f t="shared" si="4"/>
        <v>2.7370712287702749E-2</v>
      </c>
      <c r="I30" s="77">
        <f>SUM($G$7:G30)</f>
        <v>61990</v>
      </c>
      <c r="J30" s="75">
        <f t="shared" si="5"/>
        <v>0.5918069252580026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48</v>
      </c>
      <c r="E31" s="79">
        <f t="shared" si="0"/>
        <v>5</v>
      </c>
      <c r="F31" s="71">
        <f t="shared" si="3"/>
        <v>39.42</v>
      </c>
      <c r="G31" s="72">
        <f>IF(D31=D30,"",_xlfn.IFNA(VLOOKUP(D31,'인원 입력 기능 (사과탐)'!$A$5:$D$53,4,FALSE),0))</f>
        <v>2937</v>
      </c>
      <c r="H31" s="73">
        <f t="shared" si="4"/>
        <v>2.8038989183461101E-2</v>
      </c>
      <c r="I31" s="77">
        <f>SUM($G$7:G31)</f>
        <v>64927</v>
      </c>
      <c r="J31" s="75">
        <f t="shared" si="5"/>
        <v>0.61984591444146375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47</v>
      </c>
      <c r="E32" s="79">
        <f t="shared" si="0"/>
        <v>6</v>
      </c>
      <c r="F32" s="71">
        <f t="shared" si="3"/>
        <v>36.770000000000003</v>
      </c>
      <c r="G32" s="72">
        <f>IF(D32=D31,"",_xlfn.IFNA(VLOOKUP(D32,'인원 입력 기능 (사과탐)'!$A$5:$D$53,4,FALSE),0))</f>
        <v>2619</v>
      </c>
      <c r="H32" s="73">
        <f t="shared" si="4"/>
        <v>2.5003102714158877E-2</v>
      </c>
      <c r="I32" s="77">
        <f>SUM($G$7:G32)</f>
        <v>67546</v>
      </c>
      <c r="J32" s="75">
        <f t="shared" si="5"/>
        <v>0.64484901715562259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46</v>
      </c>
      <c r="E33" s="79">
        <f t="shared" si="0"/>
        <v>6</v>
      </c>
      <c r="F33" s="71">
        <f t="shared" si="3"/>
        <v>34.340000000000003</v>
      </c>
      <c r="G33" s="72">
        <f>IF(D33=D32,"",_xlfn.IFNA(VLOOKUP(D33,'인원 입력 기능 (사과탐)'!$A$5:$D$53,4,FALSE),0))</f>
        <v>2470</v>
      </c>
      <c r="H33" s="73">
        <f t="shared" si="4"/>
        <v>2.3580627607473245E-2</v>
      </c>
      <c r="I33" s="77">
        <f>SUM($G$7:G33)</f>
        <v>70016</v>
      </c>
      <c r="J33" s="75">
        <f t="shared" si="5"/>
        <v>0.66842964476309585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138">
        <f t="shared" si="2"/>
        <v>45</v>
      </c>
      <c r="E34" s="138">
        <f t="shared" si="0"/>
        <v>6</v>
      </c>
      <c r="F34" s="128">
        <f t="shared" si="3"/>
        <v>31.06</v>
      </c>
      <c r="G34" s="130">
        <f>IF(D34=D33,"",_xlfn.IFNA(VLOOKUP(D34,'인원 입력 기능 (사과탐)'!$A$5:$D$53,4,FALSE),0))</f>
        <v>4396</v>
      </c>
      <c r="H34" s="132">
        <f t="shared" si="4"/>
        <v>4.1967789053624451E-2</v>
      </c>
      <c r="I34" s="134">
        <f>SUM($G$7:G34)</f>
        <v>74412</v>
      </c>
      <c r="J34" s="136">
        <f t="shared" si="5"/>
        <v>0.71039743381672027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139"/>
      <c r="E35" s="139"/>
      <c r="F35" s="129"/>
      <c r="G35" s="131"/>
      <c r="H35" s="133"/>
      <c r="I35" s="135"/>
      <c r="J35" s="137"/>
      <c r="K35" s="28"/>
      <c r="L35" s="5" t="str">
        <f t="shared" si="1"/>
        <v>경고</v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44</v>
      </c>
      <c r="E36" s="79">
        <f t="shared" si="0"/>
        <v>6</v>
      </c>
      <c r="F36" s="71">
        <f t="shared" si="3"/>
        <v>27.98</v>
      </c>
      <c r="G36" s="72">
        <f>IF(D36=D35,"",_xlfn.IFNA(VLOOKUP(D36,'인원 입력 기능 (사과탐)'!$A$5:$D$53,4,FALSE),0))</f>
        <v>2053</v>
      </c>
      <c r="H36" s="73">
        <f t="shared" si="4"/>
        <v>1.9599606671312782E-2</v>
      </c>
      <c r="I36" s="77">
        <f>SUM($G$7:G36)</f>
        <v>76465</v>
      </c>
      <c r="J36" s="75">
        <f t="shared" si="5"/>
        <v>0.72999704048803304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43</v>
      </c>
      <c r="E37" s="79">
        <f t="shared" si="0"/>
        <v>6</v>
      </c>
      <c r="F37" s="71">
        <f t="shared" si="3"/>
        <v>26.17</v>
      </c>
      <c r="G37" s="72">
        <f>IF(D37=D36,"",_xlfn.IFNA(VLOOKUP(D37,'인원 입력 기능 (사과탐)'!$A$5:$D$53,4,FALSE),0))</f>
        <v>1732</v>
      </c>
      <c r="H37" s="73">
        <f t="shared" si="4"/>
        <v>1.6535079763620914E-2</v>
      </c>
      <c r="I37" s="77">
        <f>SUM($G$7:G37)</f>
        <v>78197</v>
      </c>
      <c r="J37" s="75">
        <f t="shared" si="5"/>
        <v>0.74653212025165394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42</v>
      </c>
      <c r="E38" s="79">
        <f t="shared" si="0"/>
        <v>6</v>
      </c>
      <c r="F38" s="71">
        <f t="shared" si="3"/>
        <v>24.52</v>
      </c>
      <c r="G38" s="72">
        <f>IF(D38=D37,"",_xlfn.IFNA(VLOOKUP(D38,'인원 입력 기능 (사과탐)'!$A$5:$D$53,4,FALSE),0))</f>
        <v>1729</v>
      </c>
      <c r="H38" s="73">
        <f t="shared" si="4"/>
        <v>1.650643932523127E-2</v>
      </c>
      <c r="I38" s="77">
        <f>SUM($G$7:G38)</f>
        <v>79926</v>
      </c>
      <c r="J38" s="75">
        <f t="shared" si="5"/>
        <v>0.76303855957688527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41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1">
        <f t="shared" si="3"/>
        <v>22.92</v>
      </c>
      <c r="G39" s="72">
        <f>IF(D39=D38,"",_xlfn.IFNA(VLOOKUP(D39,'인원 입력 기능 (사과탐)'!$A$5:$D$53,4,FALSE),0))</f>
        <v>1628</v>
      </c>
      <c r="H39" s="73">
        <f t="shared" si="4"/>
        <v>1.5542211232779936E-2</v>
      </c>
      <c r="I39" s="77">
        <f>SUM($G$7:G39)</f>
        <v>81554</v>
      </c>
      <c r="J39" s="75">
        <f t="shared" si="5"/>
        <v>0.77858077080966515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40</v>
      </c>
      <c r="E40" s="79">
        <f t="shared" si="6"/>
        <v>7</v>
      </c>
      <c r="F40" s="71">
        <f t="shared" si="3"/>
        <v>21.43</v>
      </c>
      <c r="G40" s="72">
        <f>IF(D40=D39,"",_xlfn.IFNA(VLOOKUP(D40,'인원 입력 기능 (사과탐)'!$A$5:$D$53,4,FALSE),0))</f>
        <v>1496</v>
      </c>
      <c r="H40" s="73">
        <f t="shared" si="4"/>
        <v>1.4282031943635616E-2</v>
      </c>
      <c r="I40" s="77">
        <f>SUM($G$7:G40)</f>
        <v>83050</v>
      </c>
      <c r="J40" s="75">
        <f t="shared" si="5"/>
        <v>0.79286280275330079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39</v>
      </c>
      <c r="E41" s="79">
        <f t="shared" si="6"/>
        <v>7</v>
      </c>
      <c r="F41" s="71">
        <f t="shared" si="3"/>
        <v>19.95</v>
      </c>
      <c r="G41" s="72">
        <f>IF(D41=D40,"",_xlfn.IFNA(VLOOKUP(D41,'인원 입력 기능 (사과탐)'!$A$5:$D$53,4,FALSE),0))</f>
        <v>1590</v>
      </c>
      <c r="H41" s="73">
        <f t="shared" si="4"/>
        <v>1.5179432346511118E-2</v>
      </c>
      <c r="I41" s="77">
        <f>SUM($G$7:G41)</f>
        <v>84640</v>
      </c>
      <c r="J41" s="75">
        <f t="shared" si="5"/>
        <v>0.80804223509981188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38</v>
      </c>
      <c r="E42" s="79">
        <f t="shared" si="6"/>
        <v>7</v>
      </c>
      <c r="F42" s="71">
        <f t="shared" si="3"/>
        <v>18.489999999999998</v>
      </c>
      <c r="G42" s="72">
        <f>IF(D42=D41,"",_xlfn.IFNA(VLOOKUP(D42,'인원 입력 기능 (사과탐)'!$A$5:$D$53,4,FALSE),0))</f>
        <v>1480</v>
      </c>
      <c r="H42" s="73">
        <f t="shared" si="4"/>
        <v>1.412928293889085E-2</v>
      </c>
      <c r="I42" s="77">
        <f>SUM($G$7:G42)</f>
        <v>86120</v>
      </c>
      <c r="J42" s="75">
        <f t="shared" si="5"/>
        <v>0.82217151803870281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138">
        <f t="shared" si="2"/>
        <v>37</v>
      </c>
      <c r="E43" s="138">
        <f t="shared" si="6"/>
        <v>7</v>
      </c>
      <c r="F43" s="128">
        <f t="shared" si="3"/>
        <v>14.44</v>
      </c>
      <c r="G43" s="130">
        <f>IF(D43=D42,"",_xlfn.IFNA(VLOOKUP(D43,'인원 입력 기능 (사과탐)'!$A$5:$D$53,4,FALSE),0))</f>
        <v>7001</v>
      </c>
      <c r="H43" s="132">
        <f t="shared" si="4"/>
        <v>6.6837236388631649E-2</v>
      </c>
      <c r="I43" s="134">
        <f>SUM($G$7:G43)</f>
        <v>93121</v>
      </c>
      <c r="J43" s="136">
        <f t="shared" si="5"/>
        <v>0.8890087544273344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139"/>
      <c r="E44" s="139"/>
      <c r="F44" s="129"/>
      <c r="G44" s="131"/>
      <c r="H44" s="133"/>
      <c r="I44" s="135"/>
      <c r="J44" s="137"/>
      <c r="K44" s="28"/>
      <c r="L44" s="5" t="str">
        <f t="shared" si="1"/>
        <v>경고</v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36</v>
      </c>
      <c r="E45" s="79">
        <f t="shared" si="6"/>
        <v>7</v>
      </c>
      <c r="F45" s="71">
        <f t="shared" si="3"/>
        <v>10.45</v>
      </c>
      <c r="G45" s="72">
        <f>IF(D45=D44,"",_xlfn.IFNA(VLOOKUP(D45,'인원 입력 기능 (사과탐)'!$A$5:$D$53,4,FALSE),0))</f>
        <v>1358</v>
      </c>
      <c r="H45" s="73">
        <f t="shared" si="4"/>
        <v>1.296457177771201E-2</v>
      </c>
      <c r="I45" s="77">
        <f>SUM($G$7:G45)</f>
        <v>94479</v>
      </c>
      <c r="J45" s="75">
        <f t="shared" si="5"/>
        <v>0.90197332620504644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35</v>
      </c>
      <c r="E46" s="79">
        <f t="shared" si="6"/>
        <v>8</v>
      </c>
      <c r="F46" s="71">
        <f t="shared" si="3"/>
        <v>8.16</v>
      </c>
      <c r="G46" s="72">
        <f>IF(D46=D45,"",_xlfn.IFNA(VLOOKUP(D46,'인원 입력 기능 (사과탐)'!$A$5:$D$53,4,FALSE),0))</f>
        <v>3445</v>
      </c>
      <c r="H46" s="73">
        <f t="shared" si="4"/>
        <v>3.288877008410742E-2</v>
      </c>
      <c r="I46" s="77">
        <f>SUM($G$7:G46)</f>
        <v>97924</v>
      </c>
      <c r="J46" s="75">
        <f t="shared" si="5"/>
        <v>0.93486209628915384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34</v>
      </c>
      <c r="E47" s="79">
        <f t="shared" si="6"/>
        <v>8</v>
      </c>
      <c r="F47" s="71">
        <f t="shared" si="3"/>
        <v>5.66</v>
      </c>
      <c r="G47" s="72">
        <f>IF(D47=D46,"",_xlfn.IFNA(VLOOKUP(D47,'인원 입력 기능 (사과탐)'!$A$5:$D$53,4,FALSE),0))</f>
        <v>1785</v>
      </c>
      <c r="H47" s="73">
        <f t="shared" si="4"/>
        <v>1.7041060841837954E-2</v>
      </c>
      <c r="I47" s="77">
        <f>SUM($G$7:G47)</f>
        <v>99709</v>
      </c>
      <c r="J47" s="75">
        <f t="shared" si="5"/>
        <v>0.95190315713099183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33</v>
      </c>
      <c r="E48" s="79">
        <f t="shared" si="6"/>
        <v>8</v>
      </c>
      <c r="F48" s="71">
        <f t="shared" si="3"/>
        <v>4.1100000000000003</v>
      </c>
      <c r="G48" s="72">
        <f>IF(D48=D47,"",_xlfn.IFNA(VLOOKUP(D48,'인원 입력 기능 (사과탐)'!$A$5:$D$53,4,FALSE),0))</f>
        <v>1456</v>
      </c>
      <c r="H48" s="73">
        <f t="shared" si="4"/>
        <v>1.3900159431773702E-2</v>
      </c>
      <c r="I48" s="77">
        <f>SUM($G$7:G48)</f>
        <v>101165</v>
      </c>
      <c r="J48" s="75">
        <f t="shared" si="5"/>
        <v>0.96580331656276552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32</v>
      </c>
      <c r="E49" s="79">
        <f t="shared" si="6"/>
        <v>9</v>
      </c>
      <c r="F49" s="71">
        <f t="shared" si="3"/>
        <v>3.04</v>
      </c>
      <c r="G49" s="72">
        <f>IF(D49=D48,"",_xlfn.IFNA(VLOOKUP(D49,'인원 입력 기능 (사과탐)'!$A$5:$D$53,4,FALSE),0))</f>
        <v>800</v>
      </c>
      <c r="H49" s="73">
        <f t="shared" si="4"/>
        <v>7.6374502372382981E-3</v>
      </c>
      <c r="I49" s="77">
        <f>SUM($G$7:G49)</f>
        <v>101965</v>
      </c>
      <c r="J49" s="75">
        <f t="shared" si="5"/>
        <v>0.9734407668000038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31</v>
      </c>
      <c r="E50" s="79">
        <f t="shared" si="6"/>
        <v>9</v>
      </c>
      <c r="F50" s="71">
        <f t="shared" si="3"/>
        <v>2.04</v>
      </c>
      <c r="G50" s="72">
        <f>IF(D50=D49,"",_xlfn.IFNA(VLOOKUP(D50,'인원 입력 기능 (사과탐)'!$A$5:$D$53,4,FALSE),0))</f>
        <v>1296</v>
      </c>
      <c r="H50" s="73">
        <f t="shared" si="4"/>
        <v>1.2372669384326043E-2</v>
      </c>
      <c r="I50" s="77">
        <f>SUM($G$7:G50)</f>
        <v>103261</v>
      </c>
      <c r="J50" s="75">
        <f t="shared" si="5"/>
        <v>0.98581343618432982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138">
        <f t="shared" si="2"/>
        <v>30</v>
      </c>
      <c r="E51" s="138">
        <f t="shared" si="6"/>
        <v>9</v>
      </c>
      <c r="F51" s="128">
        <f t="shared" si="3"/>
        <v>1</v>
      </c>
      <c r="G51" s="130">
        <f>IF(D51=D50,"",_xlfn.IFNA(VLOOKUP(D51,'인원 입력 기능 (사과탐)'!$A$5:$D$53,4,FALSE),0))</f>
        <v>873</v>
      </c>
      <c r="H51" s="132">
        <f t="shared" si="4"/>
        <v>8.334367571386293E-3</v>
      </c>
      <c r="I51" s="134">
        <f>SUM($G$7:G51)</f>
        <v>104134</v>
      </c>
      <c r="J51" s="136">
        <f t="shared" si="5"/>
        <v>0.99414780375571621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139"/>
      <c r="E52" s="139"/>
      <c r="F52" s="129"/>
      <c r="G52" s="131"/>
      <c r="H52" s="133"/>
      <c r="I52" s="135"/>
      <c r="J52" s="137"/>
      <c r="K52" s="28"/>
      <c r="L52" s="5" t="str">
        <f t="shared" si="1"/>
        <v>경고</v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29</v>
      </c>
      <c r="E53" s="70">
        <f t="shared" si="6"/>
        <v>9</v>
      </c>
      <c r="F53" s="71">
        <f t="shared" si="3"/>
        <v>0.48</v>
      </c>
      <c r="G53" s="72">
        <f>IF(D53=D52,"",_xlfn.IFNA(VLOOKUP(D53,'인원 입력 기능 (사과탐)'!$A$5:$D$53,4,FALSE),0))</f>
        <v>212</v>
      </c>
      <c r="H53" s="73">
        <f t="shared" si="4"/>
        <v>2.0239243128681488E-3</v>
      </c>
      <c r="I53" s="77">
        <f>SUM($G$7:G53)</f>
        <v>104346</v>
      </c>
      <c r="J53" s="75">
        <f t="shared" si="5"/>
        <v>0.99617172806858434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28</v>
      </c>
      <c r="E54" s="70">
        <f t="shared" si="6"/>
        <v>9</v>
      </c>
      <c r="F54" s="71">
        <f t="shared" si="3"/>
        <v>0.3</v>
      </c>
      <c r="G54" s="72">
        <f>IF(D54=D53,"",_xlfn.IFNA(VLOOKUP(D54,'인원 입력 기능 (사과탐)'!$A$5:$D$53,4,FALSE),0))</f>
        <v>176</v>
      </c>
      <c r="H54" s="73">
        <f t="shared" si="4"/>
        <v>1.6802390521924255E-3</v>
      </c>
      <c r="I54" s="77">
        <f>SUM($G$7:G54)</f>
        <v>104522</v>
      </c>
      <c r="J54" s="75">
        <f t="shared" si="5"/>
        <v>0.99785196712077673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27</v>
      </c>
      <c r="E55" s="70">
        <f t="shared" si="6"/>
        <v>9</v>
      </c>
      <c r="F55" s="71">
        <f t="shared" si="3"/>
        <v>0.14000000000000001</v>
      </c>
      <c r="G55" s="72">
        <f>IF(D55=D54,"",_xlfn.IFNA(VLOOKUP(D55,'인원 입력 기능 (사과탐)'!$A$5:$D$53,4,FALSE),0))</f>
        <v>160</v>
      </c>
      <c r="H55" s="73">
        <f t="shared" si="4"/>
        <v>1.5274900474476596E-3</v>
      </c>
      <c r="I55" s="77">
        <f>SUM($G$7:G55)</f>
        <v>104682</v>
      </c>
      <c r="J55" s="75">
        <f t="shared" si="5"/>
        <v>0.99937945716822441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25</v>
      </c>
      <c r="E57" s="83">
        <f t="shared" si="6"/>
        <v>9</v>
      </c>
      <c r="F57" s="84">
        <f>IF(I55=0,ROUND(100*(1-(I54+I57)/2/$J$3),2),ROUND(100*(1-(I55+I57)/2/$J$3),2))</f>
        <v>0.03</v>
      </c>
      <c r="G57" s="85">
        <f>_xlfn.IFNA(VLOOKUP(D57,'인원 입력 기능 (사과탐)'!$A$5:$D$53,4,FALSE),0)</f>
        <v>65</v>
      </c>
      <c r="H57" s="86">
        <f>G57/$J$3</f>
        <v>6.2054283177561168E-4</v>
      </c>
      <c r="I57" s="87">
        <f>SUM($G$7:G57)</f>
        <v>104747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7">
    <mergeCell ref="I51:I52"/>
    <mergeCell ref="J51:J52"/>
    <mergeCell ref="D51:D52"/>
    <mergeCell ref="E51:E52"/>
    <mergeCell ref="F51:F52"/>
    <mergeCell ref="G51:G52"/>
    <mergeCell ref="H51:H52"/>
    <mergeCell ref="I34:I35"/>
    <mergeCell ref="J34:J35"/>
    <mergeCell ref="D43:D44"/>
    <mergeCell ref="E43:E44"/>
    <mergeCell ref="F43:F44"/>
    <mergeCell ref="G43:G44"/>
    <mergeCell ref="H43:H44"/>
    <mergeCell ref="I43:I44"/>
    <mergeCell ref="J43:J44"/>
    <mergeCell ref="D34:D35"/>
    <mergeCell ref="E34:E35"/>
    <mergeCell ref="F34:F35"/>
    <mergeCell ref="G34:G35"/>
    <mergeCell ref="H34:H35"/>
    <mergeCell ref="H17:H18"/>
    <mergeCell ref="I17:I18"/>
    <mergeCell ref="J17:J18"/>
    <mergeCell ref="D26:D27"/>
    <mergeCell ref="E26:E27"/>
    <mergeCell ref="F26:F27"/>
    <mergeCell ref="G26:G27"/>
    <mergeCell ref="H26:H27"/>
    <mergeCell ref="I26:I27"/>
    <mergeCell ref="J26:J27"/>
    <mergeCell ref="D3:F3"/>
    <mergeCell ref="D4:F4"/>
    <mergeCell ref="D8:J8"/>
    <mergeCell ref="D56:J56"/>
    <mergeCell ref="G5:J5"/>
    <mergeCell ref="D9:D10"/>
    <mergeCell ref="E9:E10"/>
    <mergeCell ref="F9:F10"/>
    <mergeCell ref="G9:G10"/>
    <mergeCell ref="H9:H10"/>
    <mergeCell ref="I9:I10"/>
    <mergeCell ref="J9:J10"/>
    <mergeCell ref="D17:D18"/>
    <mergeCell ref="E17:E18"/>
    <mergeCell ref="F17:F18"/>
    <mergeCell ref="G17:G18"/>
  </mergeCells>
  <phoneticPr fontId="1" type="noConversion"/>
  <conditionalFormatting sqref="D7:D9 D11:D17 D19:D26 D28:D34 D36:D43 D45:D51 D53:D57">
    <cfRule type="expression" dxfId="56" priority="1">
      <formula>$D7=$D8</formula>
    </cfRule>
  </conditionalFormatting>
  <conditionalFormatting sqref="C7:C57">
    <cfRule type="expression" dxfId="55" priority="3">
      <formula>OR(AND($D7=0,OR($D6=$Q$7:$Q$14)),AND($D8&gt;0,OR($D7=$Q$7:$Q$14)))</formula>
    </cfRule>
  </conditionalFormatting>
  <conditionalFormatting sqref="D7:J7 D8 D57:J57 D56 D9:J9 D11:J17 D19:J26 D28:J34 D36:J43 D45:J51 D53:J55">
    <cfRule type="expression" dxfId="54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8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기능'!D7</f>
        <v>22.25</v>
      </c>
      <c r="I3" s="15" t="s">
        <v>84</v>
      </c>
      <c r="J3" s="35">
        <f>'통계 및 응시자 수 입력 기능'!C7</f>
        <v>27692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103</v>
      </c>
      <c r="E4" s="120"/>
      <c r="F4" s="121"/>
      <c r="G4" s="37" t="s">
        <v>87</v>
      </c>
      <c r="H4" s="38" t="str">
        <f>'통계 및 응시자 수 입력 기능'!E7</f>
        <v>11.56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74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99.57</v>
      </c>
      <c r="G7" s="72">
        <f>_xlfn.IFNA(VLOOKUP(D7,'인원 입력 기능 (사과탐)'!$F$5:$I$53,4,FALSE),0)</f>
        <v>239</v>
      </c>
      <c r="H7" s="73">
        <f>G7/$J$3</f>
        <v>8.6306514516827967E-3</v>
      </c>
      <c r="I7" s="74">
        <f>G7</f>
        <v>239</v>
      </c>
      <c r="J7" s="75">
        <f>I7/$J$3</f>
        <v>8.6306514516827967E-3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입력기능'!C31</f>
        <v>70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입력기능'!C32</f>
        <v>64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72</v>
      </c>
      <c r="E9" s="70">
        <f t="shared" si="0"/>
        <v>1</v>
      </c>
      <c r="F9" s="71">
        <f>IF(I8=0,ROUND(100*(1-(I7+I9)/2/$J$3),2),ROUND(100*(1-(I8+I9)/2/$J$3),2))</f>
        <v>98.73</v>
      </c>
      <c r="G9" s="72">
        <f>_xlfn.IFNA(VLOOKUP(D9,'인원 입력 기능 (사과탐)'!$F$5:$I$53,4,FALSE),0)</f>
        <v>226</v>
      </c>
      <c r="H9" s="73">
        <f>G9/$J$3</f>
        <v>8.161201791131013E-3</v>
      </c>
      <c r="I9" s="77">
        <f>SUM($G$7:G9)</f>
        <v>465</v>
      </c>
      <c r="J9" s="75">
        <f>I9/$J$3</f>
        <v>1.679185324281381E-2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입력기능'!C33</f>
        <v>58</v>
      </c>
    </row>
    <row r="10" spans="1:17" ht="25" customHeight="1" x14ac:dyDescent="0.45">
      <c r="A10" s="4"/>
      <c r="B10" s="19"/>
      <c r="C10" s="76">
        <v>47</v>
      </c>
      <c r="D10" s="126">
        <f t="shared" ref="D10:D55" si="2">ROUND(10*(C10-$H$3)/$H$4+50,0)</f>
        <v>71</v>
      </c>
      <c r="E10" s="126">
        <f t="shared" si="0"/>
        <v>1</v>
      </c>
      <c r="F10" s="128">
        <f t="shared" ref="F10:F55" si="3">IF(I9=0,ROUND(100*(1-(I8+I10)/2/$J$3),2),ROUND(100*(1-(I9+I10)/2/$J$3),2))</f>
        <v>97.69</v>
      </c>
      <c r="G10" s="130">
        <f>IF(D10=D9,"",_xlfn.IFNA(VLOOKUP(D10,'인원 입력 기능 (사과탐)'!$F$5:$I$53,4,FALSE),0))</f>
        <v>349</v>
      </c>
      <c r="H10" s="132">
        <f t="shared" ref="H10:H55" si="4">G10/$J$3</f>
        <v>1.2602917810197891E-2</v>
      </c>
      <c r="I10" s="134">
        <f>SUM($G$7:G10)</f>
        <v>814</v>
      </c>
      <c r="J10" s="136">
        <f t="shared" ref="J10:J55" si="5">I10/$J$3</f>
        <v>2.9394771053011699E-2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입력기능'!C34</f>
        <v>52</v>
      </c>
    </row>
    <row r="11" spans="1:17" ht="25" customHeight="1" x14ac:dyDescent="0.45">
      <c r="A11" s="4"/>
      <c r="B11" s="19"/>
      <c r="C11" s="69">
        <v>46</v>
      </c>
      <c r="D11" s="140"/>
      <c r="E11" s="140"/>
      <c r="F11" s="141"/>
      <c r="G11" s="142"/>
      <c r="H11" s="143"/>
      <c r="I11" s="144"/>
      <c r="J11" s="145"/>
      <c r="K11" s="28"/>
      <c r="L11" s="5" t="str">
        <f t="shared" si="1"/>
        <v>경고</v>
      </c>
      <c r="N11" s="1"/>
      <c r="P11" s="1">
        <v>5</v>
      </c>
      <c r="Q11" s="1">
        <f>'표준점수 등급컷 입력기능'!C35</f>
        <v>45</v>
      </c>
    </row>
    <row r="12" spans="1:17" ht="25" customHeight="1" x14ac:dyDescent="0.45">
      <c r="A12" s="4"/>
      <c r="B12" s="19"/>
      <c r="C12" s="76">
        <v>45</v>
      </c>
      <c r="D12" s="70">
        <f t="shared" si="2"/>
        <v>70</v>
      </c>
      <c r="E12" s="70">
        <f t="shared" si="0"/>
        <v>1</v>
      </c>
      <c r="F12" s="71">
        <f t="shared" si="3"/>
        <v>96.36</v>
      </c>
      <c r="G12" s="72">
        <f>IF(D12=D11,"",_xlfn.IFNA(VLOOKUP(D12,'인원 입력 기능 (사과탐)'!$F$5:$I$53,4,FALSE),0))</f>
        <v>387</v>
      </c>
      <c r="H12" s="73">
        <f t="shared" si="4"/>
        <v>1.3975155279503106E-2</v>
      </c>
      <c r="I12" s="77">
        <f>SUM($G$7:G12)</f>
        <v>1201</v>
      </c>
      <c r="J12" s="75">
        <f t="shared" si="5"/>
        <v>4.3369926332514804E-2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입력기능'!C36</f>
        <v>42</v>
      </c>
    </row>
    <row r="13" spans="1:17" ht="25" customHeight="1" x14ac:dyDescent="0.45">
      <c r="A13" s="4"/>
      <c r="B13" s="19"/>
      <c r="C13" s="69">
        <v>44</v>
      </c>
      <c r="D13" s="70">
        <f t="shared" si="2"/>
        <v>69</v>
      </c>
      <c r="E13" s="70">
        <f t="shared" si="0"/>
        <v>2</v>
      </c>
      <c r="F13" s="71">
        <f t="shared" si="3"/>
        <v>95.31</v>
      </c>
      <c r="G13" s="72">
        <f>IF(D13=D12,"",_xlfn.IFNA(VLOOKUP(D13,'인원 입력 기능 (사과탐)'!$F$5:$I$53,4,FALSE),0))</f>
        <v>193</v>
      </c>
      <c r="H13" s="73">
        <f t="shared" si="4"/>
        <v>6.9695218835764839E-3</v>
      </c>
      <c r="I13" s="77">
        <f>SUM($G$7:G13)</f>
        <v>1394</v>
      </c>
      <c r="J13" s="75">
        <f t="shared" si="5"/>
        <v>5.0339448216091293E-2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입력기능'!C37</f>
        <v>39</v>
      </c>
    </row>
    <row r="14" spans="1:17" ht="25" customHeight="1" x14ac:dyDescent="0.45">
      <c r="A14" s="4"/>
      <c r="B14" s="19"/>
      <c r="C14" s="76">
        <v>43</v>
      </c>
      <c r="D14" s="70">
        <f t="shared" si="2"/>
        <v>68</v>
      </c>
      <c r="E14" s="70">
        <f t="shared" si="0"/>
        <v>2</v>
      </c>
      <c r="F14" s="71">
        <f t="shared" si="3"/>
        <v>94.41</v>
      </c>
      <c r="G14" s="72">
        <f>IF(D14=D13,"",_xlfn.IFNA(VLOOKUP(D14,'인원 입력 기능 (사과탐)'!$F$5:$I$53,4,FALSE),0))</f>
        <v>307</v>
      </c>
      <c r="H14" s="73">
        <f t="shared" si="4"/>
        <v>1.1086234291492128E-2</v>
      </c>
      <c r="I14" s="77">
        <f>SUM($G$7:G14)</f>
        <v>1701</v>
      </c>
      <c r="J14" s="75">
        <f t="shared" si="5"/>
        <v>6.1425682507583415E-2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입력기능'!C38</f>
        <v>37</v>
      </c>
    </row>
    <row r="15" spans="1:17" ht="25" customHeight="1" x14ac:dyDescent="0.45">
      <c r="A15" s="4"/>
      <c r="B15" s="19"/>
      <c r="C15" s="69">
        <v>42</v>
      </c>
      <c r="D15" s="70">
        <f t="shared" si="2"/>
        <v>67</v>
      </c>
      <c r="E15" s="70">
        <f t="shared" si="0"/>
        <v>2</v>
      </c>
      <c r="F15" s="71">
        <f t="shared" si="3"/>
        <v>93.21</v>
      </c>
      <c r="G15" s="72">
        <f>IF(D15=D14,"",_xlfn.IFNA(VLOOKUP(D15,'인원 입력 기능 (사과탐)'!$F$5:$I$53,4,FALSE),0))</f>
        <v>356</v>
      </c>
      <c r="H15" s="73">
        <f t="shared" si="4"/>
        <v>1.2855698396648851E-2</v>
      </c>
      <c r="I15" s="77">
        <f>SUM($G$7:G15)</f>
        <v>2057</v>
      </c>
      <c r="J15" s="75">
        <f t="shared" si="5"/>
        <v>7.4281380904232266E-2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66</v>
      </c>
      <c r="E16" s="70">
        <f t="shared" si="0"/>
        <v>2</v>
      </c>
      <c r="F16" s="71">
        <f t="shared" si="3"/>
        <v>92.05</v>
      </c>
      <c r="G16" s="72">
        <f>IF(D16=D15,"",_xlfn.IFNA(VLOOKUP(D16,'인원 입력 기능 (사과탐)'!$F$5:$I$53,4,FALSE),0))</f>
        <v>290</v>
      </c>
      <c r="H16" s="73">
        <f t="shared" si="4"/>
        <v>1.0472338581539795E-2</v>
      </c>
      <c r="I16" s="77">
        <f>SUM($G$7:G16)</f>
        <v>2347</v>
      </c>
      <c r="J16" s="75">
        <f t="shared" si="5"/>
        <v>8.4753719485772067E-2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65</v>
      </c>
      <c r="E17" s="70">
        <f t="shared" si="0"/>
        <v>2</v>
      </c>
      <c r="F17" s="71">
        <f t="shared" si="3"/>
        <v>90.77</v>
      </c>
      <c r="G17" s="72">
        <f>IF(D17=D16,"",_xlfn.IFNA(VLOOKUP(D17,'인원 입력 기능 (사과탐)'!$F$5:$I$53,4,FALSE),0))</f>
        <v>416</v>
      </c>
      <c r="H17" s="73">
        <f t="shared" si="4"/>
        <v>1.5022389137657084E-2</v>
      </c>
      <c r="I17" s="77">
        <f>SUM($G$7:G17)</f>
        <v>2763</v>
      </c>
      <c r="J17" s="75">
        <f t="shared" si="5"/>
        <v>9.9776108623429144E-2</v>
      </c>
      <c r="K17" s="28"/>
      <c r="L17" s="5" t="str">
        <f t="shared" si="1"/>
        <v/>
      </c>
      <c r="N17" s="1"/>
      <c r="P17" s="1">
        <f>Q7*H3*H4*J3*IFERROR(IF(J57=1, 1, 0), 0)</f>
        <v>498586152.40000004</v>
      </c>
    </row>
    <row r="18" spans="1:16" ht="25" customHeight="1" x14ac:dyDescent="0.45">
      <c r="A18" s="4"/>
      <c r="B18" s="19"/>
      <c r="C18" s="76">
        <v>39</v>
      </c>
      <c r="D18" s="126">
        <f t="shared" si="2"/>
        <v>64</v>
      </c>
      <c r="E18" s="126">
        <f t="shared" si="0"/>
        <v>2</v>
      </c>
      <c r="F18" s="128">
        <f t="shared" si="3"/>
        <v>88.55</v>
      </c>
      <c r="G18" s="130">
        <f>IF(D18=D17,"",_xlfn.IFNA(VLOOKUP(D18,'인원 입력 기능 (사과탐)'!$F$5:$I$53,4,FALSE),0))</f>
        <v>814</v>
      </c>
      <c r="H18" s="132">
        <f t="shared" si="4"/>
        <v>2.9394771053011699E-2</v>
      </c>
      <c r="I18" s="134">
        <f>SUM($G$7:G18)</f>
        <v>3577</v>
      </c>
      <c r="J18" s="136">
        <f t="shared" si="5"/>
        <v>0.12917087967644084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140"/>
      <c r="E19" s="140"/>
      <c r="F19" s="141"/>
      <c r="G19" s="142"/>
      <c r="H19" s="143"/>
      <c r="I19" s="144"/>
      <c r="J19" s="145"/>
      <c r="K19" s="28"/>
      <c r="L19" s="5" t="str">
        <f t="shared" si="1"/>
        <v>경고</v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63</v>
      </c>
      <c r="E20" s="70">
        <f t="shared" si="0"/>
        <v>3</v>
      </c>
      <c r="F20" s="71">
        <f t="shared" si="3"/>
        <v>86.3</v>
      </c>
      <c r="G20" s="72">
        <f>IF(D20=D19,"",_xlfn.IFNA(VLOOKUP(D20,'인원 입력 기능 (사과탐)'!$F$5:$I$53,4,FALSE),0))</f>
        <v>436</v>
      </c>
      <c r="H20" s="73">
        <f t="shared" si="4"/>
        <v>1.574461938465983E-2</v>
      </c>
      <c r="I20" s="77">
        <f>SUM($G$7:G20)</f>
        <v>4013</v>
      </c>
      <c r="J20" s="75">
        <f t="shared" si="5"/>
        <v>0.14491549906110068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62</v>
      </c>
      <c r="E21" s="79">
        <f t="shared" si="0"/>
        <v>3</v>
      </c>
      <c r="F21" s="71">
        <f t="shared" si="3"/>
        <v>84.76</v>
      </c>
      <c r="G21" s="72">
        <f>IF(D21=D20,"",_xlfn.IFNA(VLOOKUP(D21,'인원 입력 기능 (사과탐)'!$F$5:$I$53,4,FALSE),0))</f>
        <v>413</v>
      </c>
      <c r="H21" s="73">
        <f t="shared" si="4"/>
        <v>1.4914054600606673E-2</v>
      </c>
      <c r="I21" s="77">
        <f>SUM($G$7:G21)</f>
        <v>4426</v>
      </c>
      <c r="J21" s="75">
        <f t="shared" si="5"/>
        <v>0.15982955366170734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61</v>
      </c>
      <c r="E22" s="79">
        <f t="shared" si="0"/>
        <v>3</v>
      </c>
      <c r="F22" s="71">
        <f t="shared" si="3"/>
        <v>83.2</v>
      </c>
      <c r="G22" s="72">
        <f>IF(D22=D21,"",_xlfn.IFNA(VLOOKUP(D22,'인원 입력 기능 (사과탐)'!$F$5:$I$53,4,FALSE),0))</f>
        <v>454</v>
      </c>
      <c r="H22" s="73">
        <f t="shared" si="4"/>
        <v>1.6394626606962299E-2</v>
      </c>
      <c r="I22" s="77">
        <f>SUM($G$7:G22)</f>
        <v>4880</v>
      </c>
      <c r="J22" s="75">
        <f t="shared" si="5"/>
        <v>0.17622418026866965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60</v>
      </c>
      <c r="E23" s="79">
        <f t="shared" si="0"/>
        <v>3</v>
      </c>
      <c r="F23" s="71">
        <f t="shared" si="3"/>
        <v>81.42</v>
      </c>
      <c r="G23" s="72">
        <f>IF(D23=D22,"",_xlfn.IFNA(VLOOKUP(D23,'인원 입력 기능 (사과탐)'!$F$5:$I$53,4,FALSE),0))</f>
        <v>529</v>
      </c>
      <c r="H23" s="73">
        <f t="shared" si="4"/>
        <v>1.9102990033222592E-2</v>
      </c>
      <c r="I23" s="77">
        <f>SUM($G$7:G23)</f>
        <v>5409</v>
      </c>
      <c r="J23" s="75">
        <f t="shared" si="5"/>
        <v>0.19532717030189226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59</v>
      </c>
      <c r="E24" s="79">
        <f t="shared" si="0"/>
        <v>3</v>
      </c>
      <c r="F24" s="71">
        <f t="shared" si="3"/>
        <v>79.52</v>
      </c>
      <c r="G24" s="72">
        <f>IF(D24=D23,"",_xlfn.IFNA(VLOOKUP(D24,'인원 입력 기능 (사과탐)'!$F$5:$I$53,4,FALSE),0))</f>
        <v>527</v>
      </c>
      <c r="H24" s="73">
        <f t="shared" si="4"/>
        <v>1.9030767008522315E-2</v>
      </c>
      <c r="I24" s="77">
        <f>SUM($G$7:G24)</f>
        <v>5936</v>
      </c>
      <c r="J24" s="75">
        <f t="shared" si="5"/>
        <v>0.21435793731041455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138">
        <f t="shared" si="2"/>
        <v>58</v>
      </c>
      <c r="E25" s="138">
        <f t="shared" si="0"/>
        <v>3</v>
      </c>
      <c r="F25" s="128">
        <f t="shared" si="3"/>
        <v>76.62</v>
      </c>
      <c r="G25" s="130">
        <f>IF(D25=D24,"",_xlfn.IFNA(VLOOKUP(D25,'인원 입력 기능 (사과탐)'!$F$5:$I$53,4,FALSE),0))</f>
        <v>1079</v>
      </c>
      <c r="H25" s="132">
        <f t="shared" si="4"/>
        <v>3.8964321825798065E-2</v>
      </c>
      <c r="I25" s="134">
        <f>SUM($G$7:G25)</f>
        <v>7015</v>
      </c>
      <c r="J25" s="136">
        <f t="shared" si="5"/>
        <v>0.25332225913621265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139"/>
      <c r="E26" s="139"/>
      <c r="F26" s="129"/>
      <c r="G26" s="131"/>
      <c r="H26" s="133"/>
      <c r="I26" s="135"/>
      <c r="J26" s="137"/>
      <c r="K26" s="28"/>
      <c r="L26" s="5" t="str">
        <f t="shared" si="1"/>
        <v>경고</v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57</v>
      </c>
      <c r="E27" s="79">
        <f t="shared" si="0"/>
        <v>4</v>
      </c>
      <c r="F27" s="71">
        <f t="shared" si="3"/>
        <v>73.63</v>
      </c>
      <c r="G27" s="72">
        <f>IF(D27=D26,"",_xlfn.IFNA(VLOOKUP(D27,'인원 입력 기능 (사과탐)'!$F$5:$I$53,4,FALSE),0))</f>
        <v>572</v>
      </c>
      <c r="H27" s="73">
        <f t="shared" si="4"/>
        <v>2.0655785064278492E-2</v>
      </c>
      <c r="I27" s="77">
        <f>SUM($G$7:G27)</f>
        <v>7587</v>
      </c>
      <c r="J27" s="75">
        <f t="shared" si="5"/>
        <v>0.2739780442004911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56</v>
      </c>
      <c r="E28" s="79">
        <f t="shared" si="0"/>
        <v>4</v>
      </c>
      <c r="F28" s="71">
        <f t="shared" si="3"/>
        <v>71.47</v>
      </c>
      <c r="G28" s="72">
        <f>IF(D28=D27,"",_xlfn.IFNA(VLOOKUP(D28,'인원 입력 기능 (사과탐)'!$F$5:$I$53,4,FALSE),0))</f>
        <v>626</v>
      </c>
      <c r="H28" s="73">
        <f t="shared" si="4"/>
        <v>2.2605806731185903E-2</v>
      </c>
      <c r="I28" s="77">
        <f>SUM($G$7:G28)</f>
        <v>8213</v>
      </c>
      <c r="J28" s="75">
        <f t="shared" si="5"/>
        <v>0.296583850931677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55</v>
      </c>
      <c r="E29" s="79">
        <f t="shared" si="0"/>
        <v>4</v>
      </c>
      <c r="F29" s="71">
        <f t="shared" si="3"/>
        <v>69.239999999999995</v>
      </c>
      <c r="G29" s="72">
        <f>IF(D29=D28,"",_xlfn.IFNA(VLOOKUP(D29,'인원 입력 기능 (사과탐)'!$F$5:$I$53,4,FALSE),0))</f>
        <v>610</v>
      </c>
      <c r="H29" s="73">
        <f t="shared" si="4"/>
        <v>2.2028022533583706E-2</v>
      </c>
      <c r="I29" s="77">
        <f>SUM($G$7:G29)</f>
        <v>8823</v>
      </c>
      <c r="J29" s="75">
        <f t="shared" si="5"/>
        <v>0.31861187346526071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54</v>
      </c>
      <c r="E30" s="79">
        <f t="shared" si="0"/>
        <v>4</v>
      </c>
      <c r="F30" s="71">
        <f t="shared" si="3"/>
        <v>66.89</v>
      </c>
      <c r="G30" s="72">
        <f>IF(D30=D29,"",_xlfn.IFNA(VLOOKUP(D30,'인원 입력 기능 (사과탐)'!$F$5:$I$53,4,FALSE),0))</f>
        <v>691</v>
      </c>
      <c r="H30" s="73">
        <f t="shared" si="4"/>
        <v>2.4953055033944821E-2</v>
      </c>
      <c r="I30" s="77">
        <f>SUM($G$7:G30)</f>
        <v>9514</v>
      </c>
      <c r="J30" s="75">
        <f t="shared" si="5"/>
        <v>0.34356492849920556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53</v>
      </c>
      <c r="E31" s="79">
        <f t="shared" si="0"/>
        <v>4</v>
      </c>
      <c r="F31" s="71">
        <f t="shared" si="3"/>
        <v>64.44</v>
      </c>
      <c r="G31" s="72">
        <f>IF(D31=D30,"",_xlfn.IFNA(VLOOKUP(D31,'인원 입력 기능 (사과탐)'!$F$5:$I$53,4,FALSE),0))</f>
        <v>669</v>
      </c>
      <c r="H31" s="73">
        <f t="shared" si="4"/>
        <v>2.4158601762241803E-2</v>
      </c>
      <c r="I31" s="77">
        <f>SUM($G$7:G31)</f>
        <v>10183</v>
      </c>
      <c r="J31" s="75">
        <f t="shared" si="5"/>
        <v>0.36772353026144733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138">
        <f t="shared" si="2"/>
        <v>52</v>
      </c>
      <c r="E32" s="138">
        <f t="shared" si="0"/>
        <v>4</v>
      </c>
      <c r="F32" s="128">
        <f t="shared" si="3"/>
        <v>60.66</v>
      </c>
      <c r="G32" s="130">
        <f>IF(D32=D31,"",_xlfn.IFNA(VLOOKUP(D32,'인원 입력 기능 (사과탐)'!$F$5:$I$53,4,FALSE),0))</f>
        <v>1421</v>
      </c>
      <c r="H32" s="132">
        <f t="shared" si="4"/>
        <v>5.1314459049544993E-2</v>
      </c>
      <c r="I32" s="134">
        <f>SUM($G$7:G32)</f>
        <v>11604</v>
      </c>
      <c r="J32" s="136">
        <f t="shared" si="5"/>
        <v>0.41903798931099234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139"/>
      <c r="E33" s="139"/>
      <c r="F33" s="129"/>
      <c r="G33" s="131"/>
      <c r="H33" s="133"/>
      <c r="I33" s="135"/>
      <c r="J33" s="137"/>
      <c r="K33" s="28"/>
      <c r="L33" s="5" t="str">
        <f t="shared" si="1"/>
        <v>경고</v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51</v>
      </c>
      <c r="E34" s="79">
        <f t="shared" si="0"/>
        <v>5</v>
      </c>
      <c r="F34" s="71">
        <f t="shared" si="3"/>
        <v>56.76</v>
      </c>
      <c r="G34" s="72">
        <f>IF(D34=D33,"",_xlfn.IFNA(VLOOKUP(D34,'인원 입력 기능 (사과탐)'!$F$5:$I$53,4,FALSE),0))</f>
        <v>738</v>
      </c>
      <c r="H34" s="73">
        <f t="shared" si="4"/>
        <v>2.665029611440127E-2</v>
      </c>
      <c r="I34" s="77">
        <f>SUM($G$7:G34)</f>
        <v>12342</v>
      </c>
      <c r="J34" s="75">
        <f t="shared" si="5"/>
        <v>0.44568828542539363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50</v>
      </c>
      <c r="E35" s="79">
        <f t="shared" si="0"/>
        <v>5</v>
      </c>
      <c r="F35" s="71">
        <f t="shared" si="3"/>
        <v>54.03</v>
      </c>
      <c r="G35" s="72">
        <f>IF(D35=D34,"",_xlfn.IFNA(VLOOKUP(D35,'인원 입력 기능 (사과탐)'!$F$5:$I$53,4,FALSE),0))</f>
        <v>774</v>
      </c>
      <c r="H35" s="73">
        <f t="shared" si="4"/>
        <v>2.7950310559006212E-2</v>
      </c>
      <c r="I35" s="77">
        <f>SUM($G$7:G35)</f>
        <v>13116</v>
      </c>
      <c r="J35" s="75">
        <f t="shared" si="5"/>
        <v>0.47363859598439984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49</v>
      </c>
      <c r="E36" s="79">
        <f t="shared" si="0"/>
        <v>5</v>
      </c>
      <c r="F36" s="71">
        <f t="shared" si="3"/>
        <v>51.37</v>
      </c>
      <c r="G36" s="72">
        <f>IF(D36=D35,"",_xlfn.IFNA(VLOOKUP(D36,'인원 입력 기능 (사과탐)'!$F$5:$I$53,4,FALSE),0))</f>
        <v>703</v>
      </c>
      <c r="H36" s="73">
        <f t="shared" si="4"/>
        <v>2.5386393182146468E-2</v>
      </c>
      <c r="I36" s="77">
        <f>SUM($G$7:G36)</f>
        <v>13819</v>
      </c>
      <c r="J36" s="75">
        <f t="shared" si="5"/>
        <v>0.49902498916654631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48</v>
      </c>
      <c r="E37" s="79">
        <f t="shared" si="0"/>
        <v>5</v>
      </c>
      <c r="F37" s="71">
        <f t="shared" si="3"/>
        <v>48.72</v>
      </c>
      <c r="G37" s="72">
        <f>IF(D37=D36,"",_xlfn.IFNA(VLOOKUP(D37,'인원 입력 기능 (사과탐)'!$F$5:$I$53,4,FALSE),0))</f>
        <v>764</v>
      </c>
      <c r="H37" s="73">
        <f t="shared" si="4"/>
        <v>2.7589195435504837E-2</v>
      </c>
      <c r="I37" s="77">
        <f>SUM($G$7:G37)</f>
        <v>14583</v>
      </c>
      <c r="J37" s="75">
        <f t="shared" si="5"/>
        <v>0.52661418460205112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47</v>
      </c>
      <c r="E38" s="79">
        <f t="shared" si="0"/>
        <v>5</v>
      </c>
      <c r="F38" s="71">
        <f t="shared" si="3"/>
        <v>46</v>
      </c>
      <c r="G38" s="72">
        <f>IF(D38=D37,"",_xlfn.IFNA(VLOOKUP(D38,'인원 입력 기능 (사과탐)'!$F$5:$I$53,4,FALSE),0))</f>
        <v>744</v>
      </c>
      <c r="H38" s="73">
        <f t="shared" si="4"/>
        <v>2.6866965188502095E-2</v>
      </c>
      <c r="I38" s="77">
        <f>SUM($G$7:G38)</f>
        <v>15327</v>
      </c>
      <c r="J38" s="75">
        <f t="shared" si="5"/>
        <v>0.55348114979055318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46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1">
        <f t="shared" si="3"/>
        <v>43.32</v>
      </c>
      <c r="G39" s="72">
        <f>IF(D39=D38,"",_xlfn.IFNA(VLOOKUP(D39,'인원 입력 기능 (사과탐)'!$F$5:$I$53,4,FALSE),0))</f>
        <v>737</v>
      </c>
      <c r="H39" s="73">
        <f t="shared" si="4"/>
        <v>2.6614184602051134E-2</v>
      </c>
      <c r="I39" s="77">
        <f>SUM($G$7:G39)</f>
        <v>16064</v>
      </c>
      <c r="J39" s="75">
        <f t="shared" si="5"/>
        <v>0.58009533439260441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138">
        <f t="shared" si="2"/>
        <v>45</v>
      </c>
      <c r="E40" s="138">
        <f t="shared" si="6"/>
        <v>5</v>
      </c>
      <c r="F40" s="128">
        <f t="shared" si="3"/>
        <v>39.22</v>
      </c>
      <c r="G40" s="130">
        <f>IF(D40=D39,"",_xlfn.IFNA(VLOOKUP(D40,'인원 입력 기능 (사과탐)'!$F$5:$I$53,4,FALSE),0))</f>
        <v>1536</v>
      </c>
      <c r="H40" s="132">
        <f t="shared" si="4"/>
        <v>5.5467282969810773E-2</v>
      </c>
      <c r="I40" s="134">
        <f>SUM($G$7:G40)</f>
        <v>17600</v>
      </c>
      <c r="J40" s="136">
        <f t="shared" si="5"/>
        <v>0.63556261736241515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139"/>
      <c r="E41" s="139"/>
      <c r="F41" s="129"/>
      <c r="G41" s="131"/>
      <c r="H41" s="133"/>
      <c r="I41" s="135"/>
      <c r="J41" s="137"/>
      <c r="K41" s="28"/>
      <c r="L41" s="5" t="str">
        <f t="shared" si="1"/>
        <v>경고</v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44</v>
      </c>
      <c r="E42" s="79">
        <f t="shared" si="6"/>
        <v>6</v>
      </c>
      <c r="F42" s="71">
        <f t="shared" si="3"/>
        <v>34.880000000000003</v>
      </c>
      <c r="G42" s="72">
        <f>IF(D42=D41,"",_xlfn.IFNA(VLOOKUP(D42,'인원 입력 기능 (사과탐)'!$F$5:$I$53,4,FALSE),0))</f>
        <v>868</v>
      </c>
      <c r="H42" s="73">
        <f t="shared" si="4"/>
        <v>3.1344792719919107E-2</v>
      </c>
      <c r="I42" s="77">
        <f>SUM($G$7:G42)</f>
        <v>18468</v>
      </c>
      <c r="J42" s="75">
        <f t="shared" si="5"/>
        <v>0.66690741008233423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43</v>
      </c>
      <c r="E43" s="79">
        <f t="shared" si="6"/>
        <v>6</v>
      </c>
      <c r="F43" s="71">
        <f t="shared" si="3"/>
        <v>32.119999999999997</v>
      </c>
      <c r="G43" s="72">
        <f>IF(D43=D42,"",_xlfn.IFNA(VLOOKUP(D43,'인원 입력 기능 (사과탐)'!$F$5:$I$53,4,FALSE),0))</f>
        <v>658</v>
      </c>
      <c r="H43" s="73">
        <f t="shared" si="4"/>
        <v>2.3761375126390292E-2</v>
      </c>
      <c r="I43" s="77">
        <f>SUM($G$7:G43)</f>
        <v>19126</v>
      </c>
      <c r="J43" s="75">
        <f t="shared" si="5"/>
        <v>0.69066878520872454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42</v>
      </c>
      <c r="E44" s="79">
        <f t="shared" si="6"/>
        <v>6</v>
      </c>
      <c r="F44" s="71">
        <f t="shared" si="3"/>
        <v>26.43</v>
      </c>
      <c r="G44" s="72">
        <f>IF(D44=D43,"",_xlfn.IFNA(VLOOKUP(D44,'인원 입력 기능 (사과탐)'!$F$5:$I$53,4,FALSE),0))</f>
        <v>2496</v>
      </c>
      <c r="H44" s="73">
        <f t="shared" si="4"/>
        <v>9.0134334825942505E-2</v>
      </c>
      <c r="I44" s="77">
        <f>SUM($G$7:G44)</f>
        <v>21622</v>
      </c>
      <c r="J44" s="75">
        <f t="shared" si="5"/>
        <v>0.78080312003466701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41</v>
      </c>
      <c r="E45" s="79">
        <f t="shared" si="6"/>
        <v>7</v>
      </c>
      <c r="F45" s="71">
        <f t="shared" si="3"/>
        <v>20.53</v>
      </c>
      <c r="G45" s="72">
        <f>IF(D45=D44,"",_xlfn.IFNA(VLOOKUP(D45,'인원 입력 기능 (사과탐)'!$F$5:$I$53,4,FALSE),0))</f>
        <v>770</v>
      </c>
      <c r="H45" s="73">
        <f t="shared" si="4"/>
        <v>2.7805864509605663E-2</v>
      </c>
      <c r="I45" s="77">
        <f>SUM($G$7:G45)</f>
        <v>22392</v>
      </c>
      <c r="J45" s="75">
        <f t="shared" si="5"/>
        <v>0.80860898454427277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40</v>
      </c>
      <c r="E46" s="79">
        <f t="shared" si="6"/>
        <v>7</v>
      </c>
      <c r="F46" s="71">
        <f t="shared" si="3"/>
        <v>18.04</v>
      </c>
      <c r="G46" s="72">
        <f>IF(D46=D45,"",_xlfn.IFNA(VLOOKUP(D46,'인원 입력 기능 (사과탐)'!$F$5:$I$53,4,FALSE),0))</f>
        <v>607</v>
      </c>
      <c r="H46" s="73">
        <f t="shared" si="4"/>
        <v>2.1919687996533294E-2</v>
      </c>
      <c r="I46" s="77">
        <f>SUM($G$7:G46)</f>
        <v>22999</v>
      </c>
      <c r="J46" s="75">
        <f t="shared" si="5"/>
        <v>0.83052867254080598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138">
        <f t="shared" si="2"/>
        <v>39</v>
      </c>
      <c r="E47" s="138">
        <f t="shared" si="6"/>
        <v>7</v>
      </c>
      <c r="F47" s="128">
        <f t="shared" si="3"/>
        <v>13.51</v>
      </c>
      <c r="G47" s="130">
        <f>IF(D47=D46,"",_xlfn.IFNA(VLOOKUP(D47,'인원 입력 기능 (사과탐)'!$F$5:$I$53,4,FALSE),0))</f>
        <v>1906</v>
      </c>
      <c r="H47" s="132">
        <f t="shared" si="4"/>
        <v>6.8828542539361548E-2</v>
      </c>
      <c r="I47" s="134">
        <f>SUM($G$7:G47)</f>
        <v>24905</v>
      </c>
      <c r="J47" s="136">
        <f t="shared" si="5"/>
        <v>0.89935721508016753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139"/>
      <c r="E48" s="139"/>
      <c r="F48" s="129"/>
      <c r="G48" s="131"/>
      <c r="H48" s="133"/>
      <c r="I48" s="135"/>
      <c r="J48" s="137"/>
      <c r="K48" s="28"/>
      <c r="L48" s="5" t="str">
        <f t="shared" si="1"/>
        <v>경고</v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38</v>
      </c>
      <c r="E49" s="79">
        <f t="shared" si="6"/>
        <v>8</v>
      </c>
      <c r="F49" s="71">
        <f t="shared" si="3"/>
        <v>9.2200000000000006</v>
      </c>
      <c r="G49" s="72">
        <f>IF(D49=D48,"",_xlfn.IFNA(VLOOKUP(D49,'인원 입력 기능 (사과탐)'!$F$5:$I$53,4,FALSE),0))</f>
        <v>467</v>
      </c>
      <c r="H49" s="73">
        <f t="shared" si="4"/>
        <v>1.6864076267514082E-2</v>
      </c>
      <c r="I49" s="77">
        <f>SUM($G$7:G49)</f>
        <v>25372</v>
      </c>
      <c r="J49" s="75">
        <f t="shared" si="5"/>
        <v>0.9162212913476816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37</v>
      </c>
      <c r="E50" s="79">
        <f t="shared" si="6"/>
        <v>8</v>
      </c>
      <c r="F50" s="71">
        <f t="shared" si="3"/>
        <v>5.88</v>
      </c>
      <c r="G50" s="72">
        <f>IF(D50=D49,"",_xlfn.IFNA(VLOOKUP(D50,'인원 입력 기능 (사과탐)'!$F$5:$I$53,4,FALSE),0))</f>
        <v>1381</v>
      </c>
      <c r="H50" s="73">
        <f t="shared" si="4"/>
        <v>4.9869998555539509E-2</v>
      </c>
      <c r="I50" s="77">
        <f>SUM($G$7:G50)</f>
        <v>26753</v>
      </c>
      <c r="J50" s="75">
        <f t="shared" si="5"/>
        <v>0.96609128990322113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36</v>
      </c>
      <c r="E51" s="79">
        <f t="shared" si="6"/>
        <v>9</v>
      </c>
      <c r="F51" s="71">
        <f t="shared" si="3"/>
        <v>2.96</v>
      </c>
      <c r="G51" s="72">
        <f>IF(D51=D50,"",_xlfn.IFNA(VLOOKUP(D51,'인원 입력 기능 (사과탐)'!$F$5:$I$53,4,FALSE),0))</f>
        <v>239</v>
      </c>
      <c r="H51" s="73">
        <f t="shared" si="4"/>
        <v>8.6306514516827967E-3</v>
      </c>
      <c r="I51" s="77">
        <f>SUM($G$7:G51)</f>
        <v>26992</v>
      </c>
      <c r="J51" s="75">
        <f t="shared" si="5"/>
        <v>0.97472194135490398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35</v>
      </c>
      <c r="E52" s="79">
        <f t="shared" si="6"/>
        <v>9</v>
      </c>
      <c r="F52" s="71">
        <f t="shared" si="3"/>
        <v>1.96</v>
      </c>
      <c r="G52" s="72">
        <f>IF(D52=D51,"",_xlfn.IFNA(VLOOKUP(D52,'인원 입력 기능 (사과탐)'!$F$5:$I$53,4,FALSE),0))</f>
        <v>317</v>
      </c>
      <c r="H52" s="73">
        <f t="shared" si="4"/>
        <v>1.14473494149935E-2</v>
      </c>
      <c r="I52" s="77">
        <f>SUM($G$7:G52)</f>
        <v>27309</v>
      </c>
      <c r="J52" s="75">
        <f t="shared" si="5"/>
        <v>0.98616929076989746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34</v>
      </c>
      <c r="E53" s="70">
        <f t="shared" si="6"/>
        <v>9</v>
      </c>
      <c r="F53" s="71">
        <f t="shared" si="3"/>
        <v>1.1299999999999999</v>
      </c>
      <c r="G53" s="72">
        <f>IF(D53=D52,"",_xlfn.IFNA(VLOOKUP(D53,'인원 입력 기능 (사과탐)'!$F$5:$I$53,4,FALSE),0))</f>
        <v>139</v>
      </c>
      <c r="H53" s="73">
        <f t="shared" si="4"/>
        <v>5.0195002166690738E-3</v>
      </c>
      <c r="I53" s="77">
        <f>SUM($G$7:G53)</f>
        <v>27448</v>
      </c>
      <c r="J53" s="75">
        <f t="shared" si="5"/>
        <v>0.99118879098656654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33</v>
      </c>
      <c r="E54" s="70">
        <f t="shared" si="6"/>
        <v>9</v>
      </c>
      <c r="F54" s="71">
        <f t="shared" si="3"/>
        <v>0.69</v>
      </c>
      <c r="G54" s="72">
        <f>IF(D54=D53,"",_xlfn.IFNA(VLOOKUP(D54,'인원 입력 기능 (사과탐)'!$F$5:$I$53,4,FALSE),0))</f>
        <v>106</v>
      </c>
      <c r="H54" s="73">
        <f t="shared" si="4"/>
        <v>3.8278203091145456E-3</v>
      </c>
      <c r="I54" s="77">
        <f>SUM($G$7:G54)</f>
        <v>27554</v>
      </c>
      <c r="J54" s="75">
        <f t="shared" si="5"/>
        <v>0.99501661129568109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32</v>
      </c>
      <c r="E55" s="70">
        <f t="shared" si="6"/>
        <v>9</v>
      </c>
      <c r="F55" s="71">
        <f t="shared" si="3"/>
        <v>0.33</v>
      </c>
      <c r="G55" s="72">
        <f>IF(D55=D54,"",_xlfn.IFNA(VLOOKUP(D55,'인원 입력 기능 (사과탐)'!$F$5:$I$53,4,FALSE),0))</f>
        <v>95</v>
      </c>
      <c r="H55" s="73">
        <f t="shared" si="4"/>
        <v>3.430593673263036E-3</v>
      </c>
      <c r="I55" s="77">
        <f>SUM($G$7:G55)</f>
        <v>27649</v>
      </c>
      <c r="J55" s="75">
        <f t="shared" si="5"/>
        <v>0.99844720496894412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31</v>
      </c>
      <c r="E57" s="83">
        <f t="shared" si="6"/>
        <v>9</v>
      </c>
      <c r="F57" s="84">
        <f>IF(I55=0,ROUND(100*(1-(I54+I57)/2/$J$3),2),ROUND(100*(1-(I55+I57)/2/$J$3),2))</f>
        <v>0.08</v>
      </c>
      <c r="G57" s="85">
        <f>_xlfn.IFNA(VLOOKUP(D57,'인원 입력 기능 (사과탐)'!$F$5:$I$53,4,FALSE),0)</f>
        <v>43</v>
      </c>
      <c r="H57" s="86">
        <f>G57/$J$3</f>
        <v>1.5527950310559005E-3</v>
      </c>
      <c r="I57" s="87">
        <f>SUM($G$7:G57)</f>
        <v>27692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7">
    <mergeCell ref="I47:I48"/>
    <mergeCell ref="J47:J48"/>
    <mergeCell ref="D47:D48"/>
    <mergeCell ref="E47:E48"/>
    <mergeCell ref="F47:F48"/>
    <mergeCell ref="G47:G48"/>
    <mergeCell ref="H47:H48"/>
    <mergeCell ref="I32:I33"/>
    <mergeCell ref="J32:J33"/>
    <mergeCell ref="D40:D41"/>
    <mergeCell ref="E40:E41"/>
    <mergeCell ref="F40:F41"/>
    <mergeCell ref="G40:G41"/>
    <mergeCell ref="H40:H41"/>
    <mergeCell ref="I40:I41"/>
    <mergeCell ref="J40:J41"/>
    <mergeCell ref="D32:D33"/>
    <mergeCell ref="E32:E33"/>
    <mergeCell ref="F32:F33"/>
    <mergeCell ref="G32:G33"/>
    <mergeCell ref="H32:H33"/>
    <mergeCell ref="H18:H19"/>
    <mergeCell ref="I18:I19"/>
    <mergeCell ref="J18:J19"/>
    <mergeCell ref="D25:D26"/>
    <mergeCell ref="E25:E26"/>
    <mergeCell ref="F25:F26"/>
    <mergeCell ref="G25:G26"/>
    <mergeCell ref="H25:H26"/>
    <mergeCell ref="I25:I26"/>
    <mergeCell ref="J25:J26"/>
    <mergeCell ref="D3:F3"/>
    <mergeCell ref="D4:F4"/>
    <mergeCell ref="D8:J8"/>
    <mergeCell ref="D56:J56"/>
    <mergeCell ref="G5:J5"/>
    <mergeCell ref="D10:D11"/>
    <mergeCell ref="E10:E11"/>
    <mergeCell ref="F10:F11"/>
    <mergeCell ref="G10:G11"/>
    <mergeCell ref="H10:H11"/>
    <mergeCell ref="I10:I11"/>
    <mergeCell ref="J10:J11"/>
    <mergeCell ref="D18:D19"/>
    <mergeCell ref="E18:E19"/>
    <mergeCell ref="F18:F19"/>
    <mergeCell ref="G18:G19"/>
  </mergeCells>
  <phoneticPr fontId="1" type="noConversion"/>
  <conditionalFormatting sqref="D7:D10 D12:D18 D20:D25 D27:D32 D34:D40 D42:D47 D49:D57">
    <cfRule type="expression" dxfId="53" priority="1">
      <formula>$D7=$D8</formula>
    </cfRule>
  </conditionalFormatting>
  <conditionalFormatting sqref="C7:C57">
    <cfRule type="expression" dxfId="52" priority="3">
      <formula>OR(AND($D7=0,OR($D6=$Q$7:$Q$14)),AND($D8&gt;0,OR($D7=$Q$7:$Q$14)))</formula>
    </cfRule>
  </conditionalFormatting>
  <conditionalFormatting sqref="D7:J7 D8 D57:J57 D56 D9:J10 D12:J18 D20:J25 D27:J32 D34:J40 D42:J47 D49:J55">
    <cfRule type="expression" dxfId="51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9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기능'!D8</f>
        <v>26.55</v>
      </c>
      <c r="I3" s="15" t="s">
        <v>84</v>
      </c>
      <c r="J3" s="35">
        <f>'통계 및 응시자 수 입력 기능'!C8</f>
        <v>25161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102</v>
      </c>
      <c r="E4" s="120"/>
      <c r="F4" s="121"/>
      <c r="G4" s="37" t="s">
        <v>87</v>
      </c>
      <c r="H4" s="38" t="str">
        <f>'통계 및 응시자 수 입력 기능'!E8</f>
        <v>11.96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70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98.27</v>
      </c>
      <c r="G7" s="72">
        <f>_xlfn.IFNA(VLOOKUP(D7,'인원 입력 기능 (사과탐)'!$K$5:$N$53,4,FALSE),0)</f>
        <v>872</v>
      </c>
      <c r="H7" s="73">
        <f>G7/$J$3</f>
        <v>3.4656810142681134E-2</v>
      </c>
      <c r="I7" s="74">
        <f>G7</f>
        <v>872</v>
      </c>
      <c r="J7" s="75">
        <f>I7/$J$3</f>
        <v>3.4656810142681134E-2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입력기능'!C40</f>
        <v>68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입력기능'!C41</f>
        <v>64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68</v>
      </c>
      <c r="E9" s="70">
        <f t="shared" si="0"/>
        <v>1</v>
      </c>
      <c r="F9" s="71">
        <f>IF(I8=0,ROUND(100*(1-(I7+I9)/2/$J$3),2),ROUND(100*(1-(I8+I9)/2/$J$3),2))</f>
        <v>95.96</v>
      </c>
      <c r="G9" s="72">
        <f>_xlfn.IFNA(VLOOKUP(D9,'인원 입력 기능 (사과탐)'!$K$5:$N$53,4,FALSE),0)</f>
        <v>290</v>
      </c>
      <c r="H9" s="73">
        <f>G9/$J$3</f>
        <v>1.1525774015341203E-2</v>
      </c>
      <c r="I9" s="77">
        <f>SUM($G$7:G9)</f>
        <v>1162</v>
      </c>
      <c r="J9" s="75">
        <f>I9/$J$3</f>
        <v>4.6182584158022337E-2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입력기능'!C42</f>
        <v>58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67</v>
      </c>
      <c r="E10" s="70">
        <f t="shared" si="0"/>
        <v>2</v>
      </c>
      <c r="F10" s="71">
        <f t="shared" ref="F10:F55" si="3">IF(I9=0,ROUND(100*(1-(I8+I10)/2/$J$3),2),ROUND(100*(1-(I9+I10)/2/$J$3),2))</f>
        <v>94.2</v>
      </c>
      <c r="G10" s="72">
        <f>IF(D10=D9,"",_xlfn.IFNA(VLOOKUP(D10,'인원 입력 기능 (사과탐)'!$K$5:$N$53,4,FALSE),0))</f>
        <v>593</v>
      </c>
      <c r="H10" s="73">
        <f t="shared" ref="H10:H55" si="4">G10/$J$3</f>
        <v>2.3568220658956321E-2</v>
      </c>
      <c r="I10" s="77">
        <f>SUM($G$7:G10)</f>
        <v>1755</v>
      </c>
      <c r="J10" s="75">
        <f t="shared" ref="J10:J55" si="5">I10/$J$3</f>
        <v>6.9750804816978651E-2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입력기능'!C43</f>
        <v>53</v>
      </c>
    </row>
    <row r="11" spans="1:17" ht="25" customHeight="1" x14ac:dyDescent="0.45">
      <c r="A11" s="4"/>
      <c r="B11" s="19"/>
      <c r="C11" s="69">
        <v>46</v>
      </c>
      <c r="D11" s="70">
        <f t="shared" si="2"/>
        <v>66</v>
      </c>
      <c r="E11" s="70">
        <f t="shared" si="0"/>
        <v>2</v>
      </c>
      <c r="F11" s="71">
        <f t="shared" si="3"/>
        <v>92.88</v>
      </c>
      <c r="G11" s="72">
        <f>IF(D11=D10,"",_xlfn.IFNA(VLOOKUP(D11,'인원 입력 기능 (사과탐)'!$K$5:$N$53,4,FALSE),0))</f>
        <v>72</v>
      </c>
      <c r="H11" s="73">
        <f t="shared" si="4"/>
        <v>2.8615714796709191E-3</v>
      </c>
      <c r="I11" s="77">
        <f>SUM($G$7:G11)</f>
        <v>1827</v>
      </c>
      <c r="J11" s="75">
        <f t="shared" si="5"/>
        <v>7.2612376296649572E-2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입력기능'!C44</f>
        <v>47</v>
      </c>
    </row>
    <row r="12" spans="1:17" ht="25" customHeight="1" x14ac:dyDescent="0.45">
      <c r="A12" s="4"/>
      <c r="B12" s="19"/>
      <c r="C12" s="76">
        <v>45</v>
      </c>
      <c r="D12" s="126">
        <f t="shared" si="2"/>
        <v>65</v>
      </c>
      <c r="E12" s="126">
        <f t="shared" si="0"/>
        <v>2</v>
      </c>
      <c r="F12" s="128">
        <f t="shared" si="3"/>
        <v>91</v>
      </c>
      <c r="G12" s="130">
        <f>IF(D12=D11,"",_xlfn.IFNA(VLOOKUP(D12,'인원 입력 기능 (사과탐)'!$K$5:$N$53,4,FALSE),0))</f>
        <v>874</v>
      </c>
      <c r="H12" s="132">
        <f t="shared" si="4"/>
        <v>3.4736298239338659E-2</v>
      </c>
      <c r="I12" s="134">
        <f>SUM($G$7:G12)</f>
        <v>2701</v>
      </c>
      <c r="J12" s="136">
        <f t="shared" si="5"/>
        <v>0.10734867453598823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입력기능'!C45</f>
        <v>41</v>
      </c>
    </row>
    <row r="13" spans="1:17" ht="25" customHeight="1" x14ac:dyDescent="0.45">
      <c r="A13" s="4"/>
      <c r="B13" s="19"/>
      <c r="C13" s="69">
        <v>44</v>
      </c>
      <c r="D13" s="127"/>
      <c r="E13" s="127"/>
      <c r="F13" s="129"/>
      <c r="G13" s="131"/>
      <c r="H13" s="133"/>
      <c r="I13" s="135"/>
      <c r="J13" s="137"/>
      <c r="K13" s="28"/>
      <c r="L13" s="5" t="str">
        <f t="shared" si="1"/>
        <v>경고</v>
      </c>
      <c r="N13" s="1"/>
      <c r="P13" s="1">
        <v>7</v>
      </c>
      <c r="Q13" s="1">
        <f>'표준점수 등급컷 입력기능'!C46</f>
        <v>38</v>
      </c>
    </row>
    <row r="14" spans="1:17" ht="25" customHeight="1" x14ac:dyDescent="0.45">
      <c r="A14" s="4"/>
      <c r="B14" s="19"/>
      <c r="C14" s="76">
        <v>43</v>
      </c>
      <c r="D14" s="70">
        <f t="shared" si="2"/>
        <v>64</v>
      </c>
      <c r="E14" s="70">
        <f t="shared" si="0"/>
        <v>2</v>
      </c>
      <c r="F14" s="71">
        <f t="shared" si="3"/>
        <v>88.85</v>
      </c>
      <c r="G14" s="72">
        <f>IF(D14=D13,"",_xlfn.IFNA(VLOOKUP(D14,'인원 입력 기능 (사과탐)'!$K$5:$N$53,4,FALSE),0))</f>
        <v>210</v>
      </c>
      <c r="H14" s="73">
        <f t="shared" si="4"/>
        <v>8.3462501490401807E-3</v>
      </c>
      <c r="I14" s="77">
        <f>SUM($G$7:G14)</f>
        <v>2911</v>
      </c>
      <c r="J14" s="75">
        <f t="shared" si="5"/>
        <v>0.11569492468502841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입력기능'!C47</f>
        <v>34</v>
      </c>
    </row>
    <row r="15" spans="1:17" ht="25" customHeight="1" x14ac:dyDescent="0.45">
      <c r="A15" s="4"/>
      <c r="B15" s="19"/>
      <c r="C15" s="69">
        <v>42</v>
      </c>
      <c r="D15" s="70">
        <f t="shared" si="2"/>
        <v>63</v>
      </c>
      <c r="E15" s="70">
        <f t="shared" si="0"/>
        <v>3</v>
      </c>
      <c r="F15" s="71">
        <f t="shared" si="3"/>
        <v>87.38</v>
      </c>
      <c r="G15" s="72">
        <f>IF(D15=D14,"",_xlfn.IFNA(VLOOKUP(D15,'인원 입력 기능 (사과탐)'!$K$5:$N$53,4,FALSE),0))</f>
        <v>530</v>
      </c>
      <c r="H15" s="73">
        <f t="shared" si="4"/>
        <v>2.1064345614244268E-2</v>
      </c>
      <c r="I15" s="77">
        <f>SUM($G$7:G15)</f>
        <v>3441</v>
      </c>
      <c r="J15" s="75">
        <f t="shared" si="5"/>
        <v>0.13675927029927268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62</v>
      </c>
      <c r="E16" s="70">
        <f t="shared" si="0"/>
        <v>3</v>
      </c>
      <c r="F16" s="71">
        <f t="shared" si="3"/>
        <v>85.63</v>
      </c>
      <c r="G16" s="72">
        <f>IF(D16=D15,"",_xlfn.IFNA(VLOOKUP(D16,'인원 입력 기능 (사과탐)'!$K$5:$N$53,4,FALSE),0))</f>
        <v>350</v>
      </c>
      <c r="H16" s="73">
        <f t="shared" si="4"/>
        <v>1.3910416915066968E-2</v>
      </c>
      <c r="I16" s="77">
        <f>SUM($G$7:G16)</f>
        <v>3791</v>
      </c>
      <c r="J16" s="75">
        <f t="shared" si="5"/>
        <v>0.15066968721433965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61</v>
      </c>
      <c r="E17" s="70">
        <f t="shared" si="0"/>
        <v>3</v>
      </c>
      <c r="F17" s="71">
        <f t="shared" si="3"/>
        <v>84.18</v>
      </c>
      <c r="G17" s="72">
        <f>IF(D17=D16,"",_xlfn.IFNA(VLOOKUP(D17,'인원 입력 기능 (사과탐)'!$K$5:$N$53,4,FALSE),0))</f>
        <v>379</v>
      </c>
      <c r="H17" s="73">
        <f t="shared" si="4"/>
        <v>1.5062994316601089E-2</v>
      </c>
      <c r="I17" s="77">
        <f>SUM($G$7:G17)</f>
        <v>4170</v>
      </c>
      <c r="J17" s="75">
        <f t="shared" si="5"/>
        <v>0.16573268153094073</v>
      </c>
      <c r="K17" s="28"/>
      <c r="L17" s="5" t="str">
        <f t="shared" si="1"/>
        <v/>
      </c>
      <c r="N17" s="1"/>
      <c r="P17" s="1">
        <f>Q7*H3*H4*J3*IFERROR(IF(J57=1, 1, 0), 0)</f>
        <v>543291006.02400005</v>
      </c>
    </row>
    <row r="18" spans="1:16" ht="25" customHeight="1" x14ac:dyDescent="0.45">
      <c r="A18" s="4"/>
      <c r="B18" s="19"/>
      <c r="C18" s="76">
        <v>39</v>
      </c>
      <c r="D18" s="126">
        <f t="shared" si="2"/>
        <v>60</v>
      </c>
      <c r="E18" s="126">
        <f t="shared" si="0"/>
        <v>3</v>
      </c>
      <c r="F18" s="128">
        <f t="shared" si="3"/>
        <v>81.56</v>
      </c>
      <c r="G18" s="130">
        <f>IF(D18=D17,"",_xlfn.IFNA(VLOOKUP(D18,'인원 입력 기능 (사과탐)'!$K$5:$N$53,4,FALSE),0))</f>
        <v>938</v>
      </c>
      <c r="H18" s="132">
        <f t="shared" si="4"/>
        <v>3.7279917332379474E-2</v>
      </c>
      <c r="I18" s="134">
        <f>SUM($G$7:G18)</f>
        <v>5108</v>
      </c>
      <c r="J18" s="136">
        <f t="shared" si="5"/>
        <v>0.20301259886332021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140"/>
      <c r="E19" s="140"/>
      <c r="F19" s="141"/>
      <c r="G19" s="142"/>
      <c r="H19" s="143"/>
      <c r="I19" s="144"/>
      <c r="J19" s="145"/>
      <c r="K19" s="28"/>
      <c r="L19" s="5" t="str">
        <f t="shared" si="1"/>
        <v>경고</v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59</v>
      </c>
      <c r="E20" s="70">
        <f t="shared" si="0"/>
        <v>3</v>
      </c>
      <c r="F20" s="71">
        <f t="shared" si="3"/>
        <v>78.42</v>
      </c>
      <c r="G20" s="72">
        <f>IF(D20=D19,"",_xlfn.IFNA(VLOOKUP(D20,'인원 입력 기능 (사과탐)'!$K$5:$N$53,4,FALSE),0))</f>
        <v>643</v>
      </c>
      <c r="H20" s="73">
        <f t="shared" si="4"/>
        <v>2.5555423075394459E-2</v>
      </c>
      <c r="I20" s="77">
        <f>SUM($G$7:G20)</f>
        <v>5751</v>
      </c>
      <c r="J20" s="75">
        <f t="shared" si="5"/>
        <v>0.22856802193871467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58</v>
      </c>
      <c r="E21" s="79">
        <f t="shared" si="0"/>
        <v>3</v>
      </c>
      <c r="F21" s="71">
        <f t="shared" si="3"/>
        <v>76.069999999999993</v>
      </c>
      <c r="G21" s="72">
        <f>IF(D21=D20,"",_xlfn.IFNA(VLOOKUP(D21,'인원 입력 기능 (사과탐)'!$K$5:$N$53,4,FALSE),0))</f>
        <v>541</v>
      </c>
      <c r="H21" s="73">
        <f t="shared" si="4"/>
        <v>2.1501530145860658E-2</v>
      </c>
      <c r="I21" s="77">
        <f>SUM($G$7:G21)</f>
        <v>6292</v>
      </c>
      <c r="J21" s="75">
        <f t="shared" si="5"/>
        <v>0.25006955208457532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57</v>
      </c>
      <c r="E22" s="79">
        <f t="shared" si="0"/>
        <v>4</v>
      </c>
      <c r="F22" s="71">
        <f t="shared" si="3"/>
        <v>73.88</v>
      </c>
      <c r="G22" s="72">
        <f>IF(D22=D21,"",_xlfn.IFNA(VLOOKUP(D22,'인원 입력 기능 (사과탐)'!$K$5:$N$53,4,FALSE),0))</f>
        <v>560</v>
      </c>
      <c r="H22" s="73">
        <f t="shared" si="4"/>
        <v>2.2256667064107151E-2</v>
      </c>
      <c r="I22" s="77">
        <f>SUM($G$7:G22)</f>
        <v>6852</v>
      </c>
      <c r="J22" s="75">
        <f t="shared" si="5"/>
        <v>0.27232621914868249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56</v>
      </c>
      <c r="E23" s="79">
        <f t="shared" si="0"/>
        <v>4</v>
      </c>
      <c r="F23" s="71">
        <f t="shared" si="3"/>
        <v>71.459999999999994</v>
      </c>
      <c r="G23" s="72">
        <f>IF(D23=D22,"",_xlfn.IFNA(VLOOKUP(D23,'인원 입력 기능 (사과탐)'!$K$5:$N$53,4,FALSE),0))</f>
        <v>656</v>
      </c>
      <c r="H23" s="73">
        <f t="shared" si="4"/>
        <v>2.6072095703668377E-2</v>
      </c>
      <c r="I23" s="77">
        <f>SUM($G$7:G23)</f>
        <v>7508</v>
      </c>
      <c r="J23" s="75">
        <f t="shared" si="5"/>
        <v>0.29839831485235085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138">
        <f t="shared" si="2"/>
        <v>55</v>
      </c>
      <c r="E24" s="138">
        <f t="shared" si="0"/>
        <v>4</v>
      </c>
      <c r="F24" s="128">
        <f t="shared" si="3"/>
        <v>67.69</v>
      </c>
      <c r="G24" s="130">
        <f>IF(D24=D23,"",_xlfn.IFNA(VLOOKUP(D24,'인원 입력 기능 (사과탐)'!$K$5:$N$53,4,FALSE),0))</f>
        <v>1241</v>
      </c>
      <c r="H24" s="132">
        <f t="shared" si="4"/>
        <v>4.9322363975994592E-2</v>
      </c>
      <c r="I24" s="134">
        <f>SUM($G$7:G24)</f>
        <v>8749</v>
      </c>
      <c r="J24" s="136">
        <f t="shared" si="5"/>
        <v>0.34772067882834545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139"/>
      <c r="E25" s="139"/>
      <c r="F25" s="129"/>
      <c r="G25" s="131"/>
      <c r="H25" s="133"/>
      <c r="I25" s="135"/>
      <c r="J25" s="137"/>
      <c r="K25" s="28"/>
      <c r="L25" s="5" t="str">
        <f t="shared" si="1"/>
        <v>경고</v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54</v>
      </c>
      <c r="E26" s="79">
        <f t="shared" si="0"/>
        <v>4</v>
      </c>
      <c r="F26" s="71">
        <f t="shared" si="3"/>
        <v>63.93</v>
      </c>
      <c r="G26" s="72">
        <f>IF(D26=D25,"",_xlfn.IFNA(VLOOKUP(D26,'인원 입력 기능 (사과탐)'!$K$5:$N$53,4,FALSE),0))</f>
        <v>654</v>
      </c>
      <c r="H26" s="73">
        <f t="shared" si="4"/>
        <v>2.5992607607010849E-2</v>
      </c>
      <c r="I26" s="77">
        <f>SUM($G$7:G26)</f>
        <v>9403</v>
      </c>
      <c r="J26" s="75">
        <f t="shared" si="5"/>
        <v>0.37371328643535628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53</v>
      </c>
      <c r="E27" s="79">
        <f t="shared" si="0"/>
        <v>4</v>
      </c>
      <c r="F27" s="71">
        <f t="shared" si="3"/>
        <v>61.25</v>
      </c>
      <c r="G27" s="72">
        <f>IF(D27=D26,"",_xlfn.IFNA(VLOOKUP(D27,'인원 입력 기능 (사과탐)'!$K$5:$N$53,4,FALSE),0))</f>
        <v>695</v>
      </c>
      <c r="H27" s="73">
        <f t="shared" si="4"/>
        <v>2.7622113588490125E-2</v>
      </c>
      <c r="I27" s="77">
        <f>SUM($G$7:G27)</f>
        <v>10098</v>
      </c>
      <c r="J27" s="75">
        <f t="shared" si="5"/>
        <v>0.40133540002384643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52</v>
      </c>
      <c r="E28" s="79">
        <f t="shared" si="0"/>
        <v>5</v>
      </c>
      <c r="F28" s="71">
        <f t="shared" si="3"/>
        <v>58.43</v>
      </c>
      <c r="G28" s="72">
        <f>IF(D28=D27,"",_xlfn.IFNA(VLOOKUP(D28,'인원 입력 기능 (사과탐)'!$K$5:$N$53,4,FALSE),0))</f>
        <v>724</v>
      </c>
      <c r="H28" s="73">
        <f t="shared" si="4"/>
        <v>2.8774690990024245E-2</v>
      </c>
      <c r="I28" s="77">
        <f>SUM($G$7:G28)</f>
        <v>10822</v>
      </c>
      <c r="J28" s="75">
        <f t="shared" si="5"/>
        <v>0.43011009101387065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51</v>
      </c>
      <c r="E29" s="79">
        <f t="shared" si="0"/>
        <v>5</v>
      </c>
      <c r="F29" s="71">
        <f t="shared" si="3"/>
        <v>55.59</v>
      </c>
      <c r="G29" s="72">
        <f>IF(D29=D28,"",_xlfn.IFNA(VLOOKUP(D29,'인원 입력 기능 (사과탐)'!$K$5:$N$53,4,FALSE),0))</f>
        <v>705</v>
      </c>
      <c r="H29" s="73">
        <f t="shared" si="4"/>
        <v>2.8019554071777752E-2</v>
      </c>
      <c r="I29" s="77">
        <f>SUM($G$7:G29)</f>
        <v>11527</v>
      </c>
      <c r="J29" s="75">
        <f t="shared" si="5"/>
        <v>0.45812964508564841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138">
        <f t="shared" si="2"/>
        <v>50</v>
      </c>
      <c r="E30" s="138">
        <f t="shared" si="0"/>
        <v>5</v>
      </c>
      <c r="F30" s="128">
        <f t="shared" si="3"/>
        <v>51.15</v>
      </c>
      <c r="G30" s="130">
        <f>IF(D30=D29,"",_xlfn.IFNA(VLOOKUP(D30,'인원 입력 기능 (사과탐)'!$K$5:$N$53,4,FALSE),0))</f>
        <v>1529</v>
      </c>
      <c r="H30" s="132">
        <f t="shared" si="4"/>
        <v>6.076864989467827E-2</v>
      </c>
      <c r="I30" s="134">
        <f>SUM($G$7:G30)</f>
        <v>13056</v>
      </c>
      <c r="J30" s="136">
        <f t="shared" si="5"/>
        <v>0.51889829498032669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139"/>
      <c r="E31" s="139"/>
      <c r="F31" s="129"/>
      <c r="G31" s="131"/>
      <c r="H31" s="133"/>
      <c r="I31" s="135"/>
      <c r="J31" s="137"/>
      <c r="K31" s="28"/>
      <c r="L31" s="5" t="str">
        <f t="shared" si="1"/>
        <v>경고</v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49</v>
      </c>
      <c r="E32" s="79">
        <f t="shared" si="0"/>
        <v>5</v>
      </c>
      <c r="F32" s="71">
        <f t="shared" si="3"/>
        <v>46.59</v>
      </c>
      <c r="G32" s="72">
        <f>IF(D32=D31,"",_xlfn.IFNA(VLOOKUP(D32,'인원 입력 기능 (사과탐)'!$K$5:$N$53,4,FALSE),0))</f>
        <v>765</v>
      </c>
      <c r="H32" s="73">
        <f t="shared" si="4"/>
        <v>3.0404196971503518E-2</v>
      </c>
      <c r="I32" s="77">
        <f>SUM($G$7:G32)</f>
        <v>13821</v>
      </c>
      <c r="J32" s="75">
        <f t="shared" si="5"/>
        <v>0.54930249195183023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48</v>
      </c>
      <c r="E33" s="79">
        <f t="shared" si="0"/>
        <v>5</v>
      </c>
      <c r="F33" s="71">
        <f t="shared" si="3"/>
        <v>43.65</v>
      </c>
      <c r="G33" s="72">
        <f>IF(D33=D32,"",_xlfn.IFNA(VLOOKUP(D33,'인원 입력 기능 (사과탐)'!$K$5:$N$53,4,FALSE),0))</f>
        <v>716</v>
      </c>
      <c r="H33" s="73">
        <f t="shared" si="4"/>
        <v>2.8456738603394142E-2</v>
      </c>
      <c r="I33" s="77">
        <f>SUM($G$7:G33)</f>
        <v>14537</v>
      </c>
      <c r="J33" s="75">
        <f t="shared" si="5"/>
        <v>0.57775923055522438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47</v>
      </c>
      <c r="E34" s="79">
        <f t="shared" si="0"/>
        <v>5</v>
      </c>
      <c r="F34" s="71">
        <f t="shared" si="3"/>
        <v>40.96</v>
      </c>
      <c r="G34" s="72">
        <f>IF(D34=D33,"",_xlfn.IFNA(VLOOKUP(D34,'인원 입력 기능 (사과탐)'!$K$5:$N$53,4,FALSE),0))</f>
        <v>637</v>
      </c>
      <c r="H34" s="73">
        <f t="shared" si="4"/>
        <v>2.5316958785421884E-2</v>
      </c>
      <c r="I34" s="77">
        <f>SUM($G$7:G34)</f>
        <v>15174</v>
      </c>
      <c r="J34" s="75">
        <f t="shared" si="5"/>
        <v>0.60307618934064622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46</v>
      </c>
      <c r="E35" s="79">
        <f t="shared" si="0"/>
        <v>6</v>
      </c>
      <c r="F35" s="71">
        <f t="shared" si="3"/>
        <v>38.31</v>
      </c>
      <c r="G35" s="72">
        <f>IF(D35=D34,"",_xlfn.IFNA(VLOOKUP(D35,'인원 입력 기능 (사과탐)'!$K$5:$N$53,4,FALSE),0))</f>
        <v>695</v>
      </c>
      <c r="H35" s="73">
        <f t="shared" si="4"/>
        <v>2.7622113588490125E-2</v>
      </c>
      <c r="I35" s="77">
        <f>SUM($G$7:G35)</f>
        <v>15869</v>
      </c>
      <c r="J35" s="75">
        <f t="shared" si="5"/>
        <v>0.63069830292913631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138">
        <f t="shared" si="2"/>
        <v>45</v>
      </c>
      <c r="E36" s="138">
        <f t="shared" si="0"/>
        <v>6</v>
      </c>
      <c r="F36" s="128">
        <f t="shared" si="3"/>
        <v>34.4</v>
      </c>
      <c r="G36" s="130">
        <f>IF(D36=D35,"",_xlfn.IFNA(VLOOKUP(D36,'인원 입력 기능 (사과탐)'!$K$5:$N$53,4,FALSE),0))</f>
        <v>1272</v>
      </c>
      <c r="H36" s="132">
        <f t="shared" si="4"/>
        <v>5.0554429474186244E-2</v>
      </c>
      <c r="I36" s="134">
        <f>SUM($G$7:G36)</f>
        <v>17141</v>
      </c>
      <c r="J36" s="136">
        <f t="shared" si="5"/>
        <v>0.68125273240332263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139"/>
      <c r="E37" s="139"/>
      <c r="F37" s="129"/>
      <c r="G37" s="131"/>
      <c r="H37" s="133"/>
      <c r="I37" s="135"/>
      <c r="J37" s="137"/>
      <c r="K37" s="28"/>
      <c r="L37" s="5" t="str">
        <f t="shared" si="1"/>
        <v>경고</v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44</v>
      </c>
      <c r="E38" s="79">
        <f t="shared" si="0"/>
        <v>6</v>
      </c>
      <c r="F38" s="71">
        <f t="shared" si="3"/>
        <v>30.7</v>
      </c>
      <c r="G38" s="72">
        <f>IF(D38=D37,"",_xlfn.IFNA(VLOOKUP(D38,'인원 입력 기능 (사과탐)'!$K$5:$N$53,4,FALSE),0))</f>
        <v>589</v>
      </c>
      <c r="H38" s="73">
        <f t="shared" si="4"/>
        <v>2.3409244465641271E-2</v>
      </c>
      <c r="I38" s="77">
        <f>SUM($G$7:G38)</f>
        <v>17730</v>
      </c>
      <c r="J38" s="75">
        <f t="shared" si="5"/>
        <v>0.70466197686896392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43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1">
        <f t="shared" si="3"/>
        <v>28.4</v>
      </c>
      <c r="G39" s="72">
        <f>IF(D39=D38,"",_xlfn.IFNA(VLOOKUP(D39,'인원 입력 기능 (사과탐)'!$K$5:$N$53,4,FALSE),0))</f>
        <v>572</v>
      </c>
      <c r="H39" s="73">
        <f t="shared" si="4"/>
        <v>2.2733595644052303E-2</v>
      </c>
      <c r="I39" s="77">
        <f>SUM($G$7:G39)</f>
        <v>18302</v>
      </c>
      <c r="J39" s="75">
        <f t="shared" si="5"/>
        <v>0.72739557251301623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42</v>
      </c>
      <c r="E40" s="79">
        <f t="shared" si="6"/>
        <v>6</v>
      </c>
      <c r="F40" s="71">
        <f t="shared" si="3"/>
        <v>26.11</v>
      </c>
      <c r="G40" s="72">
        <f>IF(D40=D39,"",_xlfn.IFNA(VLOOKUP(D40,'인원 입력 기능 (사과탐)'!$K$5:$N$53,4,FALSE),0))</f>
        <v>581</v>
      </c>
      <c r="H40" s="73">
        <f t="shared" si="4"/>
        <v>2.3091292079011169E-2</v>
      </c>
      <c r="I40" s="77">
        <f>SUM($G$7:G40)</f>
        <v>18883</v>
      </c>
      <c r="J40" s="75">
        <f t="shared" si="5"/>
        <v>0.75048686459202729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41</v>
      </c>
      <c r="E41" s="79">
        <f t="shared" si="6"/>
        <v>6</v>
      </c>
      <c r="F41" s="71">
        <f t="shared" si="3"/>
        <v>23.95</v>
      </c>
      <c r="G41" s="72">
        <f>IF(D41=D40,"",_xlfn.IFNA(VLOOKUP(D41,'인원 입력 기능 (사과탐)'!$K$5:$N$53,4,FALSE),0))</f>
        <v>506</v>
      </c>
      <c r="H41" s="73">
        <f t="shared" si="4"/>
        <v>2.011048845435396E-2</v>
      </c>
      <c r="I41" s="77">
        <f>SUM($G$7:G41)</f>
        <v>19389</v>
      </c>
      <c r="J41" s="75">
        <f t="shared" si="5"/>
        <v>0.77059735304638133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138">
        <f t="shared" si="2"/>
        <v>40</v>
      </c>
      <c r="E42" s="138">
        <f t="shared" si="6"/>
        <v>7</v>
      </c>
      <c r="F42" s="128">
        <f t="shared" si="3"/>
        <v>20.85</v>
      </c>
      <c r="G42" s="130">
        <f>IF(D42=D41,"",_xlfn.IFNA(VLOOKUP(D42,'인원 입력 기능 (사과탐)'!$K$5:$N$53,4,FALSE),0))</f>
        <v>1052</v>
      </c>
      <c r="H42" s="132">
        <f t="shared" si="4"/>
        <v>4.181073884185843E-2</v>
      </c>
      <c r="I42" s="134">
        <f>SUM($G$7:G42)</f>
        <v>20441</v>
      </c>
      <c r="J42" s="136">
        <f t="shared" si="5"/>
        <v>0.8124080918882397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139"/>
      <c r="E43" s="139"/>
      <c r="F43" s="129"/>
      <c r="G43" s="131"/>
      <c r="H43" s="133"/>
      <c r="I43" s="135"/>
      <c r="J43" s="137"/>
      <c r="K43" s="28"/>
      <c r="L43" s="5" t="str">
        <f t="shared" si="1"/>
        <v>경고</v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39</v>
      </c>
      <c r="E44" s="79">
        <f t="shared" si="6"/>
        <v>7</v>
      </c>
      <c r="F44" s="71">
        <f t="shared" si="3"/>
        <v>16.86</v>
      </c>
      <c r="G44" s="72">
        <f>IF(D44=D43,"",_xlfn.IFNA(VLOOKUP(D44,'인원 입력 기능 (사과탐)'!$K$5:$N$53,4,FALSE),0))</f>
        <v>954</v>
      </c>
      <c r="H44" s="73">
        <f t="shared" si="4"/>
        <v>3.7915822105639679E-2</v>
      </c>
      <c r="I44" s="77">
        <f>SUM($G$7:G44)</f>
        <v>21395</v>
      </c>
      <c r="J44" s="75">
        <f t="shared" si="5"/>
        <v>0.85032391399387941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38</v>
      </c>
      <c r="E45" s="79">
        <f t="shared" si="6"/>
        <v>7</v>
      </c>
      <c r="F45" s="71">
        <f t="shared" si="3"/>
        <v>12.07</v>
      </c>
      <c r="G45" s="72">
        <f>IF(D45=D44,"",_xlfn.IFNA(VLOOKUP(D45,'인원 입력 기능 (사과탐)'!$K$5:$N$53,4,FALSE),0))</f>
        <v>1459</v>
      </c>
      <c r="H45" s="73">
        <f t="shared" si="4"/>
        <v>5.798656651166488E-2</v>
      </c>
      <c r="I45" s="77">
        <f>SUM($G$7:G45)</f>
        <v>22854</v>
      </c>
      <c r="J45" s="75">
        <f t="shared" si="5"/>
        <v>0.9083104805055443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37</v>
      </c>
      <c r="E46" s="79">
        <f t="shared" si="6"/>
        <v>8</v>
      </c>
      <c r="F46" s="71">
        <f t="shared" si="3"/>
        <v>8.17</v>
      </c>
      <c r="G46" s="72">
        <f>IF(D46=D45,"",_xlfn.IFNA(VLOOKUP(D46,'인원 입력 기능 (사과탐)'!$K$5:$N$53,4,FALSE),0))</f>
        <v>505</v>
      </c>
      <c r="H46" s="73">
        <f t="shared" si="4"/>
        <v>2.0070744406025198E-2</v>
      </c>
      <c r="I46" s="77">
        <f>SUM($G$7:G46)</f>
        <v>23359</v>
      </c>
      <c r="J46" s="75">
        <f t="shared" si="5"/>
        <v>0.92838122491156949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36</v>
      </c>
      <c r="E47" s="79">
        <f t="shared" si="6"/>
        <v>8</v>
      </c>
      <c r="F47" s="71">
        <f t="shared" si="3"/>
        <v>6.47</v>
      </c>
      <c r="G47" s="72">
        <f>IF(D47=D46,"",_xlfn.IFNA(VLOOKUP(D47,'인원 입력 기능 (사과탐)'!$K$5:$N$53,4,FALSE),0))</f>
        <v>350</v>
      </c>
      <c r="H47" s="73">
        <f t="shared" si="4"/>
        <v>1.3910416915066968E-2</v>
      </c>
      <c r="I47" s="77">
        <f>SUM($G$7:G47)</f>
        <v>23709</v>
      </c>
      <c r="J47" s="75">
        <f t="shared" si="5"/>
        <v>0.94229164182663649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35</v>
      </c>
      <c r="E48" s="79">
        <f t="shared" si="6"/>
        <v>8</v>
      </c>
      <c r="F48" s="71">
        <f t="shared" si="3"/>
        <v>5.23</v>
      </c>
      <c r="G48" s="72">
        <f>IF(D48=D47,"",_xlfn.IFNA(VLOOKUP(D48,'인원 입력 기능 (사과탐)'!$K$5:$N$53,4,FALSE),0))</f>
        <v>270</v>
      </c>
      <c r="H48" s="73">
        <f t="shared" si="4"/>
        <v>1.0730893048765948E-2</v>
      </c>
      <c r="I48" s="77">
        <f>SUM($G$7:G48)</f>
        <v>23979</v>
      </c>
      <c r="J48" s="75">
        <f t="shared" si="5"/>
        <v>0.95302253487540245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138">
        <f t="shared" si="2"/>
        <v>34</v>
      </c>
      <c r="E49" s="138">
        <f t="shared" si="6"/>
        <v>8</v>
      </c>
      <c r="F49" s="128">
        <f t="shared" si="3"/>
        <v>3.32</v>
      </c>
      <c r="G49" s="130">
        <f>IF(D49=D48,"",_xlfn.IFNA(VLOOKUP(D49,'인원 입력 기능 (사과탐)'!$K$5:$N$53,4,FALSE),0))</f>
        <v>691</v>
      </c>
      <c r="H49" s="132">
        <f t="shared" si="4"/>
        <v>2.7463137395175072E-2</v>
      </c>
      <c r="I49" s="134">
        <f>SUM($G$7:G49)</f>
        <v>24670</v>
      </c>
      <c r="J49" s="136">
        <f t="shared" si="5"/>
        <v>0.98048567227057748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139"/>
      <c r="E50" s="139"/>
      <c r="F50" s="129"/>
      <c r="G50" s="131"/>
      <c r="H50" s="133"/>
      <c r="I50" s="135"/>
      <c r="J50" s="137"/>
      <c r="K50" s="28"/>
      <c r="L50" s="5" t="str">
        <f t="shared" si="1"/>
        <v>경고</v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33</v>
      </c>
      <c r="E51" s="79">
        <f t="shared" si="6"/>
        <v>9</v>
      </c>
      <c r="F51" s="71">
        <f t="shared" si="3"/>
        <v>1.72</v>
      </c>
      <c r="G51" s="72">
        <f>IF(D51=D50,"",_xlfn.IFNA(VLOOKUP(D51,'인원 입력 기능 (사과탐)'!$K$5:$N$53,4,FALSE),0))</f>
        <v>117</v>
      </c>
      <c r="H51" s="73">
        <f t="shared" si="4"/>
        <v>4.6500536544652436E-3</v>
      </c>
      <c r="I51" s="77">
        <f>SUM($G$7:G51)</f>
        <v>24787</v>
      </c>
      <c r="J51" s="75">
        <f t="shared" si="5"/>
        <v>0.98513572592504273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32</v>
      </c>
      <c r="E52" s="79">
        <f t="shared" si="6"/>
        <v>9</v>
      </c>
      <c r="F52" s="71">
        <f t="shared" si="3"/>
        <v>1.2</v>
      </c>
      <c r="G52" s="72">
        <f>IF(D52=D51,"",_xlfn.IFNA(VLOOKUP(D52,'인원 입력 기능 (사과탐)'!$K$5:$N$53,4,FALSE),0))</f>
        <v>143</v>
      </c>
      <c r="H52" s="73">
        <f t="shared" si="4"/>
        <v>5.6833989110130758E-3</v>
      </c>
      <c r="I52" s="77">
        <f>SUM($G$7:G52)</f>
        <v>24930</v>
      </c>
      <c r="J52" s="75">
        <f t="shared" si="5"/>
        <v>0.99081912483605583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31</v>
      </c>
      <c r="E53" s="70">
        <f t="shared" si="6"/>
        <v>9</v>
      </c>
      <c r="F53" s="71">
        <f t="shared" si="3"/>
        <v>0.76</v>
      </c>
      <c r="G53" s="72">
        <f>IF(D53=D52,"",_xlfn.IFNA(VLOOKUP(D53,'인원 입력 기능 (사과탐)'!$K$5:$N$53,4,FALSE),0))</f>
        <v>78</v>
      </c>
      <c r="H53" s="73">
        <f t="shared" si="4"/>
        <v>3.1000357696434958E-3</v>
      </c>
      <c r="I53" s="77">
        <f>SUM($G$7:G53)</f>
        <v>25008</v>
      </c>
      <c r="J53" s="75">
        <f t="shared" si="5"/>
        <v>0.99391916060569929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30</v>
      </c>
      <c r="E54" s="70">
        <f t="shared" si="6"/>
        <v>9</v>
      </c>
      <c r="F54" s="71">
        <f t="shared" si="3"/>
        <v>0.51</v>
      </c>
      <c r="G54" s="72">
        <f>IF(D54=D53,"",_xlfn.IFNA(VLOOKUP(D54,'인원 입력 기능 (사과탐)'!$K$5:$N$53,4,FALSE),0))</f>
        <v>51</v>
      </c>
      <c r="H54" s="73">
        <f t="shared" si="4"/>
        <v>2.0269464647669011E-3</v>
      </c>
      <c r="I54" s="77">
        <f>SUM($G$7:G54)</f>
        <v>25059</v>
      </c>
      <c r="J54" s="75">
        <f t="shared" si="5"/>
        <v>0.99594610707046616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29</v>
      </c>
      <c r="E55" s="70">
        <f t="shared" si="6"/>
        <v>9</v>
      </c>
      <c r="F55" s="71">
        <f t="shared" si="3"/>
        <v>0.25</v>
      </c>
      <c r="G55" s="72">
        <f>IF(D55=D54,"",_xlfn.IFNA(VLOOKUP(D55,'인원 입력 기능 (사과탐)'!$K$5:$N$53,4,FALSE),0))</f>
        <v>80</v>
      </c>
      <c r="H55" s="73">
        <f t="shared" si="4"/>
        <v>3.1795238663010214E-3</v>
      </c>
      <c r="I55" s="77">
        <f>SUM($G$7:G55)</f>
        <v>25139</v>
      </c>
      <c r="J55" s="75">
        <f t="shared" si="5"/>
        <v>0.99912563093676721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28</v>
      </c>
      <c r="E57" s="83">
        <f t="shared" si="6"/>
        <v>9</v>
      </c>
      <c r="F57" s="84">
        <f>IF(I55=0,ROUND(100*(1-(I54+I57)/2/$J$3),2),ROUND(100*(1-(I55+I57)/2/$J$3),2))</f>
        <v>0.04</v>
      </c>
      <c r="G57" s="85">
        <f>_xlfn.IFNA(VLOOKUP(D57,'인원 입력 기능 (사과탐)'!$K$5:$N$53,4,FALSE),0)</f>
        <v>22</v>
      </c>
      <c r="H57" s="86">
        <f>G57/$J$3</f>
        <v>8.7436906323278094E-4</v>
      </c>
      <c r="I57" s="87">
        <f>SUM($G$7:G57)</f>
        <v>25161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4">
    <mergeCell ref="I42:I43"/>
    <mergeCell ref="J42:J43"/>
    <mergeCell ref="D49:D50"/>
    <mergeCell ref="E49:E50"/>
    <mergeCell ref="F49:F50"/>
    <mergeCell ref="G49:G50"/>
    <mergeCell ref="H49:H50"/>
    <mergeCell ref="I49:I50"/>
    <mergeCell ref="J49:J50"/>
    <mergeCell ref="D42:D43"/>
    <mergeCell ref="E42:E43"/>
    <mergeCell ref="F42:F43"/>
    <mergeCell ref="G42:G43"/>
    <mergeCell ref="H42:H43"/>
    <mergeCell ref="I30:I31"/>
    <mergeCell ref="J30:J31"/>
    <mergeCell ref="D36:D37"/>
    <mergeCell ref="E36:E37"/>
    <mergeCell ref="F36:F37"/>
    <mergeCell ref="G36:G37"/>
    <mergeCell ref="H36:H37"/>
    <mergeCell ref="I36:I37"/>
    <mergeCell ref="J36:J37"/>
    <mergeCell ref="D30:D31"/>
    <mergeCell ref="E30:E31"/>
    <mergeCell ref="F30:F31"/>
    <mergeCell ref="G30:G31"/>
    <mergeCell ref="H30:H31"/>
    <mergeCell ref="H18:H19"/>
    <mergeCell ref="I18:I19"/>
    <mergeCell ref="J18:J19"/>
    <mergeCell ref="D24:D25"/>
    <mergeCell ref="E24:E25"/>
    <mergeCell ref="F24:F25"/>
    <mergeCell ref="G24:G25"/>
    <mergeCell ref="H24:H25"/>
    <mergeCell ref="I24:I25"/>
    <mergeCell ref="J24:J25"/>
    <mergeCell ref="D3:F3"/>
    <mergeCell ref="D4:F4"/>
    <mergeCell ref="D8:J8"/>
    <mergeCell ref="D56:J56"/>
    <mergeCell ref="G5:J5"/>
    <mergeCell ref="D12:D13"/>
    <mergeCell ref="E12:E13"/>
    <mergeCell ref="F12:F13"/>
    <mergeCell ref="G12:G13"/>
    <mergeCell ref="H12:H13"/>
    <mergeCell ref="I12:I13"/>
    <mergeCell ref="J12:J13"/>
    <mergeCell ref="D18:D19"/>
    <mergeCell ref="E18:E19"/>
    <mergeCell ref="F18:F19"/>
    <mergeCell ref="G18:G19"/>
  </mergeCells>
  <phoneticPr fontId="1" type="noConversion"/>
  <conditionalFormatting sqref="D7:D12 D14:D18 D20:D24 D26:D30 D32:D36 D38:D42 D44:D49 D51:D57">
    <cfRule type="expression" dxfId="50" priority="1">
      <formula>$D7=$D8</formula>
    </cfRule>
  </conditionalFormatting>
  <conditionalFormatting sqref="C7:C57">
    <cfRule type="expression" dxfId="49" priority="2">
      <formula>OR(AND($D7=0,OR($D6=$Q$7:$Q$14)),AND($D8&gt;0,OR($D7=$Q$7:$Q$14)))</formula>
    </cfRule>
  </conditionalFormatting>
  <conditionalFormatting sqref="D7:J7 D8 D57:J57 D56 D9:J12 D14:J18 D20:J24 D26:J30 D32:J36 D38:J42 D44:J49 D51:J55">
    <cfRule type="expression" dxfId="48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0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기능'!D9</f>
        <v>22.58</v>
      </c>
      <c r="I3" s="15" t="s">
        <v>84</v>
      </c>
      <c r="J3" s="35">
        <f>'통계 및 응시자 수 입력 기능'!C9</f>
        <v>21155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101</v>
      </c>
      <c r="E4" s="120"/>
      <c r="F4" s="121"/>
      <c r="G4" s="37" t="s">
        <v>87</v>
      </c>
      <c r="H4" s="38" t="str">
        <f>'통계 및 응시자 수 입력 기능'!E9</f>
        <v>11.40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74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99.39</v>
      </c>
      <c r="G7" s="72">
        <f>_xlfn.IFNA(VLOOKUP(D7,'인원 입력 기능 (사과탐)'!$P$5:$S$53,4,FALSE),0)</f>
        <v>258</v>
      </c>
      <c r="H7" s="73">
        <f>G7/$J$3</f>
        <v>1.2195698416450011E-2</v>
      </c>
      <c r="I7" s="74">
        <f>G7</f>
        <v>258</v>
      </c>
      <c r="J7" s="75">
        <f>I7/$J$3</f>
        <v>1.2195698416450011E-2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입력기능'!C49</f>
        <v>70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입력기능'!C50</f>
        <v>64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72</v>
      </c>
      <c r="E9" s="70">
        <f t="shared" si="0"/>
        <v>1</v>
      </c>
      <c r="F9" s="71">
        <f>IF(I8=0,ROUND(100*(1-(I7+I9)/2/$J$3),2),ROUND(100*(1-(I8+I9)/2/$J$3),2))</f>
        <v>98.49</v>
      </c>
      <c r="G9" s="72">
        <f>_xlfn.IFNA(VLOOKUP(D9,'인원 입력 기능 (사과탐)'!$P$5:$S$53,4,FALSE),0)</f>
        <v>123</v>
      </c>
      <c r="H9" s="73">
        <f>G9/$J$3</f>
        <v>5.8142283148191918E-3</v>
      </c>
      <c r="I9" s="77">
        <f>SUM($G$7:G9)</f>
        <v>381</v>
      </c>
      <c r="J9" s="75">
        <f>I9/$J$3</f>
        <v>1.8009926731269204E-2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입력기능'!C51</f>
        <v>58</v>
      </c>
    </row>
    <row r="10" spans="1:17" ht="25" customHeight="1" x14ac:dyDescent="0.45">
      <c r="A10" s="4"/>
      <c r="B10" s="19"/>
      <c r="C10" s="76">
        <v>47</v>
      </c>
      <c r="D10" s="126">
        <f t="shared" ref="D10:D55" si="2">ROUND(10*(C10-$H$3)/$H$4+50,0)</f>
        <v>71</v>
      </c>
      <c r="E10" s="126">
        <f t="shared" si="0"/>
        <v>1</v>
      </c>
      <c r="F10" s="128">
        <f t="shared" ref="F10:F55" si="3">IF(I9=0,ROUND(100*(1-(I8+I10)/2/$J$3),2),ROUND(100*(1-(I9+I10)/2/$J$3),2))</f>
        <v>97.45</v>
      </c>
      <c r="G10" s="130">
        <f>IF(D10=D9,"",_xlfn.IFNA(VLOOKUP(D10,'인원 입력 기능 (사과탐)'!$P$5:$S$53,4,FALSE),0))</f>
        <v>316</v>
      </c>
      <c r="H10" s="132">
        <f t="shared" ref="H10:H55" si="4">G10/$J$3</f>
        <v>1.4937367052706216E-2</v>
      </c>
      <c r="I10" s="134">
        <f>SUM($G$7:G10)</f>
        <v>697</v>
      </c>
      <c r="J10" s="136">
        <f t="shared" ref="J10:J55" si="5">I10/$J$3</f>
        <v>3.2947293783975422E-2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입력기능'!C52</f>
        <v>51</v>
      </c>
    </row>
    <row r="11" spans="1:17" ht="25" customHeight="1" x14ac:dyDescent="0.45">
      <c r="A11" s="4"/>
      <c r="B11" s="19"/>
      <c r="C11" s="69">
        <v>46</v>
      </c>
      <c r="D11" s="140"/>
      <c r="E11" s="140"/>
      <c r="F11" s="141"/>
      <c r="G11" s="142"/>
      <c r="H11" s="143"/>
      <c r="I11" s="144"/>
      <c r="J11" s="145"/>
      <c r="K11" s="28"/>
      <c r="L11" s="5" t="str">
        <f t="shared" si="1"/>
        <v>경고</v>
      </c>
      <c r="N11" s="1"/>
      <c r="P11" s="1">
        <v>5</v>
      </c>
      <c r="Q11" s="1">
        <f>'표준점수 등급컷 입력기능'!C53</f>
        <v>45</v>
      </c>
    </row>
    <row r="12" spans="1:17" ht="25" customHeight="1" x14ac:dyDescent="0.45">
      <c r="A12" s="4"/>
      <c r="B12" s="19"/>
      <c r="C12" s="76">
        <v>45</v>
      </c>
      <c r="D12" s="70">
        <f t="shared" si="2"/>
        <v>70</v>
      </c>
      <c r="E12" s="70">
        <f t="shared" si="0"/>
        <v>1</v>
      </c>
      <c r="F12" s="71">
        <f t="shared" si="3"/>
        <v>96.11</v>
      </c>
      <c r="G12" s="72">
        <f>IF(D12=D11,"",_xlfn.IFNA(VLOOKUP(D12,'인원 입력 기능 (사과탐)'!$P$5:$S$53,4,FALSE),0))</f>
        <v>250</v>
      </c>
      <c r="H12" s="73">
        <f t="shared" si="4"/>
        <v>1.181753722524226E-2</v>
      </c>
      <c r="I12" s="77">
        <f>SUM($G$7:G12)</f>
        <v>947</v>
      </c>
      <c r="J12" s="75">
        <f t="shared" si="5"/>
        <v>4.476483100921768E-2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입력기능'!C54</f>
        <v>41</v>
      </c>
    </row>
    <row r="13" spans="1:17" ht="25" customHeight="1" x14ac:dyDescent="0.45">
      <c r="A13" s="4"/>
      <c r="B13" s="19"/>
      <c r="C13" s="69">
        <v>44</v>
      </c>
      <c r="D13" s="70">
        <f t="shared" si="2"/>
        <v>69</v>
      </c>
      <c r="E13" s="70">
        <f t="shared" si="0"/>
        <v>2</v>
      </c>
      <c r="F13" s="71">
        <f t="shared" si="3"/>
        <v>94.95</v>
      </c>
      <c r="G13" s="72">
        <f>IF(D13=D12,"",_xlfn.IFNA(VLOOKUP(D13,'인원 입력 기능 (사과탐)'!$P$5:$S$53,4,FALSE),0))</f>
        <v>241</v>
      </c>
      <c r="H13" s="73">
        <f t="shared" si="4"/>
        <v>1.1392105885133539E-2</v>
      </c>
      <c r="I13" s="77">
        <f>SUM($G$7:G13)</f>
        <v>1188</v>
      </c>
      <c r="J13" s="75">
        <f t="shared" si="5"/>
        <v>5.6156936894351216E-2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입력기능'!C55</f>
        <v>38</v>
      </c>
    </row>
    <row r="14" spans="1:17" ht="25" customHeight="1" x14ac:dyDescent="0.45">
      <c r="A14" s="4"/>
      <c r="B14" s="19"/>
      <c r="C14" s="76">
        <v>43</v>
      </c>
      <c r="D14" s="70">
        <f t="shared" si="2"/>
        <v>68</v>
      </c>
      <c r="E14" s="70">
        <f t="shared" si="0"/>
        <v>2</v>
      </c>
      <c r="F14" s="71">
        <f t="shared" si="3"/>
        <v>94.09</v>
      </c>
      <c r="G14" s="72">
        <f>IF(D14=D13,"",_xlfn.IFNA(VLOOKUP(D14,'인원 입력 기능 (사과탐)'!$P$5:$S$53,4,FALSE),0))</f>
        <v>126</v>
      </c>
      <c r="H14" s="73">
        <f t="shared" si="4"/>
        <v>5.9560387615220992E-3</v>
      </c>
      <c r="I14" s="77">
        <f>SUM($G$7:G14)</f>
        <v>1314</v>
      </c>
      <c r="J14" s="75">
        <f t="shared" si="5"/>
        <v>6.2112975655873315E-2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입력기능'!C56</f>
        <v>36</v>
      </c>
    </row>
    <row r="15" spans="1:17" ht="25" customHeight="1" x14ac:dyDescent="0.45">
      <c r="A15" s="4"/>
      <c r="B15" s="19"/>
      <c r="C15" s="69">
        <v>42</v>
      </c>
      <c r="D15" s="70">
        <f t="shared" si="2"/>
        <v>67</v>
      </c>
      <c r="E15" s="70">
        <f t="shared" si="0"/>
        <v>2</v>
      </c>
      <c r="F15" s="71">
        <f t="shared" si="3"/>
        <v>93.05</v>
      </c>
      <c r="G15" s="72">
        <f>IF(D15=D14,"",_xlfn.IFNA(VLOOKUP(D15,'인원 입력 기능 (사과탐)'!$P$5:$S$53,4,FALSE),0))</f>
        <v>311</v>
      </c>
      <c r="H15" s="73">
        <f t="shared" si="4"/>
        <v>1.4701016308201371E-2</v>
      </c>
      <c r="I15" s="77">
        <f>SUM($G$7:G15)</f>
        <v>1625</v>
      </c>
      <c r="J15" s="75">
        <f t="shared" si="5"/>
        <v>7.6813991964074693E-2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66</v>
      </c>
      <c r="E16" s="70">
        <f t="shared" si="0"/>
        <v>2</v>
      </c>
      <c r="F16" s="71">
        <f t="shared" si="3"/>
        <v>91.78</v>
      </c>
      <c r="G16" s="72">
        <f>IF(D16=D15,"",_xlfn.IFNA(VLOOKUP(D16,'인원 입력 기능 (사과탐)'!$P$5:$S$53,4,FALSE),0))</f>
        <v>227</v>
      </c>
      <c r="H16" s="73">
        <f t="shared" si="4"/>
        <v>1.0730323800519971E-2</v>
      </c>
      <c r="I16" s="77">
        <f>SUM($G$7:G16)</f>
        <v>1852</v>
      </c>
      <c r="J16" s="75">
        <f t="shared" si="5"/>
        <v>8.7544315764594663E-2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65</v>
      </c>
      <c r="E17" s="70">
        <f t="shared" si="0"/>
        <v>2</v>
      </c>
      <c r="F17" s="71">
        <f t="shared" si="3"/>
        <v>90.71</v>
      </c>
      <c r="G17" s="72">
        <f>IF(D17=D16,"",_xlfn.IFNA(VLOOKUP(D17,'인원 입력 기능 (사과탐)'!$P$5:$S$53,4,FALSE),0))</f>
        <v>227</v>
      </c>
      <c r="H17" s="73">
        <f t="shared" si="4"/>
        <v>1.0730323800519971E-2</v>
      </c>
      <c r="I17" s="77">
        <f>SUM($G$7:G17)</f>
        <v>2079</v>
      </c>
      <c r="J17" s="75">
        <f t="shared" si="5"/>
        <v>9.8274639565114633E-2</v>
      </c>
      <c r="K17" s="28"/>
      <c r="L17" s="5" t="str">
        <f t="shared" si="1"/>
        <v/>
      </c>
      <c r="N17" s="1"/>
      <c r="P17" s="1">
        <f>Q7*H3*H4*J3*IFERROR(IF(J57=1, 1, 0), 0)</f>
        <v>381188560.19999999</v>
      </c>
    </row>
    <row r="18" spans="1:16" ht="25" customHeight="1" x14ac:dyDescent="0.45">
      <c r="A18" s="4"/>
      <c r="B18" s="19"/>
      <c r="C18" s="76">
        <v>39</v>
      </c>
      <c r="D18" s="126">
        <f t="shared" si="2"/>
        <v>64</v>
      </c>
      <c r="E18" s="126">
        <f t="shared" si="0"/>
        <v>2</v>
      </c>
      <c r="F18" s="128">
        <f t="shared" si="3"/>
        <v>88.7</v>
      </c>
      <c r="G18" s="130">
        <f>IF(D18=D17,"",_xlfn.IFNA(VLOOKUP(D18,'인원 입력 기능 (사과탐)'!$P$5:$S$53,4,FALSE),0))</f>
        <v>624</v>
      </c>
      <c r="H18" s="132">
        <f t="shared" si="4"/>
        <v>2.9496572914204679E-2</v>
      </c>
      <c r="I18" s="134">
        <f>SUM($G$7:G18)</f>
        <v>2703</v>
      </c>
      <c r="J18" s="136">
        <f t="shared" si="5"/>
        <v>0.1277712124793193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140"/>
      <c r="E19" s="140"/>
      <c r="F19" s="141"/>
      <c r="G19" s="142"/>
      <c r="H19" s="143"/>
      <c r="I19" s="144"/>
      <c r="J19" s="145"/>
      <c r="K19" s="28"/>
      <c r="L19" s="5" t="str">
        <f t="shared" si="1"/>
        <v>경고</v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63</v>
      </c>
      <c r="E20" s="70">
        <f t="shared" si="0"/>
        <v>3</v>
      </c>
      <c r="F20" s="71">
        <f t="shared" si="3"/>
        <v>86.4</v>
      </c>
      <c r="G20" s="72">
        <f>IF(D20=D19,"",_xlfn.IFNA(VLOOKUP(D20,'인원 입력 기능 (사과탐)'!$P$5:$S$53,4,FALSE),0))</f>
        <v>349</v>
      </c>
      <c r="H20" s="73">
        <f t="shared" si="4"/>
        <v>1.6497281966438196E-2</v>
      </c>
      <c r="I20" s="77">
        <f>SUM($G$7:G20)</f>
        <v>3052</v>
      </c>
      <c r="J20" s="75">
        <f t="shared" si="5"/>
        <v>0.14426849444575751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62</v>
      </c>
      <c r="E21" s="79">
        <f t="shared" si="0"/>
        <v>3</v>
      </c>
      <c r="F21" s="71">
        <f t="shared" si="3"/>
        <v>84.74</v>
      </c>
      <c r="G21" s="72">
        <f>IF(D21=D20,"",_xlfn.IFNA(VLOOKUP(D21,'인원 입력 기능 (사과탐)'!$P$5:$S$53,4,FALSE),0))</f>
        <v>351</v>
      </c>
      <c r="H21" s="73">
        <f t="shared" si="4"/>
        <v>1.6591822264240132E-2</v>
      </c>
      <c r="I21" s="77">
        <f>SUM($G$7:G21)</f>
        <v>3403</v>
      </c>
      <c r="J21" s="75">
        <f t="shared" si="5"/>
        <v>0.16086031670999765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61</v>
      </c>
      <c r="E22" s="79">
        <f t="shared" si="0"/>
        <v>3</v>
      </c>
      <c r="F22" s="71">
        <f t="shared" si="3"/>
        <v>83.15</v>
      </c>
      <c r="G22" s="72">
        <f>IF(D22=D21,"",_xlfn.IFNA(VLOOKUP(D22,'인원 입력 기능 (사과탐)'!$P$5:$S$53,4,FALSE),0))</f>
        <v>322</v>
      </c>
      <c r="H22" s="73">
        <f t="shared" si="4"/>
        <v>1.5220987946112031E-2</v>
      </c>
      <c r="I22" s="77">
        <f>SUM($G$7:G22)</f>
        <v>3725</v>
      </c>
      <c r="J22" s="75">
        <f t="shared" si="5"/>
        <v>0.17608130465610966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60</v>
      </c>
      <c r="E23" s="79">
        <f t="shared" si="0"/>
        <v>3</v>
      </c>
      <c r="F23" s="71">
        <f t="shared" si="3"/>
        <v>81.38</v>
      </c>
      <c r="G23" s="72">
        <f>IF(D23=D22,"",_xlfn.IFNA(VLOOKUP(D23,'인원 입력 기능 (사과탐)'!$P$5:$S$53,4,FALSE),0))</f>
        <v>427</v>
      </c>
      <c r="H23" s="73">
        <f t="shared" si="4"/>
        <v>2.0184353580713778E-2</v>
      </c>
      <c r="I23" s="77">
        <f>SUM($G$7:G23)</f>
        <v>4152</v>
      </c>
      <c r="J23" s="75">
        <f t="shared" si="5"/>
        <v>0.19626565823682346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59</v>
      </c>
      <c r="E24" s="79">
        <f t="shared" si="0"/>
        <v>3</v>
      </c>
      <c r="F24" s="71">
        <f t="shared" si="3"/>
        <v>79.5</v>
      </c>
      <c r="G24" s="72">
        <f>IF(D24=D23,"",_xlfn.IFNA(VLOOKUP(D24,'인원 입력 기능 (사과탐)'!$P$5:$S$53,4,FALSE),0))</f>
        <v>369</v>
      </c>
      <c r="H24" s="73">
        <f t="shared" si="4"/>
        <v>1.7442684944457575E-2</v>
      </c>
      <c r="I24" s="77">
        <f>SUM($G$7:G24)</f>
        <v>4521</v>
      </c>
      <c r="J24" s="75">
        <f t="shared" si="5"/>
        <v>0.21370834318128101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58</v>
      </c>
      <c r="E25" s="79">
        <f t="shared" si="0"/>
        <v>3</v>
      </c>
      <c r="F25" s="71">
        <f t="shared" si="3"/>
        <v>77.62</v>
      </c>
      <c r="G25" s="72">
        <f>IF(D25=D24,"",_xlfn.IFNA(VLOOKUP(D25,'인원 입력 기능 (사과탐)'!$P$5:$S$53,4,FALSE),0))</f>
        <v>425</v>
      </c>
      <c r="H25" s="73">
        <f t="shared" si="4"/>
        <v>2.0089813282911841E-2</v>
      </c>
      <c r="I25" s="77">
        <f>SUM($G$7:G25)</f>
        <v>4946</v>
      </c>
      <c r="J25" s="75">
        <f t="shared" si="5"/>
        <v>0.23379815646419286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138">
        <f t="shared" si="2"/>
        <v>57</v>
      </c>
      <c r="E26" s="138">
        <f t="shared" si="0"/>
        <v>4</v>
      </c>
      <c r="F26" s="128">
        <f t="shared" si="3"/>
        <v>74.55</v>
      </c>
      <c r="G26" s="130">
        <f>IF(D26=D25,"",_xlfn.IFNA(VLOOKUP(D26,'인원 입력 기능 (사과탐)'!$P$5:$S$53,4,FALSE),0))</f>
        <v>875</v>
      </c>
      <c r="H26" s="132">
        <f t="shared" si="4"/>
        <v>4.1361380288347911E-2</v>
      </c>
      <c r="I26" s="134">
        <f>SUM($G$7:G26)</f>
        <v>5821</v>
      </c>
      <c r="J26" s="136">
        <f t="shared" si="5"/>
        <v>0.27515953675254079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139"/>
      <c r="E27" s="139"/>
      <c r="F27" s="129"/>
      <c r="G27" s="131"/>
      <c r="H27" s="133"/>
      <c r="I27" s="135"/>
      <c r="J27" s="137"/>
      <c r="K27" s="28"/>
      <c r="L27" s="5" t="str">
        <f t="shared" si="1"/>
        <v>경고</v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56</v>
      </c>
      <c r="E28" s="79">
        <f t="shared" si="0"/>
        <v>4</v>
      </c>
      <c r="F28" s="71">
        <f t="shared" si="3"/>
        <v>71.319999999999993</v>
      </c>
      <c r="G28" s="72">
        <f>IF(D28=D27,"",_xlfn.IFNA(VLOOKUP(D28,'인원 입력 기능 (사과탐)'!$P$5:$S$53,4,FALSE),0))</f>
        <v>492</v>
      </c>
      <c r="H28" s="73">
        <f t="shared" si="4"/>
        <v>2.3256913259276767E-2</v>
      </c>
      <c r="I28" s="77">
        <f>SUM($G$7:G28)</f>
        <v>6313</v>
      </c>
      <c r="J28" s="75">
        <f t="shared" si="5"/>
        <v>0.29841645001181755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55</v>
      </c>
      <c r="E29" s="79">
        <f t="shared" si="0"/>
        <v>4</v>
      </c>
      <c r="F29" s="71">
        <f t="shared" si="3"/>
        <v>68.97</v>
      </c>
      <c r="G29" s="72">
        <f>IF(D29=D28,"",_xlfn.IFNA(VLOOKUP(D29,'인원 입력 기능 (사과탐)'!$P$5:$S$53,4,FALSE),0))</f>
        <v>504</v>
      </c>
      <c r="H29" s="73">
        <f t="shared" si="4"/>
        <v>2.3824155046088397E-2</v>
      </c>
      <c r="I29" s="77">
        <f>SUM($G$7:G29)</f>
        <v>6817</v>
      </c>
      <c r="J29" s="75">
        <f t="shared" si="5"/>
        <v>0.32224060505790592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54</v>
      </c>
      <c r="E30" s="79">
        <f t="shared" si="0"/>
        <v>4</v>
      </c>
      <c r="F30" s="71">
        <f t="shared" si="3"/>
        <v>66.59</v>
      </c>
      <c r="G30" s="72">
        <f>IF(D30=D29,"",_xlfn.IFNA(VLOOKUP(D30,'인원 입력 기능 (사과탐)'!$P$5:$S$53,4,FALSE),0))</f>
        <v>502</v>
      </c>
      <c r="H30" s="73">
        <f t="shared" si="4"/>
        <v>2.3729614748286457E-2</v>
      </c>
      <c r="I30" s="77">
        <f>SUM($G$7:G30)</f>
        <v>7319</v>
      </c>
      <c r="J30" s="75">
        <f t="shared" si="5"/>
        <v>0.34597021980619241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53</v>
      </c>
      <c r="E31" s="79">
        <f t="shared" si="0"/>
        <v>4</v>
      </c>
      <c r="F31" s="71">
        <f t="shared" si="3"/>
        <v>64.12</v>
      </c>
      <c r="G31" s="72">
        <f>IF(D31=D30,"",_xlfn.IFNA(VLOOKUP(D31,'인원 입력 기능 (사과탐)'!$P$5:$S$53,4,FALSE),0))</f>
        <v>542</v>
      </c>
      <c r="H31" s="73">
        <f t="shared" si="4"/>
        <v>2.5620420704325218E-2</v>
      </c>
      <c r="I31" s="77">
        <f>SUM($G$7:G31)</f>
        <v>7861</v>
      </c>
      <c r="J31" s="75">
        <f t="shared" si="5"/>
        <v>0.3715906405105176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52</v>
      </c>
      <c r="E32" s="79">
        <f t="shared" si="0"/>
        <v>4</v>
      </c>
      <c r="F32" s="71">
        <f t="shared" si="3"/>
        <v>61.66</v>
      </c>
      <c r="G32" s="72">
        <f>IF(D32=D31,"",_xlfn.IFNA(VLOOKUP(D32,'인원 입력 기능 (사과탐)'!$P$5:$S$53,4,FALSE),0))</f>
        <v>501</v>
      </c>
      <c r="H32" s="73">
        <f t="shared" si="4"/>
        <v>2.3682344599385487E-2</v>
      </c>
      <c r="I32" s="77">
        <f>SUM($G$7:G32)</f>
        <v>8362</v>
      </c>
      <c r="J32" s="75">
        <f t="shared" si="5"/>
        <v>0.39527298510990311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51</v>
      </c>
      <c r="E33" s="79">
        <f t="shared" si="0"/>
        <v>4</v>
      </c>
      <c r="F33" s="71">
        <f t="shared" si="3"/>
        <v>58.89</v>
      </c>
      <c r="G33" s="72">
        <f>IF(D33=D32,"",_xlfn.IFNA(VLOOKUP(D33,'인원 입력 기능 (사과탐)'!$P$5:$S$53,4,FALSE),0))</f>
        <v>669</v>
      </c>
      <c r="H33" s="73">
        <f t="shared" si="4"/>
        <v>3.1623729614748283E-2</v>
      </c>
      <c r="I33" s="77">
        <f>SUM($G$7:G33)</f>
        <v>9031</v>
      </c>
      <c r="J33" s="75">
        <f t="shared" si="5"/>
        <v>0.4268967147246514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50</v>
      </c>
      <c r="E34" s="79">
        <f t="shared" si="0"/>
        <v>5</v>
      </c>
      <c r="F34" s="71">
        <f t="shared" si="3"/>
        <v>55.91</v>
      </c>
      <c r="G34" s="72">
        <f>IF(D34=D33,"",_xlfn.IFNA(VLOOKUP(D34,'인원 입력 기능 (사과탐)'!$P$5:$S$53,4,FALSE),0))</f>
        <v>591</v>
      </c>
      <c r="H34" s="73">
        <f t="shared" si="4"/>
        <v>2.7936658000472701E-2</v>
      </c>
      <c r="I34" s="77">
        <f>SUM($G$7:G34)</f>
        <v>9622</v>
      </c>
      <c r="J34" s="75">
        <f t="shared" si="5"/>
        <v>0.45483337272512409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138">
        <f t="shared" si="2"/>
        <v>49</v>
      </c>
      <c r="E35" s="138">
        <f t="shared" si="0"/>
        <v>5</v>
      </c>
      <c r="F35" s="128">
        <f t="shared" si="3"/>
        <v>51.77</v>
      </c>
      <c r="G35" s="130">
        <f>IF(D35=D34,"",_xlfn.IFNA(VLOOKUP(D35,'인원 입력 기능 (사과탐)'!$P$5:$S$53,4,FALSE),0))</f>
        <v>1163</v>
      </c>
      <c r="H35" s="132">
        <f t="shared" si="4"/>
        <v>5.4975183171826994E-2</v>
      </c>
      <c r="I35" s="134">
        <f>SUM($G$7:G35)</f>
        <v>10785</v>
      </c>
      <c r="J35" s="136">
        <f t="shared" si="5"/>
        <v>0.50980855589695107</v>
      </c>
      <c r="K35" s="28"/>
      <c r="L35" s="5" t="str">
        <f t="shared" si="1"/>
        <v>경고</v>
      </c>
      <c r="N35" s="1"/>
    </row>
    <row r="36" spans="1:14" ht="25" customHeight="1" x14ac:dyDescent="0.45">
      <c r="A36" s="4"/>
      <c r="B36" s="19"/>
      <c r="C36" s="80">
        <v>21</v>
      </c>
      <c r="D36" s="146"/>
      <c r="E36" s="146"/>
      <c r="F36" s="141"/>
      <c r="G36" s="142"/>
      <c r="H36" s="143"/>
      <c r="I36" s="144"/>
      <c r="J36" s="145"/>
      <c r="K36" s="28"/>
      <c r="L36" s="5" t="str">
        <f t="shared" si="1"/>
        <v>경고</v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48</v>
      </c>
      <c r="E37" s="79">
        <f t="shared" si="0"/>
        <v>5</v>
      </c>
      <c r="F37" s="71">
        <f t="shared" si="3"/>
        <v>47.57</v>
      </c>
      <c r="G37" s="72">
        <f>IF(D37=D36,"",_xlfn.IFNA(VLOOKUP(D37,'인원 입력 기능 (사과탐)'!$P$5:$S$53,4,FALSE),0))</f>
        <v>615</v>
      </c>
      <c r="H37" s="73">
        <f t="shared" si="4"/>
        <v>2.907114157409596E-2</v>
      </c>
      <c r="I37" s="77">
        <f>SUM($G$7:G37)</f>
        <v>11400</v>
      </c>
      <c r="J37" s="75">
        <f t="shared" si="5"/>
        <v>0.53887969747104703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47</v>
      </c>
      <c r="E38" s="79">
        <f t="shared" si="0"/>
        <v>5</v>
      </c>
      <c r="F38" s="71">
        <f t="shared" si="3"/>
        <v>44.64</v>
      </c>
      <c r="G38" s="72">
        <f>IF(D38=D37,"",_xlfn.IFNA(VLOOKUP(D38,'인원 입력 기능 (사과탐)'!$P$5:$S$53,4,FALSE),0))</f>
        <v>621</v>
      </c>
      <c r="H38" s="73">
        <f t="shared" si="4"/>
        <v>2.9354762467501773E-2</v>
      </c>
      <c r="I38" s="77">
        <f>SUM($G$7:G38)</f>
        <v>12021</v>
      </c>
      <c r="J38" s="75">
        <f t="shared" si="5"/>
        <v>0.56823445993854882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46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1">
        <f t="shared" si="3"/>
        <v>41.67</v>
      </c>
      <c r="G39" s="72">
        <f>IF(D39=D38,"",_xlfn.IFNA(VLOOKUP(D39,'인원 입력 기능 (사과탐)'!$P$5:$S$53,4,FALSE),0))</f>
        <v>636</v>
      </c>
      <c r="H39" s="73">
        <f t="shared" si="4"/>
        <v>3.0063814701016309E-2</v>
      </c>
      <c r="I39" s="77">
        <f>SUM($G$7:G39)</f>
        <v>12657</v>
      </c>
      <c r="J39" s="75">
        <f t="shared" si="5"/>
        <v>0.59829827463956509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45</v>
      </c>
      <c r="E40" s="79">
        <f t="shared" si="6"/>
        <v>5</v>
      </c>
      <c r="F40" s="71">
        <f t="shared" si="3"/>
        <v>38.6</v>
      </c>
      <c r="G40" s="72">
        <f>IF(D40=D39,"",_xlfn.IFNA(VLOOKUP(D40,'인원 입력 기능 (사과탐)'!$P$5:$S$53,4,FALSE),0))</f>
        <v>663</v>
      </c>
      <c r="H40" s="73">
        <f t="shared" si="4"/>
        <v>3.134010872134247E-2</v>
      </c>
      <c r="I40" s="77">
        <f>SUM($G$7:G40)</f>
        <v>13320</v>
      </c>
      <c r="J40" s="75">
        <f t="shared" si="5"/>
        <v>0.62963838336090761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44</v>
      </c>
      <c r="E41" s="79">
        <f t="shared" si="6"/>
        <v>6</v>
      </c>
      <c r="F41" s="71">
        <f t="shared" si="3"/>
        <v>35.42</v>
      </c>
      <c r="G41" s="72">
        <f>IF(D41=D40,"",_xlfn.IFNA(VLOOKUP(D41,'인원 입력 기능 (사과탐)'!$P$5:$S$53,4,FALSE),0))</f>
        <v>683</v>
      </c>
      <c r="H41" s="73">
        <f t="shared" si="4"/>
        <v>3.2285511699361856E-2</v>
      </c>
      <c r="I41" s="77">
        <f>SUM($G$7:G41)</f>
        <v>14003</v>
      </c>
      <c r="J41" s="75">
        <f t="shared" si="5"/>
        <v>0.66192389506026938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43</v>
      </c>
      <c r="E42" s="79">
        <f t="shared" si="6"/>
        <v>6</v>
      </c>
      <c r="F42" s="71">
        <f t="shared" si="3"/>
        <v>32.42</v>
      </c>
      <c r="G42" s="72">
        <f>IF(D42=D41,"",_xlfn.IFNA(VLOOKUP(D42,'인원 입력 기능 (사과탐)'!$P$5:$S$53,4,FALSE),0))</f>
        <v>589</v>
      </c>
      <c r="H42" s="73">
        <f t="shared" si="4"/>
        <v>2.7842117702670765E-2</v>
      </c>
      <c r="I42" s="77">
        <f>SUM($G$7:G42)</f>
        <v>14592</v>
      </c>
      <c r="J42" s="75">
        <f t="shared" si="5"/>
        <v>0.68976601276294025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138">
        <f t="shared" si="2"/>
        <v>42</v>
      </c>
      <c r="E43" s="138">
        <f t="shared" si="6"/>
        <v>6</v>
      </c>
      <c r="F43" s="128">
        <f t="shared" si="3"/>
        <v>27.8</v>
      </c>
      <c r="G43" s="130">
        <f>IF(D43=D42,"",_xlfn.IFNA(VLOOKUP(D43,'인원 입력 기능 (사과탐)'!$P$5:$S$53,4,FALSE),0))</f>
        <v>1363</v>
      </c>
      <c r="H43" s="132">
        <f t="shared" si="4"/>
        <v>6.4429212952020795E-2</v>
      </c>
      <c r="I43" s="134">
        <f>SUM($G$7:G43)</f>
        <v>15955</v>
      </c>
      <c r="J43" s="136">
        <f t="shared" si="5"/>
        <v>0.754195225714961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139"/>
      <c r="E44" s="139"/>
      <c r="F44" s="129"/>
      <c r="G44" s="131"/>
      <c r="H44" s="133"/>
      <c r="I44" s="135"/>
      <c r="J44" s="137"/>
      <c r="K44" s="28"/>
      <c r="L44" s="5" t="str">
        <f t="shared" si="1"/>
        <v>경고</v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41</v>
      </c>
      <c r="E45" s="79">
        <f t="shared" si="6"/>
        <v>6</v>
      </c>
      <c r="F45" s="71">
        <f t="shared" si="3"/>
        <v>21.04</v>
      </c>
      <c r="G45" s="72">
        <f>IF(D45=D44,"",_xlfn.IFNA(VLOOKUP(D45,'인원 입력 기능 (사과탐)'!$P$5:$S$53,4,FALSE),0))</f>
        <v>1498</v>
      </c>
      <c r="H45" s="73">
        <f t="shared" si="4"/>
        <v>7.0810683053651624E-2</v>
      </c>
      <c r="I45" s="77">
        <f>SUM($G$7:G45)</f>
        <v>17453</v>
      </c>
      <c r="J45" s="75">
        <f t="shared" si="5"/>
        <v>0.82500590876861257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40</v>
      </c>
      <c r="E46" s="79">
        <f t="shared" si="6"/>
        <v>7</v>
      </c>
      <c r="F46" s="71">
        <f t="shared" si="3"/>
        <v>15.44</v>
      </c>
      <c r="G46" s="72">
        <f>IF(D46=D45,"",_xlfn.IFNA(VLOOKUP(D46,'인원 입력 기능 (사과탐)'!$P$5:$S$53,4,FALSE),0))</f>
        <v>870</v>
      </c>
      <c r="H46" s="73">
        <f t="shared" si="4"/>
        <v>4.1125029543843061E-2</v>
      </c>
      <c r="I46" s="77">
        <f>SUM($G$7:G46)</f>
        <v>18323</v>
      </c>
      <c r="J46" s="75">
        <f t="shared" si="5"/>
        <v>0.86613093831245569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39</v>
      </c>
      <c r="E47" s="79">
        <f t="shared" si="6"/>
        <v>7</v>
      </c>
      <c r="F47" s="71">
        <f t="shared" si="3"/>
        <v>12.33</v>
      </c>
      <c r="G47" s="72">
        <f>IF(D47=D46,"",_xlfn.IFNA(VLOOKUP(D47,'인원 입력 기능 (사과탐)'!$P$5:$S$53,4,FALSE),0))</f>
        <v>448</v>
      </c>
      <c r="H47" s="73">
        <f t="shared" si="4"/>
        <v>2.117702670763413E-2</v>
      </c>
      <c r="I47" s="77">
        <f>SUM($G$7:G47)</f>
        <v>18771</v>
      </c>
      <c r="J47" s="75">
        <f t="shared" si="5"/>
        <v>0.88730796502008979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38</v>
      </c>
      <c r="E48" s="79">
        <f t="shared" si="6"/>
        <v>7</v>
      </c>
      <c r="F48" s="71">
        <f t="shared" si="3"/>
        <v>8.8800000000000008</v>
      </c>
      <c r="G48" s="72">
        <f>IF(D48=D47,"",_xlfn.IFNA(VLOOKUP(D48,'인원 입력 기능 (사과탐)'!$P$5:$S$53,4,FALSE),0))</f>
        <v>1010</v>
      </c>
      <c r="H48" s="73">
        <f t="shared" si="4"/>
        <v>4.7742850389978726E-2</v>
      </c>
      <c r="I48" s="77">
        <f>SUM($G$7:G48)</f>
        <v>19781</v>
      </c>
      <c r="J48" s="75">
        <f t="shared" si="5"/>
        <v>0.93505081541006851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37</v>
      </c>
      <c r="E49" s="79">
        <f t="shared" si="6"/>
        <v>8</v>
      </c>
      <c r="F49" s="71">
        <f t="shared" si="3"/>
        <v>5.73</v>
      </c>
      <c r="G49" s="72">
        <f>IF(D49=D48,"",_xlfn.IFNA(VLOOKUP(D49,'인원 입력 기능 (사과탐)'!$P$5:$S$53,4,FALSE),0))</f>
        <v>324</v>
      </c>
      <c r="H49" s="73">
        <f t="shared" si="4"/>
        <v>1.5315528243913969E-2</v>
      </c>
      <c r="I49" s="77">
        <f>SUM($G$7:G49)</f>
        <v>20105</v>
      </c>
      <c r="J49" s="75">
        <f t="shared" si="5"/>
        <v>0.95036634365398254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36</v>
      </c>
      <c r="E50" s="79">
        <f t="shared" si="6"/>
        <v>8</v>
      </c>
      <c r="F50" s="71">
        <f t="shared" si="3"/>
        <v>4.05</v>
      </c>
      <c r="G50" s="72">
        <f>IF(D50=D49,"",_xlfn.IFNA(VLOOKUP(D50,'인원 입력 기능 (사과탐)'!$P$5:$S$53,4,FALSE),0))</f>
        <v>385</v>
      </c>
      <c r="H50" s="73">
        <f t="shared" si="4"/>
        <v>1.819900732687308E-2</v>
      </c>
      <c r="I50" s="77">
        <f>SUM($G$7:G50)</f>
        <v>20490</v>
      </c>
      <c r="J50" s="75">
        <f t="shared" si="5"/>
        <v>0.96856535098085561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138">
        <f t="shared" si="2"/>
        <v>35</v>
      </c>
      <c r="E51" s="138">
        <f t="shared" si="6"/>
        <v>9</v>
      </c>
      <c r="F51" s="128">
        <f t="shared" si="3"/>
        <v>2.19</v>
      </c>
      <c r="G51" s="130">
        <f>IF(D51=D50,"",_xlfn.IFNA(VLOOKUP(D51,'인원 입력 기능 (사과탐)'!$P$5:$S$53,4,FALSE),0))</f>
        <v>404</v>
      </c>
      <c r="H51" s="132">
        <f t="shared" si="4"/>
        <v>1.9097140155991493E-2</v>
      </c>
      <c r="I51" s="134">
        <f>SUM($G$7:G51)</f>
        <v>20894</v>
      </c>
      <c r="J51" s="136">
        <f t="shared" si="5"/>
        <v>0.98766249113684712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139"/>
      <c r="E52" s="139"/>
      <c r="F52" s="129"/>
      <c r="G52" s="131"/>
      <c r="H52" s="133"/>
      <c r="I52" s="135"/>
      <c r="J52" s="137"/>
      <c r="K52" s="28"/>
      <c r="L52" s="5" t="str">
        <f t="shared" si="1"/>
        <v>경고</v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34</v>
      </c>
      <c r="E53" s="70">
        <f t="shared" si="6"/>
        <v>9</v>
      </c>
      <c r="F53" s="71">
        <f t="shared" si="3"/>
        <v>0.98</v>
      </c>
      <c r="G53" s="72">
        <f>IF(D53=D52,"",_xlfn.IFNA(VLOOKUP(D53,'인원 입력 기능 (사과탐)'!$P$5:$S$53,4,FALSE),0))</f>
        <v>106</v>
      </c>
      <c r="H53" s="73">
        <f t="shared" si="4"/>
        <v>5.0106357835027178E-3</v>
      </c>
      <c r="I53" s="77">
        <f>SUM($G$7:G53)</f>
        <v>21000</v>
      </c>
      <c r="J53" s="75">
        <f t="shared" si="5"/>
        <v>0.99267312692034981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33</v>
      </c>
      <c r="E54" s="70">
        <f t="shared" si="6"/>
        <v>9</v>
      </c>
      <c r="F54" s="71">
        <f t="shared" si="3"/>
        <v>0.59</v>
      </c>
      <c r="G54" s="72">
        <f>IF(D54=D53,"",_xlfn.IFNA(VLOOKUP(D54,'인원 입력 기능 (사과탐)'!$P$5:$S$53,4,FALSE),0))</f>
        <v>59</v>
      </c>
      <c r="H54" s="73">
        <f t="shared" si="4"/>
        <v>2.7889387851571731E-3</v>
      </c>
      <c r="I54" s="77">
        <f>SUM($G$7:G54)</f>
        <v>21059</v>
      </c>
      <c r="J54" s="75">
        <f t="shared" si="5"/>
        <v>0.99546206570550699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32</v>
      </c>
      <c r="E55" s="70">
        <f t="shared" si="6"/>
        <v>9</v>
      </c>
      <c r="F55" s="71">
        <f t="shared" si="3"/>
        <v>0.3</v>
      </c>
      <c r="G55" s="72">
        <f>IF(D55=D54,"",_xlfn.IFNA(VLOOKUP(D55,'인원 입력 기능 (사과탐)'!$P$5:$S$53,4,FALSE),0))</f>
        <v>64</v>
      </c>
      <c r="H55" s="73">
        <f t="shared" si="4"/>
        <v>3.0252895296620183E-3</v>
      </c>
      <c r="I55" s="77">
        <f>SUM($G$7:G55)</f>
        <v>21123</v>
      </c>
      <c r="J55" s="75">
        <f t="shared" si="5"/>
        <v>0.99848735523516896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30</v>
      </c>
      <c r="E57" s="83">
        <f t="shared" si="6"/>
        <v>9</v>
      </c>
      <c r="F57" s="84">
        <f>IF(I55=0,ROUND(100*(1-(I54+I57)/2/$J$3),2),ROUND(100*(1-(I55+I57)/2/$J$3),2))</f>
        <v>0.08</v>
      </c>
      <c r="G57" s="85">
        <f>_xlfn.IFNA(VLOOKUP(D57,'인원 입력 기능 (사과탐)'!$P$5:$S$53,4,FALSE),0)</f>
        <v>32</v>
      </c>
      <c r="H57" s="86">
        <f>G57/$J$3</f>
        <v>1.5126447648310091E-3</v>
      </c>
      <c r="I57" s="87">
        <f>SUM($G$7:G57)</f>
        <v>21155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7">
    <mergeCell ref="I51:I52"/>
    <mergeCell ref="J51:J52"/>
    <mergeCell ref="D51:D52"/>
    <mergeCell ref="E51:E52"/>
    <mergeCell ref="F51:F52"/>
    <mergeCell ref="G51:G52"/>
    <mergeCell ref="H51:H52"/>
    <mergeCell ref="I35:I36"/>
    <mergeCell ref="J35:J36"/>
    <mergeCell ref="D43:D44"/>
    <mergeCell ref="E43:E44"/>
    <mergeCell ref="F43:F44"/>
    <mergeCell ref="G43:G44"/>
    <mergeCell ref="H43:H44"/>
    <mergeCell ref="I43:I44"/>
    <mergeCell ref="J43:J44"/>
    <mergeCell ref="D35:D36"/>
    <mergeCell ref="E35:E36"/>
    <mergeCell ref="F35:F36"/>
    <mergeCell ref="G35:G36"/>
    <mergeCell ref="H35:H36"/>
    <mergeCell ref="H18:H19"/>
    <mergeCell ref="I18:I19"/>
    <mergeCell ref="J18:J19"/>
    <mergeCell ref="D26:D27"/>
    <mergeCell ref="E26:E27"/>
    <mergeCell ref="F26:F27"/>
    <mergeCell ref="G26:G27"/>
    <mergeCell ref="H26:H27"/>
    <mergeCell ref="I26:I27"/>
    <mergeCell ref="J26:J27"/>
    <mergeCell ref="D3:F3"/>
    <mergeCell ref="D4:F4"/>
    <mergeCell ref="D8:J8"/>
    <mergeCell ref="D56:J56"/>
    <mergeCell ref="G5:J5"/>
    <mergeCell ref="D10:D11"/>
    <mergeCell ref="E10:E11"/>
    <mergeCell ref="F10:F11"/>
    <mergeCell ref="G10:G11"/>
    <mergeCell ref="H10:H11"/>
    <mergeCell ref="I10:I11"/>
    <mergeCell ref="J10:J11"/>
    <mergeCell ref="D18:D19"/>
    <mergeCell ref="E18:E19"/>
    <mergeCell ref="F18:F19"/>
    <mergeCell ref="G18:G19"/>
  </mergeCells>
  <phoneticPr fontId="1" type="noConversion"/>
  <conditionalFormatting sqref="D7:D10 D12:D18 D20:D26 D28:D35 D37:D43 D45:D51 D53:D57">
    <cfRule type="expression" dxfId="47" priority="1">
      <formula>$D7=$D8</formula>
    </cfRule>
  </conditionalFormatting>
  <conditionalFormatting sqref="C7:C57">
    <cfRule type="expression" dxfId="46" priority="4">
      <formula>OR(AND($D7=0,OR($D6=$Q$7:$Q$14)),AND($D8&gt;0,OR($D7=$Q$7:$Q$14)))</formula>
    </cfRule>
  </conditionalFormatting>
  <conditionalFormatting sqref="D7:J7 D8 D57:J57 D56 D9:J10 D12:J18 D20:J26 D28:J35 D37:J43 D45:J51 D53:J55">
    <cfRule type="expression" dxfId="45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1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기능'!D10</f>
        <v>24.97</v>
      </c>
      <c r="I3" s="15" t="s">
        <v>84</v>
      </c>
      <c r="J3" s="35">
        <f>'통계 및 응시자 수 입력 기능'!C10</f>
        <v>12581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100</v>
      </c>
      <c r="E4" s="120"/>
      <c r="F4" s="121"/>
      <c r="G4" s="37" t="s">
        <v>87</v>
      </c>
      <c r="H4" s="38" t="str">
        <f>'통계 및 응시자 수 입력 기능'!E10</f>
        <v>12.79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70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98.13</v>
      </c>
      <c r="G7" s="72">
        <f>_xlfn.IFNA(VLOOKUP(D7,'인원 입력 기능 (사과탐)'!$A$64:$D$112,4,FALSE),0)</f>
        <v>470</v>
      </c>
      <c r="H7" s="73">
        <f>G7/$J$3</f>
        <v>3.735792067403227E-2</v>
      </c>
      <c r="I7" s="74">
        <f>G7</f>
        <v>470</v>
      </c>
      <c r="J7" s="75">
        <f>I7/$J$3</f>
        <v>3.735792067403227E-2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입력기능'!C58</f>
        <v>68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입력기능'!C59</f>
        <v>65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68</v>
      </c>
      <c r="E9" s="70">
        <f t="shared" si="0"/>
        <v>1</v>
      </c>
      <c r="F9" s="71">
        <f>IF(I8=0,ROUND(100*(1-(I7+I9)/2/$J$3),2),ROUND(100*(1-(I8+I9)/2/$J$3),2))</f>
        <v>96.05</v>
      </c>
      <c r="G9" s="72">
        <f>_xlfn.IFNA(VLOOKUP(D9,'인원 입력 기능 (사과탐)'!$A$64:$D$112,4,FALSE),0)</f>
        <v>53</v>
      </c>
      <c r="H9" s="73">
        <f>G9/$J$3</f>
        <v>4.2127016930291706E-3</v>
      </c>
      <c r="I9" s="77">
        <f>SUM($G$7:G9)</f>
        <v>523</v>
      </c>
      <c r="J9" s="75">
        <f>I9/$J$3</f>
        <v>4.1570622367061445E-2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입력기능'!C60</f>
        <v>59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67</v>
      </c>
      <c r="E10" s="70">
        <f t="shared" si="0"/>
        <v>2</v>
      </c>
      <c r="F10" s="71">
        <f t="shared" ref="F10:F55" si="3">IF(I9=0,ROUND(100*(1-(I8+I10)/2/$J$3),2),ROUND(100*(1-(I9+I10)/2/$J$3),2))</f>
        <v>94.18</v>
      </c>
      <c r="G10" s="72">
        <f>IF(D10=D9,"",_xlfn.IFNA(VLOOKUP(D10,'인원 입력 기능 (사과탐)'!$A$64:$D$112,4,FALSE),0))</f>
        <v>419</v>
      </c>
      <c r="H10" s="73">
        <f t="shared" ref="H10:H55" si="4">G10/$J$3</f>
        <v>3.3304188856211746E-2</v>
      </c>
      <c r="I10" s="77">
        <f>SUM($G$7:G10)</f>
        <v>942</v>
      </c>
      <c r="J10" s="75">
        <f t="shared" ref="J10:J55" si="5">I10/$J$3</f>
        <v>7.4874811223273191E-2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입력기능'!C61</f>
        <v>52</v>
      </c>
    </row>
    <row r="11" spans="1:17" ht="25" customHeight="1" x14ac:dyDescent="0.45">
      <c r="A11" s="4"/>
      <c r="B11" s="19"/>
      <c r="C11" s="69">
        <v>46</v>
      </c>
      <c r="D11" s="126">
        <f t="shared" si="2"/>
        <v>66</v>
      </c>
      <c r="E11" s="126">
        <f t="shared" si="0"/>
        <v>2</v>
      </c>
      <c r="F11" s="128">
        <f t="shared" si="3"/>
        <v>91.92</v>
      </c>
      <c r="G11" s="130">
        <f>IF(D11=D10,"",_xlfn.IFNA(VLOOKUP(D11,'인원 입력 기능 (사과탐)'!$A$64:$D$112,4,FALSE),0))</f>
        <v>148</v>
      </c>
      <c r="H11" s="132">
        <f t="shared" si="4"/>
        <v>1.1763770765439949E-2</v>
      </c>
      <c r="I11" s="134">
        <f>SUM($G$7:G11)</f>
        <v>1090</v>
      </c>
      <c r="J11" s="136">
        <f t="shared" si="5"/>
        <v>8.6638581988713145E-2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입력기능'!C62</f>
        <v>45</v>
      </c>
    </row>
    <row r="12" spans="1:17" ht="25" customHeight="1" x14ac:dyDescent="0.45">
      <c r="A12" s="4"/>
      <c r="B12" s="19"/>
      <c r="C12" s="76">
        <v>45</v>
      </c>
      <c r="D12" s="127"/>
      <c r="E12" s="127"/>
      <c r="F12" s="129"/>
      <c r="G12" s="131"/>
      <c r="H12" s="133"/>
      <c r="I12" s="135"/>
      <c r="J12" s="137"/>
      <c r="K12" s="28"/>
      <c r="L12" s="5" t="str">
        <f t="shared" si="1"/>
        <v>경고</v>
      </c>
      <c r="N12" s="1"/>
      <c r="P12" s="1">
        <v>6</v>
      </c>
      <c r="Q12" s="1">
        <f>'표준점수 등급컷 입력기능'!C63</f>
        <v>41</v>
      </c>
    </row>
    <row r="13" spans="1:17" ht="25" customHeight="1" x14ac:dyDescent="0.45">
      <c r="A13" s="4"/>
      <c r="B13" s="19"/>
      <c r="C13" s="69">
        <v>44</v>
      </c>
      <c r="D13" s="70">
        <f t="shared" si="2"/>
        <v>65</v>
      </c>
      <c r="E13" s="70">
        <f t="shared" si="0"/>
        <v>2</v>
      </c>
      <c r="F13" s="71">
        <f t="shared" si="3"/>
        <v>90.01</v>
      </c>
      <c r="G13" s="72">
        <f>IF(D13=D12,"",_xlfn.IFNA(VLOOKUP(D13,'인원 입력 기능 (사과탐)'!$A$64:$D$112,4,FALSE),0))</f>
        <v>334</v>
      </c>
      <c r="H13" s="73">
        <f t="shared" si="4"/>
        <v>2.6547969159844208E-2</v>
      </c>
      <c r="I13" s="77">
        <f>SUM($G$7:G13)</f>
        <v>1424</v>
      </c>
      <c r="J13" s="75">
        <f t="shared" si="5"/>
        <v>0.11318655114855734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입력기능'!C64</f>
        <v>38</v>
      </c>
    </row>
    <row r="14" spans="1:17" ht="25" customHeight="1" x14ac:dyDescent="0.45">
      <c r="A14" s="4"/>
      <c r="B14" s="19"/>
      <c r="C14" s="76">
        <v>43</v>
      </c>
      <c r="D14" s="70">
        <f t="shared" si="2"/>
        <v>64</v>
      </c>
      <c r="E14" s="70">
        <f t="shared" si="0"/>
        <v>3</v>
      </c>
      <c r="F14" s="71">
        <f t="shared" si="3"/>
        <v>88.47</v>
      </c>
      <c r="G14" s="72">
        <f>IF(D14=D13,"",_xlfn.IFNA(VLOOKUP(D14,'인원 입력 기능 (사과탐)'!$A$64:$D$112,4,FALSE),0))</f>
        <v>53</v>
      </c>
      <c r="H14" s="73">
        <f t="shared" si="4"/>
        <v>4.2127016930291706E-3</v>
      </c>
      <c r="I14" s="77">
        <f>SUM($G$7:G14)</f>
        <v>1477</v>
      </c>
      <c r="J14" s="75">
        <f t="shared" si="5"/>
        <v>0.11739925284158652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입력기능'!C65</f>
        <v>36</v>
      </c>
    </row>
    <row r="15" spans="1:17" ht="25" customHeight="1" x14ac:dyDescent="0.45">
      <c r="A15" s="4"/>
      <c r="B15" s="19"/>
      <c r="C15" s="69">
        <v>42</v>
      </c>
      <c r="D15" s="126">
        <f t="shared" si="2"/>
        <v>63</v>
      </c>
      <c r="E15" s="126">
        <f t="shared" si="0"/>
        <v>3</v>
      </c>
      <c r="F15" s="128">
        <f t="shared" si="3"/>
        <v>86.19</v>
      </c>
      <c r="G15" s="130">
        <f>IF(D15=D14,"",_xlfn.IFNA(VLOOKUP(D15,'인원 입력 기능 (사과탐)'!$A$64:$D$112,4,FALSE),0))</f>
        <v>521</v>
      </c>
      <c r="H15" s="132">
        <f t="shared" si="4"/>
        <v>4.1411652491852795E-2</v>
      </c>
      <c r="I15" s="134">
        <f>SUM($G$7:G15)</f>
        <v>1998</v>
      </c>
      <c r="J15" s="136">
        <f t="shared" si="5"/>
        <v>0.15881090533343931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127"/>
      <c r="E16" s="127"/>
      <c r="F16" s="129"/>
      <c r="G16" s="131"/>
      <c r="H16" s="133"/>
      <c r="I16" s="135"/>
      <c r="J16" s="137"/>
      <c r="K16" s="28"/>
      <c r="L16" s="5" t="str">
        <f t="shared" si="1"/>
        <v>경고</v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62</v>
      </c>
      <c r="E17" s="70">
        <f t="shared" si="0"/>
        <v>3</v>
      </c>
      <c r="F17" s="71">
        <f t="shared" si="3"/>
        <v>83.55</v>
      </c>
      <c r="G17" s="72">
        <f>IF(D17=D16,"",_xlfn.IFNA(VLOOKUP(D17,'인원 입력 기능 (사과탐)'!$A$64:$D$112,4,FALSE),0))</f>
        <v>143</v>
      </c>
      <c r="H17" s="73">
        <f t="shared" si="4"/>
        <v>1.136634607741833E-2</v>
      </c>
      <c r="I17" s="77">
        <f>SUM($G$7:G17)</f>
        <v>2141</v>
      </c>
      <c r="J17" s="75">
        <f t="shared" si="5"/>
        <v>0.17017725141085766</v>
      </c>
      <c r="K17" s="28"/>
      <c r="L17" s="5" t="str">
        <f t="shared" si="1"/>
        <v/>
      </c>
      <c r="N17" s="1"/>
      <c r="P17" s="1">
        <f>Q7*H3*H4*J3*IFERROR(IF(J57=1, 1, 0), 0)</f>
        <v>273220424.58039999</v>
      </c>
    </row>
    <row r="18" spans="1:16" ht="25" customHeight="1" x14ac:dyDescent="0.45">
      <c r="A18" s="4"/>
      <c r="B18" s="19"/>
      <c r="C18" s="76">
        <v>39</v>
      </c>
      <c r="D18" s="70">
        <f t="shared" si="2"/>
        <v>61</v>
      </c>
      <c r="E18" s="70">
        <f t="shared" si="0"/>
        <v>3</v>
      </c>
      <c r="F18" s="71">
        <f t="shared" si="3"/>
        <v>81.89</v>
      </c>
      <c r="G18" s="72">
        <f>IF(D18=D17,"",_xlfn.IFNA(VLOOKUP(D18,'인원 입력 기능 (사과탐)'!$A$64:$D$112,4,FALSE),0))</f>
        <v>274</v>
      </c>
      <c r="H18" s="73">
        <f t="shared" si="4"/>
        <v>2.1778872903584771E-2</v>
      </c>
      <c r="I18" s="77">
        <f>SUM($G$7:G18)</f>
        <v>2415</v>
      </c>
      <c r="J18" s="75">
        <f t="shared" si="5"/>
        <v>0.19195612431444242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60</v>
      </c>
      <c r="E19" s="70">
        <f t="shared" si="0"/>
        <v>3</v>
      </c>
      <c r="F19" s="71">
        <f t="shared" si="3"/>
        <v>80.05</v>
      </c>
      <c r="G19" s="72">
        <f>IF(D19=D18,"",_xlfn.IFNA(VLOOKUP(D19,'인원 입력 기능 (사과탐)'!$A$64:$D$112,4,FALSE),0))</f>
        <v>190</v>
      </c>
      <c r="H19" s="73">
        <f t="shared" si="4"/>
        <v>1.5102138144821557E-2</v>
      </c>
      <c r="I19" s="77">
        <f>SUM($G$7:G19)</f>
        <v>2605</v>
      </c>
      <c r="J19" s="75">
        <f t="shared" si="5"/>
        <v>0.20705826245926398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126">
        <f t="shared" si="2"/>
        <v>59</v>
      </c>
      <c r="E20" s="126">
        <f t="shared" si="0"/>
        <v>3</v>
      </c>
      <c r="F20" s="128">
        <f t="shared" si="3"/>
        <v>77.31</v>
      </c>
      <c r="G20" s="130">
        <f>IF(D20=D19,"",_xlfn.IFNA(VLOOKUP(D20,'인원 입력 기능 (사과탐)'!$A$64:$D$112,4,FALSE),0))</f>
        <v>499</v>
      </c>
      <c r="H20" s="132">
        <f t="shared" si="4"/>
        <v>3.9662983864557667E-2</v>
      </c>
      <c r="I20" s="134">
        <f>SUM($G$7:G20)</f>
        <v>3104</v>
      </c>
      <c r="J20" s="136">
        <f t="shared" si="5"/>
        <v>0.24672124632382164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127"/>
      <c r="E21" s="127"/>
      <c r="F21" s="129"/>
      <c r="G21" s="131"/>
      <c r="H21" s="133"/>
      <c r="I21" s="135"/>
      <c r="J21" s="137"/>
      <c r="K21" s="28"/>
      <c r="L21" s="5" t="str">
        <f t="shared" si="1"/>
        <v>경고</v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58</v>
      </c>
      <c r="E22" s="79">
        <f t="shared" si="0"/>
        <v>4</v>
      </c>
      <c r="F22" s="71">
        <f t="shared" si="3"/>
        <v>74.489999999999995</v>
      </c>
      <c r="G22" s="72">
        <f>IF(D22=D21,"",_xlfn.IFNA(VLOOKUP(D22,'인원 입력 기능 (사과탐)'!$A$64:$D$112,4,FALSE),0))</f>
        <v>212</v>
      </c>
      <c r="H22" s="73">
        <f t="shared" si="4"/>
        <v>1.6850806772116683E-2</v>
      </c>
      <c r="I22" s="77">
        <f>SUM($G$7:G22)</f>
        <v>3316</v>
      </c>
      <c r="J22" s="75">
        <f t="shared" si="5"/>
        <v>0.26357205309593834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57</v>
      </c>
      <c r="E23" s="79">
        <f t="shared" si="0"/>
        <v>4</v>
      </c>
      <c r="F23" s="71">
        <f t="shared" si="3"/>
        <v>72.599999999999994</v>
      </c>
      <c r="G23" s="72">
        <f>IF(D23=D22,"",_xlfn.IFNA(VLOOKUP(D23,'인원 입력 기능 (사과탐)'!$A$64:$D$112,4,FALSE),0))</f>
        <v>263</v>
      </c>
      <c r="H23" s="73">
        <f t="shared" si="4"/>
        <v>2.0904538589937207E-2</v>
      </c>
      <c r="I23" s="77">
        <f>SUM($G$7:G23)</f>
        <v>3579</v>
      </c>
      <c r="J23" s="75">
        <f t="shared" si="5"/>
        <v>0.28447659168587552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56</v>
      </c>
      <c r="E24" s="79">
        <f t="shared" si="0"/>
        <v>4</v>
      </c>
      <c r="F24" s="71">
        <f t="shared" si="3"/>
        <v>70.55</v>
      </c>
      <c r="G24" s="72">
        <f>IF(D24=D23,"",_xlfn.IFNA(VLOOKUP(D24,'인원 입력 기능 (사과탐)'!$A$64:$D$112,4,FALSE),0))</f>
        <v>252</v>
      </c>
      <c r="H24" s="73">
        <f t="shared" si="4"/>
        <v>2.0030204276289643E-2</v>
      </c>
      <c r="I24" s="77">
        <f>SUM($G$7:G24)</f>
        <v>3831</v>
      </c>
      <c r="J24" s="75">
        <f t="shared" si="5"/>
        <v>0.30450679596216518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138">
        <f t="shared" si="2"/>
        <v>55</v>
      </c>
      <c r="E25" s="138">
        <f t="shared" si="0"/>
        <v>4</v>
      </c>
      <c r="F25" s="128">
        <f t="shared" si="3"/>
        <v>67.569999999999993</v>
      </c>
      <c r="G25" s="130">
        <f>IF(D25=D24,"",_xlfn.IFNA(VLOOKUP(D25,'인원 입력 기능 (사과탐)'!$A$64:$D$112,4,FALSE),0))</f>
        <v>497</v>
      </c>
      <c r="H25" s="132">
        <f t="shared" si="4"/>
        <v>3.9504013989349017E-2</v>
      </c>
      <c r="I25" s="134">
        <f>SUM($G$7:G25)</f>
        <v>4328</v>
      </c>
      <c r="J25" s="136">
        <f t="shared" si="5"/>
        <v>0.34401080995151417</v>
      </c>
      <c r="K25" s="28"/>
      <c r="L25" s="5" t="str">
        <f t="shared" si="1"/>
        <v>경고</v>
      </c>
      <c r="N25" s="1"/>
    </row>
    <row r="26" spans="1:16" ht="25" customHeight="1" x14ac:dyDescent="0.45">
      <c r="A26" s="4"/>
      <c r="B26" s="19"/>
      <c r="C26" s="80">
        <v>31</v>
      </c>
      <c r="D26" s="139"/>
      <c r="E26" s="139"/>
      <c r="F26" s="129"/>
      <c r="G26" s="131"/>
      <c r="H26" s="133"/>
      <c r="I26" s="135"/>
      <c r="J26" s="137"/>
      <c r="K26" s="28"/>
      <c r="L26" s="5" t="str">
        <f t="shared" si="1"/>
        <v>경고</v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54</v>
      </c>
      <c r="E27" s="79">
        <f t="shared" si="0"/>
        <v>4</v>
      </c>
      <c r="F27" s="71">
        <f t="shared" si="3"/>
        <v>64.48</v>
      </c>
      <c r="G27" s="72">
        <f>IF(D27=D26,"",_xlfn.IFNA(VLOOKUP(D27,'인원 입력 기능 (사과탐)'!$A$64:$D$112,4,FALSE),0))</f>
        <v>282</v>
      </c>
      <c r="H27" s="73">
        <f t="shared" si="4"/>
        <v>2.2414752404419362E-2</v>
      </c>
      <c r="I27" s="77">
        <f>SUM($G$7:G27)</f>
        <v>4610</v>
      </c>
      <c r="J27" s="75">
        <f t="shared" si="5"/>
        <v>0.36642556235593354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53</v>
      </c>
      <c r="E28" s="79">
        <f t="shared" si="0"/>
        <v>4</v>
      </c>
      <c r="F28" s="71">
        <f t="shared" si="3"/>
        <v>62.26</v>
      </c>
      <c r="G28" s="72">
        <f>IF(D28=D27,"",_xlfn.IFNA(VLOOKUP(D28,'인원 입력 기능 (사과탐)'!$A$64:$D$112,4,FALSE),0))</f>
        <v>276</v>
      </c>
      <c r="H28" s="73">
        <f t="shared" si="4"/>
        <v>2.1937842778793418E-2</v>
      </c>
      <c r="I28" s="77">
        <f>SUM($G$7:G28)</f>
        <v>4886</v>
      </c>
      <c r="J28" s="75">
        <f t="shared" si="5"/>
        <v>0.38836340513472695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138">
        <f t="shared" si="2"/>
        <v>52</v>
      </c>
      <c r="E29" s="138">
        <f t="shared" si="0"/>
        <v>4</v>
      </c>
      <c r="F29" s="128">
        <f t="shared" si="3"/>
        <v>59.21</v>
      </c>
      <c r="G29" s="130">
        <f>IF(D29=D28,"",_xlfn.IFNA(VLOOKUP(D29,'인원 입력 기능 (사과탐)'!$A$64:$D$112,4,FALSE),0))</f>
        <v>492</v>
      </c>
      <c r="H29" s="132">
        <f t="shared" si="4"/>
        <v>3.9106589301327398E-2</v>
      </c>
      <c r="I29" s="134">
        <f>SUM($G$7:G29)</f>
        <v>5378</v>
      </c>
      <c r="J29" s="136">
        <f t="shared" si="5"/>
        <v>0.42746999443605438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139"/>
      <c r="E30" s="139"/>
      <c r="F30" s="129"/>
      <c r="G30" s="131"/>
      <c r="H30" s="133"/>
      <c r="I30" s="135"/>
      <c r="J30" s="137"/>
      <c r="K30" s="28"/>
      <c r="L30" s="5" t="str">
        <f t="shared" si="1"/>
        <v>경고</v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51</v>
      </c>
      <c r="E31" s="79">
        <f t="shared" si="0"/>
        <v>5</v>
      </c>
      <c r="F31" s="71">
        <f t="shared" si="3"/>
        <v>56.11</v>
      </c>
      <c r="G31" s="72">
        <f>IF(D31=D30,"",_xlfn.IFNA(VLOOKUP(D31,'인원 입력 기능 (사과탐)'!$A$64:$D$112,4,FALSE),0))</f>
        <v>288</v>
      </c>
      <c r="H31" s="73">
        <f t="shared" si="4"/>
        <v>2.2891662030045307E-2</v>
      </c>
      <c r="I31" s="77">
        <f>SUM($G$7:G31)</f>
        <v>5666</v>
      </c>
      <c r="J31" s="75">
        <f t="shared" si="5"/>
        <v>0.45036165646609966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50</v>
      </c>
      <c r="E32" s="79">
        <f t="shared" si="0"/>
        <v>5</v>
      </c>
      <c r="F32" s="71">
        <f t="shared" si="3"/>
        <v>53.78</v>
      </c>
      <c r="G32" s="72">
        <f>IF(D32=D31,"",_xlfn.IFNA(VLOOKUP(D32,'인원 입력 기능 (사과탐)'!$A$64:$D$112,4,FALSE),0))</f>
        <v>299</v>
      </c>
      <c r="H32" s="73">
        <f t="shared" si="4"/>
        <v>2.376599634369287E-2</v>
      </c>
      <c r="I32" s="77">
        <f>SUM($G$7:G32)</f>
        <v>5965</v>
      </c>
      <c r="J32" s="75">
        <f t="shared" si="5"/>
        <v>0.47412765280979252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49</v>
      </c>
      <c r="E33" s="79">
        <f t="shared" si="0"/>
        <v>5</v>
      </c>
      <c r="F33" s="71">
        <f t="shared" si="3"/>
        <v>51.45</v>
      </c>
      <c r="G33" s="72">
        <f>IF(D33=D32,"",_xlfn.IFNA(VLOOKUP(D33,'인원 입력 기능 (사과탐)'!$A$64:$D$112,4,FALSE),0))</f>
        <v>285</v>
      </c>
      <c r="H33" s="73">
        <f t="shared" si="4"/>
        <v>2.2653207217232334E-2</v>
      </c>
      <c r="I33" s="77">
        <f>SUM($G$7:G33)</f>
        <v>6250</v>
      </c>
      <c r="J33" s="75">
        <f t="shared" si="5"/>
        <v>0.49678086002702487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138">
        <f t="shared" si="2"/>
        <v>48</v>
      </c>
      <c r="E34" s="138">
        <f t="shared" si="0"/>
        <v>5</v>
      </c>
      <c r="F34" s="128">
        <f t="shared" si="3"/>
        <v>47.97</v>
      </c>
      <c r="G34" s="130">
        <f>IF(D34=D33,"",_xlfn.IFNA(VLOOKUP(D34,'인원 입력 기능 (사과탐)'!$A$64:$D$112,4,FALSE),0))</f>
        <v>592</v>
      </c>
      <c r="H34" s="132">
        <f t="shared" si="4"/>
        <v>4.7055083061759796E-2</v>
      </c>
      <c r="I34" s="134">
        <f>SUM($G$7:G34)</f>
        <v>6842</v>
      </c>
      <c r="J34" s="136">
        <f t="shared" si="5"/>
        <v>0.54383594308878469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139"/>
      <c r="E35" s="139"/>
      <c r="F35" s="129"/>
      <c r="G35" s="131"/>
      <c r="H35" s="133"/>
      <c r="I35" s="135"/>
      <c r="J35" s="137"/>
      <c r="K35" s="28"/>
      <c r="L35" s="5" t="str">
        <f t="shared" si="1"/>
        <v>경고</v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47</v>
      </c>
      <c r="E36" s="79">
        <f t="shared" si="0"/>
        <v>5</v>
      </c>
      <c r="F36" s="71">
        <f t="shared" si="3"/>
        <v>44.48</v>
      </c>
      <c r="G36" s="72">
        <f>IF(D36=D35,"",_xlfn.IFNA(VLOOKUP(D36,'인원 입력 기능 (사과탐)'!$A$64:$D$112,4,FALSE),0))</f>
        <v>286</v>
      </c>
      <c r="H36" s="73">
        <f t="shared" si="4"/>
        <v>2.273269215483666E-2</v>
      </c>
      <c r="I36" s="77">
        <f>SUM($G$7:G36)</f>
        <v>7128</v>
      </c>
      <c r="J36" s="75">
        <f t="shared" si="5"/>
        <v>0.56656863524362133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46</v>
      </c>
      <c r="E37" s="79">
        <f t="shared" si="0"/>
        <v>5</v>
      </c>
      <c r="F37" s="71">
        <f t="shared" si="3"/>
        <v>42.17</v>
      </c>
      <c r="G37" s="72">
        <f>IF(D37=D36,"",_xlfn.IFNA(VLOOKUP(D37,'인원 입력 기능 (사과탐)'!$A$64:$D$112,4,FALSE),0))</f>
        <v>296</v>
      </c>
      <c r="H37" s="73">
        <f t="shared" si="4"/>
        <v>2.3527541530879898E-2</v>
      </c>
      <c r="I37" s="77">
        <f>SUM($G$7:G37)</f>
        <v>7424</v>
      </c>
      <c r="J37" s="75">
        <f t="shared" si="5"/>
        <v>0.59009617677450121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138">
        <f t="shared" si="2"/>
        <v>45</v>
      </c>
      <c r="E38" s="138">
        <f t="shared" si="0"/>
        <v>5</v>
      </c>
      <c r="F38" s="128">
        <f t="shared" si="3"/>
        <v>38.299999999999997</v>
      </c>
      <c r="G38" s="130">
        <f>IF(D38=D37,"",_xlfn.IFNA(VLOOKUP(D38,'인원 입력 기능 (사과탐)'!$A$64:$D$112,4,FALSE),0))</f>
        <v>677</v>
      </c>
      <c r="H38" s="132">
        <f t="shared" si="4"/>
        <v>5.3811302758127337E-2</v>
      </c>
      <c r="I38" s="134">
        <f>SUM($G$7:G38)</f>
        <v>8101</v>
      </c>
      <c r="J38" s="136">
        <f t="shared" si="5"/>
        <v>0.64390747953262861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139"/>
      <c r="E39" s="139"/>
      <c r="F39" s="129"/>
      <c r="G39" s="131"/>
      <c r="H39" s="133"/>
      <c r="I39" s="135"/>
      <c r="J39" s="137"/>
      <c r="K39" s="28"/>
      <c r="L39" s="5" t="str">
        <f t="shared" si="1"/>
        <v>경고</v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44</v>
      </c>
      <c r="E40" s="79">
        <f t="shared" ref="E40:E57" si="6">IF(ROUND(D40,0)&gt;=$Q$7,1,IF(ROUND(D40,0)&gt;=$Q$8,2,IF(ROUND(D40,0)&gt;=$Q$9,3,IF(ROUND(D40,0)&gt;=$Q$10,4,IF(ROUND(D40,0)&gt;=$Q$11,5,IF(ROUND(D40,0)&gt;=$Q$12,6,IF(ROUND(D40,0)&gt;=$Q$13,7,IF(ROUND(D40,0)&gt;=$Q$14,8,9))))))))</f>
        <v>6</v>
      </c>
      <c r="F40" s="71">
        <f t="shared" si="3"/>
        <v>34.380000000000003</v>
      </c>
      <c r="G40" s="72">
        <f>IF(D40=D39,"",_xlfn.IFNA(VLOOKUP(D40,'인원 입력 기능 (사과탐)'!$A$64:$D$112,4,FALSE),0))</f>
        <v>309</v>
      </c>
      <c r="H40" s="73">
        <f t="shared" si="4"/>
        <v>2.4560845719736109E-2</v>
      </c>
      <c r="I40" s="77">
        <f>SUM($G$7:G40)</f>
        <v>8410</v>
      </c>
      <c r="J40" s="75">
        <f t="shared" si="5"/>
        <v>0.66846832525236466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43</v>
      </c>
      <c r="E41" s="79">
        <f t="shared" si="6"/>
        <v>6</v>
      </c>
      <c r="F41" s="71">
        <f t="shared" si="3"/>
        <v>31.76</v>
      </c>
      <c r="G41" s="72">
        <f>IF(D41=D40,"",_xlfn.IFNA(VLOOKUP(D41,'인원 입력 기능 (사과탐)'!$A$64:$D$112,4,FALSE),0))</f>
        <v>350</v>
      </c>
      <c r="H41" s="73">
        <f t="shared" si="4"/>
        <v>2.7819728161513395E-2</v>
      </c>
      <c r="I41" s="77">
        <f>SUM($G$7:G41)</f>
        <v>8760</v>
      </c>
      <c r="J41" s="75">
        <f t="shared" si="5"/>
        <v>0.69628805341387812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42</v>
      </c>
      <c r="E42" s="79">
        <f t="shared" si="6"/>
        <v>6</v>
      </c>
      <c r="F42" s="71">
        <f t="shared" si="3"/>
        <v>28.96</v>
      </c>
      <c r="G42" s="72">
        <f>IF(D42=D41,"",_xlfn.IFNA(VLOOKUP(D42,'인원 입력 기능 (사과탐)'!$A$64:$D$112,4,FALSE),0))</f>
        <v>355</v>
      </c>
      <c r="H42" s="73">
        <f t="shared" si="4"/>
        <v>2.8217152849535014E-2</v>
      </c>
      <c r="I42" s="77">
        <f>SUM($G$7:G42)</f>
        <v>9115</v>
      </c>
      <c r="J42" s="75">
        <f t="shared" si="5"/>
        <v>0.72450520626341308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138">
        <f t="shared" si="2"/>
        <v>41</v>
      </c>
      <c r="E43" s="138">
        <f t="shared" si="6"/>
        <v>6</v>
      </c>
      <c r="F43" s="128">
        <f t="shared" si="3"/>
        <v>24.5</v>
      </c>
      <c r="G43" s="130">
        <f>IF(D43=D42,"",_xlfn.IFNA(VLOOKUP(D43,'인원 입력 기능 (사과탐)'!$A$64:$D$112,4,FALSE),0))</f>
        <v>768</v>
      </c>
      <c r="H43" s="132">
        <f t="shared" si="4"/>
        <v>6.1044432080120815E-2</v>
      </c>
      <c r="I43" s="134">
        <f>SUM($G$7:G43)</f>
        <v>9883</v>
      </c>
      <c r="J43" s="136">
        <f t="shared" si="5"/>
        <v>0.78554963834353386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139"/>
      <c r="E44" s="139"/>
      <c r="F44" s="129"/>
      <c r="G44" s="131"/>
      <c r="H44" s="133"/>
      <c r="I44" s="135"/>
      <c r="J44" s="137"/>
      <c r="K44" s="28"/>
      <c r="L44" s="5" t="str">
        <f t="shared" si="1"/>
        <v>경고</v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40</v>
      </c>
      <c r="E45" s="79">
        <f t="shared" si="6"/>
        <v>7</v>
      </c>
      <c r="F45" s="71">
        <f t="shared" si="3"/>
        <v>20.07</v>
      </c>
      <c r="G45" s="72">
        <f>IF(D45=D44,"",_xlfn.IFNA(VLOOKUP(D45,'인원 입력 기능 (사과탐)'!$A$64:$D$112,4,FALSE),0))</f>
        <v>346</v>
      </c>
      <c r="H45" s="73">
        <f t="shared" si="4"/>
        <v>2.7501788411096097E-2</v>
      </c>
      <c r="I45" s="77">
        <f>SUM($G$7:G45)</f>
        <v>10229</v>
      </c>
      <c r="J45" s="75">
        <f t="shared" si="5"/>
        <v>0.81305142675463005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39</v>
      </c>
      <c r="E46" s="79">
        <f t="shared" si="6"/>
        <v>7</v>
      </c>
      <c r="F46" s="71">
        <f t="shared" si="3"/>
        <v>15.32</v>
      </c>
      <c r="G46" s="72">
        <f>IF(D46=D45,"",_xlfn.IFNA(VLOOKUP(D46,'인원 입력 기능 (사과탐)'!$A$64:$D$112,4,FALSE),0))</f>
        <v>850</v>
      </c>
      <c r="H46" s="73">
        <f t="shared" si="4"/>
        <v>6.7562196963675381E-2</v>
      </c>
      <c r="I46" s="77">
        <f>SUM($G$7:G46)</f>
        <v>11079</v>
      </c>
      <c r="J46" s="75">
        <f t="shared" si="5"/>
        <v>0.88061362371830543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138">
        <f t="shared" si="2"/>
        <v>38</v>
      </c>
      <c r="E47" s="138">
        <f t="shared" si="6"/>
        <v>7</v>
      </c>
      <c r="F47" s="128">
        <f t="shared" si="3"/>
        <v>9.6999999999999993</v>
      </c>
      <c r="G47" s="130">
        <f>IF(D47=D46,"",_xlfn.IFNA(VLOOKUP(D47,'인원 입력 기능 (사과탐)'!$A$64:$D$112,4,FALSE),0))</f>
        <v>564</v>
      </c>
      <c r="H47" s="132">
        <f t="shared" si="4"/>
        <v>4.4829504808838724E-2</v>
      </c>
      <c r="I47" s="134">
        <f>SUM($G$7:G47)</f>
        <v>11643</v>
      </c>
      <c r="J47" s="136">
        <f t="shared" si="5"/>
        <v>0.92544312852714405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139"/>
      <c r="E48" s="139"/>
      <c r="F48" s="129"/>
      <c r="G48" s="131"/>
      <c r="H48" s="133"/>
      <c r="I48" s="135"/>
      <c r="J48" s="137"/>
      <c r="K48" s="28"/>
      <c r="L48" s="5" t="str">
        <f t="shared" si="1"/>
        <v>경고</v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37</v>
      </c>
      <c r="E49" s="79">
        <f t="shared" si="6"/>
        <v>8</v>
      </c>
      <c r="F49" s="71">
        <f t="shared" si="3"/>
        <v>6.72</v>
      </c>
      <c r="G49" s="72">
        <f>IF(D49=D48,"",_xlfn.IFNA(VLOOKUP(D49,'인원 입력 기능 (사과탐)'!$A$64:$D$112,4,FALSE),0))</f>
        <v>186</v>
      </c>
      <c r="H49" s="73">
        <f t="shared" si="4"/>
        <v>1.4784198394404261E-2</v>
      </c>
      <c r="I49" s="77">
        <f>SUM($G$7:G49)</f>
        <v>11829</v>
      </c>
      <c r="J49" s="75">
        <f t="shared" si="5"/>
        <v>0.94022732692154831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36</v>
      </c>
      <c r="E50" s="79">
        <f t="shared" si="6"/>
        <v>8</v>
      </c>
      <c r="F50" s="71">
        <f t="shared" si="3"/>
        <v>4.12</v>
      </c>
      <c r="G50" s="72">
        <f>IF(D50=D49,"",_xlfn.IFNA(VLOOKUP(D50,'인원 입력 기능 (사과탐)'!$A$64:$D$112,4,FALSE),0))</f>
        <v>467</v>
      </c>
      <c r="H50" s="73">
        <f t="shared" si="4"/>
        <v>3.7119465861219302E-2</v>
      </c>
      <c r="I50" s="77">
        <f>SUM($G$7:G50)</f>
        <v>12296</v>
      </c>
      <c r="J50" s="75">
        <f t="shared" si="5"/>
        <v>0.9773467927827677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35</v>
      </c>
      <c r="E51" s="79">
        <f t="shared" si="6"/>
        <v>9</v>
      </c>
      <c r="F51" s="71">
        <f t="shared" si="3"/>
        <v>1.87</v>
      </c>
      <c r="G51" s="72">
        <f>IF(D51=D50,"",_xlfn.IFNA(VLOOKUP(D51,'인원 입력 기능 (사과탐)'!$A$64:$D$112,4,FALSE),0))</f>
        <v>100</v>
      </c>
      <c r="H51" s="73">
        <f t="shared" si="4"/>
        <v>7.9484937604323985E-3</v>
      </c>
      <c r="I51" s="77">
        <f>SUM($G$7:G51)</f>
        <v>12396</v>
      </c>
      <c r="J51" s="75">
        <f t="shared" si="5"/>
        <v>0.98529528654320009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138">
        <f t="shared" si="2"/>
        <v>34</v>
      </c>
      <c r="E52" s="138">
        <f t="shared" si="6"/>
        <v>9</v>
      </c>
      <c r="F52" s="128">
        <f t="shared" si="3"/>
        <v>0.98</v>
      </c>
      <c r="G52" s="130">
        <f>IF(D52=D51,"",_xlfn.IFNA(VLOOKUP(D52,'인원 입력 기능 (사과탐)'!$A$64:$D$112,4,FALSE),0))</f>
        <v>123</v>
      </c>
      <c r="H52" s="132">
        <f t="shared" si="4"/>
        <v>9.7766473253318494E-3</v>
      </c>
      <c r="I52" s="134">
        <f>SUM($G$7:G52)</f>
        <v>12519</v>
      </c>
      <c r="J52" s="136">
        <f t="shared" si="5"/>
        <v>0.99507193386853188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146"/>
      <c r="E53" s="146"/>
      <c r="F53" s="141"/>
      <c r="G53" s="142"/>
      <c r="H53" s="143"/>
      <c r="I53" s="144"/>
      <c r="J53" s="145"/>
      <c r="K53" s="28"/>
      <c r="L53" s="5" t="str">
        <f t="shared" si="1"/>
        <v>경고</v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33</v>
      </c>
      <c r="E54" s="70">
        <f t="shared" si="6"/>
        <v>9</v>
      </c>
      <c r="F54" s="71">
        <f t="shared" si="3"/>
        <v>0.38</v>
      </c>
      <c r="G54" s="72">
        <f>IF(D54=D53,"",_xlfn.IFNA(VLOOKUP(D54,'인원 입력 기능 (사과탐)'!$A$64:$D$112,4,FALSE),0))</f>
        <v>28</v>
      </c>
      <c r="H54" s="73">
        <f t="shared" si="4"/>
        <v>2.2255782529210714E-3</v>
      </c>
      <c r="I54" s="77">
        <f>SUM($G$7:G54)</f>
        <v>12547</v>
      </c>
      <c r="J54" s="75">
        <f t="shared" si="5"/>
        <v>0.99729751212145301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32</v>
      </c>
      <c r="E55" s="70">
        <f t="shared" si="6"/>
        <v>9</v>
      </c>
      <c r="F55" s="71">
        <f t="shared" si="3"/>
        <v>0.17</v>
      </c>
      <c r="G55" s="72">
        <f>IF(D55=D54,"",_xlfn.IFNA(VLOOKUP(D55,'인원 입력 기능 (사과탐)'!$A$64:$D$112,4,FALSE),0))</f>
        <v>24</v>
      </c>
      <c r="H55" s="73">
        <f t="shared" si="4"/>
        <v>1.9076385025037755E-3</v>
      </c>
      <c r="I55" s="77">
        <f>SUM($G$7:G55)</f>
        <v>12571</v>
      </c>
      <c r="J55" s="75">
        <f t="shared" si="5"/>
        <v>0.99920515062395676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30</v>
      </c>
      <c r="E57" s="83">
        <f t="shared" si="6"/>
        <v>9</v>
      </c>
      <c r="F57" s="84">
        <f>IF(I55=0,ROUND(100*(1-(I54+I57)/2/$J$3),2),ROUND(100*(1-(I55+I57)/2/$J$3),2))</f>
        <v>0.04</v>
      </c>
      <c r="G57" s="85">
        <f>_xlfn.IFNA(VLOOKUP(D57,'인원 입력 기능 (사과탐)'!$A$64:$D$112,4,FALSE),0)</f>
        <v>10</v>
      </c>
      <c r="H57" s="86">
        <f>G57/$J$3</f>
        <v>7.9484937604323977E-4</v>
      </c>
      <c r="I57" s="87">
        <f>SUM($G$7:G57)</f>
        <v>12581</v>
      </c>
      <c r="J57" s="88">
        <f>I57/$J$3</f>
        <v>1</v>
      </c>
      <c r="K57" s="28"/>
      <c r="L57" s="5" t="str">
        <f t="shared" ref="L57" si="7">IF(ABS((C57-$H$3)/$H$4*10+50-D57-0.5)&lt;0.1, "경고", "")</f>
        <v>경고</v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75">
    <mergeCell ref="I52:I53"/>
    <mergeCell ref="J52:J53"/>
    <mergeCell ref="D52:D53"/>
    <mergeCell ref="E52:E53"/>
    <mergeCell ref="F52:F53"/>
    <mergeCell ref="G52:G53"/>
    <mergeCell ref="H52:H53"/>
    <mergeCell ref="I43:I44"/>
    <mergeCell ref="J43:J44"/>
    <mergeCell ref="D47:D48"/>
    <mergeCell ref="E47:E48"/>
    <mergeCell ref="F47:F48"/>
    <mergeCell ref="G47:G48"/>
    <mergeCell ref="H47:H48"/>
    <mergeCell ref="I47:I48"/>
    <mergeCell ref="J47:J48"/>
    <mergeCell ref="D43:D44"/>
    <mergeCell ref="E43:E44"/>
    <mergeCell ref="F43:F44"/>
    <mergeCell ref="G43:G44"/>
    <mergeCell ref="H43:H44"/>
    <mergeCell ref="I34:I35"/>
    <mergeCell ref="J34:J35"/>
    <mergeCell ref="D38:D39"/>
    <mergeCell ref="E38:E39"/>
    <mergeCell ref="F38:F39"/>
    <mergeCell ref="G38:G39"/>
    <mergeCell ref="H38:H39"/>
    <mergeCell ref="I38:I39"/>
    <mergeCell ref="J38:J39"/>
    <mergeCell ref="D34:D35"/>
    <mergeCell ref="E34:E35"/>
    <mergeCell ref="F34:F35"/>
    <mergeCell ref="G34:G35"/>
    <mergeCell ref="H34:H35"/>
    <mergeCell ref="I25:I26"/>
    <mergeCell ref="J25:J26"/>
    <mergeCell ref="D29:D30"/>
    <mergeCell ref="E29:E30"/>
    <mergeCell ref="F29:F30"/>
    <mergeCell ref="G29:G30"/>
    <mergeCell ref="H29:H30"/>
    <mergeCell ref="I29:I30"/>
    <mergeCell ref="J29:J30"/>
    <mergeCell ref="D25:D26"/>
    <mergeCell ref="E25:E26"/>
    <mergeCell ref="F25:F26"/>
    <mergeCell ref="G25:G26"/>
    <mergeCell ref="H25:H26"/>
    <mergeCell ref="H15:H16"/>
    <mergeCell ref="I15:I16"/>
    <mergeCell ref="J15:J16"/>
    <mergeCell ref="D20:D21"/>
    <mergeCell ref="E20:E21"/>
    <mergeCell ref="F20:F21"/>
    <mergeCell ref="G20:G21"/>
    <mergeCell ref="H20:H21"/>
    <mergeCell ref="I20:I21"/>
    <mergeCell ref="J20:J21"/>
    <mergeCell ref="D3:F3"/>
    <mergeCell ref="D4:F4"/>
    <mergeCell ref="D8:J8"/>
    <mergeCell ref="D56:J56"/>
    <mergeCell ref="G5:J5"/>
    <mergeCell ref="D11:D12"/>
    <mergeCell ref="E11:E12"/>
    <mergeCell ref="F11:F12"/>
    <mergeCell ref="G11:G12"/>
    <mergeCell ref="H11:H12"/>
    <mergeCell ref="I11:I12"/>
    <mergeCell ref="J11:J12"/>
    <mergeCell ref="D15:D16"/>
    <mergeCell ref="E15:E16"/>
    <mergeCell ref="F15:F16"/>
    <mergeCell ref="G15:G16"/>
  </mergeCells>
  <phoneticPr fontId="1" type="noConversion"/>
  <conditionalFormatting sqref="D7:D11 D13:D15 D17:D20 D22:D25 D27:D29 D31:D34 D36:D38 D40:D43 D45:D47 D49:D52 D54:D57">
    <cfRule type="expression" dxfId="44" priority="1">
      <formula>$D7=$D8</formula>
    </cfRule>
  </conditionalFormatting>
  <conditionalFormatting sqref="C7:C57">
    <cfRule type="expression" dxfId="43" priority="3">
      <formula>OR(AND($D7=0,OR($D6=$Q$7:$Q$14)),AND($D8&gt;0,OR($D7=$Q$7:$Q$14)))</formula>
    </cfRule>
  </conditionalFormatting>
  <conditionalFormatting sqref="D7:J7 D8 D57:J57 D56 D9:J11 D13:J15 D17:J20 D22:J25 D27:J29 D31:J34 D36:J38 D40:J43 D45:J47 D49:J52 D54:J55">
    <cfRule type="expression" dxfId="42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2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기능'!D11</f>
        <v>23.23</v>
      </c>
      <c r="I3" s="15" t="s">
        <v>84</v>
      </c>
      <c r="J3" s="35">
        <f>'통계 및 응시자 수 입력 기능'!C11</f>
        <v>11689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99</v>
      </c>
      <c r="E4" s="120"/>
      <c r="F4" s="121"/>
      <c r="G4" s="37" t="s">
        <v>87</v>
      </c>
      <c r="H4" s="38" t="str">
        <f>'통계 및 응시자 수 입력 기능'!E11</f>
        <v>13.02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71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97.73</v>
      </c>
      <c r="G7" s="72">
        <f>_xlfn.IFNA(VLOOKUP(D7,'인원 입력 기능 (사과탐)'!$F$64:$I$112,4,FALSE),0)</f>
        <v>530</v>
      </c>
      <c r="H7" s="73">
        <f>G7/$J$3</f>
        <v>4.5341774317734625E-2</v>
      </c>
      <c r="I7" s="74">
        <f>G7</f>
        <v>530</v>
      </c>
      <c r="J7" s="75">
        <f>I7/$J$3</f>
        <v>4.5341774317734625E-2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입력기능'!C67</f>
        <v>71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입력기능'!C68</f>
        <v>65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69</v>
      </c>
      <c r="E9" s="70">
        <f t="shared" si="0"/>
        <v>2</v>
      </c>
      <c r="F9" s="71">
        <f>IF(I8=0,ROUND(100*(1-(I7+I9)/2/$J$3),2),ROUND(100*(1-(I8+I9)/2/$J$3),2))</f>
        <v>94.86</v>
      </c>
      <c r="G9" s="72">
        <f>_xlfn.IFNA(VLOOKUP(D9,'인원 입력 기능 (사과탐)'!$F$64:$I$112,4,FALSE),0)</f>
        <v>142</v>
      </c>
      <c r="H9" s="73">
        <f>G9/$J$3</f>
        <v>1.2148173496449654E-2</v>
      </c>
      <c r="I9" s="77">
        <f>SUM($G$7:G9)</f>
        <v>672</v>
      </c>
      <c r="J9" s="75">
        <f>I9/$J$3</f>
        <v>5.7489947814184275E-2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입력기능'!C69</f>
        <v>58</v>
      </c>
    </row>
    <row r="10" spans="1:17" ht="25" customHeight="1" x14ac:dyDescent="0.45">
      <c r="A10" s="4"/>
      <c r="B10" s="19"/>
      <c r="C10" s="76">
        <v>47</v>
      </c>
      <c r="D10" s="70">
        <f t="shared" ref="D10:D54" si="2">ROUND(10*(C10-$H$3)/$H$4+50,0)</f>
        <v>68</v>
      </c>
      <c r="E10" s="70">
        <f t="shared" si="0"/>
        <v>2</v>
      </c>
      <c r="F10" s="71">
        <f t="shared" ref="F10:F54" si="3">IF(I9=0,ROUND(100*(1-(I8+I10)/2/$J$3),2),ROUND(100*(1-(I9+I10)/2/$J$3),2))</f>
        <v>93.3</v>
      </c>
      <c r="G10" s="72">
        <f>IF(D10=D9,"",_xlfn.IFNA(VLOOKUP(D10,'인원 입력 기능 (사과탐)'!$F$64:$I$112,4,FALSE),0))</f>
        <v>222</v>
      </c>
      <c r="H10" s="73">
        <f t="shared" ref="H10:H54" si="4">G10/$J$3</f>
        <v>1.8992214902900161E-2</v>
      </c>
      <c r="I10" s="77">
        <f>SUM($G$7:G10)</f>
        <v>894</v>
      </c>
      <c r="J10" s="75">
        <f t="shared" ref="J10:J54" si="5">I10/$J$3</f>
        <v>7.648216271708444E-2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입력기능'!C70</f>
        <v>51</v>
      </c>
    </row>
    <row r="11" spans="1:17" ht="25" customHeight="1" x14ac:dyDescent="0.45">
      <c r="A11" s="4"/>
      <c r="B11" s="19"/>
      <c r="C11" s="69">
        <v>46</v>
      </c>
      <c r="D11" s="126">
        <f t="shared" si="2"/>
        <v>67</v>
      </c>
      <c r="E11" s="126">
        <f t="shared" si="0"/>
        <v>2</v>
      </c>
      <c r="F11" s="128">
        <f t="shared" si="3"/>
        <v>91.29</v>
      </c>
      <c r="G11" s="130">
        <f>IF(D11=D10,"",_xlfn.IFNA(VLOOKUP(D11,'인원 입력 기능 (사과탐)'!$F$64:$I$112,4,FALSE),0))</f>
        <v>249</v>
      </c>
      <c r="H11" s="132">
        <f t="shared" si="4"/>
        <v>2.1302078877577211E-2</v>
      </c>
      <c r="I11" s="134">
        <f>SUM($G$7:G11)</f>
        <v>1143</v>
      </c>
      <c r="J11" s="136">
        <f t="shared" si="5"/>
        <v>9.7784241594661647E-2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입력기능'!C71</f>
        <v>45</v>
      </c>
    </row>
    <row r="12" spans="1:17" ht="25" customHeight="1" x14ac:dyDescent="0.45">
      <c r="A12" s="4"/>
      <c r="B12" s="19"/>
      <c r="C12" s="76">
        <v>45</v>
      </c>
      <c r="D12" s="127"/>
      <c r="E12" s="127"/>
      <c r="F12" s="129"/>
      <c r="G12" s="131"/>
      <c r="H12" s="133"/>
      <c r="I12" s="135"/>
      <c r="J12" s="137"/>
      <c r="K12" s="28"/>
      <c r="L12" s="5" t="str">
        <f t="shared" si="1"/>
        <v>경고</v>
      </c>
      <c r="N12" s="1"/>
      <c r="P12" s="1">
        <v>6</v>
      </c>
      <c r="Q12" s="1">
        <f>'표준점수 등급컷 입력기능'!C72</f>
        <v>41</v>
      </c>
    </row>
    <row r="13" spans="1:17" ht="25" customHeight="1" x14ac:dyDescent="0.45">
      <c r="A13" s="4"/>
      <c r="B13" s="19"/>
      <c r="C13" s="69">
        <v>44</v>
      </c>
      <c r="D13" s="70">
        <f t="shared" si="2"/>
        <v>66</v>
      </c>
      <c r="E13" s="70">
        <f t="shared" si="0"/>
        <v>2</v>
      </c>
      <c r="F13" s="71">
        <f t="shared" si="3"/>
        <v>89.72</v>
      </c>
      <c r="G13" s="72">
        <f>IF(D13=D12,"",_xlfn.IFNA(VLOOKUP(D13,'인원 입력 기능 (사과탐)'!$F$64:$I$112,4,FALSE),0))</f>
        <v>117</v>
      </c>
      <c r="H13" s="73">
        <f t="shared" si="4"/>
        <v>1.0009410556933869E-2</v>
      </c>
      <c r="I13" s="77">
        <f>SUM($G$7:G13)</f>
        <v>1260</v>
      </c>
      <c r="J13" s="75">
        <f t="shared" si="5"/>
        <v>0.10779365215159552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입력기능'!C73</f>
        <v>39</v>
      </c>
    </row>
    <row r="14" spans="1:17" ht="25" customHeight="1" x14ac:dyDescent="0.45">
      <c r="A14" s="4"/>
      <c r="B14" s="19"/>
      <c r="C14" s="76">
        <v>43</v>
      </c>
      <c r="D14" s="70">
        <f t="shared" si="2"/>
        <v>65</v>
      </c>
      <c r="E14" s="70">
        <f t="shared" si="0"/>
        <v>2</v>
      </c>
      <c r="F14" s="71">
        <f t="shared" si="3"/>
        <v>88.65</v>
      </c>
      <c r="G14" s="72">
        <f>IF(D14=D13,"",_xlfn.IFNA(VLOOKUP(D14,'인원 입력 기능 (사과탐)'!$F$64:$I$112,4,FALSE),0))</f>
        <v>134</v>
      </c>
      <c r="H14" s="73">
        <f t="shared" si="4"/>
        <v>1.1463769355804603E-2</v>
      </c>
      <c r="I14" s="77">
        <f>SUM($G$7:G14)</f>
        <v>1394</v>
      </c>
      <c r="J14" s="75">
        <f t="shared" si="5"/>
        <v>0.11925742150740012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입력기능'!C74</f>
        <v>38</v>
      </c>
    </row>
    <row r="15" spans="1:17" ht="25" customHeight="1" x14ac:dyDescent="0.45">
      <c r="A15" s="4"/>
      <c r="B15" s="19"/>
      <c r="C15" s="69">
        <v>42</v>
      </c>
      <c r="D15" s="126">
        <f t="shared" si="2"/>
        <v>64</v>
      </c>
      <c r="E15" s="126">
        <f t="shared" si="0"/>
        <v>3</v>
      </c>
      <c r="F15" s="128">
        <f t="shared" si="3"/>
        <v>86.86</v>
      </c>
      <c r="G15" s="130">
        <f>IF(D15=D14,"",_xlfn.IFNA(VLOOKUP(D15,'인원 입력 기능 (사과탐)'!$F$64:$I$112,4,FALSE),0))</f>
        <v>283</v>
      </c>
      <c r="H15" s="132">
        <f t="shared" si="4"/>
        <v>2.4210796475318676E-2</v>
      </c>
      <c r="I15" s="134">
        <f>SUM($G$7:G15)</f>
        <v>1677</v>
      </c>
      <c r="J15" s="136">
        <f t="shared" si="5"/>
        <v>0.1434682179827188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127"/>
      <c r="E16" s="127"/>
      <c r="F16" s="129"/>
      <c r="G16" s="131"/>
      <c r="H16" s="133"/>
      <c r="I16" s="135"/>
      <c r="J16" s="137"/>
      <c r="K16" s="28"/>
      <c r="L16" s="5" t="str">
        <f t="shared" si="1"/>
        <v>경고</v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63</v>
      </c>
      <c r="E17" s="70">
        <f t="shared" si="0"/>
        <v>3</v>
      </c>
      <c r="F17" s="71">
        <f t="shared" si="3"/>
        <v>84.99</v>
      </c>
      <c r="G17" s="72">
        <f>IF(D17=D16,"",_xlfn.IFNA(VLOOKUP(D17,'인원 입력 기능 (사과탐)'!$F$64:$I$112,4,FALSE),0))</f>
        <v>156</v>
      </c>
      <c r="H17" s="73">
        <f t="shared" si="4"/>
        <v>1.3345880742578493E-2</v>
      </c>
      <c r="I17" s="77">
        <f>SUM($G$7:G17)</f>
        <v>1833</v>
      </c>
      <c r="J17" s="75">
        <f t="shared" si="5"/>
        <v>0.15681409872529728</v>
      </c>
      <c r="K17" s="28"/>
      <c r="L17" s="5" t="str">
        <f t="shared" si="1"/>
        <v/>
      </c>
      <c r="N17" s="1"/>
      <c r="P17" s="1">
        <f>Q7*H3*H4*J3*IFERROR(IF(J57=1, 1, 0), 0)</f>
        <v>251012819.17739996</v>
      </c>
    </row>
    <row r="18" spans="1:16" ht="25" customHeight="1" x14ac:dyDescent="0.45">
      <c r="A18" s="4"/>
      <c r="B18" s="19"/>
      <c r="C18" s="76">
        <v>39</v>
      </c>
      <c r="D18" s="70">
        <f t="shared" si="2"/>
        <v>62</v>
      </c>
      <c r="E18" s="70">
        <f t="shared" si="0"/>
        <v>3</v>
      </c>
      <c r="F18" s="71">
        <f t="shared" si="3"/>
        <v>83.72</v>
      </c>
      <c r="G18" s="72">
        <f>IF(D18=D17,"",_xlfn.IFNA(VLOOKUP(D18,'인원 입력 기능 (사과탐)'!$F$64:$I$112,4,FALSE),0))</f>
        <v>141</v>
      </c>
      <c r="H18" s="73">
        <f t="shared" si="4"/>
        <v>1.2062622978869023E-2</v>
      </c>
      <c r="I18" s="77">
        <f>SUM($G$7:G18)</f>
        <v>1974</v>
      </c>
      <c r="J18" s="75">
        <f t="shared" si="5"/>
        <v>0.16887672170416632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126">
        <f t="shared" si="2"/>
        <v>61</v>
      </c>
      <c r="E19" s="126">
        <f t="shared" si="0"/>
        <v>3</v>
      </c>
      <c r="F19" s="128">
        <f t="shared" si="3"/>
        <v>81.88</v>
      </c>
      <c r="G19" s="130">
        <f>IF(D19=D18,"",_xlfn.IFNA(VLOOKUP(D19,'인원 입력 기능 (사과탐)'!$F$64:$I$112,4,FALSE),0))</f>
        <v>287</v>
      </c>
      <c r="H19" s="132">
        <f t="shared" si="4"/>
        <v>2.4552998545641202E-2</v>
      </c>
      <c r="I19" s="134">
        <f>SUM($G$7:G19)</f>
        <v>2261</v>
      </c>
      <c r="J19" s="136">
        <f t="shared" si="5"/>
        <v>0.19342972024980751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127"/>
      <c r="E20" s="127"/>
      <c r="F20" s="129"/>
      <c r="G20" s="131"/>
      <c r="H20" s="133"/>
      <c r="I20" s="135"/>
      <c r="J20" s="137"/>
      <c r="K20" s="28"/>
      <c r="L20" s="5" t="str">
        <f t="shared" si="1"/>
        <v>경고</v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60</v>
      </c>
      <c r="E21" s="79">
        <f t="shared" si="0"/>
        <v>3</v>
      </c>
      <c r="F21" s="71">
        <f t="shared" si="3"/>
        <v>80.010000000000005</v>
      </c>
      <c r="G21" s="72">
        <f>IF(D21=D20,"",_xlfn.IFNA(VLOOKUP(D21,'인원 입력 기능 (사과탐)'!$F$64:$I$112,4,FALSE),0))</f>
        <v>151</v>
      </c>
      <c r="H21" s="73">
        <f t="shared" si="4"/>
        <v>1.2918128154675336E-2</v>
      </c>
      <c r="I21" s="77">
        <f>SUM($G$7:G21)</f>
        <v>2412</v>
      </c>
      <c r="J21" s="75">
        <f t="shared" si="5"/>
        <v>0.20634784840448284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59</v>
      </c>
      <c r="E22" s="79">
        <f t="shared" si="0"/>
        <v>3</v>
      </c>
      <c r="F22" s="71">
        <f t="shared" si="3"/>
        <v>78.489999999999995</v>
      </c>
      <c r="G22" s="72">
        <f>IF(D22=D21,"",_xlfn.IFNA(VLOOKUP(D22,'인원 입력 기능 (사과탐)'!$F$64:$I$112,4,FALSE),0))</f>
        <v>205</v>
      </c>
      <c r="H22" s="73">
        <f t="shared" si="4"/>
        <v>1.7537856104029428E-2</v>
      </c>
      <c r="I22" s="77">
        <f>SUM($G$7:G22)</f>
        <v>2617</v>
      </c>
      <c r="J22" s="75">
        <f t="shared" si="5"/>
        <v>0.22388570450851228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138">
        <f t="shared" si="2"/>
        <v>58</v>
      </c>
      <c r="E23" s="138">
        <f t="shared" si="0"/>
        <v>3</v>
      </c>
      <c r="F23" s="128">
        <f t="shared" si="3"/>
        <v>76.13</v>
      </c>
      <c r="G23" s="130">
        <f>IF(D23=D22,"",_xlfn.IFNA(VLOOKUP(D23,'인원 입력 기능 (사과탐)'!$F$64:$I$112,4,FALSE),0))</f>
        <v>346</v>
      </c>
      <c r="H23" s="132">
        <f t="shared" si="4"/>
        <v>2.9600479082898451E-2</v>
      </c>
      <c r="I23" s="134">
        <f>SUM($G$7:G23)</f>
        <v>2963</v>
      </c>
      <c r="J23" s="136">
        <f t="shared" si="5"/>
        <v>0.25348618359141073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139"/>
      <c r="E24" s="139"/>
      <c r="F24" s="129"/>
      <c r="G24" s="131"/>
      <c r="H24" s="133"/>
      <c r="I24" s="135"/>
      <c r="J24" s="137"/>
      <c r="K24" s="28"/>
      <c r="L24" s="5" t="str">
        <f t="shared" si="1"/>
        <v>경고</v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57</v>
      </c>
      <c r="E25" s="79">
        <f t="shared" si="0"/>
        <v>4</v>
      </c>
      <c r="F25" s="71">
        <f t="shared" si="3"/>
        <v>73.78</v>
      </c>
      <c r="G25" s="72">
        <f>IF(D25=D24,"",_xlfn.IFNA(VLOOKUP(D25,'인원 입력 기능 (사과탐)'!$F$64:$I$112,4,FALSE),0))</f>
        <v>204</v>
      </c>
      <c r="H25" s="73">
        <f t="shared" si="4"/>
        <v>1.7452305586448797E-2</v>
      </c>
      <c r="I25" s="77">
        <f>SUM($G$7:G25)</f>
        <v>3167</v>
      </c>
      <c r="J25" s="75">
        <f t="shared" si="5"/>
        <v>0.27093848917785951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56</v>
      </c>
      <c r="E26" s="79">
        <f t="shared" si="0"/>
        <v>4</v>
      </c>
      <c r="F26" s="71">
        <f t="shared" si="3"/>
        <v>72.12</v>
      </c>
      <c r="G26" s="72">
        <f>IF(D26=D25,"",_xlfn.IFNA(VLOOKUP(D26,'인원 입력 기능 (사과탐)'!$F$64:$I$112,4,FALSE),0))</f>
        <v>184</v>
      </c>
      <c r="H26" s="73">
        <f t="shared" si="4"/>
        <v>1.574129523483617E-2</v>
      </c>
      <c r="I26" s="77">
        <f>SUM($G$7:G26)</f>
        <v>3351</v>
      </c>
      <c r="J26" s="75">
        <f t="shared" si="5"/>
        <v>0.2866797844126957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55</v>
      </c>
      <c r="E27" s="79">
        <f t="shared" si="0"/>
        <v>4</v>
      </c>
      <c r="F27" s="71">
        <f t="shared" si="3"/>
        <v>70.5</v>
      </c>
      <c r="G27" s="72">
        <f>IF(D27=D26,"",_xlfn.IFNA(VLOOKUP(D27,'인원 입력 기능 (사과탐)'!$F$64:$I$112,4,FALSE),0))</f>
        <v>194</v>
      </c>
      <c r="H27" s="73">
        <f t="shared" si="4"/>
        <v>1.6596800410642484E-2</v>
      </c>
      <c r="I27" s="77">
        <f>SUM($G$7:G27)</f>
        <v>3545</v>
      </c>
      <c r="J27" s="75">
        <f t="shared" si="5"/>
        <v>0.30327658482333819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138">
        <f t="shared" si="2"/>
        <v>54</v>
      </c>
      <c r="E28" s="138">
        <f t="shared" si="0"/>
        <v>4</v>
      </c>
      <c r="F28" s="128">
        <f t="shared" si="3"/>
        <v>67.959999999999994</v>
      </c>
      <c r="G28" s="130">
        <f>IF(D28=D27,"",_xlfn.IFNA(VLOOKUP(D28,'인원 입력 기능 (사과탐)'!$F$64:$I$112,4,FALSE),0))</f>
        <v>401</v>
      </c>
      <c r="H28" s="132">
        <f t="shared" si="4"/>
        <v>3.4305757549833178E-2</v>
      </c>
      <c r="I28" s="134">
        <f>SUM($G$7:G28)</f>
        <v>3946</v>
      </c>
      <c r="J28" s="136">
        <f t="shared" si="5"/>
        <v>0.33758234237317136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139"/>
      <c r="E29" s="139"/>
      <c r="F29" s="129"/>
      <c r="G29" s="131"/>
      <c r="H29" s="133"/>
      <c r="I29" s="135"/>
      <c r="J29" s="137"/>
      <c r="K29" s="28"/>
      <c r="L29" s="5" t="str">
        <f t="shared" si="1"/>
        <v>경고</v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53</v>
      </c>
      <c r="E30" s="79">
        <f t="shared" si="0"/>
        <v>4</v>
      </c>
      <c r="F30" s="71">
        <f t="shared" si="3"/>
        <v>65.25</v>
      </c>
      <c r="G30" s="72">
        <f>IF(D30=D29,"",_xlfn.IFNA(VLOOKUP(D30,'인원 입력 기능 (사과탐)'!$F$64:$I$112,4,FALSE),0))</f>
        <v>233</v>
      </c>
      <c r="H30" s="73">
        <f t="shared" si="4"/>
        <v>1.9933270596287106E-2</v>
      </c>
      <c r="I30" s="77">
        <f>SUM($G$7:G30)</f>
        <v>4179</v>
      </c>
      <c r="J30" s="75">
        <f t="shared" si="5"/>
        <v>0.35751561296945844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52</v>
      </c>
      <c r="E31" s="79">
        <f t="shared" si="0"/>
        <v>4</v>
      </c>
      <c r="F31" s="71">
        <f t="shared" si="3"/>
        <v>63.34</v>
      </c>
      <c r="G31" s="72">
        <f>IF(D31=D30,"",_xlfn.IFNA(VLOOKUP(D31,'인원 입력 기능 (사과탐)'!$F$64:$I$112,4,FALSE),0))</f>
        <v>213</v>
      </c>
      <c r="H31" s="73">
        <f t="shared" si="4"/>
        <v>1.8222260244674479E-2</v>
      </c>
      <c r="I31" s="77">
        <f>SUM($G$7:G31)</f>
        <v>4392</v>
      </c>
      <c r="J31" s="75">
        <f t="shared" si="5"/>
        <v>0.37573787321413293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138">
        <f t="shared" si="2"/>
        <v>51</v>
      </c>
      <c r="E32" s="138">
        <f t="shared" si="0"/>
        <v>4</v>
      </c>
      <c r="F32" s="128">
        <f t="shared" si="3"/>
        <v>60.24</v>
      </c>
      <c r="G32" s="130">
        <f>IF(D32=D31,"",_xlfn.IFNA(VLOOKUP(D32,'인원 입력 기능 (사과탐)'!$F$64:$I$112,4,FALSE),0))</f>
        <v>512</v>
      </c>
      <c r="H32" s="132">
        <f t="shared" si="4"/>
        <v>4.3801865001283261E-2</v>
      </c>
      <c r="I32" s="134">
        <f>SUM($G$7:G32)</f>
        <v>4904</v>
      </c>
      <c r="J32" s="136">
        <f t="shared" si="5"/>
        <v>0.41953973821541618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139"/>
      <c r="E33" s="139"/>
      <c r="F33" s="129"/>
      <c r="G33" s="131"/>
      <c r="H33" s="133"/>
      <c r="I33" s="135"/>
      <c r="J33" s="137"/>
      <c r="K33" s="28"/>
      <c r="L33" s="5" t="str">
        <f t="shared" si="1"/>
        <v>경고</v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50</v>
      </c>
      <c r="E34" s="79">
        <f t="shared" si="0"/>
        <v>5</v>
      </c>
      <c r="F34" s="71">
        <f t="shared" si="3"/>
        <v>56.8</v>
      </c>
      <c r="G34" s="72">
        <f>IF(D34=D33,"",_xlfn.IFNA(VLOOKUP(D34,'인원 입력 기능 (사과탐)'!$F$64:$I$112,4,FALSE),0))</f>
        <v>291</v>
      </c>
      <c r="H34" s="73">
        <f t="shared" si="4"/>
        <v>2.4895200615963727E-2</v>
      </c>
      <c r="I34" s="77">
        <f>SUM($G$7:G34)</f>
        <v>5195</v>
      </c>
      <c r="J34" s="75">
        <f t="shared" si="5"/>
        <v>0.44443493883137991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49</v>
      </c>
      <c r="E35" s="79">
        <f t="shared" si="0"/>
        <v>5</v>
      </c>
      <c r="F35" s="71">
        <f t="shared" si="3"/>
        <v>54.35</v>
      </c>
      <c r="G35" s="72">
        <f>IF(D35=D34,"",_xlfn.IFNA(VLOOKUP(D35,'인원 입력 기능 (사과탐)'!$F$64:$I$112,4,FALSE),0))</f>
        <v>283</v>
      </c>
      <c r="H35" s="73">
        <f t="shared" si="4"/>
        <v>2.4210796475318676E-2</v>
      </c>
      <c r="I35" s="77">
        <f>SUM($G$7:G35)</f>
        <v>5478</v>
      </c>
      <c r="J35" s="75">
        <f t="shared" si="5"/>
        <v>0.46864573530669862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138">
        <f t="shared" si="2"/>
        <v>48</v>
      </c>
      <c r="E36" s="138">
        <f t="shared" si="0"/>
        <v>5</v>
      </c>
      <c r="F36" s="128">
        <f t="shared" si="3"/>
        <v>50.51</v>
      </c>
      <c r="G36" s="130">
        <f>IF(D36=D35,"",_xlfn.IFNA(VLOOKUP(D36,'인원 입력 기능 (사과탐)'!$F$64:$I$112,4,FALSE),0))</f>
        <v>614</v>
      </c>
      <c r="H36" s="132">
        <f t="shared" si="4"/>
        <v>5.2528017794507657E-2</v>
      </c>
      <c r="I36" s="134">
        <f>SUM($G$7:G36)</f>
        <v>6092</v>
      </c>
      <c r="J36" s="136">
        <f t="shared" si="5"/>
        <v>0.52117375310120628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139"/>
      <c r="E37" s="139"/>
      <c r="F37" s="129"/>
      <c r="G37" s="131"/>
      <c r="H37" s="133"/>
      <c r="I37" s="135"/>
      <c r="J37" s="137"/>
      <c r="K37" s="28"/>
      <c r="L37" s="5" t="str">
        <f t="shared" si="1"/>
        <v>경고</v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47</v>
      </c>
      <c r="E38" s="79">
        <f t="shared" si="0"/>
        <v>5</v>
      </c>
      <c r="F38" s="71">
        <f t="shared" si="3"/>
        <v>46.63</v>
      </c>
      <c r="G38" s="72">
        <f>IF(D38=D37,"",_xlfn.IFNA(VLOOKUP(D38,'인원 입력 기능 (사과탐)'!$F$64:$I$112,4,FALSE),0))</f>
        <v>292</v>
      </c>
      <c r="H38" s="73">
        <f t="shared" si="4"/>
        <v>2.4980751133544359E-2</v>
      </c>
      <c r="I38" s="77">
        <f>SUM($G$7:G38)</f>
        <v>6384</v>
      </c>
      <c r="J38" s="75">
        <f t="shared" si="5"/>
        <v>0.54615450423475065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46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1">
        <f t="shared" si="3"/>
        <v>43.94</v>
      </c>
      <c r="G39" s="72">
        <f>IF(D39=D38,"",_xlfn.IFNA(VLOOKUP(D39,'인원 입력 기능 (사과탐)'!$F$64:$I$112,4,FALSE),0))</f>
        <v>338</v>
      </c>
      <c r="H39" s="73">
        <f t="shared" si="4"/>
        <v>2.89160749422534E-2</v>
      </c>
      <c r="I39" s="77">
        <f>SUM($G$7:G39)</f>
        <v>6722</v>
      </c>
      <c r="J39" s="75">
        <f t="shared" si="5"/>
        <v>0.57507057917700399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45</v>
      </c>
      <c r="E40" s="79">
        <f t="shared" si="6"/>
        <v>5</v>
      </c>
      <c r="F40" s="71">
        <f t="shared" si="3"/>
        <v>40.96</v>
      </c>
      <c r="G40" s="72">
        <f>IF(D40=D39,"",_xlfn.IFNA(VLOOKUP(D40,'인원 입력 기능 (사과탐)'!$F$64:$I$112,4,FALSE),0))</f>
        <v>359</v>
      </c>
      <c r="H40" s="73">
        <f t="shared" si="4"/>
        <v>3.0712635811446658E-2</v>
      </c>
      <c r="I40" s="77">
        <f>SUM($G$7:G40)</f>
        <v>7081</v>
      </c>
      <c r="J40" s="75">
        <f t="shared" si="5"/>
        <v>0.60578321498845067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138">
        <f t="shared" si="2"/>
        <v>44</v>
      </c>
      <c r="E41" s="138">
        <f t="shared" si="6"/>
        <v>6</v>
      </c>
      <c r="F41" s="128">
        <f t="shared" si="3"/>
        <v>36.229999999999997</v>
      </c>
      <c r="G41" s="130">
        <f>IF(D41=D40,"",_xlfn.IFNA(VLOOKUP(D41,'인원 입력 기능 (사과탐)'!$F$64:$I$112,4,FALSE),0))</f>
        <v>747</v>
      </c>
      <c r="H41" s="132">
        <f t="shared" si="4"/>
        <v>6.3906236632731622E-2</v>
      </c>
      <c r="I41" s="134">
        <f>SUM($G$7:G41)</f>
        <v>7828</v>
      </c>
      <c r="J41" s="136">
        <f t="shared" si="5"/>
        <v>0.66968945162118232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139"/>
      <c r="E42" s="139"/>
      <c r="F42" s="129"/>
      <c r="G42" s="131"/>
      <c r="H42" s="133"/>
      <c r="I42" s="135"/>
      <c r="J42" s="137"/>
      <c r="K42" s="28"/>
      <c r="L42" s="5" t="str">
        <f t="shared" si="1"/>
        <v>경고</v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43</v>
      </c>
      <c r="E43" s="79">
        <f t="shared" si="6"/>
        <v>6</v>
      </c>
      <c r="F43" s="71">
        <f t="shared" si="3"/>
        <v>31.52</v>
      </c>
      <c r="G43" s="72">
        <f>IF(D43=D42,"",_xlfn.IFNA(VLOOKUP(D43,'인원 입력 기능 (사과탐)'!$F$64:$I$112,4,FALSE),0))</f>
        <v>354</v>
      </c>
      <c r="H43" s="73">
        <f t="shared" si="4"/>
        <v>3.0284883223543502E-2</v>
      </c>
      <c r="I43" s="77">
        <f>SUM($G$7:G43)</f>
        <v>8182</v>
      </c>
      <c r="J43" s="75">
        <f t="shared" si="5"/>
        <v>0.69997433484472582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42</v>
      </c>
      <c r="E44" s="79">
        <f t="shared" si="6"/>
        <v>6</v>
      </c>
      <c r="F44" s="71">
        <f t="shared" si="3"/>
        <v>26.99</v>
      </c>
      <c r="G44" s="72">
        <f>IF(D44=D43,"",_xlfn.IFNA(VLOOKUP(D44,'인원 입력 기능 (사과탐)'!$F$64:$I$112,4,FALSE),0))</f>
        <v>705</v>
      </c>
      <c r="H44" s="73">
        <f t="shared" si="4"/>
        <v>6.0313114894345113E-2</v>
      </c>
      <c r="I44" s="77">
        <f>SUM($G$7:G44)</f>
        <v>8887</v>
      </c>
      <c r="J44" s="75">
        <f t="shared" si="5"/>
        <v>0.76028744973907092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138">
        <f t="shared" si="2"/>
        <v>41</v>
      </c>
      <c r="E45" s="138">
        <f t="shared" si="6"/>
        <v>6</v>
      </c>
      <c r="F45" s="128">
        <f t="shared" si="3"/>
        <v>21.05</v>
      </c>
      <c r="G45" s="130">
        <f>IF(D45=D44,"",_xlfn.IFNA(VLOOKUP(D45,'인원 입력 기능 (사과탐)'!$F$64:$I$112,4,FALSE),0))</f>
        <v>682</v>
      </c>
      <c r="H45" s="132">
        <f t="shared" si="4"/>
        <v>5.8345452989990589E-2</v>
      </c>
      <c r="I45" s="134">
        <f>SUM($G$7:G45)</f>
        <v>9569</v>
      </c>
      <c r="J45" s="136">
        <f t="shared" si="5"/>
        <v>0.81863290272906153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139"/>
      <c r="E46" s="139"/>
      <c r="F46" s="129"/>
      <c r="G46" s="131"/>
      <c r="H46" s="133"/>
      <c r="I46" s="135"/>
      <c r="J46" s="137"/>
      <c r="K46" s="28"/>
      <c r="L46" s="5" t="str">
        <f t="shared" si="1"/>
        <v>경고</v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40</v>
      </c>
      <c r="E47" s="79">
        <f t="shared" si="6"/>
        <v>7</v>
      </c>
      <c r="F47" s="71">
        <f t="shared" si="3"/>
        <v>16.75</v>
      </c>
      <c r="G47" s="72">
        <f>IF(D47=D46,"",_xlfn.IFNA(VLOOKUP(D47,'인원 입력 기능 (사과탐)'!$F$64:$I$112,4,FALSE),0))</f>
        <v>325</v>
      </c>
      <c r="H47" s="73">
        <f t="shared" si="4"/>
        <v>2.7803918213705193E-2</v>
      </c>
      <c r="I47" s="77">
        <f>SUM($G$7:G47)</f>
        <v>9894</v>
      </c>
      <c r="J47" s="75">
        <f t="shared" si="5"/>
        <v>0.84643682094276673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39</v>
      </c>
      <c r="E48" s="79">
        <f t="shared" si="6"/>
        <v>7</v>
      </c>
      <c r="F48" s="71">
        <f t="shared" si="3"/>
        <v>12.04</v>
      </c>
      <c r="G48" s="72">
        <f>IF(D48=D47,"",_xlfn.IFNA(VLOOKUP(D48,'인원 입력 기능 (사과탐)'!$F$64:$I$112,4,FALSE),0))</f>
        <v>775</v>
      </c>
      <c r="H48" s="73">
        <f t="shared" si="4"/>
        <v>6.63016511249893E-2</v>
      </c>
      <c r="I48" s="77">
        <f>SUM($G$7:G48)</f>
        <v>10669</v>
      </c>
      <c r="J48" s="75">
        <f t="shared" si="5"/>
        <v>0.91273847206775605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138">
        <f t="shared" si="2"/>
        <v>38</v>
      </c>
      <c r="E49" s="138">
        <f t="shared" si="6"/>
        <v>8</v>
      </c>
      <c r="F49" s="128">
        <f t="shared" si="3"/>
        <v>6.12</v>
      </c>
      <c r="G49" s="130">
        <f>IF(D49=D48,"",_xlfn.IFNA(VLOOKUP(D49,'인원 입력 기능 (사과탐)'!$F$64:$I$112,4,FALSE),0))</f>
        <v>609</v>
      </c>
      <c r="H49" s="132">
        <f t="shared" si="4"/>
        <v>5.2100265206604497E-2</v>
      </c>
      <c r="I49" s="134">
        <f>SUM($G$7:G49)</f>
        <v>11278</v>
      </c>
      <c r="J49" s="136">
        <f t="shared" si="5"/>
        <v>0.96483873727436054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139"/>
      <c r="E50" s="139"/>
      <c r="F50" s="129"/>
      <c r="G50" s="131"/>
      <c r="H50" s="133"/>
      <c r="I50" s="135"/>
      <c r="J50" s="137"/>
      <c r="K50" s="28"/>
      <c r="L50" s="5" t="str">
        <f t="shared" si="1"/>
        <v>경고</v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37</v>
      </c>
      <c r="E51" s="79">
        <f t="shared" si="6"/>
        <v>9</v>
      </c>
      <c r="F51" s="71">
        <f t="shared" si="3"/>
        <v>3.08</v>
      </c>
      <c r="G51" s="72">
        <f>IF(D51=D50,"",_xlfn.IFNA(VLOOKUP(D51,'인원 입력 기능 (사과탐)'!$F$64:$I$112,4,FALSE),0))</f>
        <v>102</v>
      </c>
      <c r="H51" s="73">
        <f t="shared" si="4"/>
        <v>8.7261527932243985E-3</v>
      </c>
      <c r="I51" s="77">
        <f>SUM($G$7:G51)</f>
        <v>11380</v>
      </c>
      <c r="J51" s="75">
        <f t="shared" si="5"/>
        <v>0.97356489006758495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36</v>
      </c>
      <c r="E52" s="79">
        <f t="shared" si="6"/>
        <v>9</v>
      </c>
      <c r="F52" s="71">
        <f t="shared" si="3"/>
        <v>2.11</v>
      </c>
      <c r="G52" s="72">
        <f>IF(D52=D51,"",_xlfn.IFNA(VLOOKUP(D52,'인원 입력 기능 (사과탐)'!$F$64:$I$112,4,FALSE),0))</f>
        <v>125</v>
      </c>
      <c r="H52" s="73">
        <f t="shared" si="4"/>
        <v>1.0693814697578921E-2</v>
      </c>
      <c r="I52" s="77">
        <f>SUM($G$7:G52)</f>
        <v>11505</v>
      </c>
      <c r="J52" s="75">
        <f t="shared" si="5"/>
        <v>0.98425870476516386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35</v>
      </c>
      <c r="E53" s="70">
        <f t="shared" si="6"/>
        <v>9</v>
      </c>
      <c r="F53" s="71">
        <f t="shared" si="3"/>
        <v>1.1299999999999999</v>
      </c>
      <c r="G53" s="72">
        <f>IF(D53=D52,"",_xlfn.IFNA(VLOOKUP(D53,'인원 입력 기능 (사과탐)'!$F$64:$I$112,4,FALSE),0))</f>
        <v>104</v>
      </c>
      <c r="H53" s="73">
        <f t="shared" si="4"/>
        <v>8.8972538283856612E-3</v>
      </c>
      <c r="I53" s="77">
        <f>SUM($G$7:G53)</f>
        <v>11609</v>
      </c>
      <c r="J53" s="75">
        <f t="shared" si="5"/>
        <v>0.99315595859354944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126">
        <f t="shared" si="2"/>
        <v>34</v>
      </c>
      <c r="E54" s="126">
        <f t="shared" si="6"/>
        <v>9</v>
      </c>
      <c r="F54" s="128">
        <f t="shared" si="3"/>
        <v>0.4</v>
      </c>
      <c r="G54" s="130">
        <f>IF(D54=D53,"",_xlfn.IFNA(VLOOKUP(D54,'인원 입력 기능 (사과탐)'!$F$64:$I$112,4,FALSE),0))</f>
        <v>66</v>
      </c>
      <c r="H54" s="132">
        <f t="shared" si="4"/>
        <v>5.6463341603216703E-3</v>
      </c>
      <c r="I54" s="134">
        <f>SUM($G$7:G54)</f>
        <v>11675</v>
      </c>
      <c r="J54" s="136">
        <f t="shared" si="5"/>
        <v>0.99880229275387111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127"/>
      <c r="E55" s="127"/>
      <c r="F55" s="129"/>
      <c r="G55" s="131"/>
      <c r="H55" s="133"/>
      <c r="I55" s="135"/>
      <c r="J55" s="137"/>
      <c r="K55" s="28"/>
      <c r="L55" s="5" t="str">
        <f t="shared" si="1"/>
        <v>경고</v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32</v>
      </c>
      <c r="E57" s="83">
        <f t="shared" si="6"/>
        <v>9</v>
      </c>
      <c r="F57" s="84">
        <f>IF(I55=0,ROUND(100*(1-(I54+I57)/2/$J$3),2),ROUND(100*(1-(I55+I57)/2/$J$3),2))</f>
        <v>0.06</v>
      </c>
      <c r="G57" s="85">
        <f>_xlfn.IFNA(VLOOKUP(D57,'인원 입력 기능 (사과탐)'!$F$64:$I$112,4,FALSE),0)</f>
        <v>14</v>
      </c>
      <c r="H57" s="86">
        <f>G57/$J$3</f>
        <v>1.197707246128839E-3</v>
      </c>
      <c r="I57" s="87">
        <f>SUM($G$7:G57)</f>
        <v>11689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82">
    <mergeCell ref="I49:I50"/>
    <mergeCell ref="J49:J50"/>
    <mergeCell ref="D54:D55"/>
    <mergeCell ref="E54:E55"/>
    <mergeCell ref="F54:F55"/>
    <mergeCell ref="G54:G55"/>
    <mergeCell ref="H54:H55"/>
    <mergeCell ref="I54:I55"/>
    <mergeCell ref="J54:J55"/>
    <mergeCell ref="D49:D50"/>
    <mergeCell ref="E49:E50"/>
    <mergeCell ref="F49:F50"/>
    <mergeCell ref="G49:G50"/>
    <mergeCell ref="H49:H50"/>
    <mergeCell ref="I41:I42"/>
    <mergeCell ref="J41:J42"/>
    <mergeCell ref="D45:D46"/>
    <mergeCell ref="E45:E46"/>
    <mergeCell ref="F45:F46"/>
    <mergeCell ref="G45:G46"/>
    <mergeCell ref="H45:H46"/>
    <mergeCell ref="I45:I46"/>
    <mergeCell ref="J45:J46"/>
    <mergeCell ref="D41:D42"/>
    <mergeCell ref="E41:E42"/>
    <mergeCell ref="F41:F42"/>
    <mergeCell ref="G41:G42"/>
    <mergeCell ref="H41:H42"/>
    <mergeCell ref="I32:I33"/>
    <mergeCell ref="J32:J33"/>
    <mergeCell ref="D36:D37"/>
    <mergeCell ref="E36:E37"/>
    <mergeCell ref="F36:F37"/>
    <mergeCell ref="G36:G37"/>
    <mergeCell ref="H36:H37"/>
    <mergeCell ref="I36:I37"/>
    <mergeCell ref="J36:J37"/>
    <mergeCell ref="D32:D33"/>
    <mergeCell ref="E32:E33"/>
    <mergeCell ref="F32:F33"/>
    <mergeCell ref="G32:G33"/>
    <mergeCell ref="H32:H33"/>
    <mergeCell ref="I23:I24"/>
    <mergeCell ref="J23:J24"/>
    <mergeCell ref="D28:D29"/>
    <mergeCell ref="E28:E29"/>
    <mergeCell ref="F28:F29"/>
    <mergeCell ref="G28:G29"/>
    <mergeCell ref="H28:H29"/>
    <mergeCell ref="I28:I29"/>
    <mergeCell ref="J28:J29"/>
    <mergeCell ref="D23:D24"/>
    <mergeCell ref="E23:E24"/>
    <mergeCell ref="F23:F24"/>
    <mergeCell ref="G23:G24"/>
    <mergeCell ref="H23:H24"/>
    <mergeCell ref="H15:H16"/>
    <mergeCell ref="I15:I16"/>
    <mergeCell ref="J15:J16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8:J8"/>
    <mergeCell ref="D56:J56"/>
    <mergeCell ref="G5:J5"/>
    <mergeCell ref="D11:D12"/>
    <mergeCell ref="E11:E12"/>
    <mergeCell ref="F11:F12"/>
    <mergeCell ref="G11:G12"/>
    <mergeCell ref="H11:H12"/>
    <mergeCell ref="I11:I12"/>
    <mergeCell ref="J11:J12"/>
    <mergeCell ref="D15:D16"/>
    <mergeCell ref="E15:E16"/>
    <mergeCell ref="F15:F16"/>
    <mergeCell ref="G15:G16"/>
  </mergeCells>
  <phoneticPr fontId="1" type="noConversion"/>
  <conditionalFormatting sqref="D7:D11 D13:D15 D17:D19 D21:D23 D25:D28 D30:D32 D34:D36 D38:D41 D43:D45 D47:D49 D51:D54 D56:D57">
    <cfRule type="expression" dxfId="41" priority="1">
      <formula>$D7=$D8</formula>
    </cfRule>
  </conditionalFormatting>
  <conditionalFormatting sqref="C7:C57">
    <cfRule type="expression" dxfId="40" priority="3">
      <formula>OR(AND($D7=0,OR($D6=$Q$7:$Q$14)),AND($D8&gt;0,OR($D7=$Q$7:$Q$14)))</formula>
    </cfRule>
  </conditionalFormatting>
  <conditionalFormatting sqref="D7:J7 D8 D57:J57 D56 D9:J11 D13:J15 D17:J19 D21:J23 D25:J28 D30:J32 D34:J36 D38:J41 D43:J45 D47:J49 D51:J54">
    <cfRule type="expression" dxfId="39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3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기능'!D12</f>
        <v>19.10</v>
      </c>
      <c r="I3" s="15" t="s">
        <v>84</v>
      </c>
      <c r="J3" s="35">
        <f>'통계 및 응시자 수 입력 기능'!C12</f>
        <v>5753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98</v>
      </c>
      <c r="E4" s="120"/>
      <c r="F4" s="121"/>
      <c r="G4" s="37" t="s">
        <v>87</v>
      </c>
      <c r="H4" s="38" t="str">
        <f>'통계 및 응시자 수 입력 기능'!E12</f>
        <v>10.49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79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99.86</v>
      </c>
      <c r="G7" s="72">
        <f>_xlfn.IFNA(VLOOKUP(D7,'인원 입력 기능 (사과탐)'!$K$64:$N$112,4,FALSE),0)</f>
        <v>16</v>
      </c>
      <c r="H7" s="73">
        <f>G7/$J$3</f>
        <v>2.7811576568746743E-3</v>
      </c>
      <c r="I7" s="74">
        <f>G7</f>
        <v>16</v>
      </c>
      <c r="J7" s="75">
        <f>I7/$J$3</f>
        <v>2.7811576568746743E-3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입력기능'!C76</f>
        <v>71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입력기능'!C77</f>
        <v>64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78</v>
      </c>
      <c r="E9" s="70">
        <f t="shared" si="0"/>
        <v>1</v>
      </c>
      <c r="F9" s="71">
        <f>IF(I8=0,ROUND(100*(1-(I7+I9)/2/$J$3),2),ROUND(100*(1-(I8+I9)/2/$J$3),2))</f>
        <v>99.6</v>
      </c>
      <c r="G9" s="72">
        <f>_xlfn.IFNA(VLOOKUP(D9,'인원 입력 기능 (사과탐)'!$K$64:$N$112,4,FALSE),0)</f>
        <v>14</v>
      </c>
      <c r="H9" s="73">
        <f>G9/$J$3</f>
        <v>2.4335129497653398E-3</v>
      </c>
      <c r="I9" s="77">
        <f>SUM($G$7:G9)</f>
        <v>30</v>
      </c>
      <c r="J9" s="75">
        <f>I9/$J$3</f>
        <v>5.2146706066400136E-3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입력기능'!C78</f>
        <v>58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77</v>
      </c>
      <c r="E10" s="70">
        <f t="shared" si="0"/>
        <v>1</v>
      </c>
      <c r="F10" s="71">
        <f t="shared" ref="F10:F55" si="3">IF(I9=0,ROUND(100*(1-(I8+I10)/2/$J$3),2),ROUND(100*(1-(I9+I10)/2/$J$3),2))</f>
        <v>99.3</v>
      </c>
      <c r="G10" s="72">
        <f>IF(D10=D9,"",_xlfn.IFNA(VLOOKUP(D10,'인원 입력 기능 (사과탐)'!$K$64:$N$112,4,FALSE),0))</f>
        <v>21</v>
      </c>
      <c r="H10" s="73">
        <f t="shared" ref="H10:H55" si="4">G10/$J$3</f>
        <v>3.6502694246480097E-3</v>
      </c>
      <c r="I10" s="77">
        <f>SUM($G$7:G10)</f>
        <v>51</v>
      </c>
      <c r="J10" s="75">
        <f t="shared" ref="J10:J55" si="5">I10/$J$3</f>
        <v>8.8649400312880242E-3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입력기능'!C79</f>
        <v>51</v>
      </c>
    </row>
    <row r="11" spans="1:17" ht="25" customHeight="1" x14ac:dyDescent="0.45">
      <c r="A11" s="4"/>
      <c r="B11" s="19"/>
      <c r="C11" s="69">
        <v>46</v>
      </c>
      <c r="D11" s="70">
        <f t="shared" si="2"/>
        <v>76</v>
      </c>
      <c r="E11" s="70">
        <f t="shared" si="0"/>
        <v>1</v>
      </c>
      <c r="F11" s="71">
        <f t="shared" si="3"/>
        <v>99.02</v>
      </c>
      <c r="G11" s="72">
        <f>IF(D11=D10,"",_xlfn.IFNA(VLOOKUP(D11,'인원 입력 기능 (사과탐)'!$K$64:$N$112,4,FALSE),0))</f>
        <v>11</v>
      </c>
      <c r="H11" s="73">
        <f t="shared" si="4"/>
        <v>1.9120458891013384E-3</v>
      </c>
      <c r="I11" s="77">
        <f>SUM($G$7:G11)</f>
        <v>62</v>
      </c>
      <c r="J11" s="75">
        <f t="shared" si="5"/>
        <v>1.0776985920389361E-2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입력기능'!C80</f>
        <v>44</v>
      </c>
    </row>
    <row r="12" spans="1:17" ht="25" customHeight="1" x14ac:dyDescent="0.45">
      <c r="A12" s="4"/>
      <c r="B12" s="19"/>
      <c r="C12" s="76">
        <v>45</v>
      </c>
      <c r="D12" s="70">
        <f t="shared" si="2"/>
        <v>75</v>
      </c>
      <c r="E12" s="70">
        <f t="shared" si="0"/>
        <v>1</v>
      </c>
      <c r="F12" s="71">
        <f t="shared" si="3"/>
        <v>98.68</v>
      </c>
      <c r="G12" s="72">
        <f>IF(D12=D11,"",_xlfn.IFNA(VLOOKUP(D12,'인원 입력 기능 (사과탐)'!$K$64:$N$112,4,FALSE),0))</f>
        <v>28</v>
      </c>
      <c r="H12" s="73">
        <f t="shared" si="4"/>
        <v>4.8670258995306796E-3</v>
      </c>
      <c r="I12" s="77">
        <f>SUM($G$7:G12)</f>
        <v>90</v>
      </c>
      <c r="J12" s="75">
        <f t="shared" si="5"/>
        <v>1.5644011819920041E-2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입력기능'!C81</f>
        <v>41</v>
      </c>
    </row>
    <row r="13" spans="1:17" ht="25" customHeight="1" x14ac:dyDescent="0.45">
      <c r="A13" s="4"/>
      <c r="B13" s="19"/>
      <c r="C13" s="69">
        <v>44</v>
      </c>
      <c r="D13" s="70">
        <f t="shared" si="2"/>
        <v>74</v>
      </c>
      <c r="E13" s="70">
        <f t="shared" si="0"/>
        <v>1</v>
      </c>
      <c r="F13" s="71">
        <f t="shared" si="3"/>
        <v>98.24</v>
      </c>
      <c r="G13" s="72">
        <f>IF(D13=D12,"",_xlfn.IFNA(VLOOKUP(D13,'인원 입력 기능 (사과탐)'!$K$64:$N$112,4,FALSE),0))</f>
        <v>23</v>
      </c>
      <c r="H13" s="73">
        <f t="shared" si="4"/>
        <v>3.9979141317573437E-3</v>
      </c>
      <c r="I13" s="77">
        <f>SUM($G$7:G13)</f>
        <v>113</v>
      </c>
      <c r="J13" s="75">
        <f t="shared" si="5"/>
        <v>1.9641925951677387E-2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입력기능'!C82</f>
        <v>40</v>
      </c>
    </row>
    <row r="14" spans="1:17" ht="25" customHeight="1" x14ac:dyDescent="0.45">
      <c r="A14" s="4"/>
      <c r="B14" s="19"/>
      <c r="C14" s="76">
        <v>43</v>
      </c>
      <c r="D14" s="70">
        <f t="shared" si="2"/>
        <v>73</v>
      </c>
      <c r="E14" s="70">
        <f t="shared" si="0"/>
        <v>1</v>
      </c>
      <c r="F14" s="71">
        <f t="shared" si="3"/>
        <v>97.65</v>
      </c>
      <c r="G14" s="72">
        <f>IF(D14=D13,"",_xlfn.IFNA(VLOOKUP(D14,'인원 입력 기능 (사과탐)'!$K$64:$N$112,4,FALSE),0))</f>
        <v>44</v>
      </c>
      <c r="H14" s="73">
        <f t="shared" si="4"/>
        <v>7.6481835564053535E-3</v>
      </c>
      <c r="I14" s="77">
        <f>SUM($G$7:G14)</f>
        <v>157</v>
      </c>
      <c r="J14" s="75">
        <f t="shared" si="5"/>
        <v>2.7290109508082739E-2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입력기능'!C83</f>
        <v>38</v>
      </c>
    </row>
    <row r="15" spans="1:17" ht="25" customHeight="1" x14ac:dyDescent="0.45">
      <c r="A15" s="4"/>
      <c r="B15" s="19"/>
      <c r="C15" s="69">
        <v>42</v>
      </c>
      <c r="D15" s="70">
        <f t="shared" si="2"/>
        <v>72</v>
      </c>
      <c r="E15" s="70">
        <f t="shared" si="0"/>
        <v>1</v>
      </c>
      <c r="F15" s="71">
        <f t="shared" si="3"/>
        <v>96.9</v>
      </c>
      <c r="G15" s="72">
        <f>IF(D15=D14,"",_xlfn.IFNA(VLOOKUP(D15,'인원 입력 기능 (사과탐)'!$K$64:$N$112,4,FALSE),0))</f>
        <v>43</v>
      </c>
      <c r="H15" s="73">
        <f t="shared" si="4"/>
        <v>7.4743612028506864E-3</v>
      </c>
      <c r="I15" s="77">
        <f>SUM($G$7:G15)</f>
        <v>200</v>
      </c>
      <c r="J15" s="75">
        <f t="shared" si="5"/>
        <v>3.4764470710933429E-2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71</v>
      </c>
      <c r="E16" s="70">
        <f t="shared" si="0"/>
        <v>1</v>
      </c>
      <c r="F16" s="71">
        <f t="shared" si="3"/>
        <v>96.16</v>
      </c>
      <c r="G16" s="72">
        <f>IF(D16=D15,"",_xlfn.IFNA(VLOOKUP(D16,'인원 입력 기능 (사과탐)'!$K$64:$N$112,4,FALSE),0))</f>
        <v>42</v>
      </c>
      <c r="H16" s="73">
        <f t="shared" si="4"/>
        <v>7.3005388492960194E-3</v>
      </c>
      <c r="I16" s="77">
        <f>SUM($G$7:G16)</f>
        <v>242</v>
      </c>
      <c r="J16" s="75">
        <f t="shared" si="5"/>
        <v>4.2065009560229447E-2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70</v>
      </c>
      <c r="E17" s="70">
        <f t="shared" si="0"/>
        <v>2</v>
      </c>
      <c r="F17" s="71">
        <f t="shared" si="3"/>
        <v>95.23</v>
      </c>
      <c r="G17" s="72">
        <f>IF(D17=D16,"",_xlfn.IFNA(VLOOKUP(D17,'인원 입력 기능 (사과탐)'!$K$64:$N$112,4,FALSE),0))</f>
        <v>65</v>
      </c>
      <c r="H17" s="73">
        <f t="shared" si="4"/>
        <v>1.1298452981053364E-2</v>
      </c>
      <c r="I17" s="77">
        <f>SUM($G$7:G17)</f>
        <v>307</v>
      </c>
      <c r="J17" s="75">
        <f t="shared" si="5"/>
        <v>5.3363462541282811E-2</v>
      </c>
      <c r="K17" s="28"/>
      <c r="L17" s="5" t="str">
        <f t="shared" si="1"/>
        <v/>
      </c>
      <c r="N17" s="1"/>
      <c r="P17" s="1">
        <f>Q7*H3*H4*J3*IFERROR(IF(J57=1, 1, 0), 0)</f>
        <v>81839238.217000008</v>
      </c>
    </row>
    <row r="18" spans="1:16" ht="25" customHeight="1" x14ac:dyDescent="0.45">
      <c r="A18" s="4"/>
      <c r="B18" s="19"/>
      <c r="C18" s="76">
        <v>39</v>
      </c>
      <c r="D18" s="70">
        <f t="shared" si="2"/>
        <v>69</v>
      </c>
      <c r="E18" s="70">
        <f t="shared" si="0"/>
        <v>2</v>
      </c>
      <c r="F18" s="71">
        <f t="shared" si="3"/>
        <v>94.19</v>
      </c>
      <c r="G18" s="72">
        <f>IF(D18=D17,"",_xlfn.IFNA(VLOOKUP(D18,'인원 입력 기능 (사과탐)'!$K$64:$N$112,4,FALSE),0))</f>
        <v>54</v>
      </c>
      <c r="H18" s="73">
        <f t="shared" si="4"/>
        <v>9.3864070919520252E-3</v>
      </c>
      <c r="I18" s="77">
        <f>SUM($G$7:G18)</f>
        <v>361</v>
      </c>
      <c r="J18" s="75">
        <f t="shared" si="5"/>
        <v>6.2749869633234839E-2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68</v>
      </c>
      <c r="E19" s="70">
        <f t="shared" si="0"/>
        <v>2</v>
      </c>
      <c r="F19" s="71">
        <f t="shared" si="3"/>
        <v>93.16</v>
      </c>
      <c r="G19" s="72">
        <f>IF(D19=D18,"",_xlfn.IFNA(VLOOKUP(D19,'인원 입력 기능 (사과탐)'!$K$64:$N$112,4,FALSE),0))</f>
        <v>65</v>
      </c>
      <c r="H19" s="73">
        <f t="shared" si="4"/>
        <v>1.1298452981053364E-2</v>
      </c>
      <c r="I19" s="77">
        <f>SUM($G$7:G19)</f>
        <v>426</v>
      </c>
      <c r="J19" s="75">
        <f t="shared" si="5"/>
        <v>7.4048322614288203E-2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67</v>
      </c>
      <c r="E20" s="70">
        <f t="shared" si="0"/>
        <v>2</v>
      </c>
      <c r="F20" s="71">
        <f t="shared" si="3"/>
        <v>92.15</v>
      </c>
      <c r="G20" s="72">
        <f>IF(D20=D19,"",_xlfn.IFNA(VLOOKUP(D20,'인원 입력 기능 (사과탐)'!$K$64:$N$112,4,FALSE),0))</f>
        <v>51</v>
      </c>
      <c r="H20" s="73">
        <f t="shared" si="4"/>
        <v>8.8649400312880242E-3</v>
      </c>
      <c r="I20" s="77">
        <f>SUM($G$7:G20)</f>
        <v>477</v>
      </c>
      <c r="J20" s="75">
        <f t="shared" si="5"/>
        <v>8.2913262645576219E-2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66</v>
      </c>
      <c r="E21" s="79">
        <f t="shared" si="0"/>
        <v>2</v>
      </c>
      <c r="F21" s="71">
        <f t="shared" si="3"/>
        <v>91.14</v>
      </c>
      <c r="G21" s="72">
        <f>IF(D21=D20,"",_xlfn.IFNA(VLOOKUP(D21,'인원 입력 기능 (사과탐)'!$K$64:$N$112,4,FALSE),0))</f>
        <v>65</v>
      </c>
      <c r="H21" s="73">
        <f t="shared" si="4"/>
        <v>1.1298452981053364E-2</v>
      </c>
      <c r="I21" s="77">
        <f>SUM($G$7:G21)</f>
        <v>542</v>
      </c>
      <c r="J21" s="75">
        <f t="shared" si="5"/>
        <v>9.4211715626629583E-2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65</v>
      </c>
      <c r="E22" s="79">
        <f t="shared" si="0"/>
        <v>2</v>
      </c>
      <c r="F22" s="71">
        <f t="shared" si="3"/>
        <v>89.9</v>
      </c>
      <c r="G22" s="72">
        <f>IF(D22=D21,"",_xlfn.IFNA(VLOOKUP(D22,'인원 입력 기능 (사과탐)'!$K$64:$N$112,4,FALSE),0))</f>
        <v>78</v>
      </c>
      <c r="H22" s="73">
        <f t="shared" si="4"/>
        <v>1.3558143577264037E-2</v>
      </c>
      <c r="I22" s="77">
        <f>SUM($G$7:G22)</f>
        <v>620</v>
      </c>
      <c r="J22" s="75">
        <f t="shared" si="5"/>
        <v>0.10776985920389362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64</v>
      </c>
      <c r="E23" s="79">
        <f t="shared" si="0"/>
        <v>2</v>
      </c>
      <c r="F23" s="71">
        <f t="shared" si="3"/>
        <v>88.71</v>
      </c>
      <c r="G23" s="72">
        <f>IF(D23=D22,"",_xlfn.IFNA(VLOOKUP(D23,'인원 입력 기능 (사과탐)'!$K$64:$N$112,4,FALSE),0))</f>
        <v>59</v>
      </c>
      <c r="H23" s="73">
        <f t="shared" si="4"/>
        <v>1.025551885972536E-2</v>
      </c>
      <c r="I23" s="77">
        <f>SUM($G$7:G23)</f>
        <v>679</v>
      </c>
      <c r="J23" s="75">
        <f t="shared" si="5"/>
        <v>0.11802537806361899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63</v>
      </c>
      <c r="E24" s="79">
        <f t="shared" si="0"/>
        <v>3</v>
      </c>
      <c r="F24" s="71">
        <f t="shared" si="3"/>
        <v>87.59</v>
      </c>
      <c r="G24" s="72">
        <f>IF(D24=D23,"",_xlfn.IFNA(VLOOKUP(D24,'인원 입력 기능 (사과탐)'!$K$64:$N$112,4,FALSE),0))</f>
        <v>70</v>
      </c>
      <c r="H24" s="73">
        <f t="shared" si="4"/>
        <v>1.2167564748826699E-2</v>
      </c>
      <c r="I24" s="77">
        <f>SUM($G$7:G24)</f>
        <v>749</v>
      </c>
      <c r="J24" s="75">
        <f t="shared" si="5"/>
        <v>0.13019294281244567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62</v>
      </c>
      <c r="E25" s="79">
        <f t="shared" si="0"/>
        <v>3</v>
      </c>
      <c r="F25" s="71">
        <f t="shared" si="3"/>
        <v>86.22</v>
      </c>
      <c r="G25" s="72">
        <f>IF(D25=D24,"",_xlfn.IFNA(VLOOKUP(D25,'인원 입력 기능 (사과탐)'!$K$64:$N$112,4,FALSE),0))</f>
        <v>87</v>
      </c>
      <c r="H25" s="73">
        <f t="shared" si="4"/>
        <v>1.512254475925604E-2</v>
      </c>
      <c r="I25" s="77">
        <f>SUM($G$7:G25)</f>
        <v>836</v>
      </c>
      <c r="J25" s="75">
        <f t="shared" si="5"/>
        <v>0.14531548757170173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61</v>
      </c>
      <c r="E26" s="79">
        <f t="shared" si="0"/>
        <v>3</v>
      </c>
      <c r="F26" s="71">
        <f t="shared" si="3"/>
        <v>84.67</v>
      </c>
      <c r="G26" s="72">
        <f>IF(D26=D25,"",_xlfn.IFNA(VLOOKUP(D26,'인원 입력 기능 (사과탐)'!$K$64:$N$112,4,FALSE),0))</f>
        <v>92</v>
      </c>
      <c r="H26" s="73">
        <f t="shared" si="4"/>
        <v>1.5991656527029375E-2</v>
      </c>
      <c r="I26" s="77">
        <f>SUM($G$7:G26)</f>
        <v>928</v>
      </c>
      <c r="J26" s="75">
        <f t="shared" si="5"/>
        <v>0.16130714409873109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60</v>
      </c>
      <c r="E27" s="79">
        <f t="shared" si="0"/>
        <v>3</v>
      </c>
      <c r="F27" s="71">
        <f t="shared" si="3"/>
        <v>82.79</v>
      </c>
      <c r="G27" s="72">
        <f>IF(D27=D26,"",_xlfn.IFNA(VLOOKUP(D27,'인원 입력 기능 (사과탐)'!$K$64:$N$112,4,FALSE),0))</f>
        <v>124</v>
      </c>
      <c r="H27" s="73">
        <f t="shared" si="4"/>
        <v>2.1553971840778723E-2</v>
      </c>
      <c r="I27" s="77">
        <f>SUM($G$7:G27)</f>
        <v>1052</v>
      </c>
      <c r="J27" s="75">
        <f t="shared" si="5"/>
        <v>0.18286111593950982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59</v>
      </c>
      <c r="E28" s="79">
        <f t="shared" si="0"/>
        <v>3</v>
      </c>
      <c r="F28" s="71">
        <f t="shared" si="3"/>
        <v>80.849999999999994</v>
      </c>
      <c r="G28" s="72">
        <f>IF(D28=D27,"",_xlfn.IFNA(VLOOKUP(D28,'인원 입력 기능 (사과탐)'!$K$64:$N$112,4,FALSE),0))</f>
        <v>99</v>
      </c>
      <c r="H28" s="73">
        <f t="shared" si="4"/>
        <v>1.7208413001912046E-2</v>
      </c>
      <c r="I28" s="77">
        <f>SUM($G$7:G28)</f>
        <v>1151</v>
      </c>
      <c r="J28" s="75">
        <f t="shared" si="5"/>
        <v>0.20006952894142185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138">
        <f t="shared" si="2"/>
        <v>58</v>
      </c>
      <c r="E29" s="138">
        <f t="shared" si="0"/>
        <v>3</v>
      </c>
      <c r="F29" s="128">
        <f t="shared" si="3"/>
        <v>78.010000000000005</v>
      </c>
      <c r="G29" s="130">
        <f>IF(D29=D28,"",_xlfn.IFNA(VLOOKUP(D29,'인원 입력 기능 (사과탐)'!$K$64:$N$112,4,FALSE),0))</f>
        <v>228</v>
      </c>
      <c r="H29" s="132">
        <f t="shared" si="4"/>
        <v>3.9631496610464105E-2</v>
      </c>
      <c r="I29" s="134">
        <f>SUM($G$7:G29)</f>
        <v>1379</v>
      </c>
      <c r="J29" s="136">
        <f t="shared" si="5"/>
        <v>0.23970102555188597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139"/>
      <c r="E30" s="139"/>
      <c r="F30" s="129"/>
      <c r="G30" s="131"/>
      <c r="H30" s="133"/>
      <c r="I30" s="135"/>
      <c r="J30" s="137"/>
      <c r="K30" s="28"/>
      <c r="L30" s="5" t="str">
        <f t="shared" si="1"/>
        <v>경고</v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57</v>
      </c>
      <c r="E31" s="79">
        <f t="shared" si="0"/>
        <v>4</v>
      </c>
      <c r="F31" s="71">
        <f t="shared" si="3"/>
        <v>75</v>
      </c>
      <c r="G31" s="72">
        <f>IF(D31=D30,"",_xlfn.IFNA(VLOOKUP(D31,'인원 입력 기능 (사과탐)'!$K$64:$N$112,4,FALSE),0))</f>
        <v>118</v>
      </c>
      <c r="H31" s="73">
        <f t="shared" si="4"/>
        <v>2.0511037719450721E-2</v>
      </c>
      <c r="I31" s="77">
        <f>SUM($G$7:G31)</f>
        <v>1497</v>
      </c>
      <c r="J31" s="75">
        <f t="shared" si="5"/>
        <v>0.26021206327133667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56</v>
      </c>
      <c r="E32" s="79">
        <f t="shared" si="0"/>
        <v>4</v>
      </c>
      <c r="F32" s="71">
        <f t="shared" si="3"/>
        <v>72.48</v>
      </c>
      <c r="G32" s="72">
        <f>IF(D32=D31,"",_xlfn.IFNA(VLOOKUP(D32,'인원 입력 기능 (사과탐)'!$K$64:$N$112,4,FALSE),0))</f>
        <v>172</v>
      </c>
      <c r="H32" s="73">
        <f t="shared" si="4"/>
        <v>2.9897444811402746E-2</v>
      </c>
      <c r="I32" s="77">
        <f>SUM($G$7:G32)</f>
        <v>1669</v>
      </c>
      <c r="J32" s="75">
        <f t="shared" si="5"/>
        <v>0.29010950808273944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55</v>
      </c>
      <c r="E33" s="79">
        <f t="shared" si="0"/>
        <v>4</v>
      </c>
      <c r="F33" s="71">
        <f t="shared" si="3"/>
        <v>70.040000000000006</v>
      </c>
      <c r="G33" s="72">
        <f>IF(D33=D32,"",_xlfn.IFNA(VLOOKUP(D33,'인원 입력 기능 (사과탐)'!$K$64:$N$112,4,FALSE),0))</f>
        <v>109</v>
      </c>
      <c r="H33" s="73">
        <f t="shared" si="4"/>
        <v>1.8946636537458716E-2</v>
      </c>
      <c r="I33" s="77">
        <f>SUM($G$7:G33)</f>
        <v>1778</v>
      </c>
      <c r="J33" s="75">
        <f t="shared" si="5"/>
        <v>0.30905614462019815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54</v>
      </c>
      <c r="E34" s="79">
        <f t="shared" si="0"/>
        <v>4</v>
      </c>
      <c r="F34" s="71">
        <f t="shared" si="3"/>
        <v>67.760000000000005</v>
      </c>
      <c r="G34" s="72">
        <f>IF(D34=D33,"",_xlfn.IFNA(VLOOKUP(D34,'인원 입력 기능 (사과탐)'!$K$64:$N$112,4,FALSE),0))</f>
        <v>154</v>
      </c>
      <c r="H34" s="73">
        <f t="shared" si="4"/>
        <v>2.676864244741874E-2</v>
      </c>
      <c r="I34" s="77">
        <f>SUM($G$7:G34)</f>
        <v>1932</v>
      </c>
      <c r="J34" s="75">
        <f t="shared" si="5"/>
        <v>0.33582478706761687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53</v>
      </c>
      <c r="E35" s="79">
        <f t="shared" si="0"/>
        <v>4</v>
      </c>
      <c r="F35" s="71">
        <f t="shared" si="3"/>
        <v>64.989999999999995</v>
      </c>
      <c r="G35" s="72">
        <f>IF(D35=D34,"",_xlfn.IFNA(VLOOKUP(D35,'인원 입력 기능 (사과탐)'!$K$64:$N$112,4,FALSE),0))</f>
        <v>164</v>
      </c>
      <c r="H35" s="73">
        <f t="shared" si="4"/>
        <v>2.850686598296541E-2</v>
      </c>
      <c r="I35" s="77">
        <f>SUM($G$7:G35)</f>
        <v>2096</v>
      </c>
      <c r="J35" s="75">
        <f t="shared" si="5"/>
        <v>0.36433165305058229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52</v>
      </c>
      <c r="E36" s="79">
        <f t="shared" si="0"/>
        <v>4</v>
      </c>
      <c r="F36" s="71">
        <f t="shared" si="3"/>
        <v>62.45</v>
      </c>
      <c r="G36" s="72">
        <f>IF(D36=D35,"",_xlfn.IFNA(VLOOKUP(D36,'인원 입력 기능 (사과탐)'!$K$64:$N$112,4,FALSE),0))</f>
        <v>129</v>
      </c>
      <c r="H36" s="73">
        <f t="shared" si="4"/>
        <v>2.2423083608552059E-2</v>
      </c>
      <c r="I36" s="77">
        <f>SUM($G$7:G36)</f>
        <v>2225</v>
      </c>
      <c r="J36" s="75">
        <f t="shared" si="5"/>
        <v>0.38675473665913435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51</v>
      </c>
      <c r="E37" s="79">
        <f t="shared" si="0"/>
        <v>4</v>
      </c>
      <c r="F37" s="71">
        <f t="shared" si="3"/>
        <v>59.79</v>
      </c>
      <c r="G37" s="72">
        <f>IF(D37=D36,"",_xlfn.IFNA(VLOOKUP(D37,'인원 입력 기능 (사과탐)'!$K$64:$N$112,4,FALSE),0))</f>
        <v>176</v>
      </c>
      <c r="H37" s="73">
        <f t="shared" si="4"/>
        <v>3.0592734225621414E-2</v>
      </c>
      <c r="I37" s="77">
        <f>SUM($G$7:G37)</f>
        <v>2401</v>
      </c>
      <c r="J37" s="75">
        <f t="shared" si="5"/>
        <v>0.41734747088475577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50</v>
      </c>
      <c r="E38" s="79">
        <f t="shared" si="0"/>
        <v>5</v>
      </c>
      <c r="F38" s="71">
        <f t="shared" si="3"/>
        <v>57</v>
      </c>
      <c r="G38" s="72">
        <f>IF(D38=D37,"",_xlfn.IFNA(VLOOKUP(D38,'인원 입력 기능 (사과탐)'!$K$64:$N$112,4,FALSE),0))</f>
        <v>146</v>
      </c>
      <c r="H38" s="73">
        <f t="shared" si="4"/>
        <v>2.53780636189814E-2</v>
      </c>
      <c r="I38" s="77">
        <f>SUM($G$7:G38)</f>
        <v>2547</v>
      </c>
      <c r="J38" s="75">
        <f t="shared" si="5"/>
        <v>0.44272553450373719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49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1">
        <f t="shared" si="3"/>
        <v>54.22</v>
      </c>
      <c r="G39" s="72">
        <f>IF(D39=D38,"",_xlfn.IFNA(VLOOKUP(D39,'인원 입력 기능 (사과탐)'!$K$64:$N$112,4,FALSE),0))</f>
        <v>173</v>
      </c>
      <c r="H39" s="73">
        <f t="shared" si="4"/>
        <v>3.0071267164957415E-2</v>
      </c>
      <c r="I39" s="77">
        <f>SUM($G$7:G39)</f>
        <v>2720</v>
      </c>
      <c r="J39" s="75">
        <f t="shared" si="5"/>
        <v>0.47279680166869459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48</v>
      </c>
      <c r="E40" s="79">
        <f t="shared" si="6"/>
        <v>5</v>
      </c>
      <c r="F40" s="71">
        <f t="shared" si="3"/>
        <v>51.12</v>
      </c>
      <c r="G40" s="72">
        <f>IF(D40=D39,"",_xlfn.IFNA(VLOOKUP(D40,'인원 입력 기능 (사과탐)'!$K$64:$N$112,4,FALSE),0))</f>
        <v>184</v>
      </c>
      <c r="H40" s="73">
        <f t="shared" si="4"/>
        <v>3.198331305405875E-2</v>
      </c>
      <c r="I40" s="77">
        <f>SUM($G$7:G40)</f>
        <v>2904</v>
      </c>
      <c r="J40" s="75">
        <f t="shared" si="5"/>
        <v>0.5047801147227533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47</v>
      </c>
      <c r="E41" s="79">
        <f t="shared" si="6"/>
        <v>5</v>
      </c>
      <c r="F41" s="71">
        <f t="shared" si="3"/>
        <v>48.19</v>
      </c>
      <c r="G41" s="72">
        <f>IF(D41=D40,"",_xlfn.IFNA(VLOOKUP(D41,'인원 입력 기능 (사과탐)'!$K$64:$N$112,4,FALSE),0))</f>
        <v>153</v>
      </c>
      <c r="H41" s="73">
        <f t="shared" si="4"/>
        <v>2.6594820093864071E-2</v>
      </c>
      <c r="I41" s="77">
        <f>SUM($G$7:G41)</f>
        <v>3057</v>
      </c>
      <c r="J41" s="75">
        <f t="shared" si="5"/>
        <v>0.53137493481661746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46</v>
      </c>
      <c r="E42" s="79">
        <f t="shared" si="6"/>
        <v>5</v>
      </c>
      <c r="F42" s="71">
        <f t="shared" si="3"/>
        <v>45.24</v>
      </c>
      <c r="G42" s="72">
        <f>IF(D42=D41,"",_xlfn.IFNA(VLOOKUP(D42,'인원 입력 기능 (사과탐)'!$K$64:$N$112,4,FALSE),0))</f>
        <v>187</v>
      </c>
      <c r="H42" s="73">
        <f t="shared" si="4"/>
        <v>3.2504780114722756E-2</v>
      </c>
      <c r="I42" s="77">
        <f>SUM($G$7:G42)</f>
        <v>3244</v>
      </c>
      <c r="J42" s="75">
        <f t="shared" si="5"/>
        <v>0.56387971493134015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45</v>
      </c>
      <c r="E43" s="79">
        <f t="shared" si="6"/>
        <v>5</v>
      </c>
      <c r="F43" s="71">
        <f t="shared" si="3"/>
        <v>42.3</v>
      </c>
      <c r="G43" s="72">
        <f>IF(D43=D42,"",_xlfn.IFNA(VLOOKUP(D43,'인원 입력 기능 (사과탐)'!$K$64:$N$112,4,FALSE),0))</f>
        <v>151</v>
      </c>
      <c r="H43" s="73">
        <f t="shared" si="4"/>
        <v>2.6247175386754737E-2</v>
      </c>
      <c r="I43" s="77">
        <f>SUM($G$7:G43)</f>
        <v>3395</v>
      </c>
      <c r="J43" s="75">
        <f t="shared" si="5"/>
        <v>0.59012689031809495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44</v>
      </c>
      <c r="E44" s="79">
        <f t="shared" si="6"/>
        <v>5</v>
      </c>
      <c r="F44" s="71">
        <f t="shared" si="3"/>
        <v>39.08</v>
      </c>
      <c r="G44" s="72">
        <f>IF(D44=D43,"",_xlfn.IFNA(VLOOKUP(D44,'인원 입력 기능 (사과탐)'!$K$64:$N$112,4,FALSE),0))</f>
        <v>220</v>
      </c>
      <c r="H44" s="73">
        <f t="shared" si="4"/>
        <v>3.8240917782026769E-2</v>
      </c>
      <c r="I44" s="77">
        <f>SUM($G$7:G44)</f>
        <v>3615</v>
      </c>
      <c r="J44" s="75">
        <f t="shared" si="5"/>
        <v>0.62836780810012172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43</v>
      </c>
      <c r="E45" s="79">
        <f t="shared" si="6"/>
        <v>6</v>
      </c>
      <c r="F45" s="71">
        <f t="shared" si="3"/>
        <v>35.14</v>
      </c>
      <c r="G45" s="72">
        <f>IF(D45=D44,"",_xlfn.IFNA(VLOOKUP(D45,'인원 입력 기능 (사과탐)'!$K$64:$N$112,4,FALSE),0))</f>
        <v>233</v>
      </c>
      <c r="H45" s="73">
        <f t="shared" si="4"/>
        <v>4.0500608378237442E-2</v>
      </c>
      <c r="I45" s="77">
        <f>SUM($G$7:G45)</f>
        <v>3848</v>
      </c>
      <c r="J45" s="75">
        <f t="shared" si="5"/>
        <v>0.66886841647835915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42</v>
      </c>
      <c r="E46" s="79">
        <f t="shared" si="6"/>
        <v>6</v>
      </c>
      <c r="F46" s="71">
        <f t="shared" si="3"/>
        <v>30.83</v>
      </c>
      <c r="G46" s="72">
        <f>IF(D46=D45,"",_xlfn.IFNA(VLOOKUP(D46,'인원 입력 기능 (사과탐)'!$K$64:$N$112,4,FALSE),0))</f>
        <v>263</v>
      </c>
      <c r="H46" s="73">
        <f t="shared" si="4"/>
        <v>4.5715278984877455E-2</v>
      </c>
      <c r="I46" s="77">
        <f>SUM($G$7:G46)</f>
        <v>4111</v>
      </c>
      <c r="J46" s="75">
        <f t="shared" si="5"/>
        <v>0.71458369546323652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41</v>
      </c>
      <c r="E47" s="79">
        <f t="shared" si="6"/>
        <v>6</v>
      </c>
      <c r="F47" s="71">
        <f t="shared" si="3"/>
        <v>20.21</v>
      </c>
      <c r="G47" s="72">
        <f>IF(D47=D46,"",_xlfn.IFNA(VLOOKUP(D47,'인원 입력 기능 (사과탐)'!$K$64:$N$112,4,FALSE),0))</f>
        <v>959</v>
      </c>
      <c r="H47" s="73">
        <f t="shared" si="4"/>
        <v>0.16669563705892579</v>
      </c>
      <c r="I47" s="77">
        <f>SUM($G$7:G47)</f>
        <v>5070</v>
      </c>
      <c r="J47" s="75">
        <f t="shared" si="5"/>
        <v>0.8812793325221624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40</v>
      </c>
      <c r="E48" s="79">
        <f t="shared" si="6"/>
        <v>7</v>
      </c>
      <c r="F48" s="71">
        <f t="shared" si="3"/>
        <v>10.78</v>
      </c>
      <c r="G48" s="72">
        <f>IF(D48=D47,"",_xlfn.IFNA(VLOOKUP(D48,'인원 입력 기능 (사과탐)'!$K$64:$N$112,4,FALSE),0))</f>
        <v>126</v>
      </c>
      <c r="H48" s="73">
        <f t="shared" si="4"/>
        <v>2.190161654788806E-2</v>
      </c>
      <c r="I48" s="77">
        <f>SUM($G$7:G48)</f>
        <v>5196</v>
      </c>
      <c r="J48" s="75">
        <f t="shared" si="5"/>
        <v>0.90318094907005042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39</v>
      </c>
      <c r="E49" s="79">
        <f t="shared" si="6"/>
        <v>8</v>
      </c>
      <c r="F49" s="71">
        <f t="shared" si="3"/>
        <v>8.64</v>
      </c>
      <c r="G49" s="72">
        <f>IF(D49=D48,"",_xlfn.IFNA(VLOOKUP(D49,'인원 입력 기능 (사과탐)'!$K$64:$N$112,4,FALSE),0))</f>
        <v>120</v>
      </c>
      <c r="H49" s="73">
        <f t="shared" si="4"/>
        <v>2.0858682426560055E-2</v>
      </c>
      <c r="I49" s="77">
        <f>SUM($G$7:G49)</f>
        <v>5316</v>
      </c>
      <c r="J49" s="75">
        <f t="shared" si="5"/>
        <v>0.9240396314966105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138">
        <f t="shared" si="2"/>
        <v>38</v>
      </c>
      <c r="E50" s="138">
        <f t="shared" si="6"/>
        <v>8</v>
      </c>
      <c r="F50" s="128">
        <f t="shared" si="3"/>
        <v>5.58</v>
      </c>
      <c r="G50" s="130">
        <f>IF(D50=D49,"",_xlfn.IFNA(VLOOKUP(D50,'인원 입력 기능 (사과탐)'!$K$64:$N$112,4,FALSE),0))</f>
        <v>232</v>
      </c>
      <c r="H50" s="132">
        <f t="shared" si="4"/>
        <v>4.0326786024682773E-2</v>
      </c>
      <c r="I50" s="134">
        <f>SUM($G$7:G50)</f>
        <v>5548</v>
      </c>
      <c r="J50" s="136">
        <f t="shared" si="5"/>
        <v>0.96436641752129326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139"/>
      <c r="E51" s="139"/>
      <c r="F51" s="129"/>
      <c r="G51" s="131"/>
      <c r="H51" s="133"/>
      <c r="I51" s="135"/>
      <c r="J51" s="137"/>
      <c r="K51" s="28"/>
      <c r="L51" s="5" t="str">
        <f t="shared" si="1"/>
        <v>경고</v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37</v>
      </c>
      <c r="E52" s="79">
        <f t="shared" si="6"/>
        <v>9</v>
      </c>
      <c r="F52" s="71">
        <f t="shared" si="3"/>
        <v>2.85</v>
      </c>
      <c r="G52" s="72">
        <f>IF(D52=D51,"",_xlfn.IFNA(VLOOKUP(D52,'인원 입력 기능 (사과탐)'!$K$64:$N$112,4,FALSE),0))</f>
        <v>82</v>
      </c>
      <c r="H52" s="73">
        <f t="shared" si="4"/>
        <v>1.4253432991482705E-2</v>
      </c>
      <c r="I52" s="77">
        <f>SUM($G$7:G52)</f>
        <v>5630</v>
      </c>
      <c r="J52" s="75">
        <f t="shared" si="5"/>
        <v>0.97861985051277589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36</v>
      </c>
      <c r="E53" s="70">
        <f t="shared" si="6"/>
        <v>9</v>
      </c>
      <c r="F53" s="71">
        <f t="shared" si="3"/>
        <v>1.85</v>
      </c>
      <c r="G53" s="72">
        <f>IF(D53=D52,"",_xlfn.IFNA(VLOOKUP(D53,'인원 입력 기능 (사과탐)'!$K$64:$N$112,4,FALSE),0))</f>
        <v>33</v>
      </c>
      <c r="H53" s="73">
        <f t="shared" si="4"/>
        <v>5.7361376673040155E-3</v>
      </c>
      <c r="I53" s="77">
        <f>SUM($G$7:G53)</f>
        <v>5663</v>
      </c>
      <c r="J53" s="75">
        <f t="shared" si="5"/>
        <v>0.98435598818007997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35</v>
      </c>
      <c r="E54" s="70">
        <f t="shared" si="6"/>
        <v>9</v>
      </c>
      <c r="F54" s="71">
        <f t="shared" si="3"/>
        <v>1.22</v>
      </c>
      <c r="G54" s="72">
        <f>IF(D54=D53,"",_xlfn.IFNA(VLOOKUP(D54,'인원 입력 기능 (사과탐)'!$K$64:$N$112,4,FALSE),0))</f>
        <v>40</v>
      </c>
      <c r="H54" s="73">
        <f t="shared" si="4"/>
        <v>6.9528941421866854E-3</v>
      </c>
      <c r="I54" s="77">
        <f>SUM($G$7:G54)</f>
        <v>5703</v>
      </c>
      <c r="J54" s="75">
        <f t="shared" si="5"/>
        <v>0.99130888232226666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34</v>
      </c>
      <c r="E55" s="70">
        <f t="shared" si="6"/>
        <v>9</v>
      </c>
      <c r="F55" s="71">
        <f t="shared" si="3"/>
        <v>0.57999999999999996</v>
      </c>
      <c r="G55" s="72">
        <f>IF(D55=D54,"",_xlfn.IFNA(VLOOKUP(D55,'인원 입력 기능 (사과탐)'!$K$64:$N$112,4,FALSE),0))</f>
        <v>33</v>
      </c>
      <c r="H55" s="73">
        <f t="shared" si="4"/>
        <v>5.7361376673040155E-3</v>
      </c>
      <c r="I55" s="77">
        <f>SUM($G$7:G55)</f>
        <v>5736</v>
      </c>
      <c r="J55" s="75">
        <f t="shared" si="5"/>
        <v>0.99704501998957062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32</v>
      </c>
      <c r="E57" s="83">
        <f t="shared" si="6"/>
        <v>9</v>
      </c>
      <c r="F57" s="84">
        <f>IF(I55=0,ROUND(100*(1-(I54+I57)/2/$J$3),2),ROUND(100*(1-(I55+I57)/2/$J$3),2))</f>
        <v>0.15</v>
      </c>
      <c r="G57" s="85">
        <f>_xlfn.IFNA(VLOOKUP(D57,'인원 입력 기능 (사과탐)'!$K$64:$N$112,4,FALSE),0)</f>
        <v>17</v>
      </c>
      <c r="H57" s="86">
        <f>G57/$J$3</f>
        <v>2.9549800104293413E-3</v>
      </c>
      <c r="I57" s="87">
        <f>SUM($G$7:G57)</f>
        <v>5753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9">
    <mergeCell ref="D3:F3"/>
    <mergeCell ref="D4:F4"/>
    <mergeCell ref="D8:J8"/>
    <mergeCell ref="D56:J56"/>
    <mergeCell ref="G5:J5"/>
    <mergeCell ref="D29:D30"/>
    <mergeCell ref="E29:E30"/>
    <mergeCell ref="F29:F30"/>
    <mergeCell ref="G29:G30"/>
    <mergeCell ref="H29:H30"/>
    <mergeCell ref="I29:I30"/>
    <mergeCell ref="J29:J30"/>
    <mergeCell ref="D50:D51"/>
    <mergeCell ref="E50:E51"/>
    <mergeCell ref="F50:F51"/>
    <mergeCell ref="G50:G51"/>
    <mergeCell ref="H50:H51"/>
    <mergeCell ref="I50:I51"/>
    <mergeCell ref="J50:J51"/>
  </mergeCells>
  <phoneticPr fontId="1" type="noConversion"/>
  <conditionalFormatting sqref="D7:D29 D31:D50 D52:D57">
    <cfRule type="expression" dxfId="38" priority="1">
      <formula>$D7=$D8</formula>
    </cfRule>
  </conditionalFormatting>
  <conditionalFormatting sqref="C7:C57">
    <cfRule type="expression" dxfId="37" priority="3">
      <formula>OR(AND($D7=0,OR($D6=$Q$7:$Q$14)),AND($D8&gt;0,OR($D7=$Q$7:$Q$14)))</formula>
    </cfRule>
  </conditionalFormatting>
  <conditionalFormatting sqref="D7:J7 D8 D57:J57 D56 D9:J29 D31:J50 D52:J55">
    <cfRule type="expression" dxfId="36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4"/>
  <dimension ref="A1:Q105"/>
  <sheetViews>
    <sheetView tabSelected="1" topLeftCell="A35" zoomScale="70" zoomScaleNormal="70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기능'!D13</f>
        <v>24.11</v>
      </c>
      <c r="I3" s="15" t="s">
        <v>84</v>
      </c>
      <c r="J3" s="35">
        <f>'통계 및 응시자 수 입력 기능'!C13</f>
        <v>21967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97</v>
      </c>
      <c r="E4" s="120"/>
      <c r="F4" s="121"/>
      <c r="G4" s="37" t="s">
        <v>87</v>
      </c>
      <c r="H4" s="38" t="str">
        <f>'통계 및 응시자 수 입력 기능'!E13</f>
        <v>12.04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v>71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98.91</v>
      </c>
      <c r="G7" s="72">
        <f>_xlfn.IFNA(VLOOKUP(D7,'인원 입력 기능 (사과탐)'!$P$64:$S$112,4,FALSE),0)</f>
        <v>481</v>
      </c>
      <c r="H7" s="73">
        <f>G7/$J$3</f>
        <v>2.189648108526426E-2</v>
      </c>
      <c r="I7" s="74">
        <f>G7</f>
        <v>481</v>
      </c>
      <c r="J7" s="75">
        <f>I7/$J$3</f>
        <v>2.189648108526426E-2</v>
      </c>
      <c r="K7" s="28"/>
      <c r="L7" s="5" t="str">
        <f>IF(ABS((C7-$H$3)/$H$4*10+50-D7)&gt;0.49, "경고", "")</f>
        <v>경고</v>
      </c>
      <c r="N7" s="1"/>
      <c r="P7" s="1">
        <v>1</v>
      </c>
      <c r="Q7" s="1">
        <f>'표준점수 등급컷 입력기능'!C85</f>
        <v>69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입력기능'!C86</f>
        <v>64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70</v>
      </c>
      <c r="E9" s="70">
        <f t="shared" si="0"/>
        <v>1</v>
      </c>
      <c r="F9" s="71">
        <f>IF(I8=0,ROUND(100*(1-(I7+I9)/2/$J$3),2),ROUND(100*(1-(I8+I9)/2/$J$3),2))</f>
        <v>97.12</v>
      </c>
      <c r="G9" s="72">
        <f>_xlfn.IFNA(VLOOKUP(D9,'인원 입력 기능 (사과탐)'!$P$64:$S$112,4,FALSE),0)</f>
        <v>303</v>
      </c>
      <c r="H9" s="73">
        <f>G9/$J$3</f>
        <v>1.3793417398825511E-2</v>
      </c>
      <c r="I9" s="77">
        <f>SUM($G$7:G9)</f>
        <v>784</v>
      </c>
      <c r="J9" s="75">
        <f>I9/$J$3</f>
        <v>3.5689898484089773E-2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입력기능'!C87</f>
        <v>58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69</v>
      </c>
      <c r="E10" s="70">
        <f t="shared" si="0"/>
        <v>1</v>
      </c>
      <c r="F10" s="71">
        <f t="shared" ref="F10:F55" si="3">IF(I9=0,ROUND(100*(1-(I8+I10)/2/$J$3),2),ROUND(100*(1-(I9+I10)/2/$J$3),2))</f>
        <v>95.77</v>
      </c>
      <c r="G10" s="72">
        <f>IF(D10=D9,"",_xlfn.IFNA(VLOOKUP(D10,'인원 입력 기능 (사과탐)'!$P$64:$S$112,4,FALSE),0))</f>
        <v>289</v>
      </c>
      <c r="H10" s="73">
        <f t="shared" ref="H10:H55" si="4">G10/$J$3</f>
        <v>1.3156097783038194E-2</v>
      </c>
      <c r="I10" s="77">
        <f>SUM($G$7:G10)</f>
        <v>1073</v>
      </c>
      <c r="J10" s="75">
        <f t="shared" ref="J10:J55" si="5">I10/$J$3</f>
        <v>4.8845996267127961E-2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입력기능'!C88</f>
        <v>52</v>
      </c>
    </row>
    <row r="11" spans="1:17" ht="25" customHeight="1" x14ac:dyDescent="0.45">
      <c r="A11" s="4"/>
      <c r="B11" s="19"/>
      <c r="C11" s="69">
        <v>46</v>
      </c>
      <c r="D11" s="70">
        <f t="shared" si="2"/>
        <v>68</v>
      </c>
      <c r="E11" s="70">
        <f t="shared" si="0"/>
        <v>2</v>
      </c>
      <c r="F11" s="71">
        <f t="shared" si="3"/>
        <v>94.82</v>
      </c>
      <c r="G11" s="72">
        <f>IF(D11=D10,"",_xlfn.IFNA(VLOOKUP(D11,'인원 입력 기능 (사과탐)'!$P$64:$S$112,4,FALSE),0))</f>
        <v>130</v>
      </c>
      <c r="H11" s="73">
        <f t="shared" si="4"/>
        <v>5.9179678608822324E-3</v>
      </c>
      <c r="I11" s="77">
        <f>SUM($G$7:G11)</f>
        <v>1203</v>
      </c>
      <c r="J11" s="75">
        <f t="shared" si="5"/>
        <v>5.4763964128010198E-2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입력기능'!C89</f>
        <v>47</v>
      </c>
    </row>
    <row r="12" spans="1:17" ht="25" customHeight="1" x14ac:dyDescent="0.45">
      <c r="A12" s="4"/>
      <c r="B12" s="19"/>
      <c r="C12" s="76">
        <v>45</v>
      </c>
      <c r="D12" s="126">
        <f t="shared" si="2"/>
        <v>67</v>
      </c>
      <c r="E12" s="126">
        <f t="shared" si="0"/>
        <v>2</v>
      </c>
      <c r="F12" s="128">
        <f t="shared" si="3"/>
        <v>93.32</v>
      </c>
      <c r="G12" s="130">
        <f>IF(D12=D11,"",_xlfn.IFNA(VLOOKUP(D12,'인원 입력 기능 (사과탐)'!$P$64:$S$112,4,FALSE),0))</f>
        <v>529</v>
      </c>
      <c r="H12" s="132">
        <f t="shared" si="4"/>
        <v>2.4081576910820777E-2</v>
      </c>
      <c r="I12" s="134">
        <f>SUM($G$7:G12)</f>
        <v>1732</v>
      </c>
      <c r="J12" s="136">
        <f t="shared" si="5"/>
        <v>7.8845541038830971E-2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입력기능'!C90</f>
        <v>41</v>
      </c>
    </row>
    <row r="13" spans="1:17" ht="25" customHeight="1" x14ac:dyDescent="0.45">
      <c r="A13" s="4"/>
      <c r="B13" s="19"/>
      <c r="C13" s="69">
        <v>44</v>
      </c>
      <c r="D13" s="127"/>
      <c r="E13" s="127"/>
      <c r="F13" s="129"/>
      <c r="G13" s="131"/>
      <c r="H13" s="133"/>
      <c r="I13" s="135"/>
      <c r="J13" s="137"/>
      <c r="K13" s="28"/>
      <c r="L13" s="5" t="str">
        <f t="shared" si="1"/>
        <v>경고</v>
      </c>
      <c r="N13" s="1"/>
      <c r="P13" s="1">
        <v>7</v>
      </c>
      <c r="Q13" s="1">
        <f>'표준점수 등급컷 입력기능'!C91</f>
        <v>37</v>
      </c>
    </row>
    <row r="14" spans="1:17" ht="25" customHeight="1" x14ac:dyDescent="0.45">
      <c r="A14" s="4"/>
      <c r="B14" s="19"/>
      <c r="C14" s="76">
        <v>43</v>
      </c>
      <c r="D14" s="70">
        <f t="shared" si="2"/>
        <v>66</v>
      </c>
      <c r="E14" s="70">
        <f t="shared" si="0"/>
        <v>2</v>
      </c>
      <c r="F14" s="71">
        <f t="shared" si="3"/>
        <v>91.46</v>
      </c>
      <c r="G14" s="72">
        <f>IF(D14=D13,"",_xlfn.IFNA(VLOOKUP(D14,'인원 입력 기능 (사과탐)'!$P$64:$S$112,4,FALSE),0))</f>
        <v>286</v>
      </c>
      <c r="H14" s="73">
        <f t="shared" si="4"/>
        <v>1.3019529293940912E-2</v>
      </c>
      <c r="I14" s="77">
        <f>SUM($G$7:G14)</f>
        <v>2018</v>
      </c>
      <c r="J14" s="75">
        <f t="shared" si="5"/>
        <v>9.1865070332771886E-2</v>
      </c>
      <c r="K14" s="28"/>
      <c r="L14" s="5" t="str">
        <f t="shared" si="1"/>
        <v/>
      </c>
      <c r="N14" s="1"/>
      <c r="P14" s="1">
        <v>8</v>
      </c>
      <c r="Q14" s="1" t="str">
        <f>'표준점수 등급컷 입력기능'!C92</f>
        <v>-</v>
      </c>
    </row>
    <row r="15" spans="1:17" ht="25" customHeight="1" x14ac:dyDescent="0.45">
      <c r="A15" s="4"/>
      <c r="B15" s="19"/>
      <c r="C15" s="69">
        <v>42</v>
      </c>
      <c r="D15" s="70">
        <f t="shared" si="2"/>
        <v>65</v>
      </c>
      <c r="E15" s="70">
        <f t="shared" si="0"/>
        <v>2</v>
      </c>
      <c r="F15" s="71">
        <f t="shared" si="3"/>
        <v>90.11</v>
      </c>
      <c r="G15" s="72">
        <f>IF(D15=D14,"",_xlfn.IFNA(VLOOKUP(D15,'인원 입력 기능 (사과탐)'!$P$64:$S$112,4,FALSE),0))</f>
        <v>311</v>
      </c>
      <c r="H15" s="73">
        <f t="shared" si="4"/>
        <v>1.4157600036418264E-2</v>
      </c>
      <c r="I15" s="77">
        <f>SUM($G$7:G15)</f>
        <v>2329</v>
      </c>
      <c r="J15" s="75">
        <f t="shared" si="5"/>
        <v>0.10602267036919015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64</v>
      </c>
      <c r="E16" s="70">
        <f t="shared" si="0"/>
        <v>2</v>
      </c>
      <c r="F16" s="71">
        <f t="shared" si="3"/>
        <v>88.92</v>
      </c>
      <c r="G16" s="72">
        <f>IF(D16=D15,"",_xlfn.IFNA(VLOOKUP(D16,'인원 입력 기능 (사과탐)'!$P$64:$S$112,4,FALSE),0))</f>
        <v>212</v>
      </c>
      <c r="H16" s="73">
        <f t="shared" si="4"/>
        <v>9.6508398962079477E-3</v>
      </c>
      <c r="I16" s="77">
        <f>SUM($G$7:G16)</f>
        <v>2541</v>
      </c>
      <c r="J16" s="75">
        <f t="shared" si="5"/>
        <v>0.1156735102653981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63</v>
      </c>
      <c r="E17" s="70">
        <f t="shared" si="0"/>
        <v>3</v>
      </c>
      <c r="F17" s="71">
        <f t="shared" si="3"/>
        <v>87.57</v>
      </c>
      <c r="G17" s="72">
        <f>IF(D17=D16,"",_xlfn.IFNA(VLOOKUP(D17,'인원 입력 기능 (사과탐)'!$P$64:$S$112,4,FALSE),0))</f>
        <v>381</v>
      </c>
      <c r="H17" s="73">
        <f t="shared" si="4"/>
        <v>1.7344198115354849E-2</v>
      </c>
      <c r="I17" s="77">
        <f>SUM($G$7:G17)</f>
        <v>2922</v>
      </c>
      <c r="J17" s="75">
        <f t="shared" si="5"/>
        <v>0.13301770838075294</v>
      </c>
      <c r="K17" s="28"/>
      <c r="L17" s="5" t="str">
        <f t="shared" si="1"/>
        <v/>
      </c>
      <c r="N17" s="1"/>
      <c r="P17" s="1">
        <f>Q7*H3*H4*J3*IFERROR(IF(J57=1, 1, 0), 0)</f>
        <v>439990741.62119997</v>
      </c>
    </row>
    <row r="18" spans="1:16" ht="25" customHeight="1" x14ac:dyDescent="0.45">
      <c r="A18" s="4"/>
      <c r="B18" s="19"/>
      <c r="C18" s="76">
        <v>39</v>
      </c>
      <c r="D18" s="126">
        <f t="shared" si="2"/>
        <v>62</v>
      </c>
      <c r="E18" s="126">
        <f t="shared" si="0"/>
        <v>3</v>
      </c>
      <c r="F18" s="128">
        <f t="shared" si="3"/>
        <v>85.34</v>
      </c>
      <c r="G18" s="130">
        <f>IF(D18=D17,"",_xlfn.IFNA(VLOOKUP(D18,'인원 입력 기능 (사과탐)'!$P$64:$S$112,4,FALSE),0))</f>
        <v>597</v>
      </c>
      <c r="H18" s="132">
        <f t="shared" si="4"/>
        <v>2.7177129330359175E-2</v>
      </c>
      <c r="I18" s="134">
        <f>SUM($G$7:G18)</f>
        <v>3519</v>
      </c>
      <c r="J18" s="136">
        <f t="shared" si="5"/>
        <v>0.16019483771111212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127"/>
      <c r="E19" s="127"/>
      <c r="F19" s="129"/>
      <c r="G19" s="131"/>
      <c r="H19" s="133"/>
      <c r="I19" s="135"/>
      <c r="J19" s="137"/>
      <c r="K19" s="28"/>
      <c r="L19" s="5" t="str">
        <f t="shared" si="1"/>
        <v>경고</v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61</v>
      </c>
      <c r="E20" s="70">
        <f t="shared" si="0"/>
        <v>3</v>
      </c>
      <c r="F20" s="71">
        <f t="shared" si="3"/>
        <v>83.08</v>
      </c>
      <c r="G20" s="72">
        <f>IF(D20=D19,"",_xlfn.IFNA(VLOOKUP(D20,'인원 입력 기능 (사과탐)'!$P$64:$S$112,4,FALSE),0))</f>
        <v>396</v>
      </c>
      <c r="H20" s="73">
        <f t="shared" si="4"/>
        <v>1.8027040560841263E-2</v>
      </c>
      <c r="I20" s="77">
        <f>SUM($G$7:G20)</f>
        <v>3915</v>
      </c>
      <c r="J20" s="75">
        <f t="shared" si="5"/>
        <v>0.17822187827195338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60</v>
      </c>
      <c r="E21" s="79">
        <f t="shared" si="0"/>
        <v>3</v>
      </c>
      <c r="F21" s="71">
        <f t="shared" si="3"/>
        <v>81.42</v>
      </c>
      <c r="G21" s="72">
        <f>IF(D21=D20,"",_xlfn.IFNA(VLOOKUP(D21,'인원 입력 기능 (사과탐)'!$P$64:$S$112,4,FALSE),0))</f>
        <v>332</v>
      </c>
      <c r="H21" s="73">
        <f t="shared" si="4"/>
        <v>1.511357946009924E-2</v>
      </c>
      <c r="I21" s="77">
        <f>SUM($G$7:G21)</f>
        <v>4247</v>
      </c>
      <c r="J21" s="75">
        <f t="shared" si="5"/>
        <v>0.19333545773205263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59</v>
      </c>
      <c r="E22" s="79">
        <f t="shared" si="0"/>
        <v>3</v>
      </c>
      <c r="F22" s="71">
        <f t="shared" si="3"/>
        <v>79.56</v>
      </c>
      <c r="G22" s="72">
        <f>IF(D22=D21,"",_xlfn.IFNA(VLOOKUP(D22,'인원 입력 기능 (사과탐)'!$P$64:$S$112,4,FALSE),0))</f>
        <v>486</v>
      </c>
      <c r="H22" s="73">
        <f t="shared" si="4"/>
        <v>2.212409523375973E-2</v>
      </c>
      <c r="I22" s="77">
        <f>SUM($G$7:G22)</f>
        <v>4733</v>
      </c>
      <c r="J22" s="75">
        <f t="shared" si="5"/>
        <v>0.21545955296581235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58</v>
      </c>
      <c r="E23" s="79">
        <f t="shared" si="0"/>
        <v>3</v>
      </c>
      <c r="F23" s="71">
        <f t="shared" si="3"/>
        <v>77.56</v>
      </c>
      <c r="G23" s="72">
        <f>IF(D23=D22,"",_xlfn.IFNA(VLOOKUP(D23,'인원 입력 기능 (사과탐)'!$P$64:$S$112,4,FALSE),0))</f>
        <v>391</v>
      </c>
      <c r="H23" s="73">
        <f t="shared" si="4"/>
        <v>1.7799426412345793E-2</v>
      </c>
      <c r="I23" s="77">
        <f>SUM($G$7:G23)</f>
        <v>5124</v>
      </c>
      <c r="J23" s="75">
        <f t="shared" si="5"/>
        <v>0.23325897937815815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138">
        <f t="shared" si="2"/>
        <v>57</v>
      </c>
      <c r="E24" s="138">
        <f t="shared" si="0"/>
        <v>4</v>
      </c>
      <c r="F24" s="128">
        <f t="shared" si="3"/>
        <v>74.47</v>
      </c>
      <c r="G24" s="130">
        <f>IF(D24=D23,"",_xlfn.IFNA(VLOOKUP(D24,'인원 입력 기능 (사과탐)'!$P$64:$S$112,4,FALSE),0))</f>
        <v>970</v>
      </c>
      <c r="H24" s="132">
        <f t="shared" si="4"/>
        <v>4.4157144808121274E-2</v>
      </c>
      <c r="I24" s="134">
        <f>SUM($G$7:G24)</f>
        <v>6094</v>
      </c>
      <c r="J24" s="136">
        <f t="shared" si="5"/>
        <v>0.27741612418627942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139"/>
      <c r="E25" s="139"/>
      <c r="F25" s="129"/>
      <c r="G25" s="131"/>
      <c r="H25" s="133"/>
      <c r="I25" s="135"/>
      <c r="J25" s="137"/>
      <c r="K25" s="28"/>
      <c r="L25" s="5" t="str">
        <f t="shared" si="1"/>
        <v>경고</v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56</v>
      </c>
      <c r="E26" s="79">
        <f t="shared" si="0"/>
        <v>4</v>
      </c>
      <c r="F26" s="71">
        <f t="shared" si="3"/>
        <v>71.16</v>
      </c>
      <c r="G26" s="72">
        <f>IF(D26=D25,"",_xlfn.IFNA(VLOOKUP(D26,'인원 입력 기능 (사과탐)'!$P$64:$S$112,4,FALSE),0))</f>
        <v>482</v>
      </c>
      <c r="H26" s="73">
        <f t="shared" si="4"/>
        <v>2.1942003914963353E-2</v>
      </c>
      <c r="I26" s="77">
        <f>SUM($G$7:G26)</f>
        <v>6576</v>
      </c>
      <c r="J26" s="75">
        <f t="shared" si="5"/>
        <v>0.29935812810124279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55</v>
      </c>
      <c r="E27" s="79">
        <f t="shared" si="0"/>
        <v>4</v>
      </c>
      <c r="F27" s="71">
        <f t="shared" si="3"/>
        <v>68.739999999999995</v>
      </c>
      <c r="G27" s="72">
        <f>IF(D27=D26,"",_xlfn.IFNA(VLOOKUP(D27,'인원 입력 기능 (사과탐)'!$P$64:$S$112,4,FALSE),0))</f>
        <v>583</v>
      </c>
      <c r="H27" s="73">
        <f t="shared" si="4"/>
        <v>2.6539809714571858E-2</v>
      </c>
      <c r="I27" s="77">
        <f>SUM($G$7:G27)</f>
        <v>7159</v>
      </c>
      <c r="J27" s="75">
        <f t="shared" si="5"/>
        <v>0.32589793781581461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54</v>
      </c>
      <c r="E28" s="79">
        <f t="shared" si="0"/>
        <v>4</v>
      </c>
      <c r="F28" s="71">
        <f t="shared" si="3"/>
        <v>66.17</v>
      </c>
      <c r="G28" s="72">
        <f>IF(D28=D27,"",_xlfn.IFNA(VLOOKUP(D28,'인원 입력 기능 (사과탐)'!$P$64:$S$112,4,FALSE),0))</f>
        <v>543</v>
      </c>
      <c r="H28" s="73">
        <f t="shared" si="4"/>
        <v>2.4718896526608095E-2</v>
      </c>
      <c r="I28" s="77">
        <f>SUM($G$7:G28)</f>
        <v>7702</v>
      </c>
      <c r="J28" s="75">
        <f t="shared" si="5"/>
        <v>0.35061683434242275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53</v>
      </c>
      <c r="E29" s="79">
        <f t="shared" si="0"/>
        <v>4</v>
      </c>
      <c r="F29" s="71">
        <f t="shared" si="3"/>
        <v>63.65</v>
      </c>
      <c r="G29" s="72">
        <f>IF(D29=D28,"",_xlfn.IFNA(VLOOKUP(D29,'인원 입력 기능 (사과탐)'!$P$64:$S$112,4,FALSE),0))</f>
        <v>568</v>
      </c>
      <c r="H29" s="73">
        <f t="shared" si="4"/>
        <v>2.5856967269085446E-2</v>
      </c>
      <c r="I29" s="77">
        <f>SUM($G$7:G29)</f>
        <v>8270</v>
      </c>
      <c r="J29" s="75">
        <f t="shared" si="5"/>
        <v>0.37647380161150817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138">
        <f t="shared" si="2"/>
        <v>52</v>
      </c>
      <c r="E30" s="138">
        <f t="shared" si="0"/>
        <v>4</v>
      </c>
      <c r="F30" s="128">
        <f t="shared" si="3"/>
        <v>59.59</v>
      </c>
      <c r="G30" s="130">
        <f>IF(D30=D29,"",_xlfn.IFNA(VLOOKUP(D30,'인원 입력 기능 (사과탐)'!$P$64:$S$112,4,FALSE),0))</f>
        <v>1212</v>
      </c>
      <c r="H30" s="132">
        <f t="shared" si="4"/>
        <v>5.5173669595302045E-2</v>
      </c>
      <c r="I30" s="134">
        <f>SUM($G$7:G30)</f>
        <v>9482</v>
      </c>
      <c r="J30" s="136">
        <f t="shared" si="5"/>
        <v>0.43164747120681024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139"/>
      <c r="E31" s="139"/>
      <c r="F31" s="129"/>
      <c r="G31" s="131"/>
      <c r="H31" s="133"/>
      <c r="I31" s="135"/>
      <c r="J31" s="137"/>
      <c r="K31" s="28"/>
      <c r="L31" s="5" t="str">
        <f t="shared" si="1"/>
        <v>경고</v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51</v>
      </c>
      <c r="E32" s="79">
        <f t="shared" si="0"/>
        <v>5</v>
      </c>
      <c r="F32" s="71">
        <f t="shared" si="3"/>
        <v>55.28</v>
      </c>
      <c r="G32" s="72">
        <f>IF(D32=D31,"",_xlfn.IFNA(VLOOKUP(D32,'인원 입력 기능 (사과탐)'!$P$64:$S$112,4,FALSE),0))</f>
        <v>685</v>
      </c>
      <c r="H32" s="73">
        <f t="shared" si="4"/>
        <v>3.1183138343879455E-2</v>
      </c>
      <c r="I32" s="77">
        <f>SUM($G$7:G32)</f>
        <v>10167</v>
      </c>
      <c r="J32" s="75">
        <f t="shared" si="5"/>
        <v>0.46283060955068966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50</v>
      </c>
      <c r="E33" s="79">
        <f t="shared" si="0"/>
        <v>5</v>
      </c>
      <c r="F33" s="71">
        <f t="shared" si="3"/>
        <v>52.33</v>
      </c>
      <c r="G33" s="72">
        <f>IF(D33=D32,"",_xlfn.IFNA(VLOOKUP(D33,'인원 입력 기능 (사과탐)'!$P$64:$S$112,4,FALSE),0))</f>
        <v>610</v>
      </c>
      <c r="H33" s="73">
        <f t="shared" si="4"/>
        <v>2.77689261164474E-2</v>
      </c>
      <c r="I33" s="77">
        <f>SUM($G$7:G33)</f>
        <v>10777</v>
      </c>
      <c r="J33" s="75">
        <f t="shared" si="5"/>
        <v>0.49059953566713704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49</v>
      </c>
      <c r="E34" s="79">
        <f t="shared" si="0"/>
        <v>5</v>
      </c>
      <c r="F34" s="71">
        <f t="shared" si="3"/>
        <v>49.51</v>
      </c>
      <c r="G34" s="72">
        <f>IF(D34=D33,"",_xlfn.IFNA(VLOOKUP(D34,'인원 입력 기능 (사과탐)'!$P$64:$S$112,4,FALSE),0))</f>
        <v>628</v>
      </c>
      <c r="H34" s="73">
        <f t="shared" si="4"/>
        <v>2.8588337051031091E-2</v>
      </c>
      <c r="I34" s="77">
        <f>SUM($G$7:G34)</f>
        <v>11405</v>
      </c>
      <c r="J34" s="75">
        <f t="shared" si="5"/>
        <v>0.51918787271816813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48</v>
      </c>
      <c r="E35" s="79">
        <f t="shared" si="0"/>
        <v>5</v>
      </c>
      <c r="F35" s="71">
        <f t="shared" si="3"/>
        <v>46.55</v>
      </c>
      <c r="G35" s="72">
        <f>IF(D35=D34,"",_xlfn.IFNA(VLOOKUP(D35,'인원 입력 기능 (사과탐)'!$P$64:$S$112,4,FALSE),0))</f>
        <v>673</v>
      </c>
      <c r="H35" s="73">
        <f t="shared" si="4"/>
        <v>3.0636864387490328E-2</v>
      </c>
      <c r="I35" s="77">
        <f>SUM($G$7:G35)</f>
        <v>12078</v>
      </c>
      <c r="J35" s="75">
        <f t="shared" si="5"/>
        <v>0.54982473710565849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138">
        <f t="shared" si="2"/>
        <v>47</v>
      </c>
      <c r="E36" s="138">
        <f t="shared" si="0"/>
        <v>5</v>
      </c>
      <c r="F36" s="128">
        <f t="shared" si="3"/>
        <v>42.24</v>
      </c>
      <c r="G36" s="130">
        <f>IF(D36=D35,"",_xlfn.IFNA(VLOOKUP(D36,'인원 입력 기능 (사과탐)'!$P$64:$S$112,4,FALSE),0))</f>
        <v>1222</v>
      </c>
      <c r="H36" s="132">
        <f t="shared" si="4"/>
        <v>5.5628897892292986E-2</v>
      </c>
      <c r="I36" s="134">
        <f>SUM($G$7:G36)</f>
        <v>13300</v>
      </c>
      <c r="J36" s="136">
        <f t="shared" si="5"/>
        <v>0.60545363499795146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139"/>
      <c r="E37" s="139"/>
      <c r="F37" s="129"/>
      <c r="G37" s="131"/>
      <c r="H37" s="133"/>
      <c r="I37" s="135"/>
      <c r="J37" s="137"/>
      <c r="K37" s="28"/>
      <c r="L37" s="5" t="str">
        <f t="shared" si="1"/>
        <v>경고</v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46</v>
      </c>
      <c r="E38" s="79">
        <f t="shared" si="0"/>
        <v>6</v>
      </c>
      <c r="F38" s="71">
        <f t="shared" si="3"/>
        <v>38.03</v>
      </c>
      <c r="G38" s="72">
        <f>IF(D38=D37,"",_xlfn.IFNA(VLOOKUP(D38,'인원 입력 기능 (사과탐)'!$P$64:$S$112,4,FALSE),0))</f>
        <v>624</v>
      </c>
      <c r="H38" s="73">
        <f t="shared" si="4"/>
        <v>2.8406245732234717E-2</v>
      </c>
      <c r="I38" s="77">
        <f>SUM($G$7:G38)</f>
        <v>13924</v>
      </c>
      <c r="J38" s="75">
        <f t="shared" si="5"/>
        <v>0.63385988073018618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45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1">
        <f t="shared" si="3"/>
        <v>35.33</v>
      </c>
      <c r="G39" s="72">
        <f>IF(D39=D38,"",_xlfn.IFNA(VLOOKUP(D39,'인원 입력 기능 (사과탐)'!$P$64:$S$112,4,FALSE),0))</f>
        <v>566</v>
      </c>
      <c r="H39" s="73">
        <f t="shared" si="4"/>
        <v>2.576592160968726E-2</v>
      </c>
      <c r="I39" s="77">
        <f>SUM($G$7:G39)</f>
        <v>14490</v>
      </c>
      <c r="J39" s="75">
        <f t="shared" si="5"/>
        <v>0.65962580233987345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44</v>
      </c>
      <c r="E40" s="79">
        <f t="shared" si="6"/>
        <v>6</v>
      </c>
      <c r="F40" s="71">
        <f t="shared" si="3"/>
        <v>32.590000000000003</v>
      </c>
      <c r="G40" s="72">
        <f>IF(D40=D39,"",_xlfn.IFNA(VLOOKUP(D40,'인원 입력 기능 (사과탐)'!$P$64:$S$112,4,FALSE),0))</f>
        <v>636</v>
      </c>
      <c r="H40" s="73">
        <f t="shared" si="4"/>
        <v>2.8952519688623845E-2</v>
      </c>
      <c r="I40" s="77">
        <f>SUM($G$7:G40)</f>
        <v>15126</v>
      </c>
      <c r="J40" s="75">
        <f t="shared" si="5"/>
        <v>0.68857832202849734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43</v>
      </c>
      <c r="E41" s="79">
        <f t="shared" si="6"/>
        <v>6</v>
      </c>
      <c r="F41" s="71">
        <f t="shared" si="3"/>
        <v>29.91</v>
      </c>
      <c r="G41" s="72">
        <f>IF(D41=D40,"",_xlfn.IFNA(VLOOKUP(D41,'인원 입력 기능 (사과탐)'!$P$64:$S$112,4,FALSE),0))</f>
        <v>543</v>
      </c>
      <c r="H41" s="73">
        <f t="shared" si="4"/>
        <v>2.4718896526608095E-2</v>
      </c>
      <c r="I41" s="77">
        <f>SUM($G$7:G41)</f>
        <v>15669</v>
      </c>
      <c r="J41" s="75">
        <f t="shared" si="5"/>
        <v>0.71329721855510542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138">
        <f t="shared" si="2"/>
        <v>42</v>
      </c>
      <c r="E42" s="138">
        <f t="shared" si="6"/>
        <v>6</v>
      </c>
      <c r="F42" s="128">
        <f t="shared" si="3"/>
        <v>26.31</v>
      </c>
      <c r="G42" s="130">
        <f>IF(D42=D41,"",_xlfn.IFNA(VLOOKUP(D42,'인원 입력 기능 (사과탐)'!$P$64:$S$112,4,FALSE),0))</f>
        <v>1036</v>
      </c>
      <c r="H42" s="132">
        <f t="shared" si="4"/>
        <v>4.7161651568261485E-2</v>
      </c>
      <c r="I42" s="134">
        <f>SUM($G$7:G42)</f>
        <v>16705</v>
      </c>
      <c r="J42" s="136">
        <f t="shared" si="5"/>
        <v>0.76045887012336688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139"/>
      <c r="E43" s="139"/>
      <c r="F43" s="129"/>
      <c r="G43" s="131"/>
      <c r="H43" s="133"/>
      <c r="I43" s="135"/>
      <c r="J43" s="137"/>
      <c r="K43" s="28"/>
      <c r="L43" s="5" t="str">
        <f t="shared" si="1"/>
        <v>경고</v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41</v>
      </c>
      <c r="E44" s="79">
        <f t="shared" si="6"/>
        <v>6</v>
      </c>
      <c r="F44" s="71">
        <f t="shared" si="3"/>
        <v>22.56</v>
      </c>
      <c r="G44" s="72">
        <f>IF(D44=D43,"",_xlfn.IFNA(VLOOKUP(D44,'인원 입력 기능 (사과탐)'!$P$64:$S$112,4,FALSE),0))</f>
        <v>613</v>
      </c>
      <c r="H44" s="73">
        <f t="shared" si="4"/>
        <v>2.790549460554468E-2</v>
      </c>
      <c r="I44" s="77">
        <f>SUM($G$7:G44)</f>
        <v>17318</v>
      </c>
      <c r="J44" s="75">
        <f t="shared" si="5"/>
        <v>0.78836436472891158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40</v>
      </c>
      <c r="E45" s="79">
        <f t="shared" si="6"/>
        <v>7</v>
      </c>
      <c r="F45" s="71">
        <f t="shared" si="3"/>
        <v>19.88</v>
      </c>
      <c r="G45" s="72">
        <f>IF(D45=D44,"",_xlfn.IFNA(VLOOKUP(D45,'인원 입력 기능 (사과탐)'!$P$64:$S$112,4,FALSE),0))</f>
        <v>562</v>
      </c>
      <c r="H45" s="73">
        <f t="shared" si="4"/>
        <v>2.5583830290890883E-2</v>
      </c>
      <c r="I45" s="77">
        <f>SUM($G$7:G45)</f>
        <v>17880</v>
      </c>
      <c r="J45" s="75">
        <f t="shared" si="5"/>
        <v>0.81394819501980242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39</v>
      </c>
      <c r="E46" s="79">
        <f t="shared" si="6"/>
        <v>7</v>
      </c>
      <c r="F46" s="71">
        <f t="shared" si="3"/>
        <v>17.62</v>
      </c>
      <c r="G46" s="72">
        <f>IF(D46=D45,"",_xlfn.IFNA(VLOOKUP(D46,'인원 입력 기능 (사과탐)'!$P$64:$S$112,4,FALSE),0))</f>
        <v>431</v>
      </c>
      <c r="H46" s="73">
        <f t="shared" si="4"/>
        <v>1.9620339600309556E-2</v>
      </c>
      <c r="I46" s="77">
        <f>SUM($G$7:G46)</f>
        <v>18311</v>
      </c>
      <c r="J46" s="75">
        <f t="shared" si="5"/>
        <v>0.83356853462011193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38</v>
      </c>
      <c r="E47" s="79">
        <f t="shared" si="6"/>
        <v>7</v>
      </c>
      <c r="F47" s="71">
        <f t="shared" si="3"/>
        <v>15.56</v>
      </c>
      <c r="G47" s="72">
        <f>IF(D47=D46,"",_xlfn.IFNA(VLOOKUP(D47,'인원 입력 기능 (사과탐)'!$P$64:$S$112,4,FALSE),0))</f>
        <v>476</v>
      </c>
      <c r="H47" s="73">
        <f t="shared" si="4"/>
        <v>2.1668866936768789E-2</v>
      </c>
      <c r="I47" s="77">
        <f>SUM($G$7:G47)</f>
        <v>18787</v>
      </c>
      <c r="J47" s="75">
        <f t="shared" si="5"/>
        <v>0.85523740155688077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156">
        <f t="shared" si="2"/>
        <v>37</v>
      </c>
      <c r="E48" s="156">
        <f t="shared" si="6"/>
        <v>7</v>
      </c>
      <c r="F48" s="157">
        <f t="shared" si="3"/>
        <v>9.23</v>
      </c>
      <c r="G48" s="158">
        <f>IF(D48=D47,"",_xlfn.IFNA(VLOOKUP(D48,'인원 입력 기능 (사과탐)'!$P$64:$S$112,4,FALSE),0))</f>
        <v>2306</v>
      </c>
      <c r="H48" s="159">
        <f t="shared" si="4"/>
        <v>0.10497564528611099</v>
      </c>
      <c r="I48" s="160">
        <f>SUM($G$7:G48)</f>
        <v>21093</v>
      </c>
      <c r="J48" s="161">
        <f t="shared" si="5"/>
        <v>0.9602130468429918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155">
        <v>8</v>
      </c>
      <c r="D49" s="162"/>
      <c r="E49" s="162"/>
      <c r="F49" s="163"/>
      <c r="G49" s="164"/>
      <c r="H49" s="165"/>
      <c r="I49" s="166"/>
      <c r="J49" s="167"/>
      <c r="K49" s="28"/>
      <c r="L49" s="5" t="str">
        <f t="shared" si="1"/>
        <v>경고</v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36</v>
      </c>
      <c r="E50" s="79">
        <f t="shared" si="6"/>
        <v>9</v>
      </c>
      <c r="F50" s="71">
        <f t="shared" si="3"/>
        <v>3.33</v>
      </c>
      <c r="G50" s="72">
        <f>IF(D50=D49,"",_xlfn.IFNA(VLOOKUP(D50,'인원 입력 기능 (사과탐)'!$P$64:$S$112,4,FALSE),0))</f>
        <v>285</v>
      </c>
      <c r="H50" s="73">
        <f t="shared" si="4"/>
        <v>1.2974006464241817E-2</v>
      </c>
      <c r="I50" s="77">
        <f>SUM($G$7:G50)</f>
        <v>21378</v>
      </c>
      <c r="J50" s="75">
        <f t="shared" si="5"/>
        <v>0.97318705330723354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35</v>
      </c>
      <c r="E51" s="79">
        <f t="shared" si="6"/>
        <v>9</v>
      </c>
      <c r="F51" s="71">
        <f t="shared" si="3"/>
        <v>2.36</v>
      </c>
      <c r="G51" s="72">
        <f>IF(D51=D50,"",_xlfn.IFNA(VLOOKUP(D51,'인원 입력 기능 (사과탐)'!$P$64:$S$112,4,FALSE),0))</f>
        <v>139</v>
      </c>
      <c r="H51" s="73">
        <f t="shared" si="4"/>
        <v>6.3276733281740797E-3</v>
      </c>
      <c r="I51" s="77">
        <f>SUM($G$7:G51)</f>
        <v>21517</v>
      </c>
      <c r="J51" s="75">
        <f t="shared" si="5"/>
        <v>0.97951472663540762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34</v>
      </c>
      <c r="E52" s="79">
        <f t="shared" si="6"/>
        <v>9</v>
      </c>
      <c r="F52" s="71">
        <f t="shared" si="3"/>
        <v>1.6</v>
      </c>
      <c r="G52" s="72">
        <f>IF(D52=D51,"",_xlfn.IFNA(VLOOKUP(D52,'인원 입력 기능 (사과탐)'!$P$64:$S$112,4,FALSE),0))</f>
        <v>199</v>
      </c>
      <c r="H52" s="73">
        <f t="shared" si="4"/>
        <v>9.0590431101197251E-3</v>
      </c>
      <c r="I52" s="77">
        <f>SUM($G$7:G52)</f>
        <v>21716</v>
      </c>
      <c r="J52" s="75">
        <f t="shared" si="5"/>
        <v>0.98857376974552735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33</v>
      </c>
      <c r="E53" s="70">
        <f t="shared" si="6"/>
        <v>9</v>
      </c>
      <c r="F53" s="71">
        <f t="shared" si="3"/>
        <v>0.93</v>
      </c>
      <c r="G53" s="72">
        <f>IF(D53=D52,"",_xlfn.IFNA(VLOOKUP(D53,'인원 입력 기능 (사과탐)'!$P$64:$S$112,4,FALSE),0))</f>
        <v>93</v>
      </c>
      <c r="H53" s="73">
        <f t="shared" si="4"/>
        <v>4.2336231620157512E-3</v>
      </c>
      <c r="I53" s="77">
        <f>SUM($G$7:G53)</f>
        <v>21809</v>
      </c>
      <c r="J53" s="75">
        <f t="shared" si="5"/>
        <v>0.99280739290754316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126">
        <f t="shared" si="2"/>
        <v>32</v>
      </c>
      <c r="E54" s="126">
        <f t="shared" si="6"/>
        <v>9</v>
      </c>
      <c r="F54" s="128">
        <f t="shared" si="3"/>
        <v>0.41</v>
      </c>
      <c r="G54" s="130">
        <f>IF(D54=D53,"",_xlfn.IFNA(VLOOKUP(D54,'인원 입력 기능 (사과탐)'!$P$64:$S$112,4,FALSE),0))</f>
        <v>134</v>
      </c>
      <c r="H54" s="132">
        <f t="shared" si="4"/>
        <v>6.1000591796786085E-3</v>
      </c>
      <c r="I54" s="134">
        <f>SUM($G$7:G54)</f>
        <v>21943</v>
      </c>
      <c r="J54" s="136">
        <f t="shared" si="5"/>
        <v>0.99890745208722176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127"/>
      <c r="E55" s="127"/>
      <c r="F55" s="129"/>
      <c r="G55" s="131"/>
      <c r="H55" s="133"/>
      <c r="I55" s="135"/>
      <c r="J55" s="137"/>
      <c r="K55" s="28"/>
      <c r="L55" s="5" t="str">
        <f t="shared" si="1"/>
        <v>경고</v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30</v>
      </c>
      <c r="E57" s="83">
        <f t="shared" si="6"/>
        <v>9</v>
      </c>
      <c r="F57" s="84">
        <f>IF(I55=0,ROUND(100*(1-(I54+I57)/2/$J$3),2),ROUND(100*(1-(I55+I57)/2/$J$3),2))</f>
        <v>0.05</v>
      </c>
      <c r="G57" s="85">
        <f>_xlfn.IFNA(VLOOKUP(D57,'인원 입력 기능 (사과탐)'!$P$64:$S$112,4,FALSE),0)</f>
        <v>24</v>
      </c>
      <c r="H57" s="86">
        <f>G57/$J$3</f>
        <v>1.0925479127782583E-3</v>
      </c>
      <c r="I57" s="87">
        <f>SUM($G$7:G57)</f>
        <v>21967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61">
    <mergeCell ref="I54:I55"/>
    <mergeCell ref="J54:J55"/>
    <mergeCell ref="D54:D55"/>
    <mergeCell ref="E54:E55"/>
    <mergeCell ref="F54:F55"/>
    <mergeCell ref="G54:G55"/>
    <mergeCell ref="H54:H55"/>
    <mergeCell ref="I42:I43"/>
    <mergeCell ref="J42:J43"/>
    <mergeCell ref="D48:D49"/>
    <mergeCell ref="E48:E49"/>
    <mergeCell ref="F48:F49"/>
    <mergeCell ref="G48:G49"/>
    <mergeCell ref="H48:H49"/>
    <mergeCell ref="I48:I49"/>
    <mergeCell ref="J48:J49"/>
    <mergeCell ref="D42:D43"/>
    <mergeCell ref="E42:E43"/>
    <mergeCell ref="F42:F43"/>
    <mergeCell ref="G42:G43"/>
    <mergeCell ref="H42:H43"/>
    <mergeCell ref="I30:I31"/>
    <mergeCell ref="J30:J31"/>
    <mergeCell ref="D36:D37"/>
    <mergeCell ref="E36:E37"/>
    <mergeCell ref="F36:F37"/>
    <mergeCell ref="G36:G37"/>
    <mergeCell ref="H36:H37"/>
    <mergeCell ref="I36:I37"/>
    <mergeCell ref="J36:J37"/>
    <mergeCell ref="D30:D31"/>
    <mergeCell ref="E30:E31"/>
    <mergeCell ref="F30:F31"/>
    <mergeCell ref="G30:G31"/>
    <mergeCell ref="H30:H31"/>
    <mergeCell ref="H18:H19"/>
    <mergeCell ref="I18:I19"/>
    <mergeCell ref="J18:J19"/>
    <mergeCell ref="D24:D25"/>
    <mergeCell ref="E24:E25"/>
    <mergeCell ref="F24:F25"/>
    <mergeCell ref="G24:G25"/>
    <mergeCell ref="H24:H25"/>
    <mergeCell ref="I24:I25"/>
    <mergeCell ref="J24:J25"/>
    <mergeCell ref="D3:F3"/>
    <mergeCell ref="D4:F4"/>
    <mergeCell ref="D8:J8"/>
    <mergeCell ref="D56:J56"/>
    <mergeCell ref="G5:J5"/>
    <mergeCell ref="D12:D13"/>
    <mergeCell ref="E12:E13"/>
    <mergeCell ref="F12:F13"/>
    <mergeCell ref="G12:G13"/>
    <mergeCell ref="H12:H13"/>
    <mergeCell ref="I12:I13"/>
    <mergeCell ref="J12:J13"/>
    <mergeCell ref="D18:D19"/>
    <mergeCell ref="E18:E19"/>
    <mergeCell ref="F18:F19"/>
    <mergeCell ref="G18:G19"/>
  </mergeCells>
  <phoneticPr fontId="1" type="noConversion"/>
  <conditionalFormatting sqref="D7:D12 D14:D18 D20:D24 D26:D30 D32:D36 D38:D42 D44:D47 D50:D54 D56:D57">
    <cfRule type="expression" dxfId="35" priority="1">
      <formula>$D7=$D8</formula>
    </cfRule>
  </conditionalFormatting>
  <conditionalFormatting sqref="C7:C48 C50:C57">
    <cfRule type="expression" dxfId="34" priority="3">
      <formula>OR(AND($D7=0,OR($D6=$Q$7:$Q$14)),AND($D8&gt;0,OR($D7=$Q$7:$Q$14)))</formula>
    </cfRule>
  </conditionalFormatting>
  <conditionalFormatting sqref="D7:J7 D8 D57:J57 D56 D9:J12 D14:J18 D20:J24 D26:J30 D32:J36 D38:J42 D44:J47 D50:J54">
    <cfRule type="expression" dxfId="33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5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기능'!D14</f>
        <v>26.53</v>
      </c>
      <c r="I3" s="15" t="s">
        <v>84</v>
      </c>
      <c r="J3" s="35">
        <f>'통계 및 응시자 수 입력 기능'!C14</f>
        <v>102703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96</v>
      </c>
      <c r="E4" s="120"/>
      <c r="F4" s="121"/>
      <c r="G4" s="37" t="s">
        <v>87</v>
      </c>
      <c r="H4" s="38" t="str">
        <f>'통계 및 응시자 수 입력 기능'!E14</f>
        <v>12.49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69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98.79</v>
      </c>
      <c r="G7" s="72">
        <f>_xlfn.IFNA(VLOOKUP(D7,'인원 입력 기능 (사과탐)'!$A$121:$D$169,4,FALSE),0)</f>
        <v>2494</v>
      </c>
      <c r="H7" s="73">
        <f>G7/$J$3</f>
        <v>2.4283613915854454E-2</v>
      </c>
      <c r="I7" s="74">
        <f>G7</f>
        <v>2494</v>
      </c>
      <c r="J7" s="75">
        <f>I7/$J$3</f>
        <v>2.4283613915854454E-2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입력기능'!C94</f>
        <v>66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입력기능'!C95</f>
        <v>63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67</v>
      </c>
      <c r="E9" s="70">
        <f t="shared" si="0"/>
        <v>1</v>
      </c>
      <c r="F9" s="71">
        <f>IF(I8=0,ROUND(100*(1-(I7+I9)/2/$J$3),2),ROUND(100*(1-(I8+I9)/2/$J$3),2))</f>
        <v>96.95</v>
      </c>
      <c r="G9" s="72">
        <f>_xlfn.IFNA(VLOOKUP(D9,'인원 입력 기능 (사과탐)'!$A$121:$D$169,4,FALSE),0)</f>
        <v>1274</v>
      </c>
      <c r="H9" s="73">
        <f>G9/$J$3</f>
        <v>1.2404700933760456E-2</v>
      </c>
      <c r="I9" s="77">
        <f>SUM($G$7:G9)</f>
        <v>3768</v>
      </c>
      <c r="J9" s="75">
        <f>I9/$J$3</f>
        <v>3.6688314849614906E-2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입력기능'!C96</f>
        <v>59</v>
      </c>
    </row>
    <row r="10" spans="1:17" ht="25" customHeight="1" x14ac:dyDescent="0.45">
      <c r="A10" s="4"/>
      <c r="B10" s="19"/>
      <c r="C10" s="76">
        <v>47</v>
      </c>
      <c r="D10" s="126">
        <f t="shared" ref="D10:D55" si="2">ROUND(10*(C10-$H$3)/$H$4+50,0)</f>
        <v>66</v>
      </c>
      <c r="E10" s="126">
        <f t="shared" si="0"/>
        <v>1</v>
      </c>
      <c r="F10" s="128">
        <f t="shared" ref="F10:F55" si="3">IF(I9=0,ROUND(100*(1-(I8+I10)/2/$J$3),2),ROUND(100*(1-(I9+I10)/2/$J$3),2))</f>
        <v>95.02</v>
      </c>
      <c r="G10" s="130">
        <f>IF(D10=D9,"",_xlfn.IFNA(VLOOKUP(D10,'인원 입력 기능 (사과탐)'!$A$121:$D$169,4,FALSE),0))</f>
        <v>2697</v>
      </c>
      <c r="H10" s="132">
        <f t="shared" ref="H10:H55" si="4">G10/$J$3</f>
        <v>2.6260187141563536E-2</v>
      </c>
      <c r="I10" s="134">
        <f>SUM($G$7:G10)</f>
        <v>6465</v>
      </c>
      <c r="J10" s="136">
        <f t="shared" ref="J10:J55" si="5">I10/$J$3</f>
        <v>6.2948501991178449E-2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입력기능'!C97</f>
        <v>54</v>
      </c>
    </row>
    <row r="11" spans="1:17" ht="25" customHeight="1" x14ac:dyDescent="0.45">
      <c r="A11" s="4"/>
      <c r="B11" s="19"/>
      <c r="C11" s="69">
        <v>46</v>
      </c>
      <c r="D11" s="140"/>
      <c r="E11" s="140"/>
      <c r="F11" s="141"/>
      <c r="G11" s="142"/>
      <c r="H11" s="143"/>
      <c r="I11" s="144"/>
      <c r="J11" s="145"/>
      <c r="K11" s="28"/>
      <c r="L11" s="5" t="str">
        <f t="shared" si="1"/>
        <v>경고</v>
      </c>
      <c r="N11" s="1"/>
      <c r="P11" s="1">
        <v>5</v>
      </c>
      <c r="Q11" s="1">
        <f>'표준점수 등급컷 입력기능'!C98</f>
        <v>46</v>
      </c>
    </row>
    <row r="12" spans="1:17" ht="25" customHeight="1" x14ac:dyDescent="0.45">
      <c r="A12" s="4"/>
      <c r="B12" s="19"/>
      <c r="C12" s="76">
        <v>45</v>
      </c>
      <c r="D12" s="70">
        <f t="shared" si="2"/>
        <v>65</v>
      </c>
      <c r="E12" s="70">
        <f t="shared" si="0"/>
        <v>2</v>
      </c>
      <c r="F12" s="71">
        <f t="shared" si="3"/>
        <v>92.31</v>
      </c>
      <c r="G12" s="72">
        <f>IF(D12=D11,"",_xlfn.IFNA(VLOOKUP(D12,'인원 입력 기능 (사과탐)'!$A$121:$D$169,4,FALSE),0))</f>
        <v>2869</v>
      </c>
      <c r="H12" s="73">
        <f t="shared" si="4"/>
        <v>2.7934919135760395E-2</v>
      </c>
      <c r="I12" s="77">
        <f>SUM($G$7:G12)</f>
        <v>9334</v>
      </c>
      <c r="J12" s="75">
        <f t="shared" si="5"/>
        <v>9.088342112693884E-2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입력기능'!C99</f>
        <v>41</v>
      </c>
    </row>
    <row r="13" spans="1:17" ht="25" customHeight="1" x14ac:dyDescent="0.45">
      <c r="A13" s="4"/>
      <c r="B13" s="19"/>
      <c r="C13" s="69">
        <v>44</v>
      </c>
      <c r="D13" s="70">
        <f t="shared" si="2"/>
        <v>64</v>
      </c>
      <c r="E13" s="70">
        <f t="shared" si="0"/>
        <v>2</v>
      </c>
      <c r="F13" s="71">
        <f t="shared" si="3"/>
        <v>90.34</v>
      </c>
      <c r="G13" s="72">
        <f>IF(D13=D12,"",_xlfn.IFNA(VLOOKUP(D13,'인원 입력 기능 (사과탐)'!$A$121:$D$169,4,FALSE),0))</f>
        <v>1164</v>
      </c>
      <c r="H13" s="73">
        <f t="shared" si="4"/>
        <v>1.1333651402588045E-2</v>
      </c>
      <c r="I13" s="77">
        <f>SUM($G$7:G13)</f>
        <v>10498</v>
      </c>
      <c r="J13" s="75">
        <f t="shared" si="5"/>
        <v>0.10221707252952689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입력기능'!C100</f>
        <v>38</v>
      </c>
    </row>
    <row r="14" spans="1:17" ht="25" customHeight="1" x14ac:dyDescent="0.45">
      <c r="A14" s="4"/>
      <c r="B14" s="19"/>
      <c r="C14" s="76">
        <v>43</v>
      </c>
      <c r="D14" s="70">
        <f t="shared" si="2"/>
        <v>63</v>
      </c>
      <c r="E14" s="70">
        <f t="shared" si="0"/>
        <v>2</v>
      </c>
      <c r="F14" s="71">
        <f t="shared" si="3"/>
        <v>88.75</v>
      </c>
      <c r="G14" s="72">
        <f>IF(D14=D13,"",_xlfn.IFNA(VLOOKUP(D14,'인원 입력 기능 (사과탐)'!$A$121:$D$169,4,FALSE),0))</f>
        <v>2102</v>
      </c>
      <c r="H14" s="73">
        <f t="shared" si="4"/>
        <v>2.0466782859312777E-2</v>
      </c>
      <c r="I14" s="77">
        <f>SUM($G$7:G14)</f>
        <v>12600</v>
      </c>
      <c r="J14" s="75">
        <f t="shared" si="5"/>
        <v>0.12268385538883966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입력기능'!C101</f>
        <v>34</v>
      </c>
    </row>
    <row r="15" spans="1:17" ht="25" customHeight="1" x14ac:dyDescent="0.45">
      <c r="A15" s="4"/>
      <c r="B15" s="19"/>
      <c r="C15" s="69">
        <v>42</v>
      </c>
      <c r="D15" s="126">
        <f t="shared" si="2"/>
        <v>62</v>
      </c>
      <c r="E15" s="126">
        <f t="shared" si="0"/>
        <v>3</v>
      </c>
      <c r="F15" s="128">
        <f t="shared" si="3"/>
        <v>85.78</v>
      </c>
      <c r="G15" s="130">
        <f>IF(D15=D14,"",_xlfn.IFNA(VLOOKUP(D15,'인원 입력 기능 (사과탐)'!$A$121:$D$169,4,FALSE),0))</f>
        <v>4016</v>
      </c>
      <c r="H15" s="132">
        <f t="shared" si="4"/>
        <v>3.9103044701712705E-2</v>
      </c>
      <c r="I15" s="134">
        <f>SUM($G$7:G15)</f>
        <v>16616</v>
      </c>
      <c r="J15" s="136">
        <f t="shared" si="5"/>
        <v>0.16178690009055238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127"/>
      <c r="E16" s="127"/>
      <c r="F16" s="129"/>
      <c r="G16" s="131"/>
      <c r="H16" s="133"/>
      <c r="I16" s="135"/>
      <c r="J16" s="137"/>
      <c r="K16" s="28"/>
      <c r="L16" s="5" t="str">
        <f t="shared" si="1"/>
        <v>경고</v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61</v>
      </c>
      <c r="E17" s="70">
        <f t="shared" si="0"/>
        <v>3</v>
      </c>
      <c r="F17" s="71">
        <f t="shared" si="3"/>
        <v>82.26</v>
      </c>
      <c r="G17" s="72">
        <f>IF(D17=D16,"",_xlfn.IFNA(VLOOKUP(D17,'인원 입력 기능 (사과탐)'!$A$121:$D$169,4,FALSE),0))</f>
        <v>3200</v>
      </c>
      <c r="H17" s="73">
        <f t="shared" si="4"/>
        <v>3.1157804543197373E-2</v>
      </c>
      <c r="I17" s="77">
        <f>SUM($G$7:G17)</f>
        <v>19816</v>
      </c>
      <c r="J17" s="75">
        <f t="shared" si="5"/>
        <v>0.19294470463374974</v>
      </c>
      <c r="K17" s="28"/>
      <c r="L17" s="5" t="str">
        <f t="shared" si="1"/>
        <v/>
      </c>
      <c r="N17" s="1"/>
      <c r="P17" s="1">
        <f>Q7*H3*H4*J3*IFERROR(IF(J57=1, 1, 0), 0)</f>
        <v>2246087927.7606001</v>
      </c>
    </row>
    <row r="18" spans="1:16" ht="25" customHeight="1" x14ac:dyDescent="0.45">
      <c r="A18" s="4"/>
      <c r="B18" s="19"/>
      <c r="C18" s="76">
        <v>39</v>
      </c>
      <c r="D18" s="70">
        <f t="shared" si="2"/>
        <v>60</v>
      </c>
      <c r="E18" s="70">
        <f t="shared" si="0"/>
        <v>3</v>
      </c>
      <c r="F18" s="71">
        <f t="shared" si="3"/>
        <v>79.650000000000006</v>
      </c>
      <c r="G18" s="72">
        <f>IF(D18=D17,"",_xlfn.IFNA(VLOOKUP(D18,'인원 입력 기능 (사과탐)'!$A$121:$D$169,4,FALSE),0))</f>
        <v>2171</v>
      </c>
      <c r="H18" s="73">
        <f t="shared" si="4"/>
        <v>2.1138623019775468E-2</v>
      </c>
      <c r="I18" s="77">
        <f>SUM($G$7:G18)</f>
        <v>21987</v>
      </c>
      <c r="J18" s="75">
        <f t="shared" si="5"/>
        <v>0.21408332765352522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59</v>
      </c>
      <c r="E19" s="70">
        <f t="shared" si="0"/>
        <v>3</v>
      </c>
      <c r="F19" s="71">
        <f t="shared" si="3"/>
        <v>77.77</v>
      </c>
      <c r="G19" s="72">
        <f>IF(D19=D18,"",_xlfn.IFNA(VLOOKUP(D19,'인원 입력 기능 (사과탐)'!$A$121:$D$169,4,FALSE),0))</f>
        <v>1696</v>
      </c>
      <c r="H19" s="73">
        <f t="shared" si="4"/>
        <v>1.6513636407894609E-2</v>
      </c>
      <c r="I19" s="77">
        <f>SUM($G$7:G19)</f>
        <v>23683</v>
      </c>
      <c r="J19" s="75">
        <f t="shared" si="5"/>
        <v>0.23059696406141983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126">
        <f t="shared" si="2"/>
        <v>58</v>
      </c>
      <c r="E20" s="126">
        <f t="shared" si="0"/>
        <v>4</v>
      </c>
      <c r="F20" s="128">
        <f t="shared" si="3"/>
        <v>74.34</v>
      </c>
      <c r="G20" s="130">
        <f>IF(D20=D19,"",_xlfn.IFNA(VLOOKUP(D20,'인원 입력 기능 (사과탐)'!$A$121:$D$169,4,FALSE),0))</f>
        <v>5336</v>
      </c>
      <c r="H20" s="132">
        <f t="shared" si="4"/>
        <v>5.1955639075781622E-2</v>
      </c>
      <c r="I20" s="134">
        <f>SUM($G$7:G20)</f>
        <v>29019</v>
      </c>
      <c r="J20" s="136">
        <f t="shared" si="5"/>
        <v>0.28255260313720143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127"/>
      <c r="E21" s="127"/>
      <c r="F21" s="129"/>
      <c r="G21" s="131"/>
      <c r="H21" s="133"/>
      <c r="I21" s="135"/>
      <c r="J21" s="137"/>
      <c r="K21" s="28"/>
      <c r="L21" s="5" t="str">
        <f t="shared" si="1"/>
        <v>경고</v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57</v>
      </c>
      <c r="E22" s="79">
        <f t="shared" si="0"/>
        <v>4</v>
      </c>
      <c r="F22" s="71">
        <f t="shared" si="3"/>
        <v>70.66</v>
      </c>
      <c r="G22" s="72">
        <f>IF(D22=D21,"",_xlfn.IFNA(VLOOKUP(D22,'인원 입력 기능 (사과탐)'!$A$121:$D$169,4,FALSE),0))</f>
        <v>2221</v>
      </c>
      <c r="H22" s="73">
        <f t="shared" si="4"/>
        <v>2.1625463715762929E-2</v>
      </c>
      <c r="I22" s="77">
        <f>SUM($G$7:G22)</f>
        <v>31240</v>
      </c>
      <c r="J22" s="75">
        <f t="shared" si="5"/>
        <v>0.30417806685296439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56</v>
      </c>
      <c r="E23" s="79">
        <f t="shared" si="0"/>
        <v>4</v>
      </c>
      <c r="F23" s="71">
        <f t="shared" si="3"/>
        <v>68.040000000000006</v>
      </c>
      <c r="G23" s="72">
        <f>IF(D23=D22,"",_xlfn.IFNA(VLOOKUP(D23,'인원 입력 기능 (사과탐)'!$A$121:$D$169,4,FALSE),0))</f>
        <v>3174</v>
      </c>
      <c r="H23" s="73">
        <f t="shared" si="4"/>
        <v>3.0904647381283897E-2</v>
      </c>
      <c r="I23" s="77">
        <f>SUM($G$7:G23)</f>
        <v>34414</v>
      </c>
      <c r="J23" s="75">
        <f t="shared" si="5"/>
        <v>0.33508271423424829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55</v>
      </c>
      <c r="E24" s="79">
        <f t="shared" si="0"/>
        <v>4</v>
      </c>
      <c r="F24" s="71">
        <f t="shared" si="3"/>
        <v>65.64</v>
      </c>
      <c r="G24" s="72">
        <f>IF(D24=D23,"",_xlfn.IFNA(VLOOKUP(D24,'인원 입력 기능 (사과탐)'!$A$121:$D$169,4,FALSE),0))</f>
        <v>1743</v>
      </c>
      <c r="H24" s="73">
        <f t="shared" si="4"/>
        <v>1.6971266662122821E-2</v>
      </c>
      <c r="I24" s="77">
        <f>SUM($G$7:G24)</f>
        <v>36157</v>
      </c>
      <c r="J24" s="75">
        <f t="shared" si="5"/>
        <v>0.35205398089637108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138">
        <f t="shared" si="2"/>
        <v>54</v>
      </c>
      <c r="E25" s="138">
        <f t="shared" si="0"/>
        <v>4</v>
      </c>
      <c r="F25" s="128">
        <f t="shared" si="3"/>
        <v>62.14</v>
      </c>
      <c r="G25" s="130">
        <f>IF(D25=D24,"",_xlfn.IFNA(VLOOKUP(D25,'인원 입력 기능 (사과탐)'!$A$121:$D$169,4,FALSE),0))</f>
        <v>5460</v>
      </c>
      <c r="H25" s="132">
        <f t="shared" si="4"/>
        <v>5.3163004001830522E-2</v>
      </c>
      <c r="I25" s="134">
        <f>SUM($G$7:G25)</f>
        <v>41617</v>
      </c>
      <c r="J25" s="136">
        <f t="shared" si="5"/>
        <v>0.40521698489820163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139"/>
      <c r="E26" s="139"/>
      <c r="F26" s="129"/>
      <c r="G26" s="131"/>
      <c r="H26" s="133"/>
      <c r="I26" s="135"/>
      <c r="J26" s="137"/>
      <c r="K26" s="28"/>
      <c r="L26" s="5" t="str">
        <f t="shared" si="1"/>
        <v>경고</v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53</v>
      </c>
      <c r="E27" s="79">
        <f t="shared" si="0"/>
        <v>5</v>
      </c>
      <c r="F27" s="71">
        <f t="shared" si="3"/>
        <v>58.51</v>
      </c>
      <c r="G27" s="72">
        <f>IF(D27=D26,"",_xlfn.IFNA(VLOOKUP(D27,'인원 입력 기능 (사과탐)'!$A$121:$D$169,4,FALSE),0))</f>
        <v>1979</v>
      </c>
      <c r="H27" s="73">
        <f t="shared" si="4"/>
        <v>1.9269154747183628E-2</v>
      </c>
      <c r="I27" s="77">
        <f>SUM($G$7:G27)</f>
        <v>43596</v>
      </c>
      <c r="J27" s="75">
        <f t="shared" si="5"/>
        <v>0.42448613964538523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52</v>
      </c>
      <c r="E28" s="79">
        <f t="shared" si="0"/>
        <v>5</v>
      </c>
      <c r="F28" s="71">
        <f t="shared" si="3"/>
        <v>56.2</v>
      </c>
      <c r="G28" s="72">
        <f>IF(D28=D27,"",_xlfn.IFNA(VLOOKUP(D28,'인원 입력 기능 (사과탐)'!$A$121:$D$169,4,FALSE),0))</f>
        <v>2781</v>
      </c>
      <c r="H28" s="73">
        <f t="shared" si="4"/>
        <v>2.7078079510822469E-2</v>
      </c>
      <c r="I28" s="77">
        <f>SUM($G$7:G28)</f>
        <v>46377</v>
      </c>
      <c r="J28" s="75">
        <f t="shared" si="5"/>
        <v>0.4515642191562077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51</v>
      </c>
      <c r="E29" s="79">
        <f t="shared" si="0"/>
        <v>5</v>
      </c>
      <c r="F29" s="71">
        <f t="shared" si="3"/>
        <v>53.76</v>
      </c>
      <c r="G29" s="72">
        <f>IF(D29=D28,"",_xlfn.IFNA(VLOOKUP(D29,'인원 입력 기능 (사과탐)'!$A$121:$D$169,4,FALSE),0))</f>
        <v>2223</v>
      </c>
      <c r="H29" s="73">
        <f t="shared" si="4"/>
        <v>2.1644937343602427E-2</v>
      </c>
      <c r="I29" s="77">
        <f>SUM($G$7:G29)</f>
        <v>48600</v>
      </c>
      <c r="J29" s="75">
        <f t="shared" si="5"/>
        <v>0.47320915649981016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138">
        <f t="shared" si="2"/>
        <v>50</v>
      </c>
      <c r="E30" s="138">
        <f t="shared" si="0"/>
        <v>5</v>
      </c>
      <c r="F30" s="128">
        <f t="shared" si="3"/>
        <v>50.26</v>
      </c>
      <c r="G30" s="130">
        <f>IF(D30=D29,"",_xlfn.IFNA(VLOOKUP(D30,'인원 입력 기능 (사과탐)'!$A$121:$D$169,4,FALSE),0))</f>
        <v>4976</v>
      </c>
      <c r="H30" s="132">
        <f t="shared" si="4"/>
        <v>4.8450386064671919E-2</v>
      </c>
      <c r="I30" s="134">
        <f>SUM($G$7:G30)</f>
        <v>53576</v>
      </c>
      <c r="J30" s="136">
        <f t="shared" si="5"/>
        <v>0.5216595425644821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139"/>
      <c r="E31" s="139"/>
      <c r="F31" s="129"/>
      <c r="G31" s="131"/>
      <c r="H31" s="133"/>
      <c r="I31" s="135"/>
      <c r="J31" s="137"/>
      <c r="K31" s="28"/>
      <c r="L31" s="5" t="str">
        <f t="shared" si="1"/>
        <v>경고</v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49</v>
      </c>
      <c r="E32" s="79">
        <f t="shared" si="0"/>
        <v>5</v>
      </c>
      <c r="F32" s="71">
        <f t="shared" si="3"/>
        <v>46.8</v>
      </c>
      <c r="G32" s="72">
        <f>IF(D32=D31,"",_xlfn.IFNA(VLOOKUP(D32,'인원 입력 기능 (사과탐)'!$A$121:$D$169,4,FALSE),0))</f>
        <v>2126</v>
      </c>
      <c r="H32" s="73">
        <f t="shared" si="4"/>
        <v>2.0700466393386754E-2</v>
      </c>
      <c r="I32" s="77">
        <f>SUM($G$7:G32)</f>
        <v>55702</v>
      </c>
      <c r="J32" s="75">
        <f t="shared" si="5"/>
        <v>0.54236000895786884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48</v>
      </c>
      <c r="E33" s="79">
        <f t="shared" si="0"/>
        <v>5</v>
      </c>
      <c r="F33" s="71">
        <f t="shared" si="3"/>
        <v>44.49</v>
      </c>
      <c r="G33" s="72">
        <f>IF(D33=D32,"",_xlfn.IFNA(VLOOKUP(D33,'인원 입력 기능 (사과탐)'!$A$121:$D$169,4,FALSE),0))</f>
        <v>2618</v>
      </c>
      <c r="H33" s="73">
        <f t="shared" si="4"/>
        <v>2.5490978841903354E-2</v>
      </c>
      <c r="I33" s="77">
        <f>SUM($G$7:G33)</f>
        <v>58320</v>
      </c>
      <c r="J33" s="75">
        <f t="shared" si="5"/>
        <v>0.56785098779977217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47</v>
      </c>
      <c r="E34" s="79">
        <f t="shared" si="0"/>
        <v>5</v>
      </c>
      <c r="F34" s="71">
        <f t="shared" si="3"/>
        <v>42.03</v>
      </c>
      <c r="G34" s="72">
        <f>IF(D34=D33,"",_xlfn.IFNA(VLOOKUP(D34,'인원 입력 기능 (사과탐)'!$A$121:$D$169,4,FALSE),0))</f>
        <v>2431</v>
      </c>
      <c r="H34" s="73">
        <f t="shared" si="4"/>
        <v>2.3670194638910257E-2</v>
      </c>
      <c r="I34" s="77">
        <f>SUM($G$7:G34)</f>
        <v>60751</v>
      </c>
      <c r="J34" s="75">
        <f t="shared" si="5"/>
        <v>0.59152118243868246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138">
        <f t="shared" si="2"/>
        <v>46</v>
      </c>
      <c r="E35" s="138">
        <f t="shared" si="0"/>
        <v>5</v>
      </c>
      <c r="F35" s="128">
        <f t="shared" si="3"/>
        <v>38.49</v>
      </c>
      <c r="G35" s="130">
        <f>IF(D35=D34,"",_xlfn.IFNA(VLOOKUP(D35,'인원 입력 기능 (사과탐)'!$A$121:$D$169,4,FALSE),0))</f>
        <v>4837</v>
      </c>
      <c r="H35" s="132">
        <f t="shared" si="4"/>
        <v>4.7096968929826781E-2</v>
      </c>
      <c r="I35" s="134">
        <f>SUM($G$7:G35)</f>
        <v>65588</v>
      </c>
      <c r="J35" s="136">
        <f t="shared" si="5"/>
        <v>0.63861815136850919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146"/>
      <c r="E36" s="146"/>
      <c r="F36" s="141"/>
      <c r="G36" s="142"/>
      <c r="H36" s="143"/>
      <c r="I36" s="144"/>
      <c r="J36" s="145"/>
      <c r="K36" s="28"/>
      <c r="L36" s="5" t="str">
        <f t="shared" si="1"/>
        <v>경고</v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45</v>
      </c>
      <c r="E37" s="79">
        <f t="shared" si="0"/>
        <v>6</v>
      </c>
      <c r="F37" s="71">
        <f t="shared" si="3"/>
        <v>35.06</v>
      </c>
      <c r="G37" s="72">
        <f>IF(D37=D36,"",_xlfn.IFNA(VLOOKUP(D37,'인원 입력 기능 (사과탐)'!$A$121:$D$169,4,FALSE),0))</f>
        <v>2212</v>
      </c>
      <c r="H37" s="73">
        <f t="shared" si="4"/>
        <v>2.1537832390485186E-2</v>
      </c>
      <c r="I37" s="77">
        <f>SUM($G$7:G37)</f>
        <v>67800</v>
      </c>
      <c r="J37" s="75">
        <f t="shared" si="5"/>
        <v>0.66015598375899442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44</v>
      </c>
      <c r="E38" s="79">
        <f t="shared" si="0"/>
        <v>6</v>
      </c>
      <c r="F38" s="71">
        <f t="shared" si="3"/>
        <v>32.71</v>
      </c>
      <c r="G38" s="72">
        <f>IF(D38=D37,"",_xlfn.IFNA(VLOOKUP(D38,'인원 입력 기능 (사과탐)'!$A$121:$D$169,4,FALSE),0))</f>
        <v>2608</v>
      </c>
      <c r="H38" s="73">
        <f t="shared" si="4"/>
        <v>2.5393610702705859E-2</v>
      </c>
      <c r="I38" s="77">
        <f>SUM($G$7:G38)</f>
        <v>70408</v>
      </c>
      <c r="J38" s="75">
        <f t="shared" si="5"/>
        <v>0.68554959446170027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43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1">
        <f t="shared" si="3"/>
        <v>30.3</v>
      </c>
      <c r="G39" s="72">
        <f>IF(D39=D38,"",_xlfn.IFNA(VLOOKUP(D39,'인원 입력 기능 (사과탐)'!$A$121:$D$169,4,FALSE),0))</f>
        <v>2355</v>
      </c>
      <c r="H39" s="73">
        <f t="shared" si="4"/>
        <v>2.293019678100932E-2</v>
      </c>
      <c r="I39" s="77">
        <f>SUM($G$7:G39)</f>
        <v>72763</v>
      </c>
      <c r="J39" s="75">
        <f t="shared" si="5"/>
        <v>0.70847979124270954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138">
        <f t="shared" si="2"/>
        <v>42</v>
      </c>
      <c r="E40" s="138">
        <f t="shared" si="6"/>
        <v>6</v>
      </c>
      <c r="F40" s="128">
        <f t="shared" si="3"/>
        <v>26.84</v>
      </c>
      <c r="G40" s="130">
        <f>IF(D40=D39,"",_xlfn.IFNA(VLOOKUP(D40,'인원 입력 기능 (사과탐)'!$A$121:$D$169,4,FALSE),0))</f>
        <v>4745</v>
      </c>
      <c r="H40" s="132">
        <f t="shared" si="4"/>
        <v>4.6201182049209859E-2</v>
      </c>
      <c r="I40" s="134">
        <f>SUM($G$7:G40)</f>
        <v>77508</v>
      </c>
      <c r="J40" s="136">
        <f t="shared" si="5"/>
        <v>0.75468097329191941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139"/>
      <c r="E41" s="139"/>
      <c r="F41" s="129"/>
      <c r="G41" s="131"/>
      <c r="H41" s="133"/>
      <c r="I41" s="135"/>
      <c r="J41" s="137"/>
      <c r="K41" s="28"/>
      <c r="L41" s="5" t="str">
        <f t="shared" si="1"/>
        <v>경고</v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41</v>
      </c>
      <c r="E42" s="79">
        <f t="shared" si="6"/>
        <v>6</v>
      </c>
      <c r="F42" s="71">
        <f t="shared" si="3"/>
        <v>23.5</v>
      </c>
      <c r="G42" s="72">
        <f>IF(D42=D41,"",_xlfn.IFNA(VLOOKUP(D42,'인원 입력 기능 (사과탐)'!$A$121:$D$169,4,FALSE),0))</f>
        <v>2129</v>
      </c>
      <c r="H42" s="73">
        <f t="shared" si="4"/>
        <v>2.0729676835146003E-2</v>
      </c>
      <c r="I42" s="77">
        <f>SUM($G$7:G42)</f>
        <v>79637</v>
      </c>
      <c r="J42" s="75">
        <f t="shared" si="5"/>
        <v>0.77541065012706545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40</v>
      </c>
      <c r="E43" s="79">
        <f t="shared" si="6"/>
        <v>7</v>
      </c>
      <c r="F43" s="71">
        <f t="shared" si="3"/>
        <v>21.33</v>
      </c>
      <c r="G43" s="72">
        <f>IF(D43=D42,"",_xlfn.IFNA(VLOOKUP(D43,'인원 입력 기능 (사과탐)'!$A$121:$D$169,4,FALSE),0))</f>
        <v>2310</v>
      </c>
      <c r="H43" s="73">
        <f t="shared" si="4"/>
        <v>2.2492040154620606E-2</v>
      </c>
      <c r="I43" s="77">
        <f>SUM($G$7:G43)</f>
        <v>81947</v>
      </c>
      <c r="J43" s="75">
        <f t="shared" si="5"/>
        <v>0.79790269028168603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39</v>
      </c>
      <c r="E44" s="79">
        <f t="shared" si="6"/>
        <v>7</v>
      </c>
      <c r="F44" s="71">
        <f t="shared" si="3"/>
        <v>19.11</v>
      </c>
      <c r="G44" s="72">
        <f>IF(D44=D43,"",_xlfn.IFNA(VLOOKUP(D44,'인원 입력 기능 (사과탐)'!$A$121:$D$169,4,FALSE),0))</f>
        <v>2267</v>
      </c>
      <c r="H44" s="73">
        <f t="shared" si="4"/>
        <v>2.207335715607139E-2</v>
      </c>
      <c r="I44" s="77">
        <f>SUM($G$7:G44)</f>
        <v>84214</v>
      </c>
      <c r="J44" s="75">
        <f t="shared" si="5"/>
        <v>0.81997604743775743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138">
        <f t="shared" si="2"/>
        <v>38</v>
      </c>
      <c r="E45" s="138">
        <f t="shared" si="6"/>
        <v>7</v>
      </c>
      <c r="F45" s="128">
        <f t="shared" si="3"/>
        <v>13.99</v>
      </c>
      <c r="G45" s="130">
        <f>IF(D45=D44,"",_xlfn.IFNA(VLOOKUP(D45,'인원 입력 기능 (사과탐)'!$A$121:$D$169,4,FALSE),0))</f>
        <v>8233</v>
      </c>
      <c r="H45" s="132">
        <f t="shared" si="4"/>
        <v>8.0163189001295002E-2</v>
      </c>
      <c r="I45" s="134">
        <f>SUM($G$7:G45)</f>
        <v>92447</v>
      </c>
      <c r="J45" s="136">
        <f t="shared" si="5"/>
        <v>0.90013923643905236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139"/>
      <c r="E46" s="139"/>
      <c r="F46" s="129"/>
      <c r="G46" s="131"/>
      <c r="H46" s="133"/>
      <c r="I46" s="135"/>
      <c r="J46" s="137"/>
      <c r="K46" s="28"/>
      <c r="L46" s="5" t="str">
        <f t="shared" si="1"/>
        <v>경고</v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37</v>
      </c>
      <c r="E47" s="79">
        <f t="shared" si="6"/>
        <v>8</v>
      </c>
      <c r="F47" s="71">
        <f t="shared" si="3"/>
        <v>9.17</v>
      </c>
      <c r="G47" s="72">
        <f>IF(D47=D46,"",_xlfn.IFNA(VLOOKUP(D47,'인원 입력 기능 (사과탐)'!$A$121:$D$169,4,FALSE),0))</f>
        <v>1686</v>
      </c>
      <c r="H47" s="73">
        <f t="shared" si="4"/>
        <v>1.6416268268697118E-2</v>
      </c>
      <c r="I47" s="77">
        <f>SUM($G$7:G47)</f>
        <v>94133</v>
      </c>
      <c r="J47" s="75">
        <f t="shared" si="5"/>
        <v>0.91655550470774949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36</v>
      </c>
      <c r="E48" s="79">
        <f t="shared" si="6"/>
        <v>8</v>
      </c>
      <c r="F48" s="71">
        <f t="shared" si="3"/>
        <v>7.53</v>
      </c>
      <c r="G48" s="72">
        <f>IF(D48=D47,"",_xlfn.IFNA(VLOOKUP(D48,'인원 입력 기능 (사과탐)'!$A$121:$D$169,4,FALSE),0))</f>
        <v>1667</v>
      </c>
      <c r="H48" s="73">
        <f t="shared" si="4"/>
        <v>1.6231268804221884E-2</v>
      </c>
      <c r="I48" s="77">
        <f>SUM($G$7:G48)</f>
        <v>95800</v>
      </c>
      <c r="J48" s="75">
        <f t="shared" si="5"/>
        <v>0.93278677351197137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35</v>
      </c>
      <c r="E49" s="79">
        <f t="shared" si="6"/>
        <v>8</v>
      </c>
      <c r="F49" s="71">
        <f t="shared" si="3"/>
        <v>6.11</v>
      </c>
      <c r="G49" s="72">
        <f>IF(D49=D48,"",_xlfn.IFNA(VLOOKUP(D49,'인원 입력 기능 (사과탐)'!$A$121:$D$169,4,FALSE),0))</f>
        <v>1265</v>
      </c>
      <c r="H49" s="73">
        <f t="shared" si="4"/>
        <v>1.2317069608482712E-2</v>
      </c>
      <c r="I49" s="77">
        <f>SUM($G$7:G49)</f>
        <v>97065</v>
      </c>
      <c r="J49" s="75">
        <f t="shared" si="5"/>
        <v>0.94510384312045415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138">
        <f t="shared" si="2"/>
        <v>34</v>
      </c>
      <c r="E50" s="138">
        <f t="shared" si="6"/>
        <v>8</v>
      </c>
      <c r="F50" s="128">
        <f t="shared" si="3"/>
        <v>3.5</v>
      </c>
      <c r="G50" s="130">
        <f>IF(D50=D49,"",_xlfn.IFNA(VLOOKUP(D50,'인원 입력 기능 (사과탐)'!$A$121:$D$169,4,FALSE),0))</f>
        <v>4097</v>
      </c>
      <c r="H50" s="132">
        <f t="shared" si="4"/>
        <v>3.9891726629212386E-2</v>
      </c>
      <c r="I50" s="134">
        <f>SUM($G$7:G50)</f>
        <v>101162</v>
      </c>
      <c r="J50" s="136">
        <f t="shared" si="5"/>
        <v>0.98499556974966651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139"/>
      <c r="E51" s="139"/>
      <c r="F51" s="129"/>
      <c r="G51" s="131"/>
      <c r="H51" s="133"/>
      <c r="I51" s="135"/>
      <c r="J51" s="137"/>
      <c r="K51" s="28"/>
      <c r="L51" s="5" t="str">
        <f t="shared" si="1"/>
        <v>경고</v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33</v>
      </c>
      <c r="E52" s="79">
        <f t="shared" si="6"/>
        <v>9</v>
      </c>
      <c r="F52" s="71">
        <f t="shared" si="3"/>
        <v>1.19</v>
      </c>
      <c r="G52" s="72">
        <f>IF(D52=D51,"",_xlfn.IFNA(VLOOKUP(D52,'인원 입력 기능 (사과탐)'!$A$121:$D$169,4,FALSE),0))</f>
        <v>642</v>
      </c>
      <c r="H52" s="73">
        <f t="shared" si="4"/>
        <v>6.2510345364789732E-3</v>
      </c>
      <c r="I52" s="77">
        <f>SUM($G$7:G52)</f>
        <v>101804</v>
      </c>
      <c r="J52" s="75">
        <f t="shared" si="5"/>
        <v>0.99124660428614553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32</v>
      </c>
      <c r="E53" s="70">
        <f t="shared" si="6"/>
        <v>9</v>
      </c>
      <c r="F53" s="71">
        <f t="shared" si="3"/>
        <v>0.67</v>
      </c>
      <c r="G53" s="72">
        <f>IF(D53=D52,"",_xlfn.IFNA(VLOOKUP(D53,'인원 입력 기능 (사과탐)'!$A$121:$D$169,4,FALSE),0))</f>
        <v>416</v>
      </c>
      <c r="H53" s="73">
        <f t="shared" si="4"/>
        <v>4.0505145906156587E-3</v>
      </c>
      <c r="I53" s="77">
        <f>SUM($G$7:G53)</f>
        <v>102220</v>
      </c>
      <c r="J53" s="75">
        <f t="shared" si="5"/>
        <v>0.9952971188767612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31</v>
      </c>
      <c r="E54" s="70">
        <f t="shared" si="6"/>
        <v>9</v>
      </c>
      <c r="F54" s="71">
        <f t="shared" si="3"/>
        <v>0.38</v>
      </c>
      <c r="G54" s="72">
        <f>IF(D54=D53,"",_xlfn.IFNA(VLOOKUP(D54,'인원 입력 기능 (사과탐)'!$A$121:$D$169,4,FALSE),0))</f>
        <v>176</v>
      </c>
      <c r="H54" s="73">
        <f t="shared" si="4"/>
        <v>1.7136792498758555E-3</v>
      </c>
      <c r="I54" s="77">
        <f>SUM($G$7:G54)</f>
        <v>102396</v>
      </c>
      <c r="J54" s="75">
        <f t="shared" si="5"/>
        <v>0.99701079812663695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30</v>
      </c>
      <c r="E55" s="70">
        <f t="shared" si="6"/>
        <v>9</v>
      </c>
      <c r="F55" s="71">
        <f t="shared" si="3"/>
        <v>0.19</v>
      </c>
      <c r="G55" s="72">
        <f>IF(D55=D54,"",_xlfn.IFNA(VLOOKUP(D55,'인원 입력 기능 (사과탐)'!$A$121:$D$169,4,FALSE),0))</f>
        <v>224</v>
      </c>
      <c r="H55" s="73">
        <f t="shared" si="4"/>
        <v>2.1810463180238163E-3</v>
      </c>
      <c r="I55" s="77">
        <f>SUM($G$7:G55)</f>
        <v>102620</v>
      </c>
      <c r="J55" s="75">
        <f t="shared" si="5"/>
        <v>0.9991918444446608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29</v>
      </c>
      <c r="E57" s="83">
        <f t="shared" si="6"/>
        <v>9</v>
      </c>
      <c r="F57" s="84">
        <f>IF(I55=0,ROUND(100*(1-(I54+I57)/2/$J$3),2),ROUND(100*(1-(I55+I57)/2/$J$3),2))</f>
        <v>0.04</v>
      </c>
      <c r="G57" s="85">
        <f>_xlfn.IFNA(VLOOKUP(D57,'인원 입력 기능 (사과탐)'!$A$121:$D$169,4,FALSE),0)</f>
        <v>83</v>
      </c>
      <c r="H57" s="86">
        <f>G57/$J$3</f>
        <v>8.0815555533918194E-4</v>
      </c>
      <c r="I57" s="87">
        <f>SUM($G$7:G57)</f>
        <v>102703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68">
    <mergeCell ref="I45:I46"/>
    <mergeCell ref="J45:J46"/>
    <mergeCell ref="D50:D51"/>
    <mergeCell ref="E50:E51"/>
    <mergeCell ref="F50:F51"/>
    <mergeCell ref="G50:G51"/>
    <mergeCell ref="H50:H51"/>
    <mergeCell ref="I50:I51"/>
    <mergeCell ref="J50:J51"/>
    <mergeCell ref="D45:D46"/>
    <mergeCell ref="E45:E46"/>
    <mergeCell ref="F45:F46"/>
    <mergeCell ref="G45:G46"/>
    <mergeCell ref="H45:H46"/>
    <mergeCell ref="I35:I36"/>
    <mergeCell ref="J35:J36"/>
    <mergeCell ref="D40:D41"/>
    <mergeCell ref="E40:E41"/>
    <mergeCell ref="F40:F41"/>
    <mergeCell ref="G40:G41"/>
    <mergeCell ref="H40:H41"/>
    <mergeCell ref="I40:I41"/>
    <mergeCell ref="J40:J41"/>
    <mergeCell ref="D35:D36"/>
    <mergeCell ref="E35:E36"/>
    <mergeCell ref="F35:F36"/>
    <mergeCell ref="G35:G36"/>
    <mergeCell ref="H35:H36"/>
    <mergeCell ref="I25:I26"/>
    <mergeCell ref="J25:J26"/>
    <mergeCell ref="D30:D31"/>
    <mergeCell ref="E30:E31"/>
    <mergeCell ref="F30:F31"/>
    <mergeCell ref="G30:G31"/>
    <mergeCell ref="H30:H31"/>
    <mergeCell ref="I30:I31"/>
    <mergeCell ref="J30:J31"/>
    <mergeCell ref="D25:D26"/>
    <mergeCell ref="E25:E26"/>
    <mergeCell ref="F25:F26"/>
    <mergeCell ref="G25:G26"/>
    <mergeCell ref="H25:H26"/>
    <mergeCell ref="H15:H16"/>
    <mergeCell ref="I15:I16"/>
    <mergeCell ref="J15:J16"/>
    <mergeCell ref="D20:D21"/>
    <mergeCell ref="E20:E21"/>
    <mergeCell ref="F20:F21"/>
    <mergeCell ref="G20:G21"/>
    <mergeCell ref="H20:H21"/>
    <mergeCell ref="I20:I21"/>
    <mergeCell ref="J20:J21"/>
    <mergeCell ref="D3:F3"/>
    <mergeCell ref="D4:F4"/>
    <mergeCell ref="D8:J8"/>
    <mergeCell ref="D56:J56"/>
    <mergeCell ref="G5:J5"/>
    <mergeCell ref="D10:D11"/>
    <mergeCell ref="E10:E11"/>
    <mergeCell ref="F10:F11"/>
    <mergeCell ref="G10:G11"/>
    <mergeCell ref="H10:H11"/>
    <mergeCell ref="I10:I11"/>
    <mergeCell ref="J10:J11"/>
    <mergeCell ref="D15:D16"/>
    <mergeCell ref="E15:E16"/>
    <mergeCell ref="F15:F16"/>
    <mergeCell ref="G15:G16"/>
  </mergeCells>
  <phoneticPr fontId="1" type="noConversion"/>
  <conditionalFormatting sqref="D7:D10 D12:D15 D17:D20 D22:D25 D27:D30 D32:D35 D37:D40 D42:D45 D47:D50 D52:D57">
    <cfRule type="expression" dxfId="32" priority="1">
      <formula>$D7=$D8</formula>
    </cfRule>
  </conditionalFormatting>
  <conditionalFormatting sqref="C7:C57">
    <cfRule type="expression" dxfId="31" priority="2">
      <formula>OR(AND($D7=0,OR($D6=$Q$7:$Q$14)),AND($D8&gt;0,OR($D7=$Q$7:$Q$14)))</formula>
    </cfRule>
  </conditionalFormatting>
  <conditionalFormatting sqref="D7:J7 D8 D57:J57 D56 D9:J10 D12:J15 D17:J20 D22:J25 D27:J30 D32:J35 D37:J40 D42:J45 D47:J50 D52:J55">
    <cfRule type="expression" dxfId="30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6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기능'!D15</f>
        <v>21.66</v>
      </c>
      <c r="I3" s="15" t="s">
        <v>84</v>
      </c>
      <c r="J3" s="35">
        <f>'통계 및 응시자 수 입력 기능'!C15</f>
        <v>39727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95</v>
      </c>
      <c r="E4" s="120"/>
      <c r="F4" s="121"/>
      <c r="G4" s="37" t="s">
        <v>87</v>
      </c>
      <c r="H4" s="38" t="str">
        <f>'통계 및 응시자 수 입력 기능'!E15</f>
        <v>10.24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78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99.82</v>
      </c>
      <c r="G7" s="72">
        <f>_xlfn.IFNA(VLOOKUP(D7,'인원 입력 기능 (사과탐)'!$A$177:$D$225,4,FALSE),0)</f>
        <v>142</v>
      </c>
      <c r="H7" s="73">
        <f>G7/$J$3</f>
        <v>3.5743952475646287E-3</v>
      </c>
      <c r="I7" s="74">
        <f>G7</f>
        <v>142</v>
      </c>
      <c r="J7" s="75">
        <f>I7/$J$3</f>
        <v>3.5743952475646287E-3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입력기능'!C103</f>
        <v>70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입력기능'!C104</f>
        <v>64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76</v>
      </c>
      <c r="E9" s="70">
        <f t="shared" si="0"/>
        <v>1</v>
      </c>
      <c r="F9" s="71">
        <f>IF(I8=0,ROUND(100*(1-(I7+I9)/2/$J$3),2),ROUND(100*(1-(I8+I9)/2/$J$3),2))</f>
        <v>99.53</v>
      </c>
      <c r="G9" s="72">
        <f>_xlfn.IFNA(VLOOKUP(D9,'인원 입력 기능 (사과탐)'!$A$177:$D$225,4,FALSE),0)</f>
        <v>93</v>
      </c>
      <c r="H9" s="73">
        <f>G9/$J$3</f>
        <v>2.3409771691796509E-3</v>
      </c>
      <c r="I9" s="77">
        <f>SUM($G$7:G9)</f>
        <v>235</v>
      </c>
      <c r="J9" s="75">
        <f>I9/$J$3</f>
        <v>5.91537241674428E-3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입력기능'!C105</f>
        <v>57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75</v>
      </c>
      <c r="E10" s="70">
        <f t="shared" si="0"/>
        <v>1</v>
      </c>
      <c r="F10" s="71">
        <f t="shared" ref="F10:F55" si="3">IF(I9=0,ROUND(100*(1-(I8+I10)/2/$J$3),2),ROUND(100*(1-(I9+I10)/2/$J$3),2))</f>
        <v>99.04</v>
      </c>
      <c r="G10" s="72">
        <f>IF(D10=D9,"",_xlfn.IFNA(VLOOKUP(D10,'인원 입력 기능 (사과탐)'!$A$177:$D$225,4,FALSE),0))</f>
        <v>289</v>
      </c>
      <c r="H10" s="73">
        <f t="shared" ref="H10:H55" si="4">G10/$J$3</f>
        <v>7.2746494827195607E-3</v>
      </c>
      <c r="I10" s="77">
        <f>SUM($G$7:G10)</f>
        <v>524</v>
      </c>
      <c r="J10" s="75">
        <f t="shared" ref="J10:J55" si="5">I10/$J$3</f>
        <v>1.319002189946384E-2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입력기능'!C106</f>
        <v>51</v>
      </c>
    </row>
    <row r="11" spans="1:17" ht="25" customHeight="1" x14ac:dyDescent="0.45">
      <c r="A11" s="4"/>
      <c r="B11" s="19"/>
      <c r="C11" s="69">
        <v>46</v>
      </c>
      <c r="D11" s="70">
        <f t="shared" si="2"/>
        <v>74</v>
      </c>
      <c r="E11" s="70">
        <f t="shared" si="0"/>
        <v>1</v>
      </c>
      <c r="F11" s="71">
        <f t="shared" si="3"/>
        <v>98.63</v>
      </c>
      <c r="G11" s="72">
        <f>IF(D11=D10,"",_xlfn.IFNA(VLOOKUP(D11,'인원 입력 기능 (사과탐)'!$A$177:$D$225,4,FALSE),0))</f>
        <v>42</v>
      </c>
      <c r="H11" s="73">
        <f t="shared" si="4"/>
        <v>1.0572154957585521E-3</v>
      </c>
      <c r="I11" s="77">
        <f>SUM($G$7:G11)</f>
        <v>566</v>
      </c>
      <c r="J11" s="75">
        <f t="shared" si="5"/>
        <v>1.4247237395222392E-2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입력기능'!C107</f>
        <v>45</v>
      </c>
    </row>
    <row r="12" spans="1:17" ht="25" customHeight="1" x14ac:dyDescent="0.45">
      <c r="A12" s="4"/>
      <c r="B12" s="19"/>
      <c r="C12" s="76">
        <v>45</v>
      </c>
      <c r="D12" s="70">
        <f t="shared" si="2"/>
        <v>73</v>
      </c>
      <c r="E12" s="70">
        <f t="shared" si="0"/>
        <v>1</v>
      </c>
      <c r="F12" s="71">
        <f t="shared" si="3"/>
        <v>98.23</v>
      </c>
      <c r="G12" s="72">
        <f>IF(D12=D11,"",_xlfn.IFNA(VLOOKUP(D12,'인원 입력 기능 (사과탐)'!$A$177:$D$225,4,FALSE),0))</f>
        <v>277</v>
      </c>
      <c r="H12" s="73">
        <f t="shared" si="4"/>
        <v>6.9725879125028317E-3</v>
      </c>
      <c r="I12" s="77">
        <f>SUM($G$7:G12)</f>
        <v>843</v>
      </c>
      <c r="J12" s="75">
        <f t="shared" si="5"/>
        <v>2.1219825307725225E-2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입력기능'!C108</f>
        <v>42</v>
      </c>
    </row>
    <row r="13" spans="1:17" ht="25" customHeight="1" x14ac:dyDescent="0.45">
      <c r="A13" s="4"/>
      <c r="B13" s="19"/>
      <c r="C13" s="69">
        <v>44</v>
      </c>
      <c r="D13" s="70">
        <f t="shared" si="2"/>
        <v>72</v>
      </c>
      <c r="E13" s="70">
        <f t="shared" si="0"/>
        <v>1</v>
      </c>
      <c r="F13" s="71">
        <f t="shared" si="3"/>
        <v>97.43</v>
      </c>
      <c r="G13" s="72">
        <f>IF(D13=D12,"",_xlfn.IFNA(VLOOKUP(D13,'인원 입력 기능 (사과탐)'!$A$177:$D$225,4,FALSE),0))</f>
        <v>357</v>
      </c>
      <c r="H13" s="73">
        <f t="shared" si="4"/>
        <v>8.9863317139476928E-3</v>
      </c>
      <c r="I13" s="77">
        <f>SUM($G$7:G13)</f>
        <v>1200</v>
      </c>
      <c r="J13" s="75">
        <f t="shared" si="5"/>
        <v>3.0206157021672918E-2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입력기능'!C109</f>
        <v>39</v>
      </c>
    </row>
    <row r="14" spans="1:17" ht="25" customHeight="1" x14ac:dyDescent="0.45">
      <c r="A14" s="4"/>
      <c r="B14" s="19"/>
      <c r="C14" s="80">
        <v>43</v>
      </c>
      <c r="D14" s="89">
        <f t="shared" si="2"/>
        <v>71</v>
      </c>
      <c r="E14" s="89">
        <f t="shared" si="0"/>
        <v>1</v>
      </c>
      <c r="F14" s="71">
        <f t="shared" si="3"/>
        <v>96.76</v>
      </c>
      <c r="G14" s="72">
        <f>IF(D14=D13,"",_xlfn.IFNA(VLOOKUP(D14,'인원 입력 기능 (사과탐)'!$A$177:$D$225,4,FALSE),0))</f>
        <v>175</v>
      </c>
      <c r="H14" s="73">
        <f t="shared" si="4"/>
        <v>4.405064565660634E-3</v>
      </c>
      <c r="I14" s="77">
        <f>SUM($G$7:G14)</f>
        <v>1375</v>
      </c>
      <c r="J14" s="75">
        <f t="shared" si="5"/>
        <v>3.4611221587333554E-2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입력기능'!C110</f>
        <v>36</v>
      </c>
    </row>
    <row r="15" spans="1:17" ht="25" customHeight="1" x14ac:dyDescent="0.45">
      <c r="A15" s="4"/>
      <c r="B15" s="19"/>
      <c r="C15" s="69">
        <v>42</v>
      </c>
      <c r="D15" s="89">
        <f t="shared" ref="D15" si="6">ROUND(10*(C15-$H$3)/$H$4+50,0)</f>
        <v>70</v>
      </c>
      <c r="E15" s="89">
        <f t="shared" si="0"/>
        <v>1</v>
      </c>
      <c r="F15" s="71">
        <f t="shared" si="3"/>
        <v>95.84</v>
      </c>
      <c r="G15" s="72">
        <f>IF(D15=D14,"",_xlfn.IFNA(VLOOKUP(D15,'인원 입력 기능 (사과탐)'!$A$177:$D$225,4,FALSE),0))</f>
        <v>556</v>
      </c>
      <c r="H15" s="73">
        <f t="shared" si="4"/>
        <v>1.3995519420041786E-2</v>
      </c>
      <c r="I15" s="77">
        <f>SUM($G$7:G15)</f>
        <v>1931</v>
      </c>
      <c r="J15" s="75">
        <f t="shared" si="5"/>
        <v>4.8606741007375338E-2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69</v>
      </c>
      <c r="E16" s="70">
        <f t="shared" si="0"/>
        <v>2</v>
      </c>
      <c r="F16" s="71">
        <f t="shared" si="3"/>
        <v>94.76</v>
      </c>
      <c r="G16" s="72">
        <f>IF(D16=D15,"",_xlfn.IFNA(VLOOKUP(D16,'인원 입력 기능 (사과탐)'!$A$177:$D$225,4,FALSE),0))</f>
        <v>305</v>
      </c>
      <c r="H16" s="73">
        <f t="shared" si="4"/>
        <v>7.6773982430085336E-3</v>
      </c>
      <c r="I16" s="77">
        <f>SUM($G$7:G16)</f>
        <v>2236</v>
      </c>
      <c r="J16" s="75">
        <f t="shared" si="5"/>
        <v>5.628413925038387E-2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68</v>
      </c>
      <c r="E17" s="70">
        <f t="shared" si="0"/>
        <v>2</v>
      </c>
      <c r="F17" s="71">
        <f t="shared" si="3"/>
        <v>93.78</v>
      </c>
      <c r="G17" s="72">
        <f>IF(D17=D16,"",_xlfn.IFNA(VLOOKUP(D17,'인원 입력 기능 (사과탐)'!$A$177:$D$225,4,FALSE),0))</f>
        <v>467</v>
      </c>
      <c r="H17" s="73">
        <f t="shared" si="4"/>
        <v>1.1755229440934377E-2</v>
      </c>
      <c r="I17" s="77">
        <f>SUM($G$7:G17)</f>
        <v>2703</v>
      </c>
      <c r="J17" s="75">
        <f t="shared" si="5"/>
        <v>6.8039368691318242E-2</v>
      </c>
      <c r="K17" s="28"/>
      <c r="L17" s="5" t="str">
        <f t="shared" si="1"/>
        <v/>
      </c>
      <c r="N17" s="1"/>
      <c r="P17" s="1">
        <f>Q7*H3*H4*J3*IFERROR(IF(J57=1, 1, 0), 0)</f>
        <v>616796952.57599998</v>
      </c>
    </row>
    <row r="18" spans="1:16" ht="25" customHeight="1" x14ac:dyDescent="0.45">
      <c r="A18" s="4"/>
      <c r="B18" s="19"/>
      <c r="C18" s="76">
        <v>39</v>
      </c>
      <c r="D18" s="70">
        <f t="shared" si="2"/>
        <v>67</v>
      </c>
      <c r="E18" s="70">
        <f t="shared" si="0"/>
        <v>2</v>
      </c>
      <c r="F18" s="71">
        <f t="shared" si="3"/>
        <v>92.45</v>
      </c>
      <c r="G18" s="72">
        <f>IF(D18=D17,"",_xlfn.IFNA(VLOOKUP(D18,'인원 입력 기능 (사과탐)'!$A$177:$D$225,4,FALSE),0))</f>
        <v>594</v>
      </c>
      <c r="H18" s="73">
        <f t="shared" si="4"/>
        <v>1.4952047725728093E-2</v>
      </c>
      <c r="I18" s="77">
        <f>SUM($G$7:G18)</f>
        <v>3297</v>
      </c>
      <c r="J18" s="75">
        <f t="shared" si="5"/>
        <v>8.299141641704634E-2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66</v>
      </c>
      <c r="E19" s="70">
        <f t="shared" si="0"/>
        <v>2</v>
      </c>
      <c r="F19" s="71">
        <f t="shared" si="3"/>
        <v>91.21</v>
      </c>
      <c r="G19" s="72">
        <f>IF(D19=D18,"",_xlfn.IFNA(VLOOKUP(D19,'인원 입력 기능 (사과탐)'!$A$177:$D$225,4,FALSE),0))</f>
        <v>393</v>
      </c>
      <c r="H19" s="73">
        <f t="shared" si="4"/>
        <v>9.8925164245978799E-3</v>
      </c>
      <c r="I19" s="77">
        <f>SUM($G$7:G19)</f>
        <v>3690</v>
      </c>
      <c r="J19" s="75">
        <f t="shared" si="5"/>
        <v>9.2883932841644215E-2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65</v>
      </c>
      <c r="E20" s="70">
        <f t="shared" si="0"/>
        <v>2</v>
      </c>
      <c r="F20" s="71">
        <f t="shared" si="3"/>
        <v>89.87</v>
      </c>
      <c r="G20" s="72">
        <f>IF(D20=D19,"",_xlfn.IFNA(VLOOKUP(D20,'인원 입력 기능 (사과탐)'!$A$177:$D$225,4,FALSE),0))</f>
        <v>669</v>
      </c>
      <c r="H20" s="73">
        <f t="shared" si="4"/>
        <v>1.6839932539582651E-2</v>
      </c>
      <c r="I20" s="77">
        <f>SUM($G$7:G20)</f>
        <v>4359</v>
      </c>
      <c r="J20" s="75">
        <f t="shared" si="5"/>
        <v>0.10972386538122687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64</v>
      </c>
      <c r="E21" s="79">
        <f t="shared" si="0"/>
        <v>2</v>
      </c>
      <c r="F21" s="71">
        <f t="shared" si="3"/>
        <v>88.34</v>
      </c>
      <c r="G21" s="72">
        <f>IF(D21=D20,"",_xlfn.IFNA(VLOOKUP(D21,'인원 입력 기능 (사과탐)'!$A$177:$D$225,4,FALSE),0))</f>
        <v>543</v>
      </c>
      <c r="H21" s="73">
        <f t="shared" si="4"/>
        <v>1.3668286052306996E-2</v>
      </c>
      <c r="I21" s="77">
        <f>SUM($G$7:G21)</f>
        <v>4902</v>
      </c>
      <c r="J21" s="75">
        <f t="shared" si="5"/>
        <v>0.12339215143353387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63</v>
      </c>
      <c r="E22" s="79">
        <f t="shared" si="0"/>
        <v>3</v>
      </c>
      <c r="F22" s="71">
        <f t="shared" si="3"/>
        <v>86.93</v>
      </c>
      <c r="G22" s="72">
        <f>IF(D22=D21,"",_xlfn.IFNA(VLOOKUP(D22,'인원 입력 기능 (사과탐)'!$A$177:$D$225,4,FALSE),0))</f>
        <v>583</v>
      </c>
      <c r="H22" s="73">
        <f t="shared" si="4"/>
        <v>1.4675157953029426E-2</v>
      </c>
      <c r="I22" s="77">
        <f>SUM($G$7:G22)</f>
        <v>5485</v>
      </c>
      <c r="J22" s="75">
        <f t="shared" si="5"/>
        <v>0.13806730938656331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62</v>
      </c>
      <c r="E23" s="79">
        <f t="shared" si="0"/>
        <v>3</v>
      </c>
      <c r="F23" s="71">
        <f t="shared" si="3"/>
        <v>85.28</v>
      </c>
      <c r="G23" s="72">
        <f>IF(D23=D22,"",_xlfn.IFNA(VLOOKUP(D23,'인원 입력 기능 (사과탐)'!$A$177:$D$225,4,FALSE),0))</f>
        <v>727</v>
      </c>
      <c r="H23" s="73">
        <f t="shared" si="4"/>
        <v>1.8299896795630176E-2</v>
      </c>
      <c r="I23" s="77">
        <f>SUM($G$7:G23)</f>
        <v>6212</v>
      </c>
      <c r="J23" s="75">
        <f t="shared" si="5"/>
        <v>0.15636720618219346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61</v>
      </c>
      <c r="E24" s="79">
        <f t="shared" si="0"/>
        <v>3</v>
      </c>
      <c r="F24" s="71">
        <f t="shared" si="3"/>
        <v>83.68</v>
      </c>
      <c r="G24" s="72">
        <f>IF(D24=D23,"",_xlfn.IFNA(VLOOKUP(D24,'인원 입력 기능 (사과탐)'!$A$177:$D$225,4,FALSE),0))</f>
        <v>542</v>
      </c>
      <c r="H24" s="73">
        <f t="shared" si="4"/>
        <v>1.3643114254788934E-2</v>
      </c>
      <c r="I24" s="77">
        <f>SUM($G$7:G24)</f>
        <v>6754</v>
      </c>
      <c r="J24" s="75">
        <f t="shared" si="5"/>
        <v>0.17001032043698242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60</v>
      </c>
      <c r="E25" s="79">
        <f t="shared" si="0"/>
        <v>3</v>
      </c>
      <c r="F25" s="71">
        <f t="shared" si="3"/>
        <v>81.93</v>
      </c>
      <c r="G25" s="72">
        <f>IF(D25=D24,"",_xlfn.IFNA(VLOOKUP(D25,'인원 입력 기능 (사과탐)'!$A$177:$D$225,4,FALSE),0))</f>
        <v>850</v>
      </c>
      <c r="H25" s="73">
        <f t="shared" si="4"/>
        <v>2.1396027890351652E-2</v>
      </c>
      <c r="I25" s="77">
        <f>SUM($G$7:G25)</f>
        <v>7604</v>
      </c>
      <c r="J25" s="75">
        <f t="shared" si="5"/>
        <v>0.19140634832733405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59</v>
      </c>
      <c r="E26" s="79">
        <f t="shared" si="0"/>
        <v>3</v>
      </c>
      <c r="F26" s="71">
        <f t="shared" si="3"/>
        <v>79.930000000000007</v>
      </c>
      <c r="G26" s="72">
        <f>IF(D26=D25,"",_xlfn.IFNA(VLOOKUP(D26,'인원 입력 기능 (사과탐)'!$A$177:$D$225,4,FALSE),0))</f>
        <v>736</v>
      </c>
      <c r="H26" s="73">
        <f t="shared" si="4"/>
        <v>1.8526442973292721E-2</v>
      </c>
      <c r="I26" s="77">
        <f>SUM($G$7:G26)</f>
        <v>8340</v>
      </c>
      <c r="J26" s="75">
        <f t="shared" si="5"/>
        <v>0.20993279130062678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58</v>
      </c>
      <c r="E27" s="79">
        <f t="shared" si="0"/>
        <v>3</v>
      </c>
      <c r="F27" s="71">
        <f t="shared" si="3"/>
        <v>78.14</v>
      </c>
      <c r="G27" s="72">
        <f>IF(D27=D26,"",_xlfn.IFNA(VLOOKUP(D27,'인원 입력 기능 (사과탐)'!$A$177:$D$225,4,FALSE),0))</f>
        <v>692</v>
      </c>
      <c r="H27" s="73">
        <f t="shared" si="4"/>
        <v>1.741888388249805E-2</v>
      </c>
      <c r="I27" s="77">
        <f>SUM($G$7:G27)</f>
        <v>9032</v>
      </c>
      <c r="J27" s="75">
        <f t="shared" si="5"/>
        <v>0.22735167518312482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57</v>
      </c>
      <c r="E28" s="79">
        <f t="shared" si="0"/>
        <v>3</v>
      </c>
      <c r="F28" s="71">
        <f t="shared" si="3"/>
        <v>76.12</v>
      </c>
      <c r="G28" s="72">
        <f>IF(D28=D27,"",_xlfn.IFNA(VLOOKUP(D28,'인원 입력 기능 (사과탐)'!$A$177:$D$225,4,FALSE),0))</f>
        <v>909</v>
      </c>
      <c r="H28" s="73">
        <f t="shared" si="4"/>
        <v>2.2881163943917236E-2</v>
      </c>
      <c r="I28" s="77">
        <f>SUM($G$7:G28)</f>
        <v>9941</v>
      </c>
      <c r="J28" s="75">
        <f t="shared" si="5"/>
        <v>0.25023283912704208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56</v>
      </c>
      <c r="E29" s="79">
        <f t="shared" si="0"/>
        <v>4</v>
      </c>
      <c r="F29" s="71">
        <f t="shared" si="3"/>
        <v>73.91</v>
      </c>
      <c r="G29" s="72">
        <f>IF(D29=D28,"",_xlfn.IFNA(VLOOKUP(D29,'인원 입력 기능 (사과탐)'!$A$177:$D$225,4,FALSE),0))</f>
        <v>845</v>
      </c>
      <c r="H29" s="73">
        <f t="shared" si="4"/>
        <v>2.1270168902761347E-2</v>
      </c>
      <c r="I29" s="77">
        <f>SUM($G$7:G29)</f>
        <v>10786</v>
      </c>
      <c r="J29" s="75">
        <f t="shared" si="5"/>
        <v>0.27150300802980343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55</v>
      </c>
      <c r="E30" s="79">
        <f t="shared" si="0"/>
        <v>4</v>
      </c>
      <c r="F30" s="71">
        <f t="shared" si="3"/>
        <v>71.61</v>
      </c>
      <c r="G30" s="72">
        <f>IF(D30=D29,"",_xlfn.IFNA(VLOOKUP(D30,'인원 입력 기능 (사과탐)'!$A$177:$D$225,4,FALSE),0))</f>
        <v>987</v>
      </c>
      <c r="H30" s="73">
        <f t="shared" si="4"/>
        <v>2.4844564150325973E-2</v>
      </c>
      <c r="I30" s="77">
        <f>SUM($G$7:G30)</f>
        <v>11773</v>
      </c>
      <c r="J30" s="75">
        <f t="shared" si="5"/>
        <v>0.29634757218012936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54</v>
      </c>
      <c r="E31" s="79">
        <f t="shared" si="0"/>
        <v>4</v>
      </c>
      <c r="F31" s="71">
        <f t="shared" si="3"/>
        <v>69.06</v>
      </c>
      <c r="G31" s="72">
        <f>IF(D31=D30,"",_xlfn.IFNA(VLOOKUP(D31,'인원 입력 기능 (사과탐)'!$A$177:$D$225,4,FALSE),0))</f>
        <v>1037</v>
      </c>
      <c r="H31" s="73">
        <f t="shared" si="4"/>
        <v>2.6103154026229012E-2</v>
      </c>
      <c r="I31" s="77">
        <f>SUM($G$7:G31)</f>
        <v>12810</v>
      </c>
      <c r="J31" s="75">
        <f t="shared" si="5"/>
        <v>0.3224507262063584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53</v>
      </c>
      <c r="E32" s="79">
        <f t="shared" si="0"/>
        <v>4</v>
      </c>
      <c r="F32" s="71">
        <f t="shared" si="3"/>
        <v>66.5</v>
      </c>
      <c r="G32" s="72">
        <f>IF(D32=D31,"",_xlfn.IFNA(VLOOKUP(D32,'인원 입력 기능 (사과탐)'!$A$177:$D$225,4,FALSE),0))</f>
        <v>999</v>
      </c>
      <c r="H32" s="73">
        <f t="shared" si="4"/>
        <v>2.5146625720542704E-2</v>
      </c>
      <c r="I32" s="77">
        <f>SUM($G$7:G32)</f>
        <v>13809</v>
      </c>
      <c r="J32" s="75">
        <f t="shared" si="5"/>
        <v>0.34759735192690111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52</v>
      </c>
      <c r="E33" s="79">
        <f t="shared" si="0"/>
        <v>4</v>
      </c>
      <c r="F33" s="71">
        <f t="shared" si="3"/>
        <v>63.78</v>
      </c>
      <c r="G33" s="72">
        <f>IF(D33=D32,"",_xlfn.IFNA(VLOOKUP(D33,'인원 입력 기능 (사과탐)'!$A$177:$D$225,4,FALSE),0))</f>
        <v>1163</v>
      </c>
      <c r="H33" s="73">
        <f t="shared" si="4"/>
        <v>2.9274800513504669E-2</v>
      </c>
      <c r="I33" s="77">
        <f>SUM($G$7:G33)</f>
        <v>14972</v>
      </c>
      <c r="J33" s="75">
        <f t="shared" si="5"/>
        <v>0.37687215244040578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51</v>
      </c>
      <c r="E34" s="79">
        <f t="shared" si="0"/>
        <v>4</v>
      </c>
      <c r="F34" s="71">
        <f t="shared" si="3"/>
        <v>60.86</v>
      </c>
      <c r="G34" s="72">
        <f>IF(D34=D33,"",_xlfn.IFNA(VLOOKUP(D34,'인원 입력 기능 (사과탐)'!$A$177:$D$225,4,FALSE),0))</f>
        <v>1152</v>
      </c>
      <c r="H34" s="73">
        <f t="shared" si="4"/>
        <v>2.8997910740806002E-2</v>
      </c>
      <c r="I34" s="77">
        <f>SUM($G$7:G34)</f>
        <v>16124</v>
      </c>
      <c r="J34" s="75">
        <f t="shared" si="5"/>
        <v>0.40587006318121177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50</v>
      </c>
      <c r="E35" s="79">
        <f t="shared" si="0"/>
        <v>5</v>
      </c>
      <c r="F35" s="71">
        <f t="shared" si="3"/>
        <v>57.67</v>
      </c>
      <c r="G35" s="72">
        <f>IF(D35=D34,"",_xlfn.IFNA(VLOOKUP(D35,'인원 입력 기능 (사과탐)'!$A$177:$D$225,4,FALSE),0))</f>
        <v>1384</v>
      </c>
      <c r="H35" s="73">
        <f t="shared" si="4"/>
        <v>3.48377677649961E-2</v>
      </c>
      <c r="I35" s="77">
        <f>SUM($G$7:G35)</f>
        <v>17508</v>
      </c>
      <c r="J35" s="75">
        <f t="shared" si="5"/>
        <v>0.44070783094620786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49</v>
      </c>
      <c r="E36" s="79">
        <f t="shared" si="0"/>
        <v>5</v>
      </c>
      <c r="F36" s="71">
        <f t="shared" si="3"/>
        <v>54.2</v>
      </c>
      <c r="G36" s="72">
        <f>IF(D36=D35,"",_xlfn.IFNA(VLOOKUP(D36,'인원 입력 기능 (사과탐)'!$A$177:$D$225,4,FALSE),0))</f>
        <v>1375</v>
      </c>
      <c r="H36" s="73">
        <f t="shared" si="4"/>
        <v>3.4611221587333554E-2</v>
      </c>
      <c r="I36" s="77">
        <f>SUM($G$7:G36)</f>
        <v>18883</v>
      </c>
      <c r="J36" s="75">
        <f t="shared" si="5"/>
        <v>0.4753190525335414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48</v>
      </c>
      <c r="E37" s="79">
        <f t="shared" si="0"/>
        <v>5</v>
      </c>
      <c r="F37" s="71">
        <f t="shared" si="3"/>
        <v>50.84</v>
      </c>
      <c r="G37" s="72">
        <f>IF(D37=D36,"",_xlfn.IFNA(VLOOKUP(D37,'인원 입력 기능 (사과탐)'!$A$177:$D$225,4,FALSE),0))</f>
        <v>1294</v>
      </c>
      <c r="H37" s="73">
        <f t="shared" si="4"/>
        <v>3.2572305988370631E-2</v>
      </c>
      <c r="I37" s="77">
        <f>SUM($G$7:G37)</f>
        <v>20177</v>
      </c>
      <c r="J37" s="75">
        <f t="shared" si="5"/>
        <v>0.50789135852191203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47</v>
      </c>
      <c r="E38" s="79">
        <f t="shared" si="0"/>
        <v>5</v>
      </c>
      <c r="F38" s="71">
        <f t="shared" si="3"/>
        <v>47.21</v>
      </c>
      <c r="G38" s="72">
        <f>IF(D38=D37,"",_xlfn.IFNA(VLOOKUP(D38,'인원 입력 기능 (사과탐)'!$A$177:$D$225,4,FALSE),0))</f>
        <v>1587</v>
      </c>
      <c r="H38" s="73">
        <f t="shared" si="4"/>
        <v>3.9947642661162436E-2</v>
      </c>
      <c r="I38" s="77">
        <f>SUM($G$7:G38)</f>
        <v>21764</v>
      </c>
      <c r="J38" s="75">
        <f t="shared" si="5"/>
        <v>0.54783900118307449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46</v>
      </c>
      <c r="E39" s="79">
        <f t="shared" ref="E39:E57" si="7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1">
        <f t="shared" si="3"/>
        <v>43.4</v>
      </c>
      <c r="G39" s="72">
        <f>IF(D39=D38,"",_xlfn.IFNA(VLOOKUP(D39,'인원 입력 기능 (사과탐)'!$A$177:$D$225,4,FALSE),0))</f>
        <v>1439</v>
      </c>
      <c r="H39" s="73">
        <f t="shared" si="4"/>
        <v>3.6222216628489443E-2</v>
      </c>
      <c r="I39" s="77">
        <f>SUM($G$7:G39)</f>
        <v>23203</v>
      </c>
      <c r="J39" s="75">
        <f t="shared" si="5"/>
        <v>0.58406121781156395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45</v>
      </c>
      <c r="E40" s="79">
        <f t="shared" si="7"/>
        <v>5</v>
      </c>
      <c r="F40" s="71">
        <f t="shared" si="3"/>
        <v>39.61</v>
      </c>
      <c r="G40" s="72">
        <f>IF(D40=D39,"",_xlfn.IFNA(VLOOKUP(D40,'인원 입력 기능 (사과탐)'!$A$177:$D$225,4,FALSE),0))</f>
        <v>1576</v>
      </c>
      <c r="H40" s="73">
        <f t="shared" si="4"/>
        <v>3.9670752888463764E-2</v>
      </c>
      <c r="I40" s="77">
        <f>SUM($G$7:G40)</f>
        <v>24779</v>
      </c>
      <c r="J40" s="75">
        <f t="shared" si="5"/>
        <v>0.62373197070002773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44</v>
      </c>
      <c r="E41" s="79">
        <f t="shared" si="7"/>
        <v>6</v>
      </c>
      <c r="F41" s="71">
        <f t="shared" si="3"/>
        <v>35.58</v>
      </c>
      <c r="G41" s="72">
        <f>IF(D41=D40,"",_xlfn.IFNA(VLOOKUP(D41,'인원 입력 기능 (사과탐)'!$A$177:$D$225,4,FALSE),0))</f>
        <v>1629</v>
      </c>
      <c r="H41" s="73">
        <f t="shared" si="4"/>
        <v>4.1004858156920988E-2</v>
      </c>
      <c r="I41" s="77">
        <f>SUM($G$7:G41)</f>
        <v>26408</v>
      </c>
      <c r="J41" s="75">
        <f t="shared" si="5"/>
        <v>0.66473682885694862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138">
        <f t="shared" si="2"/>
        <v>43</v>
      </c>
      <c r="E42" s="138">
        <f t="shared" si="7"/>
        <v>6</v>
      </c>
      <c r="F42" s="128">
        <f t="shared" si="3"/>
        <v>29.1</v>
      </c>
      <c r="G42" s="130">
        <f>IF(D42=D41,"",_xlfn.IFNA(VLOOKUP(D42,'인원 입력 기능 (사과탐)'!$A$177:$D$225,4,FALSE),0))</f>
        <v>3514</v>
      </c>
      <c r="H42" s="132">
        <f t="shared" si="4"/>
        <v>8.8453696478465529E-2</v>
      </c>
      <c r="I42" s="134">
        <f>SUM($G$7:G42)</f>
        <v>29922</v>
      </c>
      <c r="J42" s="136">
        <f t="shared" si="5"/>
        <v>0.7531905253354142</v>
      </c>
      <c r="K42" s="28"/>
      <c r="L42" s="5" t="str">
        <f t="shared" si="1"/>
        <v>경고</v>
      </c>
      <c r="N42" s="1"/>
    </row>
    <row r="43" spans="1:14" ht="25" customHeight="1" x14ac:dyDescent="0.45">
      <c r="A43" s="4"/>
      <c r="B43" s="19"/>
      <c r="C43" s="78">
        <v>14</v>
      </c>
      <c r="D43" s="139"/>
      <c r="E43" s="139"/>
      <c r="F43" s="129"/>
      <c r="G43" s="131"/>
      <c r="H43" s="133"/>
      <c r="I43" s="135"/>
      <c r="J43" s="137"/>
      <c r="K43" s="28"/>
      <c r="L43" s="5" t="str">
        <f t="shared" si="1"/>
        <v>경고</v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42</v>
      </c>
      <c r="E44" s="79">
        <f t="shared" si="7"/>
        <v>6</v>
      </c>
      <c r="F44" s="71">
        <f t="shared" si="3"/>
        <v>22.49</v>
      </c>
      <c r="G44" s="72">
        <f>IF(D44=D43,"",_xlfn.IFNA(VLOOKUP(D44,'인원 입력 기능 (사과탐)'!$A$177:$D$225,4,FALSE),0))</f>
        <v>1738</v>
      </c>
      <c r="H44" s="73">
        <f t="shared" si="4"/>
        <v>4.3748584086389611E-2</v>
      </c>
      <c r="I44" s="77">
        <f>SUM($G$7:G44)</f>
        <v>31660</v>
      </c>
      <c r="J44" s="75">
        <f t="shared" si="5"/>
        <v>0.79693910942180379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41</v>
      </c>
      <c r="E45" s="79">
        <f t="shared" si="7"/>
        <v>7</v>
      </c>
      <c r="F45" s="71">
        <f t="shared" si="3"/>
        <v>17.32</v>
      </c>
      <c r="G45" s="72">
        <f>IF(D45=D44,"",_xlfn.IFNA(VLOOKUP(D45,'인원 입력 기능 (사과탐)'!$A$177:$D$225,4,FALSE),0))</f>
        <v>2371</v>
      </c>
      <c r="H45" s="73">
        <f t="shared" si="4"/>
        <v>5.9682331915322073E-2</v>
      </c>
      <c r="I45" s="77">
        <f>SUM($G$7:G45)</f>
        <v>34031</v>
      </c>
      <c r="J45" s="75">
        <f t="shared" si="5"/>
        <v>0.85662144133712592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40</v>
      </c>
      <c r="E46" s="79">
        <f t="shared" si="7"/>
        <v>7</v>
      </c>
      <c r="F46" s="71">
        <f t="shared" si="3"/>
        <v>12.88</v>
      </c>
      <c r="G46" s="72">
        <f>IF(D46=D45,"",_xlfn.IFNA(VLOOKUP(D46,'인원 입력 기능 (사과탐)'!$A$177:$D$225,4,FALSE),0))</f>
        <v>1161</v>
      </c>
      <c r="H46" s="73">
        <f t="shared" si="4"/>
        <v>2.9224456918468547E-2</v>
      </c>
      <c r="I46" s="77">
        <f>SUM($G$7:G46)</f>
        <v>35192</v>
      </c>
      <c r="J46" s="75">
        <f t="shared" si="5"/>
        <v>0.88584589825559445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39</v>
      </c>
      <c r="E47" s="79">
        <f t="shared" si="7"/>
        <v>7</v>
      </c>
      <c r="F47" s="71">
        <f t="shared" si="3"/>
        <v>10.050000000000001</v>
      </c>
      <c r="G47" s="72">
        <f>IF(D47=D46,"",_xlfn.IFNA(VLOOKUP(D47,'인원 입력 기능 (사과탐)'!$A$177:$D$225,4,FALSE),0))</f>
        <v>1082</v>
      </c>
      <c r="H47" s="73">
        <f t="shared" si="4"/>
        <v>2.7235884914541746E-2</v>
      </c>
      <c r="I47" s="77">
        <f>SUM($G$7:G47)</f>
        <v>36274</v>
      </c>
      <c r="J47" s="75">
        <f t="shared" si="5"/>
        <v>0.91308178317013622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38</v>
      </c>
      <c r="E48" s="79">
        <f t="shared" si="7"/>
        <v>8</v>
      </c>
      <c r="F48" s="71">
        <f t="shared" si="3"/>
        <v>7.44</v>
      </c>
      <c r="G48" s="72">
        <f>IF(D48=D47,"",_xlfn.IFNA(VLOOKUP(D48,'인원 입력 기능 (사과탐)'!$A$177:$D$225,4,FALSE),0))</f>
        <v>992</v>
      </c>
      <c r="H48" s="73">
        <f t="shared" si="4"/>
        <v>2.4970423137916278E-2</v>
      </c>
      <c r="I48" s="77">
        <f>SUM($G$7:G48)</f>
        <v>37266</v>
      </c>
      <c r="J48" s="75">
        <f t="shared" si="5"/>
        <v>0.93805220630805242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37</v>
      </c>
      <c r="E49" s="79">
        <f t="shared" si="7"/>
        <v>8</v>
      </c>
      <c r="F49" s="71">
        <f t="shared" si="3"/>
        <v>5.28</v>
      </c>
      <c r="G49" s="72">
        <f>IF(D49=D48,"",_xlfn.IFNA(VLOOKUP(D49,'인원 입력 기능 (사과탐)'!$A$177:$D$225,4,FALSE),0))</f>
        <v>725</v>
      </c>
      <c r="H49" s="73">
        <f t="shared" si="4"/>
        <v>1.8249553200594053E-2</v>
      </c>
      <c r="I49" s="77">
        <f>SUM($G$7:G49)</f>
        <v>37991</v>
      </c>
      <c r="J49" s="75">
        <f t="shared" si="5"/>
        <v>0.95630175950864649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36</v>
      </c>
      <c r="E50" s="79">
        <f t="shared" si="7"/>
        <v>8</v>
      </c>
      <c r="F50" s="71">
        <f t="shared" si="3"/>
        <v>3.43</v>
      </c>
      <c r="G50" s="72">
        <f>IF(D50=D49,"",_xlfn.IFNA(VLOOKUP(D50,'인원 입력 기능 (사과탐)'!$A$177:$D$225,4,FALSE),0))</f>
        <v>749</v>
      </c>
      <c r="H50" s="73">
        <f t="shared" si="4"/>
        <v>1.8853676341027512E-2</v>
      </c>
      <c r="I50" s="77">
        <f>SUM($G$7:G50)</f>
        <v>38740</v>
      </c>
      <c r="J50" s="75">
        <f t="shared" si="5"/>
        <v>0.97515543584967401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35</v>
      </c>
      <c r="E51" s="79">
        <f t="shared" si="7"/>
        <v>9</v>
      </c>
      <c r="F51" s="71">
        <f t="shared" si="3"/>
        <v>2.06</v>
      </c>
      <c r="G51" s="72">
        <f>IF(D51=D50,"",_xlfn.IFNA(VLOOKUP(D51,'인원 입력 기능 (사과탐)'!$A$177:$D$225,4,FALSE),0))</f>
        <v>340</v>
      </c>
      <c r="H51" s="73">
        <f t="shared" si="4"/>
        <v>8.5584111561406596E-3</v>
      </c>
      <c r="I51" s="77">
        <f>SUM($G$7:G51)</f>
        <v>39080</v>
      </c>
      <c r="J51" s="75">
        <f t="shared" si="5"/>
        <v>0.98371384700581466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34</v>
      </c>
      <c r="E52" s="79">
        <f t="shared" si="7"/>
        <v>9</v>
      </c>
      <c r="F52" s="71">
        <f t="shared" si="3"/>
        <v>1.29</v>
      </c>
      <c r="G52" s="72">
        <f>IF(D52=D51,"",_xlfn.IFNA(VLOOKUP(D52,'인원 입력 기능 (사과탐)'!$A$177:$D$225,4,FALSE),0))</f>
        <v>270</v>
      </c>
      <c r="H52" s="73">
        <f t="shared" si="4"/>
        <v>6.7963853298764068E-3</v>
      </c>
      <c r="I52" s="77">
        <f>SUM($G$7:G52)</f>
        <v>39350</v>
      </c>
      <c r="J52" s="75">
        <f t="shared" si="5"/>
        <v>0.99051023233569113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78">
        <v>4</v>
      </c>
      <c r="D53" s="70">
        <f t="shared" si="2"/>
        <v>33</v>
      </c>
      <c r="E53" s="70">
        <f t="shared" si="7"/>
        <v>9</v>
      </c>
      <c r="F53" s="71">
        <f t="shared" si="3"/>
        <v>0.71</v>
      </c>
      <c r="G53" s="72">
        <f>IF(D53=D52,"",_xlfn.IFNA(VLOOKUP(D53,'인원 입력 기능 (사과탐)'!$A$177:$D$225,4,FALSE),0))</f>
        <v>188</v>
      </c>
      <c r="H53" s="73">
        <f t="shared" si="4"/>
        <v>4.7322979333954233E-3</v>
      </c>
      <c r="I53" s="77">
        <f>SUM($G$7:G53)</f>
        <v>39538</v>
      </c>
      <c r="J53" s="75">
        <f t="shared" si="5"/>
        <v>0.99524253026908649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32</v>
      </c>
      <c r="E54" s="70">
        <f t="shared" si="7"/>
        <v>9</v>
      </c>
      <c r="F54" s="71">
        <f t="shared" si="3"/>
        <v>0.4</v>
      </c>
      <c r="G54" s="72">
        <f>IF(D54=D53,"",_xlfn.IFNA(VLOOKUP(D54,'인원 입력 기능 (사과탐)'!$A$177:$D$225,4,FALSE),0))</f>
        <v>58</v>
      </c>
      <c r="H54" s="73">
        <f t="shared" si="4"/>
        <v>1.4599642560475243E-3</v>
      </c>
      <c r="I54" s="77">
        <f>SUM($G$7:G54)</f>
        <v>39596</v>
      </c>
      <c r="J54" s="75">
        <f t="shared" si="5"/>
        <v>0.99670249452513404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31</v>
      </c>
      <c r="E55" s="70">
        <f t="shared" si="7"/>
        <v>9</v>
      </c>
      <c r="F55" s="71">
        <f t="shared" si="3"/>
        <v>0.21</v>
      </c>
      <c r="G55" s="72">
        <f>IF(D55=D54,"",_xlfn.IFNA(VLOOKUP(D55,'인원 입력 기능 (사과탐)'!$A$177:$D$225,4,FALSE),0))</f>
        <v>95</v>
      </c>
      <c r="H55" s="73">
        <f t="shared" si="4"/>
        <v>2.3913207642157729E-3</v>
      </c>
      <c r="I55" s="77">
        <f>SUM($G$7:G55)</f>
        <v>39691</v>
      </c>
      <c r="J55" s="75">
        <f t="shared" si="5"/>
        <v>0.99909381528934982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29</v>
      </c>
      <c r="E57" s="83">
        <f t="shared" si="7"/>
        <v>9</v>
      </c>
      <c r="F57" s="84">
        <f>IF(I55=0,ROUND(100*(1-(I54+I57)/2/$J$3),2),ROUND(100*(1-(I55+I57)/2/$J$3),2))</f>
        <v>0.05</v>
      </c>
      <c r="G57" s="85">
        <f>_xlfn.IFNA(VLOOKUP(D57,'인원 입력 기능 (사과탐)'!$A$177:$D$225,4,FALSE),0)</f>
        <v>36</v>
      </c>
      <c r="H57" s="86">
        <f>G57/$J$3</f>
        <v>9.0618471065018755E-4</v>
      </c>
      <c r="I57" s="87">
        <f>SUM($G$7:G57)</f>
        <v>39727</v>
      </c>
      <c r="J57" s="88">
        <f>I57/$J$3</f>
        <v>1</v>
      </c>
      <c r="K57" s="28"/>
      <c r="L57" s="5" t="str">
        <f t="shared" ref="L57" si="8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2">
    <mergeCell ref="D3:F3"/>
    <mergeCell ref="D4:F4"/>
    <mergeCell ref="D8:J8"/>
    <mergeCell ref="D56:J56"/>
    <mergeCell ref="G5:J5"/>
    <mergeCell ref="D42:D43"/>
    <mergeCell ref="E42:E43"/>
    <mergeCell ref="F42:F43"/>
    <mergeCell ref="G42:G43"/>
    <mergeCell ref="H42:H43"/>
    <mergeCell ref="I42:I43"/>
    <mergeCell ref="J42:J43"/>
  </mergeCells>
  <phoneticPr fontId="1" type="noConversion"/>
  <conditionalFormatting sqref="D7:D42 D44:D57">
    <cfRule type="expression" dxfId="29" priority="1">
      <formula>$D7=$D8</formula>
    </cfRule>
  </conditionalFormatting>
  <conditionalFormatting sqref="C7:C57">
    <cfRule type="expression" dxfId="28" priority="2">
      <formula>OR(AND($D7=0,OR($D6=$Q$7:$Q$14)),AND($D8&gt;0,OR($D7=$Q$7:$Q$14)))</formula>
    </cfRule>
  </conditionalFormatting>
  <conditionalFormatting sqref="D7:J7 D8 D57:J57 D56 D9:J42 D44:J55">
    <cfRule type="expression" dxfId="27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17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기능'!D16</f>
        <v>23.12</v>
      </c>
      <c r="I3" s="15" t="s">
        <v>84</v>
      </c>
      <c r="J3" s="35">
        <f>'통계 및 응시자 수 입력 기능'!C16</f>
        <v>31102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94</v>
      </c>
      <c r="E4" s="120"/>
      <c r="F4" s="121"/>
      <c r="G4" s="37" t="s">
        <v>87</v>
      </c>
      <c r="H4" s="38" t="str">
        <f>'통계 및 응시자 수 입력 기능'!E16</f>
        <v>12.44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72</v>
      </c>
      <c r="E7" s="70">
        <f t="shared" ref="E7:E3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98.48</v>
      </c>
      <c r="G7" s="72">
        <f>_xlfn.IFNA(VLOOKUP(D7,'인원 입력 기능 (사과탐)'!$F$177:$I$225,4,FALSE),0)</f>
        <v>946</v>
      </c>
      <c r="H7" s="73">
        <f>G7/$J$3</f>
        <v>3.0416050414764324E-2</v>
      </c>
      <c r="I7" s="74">
        <f>G7</f>
        <v>946</v>
      </c>
      <c r="J7" s="75">
        <f>I7/$J$3</f>
        <v>3.0416050414764324E-2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입력기능'!C112</f>
        <v>70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입력기능'!C113</f>
        <v>65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70</v>
      </c>
      <c r="E9" s="70">
        <f t="shared" si="0"/>
        <v>1</v>
      </c>
      <c r="F9" s="71">
        <f>IF(I8=0,ROUND(100*(1-(I7+I9)/2/$J$3),2),ROUND(100*(1-(I8+I9)/2/$J$3),2))</f>
        <v>96.42</v>
      </c>
      <c r="G9" s="72">
        <f>_xlfn.IFNA(VLOOKUP(D9,'인원 입력 기능 (사과탐)'!$F$177:$I$225,4,FALSE),0)</f>
        <v>336</v>
      </c>
      <c r="H9" s="73">
        <f>G9/$J$3</f>
        <v>1.0803163783679506E-2</v>
      </c>
      <c r="I9" s="77">
        <f>SUM($G$7:G9)</f>
        <v>1282</v>
      </c>
      <c r="J9" s="75">
        <f>I9/$J$3</f>
        <v>4.1219214198443828E-2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입력기능'!C114</f>
        <v>59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69</v>
      </c>
      <c r="E10" s="70">
        <f t="shared" si="0"/>
        <v>2</v>
      </c>
      <c r="F10" s="71">
        <f t="shared" ref="F10:F55" si="3">IF(I9=0,ROUND(100*(1-(I8+I10)/2/$J$3),2),ROUND(100*(1-(I9+I10)/2/$J$3),2))</f>
        <v>94.98</v>
      </c>
      <c r="G10" s="72">
        <f>IF(D10=D9,"",_xlfn.IFNA(VLOOKUP(D10,'인원 입력 기능 (사과탐)'!$F$177:$I$225,4,FALSE),0))</f>
        <v>560</v>
      </c>
      <c r="H10" s="73">
        <f t="shared" ref="H10:H55" si="4">G10/$J$3</f>
        <v>1.8005272972799177E-2</v>
      </c>
      <c r="I10" s="77">
        <f>SUM($G$7:G10)</f>
        <v>1842</v>
      </c>
      <c r="J10" s="75">
        <f t="shared" ref="J10:J55" si="5">I10/$J$3</f>
        <v>5.9224487171243005E-2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입력기능'!C115</f>
        <v>51</v>
      </c>
    </row>
    <row r="11" spans="1:17" ht="25" customHeight="1" x14ac:dyDescent="0.45">
      <c r="A11" s="4"/>
      <c r="B11" s="19"/>
      <c r="C11" s="69">
        <v>46</v>
      </c>
      <c r="D11" s="126">
        <f t="shared" si="2"/>
        <v>68</v>
      </c>
      <c r="E11" s="126">
        <f t="shared" si="0"/>
        <v>2</v>
      </c>
      <c r="F11" s="128">
        <f t="shared" si="3"/>
        <v>93.31</v>
      </c>
      <c r="G11" s="130">
        <f>IF(D11=D10,"",_xlfn.IFNA(VLOOKUP(D11,'인원 입력 기능 (사과탐)'!$F$177:$I$225,4,FALSE),0))</f>
        <v>478</v>
      </c>
      <c r="H11" s="132">
        <f t="shared" si="4"/>
        <v>1.5368786573210726E-2</v>
      </c>
      <c r="I11" s="134">
        <f>SUM($G$7:G11)</f>
        <v>2320</v>
      </c>
      <c r="J11" s="136">
        <f t="shared" si="5"/>
        <v>7.4593273744453736E-2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입력기능'!C116</f>
        <v>45</v>
      </c>
    </row>
    <row r="12" spans="1:17" ht="25" customHeight="1" x14ac:dyDescent="0.45">
      <c r="A12" s="4"/>
      <c r="B12" s="19"/>
      <c r="C12" s="76">
        <v>45</v>
      </c>
      <c r="D12" s="127"/>
      <c r="E12" s="127"/>
      <c r="F12" s="129"/>
      <c r="G12" s="131"/>
      <c r="H12" s="133"/>
      <c r="I12" s="135"/>
      <c r="J12" s="137"/>
      <c r="K12" s="28"/>
      <c r="L12" s="5" t="str">
        <f t="shared" si="1"/>
        <v>경고</v>
      </c>
      <c r="N12" s="1"/>
      <c r="P12" s="1">
        <v>6</v>
      </c>
      <c r="Q12" s="1">
        <f>'표준점수 등급컷 입력기능'!C117</f>
        <v>42</v>
      </c>
    </row>
    <row r="13" spans="1:17" ht="25" customHeight="1" x14ac:dyDescent="0.45">
      <c r="A13" s="4"/>
      <c r="B13" s="19"/>
      <c r="C13" s="69">
        <v>44</v>
      </c>
      <c r="D13" s="70">
        <f t="shared" si="2"/>
        <v>67</v>
      </c>
      <c r="E13" s="70">
        <f t="shared" si="0"/>
        <v>2</v>
      </c>
      <c r="F13" s="71">
        <f t="shared" si="3"/>
        <v>91.71</v>
      </c>
      <c r="G13" s="72">
        <f>IF(D13=D12,"",_xlfn.IFNA(VLOOKUP(D13,'인원 입력 기능 (사과탐)'!$F$177:$I$225,4,FALSE),0))</f>
        <v>517</v>
      </c>
      <c r="H13" s="73">
        <f t="shared" si="4"/>
        <v>1.6622725226673525E-2</v>
      </c>
      <c r="I13" s="77">
        <f>SUM($G$7:G13)</f>
        <v>2837</v>
      </c>
      <c r="J13" s="75">
        <f t="shared" si="5"/>
        <v>9.1215998971127255E-2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입력기능'!C118</f>
        <v>39</v>
      </c>
    </row>
    <row r="14" spans="1:17" ht="25" customHeight="1" x14ac:dyDescent="0.45">
      <c r="A14" s="4"/>
      <c r="B14" s="19"/>
      <c r="C14" s="76">
        <v>43</v>
      </c>
      <c r="D14" s="70">
        <f t="shared" si="2"/>
        <v>66</v>
      </c>
      <c r="E14" s="70">
        <f t="shared" si="0"/>
        <v>2</v>
      </c>
      <c r="F14" s="71">
        <f t="shared" si="3"/>
        <v>90.59</v>
      </c>
      <c r="G14" s="72">
        <f>IF(D14=D13,"",_xlfn.IFNA(VLOOKUP(D14,'인원 입력 기능 (사과탐)'!$F$177:$I$225,4,FALSE),0))</f>
        <v>177</v>
      </c>
      <c r="H14" s="73">
        <f t="shared" si="4"/>
        <v>5.6909523503311686E-3</v>
      </c>
      <c r="I14" s="77">
        <f>SUM($G$7:G14)</f>
        <v>3014</v>
      </c>
      <c r="J14" s="75">
        <f t="shared" si="5"/>
        <v>9.6906951321458421E-2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입력기능'!C119</f>
        <v>37</v>
      </c>
    </row>
    <row r="15" spans="1:17" ht="25" customHeight="1" x14ac:dyDescent="0.45">
      <c r="A15" s="4"/>
      <c r="B15" s="19"/>
      <c r="C15" s="69">
        <v>42</v>
      </c>
      <c r="D15" s="70">
        <f t="shared" si="2"/>
        <v>65</v>
      </c>
      <c r="E15" s="70">
        <f t="shared" si="0"/>
        <v>2</v>
      </c>
      <c r="F15" s="71">
        <f t="shared" si="3"/>
        <v>89.52</v>
      </c>
      <c r="G15" s="72">
        <f>IF(D15=D14,"",_xlfn.IFNA(VLOOKUP(D15,'인원 입력 기능 (사과탐)'!$F$177:$I$225,4,FALSE),0))</f>
        <v>492</v>
      </c>
      <c r="H15" s="73">
        <f t="shared" si="4"/>
        <v>1.5818918397530704E-2</v>
      </c>
      <c r="I15" s="77">
        <f>SUM($G$7:G15)</f>
        <v>3506</v>
      </c>
      <c r="J15" s="75">
        <f t="shared" si="5"/>
        <v>0.11272586971898914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126">
        <f t="shared" si="2"/>
        <v>64</v>
      </c>
      <c r="E16" s="126">
        <f t="shared" si="0"/>
        <v>3</v>
      </c>
      <c r="F16" s="128">
        <f t="shared" si="3"/>
        <v>87.47</v>
      </c>
      <c r="G16" s="130">
        <f>IF(D16=D15,"",_xlfn.IFNA(VLOOKUP(D16,'인원 입력 기능 (사과탐)'!$F$177:$I$225,4,FALSE),0))</f>
        <v>782</v>
      </c>
      <c r="H16" s="132">
        <f t="shared" si="4"/>
        <v>2.5143077615587421E-2</v>
      </c>
      <c r="I16" s="134">
        <f>SUM($G$7:G16)</f>
        <v>4288</v>
      </c>
      <c r="J16" s="136">
        <f t="shared" si="5"/>
        <v>0.13786894733457655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127"/>
      <c r="E17" s="127"/>
      <c r="F17" s="129"/>
      <c r="G17" s="131"/>
      <c r="H17" s="133"/>
      <c r="I17" s="135"/>
      <c r="J17" s="137"/>
      <c r="K17" s="28"/>
      <c r="L17" s="5" t="str">
        <f t="shared" si="1"/>
        <v>경고</v>
      </c>
      <c r="N17" s="1"/>
      <c r="P17" s="1">
        <f>Q7*H3*H4*J3*IFERROR(IF(J57=1, 1, 0), 0)</f>
        <v>626173331.39200008</v>
      </c>
    </row>
    <row r="18" spans="1:16" ht="25" customHeight="1" x14ac:dyDescent="0.45">
      <c r="A18" s="4"/>
      <c r="B18" s="19"/>
      <c r="C18" s="76">
        <v>39</v>
      </c>
      <c r="D18" s="70">
        <f t="shared" si="2"/>
        <v>63</v>
      </c>
      <c r="E18" s="70">
        <f t="shared" si="0"/>
        <v>3</v>
      </c>
      <c r="F18" s="71">
        <f t="shared" si="3"/>
        <v>85.31</v>
      </c>
      <c r="G18" s="72">
        <f>IF(D18=D17,"",_xlfn.IFNA(VLOOKUP(D18,'인원 입력 기능 (사과탐)'!$F$177:$I$225,4,FALSE),0))</f>
        <v>564</v>
      </c>
      <c r="H18" s="73">
        <f t="shared" si="4"/>
        <v>1.8133882065462029E-2</v>
      </c>
      <c r="I18" s="77">
        <f>SUM($G$7:G18)</f>
        <v>4852</v>
      </c>
      <c r="J18" s="75">
        <f t="shared" si="5"/>
        <v>0.1560028294000386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62</v>
      </c>
      <c r="E19" s="70">
        <f t="shared" si="0"/>
        <v>3</v>
      </c>
      <c r="F19" s="71">
        <f t="shared" si="3"/>
        <v>83.72</v>
      </c>
      <c r="G19" s="72">
        <f>IF(D19=D18,"",_xlfn.IFNA(VLOOKUP(D19,'인원 입력 기능 (사과탐)'!$F$177:$I$225,4,FALSE),0))</f>
        <v>421</v>
      </c>
      <c r="H19" s="73">
        <f t="shared" si="4"/>
        <v>1.3536107002765096E-2</v>
      </c>
      <c r="I19" s="77">
        <f>SUM($G$7:G19)</f>
        <v>5273</v>
      </c>
      <c r="J19" s="75">
        <f t="shared" si="5"/>
        <v>0.16953893640280368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61</v>
      </c>
      <c r="E20" s="70">
        <f t="shared" si="0"/>
        <v>3</v>
      </c>
      <c r="F20" s="71">
        <f t="shared" si="3"/>
        <v>82.34</v>
      </c>
      <c r="G20" s="72">
        <f>IF(D20=D19,"",_xlfn.IFNA(VLOOKUP(D20,'인원 입력 기능 (사과탐)'!$F$177:$I$225,4,FALSE),0))</f>
        <v>442</v>
      </c>
      <c r="H20" s="73">
        <f t="shared" si="4"/>
        <v>1.4211304739245065E-2</v>
      </c>
      <c r="I20" s="77">
        <f>SUM($G$7:G20)</f>
        <v>5715</v>
      </c>
      <c r="J20" s="75">
        <f t="shared" si="5"/>
        <v>0.18375024114204874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138">
        <f t="shared" si="2"/>
        <v>60</v>
      </c>
      <c r="E21" s="138">
        <f t="shared" si="0"/>
        <v>3</v>
      </c>
      <c r="F21" s="128">
        <f t="shared" si="3"/>
        <v>80.02</v>
      </c>
      <c r="G21" s="130">
        <f>IF(D21=D20,"",_xlfn.IFNA(VLOOKUP(D21,'인원 입력 기능 (사과탐)'!$F$177:$I$225,4,FALSE),0))</f>
        <v>1001</v>
      </c>
      <c r="H21" s="132">
        <f t="shared" si="4"/>
        <v>3.2184425438878526E-2</v>
      </c>
      <c r="I21" s="134">
        <f>SUM($G$7:G21)</f>
        <v>6716</v>
      </c>
      <c r="J21" s="136">
        <f t="shared" si="5"/>
        <v>0.21593466658092728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139"/>
      <c r="E22" s="139"/>
      <c r="F22" s="129"/>
      <c r="G22" s="131"/>
      <c r="H22" s="133"/>
      <c r="I22" s="135"/>
      <c r="J22" s="137"/>
      <c r="K22" s="28"/>
      <c r="L22" s="5" t="str">
        <f t="shared" si="1"/>
        <v>경고</v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59</v>
      </c>
      <c r="E23" s="79">
        <f t="shared" si="0"/>
        <v>3</v>
      </c>
      <c r="F23" s="71">
        <f t="shared" si="3"/>
        <v>77.569999999999993</v>
      </c>
      <c r="G23" s="72">
        <f>IF(D23=D22,"",_xlfn.IFNA(VLOOKUP(D23,'인원 입력 기능 (사과탐)'!$F$177:$I$225,4,FALSE),0))</f>
        <v>523</v>
      </c>
      <c r="H23" s="73">
        <f t="shared" si="4"/>
        <v>1.6815638865667802E-2</v>
      </c>
      <c r="I23" s="77">
        <f>SUM($G$7:G23)</f>
        <v>7239</v>
      </c>
      <c r="J23" s="75">
        <f t="shared" si="5"/>
        <v>0.23275030544659508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58</v>
      </c>
      <c r="E24" s="79">
        <f t="shared" si="0"/>
        <v>4</v>
      </c>
      <c r="F24" s="71">
        <f t="shared" si="3"/>
        <v>75.95</v>
      </c>
      <c r="G24" s="72">
        <f>IF(D24=D23,"",_xlfn.IFNA(VLOOKUP(D24,'인원 입력 기능 (사과탐)'!$F$177:$I$225,4,FALSE),0))</f>
        <v>481</v>
      </c>
      <c r="H24" s="73">
        <f t="shared" si="4"/>
        <v>1.5465243392707865E-2</v>
      </c>
      <c r="I24" s="77">
        <f>SUM($G$7:G24)</f>
        <v>7720</v>
      </c>
      <c r="J24" s="75">
        <f t="shared" si="5"/>
        <v>0.24821554883930294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57</v>
      </c>
      <c r="E25" s="79">
        <f t="shared" si="0"/>
        <v>4</v>
      </c>
      <c r="F25" s="71">
        <f t="shared" si="3"/>
        <v>74.290000000000006</v>
      </c>
      <c r="G25" s="72">
        <f>IF(D25=D24,"",_xlfn.IFNA(VLOOKUP(D25,'인원 입력 기능 (사과탐)'!$F$177:$I$225,4,FALSE),0))</f>
        <v>550</v>
      </c>
      <c r="H25" s="73">
        <f t="shared" si="4"/>
        <v>1.7683750241142049E-2</v>
      </c>
      <c r="I25" s="77">
        <f>SUM($G$7:G25)</f>
        <v>8270</v>
      </c>
      <c r="J25" s="75">
        <f t="shared" si="5"/>
        <v>0.26589929908044496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138">
        <f t="shared" si="2"/>
        <v>56</v>
      </c>
      <c r="E26" s="138">
        <f t="shared" si="0"/>
        <v>4</v>
      </c>
      <c r="F26" s="128">
        <f t="shared" si="3"/>
        <v>71.760000000000005</v>
      </c>
      <c r="G26" s="130">
        <f>IF(D26=D25,"",_xlfn.IFNA(VLOOKUP(D26,'인원 입력 기능 (사과탐)'!$F$177:$I$225,4,FALSE),0))</f>
        <v>1026</v>
      </c>
      <c r="H26" s="132">
        <f t="shared" si="4"/>
        <v>3.2988232268021347E-2</v>
      </c>
      <c r="I26" s="134">
        <f>SUM($G$7:G26)</f>
        <v>9296</v>
      </c>
      <c r="J26" s="136">
        <f t="shared" si="5"/>
        <v>0.29888753134846635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139"/>
      <c r="E27" s="139"/>
      <c r="F27" s="129"/>
      <c r="G27" s="131"/>
      <c r="H27" s="133"/>
      <c r="I27" s="135"/>
      <c r="J27" s="137"/>
      <c r="K27" s="28"/>
      <c r="L27" s="5" t="str">
        <f t="shared" si="1"/>
        <v>경고</v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55</v>
      </c>
      <c r="E28" s="79">
        <f t="shared" si="0"/>
        <v>4</v>
      </c>
      <c r="F28" s="71">
        <f t="shared" si="3"/>
        <v>69.17</v>
      </c>
      <c r="G28" s="72">
        <f>IF(D28=D27,"",_xlfn.IFNA(VLOOKUP(D28,'인원 입력 기능 (사과탐)'!$F$177:$I$225,4,FALSE),0))</f>
        <v>585</v>
      </c>
      <c r="H28" s="73">
        <f t="shared" si="4"/>
        <v>1.8809079801941998E-2</v>
      </c>
      <c r="I28" s="77">
        <f>SUM($G$7:G28)</f>
        <v>9881</v>
      </c>
      <c r="J28" s="75">
        <f t="shared" si="5"/>
        <v>0.31769661115040831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54</v>
      </c>
      <c r="E29" s="79">
        <f t="shared" si="0"/>
        <v>4</v>
      </c>
      <c r="F29" s="71">
        <f t="shared" si="3"/>
        <v>67.430000000000007</v>
      </c>
      <c r="G29" s="72">
        <f>IF(D29=D28,"",_xlfn.IFNA(VLOOKUP(D29,'인원 입력 기능 (사과탐)'!$F$177:$I$225,4,FALSE),0))</f>
        <v>496</v>
      </c>
      <c r="H29" s="73">
        <f t="shared" si="4"/>
        <v>1.5947527490193555E-2</v>
      </c>
      <c r="I29" s="77">
        <f>SUM($G$7:G29)</f>
        <v>10377</v>
      </c>
      <c r="J29" s="75">
        <f t="shared" si="5"/>
        <v>0.33364413864060188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53</v>
      </c>
      <c r="E30" s="79">
        <f t="shared" si="0"/>
        <v>4</v>
      </c>
      <c r="F30" s="71">
        <f t="shared" si="3"/>
        <v>65.64</v>
      </c>
      <c r="G30" s="72">
        <f>IF(D30=D29,"",_xlfn.IFNA(VLOOKUP(D30,'인원 입력 기능 (사과탐)'!$F$177:$I$225,4,FALSE),0))</f>
        <v>622</v>
      </c>
      <c r="H30" s="73">
        <f t="shared" si="4"/>
        <v>1.999871390907337E-2</v>
      </c>
      <c r="I30" s="77">
        <f>SUM($G$7:G30)</f>
        <v>10999</v>
      </c>
      <c r="J30" s="75">
        <f t="shared" si="5"/>
        <v>0.35364285254967526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138">
        <f t="shared" si="2"/>
        <v>52</v>
      </c>
      <c r="E31" s="138">
        <f t="shared" si="0"/>
        <v>4</v>
      </c>
      <c r="F31" s="128">
        <f t="shared" si="3"/>
        <v>62.64</v>
      </c>
      <c r="G31" s="130">
        <f>IF(D31=D30,"",_xlfn.IFNA(VLOOKUP(D31,'인원 입력 기능 (사과탐)'!$F$177:$I$225,4,FALSE),0))</f>
        <v>1240</v>
      </c>
      <c r="H31" s="132">
        <f t="shared" si="4"/>
        <v>3.9868818725483889E-2</v>
      </c>
      <c r="I31" s="134">
        <f>SUM($G$7:G31)</f>
        <v>12239</v>
      </c>
      <c r="J31" s="136">
        <f t="shared" si="5"/>
        <v>0.39351167127515918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139"/>
      <c r="E32" s="139"/>
      <c r="F32" s="129"/>
      <c r="G32" s="131"/>
      <c r="H32" s="133"/>
      <c r="I32" s="135"/>
      <c r="J32" s="137"/>
      <c r="K32" s="28"/>
      <c r="L32" s="5" t="str">
        <f t="shared" si="1"/>
        <v>경고</v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51</v>
      </c>
      <c r="E33" s="79">
        <f t="shared" si="0"/>
        <v>4</v>
      </c>
      <c r="F33" s="71">
        <f t="shared" si="3"/>
        <v>59.49</v>
      </c>
      <c r="G33" s="72">
        <f>IF(D33=D32,"",_xlfn.IFNA(VLOOKUP(D33,'인원 입력 기능 (사과탐)'!$F$177:$I$225,4,FALSE),0))</f>
        <v>720</v>
      </c>
      <c r="H33" s="73">
        <f t="shared" si="4"/>
        <v>2.3149636679313228E-2</v>
      </c>
      <c r="I33" s="77">
        <f>SUM($G$7:G33)</f>
        <v>12959</v>
      </c>
      <c r="J33" s="75">
        <f t="shared" si="5"/>
        <v>0.41666130795447237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50</v>
      </c>
      <c r="E34" s="79">
        <f t="shared" si="0"/>
        <v>5</v>
      </c>
      <c r="F34" s="71">
        <f t="shared" si="3"/>
        <v>57.24</v>
      </c>
      <c r="G34" s="72">
        <f>IF(D34=D33,"",_xlfn.IFNA(VLOOKUP(D34,'인원 입력 기능 (사과탐)'!$F$177:$I$225,4,FALSE),0))</f>
        <v>682</v>
      </c>
      <c r="H34" s="73">
        <f t="shared" si="4"/>
        <v>2.192785029901614E-2</v>
      </c>
      <c r="I34" s="77">
        <f>SUM($G$7:G34)</f>
        <v>13641</v>
      </c>
      <c r="J34" s="75">
        <f t="shared" si="5"/>
        <v>0.43858915825348854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49</v>
      </c>
      <c r="E35" s="79">
        <f t="shared" si="0"/>
        <v>5</v>
      </c>
      <c r="F35" s="71">
        <f t="shared" si="3"/>
        <v>54.9</v>
      </c>
      <c r="G35" s="72">
        <f>IF(D35=D34,"",_xlfn.IFNA(VLOOKUP(D35,'인원 입력 기능 (사과탐)'!$F$177:$I$225,4,FALSE),0))</f>
        <v>774</v>
      </c>
      <c r="H35" s="73">
        <f t="shared" si="4"/>
        <v>2.4885859430261718E-2</v>
      </c>
      <c r="I35" s="77">
        <f>SUM($G$7:G35)</f>
        <v>14415</v>
      </c>
      <c r="J35" s="75">
        <f t="shared" si="5"/>
        <v>0.46347501768375027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48</v>
      </c>
      <c r="E36" s="79">
        <f t="shared" si="0"/>
        <v>5</v>
      </c>
      <c r="F36" s="71">
        <f t="shared" si="3"/>
        <v>52.45</v>
      </c>
      <c r="G36" s="72">
        <f>IF(D36=D35,"",_xlfn.IFNA(VLOOKUP(D36,'인원 입력 기능 (사과탐)'!$F$177:$I$225,4,FALSE),0))</f>
        <v>751</v>
      </c>
      <c r="H36" s="73">
        <f t="shared" si="4"/>
        <v>2.4146357147450323E-2</v>
      </c>
      <c r="I36" s="77">
        <f>SUM($G$7:G36)</f>
        <v>15166</v>
      </c>
      <c r="J36" s="75">
        <f t="shared" si="5"/>
        <v>0.48762137483120055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138">
        <f t="shared" si="2"/>
        <v>47</v>
      </c>
      <c r="E37" s="138">
        <f t="shared" si="0"/>
        <v>5</v>
      </c>
      <c r="F37" s="128">
        <f t="shared" si="3"/>
        <v>48.41</v>
      </c>
      <c r="G37" s="130">
        <f>IF(D37=D36,"",_xlfn.IFNA(VLOOKUP(D37,'인원 입력 기능 (사과탐)'!$F$177:$I$225,4,FALSE),0))</f>
        <v>1758</v>
      </c>
      <c r="H37" s="132">
        <f t="shared" si="4"/>
        <v>5.6523696225323133E-2</v>
      </c>
      <c r="I37" s="134">
        <f>SUM($G$7:G37)</f>
        <v>16924</v>
      </c>
      <c r="J37" s="136">
        <f t="shared" si="5"/>
        <v>0.54414507105652365</v>
      </c>
      <c r="K37" s="28"/>
      <c r="L37" s="5" t="str">
        <f t="shared" si="1"/>
        <v>경고</v>
      </c>
      <c r="N37" s="1"/>
    </row>
    <row r="38" spans="1:14" ht="25" customHeight="1" x14ac:dyDescent="0.45">
      <c r="A38" s="4"/>
      <c r="B38" s="19"/>
      <c r="C38" s="80">
        <v>19</v>
      </c>
      <c r="D38" s="139"/>
      <c r="E38" s="139"/>
      <c r="F38" s="129"/>
      <c r="G38" s="131"/>
      <c r="H38" s="133"/>
      <c r="I38" s="135"/>
      <c r="J38" s="137"/>
      <c r="K38" s="28"/>
      <c r="L38" s="5" t="str">
        <f t="shared" si="1"/>
        <v>경고</v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46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1">
        <f t="shared" si="3"/>
        <v>43.93</v>
      </c>
      <c r="G39" s="72">
        <f>IF(D39=D38,"",_xlfn.IFNA(VLOOKUP(D39,'인원 입력 기능 (사과탐)'!$F$177:$I$225,4,FALSE),0))</f>
        <v>1031</v>
      </c>
      <c r="H39" s="73">
        <f t="shared" si="4"/>
        <v>3.3148993633849912E-2</v>
      </c>
      <c r="I39" s="77">
        <f>SUM($G$7:G39)</f>
        <v>17955</v>
      </c>
      <c r="J39" s="75">
        <f t="shared" si="5"/>
        <v>0.57729406469037359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45</v>
      </c>
      <c r="E40" s="79">
        <f t="shared" si="6"/>
        <v>5</v>
      </c>
      <c r="F40" s="71">
        <f t="shared" si="3"/>
        <v>40.65</v>
      </c>
      <c r="G40" s="72">
        <f>IF(D40=D39,"",_xlfn.IFNA(VLOOKUP(D40,'인원 입력 기능 (사과탐)'!$F$177:$I$225,4,FALSE),0))</f>
        <v>1005</v>
      </c>
      <c r="H40" s="73">
        <f t="shared" si="4"/>
        <v>3.2313034531541378E-2</v>
      </c>
      <c r="I40" s="77">
        <f>SUM($G$7:G40)</f>
        <v>18960</v>
      </c>
      <c r="J40" s="75">
        <f t="shared" si="5"/>
        <v>0.60960709922191503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44</v>
      </c>
      <c r="E41" s="79">
        <f t="shared" si="6"/>
        <v>6</v>
      </c>
      <c r="F41" s="71">
        <f t="shared" si="3"/>
        <v>37.1</v>
      </c>
      <c r="G41" s="72">
        <f>IF(D41=D40,"",_xlfn.IFNA(VLOOKUP(D41,'인원 입력 기능 (사과탐)'!$F$177:$I$225,4,FALSE),0))</f>
        <v>1205</v>
      </c>
      <c r="H41" s="73">
        <f t="shared" si="4"/>
        <v>3.8743489164683946E-2</v>
      </c>
      <c r="I41" s="77">
        <f>SUM($G$7:G41)</f>
        <v>20165</v>
      </c>
      <c r="J41" s="75">
        <f t="shared" si="5"/>
        <v>0.64835058838659898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138">
        <f t="shared" si="2"/>
        <v>43</v>
      </c>
      <c r="E42" s="138">
        <f t="shared" si="6"/>
        <v>6</v>
      </c>
      <c r="F42" s="128">
        <f t="shared" si="3"/>
        <v>30.4</v>
      </c>
      <c r="G42" s="130">
        <f>IF(D42=D41,"",_xlfn.IFNA(VLOOKUP(D42,'인원 입력 기능 (사과탐)'!$F$177:$I$225,4,FALSE),0))</f>
        <v>2965</v>
      </c>
      <c r="H42" s="132">
        <f t="shared" si="4"/>
        <v>9.5331489936338498E-2</v>
      </c>
      <c r="I42" s="134">
        <f>SUM($G$7:G42)</f>
        <v>23130</v>
      </c>
      <c r="J42" s="136">
        <f t="shared" si="5"/>
        <v>0.74368207832293742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139"/>
      <c r="E43" s="139"/>
      <c r="F43" s="129"/>
      <c r="G43" s="131"/>
      <c r="H43" s="133"/>
      <c r="I43" s="135"/>
      <c r="J43" s="137"/>
      <c r="K43" s="28"/>
      <c r="L43" s="5" t="str">
        <f t="shared" si="1"/>
        <v>경고</v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42</v>
      </c>
      <c r="E44" s="79">
        <f t="shared" si="6"/>
        <v>6</v>
      </c>
      <c r="F44" s="71">
        <f t="shared" si="3"/>
        <v>24.02</v>
      </c>
      <c r="G44" s="72">
        <f>IF(D44=D43,"",_xlfn.IFNA(VLOOKUP(D44,'인원 입력 기능 (사과탐)'!$F$177:$I$225,4,FALSE),0))</f>
        <v>1000</v>
      </c>
      <c r="H44" s="73">
        <f t="shared" si="4"/>
        <v>3.2152273165712814E-2</v>
      </c>
      <c r="I44" s="77">
        <f>SUM($G$7:G44)</f>
        <v>24130</v>
      </c>
      <c r="J44" s="75">
        <f t="shared" si="5"/>
        <v>0.77583435148865021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41</v>
      </c>
      <c r="E45" s="79">
        <f t="shared" si="6"/>
        <v>7</v>
      </c>
      <c r="F45" s="71">
        <f t="shared" si="3"/>
        <v>20.51</v>
      </c>
      <c r="G45" s="72">
        <f>IF(D45=D44,"",_xlfn.IFNA(VLOOKUP(D45,'인원 입력 기능 (사과탐)'!$F$177:$I$225,4,FALSE),0))</f>
        <v>1188</v>
      </c>
      <c r="H45" s="73">
        <f t="shared" si="4"/>
        <v>3.8196900520866828E-2</v>
      </c>
      <c r="I45" s="77">
        <f>SUM($G$7:G45)</f>
        <v>25318</v>
      </c>
      <c r="J45" s="75">
        <f t="shared" si="5"/>
        <v>0.81403125200951709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40</v>
      </c>
      <c r="E46" s="79">
        <f t="shared" si="6"/>
        <v>7</v>
      </c>
      <c r="F46" s="71">
        <f t="shared" si="3"/>
        <v>16.88</v>
      </c>
      <c r="G46" s="72">
        <f>IF(D46=D45,"",_xlfn.IFNA(VLOOKUP(D46,'인원 입력 기능 (사과탐)'!$F$177:$I$225,4,FALSE),0))</f>
        <v>1066</v>
      </c>
      <c r="H46" s="73">
        <f t="shared" si="4"/>
        <v>3.4274323194649861E-2</v>
      </c>
      <c r="I46" s="77">
        <f>SUM($G$7:G46)</f>
        <v>26384</v>
      </c>
      <c r="J46" s="75">
        <f t="shared" si="5"/>
        <v>0.84830557520416694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138">
        <f t="shared" si="2"/>
        <v>39</v>
      </c>
      <c r="E47" s="138">
        <f t="shared" si="6"/>
        <v>7</v>
      </c>
      <c r="F47" s="128">
        <f t="shared" si="3"/>
        <v>11.66</v>
      </c>
      <c r="G47" s="130">
        <f>IF(D47=D46,"",_xlfn.IFNA(VLOOKUP(D47,'인원 입력 기능 (사과탐)'!$F$177:$I$225,4,FALSE),0))</f>
        <v>2184</v>
      </c>
      <c r="H47" s="132">
        <f t="shared" si="4"/>
        <v>7.022056459391679E-2</v>
      </c>
      <c r="I47" s="134">
        <f>SUM($G$7:G47)</f>
        <v>28568</v>
      </c>
      <c r="J47" s="136">
        <f t="shared" si="5"/>
        <v>0.91852613979808373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139"/>
      <c r="E48" s="139"/>
      <c r="F48" s="129"/>
      <c r="G48" s="131"/>
      <c r="H48" s="133"/>
      <c r="I48" s="135"/>
      <c r="J48" s="137"/>
      <c r="K48" s="28"/>
      <c r="L48" s="5" t="str">
        <f t="shared" si="1"/>
        <v>경고</v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38</v>
      </c>
      <c r="E49" s="79">
        <f t="shared" si="6"/>
        <v>8</v>
      </c>
      <c r="F49" s="71">
        <f t="shared" si="3"/>
        <v>7.02</v>
      </c>
      <c r="G49" s="72">
        <f>IF(D49=D48,"",_xlfn.IFNA(VLOOKUP(D49,'인원 입력 기능 (사과탐)'!$F$177:$I$225,4,FALSE),0))</f>
        <v>700</v>
      </c>
      <c r="H49" s="73">
        <f t="shared" si="4"/>
        <v>2.2506591215998972E-2</v>
      </c>
      <c r="I49" s="77">
        <f>SUM($G$7:G49)</f>
        <v>29268</v>
      </c>
      <c r="J49" s="75">
        <f t="shared" si="5"/>
        <v>0.94103273101408269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37</v>
      </c>
      <c r="E50" s="79">
        <f t="shared" si="6"/>
        <v>8</v>
      </c>
      <c r="F50" s="71">
        <f t="shared" si="3"/>
        <v>4.76</v>
      </c>
      <c r="G50" s="72">
        <f>IF(D50=D49,"",_xlfn.IFNA(VLOOKUP(D50,'인원 입력 기능 (사과탐)'!$F$177:$I$225,4,FALSE),0))</f>
        <v>708</v>
      </c>
      <c r="H50" s="73">
        <f t="shared" si="4"/>
        <v>2.2763809401324674E-2</v>
      </c>
      <c r="I50" s="77">
        <f>SUM($G$7:G50)</f>
        <v>29976</v>
      </c>
      <c r="J50" s="75">
        <f t="shared" si="5"/>
        <v>0.96379654041540741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36</v>
      </c>
      <c r="E51" s="79">
        <f t="shared" si="6"/>
        <v>9</v>
      </c>
      <c r="F51" s="71">
        <f t="shared" si="3"/>
        <v>3.06</v>
      </c>
      <c r="G51" s="72">
        <f>IF(D51=D50,"",_xlfn.IFNA(VLOOKUP(D51,'인원 입력 기능 (사과탐)'!$F$177:$I$225,4,FALSE),0))</f>
        <v>348</v>
      </c>
      <c r="H51" s="73">
        <f t="shared" si="4"/>
        <v>1.118899106166806E-2</v>
      </c>
      <c r="I51" s="77">
        <f>SUM($G$7:G51)</f>
        <v>30324</v>
      </c>
      <c r="J51" s="75">
        <f t="shared" si="5"/>
        <v>0.97498553147707545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138">
        <f t="shared" si="2"/>
        <v>35</v>
      </c>
      <c r="E52" s="138">
        <f t="shared" si="6"/>
        <v>9</v>
      </c>
      <c r="F52" s="128">
        <f t="shared" si="3"/>
        <v>1.67</v>
      </c>
      <c r="G52" s="130">
        <f>IF(D52=D51,"",_xlfn.IFNA(VLOOKUP(D52,'인원 입력 기능 (사과탐)'!$F$177:$I$225,4,FALSE),0))</f>
        <v>515</v>
      </c>
      <c r="H52" s="132">
        <f t="shared" si="4"/>
        <v>1.6558420680342099E-2</v>
      </c>
      <c r="I52" s="134">
        <f>SUM($G$7:G52)</f>
        <v>30839</v>
      </c>
      <c r="J52" s="136">
        <f t="shared" si="5"/>
        <v>0.99154395215741753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146"/>
      <c r="E53" s="146"/>
      <c r="F53" s="141"/>
      <c r="G53" s="142"/>
      <c r="H53" s="143"/>
      <c r="I53" s="144"/>
      <c r="J53" s="145"/>
      <c r="K53" s="28"/>
      <c r="L53" s="5" t="str">
        <f t="shared" si="1"/>
        <v>경고</v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34</v>
      </c>
      <c r="E54" s="70">
        <f t="shared" si="6"/>
        <v>9</v>
      </c>
      <c r="F54" s="71">
        <f t="shared" si="3"/>
        <v>0.66</v>
      </c>
      <c r="G54" s="72">
        <f>IF(D54=D53,"",_xlfn.IFNA(VLOOKUP(D54,'인원 입력 기능 (사과탐)'!$F$177:$I$225,4,FALSE),0))</f>
        <v>117</v>
      </c>
      <c r="H54" s="73">
        <f t="shared" si="4"/>
        <v>3.7618159603883994E-3</v>
      </c>
      <c r="I54" s="77">
        <f>SUM($G$7:G54)</f>
        <v>30956</v>
      </c>
      <c r="J54" s="75">
        <f t="shared" si="5"/>
        <v>0.99530576811780591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33</v>
      </c>
      <c r="E55" s="70">
        <f t="shared" si="6"/>
        <v>9</v>
      </c>
      <c r="F55" s="71">
        <f t="shared" si="3"/>
        <v>0.32</v>
      </c>
      <c r="G55" s="72">
        <f>IF(D55=D54,"",_xlfn.IFNA(VLOOKUP(D55,'인원 입력 기능 (사과탐)'!$F$177:$I$225,4,FALSE),0))</f>
        <v>94</v>
      </c>
      <c r="H55" s="73">
        <f t="shared" si="4"/>
        <v>3.0223136775770045E-3</v>
      </c>
      <c r="I55" s="77">
        <f>SUM($G$7:G55)</f>
        <v>31050</v>
      </c>
      <c r="J55" s="75">
        <f t="shared" si="5"/>
        <v>0.9983280817953829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31</v>
      </c>
      <c r="E57" s="83">
        <f t="shared" si="6"/>
        <v>9</v>
      </c>
      <c r="F57" s="84">
        <f>IF(I55=0,ROUND(100*(1-(I54+I57)/2/$J$3),2),ROUND(100*(1-(I55+I57)/2/$J$3),2))</f>
        <v>0.08</v>
      </c>
      <c r="G57" s="85">
        <f>_xlfn.IFNA(VLOOKUP(D57,'인원 입력 기능 (사과탐)'!$F$177:$I$225,4,FALSE),0)</f>
        <v>52</v>
      </c>
      <c r="H57" s="86">
        <f>G57/$J$3</f>
        <v>1.6719182046170664E-3</v>
      </c>
      <c r="I57" s="87">
        <f>SUM($G$7:G57)</f>
        <v>31102</v>
      </c>
      <c r="J57" s="88">
        <f>I57/$J$3</f>
        <v>1</v>
      </c>
      <c r="K57" s="28"/>
      <c r="L57" s="5" t="str">
        <f t="shared" ref="L57" si="7">IF(ABS((C57-$H$3)/$H$4*10+50-D57-0.5)&lt;0.1, "경고", "")</f>
        <v>경고</v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68">
    <mergeCell ref="I47:I48"/>
    <mergeCell ref="J47:J48"/>
    <mergeCell ref="D52:D53"/>
    <mergeCell ref="E52:E53"/>
    <mergeCell ref="F52:F53"/>
    <mergeCell ref="G52:G53"/>
    <mergeCell ref="H52:H53"/>
    <mergeCell ref="I52:I53"/>
    <mergeCell ref="J52:J53"/>
    <mergeCell ref="D47:D48"/>
    <mergeCell ref="E47:E48"/>
    <mergeCell ref="F47:F48"/>
    <mergeCell ref="G47:G48"/>
    <mergeCell ref="H47:H48"/>
    <mergeCell ref="I37:I38"/>
    <mergeCell ref="J37:J38"/>
    <mergeCell ref="D42:D43"/>
    <mergeCell ref="E42:E43"/>
    <mergeCell ref="F42:F43"/>
    <mergeCell ref="G42:G43"/>
    <mergeCell ref="H42:H43"/>
    <mergeCell ref="I42:I43"/>
    <mergeCell ref="J42:J43"/>
    <mergeCell ref="D37:D38"/>
    <mergeCell ref="E37:E38"/>
    <mergeCell ref="F37:F38"/>
    <mergeCell ref="G37:G38"/>
    <mergeCell ref="H37:H38"/>
    <mergeCell ref="I26:I27"/>
    <mergeCell ref="J26:J27"/>
    <mergeCell ref="D31:D32"/>
    <mergeCell ref="E31:E32"/>
    <mergeCell ref="F31:F32"/>
    <mergeCell ref="G31:G32"/>
    <mergeCell ref="H31:H32"/>
    <mergeCell ref="I31:I32"/>
    <mergeCell ref="J31:J32"/>
    <mergeCell ref="D26:D27"/>
    <mergeCell ref="E26:E27"/>
    <mergeCell ref="F26:F27"/>
    <mergeCell ref="G26:G27"/>
    <mergeCell ref="H26:H27"/>
    <mergeCell ref="H16:H17"/>
    <mergeCell ref="I16:I17"/>
    <mergeCell ref="J16:J17"/>
    <mergeCell ref="D21:D22"/>
    <mergeCell ref="E21:E22"/>
    <mergeCell ref="F21:F22"/>
    <mergeCell ref="G21:G22"/>
    <mergeCell ref="H21:H22"/>
    <mergeCell ref="I21:I22"/>
    <mergeCell ref="J21:J22"/>
    <mergeCell ref="D3:F3"/>
    <mergeCell ref="D4:F4"/>
    <mergeCell ref="D8:J8"/>
    <mergeCell ref="D56:J56"/>
    <mergeCell ref="G5:J5"/>
    <mergeCell ref="D11:D12"/>
    <mergeCell ref="E11:E12"/>
    <mergeCell ref="F11:F12"/>
    <mergeCell ref="G11:G12"/>
    <mergeCell ref="H11:H12"/>
    <mergeCell ref="I11:I12"/>
    <mergeCell ref="J11:J12"/>
    <mergeCell ref="D16:D17"/>
    <mergeCell ref="E16:E17"/>
    <mergeCell ref="F16:F17"/>
    <mergeCell ref="G16:G17"/>
  </mergeCells>
  <phoneticPr fontId="1" type="noConversion"/>
  <conditionalFormatting sqref="D7:D11 D13:D16 D18:D21 D23:D26 D28:D31 D33:D37 D39:D42 D44:D47 D49:D52 D54:D57">
    <cfRule type="expression" dxfId="26" priority="1">
      <formula>$D7=$D8</formula>
    </cfRule>
  </conditionalFormatting>
  <conditionalFormatting sqref="C7:C57">
    <cfRule type="expression" dxfId="25" priority="3">
      <formula>OR(AND($D7=0,OR($D6=$Q$7:$Q$14)),AND($D8&gt;0,OR($D7=$Q$7:$Q$14)))</formula>
    </cfRule>
  </conditionalFormatting>
  <conditionalFormatting sqref="D7:J7 D8 D57:J57 D56 D9:J11 D13:J16 D18:J21 D23:J26 D28:J31 D33:J37 D39:J42 D44:J47 D49:J52 D54:J55">
    <cfRule type="expression" dxfId="24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18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기능'!D17</f>
        <v>25.36</v>
      </c>
      <c r="I3" s="15" t="s">
        <v>84</v>
      </c>
      <c r="J3" s="35">
        <f>'통계 및 응시자 수 입력 기능'!C17</f>
        <v>84255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93</v>
      </c>
      <c r="E4" s="120"/>
      <c r="F4" s="121"/>
      <c r="G4" s="37" t="s">
        <v>87</v>
      </c>
      <c r="H4" s="38" t="str">
        <f>'통계 및 응시자 수 입력 기능'!E17</f>
        <v xml:space="preserve"> 9.77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75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99.87</v>
      </c>
      <c r="G7" s="72">
        <f>_xlfn.IFNA(VLOOKUP(D7,'인원 입력 기능 (사과탐)'!$K$177:$N$225,4,FALSE),0)</f>
        <v>213</v>
      </c>
      <c r="H7" s="73">
        <f>G7/$J$3</f>
        <v>2.5280398789389352E-3</v>
      </c>
      <c r="I7" s="74">
        <f>G7</f>
        <v>213</v>
      </c>
      <c r="J7" s="75">
        <f>I7/$J$3</f>
        <v>2.5280398789389352E-3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입력기능'!C121</f>
        <v>68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입력기능'!C122</f>
        <v>64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73</v>
      </c>
      <c r="E9" s="70">
        <f t="shared" si="0"/>
        <v>1</v>
      </c>
      <c r="F9" s="71">
        <f>IF(I8=0,ROUND(100*(1-(I7+I9)/2/$J$3),2),ROUND(100*(1-(I8+I9)/2/$J$3),2))</f>
        <v>99.62</v>
      </c>
      <c r="G9" s="72">
        <f>_xlfn.IFNA(VLOOKUP(D9,'인원 입력 기능 (사과탐)'!$K$177:$N$225,4,FALSE),0)</f>
        <v>209</v>
      </c>
      <c r="H9" s="73">
        <f>G9/$J$3</f>
        <v>2.4805649516349178E-3</v>
      </c>
      <c r="I9" s="77">
        <f>SUM($G$7:G9)</f>
        <v>422</v>
      </c>
      <c r="J9" s="75">
        <f>I9/$J$3</f>
        <v>5.0086048305738535E-3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입력기능'!C123</f>
        <v>58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72</v>
      </c>
      <c r="E10" s="70">
        <f t="shared" si="0"/>
        <v>1</v>
      </c>
      <c r="F10" s="71">
        <f t="shared" ref="F10:F55" si="3">IF(I9=0,ROUND(100*(1-(I8+I10)/2/$J$3),2),ROUND(100*(1-(I9+I10)/2/$J$3),2))</f>
        <v>99.12</v>
      </c>
      <c r="G10" s="72">
        <f>IF(D10=D9,"",_xlfn.IFNA(VLOOKUP(D10,'인원 입력 기능 (사과탐)'!$K$177:$N$225,4,FALSE),0))</f>
        <v>643</v>
      </c>
      <c r="H10" s="73">
        <f t="shared" ref="H10:H55" si="4">G10/$J$3</f>
        <v>7.6315945641208241E-3</v>
      </c>
      <c r="I10" s="77">
        <f>SUM($G$7:G10)</f>
        <v>1065</v>
      </c>
      <c r="J10" s="75">
        <f t="shared" ref="J10:J55" si="5">I10/$J$3</f>
        <v>1.2640199394694678E-2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입력기능'!C124</f>
        <v>52</v>
      </c>
    </row>
    <row r="11" spans="1:17" ht="25" customHeight="1" x14ac:dyDescent="0.45">
      <c r="A11" s="4"/>
      <c r="B11" s="19"/>
      <c r="C11" s="69">
        <v>46</v>
      </c>
      <c r="D11" s="70">
        <f t="shared" si="2"/>
        <v>71</v>
      </c>
      <c r="E11" s="70">
        <f t="shared" si="0"/>
        <v>1</v>
      </c>
      <c r="F11" s="71">
        <f t="shared" si="3"/>
        <v>98.65</v>
      </c>
      <c r="G11" s="72">
        <f>IF(D11=D10,"",_xlfn.IFNA(VLOOKUP(D11,'인원 입력 기능 (사과탐)'!$K$177:$N$225,4,FALSE),0))</f>
        <v>148</v>
      </c>
      <c r="H11" s="73">
        <f t="shared" si="4"/>
        <v>1.75657231024865E-3</v>
      </c>
      <c r="I11" s="77">
        <f>SUM($G$7:G11)</f>
        <v>1213</v>
      </c>
      <c r="J11" s="75">
        <f t="shared" si="5"/>
        <v>1.4396771704943327E-2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입력기능'!C125</f>
        <v>47</v>
      </c>
    </row>
    <row r="12" spans="1:17" ht="25" customHeight="1" x14ac:dyDescent="0.45">
      <c r="A12" s="4"/>
      <c r="B12" s="19"/>
      <c r="C12" s="76">
        <v>45</v>
      </c>
      <c r="D12" s="70">
        <f t="shared" si="2"/>
        <v>70</v>
      </c>
      <c r="E12" s="70">
        <f t="shared" si="0"/>
        <v>1</v>
      </c>
      <c r="F12" s="71">
        <f t="shared" si="3"/>
        <v>98.04</v>
      </c>
      <c r="G12" s="72">
        <f>IF(D12=D11,"",_xlfn.IFNA(VLOOKUP(D12,'인원 입력 기능 (사과탐)'!$K$177:$N$225,4,FALSE),0))</f>
        <v>874</v>
      </c>
      <c r="H12" s="73">
        <f t="shared" si="4"/>
        <v>1.0373271615927838E-2</v>
      </c>
      <c r="I12" s="77">
        <f>SUM($G$7:G12)</f>
        <v>2087</v>
      </c>
      <c r="J12" s="75">
        <f t="shared" si="5"/>
        <v>2.4770043320871165E-2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입력기능'!C126</f>
        <v>42</v>
      </c>
    </row>
    <row r="13" spans="1:17" ht="25" customHeight="1" x14ac:dyDescent="0.45">
      <c r="A13" s="4"/>
      <c r="B13" s="19"/>
      <c r="C13" s="69">
        <v>44</v>
      </c>
      <c r="D13" s="70">
        <f t="shared" si="2"/>
        <v>69</v>
      </c>
      <c r="E13" s="70">
        <f t="shared" si="0"/>
        <v>1</v>
      </c>
      <c r="F13" s="71">
        <f t="shared" si="3"/>
        <v>97.04</v>
      </c>
      <c r="G13" s="72">
        <f>IF(D13=D12,"",_xlfn.IFNA(VLOOKUP(D13,'인원 입력 기능 (사과탐)'!$K$177:$N$225,4,FALSE),0))</f>
        <v>822</v>
      </c>
      <c r="H13" s="73">
        <f t="shared" si="4"/>
        <v>9.7560975609756097E-3</v>
      </c>
      <c r="I13" s="77">
        <f>SUM($G$7:G13)</f>
        <v>2909</v>
      </c>
      <c r="J13" s="75">
        <f t="shared" si="5"/>
        <v>3.4526140881846773E-2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입력기능'!C127</f>
        <v>37</v>
      </c>
    </row>
    <row r="14" spans="1:17" ht="25" customHeight="1" x14ac:dyDescent="0.45">
      <c r="A14" s="4"/>
      <c r="B14" s="19"/>
      <c r="C14" s="76">
        <v>43</v>
      </c>
      <c r="D14" s="70">
        <f t="shared" si="2"/>
        <v>68</v>
      </c>
      <c r="E14" s="70">
        <f t="shared" si="0"/>
        <v>1</v>
      </c>
      <c r="F14" s="71">
        <f t="shared" si="3"/>
        <v>96.13</v>
      </c>
      <c r="G14" s="72">
        <f>IF(D14=D13,"",_xlfn.IFNA(VLOOKUP(D14,'인원 입력 기능 (사과탐)'!$K$177:$N$225,4,FALSE),0))</f>
        <v>703</v>
      </c>
      <c r="H14" s="73">
        <f t="shared" si="4"/>
        <v>8.3437184736810874E-3</v>
      </c>
      <c r="I14" s="77">
        <f>SUM($G$7:G14)</f>
        <v>3612</v>
      </c>
      <c r="J14" s="75">
        <f t="shared" si="5"/>
        <v>4.286985935552786E-2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입력기능'!C128</f>
        <v>34</v>
      </c>
    </row>
    <row r="15" spans="1:17" ht="25" customHeight="1" x14ac:dyDescent="0.45">
      <c r="A15" s="4"/>
      <c r="B15" s="19"/>
      <c r="C15" s="69">
        <v>42</v>
      </c>
      <c r="D15" s="70">
        <f t="shared" si="2"/>
        <v>67</v>
      </c>
      <c r="E15" s="70">
        <f t="shared" si="0"/>
        <v>2</v>
      </c>
      <c r="F15" s="71">
        <f t="shared" si="3"/>
        <v>94.84</v>
      </c>
      <c r="G15" s="72">
        <f>IF(D15=D14,"",_xlfn.IFNA(VLOOKUP(D15,'인원 입력 기능 (사과탐)'!$K$177:$N$225,4,FALSE),0))</f>
        <v>1471</v>
      </c>
      <c r="H15" s="73">
        <f t="shared" si="4"/>
        <v>1.7458904516052458E-2</v>
      </c>
      <c r="I15" s="77">
        <f>SUM($G$7:G15)</f>
        <v>5083</v>
      </c>
      <c r="J15" s="75">
        <f t="shared" si="5"/>
        <v>6.0328763871580322E-2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66</v>
      </c>
      <c r="E16" s="70">
        <f t="shared" si="0"/>
        <v>2</v>
      </c>
      <c r="F16" s="71">
        <f t="shared" si="3"/>
        <v>93.28</v>
      </c>
      <c r="G16" s="72">
        <f>IF(D16=D15,"",_xlfn.IFNA(VLOOKUP(D16,'인원 입력 기능 (사과탐)'!$K$177:$N$225,4,FALSE),0))</f>
        <v>1162</v>
      </c>
      <c r="H16" s="73">
        <f t="shared" si="4"/>
        <v>1.3791466381817103E-2</v>
      </c>
      <c r="I16" s="77">
        <f>SUM($G$7:G16)</f>
        <v>6245</v>
      </c>
      <c r="J16" s="75">
        <f t="shared" si="5"/>
        <v>7.4120230253397423E-2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65</v>
      </c>
      <c r="E17" s="70">
        <f t="shared" si="0"/>
        <v>2</v>
      </c>
      <c r="F17" s="71">
        <f t="shared" si="3"/>
        <v>91.78</v>
      </c>
      <c r="G17" s="72">
        <f>IF(D17=D16,"",_xlfn.IFNA(VLOOKUP(D17,'인원 입력 기능 (사과탐)'!$K$177:$N$225,4,FALSE),0))</f>
        <v>1367</v>
      </c>
      <c r="H17" s="73">
        <f t="shared" si="4"/>
        <v>1.6224556406148002E-2</v>
      </c>
      <c r="I17" s="77">
        <f>SUM($G$7:G17)</f>
        <v>7612</v>
      </c>
      <c r="J17" s="75">
        <f t="shared" si="5"/>
        <v>9.0344786659545429E-2</v>
      </c>
      <c r="K17" s="28"/>
      <c r="L17" s="5" t="str">
        <f t="shared" si="1"/>
        <v/>
      </c>
      <c r="N17" s="1"/>
      <c r="P17" s="1">
        <f>Q7*H3*H4*J3*IFERROR(IF(J57=1, 1, 0), 0)</f>
        <v>1419542529.648</v>
      </c>
    </row>
    <row r="18" spans="1:16" ht="25" customHeight="1" x14ac:dyDescent="0.45">
      <c r="A18" s="4"/>
      <c r="B18" s="19"/>
      <c r="C18" s="76">
        <v>39</v>
      </c>
      <c r="D18" s="70">
        <f t="shared" si="2"/>
        <v>64</v>
      </c>
      <c r="E18" s="70">
        <f t="shared" si="0"/>
        <v>2</v>
      </c>
      <c r="F18" s="71">
        <f t="shared" si="3"/>
        <v>89.89</v>
      </c>
      <c r="G18" s="72">
        <f>IF(D18=D17,"",_xlfn.IFNA(VLOOKUP(D18,'인원 입력 기능 (사과탐)'!$K$177:$N$225,4,FALSE),0))</f>
        <v>1818</v>
      </c>
      <c r="H18" s="73">
        <f t="shared" si="4"/>
        <v>2.1577354459675985E-2</v>
      </c>
      <c r="I18" s="77">
        <f>SUM($G$7:G18)</f>
        <v>9430</v>
      </c>
      <c r="J18" s="75">
        <f t="shared" si="5"/>
        <v>0.11192214111922141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63</v>
      </c>
      <c r="E19" s="70">
        <f t="shared" si="0"/>
        <v>3</v>
      </c>
      <c r="F19" s="71">
        <f t="shared" si="3"/>
        <v>87.96</v>
      </c>
      <c r="G19" s="72">
        <f>IF(D19=D18,"",_xlfn.IFNA(VLOOKUP(D19,'인원 입력 기능 (사과탐)'!$K$177:$N$225,4,FALSE),0))</f>
        <v>1431</v>
      </c>
      <c r="H19" s="73">
        <f t="shared" si="4"/>
        <v>1.6984155243012285E-2</v>
      </c>
      <c r="I19" s="77">
        <f>SUM($G$7:G19)</f>
        <v>10861</v>
      </c>
      <c r="J19" s="75">
        <f t="shared" si="5"/>
        <v>0.12890629636223369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62</v>
      </c>
      <c r="E20" s="70">
        <f t="shared" si="0"/>
        <v>3</v>
      </c>
      <c r="F20" s="71">
        <f t="shared" si="3"/>
        <v>85.88</v>
      </c>
      <c r="G20" s="72">
        <f>IF(D20=D19,"",_xlfn.IFNA(VLOOKUP(D20,'인원 입력 기능 (사과탐)'!$K$177:$N$225,4,FALSE),0))</f>
        <v>2067</v>
      </c>
      <c r="H20" s="73">
        <f t="shared" si="4"/>
        <v>2.4532668684351076E-2</v>
      </c>
      <c r="I20" s="77">
        <f>SUM($G$7:G20)</f>
        <v>12928</v>
      </c>
      <c r="J20" s="75">
        <f t="shared" si="5"/>
        <v>0.15343896504658477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61</v>
      </c>
      <c r="E21" s="79">
        <f t="shared" si="0"/>
        <v>3</v>
      </c>
      <c r="F21" s="71">
        <f t="shared" si="3"/>
        <v>83.56</v>
      </c>
      <c r="G21" s="72">
        <f>IF(D21=D20,"",_xlfn.IFNA(VLOOKUP(D21,'인원 입력 기능 (사과탐)'!$K$177:$N$225,4,FALSE),0))</f>
        <v>1853</v>
      </c>
      <c r="H21" s="73">
        <f t="shared" si="4"/>
        <v>2.1992760073586137E-2</v>
      </c>
      <c r="I21" s="77">
        <f>SUM($G$7:G21)</f>
        <v>14781</v>
      </c>
      <c r="J21" s="75">
        <f t="shared" si="5"/>
        <v>0.17543172512017091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60</v>
      </c>
      <c r="E22" s="79">
        <f t="shared" si="0"/>
        <v>3</v>
      </c>
      <c r="F22" s="71">
        <f t="shared" si="3"/>
        <v>81.319999999999993</v>
      </c>
      <c r="G22" s="72">
        <f>IF(D22=D21,"",_xlfn.IFNA(VLOOKUP(D22,'인원 입력 기능 (사과탐)'!$K$177:$N$225,4,FALSE),0))</f>
        <v>1922</v>
      </c>
      <c r="H22" s="73">
        <f t="shared" si="4"/>
        <v>2.2811702569580442E-2</v>
      </c>
      <c r="I22" s="77">
        <f>SUM($G$7:G22)</f>
        <v>16703</v>
      </c>
      <c r="J22" s="75">
        <f t="shared" si="5"/>
        <v>0.19824342768975134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59</v>
      </c>
      <c r="E23" s="79">
        <f t="shared" si="0"/>
        <v>3</v>
      </c>
      <c r="F23" s="71">
        <f t="shared" si="3"/>
        <v>78.790000000000006</v>
      </c>
      <c r="G23" s="72">
        <f>IF(D23=D22,"",_xlfn.IFNA(VLOOKUP(D23,'인원 입력 기능 (사과탐)'!$K$177:$N$225,4,FALSE),0))</f>
        <v>2336</v>
      </c>
      <c r="H23" s="73">
        <f t="shared" si="4"/>
        <v>2.772535754554626E-2</v>
      </c>
      <c r="I23" s="77">
        <f>SUM($G$7:G23)</f>
        <v>19039</v>
      </c>
      <c r="J23" s="75">
        <f t="shared" si="5"/>
        <v>0.22596878523529762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58</v>
      </c>
      <c r="E24" s="79">
        <f t="shared" si="0"/>
        <v>3</v>
      </c>
      <c r="F24" s="71">
        <f t="shared" si="3"/>
        <v>76.19</v>
      </c>
      <c r="G24" s="72">
        <f>IF(D24=D23,"",_xlfn.IFNA(VLOOKUP(D24,'인원 입력 기능 (사과탐)'!$K$177:$N$225,4,FALSE),0))</f>
        <v>2041</v>
      </c>
      <c r="H24" s="73">
        <f t="shared" si="4"/>
        <v>2.4224081656874962E-2</v>
      </c>
      <c r="I24" s="77">
        <f>SUM($G$7:G24)</f>
        <v>21080</v>
      </c>
      <c r="J24" s="75">
        <f t="shared" si="5"/>
        <v>0.25019286689217257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57</v>
      </c>
      <c r="E25" s="79">
        <f t="shared" si="0"/>
        <v>4</v>
      </c>
      <c r="F25" s="71">
        <f t="shared" si="3"/>
        <v>73.53</v>
      </c>
      <c r="G25" s="72">
        <f>IF(D25=D24,"",_xlfn.IFNA(VLOOKUP(D25,'인원 입력 기능 (사과탐)'!$K$177:$N$225,4,FALSE),0))</f>
        <v>2450</v>
      </c>
      <c r="H25" s="73">
        <f t="shared" si="4"/>
        <v>2.9078392973710759E-2</v>
      </c>
      <c r="I25" s="77">
        <f>SUM($G$7:G25)</f>
        <v>23530</v>
      </c>
      <c r="J25" s="75">
        <f t="shared" si="5"/>
        <v>0.2792712598658833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56</v>
      </c>
      <c r="E26" s="79">
        <f t="shared" si="0"/>
        <v>4</v>
      </c>
      <c r="F26" s="71">
        <f t="shared" si="3"/>
        <v>70.650000000000006</v>
      </c>
      <c r="G26" s="72">
        <f>IF(D26=D25,"",_xlfn.IFNA(VLOOKUP(D26,'인원 입력 기능 (사과탐)'!$K$177:$N$225,4,FALSE),0))</f>
        <v>2400</v>
      </c>
      <c r="H26" s="73">
        <f t="shared" si="4"/>
        <v>2.848495638241054E-2</v>
      </c>
      <c r="I26" s="77">
        <f>SUM($G$7:G26)</f>
        <v>25930</v>
      </c>
      <c r="J26" s="75">
        <f t="shared" si="5"/>
        <v>0.30775621624829386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55</v>
      </c>
      <c r="E27" s="79">
        <f t="shared" si="0"/>
        <v>4</v>
      </c>
      <c r="F27" s="71">
        <f t="shared" si="3"/>
        <v>67.81</v>
      </c>
      <c r="G27" s="72">
        <f>IF(D27=D26,"",_xlfn.IFNA(VLOOKUP(D27,'인원 입력 기능 (사과탐)'!$K$177:$N$225,4,FALSE),0))</f>
        <v>2389</v>
      </c>
      <c r="H27" s="73">
        <f t="shared" si="4"/>
        <v>2.8354400332324493E-2</v>
      </c>
      <c r="I27" s="77">
        <f>SUM($G$7:G27)</f>
        <v>28319</v>
      </c>
      <c r="J27" s="75">
        <f t="shared" si="5"/>
        <v>0.33611061658061836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54</v>
      </c>
      <c r="E28" s="79">
        <f t="shared" si="0"/>
        <v>4</v>
      </c>
      <c r="F28" s="71">
        <f t="shared" si="3"/>
        <v>64.77</v>
      </c>
      <c r="G28" s="72">
        <f>IF(D28=D27,"",_xlfn.IFNA(VLOOKUP(D28,'인원 입력 기능 (사과탐)'!$K$177:$N$225,4,FALSE),0))</f>
        <v>2720</v>
      </c>
      <c r="H28" s="73">
        <f t="shared" si="4"/>
        <v>3.2282950566731944E-2</v>
      </c>
      <c r="I28" s="77">
        <f>SUM($G$7:G28)</f>
        <v>31039</v>
      </c>
      <c r="J28" s="75">
        <f t="shared" si="5"/>
        <v>0.36839356714735033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53</v>
      </c>
      <c r="E29" s="79">
        <f t="shared" si="0"/>
        <v>4</v>
      </c>
      <c r="F29" s="71">
        <f t="shared" si="3"/>
        <v>61.63</v>
      </c>
      <c r="G29" s="72">
        <f>IF(D29=D28,"",_xlfn.IFNA(VLOOKUP(D29,'인원 입력 기능 (사과탐)'!$K$177:$N$225,4,FALSE),0))</f>
        <v>2587</v>
      </c>
      <c r="H29" s="73">
        <f t="shared" si="4"/>
        <v>3.070440923387336E-2</v>
      </c>
      <c r="I29" s="77">
        <f>SUM($G$7:G29)</f>
        <v>33626</v>
      </c>
      <c r="J29" s="75">
        <f t="shared" si="5"/>
        <v>0.39909797638122368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52</v>
      </c>
      <c r="E30" s="79">
        <f t="shared" si="0"/>
        <v>4</v>
      </c>
      <c r="F30" s="71">
        <f t="shared" si="3"/>
        <v>58.35</v>
      </c>
      <c r="G30" s="72">
        <f>IF(D30=D29,"",_xlfn.IFNA(VLOOKUP(D30,'인원 입력 기능 (사과탐)'!$K$177:$N$225,4,FALSE),0))</f>
        <v>2930</v>
      </c>
      <c r="H30" s="73">
        <f t="shared" si="4"/>
        <v>3.4775384250192866E-2</v>
      </c>
      <c r="I30" s="77">
        <f>SUM($G$7:G30)</f>
        <v>36556</v>
      </c>
      <c r="J30" s="75">
        <f t="shared" si="5"/>
        <v>0.43387336063141652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51</v>
      </c>
      <c r="E31" s="79">
        <f t="shared" si="0"/>
        <v>5</v>
      </c>
      <c r="F31" s="71">
        <f t="shared" si="3"/>
        <v>54.83</v>
      </c>
      <c r="G31" s="72">
        <f>IF(D31=D30,"",_xlfn.IFNA(VLOOKUP(D31,'인원 입력 기능 (사과탐)'!$K$177:$N$225,4,FALSE),0))</f>
        <v>3002</v>
      </c>
      <c r="H31" s="73">
        <f t="shared" si="4"/>
        <v>3.5629932941665186E-2</v>
      </c>
      <c r="I31" s="77">
        <f>SUM($G$7:G31)</f>
        <v>39558</v>
      </c>
      <c r="J31" s="75">
        <f t="shared" si="5"/>
        <v>0.46950329357308174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50</v>
      </c>
      <c r="E32" s="79">
        <f t="shared" si="0"/>
        <v>5</v>
      </c>
      <c r="F32" s="71">
        <f t="shared" si="3"/>
        <v>51.18</v>
      </c>
      <c r="G32" s="72">
        <f>IF(D32=D31,"",_xlfn.IFNA(VLOOKUP(D32,'인원 입력 기능 (사과탐)'!$K$177:$N$225,4,FALSE),0))</f>
        <v>3144</v>
      </c>
      <c r="H32" s="73">
        <f t="shared" si="4"/>
        <v>3.7315292860957805E-2</v>
      </c>
      <c r="I32" s="77">
        <f>SUM($G$7:G32)</f>
        <v>42702</v>
      </c>
      <c r="J32" s="75">
        <f t="shared" si="5"/>
        <v>0.50681858643403954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49</v>
      </c>
      <c r="E33" s="79">
        <f t="shared" si="0"/>
        <v>5</v>
      </c>
      <c r="F33" s="71">
        <f t="shared" si="3"/>
        <v>47.45</v>
      </c>
      <c r="G33" s="72">
        <f>IF(D33=D32,"",_xlfn.IFNA(VLOOKUP(D33,'인원 입력 기능 (사과탐)'!$K$177:$N$225,4,FALSE),0))</f>
        <v>3152</v>
      </c>
      <c r="H33" s="73">
        <f t="shared" si="4"/>
        <v>3.7410242715565839E-2</v>
      </c>
      <c r="I33" s="77">
        <f>SUM($G$7:G33)</f>
        <v>45854</v>
      </c>
      <c r="J33" s="75">
        <f t="shared" si="5"/>
        <v>0.54422882914960535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48</v>
      </c>
      <c r="E34" s="79">
        <f t="shared" si="0"/>
        <v>5</v>
      </c>
      <c r="F34" s="71">
        <f t="shared" si="3"/>
        <v>43.65</v>
      </c>
      <c r="G34" s="72">
        <f>IF(D34=D33,"",_xlfn.IFNA(VLOOKUP(D34,'인원 입력 기능 (사과탐)'!$K$177:$N$225,4,FALSE),0))</f>
        <v>3254</v>
      </c>
      <c r="H34" s="73">
        <f t="shared" si="4"/>
        <v>3.8620853361818287E-2</v>
      </c>
      <c r="I34" s="77">
        <f>SUM($G$7:G34)</f>
        <v>49108</v>
      </c>
      <c r="J34" s="75">
        <f t="shared" si="5"/>
        <v>0.58284968251142366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47</v>
      </c>
      <c r="E35" s="79">
        <f t="shared" si="0"/>
        <v>5</v>
      </c>
      <c r="F35" s="71">
        <f t="shared" si="3"/>
        <v>39.700000000000003</v>
      </c>
      <c r="G35" s="72">
        <f>IF(D35=D34,"",_xlfn.IFNA(VLOOKUP(D35,'인원 입력 기능 (사과탐)'!$K$177:$N$225,4,FALSE),0))</f>
        <v>3398</v>
      </c>
      <c r="H35" s="73">
        <f t="shared" si="4"/>
        <v>4.0329950744762921E-2</v>
      </c>
      <c r="I35" s="77">
        <f>SUM($G$7:G35)</f>
        <v>52506</v>
      </c>
      <c r="J35" s="75">
        <f t="shared" si="5"/>
        <v>0.62317963325618653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46</v>
      </c>
      <c r="E36" s="79">
        <f t="shared" si="0"/>
        <v>6</v>
      </c>
      <c r="F36" s="71">
        <f t="shared" si="3"/>
        <v>35.85</v>
      </c>
      <c r="G36" s="72">
        <f>IF(D36=D35,"",_xlfn.IFNA(VLOOKUP(D36,'인원 입력 기능 (사과탐)'!$K$177:$N$225,4,FALSE),0))</f>
        <v>3084</v>
      </c>
      <c r="H36" s="73">
        <f t="shared" si="4"/>
        <v>3.6603168951397543E-2</v>
      </c>
      <c r="I36" s="77">
        <f>SUM($G$7:G36)</f>
        <v>55590</v>
      </c>
      <c r="J36" s="75">
        <f t="shared" si="5"/>
        <v>0.65978280220758412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45</v>
      </c>
      <c r="E37" s="79">
        <f t="shared" si="0"/>
        <v>6</v>
      </c>
      <c r="F37" s="71">
        <f t="shared" si="3"/>
        <v>31.95</v>
      </c>
      <c r="G37" s="72">
        <f>IF(D37=D36,"",_xlfn.IFNA(VLOOKUP(D37,'인원 입력 기능 (사과탐)'!$K$177:$N$225,4,FALSE),0))</f>
        <v>3491</v>
      </c>
      <c r="H37" s="73">
        <f t="shared" si="4"/>
        <v>4.1433742804581328E-2</v>
      </c>
      <c r="I37" s="77">
        <f>SUM($G$7:G37)</f>
        <v>59081</v>
      </c>
      <c r="J37" s="75">
        <f t="shared" si="5"/>
        <v>0.70121654501216546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43</v>
      </c>
      <c r="E38" s="79">
        <f t="shared" si="0"/>
        <v>6</v>
      </c>
      <c r="F38" s="71">
        <f t="shared" si="3"/>
        <v>28.14</v>
      </c>
      <c r="G38" s="72">
        <f>IF(D38=D37,"",_xlfn.IFNA(VLOOKUP(D38,'인원 입력 기능 (사과탐)'!$K$177:$N$225,4,FALSE),0))</f>
        <v>2923</v>
      </c>
      <c r="H38" s="73">
        <f t="shared" si="4"/>
        <v>3.469230312741084E-2</v>
      </c>
      <c r="I38" s="77">
        <f>SUM($G$7:G38)</f>
        <v>62004</v>
      </c>
      <c r="J38" s="75">
        <f t="shared" si="5"/>
        <v>0.73590884813957624</v>
      </c>
      <c r="K38" s="28"/>
      <c r="L38" s="5" t="str">
        <f t="shared" si="1"/>
        <v>경고</v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42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1">
        <f t="shared" si="3"/>
        <v>24.65</v>
      </c>
      <c r="G39" s="72">
        <f>IF(D39=D38,"",_xlfn.IFNA(VLOOKUP(D39,'인원 입력 기능 (사과탐)'!$K$177:$N$225,4,FALSE),0))</f>
        <v>2957</v>
      </c>
      <c r="H39" s="73">
        <f t="shared" si="4"/>
        <v>3.5095840009494984E-2</v>
      </c>
      <c r="I39" s="77">
        <f>SUM($G$7:G39)</f>
        <v>64961</v>
      </c>
      <c r="J39" s="75">
        <f t="shared" si="5"/>
        <v>0.7710046881490713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41</v>
      </c>
      <c r="E40" s="79">
        <f t="shared" si="6"/>
        <v>7</v>
      </c>
      <c r="F40" s="71">
        <f t="shared" si="3"/>
        <v>21.15</v>
      </c>
      <c r="G40" s="72">
        <f>IF(D40=D39,"",_xlfn.IFNA(VLOOKUP(D40,'인원 입력 기능 (사과탐)'!$K$177:$N$225,4,FALSE),0))</f>
        <v>2950</v>
      </c>
      <c r="H40" s="73">
        <f t="shared" si="4"/>
        <v>3.5012758886712958E-2</v>
      </c>
      <c r="I40" s="77">
        <f>SUM($G$7:G40)</f>
        <v>67911</v>
      </c>
      <c r="J40" s="75">
        <f t="shared" si="5"/>
        <v>0.80601744703578426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40</v>
      </c>
      <c r="E41" s="79">
        <f t="shared" si="6"/>
        <v>7</v>
      </c>
      <c r="F41" s="71">
        <f t="shared" si="3"/>
        <v>18.149999999999999</v>
      </c>
      <c r="G41" s="72">
        <f>IF(D41=D40,"",_xlfn.IFNA(VLOOKUP(D41,'인원 입력 기능 (사과탐)'!$K$177:$N$225,4,FALSE),0))</f>
        <v>2104</v>
      </c>
      <c r="H41" s="73">
        <f t="shared" si="4"/>
        <v>2.4971811761913241E-2</v>
      </c>
      <c r="I41" s="77">
        <f>SUM($G$7:G41)</f>
        <v>70015</v>
      </c>
      <c r="J41" s="75">
        <f t="shared" si="5"/>
        <v>0.83098925879769747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39</v>
      </c>
      <c r="E42" s="79">
        <f t="shared" si="6"/>
        <v>7</v>
      </c>
      <c r="F42" s="71">
        <f t="shared" si="3"/>
        <v>15.38</v>
      </c>
      <c r="G42" s="72">
        <f>IF(D42=D41,"",_xlfn.IFNA(VLOOKUP(D42,'인원 입력 기능 (사과탐)'!$K$177:$N$225,4,FALSE),0))</f>
        <v>2568</v>
      </c>
      <c r="H42" s="73">
        <f t="shared" si="4"/>
        <v>3.0478903329179276E-2</v>
      </c>
      <c r="I42" s="77">
        <f>SUM($G$7:G42)</f>
        <v>72583</v>
      </c>
      <c r="J42" s="75">
        <f t="shared" si="5"/>
        <v>0.86146816212687671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38</v>
      </c>
      <c r="E43" s="79">
        <f t="shared" si="6"/>
        <v>7</v>
      </c>
      <c r="F43" s="71">
        <f t="shared" si="3"/>
        <v>12.87</v>
      </c>
      <c r="G43" s="72">
        <f>IF(D43=D42,"",_xlfn.IFNA(VLOOKUP(D43,'인원 입력 기능 (사과탐)'!$K$177:$N$225,4,FALSE),0))</f>
        <v>1658</v>
      </c>
      <c r="H43" s="73">
        <f t="shared" si="4"/>
        <v>1.9678357367515283E-2</v>
      </c>
      <c r="I43" s="77">
        <f>SUM($G$7:G43)</f>
        <v>74241</v>
      </c>
      <c r="J43" s="75">
        <f t="shared" si="5"/>
        <v>0.88114651949439204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37</v>
      </c>
      <c r="E44" s="79">
        <f t="shared" si="6"/>
        <v>7</v>
      </c>
      <c r="F44" s="71">
        <f t="shared" si="3"/>
        <v>10.99</v>
      </c>
      <c r="G44" s="72">
        <f>IF(D44=D43,"",_xlfn.IFNA(VLOOKUP(D44,'인원 입력 기능 (사과탐)'!$K$177:$N$225,4,FALSE),0))</f>
        <v>1508</v>
      </c>
      <c r="H44" s="73">
        <f t="shared" si="4"/>
        <v>1.7898047593614623E-2</v>
      </c>
      <c r="I44" s="77">
        <f>SUM($G$7:G44)</f>
        <v>75749</v>
      </c>
      <c r="J44" s="75">
        <f t="shared" si="5"/>
        <v>0.89904456708800662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36</v>
      </c>
      <c r="E45" s="79">
        <f t="shared" si="6"/>
        <v>8</v>
      </c>
      <c r="F45" s="71">
        <f t="shared" si="3"/>
        <v>8.75</v>
      </c>
      <c r="G45" s="72">
        <f>IF(D45=D44,"",_xlfn.IFNA(VLOOKUP(D45,'인원 입력 기능 (사과탐)'!$K$177:$N$225,4,FALSE),0))</f>
        <v>2267</v>
      </c>
      <c r="H45" s="73">
        <f t="shared" si="4"/>
        <v>2.6906415049551956E-2</v>
      </c>
      <c r="I45" s="77">
        <f>SUM($G$7:G45)</f>
        <v>78016</v>
      </c>
      <c r="J45" s="75">
        <f t="shared" si="5"/>
        <v>0.92595098213755855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35</v>
      </c>
      <c r="E46" s="79">
        <f t="shared" si="6"/>
        <v>8</v>
      </c>
      <c r="F46" s="71">
        <f t="shared" si="3"/>
        <v>6.88</v>
      </c>
      <c r="G46" s="72">
        <f>IF(D46=D45,"",_xlfn.IFNA(VLOOKUP(D46,'인원 입력 기능 (사과탐)'!$K$177:$N$225,4,FALSE),0))</f>
        <v>881</v>
      </c>
      <c r="H46" s="73">
        <f t="shared" si="4"/>
        <v>1.045635273870987E-2</v>
      </c>
      <c r="I46" s="77">
        <f>SUM($G$7:G46)</f>
        <v>78897</v>
      </c>
      <c r="J46" s="75">
        <f t="shared" si="5"/>
        <v>0.93640733487626848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34</v>
      </c>
      <c r="E47" s="79">
        <f t="shared" si="6"/>
        <v>8</v>
      </c>
      <c r="F47" s="71">
        <f t="shared" si="3"/>
        <v>4.83</v>
      </c>
      <c r="G47" s="72">
        <f>IF(D47=D46,"",_xlfn.IFNA(VLOOKUP(D47,'인원 입력 기능 (사과탐)'!$K$177:$N$225,4,FALSE),0))</f>
        <v>2574</v>
      </c>
      <c r="H47" s="73">
        <f t="shared" si="4"/>
        <v>3.0550115720135305E-2</v>
      </c>
      <c r="I47" s="77">
        <f>SUM($G$7:G47)</f>
        <v>81471</v>
      </c>
      <c r="J47" s="75">
        <f t="shared" si="5"/>
        <v>0.96695745059640381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33</v>
      </c>
      <c r="E48" s="79">
        <f t="shared" si="6"/>
        <v>9</v>
      </c>
      <c r="F48" s="71">
        <f t="shared" si="3"/>
        <v>2.94</v>
      </c>
      <c r="G48" s="72">
        <f>IF(D48=D47,"",_xlfn.IFNA(VLOOKUP(D48,'인원 입력 기능 (사과탐)'!$K$177:$N$225,4,FALSE),0))</f>
        <v>622</v>
      </c>
      <c r="H48" s="73">
        <f t="shared" si="4"/>
        <v>7.3823511957747312E-3</v>
      </c>
      <c r="I48" s="77">
        <f>SUM($G$7:G48)</f>
        <v>82093</v>
      </c>
      <c r="J48" s="75">
        <f t="shared" si="5"/>
        <v>0.97433980179217849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32</v>
      </c>
      <c r="E49" s="79">
        <f t="shared" si="6"/>
        <v>9</v>
      </c>
      <c r="F49" s="71">
        <f t="shared" si="3"/>
        <v>2.2799999999999998</v>
      </c>
      <c r="G49" s="72">
        <f>IF(D49=D48,"",_xlfn.IFNA(VLOOKUP(D49,'인원 입력 기능 (사과탐)'!$K$177:$N$225,4,FALSE),0))</f>
        <v>490</v>
      </c>
      <c r="H49" s="73">
        <f t="shared" si="4"/>
        <v>5.8156785947421517E-3</v>
      </c>
      <c r="I49" s="77">
        <f>SUM($G$7:G49)</f>
        <v>82583</v>
      </c>
      <c r="J49" s="75">
        <f t="shared" si="5"/>
        <v>0.98015548038692069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31</v>
      </c>
      <c r="E50" s="79">
        <f t="shared" si="6"/>
        <v>9</v>
      </c>
      <c r="F50" s="71">
        <f t="shared" si="3"/>
        <v>1.66</v>
      </c>
      <c r="G50" s="72">
        <f>IF(D50=D49,"",_xlfn.IFNA(VLOOKUP(D50,'인원 입력 기능 (사과탐)'!$K$177:$N$225,4,FALSE),0))</f>
        <v>552</v>
      </c>
      <c r="H50" s="73">
        <f t="shared" si="4"/>
        <v>6.5515399679544244E-3</v>
      </c>
      <c r="I50" s="77">
        <f>SUM($G$7:G50)</f>
        <v>83135</v>
      </c>
      <c r="J50" s="75">
        <f t="shared" si="5"/>
        <v>0.98670702035487512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30</v>
      </c>
      <c r="E51" s="79">
        <f t="shared" si="6"/>
        <v>9</v>
      </c>
      <c r="F51" s="71">
        <f t="shared" si="3"/>
        <v>1.08</v>
      </c>
      <c r="G51" s="72">
        <f>IF(D51=D50,"",_xlfn.IFNA(VLOOKUP(D51,'인원 입력 기능 (사과탐)'!$K$177:$N$225,4,FALSE),0))</f>
        <v>413</v>
      </c>
      <c r="H51" s="73">
        <f t="shared" si="4"/>
        <v>4.9017862441398134E-3</v>
      </c>
      <c r="I51" s="77">
        <f>SUM($G$7:G51)</f>
        <v>83548</v>
      </c>
      <c r="J51" s="75">
        <f t="shared" si="5"/>
        <v>0.99160880659901485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29</v>
      </c>
      <c r="E52" s="79">
        <f t="shared" si="6"/>
        <v>9</v>
      </c>
      <c r="F52" s="71">
        <f t="shared" si="3"/>
        <v>0.67</v>
      </c>
      <c r="G52" s="72">
        <f>IF(D52=D51,"",_xlfn.IFNA(VLOOKUP(D52,'인원 입력 기능 (사과탐)'!$K$177:$N$225,4,FALSE),0))</f>
        <v>281</v>
      </c>
      <c r="H52" s="73">
        <f t="shared" si="4"/>
        <v>3.3351136431072339E-3</v>
      </c>
      <c r="I52" s="77">
        <f>SUM($G$7:G52)</f>
        <v>83829</v>
      </c>
      <c r="J52" s="75">
        <f t="shared" si="5"/>
        <v>0.99494392024212208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28</v>
      </c>
      <c r="E53" s="70">
        <f t="shared" si="6"/>
        <v>9</v>
      </c>
      <c r="F53" s="71">
        <f t="shared" si="3"/>
        <v>0.39</v>
      </c>
      <c r="G53" s="72">
        <f>IF(D53=D52,"",_xlfn.IFNA(VLOOKUP(D53,'인원 입력 기능 (사과탐)'!$K$177:$N$225,4,FALSE),0))</f>
        <v>195</v>
      </c>
      <c r="H53" s="73">
        <f t="shared" si="4"/>
        <v>2.3144027060708564E-3</v>
      </c>
      <c r="I53" s="77">
        <f>SUM($G$7:G53)</f>
        <v>84024</v>
      </c>
      <c r="J53" s="75">
        <f t="shared" si="5"/>
        <v>0.99725832294819294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27</v>
      </c>
      <c r="E54" s="70">
        <f t="shared" si="6"/>
        <v>9</v>
      </c>
      <c r="F54" s="71">
        <f t="shared" si="3"/>
        <v>0.23</v>
      </c>
      <c r="G54" s="72">
        <f>IF(D54=D53,"",_xlfn.IFNA(VLOOKUP(D54,'인원 입력 기능 (사과탐)'!$K$177:$N$225,4,FALSE),0))</f>
        <v>78</v>
      </c>
      <c r="H54" s="73">
        <f t="shared" si="4"/>
        <v>9.2576108242834257E-4</v>
      </c>
      <c r="I54" s="77">
        <f>SUM($G$7:G54)</f>
        <v>84102</v>
      </c>
      <c r="J54" s="75">
        <f t="shared" si="5"/>
        <v>0.99818408403062131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26</v>
      </c>
      <c r="E55" s="70">
        <f t="shared" si="6"/>
        <v>9</v>
      </c>
      <c r="F55" s="71">
        <f t="shared" si="3"/>
        <v>0.11</v>
      </c>
      <c r="G55" s="72">
        <f>IF(D55=D54,"",_xlfn.IFNA(VLOOKUP(D55,'인원 입력 기능 (사과탐)'!$K$177:$N$225,4,FALSE),0))</f>
        <v>118</v>
      </c>
      <c r="H55" s="73">
        <f t="shared" si="4"/>
        <v>1.4005103554685181E-3</v>
      </c>
      <c r="I55" s="77">
        <f>SUM($G$7:G55)</f>
        <v>84220</v>
      </c>
      <c r="J55" s="75">
        <f t="shared" si="5"/>
        <v>0.99958459438608982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24</v>
      </c>
      <c r="E57" s="83">
        <f t="shared" si="6"/>
        <v>9</v>
      </c>
      <c r="F57" s="84">
        <f>IF(I55=0,ROUND(100*(1-(I54+I57)/2/$J$3),2),ROUND(100*(1-(I55+I57)/2/$J$3),2))</f>
        <v>0.02</v>
      </c>
      <c r="G57" s="85">
        <f>_xlfn.IFNA(VLOOKUP(D57,'인원 입력 기능 (사과탐)'!$K$177:$N$225,4,FALSE),0)</f>
        <v>35</v>
      </c>
      <c r="H57" s="86">
        <f>G57/$J$3</f>
        <v>4.1540561391015371E-4</v>
      </c>
      <c r="I57" s="87">
        <f>SUM($G$7:G57)</f>
        <v>84255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">
    <mergeCell ref="D3:F3"/>
    <mergeCell ref="D4:F4"/>
    <mergeCell ref="D8:J8"/>
    <mergeCell ref="D56:J56"/>
    <mergeCell ref="G5:J5"/>
  </mergeCells>
  <phoneticPr fontId="1" type="noConversion"/>
  <conditionalFormatting sqref="D7:D57">
    <cfRule type="expression" dxfId="23" priority="1">
      <formula>$D7=$D8</formula>
    </cfRule>
  </conditionalFormatting>
  <conditionalFormatting sqref="C7:C57">
    <cfRule type="expression" dxfId="22" priority="2">
      <formula>OR(AND($D7=0,OR($D6=$Q$7:$Q$14)),AND($D8&gt;0,OR($D7=$Q$7:$Q$14)))</formula>
    </cfRule>
  </conditionalFormatting>
  <conditionalFormatting sqref="D7:J7 D8 D57:J57 D56 D9:J55">
    <cfRule type="expression" dxfId="21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19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기능'!D18</f>
        <v>25.15</v>
      </c>
      <c r="I3" s="15" t="s">
        <v>84</v>
      </c>
      <c r="J3" s="35">
        <f>'통계 및 응시자 수 입력 기능'!C18</f>
        <v>82994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92</v>
      </c>
      <c r="E4" s="120"/>
      <c r="F4" s="121"/>
      <c r="G4" s="37" t="s">
        <v>87</v>
      </c>
      <c r="H4" s="38" t="str">
        <f>'통계 및 응시자 수 입력 기능'!E18</f>
        <v>12.14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70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98.84</v>
      </c>
      <c r="G7" s="72">
        <f>_xlfn.IFNA(VLOOKUP(D7,'인원 입력 기능 (사과탐)'!$P$177:$S$225,4,FALSE),0)</f>
        <v>1922</v>
      </c>
      <c r="H7" s="73">
        <f>G7/$J$3</f>
        <v>2.3158300600043376E-2</v>
      </c>
      <c r="I7" s="74">
        <f>G7</f>
        <v>1922</v>
      </c>
      <c r="J7" s="75">
        <f>I7/$J$3</f>
        <v>2.3158300600043376E-2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입력기능'!C130</f>
        <v>68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입력기능'!C131</f>
        <v>64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69</v>
      </c>
      <c r="E9" s="70">
        <f t="shared" si="0"/>
        <v>1</v>
      </c>
      <c r="F9" s="71">
        <f>IF(I8=0,ROUND(100*(1-(I7+I9)/2/$J$3),2),ROUND(100*(1-(I8+I9)/2/$J$3),2))</f>
        <v>97.26</v>
      </c>
      <c r="G9" s="72">
        <f>_xlfn.IFNA(VLOOKUP(D9,'인원 입력 기능 (사과탐)'!$P$177:$S$225,4,FALSE),0)</f>
        <v>712</v>
      </c>
      <c r="H9" s="73">
        <f>G9/$J$3</f>
        <v>8.5789334168735083E-3</v>
      </c>
      <c r="I9" s="77">
        <f>SUM($G$7:G9)</f>
        <v>2634</v>
      </c>
      <c r="J9" s="75">
        <f>I9/$J$3</f>
        <v>3.1737234016916888E-2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입력기능'!C132</f>
        <v>59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68</v>
      </c>
      <c r="E10" s="70">
        <f t="shared" si="0"/>
        <v>1</v>
      </c>
      <c r="F10" s="71">
        <f t="shared" ref="F10:F55" si="3">IF(I9=0,ROUND(100*(1-(I8+I10)/2/$J$3),2),ROUND(100*(1-(I9+I10)/2/$J$3),2))</f>
        <v>95.51</v>
      </c>
      <c r="G10" s="72">
        <f>IF(D10=D9,"",_xlfn.IFNA(VLOOKUP(D10,'인원 입력 기능 (사과탐)'!$P$177:$S$225,4,FALSE),0))</f>
        <v>2193</v>
      </c>
      <c r="H10" s="73">
        <f t="shared" ref="H10:H55" si="4">G10/$J$3</f>
        <v>2.6423596886521919E-2</v>
      </c>
      <c r="I10" s="77">
        <f>SUM($G$7:G10)</f>
        <v>4827</v>
      </c>
      <c r="J10" s="75">
        <f t="shared" ref="J10:J55" si="5">I10/$J$3</f>
        <v>5.81608309034388E-2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입력기능'!C133</f>
        <v>52</v>
      </c>
    </row>
    <row r="11" spans="1:17" ht="25" customHeight="1" x14ac:dyDescent="0.45">
      <c r="A11" s="4"/>
      <c r="B11" s="19"/>
      <c r="C11" s="69">
        <v>46</v>
      </c>
      <c r="D11" s="70">
        <f t="shared" si="2"/>
        <v>67</v>
      </c>
      <c r="E11" s="70">
        <f t="shared" si="0"/>
        <v>2</v>
      </c>
      <c r="F11" s="71">
        <f t="shared" si="3"/>
        <v>94.06</v>
      </c>
      <c r="G11" s="72">
        <f>IF(D11=D10,"",_xlfn.IFNA(VLOOKUP(D11,'인원 입력 기능 (사과탐)'!$P$177:$S$225,4,FALSE),0))</f>
        <v>200</v>
      </c>
      <c r="H11" s="73">
        <f t="shared" si="4"/>
        <v>2.4098127575487385E-3</v>
      </c>
      <c r="I11" s="77">
        <f>SUM($G$7:G11)</f>
        <v>5027</v>
      </c>
      <c r="J11" s="75">
        <f t="shared" si="5"/>
        <v>6.0570643660987543E-2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입력기능'!C134</f>
        <v>46</v>
      </c>
    </row>
    <row r="12" spans="1:17" ht="25" customHeight="1" x14ac:dyDescent="0.45">
      <c r="A12" s="4"/>
      <c r="B12" s="19"/>
      <c r="C12" s="76">
        <v>45</v>
      </c>
      <c r="D12" s="126">
        <f t="shared" si="2"/>
        <v>66</v>
      </c>
      <c r="E12" s="126">
        <f t="shared" si="0"/>
        <v>2</v>
      </c>
      <c r="F12" s="128">
        <f t="shared" si="3"/>
        <v>91.95</v>
      </c>
      <c r="G12" s="130">
        <f>IF(D12=D11,"",_xlfn.IFNA(VLOOKUP(D12,'인원 입력 기능 (사과탐)'!$P$177:$S$225,4,FALSE),0))</f>
        <v>3301</v>
      </c>
      <c r="H12" s="132">
        <f t="shared" si="4"/>
        <v>3.9773959563341926E-2</v>
      </c>
      <c r="I12" s="134">
        <f>SUM($G$7:G12)</f>
        <v>8328</v>
      </c>
      <c r="J12" s="136">
        <f t="shared" si="5"/>
        <v>0.10034460322432948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입력기능'!C135</f>
        <v>41</v>
      </c>
    </row>
    <row r="13" spans="1:17" ht="25" customHeight="1" x14ac:dyDescent="0.45">
      <c r="A13" s="4"/>
      <c r="B13" s="19"/>
      <c r="C13" s="69">
        <v>44</v>
      </c>
      <c r="D13" s="127"/>
      <c r="E13" s="127"/>
      <c r="F13" s="129"/>
      <c r="G13" s="131"/>
      <c r="H13" s="133"/>
      <c r="I13" s="135"/>
      <c r="J13" s="137"/>
      <c r="K13" s="28"/>
      <c r="L13" s="5" t="str">
        <f t="shared" si="1"/>
        <v>경고</v>
      </c>
      <c r="N13" s="1"/>
      <c r="P13" s="1">
        <v>7</v>
      </c>
      <c r="Q13" s="1">
        <f>'표준점수 등급컷 입력기능'!C136</f>
        <v>38</v>
      </c>
    </row>
    <row r="14" spans="1:17" ht="25" customHeight="1" x14ac:dyDescent="0.45">
      <c r="A14" s="4"/>
      <c r="B14" s="19"/>
      <c r="C14" s="76">
        <v>43</v>
      </c>
      <c r="D14" s="70">
        <f t="shared" si="2"/>
        <v>65</v>
      </c>
      <c r="E14" s="70">
        <f t="shared" si="0"/>
        <v>2</v>
      </c>
      <c r="F14" s="71">
        <f t="shared" si="3"/>
        <v>89.56</v>
      </c>
      <c r="G14" s="72">
        <f>IF(D14=D13,"",_xlfn.IFNA(VLOOKUP(D14,'인원 입력 기능 (사과탐)'!$P$177:$S$225,4,FALSE),0))</f>
        <v>677</v>
      </c>
      <c r="H14" s="73">
        <f t="shared" si="4"/>
        <v>8.1572161843024796E-3</v>
      </c>
      <c r="I14" s="77">
        <f>SUM($G$7:G14)</f>
        <v>9005</v>
      </c>
      <c r="J14" s="75">
        <f t="shared" si="5"/>
        <v>0.10850181940863195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입력기능'!C137</f>
        <v>35</v>
      </c>
    </row>
    <row r="15" spans="1:17" ht="25" customHeight="1" x14ac:dyDescent="0.45">
      <c r="A15" s="4"/>
      <c r="B15" s="19"/>
      <c r="C15" s="69">
        <v>42</v>
      </c>
      <c r="D15" s="70">
        <f t="shared" si="2"/>
        <v>64</v>
      </c>
      <c r="E15" s="70">
        <f t="shared" si="0"/>
        <v>2</v>
      </c>
      <c r="F15" s="71">
        <f t="shared" si="3"/>
        <v>88.06</v>
      </c>
      <c r="G15" s="72">
        <f>IF(D15=D14,"",_xlfn.IFNA(VLOOKUP(D15,'인원 입력 기능 (사과탐)'!$P$177:$S$225,4,FALSE),0))</f>
        <v>1817</v>
      </c>
      <c r="H15" s="73">
        <f t="shared" si="4"/>
        <v>2.1893148902330288E-2</v>
      </c>
      <c r="I15" s="77">
        <f>SUM($G$7:G15)</f>
        <v>10822</v>
      </c>
      <c r="J15" s="75">
        <f t="shared" si="5"/>
        <v>0.13039496831096223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63</v>
      </c>
      <c r="E16" s="70">
        <f t="shared" si="0"/>
        <v>3</v>
      </c>
      <c r="F16" s="71">
        <f t="shared" si="3"/>
        <v>86.17</v>
      </c>
      <c r="G16" s="72">
        <f>IF(D16=D15,"",_xlfn.IFNA(VLOOKUP(D16,'인원 입력 기능 (사과탐)'!$P$177:$S$225,4,FALSE),0))</f>
        <v>1311</v>
      </c>
      <c r="H16" s="73">
        <f t="shared" si="4"/>
        <v>1.5796322625731982E-2</v>
      </c>
      <c r="I16" s="77">
        <f>SUM($G$7:G16)</f>
        <v>12133</v>
      </c>
      <c r="J16" s="75">
        <f t="shared" si="5"/>
        <v>0.14619129093669422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62</v>
      </c>
      <c r="E17" s="70">
        <f t="shared" si="0"/>
        <v>3</v>
      </c>
      <c r="F17" s="71">
        <f t="shared" si="3"/>
        <v>84.65</v>
      </c>
      <c r="G17" s="72">
        <f>IF(D17=D16,"",_xlfn.IFNA(VLOOKUP(D17,'인원 입력 기능 (사과탐)'!$P$177:$S$225,4,FALSE),0))</f>
        <v>1206</v>
      </c>
      <c r="H17" s="73">
        <f t="shared" si="4"/>
        <v>1.4531170928018892E-2</v>
      </c>
      <c r="I17" s="77">
        <f>SUM($G$7:G17)</f>
        <v>13339</v>
      </c>
      <c r="J17" s="75">
        <f t="shared" si="5"/>
        <v>0.16072246186471312</v>
      </c>
      <c r="K17" s="28"/>
      <c r="L17" s="5" t="str">
        <f t="shared" si="1"/>
        <v/>
      </c>
      <c r="N17" s="1"/>
      <c r="P17" s="1">
        <f>Q7*H3*H4*J3*IFERROR(IF(J57=1, 1, 0), 0)</f>
        <v>1723107153.0319998</v>
      </c>
    </row>
    <row r="18" spans="1:16" ht="25" customHeight="1" x14ac:dyDescent="0.45">
      <c r="A18" s="4"/>
      <c r="B18" s="19"/>
      <c r="C18" s="76">
        <v>39</v>
      </c>
      <c r="D18" s="126">
        <f t="shared" si="2"/>
        <v>61</v>
      </c>
      <c r="E18" s="126">
        <f t="shared" si="0"/>
        <v>3</v>
      </c>
      <c r="F18" s="128">
        <f t="shared" si="3"/>
        <v>82.11</v>
      </c>
      <c r="G18" s="130">
        <f>IF(D18=D17,"",_xlfn.IFNA(VLOOKUP(D18,'인원 입력 기능 (사과탐)'!$P$177:$S$225,4,FALSE),0))</f>
        <v>3011</v>
      </c>
      <c r="H18" s="132">
        <f t="shared" si="4"/>
        <v>3.6279731064896258E-2</v>
      </c>
      <c r="I18" s="134">
        <f>SUM($G$7:G18)</f>
        <v>16350</v>
      </c>
      <c r="J18" s="136">
        <f t="shared" si="5"/>
        <v>0.19700219292960938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140"/>
      <c r="E19" s="140"/>
      <c r="F19" s="141"/>
      <c r="G19" s="142"/>
      <c r="H19" s="143"/>
      <c r="I19" s="144"/>
      <c r="J19" s="145"/>
      <c r="K19" s="28"/>
      <c r="L19" s="5" t="str">
        <f t="shared" si="1"/>
        <v>경고</v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60</v>
      </c>
      <c r="E20" s="70">
        <f t="shared" si="0"/>
        <v>3</v>
      </c>
      <c r="F20" s="71">
        <f t="shared" si="3"/>
        <v>79.349999999999994</v>
      </c>
      <c r="G20" s="72">
        <f>IF(D20=D19,"",_xlfn.IFNA(VLOOKUP(D20,'인원 입력 기능 (사과탐)'!$P$177:$S$225,4,FALSE),0))</f>
        <v>1571</v>
      </c>
      <c r="H20" s="73">
        <f t="shared" si="4"/>
        <v>1.892907921054534E-2</v>
      </c>
      <c r="I20" s="77">
        <f>SUM($G$7:G20)</f>
        <v>17921</v>
      </c>
      <c r="J20" s="75">
        <f t="shared" si="5"/>
        <v>0.2159312721401547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59</v>
      </c>
      <c r="E21" s="79">
        <f t="shared" si="0"/>
        <v>3</v>
      </c>
      <c r="F21" s="71">
        <f t="shared" si="3"/>
        <v>77.48</v>
      </c>
      <c r="G21" s="72">
        <f>IF(D21=D20,"",_xlfn.IFNA(VLOOKUP(D21,'인원 입력 기능 (사과탐)'!$P$177:$S$225,4,FALSE),0))</f>
        <v>1540</v>
      </c>
      <c r="H21" s="73">
        <f t="shared" si="4"/>
        <v>1.8555558233125286E-2</v>
      </c>
      <c r="I21" s="77">
        <f>SUM($G$7:G21)</f>
        <v>19461</v>
      </c>
      <c r="J21" s="75">
        <f t="shared" si="5"/>
        <v>0.23448683037328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58</v>
      </c>
      <c r="E22" s="79">
        <f t="shared" si="0"/>
        <v>4</v>
      </c>
      <c r="F22" s="71">
        <f t="shared" si="3"/>
        <v>75.709999999999994</v>
      </c>
      <c r="G22" s="72">
        <f>IF(D22=D21,"",_xlfn.IFNA(VLOOKUP(D22,'인원 입력 기능 (사과탐)'!$P$177:$S$225,4,FALSE),0))</f>
        <v>1394</v>
      </c>
      <c r="H22" s="73">
        <f t="shared" si="4"/>
        <v>1.6796394920114706E-2</v>
      </c>
      <c r="I22" s="77">
        <f>SUM($G$7:G22)</f>
        <v>20855</v>
      </c>
      <c r="J22" s="75">
        <f t="shared" si="5"/>
        <v>0.2512832252933947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57</v>
      </c>
      <c r="E23" s="79">
        <f t="shared" si="0"/>
        <v>4</v>
      </c>
      <c r="F23" s="71">
        <f t="shared" si="3"/>
        <v>73.81</v>
      </c>
      <c r="G23" s="72">
        <f>IF(D23=D22,"",_xlfn.IFNA(VLOOKUP(D23,'인원 입력 기능 (사과탐)'!$P$177:$S$225,4,FALSE),0))</f>
        <v>1765</v>
      </c>
      <c r="H23" s="73">
        <f t="shared" si="4"/>
        <v>2.1266597585367617E-2</v>
      </c>
      <c r="I23" s="77">
        <f>SUM($G$7:G23)</f>
        <v>22620</v>
      </c>
      <c r="J23" s="75">
        <f t="shared" si="5"/>
        <v>0.27254982287876234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138">
        <f t="shared" si="2"/>
        <v>56</v>
      </c>
      <c r="E24" s="138">
        <f t="shared" si="0"/>
        <v>4</v>
      </c>
      <c r="F24" s="128">
        <f t="shared" si="3"/>
        <v>70.78</v>
      </c>
      <c r="G24" s="130">
        <f>IF(D24=D23,"",_xlfn.IFNA(VLOOKUP(D24,'인원 입력 기능 (사과탐)'!$P$177:$S$225,4,FALSE),0))</f>
        <v>3255</v>
      </c>
      <c r="H24" s="132">
        <f t="shared" si="4"/>
        <v>3.9219702629105721E-2</v>
      </c>
      <c r="I24" s="134">
        <f>SUM($G$7:G24)</f>
        <v>25875</v>
      </c>
      <c r="J24" s="136">
        <f t="shared" si="5"/>
        <v>0.31176952550786802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139"/>
      <c r="E25" s="139"/>
      <c r="F25" s="129"/>
      <c r="G25" s="131"/>
      <c r="H25" s="133"/>
      <c r="I25" s="135"/>
      <c r="J25" s="137"/>
      <c r="K25" s="28"/>
      <c r="L25" s="5" t="str">
        <f t="shared" si="1"/>
        <v>경고</v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55</v>
      </c>
      <c r="E26" s="79">
        <f t="shared" si="0"/>
        <v>4</v>
      </c>
      <c r="F26" s="71">
        <f t="shared" si="3"/>
        <v>67.77</v>
      </c>
      <c r="G26" s="72">
        <f>IF(D26=D25,"",_xlfn.IFNA(VLOOKUP(D26,'인원 입력 기능 (사과탐)'!$P$177:$S$225,4,FALSE),0))</f>
        <v>1747</v>
      </c>
      <c r="H26" s="73">
        <f t="shared" si="4"/>
        <v>2.1049714437188231E-2</v>
      </c>
      <c r="I26" s="77">
        <f>SUM($G$7:G26)</f>
        <v>27622</v>
      </c>
      <c r="J26" s="75">
        <f t="shared" si="5"/>
        <v>0.33281923994505624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54</v>
      </c>
      <c r="E27" s="79">
        <f t="shared" si="0"/>
        <v>4</v>
      </c>
      <c r="F27" s="71">
        <f t="shared" si="3"/>
        <v>65.67</v>
      </c>
      <c r="G27" s="72">
        <f>IF(D27=D26,"",_xlfn.IFNA(VLOOKUP(D27,'인원 입력 기능 (사과탐)'!$P$177:$S$225,4,FALSE),0))</f>
        <v>1747</v>
      </c>
      <c r="H27" s="73">
        <f t="shared" si="4"/>
        <v>2.1049714437188231E-2</v>
      </c>
      <c r="I27" s="77">
        <f>SUM($G$7:G27)</f>
        <v>29369</v>
      </c>
      <c r="J27" s="75">
        <f t="shared" si="5"/>
        <v>0.35386895438224453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53</v>
      </c>
      <c r="E28" s="79">
        <f t="shared" si="0"/>
        <v>4</v>
      </c>
      <c r="F28" s="71">
        <f t="shared" si="3"/>
        <v>63.4</v>
      </c>
      <c r="G28" s="72">
        <f>IF(D28=D27,"",_xlfn.IFNA(VLOOKUP(D28,'인원 입력 기능 (사과탐)'!$P$177:$S$225,4,FALSE),0))</f>
        <v>2021</v>
      </c>
      <c r="H28" s="73">
        <f t="shared" si="4"/>
        <v>2.4351157915030001E-2</v>
      </c>
      <c r="I28" s="77">
        <f>SUM($G$7:G28)</f>
        <v>31390</v>
      </c>
      <c r="J28" s="75">
        <f t="shared" si="5"/>
        <v>0.37822011229727448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138">
        <f t="shared" si="2"/>
        <v>52</v>
      </c>
      <c r="E29" s="138">
        <f t="shared" si="0"/>
        <v>4</v>
      </c>
      <c r="F29" s="128">
        <f t="shared" si="3"/>
        <v>59.88</v>
      </c>
      <c r="G29" s="130">
        <f>IF(D29=D28,"",_xlfn.IFNA(VLOOKUP(D29,'인원 입력 기능 (사과탐)'!$P$177:$S$225,4,FALSE),0))</f>
        <v>3815</v>
      </c>
      <c r="H29" s="132">
        <f t="shared" si="4"/>
        <v>4.5967178350242187E-2</v>
      </c>
      <c r="I29" s="134">
        <f>SUM($G$7:G29)</f>
        <v>35205</v>
      </c>
      <c r="J29" s="136">
        <f t="shared" si="5"/>
        <v>0.4241872906475167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139"/>
      <c r="E30" s="139"/>
      <c r="F30" s="129"/>
      <c r="G30" s="131"/>
      <c r="H30" s="133"/>
      <c r="I30" s="135"/>
      <c r="J30" s="137"/>
      <c r="K30" s="28"/>
      <c r="L30" s="5" t="str">
        <f t="shared" si="1"/>
        <v>경고</v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51</v>
      </c>
      <c r="E31" s="79">
        <f t="shared" si="0"/>
        <v>5</v>
      </c>
      <c r="F31" s="71">
        <f t="shared" si="3"/>
        <v>56.34</v>
      </c>
      <c r="G31" s="72">
        <f>IF(D31=D30,"",_xlfn.IFNA(VLOOKUP(D31,'인원 입력 기능 (사과탐)'!$P$177:$S$225,4,FALSE),0))</f>
        <v>2056</v>
      </c>
      <c r="H31" s="73">
        <f t="shared" si="4"/>
        <v>2.4772875147601032E-2</v>
      </c>
      <c r="I31" s="77">
        <f>SUM($G$7:G31)</f>
        <v>37261</v>
      </c>
      <c r="J31" s="75">
        <f t="shared" si="5"/>
        <v>0.44896016579511772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50</v>
      </c>
      <c r="E32" s="79">
        <f t="shared" si="0"/>
        <v>5</v>
      </c>
      <c r="F32" s="71">
        <f t="shared" si="3"/>
        <v>53.83</v>
      </c>
      <c r="G32" s="72">
        <f>IF(D32=D31,"",_xlfn.IFNA(VLOOKUP(D32,'인원 입력 기능 (사과탐)'!$P$177:$S$225,4,FALSE),0))</f>
        <v>2109</v>
      </c>
      <c r="H32" s="73">
        <f t="shared" si="4"/>
        <v>2.5411475528351449E-2</v>
      </c>
      <c r="I32" s="77">
        <f>SUM($G$7:G32)</f>
        <v>39370</v>
      </c>
      <c r="J32" s="75">
        <f t="shared" si="5"/>
        <v>0.47437164132346915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49</v>
      </c>
      <c r="E33" s="79">
        <f t="shared" si="0"/>
        <v>5</v>
      </c>
      <c r="F33" s="71">
        <f t="shared" si="3"/>
        <v>51.15</v>
      </c>
      <c r="G33" s="72">
        <f>IF(D33=D32,"",_xlfn.IFNA(VLOOKUP(D33,'인원 입력 기능 (사과탐)'!$P$177:$S$225,4,FALSE),0))</f>
        <v>2339</v>
      </c>
      <c r="H33" s="73">
        <f t="shared" si="4"/>
        <v>2.8182760199532496E-2</v>
      </c>
      <c r="I33" s="77">
        <f>SUM($G$7:G33)</f>
        <v>41709</v>
      </c>
      <c r="J33" s="75">
        <f t="shared" si="5"/>
        <v>0.50255440152300168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48</v>
      </c>
      <c r="E34" s="79">
        <f t="shared" si="0"/>
        <v>5</v>
      </c>
      <c r="F34" s="71">
        <f t="shared" si="3"/>
        <v>48.42</v>
      </c>
      <c r="G34" s="72">
        <f>IF(D34=D33,"",_xlfn.IFNA(VLOOKUP(D34,'인원 입력 기능 (사과탐)'!$P$177:$S$225,4,FALSE),0))</f>
        <v>2206</v>
      </c>
      <c r="H34" s="73">
        <f t="shared" si="4"/>
        <v>2.6580234715762586E-2</v>
      </c>
      <c r="I34" s="77">
        <f>SUM($G$7:G34)</f>
        <v>43915</v>
      </c>
      <c r="J34" s="75">
        <f t="shared" si="5"/>
        <v>0.52913463623876422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138">
        <f t="shared" si="2"/>
        <v>47</v>
      </c>
      <c r="E35" s="138">
        <f t="shared" si="0"/>
        <v>5</v>
      </c>
      <c r="F35" s="128">
        <f t="shared" si="3"/>
        <v>44.22</v>
      </c>
      <c r="G35" s="130">
        <f>IF(D35=D34,"",_xlfn.IFNA(VLOOKUP(D35,'인원 입력 기능 (사과탐)'!$P$177:$S$225,4,FALSE),0))</f>
        <v>4757</v>
      </c>
      <c r="H35" s="132">
        <f t="shared" si="4"/>
        <v>5.7317396438296746E-2</v>
      </c>
      <c r="I35" s="134">
        <f>SUM($G$7:G35)</f>
        <v>48672</v>
      </c>
      <c r="J35" s="136">
        <f t="shared" si="5"/>
        <v>0.58645203267706103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146"/>
      <c r="E36" s="146"/>
      <c r="F36" s="141"/>
      <c r="G36" s="142"/>
      <c r="H36" s="143"/>
      <c r="I36" s="144"/>
      <c r="J36" s="145"/>
      <c r="K36" s="28"/>
      <c r="L36" s="5" t="str">
        <f t="shared" si="1"/>
        <v>경고</v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46</v>
      </c>
      <c r="E37" s="79">
        <f t="shared" si="0"/>
        <v>5</v>
      </c>
      <c r="F37" s="71">
        <f t="shared" si="3"/>
        <v>39.909999999999997</v>
      </c>
      <c r="G37" s="72">
        <f>IF(D37=D36,"",_xlfn.IFNA(VLOOKUP(D37,'인원 입력 기능 (사과탐)'!$P$177:$S$225,4,FALSE),0))</f>
        <v>2390</v>
      </c>
      <c r="H37" s="73">
        <f t="shared" si="4"/>
        <v>2.8797262452707424E-2</v>
      </c>
      <c r="I37" s="77">
        <f>SUM($G$7:G37)</f>
        <v>51062</v>
      </c>
      <c r="J37" s="75">
        <f t="shared" si="5"/>
        <v>0.61524929512976845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45</v>
      </c>
      <c r="E38" s="79">
        <f t="shared" si="0"/>
        <v>6</v>
      </c>
      <c r="F38" s="71">
        <f t="shared" si="3"/>
        <v>36.94</v>
      </c>
      <c r="G38" s="72">
        <f>IF(D38=D37,"",_xlfn.IFNA(VLOOKUP(D38,'인원 입력 기능 (사과탐)'!$P$177:$S$225,4,FALSE),0))</f>
        <v>2552</v>
      </c>
      <c r="H38" s="73">
        <f t="shared" si="4"/>
        <v>3.0749210786321902E-2</v>
      </c>
      <c r="I38" s="77">
        <f>SUM($G$7:G38)</f>
        <v>53614</v>
      </c>
      <c r="J38" s="75">
        <f t="shared" si="5"/>
        <v>0.64599850591609032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44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1">
        <f t="shared" si="3"/>
        <v>34.01</v>
      </c>
      <c r="G39" s="72">
        <f>IF(D39=D38,"",_xlfn.IFNA(VLOOKUP(D39,'인원 입력 기능 (사과탐)'!$P$177:$S$225,4,FALSE),0))</f>
        <v>2301</v>
      </c>
      <c r="H39" s="73">
        <f t="shared" si="4"/>
        <v>2.7724895775598234E-2</v>
      </c>
      <c r="I39" s="77">
        <f>SUM($G$7:G39)</f>
        <v>55915</v>
      </c>
      <c r="J39" s="75">
        <f t="shared" si="5"/>
        <v>0.67372340169168854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43</v>
      </c>
      <c r="E40" s="79">
        <f t="shared" si="6"/>
        <v>6</v>
      </c>
      <c r="F40" s="71">
        <f t="shared" si="3"/>
        <v>31.02</v>
      </c>
      <c r="G40" s="72">
        <f>IF(D40=D39,"",_xlfn.IFNA(VLOOKUP(D40,'인원 입력 기능 (사과탐)'!$P$177:$S$225,4,FALSE),0))</f>
        <v>2664</v>
      </c>
      <c r="H40" s="73">
        <f t="shared" si="4"/>
        <v>3.2098705930549198E-2</v>
      </c>
      <c r="I40" s="77">
        <f>SUM($G$7:G40)</f>
        <v>58579</v>
      </c>
      <c r="J40" s="75">
        <f t="shared" si="5"/>
        <v>0.70582210762223774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138">
        <f t="shared" si="2"/>
        <v>42</v>
      </c>
      <c r="E41" s="138">
        <f t="shared" si="6"/>
        <v>6</v>
      </c>
      <c r="F41" s="128">
        <f t="shared" si="3"/>
        <v>26.34</v>
      </c>
      <c r="G41" s="130">
        <f>IF(D41=D40,"",_xlfn.IFNA(VLOOKUP(D41,'인원 입력 기능 (사과탐)'!$P$177:$S$225,4,FALSE),0))</f>
        <v>5115</v>
      </c>
      <c r="H41" s="132">
        <f t="shared" si="4"/>
        <v>6.1630961274308983E-2</v>
      </c>
      <c r="I41" s="134">
        <f>SUM($G$7:G41)</f>
        <v>63694</v>
      </c>
      <c r="J41" s="136">
        <f t="shared" si="5"/>
        <v>0.76745306889654674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139"/>
      <c r="E42" s="139"/>
      <c r="F42" s="129"/>
      <c r="G42" s="131"/>
      <c r="H42" s="133"/>
      <c r="I42" s="135"/>
      <c r="J42" s="137"/>
      <c r="K42" s="28"/>
      <c r="L42" s="5" t="str">
        <f t="shared" si="1"/>
        <v>경고</v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41</v>
      </c>
      <c r="E43" s="79">
        <f t="shared" si="6"/>
        <v>6</v>
      </c>
      <c r="F43" s="71">
        <f t="shared" si="3"/>
        <v>21.76</v>
      </c>
      <c r="G43" s="72">
        <f>IF(D43=D42,"",_xlfn.IFNA(VLOOKUP(D43,'인원 입력 기능 (사과탐)'!$P$177:$S$225,4,FALSE),0))</f>
        <v>2477</v>
      </c>
      <c r="H43" s="73">
        <f t="shared" si="4"/>
        <v>2.9845531002241125E-2</v>
      </c>
      <c r="I43" s="77">
        <f>SUM($G$7:G43)</f>
        <v>66171</v>
      </c>
      <c r="J43" s="75">
        <f t="shared" si="5"/>
        <v>0.79729859989878782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40</v>
      </c>
      <c r="E44" s="79">
        <f t="shared" si="6"/>
        <v>7</v>
      </c>
      <c r="F44" s="71">
        <f t="shared" si="3"/>
        <v>19.04</v>
      </c>
      <c r="G44" s="72">
        <f>IF(D44=D43,"",_xlfn.IFNA(VLOOKUP(D44,'인원 입력 기능 (사과탐)'!$P$177:$S$225,4,FALSE),0))</f>
        <v>2049</v>
      </c>
      <c r="H44" s="73">
        <f t="shared" si="4"/>
        <v>2.4688531701086827E-2</v>
      </c>
      <c r="I44" s="77">
        <f>SUM($G$7:G44)</f>
        <v>68220</v>
      </c>
      <c r="J44" s="75">
        <f t="shared" si="5"/>
        <v>0.82198713159987469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39</v>
      </c>
      <c r="E45" s="79">
        <f t="shared" si="6"/>
        <v>7</v>
      </c>
      <c r="F45" s="71">
        <f t="shared" si="3"/>
        <v>15.42</v>
      </c>
      <c r="G45" s="72">
        <f>IF(D45=D44,"",_xlfn.IFNA(VLOOKUP(D45,'인원 입력 기능 (사과탐)'!$P$177:$S$225,4,FALSE),0))</f>
        <v>3950</v>
      </c>
      <c r="H45" s="73">
        <f t="shared" si="4"/>
        <v>4.7593801961587585E-2</v>
      </c>
      <c r="I45" s="77">
        <f>SUM($G$7:G45)</f>
        <v>72170</v>
      </c>
      <c r="J45" s="75">
        <f t="shared" si="5"/>
        <v>0.86958093356146227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138">
        <f t="shared" si="2"/>
        <v>38</v>
      </c>
      <c r="E46" s="138">
        <f t="shared" si="6"/>
        <v>7</v>
      </c>
      <c r="F46" s="128">
        <f t="shared" si="3"/>
        <v>10.220000000000001</v>
      </c>
      <c r="G46" s="130">
        <f>IF(D46=D45,"",_xlfn.IFNA(VLOOKUP(D46,'인원 입력 기능 (사과탐)'!$P$177:$S$225,4,FALSE),0))</f>
        <v>4678</v>
      </c>
      <c r="H46" s="132">
        <f t="shared" si="4"/>
        <v>5.6365520399064992E-2</v>
      </c>
      <c r="I46" s="134">
        <f>SUM($G$7:G46)</f>
        <v>76848</v>
      </c>
      <c r="J46" s="136">
        <f t="shared" si="5"/>
        <v>0.92594645396052722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139"/>
      <c r="E47" s="139"/>
      <c r="F47" s="129"/>
      <c r="G47" s="131"/>
      <c r="H47" s="133"/>
      <c r="I47" s="135"/>
      <c r="J47" s="137"/>
      <c r="K47" s="28"/>
      <c r="L47" s="5" t="str">
        <f t="shared" si="1"/>
        <v>경고</v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37</v>
      </c>
      <c r="E48" s="79">
        <f t="shared" si="6"/>
        <v>8</v>
      </c>
      <c r="F48" s="71">
        <f t="shared" si="3"/>
        <v>6.51</v>
      </c>
      <c r="G48" s="72">
        <f>IF(D48=D47,"",_xlfn.IFNA(VLOOKUP(D48,'인원 입력 기능 (사과탐)'!$P$177:$S$225,4,FALSE),0))</f>
        <v>1485</v>
      </c>
      <c r="H48" s="73">
        <f t="shared" si="4"/>
        <v>1.7892859724799384E-2</v>
      </c>
      <c r="I48" s="77">
        <f>SUM($G$7:G48)</f>
        <v>78333</v>
      </c>
      <c r="J48" s="75">
        <f t="shared" si="5"/>
        <v>0.9438393136853267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36</v>
      </c>
      <c r="E49" s="79">
        <f t="shared" si="6"/>
        <v>8</v>
      </c>
      <c r="F49" s="71">
        <f t="shared" si="3"/>
        <v>4.97</v>
      </c>
      <c r="G49" s="72">
        <f>IF(D49=D48,"",_xlfn.IFNA(VLOOKUP(D49,'인원 입력 기능 (사과탐)'!$P$177:$S$225,4,FALSE),0))</f>
        <v>1075</v>
      </c>
      <c r="H49" s="73">
        <f t="shared" si="4"/>
        <v>1.2952743571824469E-2</v>
      </c>
      <c r="I49" s="77">
        <f>SUM($G$7:G49)</f>
        <v>79408</v>
      </c>
      <c r="J49" s="75">
        <f t="shared" si="5"/>
        <v>0.95679205725715111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35</v>
      </c>
      <c r="E50" s="79">
        <f t="shared" si="6"/>
        <v>8</v>
      </c>
      <c r="F50" s="71">
        <f t="shared" si="3"/>
        <v>3.64</v>
      </c>
      <c r="G50" s="72">
        <f>IF(D50=D49,"",_xlfn.IFNA(VLOOKUP(D50,'인원 입력 기능 (사과탐)'!$P$177:$S$225,4,FALSE),0))</f>
        <v>1136</v>
      </c>
      <c r="H50" s="73">
        <f t="shared" si="4"/>
        <v>1.3687736462876835E-2</v>
      </c>
      <c r="I50" s="77">
        <f>SUM($G$7:G50)</f>
        <v>80544</v>
      </c>
      <c r="J50" s="75">
        <f t="shared" si="5"/>
        <v>0.97047979372002791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34</v>
      </c>
      <c r="E51" s="79">
        <f t="shared" si="6"/>
        <v>9</v>
      </c>
      <c r="F51" s="71">
        <f t="shared" si="3"/>
        <v>2.3199999999999998</v>
      </c>
      <c r="G51" s="72">
        <f>IF(D51=D50,"",_xlfn.IFNA(VLOOKUP(D51,'인원 입력 기능 (사과탐)'!$P$177:$S$225,4,FALSE),0))</f>
        <v>1049</v>
      </c>
      <c r="H51" s="73">
        <f t="shared" si="4"/>
        <v>1.2639467913343133E-2</v>
      </c>
      <c r="I51" s="77">
        <f>SUM($G$7:G51)</f>
        <v>81593</v>
      </c>
      <c r="J51" s="75">
        <f t="shared" si="5"/>
        <v>0.98311926163337104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138">
        <f t="shared" si="2"/>
        <v>33</v>
      </c>
      <c r="E52" s="138">
        <f t="shared" si="6"/>
        <v>9</v>
      </c>
      <c r="F52" s="128">
        <f t="shared" si="3"/>
        <v>1.1100000000000001</v>
      </c>
      <c r="G52" s="130">
        <f>IF(D52=D51,"",_xlfn.IFNA(VLOOKUP(D52,'인원 입력 기능 (사과탐)'!$P$177:$S$225,4,FALSE),0))</f>
        <v>966</v>
      </c>
      <c r="H52" s="132">
        <f t="shared" si="4"/>
        <v>1.1639395618960408E-2</v>
      </c>
      <c r="I52" s="134">
        <f>SUM($G$7:G52)</f>
        <v>82559</v>
      </c>
      <c r="J52" s="136">
        <f t="shared" si="5"/>
        <v>0.99475865725233148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146"/>
      <c r="E53" s="146"/>
      <c r="F53" s="141"/>
      <c r="G53" s="142"/>
      <c r="H53" s="143"/>
      <c r="I53" s="144"/>
      <c r="J53" s="145"/>
      <c r="K53" s="28"/>
      <c r="L53" s="5" t="str">
        <f t="shared" si="1"/>
        <v>경고</v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32</v>
      </c>
      <c r="E54" s="70">
        <f t="shared" si="6"/>
        <v>9</v>
      </c>
      <c r="F54" s="71">
        <f t="shared" si="3"/>
        <v>0.43</v>
      </c>
      <c r="G54" s="72">
        <f>IF(D54=D53,"",_xlfn.IFNA(VLOOKUP(D54,'인원 입력 기능 (사과탐)'!$P$177:$S$225,4,FALSE),0))</f>
        <v>162</v>
      </c>
      <c r="H54" s="73">
        <f t="shared" si="4"/>
        <v>1.9519483336144781E-3</v>
      </c>
      <c r="I54" s="77">
        <f>SUM($G$7:G54)</f>
        <v>82721</v>
      </c>
      <c r="J54" s="75">
        <f t="shared" si="5"/>
        <v>0.99671060558594593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31</v>
      </c>
      <c r="E55" s="70">
        <f t="shared" si="6"/>
        <v>9</v>
      </c>
      <c r="F55" s="71">
        <f t="shared" si="3"/>
        <v>0.22</v>
      </c>
      <c r="G55" s="72">
        <f>IF(D55=D54,"",_xlfn.IFNA(VLOOKUP(D55,'인원 입력 기능 (사과탐)'!$P$177:$S$225,4,FALSE),0))</f>
        <v>187</v>
      </c>
      <c r="H55" s="73">
        <f t="shared" si="4"/>
        <v>2.2531749283080703E-3</v>
      </c>
      <c r="I55" s="77">
        <f>SUM($G$7:G55)</f>
        <v>82908</v>
      </c>
      <c r="J55" s="75">
        <f t="shared" si="5"/>
        <v>0.99896378051425405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29</v>
      </c>
      <c r="E57" s="83">
        <f t="shared" si="6"/>
        <v>9</v>
      </c>
      <c r="F57" s="84">
        <f>IF(I55=0,ROUND(100*(1-(I54+I57)/2/$J$3),2),ROUND(100*(1-(I55+I57)/2/$J$3),2))</f>
        <v>0.05</v>
      </c>
      <c r="G57" s="85">
        <f>_xlfn.IFNA(VLOOKUP(D57,'인원 입력 기능 (사과탐)'!$P$177:$S$225,4,FALSE),0)</f>
        <v>86</v>
      </c>
      <c r="H57" s="86">
        <f>G57/$J$3</f>
        <v>1.0362194857459575E-3</v>
      </c>
      <c r="I57" s="87">
        <f>SUM($G$7:G57)</f>
        <v>82994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61">
    <mergeCell ref="I52:I53"/>
    <mergeCell ref="J52:J53"/>
    <mergeCell ref="D52:D53"/>
    <mergeCell ref="E52:E53"/>
    <mergeCell ref="F52:F53"/>
    <mergeCell ref="G52:G53"/>
    <mergeCell ref="H52:H53"/>
    <mergeCell ref="I41:I42"/>
    <mergeCell ref="J41:J42"/>
    <mergeCell ref="D46:D47"/>
    <mergeCell ref="E46:E47"/>
    <mergeCell ref="F46:F47"/>
    <mergeCell ref="G46:G47"/>
    <mergeCell ref="H46:H47"/>
    <mergeCell ref="I46:I47"/>
    <mergeCell ref="J46:J47"/>
    <mergeCell ref="D41:D42"/>
    <mergeCell ref="E41:E42"/>
    <mergeCell ref="F41:F42"/>
    <mergeCell ref="G41:G42"/>
    <mergeCell ref="H41:H42"/>
    <mergeCell ref="I29:I30"/>
    <mergeCell ref="J29:J30"/>
    <mergeCell ref="D35:D36"/>
    <mergeCell ref="E35:E36"/>
    <mergeCell ref="F35:F36"/>
    <mergeCell ref="G35:G36"/>
    <mergeCell ref="H35:H36"/>
    <mergeCell ref="I35:I36"/>
    <mergeCell ref="J35:J36"/>
    <mergeCell ref="D29:D30"/>
    <mergeCell ref="E29:E30"/>
    <mergeCell ref="F29:F30"/>
    <mergeCell ref="G29:G30"/>
    <mergeCell ref="H29:H30"/>
    <mergeCell ref="H18:H19"/>
    <mergeCell ref="I18:I19"/>
    <mergeCell ref="J18:J19"/>
    <mergeCell ref="D24:D25"/>
    <mergeCell ref="E24:E25"/>
    <mergeCell ref="F24:F25"/>
    <mergeCell ref="G24:G25"/>
    <mergeCell ref="H24:H25"/>
    <mergeCell ref="I24:I25"/>
    <mergeCell ref="J24:J25"/>
    <mergeCell ref="D3:F3"/>
    <mergeCell ref="D4:F4"/>
    <mergeCell ref="D8:J8"/>
    <mergeCell ref="D56:J56"/>
    <mergeCell ref="G5:J5"/>
    <mergeCell ref="D12:D13"/>
    <mergeCell ref="E12:E13"/>
    <mergeCell ref="F12:F13"/>
    <mergeCell ref="G12:G13"/>
    <mergeCell ref="H12:H13"/>
    <mergeCell ref="I12:I13"/>
    <mergeCell ref="J12:J13"/>
    <mergeCell ref="D18:D19"/>
    <mergeCell ref="E18:E19"/>
    <mergeCell ref="F18:F19"/>
    <mergeCell ref="G18:G19"/>
  </mergeCells>
  <phoneticPr fontId="1" type="noConversion"/>
  <conditionalFormatting sqref="D7:D12 D14:D18 D20:D24 D26:D29 D31:D35 D37:D41 D43:D46 D48:D52 D54:D57">
    <cfRule type="expression" dxfId="20" priority="1">
      <formula>$D7=$D8</formula>
    </cfRule>
  </conditionalFormatting>
  <conditionalFormatting sqref="C7:C57">
    <cfRule type="expression" dxfId="19" priority="3">
      <formula>OR(AND($D7=0,OR($D6=$Q$7:$Q$14)),AND($D8&gt;0,OR($D7=$Q$7:$Q$14)))</formula>
    </cfRule>
  </conditionalFormatting>
  <conditionalFormatting sqref="D7:J7 D8 D57:J57 D56 D9:J12 D14:J18 D20:J24 D26:J29 D31:J35 D37:J41 D43:J46 D48:J52 D54:J55">
    <cfRule type="expression" dxfId="18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5A5CF-70CF-4702-9339-D6937B6FF4BA}">
  <sheetPr codeName="Sheet20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기능'!D19</f>
        <v>15.09</v>
      </c>
      <c r="I3" s="15" t="s">
        <v>84</v>
      </c>
      <c r="J3" s="35">
        <f>'통계 및 응시자 수 입력 기능'!C19</f>
        <v>4728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91</v>
      </c>
      <c r="E4" s="120"/>
      <c r="F4" s="121"/>
      <c r="G4" s="37" t="s">
        <v>87</v>
      </c>
      <c r="H4" s="38" t="str">
        <f>'통계 및 응시자 수 입력 기능'!E19</f>
        <v xml:space="preserve"> 9.43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87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99.7</v>
      </c>
      <c r="G7" s="72">
        <f>_xlfn.IFNA(VLOOKUP(D7,'인원 입력 기능 (사과탐)'!$A$236:$D$284,4,FALSE),0)</f>
        <v>28</v>
      </c>
      <c r="H7" s="73">
        <f>G7/$J$3</f>
        <v>5.9221658206429781E-3</v>
      </c>
      <c r="I7" s="74">
        <f>G7</f>
        <v>28</v>
      </c>
      <c r="J7" s="75">
        <f>I7/$J$3</f>
        <v>5.9221658206429781E-3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입력기능'!C139</f>
        <v>76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입력기능'!C140</f>
        <v>63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85</v>
      </c>
      <c r="E9" s="70">
        <f t="shared" si="0"/>
        <v>1</v>
      </c>
      <c r="F9" s="71">
        <f>IF(I8=0,ROUND(100*(1-(I7+I9)/2/$J$3),2),ROUND(100*(1-(I8+I9)/2/$J$3),2))</f>
        <v>99.31</v>
      </c>
      <c r="G9" s="72">
        <f>_xlfn.IFNA(VLOOKUP(D9,'인원 입력 기능 (사과탐)'!$A$236:$D$284,4,FALSE),0)</f>
        <v>9</v>
      </c>
      <c r="H9" s="73">
        <f>G9/$J$3</f>
        <v>1.9035532994923859E-3</v>
      </c>
      <c r="I9" s="77">
        <f>SUM($G$7:G9)</f>
        <v>37</v>
      </c>
      <c r="J9" s="75">
        <f>I9/$J$3</f>
        <v>7.8257191201353635E-3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입력기능'!C141</f>
        <v>53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84</v>
      </c>
      <c r="E10" s="70">
        <f t="shared" si="0"/>
        <v>1</v>
      </c>
      <c r="F10" s="71">
        <f t="shared" ref="F10:F55" si="3">IF(I9=0,ROUND(100*(1-(I8+I10)/2/$J$3),2),ROUND(100*(1-(I9+I10)/2/$J$3),2))</f>
        <v>98.91</v>
      </c>
      <c r="G10" s="72">
        <f>IF(D10=D9,"",_xlfn.IFNA(VLOOKUP(D10,'인원 입력 기능 (사과탐)'!$A$236:$D$284,4,FALSE),0))</f>
        <v>29</v>
      </c>
      <c r="H10" s="73">
        <f t="shared" ref="H10:H55" si="4">G10/$J$3</f>
        <v>6.1336717428087982E-3</v>
      </c>
      <c r="I10" s="77">
        <f>SUM($G$7:G10)</f>
        <v>66</v>
      </c>
      <c r="J10" s="75">
        <f t="shared" ref="J10:J55" si="5">I10/$J$3</f>
        <v>1.3959390862944163E-2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입력기능'!C142</f>
        <v>49</v>
      </c>
    </row>
    <row r="11" spans="1:17" ht="25" customHeight="1" x14ac:dyDescent="0.45">
      <c r="A11" s="4"/>
      <c r="B11" s="19"/>
      <c r="C11" s="69">
        <v>46</v>
      </c>
      <c r="D11" s="70">
        <f t="shared" si="2"/>
        <v>83</v>
      </c>
      <c r="E11" s="70">
        <f t="shared" si="0"/>
        <v>1</v>
      </c>
      <c r="F11" s="71">
        <f t="shared" si="3"/>
        <v>98.6</v>
      </c>
      <c r="G11" s="72">
        <f>IF(D11=D10,"",_xlfn.IFNA(VLOOKUP(D11,'인원 입력 기능 (사과탐)'!$A$236:$D$284,4,FALSE),0))</f>
        <v>0</v>
      </c>
      <c r="H11" s="73">
        <f t="shared" si="4"/>
        <v>0</v>
      </c>
      <c r="I11" s="77">
        <f>SUM($G$7:G11)</f>
        <v>66</v>
      </c>
      <c r="J11" s="75">
        <f t="shared" si="5"/>
        <v>1.3959390862944163E-2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입력기능'!C143</f>
        <v>46</v>
      </c>
    </row>
    <row r="12" spans="1:17" ht="25" customHeight="1" x14ac:dyDescent="0.45">
      <c r="A12" s="4"/>
      <c r="B12" s="19"/>
      <c r="C12" s="76">
        <v>45</v>
      </c>
      <c r="D12" s="70">
        <f t="shared" si="2"/>
        <v>82</v>
      </c>
      <c r="E12" s="70">
        <f t="shared" si="0"/>
        <v>1</v>
      </c>
      <c r="F12" s="71">
        <f t="shared" si="3"/>
        <v>98.46</v>
      </c>
      <c r="G12" s="72">
        <f>IF(D12=D11,"",_xlfn.IFNA(VLOOKUP(D12,'인원 입력 기능 (사과탐)'!$A$236:$D$284,4,FALSE),0))</f>
        <v>14</v>
      </c>
      <c r="H12" s="73">
        <f t="shared" si="4"/>
        <v>2.9610829103214891E-3</v>
      </c>
      <c r="I12" s="77">
        <f>SUM($G$7:G12)</f>
        <v>80</v>
      </c>
      <c r="J12" s="75">
        <f t="shared" si="5"/>
        <v>1.6920473773265651E-2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입력기능'!C144</f>
        <v>44</v>
      </c>
    </row>
    <row r="13" spans="1:17" ht="25" customHeight="1" x14ac:dyDescent="0.45">
      <c r="A13" s="4"/>
      <c r="B13" s="19"/>
      <c r="C13" s="69">
        <v>44</v>
      </c>
      <c r="D13" s="70">
        <f t="shared" si="2"/>
        <v>81</v>
      </c>
      <c r="E13" s="70">
        <f t="shared" si="0"/>
        <v>1</v>
      </c>
      <c r="F13" s="71">
        <f t="shared" si="3"/>
        <v>97.97</v>
      </c>
      <c r="G13" s="72">
        <f>IF(D13=D12,"",_xlfn.IFNA(VLOOKUP(D13,'인원 입력 기능 (사과탐)'!$A$236:$D$284,4,FALSE),0))</f>
        <v>32</v>
      </c>
      <c r="H13" s="73">
        <f t="shared" si="4"/>
        <v>6.7681895093062603E-3</v>
      </c>
      <c r="I13" s="77">
        <f>SUM($G$7:G13)</f>
        <v>112</v>
      </c>
      <c r="J13" s="75">
        <f t="shared" si="5"/>
        <v>2.3688663282571912E-2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입력기능'!C145</f>
        <v>41</v>
      </c>
    </row>
    <row r="14" spans="1:17" ht="25" customHeight="1" x14ac:dyDescent="0.45">
      <c r="A14" s="4"/>
      <c r="B14" s="19"/>
      <c r="C14" s="76">
        <v>43</v>
      </c>
      <c r="D14" s="70">
        <f t="shared" si="2"/>
        <v>80</v>
      </c>
      <c r="E14" s="70">
        <f t="shared" si="0"/>
        <v>1</v>
      </c>
      <c r="F14" s="71">
        <f t="shared" si="3"/>
        <v>97.5</v>
      </c>
      <c r="G14" s="72">
        <f>IF(D14=D13,"",_xlfn.IFNA(VLOOKUP(D14,'인원 입력 기능 (사과탐)'!$A$236:$D$284,4,FALSE),0))</f>
        <v>12</v>
      </c>
      <c r="H14" s="73">
        <f t="shared" si="4"/>
        <v>2.5380710659898475E-3</v>
      </c>
      <c r="I14" s="77">
        <f>SUM($G$7:G14)</f>
        <v>124</v>
      </c>
      <c r="J14" s="75">
        <f t="shared" si="5"/>
        <v>2.6226734348561761E-2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입력기능'!C146</f>
        <v>39</v>
      </c>
    </row>
    <row r="15" spans="1:17" ht="25" customHeight="1" x14ac:dyDescent="0.45">
      <c r="A15" s="4"/>
      <c r="B15" s="19"/>
      <c r="C15" s="69">
        <v>42</v>
      </c>
      <c r="D15" s="70">
        <f t="shared" si="2"/>
        <v>79</v>
      </c>
      <c r="E15" s="70">
        <f t="shared" si="0"/>
        <v>1</v>
      </c>
      <c r="F15" s="71">
        <f t="shared" si="3"/>
        <v>96.92</v>
      </c>
      <c r="G15" s="72">
        <f>IF(D15=D14,"",_xlfn.IFNA(VLOOKUP(D15,'인원 입력 기능 (사과탐)'!$A$236:$D$284,4,FALSE),0))</f>
        <v>43</v>
      </c>
      <c r="H15" s="73">
        <f t="shared" si="4"/>
        <v>9.0947546531302877E-3</v>
      </c>
      <c r="I15" s="77">
        <f>SUM($G$7:G15)</f>
        <v>167</v>
      </c>
      <c r="J15" s="75">
        <f t="shared" si="5"/>
        <v>3.5321489001692047E-2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77</v>
      </c>
      <c r="E16" s="70">
        <f t="shared" si="0"/>
        <v>1</v>
      </c>
      <c r="F16" s="71">
        <f t="shared" si="3"/>
        <v>96.27</v>
      </c>
      <c r="G16" s="72">
        <f>IF(D16=D15,"",_xlfn.IFNA(VLOOKUP(D16,'인원 입력 기능 (사과탐)'!$A$236:$D$284,4,FALSE),0))</f>
        <v>19</v>
      </c>
      <c r="H16" s="73">
        <f t="shared" si="4"/>
        <v>4.0186125211505918E-3</v>
      </c>
      <c r="I16" s="77">
        <f>SUM($G$7:G16)</f>
        <v>186</v>
      </c>
      <c r="J16" s="75">
        <f t="shared" si="5"/>
        <v>3.934010152284264E-2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76</v>
      </c>
      <c r="E17" s="70">
        <f t="shared" si="0"/>
        <v>1</v>
      </c>
      <c r="F17" s="71">
        <f t="shared" si="3"/>
        <v>95.83</v>
      </c>
      <c r="G17" s="72">
        <f>IF(D17=D16,"",_xlfn.IFNA(VLOOKUP(D17,'인원 입력 기능 (사과탐)'!$A$236:$D$284,4,FALSE),0))</f>
        <v>22</v>
      </c>
      <c r="H17" s="73">
        <f t="shared" si="4"/>
        <v>4.6531302876480539E-3</v>
      </c>
      <c r="I17" s="77">
        <f>SUM($G$7:G17)</f>
        <v>208</v>
      </c>
      <c r="J17" s="75">
        <f t="shared" si="5"/>
        <v>4.3993231810490696E-2</v>
      </c>
      <c r="K17" s="28"/>
      <c r="L17" s="5" t="str">
        <f t="shared" si="1"/>
        <v/>
      </c>
      <c r="N17" s="1"/>
      <c r="P17" s="1">
        <f>Q7*H3*H4*J3*IFERROR(IF(J57=1, 1, 0), 0)</f>
        <v>51131907.273599997</v>
      </c>
    </row>
    <row r="18" spans="1:16" ht="25" customHeight="1" x14ac:dyDescent="0.45">
      <c r="A18" s="4"/>
      <c r="B18" s="19"/>
      <c r="C18" s="76">
        <v>39</v>
      </c>
      <c r="D18" s="70">
        <f t="shared" si="2"/>
        <v>75</v>
      </c>
      <c r="E18" s="70">
        <f t="shared" si="0"/>
        <v>2</v>
      </c>
      <c r="F18" s="71">
        <f t="shared" si="3"/>
        <v>95.25</v>
      </c>
      <c r="G18" s="72">
        <f>IF(D18=D17,"",_xlfn.IFNA(VLOOKUP(D18,'인원 입력 기능 (사과탐)'!$A$236:$D$284,4,FALSE),0))</f>
        <v>33</v>
      </c>
      <c r="H18" s="73">
        <f t="shared" si="4"/>
        <v>6.9796954314720813E-3</v>
      </c>
      <c r="I18" s="77">
        <f>SUM($G$7:G18)</f>
        <v>241</v>
      </c>
      <c r="J18" s="75">
        <f t="shared" si="5"/>
        <v>5.0972927241962777E-2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74</v>
      </c>
      <c r="E19" s="70">
        <f t="shared" si="0"/>
        <v>2</v>
      </c>
      <c r="F19" s="71">
        <f t="shared" si="3"/>
        <v>94.74</v>
      </c>
      <c r="G19" s="72">
        <f>IF(D19=D18,"",_xlfn.IFNA(VLOOKUP(D19,'인원 입력 기능 (사과탐)'!$A$236:$D$284,4,FALSE),0))</f>
        <v>15</v>
      </c>
      <c r="H19" s="73">
        <f t="shared" si="4"/>
        <v>3.1725888324873096E-3</v>
      </c>
      <c r="I19" s="77">
        <f>SUM($G$7:G19)</f>
        <v>256</v>
      </c>
      <c r="J19" s="75">
        <f t="shared" si="5"/>
        <v>5.4145516074450083E-2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73</v>
      </c>
      <c r="E20" s="70">
        <f t="shared" si="0"/>
        <v>2</v>
      </c>
      <c r="F20" s="71">
        <f t="shared" si="3"/>
        <v>94.33</v>
      </c>
      <c r="G20" s="72">
        <f>IF(D20=D19,"",_xlfn.IFNA(VLOOKUP(D20,'인원 입력 기능 (사과탐)'!$A$236:$D$284,4,FALSE),0))</f>
        <v>24</v>
      </c>
      <c r="H20" s="73">
        <f t="shared" si="4"/>
        <v>5.076142131979695E-3</v>
      </c>
      <c r="I20" s="77">
        <f>SUM($G$7:G20)</f>
        <v>280</v>
      </c>
      <c r="J20" s="75">
        <f t="shared" si="5"/>
        <v>5.9221658206429779E-2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72</v>
      </c>
      <c r="E21" s="79">
        <f t="shared" si="0"/>
        <v>2</v>
      </c>
      <c r="F21" s="71">
        <f t="shared" si="3"/>
        <v>93.83</v>
      </c>
      <c r="G21" s="72">
        <f>IF(D21=D20,"",_xlfn.IFNA(VLOOKUP(D21,'인원 입력 기능 (사과탐)'!$A$236:$D$284,4,FALSE),0))</f>
        <v>23</v>
      </c>
      <c r="H21" s="73">
        <f t="shared" si="4"/>
        <v>4.8646362098138749E-3</v>
      </c>
      <c r="I21" s="77">
        <f>SUM($G$7:G21)</f>
        <v>303</v>
      </c>
      <c r="J21" s="75">
        <f t="shared" si="5"/>
        <v>6.4086294416243653E-2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71</v>
      </c>
      <c r="E22" s="79">
        <f t="shared" si="0"/>
        <v>2</v>
      </c>
      <c r="F22" s="71">
        <f t="shared" si="3"/>
        <v>93.43</v>
      </c>
      <c r="G22" s="72">
        <f>IF(D22=D21,"",_xlfn.IFNA(VLOOKUP(D22,'인원 입력 기능 (사과탐)'!$A$236:$D$284,4,FALSE),0))</f>
        <v>15</v>
      </c>
      <c r="H22" s="73">
        <f t="shared" si="4"/>
        <v>3.1725888324873096E-3</v>
      </c>
      <c r="I22" s="77">
        <f>SUM($G$7:G22)</f>
        <v>318</v>
      </c>
      <c r="J22" s="75">
        <f t="shared" si="5"/>
        <v>6.7258883248730958E-2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70</v>
      </c>
      <c r="E23" s="79">
        <f t="shared" si="0"/>
        <v>2</v>
      </c>
      <c r="F23" s="71">
        <f t="shared" si="3"/>
        <v>93.02</v>
      </c>
      <c r="G23" s="72">
        <f>IF(D23=D22,"",_xlfn.IFNA(VLOOKUP(D23,'인원 입력 기능 (사과탐)'!$A$236:$D$284,4,FALSE),0))</f>
        <v>24</v>
      </c>
      <c r="H23" s="73">
        <f t="shared" si="4"/>
        <v>5.076142131979695E-3</v>
      </c>
      <c r="I23" s="77">
        <f>SUM($G$7:G23)</f>
        <v>342</v>
      </c>
      <c r="J23" s="75">
        <f t="shared" si="5"/>
        <v>7.2335025380710655E-2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69</v>
      </c>
      <c r="E24" s="79">
        <f t="shared" si="0"/>
        <v>2</v>
      </c>
      <c r="F24" s="71">
        <f t="shared" si="3"/>
        <v>92.51</v>
      </c>
      <c r="G24" s="72">
        <f>IF(D24=D23,"",_xlfn.IFNA(VLOOKUP(D24,'인원 입력 기능 (사과탐)'!$A$236:$D$284,4,FALSE),0))</f>
        <v>24</v>
      </c>
      <c r="H24" s="73">
        <f t="shared" si="4"/>
        <v>5.076142131979695E-3</v>
      </c>
      <c r="I24" s="77">
        <f>SUM($G$7:G24)</f>
        <v>366</v>
      </c>
      <c r="J24" s="75">
        <f t="shared" si="5"/>
        <v>7.7411167512690351E-2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68</v>
      </c>
      <c r="E25" s="79">
        <f t="shared" si="0"/>
        <v>2</v>
      </c>
      <c r="F25" s="71">
        <f t="shared" si="3"/>
        <v>91.97</v>
      </c>
      <c r="G25" s="72">
        <f>IF(D25=D24,"",_xlfn.IFNA(VLOOKUP(D25,'인원 입력 기능 (사과탐)'!$A$236:$D$284,4,FALSE),0))</f>
        <v>27</v>
      </c>
      <c r="H25" s="73">
        <f t="shared" si="4"/>
        <v>5.7106598984771571E-3</v>
      </c>
      <c r="I25" s="77">
        <f>SUM($G$7:G25)</f>
        <v>393</v>
      </c>
      <c r="J25" s="75">
        <f t="shared" si="5"/>
        <v>8.3121827411167512E-2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67</v>
      </c>
      <c r="E26" s="79">
        <f t="shared" si="0"/>
        <v>2</v>
      </c>
      <c r="F26" s="71">
        <f t="shared" si="3"/>
        <v>91.51</v>
      </c>
      <c r="G26" s="72">
        <f>IF(D26=D25,"",_xlfn.IFNA(VLOOKUP(D26,'인원 입력 기능 (사과탐)'!$A$236:$D$284,4,FALSE),0))</f>
        <v>17</v>
      </c>
      <c r="H26" s="73">
        <f t="shared" si="4"/>
        <v>3.5956006768189507E-3</v>
      </c>
      <c r="I26" s="77">
        <f>SUM($G$7:G26)</f>
        <v>410</v>
      </c>
      <c r="J26" s="75">
        <f t="shared" si="5"/>
        <v>8.6717428087986465E-2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66</v>
      </c>
      <c r="E27" s="79">
        <f t="shared" si="0"/>
        <v>2</v>
      </c>
      <c r="F27" s="71">
        <f t="shared" si="3"/>
        <v>91.12</v>
      </c>
      <c r="G27" s="72">
        <f>IF(D27=D26,"",_xlfn.IFNA(VLOOKUP(D27,'인원 입력 기능 (사과탐)'!$A$236:$D$284,4,FALSE),0))</f>
        <v>20</v>
      </c>
      <c r="H27" s="73">
        <f t="shared" si="4"/>
        <v>4.2301184433164128E-3</v>
      </c>
      <c r="I27" s="77">
        <f>SUM($G$7:G27)</f>
        <v>430</v>
      </c>
      <c r="J27" s="75">
        <f t="shared" si="5"/>
        <v>9.0947546531302881E-2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65</v>
      </c>
      <c r="E28" s="79">
        <f t="shared" si="0"/>
        <v>2</v>
      </c>
      <c r="F28" s="71">
        <f t="shared" si="3"/>
        <v>90.57</v>
      </c>
      <c r="G28" s="72">
        <f>IF(D28=D27,"",_xlfn.IFNA(VLOOKUP(D28,'인원 입력 기능 (사과탐)'!$A$236:$D$284,4,FALSE),0))</f>
        <v>32</v>
      </c>
      <c r="H28" s="73">
        <f t="shared" si="4"/>
        <v>6.7681895093062603E-3</v>
      </c>
      <c r="I28" s="77">
        <f>SUM($G$7:G28)</f>
        <v>462</v>
      </c>
      <c r="J28" s="75">
        <f t="shared" si="5"/>
        <v>9.7715736040609139E-2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64</v>
      </c>
      <c r="E29" s="79">
        <f t="shared" si="0"/>
        <v>2</v>
      </c>
      <c r="F29" s="71">
        <f t="shared" si="3"/>
        <v>89.93</v>
      </c>
      <c r="G29" s="72">
        <f>IF(D29=D28,"",_xlfn.IFNA(VLOOKUP(D29,'인원 입력 기능 (사과탐)'!$A$236:$D$284,4,FALSE),0))</f>
        <v>28</v>
      </c>
      <c r="H29" s="73">
        <f t="shared" si="4"/>
        <v>5.9221658206429781E-3</v>
      </c>
      <c r="I29" s="77">
        <f>SUM($G$7:G29)</f>
        <v>490</v>
      </c>
      <c r="J29" s="75">
        <f t="shared" si="5"/>
        <v>0.10363790186125212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63</v>
      </c>
      <c r="E30" s="79">
        <f t="shared" si="0"/>
        <v>2</v>
      </c>
      <c r="F30" s="71">
        <f t="shared" si="3"/>
        <v>89.21</v>
      </c>
      <c r="G30" s="72">
        <f>IF(D30=D29,"",_xlfn.IFNA(VLOOKUP(D30,'인원 입력 기능 (사과탐)'!$A$236:$D$284,4,FALSE),0))</f>
        <v>40</v>
      </c>
      <c r="H30" s="73">
        <f t="shared" si="4"/>
        <v>8.4602368866328256E-3</v>
      </c>
      <c r="I30" s="77">
        <f>SUM($G$7:G30)</f>
        <v>530</v>
      </c>
      <c r="J30" s="75">
        <f t="shared" si="5"/>
        <v>0.11209813874788493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62</v>
      </c>
      <c r="E31" s="79">
        <f t="shared" si="0"/>
        <v>3</v>
      </c>
      <c r="F31" s="71">
        <f t="shared" si="3"/>
        <v>88.47</v>
      </c>
      <c r="G31" s="72">
        <f>IF(D31=D30,"",_xlfn.IFNA(VLOOKUP(D31,'인원 입력 기능 (사과탐)'!$A$236:$D$284,4,FALSE),0))</f>
        <v>30</v>
      </c>
      <c r="H31" s="73">
        <f t="shared" si="4"/>
        <v>6.3451776649746192E-3</v>
      </c>
      <c r="I31" s="77">
        <f>SUM($G$7:G31)</f>
        <v>560</v>
      </c>
      <c r="J31" s="75">
        <f t="shared" si="5"/>
        <v>0.11844331641285956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61</v>
      </c>
      <c r="E32" s="79">
        <f t="shared" si="0"/>
        <v>3</v>
      </c>
      <c r="F32" s="71">
        <f t="shared" si="3"/>
        <v>87.87</v>
      </c>
      <c r="G32" s="72">
        <f>IF(D32=D31,"",_xlfn.IFNA(VLOOKUP(D32,'인원 입력 기능 (사과탐)'!$A$236:$D$284,4,FALSE),0))</f>
        <v>27</v>
      </c>
      <c r="H32" s="73">
        <f t="shared" si="4"/>
        <v>5.7106598984771571E-3</v>
      </c>
      <c r="I32" s="77">
        <f>SUM($G$7:G32)</f>
        <v>587</v>
      </c>
      <c r="J32" s="75">
        <f t="shared" si="5"/>
        <v>0.12415397631133672</v>
      </c>
      <c r="K32" s="28"/>
      <c r="L32" s="5" t="str">
        <f t="shared" si="1"/>
        <v>경고</v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59</v>
      </c>
      <c r="E33" s="79">
        <f t="shared" si="0"/>
        <v>3</v>
      </c>
      <c r="F33" s="71">
        <f t="shared" si="3"/>
        <v>87.02</v>
      </c>
      <c r="G33" s="72">
        <f>IF(D33=D32,"",_xlfn.IFNA(VLOOKUP(D33,'인원 입력 기능 (사과탐)'!$A$236:$D$284,4,FALSE),0))</f>
        <v>53</v>
      </c>
      <c r="H33" s="73">
        <f t="shared" si="4"/>
        <v>1.1209813874788494E-2</v>
      </c>
      <c r="I33" s="77">
        <f>SUM($G$7:G33)</f>
        <v>640</v>
      </c>
      <c r="J33" s="75">
        <f t="shared" si="5"/>
        <v>0.13536379018612521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58</v>
      </c>
      <c r="E34" s="79">
        <f t="shared" si="0"/>
        <v>3</v>
      </c>
      <c r="F34" s="71">
        <f t="shared" si="3"/>
        <v>86.01</v>
      </c>
      <c r="G34" s="72">
        <f>IF(D34=D33,"",_xlfn.IFNA(VLOOKUP(D34,'인원 입력 기능 (사과탐)'!$A$236:$D$284,4,FALSE),0))</f>
        <v>43</v>
      </c>
      <c r="H34" s="73">
        <f t="shared" si="4"/>
        <v>9.0947546531302877E-3</v>
      </c>
      <c r="I34" s="77">
        <f>SUM($G$7:G34)</f>
        <v>683</v>
      </c>
      <c r="J34" s="75">
        <f t="shared" si="5"/>
        <v>0.14445854483925549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57</v>
      </c>
      <c r="E35" s="79">
        <f t="shared" si="0"/>
        <v>3</v>
      </c>
      <c r="F35" s="71">
        <f t="shared" si="3"/>
        <v>84.89</v>
      </c>
      <c r="G35" s="72">
        <f>IF(D35=D34,"",_xlfn.IFNA(VLOOKUP(D35,'인원 입력 기능 (사과탐)'!$A$236:$D$284,4,FALSE),0))</f>
        <v>63</v>
      </c>
      <c r="H35" s="73">
        <f t="shared" si="4"/>
        <v>1.3324873096446701E-2</v>
      </c>
      <c r="I35" s="77">
        <f>SUM($G$7:G35)</f>
        <v>746</v>
      </c>
      <c r="J35" s="75">
        <f t="shared" si="5"/>
        <v>0.15778341793570219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56</v>
      </c>
      <c r="E36" s="79">
        <f t="shared" si="0"/>
        <v>3</v>
      </c>
      <c r="F36" s="71">
        <f t="shared" si="3"/>
        <v>83.24</v>
      </c>
      <c r="G36" s="72">
        <f>IF(D36=D35,"",_xlfn.IFNA(VLOOKUP(D36,'인원 입력 기능 (사과탐)'!$A$236:$D$284,4,FALSE),0))</f>
        <v>93</v>
      </c>
      <c r="H36" s="73">
        <f t="shared" si="4"/>
        <v>1.967005076142132E-2</v>
      </c>
      <c r="I36" s="77">
        <f>SUM($G$7:G36)</f>
        <v>839</v>
      </c>
      <c r="J36" s="75">
        <f t="shared" si="5"/>
        <v>0.17745346869712353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55</v>
      </c>
      <c r="E37" s="79">
        <f t="shared" si="0"/>
        <v>3</v>
      </c>
      <c r="F37" s="71">
        <f t="shared" si="3"/>
        <v>81.33</v>
      </c>
      <c r="G37" s="72">
        <f>IF(D37=D36,"",_xlfn.IFNA(VLOOKUP(D37,'인원 입력 기능 (사과탐)'!$A$236:$D$284,4,FALSE),0))</f>
        <v>87</v>
      </c>
      <c r="H37" s="73">
        <f t="shared" si="4"/>
        <v>1.8401015228426396E-2</v>
      </c>
      <c r="I37" s="77">
        <f>SUM($G$7:G37)</f>
        <v>926</v>
      </c>
      <c r="J37" s="75">
        <f t="shared" si="5"/>
        <v>0.19585448392554991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54</v>
      </c>
      <c r="E38" s="79">
        <f t="shared" si="0"/>
        <v>3</v>
      </c>
      <c r="F38" s="71">
        <f t="shared" si="3"/>
        <v>78.89</v>
      </c>
      <c r="G38" s="72">
        <f>IF(D38=D37,"",_xlfn.IFNA(VLOOKUP(D38,'인원 입력 기능 (사과탐)'!$A$236:$D$284,4,FALSE),0))</f>
        <v>144</v>
      </c>
      <c r="H38" s="73">
        <f t="shared" si="4"/>
        <v>3.0456852791878174E-2</v>
      </c>
      <c r="I38" s="77">
        <f>SUM($G$7:G38)</f>
        <v>1070</v>
      </c>
      <c r="J38" s="75">
        <f t="shared" si="5"/>
        <v>0.22631133671742809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53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71">
        <f t="shared" si="3"/>
        <v>75.81</v>
      </c>
      <c r="G39" s="72">
        <f>IF(D39=D38,"",_xlfn.IFNA(VLOOKUP(D39,'인원 입력 기능 (사과탐)'!$A$236:$D$284,4,FALSE),0))</f>
        <v>147</v>
      </c>
      <c r="H39" s="73">
        <f t="shared" si="4"/>
        <v>3.1091370558375634E-2</v>
      </c>
      <c r="I39" s="77">
        <f>SUM($G$7:G39)</f>
        <v>1217</v>
      </c>
      <c r="J39" s="75">
        <f t="shared" si="5"/>
        <v>0.25740270727580372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52</v>
      </c>
      <c r="E40" s="79">
        <f t="shared" si="6"/>
        <v>4</v>
      </c>
      <c r="F40" s="71">
        <f t="shared" si="3"/>
        <v>72.59</v>
      </c>
      <c r="G40" s="72">
        <f>IF(D40=D39,"",_xlfn.IFNA(VLOOKUP(D40,'인원 입력 기능 (사과탐)'!$A$236:$D$284,4,FALSE),0))</f>
        <v>158</v>
      </c>
      <c r="H40" s="73">
        <f t="shared" si="4"/>
        <v>3.3417935702199662E-2</v>
      </c>
      <c r="I40" s="77">
        <f>SUM($G$7:G40)</f>
        <v>1375</v>
      </c>
      <c r="J40" s="75">
        <f t="shared" si="5"/>
        <v>0.29082064297800336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51</v>
      </c>
      <c r="E41" s="79">
        <f t="shared" si="6"/>
        <v>4</v>
      </c>
      <c r="F41" s="71">
        <f t="shared" si="3"/>
        <v>68.89</v>
      </c>
      <c r="G41" s="72">
        <f>IF(D41=D40,"",_xlfn.IFNA(VLOOKUP(D41,'인원 입력 기능 (사과탐)'!$A$236:$D$284,4,FALSE),0))</f>
        <v>192</v>
      </c>
      <c r="H41" s="73">
        <f t="shared" si="4"/>
        <v>4.060913705583756E-2</v>
      </c>
      <c r="I41" s="77">
        <f>SUM($G$7:G41)</f>
        <v>1567</v>
      </c>
      <c r="J41" s="75">
        <f t="shared" si="5"/>
        <v>0.33142978003384094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50</v>
      </c>
      <c r="E42" s="79">
        <f t="shared" si="6"/>
        <v>4</v>
      </c>
      <c r="F42" s="71">
        <f t="shared" si="3"/>
        <v>64.510000000000005</v>
      </c>
      <c r="G42" s="72">
        <f>IF(D42=D41,"",_xlfn.IFNA(VLOOKUP(D42,'인원 입력 기능 (사과탐)'!$A$236:$D$284,4,FALSE),0))</f>
        <v>222</v>
      </c>
      <c r="H42" s="73">
        <f t="shared" si="4"/>
        <v>4.6954314720812185E-2</v>
      </c>
      <c r="I42" s="77">
        <f>SUM($G$7:G42)</f>
        <v>1789</v>
      </c>
      <c r="J42" s="75">
        <f t="shared" si="5"/>
        <v>0.37838409475465312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49</v>
      </c>
      <c r="E43" s="79">
        <f t="shared" si="6"/>
        <v>4</v>
      </c>
      <c r="F43" s="71">
        <f t="shared" si="3"/>
        <v>58.7</v>
      </c>
      <c r="G43" s="72">
        <f>IF(D43=D42,"",_xlfn.IFNA(VLOOKUP(D43,'인원 입력 기능 (사과탐)'!$A$236:$D$284,4,FALSE),0))</f>
        <v>327</v>
      </c>
      <c r="H43" s="73">
        <f t="shared" si="4"/>
        <v>6.9162436548223349E-2</v>
      </c>
      <c r="I43" s="77">
        <f>SUM($G$7:G43)</f>
        <v>2116</v>
      </c>
      <c r="J43" s="75">
        <f t="shared" si="5"/>
        <v>0.44754653130287647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48</v>
      </c>
      <c r="E44" s="79">
        <f t="shared" si="6"/>
        <v>5</v>
      </c>
      <c r="F44" s="71">
        <f t="shared" si="3"/>
        <v>52.42</v>
      </c>
      <c r="G44" s="72">
        <f>IF(D44=D43,"",_xlfn.IFNA(VLOOKUP(D44,'인원 입력 기능 (사과탐)'!$A$236:$D$284,4,FALSE),0))</f>
        <v>267</v>
      </c>
      <c r="H44" s="73">
        <f t="shared" si="4"/>
        <v>5.6472081218274114E-2</v>
      </c>
      <c r="I44" s="77">
        <f>SUM($G$7:G44)</f>
        <v>2383</v>
      </c>
      <c r="J44" s="75">
        <f t="shared" si="5"/>
        <v>0.50401861252115054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47</v>
      </c>
      <c r="E45" s="79">
        <f t="shared" si="6"/>
        <v>5</v>
      </c>
      <c r="F45" s="71">
        <f t="shared" si="3"/>
        <v>46.48</v>
      </c>
      <c r="G45" s="72">
        <f>IF(D45=D44,"",_xlfn.IFNA(VLOOKUP(D45,'인원 입력 기능 (사과탐)'!$A$236:$D$284,4,FALSE),0))</f>
        <v>295</v>
      </c>
      <c r="H45" s="73">
        <f t="shared" si="4"/>
        <v>6.2394247038917092E-2</v>
      </c>
      <c r="I45" s="77">
        <f>SUM($G$7:G45)</f>
        <v>2678</v>
      </c>
      <c r="J45" s="75">
        <f t="shared" si="5"/>
        <v>0.56641285956006771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46</v>
      </c>
      <c r="E46" s="79">
        <f t="shared" si="6"/>
        <v>5</v>
      </c>
      <c r="F46" s="71">
        <f t="shared" si="3"/>
        <v>40.64</v>
      </c>
      <c r="G46" s="72">
        <f>IF(D46=D45,"",_xlfn.IFNA(VLOOKUP(D46,'인원 입력 기능 (사과탐)'!$A$236:$D$284,4,FALSE),0))</f>
        <v>257</v>
      </c>
      <c r="H46" s="73">
        <f t="shared" si="4"/>
        <v>5.4357021996615906E-2</v>
      </c>
      <c r="I46" s="77">
        <f>SUM($G$7:G46)</f>
        <v>2935</v>
      </c>
      <c r="J46" s="75">
        <f t="shared" si="5"/>
        <v>0.62076988155668356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45</v>
      </c>
      <c r="E47" s="79">
        <f t="shared" si="6"/>
        <v>6</v>
      </c>
      <c r="F47" s="71">
        <f t="shared" si="3"/>
        <v>34.380000000000003</v>
      </c>
      <c r="G47" s="72">
        <f>IF(D47=D46,"",_xlfn.IFNA(VLOOKUP(D47,'인원 입력 기능 (사과탐)'!$A$236:$D$284,4,FALSE),0))</f>
        <v>335</v>
      </c>
      <c r="H47" s="73">
        <f t="shared" si="4"/>
        <v>7.085448392554991E-2</v>
      </c>
      <c r="I47" s="77">
        <f>SUM($G$7:G47)</f>
        <v>3270</v>
      </c>
      <c r="J47" s="75">
        <f t="shared" si="5"/>
        <v>0.69162436548223349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44</v>
      </c>
      <c r="E48" s="79">
        <f t="shared" si="6"/>
        <v>6</v>
      </c>
      <c r="F48" s="71">
        <f t="shared" si="3"/>
        <v>24.66</v>
      </c>
      <c r="G48" s="72">
        <f>IF(D48=D47,"",_xlfn.IFNA(VLOOKUP(D48,'인원 입력 기능 (사과탐)'!$A$236:$D$284,4,FALSE),0))</f>
        <v>584</v>
      </c>
      <c r="H48" s="73">
        <f t="shared" si="4"/>
        <v>0.12351945854483926</v>
      </c>
      <c r="I48" s="77">
        <f>SUM($G$7:G48)</f>
        <v>3854</v>
      </c>
      <c r="J48" s="75">
        <f t="shared" si="5"/>
        <v>0.81514382402707275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42</v>
      </c>
      <c r="E49" s="79">
        <f t="shared" si="6"/>
        <v>7</v>
      </c>
      <c r="F49" s="71">
        <f t="shared" si="3"/>
        <v>16.829999999999998</v>
      </c>
      <c r="G49" s="72">
        <f>IF(D49=D48,"",_xlfn.IFNA(VLOOKUP(D49,'인원 입력 기능 (사과탐)'!$A$236:$D$284,4,FALSE),0))</f>
        <v>157</v>
      </c>
      <c r="H49" s="73">
        <f t="shared" si="4"/>
        <v>3.3206429780033839E-2</v>
      </c>
      <c r="I49" s="77">
        <f>SUM($G$7:G49)</f>
        <v>4011</v>
      </c>
      <c r="J49" s="75">
        <f t="shared" si="5"/>
        <v>0.8483502538071066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41</v>
      </c>
      <c r="E50" s="79">
        <f t="shared" si="6"/>
        <v>7</v>
      </c>
      <c r="F50" s="71">
        <f t="shared" si="3"/>
        <v>11.39</v>
      </c>
      <c r="G50" s="72">
        <f>IF(D50=D49,"",_xlfn.IFNA(VLOOKUP(D50,'인원 입력 기능 (사과탐)'!$A$236:$D$284,4,FALSE),0))</f>
        <v>357</v>
      </c>
      <c r="H50" s="73">
        <f t="shared" si="4"/>
        <v>7.5507614213197974E-2</v>
      </c>
      <c r="I50" s="77">
        <f>SUM($G$7:G50)</f>
        <v>4368</v>
      </c>
      <c r="J50" s="75">
        <f t="shared" si="5"/>
        <v>0.92385786802030456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40</v>
      </c>
      <c r="E51" s="79">
        <f t="shared" si="6"/>
        <v>8</v>
      </c>
      <c r="F51" s="71">
        <f t="shared" si="3"/>
        <v>6.61</v>
      </c>
      <c r="G51" s="72">
        <f>IF(D51=D50,"",_xlfn.IFNA(VLOOKUP(D51,'인원 입력 기능 (사과탐)'!$A$236:$D$284,4,FALSE),0))</f>
        <v>95</v>
      </c>
      <c r="H51" s="73">
        <f t="shared" si="4"/>
        <v>2.009306260575296E-2</v>
      </c>
      <c r="I51" s="77">
        <f>SUM($G$7:G51)</f>
        <v>4463</v>
      </c>
      <c r="J51" s="75">
        <f t="shared" si="5"/>
        <v>0.94395093062605751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39</v>
      </c>
      <c r="E52" s="79">
        <f t="shared" si="6"/>
        <v>8</v>
      </c>
      <c r="F52" s="71">
        <f t="shared" si="3"/>
        <v>4.3099999999999996</v>
      </c>
      <c r="G52" s="72">
        <f>IF(D52=D51,"",_xlfn.IFNA(VLOOKUP(D52,'인원 입력 기능 (사과탐)'!$A$236:$D$284,4,FALSE),0))</f>
        <v>122</v>
      </c>
      <c r="H52" s="73">
        <f t="shared" si="4"/>
        <v>2.5803722504230117E-2</v>
      </c>
      <c r="I52" s="77">
        <f>SUM($G$7:G52)</f>
        <v>4585</v>
      </c>
      <c r="J52" s="75">
        <f t="shared" si="5"/>
        <v>0.96975465313028764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38</v>
      </c>
      <c r="E53" s="70">
        <f t="shared" si="6"/>
        <v>9</v>
      </c>
      <c r="F53" s="71">
        <f t="shared" si="3"/>
        <v>2.3199999999999998</v>
      </c>
      <c r="G53" s="72">
        <f>IF(D53=D52,"",_xlfn.IFNA(VLOOKUP(D53,'인원 입력 기능 (사과탐)'!$A$236:$D$284,4,FALSE),0))</f>
        <v>67</v>
      </c>
      <c r="H53" s="73">
        <f t="shared" si="4"/>
        <v>1.4170896785109983E-2</v>
      </c>
      <c r="I53" s="77">
        <f>SUM($G$7:G53)</f>
        <v>4652</v>
      </c>
      <c r="J53" s="75">
        <f t="shared" si="5"/>
        <v>0.9839255499153976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37</v>
      </c>
      <c r="E54" s="70">
        <f t="shared" si="6"/>
        <v>9</v>
      </c>
      <c r="F54" s="71">
        <f t="shared" si="3"/>
        <v>1.37</v>
      </c>
      <c r="G54" s="72">
        <f>IF(D54=D53,"",_xlfn.IFNA(VLOOKUP(D54,'인원 입력 기능 (사과탐)'!$A$236:$D$284,4,FALSE),0))</f>
        <v>22</v>
      </c>
      <c r="H54" s="73">
        <f t="shared" si="4"/>
        <v>4.6531302876480539E-3</v>
      </c>
      <c r="I54" s="77">
        <f>SUM($G$7:G54)</f>
        <v>4674</v>
      </c>
      <c r="J54" s="75">
        <f t="shared" si="5"/>
        <v>0.98857868020304573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36</v>
      </c>
      <c r="E55" s="70">
        <f t="shared" si="6"/>
        <v>9</v>
      </c>
      <c r="F55" s="71">
        <f t="shared" si="3"/>
        <v>0.7</v>
      </c>
      <c r="G55" s="72">
        <f>IF(D55=D54,"",_xlfn.IFNA(VLOOKUP(D55,'인원 입력 기능 (사과탐)'!$A$236:$D$284,4,FALSE),0))</f>
        <v>42</v>
      </c>
      <c r="H55" s="73">
        <f t="shared" si="4"/>
        <v>8.8832487309644676E-3</v>
      </c>
      <c r="I55" s="77">
        <f>SUM($G$7:G55)</f>
        <v>4716</v>
      </c>
      <c r="J55" s="75">
        <f t="shared" si="5"/>
        <v>0.9974619289340102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34</v>
      </c>
      <c r="E57" s="83">
        <f t="shared" si="6"/>
        <v>9</v>
      </c>
      <c r="F57" s="84">
        <f>IF(I55=0,ROUND(100*(1-(I54+I57)/2/$J$3),2),ROUND(100*(1-(I55+I57)/2/$J$3),2))</f>
        <v>0.13</v>
      </c>
      <c r="G57" s="85">
        <f>_xlfn.IFNA(VLOOKUP(D57,'인원 입력 기능 (사과탐)'!$A$236:$D$284,4,FALSE),0)</f>
        <v>12</v>
      </c>
      <c r="H57" s="86">
        <f>G57/$J$3</f>
        <v>2.5380710659898475E-3</v>
      </c>
      <c r="I57" s="87">
        <f>SUM($G$7:G57)</f>
        <v>4728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">
    <mergeCell ref="D3:F3"/>
    <mergeCell ref="D4:F4"/>
    <mergeCell ref="D8:J8"/>
    <mergeCell ref="D56:J56"/>
    <mergeCell ref="G5:J5"/>
  </mergeCells>
  <phoneticPr fontId="1" type="noConversion"/>
  <conditionalFormatting sqref="D7:J57">
    <cfRule type="expression" dxfId="17" priority="3">
      <formula>OR($D7=$Q$7:$Q$14)</formula>
    </cfRule>
  </conditionalFormatting>
  <conditionalFormatting sqref="C7:C57">
    <cfRule type="expression" dxfId="16" priority="2">
      <formula>OR(AND($D7=0,OR($D6=$Q$7:$Q$14)),AND($D8&gt;0,OR($D7=$Q$7:$Q$14)))</formula>
    </cfRule>
  </conditionalFormatting>
  <conditionalFormatting sqref="D7:D57">
    <cfRule type="expression" dxfId="15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7FA2-CA5F-4B74-A3E2-5593BA66EC8C}">
  <sheetPr codeName="Sheet21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기능'!D20</f>
        <v>15.98</v>
      </c>
      <c r="I3" s="15" t="s">
        <v>84</v>
      </c>
      <c r="J3" s="35">
        <f>'통계 및 응시자 수 입력 기능'!C20</f>
        <v>4648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90</v>
      </c>
      <c r="E4" s="120"/>
      <c r="F4" s="121"/>
      <c r="G4" s="37" t="s">
        <v>87</v>
      </c>
      <c r="H4" s="38" t="str">
        <f>'통계 및 응시자 수 입력 기능'!E20</f>
        <v>10.95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81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99.19</v>
      </c>
      <c r="G7" s="72">
        <f>_xlfn.IFNA(VLOOKUP(D7,'인원 입력 기능 (사과탐)'!$F$236:$I$284,4,FALSE),0)</f>
        <v>75</v>
      </c>
      <c r="H7" s="73">
        <f>G7/$J$3</f>
        <v>1.6135972461273667E-2</v>
      </c>
      <c r="I7" s="74">
        <f>G7</f>
        <v>75</v>
      </c>
      <c r="J7" s="75">
        <f>I7/$J$3</f>
        <v>1.6135972461273667E-2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입력기능'!C148</f>
        <v>76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입력기능'!C149</f>
        <v>64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79</v>
      </c>
      <c r="E9" s="70">
        <f t="shared" si="0"/>
        <v>1</v>
      </c>
      <c r="F9" s="71">
        <f>IF(I8=0,ROUND(100*(1-(I7+I9)/2/$J$3),2),ROUND(100*(1-(I8+I9)/2/$J$3),2))</f>
        <v>98.15</v>
      </c>
      <c r="G9" s="72">
        <f>_xlfn.IFNA(VLOOKUP(D9,'인원 입력 기능 (사과탐)'!$F$236:$I$284,4,FALSE),0)</f>
        <v>22</v>
      </c>
      <c r="H9" s="73">
        <f>G9/$J$3</f>
        <v>4.7332185886402754E-3</v>
      </c>
      <c r="I9" s="77">
        <f>SUM($G$7:G9)</f>
        <v>97</v>
      </c>
      <c r="J9" s="75">
        <f>I9/$J$3</f>
        <v>2.086919104991394E-2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입력기능'!C150</f>
        <v>54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78</v>
      </c>
      <c r="E10" s="70">
        <f t="shared" si="0"/>
        <v>1</v>
      </c>
      <c r="F10" s="71">
        <f t="shared" ref="F10:F55" si="3">IF(I9=0,ROUND(100*(1-(I8+I10)/2/$J$3),2),ROUND(100*(1-(I9+I10)/2/$J$3),2))</f>
        <v>97.44</v>
      </c>
      <c r="G10" s="72">
        <f>IF(D10=D9,"",_xlfn.IFNA(VLOOKUP(D10,'인원 입력 기능 (사과탐)'!$F$236:$I$284,4,FALSE),0))</f>
        <v>44</v>
      </c>
      <c r="H10" s="73">
        <f t="shared" ref="H10:H55" si="4">G10/$J$3</f>
        <v>9.4664371772805508E-3</v>
      </c>
      <c r="I10" s="77">
        <f>SUM($G$7:G10)</f>
        <v>141</v>
      </c>
      <c r="J10" s="75">
        <f t="shared" ref="J10:J55" si="5">I10/$J$3</f>
        <v>3.0335628227194492E-2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입력기능'!C151</f>
        <v>48</v>
      </c>
    </row>
    <row r="11" spans="1:17" ht="25" customHeight="1" x14ac:dyDescent="0.45">
      <c r="A11" s="4"/>
      <c r="B11" s="19"/>
      <c r="C11" s="69">
        <v>46</v>
      </c>
      <c r="D11" s="70">
        <f t="shared" ref="D11:D13" si="6">ROUND(10*(C11-$H$3)/$H$4+50,0)</f>
        <v>77</v>
      </c>
      <c r="E11" s="70">
        <f t="shared" ref="E11:E13" si="7">IF(ROUND(D11,0)&gt;=$Q$7,1,IF(ROUND(D11,0)&gt;=$Q$8,2,IF(ROUND(D11,0)&gt;=$Q$9,3,IF(ROUND(D11,0)&gt;=$Q$10,4,IF(ROUND(D11,0)&gt;=$Q$11,5,IF(ROUND(D11,0)&gt;=$Q$12,6,IF(ROUND(D11,0)&gt;=$Q$13,7,IF(ROUND(D11,0)&gt;=$Q$14,8,9))))))))</f>
        <v>1</v>
      </c>
      <c r="F11" s="71">
        <f t="shared" ref="F11:F13" si="8">IF(I10=0,ROUND(100*(1-(I9+I11)/2/$J$3),2),ROUND(100*(1-(I10+I11)/2/$J$3),2))</f>
        <v>96.89</v>
      </c>
      <c r="G11" s="72">
        <f>IF(D11=D10,"",_xlfn.IFNA(VLOOKUP(D11,'인원 입력 기능 (사과탐)'!$F$236:$I$284,4,FALSE),0))</f>
        <v>7</v>
      </c>
      <c r="H11" s="73">
        <f t="shared" ref="H11:H13" si="9">G11/$J$3</f>
        <v>1.5060240963855422E-3</v>
      </c>
      <c r="I11" s="77">
        <f>SUM($G$7:G11)</f>
        <v>148</v>
      </c>
      <c r="J11" s="75">
        <f t="shared" ref="J11:J13" si="10">I11/$J$3</f>
        <v>3.1841652323580036E-2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입력기능'!C152</f>
        <v>45</v>
      </c>
    </row>
    <row r="12" spans="1:17" ht="25" customHeight="1" x14ac:dyDescent="0.45">
      <c r="A12" s="4"/>
      <c r="B12" s="19"/>
      <c r="C12" s="76">
        <v>45</v>
      </c>
      <c r="D12" s="126">
        <v>76</v>
      </c>
      <c r="E12" s="126">
        <f t="shared" si="7"/>
        <v>1</v>
      </c>
      <c r="F12" s="128">
        <f t="shared" si="8"/>
        <v>96.12</v>
      </c>
      <c r="G12" s="130">
        <f>IF(D12=D11,"",_xlfn.IFNA(VLOOKUP(D12,'인원 입력 기능 (사과탐)'!$F$236:$I$284,4,FALSE),0))</f>
        <v>65</v>
      </c>
      <c r="H12" s="132">
        <f t="shared" si="9"/>
        <v>1.3984509466437178E-2</v>
      </c>
      <c r="I12" s="134">
        <f>SUM($G$7:G12)</f>
        <v>213</v>
      </c>
      <c r="J12" s="136">
        <f t="shared" si="10"/>
        <v>4.5826161790017209E-2</v>
      </c>
      <c r="K12" s="28"/>
      <c r="L12" s="5" t="str">
        <f t="shared" si="1"/>
        <v>경고</v>
      </c>
      <c r="N12" s="1"/>
      <c r="P12" s="1">
        <v>6</v>
      </c>
      <c r="Q12" s="1">
        <f>'표준점수 등급컷 입력기능'!C153</f>
        <v>44</v>
      </c>
    </row>
    <row r="13" spans="1:17" ht="25" customHeight="1" x14ac:dyDescent="0.45">
      <c r="A13" s="4"/>
      <c r="B13" s="19"/>
      <c r="C13" s="69">
        <v>44</v>
      </c>
      <c r="D13" s="127"/>
      <c r="E13" s="127"/>
      <c r="F13" s="129"/>
      <c r="G13" s="131"/>
      <c r="H13" s="133"/>
      <c r="I13" s="135"/>
      <c r="J13" s="137"/>
      <c r="K13" s="28"/>
      <c r="L13" s="5" t="str">
        <f t="shared" si="1"/>
        <v>경고</v>
      </c>
      <c r="N13" s="1"/>
      <c r="P13" s="1">
        <v>7</v>
      </c>
      <c r="Q13" s="1">
        <f>'표준점수 등급컷 입력기능'!C154</f>
        <v>41</v>
      </c>
    </row>
    <row r="14" spans="1:17" ht="25" customHeight="1" x14ac:dyDescent="0.45">
      <c r="A14" s="4"/>
      <c r="B14" s="19"/>
      <c r="C14" s="76">
        <v>43</v>
      </c>
      <c r="D14" s="70">
        <f t="shared" si="2"/>
        <v>75</v>
      </c>
      <c r="E14" s="70">
        <f t="shared" si="0"/>
        <v>2</v>
      </c>
      <c r="F14" s="71">
        <f t="shared" si="3"/>
        <v>95.25</v>
      </c>
      <c r="G14" s="72">
        <f>IF(D14=D13,"",_xlfn.IFNA(VLOOKUP(D14,'인원 입력 기능 (사과탐)'!$F$236:$I$284,4,FALSE),0))</f>
        <v>16</v>
      </c>
      <c r="H14" s="73">
        <f t="shared" si="4"/>
        <v>3.4423407917383822E-3</v>
      </c>
      <c r="I14" s="77">
        <f>SUM($G$7:G14)</f>
        <v>229</v>
      </c>
      <c r="J14" s="75">
        <f t="shared" si="5"/>
        <v>4.9268502581755594E-2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입력기능'!C155</f>
        <v>39</v>
      </c>
    </row>
    <row r="15" spans="1:17" ht="25" customHeight="1" x14ac:dyDescent="0.45">
      <c r="A15" s="4"/>
      <c r="B15" s="19"/>
      <c r="C15" s="69">
        <v>42</v>
      </c>
      <c r="D15" s="70">
        <f t="shared" si="2"/>
        <v>74</v>
      </c>
      <c r="E15" s="70">
        <f t="shared" si="0"/>
        <v>2</v>
      </c>
      <c r="F15" s="71">
        <f t="shared" si="3"/>
        <v>94.77</v>
      </c>
      <c r="G15" s="72">
        <f>IF(D15=D14,"",_xlfn.IFNA(VLOOKUP(D15,'인원 입력 기능 (사과탐)'!$F$236:$I$284,4,FALSE),0))</f>
        <v>28</v>
      </c>
      <c r="H15" s="73">
        <f t="shared" si="4"/>
        <v>6.024096385542169E-3</v>
      </c>
      <c r="I15" s="77">
        <f>SUM($G$7:G15)</f>
        <v>257</v>
      </c>
      <c r="J15" s="75">
        <f t="shared" si="5"/>
        <v>5.5292598967297761E-2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73</v>
      </c>
      <c r="E16" s="70">
        <f t="shared" si="0"/>
        <v>2</v>
      </c>
      <c r="F16" s="71">
        <f t="shared" si="3"/>
        <v>94.2</v>
      </c>
      <c r="G16" s="72">
        <f>IF(D16=D15,"",_xlfn.IFNA(VLOOKUP(D16,'인원 입력 기능 (사과탐)'!$F$236:$I$284,4,FALSE),0))</f>
        <v>25</v>
      </c>
      <c r="H16" s="73">
        <f t="shared" si="4"/>
        <v>5.3786574870912218E-3</v>
      </c>
      <c r="I16" s="77">
        <f>SUM($G$7:G16)</f>
        <v>282</v>
      </c>
      <c r="J16" s="75">
        <f t="shared" si="5"/>
        <v>6.0671256454388985E-2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72</v>
      </c>
      <c r="E17" s="70">
        <f t="shared" si="0"/>
        <v>2</v>
      </c>
      <c r="F17" s="71">
        <f t="shared" si="3"/>
        <v>93.7</v>
      </c>
      <c r="G17" s="72">
        <f>IF(D17=D16,"",_xlfn.IFNA(VLOOKUP(D17,'인원 입력 기능 (사과탐)'!$F$236:$I$284,4,FALSE),0))</f>
        <v>22</v>
      </c>
      <c r="H17" s="73">
        <f t="shared" si="4"/>
        <v>4.7332185886402754E-3</v>
      </c>
      <c r="I17" s="77">
        <f>SUM($G$7:G17)</f>
        <v>304</v>
      </c>
      <c r="J17" s="75">
        <f t="shared" si="5"/>
        <v>6.5404475043029264E-2</v>
      </c>
      <c r="K17" s="28"/>
      <c r="L17" s="5" t="str">
        <f t="shared" si="1"/>
        <v/>
      </c>
      <c r="N17" s="1"/>
      <c r="P17" s="1">
        <f>Q7*H3*H4*J3*IFERROR(IF(J57=1, 1, 0), 0)</f>
        <v>61811688.287999995</v>
      </c>
    </row>
    <row r="18" spans="1:16" ht="25" customHeight="1" x14ac:dyDescent="0.45">
      <c r="A18" s="4"/>
      <c r="B18" s="19"/>
      <c r="C18" s="76">
        <v>39</v>
      </c>
      <c r="D18" s="70">
        <f t="shared" si="2"/>
        <v>71</v>
      </c>
      <c r="E18" s="70">
        <f t="shared" si="0"/>
        <v>2</v>
      </c>
      <c r="F18" s="71">
        <f t="shared" si="3"/>
        <v>93.08</v>
      </c>
      <c r="G18" s="72">
        <f>IF(D18=D17,"",_xlfn.IFNA(VLOOKUP(D18,'인원 입력 기능 (사과탐)'!$F$236:$I$284,4,FALSE),0))</f>
        <v>35</v>
      </c>
      <c r="H18" s="73">
        <f t="shared" si="4"/>
        <v>7.5301204819277108E-3</v>
      </c>
      <c r="I18" s="77">
        <f>SUM($G$7:G18)</f>
        <v>339</v>
      </c>
      <c r="J18" s="75">
        <f t="shared" si="5"/>
        <v>7.2934595524956972E-2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70</v>
      </c>
      <c r="E19" s="70">
        <f t="shared" si="0"/>
        <v>2</v>
      </c>
      <c r="F19" s="71">
        <f t="shared" si="3"/>
        <v>92.46</v>
      </c>
      <c r="G19" s="72">
        <f>IF(D19=D18,"",_xlfn.IFNA(VLOOKUP(D19,'인원 입력 기능 (사과탐)'!$F$236:$I$284,4,FALSE),0))</f>
        <v>23</v>
      </c>
      <c r="H19" s="73">
        <f t="shared" si="4"/>
        <v>4.9483648881239245E-3</v>
      </c>
      <c r="I19" s="77">
        <f>SUM($G$7:G19)</f>
        <v>362</v>
      </c>
      <c r="J19" s="75">
        <f t="shared" si="5"/>
        <v>7.788296041308089E-2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69</v>
      </c>
      <c r="E20" s="70">
        <f t="shared" si="0"/>
        <v>2</v>
      </c>
      <c r="F20" s="71">
        <f t="shared" si="3"/>
        <v>91.93</v>
      </c>
      <c r="G20" s="72">
        <f>IF(D20=D19,"",_xlfn.IFNA(VLOOKUP(D20,'인원 입력 기능 (사과탐)'!$F$236:$I$284,4,FALSE),0))</f>
        <v>26</v>
      </c>
      <c r="H20" s="73">
        <f t="shared" si="4"/>
        <v>5.5938037865748708E-3</v>
      </c>
      <c r="I20" s="77">
        <f>SUM($G$7:G20)</f>
        <v>388</v>
      </c>
      <c r="J20" s="75">
        <f t="shared" si="5"/>
        <v>8.3476764199655759E-2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68</v>
      </c>
      <c r="E21" s="79">
        <f t="shared" si="0"/>
        <v>2</v>
      </c>
      <c r="F21" s="71">
        <f t="shared" si="3"/>
        <v>91.42</v>
      </c>
      <c r="G21" s="72">
        <f>IF(D21=D20,"",_xlfn.IFNA(VLOOKUP(D21,'인원 입력 기능 (사과탐)'!$F$236:$I$284,4,FALSE),0))</f>
        <v>22</v>
      </c>
      <c r="H21" s="73">
        <f t="shared" si="4"/>
        <v>4.7332185886402754E-3</v>
      </c>
      <c r="I21" s="77">
        <f>SUM($G$7:G21)</f>
        <v>410</v>
      </c>
      <c r="J21" s="75">
        <f t="shared" si="5"/>
        <v>8.8209982788296046E-2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67</v>
      </c>
      <c r="E22" s="79">
        <f t="shared" si="0"/>
        <v>2</v>
      </c>
      <c r="F22" s="71">
        <f t="shared" si="3"/>
        <v>90.94</v>
      </c>
      <c r="G22" s="72">
        <f>IF(D22=D21,"",_xlfn.IFNA(VLOOKUP(D22,'인원 입력 기능 (사과탐)'!$F$236:$I$284,4,FALSE),0))</f>
        <v>22</v>
      </c>
      <c r="H22" s="73">
        <f t="shared" si="4"/>
        <v>4.7332185886402754E-3</v>
      </c>
      <c r="I22" s="77">
        <f>SUM($G$7:G22)</f>
        <v>432</v>
      </c>
      <c r="J22" s="75">
        <f t="shared" si="5"/>
        <v>9.2943201376936319E-2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138">
        <f t="shared" si="2"/>
        <v>66</v>
      </c>
      <c r="E23" s="138">
        <f t="shared" si="0"/>
        <v>2</v>
      </c>
      <c r="F23" s="128">
        <f t="shared" si="3"/>
        <v>90.16</v>
      </c>
      <c r="G23" s="130">
        <f>IF(D23=D22,"",_xlfn.IFNA(VLOOKUP(D23,'인원 입력 기능 (사과탐)'!$F$236:$I$284,4,FALSE),0))</f>
        <v>51</v>
      </c>
      <c r="H23" s="132">
        <f t="shared" si="4"/>
        <v>1.0972461273666093E-2</v>
      </c>
      <c r="I23" s="134">
        <f>SUM($G$7:G23)</f>
        <v>483</v>
      </c>
      <c r="J23" s="136">
        <f t="shared" si="5"/>
        <v>0.10391566265060241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139"/>
      <c r="E24" s="139"/>
      <c r="F24" s="129"/>
      <c r="G24" s="131"/>
      <c r="H24" s="133"/>
      <c r="I24" s="135"/>
      <c r="J24" s="137"/>
      <c r="K24" s="28"/>
      <c r="L24" s="5" t="str">
        <f t="shared" si="1"/>
        <v>경고</v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65</v>
      </c>
      <c r="E25" s="79">
        <f t="shared" si="0"/>
        <v>2</v>
      </c>
      <c r="F25" s="71">
        <f t="shared" si="3"/>
        <v>89.43</v>
      </c>
      <c r="G25" s="72">
        <f>IF(D25=D24,"",_xlfn.IFNA(VLOOKUP(D25,'인원 입력 기능 (사과탐)'!$F$236:$I$284,4,FALSE),0))</f>
        <v>17</v>
      </c>
      <c r="H25" s="73">
        <f t="shared" si="4"/>
        <v>3.6574870912220309E-3</v>
      </c>
      <c r="I25" s="77">
        <f>SUM($G$7:G25)</f>
        <v>500</v>
      </c>
      <c r="J25" s="75">
        <f t="shared" si="5"/>
        <v>0.10757314974182444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64</v>
      </c>
      <c r="E26" s="79">
        <f t="shared" si="0"/>
        <v>2</v>
      </c>
      <c r="F26" s="71">
        <f t="shared" si="3"/>
        <v>88.95</v>
      </c>
      <c r="G26" s="72">
        <f>IF(D26=D25,"",_xlfn.IFNA(VLOOKUP(D26,'인원 입력 기능 (사과탐)'!$F$236:$I$284,4,FALSE),0))</f>
        <v>27</v>
      </c>
      <c r="H26" s="73">
        <f t="shared" si="4"/>
        <v>5.8089500860585199E-3</v>
      </c>
      <c r="I26" s="77">
        <f>SUM($G$7:G26)</f>
        <v>527</v>
      </c>
      <c r="J26" s="75">
        <f t="shared" si="5"/>
        <v>0.11338209982788296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63</v>
      </c>
      <c r="E27" s="79">
        <f t="shared" si="0"/>
        <v>3</v>
      </c>
      <c r="F27" s="71">
        <f t="shared" si="3"/>
        <v>88.41</v>
      </c>
      <c r="G27" s="72">
        <f>IF(D27=D26,"",_xlfn.IFNA(VLOOKUP(D27,'인원 입력 기능 (사과탐)'!$F$236:$I$284,4,FALSE),0))</f>
        <v>23</v>
      </c>
      <c r="H27" s="73">
        <f t="shared" si="4"/>
        <v>4.9483648881239245E-3</v>
      </c>
      <c r="I27" s="77">
        <f>SUM($G$7:G27)</f>
        <v>550</v>
      </c>
      <c r="J27" s="75">
        <f t="shared" si="5"/>
        <v>0.11833046471600689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62</v>
      </c>
      <c r="E28" s="79">
        <f t="shared" si="0"/>
        <v>3</v>
      </c>
      <c r="F28" s="71">
        <f t="shared" si="3"/>
        <v>87.75</v>
      </c>
      <c r="G28" s="72">
        <f>IF(D28=D27,"",_xlfn.IFNA(VLOOKUP(D28,'인원 입력 기능 (사과탐)'!$F$236:$I$284,4,FALSE),0))</f>
        <v>39</v>
      </c>
      <c r="H28" s="73">
        <f t="shared" si="4"/>
        <v>8.3907056798623071E-3</v>
      </c>
      <c r="I28" s="77">
        <f>SUM($G$7:G28)</f>
        <v>589</v>
      </c>
      <c r="J28" s="75">
        <f t="shared" si="5"/>
        <v>0.12672117039586919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61</v>
      </c>
      <c r="E29" s="79">
        <f t="shared" si="0"/>
        <v>3</v>
      </c>
      <c r="F29" s="71">
        <f t="shared" si="3"/>
        <v>86.84</v>
      </c>
      <c r="G29" s="72">
        <f>IF(D29=D28,"",_xlfn.IFNA(VLOOKUP(D29,'인원 입력 기능 (사과탐)'!$F$236:$I$284,4,FALSE),0))</f>
        <v>45</v>
      </c>
      <c r="H29" s="73">
        <f t="shared" si="4"/>
        <v>9.6815834767641998E-3</v>
      </c>
      <c r="I29" s="77">
        <f>SUM($G$7:G29)</f>
        <v>634</v>
      </c>
      <c r="J29" s="75">
        <f t="shared" si="5"/>
        <v>0.1364027538726334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60</v>
      </c>
      <c r="E30" s="79">
        <f t="shared" si="0"/>
        <v>3</v>
      </c>
      <c r="F30" s="71">
        <f t="shared" si="3"/>
        <v>85.88</v>
      </c>
      <c r="G30" s="72">
        <f>IF(D30=D29,"",_xlfn.IFNA(VLOOKUP(D30,'인원 입력 기능 (사과탐)'!$F$236:$I$284,4,FALSE),0))</f>
        <v>45</v>
      </c>
      <c r="H30" s="73">
        <f t="shared" si="4"/>
        <v>9.6815834767641998E-3</v>
      </c>
      <c r="I30" s="77">
        <f>SUM($G$7:G30)</f>
        <v>679</v>
      </c>
      <c r="J30" s="75">
        <f t="shared" si="5"/>
        <v>0.1460843373493976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59</v>
      </c>
      <c r="E31" s="79">
        <f t="shared" si="0"/>
        <v>3</v>
      </c>
      <c r="F31" s="71">
        <f t="shared" si="3"/>
        <v>84.74</v>
      </c>
      <c r="G31" s="72">
        <f>IF(D31=D30,"",_xlfn.IFNA(VLOOKUP(D31,'인원 입력 기능 (사과탐)'!$F$236:$I$284,4,FALSE),0))</f>
        <v>61</v>
      </c>
      <c r="H31" s="73">
        <f t="shared" si="4"/>
        <v>1.3123924268502582E-2</v>
      </c>
      <c r="I31" s="77">
        <f>SUM($G$7:G31)</f>
        <v>740</v>
      </c>
      <c r="J31" s="75">
        <f t="shared" si="5"/>
        <v>0.15920826161790017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58</v>
      </c>
      <c r="E32" s="79">
        <f t="shared" si="0"/>
        <v>3</v>
      </c>
      <c r="F32" s="71">
        <f t="shared" si="3"/>
        <v>83.56</v>
      </c>
      <c r="G32" s="72">
        <f>IF(D32=D31,"",_xlfn.IFNA(VLOOKUP(D32,'인원 입력 기능 (사과탐)'!$F$236:$I$284,4,FALSE),0))</f>
        <v>48</v>
      </c>
      <c r="H32" s="73">
        <f t="shared" si="4"/>
        <v>1.0327022375215147E-2</v>
      </c>
      <c r="I32" s="77">
        <f>SUM($G$7:G32)</f>
        <v>788</v>
      </c>
      <c r="J32" s="75">
        <f t="shared" si="5"/>
        <v>0.16953528399311532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57</v>
      </c>
      <c r="E33" s="79">
        <f t="shared" si="0"/>
        <v>3</v>
      </c>
      <c r="F33" s="71">
        <f t="shared" si="3"/>
        <v>82.45</v>
      </c>
      <c r="G33" s="72">
        <f>IF(D33=D32,"",_xlfn.IFNA(VLOOKUP(D33,'인원 입력 기능 (사과탐)'!$F$236:$I$284,4,FALSE),0))</f>
        <v>55</v>
      </c>
      <c r="H33" s="73">
        <f t="shared" si="4"/>
        <v>1.1833046471600689E-2</v>
      </c>
      <c r="I33" s="77">
        <f>SUM($G$7:G33)</f>
        <v>843</v>
      </c>
      <c r="J33" s="75">
        <f t="shared" si="5"/>
        <v>0.18136833046471601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56</v>
      </c>
      <c r="E34" s="79">
        <f t="shared" si="0"/>
        <v>3</v>
      </c>
      <c r="F34" s="71">
        <f t="shared" si="3"/>
        <v>81.290000000000006</v>
      </c>
      <c r="G34" s="72">
        <f>IF(D34=D33,"",_xlfn.IFNA(VLOOKUP(D34,'인원 입력 기능 (사과탐)'!$F$236:$I$284,4,FALSE),0))</f>
        <v>53</v>
      </c>
      <c r="H34" s="73">
        <f t="shared" si="4"/>
        <v>1.1402753872633391E-2</v>
      </c>
      <c r="I34" s="77">
        <f>SUM($G$7:G34)</f>
        <v>896</v>
      </c>
      <c r="J34" s="75">
        <f t="shared" si="5"/>
        <v>0.19277108433734941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138">
        <f t="shared" si="2"/>
        <v>55</v>
      </c>
      <c r="E35" s="138">
        <f t="shared" si="0"/>
        <v>3</v>
      </c>
      <c r="F35" s="128">
        <f t="shared" si="3"/>
        <v>78.930000000000007</v>
      </c>
      <c r="G35" s="130">
        <f>IF(D35=D34,"",_xlfn.IFNA(VLOOKUP(D35,'인원 입력 기능 (사과탐)'!$F$236:$I$284,4,FALSE),0))</f>
        <v>167</v>
      </c>
      <c r="H35" s="132">
        <f t="shared" si="4"/>
        <v>3.5929432013769365E-2</v>
      </c>
      <c r="I35" s="134">
        <f>SUM($G$7:G35)</f>
        <v>1063</v>
      </c>
      <c r="J35" s="136">
        <f t="shared" si="5"/>
        <v>0.22870051635111877</v>
      </c>
      <c r="K35" s="28"/>
      <c r="L35" s="5" t="str">
        <f t="shared" si="1"/>
        <v>경고</v>
      </c>
      <c r="N35" s="1"/>
    </row>
    <row r="36" spans="1:14" ht="25" customHeight="1" x14ac:dyDescent="0.45">
      <c r="A36" s="4"/>
      <c r="B36" s="19"/>
      <c r="C36" s="80">
        <v>21</v>
      </c>
      <c r="D36" s="146"/>
      <c r="E36" s="146"/>
      <c r="F36" s="141"/>
      <c r="G36" s="142"/>
      <c r="H36" s="143"/>
      <c r="I36" s="144"/>
      <c r="J36" s="145"/>
      <c r="K36" s="28"/>
      <c r="L36" s="5" t="str">
        <f t="shared" si="1"/>
        <v>경고</v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54</v>
      </c>
      <c r="E37" s="79">
        <f t="shared" si="0"/>
        <v>3</v>
      </c>
      <c r="F37" s="71">
        <f t="shared" si="3"/>
        <v>76</v>
      </c>
      <c r="G37" s="72">
        <f>IF(D37=D36,"",_xlfn.IFNA(VLOOKUP(D37,'인원 입력 기능 (사과탐)'!$F$236:$I$284,4,FALSE),0))</f>
        <v>105</v>
      </c>
      <c r="H37" s="73">
        <f t="shared" si="4"/>
        <v>2.2590361445783132E-2</v>
      </c>
      <c r="I37" s="77">
        <f>SUM($G$7:G37)</f>
        <v>1168</v>
      </c>
      <c r="J37" s="75">
        <f t="shared" si="5"/>
        <v>0.2512908777969019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53</v>
      </c>
      <c r="E38" s="79">
        <f t="shared" si="0"/>
        <v>4</v>
      </c>
      <c r="F38" s="71">
        <f t="shared" si="3"/>
        <v>73.569999999999993</v>
      </c>
      <c r="G38" s="72">
        <f>IF(D38=D37,"",_xlfn.IFNA(VLOOKUP(D38,'인원 입력 기능 (사과탐)'!$F$236:$I$284,4,FALSE),0))</f>
        <v>121</v>
      </c>
      <c r="H38" s="73">
        <f t="shared" si="4"/>
        <v>2.6032702237521514E-2</v>
      </c>
      <c r="I38" s="77">
        <f>SUM($G$7:G38)</f>
        <v>1289</v>
      </c>
      <c r="J38" s="75">
        <f t="shared" si="5"/>
        <v>0.27732358003442342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52</v>
      </c>
      <c r="E39" s="79">
        <f t="shared" ref="E39:E57" si="11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71">
        <f t="shared" si="3"/>
        <v>71.010000000000005</v>
      </c>
      <c r="G39" s="72">
        <f>IF(D39=D38,"",_xlfn.IFNA(VLOOKUP(D39,'인원 입력 기능 (사과탐)'!$F$236:$I$284,4,FALSE),0))</f>
        <v>117</v>
      </c>
      <c r="H39" s="73">
        <f t="shared" si="4"/>
        <v>2.5172117039586918E-2</v>
      </c>
      <c r="I39" s="77">
        <f>SUM($G$7:G39)</f>
        <v>1406</v>
      </c>
      <c r="J39" s="75">
        <f t="shared" si="5"/>
        <v>0.30249569707401031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51</v>
      </c>
      <c r="E40" s="79">
        <f t="shared" si="11"/>
        <v>4</v>
      </c>
      <c r="F40" s="71">
        <f t="shared" si="3"/>
        <v>68.319999999999993</v>
      </c>
      <c r="G40" s="72">
        <f>IF(D40=D39,"",_xlfn.IFNA(VLOOKUP(D40,'인원 입력 기능 (사과탐)'!$F$236:$I$284,4,FALSE),0))</f>
        <v>133</v>
      </c>
      <c r="H40" s="73">
        <f t="shared" si="4"/>
        <v>2.86144578313253E-2</v>
      </c>
      <c r="I40" s="77">
        <f>SUM($G$7:G40)</f>
        <v>1539</v>
      </c>
      <c r="J40" s="75">
        <f t="shared" si="5"/>
        <v>0.33111015490533563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50</v>
      </c>
      <c r="E41" s="79">
        <f t="shared" si="11"/>
        <v>4</v>
      </c>
      <c r="F41" s="71">
        <f t="shared" si="3"/>
        <v>65.430000000000007</v>
      </c>
      <c r="G41" s="72">
        <f>IF(D41=D40,"",_xlfn.IFNA(VLOOKUP(D41,'인원 입력 기능 (사과탐)'!$F$236:$I$284,4,FALSE),0))</f>
        <v>136</v>
      </c>
      <c r="H41" s="73">
        <f t="shared" si="4"/>
        <v>2.9259896729776247E-2</v>
      </c>
      <c r="I41" s="77">
        <f>SUM($G$7:G41)</f>
        <v>1675</v>
      </c>
      <c r="J41" s="75">
        <f t="shared" si="5"/>
        <v>0.36037005163511188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49</v>
      </c>
      <c r="E42" s="79">
        <f t="shared" si="11"/>
        <v>4</v>
      </c>
      <c r="F42" s="71">
        <f t="shared" si="3"/>
        <v>62.13</v>
      </c>
      <c r="G42" s="72">
        <f>IF(D42=D41,"",_xlfn.IFNA(VLOOKUP(D42,'인원 입력 기능 (사과탐)'!$F$236:$I$284,4,FALSE),0))</f>
        <v>170</v>
      </c>
      <c r="H42" s="73">
        <f t="shared" si="4"/>
        <v>3.6574870912220309E-2</v>
      </c>
      <c r="I42" s="77">
        <f>SUM($G$7:G42)</f>
        <v>1845</v>
      </c>
      <c r="J42" s="75">
        <f t="shared" si="5"/>
        <v>0.39694492254733221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48</v>
      </c>
      <c r="E43" s="79">
        <f t="shared" si="11"/>
        <v>4</v>
      </c>
      <c r="F43" s="71">
        <f t="shared" si="3"/>
        <v>58.5</v>
      </c>
      <c r="G43" s="72">
        <f>IF(D43=D42,"",_xlfn.IFNA(VLOOKUP(D43,'인원 입력 기능 (사과탐)'!$F$236:$I$284,4,FALSE),0))</f>
        <v>168</v>
      </c>
      <c r="H43" s="73">
        <f t="shared" si="4"/>
        <v>3.614457831325301E-2</v>
      </c>
      <c r="I43" s="77">
        <f>SUM($G$7:G43)</f>
        <v>2013</v>
      </c>
      <c r="J43" s="75">
        <f t="shared" si="5"/>
        <v>0.43308950086058517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47</v>
      </c>
      <c r="E44" s="79">
        <f t="shared" si="11"/>
        <v>5</v>
      </c>
      <c r="F44" s="71">
        <f t="shared" si="3"/>
        <v>54.3</v>
      </c>
      <c r="G44" s="72">
        <f>IF(D44=D43,"",_xlfn.IFNA(VLOOKUP(D44,'인원 입력 기능 (사과탐)'!$F$236:$I$284,4,FALSE),0))</f>
        <v>222</v>
      </c>
      <c r="H44" s="73">
        <f t="shared" si="4"/>
        <v>4.7762478485370054E-2</v>
      </c>
      <c r="I44" s="77">
        <f>SUM($G$7:G44)</f>
        <v>2235</v>
      </c>
      <c r="J44" s="75">
        <f t="shared" si="5"/>
        <v>0.48085197934595525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46</v>
      </c>
      <c r="E45" s="79">
        <f t="shared" si="11"/>
        <v>5</v>
      </c>
      <c r="F45" s="71">
        <f t="shared" si="3"/>
        <v>49.6</v>
      </c>
      <c r="G45" s="72">
        <f>IF(D45=D44,"",_xlfn.IFNA(VLOOKUP(D45,'인원 입력 기능 (사과탐)'!$F$236:$I$284,4,FALSE),0))</f>
        <v>215</v>
      </c>
      <c r="H45" s="73">
        <f t="shared" si="4"/>
        <v>4.6256454388984507E-2</v>
      </c>
      <c r="I45" s="77">
        <f>SUM($G$7:G45)</f>
        <v>2450</v>
      </c>
      <c r="J45" s="75">
        <f t="shared" si="5"/>
        <v>0.52710843373493976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138">
        <f t="shared" si="2"/>
        <v>45</v>
      </c>
      <c r="E46" s="138">
        <f t="shared" si="11"/>
        <v>5</v>
      </c>
      <c r="F46" s="128">
        <f t="shared" si="3"/>
        <v>38.49</v>
      </c>
      <c r="G46" s="130">
        <f>IF(D46=D45,"",_xlfn.IFNA(VLOOKUP(D46,'인원 입력 기능 (사과탐)'!$F$236:$I$284,4,FALSE),0))</f>
        <v>818</v>
      </c>
      <c r="H46" s="132">
        <f t="shared" si="4"/>
        <v>0.17598967297762477</v>
      </c>
      <c r="I46" s="134">
        <f>SUM($G$7:G46)</f>
        <v>3268</v>
      </c>
      <c r="J46" s="136">
        <f t="shared" si="5"/>
        <v>0.70309810671256456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139"/>
      <c r="E47" s="139"/>
      <c r="F47" s="129"/>
      <c r="G47" s="131"/>
      <c r="H47" s="133"/>
      <c r="I47" s="135"/>
      <c r="J47" s="137"/>
      <c r="K47" s="28"/>
      <c r="L47" s="5" t="str">
        <f t="shared" si="1"/>
        <v>경고</v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44</v>
      </c>
      <c r="E48" s="79">
        <f t="shared" si="11"/>
        <v>6</v>
      </c>
      <c r="F48" s="71">
        <f t="shared" si="3"/>
        <v>24.76</v>
      </c>
      <c r="G48" s="72">
        <f>IF(D48=D47,"",_xlfn.IFNA(VLOOKUP(D48,'인원 입력 기능 (사과탐)'!$F$236:$I$284,4,FALSE),0))</f>
        <v>458</v>
      </c>
      <c r="H48" s="73">
        <f t="shared" si="4"/>
        <v>9.8537005163511188E-2</v>
      </c>
      <c r="I48" s="77">
        <f>SUM($G$7:G48)</f>
        <v>3726</v>
      </c>
      <c r="J48" s="75">
        <f t="shared" si="5"/>
        <v>0.80163511187607572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43</v>
      </c>
      <c r="E49" s="79">
        <f t="shared" si="11"/>
        <v>7</v>
      </c>
      <c r="F49" s="71">
        <f t="shared" si="3"/>
        <v>17.32</v>
      </c>
      <c r="G49" s="72">
        <f>IF(D49=D48,"",_xlfn.IFNA(VLOOKUP(D49,'인원 입력 기능 (사과탐)'!$F$236:$I$284,4,FALSE),0))</f>
        <v>234</v>
      </c>
      <c r="H49" s="73">
        <f t="shared" si="4"/>
        <v>5.0344234079173836E-2</v>
      </c>
      <c r="I49" s="77">
        <f>SUM($G$7:G49)</f>
        <v>3960</v>
      </c>
      <c r="J49" s="75">
        <f t="shared" si="5"/>
        <v>0.8519793459552496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42</v>
      </c>
      <c r="E50" s="79">
        <f t="shared" si="11"/>
        <v>7</v>
      </c>
      <c r="F50" s="71">
        <f t="shared" si="3"/>
        <v>12.94</v>
      </c>
      <c r="G50" s="72">
        <f>IF(D50=D49,"",_xlfn.IFNA(VLOOKUP(D50,'인원 입력 기능 (사과탐)'!$F$236:$I$284,4,FALSE),0))</f>
        <v>173</v>
      </c>
      <c r="H50" s="73">
        <f t="shared" si="4"/>
        <v>3.7220309810671259E-2</v>
      </c>
      <c r="I50" s="77">
        <f>SUM($G$7:G50)</f>
        <v>4133</v>
      </c>
      <c r="J50" s="75">
        <f t="shared" si="5"/>
        <v>0.88919965576592086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41</v>
      </c>
      <c r="E51" s="79">
        <f t="shared" si="11"/>
        <v>7</v>
      </c>
      <c r="F51" s="71">
        <f t="shared" si="3"/>
        <v>9.52</v>
      </c>
      <c r="G51" s="72">
        <f>IF(D51=D50,"",_xlfn.IFNA(VLOOKUP(D51,'인원 입력 기능 (사과탐)'!$F$236:$I$284,4,FALSE),0))</f>
        <v>145</v>
      </c>
      <c r="H51" s="73">
        <f t="shared" si="4"/>
        <v>3.1196213425129089E-2</v>
      </c>
      <c r="I51" s="77">
        <f>SUM($G$7:G51)</f>
        <v>4278</v>
      </c>
      <c r="J51" s="75">
        <f t="shared" si="5"/>
        <v>0.92039586919104988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40</v>
      </c>
      <c r="E52" s="79">
        <f t="shared" si="11"/>
        <v>8</v>
      </c>
      <c r="F52" s="71">
        <f t="shared" si="3"/>
        <v>6.38</v>
      </c>
      <c r="G52" s="72">
        <f>IF(D52=D51,"",_xlfn.IFNA(VLOOKUP(D52,'인원 입력 기능 (사과탐)'!$F$236:$I$284,4,FALSE),0))</f>
        <v>147</v>
      </c>
      <c r="H52" s="73">
        <f t="shared" si="4"/>
        <v>3.1626506024096383E-2</v>
      </c>
      <c r="I52" s="77">
        <f>SUM($G$7:G52)</f>
        <v>4425</v>
      </c>
      <c r="J52" s="75">
        <f t="shared" si="5"/>
        <v>0.95202237521514632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39</v>
      </c>
      <c r="E53" s="70">
        <f t="shared" si="11"/>
        <v>8</v>
      </c>
      <c r="F53" s="71">
        <f t="shared" si="3"/>
        <v>4.34</v>
      </c>
      <c r="G53" s="72">
        <f>IF(D53=D52,"",_xlfn.IFNA(VLOOKUP(D53,'인원 입력 기능 (사과탐)'!$F$236:$I$284,4,FALSE),0))</f>
        <v>43</v>
      </c>
      <c r="H53" s="73">
        <f t="shared" si="4"/>
        <v>9.2512908777969017E-3</v>
      </c>
      <c r="I53" s="77">
        <f>SUM($G$7:G53)</f>
        <v>4468</v>
      </c>
      <c r="J53" s="75">
        <f t="shared" si="5"/>
        <v>0.96127366609294318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38</v>
      </c>
      <c r="E54" s="70">
        <f t="shared" si="11"/>
        <v>9</v>
      </c>
      <c r="F54" s="71">
        <f t="shared" si="3"/>
        <v>3.17</v>
      </c>
      <c r="G54" s="72">
        <f>IF(D54=D53,"",_xlfn.IFNA(VLOOKUP(D54,'인원 입력 기능 (사과탐)'!$F$236:$I$284,4,FALSE),0))</f>
        <v>65</v>
      </c>
      <c r="H54" s="73">
        <f t="shared" si="4"/>
        <v>1.3984509466437178E-2</v>
      </c>
      <c r="I54" s="77">
        <f>SUM($G$7:G54)</f>
        <v>4533</v>
      </c>
      <c r="J54" s="75">
        <f t="shared" si="5"/>
        <v>0.97525817555938032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37</v>
      </c>
      <c r="E55" s="70">
        <f t="shared" si="11"/>
        <v>9</v>
      </c>
      <c r="F55" s="71">
        <f t="shared" si="3"/>
        <v>1.94</v>
      </c>
      <c r="G55" s="72">
        <f>IF(D55=D54,"",_xlfn.IFNA(VLOOKUP(D55,'인원 입력 기능 (사과탐)'!$F$236:$I$284,4,FALSE),0))</f>
        <v>50</v>
      </c>
      <c r="H55" s="73">
        <f t="shared" si="4"/>
        <v>1.0757314974182444E-2</v>
      </c>
      <c r="I55" s="77">
        <f>SUM($G$7:G55)</f>
        <v>4583</v>
      </c>
      <c r="J55" s="75">
        <f t="shared" si="5"/>
        <v>0.98601549053356286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35</v>
      </c>
      <c r="E57" s="83">
        <f t="shared" si="11"/>
        <v>9</v>
      </c>
      <c r="F57" s="84">
        <f>IF(I55=0,ROUND(100*(1-(I54+I57)/2/$J$3),2),ROUND(100*(1-(I55+I57)/2/$J$3),2))</f>
        <v>0.7</v>
      </c>
      <c r="G57" s="85">
        <f>_xlfn.IFNA(VLOOKUP(D57,'인원 입력 기능 (사과탐)'!$F$236:$I$284,4,FALSE),0)</f>
        <v>65</v>
      </c>
      <c r="H57" s="86">
        <f>G57/$J$3</f>
        <v>1.3984509466437178E-2</v>
      </c>
      <c r="I57" s="87">
        <f>SUM($G$7:G57)</f>
        <v>4648</v>
      </c>
      <c r="J57" s="88">
        <f>I57/$J$3</f>
        <v>1</v>
      </c>
      <c r="K57" s="28"/>
      <c r="L57" s="5" t="str">
        <f t="shared" ref="L57" si="12">IF(ABS((C57-$H$3)/$H$4*10+50-D57-0.5)&lt;0.1, "경고", "")</f>
        <v>경고</v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3">
    <mergeCell ref="I12:I13"/>
    <mergeCell ref="J12:J13"/>
    <mergeCell ref="D12:D13"/>
    <mergeCell ref="E12:E13"/>
    <mergeCell ref="F12:F13"/>
    <mergeCell ref="G12:G13"/>
    <mergeCell ref="H12:H13"/>
    <mergeCell ref="I46:I47"/>
    <mergeCell ref="J46:J47"/>
    <mergeCell ref="D46:D47"/>
    <mergeCell ref="E46:E47"/>
    <mergeCell ref="F46:F47"/>
    <mergeCell ref="G46:G47"/>
    <mergeCell ref="H46:H47"/>
    <mergeCell ref="H23:H24"/>
    <mergeCell ref="I23:I24"/>
    <mergeCell ref="J23:J24"/>
    <mergeCell ref="D35:D36"/>
    <mergeCell ref="E35:E36"/>
    <mergeCell ref="F35:F36"/>
    <mergeCell ref="G35:G36"/>
    <mergeCell ref="H35:H36"/>
    <mergeCell ref="I35:I36"/>
    <mergeCell ref="J35:J36"/>
    <mergeCell ref="D3:F3"/>
    <mergeCell ref="D4:F4"/>
    <mergeCell ref="D8:J8"/>
    <mergeCell ref="D56:J56"/>
    <mergeCell ref="G5:J5"/>
    <mergeCell ref="D23:D24"/>
    <mergeCell ref="E23:E24"/>
    <mergeCell ref="F23:F24"/>
    <mergeCell ref="G23:G24"/>
  </mergeCells>
  <phoneticPr fontId="1" type="noConversion"/>
  <conditionalFormatting sqref="D25:J35 D37:J46 D48:J57 D7:J12 D14:J23">
    <cfRule type="expression" dxfId="14" priority="3">
      <formula>OR($D7=$Q$7:$Q$14)</formula>
    </cfRule>
  </conditionalFormatting>
  <conditionalFormatting sqref="C7:C57">
    <cfRule type="expression" dxfId="13" priority="2">
      <formula>OR(AND($D7=0,OR($D6=$Q$7:$Q$14)),AND($D8&gt;0,OR($D7=$Q$7:$Q$14)))</formula>
    </cfRule>
  </conditionalFormatting>
  <conditionalFormatting sqref="D25:D35 D37:D46 D48:D57 D7:D12 D14:D23">
    <cfRule type="expression" dxfId="12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D0495-449F-4BC5-BA70-35C2DCD72EF8}">
  <sheetPr codeName="Sheet22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기능'!D21</f>
        <v>14.57</v>
      </c>
      <c r="I3" s="15" t="s">
        <v>84</v>
      </c>
      <c r="J3" s="35">
        <f>'통계 및 응시자 수 입력 기능'!C21</f>
        <v>8749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89</v>
      </c>
      <c r="E4" s="120"/>
      <c r="F4" s="121"/>
      <c r="G4" s="37" t="s">
        <v>87</v>
      </c>
      <c r="H4" s="38" t="str">
        <f>'통계 및 응시자 수 입력 기능'!E21</f>
        <v xml:space="preserve"> 9.41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88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99.62</v>
      </c>
      <c r="G7" s="72">
        <f>_xlfn.IFNA(VLOOKUP(D7,'인원 입력 기능 (사과탐)'!$K$236:$N$284,4,FALSE),0)</f>
        <v>67</v>
      </c>
      <c r="H7" s="73">
        <f>G7/$J$3</f>
        <v>7.6580180592067662E-3</v>
      </c>
      <c r="I7" s="74">
        <f>G7</f>
        <v>67</v>
      </c>
      <c r="J7" s="75">
        <f>I7/$J$3</f>
        <v>7.6580180592067662E-3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입력기능'!C157</f>
        <v>75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입력기능'!C158</f>
        <v>62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86</v>
      </c>
      <c r="E9" s="70">
        <f t="shared" si="0"/>
        <v>1</v>
      </c>
      <c r="F9" s="71">
        <f>IF(I8=0,ROUND(100*(1-(I7+I9)/2/$J$3),2),ROUND(100*(1-(I8+I9)/2/$J$3),2))</f>
        <v>99.09</v>
      </c>
      <c r="G9" s="72">
        <f>_xlfn.IFNA(VLOOKUP(D9,'인원 입력 기능 (사과탐)'!$K$236:$N$284,4,FALSE),0)</f>
        <v>26</v>
      </c>
      <c r="H9" s="73">
        <f>G9/$J$3</f>
        <v>2.9717682020802376E-3</v>
      </c>
      <c r="I9" s="77">
        <f>SUM($G$7:G9)</f>
        <v>93</v>
      </c>
      <c r="J9" s="75">
        <f>I9/$J$3</f>
        <v>1.0629786261287005E-2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입력기능'!C159</f>
        <v>54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84</v>
      </c>
      <c r="E10" s="70">
        <f t="shared" si="0"/>
        <v>1</v>
      </c>
      <c r="F10" s="71">
        <f t="shared" ref="F10:F55" si="3">IF(I9=0,ROUND(100*(1-(I8+I10)/2/$J$3),2),ROUND(100*(1-(I9+I10)/2/$J$3),2))</f>
        <v>98.71</v>
      </c>
      <c r="G10" s="72">
        <f>IF(D10=D9,"",_xlfn.IFNA(VLOOKUP(D10,'인원 입력 기능 (사과탐)'!$K$236:$N$284,4,FALSE),0))</f>
        <v>40</v>
      </c>
      <c r="H10" s="73">
        <f t="shared" ref="H10:H55" si="4">G10/$J$3</f>
        <v>4.5719510801234429E-3</v>
      </c>
      <c r="I10" s="77">
        <f>SUM($G$7:G10)</f>
        <v>133</v>
      </c>
      <c r="J10" s="75">
        <f t="shared" ref="J10:J55" si="5">I10/$J$3</f>
        <v>1.5201737341410447E-2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입력기능'!C160</f>
        <v>48</v>
      </c>
    </row>
    <row r="11" spans="1:17" ht="25" customHeight="1" x14ac:dyDescent="0.45">
      <c r="A11" s="4"/>
      <c r="B11" s="19"/>
      <c r="C11" s="69">
        <v>46</v>
      </c>
      <c r="D11" s="70">
        <f t="shared" si="2"/>
        <v>83</v>
      </c>
      <c r="E11" s="70">
        <f t="shared" si="0"/>
        <v>1</v>
      </c>
      <c r="F11" s="71">
        <f t="shared" si="3"/>
        <v>98.47</v>
      </c>
      <c r="G11" s="72">
        <f>IF(D11=D10,"",_xlfn.IFNA(VLOOKUP(D11,'인원 입력 기능 (사과탐)'!$K$236:$N$284,4,FALSE),0))</f>
        <v>2</v>
      </c>
      <c r="H11" s="73">
        <f t="shared" si="4"/>
        <v>2.2859755400617213E-4</v>
      </c>
      <c r="I11" s="77">
        <f>SUM($G$7:G11)</f>
        <v>135</v>
      </c>
      <c r="J11" s="75">
        <f t="shared" si="5"/>
        <v>1.543033489541662E-2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입력기능'!C161</f>
        <v>46</v>
      </c>
    </row>
    <row r="12" spans="1:17" ht="25" customHeight="1" x14ac:dyDescent="0.45">
      <c r="A12" s="4"/>
      <c r="B12" s="19"/>
      <c r="C12" s="76">
        <v>45</v>
      </c>
      <c r="D12" s="70">
        <f t="shared" si="2"/>
        <v>82</v>
      </c>
      <c r="E12" s="70">
        <f t="shared" si="0"/>
        <v>1</v>
      </c>
      <c r="F12" s="71">
        <f t="shared" si="3"/>
        <v>98.21</v>
      </c>
      <c r="G12" s="72">
        <f>IF(D12=D11,"",_xlfn.IFNA(VLOOKUP(D12,'인원 입력 기능 (사과탐)'!$K$236:$N$284,4,FALSE),0))</f>
        <v>43</v>
      </c>
      <c r="H12" s="73">
        <f t="shared" si="4"/>
        <v>4.9148474111327008E-3</v>
      </c>
      <c r="I12" s="77">
        <f>SUM($G$7:G12)</f>
        <v>178</v>
      </c>
      <c r="J12" s="75">
        <f t="shared" si="5"/>
        <v>2.0345182306549321E-2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입력기능'!C162</f>
        <v>43</v>
      </c>
    </row>
    <row r="13" spans="1:17" ht="25" customHeight="1" x14ac:dyDescent="0.45">
      <c r="A13" s="4"/>
      <c r="B13" s="19"/>
      <c r="C13" s="69">
        <v>44</v>
      </c>
      <c r="D13" s="70">
        <f t="shared" si="2"/>
        <v>81</v>
      </c>
      <c r="E13" s="70">
        <f t="shared" si="0"/>
        <v>1</v>
      </c>
      <c r="F13" s="71">
        <f t="shared" si="3"/>
        <v>97.84</v>
      </c>
      <c r="G13" s="72">
        <f>IF(D13=D12,"",_xlfn.IFNA(VLOOKUP(D13,'인원 입력 기능 (사과탐)'!$K$236:$N$284,4,FALSE),0))</f>
        <v>22</v>
      </c>
      <c r="H13" s="73">
        <f t="shared" si="4"/>
        <v>2.5145730940678936E-3</v>
      </c>
      <c r="I13" s="77">
        <f>SUM($G$7:G13)</f>
        <v>200</v>
      </c>
      <c r="J13" s="75">
        <f t="shared" si="5"/>
        <v>2.2859755400617212E-2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입력기능'!C163</f>
        <v>41</v>
      </c>
    </row>
    <row r="14" spans="1:17" ht="25" customHeight="1" x14ac:dyDescent="0.45">
      <c r="A14" s="4"/>
      <c r="B14" s="19"/>
      <c r="C14" s="76">
        <v>43</v>
      </c>
      <c r="D14" s="70">
        <f t="shared" si="2"/>
        <v>80</v>
      </c>
      <c r="E14" s="70">
        <f t="shared" si="0"/>
        <v>1</v>
      </c>
      <c r="F14" s="71">
        <f t="shared" si="3"/>
        <v>97.6</v>
      </c>
      <c r="G14" s="72">
        <f>IF(D14=D13,"",_xlfn.IFNA(VLOOKUP(D14,'인원 입력 기능 (사과탐)'!$K$236:$N$284,4,FALSE),0))</f>
        <v>20</v>
      </c>
      <c r="H14" s="73">
        <f t="shared" si="4"/>
        <v>2.2859755400617215E-3</v>
      </c>
      <c r="I14" s="77">
        <f>SUM($G$7:G14)</f>
        <v>220</v>
      </c>
      <c r="J14" s="75">
        <f t="shared" si="5"/>
        <v>2.5145730940678936E-2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입력기능'!C164</f>
        <v>39</v>
      </c>
    </row>
    <row r="15" spans="1:17" ht="25" customHeight="1" x14ac:dyDescent="0.45">
      <c r="A15" s="4"/>
      <c r="B15" s="19"/>
      <c r="C15" s="69">
        <v>42</v>
      </c>
      <c r="D15" s="70">
        <f t="shared" si="2"/>
        <v>79</v>
      </c>
      <c r="E15" s="70">
        <f t="shared" si="0"/>
        <v>1</v>
      </c>
      <c r="F15" s="71">
        <f t="shared" si="3"/>
        <v>97.28</v>
      </c>
      <c r="G15" s="72">
        <f>IF(D15=D14,"",_xlfn.IFNA(VLOOKUP(D15,'인원 입력 기능 (사과탐)'!$K$236:$N$284,4,FALSE),0))</f>
        <v>36</v>
      </c>
      <c r="H15" s="73">
        <f t="shared" si="4"/>
        <v>4.1147559721110985E-3</v>
      </c>
      <c r="I15" s="77">
        <f>SUM($G$7:G15)</f>
        <v>256</v>
      </c>
      <c r="J15" s="75">
        <f t="shared" si="5"/>
        <v>2.9260486912790033E-2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78</v>
      </c>
      <c r="E16" s="70">
        <f t="shared" si="0"/>
        <v>1</v>
      </c>
      <c r="F16" s="71">
        <f t="shared" si="3"/>
        <v>96.99</v>
      </c>
      <c r="G16" s="72">
        <f>IF(D16=D15,"",_xlfn.IFNA(VLOOKUP(D16,'인원 입력 기능 (사과탐)'!$K$236:$N$284,4,FALSE),0))</f>
        <v>15</v>
      </c>
      <c r="H16" s="73">
        <f t="shared" si="4"/>
        <v>1.714481655046291E-3</v>
      </c>
      <c r="I16" s="77">
        <f>SUM($G$7:G16)</f>
        <v>271</v>
      </c>
      <c r="J16" s="75">
        <f t="shared" si="5"/>
        <v>3.0974968567836325E-2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77</v>
      </c>
      <c r="E17" s="70">
        <f t="shared" si="0"/>
        <v>1</v>
      </c>
      <c r="F17" s="71">
        <f t="shared" si="3"/>
        <v>96.73</v>
      </c>
      <c r="G17" s="72">
        <f>IF(D17=D16,"",_xlfn.IFNA(VLOOKUP(D17,'인원 입력 기능 (사과탐)'!$K$236:$N$284,4,FALSE),0))</f>
        <v>31</v>
      </c>
      <c r="H17" s="73">
        <f t="shared" si="4"/>
        <v>3.5432620870956681E-3</v>
      </c>
      <c r="I17" s="77">
        <f>SUM($G$7:G17)</f>
        <v>302</v>
      </c>
      <c r="J17" s="75">
        <f t="shared" si="5"/>
        <v>3.4518230654931994E-2</v>
      </c>
      <c r="K17" s="28"/>
      <c r="L17" s="5" t="str">
        <f t="shared" si="1"/>
        <v/>
      </c>
      <c r="N17" s="1"/>
      <c r="P17" s="1">
        <f>Q7*H3*H4*J3*IFERROR(IF(J57=1, 1, 0), 0)</f>
        <v>89964020.347499996</v>
      </c>
    </row>
    <row r="18" spans="1:16" ht="25" customHeight="1" x14ac:dyDescent="0.45">
      <c r="A18" s="4"/>
      <c r="B18" s="19"/>
      <c r="C18" s="76">
        <v>39</v>
      </c>
      <c r="D18" s="70">
        <f t="shared" si="2"/>
        <v>76</v>
      </c>
      <c r="E18" s="70">
        <f t="shared" si="0"/>
        <v>1</v>
      </c>
      <c r="F18" s="71">
        <f t="shared" si="3"/>
        <v>96.32</v>
      </c>
      <c r="G18" s="72">
        <f>IF(D18=D17,"",_xlfn.IFNA(VLOOKUP(D18,'인원 입력 기능 (사과탐)'!$K$236:$N$284,4,FALSE),0))</f>
        <v>40</v>
      </c>
      <c r="H18" s="73">
        <f t="shared" si="4"/>
        <v>4.5719510801234429E-3</v>
      </c>
      <c r="I18" s="77">
        <f>SUM($G$7:G18)</f>
        <v>342</v>
      </c>
      <c r="J18" s="75">
        <f t="shared" si="5"/>
        <v>3.9090181735055435E-2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75</v>
      </c>
      <c r="E19" s="70">
        <f t="shared" si="0"/>
        <v>1</v>
      </c>
      <c r="F19" s="71">
        <f t="shared" si="3"/>
        <v>95.92</v>
      </c>
      <c r="G19" s="72">
        <f>IF(D19=D18,"",_xlfn.IFNA(VLOOKUP(D19,'인원 입력 기능 (사과탐)'!$K$236:$N$284,4,FALSE),0))</f>
        <v>30</v>
      </c>
      <c r="H19" s="73">
        <f t="shared" si="4"/>
        <v>3.428963310092582E-3</v>
      </c>
      <c r="I19" s="77">
        <f>SUM($G$7:G19)</f>
        <v>372</v>
      </c>
      <c r="J19" s="75">
        <f t="shared" si="5"/>
        <v>4.2519145045148019E-2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74</v>
      </c>
      <c r="E20" s="70">
        <f t="shared" si="0"/>
        <v>2</v>
      </c>
      <c r="F20" s="71">
        <f t="shared" si="3"/>
        <v>95.53</v>
      </c>
      <c r="G20" s="72">
        <f>IF(D20=D19,"",_xlfn.IFNA(VLOOKUP(D20,'인원 입력 기능 (사과탐)'!$K$236:$N$284,4,FALSE),0))</f>
        <v>39</v>
      </c>
      <c r="H20" s="73">
        <f t="shared" si="4"/>
        <v>4.4576523031203564E-3</v>
      </c>
      <c r="I20" s="77">
        <f>SUM($G$7:G20)</f>
        <v>411</v>
      </c>
      <c r="J20" s="75">
        <f t="shared" si="5"/>
        <v>4.6976797348268373E-2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73</v>
      </c>
      <c r="E21" s="79">
        <f t="shared" si="0"/>
        <v>2</v>
      </c>
      <c r="F21" s="71">
        <f t="shared" si="3"/>
        <v>95.15</v>
      </c>
      <c r="G21" s="72">
        <f>IF(D21=D20,"",_xlfn.IFNA(VLOOKUP(D21,'인원 입력 기능 (사과탐)'!$K$236:$N$284,4,FALSE),0))</f>
        <v>26</v>
      </c>
      <c r="H21" s="73">
        <f t="shared" si="4"/>
        <v>2.9717682020802376E-3</v>
      </c>
      <c r="I21" s="77">
        <f>SUM($G$7:G21)</f>
        <v>437</v>
      </c>
      <c r="J21" s="75">
        <f t="shared" si="5"/>
        <v>4.9948565550348614E-2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72</v>
      </c>
      <c r="E22" s="79">
        <f t="shared" si="0"/>
        <v>2</v>
      </c>
      <c r="F22" s="71">
        <f t="shared" si="3"/>
        <v>94.77</v>
      </c>
      <c r="G22" s="72">
        <f>IF(D22=D21,"",_xlfn.IFNA(VLOOKUP(D22,'인원 입력 기능 (사과탐)'!$K$236:$N$284,4,FALSE),0))</f>
        <v>41</v>
      </c>
      <c r="H22" s="73">
        <f t="shared" si="4"/>
        <v>4.6862498571265286E-3</v>
      </c>
      <c r="I22" s="77">
        <f>SUM($G$7:G22)</f>
        <v>478</v>
      </c>
      <c r="J22" s="75">
        <f t="shared" si="5"/>
        <v>5.463481540747514E-2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71</v>
      </c>
      <c r="E23" s="79">
        <f t="shared" si="0"/>
        <v>2</v>
      </c>
      <c r="F23" s="71">
        <f t="shared" si="3"/>
        <v>94.33</v>
      </c>
      <c r="G23" s="72">
        <f>IF(D23=D22,"",_xlfn.IFNA(VLOOKUP(D23,'인원 입력 기능 (사과탐)'!$K$236:$N$284,4,FALSE),0))</f>
        <v>36</v>
      </c>
      <c r="H23" s="73">
        <f t="shared" si="4"/>
        <v>4.1147559721110985E-3</v>
      </c>
      <c r="I23" s="77">
        <f>SUM($G$7:G23)</f>
        <v>514</v>
      </c>
      <c r="J23" s="75">
        <f t="shared" si="5"/>
        <v>5.8749571379586238E-2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70</v>
      </c>
      <c r="E24" s="79">
        <f t="shared" si="0"/>
        <v>2</v>
      </c>
      <c r="F24" s="71">
        <f t="shared" si="3"/>
        <v>93.88</v>
      </c>
      <c r="G24" s="72">
        <f>IF(D24=D23,"",_xlfn.IFNA(VLOOKUP(D24,'인원 입력 기능 (사과탐)'!$K$236:$N$284,4,FALSE),0))</f>
        <v>43</v>
      </c>
      <c r="H24" s="73">
        <f t="shared" si="4"/>
        <v>4.9148474111327008E-3</v>
      </c>
      <c r="I24" s="77">
        <f>SUM($G$7:G24)</f>
        <v>557</v>
      </c>
      <c r="J24" s="75">
        <f t="shared" si="5"/>
        <v>6.3664418790718935E-2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69</v>
      </c>
      <c r="E25" s="79">
        <f t="shared" si="0"/>
        <v>2</v>
      </c>
      <c r="F25" s="71">
        <f t="shared" si="3"/>
        <v>93.29</v>
      </c>
      <c r="G25" s="72">
        <f>IF(D25=D24,"",_xlfn.IFNA(VLOOKUP(D25,'인원 입력 기능 (사과탐)'!$K$236:$N$284,4,FALSE),0))</f>
        <v>60</v>
      </c>
      <c r="H25" s="73">
        <f t="shared" si="4"/>
        <v>6.8579266201851639E-3</v>
      </c>
      <c r="I25" s="77">
        <f>SUM($G$7:G25)</f>
        <v>617</v>
      </c>
      <c r="J25" s="75">
        <f t="shared" si="5"/>
        <v>7.0522345410904103E-2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67</v>
      </c>
      <c r="E26" s="79">
        <f t="shared" si="0"/>
        <v>2</v>
      </c>
      <c r="F26" s="71">
        <f t="shared" si="3"/>
        <v>92.67</v>
      </c>
      <c r="G26" s="72">
        <f>IF(D26=D25,"",_xlfn.IFNA(VLOOKUP(D26,'인원 입력 기능 (사과탐)'!$K$236:$N$284,4,FALSE),0))</f>
        <v>49</v>
      </c>
      <c r="H26" s="73">
        <f t="shared" si="4"/>
        <v>5.6006400731512173E-3</v>
      </c>
      <c r="I26" s="77">
        <f>SUM($G$7:G26)</f>
        <v>666</v>
      </c>
      <c r="J26" s="75">
        <f t="shared" si="5"/>
        <v>7.6122985484055314E-2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66</v>
      </c>
      <c r="E27" s="79">
        <f t="shared" si="0"/>
        <v>2</v>
      </c>
      <c r="F27" s="71">
        <f t="shared" si="3"/>
        <v>92.08</v>
      </c>
      <c r="G27" s="72">
        <f>IF(D27=D26,"",_xlfn.IFNA(VLOOKUP(D27,'인원 입력 기능 (사과탐)'!$K$236:$N$284,4,FALSE),0))</f>
        <v>53</v>
      </c>
      <c r="H27" s="73">
        <f t="shared" si="4"/>
        <v>6.0578351811635617E-3</v>
      </c>
      <c r="I27" s="77">
        <f>SUM($G$7:G27)</f>
        <v>719</v>
      </c>
      <c r="J27" s="75">
        <f t="shared" si="5"/>
        <v>8.2180820665218882E-2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65</v>
      </c>
      <c r="E28" s="79">
        <f t="shared" si="0"/>
        <v>2</v>
      </c>
      <c r="F28" s="71">
        <f t="shared" si="3"/>
        <v>91.36</v>
      </c>
      <c r="G28" s="72">
        <f>IF(D28=D27,"",_xlfn.IFNA(VLOOKUP(D28,'인원 입력 기능 (사과탐)'!$K$236:$N$284,4,FALSE),0))</f>
        <v>74</v>
      </c>
      <c r="H28" s="73">
        <f t="shared" si="4"/>
        <v>8.4581094982283684E-3</v>
      </c>
      <c r="I28" s="77">
        <f>SUM($G$7:G28)</f>
        <v>793</v>
      </c>
      <c r="J28" s="75">
        <f t="shared" si="5"/>
        <v>9.0638930163447248E-2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64</v>
      </c>
      <c r="E29" s="79">
        <f t="shared" si="0"/>
        <v>2</v>
      </c>
      <c r="F29" s="71">
        <f t="shared" si="3"/>
        <v>90.54</v>
      </c>
      <c r="G29" s="72">
        <f>IF(D29=D28,"",_xlfn.IFNA(VLOOKUP(D29,'인원 입력 기능 (사과탐)'!$K$236:$N$284,4,FALSE),0))</f>
        <v>70</v>
      </c>
      <c r="H29" s="73">
        <f t="shared" si="4"/>
        <v>8.000914390216024E-3</v>
      </c>
      <c r="I29" s="77">
        <f>SUM($G$7:G29)</f>
        <v>863</v>
      </c>
      <c r="J29" s="75">
        <f t="shared" si="5"/>
        <v>9.8639844553663272E-2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63</v>
      </c>
      <c r="E30" s="79">
        <f t="shared" si="0"/>
        <v>2</v>
      </c>
      <c r="F30" s="71">
        <f t="shared" si="3"/>
        <v>89.67</v>
      </c>
      <c r="G30" s="72">
        <f>IF(D30=D29,"",_xlfn.IFNA(VLOOKUP(D30,'인원 입력 기능 (사과탐)'!$K$236:$N$284,4,FALSE),0))</f>
        <v>82</v>
      </c>
      <c r="H30" s="73">
        <f t="shared" si="4"/>
        <v>9.3724997142530572E-3</v>
      </c>
      <c r="I30" s="77">
        <f>SUM($G$7:G30)</f>
        <v>945</v>
      </c>
      <c r="J30" s="75">
        <f t="shared" si="5"/>
        <v>0.10801234426791634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62</v>
      </c>
      <c r="E31" s="79">
        <f t="shared" si="0"/>
        <v>2</v>
      </c>
      <c r="F31" s="71">
        <f t="shared" si="3"/>
        <v>88.7</v>
      </c>
      <c r="G31" s="72">
        <f>IF(D31=D30,"",_xlfn.IFNA(VLOOKUP(D31,'인원 입력 기능 (사과탐)'!$K$236:$N$284,4,FALSE),0))</f>
        <v>88</v>
      </c>
      <c r="H31" s="73">
        <f t="shared" si="4"/>
        <v>1.0058292376271575E-2</v>
      </c>
      <c r="I31" s="77">
        <f>SUM($G$7:G31)</f>
        <v>1033</v>
      </c>
      <c r="J31" s="75">
        <f t="shared" si="5"/>
        <v>0.1180706366441879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61</v>
      </c>
      <c r="E32" s="79">
        <f t="shared" si="0"/>
        <v>3</v>
      </c>
      <c r="F32" s="71">
        <f t="shared" si="3"/>
        <v>87.59</v>
      </c>
      <c r="G32" s="72">
        <f>IF(D32=D31,"",_xlfn.IFNA(VLOOKUP(D32,'인원 입력 기능 (사과탐)'!$K$236:$N$284,4,FALSE),0))</f>
        <v>105</v>
      </c>
      <c r="H32" s="73">
        <f t="shared" si="4"/>
        <v>1.2001371585324038E-2</v>
      </c>
      <c r="I32" s="77">
        <f>SUM($G$7:G32)</f>
        <v>1138</v>
      </c>
      <c r="J32" s="75">
        <f t="shared" si="5"/>
        <v>0.13007200822951195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60</v>
      </c>
      <c r="E33" s="79">
        <f t="shared" si="0"/>
        <v>3</v>
      </c>
      <c r="F33" s="71">
        <f t="shared" si="3"/>
        <v>86.42</v>
      </c>
      <c r="G33" s="72">
        <f>IF(D33=D32,"",_xlfn.IFNA(VLOOKUP(D33,'인원 입력 기능 (사과탐)'!$K$236:$N$284,4,FALSE),0))</f>
        <v>101</v>
      </c>
      <c r="H33" s="73">
        <f t="shared" si="4"/>
        <v>1.1544176477311693E-2</v>
      </c>
      <c r="I33" s="77">
        <f>SUM($G$7:G33)</f>
        <v>1239</v>
      </c>
      <c r="J33" s="75">
        <f t="shared" si="5"/>
        <v>0.14161618470682363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59</v>
      </c>
      <c r="E34" s="79">
        <f t="shared" si="0"/>
        <v>3</v>
      </c>
      <c r="F34" s="71">
        <f t="shared" si="3"/>
        <v>85.08</v>
      </c>
      <c r="G34" s="72">
        <f>IF(D34=D33,"",_xlfn.IFNA(VLOOKUP(D34,'인원 입력 기능 (사과탐)'!$K$236:$N$284,4,FALSE),0))</f>
        <v>133</v>
      </c>
      <c r="H34" s="73">
        <f t="shared" si="4"/>
        <v>1.5201737341410447E-2</v>
      </c>
      <c r="I34" s="77">
        <f>SUM($G$7:G34)</f>
        <v>1372</v>
      </c>
      <c r="J34" s="75">
        <f t="shared" si="5"/>
        <v>0.15681792204823408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58</v>
      </c>
      <c r="E35" s="79">
        <f t="shared" si="0"/>
        <v>3</v>
      </c>
      <c r="F35" s="71">
        <f t="shared" si="3"/>
        <v>83.59</v>
      </c>
      <c r="G35" s="72">
        <f>IF(D35=D34,"",_xlfn.IFNA(VLOOKUP(D35,'인원 입력 기능 (사과탐)'!$K$236:$N$284,4,FALSE),0))</f>
        <v>128</v>
      </c>
      <c r="H35" s="73">
        <f t="shared" si="4"/>
        <v>1.4630243456395017E-2</v>
      </c>
      <c r="I35" s="77">
        <f>SUM($G$7:G35)</f>
        <v>1500</v>
      </c>
      <c r="J35" s="75">
        <f t="shared" si="5"/>
        <v>0.1714481655046291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57</v>
      </c>
      <c r="E36" s="79">
        <f t="shared" si="0"/>
        <v>3</v>
      </c>
      <c r="F36" s="71">
        <f t="shared" si="3"/>
        <v>81.95</v>
      </c>
      <c r="G36" s="72">
        <f>IF(D36=D35,"",_xlfn.IFNA(VLOOKUP(D36,'인원 입력 기능 (사과탐)'!$K$236:$N$284,4,FALSE),0))</f>
        <v>159</v>
      </c>
      <c r="H36" s="73">
        <f t="shared" si="4"/>
        <v>1.8173505543490686E-2</v>
      </c>
      <c r="I36" s="77">
        <f>SUM($G$7:G36)</f>
        <v>1659</v>
      </c>
      <c r="J36" s="75">
        <f t="shared" si="5"/>
        <v>0.18962167104811978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56</v>
      </c>
      <c r="E37" s="79">
        <f t="shared" si="0"/>
        <v>3</v>
      </c>
      <c r="F37" s="71">
        <f t="shared" si="3"/>
        <v>80</v>
      </c>
      <c r="G37" s="72">
        <f>IF(D37=D36,"",_xlfn.IFNA(VLOOKUP(D37,'인원 입력 기능 (사과탐)'!$K$236:$N$284,4,FALSE),0))</f>
        <v>181</v>
      </c>
      <c r="H37" s="73">
        <f t="shared" si="4"/>
        <v>2.0688078637558577E-2</v>
      </c>
      <c r="I37" s="77">
        <f>SUM($G$7:G37)</f>
        <v>1840</v>
      </c>
      <c r="J37" s="75">
        <f t="shared" si="5"/>
        <v>0.21030974968567837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55</v>
      </c>
      <c r="E38" s="79">
        <f t="shared" si="0"/>
        <v>3</v>
      </c>
      <c r="F38" s="71">
        <f t="shared" si="3"/>
        <v>77.989999999999995</v>
      </c>
      <c r="G38" s="72">
        <f>IF(D38=D37,"",_xlfn.IFNA(VLOOKUP(D38,'인원 입력 기능 (사과탐)'!$K$236:$N$284,4,FALSE),0))</f>
        <v>172</v>
      </c>
      <c r="H38" s="73">
        <f t="shared" si="4"/>
        <v>1.9659389644530803E-2</v>
      </c>
      <c r="I38" s="77">
        <f>SUM($G$7:G38)</f>
        <v>2012</v>
      </c>
      <c r="J38" s="75">
        <f t="shared" si="5"/>
        <v>0.22996913933020915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54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71">
        <f t="shared" si="3"/>
        <v>75.849999999999994</v>
      </c>
      <c r="G39" s="72">
        <f>IF(D39=D38,"",_xlfn.IFNA(VLOOKUP(D39,'인원 입력 기능 (사과탐)'!$K$236:$N$284,4,FALSE),0))</f>
        <v>202</v>
      </c>
      <c r="H39" s="73">
        <f t="shared" si="4"/>
        <v>2.3088352954623387E-2</v>
      </c>
      <c r="I39" s="77">
        <f>SUM($G$7:G39)</f>
        <v>2214</v>
      </c>
      <c r="J39" s="75">
        <f t="shared" si="5"/>
        <v>0.25305749228483254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53</v>
      </c>
      <c r="E40" s="79">
        <f t="shared" si="6"/>
        <v>4</v>
      </c>
      <c r="F40" s="71">
        <f t="shared" si="3"/>
        <v>73.13</v>
      </c>
      <c r="G40" s="72">
        <f>IF(D40=D39,"",_xlfn.IFNA(VLOOKUP(D40,'인원 입력 기능 (사과탐)'!$K$236:$N$284,4,FALSE),0))</f>
        <v>274</v>
      </c>
      <c r="H40" s="73">
        <f t="shared" si="4"/>
        <v>3.1317864898845582E-2</v>
      </c>
      <c r="I40" s="77">
        <f>SUM($G$7:G40)</f>
        <v>2488</v>
      </c>
      <c r="J40" s="75">
        <f t="shared" si="5"/>
        <v>0.28437535718367812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52</v>
      </c>
      <c r="E41" s="79">
        <f t="shared" si="6"/>
        <v>4</v>
      </c>
      <c r="F41" s="71">
        <f t="shared" si="3"/>
        <v>69.989999999999995</v>
      </c>
      <c r="G41" s="72">
        <f>IF(D41=D40,"",_xlfn.IFNA(VLOOKUP(D41,'인원 입력 기능 (사과탐)'!$K$236:$N$284,4,FALSE),0))</f>
        <v>275</v>
      </c>
      <c r="H41" s="73">
        <f t="shared" si="4"/>
        <v>3.1432163675848668E-2</v>
      </c>
      <c r="I41" s="77">
        <f>SUM($G$7:G41)</f>
        <v>2763</v>
      </c>
      <c r="J41" s="75">
        <f t="shared" si="5"/>
        <v>0.31580752085952679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50</v>
      </c>
      <c r="E42" s="79">
        <f t="shared" si="6"/>
        <v>4</v>
      </c>
      <c r="F42" s="71">
        <f t="shared" si="3"/>
        <v>66.45</v>
      </c>
      <c r="G42" s="72">
        <f>IF(D42=D41,"",_xlfn.IFNA(VLOOKUP(D42,'인원 입력 기능 (사과탐)'!$K$236:$N$284,4,FALSE),0))</f>
        <v>344</v>
      </c>
      <c r="H42" s="73">
        <f t="shared" si="4"/>
        <v>3.9318779289061606E-2</v>
      </c>
      <c r="I42" s="77">
        <f>SUM($G$7:G42)</f>
        <v>3107</v>
      </c>
      <c r="J42" s="75">
        <f t="shared" si="5"/>
        <v>0.35512630014858843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49</v>
      </c>
      <c r="E43" s="79">
        <f t="shared" si="6"/>
        <v>4</v>
      </c>
      <c r="F43" s="71">
        <f t="shared" si="3"/>
        <v>62.44</v>
      </c>
      <c r="G43" s="72">
        <f>IF(D43=D42,"",_xlfn.IFNA(VLOOKUP(D43,'인원 입력 기능 (사과탐)'!$K$236:$N$284,4,FALSE),0))</f>
        <v>359</v>
      </c>
      <c r="H43" s="73">
        <f t="shared" si="4"/>
        <v>4.1033260944107898E-2</v>
      </c>
      <c r="I43" s="77">
        <f>SUM($G$7:G43)</f>
        <v>3466</v>
      </c>
      <c r="J43" s="75">
        <f t="shared" si="5"/>
        <v>0.39615956109269629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48</v>
      </c>
      <c r="E44" s="79">
        <f t="shared" si="6"/>
        <v>4</v>
      </c>
      <c r="F44" s="71">
        <f t="shared" si="3"/>
        <v>58.32</v>
      </c>
      <c r="G44" s="72">
        <f>IF(D44=D43,"",_xlfn.IFNA(VLOOKUP(D44,'인원 입력 기능 (사과탐)'!$K$236:$N$284,4,FALSE),0))</f>
        <v>361</v>
      </c>
      <c r="H44" s="73">
        <f t="shared" si="4"/>
        <v>4.1261858498114069E-2</v>
      </c>
      <c r="I44" s="77">
        <f>SUM($G$7:G44)</f>
        <v>3827</v>
      </c>
      <c r="J44" s="75">
        <f t="shared" si="5"/>
        <v>0.43742141959081038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47</v>
      </c>
      <c r="E45" s="79">
        <f t="shared" si="6"/>
        <v>5</v>
      </c>
      <c r="F45" s="71">
        <f t="shared" si="3"/>
        <v>52.65</v>
      </c>
      <c r="G45" s="72">
        <f>IF(D45=D44,"",_xlfn.IFNA(VLOOKUP(D45,'인원 입력 기능 (사과탐)'!$K$236:$N$284,4,FALSE),0))</f>
        <v>632</v>
      </c>
      <c r="H45" s="73">
        <f t="shared" si="4"/>
        <v>7.2236827065950387E-2</v>
      </c>
      <c r="I45" s="77">
        <f>SUM($G$7:G45)</f>
        <v>4459</v>
      </c>
      <c r="J45" s="75">
        <f t="shared" si="5"/>
        <v>0.50965824665676074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46</v>
      </c>
      <c r="E46" s="79">
        <f t="shared" si="6"/>
        <v>5</v>
      </c>
      <c r="F46" s="71">
        <f t="shared" si="3"/>
        <v>43.91</v>
      </c>
      <c r="G46" s="72">
        <f>IF(D46=D45,"",_xlfn.IFNA(VLOOKUP(D46,'인원 입력 기능 (사과탐)'!$K$236:$N$284,4,FALSE),0))</f>
        <v>896</v>
      </c>
      <c r="H46" s="73">
        <f t="shared" si="4"/>
        <v>0.10241170419476511</v>
      </c>
      <c r="I46" s="77">
        <f>SUM($G$7:G46)</f>
        <v>5355</v>
      </c>
      <c r="J46" s="75">
        <f t="shared" si="5"/>
        <v>0.61206995085152593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45</v>
      </c>
      <c r="E47" s="79">
        <f t="shared" si="6"/>
        <v>6</v>
      </c>
      <c r="F47" s="71">
        <f t="shared" si="3"/>
        <v>35.36</v>
      </c>
      <c r="G47" s="72">
        <f>IF(D47=D46,"",_xlfn.IFNA(VLOOKUP(D47,'인원 입력 기능 (사과탐)'!$K$236:$N$284,4,FALSE),0))</f>
        <v>601</v>
      </c>
      <c r="H47" s="73">
        <f t="shared" si="4"/>
        <v>6.8693564978854732E-2</v>
      </c>
      <c r="I47" s="77">
        <f>SUM($G$7:G47)</f>
        <v>5956</v>
      </c>
      <c r="J47" s="75">
        <f t="shared" si="5"/>
        <v>0.68076351583038064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44</v>
      </c>
      <c r="E48" s="79">
        <f t="shared" si="6"/>
        <v>6</v>
      </c>
      <c r="F48" s="71">
        <f t="shared" si="3"/>
        <v>27.59</v>
      </c>
      <c r="G48" s="72">
        <f>IF(D48=D47,"",_xlfn.IFNA(VLOOKUP(D48,'인원 입력 기능 (사과탐)'!$K$236:$N$284,4,FALSE),0))</f>
        <v>759</v>
      </c>
      <c r="H48" s="73">
        <f t="shared" si="4"/>
        <v>8.6752771745342322E-2</v>
      </c>
      <c r="I48" s="77">
        <f>SUM($G$7:G48)</f>
        <v>6715</v>
      </c>
      <c r="J48" s="75">
        <f t="shared" si="5"/>
        <v>0.76751628757572299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43</v>
      </c>
      <c r="E49" s="79">
        <f t="shared" si="6"/>
        <v>6</v>
      </c>
      <c r="F49" s="71">
        <f t="shared" si="3"/>
        <v>20.43</v>
      </c>
      <c r="G49" s="72">
        <f>IF(D49=D48,"",_xlfn.IFNA(VLOOKUP(D49,'인원 입력 기능 (사과탐)'!$K$236:$N$284,4,FALSE),0))</f>
        <v>494</v>
      </c>
      <c r="H49" s="73">
        <f t="shared" si="4"/>
        <v>5.6463595839524518E-2</v>
      </c>
      <c r="I49" s="77">
        <f>SUM($G$7:G49)</f>
        <v>7209</v>
      </c>
      <c r="J49" s="75">
        <f t="shared" si="5"/>
        <v>0.82397988341524742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42</v>
      </c>
      <c r="E50" s="79">
        <f t="shared" si="6"/>
        <v>7</v>
      </c>
      <c r="F50" s="71">
        <f t="shared" si="3"/>
        <v>14.72</v>
      </c>
      <c r="G50" s="72">
        <f>IF(D50=D49,"",_xlfn.IFNA(VLOOKUP(D50,'인원 입력 기능 (사과탐)'!$K$236:$N$284,4,FALSE),0))</f>
        <v>504</v>
      </c>
      <c r="H50" s="73">
        <f t="shared" si="4"/>
        <v>5.7606583609555374E-2</v>
      </c>
      <c r="I50" s="77">
        <f>SUM($G$7:G50)</f>
        <v>7713</v>
      </c>
      <c r="J50" s="75">
        <f t="shared" si="5"/>
        <v>0.88158646702480281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41</v>
      </c>
      <c r="E51" s="79">
        <f t="shared" si="6"/>
        <v>7</v>
      </c>
      <c r="F51" s="71">
        <f t="shared" si="3"/>
        <v>10.220000000000001</v>
      </c>
      <c r="G51" s="72">
        <f>IF(D51=D50,"",_xlfn.IFNA(VLOOKUP(D51,'인원 입력 기능 (사과탐)'!$K$236:$N$284,4,FALSE),0))</f>
        <v>283</v>
      </c>
      <c r="H51" s="73">
        <f t="shared" si="4"/>
        <v>3.234655389187336E-2</v>
      </c>
      <c r="I51" s="77">
        <f>SUM($G$7:G51)</f>
        <v>7996</v>
      </c>
      <c r="J51" s="75">
        <f t="shared" si="5"/>
        <v>0.91393302091667616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40</v>
      </c>
      <c r="E52" s="79">
        <f t="shared" si="6"/>
        <v>8</v>
      </c>
      <c r="F52" s="71">
        <f t="shared" si="3"/>
        <v>7.05</v>
      </c>
      <c r="G52" s="72">
        <f>IF(D52=D51,"",_xlfn.IFNA(VLOOKUP(D52,'인원 입력 기능 (사과탐)'!$K$236:$N$284,4,FALSE),0))</f>
        <v>273</v>
      </c>
      <c r="H52" s="73">
        <f t="shared" si="4"/>
        <v>3.1203566121842496E-2</v>
      </c>
      <c r="I52" s="77">
        <f>SUM($G$7:G52)</f>
        <v>8269</v>
      </c>
      <c r="J52" s="75">
        <f t="shared" si="5"/>
        <v>0.94513658703851866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39</v>
      </c>
      <c r="E53" s="70">
        <f t="shared" si="6"/>
        <v>8</v>
      </c>
      <c r="F53" s="71">
        <f t="shared" si="3"/>
        <v>4.1399999999999997</v>
      </c>
      <c r="G53" s="72">
        <f>IF(D53=D52,"",_xlfn.IFNA(VLOOKUP(D53,'인원 입력 기능 (사과탐)'!$K$236:$N$284,4,FALSE),0))</f>
        <v>236</v>
      </c>
      <c r="H53" s="73">
        <f t="shared" si="4"/>
        <v>2.6974511372728313E-2</v>
      </c>
      <c r="I53" s="77">
        <f>SUM($G$7:G53)</f>
        <v>8505</v>
      </c>
      <c r="J53" s="75">
        <f t="shared" si="5"/>
        <v>0.97211109841124699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38</v>
      </c>
      <c r="E54" s="70">
        <f t="shared" si="6"/>
        <v>9</v>
      </c>
      <c r="F54" s="71">
        <f t="shared" si="3"/>
        <v>2.36</v>
      </c>
      <c r="G54" s="72">
        <f>IF(D54=D53,"",_xlfn.IFNA(VLOOKUP(D54,'인원 입력 기능 (사과탐)'!$K$236:$N$284,4,FALSE),0))</f>
        <v>75</v>
      </c>
      <c r="H54" s="73">
        <f t="shared" si="4"/>
        <v>8.5724082752314558E-3</v>
      </c>
      <c r="I54" s="77">
        <f>SUM($G$7:G54)</f>
        <v>8580</v>
      </c>
      <c r="J54" s="75">
        <f t="shared" si="5"/>
        <v>0.98068350668647841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37</v>
      </c>
      <c r="E55" s="70">
        <f t="shared" si="6"/>
        <v>9</v>
      </c>
      <c r="F55" s="71">
        <f t="shared" si="3"/>
        <v>1.19</v>
      </c>
      <c r="G55" s="72">
        <f>IF(D55=D54,"",_xlfn.IFNA(VLOOKUP(D55,'인원 입력 기능 (사과탐)'!$K$236:$N$284,4,FALSE),0))</f>
        <v>129</v>
      </c>
      <c r="H55" s="73">
        <f t="shared" si="4"/>
        <v>1.4744542233398102E-2</v>
      </c>
      <c r="I55" s="77">
        <f>SUM($G$7:G55)</f>
        <v>8709</v>
      </c>
      <c r="J55" s="75">
        <f t="shared" si="5"/>
        <v>0.99542804891987657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35</v>
      </c>
      <c r="E57" s="83">
        <f t="shared" si="6"/>
        <v>9</v>
      </c>
      <c r="F57" s="84">
        <f>IF(I55=0,ROUND(100*(1-(I54+I57)/2/$J$3),2),ROUND(100*(1-(I55+I57)/2/$J$3),2))</f>
        <v>0.23</v>
      </c>
      <c r="G57" s="85">
        <f>_xlfn.IFNA(VLOOKUP(D57,'인원 입력 기능 (사과탐)'!$K$236:$N$284,4,FALSE),0)</f>
        <v>40</v>
      </c>
      <c r="H57" s="86">
        <f>G57/$J$3</f>
        <v>4.5719510801234429E-3</v>
      </c>
      <c r="I57" s="87">
        <f>SUM($G$7:G57)</f>
        <v>8749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">
    <mergeCell ref="D3:F3"/>
    <mergeCell ref="D4:F4"/>
    <mergeCell ref="D8:J8"/>
    <mergeCell ref="D56:J56"/>
    <mergeCell ref="G5:J5"/>
  </mergeCells>
  <phoneticPr fontId="1" type="noConversion"/>
  <conditionalFormatting sqref="D7:J57">
    <cfRule type="expression" dxfId="11" priority="3">
      <formula>OR($D7=$Q$7:$Q$14)</formula>
    </cfRule>
  </conditionalFormatting>
  <conditionalFormatting sqref="C7:C57">
    <cfRule type="expression" dxfId="10" priority="2">
      <formula>OR(AND($D7=0,OR($D6=$Q$7:$Q$14)),AND($D8&gt;0,OR($D7=$Q$7:$Q$14)))</formula>
    </cfRule>
  </conditionalFormatting>
  <conditionalFormatting sqref="D7:D57">
    <cfRule type="expression" dxfId="9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E5791-467D-444A-9581-5BC8EAF50717}">
  <sheetPr codeName="Sheet23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16" t="s">
        <v>136</v>
      </c>
      <c r="E3" s="117"/>
      <c r="F3" s="118"/>
      <c r="G3" s="33" t="s">
        <v>72</v>
      </c>
      <c r="H3" s="34" t="str">
        <f>'통계 및 응시자 수 입력 기능'!D22</f>
        <v>12.72</v>
      </c>
      <c r="I3" s="15" t="s">
        <v>84</v>
      </c>
      <c r="J3" s="35">
        <f>'통계 및 응시자 수 입력 기능'!C22</f>
        <v>6330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19" t="s">
        <v>88</v>
      </c>
      <c r="E4" s="120"/>
      <c r="F4" s="121"/>
      <c r="G4" s="37" t="s">
        <v>87</v>
      </c>
      <c r="H4" s="38" t="str">
        <f>'통계 및 응시자 수 입력 기능'!E22</f>
        <v>10.31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22" t="s">
        <v>137</v>
      </c>
      <c r="H5" s="122"/>
      <c r="I5" s="122"/>
      <c r="J5" s="122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86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99.21</v>
      </c>
      <c r="G7" s="72">
        <f>_xlfn.IFNA(VLOOKUP(D7,'인원 입력 기능 (사과탐)'!$P$236:$S$284,4,FALSE),0)</f>
        <v>100</v>
      </c>
      <c r="H7" s="73">
        <f>G7/$J$3</f>
        <v>1.579778830963665E-2</v>
      </c>
      <c r="I7" s="74">
        <f>G7</f>
        <v>100</v>
      </c>
      <c r="J7" s="75">
        <f>I7/$J$3</f>
        <v>1.579778830963665E-2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입력기능'!C166</f>
        <v>75</v>
      </c>
    </row>
    <row r="8" spans="1:17" ht="25" customHeight="1" x14ac:dyDescent="0.45">
      <c r="A8" s="4"/>
      <c r="B8" s="19"/>
      <c r="C8" s="76">
        <v>49</v>
      </c>
      <c r="D8" s="123" t="s">
        <v>61</v>
      </c>
      <c r="E8" s="124"/>
      <c r="F8" s="124"/>
      <c r="G8" s="124"/>
      <c r="H8" s="124"/>
      <c r="I8" s="124"/>
      <c r="J8" s="125"/>
      <c r="K8" s="28"/>
      <c r="L8" s="5"/>
      <c r="N8" s="1"/>
      <c r="P8" s="1">
        <v>2</v>
      </c>
      <c r="Q8" s="1">
        <f>'표준점수 등급컷 입력기능'!C167</f>
        <v>62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84</v>
      </c>
      <c r="E9" s="70">
        <f t="shared" si="0"/>
        <v>1</v>
      </c>
      <c r="F9" s="71">
        <f>IF(I8=0,ROUND(100*(1-(I7+I9)/2/$J$3),2),ROUND(100*(1-(I8+I9)/2/$J$3),2))</f>
        <v>98.33</v>
      </c>
      <c r="G9" s="72">
        <f>_xlfn.IFNA(VLOOKUP(D9,'인원 입력 기능 (사과탐)'!$P$236:$S$284,4,FALSE),0)</f>
        <v>11</v>
      </c>
      <c r="H9" s="73">
        <f>G9/$J$3</f>
        <v>1.7377567140600316E-3</v>
      </c>
      <c r="I9" s="77">
        <f>SUM($G$7:G9)</f>
        <v>111</v>
      </c>
      <c r="J9" s="75">
        <f>I9/$J$3</f>
        <v>1.7535545023696683E-2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입력기능'!C168</f>
        <v>54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83</v>
      </c>
      <c r="E10" s="70">
        <f t="shared" si="0"/>
        <v>1</v>
      </c>
      <c r="F10" s="71">
        <f t="shared" ref="F10:F55" si="3">IF(I9=0,ROUND(100*(1-(I8+I10)/2/$J$3),2),ROUND(100*(1-(I9+I10)/2/$J$3),2))</f>
        <v>97.93</v>
      </c>
      <c r="G10" s="72">
        <f>IF(D10=D9,"",_xlfn.IFNA(VLOOKUP(D10,'인원 입력 기능 (사과탐)'!$P$236:$S$284,4,FALSE),0))</f>
        <v>40</v>
      </c>
      <c r="H10" s="73">
        <f t="shared" ref="H10:H55" si="4">G10/$J$3</f>
        <v>6.3191153238546603E-3</v>
      </c>
      <c r="I10" s="77">
        <f>SUM($G$7:G10)</f>
        <v>151</v>
      </c>
      <c r="J10" s="75">
        <f t="shared" ref="J10:J55" si="5">I10/$J$3</f>
        <v>2.3854660347551342E-2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입력기능'!C169</f>
        <v>49</v>
      </c>
    </row>
    <row r="11" spans="1:17" ht="25" customHeight="1" x14ac:dyDescent="0.45">
      <c r="A11" s="4"/>
      <c r="B11" s="19"/>
      <c r="C11" s="69">
        <v>46</v>
      </c>
      <c r="D11" s="70">
        <f t="shared" si="2"/>
        <v>82</v>
      </c>
      <c r="E11" s="70">
        <f t="shared" si="0"/>
        <v>1</v>
      </c>
      <c r="F11" s="71">
        <f t="shared" si="3"/>
        <v>97.6</v>
      </c>
      <c r="G11" s="72">
        <f>IF(D11=D10,"",_xlfn.IFNA(VLOOKUP(D11,'인원 입력 기능 (사과탐)'!$P$236:$S$284,4,FALSE),0))</f>
        <v>2</v>
      </c>
      <c r="H11" s="73">
        <f t="shared" si="4"/>
        <v>3.1595576619273299E-4</v>
      </c>
      <c r="I11" s="77">
        <f>SUM($G$7:G11)</f>
        <v>153</v>
      </c>
      <c r="J11" s="75">
        <f t="shared" si="5"/>
        <v>2.4170616113744076E-2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입력기능'!C170</f>
        <v>45</v>
      </c>
    </row>
    <row r="12" spans="1:17" ht="25" customHeight="1" x14ac:dyDescent="0.45">
      <c r="A12" s="4"/>
      <c r="B12" s="19"/>
      <c r="C12" s="76">
        <v>45</v>
      </c>
      <c r="D12" s="70">
        <f t="shared" si="2"/>
        <v>81</v>
      </c>
      <c r="E12" s="70">
        <f t="shared" si="0"/>
        <v>1</v>
      </c>
      <c r="F12" s="71">
        <f t="shared" si="3"/>
        <v>97.46</v>
      </c>
      <c r="G12" s="72">
        <f>IF(D12=D11,"",_xlfn.IFNA(VLOOKUP(D12,'인원 입력 기능 (사과탐)'!$P$236:$S$284,4,FALSE),0))</f>
        <v>16</v>
      </c>
      <c r="H12" s="73">
        <f t="shared" si="4"/>
        <v>2.5276461295418639E-3</v>
      </c>
      <c r="I12" s="77">
        <f>SUM($G$7:G12)</f>
        <v>169</v>
      </c>
      <c r="J12" s="75">
        <f t="shared" si="5"/>
        <v>2.669826224328594E-2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입력기능'!C171</f>
        <v>43</v>
      </c>
    </row>
    <row r="13" spans="1:17" ht="25" customHeight="1" x14ac:dyDescent="0.45">
      <c r="A13" s="4"/>
      <c r="B13" s="19"/>
      <c r="C13" s="69">
        <v>44</v>
      </c>
      <c r="D13" s="70">
        <f t="shared" si="2"/>
        <v>80</v>
      </c>
      <c r="E13" s="70">
        <f t="shared" si="0"/>
        <v>1</v>
      </c>
      <c r="F13" s="71">
        <f t="shared" si="3"/>
        <v>97.14</v>
      </c>
      <c r="G13" s="72">
        <f>IF(D13=D12,"",_xlfn.IFNA(VLOOKUP(D13,'인원 입력 기능 (사과탐)'!$P$236:$S$284,4,FALSE),0))</f>
        <v>24</v>
      </c>
      <c r="H13" s="73">
        <f t="shared" si="4"/>
        <v>3.7914691943127963E-3</v>
      </c>
      <c r="I13" s="77">
        <f>SUM($G$7:G13)</f>
        <v>193</v>
      </c>
      <c r="J13" s="75">
        <f t="shared" si="5"/>
        <v>3.0489731437598738E-2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입력기능'!C172</f>
        <v>40</v>
      </c>
    </row>
    <row r="14" spans="1:17" ht="25" customHeight="1" x14ac:dyDescent="0.45">
      <c r="A14" s="4"/>
      <c r="B14" s="19"/>
      <c r="C14" s="76">
        <v>43</v>
      </c>
      <c r="D14" s="70">
        <f t="shared" si="2"/>
        <v>79</v>
      </c>
      <c r="E14" s="70">
        <f t="shared" si="0"/>
        <v>1</v>
      </c>
      <c r="F14" s="71">
        <f t="shared" si="3"/>
        <v>96.94</v>
      </c>
      <c r="G14" s="72">
        <f>IF(D14=D13,"",_xlfn.IFNA(VLOOKUP(D14,'인원 입력 기능 (사과탐)'!$P$236:$S$284,4,FALSE),0))</f>
        <v>2</v>
      </c>
      <c r="H14" s="73">
        <f t="shared" si="4"/>
        <v>3.1595576619273299E-4</v>
      </c>
      <c r="I14" s="77">
        <f>SUM($G$7:G14)</f>
        <v>195</v>
      </c>
      <c r="J14" s="75">
        <f t="shared" si="5"/>
        <v>3.0805687203791468E-2</v>
      </c>
      <c r="K14" s="28"/>
      <c r="L14" s="5" t="str">
        <f t="shared" si="1"/>
        <v/>
      </c>
      <c r="N14" s="1"/>
      <c r="P14" s="1">
        <v>8</v>
      </c>
      <c r="Q14" s="1" t="str">
        <f>'표준점수 등급컷 입력기능'!C173</f>
        <v>-</v>
      </c>
    </row>
    <row r="15" spans="1:17" ht="25" customHeight="1" x14ac:dyDescent="0.45">
      <c r="A15" s="4"/>
      <c r="B15" s="19"/>
      <c r="C15" s="69">
        <v>42</v>
      </c>
      <c r="D15" s="70">
        <f t="shared" si="2"/>
        <v>78</v>
      </c>
      <c r="E15" s="70">
        <f t="shared" si="0"/>
        <v>1</v>
      </c>
      <c r="F15" s="71">
        <f t="shared" si="3"/>
        <v>96.79</v>
      </c>
      <c r="G15" s="72">
        <f>IF(D15=D14,"",_xlfn.IFNA(VLOOKUP(D15,'인원 입력 기능 (사과탐)'!$P$236:$S$284,4,FALSE),0))</f>
        <v>16</v>
      </c>
      <c r="H15" s="73">
        <f t="shared" si="4"/>
        <v>2.5276461295418639E-3</v>
      </c>
      <c r="I15" s="77">
        <f>SUM($G$7:G15)</f>
        <v>211</v>
      </c>
      <c r="J15" s="75">
        <f t="shared" si="5"/>
        <v>3.3333333333333333E-2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77</v>
      </c>
      <c r="E16" s="70">
        <f t="shared" si="0"/>
        <v>1</v>
      </c>
      <c r="F16" s="71">
        <f t="shared" si="3"/>
        <v>96.59</v>
      </c>
      <c r="G16" s="72">
        <f>IF(D16=D15,"",_xlfn.IFNA(VLOOKUP(D16,'인원 입력 기능 (사과탐)'!$P$236:$S$284,4,FALSE),0))</f>
        <v>10</v>
      </c>
      <c r="H16" s="73">
        <f t="shared" si="4"/>
        <v>1.5797788309636651E-3</v>
      </c>
      <c r="I16" s="77">
        <f>SUM($G$7:G16)</f>
        <v>221</v>
      </c>
      <c r="J16" s="75">
        <f t="shared" si="5"/>
        <v>3.4913112164296996E-2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76</v>
      </c>
      <c r="E17" s="70">
        <f t="shared" si="0"/>
        <v>1</v>
      </c>
      <c r="F17" s="71">
        <f t="shared" si="3"/>
        <v>96.42</v>
      </c>
      <c r="G17" s="72">
        <f>IF(D17=D16,"",_xlfn.IFNA(VLOOKUP(D17,'인원 입력 기능 (사과탐)'!$P$236:$S$284,4,FALSE),0))</f>
        <v>11</v>
      </c>
      <c r="H17" s="73">
        <f t="shared" si="4"/>
        <v>1.7377567140600316E-3</v>
      </c>
      <c r="I17" s="77">
        <f>SUM($G$7:G17)</f>
        <v>232</v>
      </c>
      <c r="J17" s="75">
        <f t="shared" si="5"/>
        <v>3.6650868878357029E-2</v>
      </c>
      <c r="K17" s="28"/>
      <c r="L17" s="5" t="str">
        <f t="shared" si="1"/>
        <v/>
      </c>
      <c r="N17" s="1"/>
      <c r="P17" s="1">
        <f>Q7*H3*H4*J3*IFERROR(IF(J57=1, 1, 0), 0)</f>
        <v>62260234.199999996</v>
      </c>
    </row>
    <row r="18" spans="1:16" ht="25" customHeight="1" x14ac:dyDescent="0.45">
      <c r="A18" s="4"/>
      <c r="B18" s="19"/>
      <c r="C18" s="76">
        <v>39</v>
      </c>
      <c r="D18" s="126">
        <f t="shared" si="2"/>
        <v>75</v>
      </c>
      <c r="E18" s="126">
        <f t="shared" si="0"/>
        <v>1</v>
      </c>
      <c r="F18" s="128">
        <f t="shared" si="3"/>
        <v>96.16</v>
      </c>
      <c r="G18" s="130">
        <f>IF(D18=D17,"",_xlfn.IFNA(VLOOKUP(D18,'인원 입력 기능 (사과탐)'!$P$236:$S$284,4,FALSE),0))</f>
        <v>22</v>
      </c>
      <c r="H18" s="132">
        <f t="shared" si="4"/>
        <v>3.4755134281200632E-3</v>
      </c>
      <c r="I18" s="134">
        <f>SUM($G$7:G18)</f>
        <v>254</v>
      </c>
      <c r="J18" s="136">
        <f t="shared" si="5"/>
        <v>4.0126382306477096E-2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140"/>
      <c r="E19" s="140"/>
      <c r="F19" s="141"/>
      <c r="G19" s="142"/>
      <c r="H19" s="143"/>
      <c r="I19" s="144"/>
      <c r="J19" s="145"/>
      <c r="K19" s="28"/>
      <c r="L19" s="5" t="str">
        <f t="shared" si="1"/>
        <v>경고</v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74</v>
      </c>
      <c r="E20" s="70">
        <f t="shared" si="0"/>
        <v>2</v>
      </c>
      <c r="F20" s="71">
        <f t="shared" si="3"/>
        <v>95.85</v>
      </c>
      <c r="G20" s="72">
        <f>IF(D20=D19,"",_xlfn.IFNA(VLOOKUP(D20,'인원 입력 기능 (사과탐)'!$P$236:$S$284,4,FALSE),0))</f>
        <v>17</v>
      </c>
      <c r="H20" s="73">
        <f t="shared" si="4"/>
        <v>2.6856240126382305E-3</v>
      </c>
      <c r="I20" s="77">
        <f>SUM($G$7:G20)</f>
        <v>271</v>
      </c>
      <c r="J20" s="75">
        <f t="shared" si="5"/>
        <v>4.2812006319115324E-2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73</v>
      </c>
      <c r="E21" s="79">
        <f t="shared" si="0"/>
        <v>2</v>
      </c>
      <c r="F21" s="71">
        <f t="shared" si="3"/>
        <v>95.58</v>
      </c>
      <c r="G21" s="72">
        <f>IF(D21=D20,"",_xlfn.IFNA(VLOOKUP(D21,'인원 입력 기능 (사과탐)'!$P$236:$S$284,4,FALSE),0))</f>
        <v>17</v>
      </c>
      <c r="H21" s="73">
        <f t="shared" si="4"/>
        <v>2.6856240126382305E-3</v>
      </c>
      <c r="I21" s="77">
        <f>SUM($G$7:G21)</f>
        <v>288</v>
      </c>
      <c r="J21" s="75">
        <f t="shared" si="5"/>
        <v>4.5497630331753552E-2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72</v>
      </c>
      <c r="E22" s="79">
        <f t="shared" si="0"/>
        <v>2</v>
      </c>
      <c r="F22" s="71">
        <f t="shared" si="3"/>
        <v>95.24</v>
      </c>
      <c r="G22" s="72">
        <f>IF(D22=D21,"",_xlfn.IFNA(VLOOKUP(D22,'인원 입력 기능 (사과탐)'!$P$236:$S$284,4,FALSE),0))</f>
        <v>26</v>
      </c>
      <c r="H22" s="73">
        <f t="shared" si="4"/>
        <v>4.1074249605055294E-3</v>
      </c>
      <c r="I22" s="77">
        <f>SUM($G$7:G22)</f>
        <v>314</v>
      </c>
      <c r="J22" s="75">
        <f t="shared" si="5"/>
        <v>4.9605055292259087E-2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71</v>
      </c>
      <c r="E23" s="79">
        <f t="shared" si="0"/>
        <v>2</v>
      </c>
      <c r="F23" s="71">
        <f t="shared" si="3"/>
        <v>94.84</v>
      </c>
      <c r="G23" s="72">
        <f>IF(D23=D22,"",_xlfn.IFNA(VLOOKUP(D23,'인원 입력 기능 (사과탐)'!$P$236:$S$284,4,FALSE),0))</f>
        <v>25</v>
      </c>
      <c r="H23" s="73">
        <f t="shared" si="4"/>
        <v>3.9494470774091624E-3</v>
      </c>
      <c r="I23" s="77">
        <f>SUM($G$7:G23)</f>
        <v>339</v>
      </c>
      <c r="J23" s="75">
        <f t="shared" si="5"/>
        <v>5.3554502369668244E-2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70</v>
      </c>
      <c r="E24" s="79">
        <f t="shared" si="0"/>
        <v>2</v>
      </c>
      <c r="F24" s="71">
        <f t="shared" si="3"/>
        <v>94.42</v>
      </c>
      <c r="G24" s="72">
        <f>IF(D24=D23,"",_xlfn.IFNA(VLOOKUP(D24,'인원 입력 기능 (사과탐)'!$P$236:$S$284,4,FALSE),0))</f>
        <v>28</v>
      </c>
      <c r="H24" s="73">
        <f t="shared" si="4"/>
        <v>4.4233807266982625E-3</v>
      </c>
      <c r="I24" s="77">
        <f>SUM($G$7:G24)</f>
        <v>367</v>
      </c>
      <c r="J24" s="75">
        <f t="shared" si="5"/>
        <v>5.7977883096366506E-2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69</v>
      </c>
      <c r="E25" s="79">
        <f t="shared" si="0"/>
        <v>2</v>
      </c>
      <c r="F25" s="71">
        <f t="shared" si="3"/>
        <v>93.97</v>
      </c>
      <c r="G25" s="72">
        <f>IF(D25=D24,"",_xlfn.IFNA(VLOOKUP(D25,'인원 입력 기능 (사과탐)'!$P$236:$S$284,4,FALSE),0))</f>
        <v>30</v>
      </c>
      <c r="H25" s="73">
        <f t="shared" si="4"/>
        <v>4.7393364928909956E-3</v>
      </c>
      <c r="I25" s="77">
        <f>SUM($G$7:G25)</f>
        <v>397</v>
      </c>
      <c r="J25" s="75">
        <f t="shared" si="5"/>
        <v>6.2717219589257509E-2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68</v>
      </c>
      <c r="E26" s="79">
        <f t="shared" si="0"/>
        <v>2</v>
      </c>
      <c r="F26" s="71">
        <f t="shared" si="3"/>
        <v>93.48</v>
      </c>
      <c r="G26" s="72">
        <f>IF(D26=D25,"",_xlfn.IFNA(VLOOKUP(D26,'인원 입력 기능 (사과탐)'!$P$236:$S$284,4,FALSE),0))</f>
        <v>32</v>
      </c>
      <c r="H26" s="73">
        <f t="shared" si="4"/>
        <v>5.0552922590837279E-3</v>
      </c>
      <c r="I26" s="77">
        <f>SUM($G$7:G26)</f>
        <v>429</v>
      </c>
      <c r="J26" s="75">
        <f t="shared" si="5"/>
        <v>6.7772511848341238E-2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67</v>
      </c>
      <c r="E27" s="79">
        <f t="shared" si="0"/>
        <v>2</v>
      </c>
      <c r="F27" s="71">
        <f t="shared" si="3"/>
        <v>92.88</v>
      </c>
      <c r="G27" s="72">
        <f>IF(D27=D26,"",_xlfn.IFNA(VLOOKUP(D27,'인원 입력 기능 (사과탐)'!$P$236:$S$284,4,FALSE),0))</f>
        <v>43</v>
      </c>
      <c r="H27" s="73">
        <f t="shared" si="4"/>
        <v>6.7930489731437595E-3</v>
      </c>
      <c r="I27" s="77">
        <f>SUM($G$7:G27)</f>
        <v>472</v>
      </c>
      <c r="J27" s="75">
        <f t="shared" si="5"/>
        <v>7.4565560821484994E-2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66</v>
      </c>
      <c r="E28" s="79">
        <f t="shared" si="0"/>
        <v>2</v>
      </c>
      <c r="F28" s="71">
        <f t="shared" si="3"/>
        <v>92.19</v>
      </c>
      <c r="G28" s="72">
        <f>IF(D28=D27,"",_xlfn.IFNA(VLOOKUP(D28,'인원 입력 기능 (사과탐)'!$P$236:$S$284,4,FALSE),0))</f>
        <v>45</v>
      </c>
      <c r="H28" s="73">
        <f t="shared" si="4"/>
        <v>7.1090047393364926E-3</v>
      </c>
      <c r="I28" s="77">
        <f>SUM($G$7:G28)</f>
        <v>517</v>
      </c>
      <c r="J28" s="75">
        <f t="shared" si="5"/>
        <v>8.1674565560821491E-2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65</v>
      </c>
      <c r="E29" s="79">
        <f t="shared" si="0"/>
        <v>2</v>
      </c>
      <c r="F29" s="71">
        <f t="shared" si="3"/>
        <v>91.52</v>
      </c>
      <c r="G29" s="72">
        <f>IF(D29=D28,"",_xlfn.IFNA(VLOOKUP(D29,'인원 입력 기능 (사과탐)'!$P$236:$S$284,4,FALSE),0))</f>
        <v>39</v>
      </c>
      <c r="H29" s="73">
        <f t="shared" si="4"/>
        <v>6.1611374407582941E-3</v>
      </c>
      <c r="I29" s="77">
        <f>SUM($G$7:G29)</f>
        <v>556</v>
      </c>
      <c r="J29" s="75">
        <f t="shared" si="5"/>
        <v>8.7835703001579779E-2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64</v>
      </c>
      <c r="E30" s="79">
        <f t="shared" si="0"/>
        <v>2</v>
      </c>
      <c r="F30" s="71">
        <f t="shared" si="3"/>
        <v>90.81</v>
      </c>
      <c r="G30" s="72">
        <f>IF(D30=D29,"",_xlfn.IFNA(VLOOKUP(D30,'인원 입력 기능 (사과탐)'!$P$236:$S$284,4,FALSE),0))</f>
        <v>51</v>
      </c>
      <c r="H30" s="73">
        <f t="shared" si="4"/>
        <v>8.0568720379146919E-3</v>
      </c>
      <c r="I30" s="77">
        <f>SUM($G$7:G30)</f>
        <v>607</v>
      </c>
      <c r="J30" s="75">
        <f t="shared" si="5"/>
        <v>9.5892575039494471E-2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63</v>
      </c>
      <c r="E31" s="79">
        <f t="shared" si="0"/>
        <v>2</v>
      </c>
      <c r="F31" s="71">
        <f t="shared" si="3"/>
        <v>89.9</v>
      </c>
      <c r="G31" s="72">
        <f>IF(D31=D30,"",_xlfn.IFNA(VLOOKUP(D31,'인원 입력 기능 (사과탐)'!$P$236:$S$284,4,FALSE),0))</f>
        <v>65</v>
      </c>
      <c r="H31" s="73">
        <f t="shared" si="4"/>
        <v>1.0268562401263823E-2</v>
      </c>
      <c r="I31" s="77">
        <f>SUM($G$7:G31)</f>
        <v>672</v>
      </c>
      <c r="J31" s="75">
        <f t="shared" si="5"/>
        <v>0.10616113744075829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62</v>
      </c>
      <c r="E32" s="79">
        <f t="shared" si="0"/>
        <v>2</v>
      </c>
      <c r="F32" s="71">
        <f t="shared" si="3"/>
        <v>88.82</v>
      </c>
      <c r="G32" s="72">
        <f>IF(D32=D31,"",_xlfn.IFNA(VLOOKUP(D32,'인원 입력 기능 (사과탐)'!$P$236:$S$284,4,FALSE),0))</f>
        <v>72</v>
      </c>
      <c r="H32" s="73">
        <f t="shared" si="4"/>
        <v>1.1374407582938388E-2</v>
      </c>
      <c r="I32" s="77">
        <f>SUM($G$7:G32)</f>
        <v>744</v>
      </c>
      <c r="J32" s="75">
        <f t="shared" si="5"/>
        <v>0.11753554502369669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61</v>
      </c>
      <c r="E33" s="79">
        <f t="shared" si="0"/>
        <v>3</v>
      </c>
      <c r="F33" s="71">
        <f t="shared" si="3"/>
        <v>87.68</v>
      </c>
      <c r="G33" s="72">
        <f>IF(D33=D32,"",_xlfn.IFNA(VLOOKUP(D33,'인원 입력 기능 (사과탐)'!$P$236:$S$284,4,FALSE),0))</f>
        <v>72</v>
      </c>
      <c r="H33" s="73">
        <f t="shared" si="4"/>
        <v>1.1374407582938388E-2</v>
      </c>
      <c r="I33" s="77">
        <f>SUM($G$7:G33)</f>
        <v>816</v>
      </c>
      <c r="J33" s="75">
        <f t="shared" si="5"/>
        <v>0.12890995260663507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60</v>
      </c>
      <c r="E34" s="79">
        <f t="shared" si="0"/>
        <v>3</v>
      </c>
      <c r="F34" s="71">
        <f t="shared" si="3"/>
        <v>86.48</v>
      </c>
      <c r="G34" s="72">
        <f>IF(D34=D33,"",_xlfn.IFNA(VLOOKUP(D34,'인원 입력 기능 (사과탐)'!$P$236:$S$284,4,FALSE),0))</f>
        <v>79</v>
      </c>
      <c r="H34" s="73">
        <f t="shared" si="4"/>
        <v>1.2480252764612954E-2</v>
      </c>
      <c r="I34" s="77">
        <f>SUM($G$7:G34)</f>
        <v>895</v>
      </c>
      <c r="J34" s="75">
        <f t="shared" si="5"/>
        <v>0.14139020537124802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59</v>
      </c>
      <c r="E35" s="79">
        <f t="shared" si="0"/>
        <v>3</v>
      </c>
      <c r="F35" s="71">
        <f t="shared" si="3"/>
        <v>85.18</v>
      </c>
      <c r="G35" s="72">
        <f>IF(D35=D34,"",_xlfn.IFNA(VLOOKUP(D35,'인원 입력 기능 (사과탐)'!$P$236:$S$284,4,FALSE),0))</f>
        <v>86</v>
      </c>
      <c r="H35" s="73">
        <f t="shared" si="4"/>
        <v>1.3586097946287519E-2</v>
      </c>
      <c r="I35" s="77">
        <f>SUM($G$7:G35)</f>
        <v>981</v>
      </c>
      <c r="J35" s="75">
        <f t="shared" si="5"/>
        <v>0.15497630331753554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58</v>
      </c>
      <c r="E36" s="79">
        <f t="shared" si="0"/>
        <v>3</v>
      </c>
      <c r="F36" s="71">
        <f t="shared" si="3"/>
        <v>83.67</v>
      </c>
      <c r="G36" s="72">
        <f>IF(D36=D35,"",_xlfn.IFNA(VLOOKUP(D36,'인원 입력 기능 (사과탐)'!$P$236:$S$284,4,FALSE),0))</f>
        <v>105</v>
      </c>
      <c r="H36" s="73">
        <f t="shared" si="4"/>
        <v>1.6587677725118485E-2</v>
      </c>
      <c r="I36" s="77">
        <f>SUM($G$7:G36)</f>
        <v>1086</v>
      </c>
      <c r="J36" s="75">
        <f t="shared" si="5"/>
        <v>0.17156398104265402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57</v>
      </c>
      <c r="E37" s="79">
        <f t="shared" si="0"/>
        <v>3</v>
      </c>
      <c r="F37" s="71">
        <f t="shared" si="3"/>
        <v>81.790000000000006</v>
      </c>
      <c r="G37" s="72">
        <f>IF(D37=D36,"",_xlfn.IFNA(VLOOKUP(D37,'인원 입력 기능 (사과탐)'!$P$236:$S$284,4,FALSE),0))</f>
        <v>134</v>
      </c>
      <c r="H37" s="73">
        <f t="shared" si="4"/>
        <v>2.1169036334913113E-2</v>
      </c>
      <c r="I37" s="77">
        <f>SUM($G$7:G37)</f>
        <v>1220</v>
      </c>
      <c r="J37" s="75">
        <f t="shared" si="5"/>
        <v>0.19273301737756715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56</v>
      </c>
      <c r="E38" s="79">
        <f t="shared" si="0"/>
        <v>3</v>
      </c>
      <c r="F38" s="71">
        <f t="shared" si="3"/>
        <v>79.790000000000006</v>
      </c>
      <c r="G38" s="72">
        <f>IF(D38=D37,"",_xlfn.IFNA(VLOOKUP(D38,'인원 입력 기능 (사과탐)'!$P$236:$S$284,4,FALSE),0))</f>
        <v>118</v>
      </c>
      <c r="H38" s="73">
        <f t="shared" si="4"/>
        <v>1.8641390205371249E-2</v>
      </c>
      <c r="I38" s="77">
        <f>SUM($G$7:G38)</f>
        <v>1338</v>
      </c>
      <c r="J38" s="75">
        <f t="shared" si="5"/>
        <v>0.21137440758293838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55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71">
        <f t="shared" si="3"/>
        <v>77.94</v>
      </c>
      <c r="G39" s="72">
        <f>IF(D39=D38,"",_xlfn.IFNA(VLOOKUP(D39,'인원 입력 기능 (사과탐)'!$P$236:$S$284,4,FALSE),0))</f>
        <v>117</v>
      </c>
      <c r="H39" s="73">
        <f t="shared" si="4"/>
        <v>1.8483412322274882E-2</v>
      </c>
      <c r="I39" s="77">
        <f>SUM($G$7:G39)</f>
        <v>1455</v>
      </c>
      <c r="J39" s="75">
        <f t="shared" si="5"/>
        <v>0.22985781990521326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54</v>
      </c>
      <c r="E40" s="79">
        <f t="shared" si="6"/>
        <v>3</v>
      </c>
      <c r="F40" s="71">
        <f t="shared" si="3"/>
        <v>75.91</v>
      </c>
      <c r="G40" s="72">
        <f>IF(D40=D39,"",_xlfn.IFNA(VLOOKUP(D40,'인원 입력 기능 (사과탐)'!$P$236:$S$284,4,FALSE),0))</f>
        <v>140</v>
      </c>
      <c r="H40" s="73">
        <f t="shared" si="4"/>
        <v>2.2116903633491312E-2</v>
      </c>
      <c r="I40" s="77">
        <f>SUM($G$7:G40)</f>
        <v>1595</v>
      </c>
      <c r="J40" s="75">
        <f t="shared" si="5"/>
        <v>0.25197472353870459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53</v>
      </c>
      <c r="E41" s="79">
        <f t="shared" si="6"/>
        <v>4</v>
      </c>
      <c r="F41" s="71">
        <f t="shared" si="3"/>
        <v>73.69</v>
      </c>
      <c r="G41" s="72">
        <f>IF(D41=D40,"",_xlfn.IFNA(VLOOKUP(D41,'인원 입력 기능 (사과탐)'!$P$236:$S$284,4,FALSE),0))</f>
        <v>141</v>
      </c>
      <c r="H41" s="73">
        <f t="shared" si="4"/>
        <v>2.2274881516587679E-2</v>
      </c>
      <c r="I41" s="77">
        <f>SUM($G$7:G41)</f>
        <v>1736</v>
      </c>
      <c r="J41" s="75">
        <f t="shared" si="5"/>
        <v>0.27424960505529228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52</v>
      </c>
      <c r="E42" s="79">
        <f t="shared" si="6"/>
        <v>4</v>
      </c>
      <c r="F42" s="71">
        <f t="shared" si="3"/>
        <v>71.290000000000006</v>
      </c>
      <c r="G42" s="72">
        <f>IF(D42=D41,"",_xlfn.IFNA(VLOOKUP(D42,'인원 입력 기능 (사과탐)'!$P$236:$S$284,4,FALSE),0))</f>
        <v>163</v>
      </c>
      <c r="H42" s="73">
        <f t="shared" si="4"/>
        <v>2.5750394944707742E-2</v>
      </c>
      <c r="I42" s="77">
        <f>SUM($G$7:G42)</f>
        <v>1899</v>
      </c>
      <c r="J42" s="75">
        <f t="shared" si="5"/>
        <v>0.3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51</v>
      </c>
      <c r="E43" s="79">
        <f t="shared" si="6"/>
        <v>4</v>
      </c>
      <c r="F43" s="71">
        <f t="shared" si="3"/>
        <v>68.59</v>
      </c>
      <c r="G43" s="72">
        <f>IF(D43=D42,"",_xlfn.IFNA(VLOOKUP(D43,'인원 입력 기능 (사과탐)'!$P$236:$S$284,4,FALSE),0))</f>
        <v>179</v>
      </c>
      <c r="H43" s="73">
        <f t="shared" si="4"/>
        <v>2.8278041074249607E-2</v>
      </c>
      <c r="I43" s="77">
        <f>SUM($G$7:G43)</f>
        <v>2078</v>
      </c>
      <c r="J43" s="75">
        <f t="shared" si="5"/>
        <v>0.32827804107424963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50</v>
      </c>
      <c r="E44" s="79">
        <f t="shared" si="6"/>
        <v>4</v>
      </c>
      <c r="F44" s="71">
        <f t="shared" si="3"/>
        <v>65.66</v>
      </c>
      <c r="G44" s="72">
        <f>IF(D44=D43,"",_xlfn.IFNA(VLOOKUP(D44,'인원 입력 기능 (사과탐)'!$P$236:$S$284,4,FALSE),0))</f>
        <v>192</v>
      </c>
      <c r="H44" s="73">
        <f t="shared" si="4"/>
        <v>3.0331753554502371E-2</v>
      </c>
      <c r="I44" s="77">
        <f>SUM($G$7:G44)</f>
        <v>2270</v>
      </c>
      <c r="J44" s="75">
        <f t="shared" si="5"/>
        <v>0.35860979462875198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49</v>
      </c>
      <c r="E45" s="79">
        <f t="shared" si="6"/>
        <v>4</v>
      </c>
      <c r="F45" s="71">
        <f t="shared" si="3"/>
        <v>61.91</v>
      </c>
      <c r="G45" s="72">
        <f>IF(D45=D44,"",_xlfn.IFNA(VLOOKUP(D45,'인원 입력 기능 (사과탐)'!$P$236:$S$284,4,FALSE),0))</f>
        <v>282</v>
      </c>
      <c r="H45" s="73">
        <f t="shared" si="4"/>
        <v>4.4549763033175357E-2</v>
      </c>
      <c r="I45" s="77">
        <f>SUM($G$7:G45)</f>
        <v>2552</v>
      </c>
      <c r="J45" s="75">
        <f t="shared" si="5"/>
        <v>0.40315955766192735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48</v>
      </c>
      <c r="E46" s="79">
        <f t="shared" si="6"/>
        <v>5</v>
      </c>
      <c r="F46" s="71">
        <f t="shared" si="3"/>
        <v>57.64</v>
      </c>
      <c r="G46" s="72">
        <f>IF(D46=D45,"",_xlfn.IFNA(VLOOKUP(D46,'인원 입력 기능 (사과탐)'!$P$236:$S$284,4,FALSE),0))</f>
        <v>259</v>
      </c>
      <c r="H46" s="73">
        <f t="shared" si="4"/>
        <v>4.0916271721958927E-2</v>
      </c>
      <c r="I46" s="77">
        <f>SUM($G$7:G46)</f>
        <v>2811</v>
      </c>
      <c r="J46" s="75">
        <f t="shared" si="5"/>
        <v>0.44407582938388623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47</v>
      </c>
      <c r="E47" s="79">
        <f t="shared" si="6"/>
        <v>5</v>
      </c>
      <c r="F47" s="71">
        <f t="shared" si="3"/>
        <v>52.65</v>
      </c>
      <c r="G47" s="72">
        <f>IF(D47=D46,"",_xlfn.IFNA(VLOOKUP(D47,'인원 입력 기능 (사과탐)'!$P$236:$S$284,4,FALSE),0))</f>
        <v>372</v>
      </c>
      <c r="H47" s="73">
        <f t="shared" si="4"/>
        <v>5.8767772511848344E-2</v>
      </c>
      <c r="I47" s="77">
        <f>SUM($G$7:G47)</f>
        <v>3183</v>
      </c>
      <c r="J47" s="75">
        <f t="shared" si="5"/>
        <v>0.50284360189573463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46</v>
      </c>
      <c r="E48" s="79">
        <f t="shared" si="6"/>
        <v>5</v>
      </c>
      <c r="F48" s="71">
        <f t="shared" si="3"/>
        <v>45.54</v>
      </c>
      <c r="G48" s="72">
        <f>IF(D48=D47,"",_xlfn.IFNA(VLOOKUP(D48,'인원 입력 기능 (사과탐)'!$P$236:$S$284,4,FALSE),0))</f>
        <v>529</v>
      </c>
      <c r="H48" s="73">
        <f t="shared" si="4"/>
        <v>8.3570300157977881E-2</v>
      </c>
      <c r="I48" s="77">
        <f>SUM($G$7:G48)</f>
        <v>3712</v>
      </c>
      <c r="J48" s="75">
        <f t="shared" si="5"/>
        <v>0.58641390205371247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45</v>
      </c>
      <c r="E49" s="79">
        <f t="shared" si="6"/>
        <v>5</v>
      </c>
      <c r="F49" s="71">
        <f t="shared" si="3"/>
        <v>36.11</v>
      </c>
      <c r="G49" s="72">
        <f>IF(D49=D48,"",_xlfn.IFNA(VLOOKUP(D49,'인원 입력 기능 (사과탐)'!$P$236:$S$284,4,FALSE),0))</f>
        <v>664</v>
      </c>
      <c r="H49" s="73">
        <f t="shared" si="4"/>
        <v>0.10489731437598736</v>
      </c>
      <c r="I49" s="77">
        <f>SUM($G$7:G49)</f>
        <v>4376</v>
      </c>
      <c r="J49" s="75">
        <f t="shared" si="5"/>
        <v>0.69131121642969984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44</v>
      </c>
      <c r="E50" s="79">
        <f t="shared" si="6"/>
        <v>6</v>
      </c>
      <c r="F50" s="71">
        <f t="shared" si="3"/>
        <v>28.18</v>
      </c>
      <c r="G50" s="72">
        <f>IF(D50=D49,"",_xlfn.IFNA(VLOOKUP(D50,'인원 입력 기능 (사과탐)'!$P$236:$S$284,4,FALSE),0))</f>
        <v>340</v>
      </c>
      <c r="H50" s="73">
        <f t="shared" si="4"/>
        <v>5.3712480252764615E-2</v>
      </c>
      <c r="I50" s="77">
        <f>SUM($G$7:G50)</f>
        <v>4716</v>
      </c>
      <c r="J50" s="75">
        <f t="shared" si="5"/>
        <v>0.74502369668246449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138">
        <f t="shared" si="2"/>
        <v>43</v>
      </c>
      <c r="E51" s="138">
        <f t="shared" si="6"/>
        <v>6</v>
      </c>
      <c r="F51" s="128">
        <f t="shared" si="3"/>
        <v>21.67</v>
      </c>
      <c r="G51" s="130">
        <f>IF(D51=D50,"",_xlfn.IFNA(VLOOKUP(D51,'인원 입력 기능 (사과탐)'!$P$236:$S$284,4,FALSE),0))</f>
        <v>485</v>
      </c>
      <c r="H51" s="132">
        <f t="shared" si="4"/>
        <v>7.6619273301737761E-2</v>
      </c>
      <c r="I51" s="134">
        <f>SUM($G$7:G51)</f>
        <v>5201</v>
      </c>
      <c r="J51" s="136">
        <f t="shared" si="5"/>
        <v>0.82164296998420217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139"/>
      <c r="E52" s="139"/>
      <c r="F52" s="129"/>
      <c r="G52" s="131"/>
      <c r="H52" s="133"/>
      <c r="I52" s="135"/>
      <c r="J52" s="137"/>
      <c r="K52" s="28"/>
      <c r="L52" s="5" t="str">
        <f t="shared" si="1"/>
        <v>경고</v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42</v>
      </c>
      <c r="E53" s="70">
        <f t="shared" si="6"/>
        <v>7</v>
      </c>
      <c r="F53" s="71">
        <f t="shared" si="3"/>
        <v>15.45</v>
      </c>
      <c r="G53" s="72">
        <f>IF(D53=D52,"",_xlfn.IFNA(VLOOKUP(D53,'인원 입력 기능 (사과탐)'!$P$236:$S$284,4,FALSE),0))</f>
        <v>302</v>
      </c>
      <c r="H53" s="73">
        <f t="shared" si="4"/>
        <v>4.7709320695102683E-2</v>
      </c>
      <c r="I53" s="77">
        <f>SUM($G$7:G53)</f>
        <v>5503</v>
      </c>
      <c r="J53" s="75">
        <f t="shared" si="5"/>
        <v>0.86935229067930486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41</v>
      </c>
      <c r="E54" s="70">
        <f t="shared" si="6"/>
        <v>7</v>
      </c>
      <c r="F54" s="71">
        <f t="shared" si="3"/>
        <v>12.12</v>
      </c>
      <c r="G54" s="72">
        <f>IF(D54=D53,"",_xlfn.IFNA(VLOOKUP(D54,'인원 입력 기능 (사과탐)'!$P$236:$S$284,4,FALSE),0))</f>
        <v>120</v>
      </c>
      <c r="H54" s="73">
        <f t="shared" si="4"/>
        <v>1.8957345971563982E-2</v>
      </c>
      <c r="I54" s="77">
        <f>SUM($G$7:G54)</f>
        <v>5623</v>
      </c>
      <c r="J54" s="75">
        <f t="shared" si="5"/>
        <v>0.88830963665086893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155">
        <v>2</v>
      </c>
      <c r="D55" s="168">
        <f t="shared" si="2"/>
        <v>40</v>
      </c>
      <c r="E55" s="168">
        <f t="shared" si="6"/>
        <v>7</v>
      </c>
      <c r="F55" s="169">
        <f t="shared" si="3"/>
        <v>7.29</v>
      </c>
      <c r="G55" s="170">
        <f>IF(D55=D54,"",_xlfn.IFNA(VLOOKUP(D55,'인원 입력 기능 (사과탐)'!$P$236:$S$284,4,FALSE),0))</f>
        <v>491</v>
      </c>
      <c r="H55" s="171">
        <f t="shared" si="4"/>
        <v>7.7567140600315956E-2</v>
      </c>
      <c r="I55" s="172">
        <f>SUM($G$7:G55)</f>
        <v>6114</v>
      </c>
      <c r="J55" s="173">
        <f t="shared" si="5"/>
        <v>0.96587677725118481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23" t="s">
        <v>61</v>
      </c>
      <c r="E56" s="124"/>
      <c r="F56" s="124"/>
      <c r="G56" s="124"/>
      <c r="H56" s="124"/>
      <c r="I56" s="124"/>
      <c r="J56" s="125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38</v>
      </c>
      <c r="E57" s="83">
        <f t="shared" si="6"/>
        <v>9</v>
      </c>
      <c r="F57" s="84">
        <f>IF(I55=0,ROUND(100*(1-(I54+I57)/2/$J$3),2),ROUND(100*(1-(I55+I57)/2/$J$3),2))</f>
        <v>1.71</v>
      </c>
      <c r="G57" s="85">
        <f>_xlfn.IFNA(VLOOKUP(D57,'인원 입력 기능 (사과탐)'!$P$236:$S$284,4,FALSE),0)</f>
        <v>216</v>
      </c>
      <c r="H57" s="86">
        <f>G57/$J$3</f>
        <v>3.4123222748815164E-2</v>
      </c>
      <c r="I57" s="87">
        <f>SUM($G$7:G57)</f>
        <v>6330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9">
    <mergeCell ref="D3:F3"/>
    <mergeCell ref="D4:F4"/>
    <mergeCell ref="D8:J8"/>
    <mergeCell ref="D56:J56"/>
    <mergeCell ref="G5:J5"/>
    <mergeCell ref="D18:D19"/>
    <mergeCell ref="E18:E19"/>
    <mergeCell ref="F18:F19"/>
    <mergeCell ref="G18:G19"/>
    <mergeCell ref="H18:H19"/>
    <mergeCell ref="I18:I19"/>
    <mergeCell ref="J18:J19"/>
    <mergeCell ref="D51:D52"/>
    <mergeCell ref="E51:E52"/>
    <mergeCell ref="F51:F52"/>
    <mergeCell ref="G51:G52"/>
    <mergeCell ref="H51:H52"/>
    <mergeCell ref="I51:I52"/>
    <mergeCell ref="J51:J52"/>
  </mergeCells>
  <phoneticPr fontId="1" type="noConversion"/>
  <conditionalFormatting sqref="D7:J18 D20:J51 D53:J54 D56:J57">
    <cfRule type="expression" dxfId="8" priority="3">
      <formula>OR($D7=$Q$7:$Q$14)</formula>
    </cfRule>
  </conditionalFormatting>
  <conditionalFormatting sqref="C7:C54 C56:C57">
    <cfRule type="expression" dxfId="7" priority="2">
      <formula>OR(AND($D7=0,OR($D6=$Q$7:$Q$14)),AND($D8&gt;0,OR($D7=$Q$7:$Q$14)))</formula>
    </cfRule>
  </conditionalFormatting>
  <conditionalFormatting sqref="D7:D18 D20:D51 D53:D54 D56:D57">
    <cfRule type="expression" dxfId="6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2FA2-E637-4335-8706-D1AEEBF067D6}">
  <sheetPr codeName="Sheet30">
    <tabColor rgb="FF00B050"/>
    <pageSetUpPr fitToPage="1"/>
  </sheetPr>
  <dimension ref="A1:N33"/>
  <sheetViews>
    <sheetView zoomScale="85" zoomScaleNormal="85" workbookViewId="0">
      <selection activeCell="B3" sqref="B3:M28"/>
    </sheetView>
  </sheetViews>
  <sheetFormatPr defaultRowHeight="17" x14ac:dyDescent="0.45"/>
  <cols>
    <col min="1" max="1" width="8.6640625" style="4"/>
    <col min="2" max="2" width="1" customWidth="1"/>
    <col min="3" max="3" width="11.4140625" style="11" customWidth="1"/>
    <col min="4" max="11" width="12.4140625" style="1" customWidth="1"/>
    <col min="12" max="12" width="12.4140625" customWidth="1"/>
    <col min="13" max="13" width="1" customWidth="1"/>
    <col min="14" max="14" width="8.6640625" style="4"/>
  </cols>
  <sheetData>
    <row r="1" spans="2:13" s="4" customFormat="1" x14ac:dyDescent="0.45">
      <c r="C1" s="10"/>
      <c r="D1" s="5"/>
      <c r="E1" s="5"/>
      <c r="F1" s="5"/>
      <c r="G1" s="5"/>
      <c r="H1" s="5"/>
      <c r="I1" s="5"/>
      <c r="J1" s="5"/>
      <c r="K1" s="5"/>
    </row>
    <row r="2" spans="2:13" x14ac:dyDescent="0.45">
      <c r="B2" s="4"/>
      <c r="C2" s="10"/>
      <c r="D2" s="5"/>
      <c r="E2" s="5"/>
      <c r="F2" s="5"/>
      <c r="G2" s="5"/>
      <c r="H2" s="5"/>
      <c r="I2" s="5"/>
      <c r="J2" s="5"/>
      <c r="K2" s="5"/>
      <c r="L2" s="4"/>
      <c r="M2" s="4"/>
    </row>
    <row r="3" spans="2:13" ht="6" customHeight="1" thickBot="1" x14ac:dyDescent="0.5">
      <c r="B3" s="17"/>
      <c r="C3" s="26"/>
      <c r="D3" s="27"/>
      <c r="E3" s="27"/>
      <c r="F3" s="27"/>
      <c r="G3" s="27"/>
      <c r="H3" s="27"/>
      <c r="I3" s="27"/>
      <c r="J3" s="27"/>
      <c r="K3" s="27"/>
      <c r="L3" s="25"/>
      <c r="M3" s="18"/>
    </row>
    <row r="4" spans="2:13" ht="25" customHeight="1" x14ac:dyDescent="0.45">
      <c r="B4" s="19"/>
      <c r="C4" s="33" t="s">
        <v>71</v>
      </c>
      <c r="D4" s="147" t="s">
        <v>136</v>
      </c>
      <c r="E4" s="147"/>
      <c r="F4" s="147"/>
      <c r="G4" s="148"/>
      <c r="H4" s="20"/>
      <c r="I4" s="20"/>
      <c r="J4" s="20"/>
      <c r="K4" s="20"/>
      <c r="L4" s="21"/>
      <c r="M4" s="28"/>
    </row>
    <row r="5" spans="2:13" ht="25" customHeight="1" thickBot="1" x14ac:dyDescent="0.5">
      <c r="B5" s="19"/>
      <c r="C5" s="36" t="s">
        <v>107</v>
      </c>
      <c r="D5" s="149" t="s">
        <v>135</v>
      </c>
      <c r="E5" s="149"/>
      <c r="F5" s="149"/>
      <c r="G5" s="150"/>
      <c r="H5" s="20"/>
      <c r="I5" s="20"/>
      <c r="J5" s="20"/>
      <c r="K5" s="20"/>
      <c r="L5" s="21"/>
      <c r="M5" s="28"/>
    </row>
    <row r="6" spans="2:13" ht="25" customHeight="1" x14ac:dyDescent="0.45">
      <c r="B6" s="19"/>
      <c r="C6" s="151" t="s">
        <v>138</v>
      </c>
      <c r="D6" s="151"/>
      <c r="E6" s="151"/>
      <c r="F6" s="151"/>
      <c r="G6" s="151"/>
      <c r="H6" s="151"/>
      <c r="I6" s="151"/>
      <c r="J6" s="151"/>
      <c r="K6" s="151"/>
      <c r="L6" s="151"/>
      <c r="M6" s="28"/>
    </row>
    <row r="7" spans="2:13" ht="25" customHeight="1" thickBot="1" x14ac:dyDescent="0.5">
      <c r="B7" s="19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28"/>
    </row>
    <row r="8" spans="2:13" ht="25" customHeight="1" thickBot="1" x14ac:dyDescent="0.5">
      <c r="B8" s="19"/>
      <c r="C8" s="90" t="s">
        <v>108</v>
      </c>
      <c r="D8" s="91" t="s">
        <v>109</v>
      </c>
      <c r="E8" s="92" t="s">
        <v>110</v>
      </c>
      <c r="F8" s="92" t="s">
        <v>111</v>
      </c>
      <c r="G8" s="92" t="s">
        <v>112</v>
      </c>
      <c r="H8" s="92" t="s">
        <v>113</v>
      </c>
      <c r="I8" s="92" t="s">
        <v>114</v>
      </c>
      <c r="J8" s="92" t="s">
        <v>115</v>
      </c>
      <c r="K8" s="92" t="s">
        <v>116</v>
      </c>
      <c r="L8" s="93" t="s">
        <v>117</v>
      </c>
      <c r="M8" s="28"/>
    </row>
    <row r="9" spans="2:13" ht="25" customHeight="1" x14ac:dyDescent="0.45">
      <c r="B9" s="19"/>
      <c r="C9" s="94" t="s">
        <v>118</v>
      </c>
      <c r="D9" s="78">
        <f>ROUNDUP(('생활과 윤리'!$Q7-0.5-50)/10*'생활과 윤리'!$H$4+'생활과 윤리'!$H$3, 0)</f>
        <v>47</v>
      </c>
      <c r="E9" s="79">
        <f>ROUNDUP(('윤리와 사상'!$Q7-0.5-50)/10*'윤리와 사상'!$H$4+'윤리와 사상'!$H$3, 0)</f>
        <v>45</v>
      </c>
      <c r="F9" s="79">
        <f>ROUNDUP((한국지리!$Q7-0.5-50)/10*한국지리!$H$4+한국지리!$H$3, 0)</f>
        <v>48</v>
      </c>
      <c r="G9" s="79">
        <f>ROUNDUP((세계지리!$Q7-0.5-50)/10*세계지리!$H$4+세계지리!$H$3, 0)</f>
        <v>45</v>
      </c>
      <c r="H9" s="79">
        <f>ROUNDUP((동아시아사!$Q7-0.5-50)/10*동아시아사!$H$4+동아시아사!$H$3, 0)</f>
        <v>48</v>
      </c>
      <c r="I9" s="79">
        <f>ROUNDUP((세계사!$Q7-0.5-50)/10*세계사!$H$4+세계사!$H$3, 0)</f>
        <v>50</v>
      </c>
      <c r="J9" s="79">
        <f>ROUNDUP((경제!$Q7-0.5-50)/10*경제!$H$4+경제!$H$3, 0)</f>
        <v>41</v>
      </c>
      <c r="K9" s="79">
        <f>ROUNDUP(('정치와 법'!$Q7-0.5-50)/10*'정치와 법'!$H$4+'정치와 법'!$H$3, 0)</f>
        <v>47</v>
      </c>
      <c r="L9" s="95">
        <f>ROUNDUP((사회∙문화!$Q7-0.5-50)/10*사회∙문화!$H$4+사회∙문화!$H$3, 0)</f>
        <v>46</v>
      </c>
      <c r="M9" s="28"/>
    </row>
    <row r="10" spans="2:13" ht="25" customHeight="1" x14ac:dyDescent="0.45">
      <c r="B10" s="19"/>
      <c r="C10" s="96" t="s">
        <v>119</v>
      </c>
      <c r="D10" s="80">
        <f>ROUNDUP(('생활과 윤리'!$Q8-0.5-50)/10*'생활과 윤리'!$H$4+'생활과 윤리'!$H$3, 0)</f>
        <v>42</v>
      </c>
      <c r="E10" s="97">
        <f>ROUNDUP(('윤리와 사상'!$Q8-0.5-50)/10*'윤리와 사상'!$H$4+'윤리와 사상'!$H$3, 0)</f>
        <v>38</v>
      </c>
      <c r="F10" s="97">
        <f>ROUNDUP((한국지리!$Q8-0.5-50)/10*한국지리!$H$4+한국지리!$H$3, 0)</f>
        <v>43</v>
      </c>
      <c r="G10" s="97">
        <f>ROUNDUP((세계지리!$Q8-0.5-50)/10*세계지리!$H$4+세계지리!$H$3, 0)</f>
        <v>38</v>
      </c>
      <c r="H10" s="97">
        <f>ROUNDUP((동아시아사!$Q8-0.5-50)/10*동아시아사!$H$4+동아시아사!$H$3, 0)</f>
        <v>44</v>
      </c>
      <c r="I10" s="97">
        <f>ROUNDUP((세계사!$Q8-0.5-50)/10*세계사!$H$4+세계사!$H$3, 0)</f>
        <v>43</v>
      </c>
      <c r="J10" s="97">
        <f>ROUNDUP((경제!$Q8-0.5-50)/10*경제!$H$4+경제!$H$3, 0)</f>
        <v>34</v>
      </c>
      <c r="K10" s="97">
        <f>ROUNDUP(('정치와 법'!$Q8-0.5-50)/10*'정치와 법'!$H$4+'정치와 법'!$H$3, 0)</f>
        <v>41</v>
      </c>
      <c r="L10" s="98">
        <f>ROUNDUP((사회∙문화!$Q8-0.5-50)/10*사회∙문화!$H$4+사회∙문화!$H$3, 0)</f>
        <v>43</v>
      </c>
      <c r="M10" s="28"/>
    </row>
    <row r="11" spans="2:13" ht="25" customHeight="1" x14ac:dyDescent="0.45">
      <c r="B11" s="19"/>
      <c r="C11" s="96" t="s">
        <v>120</v>
      </c>
      <c r="D11" s="80">
        <f>ROUNDUP(('생활과 윤리'!$Q9-0.5-50)/10*'생활과 윤리'!$H$4+'생활과 윤리'!$H$3, 0)</f>
        <v>38</v>
      </c>
      <c r="E11" s="97">
        <f>ROUNDUP(('윤리와 사상'!$Q9-0.5-50)/10*'윤리와 사상'!$H$4+'윤리와 사상'!$H$3, 0)</f>
        <v>31</v>
      </c>
      <c r="F11" s="97">
        <f>ROUNDUP((한국지리!$Q9-0.5-50)/10*한국지리!$H$4+한국지리!$H$3, 0)</f>
        <v>36</v>
      </c>
      <c r="G11" s="97">
        <f>ROUNDUP((세계지리!$Q9-0.5-50)/10*세계지리!$H$4+세계지리!$H$3, 0)</f>
        <v>32</v>
      </c>
      <c r="H11" s="97">
        <f>ROUNDUP((동아시아사!$Q9-0.5-50)/10*동아시아사!$H$4+동아시아사!$H$3, 0)</f>
        <v>36</v>
      </c>
      <c r="I11" s="97">
        <f>ROUNDUP((세계사!$Q9-0.5-50)/10*세계사!$H$4+세계사!$H$3, 0)</f>
        <v>33</v>
      </c>
      <c r="J11" s="97">
        <f>ROUNDUP((경제!$Q9-0.5-50)/10*경제!$H$4+경제!$H$3, 0)</f>
        <v>27</v>
      </c>
      <c r="K11" s="97">
        <f>ROUNDUP(('정치와 법'!$Q9-0.5-50)/10*'정치와 법'!$H$4+'정치와 법'!$H$3, 0)</f>
        <v>34</v>
      </c>
      <c r="L11" s="98">
        <f>ROUNDUP((사회∙문화!$Q9-0.5-50)/10*사회∙문화!$H$4+사회∙문화!$H$3, 0)</f>
        <v>38</v>
      </c>
      <c r="M11" s="28"/>
    </row>
    <row r="12" spans="2:13" ht="25" customHeight="1" x14ac:dyDescent="0.45">
      <c r="B12" s="19"/>
      <c r="C12" s="96" t="s">
        <v>121</v>
      </c>
      <c r="D12" s="80">
        <f>ROUNDUP(('생활과 윤리'!$Q10-0.5-50)/10*'생활과 윤리'!$H$4+'생활과 윤리'!$H$3, 0)</f>
        <v>33</v>
      </c>
      <c r="E12" s="97">
        <f>ROUNDUP(('윤리와 사상'!$Q10-0.5-50)/10*'윤리와 사상'!$H$4+'윤리와 사상'!$H$3, 0)</f>
        <v>24</v>
      </c>
      <c r="F12" s="97">
        <f>ROUNDUP((한국지리!$Q10-0.5-50)/10*한국지리!$H$4+한국지리!$H$3, 0)</f>
        <v>30</v>
      </c>
      <c r="G12" s="97">
        <f>ROUNDUP((세계지리!$Q10-0.5-50)/10*세계지리!$H$4+세계지리!$H$3, 0)</f>
        <v>24</v>
      </c>
      <c r="H12" s="97">
        <f>ROUNDUP((동아시아사!$Q10-0.5-50)/10*동아시아사!$H$4+동아시아사!$H$3, 0)</f>
        <v>27</v>
      </c>
      <c r="I12" s="97">
        <f>ROUNDUP((세계사!$Q10-0.5-50)/10*세계사!$H$4+세계사!$H$3, 0)</f>
        <v>24</v>
      </c>
      <c r="J12" s="97">
        <f>ROUNDUP((경제!$Q10-0.5-50)/10*경제!$H$4+경제!$H$3, 0)</f>
        <v>20</v>
      </c>
      <c r="K12" s="97">
        <f>ROUNDUP(('정치와 법'!$Q10-0.5-50)/10*'정치와 법'!$H$4+'정치와 법'!$H$3, 0)</f>
        <v>26</v>
      </c>
      <c r="L12" s="98">
        <f>ROUNDUP((사회∙문화!$Q10-0.5-50)/10*사회∙문화!$H$4+사회∙문화!$H$3, 0)</f>
        <v>31</v>
      </c>
      <c r="M12" s="28"/>
    </row>
    <row r="13" spans="2:13" ht="25" customHeight="1" x14ac:dyDescent="0.45">
      <c r="B13" s="19"/>
      <c r="C13" s="96" t="s">
        <v>122</v>
      </c>
      <c r="D13" s="80">
        <f>ROUNDUP(('생활과 윤리'!$Q11-0.5-50)/10*'생활과 윤리'!$H$4+'생활과 윤리'!$H$3, 0)</f>
        <v>26</v>
      </c>
      <c r="E13" s="97">
        <f>ROUNDUP(('윤리와 사상'!$Q11-0.5-50)/10*'윤리와 사상'!$H$4+'윤리와 사상'!$H$3, 0)</f>
        <v>16</v>
      </c>
      <c r="F13" s="97">
        <f>ROUNDUP((한국지리!$Q11-0.5-50)/10*한국지리!$H$4+한국지리!$H$3, 0)</f>
        <v>23</v>
      </c>
      <c r="G13" s="97">
        <f>ROUNDUP((세계지리!$Q11-0.5-50)/10*세계지리!$H$4+세계지리!$H$3, 0)</f>
        <v>17</v>
      </c>
      <c r="H13" s="97">
        <f>ROUNDUP((동아시아사!$Q11-0.5-50)/10*동아시아사!$H$4+동아시아사!$H$3, 0)</f>
        <v>18</v>
      </c>
      <c r="I13" s="97">
        <f>ROUNDUP((세계사!$Q11-0.5-50)/10*세계사!$H$4+세계사!$H$3, 0)</f>
        <v>17</v>
      </c>
      <c r="J13" s="97">
        <f>ROUNDUP((경제!$Q11-0.5-50)/10*경제!$H$4+경제!$H$3, 0)</f>
        <v>13</v>
      </c>
      <c r="K13" s="97">
        <f>ROUNDUP(('정치와 법'!$Q11-0.5-50)/10*'정치와 법'!$H$4+'정치와 법'!$H$3, 0)</f>
        <v>20</v>
      </c>
      <c r="L13" s="98">
        <f>ROUNDUP((사회∙문화!$Q11-0.5-50)/10*사회∙문화!$H$4+사회∙문화!$H$3, 0)</f>
        <v>21</v>
      </c>
      <c r="M13" s="28"/>
    </row>
    <row r="14" spans="2:13" ht="25" customHeight="1" x14ac:dyDescent="0.45">
      <c r="B14" s="19"/>
      <c r="C14" s="96" t="s">
        <v>123</v>
      </c>
      <c r="D14" s="80">
        <f>ROUNDUP(('생활과 윤리'!$Q12-0.5-50)/10*'생활과 윤리'!$H$4+'생활과 윤리'!$H$3, 0)</f>
        <v>18</v>
      </c>
      <c r="E14" s="97">
        <f>ROUNDUP(('윤리와 사상'!$Q12-0.5-50)/10*'윤리와 사상'!$H$4+'윤리와 사상'!$H$3, 0)</f>
        <v>13</v>
      </c>
      <c r="F14" s="97">
        <f>ROUNDUP((한국지리!$Q12-0.5-50)/10*한국지리!$H$4+한국지리!$H$3, 0)</f>
        <v>16</v>
      </c>
      <c r="G14" s="97">
        <f>ROUNDUP((세계지리!$Q12-0.5-50)/10*세계지리!$H$4+세계지리!$H$3, 0)</f>
        <v>12</v>
      </c>
      <c r="H14" s="97">
        <f>ROUNDUP((동아시아사!$Q12-0.5-50)/10*동아시아사!$H$4+동아시아사!$H$3, 0)</f>
        <v>13</v>
      </c>
      <c r="I14" s="97">
        <f>ROUNDUP((세계사!$Q12-0.5-50)/10*세계사!$H$4+세계사!$H$3, 0)</f>
        <v>11</v>
      </c>
      <c r="J14" s="97">
        <f>ROUNDUP((경제!$Q12-0.5-50)/10*경제!$H$4+경제!$H$3, 0)</f>
        <v>10</v>
      </c>
      <c r="K14" s="97">
        <f>ROUNDUP(('정치와 법'!$Q12-0.5-50)/10*'정치와 법'!$H$4+'정치와 법'!$H$3, 0)</f>
        <v>13</v>
      </c>
      <c r="L14" s="98">
        <f>ROUNDUP((사회∙문화!$Q12-0.5-50)/10*사회∙문화!$H$4+사회∙문화!$H$3, 0)</f>
        <v>15</v>
      </c>
      <c r="M14" s="28"/>
    </row>
    <row r="15" spans="2:13" ht="25" customHeight="1" x14ac:dyDescent="0.45">
      <c r="B15" s="19"/>
      <c r="C15" s="96" t="s">
        <v>124</v>
      </c>
      <c r="D15" s="80">
        <f>ROUNDUP(('생활과 윤리'!$Q13-0.5-50)/10*'생활과 윤리'!$H$4+'생활과 윤리'!$H$3, 0)</f>
        <v>12</v>
      </c>
      <c r="E15" s="97">
        <f>ROUNDUP(('윤리와 사상'!$Q13-0.5-50)/10*'윤리와 사상'!$H$4+'윤리와 사상'!$H$3, 0)</f>
        <v>9</v>
      </c>
      <c r="F15" s="97">
        <f>ROUNDUP((한국지리!$Q13-0.5-50)/10*한국지리!$H$4+한국지리!$H$3, 0)</f>
        <v>12</v>
      </c>
      <c r="G15" s="97">
        <f>ROUNDUP((세계지리!$Q13-0.5-50)/10*세계지리!$H$4+세계지리!$H$3, 0)</f>
        <v>9</v>
      </c>
      <c r="H15" s="97">
        <f>ROUNDUP((동아시아사!$Q13-0.5-50)/10*동아시아사!$H$4+동아시아사!$H$3, 0)</f>
        <v>9</v>
      </c>
      <c r="I15" s="97">
        <f>ROUNDUP((세계사!$Q13-0.5-50)/10*세계사!$H$4+세계사!$H$3, 0)</f>
        <v>9</v>
      </c>
      <c r="J15" s="97">
        <f>ROUNDUP((경제!$Q13-0.5-50)/10*경제!$H$4+경제!$H$3, 0)</f>
        <v>9</v>
      </c>
      <c r="K15" s="97">
        <f>ROUNDUP(('정치와 법'!$Q13-0.5-50)/10*'정치와 법'!$H$4+'정치와 법'!$H$3, 0)</f>
        <v>8</v>
      </c>
      <c r="L15" s="98">
        <f>ROUNDUP((사회∙문화!$Q13-0.5-50)/10*사회∙문화!$H$4+사회∙문화!$H$3, 0)</f>
        <v>11</v>
      </c>
      <c r="M15" s="28"/>
    </row>
    <row r="16" spans="2:13" ht="25" customHeight="1" thickBot="1" x14ac:dyDescent="0.5">
      <c r="B16" s="19"/>
      <c r="C16" s="99" t="s">
        <v>125</v>
      </c>
      <c r="D16" s="100">
        <f>ROUNDUP(('생활과 윤리'!$Q14-0.5-50)/10*'생활과 윤리'!$H$4+'생활과 윤리'!$H$3, 0)</f>
        <v>9</v>
      </c>
      <c r="E16" s="101">
        <f>ROUNDUP(('윤리와 사상'!$Q14-0.5-50)/10*'윤리와 사상'!$H$4+'윤리와 사상'!$H$3, 0)</f>
        <v>7</v>
      </c>
      <c r="F16" s="101">
        <f>ROUNDUP((한국지리!$Q14-0.5-50)/10*한국지리!$H$4+한국지리!$H$3, 0)</f>
        <v>7</v>
      </c>
      <c r="G16" s="101">
        <f>ROUNDUP((세계지리!$Q14-0.5-50)/10*세계지리!$H$4+세계지리!$H$3, 0)</f>
        <v>7</v>
      </c>
      <c r="H16" s="101">
        <f>ROUNDUP((동아시아사!$Q14-0.5-50)/10*동아시아사!$H$4+동아시아사!$H$3, 0)</f>
        <v>7</v>
      </c>
      <c r="I16" s="101">
        <f>ROUNDUP((세계사!$Q14-0.5-50)/10*세계사!$H$4+세계사!$H$3, 0)</f>
        <v>7</v>
      </c>
      <c r="J16" s="101">
        <f>ROUNDUP((경제!$Q14-0.5-50)/10*경제!$H$4+경제!$H$3, 0)</f>
        <v>6</v>
      </c>
      <c r="K16" s="101" t="s">
        <v>178</v>
      </c>
      <c r="L16" s="102">
        <f>ROUNDUP((사회∙문화!$Q14-0.5-50)/10*사회∙문화!$H$4+사회∙문화!$H$3, 0)</f>
        <v>6</v>
      </c>
      <c r="M16" s="28"/>
    </row>
    <row r="17" spans="2:13" ht="25" customHeight="1" x14ac:dyDescent="0.45">
      <c r="B17" s="19"/>
      <c r="C17" s="103"/>
      <c r="D17" s="103"/>
      <c r="E17" s="103"/>
      <c r="F17" s="103"/>
      <c r="G17" s="103"/>
      <c r="H17" s="103"/>
      <c r="I17" s="103"/>
      <c r="J17" s="103"/>
      <c r="K17" s="103"/>
      <c r="L17" s="104"/>
      <c r="M17" s="28"/>
    </row>
    <row r="18" spans="2:13" ht="25" customHeight="1" thickBot="1" x14ac:dyDescent="0.5">
      <c r="B18" s="19"/>
      <c r="C18" s="103"/>
      <c r="D18" s="103"/>
      <c r="E18" s="103"/>
      <c r="F18" s="103"/>
      <c r="G18" s="103"/>
      <c r="H18" s="103"/>
      <c r="I18" s="103"/>
      <c r="J18" s="103"/>
      <c r="K18" s="103"/>
      <c r="L18" s="104"/>
      <c r="M18" s="28"/>
    </row>
    <row r="19" spans="2:13" ht="25" customHeight="1" thickBot="1" x14ac:dyDescent="0.5">
      <c r="B19" s="19"/>
      <c r="C19" s="90" t="s">
        <v>126</v>
      </c>
      <c r="D19" s="91" t="s">
        <v>127</v>
      </c>
      <c r="E19" s="92" t="s">
        <v>128</v>
      </c>
      <c r="F19" s="92" t="s">
        <v>129</v>
      </c>
      <c r="G19" s="92" t="s">
        <v>130</v>
      </c>
      <c r="H19" s="92" t="s">
        <v>131</v>
      </c>
      <c r="I19" s="92" t="s">
        <v>132</v>
      </c>
      <c r="J19" s="92" t="s">
        <v>133</v>
      </c>
      <c r="K19" s="93" t="s">
        <v>134</v>
      </c>
      <c r="L19" s="104"/>
      <c r="M19" s="28"/>
    </row>
    <row r="20" spans="2:13" ht="25" customHeight="1" x14ac:dyDescent="0.45">
      <c r="B20" s="19"/>
      <c r="C20" s="94" t="s">
        <v>118</v>
      </c>
      <c r="D20" s="78">
        <f>ROUNDUP((물리학Ⅰ!$Q7-0.5-50)/10*물리학Ⅰ!$H$4+물리학Ⅰ!$H$3, 0)</f>
        <v>42</v>
      </c>
      <c r="E20" s="79">
        <f>ROUNDUP((화학Ⅰ!$Q7-0.5-50)/10*화학Ⅰ!$H$4+화학Ⅰ!$H$3, 0)</f>
        <v>48</v>
      </c>
      <c r="F20" s="79">
        <f>ROUNDUP((생명과학Ⅰ!$Q7-0.5-50)/10*생명과학Ⅰ!$H$4+생명과학Ⅰ!$H$3, 0)</f>
        <v>43</v>
      </c>
      <c r="G20" s="79">
        <f>ROUNDUP((지구과학Ⅰ!$Q7-0.5-50)/10*지구과학Ⅰ!$H$4+지구과학Ⅰ!$H$3, 0)</f>
        <v>47</v>
      </c>
      <c r="H20" s="79">
        <f>ROUNDUP((물리학Ⅱ!$Q7-0.5-50)/10*물리학Ⅱ!$H$4+물리학Ⅱ!$H$3, 0)</f>
        <v>40</v>
      </c>
      <c r="I20" s="79">
        <f>ROUNDUP((화학Ⅱ!$Q7-0.5-50)/10*화학Ⅱ!$H$4+화학Ⅱ!$H$3, 0)</f>
        <v>44</v>
      </c>
      <c r="J20" s="79">
        <f>ROUNDUP((생명과학Ⅱ!$Q7-0.5-50)/10*생명과학Ⅱ!$H$4+생명과학Ⅱ!$H$3, 0)</f>
        <v>38</v>
      </c>
      <c r="K20" s="95">
        <f>ROUNDUP((지구과학Ⅱ!$Q7-0.5-50)/10*지구과학Ⅱ!$H$4+지구과학Ⅱ!$H$3, 0)</f>
        <v>38</v>
      </c>
      <c r="L20" s="104"/>
      <c r="M20" s="28"/>
    </row>
    <row r="21" spans="2:13" ht="25" customHeight="1" x14ac:dyDescent="0.45">
      <c r="B21" s="19"/>
      <c r="C21" s="96" t="s">
        <v>119</v>
      </c>
      <c r="D21" s="80">
        <f>ROUNDUP((물리학Ⅰ!$Q8-0.5-50)/10*물리학Ⅰ!$H$4+물리학Ⅰ!$H$3, 0)</f>
        <v>36</v>
      </c>
      <c r="E21" s="97">
        <f>ROUNDUP((화학Ⅰ!$Q8-0.5-50)/10*화학Ⅰ!$H$4+화학Ⅰ!$H$3, 0)</f>
        <v>42</v>
      </c>
      <c r="F21" s="97">
        <f>ROUNDUP((생명과학Ⅰ!$Q8-0.5-50)/10*생명과학Ⅰ!$H$4+생명과학Ⅰ!$H$3, 0)</f>
        <v>39</v>
      </c>
      <c r="G21" s="97">
        <f>ROUNDUP((지구과학Ⅰ!$Q8-0.5-50)/10*지구과학Ⅰ!$H$4+지구과학Ⅰ!$H$3, 0)</f>
        <v>42</v>
      </c>
      <c r="H21" s="97">
        <f>ROUNDUP((물리학Ⅱ!$Q8-0.5-50)/10*물리학Ⅱ!$H$4+물리학Ⅱ!$H$3, 0)</f>
        <v>27</v>
      </c>
      <c r="I21" s="97">
        <f>ROUNDUP((화학Ⅱ!$Q8-0.5-50)/10*화학Ⅱ!$H$4+화학Ⅱ!$H$3, 0)</f>
        <v>31</v>
      </c>
      <c r="J21" s="97">
        <f>ROUNDUP((생명과학Ⅱ!$Q8-0.5-50)/10*생명과학Ⅱ!$H$4+생명과학Ⅱ!$H$3, 0)</f>
        <v>26</v>
      </c>
      <c r="K21" s="98">
        <f>ROUNDUP((지구과학Ⅱ!$Q8-0.5-50)/10*지구과학Ⅱ!$H$4+지구과학Ⅱ!$H$3, 0)</f>
        <v>25</v>
      </c>
      <c r="L21" s="104"/>
      <c r="M21" s="28"/>
    </row>
    <row r="22" spans="2:13" ht="25" customHeight="1" x14ac:dyDescent="0.45">
      <c r="B22" s="19"/>
      <c r="C22" s="96" t="s">
        <v>120</v>
      </c>
      <c r="D22" s="80">
        <f>ROUNDUP((물리학Ⅰ!$Q9-0.5-50)/10*물리학Ⅰ!$H$4+물리학Ⅰ!$H$3, 0)</f>
        <v>29</v>
      </c>
      <c r="E22" s="97">
        <f>ROUNDUP((화학Ⅰ!$Q9-0.5-50)/10*화학Ⅰ!$H$4+화학Ⅰ!$H$3, 0)</f>
        <v>34</v>
      </c>
      <c r="F22" s="97">
        <f>ROUNDUP((생명과학Ⅰ!$Q9-0.5-50)/10*생명과학Ⅰ!$H$4+생명과학Ⅰ!$H$3, 0)</f>
        <v>33</v>
      </c>
      <c r="G22" s="97">
        <f>ROUNDUP((지구과학Ⅰ!$Q9-0.5-50)/10*지구과학Ⅰ!$H$4+지구과학Ⅰ!$H$3, 0)</f>
        <v>36</v>
      </c>
      <c r="H22" s="97">
        <f>ROUNDUP((물리학Ⅱ!$Q9-0.5-50)/10*물리학Ⅱ!$H$4+물리학Ⅱ!$H$3, 0)</f>
        <v>18</v>
      </c>
      <c r="I22" s="97">
        <f>ROUNDUP((화학Ⅱ!$Q9-0.5-50)/10*화학Ⅱ!$H$4+화학Ⅱ!$H$3, 0)</f>
        <v>20</v>
      </c>
      <c r="J22" s="97">
        <f>ROUNDUP((생명과학Ⅱ!$Q9-0.5-50)/10*생명과학Ⅱ!$H$4+생명과학Ⅱ!$H$3, 0)</f>
        <v>18</v>
      </c>
      <c r="K22" s="98">
        <f>ROUNDUP((지구과학Ⅱ!$Q9-0.5-50)/10*지구과학Ⅱ!$H$4+지구과학Ⅱ!$H$3, 0)</f>
        <v>17</v>
      </c>
      <c r="L22" s="104"/>
      <c r="M22" s="28"/>
    </row>
    <row r="23" spans="2:13" ht="25" customHeight="1" x14ac:dyDescent="0.45">
      <c r="B23" s="19"/>
      <c r="C23" s="96" t="s">
        <v>121</v>
      </c>
      <c r="D23" s="80">
        <f>ROUNDUP((물리학Ⅰ!$Q10-0.5-50)/10*물리학Ⅰ!$H$4+물리학Ⅰ!$H$3, 0)</f>
        <v>23</v>
      </c>
      <c r="E23" s="97">
        <f>ROUNDUP((화학Ⅰ!$Q10-0.5-50)/10*화학Ⅰ!$H$4+화학Ⅰ!$H$3, 0)</f>
        <v>24</v>
      </c>
      <c r="F23" s="97">
        <f>ROUNDUP((생명과학Ⅰ!$Q10-0.5-50)/10*생명과학Ⅰ!$H$4+생명과학Ⅰ!$H$3, 0)</f>
        <v>27</v>
      </c>
      <c r="G23" s="97">
        <f>ROUNDUP((지구과학Ⅰ!$Q10-0.5-50)/10*지구과학Ⅰ!$H$4+지구과학Ⅰ!$H$3, 0)</f>
        <v>27</v>
      </c>
      <c r="H23" s="97">
        <f>ROUNDUP((물리학Ⅱ!$Q10-0.5-50)/10*물리학Ⅱ!$H$4+물리학Ⅱ!$H$3, 0)</f>
        <v>14</v>
      </c>
      <c r="I23" s="97">
        <f>ROUNDUP((화학Ⅱ!$Q10-0.5-50)/10*화학Ⅱ!$H$4+화학Ⅱ!$H$3, 0)</f>
        <v>14</v>
      </c>
      <c r="J23" s="97">
        <f>ROUNDUP((생명과학Ⅱ!$Q10-0.5-50)/10*생명과학Ⅱ!$H$4+생명과학Ⅱ!$H$3, 0)</f>
        <v>13</v>
      </c>
      <c r="K23" s="98">
        <f>ROUNDUP((지구과학Ⅱ!$Q10-0.5-50)/10*지구과학Ⅱ!$H$4+지구과학Ⅱ!$H$3, 0)</f>
        <v>12</v>
      </c>
      <c r="L23" s="104"/>
      <c r="M23" s="28"/>
    </row>
    <row r="24" spans="2:13" ht="25" customHeight="1" x14ac:dyDescent="0.45">
      <c r="B24" s="19"/>
      <c r="C24" s="96" t="s">
        <v>122</v>
      </c>
      <c r="D24" s="80">
        <f>ROUNDUP((물리학Ⅰ!$Q11-0.5-50)/10*물리학Ⅰ!$H$4+물리학Ⅰ!$H$3, 0)</f>
        <v>17</v>
      </c>
      <c r="E24" s="97">
        <f>ROUNDUP((화학Ⅰ!$Q11-0.5-50)/10*화학Ⅰ!$H$4+화학Ⅰ!$H$3, 0)</f>
        <v>17</v>
      </c>
      <c r="F24" s="97">
        <f>ROUNDUP((생명과학Ⅰ!$Q11-0.5-50)/10*생명과학Ⅰ!$H$4+생명과학Ⅰ!$H$3, 0)</f>
        <v>22</v>
      </c>
      <c r="G24" s="97">
        <f>ROUNDUP((지구과학Ⅰ!$Q11-0.5-50)/10*지구과학Ⅰ!$H$4+지구과학Ⅰ!$H$3, 0)</f>
        <v>20</v>
      </c>
      <c r="H24" s="97">
        <f>ROUNDUP((물리학Ⅱ!$Q11-0.5-50)/10*물리학Ⅱ!$H$4+물리학Ⅱ!$H$3, 0)</f>
        <v>11</v>
      </c>
      <c r="I24" s="97">
        <f>ROUNDUP((화학Ⅱ!$Q11-0.5-50)/10*화학Ⅱ!$H$4+화학Ⅱ!$H$3, 0)</f>
        <v>10</v>
      </c>
      <c r="J24" s="97">
        <f>ROUNDUP((생명과학Ⅱ!$Q11-0.5-50)/10*생명과학Ⅱ!$H$4+생명과학Ⅱ!$H$3, 0)</f>
        <v>11</v>
      </c>
      <c r="K24" s="98">
        <f>ROUNDUP((지구과학Ⅱ!$Q11-0.5-50)/10*지구과학Ⅱ!$H$4+지구과학Ⅱ!$H$3, 0)</f>
        <v>8</v>
      </c>
      <c r="L24" s="104"/>
      <c r="M24" s="28"/>
    </row>
    <row r="25" spans="2:13" ht="25" customHeight="1" x14ac:dyDescent="0.45">
      <c r="B25" s="19"/>
      <c r="C25" s="96" t="s">
        <v>123</v>
      </c>
      <c r="D25" s="80">
        <f>ROUNDUP((물리학Ⅰ!$Q12-0.5-50)/10*물리학Ⅰ!$H$4+물리학Ⅰ!$H$3, 0)</f>
        <v>13</v>
      </c>
      <c r="E25" s="97">
        <f>ROUNDUP((화학Ⅰ!$Q12-0.5-50)/10*화학Ⅰ!$H$4+화학Ⅰ!$H$3, 0)</f>
        <v>13</v>
      </c>
      <c r="F25" s="97">
        <f>ROUNDUP((생명과학Ⅰ!$Q12-0.5-50)/10*생명과학Ⅰ!$H$4+생명과학Ⅰ!$H$3, 0)</f>
        <v>18</v>
      </c>
      <c r="G25" s="97">
        <f>ROUNDUP((지구과학Ⅰ!$Q12-0.5-50)/10*지구과학Ⅰ!$H$4+지구과학Ⅰ!$H$3, 0)</f>
        <v>14</v>
      </c>
      <c r="H25" s="97">
        <f>ROUNDUP((물리학Ⅱ!$Q12-0.5-50)/10*물리학Ⅱ!$H$4+물리학Ⅱ!$H$3, 0)</f>
        <v>9</v>
      </c>
      <c r="I25" s="97">
        <f>ROUNDUP((화학Ⅱ!$Q12-0.5-50)/10*화학Ⅱ!$H$4+화학Ⅱ!$H$3, 0)</f>
        <v>9</v>
      </c>
      <c r="J25" s="97">
        <f>ROUNDUP((생명과학Ⅱ!$Q12-0.5-50)/10*생명과학Ⅱ!$H$4+생명과학Ⅱ!$H$3, 0)</f>
        <v>8</v>
      </c>
      <c r="K25" s="98">
        <f>ROUNDUP((지구과학Ⅱ!$Q12-0.5-50)/10*지구과학Ⅱ!$H$4+지구과학Ⅱ!$H$3, 0)</f>
        <v>5</v>
      </c>
      <c r="L25" s="104"/>
      <c r="M25" s="28"/>
    </row>
    <row r="26" spans="2:13" ht="25" customHeight="1" x14ac:dyDescent="0.45">
      <c r="B26" s="19"/>
      <c r="C26" s="96" t="s">
        <v>124</v>
      </c>
      <c r="D26" s="80">
        <f>ROUNDUP((물리학Ⅰ!$Q13-0.5-50)/10*물리학Ⅰ!$H$4+물리학Ⅰ!$H$3, 0)</f>
        <v>10</v>
      </c>
      <c r="E26" s="97">
        <f>ROUNDUP((화학Ⅰ!$Q13-0.5-50)/10*화학Ⅰ!$H$4+화학Ⅰ!$H$3, 0)</f>
        <v>9</v>
      </c>
      <c r="F26" s="97">
        <f>ROUNDUP((생명과학Ⅰ!$Q13-0.5-50)/10*생명과학Ⅰ!$H$4+생명과학Ⅰ!$H$3, 0)</f>
        <v>13</v>
      </c>
      <c r="G26" s="97">
        <f>ROUNDUP((지구과학Ⅰ!$Q13-0.5-50)/10*지구과학Ⅰ!$H$4+지구과학Ⅰ!$H$3, 0)</f>
        <v>10</v>
      </c>
      <c r="H26" s="97">
        <f>ROUNDUP((물리학Ⅱ!$Q13-0.5-50)/10*물리학Ⅱ!$H$4+물리학Ⅱ!$H$3, 0)</f>
        <v>7</v>
      </c>
      <c r="I26" s="97">
        <f>ROUNDUP((화학Ⅱ!$Q13-0.5-50)/10*화학Ⅱ!$H$4+화학Ⅱ!$H$3, 0)</f>
        <v>6</v>
      </c>
      <c r="J26" s="97">
        <f>ROUNDUP((생명과학Ⅱ!$Q13-0.5-50)/10*생명과학Ⅱ!$H$4+생명과학Ⅱ!$H$3, 0)</f>
        <v>6</v>
      </c>
      <c r="K26" s="98">
        <f>ROUNDUP((지구과학Ⅱ!$Q13-0.5-50)/10*지구과학Ⅱ!$H$4+지구과학Ⅱ!$H$3, 0)</f>
        <v>2</v>
      </c>
      <c r="L26" s="104"/>
      <c r="M26" s="28"/>
    </row>
    <row r="27" spans="2:13" ht="25" customHeight="1" thickBot="1" x14ac:dyDescent="0.5">
      <c r="B27" s="19"/>
      <c r="C27" s="99" t="s">
        <v>125</v>
      </c>
      <c r="D27" s="100">
        <f>ROUNDUP((물리학Ⅰ!$Q14-0.5-50)/10*물리학Ⅰ!$H$4+물리학Ⅰ!$H$3, 0)</f>
        <v>7</v>
      </c>
      <c r="E27" s="101">
        <f>ROUNDUP((화학Ⅰ!$Q14-0.5-50)/10*화학Ⅰ!$H$4+화학Ⅰ!$H$3, 0)</f>
        <v>7</v>
      </c>
      <c r="F27" s="101">
        <f>ROUNDUP((생명과학Ⅰ!$Q14-0.5-50)/10*생명과학Ⅰ!$H$4+생명과학Ⅰ!$H$3, 0)</f>
        <v>10</v>
      </c>
      <c r="G27" s="101">
        <f>ROUNDUP((지구과학Ⅰ!$Q14-0.5-50)/10*지구과학Ⅰ!$H$4+지구과학Ⅰ!$H$3, 0)</f>
        <v>7</v>
      </c>
      <c r="H27" s="101">
        <f>ROUNDUP((물리학Ⅱ!$Q14-0.5-50)/10*물리학Ⅱ!$H$4+물리학Ⅱ!$H$3, 0)</f>
        <v>5</v>
      </c>
      <c r="I27" s="101">
        <f>ROUNDUP((화학Ⅱ!$Q14-0.5-50)/10*화학Ⅱ!$H$4+화학Ⅱ!$H$3, 0)</f>
        <v>4</v>
      </c>
      <c r="J27" s="101">
        <f>ROUNDUP((생명과학Ⅱ!$Q14-0.5-50)/10*생명과학Ⅱ!$H$4+생명과학Ⅱ!$H$3, 0)</f>
        <v>4</v>
      </c>
      <c r="K27" s="102" t="s">
        <v>178</v>
      </c>
      <c r="L27" s="104"/>
      <c r="M27" s="28"/>
    </row>
    <row r="28" spans="2:13" ht="6" customHeight="1" x14ac:dyDescent="0.45">
      <c r="B28" s="22"/>
      <c r="C28" s="30"/>
      <c r="D28" s="31"/>
      <c r="E28" s="31"/>
      <c r="F28" s="31"/>
      <c r="G28" s="31"/>
      <c r="H28" s="31"/>
      <c r="I28" s="31"/>
      <c r="J28" s="31"/>
      <c r="K28" s="31"/>
      <c r="L28" s="23"/>
      <c r="M28" s="24"/>
    </row>
    <row r="29" spans="2:13" x14ac:dyDescent="0.45">
      <c r="B29" s="4"/>
      <c r="C29" s="10"/>
      <c r="D29" s="5"/>
      <c r="E29" s="5"/>
      <c r="F29" s="5"/>
      <c r="G29" s="5"/>
      <c r="H29" s="5"/>
      <c r="I29" s="5"/>
      <c r="J29" s="5"/>
      <c r="K29" s="5"/>
      <c r="L29" s="4"/>
      <c r="M29" s="4"/>
    </row>
    <row r="30" spans="2:13" s="4" customFormat="1" x14ac:dyDescent="0.45">
      <c r="C30" s="10"/>
      <c r="D30" s="5"/>
      <c r="E30" s="5"/>
      <c r="F30" s="5"/>
      <c r="G30" s="5"/>
      <c r="H30" s="5"/>
      <c r="I30" s="5"/>
      <c r="J30" s="5"/>
      <c r="K30" s="5"/>
    </row>
    <row r="31" spans="2:13" s="4" customFormat="1" x14ac:dyDescent="0.45">
      <c r="C31" s="10"/>
      <c r="D31" s="5"/>
      <c r="E31" s="5"/>
      <c r="F31" s="5"/>
      <c r="G31" s="5"/>
      <c r="H31" s="5"/>
      <c r="I31" s="5"/>
      <c r="J31" s="5"/>
      <c r="K31" s="5"/>
    </row>
    <row r="32" spans="2:13" s="4" customFormat="1" x14ac:dyDescent="0.45">
      <c r="C32" s="10"/>
      <c r="D32" s="5"/>
      <c r="E32" s="5"/>
      <c r="F32" s="5"/>
      <c r="G32" s="5"/>
      <c r="H32" s="5"/>
      <c r="I32" s="5"/>
      <c r="J32" s="5"/>
      <c r="K32" s="5"/>
    </row>
    <row r="33" spans="3:11" s="4" customFormat="1" x14ac:dyDescent="0.45">
      <c r="C33" s="10"/>
      <c r="D33" s="5"/>
      <c r="E33" s="5"/>
      <c r="F33" s="5"/>
      <c r="G33" s="5"/>
      <c r="H33" s="5"/>
      <c r="I33" s="5"/>
      <c r="J33" s="5"/>
      <c r="K33" s="5"/>
    </row>
  </sheetData>
  <mergeCells count="3">
    <mergeCell ref="D4:G4"/>
    <mergeCell ref="D5:G5"/>
    <mergeCell ref="C6:L7"/>
  </mergeCells>
  <phoneticPr fontId="1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통계 및 응시자 수 입력 기능</vt:lpstr>
      <vt:lpstr>인원 입력 기능 (사과탐)</vt:lpstr>
      <vt:lpstr>표준점수 등급컷 입력기능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물리학Ⅱ</vt:lpstr>
      <vt:lpstr>화학Ⅱ</vt:lpstr>
      <vt:lpstr>생명과학Ⅱ</vt:lpstr>
      <vt:lpstr>지구과학Ⅱ</vt:lpstr>
      <vt:lpstr>등급컷 모아보기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dcterms:created xsi:type="dcterms:W3CDTF">2018-04-21T04:34:05Z</dcterms:created>
  <dcterms:modified xsi:type="dcterms:W3CDTF">2024-05-22T02:27:02Z</dcterms:modified>
</cp:coreProperties>
</file>