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hongik-my.sharepoint.com/personal/edc9566_mail_hongik_ac_kr/Documents/바탕 화면/모의고사&amp;수능 관련/2023/고2/"/>
    </mc:Choice>
  </mc:AlternateContent>
  <xr:revisionPtr revIDLastSave="1346" documentId="13_ncr:1_{321739FB-4F19-4A7A-A741-9C47EDFFF52F}" xr6:coauthVersionLast="47" xr6:coauthVersionMax="47" xr10:uidLastSave="{A7496D59-B26D-41F7-963D-1215DFD6F2FC}"/>
  <bookViews>
    <workbookView xWindow="-110" yWindow="-110" windowWidth="19420" windowHeight="11620" firstSheet="28" activeTab="35" xr2:uid="{AB9EE284-95EA-49B1-8133-EE4E7651E7F1}"/>
  </bookViews>
  <sheets>
    <sheet name="통계 및 응시자 수 입력 기능" sheetId="67" r:id="rId1"/>
    <sheet name="표점등급&amp;절평인원 입력 기능" sheetId="66" r:id="rId2"/>
    <sheet name="인원 입력 기능(국수)" sheetId="64" r:id="rId3"/>
    <sheet name="인원 입력 기능(사과탐)" sheetId="68" r:id="rId4"/>
    <sheet name="인원 입력 기능(직탐)" sheetId="70" r:id="rId5"/>
    <sheet name="국어" sheetId="2" r:id="rId6"/>
    <sheet name="수학" sheetId="5" r:id="rId7"/>
    <sheet name="영어" sheetId="6" r:id="rId8"/>
    <sheet name="한국사" sheetId="25" r:id="rId9"/>
    <sheet name="생활과 윤리" sheetId="3" r:id="rId10"/>
    <sheet name="윤리와 사상" sheetId="26" r:id="rId11"/>
    <sheet name="한국지리" sheetId="27" r:id="rId12"/>
    <sheet name="세계지리" sheetId="28" r:id="rId13"/>
    <sheet name="동아시아사" sheetId="29" r:id="rId14"/>
    <sheet name="세계사" sheetId="30" r:id="rId15"/>
    <sheet name="경제" sheetId="31" r:id="rId16"/>
    <sheet name="정치와 법" sheetId="32" r:id="rId17"/>
    <sheet name="사회∙문화" sheetId="33" r:id="rId18"/>
    <sheet name="물리학Ⅰ" sheetId="34" r:id="rId19"/>
    <sheet name="화학Ⅰ" sheetId="35" r:id="rId20"/>
    <sheet name="생명과학Ⅰ" sheetId="36" r:id="rId21"/>
    <sheet name="지구과학Ⅰ" sheetId="37" r:id="rId22"/>
    <sheet name="성공적인 직업생활" sheetId="72" r:id="rId23"/>
    <sheet name="농업 기초 기술" sheetId="73" r:id="rId24"/>
    <sheet name="공업 일반" sheetId="74" r:id="rId25"/>
    <sheet name="상업 경제" sheetId="75" r:id="rId26"/>
    <sheet name="수산∙해운 산업 기초" sheetId="76" r:id="rId27"/>
    <sheet name="인간 발달" sheetId="77" r:id="rId28"/>
    <sheet name="등급컷 모아보기" sheetId="79" r:id="rId29"/>
    <sheet name="독일어Ⅰ" sheetId="82" r:id="rId30"/>
    <sheet name="프랑스어Ⅰ" sheetId="83" r:id="rId31"/>
    <sheet name="스페인어Ⅰ" sheetId="84" r:id="rId32"/>
    <sheet name="중국어Ⅰ" sheetId="85" r:id="rId33"/>
    <sheet name="일본어Ⅰ" sheetId="86" r:id="rId34"/>
    <sheet name="러시아어Ⅰ" sheetId="87" r:id="rId35"/>
    <sheet name="한문Ⅰ" sheetId="88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88" l="1"/>
  <c r="H4" i="88"/>
  <c r="H3" i="88"/>
  <c r="E8" i="88"/>
  <c r="E9" i="88"/>
  <c r="E10" i="88"/>
  <c r="E11" i="88"/>
  <c r="E12" i="88"/>
  <c r="E13" i="88"/>
  <c r="E14" i="88"/>
  <c r="E7" i="88"/>
  <c r="E8" i="87"/>
  <c r="E9" i="87"/>
  <c r="E10" i="87"/>
  <c r="E11" i="87"/>
  <c r="E12" i="87"/>
  <c r="E13" i="87"/>
  <c r="E14" i="87"/>
  <c r="E15" i="87"/>
  <c r="E7" i="87"/>
  <c r="J3" i="87"/>
  <c r="H4" i="87"/>
  <c r="H3" i="87"/>
  <c r="J3" i="86"/>
  <c r="H4" i="86"/>
  <c r="H3" i="86"/>
  <c r="E8" i="86"/>
  <c r="E9" i="86"/>
  <c r="E10" i="86"/>
  <c r="E11" i="86"/>
  <c r="E12" i="86"/>
  <c r="E13" i="86"/>
  <c r="E14" i="86"/>
  <c r="E15" i="86"/>
  <c r="E7" i="86"/>
  <c r="E8" i="85"/>
  <c r="E9" i="85"/>
  <c r="E10" i="85"/>
  <c r="E11" i="85"/>
  <c r="E12" i="85"/>
  <c r="E13" i="85"/>
  <c r="E14" i="85"/>
  <c r="E15" i="85"/>
  <c r="E7" i="85"/>
  <c r="J3" i="85"/>
  <c r="H4" i="85"/>
  <c r="H3" i="85"/>
  <c r="E8" i="84"/>
  <c r="E9" i="84"/>
  <c r="E10" i="84"/>
  <c r="E11" i="84"/>
  <c r="E12" i="84"/>
  <c r="E13" i="84"/>
  <c r="E14" i="84"/>
  <c r="E15" i="84"/>
  <c r="J3" i="84"/>
  <c r="H4" i="84"/>
  <c r="H3" i="84"/>
  <c r="E7" i="84"/>
  <c r="J3" i="83"/>
  <c r="H4" i="83"/>
  <c r="H3" i="83"/>
  <c r="E8" i="83"/>
  <c r="E9" i="83"/>
  <c r="E10" i="83"/>
  <c r="E11" i="83"/>
  <c r="E12" i="83"/>
  <c r="E13" i="83"/>
  <c r="E14" i="83"/>
  <c r="E15" i="83"/>
  <c r="E7" i="83"/>
  <c r="E8" i="82"/>
  <c r="E9" i="82"/>
  <c r="E10" i="82"/>
  <c r="E11" i="82"/>
  <c r="E12" i="82"/>
  <c r="E13" i="82"/>
  <c r="E14" i="82"/>
  <c r="E15" i="82"/>
  <c r="E7" i="82"/>
  <c r="J3" i="82"/>
  <c r="H4" i="82"/>
  <c r="H3" i="82"/>
  <c r="F8" i="88" l="1"/>
  <c r="F12" i="87"/>
  <c r="G11" i="86"/>
  <c r="G15" i="86"/>
  <c r="G9" i="85"/>
  <c r="H9" i="85" s="1"/>
  <c r="G8" i="85"/>
  <c r="G13" i="85"/>
  <c r="F15" i="84"/>
  <c r="F11" i="84"/>
  <c r="F10" i="84"/>
  <c r="F9" i="84"/>
  <c r="F8" i="84"/>
  <c r="G8" i="83"/>
  <c r="F14" i="83"/>
  <c r="F9" i="82"/>
  <c r="G8" i="82"/>
  <c r="G12" i="82"/>
  <c r="H3" i="3"/>
  <c r="H3" i="26"/>
  <c r="H4" i="3"/>
  <c r="G7" i="82" l="1"/>
  <c r="G7" i="85"/>
  <c r="H7" i="85" s="1"/>
  <c r="G7" i="86"/>
  <c r="G14" i="83"/>
  <c r="G15" i="88"/>
  <c r="H15" i="88" s="1"/>
  <c r="H11" i="86"/>
  <c r="H12" i="82"/>
  <c r="H7" i="82"/>
  <c r="F13" i="82"/>
  <c r="H8" i="83"/>
  <c r="F12" i="84"/>
  <c r="H7" i="86"/>
  <c r="F12" i="86"/>
  <c r="H14" i="83"/>
  <c r="F13" i="84"/>
  <c r="H13" i="85"/>
  <c r="F8" i="86"/>
  <c r="H8" i="82"/>
  <c r="F14" i="84"/>
  <c r="H15" i="86"/>
  <c r="F11" i="87"/>
  <c r="G9" i="83"/>
  <c r="H9" i="83" s="1"/>
  <c r="F10" i="85"/>
  <c r="F14" i="85"/>
  <c r="F9" i="88"/>
  <c r="G15" i="83"/>
  <c r="H15" i="83" s="1"/>
  <c r="G12" i="83"/>
  <c r="H12" i="83" s="1"/>
  <c r="G14" i="85"/>
  <c r="H14" i="85" s="1"/>
  <c r="G12" i="86"/>
  <c r="H12" i="86" s="1"/>
  <c r="F13" i="87"/>
  <c r="F10" i="82"/>
  <c r="F14" i="82"/>
  <c r="G7" i="83"/>
  <c r="H7" i="83" s="1"/>
  <c r="G15" i="85"/>
  <c r="H15" i="85" s="1"/>
  <c r="F11" i="85"/>
  <c r="F15" i="85"/>
  <c r="F9" i="86"/>
  <c r="F13" i="86"/>
  <c r="F14" i="87"/>
  <c r="F10" i="88"/>
  <c r="G13" i="82"/>
  <c r="H13" i="82" s="1"/>
  <c r="G10" i="85"/>
  <c r="H10" i="85" s="1"/>
  <c r="G8" i="86"/>
  <c r="H8" i="86" s="1"/>
  <c r="G14" i="82"/>
  <c r="H14" i="82" s="1"/>
  <c r="G10" i="83"/>
  <c r="H10" i="83" s="1"/>
  <c r="G11" i="85"/>
  <c r="H11" i="85" s="1"/>
  <c r="G9" i="86"/>
  <c r="H9" i="86" s="1"/>
  <c r="G13" i="86"/>
  <c r="H13" i="86" s="1"/>
  <c r="G15" i="87"/>
  <c r="H15" i="87" s="1"/>
  <c r="F15" i="87"/>
  <c r="F11" i="88"/>
  <c r="G9" i="82"/>
  <c r="H9" i="82" s="1"/>
  <c r="F15" i="83"/>
  <c r="G10" i="82"/>
  <c r="H10" i="82" s="1"/>
  <c r="F7" i="82"/>
  <c r="F11" i="82"/>
  <c r="F15" i="82"/>
  <c r="G13" i="83"/>
  <c r="H13" i="83" s="1"/>
  <c r="F8" i="85"/>
  <c r="F12" i="85"/>
  <c r="F10" i="86"/>
  <c r="F14" i="86"/>
  <c r="F8" i="87"/>
  <c r="F12" i="88"/>
  <c r="F13" i="88"/>
  <c r="G11" i="82"/>
  <c r="H11" i="82" s="1"/>
  <c r="G15" i="82"/>
  <c r="H15" i="82" s="1"/>
  <c r="G15" i="84"/>
  <c r="H15" i="84" s="1"/>
  <c r="H8" i="85"/>
  <c r="G12" i="85"/>
  <c r="H12" i="85" s="1"/>
  <c r="G10" i="86"/>
  <c r="H10" i="86" s="1"/>
  <c r="G14" i="86"/>
  <c r="H14" i="86" s="1"/>
  <c r="F9" i="87"/>
  <c r="F8" i="82"/>
  <c r="F12" i="82"/>
  <c r="G11" i="83"/>
  <c r="H11" i="83" s="1"/>
  <c r="F7" i="84"/>
  <c r="F9" i="85"/>
  <c r="F13" i="85"/>
  <c r="F7" i="86"/>
  <c r="F11" i="86"/>
  <c r="F15" i="86"/>
  <c r="F10" i="87"/>
  <c r="F14" i="88"/>
  <c r="F15" i="88"/>
  <c r="F7" i="88"/>
  <c r="F7" i="87"/>
  <c r="G7" i="88"/>
  <c r="H7" i="88" s="1"/>
  <c r="G8" i="88"/>
  <c r="H8" i="88" s="1"/>
  <c r="G9" i="88"/>
  <c r="H9" i="88" s="1"/>
  <c r="G10" i="88"/>
  <c r="H10" i="88" s="1"/>
  <c r="G11" i="88"/>
  <c r="H11" i="88" s="1"/>
  <c r="G12" i="88"/>
  <c r="H12" i="88" s="1"/>
  <c r="G13" i="88"/>
  <c r="H13" i="88" s="1"/>
  <c r="G14" i="88"/>
  <c r="H14" i="88" s="1"/>
  <c r="G7" i="87"/>
  <c r="H7" i="87" s="1"/>
  <c r="G8" i="87"/>
  <c r="H8" i="87" s="1"/>
  <c r="G9" i="87"/>
  <c r="H9" i="87" s="1"/>
  <c r="G10" i="87"/>
  <c r="H10" i="87" s="1"/>
  <c r="G11" i="87"/>
  <c r="H11" i="87" s="1"/>
  <c r="G12" i="87"/>
  <c r="H12" i="87" s="1"/>
  <c r="G13" i="87"/>
  <c r="H13" i="87" s="1"/>
  <c r="G14" i="87"/>
  <c r="H14" i="87" s="1"/>
  <c r="F7" i="85"/>
  <c r="G7" i="84"/>
  <c r="H7" i="84" s="1"/>
  <c r="G8" i="84"/>
  <c r="H8" i="84" s="1"/>
  <c r="G9" i="84"/>
  <c r="H9" i="84" s="1"/>
  <c r="G10" i="84"/>
  <c r="H10" i="84" s="1"/>
  <c r="G11" i="84"/>
  <c r="H11" i="84" s="1"/>
  <c r="G12" i="84"/>
  <c r="H12" i="84" s="1"/>
  <c r="G13" i="84"/>
  <c r="H13" i="84" s="1"/>
  <c r="G14" i="84"/>
  <c r="H14" i="84" s="1"/>
  <c r="F7" i="83"/>
  <c r="F8" i="83"/>
  <c r="F9" i="83"/>
  <c r="F10" i="83"/>
  <c r="F11" i="83"/>
  <c r="F12" i="83"/>
  <c r="F13" i="83"/>
  <c r="Q8" i="72"/>
  <c r="Q9" i="72"/>
  <c r="Q10" i="72"/>
  <c r="Q11" i="72"/>
  <c r="Q12" i="72"/>
  <c r="Q13" i="72"/>
  <c r="Q14" i="72"/>
  <c r="Q8" i="73"/>
  <c r="Q9" i="73"/>
  <c r="Q10" i="73"/>
  <c r="Q11" i="73"/>
  <c r="Q12" i="73"/>
  <c r="Q13" i="73"/>
  <c r="Q14" i="73"/>
  <c r="Q8" i="74"/>
  <c r="Q9" i="74"/>
  <c r="Q10" i="74"/>
  <c r="Q11" i="74"/>
  <c r="Q12" i="74"/>
  <c r="Q13" i="74"/>
  <c r="Q14" i="74"/>
  <c r="Q8" i="75"/>
  <c r="Q9" i="75"/>
  <c r="Q10" i="75"/>
  <c r="Q11" i="75"/>
  <c r="Q12" i="75"/>
  <c r="Q13" i="75"/>
  <c r="Q14" i="75"/>
  <c r="Q8" i="76"/>
  <c r="Q9" i="76"/>
  <c r="Q10" i="76"/>
  <c r="Q11" i="76"/>
  <c r="Q12" i="76"/>
  <c r="Q13" i="76"/>
  <c r="Q14" i="76"/>
  <c r="Q8" i="77"/>
  <c r="Q9" i="77"/>
  <c r="Q10" i="77"/>
  <c r="Q11" i="77"/>
  <c r="Q12" i="77"/>
  <c r="Q13" i="77"/>
  <c r="Q14" i="77"/>
  <c r="Q7" i="77"/>
  <c r="Q7" i="76"/>
  <c r="Q7" i="75"/>
  <c r="Q7" i="74"/>
  <c r="J3" i="74"/>
  <c r="Q7" i="73"/>
  <c r="Q7" i="72"/>
  <c r="J3" i="77"/>
  <c r="H4" i="77"/>
  <c r="H3" i="77"/>
  <c r="D41" i="77" s="1"/>
  <c r="J3" i="76"/>
  <c r="H4" i="76"/>
  <c r="H3" i="76"/>
  <c r="J3" i="75"/>
  <c r="H4" i="75"/>
  <c r="H3" i="75"/>
  <c r="D52" i="75" s="1"/>
  <c r="H4" i="74"/>
  <c r="H3" i="74"/>
  <c r="D46" i="74" s="1"/>
  <c r="J3" i="73"/>
  <c r="H4" i="73"/>
  <c r="D25" i="73" s="1"/>
  <c r="H3" i="73"/>
  <c r="J3" i="72"/>
  <c r="H4" i="72"/>
  <c r="H3" i="72"/>
  <c r="D29" i="72" s="1"/>
  <c r="D20" i="75"/>
  <c r="D35" i="73"/>
  <c r="J3" i="2"/>
  <c r="J3" i="5"/>
  <c r="E20" i="75" l="1"/>
  <c r="D25" i="75"/>
  <c r="D54" i="73"/>
  <c r="D22" i="73"/>
  <c r="D48" i="72"/>
  <c r="D12" i="74"/>
  <c r="L12" i="74" s="1"/>
  <c r="D19" i="74"/>
  <c r="G20" i="74" s="1"/>
  <c r="H20" i="74" s="1"/>
  <c r="E52" i="75"/>
  <c r="I49" i="79"/>
  <c r="D53" i="77"/>
  <c r="D20" i="74"/>
  <c r="D24" i="74"/>
  <c r="D19" i="72"/>
  <c r="D26" i="74"/>
  <c r="L26" i="74" s="1"/>
  <c r="D38" i="74"/>
  <c r="E38" i="74" s="1"/>
  <c r="D55" i="74"/>
  <c r="I45" i="79"/>
  <c r="F42" i="79"/>
  <c r="H44" i="79"/>
  <c r="G43" i="79"/>
  <c r="E49" i="79"/>
  <c r="D48" i="79"/>
  <c r="D14" i="74"/>
  <c r="D22" i="74"/>
  <c r="E22" i="74" s="1"/>
  <c r="D32" i="74"/>
  <c r="E32" i="74" s="1"/>
  <c r="D50" i="74"/>
  <c r="D42" i="79"/>
  <c r="G42" i="79"/>
  <c r="I48" i="79"/>
  <c r="I44" i="79"/>
  <c r="H47" i="79"/>
  <c r="H43" i="79"/>
  <c r="G46" i="79"/>
  <c r="F49" i="79"/>
  <c r="F45" i="79"/>
  <c r="E48" i="79"/>
  <c r="E44" i="79"/>
  <c r="D47" i="79"/>
  <c r="D43" i="79"/>
  <c r="L19" i="72"/>
  <c r="L29" i="72"/>
  <c r="L48" i="72"/>
  <c r="L20" i="75"/>
  <c r="L25" i="75"/>
  <c r="L52" i="75"/>
  <c r="H48" i="79"/>
  <c r="G47" i="79"/>
  <c r="F46" i="79"/>
  <c r="E45" i="79"/>
  <c r="D44" i="79"/>
  <c r="D45" i="72"/>
  <c r="E45" i="72" s="1"/>
  <c r="D16" i="74"/>
  <c r="L16" i="74" s="1"/>
  <c r="D23" i="74"/>
  <c r="G24" i="74" s="1"/>
  <c r="H24" i="74" s="1"/>
  <c r="D35" i="74"/>
  <c r="D49" i="77"/>
  <c r="L14" i="74"/>
  <c r="L38" i="74"/>
  <c r="L46" i="74"/>
  <c r="L50" i="74"/>
  <c r="L35" i="74"/>
  <c r="L55" i="74"/>
  <c r="L20" i="74"/>
  <c r="L24" i="74"/>
  <c r="L41" i="77"/>
  <c r="L49" i="77"/>
  <c r="L53" i="77"/>
  <c r="E42" i="79"/>
  <c r="H42" i="79"/>
  <c r="I47" i="79"/>
  <c r="I43" i="79"/>
  <c r="H46" i="79"/>
  <c r="G49" i="79"/>
  <c r="G45" i="79"/>
  <c r="F48" i="79"/>
  <c r="F44" i="79"/>
  <c r="E47" i="79"/>
  <c r="E43" i="79"/>
  <c r="D46" i="79"/>
  <c r="L10" i="73"/>
  <c r="L22" i="73"/>
  <c r="L54" i="73"/>
  <c r="L35" i="73"/>
  <c r="L12" i="73"/>
  <c r="L25" i="73"/>
  <c r="L29" i="73"/>
  <c r="I42" i="79"/>
  <c r="I46" i="79"/>
  <c r="H49" i="79"/>
  <c r="H45" i="79"/>
  <c r="G48" i="79"/>
  <c r="G44" i="79"/>
  <c r="F47" i="79"/>
  <c r="F43" i="79"/>
  <c r="E46" i="79"/>
  <c r="D49" i="79"/>
  <c r="D45" i="79"/>
  <c r="E25" i="73"/>
  <c r="L21" i="77"/>
  <c r="D25" i="77"/>
  <c r="L25" i="77" s="1"/>
  <c r="D19" i="73"/>
  <c r="L19" i="73" s="1"/>
  <c r="D38" i="73"/>
  <c r="L38" i="73" s="1"/>
  <c r="D41" i="73"/>
  <c r="E41" i="73" s="1"/>
  <c r="D14" i="73"/>
  <c r="E14" i="73" s="1"/>
  <c r="D35" i="72"/>
  <c r="L35" i="72" s="1"/>
  <c r="D7" i="72"/>
  <c r="G7" i="72" s="1"/>
  <c r="D32" i="72"/>
  <c r="L32" i="72" s="1"/>
  <c r="D51" i="72"/>
  <c r="L51" i="72" s="1"/>
  <c r="D16" i="72"/>
  <c r="L16" i="72" s="1"/>
  <c r="E16" i="72"/>
  <c r="E54" i="73"/>
  <c r="E19" i="72"/>
  <c r="L54" i="72"/>
  <c r="D50" i="72"/>
  <c r="L50" i="72" s="1"/>
  <c r="D42" i="72"/>
  <c r="L42" i="72" s="1"/>
  <c r="L38" i="72"/>
  <c r="D34" i="72"/>
  <c r="G35" i="72" s="1"/>
  <c r="D26" i="72"/>
  <c r="L26" i="72" s="1"/>
  <c r="L22" i="72"/>
  <c r="D18" i="72"/>
  <c r="D10" i="72"/>
  <c r="L10" i="72" s="1"/>
  <c r="D12" i="72"/>
  <c r="L12" i="72" s="1"/>
  <c r="L14" i="72"/>
  <c r="D17" i="72"/>
  <c r="D20" i="72"/>
  <c r="G20" i="72" s="1"/>
  <c r="D23" i="72"/>
  <c r="L23" i="72" s="1"/>
  <c r="E29" i="72"/>
  <c r="D33" i="72"/>
  <c r="L33" i="72" s="1"/>
  <c r="D36" i="72"/>
  <c r="D39" i="72"/>
  <c r="L39" i="72" s="1"/>
  <c r="E48" i="72"/>
  <c r="D49" i="72"/>
  <c r="G49" i="72" s="1"/>
  <c r="D52" i="72"/>
  <c r="D55" i="72"/>
  <c r="L55" i="72" s="1"/>
  <c r="G9" i="73"/>
  <c r="H9" i="73" s="1"/>
  <c r="D13" i="73"/>
  <c r="L13" i="73" s="1"/>
  <c r="E19" i="73"/>
  <c r="E22" i="73"/>
  <c r="D23" i="73"/>
  <c r="G23" i="73" s="1"/>
  <c r="D26" i="73"/>
  <c r="G26" i="73" s="1"/>
  <c r="D29" i="73"/>
  <c r="E35" i="73"/>
  <c r="D39" i="73"/>
  <c r="G39" i="73" s="1"/>
  <c r="D42" i="73"/>
  <c r="L42" i="73" s="1"/>
  <c r="D45" i="73"/>
  <c r="L45" i="73" s="1"/>
  <c r="E12" i="74"/>
  <c r="E24" i="74"/>
  <c r="E35" i="74"/>
  <c r="E46" i="74"/>
  <c r="E50" i="74"/>
  <c r="E55" i="74"/>
  <c r="E25" i="75"/>
  <c r="D53" i="76"/>
  <c r="L53" i="76" s="1"/>
  <c r="D49" i="76"/>
  <c r="L49" i="76" s="1"/>
  <c r="D45" i="76"/>
  <c r="L45" i="76" s="1"/>
  <c r="D41" i="76"/>
  <c r="L41" i="76" s="1"/>
  <c r="D37" i="76"/>
  <c r="L37" i="76" s="1"/>
  <c r="D33" i="76"/>
  <c r="L33" i="76" s="1"/>
  <c r="D29" i="76"/>
  <c r="L29" i="76" s="1"/>
  <c r="D25" i="76"/>
  <c r="L25" i="76" s="1"/>
  <c r="D21" i="76"/>
  <c r="D54" i="76"/>
  <c r="L54" i="76" s="1"/>
  <c r="D50" i="76"/>
  <c r="L50" i="76" s="1"/>
  <c r="D46" i="76"/>
  <c r="G46" i="76" s="1"/>
  <c r="D42" i="76"/>
  <c r="G42" i="76" s="1"/>
  <c r="D38" i="76"/>
  <c r="L38" i="76" s="1"/>
  <c r="D34" i="76"/>
  <c r="L34" i="76" s="1"/>
  <c r="D30" i="76"/>
  <c r="G30" i="76" s="1"/>
  <c r="D26" i="76"/>
  <c r="D22" i="76"/>
  <c r="L22" i="76" s="1"/>
  <c r="D52" i="76"/>
  <c r="L52" i="76" s="1"/>
  <c r="D44" i="76"/>
  <c r="L44" i="76" s="1"/>
  <c r="D36" i="76"/>
  <c r="L36" i="76" s="1"/>
  <c r="D28" i="76"/>
  <c r="L28" i="76" s="1"/>
  <c r="D16" i="76"/>
  <c r="L16" i="76" s="1"/>
  <c r="D7" i="76"/>
  <c r="G7" i="76" s="1"/>
  <c r="D55" i="76"/>
  <c r="D47" i="76"/>
  <c r="L47" i="76" s="1"/>
  <c r="D39" i="76"/>
  <c r="L39" i="76" s="1"/>
  <c r="D31" i="76"/>
  <c r="G31" i="76" s="1"/>
  <c r="D23" i="76"/>
  <c r="L23" i="76" s="1"/>
  <c r="D17" i="76"/>
  <c r="L17" i="76" s="1"/>
  <c r="D48" i="76"/>
  <c r="D32" i="76"/>
  <c r="L32" i="76" s="1"/>
  <c r="D18" i="76"/>
  <c r="D14" i="76"/>
  <c r="L14" i="76" s="1"/>
  <c r="D10" i="76"/>
  <c r="L10" i="76" s="1"/>
  <c r="D43" i="76"/>
  <c r="L43" i="76" s="1"/>
  <c r="D27" i="76"/>
  <c r="G27" i="76" s="1"/>
  <c r="D19" i="76"/>
  <c r="L19" i="76" s="1"/>
  <c r="D13" i="76"/>
  <c r="L13" i="76" s="1"/>
  <c r="D9" i="76"/>
  <c r="G9" i="76" s="1"/>
  <c r="H9" i="76" s="1"/>
  <c r="D57" i="76"/>
  <c r="G57" i="76" s="1"/>
  <c r="D24" i="76"/>
  <c r="L24" i="76" s="1"/>
  <c r="D20" i="76"/>
  <c r="L20" i="76" s="1"/>
  <c r="D51" i="76"/>
  <c r="G51" i="76" s="1"/>
  <c r="D15" i="76"/>
  <c r="D11" i="76"/>
  <c r="L11" i="76" s="1"/>
  <c r="D21" i="72"/>
  <c r="L21" i="72" s="1"/>
  <c r="D24" i="72"/>
  <c r="D27" i="72"/>
  <c r="L27" i="72" s="1"/>
  <c r="D37" i="72"/>
  <c r="D40" i="72"/>
  <c r="L40" i="72" s="1"/>
  <c r="D43" i="72"/>
  <c r="L43" i="72" s="1"/>
  <c r="D53" i="72"/>
  <c r="L53" i="72" s="1"/>
  <c r="D57" i="72"/>
  <c r="G57" i="72" s="1"/>
  <c r="D12" i="73"/>
  <c r="D17" i="73"/>
  <c r="L17" i="73" s="1"/>
  <c r="D27" i="73"/>
  <c r="L27" i="73" s="1"/>
  <c r="D30" i="73"/>
  <c r="L30" i="73" s="1"/>
  <c r="D33" i="73"/>
  <c r="L33" i="73" s="1"/>
  <c r="D43" i="73"/>
  <c r="L43" i="73" s="1"/>
  <c r="D46" i="73"/>
  <c r="D57" i="74"/>
  <c r="G57" i="74" s="1"/>
  <c r="D52" i="74"/>
  <c r="L52" i="74" s="1"/>
  <c r="D48" i="74"/>
  <c r="L48" i="74" s="1"/>
  <c r="D45" i="74"/>
  <c r="L45" i="74" s="1"/>
  <c r="D41" i="74"/>
  <c r="L41" i="74" s="1"/>
  <c r="D37" i="74"/>
  <c r="L37" i="74" s="1"/>
  <c r="D33" i="74"/>
  <c r="D29" i="74"/>
  <c r="L29" i="74" s="1"/>
  <c r="D25" i="74"/>
  <c r="G25" i="74" s="1"/>
  <c r="D21" i="74"/>
  <c r="G21" i="74" s="1"/>
  <c r="D17" i="74"/>
  <c r="G17" i="74" s="1"/>
  <c r="D54" i="74"/>
  <c r="L54" i="74" s="1"/>
  <c r="D44" i="74"/>
  <c r="L44" i="74" s="1"/>
  <c r="D34" i="74"/>
  <c r="D31" i="74"/>
  <c r="L31" i="74" s="1"/>
  <c r="D28" i="74"/>
  <c r="L28" i="74" s="1"/>
  <c r="D18" i="74"/>
  <c r="G19" i="74" s="1"/>
  <c r="H19" i="74" s="1"/>
  <c r="D15" i="74"/>
  <c r="G15" i="74" s="1"/>
  <c r="D13" i="74"/>
  <c r="G13" i="74" s="1"/>
  <c r="D11" i="74"/>
  <c r="L11" i="74" s="1"/>
  <c r="D9" i="74"/>
  <c r="G9" i="74" s="1"/>
  <c r="H9" i="74" s="1"/>
  <c r="D7" i="74"/>
  <c r="G7" i="74" s="1"/>
  <c r="D43" i="74"/>
  <c r="L43" i="74" s="1"/>
  <c r="D40" i="74"/>
  <c r="L40" i="74" s="1"/>
  <c r="D30" i="74"/>
  <c r="L30" i="74" s="1"/>
  <c r="D27" i="74"/>
  <c r="G27" i="74" s="1"/>
  <c r="E14" i="74"/>
  <c r="E16" i="74"/>
  <c r="E19" i="74"/>
  <c r="E20" i="74"/>
  <c r="E23" i="74"/>
  <c r="D47" i="74"/>
  <c r="G47" i="74" s="1"/>
  <c r="D49" i="74"/>
  <c r="G50" i="74" s="1"/>
  <c r="D51" i="74"/>
  <c r="G51" i="74" s="1"/>
  <c r="D53" i="74"/>
  <c r="G53" i="74" s="1"/>
  <c r="D53" i="75"/>
  <c r="G53" i="75" s="1"/>
  <c r="D45" i="75"/>
  <c r="L45" i="75" s="1"/>
  <c r="D37" i="75"/>
  <c r="L37" i="75" s="1"/>
  <c r="D29" i="75"/>
  <c r="L29" i="75" s="1"/>
  <c r="D21" i="75"/>
  <c r="G21" i="75" s="1"/>
  <c r="D57" i="75"/>
  <c r="G57" i="75" s="1"/>
  <c r="D48" i="75"/>
  <c r="L48" i="75" s="1"/>
  <c r="D40" i="75"/>
  <c r="L40" i="75" s="1"/>
  <c r="D32" i="75"/>
  <c r="L32" i="75" s="1"/>
  <c r="D24" i="75"/>
  <c r="L24" i="75" s="1"/>
  <c r="D16" i="75"/>
  <c r="L16" i="75" s="1"/>
  <c r="D7" i="75"/>
  <c r="G7" i="75" s="1"/>
  <c r="D49" i="75"/>
  <c r="G49" i="75" s="1"/>
  <c r="D33" i="75"/>
  <c r="L33" i="75" s="1"/>
  <c r="D44" i="75"/>
  <c r="L44" i="75" s="1"/>
  <c r="D28" i="75"/>
  <c r="L28" i="75" s="1"/>
  <c r="D36" i="75"/>
  <c r="L36" i="75" s="1"/>
  <c r="D12" i="76"/>
  <c r="L12" i="76" s="1"/>
  <c r="D40" i="76"/>
  <c r="G40" i="76" s="1"/>
  <c r="D9" i="72"/>
  <c r="G9" i="72" s="1"/>
  <c r="H9" i="72" s="1"/>
  <c r="D11" i="72"/>
  <c r="G11" i="72" s="1"/>
  <c r="D13" i="72"/>
  <c r="L13" i="72" s="1"/>
  <c r="D15" i="72"/>
  <c r="L15" i="72" s="1"/>
  <c r="D25" i="72"/>
  <c r="L25" i="72" s="1"/>
  <c r="D28" i="72"/>
  <c r="G29" i="72" s="1"/>
  <c r="D31" i="72"/>
  <c r="L31" i="72" s="1"/>
  <c r="D41" i="72"/>
  <c r="L41" i="72" s="1"/>
  <c r="D44" i="72"/>
  <c r="L44" i="72" s="1"/>
  <c r="D47" i="72"/>
  <c r="G47" i="72" s="1"/>
  <c r="D55" i="73"/>
  <c r="G55" i="73" s="1"/>
  <c r="D51" i="73"/>
  <c r="L51" i="73" s="1"/>
  <c r="D47" i="73"/>
  <c r="D57" i="73"/>
  <c r="G57" i="73" s="1"/>
  <c r="D53" i="73"/>
  <c r="G54" i="73" s="1"/>
  <c r="D50" i="73"/>
  <c r="L50" i="73" s="1"/>
  <c r="D44" i="73"/>
  <c r="L44" i="73" s="1"/>
  <c r="D40" i="73"/>
  <c r="G40" i="73" s="1"/>
  <c r="D36" i="73"/>
  <c r="G36" i="73" s="1"/>
  <c r="D32" i="73"/>
  <c r="L32" i="73" s="1"/>
  <c r="D28" i="73"/>
  <c r="G28" i="73" s="1"/>
  <c r="D24" i="73"/>
  <c r="G24" i="73" s="1"/>
  <c r="D20" i="73"/>
  <c r="G20" i="73" s="1"/>
  <c r="D16" i="73"/>
  <c r="L16" i="73" s="1"/>
  <c r="G7" i="73"/>
  <c r="D15" i="73"/>
  <c r="L15" i="73" s="1"/>
  <c r="D18" i="73"/>
  <c r="G18" i="73" s="1"/>
  <c r="D21" i="73"/>
  <c r="G22" i="73" s="1"/>
  <c r="H22" i="73" s="1"/>
  <c r="D31" i="73"/>
  <c r="G31" i="73" s="1"/>
  <c r="D34" i="73"/>
  <c r="G34" i="73" s="1"/>
  <c r="D37" i="73"/>
  <c r="G38" i="73" s="1"/>
  <c r="H38" i="73" s="1"/>
  <c r="D48" i="73"/>
  <c r="G48" i="73" s="1"/>
  <c r="D49" i="73"/>
  <c r="L49" i="73" s="1"/>
  <c r="D52" i="73"/>
  <c r="L52" i="73" s="1"/>
  <c r="D10" i="74"/>
  <c r="L10" i="74" s="1"/>
  <c r="D36" i="74"/>
  <c r="G36" i="74" s="1"/>
  <c r="D39" i="74"/>
  <c r="G39" i="74" s="1"/>
  <c r="D42" i="74"/>
  <c r="L42" i="74" s="1"/>
  <c r="D41" i="75"/>
  <c r="G41" i="75" s="1"/>
  <c r="D35" i="76"/>
  <c r="G35" i="76" s="1"/>
  <c r="E41" i="77"/>
  <c r="D54" i="75"/>
  <c r="L54" i="75" s="1"/>
  <c r="E21" i="77"/>
  <c r="E25" i="77"/>
  <c r="E49" i="77"/>
  <c r="E53" i="77"/>
  <c r="D9" i="75"/>
  <c r="G9" i="75" s="1"/>
  <c r="H9" i="75" s="1"/>
  <c r="D10" i="75"/>
  <c r="L10" i="75" s="1"/>
  <c r="D11" i="75"/>
  <c r="D12" i="75"/>
  <c r="L12" i="75" s="1"/>
  <c r="D13" i="75"/>
  <c r="L13" i="75" s="1"/>
  <c r="D14" i="75"/>
  <c r="L14" i="75" s="1"/>
  <c r="D15" i="75"/>
  <c r="G15" i="75" s="1"/>
  <c r="D19" i="75"/>
  <c r="L19" i="75" s="1"/>
  <c r="D23" i="75"/>
  <c r="L23" i="75" s="1"/>
  <c r="D27" i="75"/>
  <c r="L27" i="75" s="1"/>
  <c r="D31" i="75"/>
  <c r="L31" i="75" s="1"/>
  <c r="D35" i="75"/>
  <c r="L35" i="75" s="1"/>
  <c r="D39" i="75"/>
  <c r="L39" i="75" s="1"/>
  <c r="D43" i="75"/>
  <c r="L43" i="75" s="1"/>
  <c r="D47" i="75"/>
  <c r="L47" i="75" s="1"/>
  <c r="D51" i="75"/>
  <c r="L51" i="75" s="1"/>
  <c r="D55" i="75"/>
  <c r="G55" i="75" s="1"/>
  <c r="D18" i="75"/>
  <c r="G18" i="75" s="1"/>
  <c r="D22" i="75"/>
  <c r="L22" i="75" s="1"/>
  <c r="D26" i="75"/>
  <c r="G26" i="75" s="1"/>
  <c r="D30" i="75"/>
  <c r="L34" i="75"/>
  <c r="D38" i="75"/>
  <c r="G38" i="75" s="1"/>
  <c r="D42" i="75"/>
  <c r="L42" i="75" s="1"/>
  <c r="D46" i="75"/>
  <c r="L50" i="75"/>
  <c r="D10" i="77"/>
  <c r="L10" i="77" s="1"/>
  <c r="D7" i="77"/>
  <c r="G7" i="77" s="1"/>
  <c r="D37" i="77"/>
  <c r="L37" i="77" s="1"/>
  <c r="D17" i="77"/>
  <c r="L17" i="77" s="1"/>
  <c r="D33" i="77"/>
  <c r="L33" i="77" s="1"/>
  <c r="D54" i="77"/>
  <c r="G54" i="77" s="1"/>
  <c r="D50" i="77"/>
  <c r="G50" i="77" s="1"/>
  <c r="D46" i="77"/>
  <c r="L46" i="77" s="1"/>
  <c r="D42" i="77"/>
  <c r="G42" i="77" s="1"/>
  <c r="D38" i="77"/>
  <c r="L38" i="77" s="1"/>
  <c r="D34" i="77"/>
  <c r="L34" i="77" s="1"/>
  <c r="D30" i="77"/>
  <c r="L30" i="77" s="1"/>
  <c r="D26" i="77"/>
  <c r="G26" i="77" s="1"/>
  <c r="D22" i="77"/>
  <c r="G22" i="77" s="1"/>
  <c r="D18" i="77"/>
  <c r="L18" i="77" s="1"/>
  <c r="D55" i="77"/>
  <c r="L55" i="77" s="1"/>
  <c r="D51" i="77"/>
  <c r="D47" i="77"/>
  <c r="L47" i="77" s="1"/>
  <c r="D43" i="77"/>
  <c r="L43" i="77" s="1"/>
  <c r="D39" i="77"/>
  <c r="L39" i="77" s="1"/>
  <c r="D35" i="77"/>
  <c r="D31" i="77"/>
  <c r="L31" i="77" s="1"/>
  <c r="D27" i="77"/>
  <c r="L27" i="77" s="1"/>
  <c r="D23" i="77"/>
  <c r="L23" i="77" s="1"/>
  <c r="D19" i="77"/>
  <c r="D15" i="77"/>
  <c r="L15" i="77" s="1"/>
  <c r="D14" i="77"/>
  <c r="D13" i="77"/>
  <c r="L13" i="77" s="1"/>
  <c r="D12" i="77"/>
  <c r="L12" i="77" s="1"/>
  <c r="D11" i="77"/>
  <c r="D57" i="77"/>
  <c r="G57" i="77" s="1"/>
  <c r="D52" i="77"/>
  <c r="G53" i="77" s="1"/>
  <c r="D48" i="77"/>
  <c r="G48" i="77" s="1"/>
  <c r="D44" i="77"/>
  <c r="D40" i="77"/>
  <c r="L40" i="77" s="1"/>
  <c r="D36" i="77"/>
  <c r="L36" i="77" s="1"/>
  <c r="D32" i="77"/>
  <c r="D28" i="77"/>
  <c r="D24" i="77"/>
  <c r="L24" i="77" s="1"/>
  <c r="D20" i="77"/>
  <c r="L20" i="77" s="1"/>
  <c r="D16" i="77"/>
  <c r="G16" i="77" s="1"/>
  <c r="D9" i="77"/>
  <c r="G9" i="77" s="1"/>
  <c r="H9" i="77" s="1"/>
  <c r="D29" i="77"/>
  <c r="L29" i="77" s="1"/>
  <c r="D45" i="77"/>
  <c r="L45" i="77" s="1"/>
  <c r="E15" i="25"/>
  <c r="E14" i="25"/>
  <c r="E9" i="25"/>
  <c r="E10" i="25"/>
  <c r="E11" i="25"/>
  <c r="E12" i="25"/>
  <c r="E13" i="25"/>
  <c r="E8" i="25"/>
  <c r="E7" i="25"/>
  <c r="E15" i="6"/>
  <c r="E9" i="6"/>
  <c r="E10" i="6"/>
  <c r="E11" i="6"/>
  <c r="E12" i="6"/>
  <c r="E13" i="6"/>
  <c r="E14" i="6"/>
  <c r="E8" i="6"/>
  <c r="E7" i="6"/>
  <c r="E26" i="74" l="1"/>
  <c r="E35" i="72"/>
  <c r="L9" i="73"/>
  <c r="L19" i="74"/>
  <c r="L13" i="74"/>
  <c r="G44" i="77"/>
  <c r="H44" i="77" s="1"/>
  <c r="G19" i="77"/>
  <c r="H19" i="77" s="1"/>
  <c r="G51" i="77"/>
  <c r="H51" i="77" s="1"/>
  <c r="G11" i="75"/>
  <c r="G36" i="72"/>
  <c r="G19" i="72"/>
  <c r="L40" i="76"/>
  <c r="G33" i="74"/>
  <c r="G35" i="77"/>
  <c r="G37" i="72"/>
  <c r="H37" i="72" s="1"/>
  <c r="L7" i="76"/>
  <c r="L30" i="76"/>
  <c r="L32" i="74"/>
  <c r="G32" i="77"/>
  <c r="G47" i="73"/>
  <c r="H47" i="73" s="1"/>
  <c r="G26" i="76"/>
  <c r="H26" i="76" s="1"/>
  <c r="G21" i="76"/>
  <c r="H21" i="76" s="1"/>
  <c r="G53" i="76"/>
  <c r="H53" i="76" s="1"/>
  <c r="L15" i="74"/>
  <c r="G30" i="75"/>
  <c r="H30" i="75" s="1"/>
  <c r="G32" i="76"/>
  <c r="H32" i="76" s="1"/>
  <c r="G52" i="72"/>
  <c r="G23" i="74"/>
  <c r="H23" i="74" s="1"/>
  <c r="L18" i="72"/>
  <c r="L45" i="72"/>
  <c r="L22" i="74"/>
  <c r="G46" i="73"/>
  <c r="G28" i="77"/>
  <c r="H28" i="77" s="1"/>
  <c r="E38" i="73"/>
  <c r="L42" i="76"/>
  <c r="L21" i="76"/>
  <c r="L27" i="76"/>
  <c r="L28" i="73"/>
  <c r="L11" i="73"/>
  <c r="L26" i="73"/>
  <c r="L57" i="77"/>
  <c r="L54" i="77"/>
  <c r="L22" i="77"/>
  <c r="L7" i="77"/>
  <c r="L9" i="77"/>
  <c r="L47" i="74"/>
  <c r="L57" i="75"/>
  <c r="L53" i="75"/>
  <c r="L21" i="75"/>
  <c r="L11" i="75"/>
  <c r="L26" i="75"/>
  <c r="L36" i="72"/>
  <c r="L47" i="72"/>
  <c r="G27" i="73"/>
  <c r="H27" i="73" s="1"/>
  <c r="G55" i="76"/>
  <c r="L57" i="76"/>
  <c r="L55" i="76"/>
  <c r="L7" i="73"/>
  <c r="L41" i="73"/>
  <c r="L57" i="73"/>
  <c r="L40" i="73"/>
  <c r="L24" i="73"/>
  <c r="L55" i="73"/>
  <c r="L39" i="73"/>
  <c r="L23" i="73"/>
  <c r="L52" i="77"/>
  <c r="L51" i="77"/>
  <c r="L35" i="77"/>
  <c r="L19" i="77"/>
  <c r="L50" i="77"/>
  <c r="L7" i="74"/>
  <c r="L25" i="74"/>
  <c r="L9" i="74"/>
  <c r="L27" i="74"/>
  <c r="L49" i="75"/>
  <c r="L17" i="75"/>
  <c r="L55" i="75"/>
  <c r="L38" i="75"/>
  <c r="L7" i="72"/>
  <c r="L46" i="72"/>
  <c r="L28" i="72"/>
  <c r="L9" i="72"/>
  <c r="L11" i="72"/>
  <c r="G27" i="72"/>
  <c r="G18" i="76"/>
  <c r="H18" i="76" s="1"/>
  <c r="G24" i="77"/>
  <c r="H24" i="77" s="1"/>
  <c r="G40" i="77"/>
  <c r="G14" i="77"/>
  <c r="H14" i="77" s="1"/>
  <c r="G18" i="77"/>
  <c r="H18" i="77" s="1"/>
  <c r="G46" i="75"/>
  <c r="G43" i="72"/>
  <c r="H43" i="72" s="1"/>
  <c r="G24" i="72"/>
  <c r="G17" i="72"/>
  <c r="E7" i="72"/>
  <c r="L51" i="76"/>
  <c r="L26" i="76"/>
  <c r="L35" i="76"/>
  <c r="L53" i="73"/>
  <c r="L37" i="73"/>
  <c r="L21" i="73"/>
  <c r="L36" i="73"/>
  <c r="L20" i="73"/>
  <c r="L34" i="73"/>
  <c r="L18" i="73"/>
  <c r="L48" i="77"/>
  <c r="L32" i="77"/>
  <c r="L16" i="77"/>
  <c r="L14" i="77"/>
  <c r="L53" i="74"/>
  <c r="L21" i="74"/>
  <c r="L57" i="74"/>
  <c r="L39" i="74"/>
  <c r="L23" i="74"/>
  <c r="L7" i="75"/>
  <c r="L18" i="75"/>
  <c r="L57" i="72"/>
  <c r="L24" i="72"/>
  <c r="L52" i="72"/>
  <c r="L20" i="72"/>
  <c r="L34" i="72"/>
  <c r="L37" i="72"/>
  <c r="G15" i="76"/>
  <c r="G23" i="76"/>
  <c r="H23" i="76" s="1"/>
  <c r="G11" i="77"/>
  <c r="G15" i="77"/>
  <c r="H15" i="77" s="1"/>
  <c r="G31" i="77"/>
  <c r="H31" i="77" s="1"/>
  <c r="G47" i="77"/>
  <c r="H47" i="77" s="1"/>
  <c r="G38" i="77"/>
  <c r="H38" i="77" s="1"/>
  <c r="G31" i="72"/>
  <c r="H31" i="72" s="1"/>
  <c r="G13" i="72"/>
  <c r="G12" i="76"/>
  <c r="H12" i="76" s="1"/>
  <c r="G34" i="74"/>
  <c r="G40" i="72"/>
  <c r="G21" i="72"/>
  <c r="H21" i="72" s="1"/>
  <c r="G48" i="76"/>
  <c r="G39" i="76"/>
  <c r="H39" i="76" s="1"/>
  <c r="G34" i="76"/>
  <c r="H34" i="76" s="1"/>
  <c r="G50" i="76"/>
  <c r="G42" i="73"/>
  <c r="G29" i="73"/>
  <c r="L48" i="76"/>
  <c r="L18" i="76"/>
  <c r="L46" i="76"/>
  <c r="L9" i="76"/>
  <c r="L31" i="76"/>
  <c r="L15" i="76"/>
  <c r="L48" i="73"/>
  <c r="L47" i="73"/>
  <c r="L31" i="73"/>
  <c r="L46" i="73"/>
  <c r="L14" i="73"/>
  <c r="L44" i="77"/>
  <c r="L28" i="77"/>
  <c r="L11" i="77"/>
  <c r="L42" i="77"/>
  <c r="L26" i="77"/>
  <c r="L49" i="74"/>
  <c r="L33" i="74"/>
  <c r="L17" i="74"/>
  <c r="L36" i="74"/>
  <c r="L51" i="74"/>
  <c r="L34" i="74"/>
  <c r="L18" i="74"/>
  <c r="L46" i="75"/>
  <c r="L41" i="75"/>
  <c r="L9" i="75"/>
  <c r="L15" i="75"/>
  <c r="L30" i="75"/>
  <c r="L30" i="72"/>
  <c r="L49" i="72"/>
  <c r="L17" i="72"/>
  <c r="G27" i="77"/>
  <c r="H27" i="77" s="1"/>
  <c r="G43" i="77"/>
  <c r="H43" i="77" s="1"/>
  <c r="G34" i="77"/>
  <c r="H34" i="77" s="1"/>
  <c r="G37" i="77"/>
  <c r="H37" i="77" s="1"/>
  <c r="G12" i="77"/>
  <c r="G33" i="77"/>
  <c r="G10" i="77"/>
  <c r="H10" i="77" s="1"/>
  <c r="G25" i="77"/>
  <c r="H25" i="77" s="1"/>
  <c r="G45" i="77"/>
  <c r="G20" i="77"/>
  <c r="H20" i="77" s="1"/>
  <c r="G36" i="77"/>
  <c r="H36" i="77" s="1"/>
  <c r="G52" i="77"/>
  <c r="G13" i="77"/>
  <c r="G23" i="77"/>
  <c r="H23" i="77" s="1"/>
  <c r="G39" i="77"/>
  <c r="H39" i="77" s="1"/>
  <c r="G55" i="77"/>
  <c r="H55" i="77" s="1"/>
  <c r="G30" i="77"/>
  <c r="H30" i="77" s="1"/>
  <c r="G46" i="77"/>
  <c r="H46" i="77" s="1"/>
  <c r="G17" i="77"/>
  <c r="H17" i="77" s="1"/>
  <c r="G49" i="77"/>
  <c r="H49" i="77" s="1"/>
  <c r="G29" i="77"/>
  <c r="G21" i="77"/>
  <c r="G41" i="77"/>
  <c r="H41" i="77" s="1"/>
  <c r="G25" i="76"/>
  <c r="H25" i="76" s="1"/>
  <c r="G11" i="76"/>
  <c r="H11" i="76" s="1"/>
  <c r="G14" i="76"/>
  <c r="H14" i="76" s="1"/>
  <c r="G17" i="76"/>
  <c r="H17" i="76" s="1"/>
  <c r="G36" i="76"/>
  <c r="G37" i="76"/>
  <c r="G44" i="76"/>
  <c r="G41" i="76"/>
  <c r="G20" i="76"/>
  <c r="H20" i="76" s="1"/>
  <c r="G13" i="76"/>
  <c r="H13" i="76" s="1"/>
  <c r="G10" i="76"/>
  <c r="H10" i="76" s="1"/>
  <c r="G16" i="76"/>
  <c r="H16" i="76" s="1"/>
  <c r="G52" i="76"/>
  <c r="H52" i="76" s="1"/>
  <c r="G29" i="76"/>
  <c r="G45" i="76"/>
  <c r="G43" i="76"/>
  <c r="H43" i="76" s="1"/>
  <c r="G24" i="76"/>
  <c r="H24" i="76" s="1"/>
  <c r="G19" i="76"/>
  <c r="H19" i="76" s="1"/>
  <c r="G47" i="76"/>
  <c r="H47" i="76" s="1"/>
  <c r="G28" i="76"/>
  <c r="H28" i="76" s="1"/>
  <c r="G22" i="76"/>
  <c r="G38" i="76"/>
  <c r="G54" i="76"/>
  <c r="G33" i="76"/>
  <c r="H33" i="76" s="1"/>
  <c r="G49" i="76"/>
  <c r="H49" i="76" s="1"/>
  <c r="G22" i="75"/>
  <c r="H22" i="75" s="1"/>
  <c r="G54" i="75"/>
  <c r="G44" i="75"/>
  <c r="H44" i="75" s="1"/>
  <c r="G39" i="75"/>
  <c r="H39" i="75" s="1"/>
  <c r="G23" i="75"/>
  <c r="G13" i="75"/>
  <c r="H13" i="75" s="1"/>
  <c r="G36" i="75"/>
  <c r="H36" i="75" s="1"/>
  <c r="G33" i="75"/>
  <c r="H33" i="75" s="1"/>
  <c r="G45" i="75"/>
  <c r="G42" i="75"/>
  <c r="H42" i="75" s="1"/>
  <c r="G51" i="75"/>
  <c r="H51" i="75" s="1"/>
  <c r="G35" i="75"/>
  <c r="G19" i="75"/>
  <c r="H19" i="75" s="1"/>
  <c r="G12" i="75"/>
  <c r="G28" i="75"/>
  <c r="H28" i="75" s="1"/>
  <c r="G32" i="75"/>
  <c r="H32" i="75" s="1"/>
  <c r="G52" i="75"/>
  <c r="H52" i="75" s="1"/>
  <c r="G31" i="75"/>
  <c r="H31" i="75" s="1"/>
  <c r="G40" i="75"/>
  <c r="H40" i="75" s="1"/>
  <c r="G29" i="75"/>
  <c r="G20" i="75"/>
  <c r="H20" i="75" s="1"/>
  <c r="G24" i="75"/>
  <c r="H24" i="75" s="1"/>
  <c r="G47" i="75"/>
  <c r="H47" i="75" s="1"/>
  <c r="G43" i="75"/>
  <c r="H43" i="75" s="1"/>
  <c r="G27" i="75"/>
  <c r="G14" i="75"/>
  <c r="H14" i="75" s="1"/>
  <c r="G10" i="75"/>
  <c r="G16" i="75"/>
  <c r="H16" i="75" s="1"/>
  <c r="G48" i="75"/>
  <c r="H48" i="75" s="1"/>
  <c r="G37" i="75"/>
  <c r="H37" i="75" s="1"/>
  <c r="G25" i="75"/>
  <c r="H25" i="75" s="1"/>
  <c r="G40" i="74"/>
  <c r="H40" i="74" s="1"/>
  <c r="G45" i="74"/>
  <c r="H45" i="74" s="1"/>
  <c r="G26" i="74"/>
  <c r="G10" i="74"/>
  <c r="H10" i="74" s="1"/>
  <c r="G31" i="74"/>
  <c r="G42" i="74"/>
  <c r="G37" i="74"/>
  <c r="H37" i="74" s="1"/>
  <c r="G52" i="74"/>
  <c r="H52" i="74" s="1"/>
  <c r="G22" i="74"/>
  <c r="H22" i="74" s="1"/>
  <c r="G35" i="74"/>
  <c r="H35" i="74" s="1"/>
  <c r="G49" i="74"/>
  <c r="G30" i="74"/>
  <c r="H30" i="74" s="1"/>
  <c r="G18" i="74"/>
  <c r="G44" i="74"/>
  <c r="H44" i="74" s="1"/>
  <c r="G41" i="74"/>
  <c r="G38" i="74"/>
  <c r="H38" i="74" s="1"/>
  <c r="G16" i="74"/>
  <c r="H16" i="74" s="1"/>
  <c r="G32" i="74"/>
  <c r="H32" i="74" s="1"/>
  <c r="G11" i="74"/>
  <c r="G28" i="74"/>
  <c r="H28" i="74" s="1"/>
  <c r="G54" i="74"/>
  <c r="G29" i="74"/>
  <c r="H29" i="74" s="1"/>
  <c r="G46" i="74"/>
  <c r="H46" i="74" s="1"/>
  <c r="G12" i="74"/>
  <c r="H12" i="74" s="1"/>
  <c r="G43" i="74"/>
  <c r="G48" i="74"/>
  <c r="H48" i="74" s="1"/>
  <c r="G55" i="74"/>
  <c r="H55" i="74" s="1"/>
  <c r="G14" i="74"/>
  <c r="H14" i="74" s="1"/>
  <c r="G52" i="73"/>
  <c r="H52" i="73" s="1"/>
  <c r="G15" i="73"/>
  <c r="H15" i="73" s="1"/>
  <c r="G14" i="73"/>
  <c r="H14" i="73" s="1"/>
  <c r="G44" i="73"/>
  <c r="H44" i="73" s="1"/>
  <c r="G25" i="73"/>
  <c r="H25" i="73" s="1"/>
  <c r="G49" i="73"/>
  <c r="H49" i="73" s="1"/>
  <c r="G33" i="73"/>
  <c r="G17" i="73"/>
  <c r="H17" i="73" s="1"/>
  <c r="G35" i="73"/>
  <c r="H35" i="73" s="1"/>
  <c r="G30" i="73"/>
  <c r="G12" i="73"/>
  <c r="H12" i="73" s="1"/>
  <c r="G13" i="73"/>
  <c r="H13" i="73" s="1"/>
  <c r="G53" i="73"/>
  <c r="H53" i="73" s="1"/>
  <c r="G21" i="73"/>
  <c r="H21" i="73" s="1"/>
  <c r="G37" i="73"/>
  <c r="G16" i="73"/>
  <c r="H16" i="73" s="1"/>
  <c r="G32" i="73"/>
  <c r="H32" i="73" s="1"/>
  <c r="G50" i="73"/>
  <c r="G51" i="73"/>
  <c r="H51" i="73" s="1"/>
  <c r="G43" i="73"/>
  <c r="H43" i="73" s="1"/>
  <c r="G45" i="73"/>
  <c r="H45" i="73" s="1"/>
  <c r="G41" i="73"/>
  <c r="H41" i="73" s="1"/>
  <c r="G19" i="73"/>
  <c r="H19" i="73" s="1"/>
  <c r="G44" i="72"/>
  <c r="H44" i="72" s="1"/>
  <c r="G25" i="72"/>
  <c r="G39" i="72"/>
  <c r="H39" i="72" s="1"/>
  <c r="G28" i="72"/>
  <c r="H28" i="72" s="1"/>
  <c r="G32" i="72"/>
  <c r="G41" i="72"/>
  <c r="H41" i="72" s="1"/>
  <c r="G15" i="72"/>
  <c r="G23" i="72"/>
  <c r="H23" i="72" s="1"/>
  <c r="G12" i="72"/>
  <c r="G26" i="72"/>
  <c r="H26" i="72" s="1"/>
  <c r="G42" i="72"/>
  <c r="G53" i="72"/>
  <c r="H53" i="72" s="1"/>
  <c r="G33" i="72"/>
  <c r="H33" i="72" s="1"/>
  <c r="G10" i="72"/>
  <c r="G16" i="72"/>
  <c r="G48" i="72"/>
  <c r="H48" i="72" s="1"/>
  <c r="G55" i="72"/>
  <c r="H55" i="72" s="1"/>
  <c r="E32" i="72"/>
  <c r="G18" i="72"/>
  <c r="G34" i="72"/>
  <c r="H34" i="72" s="1"/>
  <c r="G50" i="72"/>
  <c r="H50" i="72" s="1"/>
  <c r="E51" i="72"/>
  <c r="G51" i="72"/>
  <c r="H51" i="72" s="1"/>
  <c r="G45" i="72"/>
  <c r="H45" i="72" s="1"/>
  <c r="H45" i="77"/>
  <c r="E45" i="77"/>
  <c r="E20" i="77"/>
  <c r="E36" i="77"/>
  <c r="E52" i="77"/>
  <c r="H52" i="77"/>
  <c r="E13" i="77"/>
  <c r="H13" i="77"/>
  <c r="E23" i="77"/>
  <c r="E39" i="77"/>
  <c r="E55" i="77"/>
  <c r="E30" i="77"/>
  <c r="E46" i="77"/>
  <c r="E17" i="77"/>
  <c r="H18" i="75"/>
  <c r="E18" i="75"/>
  <c r="E43" i="75"/>
  <c r="E27" i="75"/>
  <c r="H27" i="75"/>
  <c r="E14" i="75"/>
  <c r="E10" i="75"/>
  <c r="H10" i="75"/>
  <c r="H39" i="74"/>
  <c r="E39" i="74"/>
  <c r="E52" i="73"/>
  <c r="H34" i="73"/>
  <c r="E34" i="73"/>
  <c r="E15" i="73"/>
  <c r="E20" i="73"/>
  <c r="H20" i="73"/>
  <c r="E36" i="73"/>
  <c r="H36" i="73"/>
  <c r="E53" i="73"/>
  <c r="E55" i="73"/>
  <c r="H55" i="73"/>
  <c r="E31" i="72"/>
  <c r="E13" i="72"/>
  <c r="H13" i="72"/>
  <c r="E12" i="76"/>
  <c r="E16" i="75"/>
  <c r="E48" i="75"/>
  <c r="E37" i="75"/>
  <c r="H51" i="74"/>
  <c r="E51" i="74"/>
  <c r="E27" i="74"/>
  <c r="H27" i="74"/>
  <c r="E7" i="74"/>
  <c r="H15" i="74"/>
  <c r="E15" i="74"/>
  <c r="E34" i="74"/>
  <c r="H34" i="74"/>
  <c r="E21" i="74"/>
  <c r="H21" i="74"/>
  <c r="E37" i="74"/>
  <c r="E52" i="74"/>
  <c r="E53" i="72"/>
  <c r="E37" i="72"/>
  <c r="E21" i="72"/>
  <c r="E20" i="76"/>
  <c r="E13" i="76"/>
  <c r="E10" i="76"/>
  <c r="H48" i="76"/>
  <c r="E48" i="76"/>
  <c r="E39" i="76"/>
  <c r="E16" i="76"/>
  <c r="E52" i="76"/>
  <c r="E34" i="76"/>
  <c r="E50" i="76"/>
  <c r="H50" i="76"/>
  <c r="H29" i="76"/>
  <c r="E29" i="76"/>
  <c r="H45" i="76"/>
  <c r="E45" i="76"/>
  <c r="H39" i="73"/>
  <c r="E39" i="73"/>
  <c r="H26" i="73"/>
  <c r="E26" i="73"/>
  <c r="E55" i="72"/>
  <c r="E17" i="72"/>
  <c r="E18" i="72"/>
  <c r="H18" i="72"/>
  <c r="E34" i="72"/>
  <c r="E50" i="72"/>
  <c r="I13" i="72"/>
  <c r="I11" i="72"/>
  <c r="I10" i="72"/>
  <c r="I9" i="72"/>
  <c r="H7" i="72"/>
  <c r="I7" i="72"/>
  <c r="H29" i="77"/>
  <c r="E29" i="77"/>
  <c r="E24" i="77"/>
  <c r="E40" i="77"/>
  <c r="H40" i="77"/>
  <c r="E57" i="77"/>
  <c r="H57" i="77"/>
  <c r="E14" i="77"/>
  <c r="E27" i="77"/>
  <c r="E43" i="77"/>
  <c r="E18" i="77"/>
  <c r="E34" i="77"/>
  <c r="H50" i="77"/>
  <c r="E50" i="77"/>
  <c r="E37" i="77"/>
  <c r="H46" i="75"/>
  <c r="E46" i="75"/>
  <c r="E30" i="75"/>
  <c r="E55" i="75"/>
  <c r="H55" i="75"/>
  <c r="E39" i="75"/>
  <c r="E23" i="75"/>
  <c r="H23" i="75"/>
  <c r="E13" i="75"/>
  <c r="E9" i="75"/>
  <c r="H21" i="77"/>
  <c r="E35" i="76"/>
  <c r="H35" i="76"/>
  <c r="H36" i="74"/>
  <c r="E36" i="74"/>
  <c r="E49" i="73"/>
  <c r="H31" i="73"/>
  <c r="E31" i="73"/>
  <c r="E24" i="73"/>
  <c r="H24" i="73"/>
  <c r="E40" i="73"/>
  <c r="H40" i="73"/>
  <c r="E57" i="73"/>
  <c r="H57" i="73"/>
  <c r="E47" i="72"/>
  <c r="H47" i="72"/>
  <c r="E28" i="72"/>
  <c r="E11" i="72"/>
  <c r="H11" i="72"/>
  <c r="E36" i="75"/>
  <c r="E33" i="75"/>
  <c r="E24" i="75"/>
  <c r="E57" i="75"/>
  <c r="H57" i="75"/>
  <c r="H45" i="75"/>
  <c r="E45" i="75"/>
  <c r="E49" i="74"/>
  <c r="H49" i="74"/>
  <c r="E30" i="74"/>
  <c r="E9" i="74"/>
  <c r="E18" i="74"/>
  <c r="H18" i="74"/>
  <c r="E44" i="74"/>
  <c r="H25" i="74"/>
  <c r="E25" i="74"/>
  <c r="H41" i="74"/>
  <c r="E41" i="74"/>
  <c r="H57" i="74"/>
  <c r="E57" i="74"/>
  <c r="E33" i="73"/>
  <c r="H33" i="73"/>
  <c r="E17" i="73"/>
  <c r="H35" i="72"/>
  <c r="E11" i="76"/>
  <c r="E24" i="76"/>
  <c r="E19" i="76"/>
  <c r="E14" i="76"/>
  <c r="E17" i="76"/>
  <c r="E47" i="76"/>
  <c r="E28" i="76"/>
  <c r="E22" i="76"/>
  <c r="H22" i="76"/>
  <c r="E38" i="76"/>
  <c r="H38" i="76"/>
  <c r="E54" i="76"/>
  <c r="H54" i="76"/>
  <c r="E33" i="76"/>
  <c r="E49" i="76"/>
  <c r="H26" i="74"/>
  <c r="H23" i="73"/>
  <c r="E23" i="73"/>
  <c r="E13" i="73"/>
  <c r="H52" i="72"/>
  <c r="E52" i="72"/>
  <c r="E39" i="72"/>
  <c r="H19" i="72"/>
  <c r="E9" i="77"/>
  <c r="E28" i="77"/>
  <c r="E44" i="77"/>
  <c r="E11" i="77"/>
  <c r="H11" i="77"/>
  <c r="E15" i="77"/>
  <c r="E31" i="77"/>
  <c r="E47" i="77"/>
  <c r="H22" i="77"/>
  <c r="E22" i="77"/>
  <c r="E38" i="77"/>
  <c r="H54" i="77"/>
  <c r="E54" i="77"/>
  <c r="E7" i="77"/>
  <c r="E42" i="75"/>
  <c r="H26" i="75"/>
  <c r="E26" i="75"/>
  <c r="E51" i="75"/>
  <c r="E35" i="75"/>
  <c r="H35" i="75"/>
  <c r="E19" i="75"/>
  <c r="E12" i="75"/>
  <c r="H12" i="75"/>
  <c r="H54" i="75"/>
  <c r="E54" i="75"/>
  <c r="H41" i="75"/>
  <c r="E41" i="75"/>
  <c r="E48" i="73"/>
  <c r="H48" i="73"/>
  <c r="E21" i="73"/>
  <c r="E7" i="73"/>
  <c r="H28" i="73"/>
  <c r="E28" i="73"/>
  <c r="E44" i="73"/>
  <c r="E47" i="73"/>
  <c r="E44" i="72"/>
  <c r="H25" i="72"/>
  <c r="E25" i="72"/>
  <c r="E9" i="72"/>
  <c r="E28" i="75"/>
  <c r="H49" i="75"/>
  <c r="E49" i="75"/>
  <c r="E32" i="75"/>
  <c r="H21" i="75"/>
  <c r="E21" i="75"/>
  <c r="H53" i="75"/>
  <c r="E53" i="75"/>
  <c r="H47" i="74"/>
  <c r="E47" i="74"/>
  <c r="E40" i="74"/>
  <c r="H11" i="74"/>
  <c r="E11" i="74"/>
  <c r="E28" i="74"/>
  <c r="E54" i="74"/>
  <c r="H54" i="74"/>
  <c r="E29" i="74"/>
  <c r="E45" i="74"/>
  <c r="E46" i="73"/>
  <c r="H46" i="73"/>
  <c r="E30" i="73"/>
  <c r="H30" i="73"/>
  <c r="E12" i="73"/>
  <c r="E43" i="72"/>
  <c r="E27" i="72"/>
  <c r="H27" i="72"/>
  <c r="H15" i="76"/>
  <c r="E15" i="76"/>
  <c r="H57" i="76"/>
  <c r="E57" i="76"/>
  <c r="E27" i="76"/>
  <c r="H27" i="76"/>
  <c r="E18" i="76"/>
  <c r="E23" i="76"/>
  <c r="E55" i="76"/>
  <c r="H55" i="76"/>
  <c r="H36" i="76"/>
  <c r="E36" i="76"/>
  <c r="E26" i="76"/>
  <c r="E42" i="76"/>
  <c r="H42" i="76"/>
  <c r="E21" i="76"/>
  <c r="H37" i="76"/>
  <c r="E37" i="76"/>
  <c r="E53" i="76"/>
  <c r="E45" i="73"/>
  <c r="H49" i="72"/>
  <c r="E49" i="72"/>
  <c r="H36" i="72"/>
  <c r="E36" i="72"/>
  <c r="E23" i="72"/>
  <c r="E12" i="72"/>
  <c r="E26" i="72"/>
  <c r="H42" i="72"/>
  <c r="E42" i="72"/>
  <c r="H50" i="74"/>
  <c r="H29" i="72"/>
  <c r="E16" i="77"/>
  <c r="H16" i="77"/>
  <c r="E32" i="77"/>
  <c r="H32" i="77"/>
  <c r="E48" i="77"/>
  <c r="H48" i="77"/>
  <c r="E12" i="77"/>
  <c r="H12" i="77"/>
  <c r="E19" i="77"/>
  <c r="E35" i="77"/>
  <c r="H35" i="77"/>
  <c r="E51" i="77"/>
  <c r="H26" i="77"/>
  <c r="E26" i="77"/>
  <c r="H42" i="77"/>
  <c r="E42" i="77"/>
  <c r="H33" i="77"/>
  <c r="E33" i="77"/>
  <c r="E10" i="77"/>
  <c r="H38" i="75"/>
  <c r="E38" i="75"/>
  <c r="E22" i="75"/>
  <c r="E47" i="75"/>
  <c r="E31" i="75"/>
  <c r="E15" i="75"/>
  <c r="H15" i="75"/>
  <c r="E11" i="75"/>
  <c r="H11" i="75"/>
  <c r="H53" i="77"/>
  <c r="E42" i="74"/>
  <c r="H42" i="74"/>
  <c r="E10" i="74"/>
  <c r="E37" i="73"/>
  <c r="H37" i="73"/>
  <c r="H18" i="73"/>
  <c r="E18" i="73"/>
  <c r="E16" i="73"/>
  <c r="E32" i="73"/>
  <c r="H50" i="73"/>
  <c r="E50" i="73"/>
  <c r="E51" i="73"/>
  <c r="E41" i="72"/>
  <c r="E15" i="72"/>
  <c r="H15" i="72"/>
  <c r="H40" i="76"/>
  <c r="E40" i="76"/>
  <c r="E44" i="75"/>
  <c r="E7" i="75"/>
  <c r="E40" i="75"/>
  <c r="H29" i="75"/>
  <c r="E29" i="75"/>
  <c r="E53" i="74"/>
  <c r="H53" i="74"/>
  <c r="E43" i="74"/>
  <c r="H43" i="74"/>
  <c r="H13" i="74"/>
  <c r="E13" i="74"/>
  <c r="H31" i="74"/>
  <c r="E31" i="74"/>
  <c r="H17" i="74"/>
  <c r="E17" i="74"/>
  <c r="E33" i="74"/>
  <c r="H33" i="74"/>
  <c r="E48" i="74"/>
  <c r="E43" i="73"/>
  <c r="E27" i="73"/>
  <c r="E57" i="72"/>
  <c r="H57" i="72"/>
  <c r="E40" i="72"/>
  <c r="H40" i="72"/>
  <c r="E24" i="72"/>
  <c r="H24" i="72"/>
  <c r="E51" i="76"/>
  <c r="H51" i="76"/>
  <c r="E9" i="76"/>
  <c r="E43" i="76"/>
  <c r="E32" i="76"/>
  <c r="E31" i="76"/>
  <c r="H31" i="76"/>
  <c r="E7" i="76"/>
  <c r="H44" i="76"/>
  <c r="E44" i="76"/>
  <c r="E30" i="76"/>
  <c r="H30" i="76"/>
  <c r="E46" i="76"/>
  <c r="H46" i="76"/>
  <c r="E25" i="76"/>
  <c r="H41" i="76"/>
  <c r="E41" i="76"/>
  <c r="H42" i="73"/>
  <c r="E42" i="73"/>
  <c r="E29" i="73"/>
  <c r="H29" i="73"/>
  <c r="E9" i="73"/>
  <c r="E33" i="72"/>
  <c r="H20" i="72"/>
  <c r="E20" i="72"/>
  <c r="E10" i="72"/>
  <c r="H10" i="72"/>
  <c r="H32" i="72"/>
  <c r="H54" i="73"/>
  <c r="Q8" i="26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I25" i="79" s="1"/>
  <c r="Q13" i="30"/>
  <c r="Q14" i="30"/>
  <c r="Q8" i="31"/>
  <c r="Q9" i="31"/>
  <c r="Q10" i="31"/>
  <c r="Q11" i="31"/>
  <c r="Q12" i="31"/>
  <c r="Q13" i="31"/>
  <c r="J26" i="79" s="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G35" i="79" s="1"/>
  <c r="Q12" i="37"/>
  <c r="Q13" i="37"/>
  <c r="Q14" i="37"/>
  <c r="Q8" i="3"/>
  <c r="D21" i="79" s="1"/>
  <c r="Q9" i="3"/>
  <c r="D22" i="79" s="1"/>
  <c r="Q10" i="3"/>
  <c r="D23" i="79" s="1"/>
  <c r="Q11" i="3"/>
  <c r="D24" i="79" s="1"/>
  <c r="Q12" i="3"/>
  <c r="D25" i="79" s="1"/>
  <c r="Q13" i="3"/>
  <c r="D26" i="79" s="1"/>
  <c r="Q14" i="3"/>
  <c r="D27" i="79" s="1"/>
  <c r="Q7" i="37"/>
  <c r="Q7" i="36"/>
  <c r="Q7" i="35"/>
  <c r="Q7" i="34"/>
  <c r="Q7" i="33"/>
  <c r="Q7" i="32"/>
  <c r="Q7" i="31"/>
  <c r="Q7" i="30"/>
  <c r="Q7" i="29"/>
  <c r="Q7" i="28"/>
  <c r="Q7" i="27"/>
  <c r="Q7" i="26"/>
  <c r="Q7" i="3"/>
  <c r="Q8" i="5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37"/>
  <c r="J3" i="36"/>
  <c r="J3" i="35"/>
  <c r="J3" i="34"/>
  <c r="J3" i="33"/>
  <c r="J3" i="32"/>
  <c r="J3" i="31"/>
  <c r="J3" i="30"/>
  <c r="J3" i="29"/>
  <c r="J3" i="28"/>
  <c r="J3" i="27"/>
  <c r="J3" i="26"/>
  <c r="J3" i="3"/>
  <c r="J3" i="25"/>
  <c r="F7" i="25" s="1"/>
  <c r="J3" i="6"/>
  <c r="F8" i="6" s="1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4" i="5"/>
  <c r="H4" i="2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H3" i="5"/>
  <c r="H3" i="2"/>
  <c r="I39" i="72" l="1"/>
  <c r="I31" i="72"/>
  <c r="J31" i="72" s="1"/>
  <c r="I15" i="72"/>
  <c r="J15" i="72" s="1"/>
  <c r="H16" i="72"/>
  <c r="H12" i="72"/>
  <c r="I51" i="72"/>
  <c r="J51" i="72" s="1"/>
  <c r="I55" i="72"/>
  <c r="I42" i="72"/>
  <c r="J42" i="72" s="1"/>
  <c r="I12" i="72"/>
  <c r="I40" i="72"/>
  <c r="J40" i="72" s="1"/>
  <c r="I32" i="72"/>
  <c r="J32" i="72" s="1"/>
  <c r="I36" i="72"/>
  <c r="J36" i="72" s="1"/>
  <c r="I37" i="72"/>
  <c r="I28" i="72"/>
  <c r="F29" i="72" s="1"/>
  <c r="I35" i="72"/>
  <c r="F22" i="79"/>
  <c r="I48" i="72"/>
  <c r="J48" i="72" s="1"/>
  <c r="I52" i="72"/>
  <c r="J52" i="72" s="1"/>
  <c r="I53" i="72"/>
  <c r="I44" i="72"/>
  <c r="J44" i="72" s="1"/>
  <c r="I47" i="72"/>
  <c r="J47" i="72" s="1"/>
  <c r="H17" i="72"/>
  <c r="E33" i="79"/>
  <c r="E21" i="79"/>
  <c r="I17" i="72"/>
  <c r="I18" i="72"/>
  <c r="J18" i="72" s="1"/>
  <c r="I57" i="72"/>
  <c r="J57" i="72" s="1"/>
  <c r="Q17" i="72" s="1"/>
  <c r="I19" i="72"/>
  <c r="J19" i="72" s="1"/>
  <c r="I43" i="72"/>
  <c r="I16" i="72"/>
  <c r="J16" i="72" s="1"/>
  <c r="I20" i="72"/>
  <c r="I21" i="72"/>
  <c r="I23" i="72"/>
  <c r="F23" i="72" s="1"/>
  <c r="D32" i="79"/>
  <c r="I45" i="72"/>
  <c r="I41" i="72"/>
  <c r="J41" i="72" s="1"/>
  <c r="I26" i="72"/>
  <c r="F27" i="72" s="1"/>
  <c r="I24" i="72"/>
  <c r="I27" i="72"/>
  <c r="J27" i="72" s="1"/>
  <c r="I49" i="72"/>
  <c r="J49" i="72" s="1"/>
  <c r="I50" i="72"/>
  <c r="J50" i="72" s="1"/>
  <c r="I29" i="72"/>
  <c r="J29" i="72" s="1"/>
  <c r="I33" i="72"/>
  <c r="J33" i="72" s="1"/>
  <c r="I34" i="72"/>
  <c r="I25" i="72"/>
  <c r="J25" i="72" s="1"/>
  <c r="E32" i="79"/>
  <c r="J25" i="79"/>
  <c r="I24" i="79"/>
  <c r="F21" i="79"/>
  <c r="F15" i="6"/>
  <c r="E37" i="79"/>
  <c r="D36" i="79"/>
  <c r="L24" i="79"/>
  <c r="J22" i="79"/>
  <c r="I21" i="79"/>
  <c r="F26" i="79"/>
  <c r="E25" i="79"/>
  <c r="F14" i="6"/>
  <c r="E36" i="79"/>
  <c r="D35" i="79"/>
  <c r="J21" i="79"/>
  <c r="F25" i="79"/>
  <c r="E24" i="79"/>
  <c r="F13" i="25"/>
  <c r="F10" i="6"/>
  <c r="F38" i="79"/>
  <c r="K27" i="79"/>
  <c r="H24" i="79"/>
  <c r="G27" i="79"/>
  <c r="G23" i="79"/>
  <c r="K20" i="79"/>
  <c r="F31" i="79"/>
  <c r="H20" i="79"/>
  <c r="G38" i="79"/>
  <c r="H23" i="79"/>
  <c r="G20" i="79"/>
  <c r="L20" i="79"/>
  <c r="G31" i="79"/>
  <c r="G34" i="79"/>
  <c r="F33" i="79"/>
  <c r="L23" i="79"/>
  <c r="K22" i="79"/>
  <c r="G26" i="79"/>
  <c r="E20" i="79"/>
  <c r="I20" i="79"/>
  <c r="D31" i="79"/>
  <c r="G37" i="79"/>
  <c r="G33" i="79"/>
  <c r="F36" i="79"/>
  <c r="F32" i="79"/>
  <c r="E35" i="79"/>
  <c r="D38" i="79"/>
  <c r="D34" i="79"/>
  <c r="L26" i="79"/>
  <c r="L22" i="79"/>
  <c r="K25" i="79"/>
  <c r="K21" i="79"/>
  <c r="J24" i="79"/>
  <c r="I27" i="79"/>
  <c r="I23" i="79"/>
  <c r="H26" i="79"/>
  <c r="H22" i="79"/>
  <c r="G25" i="79"/>
  <c r="G21" i="79"/>
  <c r="F24" i="79"/>
  <c r="E27" i="79"/>
  <c r="E23" i="79"/>
  <c r="F34" i="79"/>
  <c r="K23" i="79"/>
  <c r="F37" i="79"/>
  <c r="L27" i="79"/>
  <c r="K26" i="79"/>
  <c r="G22" i="79"/>
  <c r="F20" i="79"/>
  <c r="J20" i="79"/>
  <c r="E31" i="79"/>
  <c r="G36" i="79"/>
  <c r="G32" i="79"/>
  <c r="F35" i="79"/>
  <c r="E38" i="79"/>
  <c r="E34" i="79"/>
  <c r="D37" i="79"/>
  <c r="D33" i="79"/>
  <c r="L25" i="79"/>
  <c r="L21" i="79"/>
  <c r="K24" i="79"/>
  <c r="J27" i="79"/>
  <c r="J23" i="79"/>
  <c r="I26" i="79"/>
  <c r="I22" i="79"/>
  <c r="H25" i="79"/>
  <c r="H21" i="79"/>
  <c r="G24" i="79"/>
  <c r="F27" i="79"/>
  <c r="F23" i="79"/>
  <c r="E26" i="79"/>
  <c r="E22" i="79"/>
  <c r="D20" i="79"/>
  <c r="E16" i="79"/>
  <c r="E12" i="79"/>
  <c r="D16" i="79"/>
  <c r="D12" i="79"/>
  <c r="D15" i="79"/>
  <c r="D11" i="79"/>
  <c r="E15" i="79"/>
  <c r="E11" i="79"/>
  <c r="D14" i="79"/>
  <c r="D10" i="79"/>
  <c r="E14" i="79"/>
  <c r="E10" i="79"/>
  <c r="D9" i="79"/>
  <c r="D13" i="79"/>
  <c r="E9" i="79"/>
  <c r="E13" i="79"/>
  <c r="F12" i="6"/>
  <c r="F11" i="25"/>
  <c r="F9" i="6"/>
  <c r="F15" i="25"/>
  <c r="F14" i="25"/>
  <c r="F7" i="6"/>
  <c r="F11" i="6"/>
  <c r="F13" i="6"/>
  <c r="F12" i="25"/>
  <c r="F10" i="25"/>
  <c r="F9" i="25"/>
  <c r="F8" i="25"/>
  <c r="J11" i="72"/>
  <c r="F12" i="72"/>
  <c r="J7" i="72"/>
  <c r="F7" i="72"/>
  <c r="F9" i="72"/>
  <c r="J20" i="72"/>
  <c r="J9" i="72"/>
  <c r="F10" i="72"/>
  <c r="J13" i="72"/>
  <c r="I54" i="76"/>
  <c r="I50" i="76"/>
  <c r="I46" i="76"/>
  <c r="I42" i="76"/>
  <c r="I38" i="76"/>
  <c r="I34" i="76"/>
  <c r="I30" i="76"/>
  <c r="I26" i="76"/>
  <c r="I22" i="76"/>
  <c r="I55" i="76"/>
  <c r="I51" i="76"/>
  <c r="I47" i="76"/>
  <c r="I43" i="76"/>
  <c r="I39" i="76"/>
  <c r="I35" i="76"/>
  <c r="I31" i="76"/>
  <c r="I27" i="76"/>
  <c r="I23" i="76"/>
  <c r="I49" i="76"/>
  <c r="I41" i="76"/>
  <c r="I33" i="76"/>
  <c r="I25" i="76"/>
  <c r="I17" i="76"/>
  <c r="H7" i="76"/>
  <c r="I52" i="76"/>
  <c r="I44" i="76"/>
  <c r="I36" i="76"/>
  <c r="I28" i="76"/>
  <c r="I18" i="76"/>
  <c r="I45" i="76"/>
  <c r="I29" i="76"/>
  <c r="I20" i="76"/>
  <c r="I15" i="76"/>
  <c r="I11" i="76"/>
  <c r="I57" i="76"/>
  <c r="J57" i="76" s="1"/>
  <c r="Q17" i="76" s="1"/>
  <c r="I40" i="76"/>
  <c r="I24" i="76"/>
  <c r="I16" i="76"/>
  <c r="I14" i="76"/>
  <c r="I10" i="76"/>
  <c r="I7" i="76"/>
  <c r="I37" i="76"/>
  <c r="I32" i="76"/>
  <c r="I19" i="76"/>
  <c r="I12" i="76"/>
  <c r="I21" i="76"/>
  <c r="I48" i="76"/>
  <c r="I13" i="76"/>
  <c r="I9" i="76"/>
  <c r="I53" i="76"/>
  <c r="I55" i="77"/>
  <c r="I51" i="77"/>
  <c r="I47" i="77"/>
  <c r="I43" i="77"/>
  <c r="I39" i="77"/>
  <c r="I35" i="77"/>
  <c r="I31" i="77"/>
  <c r="I27" i="77"/>
  <c r="I23" i="77"/>
  <c r="I19" i="77"/>
  <c r="I15" i="77"/>
  <c r="I14" i="77"/>
  <c r="I13" i="77"/>
  <c r="I12" i="77"/>
  <c r="I11" i="77"/>
  <c r="I10" i="77"/>
  <c r="I9" i="77"/>
  <c r="I57" i="77"/>
  <c r="J57" i="77" s="1"/>
  <c r="Q17" i="77" s="1"/>
  <c r="I52" i="77"/>
  <c r="I48" i="77"/>
  <c r="I44" i="77"/>
  <c r="I40" i="77"/>
  <c r="I36" i="77"/>
  <c r="I32" i="77"/>
  <c r="I28" i="77"/>
  <c r="I24" i="77"/>
  <c r="I20" i="77"/>
  <c r="I16" i="77"/>
  <c r="I53" i="77"/>
  <c r="I49" i="77"/>
  <c r="I45" i="77"/>
  <c r="I41" i="77"/>
  <c r="I37" i="77"/>
  <c r="I33" i="77"/>
  <c r="I29" i="77"/>
  <c r="I25" i="77"/>
  <c r="I21" i="77"/>
  <c r="I17" i="77"/>
  <c r="I42" i="77"/>
  <c r="I26" i="77"/>
  <c r="I7" i="77"/>
  <c r="I46" i="77"/>
  <c r="I30" i="77"/>
  <c r="H7" i="77"/>
  <c r="I50" i="77"/>
  <c r="I18" i="77"/>
  <c r="I54" i="77"/>
  <c r="I22" i="77"/>
  <c r="I34" i="77"/>
  <c r="I38" i="77"/>
  <c r="I57" i="73"/>
  <c r="J57" i="73" s="1"/>
  <c r="Q17" i="73" s="1"/>
  <c r="I52" i="73"/>
  <c r="I48" i="73"/>
  <c r="I53" i="73"/>
  <c r="I50" i="73"/>
  <c r="I47" i="73"/>
  <c r="I45" i="73"/>
  <c r="I41" i="73"/>
  <c r="I37" i="73"/>
  <c r="I33" i="73"/>
  <c r="I29" i="73"/>
  <c r="I25" i="73"/>
  <c r="I21" i="73"/>
  <c r="I17" i="73"/>
  <c r="H7" i="73"/>
  <c r="I44" i="73"/>
  <c r="I34" i="73"/>
  <c r="I31" i="73"/>
  <c r="I28" i="73"/>
  <c r="I18" i="73"/>
  <c r="I15" i="73"/>
  <c r="I49" i="73"/>
  <c r="I46" i="73"/>
  <c r="I43" i="73"/>
  <c r="I40" i="73"/>
  <c r="I30" i="73"/>
  <c r="I27" i="73"/>
  <c r="I24" i="73"/>
  <c r="I12" i="73"/>
  <c r="I55" i="73"/>
  <c r="I54" i="73"/>
  <c r="I51" i="73"/>
  <c r="I42" i="73"/>
  <c r="I39" i="73"/>
  <c r="I36" i="73"/>
  <c r="I26" i="73"/>
  <c r="I23" i="73"/>
  <c r="I20" i="73"/>
  <c r="I13" i="73"/>
  <c r="I9" i="73"/>
  <c r="I7" i="73"/>
  <c r="I38" i="73"/>
  <c r="I35" i="73"/>
  <c r="I32" i="73"/>
  <c r="I22" i="73"/>
  <c r="I19" i="73"/>
  <c r="I16" i="73"/>
  <c r="I14" i="73"/>
  <c r="J12" i="72"/>
  <c r="F13" i="72"/>
  <c r="I53" i="74"/>
  <c r="I49" i="74"/>
  <c r="I45" i="74"/>
  <c r="I54" i="74"/>
  <c r="I55" i="74"/>
  <c r="I52" i="74"/>
  <c r="I42" i="74"/>
  <c r="I38" i="74"/>
  <c r="I34" i="74"/>
  <c r="I30" i="74"/>
  <c r="I26" i="74"/>
  <c r="I22" i="74"/>
  <c r="I18" i="74"/>
  <c r="I51" i="74"/>
  <c r="I50" i="74"/>
  <c r="I48" i="74"/>
  <c r="I47" i="74"/>
  <c r="I46" i="74"/>
  <c r="I44" i="74"/>
  <c r="I41" i="74"/>
  <c r="I31" i="74"/>
  <c r="I28" i="74"/>
  <c r="I25" i="74"/>
  <c r="I15" i="74"/>
  <c r="I13" i="74"/>
  <c r="I11" i="74"/>
  <c r="I9" i="74"/>
  <c r="I7" i="74"/>
  <c r="I57" i="74"/>
  <c r="J57" i="74" s="1"/>
  <c r="Q17" i="74" s="1"/>
  <c r="I43" i="74"/>
  <c r="I40" i="74"/>
  <c r="I37" i="74"/>
  <c r="I27" i="74"/>
  <c r="I12" i="74"/>
  <c r="H7" i="74"/>
  <c r="I35" i="74"/>
  <c r="I32" i="74"/>
  <c r="I29" i="74"/>
  <c r="I10" i="74"/>
  <c r="I39" i="74"/>
  <c r="I36" i="74"/>
  <c r="I33" i="74"/>
  <c r="I24" i="74"/>
  <c r="I23" i="74"/>
  <c r="I21" i="74"/>
  <c r="I20" i="74"/>
  <c r="I19" i="74"/>
  <c r="I17" i="74"/>
  <c r="I16" i="74"/>
  <c r="I14" i="74"/>
  <c r="I55" i="75"/>
  <c r="I51" i="75"/>
  <c r="I47" i="75"/>
  <c r="I43" i="75"/>
  <c r="I39" i="75"/>
  <c r="I35" i="75"/>
  <c r="I31" i="75"/>
  <c r="I27" i="75"/>
  <c r="I23" i="75"/>
  <c r="I19" i="75"/>
  <c r="I15" i="75"/>
  <c r="I14" i="75"/>
  <c r="I13" i="75"/>
  <c r="I12" i="75"/>
  <c r="I11" i="75"/>
  <c r="I10" i="75"/>
  <c r="I9" i="75"/>
  <c r="I57" i="75"/>
  <c r="J57" i="75" s="1"/>
  <c r="Q17" i="75" s="1"/>
  <c r="I52" i="75"/>
  <c r="I48" i="75"/>
  <c r="I44" i="75"/>
  <c r="I40" i="75"/>
  <c r="I36" i="75"/>
  <c r="I32" i="75"/>
  <c r="I28" i="75"/>
  <c r="I24" i="75"/>
  <c r="I20" i="75"/>
  <c r="I16" i="75"/>
  <c r="I7" i="75"/>
  <c r="I42" i="75"/>
  <c r="I26" i="75"/>
  <c r="I18" i="75"/>
  <c r="I53" i="75"/>
  <c r="I45" i="75"/>
  <c r="I37" i="75"/>
  <c r="I29" i="75"/>
  <c r="I21" i="75"/>
  <c r="I46" i="75"/>
  <c r="I30" i="75"/>
  <c r="H7" i="75"/>
  <c r="I41" i="75"/>
  <c r="I25" i="75"/>
  <c r="I54" i="75"/>
  <c r="I22" i="75"/>
  <c r="I49" i="75"/>
  <c r="I38" i="75"/>
  <c r="I33" i="75"/>
  <c r="J24" i="72"/>
  <c r="F25" i="72"/>
  <c r="J10" i="72"/>
  <c r="F11" i="72"/>
  <c r="F15" i="72"/>
  <c r="D107" i="2"/>
  <c r="G107" i="2" s="1"/>
  <c r="H107" i="2" s="1"/>
  <c r="D102" i="2"/>
  <c r="L102" i="2" s="1"/>
  <c r="L102" i="5"/>
  <c r="F44" i="72" l="1"/>
  <c r="F35" i="72"/>
  <c r="F53" i="72"/>
  <c r="F45" i="72"/>
  <c r="F41" i="72"/>
  <c r="F47" i="72"/>
  <c r="F37" i="72"/>
  <c r="J28" i="72"/>
  <c r="J45" i="72"/>
  <c r="F28" i="72"/>
  <c r="J37" i="72"/>
  <c r="F50" i="72"/>
  <c r="F36" i="72"/>
  <c r="F40" i="72"/>
  <c r="J39" i="72"/>
  <c r="F26" i="72"/>
  <c r="F20" i="72"/>
  <c r="F16" i="72"/>
  <c r="J34" i="72"/>
  <c r="F57" i="72"/>
  <c r="F31" i="72"/>
  <c r="F19" i="72"/>
  <c r="J23" i="72"/>
  <c r="F55" i="72"/>
  <c r="F52" i="72"/>
  <c r="F39" i="72"/>
  <c r="J43" i="72"/>
  <c r="F43" i="72"/>
  <c r="F32" i="72"/>
  <c r="F18" i="72"/>
  <c r="J35" i="72"/>
  <c r="F42" i="72"/>
  <c r="J26" i="72"/>
  <c r="F51" i="72"/>
  <c r="F33" i="72"/>
  <c r="F34" i="72"/>
  <c r="J55" i="72"/>
  <c r="J53" i="72"/>
  <c r="J21" i="72"/>
  <c r="J17" i="72"/>
  <c r="F48" i="72"/>
  <c r="F49" i="72"/>
  <c r="F21" i="72"/>
  <c r="F24" i="72"/>
  <c r="F17" i="72"/>
  <c r="L107" i="2"/>
  <c r="J41" i="75"/>
  <c r="F42" i="75"/>
  <c r="J53" i="75"/>
  <c r="F54" i="75"/>
  <c r="J20" i="75"/>
  <c r="F21" i="75"/>
  <c r="J52" i="75"/>
  <c r="F53" i="75"/>
  <c r="F16" i="75"/>
  <c r="J15" i="75"/>
  <c r="F48" i="75"/>
  <c r="J47" i="75"/>
  <c r="J21" i="74"/>
  <c r="F22" i="74"/>
  <c r="J31" i="74"/>
  <c r="F32" i="74"/>
  <c r="F19" i="74"/>
  <c r="J18" i="74"/>
  <c r="F35" i="74"/>
  <c r="J34" i="74"/>
  <c r="F54" i="74"/>
  <c r="J53" i="74"/>
  <c r="F15" i="73"/>
  <c r="J14" i="73"/>
  <c r="J9" i="73"/>
  <c r="F52" i="73"/>
  <c r="J51" i="73"/>
  <c r="J43" i="73"/>
  <c r="F44" i="73"/>
  <c r="J34" i="73"/>
  <c r="F35" i="73"/>
  <c r="F38" i="73"/>
  <c r="J37" i="73"/>
  <c r="J50" i="73"/>
  <c r="F51" i="73"/>
  <c r="J30" i="77"/>
  <c r="F31" i="77"/>
  <c r="J29" i="77"/>
  <c r="F30" i="77"/>
  <c r="J20" i="77"/>
  <c r="F21" i="77"/>
  <c r="J52" i="77"/>
  <c r="F53" i="77"/>
  <c r="F48" i="77"/>
  <c r="J47" i="77"/>
  <c r="F13" i="76"/>
  <c r="J12" i="76"/>
  <c r="J24" i="76"/>
  <c r="F25" i="76"/>
  <c r="F19" i="76"/>
  <c r="J18" i="76"/>
  <c r="F34" i="76"/>
  <c r="J33" i="76"/>
  <c r="J43" i="76"/>
  <c r="F44" i="76"/>
  <c r="F39" i="76"/>
  <c r="J38" i="76"/>
  <c r="J33" i="75"/>
  <c r="F19" i="75"/>
  <c r="J18" i="75"/>
  <c r="F20" i="75"/>
  <c r="J19" i="75"/>
  <c r="F18" i="74"/>
  <c r="J17" i="74"/>
  <c r="J39" i="74"/>
  <c r="F40" i="74"/>
  <c r="J37" i="74"/>
  <c r="F38" i="74"/>
  <c r="J15" i="74"/>
  <c r="F16" i="74"/>
  <c r="J48" i="74"/>
  <c r="F49" i="74"/>
  <c r="F39" i="74"/>
  <c r="J38" i="74"/>
  <c r="F17" i="73"/>
  <c r="J16" i="73"/>
  <c r="F14" i="73"/>
  <c r="J13" i="73"/>
  <c r="F55" i="73"/>
  <c r="J54" i="73"/>
  <c r="J46" i="73"/>
  <c r="F47" i="73"/>
  <c r="F45" i="73"/>
  <c r="J44" i="73"/>
  <c r="F42" i="73"/>
  <c r="J41" i="73"/>
  <c r="J18" i="77"/>
  <c r="F19" i="77"/>
  <c r="J33" i="77"/>
  <c r="F34" i="77"/>
  <c r="F20" i="77"/>
  <c r="J19" i="77"/>
  <c r="F36" i="77"/>
  <c r="J35" i="77"/>
  <c r="F14" i="76"/>
  <c r="J13" i="76"/>
  <c r="F11" i="76"/>
  <c r="J10" i="76"/>
  <c r="J20" i="76"/>
  <c r="F21" i="76"/>
  <c r="F42" i="76"/>
  <c r="J41" i="76"/>
  <c r="J47" i="76"/>
  <c r="F48" i="76"/>
  <c r="F43" i="76"/>
  <c r="J42" i="76"/>
  <c r="F39" i="75"/>
  <c r="J38" i="75"/>
  <c r="F55" i="75"/>
  <c r="J54" i="75"/>
  <c r="F31" i="75"/>
  <c r="J30" i="75"/>
  <c r="J37" i="75"/>
  <c r="F38" i="75"/>
  <c r="F27" i="75"/>
  <c r="J26" i="75"/>
  <c r="J7" i="75"/>
  <c r="F7" i="75"/>
  <c r="F9" i="75"/>
  <c r="J28" i="75"/>
  <c r="F29" i="75"/>
  <c r="J44" i="75"/>
  <c r="F45" i="75"/>
  <c r="F10" i="75"/>
  <c r="J9" i="75"/>
  <c r="F14" i="75"/>
  <c r="J13" i="75"/>
  <c r="F24" i="75"/>
  <c r="J23" i="75"/>
  <c r="F40" i="75"/>
  <c r="J39" i="75"/>
  <c r="F57" i="75"/>
  <c r="J55" i="75"/>
  <c r="J19" i="74"/>
  <c r="F20" i="74"/>
  <c r="J24" i="74"/>
  <c r="F25" i="74"/>
  <c r="F11" i="74"/>
  <c r="J10" i="74"/>
  <c r="J40" i="74"/>
  <c r="F41" i="74"/>
  <c r="F10" i="74"/>
  <c r="J9" i="74"/>
  <c r="F26" i="74"/>
  <c r="J25" i="74"/>
  <c r="F45" i="74"/>
  <c r="J44" i="74"/>
  <c r="J50" i="74"/>
  <c r="F51" i="74"/>
  <c r="F27" i="74"/>
  <c r="J26" i="74"/>
  <c r="F43" i="74"/>
  <c r="J42" i="74"/>
  <c r="F46" i="74"/>
  <c r="J45" i="74"/>
  <c r="F20" i="73"/>
  <c r="J19" i="73"/>
  <c r="J38" i="73"/>
  <c r="F39" i="73"/>
  <c r="J20" i="73"/>
  <c r="F21" i="73"/>
  <c r="J39" i="73"/>
  <c r="F40" i="73"/>
  <c r="F57" i="73"/>
  <c r="J55" i="73"/>
  <c r="J30" i="73"/>
  <c r="F31" i="73"/>
  <c r="J49" i="73"/>
  <c r="F50" i="73"/>
  <c r="F29" i="73"/>
  <c r="J28" i="73"/>
  <c r="F30" i="73"/>
  <c r="J29" i="73"/>
  <c r="F46" i="73"/>
  <c r="J45" i="73"/>
  <c r="F49" i="73"/>
  <c r="J48" i="73"/>
  <c r="J34" i="77"/>
  <c r="F35" i="77"/>
  <c r="J50" i="77"/>
  <c r="F51" i="77"/>
  <c r="F9" i="77"/>
  <c r="J7" i="77"/>
  <c r="F7" i="77"/>
  <c r="J21" i="77"/>
  <c r="F22" i="77"/>
  <c r="J37" i="77"/>
  <c r="F38" i="77"/>
  <c r="J53" i="77"/>
  <c r="F54" i="77"/>
  <c r="J28" i="77"/>
  <c r="F29" i="77"/>
  <c r="J44" i="77"/>
  <c r="F45" i="77"/>
  <c r="F10" i="77"/>
  <c r="J9" i="77"/>
  <c r="F14" i="77"/>
  <c r="J13" i="77"/>
  <c r="F24" i="77"/>
  <c r="J23" i="77"/>
  <c r="F40" i="77"/>
  <c r="J39" i="77"/>
  <c r="F57" i="77"/>
  <c r="J55" i="77"/>
  <c r="J48" i="76"/>
  <c r="F49" i="76"/>
  <c r="J32" i="76"/>
  <c r="F33" i="76"/>
  <c r="F15" i="76"/>
  <c r="J14" i="76"/>
  <c r="F30" i="76"/>
  <c r="J29" i="76"/>
  <c r="J36" i="76"/>
  <c r="F37" i="76"/>
  <c r="F18" i="76"/>
  <c r="J17" i="76"/>
  <c r="F50" i="76"/>
  <c r="J49" i="76"/>
  <c r="J35" i="76"/>
  <c r="F36" i="76"/>
  <c r="J51" i="76"/>
  <c r="F52" i="76"/>
  <c r="F31" i="76"/>
  <c r="J30" i="76"/>
  <c r="F47" i="76"/>
  <c r="J46" i="76"/>
  <c r="J49" i="75"/>
  <c r="J21" i="75"/>
  <c r="F22" i="75"/>
  <c r="F43" i="75"/>
  <c r="J42" i="75"/>
  <c r="J36" i="75"/>
  <c r="F37" i="75"/>
  <c r="F12" i="75"/>
  <c r="J11" i="75"/>
  <c r="F32" i="75"/>
  <c r="J31" i="75"/>
  <c r="F17" i="74"/>
  <c r="J16" i="74"/>
  <c r="J36" i="74"/>
  <c r="F37" i="74"/>
  <c r="F33" i="74"/>
  <c r="J32" i="74"/>
  <c r="J27" i="74"/>
  <c r="F28" i="74"/>
  <c r="F14" i="74"/>
  <c r="J13" i="74"/>
  <c r="F48" i="74"/>
  <c r="J47" i="74"/>
  <c r="J55" i="74"/>
  <c r="F57" i="74"/>
  <c r="F33" i="73"/>
  <c r="J32" i="73"/>
  <c r="J26" i="73"/>
  <c r="F27" i="73"/>
  <c r="J24" i="73"/>
  <c r="F25" i="73"/>
  <c r="F16" i="73"/>
  <c r="J15" i="73"/>
  <c r="F22" i="73"/>
  <c r="J21" i="73"/>
  <c r="J54" i="77"/>
  <c r="F55" i="77"/>
  <c r="J42" i="77"/>
  <c r="F43" i="77"/>
  <c r="J45" i="77"/>
  <c r="F46" i="77"/>
  <c r="J36" i="77"/>
  <c r="F37" i="77"/>
  <c r="F12" i="77"/>
  <c r="J11" i="77"/>
  <c r="F16" i="77"/>
  <c r="J15" i="77"/>
  <c r="F32" i="77"/>
  <c r="J31" i="77"/>
  <c r="F10" i="76"/>
  <c r="J9" i="76"/>
  <c r="F9" i="76"/>
  <c r="J7" i="76"/>
  <c r="F7" i="76"/>
  <c r="J15" i="76"/>
  <c r="F16" i="76"/>
  <c r="J52" i="76"/>
  <c r="F53" i="76"/>
  <c r="J27" i="76"/>
  <c r="F28" i="76"/>
  <c r="F23" i="76"/>
  <c r="J22" i="76"/>
  <c r="F55" i="76"/>
  <c r="J54" i="76"/>
  <c r="F23" i="75"/>
  <c r="J22" i="75"/>
  <c r="J29" i="75"/>
  <c r="F30" i="75"/>
  <c r="F51" i="75"/>
  <c r="J24" i="75"/>
  <c r="F25" i="75"/>
  <c r="J40" i="75"/>
  <c r="F41" i="75"/>
  <c r="F13" i="75"/>
  <c r="J12" i="75"/>
  <c r="F36" i="75"/>
  <c r="J35" i="75"/>
  <c r="F52" i="75"/>
  <c r="J51" i="75"/>
  <c r="J23" i="74"/>
  <c r="F24" i="74"/>
  <c r="J35" i="74"/>
  <c r="F36" i="74"/>
  <c r="F9" i="74"/>
  <c r="F7" i="74"/>
  <c r="J7" i="74"/>
  <c r="F42" i="74"/>
  <c r="J41" i="74"/>
  <c r="F23" i="74"/>
  <c r="J22" i="74"/>
  <c r="J54" i="74"/>
  <c r="F55" i="74"/>
  <c r="F36" i="73"/>
  <c r="J35" i="73"/>
  <c r="J36" i="73"/>
  <c r="F37" i="73"/>
  <c r="J27" i="73"/>
  <c r="F28" i="73"/>
  <c r="J18" i="73"/>
  <c r="F19" i="73"/>
  <c r="F26" i="73"/>
  <c r="J25" i="73"/>
  <c r="J53" i="73"/>
  <c r="F54" i="73"/>
  <c r="J38" i="77"/>
  <c r="F39" i="77"/>
  <c r="J46" i="77"/>
  <c r="F47" i="77"/>
  <c r="J17" i="77"/>
  <c r="F18" i="77"/>
  <c r="J49" i="77"/>
  <c r="F50" i="77"/>
  <c r="J24" i="77"/>
  <c r="F25" i="77"/>
  <c r="J40" i="77"/>
  <c r="F41" i="77"/>
  <c r="F13" i="77"/>
  <c r="J12" i="77"/>
  <c r="F52" i="77"/>
  <c r="J51" i="77"/>
  <c r="J19" i="76"/>
  <c r="F20" i="76"/>
  <c r="J40" i="76"/>
  <c r="F41" i="76"/>
  <c r="J28" i="76"/>
  <c r="F29" i="76"/>
  <c r="J31" i="76"/>
  <c r="F32" i="76"/>
  <c r="F27" i="76"/>
  <c r="J26" i="76"/>
  <c r="F18" i="75"/>
  <c r="J25" i="75"/>
  <c r="F26" i="75"/>
  <c r="F47" i="75"/>
  <c r="J46" i="75"/>
  <c r="J45" i="75"/>
  <c r="F46" i="75"/>
  <c r="F35" i="75"/>
  <c r="J16" i="75"/>
  <c r="J32" i="75"/>
  <c r="F33" i="75"/>
  <c r="J48" i="75"/>
  <c r="F49" i="75"/>
  <c r="F11" i="75"/>
  <c r="J10" i="75"/>
  <c r="F15" i="75"/>
  <c r="J14" i="75"/>
  <c r="F28" i="75"/>
  <c r="J27" i="75"/>
  <c r="F44" i="75"/>
  <c r="J43" i="75"/>
  <c r="F15" i="74"/>
  <c r="J14" i="74"/>
  <c r="F21" i="74"/>
  <c r="J20" i="74"/>
  <c r="J33" i="74"/>
  <c r="F34" i="74"/>
  <c r="F30" i="74"/>
  <c r="J29" i="74"/>
  <c r="F13" i="74"/>
  <c r="J12" i="74"/>
  <c r="J43" i="74"/>
  <c r="F44" i="74"/>
  <c r="F12" i="74"/>
  <c r="J11" i="74"/>
  <c r="F29" i="74"/>
  <c r="J28" i="74"/>
  <c r="J46" i="74"/>
  <c r="F47" i="74"/>
  <c r="J51" i="74"/>
  <c r="F52" i="74"/>
  <c r="F31" i="74"/>
  <c r="J30" i="74"/>
  <c r="J52" i="74"/>
  <c r="F53" i="74"/>
  <c r="F50" i="74"/>
  <c r="J49" i="74"/>
  <c r="J22" i="73"/>
  <c r="F23" i="73"/>
  <c r="F9" i="73"/>
  <c r="F7" i="73"/>
  <c r="J7" i="73"/>
  <c r="J23" i="73"/>
  <c r="F24" i="73"/>
  <c r="J42" i="73"/>
  <c r="F43" i="73"/>
  <c r="F13" i="73"/>
  <c r="J12" i="73"/>
  <c r="J40" i="73"/>
  <c r="F41" i="73"/>
  <c r="F12" i="73"/>
  <c r="F32" i="73"/>
  <c r="J31" i="73"/>
  <c r="F18" i="73"/>
  <c r="J17" i="73"/>
  <c r="F34" i="73"/>
  <c r="J33" i="73"/>
  <c r="J47" i="73"/>
  <c r="F48" i="73"/>
  <c r="F53" i="73"/>
  <c r="J52" i="73"/>
  <c r="J22" i="77"/>
  <c r="F23" i="77"/>
  <c r="J26" i="77"/>
  <c r="F27" i="77"/>
  <c r="J25" i="77"/>
  <c r="F26" i="77"/>
  <c r="J41" i="77"/>
  <c r="F42" i="77"/>
  <c r="J16" i="77"/>
  <c r="F17" i="77"/>
  <c r="J32" i="77"/>
  <c r="F33" i="77"/>
  <c r="J48" i="77"/>
  <c r="F49" i="77"/>
  <c r="F11" i="77"/>
  <c r="J10" i="77"/>
  <c r="F15" i="77"/>
  <c r="J14" i="77"/>
  <c r="F28" i="77"/>
  <c r="J27" i="77"/>
  <c r="F44" i="77"/>
  <c r="J43" i="77"/>
  <c r="F54" i="76"/>
  <c r="J53" i="76"/>
  <c r="F22" i="76"/>
  <c r="J21" i="76"/>
  <c r="F38" i="76"/>
  <c r="J37" i="76"/>
  <c r="J16" i="76"/>
  <c r="F17" i="76"/>
  <c r="F12" i="76"/>
  <c r="J11" i="76"/>
  <c r="F46" i="76"/>
  <c r="J45" i="76"/>
  <c r="J44" i="76"/>
  <c r="F45" i="76"/>
  <c r="J25" i="76"/>
  <c r="F26" i="76"/>
  <c r="J23" i="76"/>
  <c r="F24" i="76"/>
  <c r="J39" i="76"/>
  <c r="F40" i="76"/>
  <c r="J55" i="76"/>
  <c r="F57" i="76"/>
  <c r="F35" i="76"/>
  <c r="J34" i="76"/>
  <c r="F51" i="76"/>
  <c r="J50" i="76"/>
  <c r="E102" i="2"/>
  <c r="L15" i="34"/>
  <c r="L13" i="28" l="1"/>
  <c r="D14" i="28"/>
  <c r="L14" i="28" s="1"/>
  <c r="D15" i="28"/>
  <c r="L15" i="28" s="1"/>
  <c r="D16" i="28"/>
  <c r="L16" i="28" s="1"/>
  <c r="D17" i="28"/>
  <c r="L17" i="28" s="1"/>
  <c r="L18" i="28"/>
  <c r="D19" i="28"/>
  <c r="L19" i="28" s="1"/>
  <c r="D20" i="28"/>
  <c r="L20" i="28" s="1"/>
  <c r="D21" i="28"/>
  <c r="L21" i="28" s="1"/>
  <c r="D22" i="28"/>
  <c r="L22" i="28" s="1"/>
  <c r="D23" i="28"/>
  <c r="L23" i="28" s="1"/>
  <c r="L24" i="28"/>
  <c r="D25" i="28"/>
  <c r="L25" i="28" s="1"/>
  <c r="D26" i="28"/>
  <c r="L26" i="28" s="1"/>
  <c r="D27" i="28"/>
  <c r="L27" i="28" s="1"/>
  <c r="D28" i="28"/>
  <c r="L28" i="28" s="1"/>
  <c r="L29" i="28"/>
  <c r="D30" i="28"/>
  <c r="L30" i="28" s="1"/>
  <c r="D31" i="28"/>
  <c r="L31" i="28" s="1"/>
  <c r="D32" i="28"/>
  <c r="L32" i="28" s="1"/>
  <c r="D33" i="28"/>
  <c r="L33" i="28" s="1"/>
  <c r="L34" i="28"/>
  <c r="D35" i="28"/>
  <c r="L35" i="28" s="1"/>
  <c r="D36" i="28"/>
  <c r="L36" i="28" s="1"/>
  <c r="D37" i="28"/>
  <c r="L37" i="28" s="1"/>
  <c r="D38" i="28"/>
  <c r="L38" i="28" s="1"/>
  <c r="D39" i="28"/>
  <c r="L39" i="28" s="1"/>
  <c r="L40" i="28"/>
  <c r="D41" i="28"/>
  <c r="L41" i="28" s="1"/>
  <c r="D42" i="28"/>
  <c r="L42" i="28" s="1"/>
  <c r="D43" i="28"/>
  <c r="L43" i="28" s="1"/>
  <c r="D44" i="28"/>
  <c r="L44" i="28" s="1"/>
  <c r="L45" i="28"/>
  <c r="D46" i="28"/>
  <c r="L46" i="28" s="1"/>
  <c r="D47" i="28"/>
  <c r="L47" i="28" s="1"/>
  <c r="D48" i="28"/>
  <c r="L48" i="28" s="1"/>
  <c r="D49" i="28"/>
  <c r="L49" i="28" s="1"/>
  <c r="D50" i="28"/>
  <c r="L51" i="28"/>
  <c r="D52" i="28"/>
  <c r="L52" i="28" s="1"/>
  <c r="D53" i="28"/>
  <c r="L53" i="28" s="1"/>
  <c r="D54" i="28"/>
  <c r="D55" i="28"/>
  <c r="L55" i="28" s="1"/>
  <c r="D57" i="28"/>
  <c r="G57" i="28" l="1"/>
  <c r="H57" i="28" s="1"/>
  <c r="L57" i="28"/>
  <c r="G54" i="28"/>
  <c r="H54" i="28" s="1"/>
  <c r="L54" i="28"/>
  <c r="G50" i="28"/>
  <c r="H50" i="28" s="1"/>
  <c r="L50" i="28"/>
  <c r="G55" i="28"/>
  <c r="H55" i="28" s="1"/>
  <c r="G47" i="28"/>
  <c r="H47" i="28" s="1"/>
  <c r="G43" i="28"/>
  <c r="H43" i="28" s="1"/>
  <c r="G39" i="28"/>
  <c r="H39" i="28" s="1"/>
  <c r="G35" i="28"/>
  <c r="H35" i="28" s="1"/>
  <c r="G31" i="28"/>
  <c r="H31" i="28" s="1"/>
  <c r="G27" i="28"/>
  <c r="H27" i="28" s="1"/>
  <c r="G23" i="28"/>
  <c r="H23" i="28" s="1"/>
  <c r="G19" i="28"/>
  <c r="H19" i="28" s="1"/>
  <c r="G15" i="28"/>
  <c r="H15" i="28" s="1"/>
  <c r="G52" i="28"/>
  <c r="H52" i="28" s="1"/>
  <c r="G48" i="28"/>
  <c r="H48" i="28" s="1"/>
  <c r="G44" i="28"/>
  <c r="H44" i="28" s="1"/>
  <c r="G36" i="28"/>
  <c r="H36" i="28" s="1"/>
  <c r="G32" i="28"/>
  <c r="H32" i="28" s="1"/>
  <c r="G28" i="28"/>
  <c r="H28" i="28" s="1"/>
  <c r="G20" i="28"/>
  <c r="H20" i="28" s="1"/>
  <c r="G16" i="28"/>
  <c r="H16" i="28" s="1"/>
  <c r="G46" i="28"/>
  <c r="H46" i="28" s="1"/>
  <c r="G42" i="28"/>
  <c r="H42" i="28" s="1"/>
  <c r="G38" i="28"/>
  <c r="H38" i="28" s="1"/>
  <c r="G30" i="28"/>
  <c r="H30" i="28" s="1"/>
  <c r="G26" i="28"/>
  <c r="H26" i="28" s="1"/>
  <c r="G22" i="28"/>
  <c r="H22" i="28" s="1"/>
  <c r="G14" i="28"/>
  <c r="H14" i="28" s="1"/>
  <c r="G53" i="28"/>
  <c r="H53" i="28" s="1"/>
  <c r="G49" i="28"/>
  <c r="H49" i="28" s="1"/>
  <c r="G41" i="28"/>
  <c r="H41" i="28" s="1"/>
  <c r="G37" i="28"/>
  <c r="H37" i="28" s="1"/>
  <c r="G33" i="28"/>
  <c r="H33" i="28" s="1"/>
  <c r="G25" i="28"/>
  <c r="H25" i="28" s="1"/>
  <c r="G21" i="28"/>
  <c r="H21" i="28" s="1"/>
  <c r="G17" i="28"/>
  <c r="H17" i="28" s="1"/>
  <c r="D57" i="37"/>
  <c r="D55" i="37"/>
  <c r="L55" i="37" s="1"/>
  <c r="D54" i="37"/>
  <c r="L54" i="37" s="1"/>
  <c r="D53" i="37"/>
  <c r="L53" i="37" s="1"/>
  <c r="D52" i="37"/>
  <c r="L52" i="37" s="1"/>
  <c r="D51" i="37"/>
  <c r="L51" i="37" s="1"/>
  <c r="L50" i="37"/>
  <c r="D49" i="37"/>
  <c r="L49" i="37" s="1"/>
  <c r="D48" i="37"/>
  <c r="D47" i="37"/>
  <c r="L47" i="37" s="1"/>
  <c r="D46" i="37"/>
  <c r="L46" i="37" s="1"/>
  <c r="D45" i="37"/>
  <c r="L45" i="37" s="1"/>
  <c r="D44" i="37"/>
  <c r="L43" i="37"/>
  <c r="D42" i="37"/>
  <c r="L42" i="37" s="1"/>
  <c r="D41" i="37"/>
  <c r="L41" i="37" s="1"/>
  <c r="D40" i="37"/>
  <c r="L40" i="37" s="1"/>
  <c r="D39" i="37"/>
  <c r="L39" i="37" s="1"/>
  <c r="D38" i="37"/>
  <c r="L38" i="37" s="1"/>
  <c r="D37" i="37"/>
  <c r="L37" i="37" s="1"/>
  <c r="L36" i="37"/>
  <c r="D35" i="37"/>
  <c r="L35" i="37" s="1"/>
  <c r="D34" i="37"/>
  <c r="L34" i="37" s="1"/>
  <c r="D33" i="37"/>
  <c r="L33" i="37" s="1"/>
  <c r="D32" i="37"/>
  <c r="L32" i="37" s="1"/>
  <c r="D31" i="37"/>
  <c r="L31" i="37" s="1"/>
  <c r="L30" i="37"/>
  <c r="D29" i="37"/>
  <c r="L29" i="37" s="1"/>
  <c r="D28" i="37"/>
  <c r="L28" i="37" s="1"/>
  <c r="D27" i="37"/>
  <c r="L27" i="37" s="1"/>
  <c r="D26" i="37"/>
  <c r="L26" i="37" s="1"/>
  <c r="D25" i="37"/>
  <c r="L25" i="37" s="1"/>
  <c r="D24" i="37"/>
  <c r="L24" i="37" s="1"/>
  <c r="L23" i="37"/>
  <c r="D22" i="37"/>
  <c r="L22" i="37" s="1"/>
  <c r="D21" i="37"/>
  <c r="L21" i="37" s="1"/>
  <c r="D20" i="37"/>
  <c r="L20" i="37" s="1"/>
  <c r="D19" i="37"/>
  <c r="L19" i="37" s="1"/>
  <c r="D18" i="37"/>
  <c r="L18" i="37" s="1"/>
  <c r="D17" i="37"/>
  <c r="L17" i="37" s="1"/>
  <c r="L16" i="37"/>
  <c r="D15" i="37"/>
  <c r="L15" i="37" s="1"/>
  <c r="D14" i="37"/>
  <c r="L14" i="37" s="1"/>
  <c r="D13" i="37"/>
  <c r="L13" i="37" s="1"/>
  <c r="D12" i="37"/>
  <c r="L12" i="37" s="1"/>
  <c r="D11" i="37"/>
  <c r="L11" i="37" s="1"/>
  <c r="D10" i="37"/>
  <c r="L10" i="37" s="1"/>
  <c r="D9" i="37"/>
  <c r="D7" i="37"/>
  <c r="D57" i="36"/>
  <c r="D55" i="36"/>
  <c r="L55" i="36" s="1"/>
  <c r="D54" i="36"/>
  <c r="L54" i="36" s="1"/>
  <c r="L53" i="36"/>
  <c r="D52" i="36"/>
  <c r="L52" i="36" s="1"/>
  <c r="D51" i="36"/>
  <c r="L51" i="36" s="1"/>
  <c r="D50" i="36"/>
  <c r="L50" i="36" s="1"/>
  <c r="D49" i="36"/>
  <c r="L49" i="36" s="1"/>
  <c r="D48" i="36"/>
  <c r="L48" i="36" s="1"/>
  <c r="D47" i="36"/>
  <c r="L47" i="36" s="1"/>
  <c r="L46" i="36"/>
  <c r="D45" i="36"/>
  <c r="L45" i="36" s="1"/>
  <c r="D44" i="36"/>
  <c r="L44" i="36" s="1"/>
  <c r="D43" i="36"/>
  <c r="L43" i="36" s="1"/>
  <c r="D42" i="36"/>
  <c r="L42" i="36" s="1"/>
  <c r="D41" i="36"/>
  <c r="L41" i="36" s="1"/>
  <c r="D40" i="36"/>
  <c r="L40" i="36" s="1"/>
  <c r="D39" i="36"/>
  <c r="L39" i="36" s="1"/>
  <c r="L38" i="36"/>
  <c r="D37" i="36"/>
  <c r="L37" i="36" s="1"/>
  <c r="D36" i="36"/>
  <c r="L36" i="36" s="1"/>
  <c r="D35" i="36"/>
  <c r="L35" i="36" s="1"/>
  <c r="D34" i="36"/>
  <c r="L34" i="36" s="1"/>
  <c r="D33" i="36"/>
  <c r="L33" i="36" s="1"/>
  <c r="D32" i="36"/>
  <c r="L32" i="36" s="1"/>
  <c r="D31" i="36"/>
  <c r="L31" i="36" s="1"/>
  <c r="L30" i="36"/>
  <c r="D29" i="36"/>
  <c r="L29" i="36" s="1"/>
  <c r="D28" i="36"/>
  <c r="L28" i="36" s="1"/>
  <c r="D27" i="36"/>
  <c r="L27" i="36" s="1"/>
  <c r="D26" i="36"/>
  <c r="L26" i="36" s="1"/>
  <c r="D25" i="36"/>
  <c r="L25" i="36" s="1"/>
  <c r="D24" i="36"/>
  <c r="L24" i="36" s="1"/>
  <c r="D23" i="36"/>
  <c r="L23" i="36" s="1"/>
  <c r="L22" i="36"/>
  <c r="D21" i="36"/>
  <c r="L21" i="36" s="1"/>
  <c r="D20" i="36"/>
  <c r="L20" i="36" s="1"/>
  <c r="D19" i="36"/>
  <c r="L19" i="36" s="1"/>
  <c r="D18" i="36"/>
  <c r="L18" i="36" s="1"/>
  <c r="D17" i="36"/>
  <c r="L17" i="36" s="1"/>
  <c r="D16" i="36"/>
  <c r="L16" i="36" s="1"/>
  <c r="D15" i="36"/>
  <c r="L15" i="36" s="1"/>
  <c r="L14" i="36"/>
  <c r="D13" i="36"/>
  <c r="L13" i="36" s="1"/>
  <c r="D12" i="36"/>
  <c r="L12" i="36" s="1"/>
  <c r="D11" i="36"/>
  <c r="L11" i="36" s="1"/>
  <c r="D10" i="36"/>
  <c r="L10" i="36" s="1"/>
  <c r="D9" i="36"/>
  <c r="D7" i="36"/>
  <c r="D57" i="35"/>
  <c r="D55" i="35"/>
  <c r="L55" i="35" s="1"/>
  <c r="D54" i="35"/>
  <c r="L54" i="35" s="1"/>
  <c r="D53" i="35"/>
  <c r="L53" i="35" s="1"/>
  <c r="D52" i="35"/>
  <c r="L52" i="35" s="1"/>
  <c r="D51" i="35"/>
  <c r="L51" i="35" s="1"/>
  <c r="D50" i="35"/>
  <c r="L50" i="35" s="1"/>
  <c r="D49" i="35"/>
  <c r="L49" i="35" s="1"/>
  <c r="D48" i="35"/>
  <c r="L48" i="35" s="1"/>
  <c r="D47" i="35"/>
  <c r="L47" i="35" s="1"/>
  <c r="D46" i="35"/>
  <c r="L46" i="35" s="1"/>
  <c r="D45" i="35"/>
  <c r="L45" i="35" s="1"/>
  <c r="D44" i="35"/>
  <c r="L44" i="35" s="1"/>
  <c r="D43" i="35"/>
  <c r="L43" i="35" s="1"/>
  <c r="D42" i="35"/>
  <c r="L42" i="35" s="1"/>
  <c r="D41" i="35"/>
  <c r="L41" i="35" s="1"/>
  <c r="D40" i="35"/>
  <c r="L40" i="35" s="1"/>
  <c r="L39" i="35"/>
  <c r="D38" i="35"/>
  <c r="L38" i="35" s="1"/>
  <c r="D37" i="35"/>
  <c r="L37" i="35" s="1"/>
  <c r="D36" i="35"/>
  <c r="L36" i="35" s="1"/>
  <c r="D35" i="35"/>
  <c r="L35" i="35" s="1"/>
  <c r="D34" i="35"/>
  <c r="L34" i="35" s="1"/>
  <c r="D33" i="35"/>
  <c r="L33" i="35" s="1"/>
  <c r="D32" i="35"/>
  <c r="L32" i="35" s="1"/>
  <c r="D31" i="35"/>
  <c r="L31" i="35" s="1"/>
  <c r="D30" i="35"/>
  <c r="L30" i="35" s="1"/>
  <c r="D29" i="35"/>
  <c r="L29" i="35" s="1"/>
  <c r="D28" i="35"/>
  <c r="L28" i="35" s="1"/>
  <c r="D27" i="35"/>
  <c r="L27" i="35" s="1"/>
  <c r="D26" i="35"/>
  <c r="L26" i="35" s="1"/>
  <c r="D25" i="35"/>
  <c r="L25" i="35" s="1"/>
  <c r="D24" i="35"/>
  <c r="L24" i="35" s="1"/>
  <c r="D23" i="35"/>
  <c r="L23" i="35" s="1"/>
  <c r="L22" i="35"/>
  <c r="D21" i="35"/>
  <c r="L21" i="35" s="1"/>
  <c r="D20" i="35"/>
  <c r="L20" i="35" s="1"/>
  <c r="D19" i="35"/>
  <c r="L19" i="35" s="1"/>
  <c r="D18" i="35"/>
  <c r="L18" i="35" s="1"/>
  <c r="D17" i="35"/>
  <c r="L17" i="35" s="1"/>
  <c r="D16" i="35"/>
  <c r="L16" i="35" s="1"/>
  <c r="D15" i="35"/>
  <c r="L15" i="35" s="1"/>
  <c r="D14" i="35"/>
  <c r="L14" i="35" s="1"/>
  <c r="D13" i="35"/>
  <c r="L13" i="35" s="1"/>
  <c r="D12" i="35"/>
  <c r="L12" i="35" s="1"/>
  <c r="D11" i="35"/>
  <c r="L11" i="35" s="1"/>
  <c r="D10" i="35"/>
  <c r="L10" i="35" s="1"/>
  <c r="D9" i="35"/>
  <c r="D7" i="35"/>
  <c r="D57" i="34"/>
  <c r="D55" i="34"/>
  <c r="L55" i="34" s="1"/>
  <c r="D54" i="34"/>
  <c r="L54" i="34" s="1"/>
  <c r="L53" i="34"/>
  <c r="D52" i="34"/>
  <c r="L52" i="34" s="1"/>
  <c r="D51" i="34"/>
  <c r="L51" i="34" s="1"/>
  <c r="D50" i="34"/>
  <c r="L50" i="34" s="1"/>
  <c r="D49" i="34"/>
  <c r="L49" i="34" s="1"/>
  <c r="L48" i="34"/>
  <c r="D47" i="34"/>
  <c r="L47" i="34" s="1"/>
  <c r="D46" i="34"/>
  <c r="L46" i="34" s="1"/>
  <c r="D45" i="34"/>
  <c r="L45" i="34" s="1"/>
  <c r="D44" i="34"/>
  <c r="L44" i="34" s="1"/>
  <c r="D43" i="34"/>
  <c r="L43" i="34" s="1"/>
  <c r="L42" i="34"/>
  <c r="D41" i="34"/>
  <c r="L41" i="34" s="1"/>
  <c r="D40" i="34"/>
  <c r="L40" i="34" s="1"/>
  <c r="D39" i="34"/>
  <c r="L39" i="34" s="1"/>
  <c r="D38" i="34"/>
  <c r="L38" i="34" s="1"/>
  <c r="L37" i="34"/>
  <c r="D36" i="34"/>
  <c r="L36" i="34" s="1"/>
  <c r="D35" i="34"/>
  <c r="L35" i="34" s="1"/>
  <c r="D34" i="34"/>
  <c r="L34" i="34" s="1"/>
  <c r="D33" i="34"/>
  <c r="L33" i="34" s="1"/>
  <c r="L32" i="34"/>
  <c r="D31" i="34"/>
  <c r="L31" i="34" s="1"/>
  <c r="D30" i="34"/>
  <c r="L30" i="34" s="1"/>
  <c r="D29" i="34"/>
  <c r="L29" i="34" s="1"/>
  <c r="D28" i="34"/>
  <c r="L28" i="34" s="1"/>
  <c r="D27" i="34"/>
  <c r="L27" i="34" s="1"/>
  <c r="L26" i="34"/>
  <c r="D25" i="34"/>
  <c r="L25" i="34" s="1"/>
  <c r="D24" i="34"/>
  <c r="L24" i="34" s="1"/>
  <c r="D23" i="34"/>
  <c r="L23" i="34" s="1"/>
  <c r="D22" i="34"/>
  <c r="L22" i="34" s="1"/>
  <c r="L21" i="34"/>
  <c r="D20" i="34"/>
  <c r="L20" i="34" s="1"/>
  <c r="D19" i="34"/>
  <c r="L19" i="34" s="1"/>
  <c r="D18" i="34"/>
  <c r="L18" i="34" s="1"/>
  <c r="D17" i="34"/>
  <c r="L17" i="34" s="1"/>
  <c r="D16" i="34"/>
  <c r="D14" i="34"/>
  <c r="L14" i="34" s="1"/>
  <c r="D13" i="34"/>
  <c r="L13" i="34" s="1"/>
  <c r="D12" i="34"/>
  <c r="L12" i="34" s="1"/>
  <c r="D11" i="34"/>
  <c r="L11" i="34" s="1"/>
  <c r="L10" i="34"/>
  <c r="D9" i="34"/>
  <c r="D7" i="34"/>
  <c r="D57" i="33"/>
  <c r="D55" i="33"/>
  <c r="L55" i="33" s="1"/>
  <c r="D54" i="33"/>
  <c r="L54" i="33" s="1"/>
  <c r="D53" i="33"/>
  <c r="L53" i="33" s="1"/>
  <c r="L52" i="33"/>
  <c r="D51" i="33"/>
  <c r="L51" i="33" s="1"/>
  <c r="D50" i="33"/>
  <c r="L50" i="33" s="1"/>
  <c r="D49" i="33"/>
  <c r="L49" i="33" s="1"/>
  <c r="D48" i="33"/>
  <c r="L48" i="33" s="1"/>
  <c r="D47" i="33"/>
  <c r="L47" i="33" s="1"/>
  <c r="L46" i="33"/>
  <c r="D45" i="33"/>
  <c r="L45" i="33" s="1"/>
  <c r="D44" i="33"/>
  <c r="L44" i="33" s="1"/>
  <c r="D43" i="33"/>
  <c r="L43" i="33" s="1"/>
  <c r="D42" i="33"/>
  <c r="L42" i="33" s="1"/>
  <c r="L41" i="33"/>
  <c r="D40" i="33"/>
  <c r="L40" i="33" s="1"/>
  <c r="D39" i="33"/>
  <c r="L39" i="33" s="1"/>
  <c r="D38" i="33"/>
  <c r="L38" i="33" s="1"/>
  <c r="D37" i="33"/>
  <c r="L37" i="33" s="1"/>
  <c r="L36" i="33"/>
  <c r="D35" i="33"/>
  <c r="L35" i="33" s="1"/>
  <c r="D34" i="33"/>
  <c r="L34" i="33" s="1"/>
  <c r="D33" i="33"/>
  <c r="L33" i="33" s="1"/>
  <c r="D32" i="33"/>
  <c r="L32" i="33" s="1"/>
  <c r="D31" i="33"/>
  <c r="L31" i="33" s="1"/>
  <c r="L30" i="33"/>
  <c r="D29" i="33"/>
  <c r="L29" i="33" s="1"/>
  <c r="D28" i="33"/>
  <c r="L28" i="33" s="1"/>
  <c r="D27" i="33"/>
  <c r="L27" i="33" s="1"/>
  <c r="D26" i="33"/>
  <c r="L26" i="33" s="1"/>
  <c r="L25" i="33"/>
  <c r="D24" i="33"/>
  <c r="L24" i="33" s="1"/>
  <c r="D23" i="33"/>
  <c r="L23" i="33" s="1"/>
  <c r="D22" i="33"/>
  <c r="L22" i="33" s="1"/>
  <c r="D21" i="33"/>
  <c r="L21" i="33" s="1"/>
  <c r="D20" i="33"/>
  <c r="L20" i="33" s="1"/>
  <c r="L19" i="33"/>
  <c r="D18" i="33"/>
  <c r="L18" i="33" s="1"/>
  <c r="D17" i="33"/>
  <c r="L17" i="33" s="1"/>
  <c r="D16" i="33"/>
  <c r="L16" i="33" s="1"/>
  <c r="D15" i="33"/>
  <c r="L15" i="33" s="1"/>
  <c r="L14" i="33"/>
  <c r="D13" i="33"/>
  <c r="L13" i="33" s="1"/>
  <c r="D12" i="33"/>
  <c r="L12" i="33" s="1"/>
  <c r="D11" i="33"/>
  <c r="L11" i="33" s="1"/>
  <c r="D10" i="33"/>
  <c r="L10" i="33" s="1"/>
  <c r="D9" i="33"/>
  <c r="D7" i="33"/>
  <c r="D57" i="32"/>
  <c r="D55" i="32"/>
  <c r="L55" i="32" s="1"/>
  <c r="D54" i="32"/>
  <c r="L54" i="32" s="1"/>
  <c r="D53" i="32"/>
  <c r="L53" i="32" s="1"/>
  <c r="D52" i="32"/>
  <c r="L52" i="32" s="1"/>
  <c r="D51" i="32"/>
  <c r="L51" i="32" s="1"/>
  <c r="L50" i="32"/>
  <c r="D49" i="32"/>
  <c r="L49" i="32" s="1"/>
  <c r="D48" i="32"/>
  <c r="L48" i="32" s="1"/>
  <c r="D47" i="32"/>
  <c r="L47" i="32" s="1"/>
  <c r="D46" i="32"/>
  <c r="L46" i="32" s="1"/>
  <c r="D45" i="32"/>
  <c r="L45" i="32" s="1"/>
  <c r="D44" i="32"/>
  <c r="L44" i="32" s="1"/>
  <c r="L43" i="32"/>
  <c r="D42" i="32"/>
  <c r="L42" i="32" s="1"/>
  <c r="D41" i="32"/>
  <c r="L41" i="32" s="1"/>
  <c r="D40" i="32"/>
  <c r="L40" i="32" s="1"/>
  <c r="D39" i="32"/>
  <c r="L39" i="32" s="1"/>
  <c r="D38" i="32"/>
  <c r="L38" i="32" s="1"/>
  <c r="L37" i="32"/>
  <c r="D36" i="32"/>
  <c r="L36" i="32" s="1"/>
  <c r="D35" i="32"/>
  <c r="L35" i="32" s="1"/>
  <c r="D34" i="32"/>
  <c r="L34" i="32" s="1"/>
  <c r="D33" i="32"/>
  <c r="L33" i="32" s="1"/>
  <c r="D32" i="32"/>
  <c r="L32" i="32" s="1"/>
  <c r="L31" i="32"/>
  <c r="D30" i="32"/>
  <c r="L30" i="32" s="1"/>
  <c r="D29" i="32"/>
  <c r="L29" i="32" s="1"/>
  <c r="D28" i="32"/>
  <c r="L28" i="32" s="1"/>
  <c r="D27" i="32"/>
  <c r="L27" i="32" s="1"/>
  <c r="D26" i="32"/>
  <c r="L26" i="32" s="1"/>
  <c r="L25" i="32"/>
  <c r="D24" i="32"/>
  <c r="L24" i="32" s="1"/>
  <c r="D23" i="32"/>
  <c r="L23" i="32" s="1"/>
  <c r="D22" i="32"/>
  <c r="L22" i="32" s="1"/>
  <c r="D21" i="32"/>
  <c r="L21" i="32" s="1"/>
  <c r="D20" i="32"/>
  <c r="L20" i="32" s="1"/>
  <c r="L19" i="32"/>
  <c r="D18" i="32"/>
  <c r="L18" i="32" s="1"/>
  <c r="D17" i="32"/>
  <c r="L17" i="32" s="1"/>
  <c r="D16" i="32"/>
  <c r="L16" i="32" s="1"/>
  <c r="D15" i="32"/>
  <c r="L15" i="32" s="1"/>
  <c r="D14" i="32"/>
  <c r="L14" i="32" s="1"/>
  <c r="D13" i="32"/>
  <c r="L13" i="32" s="1"/>
  <c r="L12" i="32"/>
  <c r="D11" i="32"/>
  <c r="L11" i="32" s="1"/>
  <c r="D10" i="32"/>
  <c r="L10" i="32" s="1"/>
  <c r="D9" i="32"/>
  <c r="D7" i="32"/>
  <c r="D57" i="31"/>
  <c r="D55" i="31"/>
  <c r="L55" i="31" s="1"/>
  <c r="D54" i="31"/>
  <c r="L54" i="31" s="1"/>
  <c r="D53" i="31"/>
  <c r="L53" i="31" s="1"/>
  <c r="D52" i="31"/>
  <c r="L52" i="31" s="1"/>
  <c r="D51" i="31"/>
  <c r="L51" i="31" s="1"/>
  <c r="D50" i="31"/>
  <c r="L50" i="31" s="1"/>
  <c r="L49" i="31"/>
  <c r="D48" i="31"/>
  <c r="L48" i="31" s="1"/>
  <c r="D47" i="31"/>
  <c r="L47" i="31" s="1"/>
  <c r="D46" i="31"/>
  <c r="L46" i="31" s="1"/>
  <c r="D45" i="31"/>
  <c r="L45" i="31" s="1"/>
  <c r="D44" i="31"/>
  <c r="L44" i="31" s="1"/>
  <c r="D43" i="31"/>
  <c r="L43" i="31" s="1"/>
  <c r="D42" i="31"/>
  <c r="L42" i="31" s="1"/>
  <c r="L41" i="31"/>
  <c r="D40" i="31"/>
  <c r="L40" i="31" s="1"/>
  <c r="D39" i="31"/>
  <c r="L39" i="31" s="1"/>
  <c r="D38" i="31"/>
  <c r="L38" i="31" s="1"/>
  <c r="D37" i="31"/>
  <c r="L37" i="31" s="1"/>
  <c r="D36" i="31"/>
  <c r="L36" i="31" s="1"/>
  <c r="D35" i="31"/>
  <c r="L35" i="31" s="1"/>
  <c r="D34" i="31"/>
  <c r="L34" i="31" s="1"/>
  <c r="L33" i="31"/>
  <c r="D32" i="31"/>
  <c r="L32" i="31" s="1"/>
  <c r="D31" i="31"/>
  <c r="L31" i="31" s="1"/>
  <c r="D30" i="31"/>
  <c r="L30" i="31" s="1"/>
  <c r="D29" i="31"/>
  <c r="L29" i="31" s="1"/>
  <c r="D28" i="31"/>
  <c r="L28" i="31" s="1"/>
  <c r="D27" i="31"/>
  <c r="L27" i="31" s="1"/>
  <c r="D26" i="31"/>
  <c r="L26" i="31" s="1"/>
  <c r="L25" i="31"/>
  <c r="D24" i="31"/>
  <c r="L24" i="31" s="1"/>
  <c r="D23" i="31"/>
  <c r="L23" i="31" s="1"/>
  <c r="D22" i="31"/>
  <c r="L22" i="31" s="1"/>
  <c r="D21" i="31"/>
  <c r="L21" i="31" s="1"/>
  <c r="D20" i="31"/>
  <c r="L20" i="31" s="1"/>
  <c r="D19" i="31"/>
  <c r="L19" i="31" s="1"/>
  <c r="D18" i="31"/>
  <c r="L18" i="31" s="1"/>
  <c r="L17" i="31"/>
  <c r="D16" i="31"/>
  <c r="L16" i="31" s="1"/>
  <c r="D15" i="31"/>
  <c r="L15" i="31" s="1"/>
  <c r="D14" i="31"/>
  <c r="L14" i="31" s="1"/>
  <c r="D13" i="31"/>
  <c r="L13" i="31" s="1"/>
  <c r="D12" i="31"/>
  <c r="L12" i="31" s="1"/>
  <c r="D11" i="31"/>
  <c r="L11" i="31" s="1"/>
  <c r="D10" i="31"/>
  <c r="L10" i="31" s="1"/>
  <c r="D9" i="31"/>
  <c r="D7" i="31"/>
  <c r="D57" i="30"/>
  <c r="D55" i="30"/>
  <c r="L55" i="30" s="1"/>
  <c r="D54" i="30"/>
  <c r="L54" i="30" s="1"/>
  <c r="L53" i="30"/>
  <c r="D52" i="30"/>
  <c r="L52" i="30" s="1"/>
  <c r="D51" i="30"/>
  <c r="L51" i="30" s="1"/>
  <c r="D50" i="30"/>
  <c r="L50" i="30" s="1"/>
  <c r="D49" i="30"/>
  <c r="L49" i="30" s="1"/>
  <c r="L48" i="30"/>
  <c r="D47" i="30"/>
  <c r="L47" i="30" s="1"/>
  <c r="D46" i="30"/>
  <c r="L46" i="30" s="1"/>
  <c r="D45" i="30"/>
  <c r="L45" i="30" s="1"/>
  <c r="D44" i="30"/>
  <c r="L44" i="30" s="1"/>
  <c r="D43" i="30"/>
  <c r="L43" i="30" s="1"/>
  <c r="L42" i="30"/>
  <c r="D41" i="30"/>
  <c r="L41" i="30" s="1"/>
  <c r="D40" i="30"/>
  <c r="L40" i="30" s="1"/>
  <c r="D39" i="30"/>
  <c r="L39" i="30" s="1"/>
  <c r="D38" i="30"/>
  <c r="L38" i="30" s="1"/>
  <c r="L37" i="30"/>
  <c r="D36" i="30"/>
  <c r="L36" i="30" s="1"/>
  <c r="D35" i="30"/>
  <c r="L35" i="30" s="1"/>
  <c r="D34" i="30"/>
  <c r="L34" i="30" s="1"/>
  <c r="D33" i="30"/>
  <c r="L33" i="30" s="1"/>
  <c r="D32" i="30"/>
  <c r="L32" i="30" s="1"/>
  <c r="L31" i="30"/>
  <c r="D30" i="30"/>
  <c r="L30" i="30" s="1"/>
  <c r="D29" i="30"/>
  <c r="L29" i="30" s="1"/>
  <c r="D28" i="30"/>
  <c r="L28" i="30" s="1"/>
  <c r="D27" i="30"/>
  <c r="L27" i="30" s="1"/>
  <c r="L26" i="30"/>
  <c r="D25" i="30"/>
  <c r="L25" i="30" s="1"/>
  <c r="D24" i="30"/>
  <c r="L24" i="30" s="1"/>
  <c r="D23" i="30"/>
  <c r="L23" i="30" s="1"/>
  <c r="D22" i="30"/>
  <c r="L22" i="30" s="1"/>
  <c r="D21" i="30"/>
  <c r="L21" i="30" s="1"/>
  <c r="L20" i="30"/>
  <c r="D19" i="30"/>
  <c r="L19" i="30" s="1"/>
  <c r="D18" i="30"/>
  <c r="L18" i="30" s="1"/>
  <c r="D17" i="30"/>
  <c r="L17" i="30" s="1"/>
  <c r="D16" i="30"/>
  <c r="L16" i="30" s="1"/>
  <c r="L15" i="30"/>
  <c r="D14" i="30"/>
  <c r="L14" i="30" s="1"/>
  <c r="D13" i="30"/>
  <c r="L13" i="30" s="1"/>
  <c r="D12" i="30"/>
  <c r="L12" i="30" s="1"/>
  <c r="D11" i="30"/>
  <c r="L11" i="30" s="1"/>
  <c r="D10" i="30"/>
  <c r="L10" i="30" s="1"/>
  <c r="D9" i="30"/>
  <c r="D7" i="30"/>
  <c r="D57" i="29"/>
  <c r="D55" i="29"/>
  <c r="L55" i="29" s="1"/>
  <c r="D54" i="29"/>
  <c r="L54" i="29" s="1"/>
  <c r="D53" i="29"/>
  <c r="L53" i="29" s="1"/>
  <c r="L52" i="29"/>
  <c r="D51" i="29"/>
  <c r="L51" i="29" s="1"/>
  <c r="D50" i="29"/>
  <c r="L50" i="29" s="1"/>
  <c r="D49" i="29"/>
  <c r="L49" i="29" s="1"/>
  <c r="D48" i="29"/>
  <c r="L48" i="29" s="1"/>
  <c r="L47" i="29"/>
  <c r="D46" i="29"/>
  <c r="L46" i="29" s="1"/>
  <c r="D45" i="29"/>
  <c r="L45" i="29" s="1"/>
  <c r="D44" i="29"/>
  <c r="L44" i="29" s="1"/>
  <c r="L43" i="29"/>
  <c r="D42" i="29"/>
  <c r="L42" i="29" s="1"/>
  <c r="D41" i="29"/>
  <c r="L41" i="29" s="1"/>
  <c r="D40" i="29"/>
  <c r="L40" i="29" s="1"/>
  <c r="L39" i="29"/>
  <c r="D38" i="29"/>
  <c r="L38" i="29" s="1"/>
  <c r="D37" i="29"/>
  <c r="L37" i="29" s="1"/>
  <c r="D36" i="29"/>
  <c r="L36" i="29" s="1"/>
  <c r="D35" i="29"/>
  <c r="L35" i="29" s="1"/>
  <c r="L34" i="29"/>
  <c r="D33" i="29"/>
  <c r="L33" i="29" s="1"/>
  <c r="D32" i="29"/>
  <c r="L32" i="29" s="1"/>
  <c r="D31" i="29"/>
  <c r="L31" i="29" s="1"/>
  <c r="L30" i="29"/>
  <c r="D29" i="29"/>
  <c r="L29" i="29" s="1"/>
  <c r="D28" i="29"/>
  <c r="L28" i="29" s="1"/>
  <c r="D27" i="29"/>
  <c r="L27" i="29" s="1"/>
  <c r="L26" i="29"/>
  <c r="D25" i="29"/>
  <c r="L25" i="29" s="1"/>
  <c r="D24" i="29"/>
  <c r="L24" i="29" s="1"/>
  <c r="D23" i="29"/>
  <c r="L23" i="29" s="1"/>
  <c r="D22" i="29"/>
  <c r="L22" i="29" s="1"/>
  <c r="L21" i="29"/>
  <c r="D20" i="29"/>
  <c r="L20" i="29" s="1"/>
  <c r="D19" i="29"/>
  <c r="L19" i="29" s="1"/>
  <c r="D18" i="29"/>
  <c r="L18" i="29" s="1"/>
  <c r="L17" i="29"/>
  <c r="D16" i="29"/>
  <c r="L16" i="29" s="1"/>
  <c r="D15" i="29"/>
  <c r="L15" i="29" s="1"/>
  <c r="D14" i="29"/>
  <c r="L14" i="29" s="1"/>
  <c r="L13" i="29"/>
  <c r="D12" i="29"/>
  <c r="L12" i="29" s="1"/>
  <c r="D11" i="29"/>
  <c r="L11" i="29" s="1"/>
  <c r="D10" i="29"/>
  <c r="L10" i="29" s="1"/>
  <c r="D9" i="29"/>
  <c r="D7" i="29"/>
  <c r="E57" i="28"/>
  <c r="E55" i="28"/>
  <c r="E54" i="28"/>
  <c r="E53" i="28"/>
  <c r="E52" i="28"/>
  <c r="E50" i="28"/>
  <c r="E49" i="28"/>
  <c r="E48" i="28"/>
  <c r="E47" i="28"/>
  <c r="E46" i="28"/>
  <c r="E44" i="28"/>
  <c r="E43" i="28"/>
  <c r="E42" i="28"/>
  <c r="E41" i="28"/>
  <c r="E39" i="28"/>
  <c r="E38" i="28"/>
  <c r="E37" i="28"/>
  <c r="E36" i="28"/>
  <c r="E35" i="28"/>
  <c r="E33" i="28"/>
  <c r="E32" i="28"/>
  <c r="E31" i="28"/>
  <c r="E30" i="28"/>
  <c r="E28" i="28"/>
  <c r="E27" i="28"/>
  <c r="E26" i="28"/>
  <c r="E25" i="28"/>
  <c r="E23" i="28"/>
  <c r="E22" i="28"/>
  <c r="E21" i="28"/>
  <c r="E20" i="28"/>
  <c r="E19" i="28"/>
  <c r="E17" i="28"/>
  <c r="E16" i="28"/>
  <c r="E15" i="28"/>
  <c r="E14" i="28"/>
  <c r="D12" i="28"/>
  <c r="L12" i="28" s="1"/>
  <c r="D11" i="28"/>
  <c r="L11" i="28" s="1"/>
  <c r="D10" i="28"/>
  <c r="L10" i="28" s="1"/>
  <c r="D9" i="28"/>
  <c r="D7" i="28"/>
  <c r="D57" i="27"/>
  <c r="D55" i="27"/>
  <c r="L55" i="27" s="1"/>
  <c r="D54" i="27"/>
  <c r="L54" i="27" s="1"/>
  <c r="D53" i="27"/>
  <c r="L53" i="27" s="1"/>
  <c r="D52" i="27"/>
  <c r="L52" i="27" s="1"/>
  <c r="D51" i="27"/>
  <c r="L51" i="27" s="1"/>
  <c r="L50" i="27"/>
  <c r="D49" i="27"/>
  <c r="L49" i="27" s="1"/>
  <c r="D48" i="27"/>
  <c r="L48" i="27" s="1"/>
  <c r="D47" i="27"/>
  <c r="L47" i="27" s="1"/>
  <c r="D46" i="27"/>
  <c r="L46" i="27" s="1"/>
  <c r="D45" i="27"/>
  <c r="L45" i="27" s="1"/>
  <c r="L44" i="27"/>
  <c r="D43" i="27"/>
  <c r="L43" i="27" s="1"/>
  <c r="D42" i="27"/>
  <c r="L42" i="27" s="1"/>
  <c r="D41" i="27"/>
  <c r="L41" i="27" s="1"/>
  <c r="D40" i="27"/>
  <c r="L40" i="27" s="1"/>
  <c r="L39" i="27"/>
  <c r="D38" i="27"/>
  <c r="L38" i="27" s="1"/>
  <c r="D37" i="27"/>
  <c r="L37" i="27" s="1"/>
  <c r="D36" i="27"/>
  <c r="L36" i="27" s="1"/>
  <c r="D35" i="27"/>
  <c r="L35" i="27" s="1"/>
  <c r="D34" i="27"/>
  <c r="L34" i="27" s="1"/>
  <c r="L33" i="27"/>
  <c r="D32" i="27"/>
  <c r="L32" i="27" s="1"/>
  <c r="D31" i="27"/>
  <c r="L31" i="27" s="1"/>
  <c r="D30" i="27"/>
  <c r="L30" i="27" s="1"/>
  <c r="D29" i="27"/>
  <c r="L29" i="27" s="1"/>
  <c r="L28" i="27"/>
  <c r="D27" i="27"/>
  <c r="L27" i="27" s="1"/>
  <c r="D26" i="27"/>
  <c r="L26" i="27" s="1"/>
  <c r="D25" i="27"/>
  <c r="L25" i="27" s="1"/>
  <c r="D24" i="27"/>
  <c r="L24" i="27" s="1"/>
  <c r="D23" i="27"/>
  <c r="L23" i="27" s="1"/>
  <c r="L22" i="27"/>
  <c r="D21" i="27"/>
  <c r="L21" i="27" s="1"/>
  <c r="D20" i="27"/>
  <c r="L20" i="27" s="1"/>
  <c r="D19" i="27"/>
  <c r="L19" i="27" s="1"/>
  <c r="D18" i="27"/>
  <c r="L18" i="27" s="1"/>
  <c r="D17" i="27"/>
  <c r="L17" i="27" s="1"/>
  <c r="L16" i="27"/>
  <c r="D15" i="27"/>
  <c r="L15" i="27" s="1"/>
  <c r="D14" i="27"/>
  <c r="L14" i="27" s="1"/>
  <c r="D13" i="27"/>
  <c r="L13" i="27" s="1"/>
  <c r="D12" i="27"/>
  <c r="L12" i="27" s="1"/>
  <c r="L11" i="27"/>
  <c r="D10" i="27"/>
  <c r="L10" i="27" s="1"/>
  <c r="D9" i="27"/>
  <c r="D7" i="27"/>
  <c r="D57" i="26"/>
  <c r="D55" i="26"/>
  <c r="L55" i="26" s="1"/>
  <c r="D54" i="26"/>
  <c r="L54" i="26" s="1"/>
  <c r="L53" i="26"/>
  <c r="D52" i="26"/>
  <c r="L52" i="26" s="1"/>
  <c r="D51" i="26"/>
  <c r="L51" i="26" s="1"/>
  <c r="D50" i="26"/>
  <c r="L50" i="26" s="1"/>
  <c r="D49" i="26"/>
  <c r="L49" i="26" s="1"/>
  <c r="D48" i="26"/>
  <c r="L48" i="26" s="1"/>
  <c r="D47" i="26"/>
  <c r="L47" i="26" s="1"/>
  <c r="L46" i="26"/>
  <c r="D45" i="26"/>
  <c r="L45" i="26" s="1"/>
  <c r="D44" i="26"/>
  <c r="L44" i="26" s="1"/>
  <c r="D43" i="26"/>
  <c r="L43" i="26" s="1"/>
  <c r="D42" i="26"/>
  <c r="L42" i="26" s="1"/>
  <c r="D41" i="26"/>
  <c r="L41" i="26" s="1"/>
  <c r="L40" i="26"/>
  <c r="D39" i="26"/>
  <c r="L39" i="26" s="1"/>
  <c r="D38" i="26"/>
  <c r="L38" i="26" s="1"/>
  <c r="D37" i="26"/>
  <c r="L37" i="26" s="1"/>
  <c r="D36" i="26"/>
  <c r="L36" i="26" s="1"/>
  <c r="D35" i="26"/>
  <c r="L35" i="26" s="1"/>
  <c r="D34" i="26"/>
  <c r="L34" i="26" s="1"/>
  <c r="L33" i="26"/>
  <c r="D32" i="26"/>
  <c r="L32" i="26" s="1"/>
  <c r="D31" i="26"/>
  <c r="L31" i="26" s="1"/>
  <c r="D30" i="26"/>
  <c r="L30" i="26" s="1"/>
  <c r="D29" i="26"/>
  <c r="L29" i="26" s="1"/>
  <c r="D28" i="26"/>
  <c r="L28" i="26" s="1"/>
  <c r="L27" i="26"/>
  <c r="D26" i="26"/>
  <c r="L26" i="26" s="1"/>
  <c r="D25" i="26"/>
  <c r="L25" i="26" s="1"/>
  <c r="D24" i="26"/>
  <c r="L24" i="26" s="1"/>
  <c r="D23" i="26"/>
  <c r="L23" i="26" s="1"/>
  <c r="D22" i="26"/>
  <c r="L22" i="26" s="1"/>
  <c r="D21" i="26"/>
  <c r="L21" i="26" s="1"/>
  <c r="L20" i="26"/>
  <c r="D19" i="26"/>
  <c r="L19" i="26" s="1"/>
  <c r="D18" i="26"/>
  <c r="L18" i="26" s="1"/>
  <c r="D17" i="26"/>
  <c r="L17" i="26" s="1"/>
  <c r="D16" i="26"/>
  <c r="L16" i="26" s="1"/>
  <c r="D15" i="26"/>
  <c r="L15" i="26" s="1"/>
  <c r="L14" i="26"/>
  <c r="D13" i="26"/>
  <c r="L13" i="26" s="1"/>
  <c r="D12" i="26"/>
  <c r="L12" i="26" s="1"/>
  <c r="D11" i="26"/>
  <c r="L11" i="26" s="1"/>
  <c r="D10" i="26"/>
  <c r="L10" i="26" s="1"/>
  <c r="D9" i="26"/>
  <c r="D7" i="26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31" l="1"/>
  <c r="H7" i="31" s="1"/>
  <c r="L7" i="31"/>
  <c r="G9" i="34"/>
  <c r="H9" i="34" s="1"/>
  <c r="L9" i="34"/>
  <c r="G9" i="35"/>
  <c r="H9" i="35" s="1"/>
  <c r="L9" i="35"/>
  <c r="G7" i="36"/>
  <c r="H7" i="36" s="1"/>
  <c r="L7" i="36"/>
  <c r="G57" i="36"/>
  <c r="H57" i="36" s="1"/>
  <c r="L57" i="36"/>
  <c r="G7" i="27"/>
  <c r="H7" i="27" s="1"/>
  <c r="L7" i="27"/>
  <c r="G57" i="31"/>
  <c r="H57" i="31" s="1"/>
  <c r="L57" i="31"/>
  <c r="G9" i="27"/>
  <c r="H9" i="27" s="1"/>
  <c r="L9" i="27"/>
  <c r="G7" i="28"/>
  <c r="H7" i="28" s="1"/>
  <c r="L7" i="28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44" i="37"/>
  <c r="H44" i="37" s="1"/>
  <c r="L44" i="37"/>
  <c r="G48" i="37"/>
  <c r="H48" i="37" s="1"/>
  <c r="L48" i="37"/>
  <c r="G57" i="37"/>
  <c r="H57" i="37" s="1"/>
  <c r="L57" i="37"/>
  <c r="G57" i="27"/>
  <c r="H57" i="27" s="1"/>
  <c r="L57" i="27"/>
  <c r="G9" i="30"/>
  <c r="H9" i="30" s="1"/>
  <c r="L9" i="30"/>
  <c r="G7" i="29"/>
  <c r="H7" i="29" s="1"/>
  <c r="L7" i="29"/>
  <c r="G57" i="29"/>
  <c r="H57" i="29" s="1"/>
  <c r="L57" i="29"/>
  <c r="G9" i="32"/>
  <c r="H9" i="32" s="1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9" i="28"/>
  <c r="H9" i="28" s="1"/>
  <c r="L9" i="28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57" i="26"/>
  <c r="H57" i="26" s="1"/>
  <c r="L57" i="26"/>
  <c r="G9" i="26"/>
  <c r="H9" i="26" s="1"/>
  <c r="L9" i="26"/>
  <c r="G7" i="26"/>
  <c r="H7" i="26" s="1"/>
  <c r="L7" i="26"/>
  <c r="G12" i="26"/>
  <c r="H12" i="26" s="1"/>
  <c r="G16" i="26"/>
  <c r="H16" i="26" s="1"/>
  <c r="G24" i="26"/>
  <c r="H24" i="26" s="1"/>
  <c r="G28" i="26"/>
  <c r="H28" i="26" s="1"/>
  <c r="G32" i="26"/>
  <c r="H32" i="26" s="1"/>
  <c r="G36" i="26"/>
  <c r="H36" i="26" s="1"/>
  <c r="G44" i="26"/>
  <c r="H44" i="26" s="1"/>
  <c r="G48" i="26"/>
  <c r="H48" i="26" s="1"/>
  <c r="G52" i="26"/>
  <c r="H52" i="26" s="1"/>
  <c r="G15" i="27"/>
  <c r="H15" i="27" s="1"/>
  <c r="G19" i="27"/>
  <c r="H19" i="27" s="1"/>
  <c r="G23" i="27"/>
  <c r="H23" i="27" s="1"/>
  <c r="G27" i="27"/>
  <c r="H27" i="27" s="1"/>
  <c r="G31" i="27"/>
  <c r="H31" i="27" s="1"/>
  <c r="G35" i="27"/>
  <c r="H35" i="27" s="1"/>
  <c r="G43" i="27"/>
  <c r="H43" i="27" s="1"/>
  <c r="G47" i="27"/>
  <c r="H47" i="27" s="1"/>
  <c r="G51" i="27"/>
  <c r="H51" i="27" s="1"/>
  <c r="G55" i="27"/>
  <c r="H55" i="27" s="1"/>
  <c r="G10" i="28"/>
  <c r="H10" i="28" s="1"/>
  <c r="G25" i="29"/>
  <c r="H25" i="29" s="1"/>
  <c r="G29" i="29"/>
  <c r="H29" i="29" s="1"/>
  <c r="G33" i="29"/>
  <c r="H33" i="29" s="1"/>
  <c r="G37" i="29"/>
  <c r="H37" i="29" s="1"/>
  <c r="G41" i="29"/>
  <c r="H41" i="29" s="1"/>
  <c r="G45" i="29"/>
  <c r="H45" i="29" s="1"/>
  <c r="G49" i="29"/>
  <c r="H49" i="29" s="1"/>
  <c r="G53" i="29"/>
  <c r="H53" i="29" s="1"/>
  <c r="G12" i="30"/>
  <c r="H12" i="30" s="1"/>
  <c r="G16" i="30"/>
  <c r="H16" i="30" s="1"/>
  <c r="G24" i="30"/>
  <c r="H24" i="30" s="1"/>
  <c r="G28" i="30"/>
  <c r="H28" i="30" s="1"/>
  <c r="G32" i="30"/>
  <c r="H32" i="30" s="1"/>
  <c r="G36" i="30"/>
  <c r="H36" i="30" s="1"/>
  <c r="G40" i="30"/>
  <c r="H40" i="30" s="1"/>
  <c r="G44" i="30"/>
  <c r="H44" i="30" s="1"/>
  <c r="G52" i="30"/>
  <c r="H52" i="30" s="1"/>
  <c r="G12" i="35"/>
  <c r="H12" i="35" s="1"/>
  <c r="G16" i="35"/>
  <c r="H16" i="35" s="1"/>
  <c r="G20" i="35"/>
  <c r="H20" i="35" s="1"/>
  <c r="G24" i="35"/>
  <c r="H24" i="35" s="1"/>
  <c r="G28" i="35"/>
  <c r="H28" i="35" s="1"/>
  <c r="G32" i="35"/>
  <c r="H32" i="35" s="1"/>
  <c r="G36" i="35"/>
  <c r="H36" i="35" s="1"/>
  <c r="G40" i="35"/>
  <c r="H40" i="35" s="1"/>
  <c r="G44" i="35"/>
  <c r="H44" i="35" s="1"/>
  <c r="G48" i="35"/>
  <c r="H48" i="35" s="1"/>
  <c r="G52" i="35"/>
  <c r="H52" i="35" s="1"/>
  <c r="G54" i="37"/>
  <c r="H54" i="37" s="1"/>
  <c r="G44" i="36"/>
  <c r="H44" i="36" s="1"/>
  <c r="G48" i="36"/>
  <c r="H48" i="36" s="1"/>
  <c r="G52" i="36"/>
  <c r="H52" i="36" s="1"/>
  <c r="G11" i="37"/>
  <c r="H11" i="37" s="1"/>
  <c r="G50" i="35"/>
  <c r="H50" i="35" s="1"/>
  <c r="G54" i="35"/>
  <c r="H54" i="35" s="1"/>
  <c r="G13" i="36"/>
  <c r="H13" i="36" s="1"/>
  <c r="G17" i="36"/>
  <c r="H17" i="36" s="1"/>
  <c r="G21" i="36"/>
  <c r="H21" i="36" s="1"/>
  <c r="G25" i="36"/>
  <c r="H25" i="36" s="1"/>
  <c r="G29" i="36"/>
  <c r="H29" i="36" s="1"/>
  <c r="G33" i="36"/>
  <c r="H33" i="36" s="1"/>
  <c r="G37" i="36"/>
  <c r="H37" i="36" s="1"/>
  <c r="G41" i="36"/>
  <c r="H41" i="36" s="1"/>
  <c r="G45" i="36"/>
  <c r="H45" i="36" s="1"/>
  <c r="G49" i="36"/>
  <c r="H49" i="36" s="1"/>
  <c r="G12" i="37"/>
  <c r="H12" i="37" s="1"/>
  <c r="G20" i="37"/>
  <c r="H20" i="37" s="1"/>
  <c r="G24" i="37"/>
  <c r="H24" i="37" s="1"/>
  <c r="G28" i="37"/>
  <c r="H28" i="37" s="1"/>
  <c r="G32" i="37"/>
  <c r="H32" i="37" s="1"/>
  <c r="G40" i="37"/>
  <c r="H40" i="37" s="1"/>
  <c r="G52" i="37"/>
  <c r="H52" i="37" s="1"/>
  <c r="G12" i="27"/>
  <c r="H12" i="27" s="1"/>
  <c r="G20" i="27"/>
  <c r="H20" i="27" s="1"/>
  <c r="G24" i="27"/>
  <c r="H24" i="27" s="1"/>
  <c r="G32" i="27"/>
  <c r="H32" i="27" s="1"/>
  <c r="G36" i="27"/>
  <c r="H36" i="27" s="1"/>
  <c r="G40" i="27"/>
  <c r="H40" i="27" s="1"/>
  <c r="G48" i="27"/>
  <c r="H48" i="27" s="1"/>
  <c r="G52" i="27"/>
  <c r="H52" i="27" s="1"/>
  <c r="G11" i="28"/>
  <c r="H11" i="28" s="1"/>
  <c r="G10" i="29"/>
  <c r="H10" i="29" s="1"/>
  <c r="G14" i="29"/>
  <c r="H14" i="29" s="1"/>
  <c r="G18" i="29"/>
  <c r="H18" i="29" s="1"/>
  <c r="G22" i="29"/>
  <c r="H22" i="29" s="1"/>
  <c r="G38" i="29"/>
  <c r="H38" i="29" s="1"/>
  <c r="G42" i="29"/>
  <c r="H42" i="29" s="1"/>
  <c r="G46" i="29"/>
  <c r="H46" i="29" s="1"/>
  <c r="G50" i="29"/>
  <c r="H50" i="29" s="1"/>
  <c r="G54" i="29"/>
  <c r="H54" i="29" s="1"/>
  <c r="G13" i="30"/>
  <c r="H13" i="30" s="1"/>
  <c r="G17" i="26"/>
  <c r="H17" i="26" s="1"/>
  <c r="G25" i="26"/>
  <c r="H25" i="26" s="1"/>
  <c r="G41" i="26"/>
  <c r="H41" i="26" s="1"/>
  <c r="G49" i="26"/>
  <c r="H49" i="26" s="1"/>
  <c r="G13" i="26"/>
  <c r="H13" i="26" s="1"/>
  <c r="G21" i="26"/>
  <c r="H21" i="26" s="1"/>
  <c r="G29" i="26"/>
  <c r="H29" i="26" s="1"/>
  <c r="G37" i="26"/>
  <c r="H37" i="26" s="1"/>
  <c r="G45" i="26"/>
  <c r="H45" i="26" s="1"/>
  <c r="G17" i="30"/>
  <c r="H17" i="30" s="1"/>
  <c r="G21" i="30"/>
  <c r="H21" i="30" s="1"/>
  <c r="G25" i="30"/>
  <c r="H25" i="30" s="1"/>
  <c r="G29" i="30"/>
  <c r="H29" i="30" s="1"/>
  <c r="G33" i="30"/>
  <c r="H33" i="30" s="1"/>
  <c r="G41" i="30"/>
  <c r="H41" i="30" s="1"/>
  <c r="G45" i="30"/>
  <c r="H45" i="30" s="1"/>
  <c r="G49" i="30"/>
  <c r="H49" i="30" s="1"/>
  <c r="G12" i="31"/>
  <c r="H12" i="31" s="1"/>
  <c r="G16" i="31"/>
  <c r="H16" i="31" s="1"/>
  <c r="G20" i="31"/>
  <c r="H20" i="31" s="1"/>
  <c r="G24" i="31"/>
  <c r="H24" i="31" s="1"/>
  <c r="G28" i="31"/>
  <c r="H28" i="31" s="1"/>
  <c r="G32" i="31"/>
  <c r="H32" i="31" s="1"/>
  <c r="G36" i="31"/>
  <c r="H36" i="31" s="1"/>
  <c r="G40" i="31"/>
  <c r="H40" i="31" s="1"/>
  <c r="G44" i="31"/>
  <c r="H44" i="31" s="1"/>
  <c r="G48" i="31"/>
  <c r="H48" i="31" s="1"/>
  <c r="G52" i="31"/>
  <c r="H52" i="31" s="1"/>
  <c r="G11" i="32"/>
  <c r="H11" i="32" s="1"/>
  <c r="G15" i="32"/>
  <c r="H15" i="32" s="1"/>
  <c r="G23" i="32"/>
  <c r="H23" i="32" s="1"/>
  <c r="G27" i="32"/>
  <c r="H27" i="32" s="1"/>
  <c r="G35" i="32"/>
  <c r="H35" i="32" s="1"/>
  <c r="G39" i="32"/>
  <c r="H39" i="32" s="1"/>
  <c r="G47" i="32"/>
  <c r="H47" i="32" s="1"/>
  <c r="G51" i="32"/>
  <c r="H51" i="32" s="1"/>
  <c r="G55" i="32"/>
  <c r="H55" i="32" s="1"/>
  <c r="G10" i="33"/>
  <c r="H10" i="33" s="1"/>
  <c r="G18" i="33"/>
  <c r="H18" i="33" s="1"/>
  <c r="G22" i="33"/>
  <c r="H22" i="33" s="1"/>
  <c r="G26" i="33"/>
  <c r="H26" i="33" s="1"/>
  <c r="G34" i="33"/>
  <c r="H34" i="33" s="1"/>
  <c r="G38" i="33"/>
  <c r="H38" i="33" s="1"/>
  <c r="G42" i="33"/>
  <c r="H42" i="33" s="1"/>
  <c r="G50" i="33"/>
  <c r="H50" i="33" s="1"/>
  <c r="G54" i="33"/>
  <c r="H54" i="33" s="1"/>
  <c r="G13" i="34"/>
  <c r="H13" i="34" s="1"/>
  <c r="G18" i="34"/>
  <c r="H18" i="34" s="1"/>
  <c r="G22" i="34"/>
  <c r="H22" i="34" s="1"/>
  <c r="G30" i="34"/>
  <c r="H30" i="34" s="1"/>
  <c r="G34" i="34"/>
  <c r="H34" i="34" s="1"/>
  <c r="G38" i="34"/>
  <c r="H38" i="34" s="1"/>
  <c r="G46" i="34"/>
  <c r="H46" i="34" s="1"/>
  <c r="G50" i="34"/>
  <c r="H50" i="34" s="1"/>
  <c r="G54" i="34"/>
  <c r="H54" i="34" s="1"/>
  <c r="G13" i="35"/>
  <c r="H13" i="35" s="1"/>
  <c r="G17" i="35"/>
  <c r="H17" i="35" s="1"/>
  <c r="G21" i="35"/>
  <c r="H21" i="35" s="1"/>
  <c r="G25" i="35"/>
  <c r="H25" i="35" s="1"/>
  <c r="G29" i="35"/>
  <c r="H29" i="35" s="1"/>
  <c r="G33" i="35"/>
  <c r="H33" i="35" s="1"/>
  <c r="G37" i="35"/>
  <c r="H37" i="35" s="1"/>
  <c r="G41" i="35"/>
  <c r="H41" i="35" s="1"/>
  <c r="G45" i="35"/>
  <c r="H45" i="35" s="1"/>
  <c r="G49" i="35"/>
  <c r="H49" i="35" s="1"/>
  <c r="G53" i="35"/>
  <c r="H53" i="35" s="1"/>
  <c r="G12" i="36"/>
  <c r="H12" i="36" s="1"/>
  <c r="G16" i="36"/>
  <c r="H16" i="36" s="1"/>
  <c r="G20" i="36"/>
  <c r="H20" i="36" s="1"/>
  <c r="G24" i="36"/>
  <c r="H24" i="36" s="1"/>
  <c r="G28" i="36"/>
  <c r="H28" i="36" s="1"/>
  <c r="G32" i="36"/>
  <c r="H32" i="36" s="1"/>
  <c r="G36" i="36"/>
  <c r="H36" i="36" s="1"/>
  <c r="G40" i="36"/>
  <c r="H40" i="36" s="1"/>
  <c r="G15" i="37"/>
  <c r="H15" i="37" s="1"/>
  <c r="G19" i="37"/>
  <c r="H19" i="37" s="1"/>
  <c r="G27" i="37"/>
  <c r="H27" i="37" s="1"/>
  <c r="G31" i="37"/>
  <c r="H31" i="37" s="1"/>
  <c r="G35" i="37"/>
  <c r="H35" i="37" s="1"/>
  <c r="G39" i="37"/>
  <c r="H39" i="37" s="1"/>
  <c r="G47" i="37"/>
  <c r="H47" i="37" s="1"/>
  <c r="G51" i="37"/>
  <c r="H51" i="37" s="1"/>
  <c r="G55" i="37"/>
  <c r="H55" i="37" s="1"/>
  <c r="G10" i="26"/>
  <c r="H10" i="26" s="1"/>
  <c r="G18" i="26"/>
  <c r="H18" i="26" s="1"/>
  <c r="G22" i="26"/>
  <c r="H22" i="26" s="1"/>
  <c r="G26" i="26"/>
  <c r="H26" i="26" s="1"/>
  <c r="G30" i="26"/>
  <c r="H30" i="26" s="1"/>
  <c r="G34" i="26"/>
  <c r="H34" i="26" s="1"/>
  <c r="G38" i="26"/>
  <c r="H38" i="26" s="1"/>
  <c r="G42" i="26"/>
  <c r="H42" i="26" s="1"/>
  <c r="G50" i="26"/>
  <c r="H50" i="26" s="1"/>
  <c r="G54" i="26"/>
  <c r="H54" i="26" s="1"/>
  <c r="G13" i="27"/>
  <c r="H13" i="27" s="1"/>
  <c r="G17" i="27"/>
  <c r="H17" i="27" s="1"/>
  <c r="G21" i="27"/>
  <c r="H21" i="27" s="1"/>
  <c r="G25" i="27"/>
  <c r="H25" i="27" s="1"/>
  <c r="G29" i="27"/>
  <c r="H29" i="27" s="1"/>
  <c r="G37" i="27"/>
  <c r="H37" i="27" s="1"/>
  <c r="G41" i="27"/>
  <c r="H41" i="27" s="1"/>
  <c r="G45" i="27"/>
  <c r="H45" i="27" s="1"/>
  <c r="G49" i="27"/>
  <c r="H49" i="27" s="1"/>
  <c r="G53" i="27"/>
  <c r="H53" i="27" s="1"/>
  <c r="G12" i="28"/>
  <c r="H12" i="28" s="1"/>
  <c r="G11" i="29"/>
  <c r="H11" i="29" s="1"/>
  <c r="G15" i="29"/>
  <c r="H15" i="29" s="1"/>
  <c r="G19" i="29"/>
  <c r="H19" i="29" s="1"/>
  <c r="G23" i="29"/>
  <c r="H23" i="29" s="1"/>
  <c r="G27" i="29"/>
  <c r="H27" i="29" s="1"/>
  <c r="G31" i="29"/>
  <c r="H31" i="29" s="1"/>
  <c r="G35" i="29"/>
  <c r="H35" i="29" s="1"/>
  <c r="G51" i="29"/>
  <c r="H51" i="29" s="1"/>
  <c r="G55" i="29"/>
  <c r="H55" i="29" s="1"/>
  <c r="G10" i="30"/>
  <c r="H10" i="30" s="1"/>
  <c r="G14" i="30"/>
  <c r="H14" i="30" s="1"/>
  <c r="G18" i="30"/>
  <c r="H18" i="30" s="1"/>
  <c r="G22" i="30"/>
  <c r="H22" i="30" s="1"/>
  <c r="G30" i="30"/>
  <c r="H30" i="30" s="1"/>
  <c r="G34" i="30"/>
  <c r="H34" i="30" s="1"/>
  <c r="G38" i="30"/>
  <c r="H38" i="30" s="1"/>
  <c r="G46" i="30"/>
  <c r="H46" i="30" s="1"/>
  <c r="G50" i="30"/>
  <c r="H50" i="30" s="1"/>
  <c r="G54" i="30"/>
  <c r="H54" i="30" s="1"/>
  <c r="G13" i="31"/>
  <c r="H13" i="31" s="1"/>
  <c r="G21" i="31"/>
  <c r="H21" i="31" s="1"/>
  <c r="G29" i="31"/>
  <c r="H29" i="31" s="1"/>
  <c r="G37" i="31"/>
  <c r="H37" i="31" s="1"/>
  <c r="G45" i="31"/>
  <c r="H45" i="31" s="1"/>
  <c r="G53" i="31"/>
  <c r="H53" i="31" s="1"/>
  <c r="G16" i="32"/>
  <c r="H16" i="32" s="1"/>
  <c r="G20" i="32"/>
  <c r="H20" i="32" s="1"/>
  <c r="G24" i="32"/>
  <c r="H24" i="32" s="1"/>
  <c r="G28" i="32"/>
  <c r="H28" i="32" s="1"/>
  <c r="G32" i="32"/>
  <c r="H32" i="32" s="1"/>
  <c r="G36" i="32"/>
  <c r="H36" i="32" s="1"/>
  <c r="G40" i="32"/>
  <c r="H40" i="32" s="1"/>
  <c r="G44" i="32"/>
  <c r="H44" i="32" s="1"/>
  <c r="G48" i="32"/>
  <c r="H48" i="32" s="1"/>
  <c r="G52" i="32"/>
  <c r="H52" i="32" s="1"/>
  <c r="G11" i="33"/>
  <c r="H11" i="33" s="1"/>
  <c r="G15" i="33"/>
  <c r="H15" i="33" s="1"/>
  <c r="G23" i="33"/>
  <c r="H23" i="33" s="1"/>
  <c r="G27" i="33"/>
  <c r="H27" i="33" s="1"/>
  <c r="G31" i="33"/>
  <c r="H31" i="33" s="1"/>
  <c r="G35" i="33"/>
  <c r="H35" i="33" s="1"/>
  <c r="G39" i="33"/>
  <c r="H39" i="33" s="1"/>
  <c r="G43" i="33"/>
  <c r="H43" i="33" s="1"/>
  <c r="G47" i="33"/>
  <c r="H47" i="33" s="1"/>
  <c r="G51" i="33"/>
  <c r="H51" i="33" s="1"/>
  <c r="G55" i="33"/>
  <c r="H55" i="33" s="1"/>
  <c r="G14" i="34"/>
  <c r="H14" i="34" s="1"/>
  <c r="G19" i="34"/>
  <c r="H19" i="34" s="1"/>
  <c r="G23" i="34"/>
  <c r="H23" i="34" s="1"/>
  <c r="G27" i="34"/>
  <c r="H27" i="34" s="1"/>
  <c r="G31" i="34"/>
  <c r="H31" i="34" s="1"/>
  <c r="G35" i="34"/>
  <c r="H35" i="34" s="1"/>
  <c r="G39" i="34"/>
  <c r="H39" i="34" s="1"/>
  <c r="G43" i="34"/>
  <c r="H43" i="34" s="1"/>
  <c r="G47" i="34"/>
  <c r="H47" i="34" s="1"/>
  <c r="G51" i="34"/>
  <c r="H51" i="34" s="1"/>
  <c r="G55" i="34"/>
  <c r="H55" i="34" s="1"/>
  <c r="G10" i="35"/>
  <c r="H10" i="35" s="1"/>
  <c r="G14" i="35"/>
  <c r="H14" i="35" s="1"/>
  <c r="G18" i="35"/>
  <c r="H18" i="35" s="1"/>
  <c r="G26" i="35"/>
  <c r="H26" i="35" s="1"/>
  <c r="G30" i="35"/>
  <c r="H30" i="35" s="1"/>
  <c r="G34" i="35"/>
  <c r="H34" i="35" s="1"/>
  <c r="G38" i="35"/>
  <c r="H38" i="35" s="1"/>
  <c r="G42" i="35"/>
  <c r="H42" i="35" s="1"/>
  <c r="G46" i="35"/>
  <c r="H46" i="35" s="1"/>
  <c r="G11" i="26"/>
  <c r="H11" i="26" s="1"/>
  <c r="G15" i="26"/>
  <c r="H15" i="26" s="1"/>
  <c r="G19" i="26"/>
  <c r="H19" i="26" s="1"/>
  <c r="G23" i="26"/>
  <c r="H23" i="26" s="1"/>
  <c r="G31" i="26"/>
  <c r="H31" i="26" s="1"/>
  <c r="G35" i="26"/>
  <c r="H35" i="26" s="1"/>
  <c r="G39" i="26"/>
  <c r="H39" i="26" s="1"/>
  <c r="G43" i="26"/>
  <c r="H43" i="26" s="1"/>
  <c r="G47" i="26"/>
  <c r="H47" i="26" s="1"/>
  <c r="G51" i="26"/>
  <c r="H51" i="26" s="1"/>
  <c r="G55" i="26"/>
  <c r="H55" i="26" s="1"/>
  <c r="G10" i="27"/>
  <c r="H10" i="27" s="1"/>
  <c r="G14" i="27"/>
  <c r="H14" i="27" s="1"/>
  <c r="G18" i="27"/>
  <c r="H18" i="27" s="1"/>
  <c r="G26" i="27"/>
  <c r="H26" i="27" s="1"/>
  <c r="G30" i="27"/>
  <c r="H30" i="27" s="1"/>
  <c r="G34" i="27"/>
  <c r="H34" i="27" s="1"/>
  <c r="G38" i="27"/>
  <c r="H38" i="27" s="1"/>
  <c r="G42" i="27"/>
  <c r="H42" i="27" s="1"/>
  <c r="G46" i="27"/>
  <c r="H46" i="27" s="1"/>
  <c r="G54" i="27"/>
  <c r="H54" i="27" s="1"/>
  <c r="G12" i="29"/>
  <c r="H12" i="29" s="1"/>
  <c r="G16" i="29"/>
  <c r="H16" i="29" s="1"/>
  <c r="G20" i="29"/>
  <c r="H20" i="29" s="1"/>
  <c r="G24" i="29"/>
  <c r="H24" i="29" s="1"/>
  <c r="G28" i="29"/>
  <c r="H28" i="29" s="1"/>
  <c r="G32" i="29"/>
  <c r="H32" i="29" s="1"/>
  <c r="G36" i="29"/>
  <c r="H36" i="29" s="1"/>
  <c r="G40" i="29"/>
  <c r="H40" i="29" s="1"/>
  <c r="G44" i="29"/>
  <c r="H44" i="29" s="1"/>
  <c r="G48" i="29"/>
  <c r="H48" i="29" s="1"/>
  <c r="G11" i="30"/>
  <c r="H11" i="30" s="1"/>
  <c r="G19" i="30"/>
  <c r="H19" i="30" s="1"/>
  <c r="G23" i="30"/>
  <c r="H23" i="30" s="1"/>
  <c r="G27" i="30"/>
  <c r="H27" i="30" s="1"/>
  <c r="G35" i="30"/>
  <c r="H35" i="30" s="1"/>
  <c r="G39" i="30"/>
  <c r="H39" i="30" s="1"/>
  <c r="G43" i="30"/>
  <c r="H43" i="30" s="1"/>
  <c r="G47" i="30"/>
  <c r="H47" i="30" s="1"/>
  <c r="G51" i="30"/>
  <c r="H51" i="30" s="1"/>
  <c r="G55" i="30"/>
  <c r="H55" i="30" s="1"/>
  <c r="G10" i="31"/>
  <c r="H10" i="31" s="1"/>
  <c r="G14" i="31"/>
  <c r="H14" i="31" s="1"/>
  <c r="G18" i="31"/>
  <c r="H18" i="31" s="1"/>
  <c r="G22" i="31"/>
  <c r="H22" i="31" s="1"/>
  <c r="G26" i="31"/>
  <c r="H26" i="31" s="1"/>
  <c r="G30" i="31"/>
  <c r="H30" i="31" s="1"/>
  <c r="G34" i="31"/>
  <c r="H34" i="31" s="1"/>
  <c r="G38" i="31"/>
  <c r="H38" i="31" s="1"/>
  <c r="G42" i="31"/>
  <c r="H42" i="31" s="1"/>
  <c r="G46" i="31"/>
  <c r="H46" i="31" s="1"/>
  <c r="G50" i="31"/>
  <c r="H50" i="31" s="1"/>
  <c r="G54" i="31"/>
  <c r="H54" i="31" s="1"/>
  <c r="G13" i="32"/>
  <c r="H13" i="32" s="1"/>
  <c r="G17" i="32"/>
  <c r="H17" i="32" s="1"/>
  <c r="G21" i="32"/>
  <c r="H21" i="32" s="1"/>
  <c r="G29" i="32"/>
  <c r="H29" i="32" s="1"/>
  <c r="G33" i="32"/>
  <c r="H33" i="32" s="1"/>
  <c r="G41" i="32"/>
  <c r="H41" i="32" s="1"/>
  <c r="G45" i="32"/>
  <c r="H45" i="32" s="1"/>
  <c r="G49" i="32"/>
  <c r="H49" i="32" s="1"/>
  <c r="G53" i="32"/>
  <c r="H53" i="32" s="1"/>
  <c r="G12" i="33"/>
  <c r="H12" i="33" s="1"/>
  <c r="G16" i="33"/>
  <c r="H16" i="33" s="1"/>
  <c r="G20" i="33"/>
  <c r="H20" i="33" s="1"/>
  <c r="G24" i="33"/>
  <c r="H24" i="33" s="1"/>
  <c r="G28" i="33"/>
  <c r="H28" i="33" s="1"/>
  <c r="G32" i="33"/>
  <c r="H32" i="33" s="1"/>
  <c r="G40" i="33"/>
  <c r="H40" i="33" s="1"/>
  <c r="G44" i="33"/>
  <c r="H44" i="33" s="1"/>
  <c r="G48" i="33"/>
  <c r="H48" i="33" s="1"/>
  <c r="G11" i="34"/>
  <c r="H11" i="34" s="1"/>
  <c r="G20" i="34"/>
  <c r="H20" i="34" s="1"/>
  <c r="G24" i="34"/>
  <c r="H24" i="34" s="1"/>
  <c r="G28" i="34"/>
  <c r="H28" i="34" s="1"/>
  <c r="G36" i="34"/>
  <c r="H36" i="34" s="1"/>
  <c r="G40" i="34"/>
  <c r="H40" i="34" s="1"/>
  <c r="G44" i="34"/>
  <c r="H44" i="34" s="1"/>
  <c r="G52" i="34"/>
  <c r="H52" i="34" s="1"/>
  <c r="G11" i="35"/>
  <c r="H11" i="35" s="1"/>
  <c r="G15" i="35"/>
  <c r="H15" i="35" s="1"/>
  <c r="G19" i="35"/>
  <c r="H19" i="35" s="1"/>
  <c r="G23" i="35"/>
  <c r="H23" i="35" s="1"/>
  <c r="G27" i="35"/>
  <c r="H27" i="35" s="1"/>
  <c r="G31" i="35"/>
  <c r="H31" i="35" s="1"/>
  <c r="G35" i="35"/>
  <c r="H35" i="35" s="1"/>
  <c r="G43" i="35"/>
  <c r="H43" i="35" s="1"/>
  <c r="G47" i="35"/>
  <c r="H47" i="35" s="1"/>
  <c r="G51" i="35"/>
  <c r="H51" i="35" s="1"/>
  <c r="G55" i="35"/>
  <c r="H55" i="35" s="1"/>
  <c r="G10" i="36"/>
  <c r="H10" i="36" s="1"/>
  <c r="G18" i="36"/>
  <c r="H18" i="36" s="1"/>
  <c r="G26" i="36"/>
  <c r="H26" i="36" s="1"/>
  <c r="G34" i="36"/>
  <c r="H34" i="36" s="1"/>
  <c r="G42" i="36"/>
  <c r="H42" i="36" s="1"/>
  <c r="G50" i="36"/>
  <c r="H50" i="36" s="1"/>
  <c r="G54" i="36"/>
  <c r="H54" i="36" s="1"/>
  <c r="G13" i="37"/>
  <c r="H13" i="37" s="1"/>
  <c r="G17" i="37"/>
  <c r="H17" i="37" s="1"/>
  <c r="G21" i="37"/>
  <c r="H21" i="37" s="1"/>
  <c r="G25" i="37"/>
  <c r="H25" i="37" s="1"/>
  <c r="G29" i="37"/>
  <c r="H29" i="37" s="1"/>
  <c r="G33" i="37"/>
  <c r="H33" i="37" s="1"/>
  <c r="G37" i="37"/>
  <c r="H37" i="37" s="1"/>
  <c r="G41" i="37"/>
  <c r="H41" i="37" s="1"/>
  <c r="G45" i="37"/>
  <c r="H45" i="37" s="1"/>
  <c r="G49" i="37"/>
  <c r="H49" i="37" s="1"/>
  <c r="G53" i="37"/>
  <c r="H53" i="37" s="1"/>
  <c r="G11" i="31"/>
  <c r="H11" i="31" s="1"/>
  <c r="G15" i="31"/>
  <c r="H15" i="31" s="1"/>
  <c r="G19" i="31"/>
  <c r="H19" i="31" s="1"/>
  <c r="G23" i="31"/>
  <c r="H23" i="31" s="1"/>
  <c r="G27" i="31"/>
  <c r="H27" i="31" s="1"/>
  <c r="G31" i="31"/>
  <c r="H31" i="31" s="1"/>
  <c r="G35" i="31"/>
  <c r="H35" i="31" s="1"/>
  <c r="G39" i="31"/>
  <c r="H39" i="31" s="1"/>
  <c r="G43" i="31"/>
  <c r="H43" i="31" s="1"/>
  <c r="G47" i="31"/>
  <c r="H47" i="31" s="1"/>
  <c r="G51" i="31"/>
  <c r="H51" i="31" s="1"/>
  <c r="G55" i="31"/>
  <c r="H55" i="31" s="1"/>
  <c r="G10" i="32"/>
  <c r="H10" i="32" s="1"/>
  <c r="G14" i="32"/>
  <c r="H14" i="32" s="1"/>
  <c r="G18" i="32"/>
  <c r="H18" i="32" s="1"/>
  <c r="G22" i="32"/>
  <c r="H22" i="32" s="1"/>
  <c r="G26" i="32"/>
  <c r="H26" i="32" s="1"/>
  <c r="G30" i="32"/>
  <c r="H30" i="32" s="1"/>
  <c r="G34" i="32"/>
  <c r="H34" i="32" s="1"/>
  <c r="G38" i="32"/>
  <c r="H38" i="32" s="1"/>
  <c r="G42" i="32"/>
  <c r="H42" i="32" s="1"/>
  <c r="G46" i="32"/>
  <c r="H46" i="32" s="1"/>
  <c r="G54" i="32"/>
  <c r="H54" i="32" s="1"/>
  <c r="G13" i="33"/>
  <c r="H13" i="33" s="1"/>
  <c r="G17" i="33"/>
  <c r="H17" i="33" s="1"/>
  <c r="G21" i="33"/>
  <c r="H21" i="33" s="1"/>
  <c r="G29" i="33"/>
  <c r="H29" i="33" s="1"/>
  <c r="G33" i="33"/>
  <c r="H33" i="33" s="1"/>
  <c r="G37" i="33"/>
  <c r="H37" i="33" s="1"/>
  <c r="G45" i="33"/>
  <c r="H45" i="33" s="1"/>
  <c r="G49" i="33"/>
  <c r="H49" i="33" s="1"/>
  <c r="G53" i="33"/>
  <c r="H53" i="33" s="1"/>
  <c r="G12" i="34"/>
  <c r="H12" i="34" s="1"/>
  <c r="G17" i="34"/>
  <c r="H17" i="34" s="1"/>
  <c r="G25" i="34"/>
  <c r="H25" i="34" s="1"/>
  <c r="G29" i="34"/>
  <c r="H29" i="34" s="1"/>
  <c r="G33" i="34"/>
  <c r="H33" i="34" s="1"/>
  <c r="G41" i="34"/>
  <c r="H41" i="34" s="1"/>
  <c r="G45" i="34"/>
  <c r="H45" i="34" s="1"/>
  <c r="G49" i="34"/>
  <c r="H49" i="34" s="1"/>
  <c r="G11" i="36"/>
  <c r="H11" i="36" s="1"/>
  <c r="G15" i="36"/>
  <c r="H15" i="36" s="1"/>
  <c r="G19" i="36"/>
  <c r="H19" i="36" s="1"/>
  <c r="G23" i="36"/>
  <c r="H23" i="36" s="1"/>
  <c r="G27" i="36"/>
  <c r="H27" i="36" s="1"/>
  <c r="G31" i="36"/>
  <c r="H31" i="36" s="1"/>
  <c r="G35" i="36"/>
  <c r="H35" i="36" s="1"/>
  <c r="G39" i="36"/>
  <c r="H39" i="36" s="1"/>
  <c r="G43" i="36"/>
  <c r="H43" i="36" s="1"/>
  <c r="G47" i="36"/>
  <c r="H47" i="36" s="1"/>
  <c r="G51" i="36"/>
  <c r="H51" i="36" s="1"/>
  <c r="G55" i="36"/>
  <c r="H55" i="36" s="1"/>
  <c r="G10" i="37"/>
  <c r="H10" i="37" s="1"/>
  <c r="G14" i="37"/>
  <c r="H14" i="37" s="1"/>
  <c r="G18" i="37"/>
  <c r="H18" i="37" s="1"/>
  <c r="G22" i="37"/>
  <c r="H22" i="37" s="1"/>
  <c r="G26" i="37"/>
  <c r="H26" i="37" s="1"/>
  <c r="G34" i="37"/>
  <c r="H34" i="37" s="1"/>
  <c r="G38" i="37"/>
  <c r="H38" i="37" s="1"/>
  <c r="G42" i="37"/>
  <c r="H42" i="37" s="1"/>
  <c r="G46" i="37"/>
  <c r="H46" i="37" s="1"/>
  <c r="E25" i="26"/>
  <c r="E41" i="26"/>
  <c r="E55" i="32"/>
  <c r="E17" i="27"/>
  <c r="E21" i="27"/>
  <c r="E37" i="27"/>
  <c r="E49" i="27"/>
  <c r="E16" i="32"/>
  <c r="E23" i="32"/>
  <c r="E39" i="32"/>
  <c r="E13" i="32"/>
  <c r="E16" i="33"/>
  <c r="E32" i="33"/>
  <c r="E19" i="35"/>
  <c r="E51" i="35"/>
  <c r="E21" i="37"/>
  <c r="E37" i="37"/>
  <c r="E53" i="37"/>
  <c r="E21" i="26"/>
  <c r="E37" i="26"/>
  <c r="E35" i="36"/>
  <c r="E31" i="31"/>
  <c r="E35" i="31"/>
  <c r="E39" i="31"/>
  <c r="E43" i="31"/>
  <c r="E47" i="31"/>
  <c r="E51" i="31"/>
  <c r="E7" i="32"/>
  <c r="E10" i="32"/>
  <c r="E15" i="32"/>
  <c r="E41" i="32"/>
  <c r="E45" i="32"/>
  <c r="E10" i="33"/>
  <c r="E34" i="33"/>
  <c r="E50" i="33"/>
  <c r="E16" i="36"/>
  <c r="E25" i="36"/>
  <c r="E42" i="37"/>
  <c r="E7" i="31"/>
  <c r="E10" i="31"/>
  <c r="E14" i="31"/>
  <c r="E18" i="31"/>
  <c r="E22" i="31"/>
  <c r="E26" i="31"/>
  <c r="E30" i="31"/>
  <c r="E34" i="31"/>
  <c r="E38" i="31"/>
  <c r="E42" i="31"/>
  <c r="E46" i="31"/>
  <c r="E50" i="31"/>
  <c r="E54" i="31"/>
  <c r="E57" i="31"/>
  <c r="E9" i="32"/>
  <c r="E14" i="32"/>
  <c r="E20" i="32"/>
  <c r="E32" i="32"/>
  <c r="E34" i="32"/>
  <c r="E36" i="32"/>
  <c r="E38" i="32"/>
  <c r="E47" i="32"/>
  <c r="E49" i="32"/>
  <c r="E51" i="32"/>
  <c r="E53" i="32"/>
  <c r="E9" i="33"/>
  <c r="E23" i="33"/>
  <c r="E24" i="33"/>
  <c r="E28" i="33"/>
  <c r="E33" i="33"/>
  <c r="E40" i="33"/>
  <c r="E53" i="33"/>
  <c r="E16" i="34"/>
  <c r="E46" i="34"/>
  <c r="E9" i="35"/>
  <c r="E14" i="35"/>
  <c r="E28" i="35"/>
  <c r="E37" i="35"/>
  <c r="E11" i="36"/>
  <c r="E34" i="36"/>
  <c r="E39" i="36"/>
  <c r="E48" i="36"/>
  <c r="E15" i="37"/>
  <c r="E20" i="37"/>
  <c r="E25" i="37"/>
  <c r="E27" i="31"/>
  <c r="E24" i="32"/>
  <c r="E28" i="32"/>
  <c r="E30" i="32"/>
  <c r="E7" i="33"/>
  <c r="E15" i="33"/>
  <c r="E20" i="33"/>
  <c r="E44" i="33"/>
  <c r="E33" i="34"/>
  <c r="E44" i="36"/>
  <c r="E9" i="37"/>
  <c r="E9" i="31"/>
  <c r="E13" i="31"/>
  <c r="E21" i="31"/>
  <c r="E29" i="31"/>
  <c r="E37" i="31"/>
  <c r="E45" i="31"/>
  <c r="E53" i="31"/>
  <c r="E27" i="32"/>
  <c r="E29" i="32"/>
  <c r="E40" i="32"/>
  <c r="E42" i="32"/>
  <c r="E44" i="32"/>
  <c r="E46" i="32"/>
  <c r="E57" i="32"/>
  <c r="E13" i="33"/>
  <c r="E18" i="33"/>
  <c r="E22" i="33"/>
  <c r="E27" i="33"/>
  <c r="E31" i="33"/>
  <c r="E39" i="33"/>
  <c r="E42" i="33"/>
  <c r="E45" i="33"/>
  <c r="E49" i="33"/>
  <c r="E55" i="33"/>
  <c r="E7" i="34"/>
  <c r="E11" i="34"/>
  <c r="E14" i="34"/>
  <c r="E25" i="34"/>
  <c r="E41" i="34"/>
  <c r="E50" i="34"/>
  <c r="E57" i="34"/>
  <c r="E18" i="35"/>
  <c r="E23" i="35"/>
  <c r="E32" i="35"/>
  <c r="E41" i="35"/>
  <c r="E46" i="35"/>
  <c r="E43" i="36"/>
  <c r="E10" i="37"/>
  <c r="E31" i="37"/>
  <c r="E41" i="37"/>
  <c r="E11" i="31"/>
  <c r="E15" i="31"/>
  <c r="E19" i="31"/>
  <c r="E23" i="31"/>
  <c r="E55" i="31"/>
  <c r="E21" i="32"/>
  <c r="E26" i="32"/>
  <c r="E29" i="33"/>
  <c r="E37" i="33"/>
  <c r="E12" i="31"/>
  <c r="E16" i="31"/>
  <c r="E20" i="31"/>
  <c r="E24" i="31"/>
  <c r="E28" i="31"/>
  <c r="E32" i="31"/>
  <c r="E36" i="31"/>
  <c r="E40" i="31"/>
  <c r="E44" i="31"/>
  <c r="E48" i="31"/>
  <c r="E52" i="31"/>
  <c r="E11" i="32"/>
  <c r="E17" i="32"/>
  <c r="E18" i="32"/>
  <c r="E22" i="32"/>
  <c r="E33" i="32"/>
  <c r="E35" i="32"/>
  <c r="E48" i="32"/>
  <c r="E52" i="32"/>
  <c r="E54" i="32"/>
  <c r="E11" i="33"/>
  <c r="E12" i="33"/>
  <c r="E17" i="33"/>
  <c r="E21" i="33"/>
  <c r="E26" i="33"/>
  <c r="E35" i="33"/>
  <c r="E48" i="33"/>
  <c r="E51" i="33"/>
  <c r="E54" i="33"/>
  <c r="E17" i="34"/>
  <c r="E29" i="34"/>
  <c r="E54" i="34"/>
  <c r="E27" i="35"/>
  <c r="E50" i="35"/>
  <c r="E55" i="35"/>
  <c r="E12" i="36"/>
  <c r="E21" i="36"/>
  <c r="E26" i="37"/>
  <c r="E47" i="37"/>
  <c r="E52" i="37"/>
  <c r="E20" i="34"/>
  <c r="E24" i="34"/>
  <c r="E28" i="34"/>
  <c r="E36" i="34"/>
  <c r="E40" i="34"/>
  <c r="E45" i="34"/>
  <c r="E49" i="34"/>
  <c r="E13" i="35"/>
  <c r="E17" i="35"/>
  <c r="E26" i="35"/>
  <c r="E31" i="35"/>
  <c r="E36" i="35"/>
  <c r="E40" i="35"/>
  <c r="E45" i="35"/>
  <c r="E49" i="35"/>
  <c r="E54" i="35"/>
  <c r="E7" i="36"/>
  <c r="E10" i="36"/>
  <c r="E15" i="36"/>
  <c r="E20" i="36"/>
  <c r="E24" i="36"/>
  <c r="E29" i="36"/>
  <c r="E33" i="36"/>
  <c r="E42" i="36"/>
  <c r="E47" i="36"/>
  <c r="E52" i="36"/>
  <c r="E14" i="37"/>
  <c r="E19" i="37"/>
  <c r="E24" i="37"/>
  <c r="E35" i="37"/>
  <c r="E40" i="37"/>
  <c r="E46" i="37"/>
  <c r="E51" i="37"/>
  <c r="E57" i="33"/>
  <c r="E9" i="34"/>
  <c r="E13" i="34"/>
  <c r="E19" i="34"/>
  <c r="E23" i="34"/>
  <c r="E27" i="34"/>
  <c r="E31" i="34"/>
  <c r="E35" i="34"/>
  <c r="E39" i="34"/>
  <c r="E44" i="34"/>
  <c r="E52" i="34"/>
  <c r="E12" i="35"/>
  <c r="E16" i="35"/>
  <c r="E21" i="35"/>
  <c r="E25" i="35"/>
  <c r="E30" i="35"/>
  <c r="E34" i="35"/>
  <c r="E35" i="35"/>
  <c r="E44" i="35"/>
  <c r="E48" i="35"/>
  <c r="E53" i="35"/>
  <c r="E57" i="35"/>
  <c r="E9" i="36"/>
  <c r="E18" i="36"/>
  <c r="E19" i="36"/>
  <c r="E23" i="36"/>
  <c r="E28" i="36"/>
  <c r="E32" i="36"/>
  <c r="E37" i="36"/>
  <c r="E41" i="36"/>
  <c r="E50" i="36"/>
  <c r="E51" i="36"/>
  <c r="E55" i="36"/>
  <c r="E7" i="37"/>
  <c r="E12" i="37"/>
  <c r="E13" i="37"/>
  <c r="E18" i="37"/>
  <c r="E28" i="37"/>
  <c r="E29" i="37"/>
  <c r="E34" i="37"/>
  <c r="E39" i="37"/>
  <c r="E44" i="37"/>
  <c r="E45" i="37"/>
  <c r="E55" i="37"/>
  <c r="E38" i="33"/>
  <c r="E43" i="33"/>
  <c r="E47" i="33"/>
  <c r="E12" i="34"/>
  <c r="E18" i="34"/>
  <c r="E22" i="34"/>
  <c r="E30" i="34"/>
  <c r="E34" i="34"/>
  <c r="E38" i="34"/>
  <c r="E43" i="34"/>
  <c r="E47" i="34"/>
  <c r="E51" i="34"/>
  <c r="E55" i="34"/>
  <c r="E7" i="35"/>
  <c r="E10" i="35"/>
  <c r="E11" i="35"/>
  <c r="E15" i="35"/>
  <c r="E20" i="35"/>
  <c r="E24" i="35"/>
  <c r="E29" i="35"/>
  <c r="E33" i="35"/>
  <c r="E38" i="35"/>
  <c r="E42" i="35"/>
  <c r="E43" i="35"/>
  <c r="E47" i="35"/>
  <c r="E52" i="35"/>
  <c r="E13" i="36"/>
  <c r="E17" i="36"/>
  <c r="E26" i="36"/>
  <c r="E27" i="36"/>
  <c r="E31" i="36"/>
  <c r="E36" i="36"/>
  <c r="E40" i="36"/>
  <c r="E45" i="36"/>
  <c r="E49" i="36"/>
  <c r="E54" i="36"/>
  <c r="E57" i="36"/>
  <c r="E11" i="37"/>
  <c r="E17" i="37"/>
  <c r="E22" i="37"/>
  <c r="E27" i="37"/>
  <c r="E32" i="37"/>
  <c r="E33" i="37"/>
  <c r="E38" i="37"/>
  <c r="E48" i="37"/>
  <c r="E49" i="37"/>
  <c r="E54" i="37"/>
  <c r="E57" i="37"/>
  <c r="E15" i="27"/>
  <c r="E14" i="29"/>
  <c r="E22" i="29"/>
  <c r="E38" i="29"/>
  <c r="E42" i="29"/>
  <c r="E7" i="30"/>
  <c r="E14" i="30"/>
  <c r="E18" i="30"/>
  <c r="E50" i="30"/>
  <c r="E54" i="30"/>
  <c r="E19" i="27"/>
  <c r="E24" i="27"/>
  <c r="E35" i="27"/>
  <c r="E40" i="27"/>
  <c r="E46" i="27"/>
  <c r="E51" i="27"/>
  <c r="E25" i="29"/>
  <c r="E29" i="29"/>
  <c r="E33" i="29"/>
  <c r="E37" i="29"/>
  <c r="E41" i="29"/>
  <c r="E46" i="29"/>
  <c r="E50" i="29"/>
  <c r="E54" i="29"/>
  <c r="E57" i="29"/>
  <c r="E9" i="30"/>
  <c r="E17" i="30"/>
  <c r="E25" i="30"/>
  <c r="E33" i="30"/>
  <c r="E41" i="30"/>
  <c r="E45" i="30"/>
  <c r="E49" i="30"/>
  <c r="E7" i="27"/>
  <c r="E12" i="27"/>
  <c r="E13" i="27"/>
  <c r="E18" i="27"/>
  <c r="E23" i="27"/>
  <c r="E29" i="27"/>
  <c r="E34" i="27"/>
  <c r="E45" i="27"/>
  <c r="E54" i="27"/>
  <c r="E57" i="27"/>
  <c r="E9" i="28"/>
  <c r="E10" i="28"/>
  <c r="E12" i="29"/>
  <c r="E16" i="29"/>
  <c r="E20" i="29"/>
  <c r="E24" i="29"/>
  <c r="E28" i="29"/>
  <c r="E32" i="29"/>
  <c r="E36" i="29"/>
  <c r="E40" i="29"/>
  <c r="E45" i="29"/>
  <c r="E49" i="29"/>
  <c r="E53" i="29"/>
  <c r="E12" i="30"/>
  <c r="E16" i="30"/>
  <c r="E24" i="30"/>
  <c r="E28" i="30"/>
  <c r="E32" i="30"/>
  <c r="E36" i="30"/>
  <c r="E40" i="30"/>
  <c r="E44" i="30"/>
  <c r="E52" i="30"/>
  <c r="E10" i="27"/>
  <c r="E20" i="27"/>
  <c r="E26" i="27"/>
  <c r="E31" i="27"/>
  <c r="E36" i="27"/>
  <c r="E42" i="27"/>
  <c r="E47" i="27"/>
  <c r="E52" i="27"/>
  <c r="E12" i="28"/>
  <c r="E9" i="29"/>
  <c r="E18" i="29"/>
  <c r="E51" i="29"/>
  <c r="E55" i="29"/>
  <c r="E10" i="30"/>
  <c r="E22" i="30"/>
  <c r="E30" i="30"/>
  <c r="E34" i="30"/>
  <c r="E38" i="30"/>
  <c r="E46" i="30"/>
  <c r="E57" i="30"/>
  <c r="E9" i="27"/>
  <c r="E14" i="27"/>
  <c r="E25" i="27"/>
  <c r="E30" i="27"/>
  <c r="E41" i="27"/>
  <c r="E55" i="27"/>
  <c r="E7" i="28"/>
  <c r="E11" i="28"/>
  <c r="E13" i="30"/>
  <c r="E21" i="30"/>
  <c r="E29" i="30"/>
  <c r="E27" i="27"/>
  <c r="E32" i="27"/>
  <c r="E38" i="27"/>
  <c r="E43" i="27"/>
  <c r="E48" i="27"/>
  <c r="E53" i="27"/>
  <c r="E7" i="29"/>
  <c r="E10" i="29"/>
  <c r="E11" i="29"/>
  <c r="E15" i="29"/>
  <c r="E19" i="29"/>
  <c r="E23" i="29"/>
  <c r="E27" i="29"/>
  <c r="E31" i="29"/>
  <c r="E35" i="29"/>
  <c r="E44" i="29"/>
  <c r="E48" i="29"/>
  <c r="E11" i="30"/>
  <c r="E19" i="30"/>
  <c r="E23" i="30"/>
  <c r="E27" i="30"/>
  <c r="E35" i="30"/>
  <c r="E39" i="30"/>
  <c r="E43" i="30"/>
  <c r="E47" i="30"/>
  <c r="E51" i="30"/>
  <c r="E55" i="30"/>
  <c r="E9" i="26"/>
  <c r="E30" i="26"/>
  <c r="E35" i="26"/>
  <c r="E7" i="26"/>
  <c r="E12" i="26"/>
  <c r="E13" i="26"/>
  <c r="E18" i="26"/>
  <c r="E23" i="26"/>
  <c r="E28" i="26"/>
  <c r="E29" i="26"/>
  <c r="E34" i="26"/>
  <c r="E39" i="26"/>
  <c r="E44" i="26"/>
  <c r="E45" i="26"/>
  <c r="E50" i="26"/>
  <c r="E55" i="26"/>
  <c r="E11" i="26"/>
  <c r="E16" i="26"/>
  <c r="E17" i="26"/>
  <c r="E22" i="26"/>
  <c r="E32" i="26"/>
  <c r="E38" i="26"/>
  <c r="E43" i="26"/>
  <c r="E48" i="26"/>
  <c r="E49" i="26"/>
  <c r="E54" i="26"/>
  <c r="E57" i="26"/>
  <c r="E19" i="26"/>
  <c r="E24" i="26"/>
  <c r="E51" i="26"/>
  <c r="E10" i="26"/>
  <c r="E15" i="26"/>
  <c r="E26" i="26"/>
  <c r="E31" i="26"/>
  <c r="E36" i="26"/>
  <c r="E42" i="26"/>
  <c r="E47" i="26"/>
  <c r="E52" i="26"/>
  <c r="I38" i="29" l="1"/>
  <c r="I35" i="29"/>
  <c r="I48" i="29"/>
  <c r="I54" i="29"/>
  <c r="I9" i="29"/>
  <c r="I12" i="29"/>
  <c r="I18" i="29"/>
  <c r="I20" i="29"/>
  <c r="I7" i="29"/>
  <c r="J7" i="29" s="1"/>
  <c r="I32" i="29"/>
  <c r="I24" i="29"/>
  <c r="I33" i="29"/>
  <c r="I25" i="29"/>
  <c r="I51" i="29"/>
  <c r="I37" i="29"/>
  <c r="I44" i="29"/>
  <c r="I45" i="29"/>
  <c r="I36" i="29"/>
  <c r="I28" i="29"/>
  <c r="I16" i="29"/>
  <c r="I50" i="29"/>
  <c r="I31" i="29"/>
  <c r="I27" i="29"/>
  <c r="I22" i="29"/>
  <c r="I49" i="29"/>
  <c r="I57" i="29"/>
  <c r="J57" i="29" s="1"/>
  <c r="Q17" i="29" s="1"/>
  <c r="I41" i="29"/>
  <c r="I15" i="29"/>
  <c r="I11" i="29"/>
  <c r="I55" i="29"/>
  <c r="J55" i="29" s="1"/>
  <c r="I53" i="29"/>
  <c r="I40" i="29"/>
  <c r="I46" i="29"/>
  <c r="I29" i="29"/>
  <c r="I23" i="29"/>
  <c r="I42" i="29"/>
  <c r="I10" i="29"/>
  <c r="I19" i="29"/>
  <c r="I14" i="29"/>
  <c r="J14" i="29" s="1"/>
  <c r="I57" i="35"/>
  <c r="J57" i="35" s="1"/>
  <c r="Q17" i="35" s="1"/>
  <c r="I53" i="35"/>
  <c r="I48" i="35"/>
  <c r="I44" i="35"/>
  <c r="I35" i="35"/>
  <c r="I34" i="35"/>
  <c r="I30" i="35"/>
  <c r="I25" i="35"/>
  <c r="I21" i="35"/>
  <c r="I16" i="35"/>
  <c r="I12" i="35"/>
  <c r="I54" i="35"/>
  <c r="I49" i="35"/>
  <c r="I45" i="35"/>
  <c r="I40" i="35"/>
  <c r="I36" i="35"/>
  <c r="I31" i="35"/>
  <c r="I27" i="35"/>
  <c r="I26" i="35"/>
  <c r="I17" i="35"/>
  <c r="I13" i="35"/>
  <c r="I55" i="35"/>
  <c r="I51" i="35"/>
  <c r="I50" i="35"/>
  <c r="I46" i="35"/>
  <c r="I41" i="35"/>
  <c r="I37" i="35"/>
  <c r="I32" i="35"/>
  <c r="I28" i="35"/>
  <c r="I23" i="35"/>
  <c r="I19" i="35"/>
  <c r="I18" i="35"/>
  <c r="I14" i="35"/>
  <c r="I9" i="35"/>
  <c r="I11" i="35"/>
  <c r="I52" i="35"/>
  <c r="I47" i="35"/>
  <c r="I42" i="35"/>
  <c r="I33" i="35"/>
  <c r="I24" i="35"/>
  <c r="I7" i="35"/>
  <c r="J7" i="35" s="1"/>
  <c r="I43" i="35"/>
  <c r="I38" i="35"/>
  <c r="I29" i="35"/>
  <c r="I20" i="35"/>
  <c r="I15" i="35"/>
  <c r="I10" i="35"/>
  <c r="I55" i="37"/>
  <c r="I45" i="37"/>
  <c r="I44" i="37"/>
  <c r="I39" i="37"/>
  <c r="I34" i="37"/>
  <c r="I29" i="37"/>
  <c r="I28" i="37"/>
  <c r="I18" i="37"/>
  <c r="I13" i="37"/>
  <c r="I12" i="37"/>
  <c r="I7" i="37"/>
  <c r="J7" i="37" s="1"/>
  <c r="I51" i="37"/>
  <c r="I46" i="37"/>
  <c r="I41" i="37"/>
  <c r="I40" i="37"/>
  <c r="I35" i="37"/>
  <c r="I25" i="37"/>
  <c r="I24" i="37"/>
  <c r="I19" i="37"/>
  <c r="I14" i="37"/>
  <c r="I9" i="37"/>
  <c r="I53" i="37"/>
  <c r="I52" i="37"/>
  <c r="I47" i="37"/>
  <c r="I42" i="37"/>
  <c r="I37" i="37"/>
  <c r="I31" i="37"/>
  <c r="I26" i="37"/>
  <c r="I21" i="37"/>
  <c r="I20" i="37"/>
  <c r="I15" i="37"/>
  <c r="I10" i="37"/>
  <c r="I22" i="37"/>
  <c r="I17" i="37"/>
  <c r="I48" i="37"/>
  <c r="I27" i="37"/>
  <c r="I57" i="37"/>
  <c r="J57" i="37" s="1"/>
  <c r="Q17" i="37" s="1"/>
  <c r="I38" i="37"/>
  <c r="I33" i="37"/>
  <c r="I54" i="37"/>
  <c r="I49" i="37"/>
  <c r="I32" i="37"/>
  <c r="I11" i="37"/>
  <c r="I53" i="31"/>
  <c r="I45" i="31"/>
  <c r="I37" i="31"/>
  <c r="I29" i="31"/>
  <c r="I21" i="31"/>
  <c r="I13" i="31"/>
  <c r="I9" i="31"/>
  <c r="I24" i="31"/>
  <c r="I20" i="31"/>
  <c r="I16" i="31"/>
  <c r="I12" i="31"/>
  <c r="I57" i="31"/>
  <c r="J57" i="31" s="1"/>
  <c r="Q17" i="31" s="1"/>
  <c r="I54" i="31"/>
  <c r="I50" i="31"/>
  <c r="I46" i="31"/>
  <c r="I42" i="31"/>
  <c r="I38" i="31"/>
  <c r="I34" i="31"/>
  <c r="I30" i="31"/>
  <c r="I26" i="31"/>
  <c r="I22" i="31"/>
  <c r="I18" i="31"/>
  <c r="I14" i="31"/>
  <c r="I10" i="31"/>
  <c r="I7" i="31"/>
  <c r="J7" i="31" s="1"/>
  <c r="I28" i="31"/>
  <c r="I55" i="31"/>
  <c r="I51" i="31"/>
  <c r="I47" i="31"/>
  <c r="I43" i="31"/>
  <c r="I39" i="31"/>
  <c r="I35" i="31"/>
  <c r="I31" i="31"/>
  <c r="I27" i="31"/>
  <c r="I23" i="31"/>
  <c r="I19" i="31"/>
  <c r="I15" i="31"/>
  <c r="I11" i="31"/>
  <c r="I52" i="31"/>
  <c r="I48" i="31"/>
  <c r="I44" i="31"/>
  <c r="I40" i="31"/>
  <c r="I36" i="31"/>
  <c r="I32" i="31"/>
  <c r="I55" i="36"/>
  <c r="I51" i="36"/>
  <c r="I50" i="36"/>
  <c r="I41" i="36"/>
  <c r="I37" i="36"/>
  <c r="I32" i="36"/>
  <c r="I28" i="36"/>
  <c r="I23" i="36"/>
  <c r="I19" i="36"/>
  <c r="I18" i="36"/>
  <c r="I9" i="36"/>
  <c r="I52" i="36"/>
  <c r="I47" i="36"/>
  <c r="I43" i="36"/>
  <c r="I42" i="36"/>
  <c r="I33" i="36"/>
  <c r="I29" i="36"/>
  <c r="I24" i="36"/>
  <c r="I20" i="36"/>
  <c r="I15" i="36"/>
  <c r="I11" i="36"/>
  <c r="I10" i="36"/>
  <c r="I7" i="36"/>
  <c r="J7" i="36" s="1"/>
  <c r="I48" i="36"/>
  <c r="I44" i="36"/>
  <c r="I39" i="36"/>
  <c r="I35" i="36"/>
  <c r="I34" i="36"/>
  <c r="I25" i="36"/>
  <c r="I21" i="36"/>
  <c r="I16" i="36"/>
  <c r="I12" i="36"/>
  <c r="I54" i="36"/>
  <c r="I45" i="36"/>
  <c r="I36" i="36"/>
  <c r="I31" i="36"/>
  <c r="I26" i="36"/>
  <c r="I17" i="36"/>
  <c r="I57" i="36"/>
  <c r="J57" i="36" s="1"/>
  <c r="Q17" i="36" s="1"/>
  <c r="I27" i="36"/>
  <c r="I13" i="36"/>
  <c r="I49" i="36"/>
  <c r="I40" i="36"/>
  <c r="I13" i="32"/>
  <c r="I18" i="32"/>
  <c r="I17" i="32"/>
  <c r="I20" i="32"/>
  <c r="I14" i="32"/>
  <c r="I9" i="32"/>
  <c r="I16" i="32"/>
  <c r="I15" i="32"/>
  <c r="I10" i="32"/>
  <c r="I7" i="32"/>
  <c r="J7" i="32" s="1"/>
  <c r="I11" i="32"/>
  <c r="I52" i="34"/>
  <c r="I44" i="34"/>
  <c r="I39" i="34"/>
  <c r="I35" i="34"/>
  <c r="I31" i="34"/>
  <c r="I27" i="34"/>
  <c r="I23" i="34"/>
  <c r="I19" i="34"/>
  <c r="I13" i="34"/>
  <c r="I9" i="34"/>
  <c r="I49" i="34"/>
  <c r="I45" i="34"/>
  <c r="I41" i="34"/>
  <c r="I40" i="34"/>
  <c r="I36" i="34"/>
  <c r="I28" i="34"/>
  <c r="I24" i="34"/>
  <c r="I20" i="34"/>
  <c r="I16" i="34"/>
  <c r="I14" i="34"/>
  <c r="I7" i="34"/>
  <c r="J7" i="34" s="1"/>
  <c r="I57" i="34"/>
  <c r="J57" i="34" s="1"/>
  <c r="Q17" i="34" s="1"/>
  <c r="I54" i="34"/>
  <c r="I50" i="34"/>
  <c r="I46" i="34"/>
  <c r="I33" i="34"/>
  <c r="I29" i="34"/>
  <c r="I25" i="34"/>
  <c r="I43" i="34"/>
  <c r="I34" i="34"/>
  <c r="I18" i="34"/>
  <c r="I11" i="34"/>
  <c r="I17" i="34"/>
  <c r="I55" i="34"/>
  <c r="I30" i="34"/>
  <c r="I12" i="34"/>
  <c r="I47" i="34"/>
  <c r="I38" i="34"/>
  <c r="I22" i="34"/>
  <c r="I51" i="34"/>
  <c r="I57" i="33"/>
  <c r="J57" i="33" s="1"/>
  <c r="Q17" i="33" s="1"/>
  <c r="I53" i="33"/>
  <c r="I49" i="33"/>
  <c r="I44" i="33"/>
  <c r="I40" i="33"/>
  <c r="I39" i="33"/>
  <c r="I35" i="33"/>
  <c r="I55" i="33"/>
  <c r="I45" i="33"/>
  <c r="I42" i="33"/>
  <c r="I32" i="33"/>
  <c r="I31" i="33"/>
  <c r="I27" i="33"/>
  <c r="I22" i="33"/>
  <c r="I18" i="33"/>
  <c r="I13" i="33"/>
  <c r="I54" i="33"/>
  <c r="I38" i="33"/>
  <c r="I43" i="33"/>
  <c r="I33" i="33"/>
  <c r="I28" i="33"/>
  <c r="I24" i="33"/>
  <c r="I23" i="33"/>
  <c r="I9" i="33"/>
  <c r="I48" i="33"/>
  <c r="I21" i="33"/>
  <c r="I17" i="33"/>
  <c r="I12" i="33"/>
  <c r="I11" i="33"/>
  <c r="I50" i="33"/>
  <c r="I47" i="33"/>
  <c r="I37" i="33"/>
  <c r="I34" i="33"/>
  <c r="I29" i="33"/>
  <c r="I20" i="33"/>
  <c r="I16" i="33"/>
  <c r="I15" i="33"/>
  <c r="I10" i="33"/>
  <c r="I7" i="33"/>
  <c r="J7" i="33" s="1"/>
  <c r="I51" i="33"/>
  <c r="I26" i="33"/>
  <c r="I52" i="30"/>
  <c r="I44" i="30"/>
  <c r="I40" i="30"/>
  <c r="I36" i="30"/>
  <c r="I32" i="30"/>
  <c r="I28" i="30"/>
  <c r="I24" i="30"/>
  <c r="I16" i="30"/>
  <c r="I12" i="30"/>
  <c r="I46" i="30"/>
  <c r="I38" i="30"/>
  <c r="I30" i="30"/>
  <c r="I22" i="30"/>
  <c r="I14" i="30"/>
  <c r="I47" i="30"/>
  <c r="I43" i="30"/>
  <c r="I39" i="30"/>
  <c r="I35" i="30"/>
  <c r="I27" i="30"/>
  <c r="I23" i="30"/>
  <c r="I11" i="30"/>
  <c r="I49" i="30"/>
  <c r="I45" i="30"/>
  <c r="I41" i="30"/>
  <c r="I33" i="30"/>
  <c r="I29" i="30"/>
  <c r="I25" i="30"/>
  <c r="I21" i="30"/>
  <c r="I17" i="30"/>
  <c r="I13" i="30"/>
  <c r="I9" i="30"/>
  <c r="I57" i="30"/>
  <c r="J57" i="30" s="1"/>
  <c r="Q17" i="30" s="1"/>
  <c r="I54" i="30"/>
  <c r="I50" i="30"/>
  <c r="I34" i="30"/>
  <c r="I18" i="30"/>
  <c r="I10" i="30"/>
  <c r="I7" i="30"/>
  <c r="J7" i="30" s="1"/>
  <c r="I55" i="30"/>
  <c r="I51" i="30"/>
  <c r="I19" i="30"/>
  <c r="I55" i="28"/>
  <c r="I50" i="28"/>
  <c r="I46" i="28"/>
  <c r="I42" i="28"/>
  <c r="I38" i="28"/>
  <c r="I30" i="28"/>
  <c r="I26" i="28"/>
  <c r="I22" i="28"/>
  <c r="I14" i="28"/>
  <c r="I10" i="28"/>
  <c r="I9" i="28"/>
  <c r="I20" i="28"/>
  <c r="I12" i="28"/>
  <c r="I37" i="28"/>
  <c r="I21" i="28"/>
  <c r="I52" i="28"/>
  <c r="I47" i="28"/>
  <c r="I43" i="28"/>
  <c r="I39" i="28"/>
  <c r="I35" i="28"/>
  <c r="I31" i="28"/>
  <c r="I27" i="28"/>
  <c r="I23" i="28"/>
  <c r="I19" i="28"/>
  <c r="I15" i="28"/>
  <c r="I11" i="28"/>
  <c r="I7" i="28"/>
  <c r="J7" i="28" s="1"/>
  <c r="I53" i="28"/>
  <c r="I48" i="28"/>
  <c r="I44" i="28"/>
  <c r="I36" i="28"/>
  <c r="I32" i="28"/>
  <c r="I28" i="28"/>
  <c r="I16" i="28"/>
  <c r="I57" i="28"/>
  <c r="J57" i="28" s="1"/>
  <c r="Q17" i="28" s="1"/>
  <c r="I54" i="28"/>
  <c r="I49" i="28"/>
  <c r="I41" i="28"/>
  <c r="I33" i="28"/>
  <c r="I25" i="28"/>
  <c r="I17" i="28"/>
  <c r="I57" i="27"/>
  <c r="J57" i="27" s="1"/>
  <c r="Q17" i="27" s="1"/>
  <c r="I54" i="27"/>
  <c r="I45" i="27"/>
  <c r="I34" i="27"/>
  <c r="I29" i="27"/>
  <c r="I23" i="27"/>
  <c r="I18" i="27"/>
  <c r="I13" i="27"/>
  <c r="I12" i="27"/>
  <c r="I7" i="27"/>
  <c r="J7" i="27" s="1"/>
  <c r="I42" i="27"/>
  <c r="I31" i="27"/>
  <c r="I15" i="27"/>
  <c r="I10" i="27"/>
  <c r="I53" i="27"/>
  <c r="I49" i="27"/>
  <c r="I48" i="27"/>
  <c r="I43" i="27"/>
  <c r="I38" i="27"/>
  <c r="I32" i="27"/>
  <c r="I27" i="27"/>
  <c r="I55" i="27"/>
  <c r="I51" i="27"/>
  <c r="I46" i="27"/>
  <c r="I41" i="27"/>
  <c r="I40" i="27"/>
  <c r="I35" i="27"/>
  <c r="I30" i="27"/>
  <c r="I25" i="27"/>
  <c r="I24" i="27"/>
  <c r="I19" i="27"/>
  <c r="I14" i="27"/>
  <c r="I9" i="27"/>
  <c r="I52" i="27"/>
  <c r="I47" i="27"/>
  <c r="I37" i="27"/>
  <c r="I36" i="27"/>
  <c r="I26" i="27"/>
  <c r="I21" i="27"/>
  <c r="I20" i="27"/>
  <c r="I17" i="27"/>
  <c r="I57" i="26"/>
  <c r="J57" i="26" s="1"/>
  <c r="Q17" i="26" s="1"/>
  <c r="I54" i="26"/>
  <c r="I49" i="26"/>
  <c r="I48" i="26"/>
  <c r="I43" i="26"/>
  <c r="I38" i="26"/>
  <c r="I32" i="26"/>
  <c r="I22" i="26"/>
  <c r="I17" i="26"/>
  <c r="I16" i="26"/>
  <c r="I11" i="26"/>
  <c r="I52" i="26"/>
  <c r="I47" i="26"/>
  <c r="I42" i="26"/>
  <c r="I26" i="26"/>
  <c r="I21" i="26"/>
  <c r="I15" i="26"/>
  <c r="I55" i="26"/>
  <c r="I50" i="26"/>
  <c r="I45" i="26"/>
  <c r="I44" i="26"/>
  <c r="I39" i="26"/>
  <c r="I34" i="26"/>
  <c r="I29" i="26"/>
  <c r="I28" i="26"/>
  <c r="I23" i="26"/>
  <c r="I18" i="26"/>
  <c r="I13" i="26"/>
  <c r="I12" i="26"/>
  <c r="I7" i="26"/>
  <c r="J7" i="26" s="1"/>
  <c r="I51" i="26"/>
  <c r="I41" i="26"/>
  <c r="I35" i="26"/>
  <c r="I30" i="26"/>
  <c r="I25" i="26"/>
  <c r="I24" i="26"/>
  <c r="I19" i="26"/>
  <c r="I9" i="26"/>
  <c r="I37" i="26"/>
  <c r="I36" i="26"/>
  <c r="I31" i="26"/>
  <c r="I10" i="26"/>
  <c r="J38" i="29" l="1"/>
  <c r="J19" i="26"/>
  <c r="F35" i="26"/>
  <c r="J34" i="26"/>
  <c r="J52" i="26"/>
  <c r="F50" i="26"/>
  <c r="J49" i="26"/>
  <c r="F10" i="27"/>
  <c r="J9" i="27"/>
  <c r="J39" i="26"/>
  <c r="F54" i="26"/>
  <c r="F39" i="26"/>
  <c r="J38" i="26"/>
  <c r="F21" i="27"/>
  <c r="J20" i="27"/>
  <c r="F31" i="27"/>
  <c r="J30" i="27"/>
  <c r="F23" i="27"/>
  <c r="F54" i="27"/>
  <c r="J53" i="27"/>
  <c r="F35" i="27"/>
  <c r="J34" i="27"/>
  <c r="F55" i="28"/>
  <c r="J54" i="28"/>
  <c r="F48" i="28"/>
  <c r="J47" i="28"/>
  <c r="F32" i="26"/>
  <c r="J31" i="26"/>
  <c r="F15" i="26"/>
  <c r="F31" i="26"/>
  <c r="J30" i="26"/>
  <c r="F47" i="26"/>
  <c r="J13" i="26"/>
  <c r="F30" i="26"/>
  <c r="J29" i="26"/>
  <c r="J45" i="26"/>
  <c r="F21" i="26"/>
  <c r="F48" i="26"/>
  <c r="J47" i="26"/>
  <c r="F17" i="26"/>
  <c r="J16" i="26"/>
  <c r="J32" i="26"/>
  <c r="F49" i="26"/>
  <c r="J48" i="26"/>
  <c r="F17" i="27"/>
  <c r="F27" i="27"/>
  <c r="J26" i="27"/>
  <c r="F53" i="27"/>
  <c r="J52" i="27"/>
  <c r="F25" i="27"/>
  <c r="J24" i="27"/>
  <c r="F41" i="27"/>
  <c r="J40" i="27"/>
  <c r="F57" i="27"/>
  <c r="J55" i="27"/>
  <c r="J32" i="27"/>
  <c r="F49" i="27"/>
  <c r="J48" i="27"/>
  <c r="J15" i="27"/>
  <c r="F13" i="27"/>
  <c r="J12" i="27"/>
  <c r="F29" i="27"/>
  <c r="F45" i="27"/>
  <c r="F42" i="28"/>
  <c r="J41" i="28"/>
  <c r="F17" i="28"/>
  <c r="J16" i="28"/>
  <c r="F41" i="28"/>
  <c r="J23" i="28"/>
  <c r="J39" i="28"/>
  <c r="F53" i="28"/>
  <c r="J52" i="28"/>
  <c r="F38" i="28"/>
  <c r="J37" i="28"/>
  <c r="F25" i="28"/>
  <c r="F19" i="28"/>
  <c r="F35" i="28"/>
  <c r="J50" i="28"/>
  <c r="F52" i="30"/>
  <c r="J51" i="30"/>
  <c r="F19" i="30"/>
  <c r="J18" i="30"/>
  <c r="F51" i="30"/>
  <c r="J50" i="30"/>
  <c r="F14" i="30"/>
  <c r="J13" i="30"/>
  <c r="F30" i="30"/>
  <c r="J29" i="30"/>
  <c r="F46" i="30"/>
  <c r="J45" i="30"/>
  <c r="F24" i="30"/>
  <c r="J23" i="30"/>
  <c r="F40" i="30"/>
  <c r="J39" i="30"/>
  <c r="F23" i="30"/>
  <c r="J22" i="30"/>
  <c r="F13" i="30"/>
  <c r="J12" i="30"/>
  <c r="F29" i="30"/>
  <c r="J28" i="30"/>
  <c r="F45" i="30"/>
  <c r="J44" i="30"/>
  <c r="J51" i="33"/>
  <c r="F17" i="33"/>
  <c r="J16" i="33"/>
  <c r="F35" i="33"/>
  <c r="J34" i="33"/>
  <c r="F12" i="33"/>
  <c r="J11" i="33"/>
  <c r="F49" i="33"/>
  <c r="J48" i="33"/>
  <c r="F24" i="33"/>
  <c r="J23" i="33"/>
  <c r="F37" i="33"/>
  <c r="F39" i="33"/>
  <c r="J38" i="33"/>
  <c r="J18" i="33"/>
  <c r="F33" i="33"/>
  <c r="J32" i="33"/>
  <c r="F57" i="33"/>
  <c r="J55" i="33"/>
  <c r="F45" i="33"/>
  <c r="J44" i="33"/>
  <c r="F27" i="34"/>
  <c r="J47" i="34"/>
  <c r="F18" i="34"/>
  <c r="J17" i="34"/>
  <c r="F44" i="34"/>
  <c r="J43" i="34"/>
  <c r="F34" i="34"/>
  <c r="J33" i="34"/>
  <c r="F51" i="34"/>
  <c r="J50" i="34"/>
  <c r="F11" i="34"/>
  <c r="F25" i="34"/>
  <c r="J24" i="34"/>
  <c r="F41" i="34"/>
  <c r="J40" i="34"/>
  <c r="F54" i="34"/>
  <c r="F24" i="34"/>
  <c r="J23" i="34"/>
  <c r="F40" i="34"/>
  <c r="J39" i="34"/>
  <c r="F16" i="34"/>
  <c r="F16" i="32"/>
  <c r="J15" i="32"/>
  <c r="J20" i="32"/>
  <c r="F14" i="32"/>
  <c r="J13" i="32"/>
  <c r="J13" i="36"/>
  <c r="F18" i="36"/>
  <c r="J17" i="36"/>
  <c r="J45" i="36"/>
  <c r="J21" i="36"/>
  <c r="F36" i="36"/>
  <c r="J35" i="36"/>
  <c r="F54" i="36"/>
  <c r="F16" i="36"/>
  <c r="J15" i="36"/>
  <c r="F34" i="36"/>
  <c r="J33" i="36"/>
  <c r="F48" i="36"/>
  <c r="J47" i="36"/>
  <c r="F19" i="36"/>
  <c r="J18" i="36"/>
  <c r="F33" i="36"/>
  <c r="J32" i="36"/>
  <c r="F51" i="36"/>
  <c r="J50" i="36"/>
  <c r="F37" i="31"/>
  <c r="J36" i="31"/>
  <c r="F53" i="31"/>
  <c r="J52" i="31"/>
  <c r="F24" i="31"/>
  <c r="J23" i="31"/>
  <c r="F40" i="31"/>
  <c r="J39" i="31"/>
  <c r="F57" i="31"/>
  <c r="J55" i="31"/>
  <c r="F15" i="31"/>
  <c r="J14" i="31"/>
  <c r="F31" i="31"/>
  <c r="J30" i="31"/>
  <c r="F47" i="31"/>
  <c r="J46" i="31"/>
  <c r="F13" i="31"/>
  <c r="J12" i="31"/>
  <c r="F10" i="31"/>
  <c r="J9" i="31"/>
  <c r="F26" i="31"/>
  <c r="F42" i="31"/>
  <c r="F12" i="37"/>
  <c r="J11" i="37"/>
  <c r="F17" i="37"/>
  <c r="F28" i="37"/>
  <c r="J27" i="37"/>
  <c r="F44" i="37"/>
  <c r="F22" i="37"/>
  <c r="J21" i="37"/>
  <c r="F38" i="37"/>
  <c r="J37" i="37"/>
  <c r="F54" i="37"/>
  <c r="J53" i="37"/>
  <c r="F25" i="37"/>
  <c r="J24" i="37"/>
  <c r="F41" i="37"/>
  <c r="J40" i="37"/>
  <c r="F24" i="37"/>
  <c r="F40" i="37"/>
  <c r="J39" i="37"/>
  <c r="F57" i="37"/>
  <c r="J55" i="37"/>
  <c r="F30" i="35"/>
  <c r="J29" i="35"/>
  <c r="F25" i="35"/>
  <c r="J24" i="35"/>
  <c r="F53" i="35"/>
  <c r="J52" i="35"/>
  <c r="F19" i="35"/>
  <c r="J18" i="35"/>
  <c r="F33" i="35"/>
  <c r="J32" i="35"/>
  <c r="F51" i="35"/>
  <c r="J50" i="35"/>
  <c r="F18" i="35"/>
  <c r="J17" i="35"/>
  <c r="F32" i="35"/>
  <c r="J31" i="35"/>
  <c r="F50" i="35"/>
  <c r="J49" i="35"/>
  <c r="J21" i="35"/>
  <c r="F36" i="35"/>
  <c r="J35" i="35"/>
  <c r="F54" i="35"/>
  <c r="J53" i="35"/>
  <c r="F20" i="29"/>
  <c r="J19" i="29"/>
  <c r="F24" i="29"/>
  <c r="J23" i="29"/>
  <c r="F41" i="29"/>
  <c r="J40" i="29"/>
  <c r="F35" i="29"/>
  <c r="F29" i="29"/>
  <c r="J28" i="29"/>
  <c r="F44" i="29"/>
  <c r="J25" i="29"/>
  <c r="F10" i="29"/>
  <c r="J9" i="29"/>
  <c r="F49" i="29"/>
  <c r="J48" i="29"/>
  <c r="F52" i="26"/>
  <c r="J51" i="26"/>
  <c r="F18" i="26"/>
  <c r="J17" i="26"/>
  <c r="F18" i="27"/>
  <c r="J17" i="27"/>
  <c r="F37" i="27"/>
  <c r="J36" i="27"/>
  <c r="F42" i="27"/>
  <c r="J41" i="27"/>
  <c r="F12" i="27"/>
  <c r="F34" i="27"/>
  <c r="J49" i="27"/>
  <c r="F32" i="27"/>
  <c r="J31" i="27"/>
  <c r="F14" i="27"/>
  <c r="J13" i="27"/>
  <c r="F30" i="27"/>
  <c r="J29" i="27"/>
  <c r="F46" i="27"/>
  <c r="J45" i="27"/>
  <c r="J17" i="28"/>
  <c r="F50" i="28"/>
  <c r="J49" i="28"/>
  <c r="J28" i="28"/>
  <c r="J44" i="28"/>
  <c r="F12" i="28"/>
  <c r="J11" i="28"/>
  <c r="F28" i="28"/>
  <c r="J27" i="28"/>
  <c r="F44" i="28"/>
  <c r="J43" i="28"/>
  <c r="F14" i="28"/>
  <c r="F46" i="28"/>
  <c r="F10" i="28"/>
  <c r="J9" i="28"/>
  <c r="F23" i="28"/>
  <c r="J22" i="28"/>
  <c r="F39" i="28"/>
  <c r="J38" i="28"/>
  <c r="F57" i="28"/>
  <c r="J55" i="28"/>
  <c r="F57" i="30"/>
  <c r="J55" i="30"/>
  <c r="F27" i="30"/>
  <c r="F55" i="30"/>
  <c r="J54" i="30"/>
  <c r="F18" i="30"/>
  <c r="J17" i="30"/>
  <c r="F34" i="30"/>
  <c r="J33" i="30"/>
  <c r="F50" i="30"/>
  <c r="J49" i="30"/>
  <c r="F28" i="30"/>
  <c r="J27" i="30"/>
  <c r="F44" i="30"/>
  <c r="J43" i="30"/>
  <c r="J30" i="30"/>
  <c r="F17" i="30"/>
  <c r="J16" i="30"/>
  <c r="F33" i="30"/>
  <c r="J32" i="30"/>
  <c r="F49" i="30"/>
  <c r="F21" i="33"/>
  <c r="J20" i="33"/>
  <c r="F38" i="33"/>
  <c r="J37" i="33"/>
  <c r="F13" i="33"/>
  <c r="J12" i="33"/>
  <c r="F10" i="33"/>
  <c r="J9" i="33"/>
  <c r="J24" i="33"/>
  <c r="F44" i="33"/>
  <c r="J43" i="33"/>
  <c r="F42" i="33"/>
  <c r="F23" i="33"/>
  <c r="J22" i="33"/>
  <c r="F43" i="33"/>
  <c r="J42" i="33"/>
  <c r="J35" i="33"/>
  <c r="F50" i="33"/>
  <c r="J49" i="33"/>
  <c r="F52" i="34"/>
  <c r="J51" i="34"/>
  <c r="F13" i="34"/>
  <c r="J12" i="34"/>
  <c r="F12" i="34"/>
  <c r="J11" i="34"/>
  <c r="F22" i="34"/>
  <c r="F38" i="34"/>
  <c r="F55" i="34"/>
  <c r="J54" i="34"/>
  <c r="J14" i="34"/>
  <c r="F29" i="34"/>
  <c r="J28" i="34"/>
  <c r="J41" i="34"/>
  <c r="J9" i="34"/>
  <c r="F28" i="34"/>
  <c r="J27" i="34"/>
  <c r="F45" i="34"/>
  <c r="J44" i="34"/>
  <c r="J11" i="32"/>
  <c r="F17" i="32"/>
  <c r="J16" i="32"/>
  <c r="F18" i="32"/>
  <c r="J17" i="32"/>
  <c r="F20" i="32"/>
  <c r="F23" i="36"/>
  <c r="F27" i="36"/>
  <c r="J26" i="36"/>
  <c r="F55" i="36"/>
  <c r="J54" i="36"/>
  <c r="F26" i="36"/>
  <c r="J25" i="36"/>
  <c r="F40" i="36"/>
  <c r="J39" i="36"/>
  <c r="F21" i="36"/>
  <c r="J20" i="36"/>
  <c r="F39" i="36"/>
  <c r="J52" i="36"/>
  <c r="F20" i="36"/>
  <c r="J19" i="36"/>
  <c r="J37" i="36"/>
  <c r="F52" i="36"/>
  <c r="J51" i="36"/>
  <c r="J40" i="31"/>
  <c r="F12" i="31"/>
  <c r="J11" i="31"/>
  <c r="F28" i="31"/>
  <c r="J27" i="31"/>
  <c r="F44" i="31"/>
  <c r="J43" i="31"/>
  <c r="F29" i="31"/>
  <c r="J28" i="31"/>
  <c r="F19" i="31"/>
  <c r="J18" i="31"/>
  <c r="F35" i="31"/>
  <c r="J34" i="31"/>
  <c r="F51" i="31"/>
  <c r="J50" i="31"/>
  <c r="J16" i="31"/>
  <c r="F14" i="31"/>
  <c r="J13" i="31"/>
  <c r="F30" i="31"/>
  <c r="J29" i="31"/>
  <c r="F46" i="31"/>
  <c r="J45" i="31"/>
  <c r="F33" i="37"/>
  <c r="J32" i="37"/>
  <c r="F34" i="37"/>
  <c r="J33" i="37"/>
  <c r="F49" i="37"/>
  <c r="J48" i="37"/>
  <c r="F11" i="37"/>
  <c r="J10" i="37"/>
  <c r="F27" i="37"/>
  <c r="J26" i="37"/>
  <c r="J42" i="37"/>
  <c r="F10" i="37"/>
  <c r="J9" i="37"/>
  <c r="F26" i="37"/>
  <c r="J25" i="37"/>
  <c r="F42" i="37"/>
  <c r="J41" i="37"/>
  <c r="F13" i="37"/>
  <c r="J12" i="37"/>
  <c r="F29" i="37"/>
  <c r="J28" i="37"/>
  <c r="F45" i="37"/>
  <c r="J44" i="37"/>
  <c r="F11" i="35"/>
  <c r="J10" i="35"/>
  <c r="J38" i="35"/>
  <c r="F34" i="35"/>
  <c r="J33" i="35"/>
  <c r="F12" i="35"/>
  <c r="J11" i="35"/>
  <c r="F20" i="35"/>
  <c r="J19" i="35"/>
  <c r="F38" i="35"/>
  <c r="J37" i="35"/>
  <c r="F52" i="35"/>
  <c r="J51" i="35"/>
  <c r="F23" i="35"/>
  <c r="F37" i="35"/>
  <c r="J36" i="35"/>
  <c r="F55" i="35"/>
  <c r="J54" i="35"/>
  <c r="F26" i="35"/>
  <c r="J25" i="35"/>
  <c r="F40" i="35"/>
  <c r="F53" i="29"/>
  <c r="F18" i="29"/>
  <c r="F54" i="29"/>
  <c r="J53" i="29"/>
  <c r="F16" i="29"/>
  <c r="J15" i="29"/>
  <c r="F50" i="29"/>
  <c r="J49" i="29"/>
  <c r="F32" i="29"/>
  <c r="J31" i="29"/>
  <c r="F37" i="29"/>
  <c r="J36" i="29"/>
  <c r="F38" i="29"/>
  <c r="J37" i="29"/>
  <c r="J33" i="29"/>
  <c r="J20" i="29"/>
  <c r="F40" i="29"/>
  <c r="F36" i="29"/>
  <c r="J35" i="29"/>
  <c r="F36" i="26"/>
  <c r="J35" i="26"/>
  <c r="F51" i="26"/>
  <c r="J50" i="26"/>
  <c r="F38" i="26"/>
  <c r="J37" i="26"/>
  <c r="J26" i="26"/>
  <c r="F15" i="27"/>
  <c r="J14" i="27"/>
  <c r="F19" i="27"/>
  <c r="J18" i="27"/>
  <c r="F26" i="28"/>
  <c r="J25" i="28"/>
  <c r="F49" i="28"/>
  <c r="J48" i="28"/>
  <c r="F32" i="28"/>
  <c r="J31" i="28"/>
  <c r="F22" i="28"/>
  <c r="J21" i="28"/>
  <c r="J12" i="28"/>
  <c r="F11" i="28"/>
  <c r="J10" i="28"/>
  <c r="F27" i="28"/>
  <c r="J26" i="28"/>
  <c r="F43" i="28"/>
  <c r="J42" i="28"/>
  <c r="F16" i="30"/>
  <c r="F35" i="30"/>
  <c r="J34" i="30"/>
  <c r="F22" i="30"/>
  <c r="J21" i="30"/>
  <c r="F38" i="30"/>
  <c r="F54" i="30"/>
  <c r="F32" i="30"/>
  <c r="J47" i="30"/>
  <c r="F39" i="30"/>
  <c r="J38" i="30"/>
  <c r="F21" i="30"/>
  <c r="J36" i="30"/>
  <c r="J52" i="30"/>
  <c r="F11" i="33"/>
  <c r="J10" i="33"/>
  <c r="F26" i="33"/>
  <c r="F48" i="33"/>
  <c r="J47" i="33"/>
  <c r="F18" i="33"/>
  <c r="J17" i="33"/>
  <c r="F15" i="33"/>
  <c r="F29" i="33"/>
  <c r="J28" i="33"/>
  <c r="F47" i="33"/>
  <c r="F55" i="33"/>
  <c r="J54" i="33"/>
  <c r="F28" i="33"/>
  <c r="J27" i="33"/>
  <c r="J45" i="33"/>
  <c r="F40" i="33"/>
  <c r="J39" i="33"/>
  <c r="F54" i="33"/>
  <c r="J53" i="33"/>
  <c r="F23" i="34"/>
  <c r="J22" i="34"/>
  <c r="F31" i="34"/>
  <c r="J30" i="34"/>
  <c r="F19" i="34"/>
  <c r="J18" i="34"/>
  <c r="J25" i="34"/>
  <c r="F43" i="34"/>
  <c r="F17" i="34"/>
  <c r="J16" i="34"/>
  <c r="F33" i="34"/>
  <c r="F46" i="34"/>
  <c r="J45" i="34"/>
  <c r="F14" i="34"/>
  <c r="J13" i="34"/>
  <c r="J31" i="34"/>
  <c r="F49" i="34"/>
  <c r="F10" i="32"/>
  <c r="J9" i="32"/>
  <c r="J18" i="32"/>
  <c r="F41" i="36"/>
  <c r="J40" i="36"/>
  <c r="F28" i="36"/>
  <c r="J27" i="36"/>
  <c r="F32" i="36"/>
  <c r="J31" i="36"/>
  <c r="F13" i="36"/>
  <c r="J12" i="36"/>
  <c r="F31" i="36"/>
  <c r="F45" i="36"/>
  <c r="J44" i="36"/>
  <c r="F11" i="36"/>
  <c r="J10" i="36"/>
  <c r="F25" i="36"/>
  <c r="J24" i="36"/>
  <c r="F43" i="36"/>
  <c r="J42" i="36"/>
  <c r="F10" i="36"/>
  <c r="J9" i="36"/>
  <c r="F24" i="36"/>
  <c r="J23" i="36"/>
  <c r="F42" i="36"/>
  <c r="J41" i="36"/>
  <c r="F57" i="36"/>
  <c r="J55" i="36"/>
  <c r="F45" i="31"/>
  <c r="J44" i="31"/>
  <c r="F16" i="31"/>
  <c r="J15" i="31"/>
  <c r="F32" i="31"/>
  <c r="J31" i="31"/>
  <c r="F48" i="31"/>
  <c r="J47" i="31"/>
  <c r="F23" i="31"/>
  <c r="J22" i="31"/>
  <c r="F39" i="31"/>
  <c r="J38" i="31"/>
  <c r="F55" i="31"/>
  <c r="J54" i="31"/>
  <c r="F21" i="31"/>
  <c r="J20" i="31"/>
  <c r="F18" i="31"/>
  <c r="F34" i="31"/>
  <c r="F50" i="31"/>
  <c r="J49" i="37"/>
  <c r="F39" i="37"/>
  <c r="J38" i="37"/>
  <c r="F18" i="37"/>
  <c r="J17" i="37"/>
  <c r="J15" i="37"/>
  <c r="F32" i="37"/>
  <c r="J31" i="37"/>
  <c r="F48" i="37"/>
  <c r="J47" i="37"/>
  <c r="F15" i="37"/>
  <c r="J14" i="37"/>
  <c r="F31" i="37"/>
  <c r="F47" i="37"/>
  <c r="J46" i="37"/>
  <c r="F14" i="37"/>
  <c r="J13" i="37"/>
  <c r="J29" i="37"/>
  <c r="F46" i="37"/>
  <c r="J45" i="37"/>
  <c r="F16" i="35"/>
  <c r="J15" i="35"/>
  <c r="F44" i="35"/>
  <c r="J43" i="35"/>
  <c r="F43" i="35"/>
  <c r="J42" i="35"/>
  <c r="F10" i="35"/>
  <c r="J9" i="35"/>
  <c r="F24" i="35"/>
  <c r="J23" i="35"/>
  <c r="F42" i="35"/>
  <c r="J41" i="35"/>
  <c r="F57" i="35"/>
  <c r="J55" i="35"/>
  <c r="F27" i="35"/>
  <c r="J26" i="35"/>
  <c r="F41" i="35"/>
  <c r="J40" i="35"/>
  <c r="F13" i="35"/>
  <c r="J12" i="35"/>
  <c r="F31" i="35"/>
  <c r="J30" i="35"/>
  <c r="F45" i="35"/>
  <c r="J44" i="35"/>
  <c r="F11" i="29"/>
  <c r="J10" i="29"/>
  <c r="J29" i="29"/>
  <c r="F22" i="29"/>
  <c r="F23" i="29"/>
  <c r="J22" i="29"/>
  <c r="F51" i="29"/>
  <c r="J50" i="29"/>
  <c r="F46" i="29"/>
  <c r="J45" i="29"/>
  <c r="F48" i="29"/>
  <c r="F25" i="29"/>
  <c r="J24" i="29"/>
  <c r="F19" i="29"/>
  <c r="J18" i="29"/>
  <c r="F14" i="29"/>
  <c r="F37" i="26"/>
  <c r="J36" i="26"/>
  <c r="F19" i="26"/>
  <c r="J18" i="26"/>
  <c r="F22" i="26"/>
  <c r="J21" i="26"/>
  <c r="F34" i="26"/>
  <c r="F26" i="27"/>
  <c r="J25" i="27"/>
  <c r="F25" i="26"/>
  <c r="J24" i="26"/>
  <c r="F41" i="26"/>
  <c r="F24" i="26"/>
  <c r="J23" i="26"/>
  <c r="F57" i="26"/>
  <c r="J55" i="26"/>
  <c r="F23" i="26"/>
  <c r="J22" i="26"/>
  <c r="F55" i="26"/>
  <c r="J54" i="26"/>
  <c r="F38" i="27"/>
  <c r="J37" i="27"/>
  <c r="F47" i="27"/>
  <c r="J46" i="27"/>
  <c r="J38" i="27"/>
  <c r="F43" i="27"/>
  <c r="J42" i="27"/>
  <c r="F51" i="27"/>
  <c r="F33" i="28"/>
  <c r="J32" i="28"/>
  <c r="F16" i="28"/>
  <c r="J15" i="28"/>
  <c r="F11" i="26"/>
  <c r="J10" i="26"/>
  <c r="F10" i="26"/>
  <c r="J9" i="26"/>
  <c r="F26" i="26"/>
  <c r="J25" i="26"/>
  <c r="F42" i="26"/>
  <c r="J41" i="26"/>
  <c r="F13" i="26"/>
  <c r="J12" i="26"/>
  <c r="F29" i="26"/>
  <c r="J28" i="26"/>
  <c r="F45" i="26"/>
  <c r="J44" i="26"/>
  <c r="F16" i="26"/>
  <c r="J15" i="26"/>
  <c r="F43" i="26"/>
  <c r="J42" i="26"/>
  <c r="F12" i="26"/>
  <c r="J11" i="26"/>
  <c r="F28" i="26"/>
  <c r="F44" i="26"/>
  <c r="J43" i="26"/>
  <c r="J21" i="27"/>
  <c r="F48" i="27"/>
  <c r="J47" i="27"/>
  <c r="F20" i="27"/>
  <c r="J19" i="27"/>
  <c r="F36" i="27"/>
  <c r="J35" i="27"/>
  <c r="F52" i="27"/>
  <c r="J51" i="27"/>
  <c r="J27" i="27"/>
  <c r="J43" i="27"/>
  <c r="J10" i="27"/>
  <c r="F24" i="27"/>
  <c r="J23" i="27"/>
  <c r="F40" i="27"/>
  <c r="F55" i="27"/>
  <c r="J54" i="27"/>
  <c r="J33" i="28"/>
  <c r="F37" i="28"/>
  <c r="J36" i="28"/>
  <c r="F54" i="28"/>
  <c r="J53" i="28"/>
  <c r="F20" i="28"/>
  <c r="J19" i="28"/>
  <c r="F36" i="28"/>
  <c r="J35" i="28"/>
  <c r="F52" i="28"/>
  <c r="F30" i="28"/>
  <c r="F21" i="28"/>
  <c r="J20" i="28"/>
  <c r="F15" i="28"/>
  <c r="J14" i="28"/>
  <c r="F31" i="28"/>
  <c r="J30" i="28"/>
  <c r="F47" i="28"/>
  <c r="J46" i="28"/>
  <c r="J19" i="30"/>
  <c r="F11" i="30"/>
  <c r="J10" i="30"/>
  <c r="F43" i="30"/>
  <c r="F10" i="30"/>
  <c r="J9" i="30"/>
  <c r="J25" i="30"/>
  <c r="J41" i="30"/>
  <c r="F12" i="30"/>
  <c r="J11" i="30"/>
  <c r="F36" i="30"/>
  <c r="J35" i="30"/>
  <c r="J14" i="30"/>
  <c r="F47" i="30"/>
  <c r="J46" i="30"/>
  <c r="F25" i="30"/>
  <c r="J24" i="30"/>
  <c r="F41" i="30"/>
  <c r="J40" i="30"/>
  <c r="F27" i="33"/>
  <c r="J26" i="33"/>
  <c r="F16" i="33"/>
  <c r="J15" i="33"/>
  <c r="J29" i="33"/>
  <c r="F51" i="33"/>
  <c r="J50" i="33"/>
  <c r="F22" i="33"/>
  <c r="J21" i="33"/>
  <c r="F20" i="33"/>
  <c r="F34" i="33"/>
  <c r="J33" i="33"/>
  <c r="F31" i="33"/>
  <c r="J13" i="33"/>
  <c r="F32" i="33"/>
  <c r="J31" i="33"/>
  <c r="F53" i="33"/>
  <c r="J40" i="33"/>
  <c r="F39" i="34"/>
  <c r="J38" i="34"/>
  <c r="F57" i="34"/>
  <c r="J55" i="34"/>
  <c r="F35" i="34"/>
  <c r="J34" i="34"/>
  <c r="F30" i="34"/>
  <c r="J29" i="34"/>
  <c r="F47" i="34"/>
  <c r="J46" i="34"/>
  <c r="J20" i="34"/>
  <c r="J36" i="34"/>
  <c r="F50" i="34"/>
  <c r="J49" i="34"/>
  <c r="F20" i="34"/>
  <c r="J19" i="34"/>
  <c r="F36" i="34"/>
  <c r="J35" i="34"/>
  <c r="J52" i="34"/>
  <c r="F11" i="32"/>
  <c r="J10" i="32"/>
  <c r="F15" i="32"/>
  <c r="J14" i="32"/>
  <c r="F13" i="32"/>
  <c r="F50" i="36"/>
  <c r="J49" i="36"/>
  <c r="F37" i="36"/>
  <c r="J36" i="36"/>
  <c r="F17" i="36"/>
  <c r="J16" i="36"/>
  <c r="F35" i="36"/>
  <c r="J34" i="36"/>
  <c r="F49" i="36"/>
  <c r="J48" i="36"/>
  <c r="F12" i="36"/>
  <c r="J11" i="36"/>
  <c r="J29" i="36"/>
  <c r="F44" i="36"/>
  <c r="J43" i="36"/>
  <c r="F15" i="36"/>
  <c r="F29" i="36"/>
  <c r="J28" i="36"/>
  <c r="F47" i="36"/>
  <c r="J32" i="31"/>
  <c r="J48" i="31"/>
  <c r="F20" i="31"/>
  <c r="J19" i="31"/>
  <c r="F36" i="31"/>
  <c r="J35" i="31"/>
  <c r="F52" i="31"/>
  <c r="J51" i="31"/>
  <c r="F11" i="31"/>
  <c r="J10" i="31"/>
  <c r="F27" i="31"/>
  <c r="J26" i="31"/>
  <c r="F43" i="31"/>
  <c r="J42" i="31"/>
  <c r="J24" i="31"/>
  <c r="F22" i="31"/>
  <c r="J21" i="31"/>
  <c r="F38" i="31"/>
  <c r="J37" i="31"/>
  <c r="F54" i="31"/>
  <c r="J53" i="31"/>
  <c r="F55" i="37"/>
  <c r="J54" i="37"/>
  <c r="J22" i="37"/>
  <c r="F21" i="37"/>
  <c r="J20" i="37"/>
  <c r="F37" i="37"/>
  <c r="F53" i="37"/>
  <c r="J52" i="37"/>
  <c r="F20" i="37"/>
  <c r="J19" i="37"/>
  <c r="J35" i="37"/>
  <c r="F52" i="37"/>
  <c r="J51" i="37"/>
  <c r="F19" i="37"/>
  <c r="J18" i="37"/>
  <c r="F35" i="37"/>
  <c r="J34" i="37"/>
  <c r="F51" i="37"/>
  <c r="F21" i="35"/>
  <c r="J20" i="35"/>
  <c r="F48" i="35"/>
  <c r="J47" i="35"/>
  <c r="F15" i="35"/>
  <c r="J14" i="35"/>
  <c r="F29" i="35"/>
  <c r="J28" i="35"/>
  <c r="F47" i="35"/>
  <c r="J46" i="35"/>
  <c r="F14" i="35"/>
  <c r="J13" i="35"/>
  <c r="F28" i="35"/>
  <c r="J27" i="35"/>
  <c r="F46" i="35"/>
  <c r="J45" i="35"/>
  <c r="F17" i="35"/>
  <c r="J16" i="35"/>
  <c r="F35" i="35"/>
  <c r="J34" i="35"/>
  <c r="F49" i="35"/>
  <c r="J48" i="35"/>
  <c r="F31" i="29"/>
  <c r="J42" i="29"/>
  <c r="J46" i="29"/>
  <c r="F12" i="29"/>
  <c r="J11" i="29"/>
  <c r="F42" i="29"/>
  <c r="J41" i="29"/>
  <c r="F28" i="29"/>
  <c r="J27" i="29"/>
  <c r="J16" i="29"/>
  <c r="F45" i="29"/>
  <c r="J44" i="29"/>
  <c r="J51" i="29"/>
  <c r="F33" i="29"/>
  <c r="J32" i="29"/>
  <c r="J12" i="29"/>
  <c r="F55" i="29"/>
  <c r="J54" i="29"/>
  <c r="F9" i="29"/>
  <c r="F7" i="29"/>
  <c r="F27" i="29"/>
  <c r="F15" i="29"/>
  <c r="F57" i="29"/>
  <c r="F9" i="33"/>
  <c r="F7" i="33"/>
  <c r="F9" i="37"/>
  <c r="F7" i="37"/>
  <c r="F9" i="27"/>
  <c r="F7" i="27"/>
  <c r="F9" i="28"/>
  <c r="F7" i="28"/>
  <c r="F9" i="32"/>
  <c r="F7" i="32"/>
  <c r="F7" i="36"/>
  <c r="F9" i="36"/>
  <c r="F9" i="31"/>
  <c r="F7" i="31"/>
  <c r="F7" i="26"/>
  <c r="F9" i="26"/>
  <c r="F7" i="34"/>
  <c r="F9" i="34"/>
  <c r="F7" i="30"/>
  <c r="F9" i="30"/>
  <c r="F9" i="35"/>
  <c r="F7" i="35"/>
  <c r="D57" i="3" l="1"/>
  <c r="D10" i="3"/>
  <c r="L10" i="3" s="1"/>
  <c r="D12" i="3"/>
  <c r="L12" i="3" s="1"/>
  <c r="D13" i="3"/>
  <c r="L13" i="3" s="1"/>
  <c r="D14" i="3"/>
  <c r="L14" i="3" s="1"/>
  <c r="D16" i="3"/>
  <c r="L16" i="3" s="1"/>
  <c r="D17" i="3"/>
  <c r="L17" i="3" s="1"/>
  <c r="L18" i="3"/>
  <c r="D19" i="3"/>
  <c r="D20" i="3"/>
  <c r="L20" i="3" s="1"/>
  <c r="D21" i="3"/>
  <c r="L21" i="3" s="1"/>
  <c r="L22" i="3"/>
  <c r="D23" i="3"/>
  <c r="D24" i="3"/>
  <c r="L24" i="3" s="1"/>
  <c r="D25" i="3"/>
  <c r="L25" i="3" s="1"/>
  <c r="L26" i="3"/>
  <c r="D27" i="3"/>
  <c r="D28" i="3"/>
  <c r="L28" i="3" s="1"/>
  <c r="D29" i="3"/>
  <c r="L29" i="3" s="1"/>
  <c r="L30" i="3"/>
  <c r="D31" i="3"/>
  <c r="D32" i="3"/>
  <c r="L32" i="3" s="1"/>
  <c r="L33" i="3"/>
  <c r="D34" i="3"/>
  <c r="L34" i="3" s="1"/>
  <c r="D35" i="3"/>
  <c r="D36" i="3"/>
  <c r="L36" i="3" s="1"/>
  <c r="L37" i="3"/>
  <c r="D38" i="3"/>
  <c r="L38" i="3" s="1"/>
  <c r="D39" i="3"/>
  <c r="D40" i="3"/>
  <c r="L40" i="3" s="1"/>
  <c r="L41" i="3"/>
  <c r="D42" i="3"/>
  <c r="L42" i="3" s="1"/>
  <c r="D43" i="3"/>
  <c r="D44" i="3"/>
  <c r="L44" i="3" s="1"/>
  <c r="L45" i="3"/>
  <c r="D46" i="3"/>
  <c r="L46" i="3" s="1"/>
  <c r="D47" i="3"/>
  <c r="L48" i="3"/>
  <c r="D49" i="3"/>
  <c r="L49" i="3" s="1"/>
  <c r="D50" i="3"/>
  <c r="L50" i="3" s="1"/>
  <c r="D51" i="3"/>
  <c r="L52" i="3"/>
  <c r="D53" i="3"/>
  <c r="L53" i="3" s="1"/>
  <c r="D54" i="3"/>
  <c r="L54" i="3" s="1"/>
  <c r="D55" i="3"/>
  <c r="D9" i="3"/>
  <c r="D7" i="3"/>
  <c r="D107" i="5"/>
  <c r="D10" i="5"/>
  <c r="L10" i="5" s="1"/>
  <c r="L11" i="5"/>
  <c r="D12" i="5"/>
  <c r="L12" i="5" s="1"/>
  <c r="D13" i="5"/>
  <c r="L13" i="5" s="1"/>
  <c r="D14" i="5"/>
  <c r="L14" i="5" s="1"/>
  <c r="D15" i="5"/>
  <c r="L15" i="5" s="1"/>
  <c r="D16" i="5"/>
  <c r="L16" i="5" s="1"/>
  <c r="L17" i="5"/>
  <c r="D18" i="5"/>
  <c r="L18" i="5" s="1"/>
  <c r="D19" i="5"/>
  <c r="L19" i="5" s="1"/>
  <c r="D20" i="5"/>
  <c r="L20" i="5" s="1"/>
  <c r="D21" i="5"/>
  <c r="L21" i="5" s="1"/>
  <c r="D22" i="5"/>
  <c r="L22" i="5" s="1"/>
  <c r="D23" i="5"/>
  <c r="L23" i="5" s="1"/>
  <c r="L24" i="5"/>
  <c r="D25" i="5"/>
  <c r="L25" i="5" s="1"/>
  <c r="D26" i="5"/>
  <c r="L26" i="5" s="1"/>
  <c r="D27" i="5"/>
  <c r="L27" i="5" s="1"/>
  <c r="D28" i="5"/>
  <c r="L28" i="5" s="1"/>
  <c r="D29" i="5"/>
  <c r="L29" i="5" s="1"/>
  <c r="L30" i="5"/>
  <c r="D31" i="5"/>
  <c r="L31" i="5" s="1"/>
  <c r="D32" i="5"/>
  <c r="L32" i="5" s="1"/>
  <c r="D33" i="5"/>
  <c r="L33" i="5" s="1"/>
  <c r="D34" i="5"/>
  <c r="L34" i="5" s="1"/>
  <c r="D35" i="5"/>
  <c r="L35" i="5" s="1"/>
  <c r="D36" i="5"/>
  <c r="L36" i="5" s="1"/>
  <c r="L37" i="5"/>
  <c r="D38" i="5"/>
  <c r="L38" i="5" s="1"/>
  <c r="D39" i="5"/>
  <c r="L39" i="5" s="1"/>
  <c r="D40" i="5"/>
  <c r="L40" i="5" s="1"/>
  <c r="D41" i="5"/>
  <c r="L41" i="5" s="1"/>
  <c r="D42" i="5"/>
  <c r="L42" i="5" s="1"/>
  <c r="D43" i="5"/>
  <c r="L43" i="5" s="1"/>
  <c r="L44" i="5"/>
  <c r="D45" i="5"/>
  <c r="L45" i="5" s="1"/>
  <c r="D46" i="5"/>
  <c r="L46" i="5" s="1"/>
  <c r="D47" i="5"/>
  <c r="L47" i="5" s="1"/>
  <c r="D48" i="5"/>
  <c r="L48" i="5" s="1"/>
  <c r="D49" i="5"/>
  <c r="L49" i="5" s="1"/>
  <c r="L50" i="5"/>
  <c r="D51" i="5"/>
  <c r="L51" i="5" s="1"/>
  <c r="D52" i="5"/>
  <c r="L52" i="5" s="1"/>
  <c r="D53" i="5"/>
  <c r="L53" i="5" s="1"/>
  <c r="D54" i="5"/>
  <c r="L54" i="5" s="1"/>
  <c r="D55" i="5"/>
  <c r="L55" i="5" s="1"/>
  <c r="D56" i="5"/>
  <c r="L56" i="5" s="1"/>
  <c r="L57" i="5"/>
  <c r="D58" i="5"/>
  <c r="L58" i="5" s="1"/>
  <c r="D59" i="5"/>
  <c r="L59" i="5" s="1"/>
  <c r="D60" i="5"/>
  <c r="L60" i="5" s="1"/>
  <c r="D61" i="5"/>
  <c r="L61" i="5" s="1"/>
  <c r="D62" i="5"/>
  <c r="L62" i="5" s="1"/>
  <c r="L63" i="5"/>
  <c r="D64" i="5"/>
  <c r="L64" i="5" s="1"/>
  <c r="D65" i="5"/>
  <c r="L65" i="5" s="1"/>
  <c r="D66" i="5"/>
  <c r="L66" i="5" s="1"/>
  <c r="D67" i="5"/>
  <c r="L67" i="5" s="1"/>
  <c r="D68" i="5"/>
  <c r="L68" i="5" s="1"/>
  <c r="D69" i="5"/>
  <c r="L69" i="5" s="1"/>
  <c r="L70" i="5"/>
  <c r="D71" i="5"/>
  <c r="L71" i="5" s="1"/>
  <c r="D72" i="5"/>
  <c r="L72" i="5" s="1"/>
  <c r="D73" i="5"/>
  <c r="L73" i="5" s="1"/>
  <c r="D74" i="5"/>
  <c r="L74" i="5" s="1"/>
  <c r="D75" i="5"/>
  <c r="L75" i="5" s="1"/>
  <c r="L76" i="5"/>
  <c r="D77" i="5"/>
  <c r="L77" i="5" s="1"/>
  <c r="D78" i="5"/>
  <c r="L78" i="5" s="1"/>
  <c r="D79" i="5"/>
  <c r="L79" i="5" s="1"/>
  <c r="D80" i="5"/>
  <c r="L80" i="5" s="1"/>
  <c r="D81" i="5"/>
  <c r="L81" i="5" s="1"/>
  <c r="D82" i="5"/>
  <c r="L82" i="5" s="1"/>
  <c r="L83" i="5"/>
  <c r="D84" i="5"/>
  <c r="L84" i="5" s="1"/>
  <c r="D85" i="5"/>
  <c r="L85" i="5" s="1"/>
  <c r="D86" i="5"/>
  <c r="L86" i="5" s="1"/>
  <c r="D87" i="5"/>
  <c r="L87" i="5" s="1"/>
  <c r="D88" i="5"/>
  <c r="L88" i="5" s="1"/>
  <c r="L89" i="5"/>
  <c r="D90" i="5"/>
  <c r="L90" i="5" s="1"/>
  <c r="D91" i="5"/>
  <c r="L91" i="5" s="1"/>
  <c r="D92" i="5"/>
  <c r="L92" i="5" s="1"/>
  <c r="D93" i="5"/>
  <c r="L93" i="5" s="1"/>
  <c r="D94" i="5"/>
  <c r="L94" i="5" s="1"/>
  <c r="D95" i="5"/>
  <c r="L95" i="5" s="1"/>
  <c r="L96" i="5"/>
  <c r="D97" i="5"/>
  <c r="L97" i="5" s="1"/>
  <c r="D98" i="5"/>
  <c r="L98" i="5" s="1"/>
  <c r="D99" i="5"/>
  <c r="L99" i="5" s="1"/>
  <c r="D100" i="5"/>
  <c r="L100" i="5" s="1"/>
  <c r="D101" i="5"/>
  <c r="L101" i="5" s="1"/>
  <c r="D103" i="5"/>
  <c r="D104" i="5"/>
  <c r="L104" i="5" s="1"/>
  <c r="D105" i="5"/>
  <c r="L105" i="5" s="1"/>
  <c r="D9" i="5"/>
  <c r="D7" i="5"/>
  <c r="G7" i="5" l="1"/>
  <c r="H7" i="5" s="1"/>
  <c r="L7" i="5"/>
  <c r="G103" i="5"/>
  <c r="H103" i="5" s="1"/>
  <c r="L103" i="5"/>
  <c r="G9" i="5"/>
  <c r="H9" i="5" s="1"/>
  <c r="L9" i="5"/>
  <c r="G107" i="5"/>
  <c r="H107" i="5" s="1"/>
  <c r="L107" i="5"/>
  <c r="G55" i="3"/>
  <c r="H55" i="3" s="1"/>
  <c r="L55" i="3"/>
  <c r="G51" i="3"/>
  <c r="H51" i="3" s="1"/>
  <c r="L51" i="3"/>
  <c r="G47" i="3"/>
  <c r="H47" i="3" s="1"/>
  <c r="L47" i="3"/>
  <c r="G43" i="3"/>
  <c r="H43" i="3" s="1"/>
  <c r="L43" i="3"/>
  <c r="G39" i="3"/>
  <c r="H39" i="3" s="1"/>
  <c r="L39" i="3"/>
  <c r="G35" i="3"/>
  <c r="H35" i="3" s="1"/>
  <c r="L35" i="3"/>
  <c r="G31" i="3"/>
  <c r="H31" i="3" s="1"/>
  <c r="L31" i="3"/>
  <c r="G27" i="3"/>
  <c r="H27" i="3" s="1"/>
  <c r="L27" i="3"/>
  <c r="G23" i="3"/>
  <c r="H23" i="3" s="1"/>
  <c r="L23" i="3"/>
  <c r="G19" i="3"/>
  <c r="H19" i="3" s="1"/>
  <c r="L19" i="3"/>
  <c r="L15" i="3"/>
  <c r="L11" i="3"/>
  <c r="G9" i="3"/>
  <c r="H9" i="3" s="1"/>
  <c r="L9" i="3"/>
  <c r="G7" i="3"/>
  <c r="H7" i="3" s="1"/>
  <c r="L7" i="3"/>
  <c r="G57" i="3"/>
  <c r="H57" i="3" s="1"/>
  <c r="L57" i="3"/>
  <c r="G105" i="5"/>
  <c r="H105" i="5" s="1"/>
  <c r="G100" i="5"/>
  <c r="H100" i="5" s="1"/>
  <c r="G92" i="5"/>
  <c r="H92" i="5" s="1"/>
  <c r="G88" i="5"/>
  <c r="H88" i="5" s="1"/>
  <c r="G84" i="5"/>
  <c r="H84" i="5" s="1"/>
  <c r="G80" i="5"/>
  <c r="H80" i="5" s="1"/>
  <c r="G72" i="5"/>
  <c r="H72" i="5" s="1"/>
  <c r="G68" i="5"/>
  <c r="H68" i="5" s="1"/>
  <c r="G64" i="5"/>
  <c r="H64" i="5" s="1"/>
  <c r="G60" i="5"/>
  <c r="H60" i="5" s="1"/>
  <c r="G56" i="5"/>
  <c r="H56" i="5" s="1"/>
  <c r="G52" i="5"/>
  <c r="H52" i="5" s="1"/>
  <c r="G48" i="5"/>
  <c r="H48" i="5" s="1"/>
  <c r="G40" i="5"/>
  <c r="H40" i="5" s="1"/>
  <c r="G36" i="5"/>
  <c r="H36" i="5" s="1"/>
  <c r="G32" i="5"/>
  <c r="H32" i="5" s="1"/>
  <c r="G28" i="5"/>
  <c r="H28" i="5" s="1"/>
  <c r="G20" i="5"/>
  <c r="H20" i="5" s="1"/>
  <c r="G16" i="5"/>
  <c r="H16" i="5" s="1"/>
  <c r="G12" i="5"/>
  <c r="H12" i="5" s="1"/>
  <c r="G98" i="5"/>
  <c r="H98" i="5" s="1"/>
  <c r="G94" i="5"/>
  <c r="H94" i="5" s="1"/>
  <c r="G86" i="5"/>
  <c r="H86" i="5" s="1"/>
  <c r="G82" i="5"/>
  <c r="H82" i="5" s="1"/>
  <c r="G78" i="5"/>
  <c r="H78" i="5" s="1"/>
  <c r="G74" i="5"/>
  <c r="H74" i="5" s="1"/>
  <c r="G66" i="5"/>
  <c r="H66" i="5" s="1"/>
  <c r="G62" i="5"/>
  <c r="H62" i="5" s="1"/>
  <c r="G58" i="5"/>
  <c r="H58" i="5" s="1"/>
  <c r="G54" i="5"/>
  <c r="H54" i="5" s="1"/>
  <c r="G46" i="5"/>
  <c r="H46" i="5" s="1"/>
  <c r="G42" i="5"/>
  <c r="H42" i="5" s="1"/>
  <c r="G38" i="5"/>
  <c r="H38" i="5" s="1"/>
  <c r="G34" i="5"/>
  <c r="H34" i="5" s="1"/>
  <c r="G26" i="5"/>
  <c r="H26" i="5" s="1"/>
  <c r="G22" i="5"/>
  <c r="H22" i="5" s="1"/>
  <c r="G18" i="5"/>
  <c r="H18" i="5" s="1"/>
  <c r="G14" i="5"/>
  <c r="H14" i="5" s="1"/>
  <c r="G53" i="3"/>
  <c r="H53" i="3" s="1"/>
  <c r="G49" i="3"/>
  <c r="H49" i="3" s="1"/>
  <c r="G97" i="5"/>
  <c r="H97" i="5" s="1"/>
  <c r="G93" i="5"/>
  <c r="H93" i="5" s="1"/>
  <c r="G85" i="5"/>
  <c r="H85" i="5" s="1"/>
  <c r="G81" i="5"/>
  <c r="H81" i="5" s="1"/>
  <c r="G77" i="5"/>
  <c r="H77" i="5" s="1"/>
  <c r="G73" i="5"/>
  <c r="H73" i="5" s="1"/>
  <c r="G69" i="5"/>
  <c r="H69" i="5" s="1"/>
  <c r="G65" i="5"/>
  <c r="H65" i="5" s="1"/>
  <c r="G61" i="5"/>
  <c r="H61" i="5" s="1"/>
  <c r="G53" i="5"/>
  <c r="H53" i="5" s="1"/>
  <c r="G49" i="5"/>
  <c r="H49" i="5" s="1"/>
  <c r="G45" i="5"/>
  <c r="H45" i="5" s="1"/>
  <c r="G41" i="5"/>
  <c r="H41" i="5" s="1"/>
  <c r="G33" i="5"/>
  <c r="H33" i="5" s="1"/>
  <c r="G29" i="5"/>
  <c r="H29" i="5" s="1"/>
  <c r="G25" i="5"/>
  <c r="H25" i="5" s="1"/>
  <c r="G29" i="3"/>
  <c r="H29" i="3" s="1"/>
  <c r="G25" i="3"/>
  <c r="H25" i="3" s="1"/>
  <c r="G21" i="3"/>
  <c r="H21" i="3" s="1"/>
  <c r="G17" i="3"/>
  <c r="H17" i="3" s="1"/>
  <c r="G13" i="3"/>
  <c r="H13" i="3" s="1"/>
  <c r="G21" i="5"/>
  <c r="H21" i="5" s="1"/>
  <c r="G13" i="5"/>
  <c r="H13" i="5" s="1"/>
  <c r="G44" i="3"/>
  <c r="H44" i="3" s="1"/>
  <c r="G40" i="3"/>
  <c r="H40" i="3" s="1"/>
  <c r="G36" i="3"/>
  <c r="H36" i="3" s="1"/>
  <c r="G32" i="3"/>
  <c r="H32" i="3" s="1"/>
  <c r="G28" i="3"/>
  <c r="H28" i="3" s="1"/>
  <c r="G24" i="3"/>
  <c r="H24" i="3" s="1"/>
  <c r="G20" i="3"/>
  <c r="H20" i="3" s="1"/>
  <c r="G16" i="3"/>
  <c r="H16" i="3" s="1"/>
  <c r="G12" i="3"/>
  <c r="H12" i="3" s="1"/>
  <c r="G101" i="5"/>
  <c r="H101" i="5" s="1"/>
  <c r="G104" i="5"/>
  <c r="H104" i="5" s="1"/>
  <c r="G99" i="5"/>
  <c r="H99" i="5" s="1"/>
  <c r="G95" i="5"/>
  <c r="H95" i="5" s="1"/>
  <c r="G91" i="5"/>
  <c r="H91" i="5" s="1"/>
  <c r="G87" i="5"/>
  <c r="H87" i="5" s="1"/>
  <c r="G79" i="5"/>
  <c r="H79" i="5" s="1"/>
  <c r="G75" i="5"/>
  <c r="H75" i="5" s="1"/>
  <c r="G71" i="5"/>
  <c r="H71" i="5" s="1"/>
  <c r="G67" i="5"/>
  <c r="H67" i="5" s="1"/>
  <c r="G59" i="5"/>
  <c r="H59" i="5" s="1"/>
  <c r="G55" i="5"/>
  <c r="H55" i="5" s="1"/>
  <c r="G51" i="5"/>
  <c r="H51" i="5" s="1"/>
  <c r="G47" i="5"/>
  <c r="H47" i="5" s="1"/>
  <c r="G43" i="5"/>
  <c r="H43" i="5" s="1"/>
  <c r="G39" i="5"/>
  <c r="H39" i="5" s="1"/>
  <c r="G35" i="5"/>
  <c r="H35" i="5" s="1"/>
  <c r="G31" i="5"/>
  <c r="H31" i="5" s="1"/>
  <c r="G27" i="5"/>
  <c r="H27" i="5" s="1"/>
  <c r="G23" i="5"/>
  <c r="H23" i="5" s="1"/>
  <c r="G19" i="5"/>
  <c r="H19" i="5" s="1"/>
  <c r="G15" i="5"/>
  <c r="H15" i="5" s="1"/>
  <c r="G54" i="3"/>
  <c r="H54" i="3" s="1"/>
  <c r="G50" i="3"/>
  <c r="H50" i="3" s="1"/>
  <c r="G46" i="3"/>
  <c r="H46" i="3" s="1"/>
  <c r="G42" i="3"/>
  <c r="H42" i="3" s="1"/>
  <c r="G38" i="3"/>
  <c r="H38" i="3" s="1"/>
  <c r="G34" i="3"/>
  <c r="H34" i="3" s="1"/>
  <c r="G14" i="3"/>
  <c r="H14" i="3" s="1"/>
  <c r="G10" i="3"/>
  <c r="H10" i="3" s="1"/>
  <c r="G90" i="5"/>
  <c r="H90" i="5" s="1"/>
  <c r="G10" i="5"/>
  <c r="H10" i="5" s="1"/>
  <c r="I7" i="3"/>
  <c r="J7" i="3" s="1"/>
  <c r="E84" i="5"/>
  <c r="E72" i="5"/>
  <c r="E60" i="5"/>
  <c r="E48" i="5"/>
  <c r="E36" i="5"/>
  <c r="E12" i="5"/>
  <c r="E7" i="5"/>
  <c r="E103" i="5"/>
  <c r="E99" i="5"/>
  <c r="E95" i="5"/>
  <c r="E91" i="5"/>
  <c r="E87" i="5"/>
  <c r="E79" i="5"/>
  <c r="E75" i="5"/>
  <c r="E71" i="5"/>
  <c r="E67" i="5"/>
  <c r="E59" i="5"/>
  <c r="E55" i="5"/>
  <c r="E51" i="5"/>
  <c r="E47" i="5"/>
  <c r="E43" i="5"/>
  <c r="E39" i="5"/>
  <c r="E35" i="5"/>
  <c r="E31" i="5"/>
  <c r="E27" i="5"/>
  <c r="E23" i="5"/>
  <c r="E19" i="5"/>
  <c r="E15" i="5"/>
  <c r="E104" i="5"/>
  <c r="E92" i="5"/>
  <c r="E64" i="5"/>
  <c r="E52" i="5"/>
  <c r="E40" i="5"/>
  <c r="E28" i="5"/>
  <c r="E16" i="5"/>
  <c r="E9" i="5"/>
  <c r="E98" i="5"/>
  <c r="E94" i="5"/>
  <c r="E90" i="5"/>
  <c r="E86" i="5"/>
  <c r="E82" i="5"/>
  <c r="E78" i="5"/>
  <c r="E74" i="5"/>
  <c r="E66" i="5"/>
  <c r="E62" i="5"/>
  <c r="E58" i="5"/>
  <c r="E54" i="5"/>
  <c r="E46" i="5"/>
  <c r="E42" i="5"/>
  <c r="E38" i="5"/>
  <c r="E34" i="5"/>
  <c r="E26" i="5"/>
  <c r="E22" i="5"/>
  <c r="E18" i="5"/>
  <c r="E14" i="5"/>
  <c r="E10" i="5"/>
  <c r="E100" i="5"/>
  <c r="E88" i="5"/>
  <c r="E80" i="5"/>
  <c r="E68" i="5"/>
  <c r="E56" i="5"/>
  <c r="E32" i="5"/>
  <c r="E20" i="5"/>
  <c r="E105" i="5"/>
  <c r="E101" i="5"/>
  <c r="E97" i="5"/>
  <c r="E93" i="5"/>
  <c r="E85" i="5"/>
  <c r="E81" i="5"/>
  <c r="E77" i="5"/>
  <c r="E73" i="5"/>
  <c r="E69" i="5"/>
  <c r="E65" i="5"/>
  <c r="E61" i="5"/>
  <c r="E53" i="5"/>
  <c r="E49" i="5"/>
  <c r="E45" i="5"/>
  <c r="E41" i="5"/>
  <c r="E33" i="5"/>
  <c r="E29" i="5"/>
  <c r="E25" i="5"/>
  <c r="E21" i="5"/>
  <c r="E13" i="5"/>
  <c r="E107" i="5"/>
  <c r="D10" i="2"/>
  <c r="L10" i="2" s="1"/>
  <c r="L11" i="2"/>
  <c r="D12" i="2"/>
  <c r="L12" i="2" s="1"/>
  <c r="D13" i="2"/>
  <c r="L13" i="2" s="1"/>
  <c r="D14" i="2"/>
  <c r="L14" i="2" s="1"/>
  <c r="D15" i="2"/>
  <c r="L15" i="2" s="1"/>
  <c r="D16" i="2"/>
  <c r="L16" i="2" s="1"/>
  <c r="D17" i="2"/>
  <c r="L17" i="2" s="1"/>
  <c r="D18" i="2"/>
  <c r="L18" i="2" s="1"/>
  <c r="D19" i="2"/>
  <c r="L19" i="2" s="1"/>
  <c r="D20" i="2"/>
  <c r="L20" i="2" s="1"/>
  <c r="D21" i="2"/>
  <c r="L21" i="2" s="1"/>
  <c r="D22" i="2"/>
  <c r="L22" i="2" s="1"/>
  <c r="D23" i="2"/>
  <c r="L23" i="2" s="1"/>
  <c r="D24" i="2"/>
  <c r="L24" i="2" s="1"/>
  <c r="L25" i="2"/>
  <c r="D26" i="2"/>
  <c r="L26" i="2" s="1"/>
  <c r="D27" i="2"/>
  <c r="L27" i="2" s="1"/>
  <c r="D28" i="2"/>
  <c r="L28" i="2" s="1"/>
  <c r="D29" i="2"/>
  <c r="L29" i="2" s="1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D36" i="2"/>
  <c r="L36" i="2" s="1"/>
  <c r="D37" i="2"/>
  <c r="L37" i="2" s="1"/>
  <c r="D38" i="2"/>
  <c r="L38" i="2" s="1"/>
  <c r="L39" i="2"/>
  <c r="D40" i="2"/>
  <c r="L40" i="2" s="1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D47" i="2"/>
  <c r="L47" i="2" s="1"/>
  <c r="D48" i="2"/>
  <c r="L48" i="2" s="1"/>
  <c r="D49" i="2"/>
  <c r="L49" i="2" s="1"/>
  <c r="D50" i="2"/>
  <c r="L50" i="2" s="1"/>
  <c r="D51" i="2"/>
  <c r="L51" i="2" s="1"/>
  <c r="D52" i="2"/>
  <c r="L52" i="2" s="1"/>
  <c r="L53" i="2"/>
  <c r="D54" i="2"/>
  <c r="L54" i="2" s="1"/>
  <c r="D55" i="2"/>
  <c r="L55" i="2" s="1"/>
  <c r="D56" i="2"/>
  <c r="L56" i="2" s="1"/>
  <c r="D57" i="2"/>
  <c r="L57" i="2" s="1"/>
  <c r="D58" i="2"/>
  <c r="L58" i="2" s="1"/>
  <c r="D59" i="2"/>
  <c r="L59" i="2" s="1"/>
  <c r="D60" i="2"/>
  <c r="L60" i="2" s="1"/>
  <c r="D61" i="2"/>
  <c r="L61" i="2" s="1"/>
  <c r="D62" i="2"/>
  <c r="L62" i="2" s="1"/>
  <c r="D63" i="2"/>
  <c r="L63" i="2" s="1"/>
  <c r="D64" i="2"/>
  <c r="L64" i="2" s="1"/>
  <c r="D65" i="2"/>
  <c r="L65" i="2" s="1"/>
  <c r="D66" i="2"/>
  <c r="L66" i="2" s="1"/>
  <c r="L67" i="2"/>
  <c r="D68" i="2"/>
  <c r="L68" i="2" s="1"/>
  <c r="D69" i="2"/>
  <c r="L69" i="2" s="1"/>
  <c r="D70" i="2"/>
  <c r="L70" i="2" s="1"/>
  <c r="D71" i="2"/>
  <c r="L71" i="2" s="1"/>
  <c r="D72" i="2"/>
  <c r="L72" i="2" s="1"/>
  <c r="D73" i="2"/>
  <c r="L73" i="2" s="1"/>
  <c r="D74" i="2"/>
  <c r="L74" i="2" s="1"/>
  <c r="D75" i="2"/>
  <c r="L75" i="2" s="1"/>
  <c r="D76" i="2"/>
  <c r="L76" i="2" s="1"/>
  <c r="D77" i="2"/>
  <c r="L77" i="2" s="1"/>
  <c r="D78" i="2"/>
  <c r="L78" i="2" s="1"/>
  <c r="D79" i="2"/>
  <c r="L79" i="2" s="1"/>
  <c r="D80" i="2"/>
  <c r="L80" i="2" s="1"/>
  <c r="L81" i="2"/>
  <c r="D82" i="2"/>
  <c r="L82" i="2" s="1"/>
  <c r="D83" i="2"/>
  <c r="L83" i="2" s="1"/>
  <c r="D84" i="2"/>
  <c r="L84" i="2" s="1"/>
  <c r="D85" i="2"/>
  <c r="L85" i="2" s="1"/>
  <c r="D86" i="2"/>
  <c r="L86" i="2" s="1"/>
  <c r="D87" i="2"/>
  <c r="L87" i="2" s="1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D94" i="2"/>
  <c r="L94" i="2" s="1"/>
  <c r="L95" i="2"/>
  <c r="D96" i="2"/>
  <c r="L96" i="2" s="1"/>
  <c r="D97" i="2"/>
  <c r="L97" i="2" s="1"/>
  <c r="D98" i="2"/>
  <c r="L98" i="2" s="1"/>
  <c r="D99" i="2"/>
  <c r="L99" i="2" s="1"/>
  <c r="D100" i="2"/>
  <c r="L100" i="2" s="1"/>
  <c r="D101" i="2"/>
  <c r="L101" i="2" s="1"/>
  <c r="D103" i="2"/>
  <c r="D104" i="2"/>
  <c r="L104" i="2" s="1"/>
  <c r="D105" i="2"/>
  <c r="L105" i="2" s="1"/>
  <c r="D9" i="2"/>
  <c r="D7" i="2"/>
  <c r="I16" i="3" l="1"/>
  <c r="I29" i="3"/>
  <c r="J29" i="3" s="1"/>
  <c r="I21" i="3"/>
  <c r="I36" i="3"/>
  <c r="J36" i="3" s="1"/>
  <c r="I49" i="3"/>
  <c r="J49" i="3" s="1"/>
  <c r="I43" i="3"/>
  <c r="J43" i="3" s="1"/>
  <c r="I47" i="3"/>
  <c r="J47" i="3" s="1"/>
  <c r="I54" i="3"/>
  <c r="I39" i="3"/>
  <c r="J39" i="3" s="1"/>
  <c r="I38" i="3"/>
  <c r="J38" i="3" s="1"/>
  <c r="I25" i="3"/>
  <c r="I9" i="3"/>
  <c r="I32" i="3"/>
  <c r="I35" i="3"/>
  <c r="J35" i="3" s="1"/>
  <c r="I17" i="3"/>
  <c r="I53" i="3"/>
  <c r="J53" i="3" s="1"/>
  <c r="I20" i="3"/>
  <c r="J20" i="3" s="1"/>
  <c r="I10" i="3"/>
  <c r="G7" i="2"/>
  <c r="H7" i="2" s="1"/>
  <c r="L7" i="2"/>
  <c r="G103" i="2"/>
  <c r="H103" i="2" s="1"/>
  <c r="L103" i="2"/>
  <c r="G9" i="2"/>
  <c r="H9" i="2" s="1"/>
  <c r="L9" i="2"/>
  <c r="I57" i="3"/>
  <c r="J57" i="3" s="1"/>
  <c r="Q17" i="3" s="1"/>
  <c r="I44" i="3"/>
  <c r="J44" i="3" s="1"/>
  <c r="I12" i="3"/>
  <c r="I27" i="3"/>
  <c r="I50" i="3"/>
  <c r="I31" i="3"/>
  <c r="J31" i="3" s="1"/>
  <c r="I13" i="3"/>
  <c r="F14" i="3" s="1"/>
  <c r="I28" i="3"/>
  <c r="J28" i="3" s="1"/>
  <c r="I34" i="3"/>
  <c r="J34" i="3" s="1"/>
  <c r="I55" i="3"/>
  <c r="J55" i="3" s="1"/>
  <c r="I23" i="3"/>
  <c r="J23" i="3" s="1"/>
  <c r="I40" i="3"/>
  <c r="I24" i="3"/>
  <c r="F25" i="3" s="1"/>
  <c r="I51" i="3"/>
  <c r="I19" i="3"/>
  <c r="I46" i="3"/>
  <c r="I14" i="3"/>
  <c r="J14" i="3" s="1"/>
  <c r="I42" i="3"/>
  <c r="J25" i="3"/>
  <c r="J9" i="3"/>
  <c r="G97" i="2"/>
  <c r="H97" i="2" s="1"/>
  <c r="G93" i="2"/>
  <c r="H93" i="2" s="1"/>
  <c r="G89" i="2"/>
  <c r="H89" i="2" s="1"/>
  <c r="G85" i="2"/>
  <c r="H85" i="2" s="1"/>
  <c r="G77" i="2"/>
  <c r="H77" i="2" s="1"/>
  <c r="G73" i="2"/>
  <c r="H73" i="2" s="1"/>
  <c r="G69" i="2"/>
  <c r="H69" i="2" s="1"/>
  <c r="G65" i="2"/>
  <c r="H65" i="2" s="1"/>
  <c r="G61" i="2"/>
  <c r="H61" i="2" s="1"/>
  <c r="G57" i="2"/>
  <c r="H57" i="2" s="1"/>
  <c r="G49" i="2"/>
  <c r="H49" i="2" s="1"/>
  <c r="G45" i="2"/>
  <c r="H45" i="2" s="1"/>
  <c r="G41" i="2"/>
  <c r="H41" i="2" s="1"/>
  <c r="G37" i="2"/>
  <c r="H37" i="2" s="1"/>
  <c r="G33" i="2"/>
  <c r="H33" i="2" s="1"/>
  <c r="G29" i="2"/>
  <c r="H29" i="2" s="1"/>
  <c r="G21" i="2"/>
  <c r="H21" i="2" s="1"/>
  <c r="G17" i="2"/>
  <c r="H17" i="2" s="1"/>
  <c r="G13" i="2"/>
  <c r="H13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8" i="2"/>
  <c r="H68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6" i="2"/>
  <c r="H36" i="2" s="1"/>
  <c r="G32" i="2"/>
  <c r="H32" i="2" s="1"/>
  <c r="G28" i="2"/>
  <c r="H28" i="2" s="1"/>
  <c r="G24" i="2"/>
  <c r="H24" i="2" s="1"/>
  <c r="G16" i="2"/>
  <c r="H16" i="2" s="1"/>
  <c r="G12" i="2"/>
  <c r="H12" i="2" s="1"/>
  <c r="G104" i="2"/>
  <c r="H104" i="2" s="1"/>
  <c r="G99" i="2"/>
  <c r="H99" i="2" s="1"/>
  <c r="G91" i="2"/>
  <c r="H91" i="2" s="1"/>
  <c r="G20" i="2"/>
  <c r="H20" i="2" s="1"/>
  <c r="G101" i="2"/>
  <c r="H101" i="2" s="1"/>
  <c r="G102" i="2"/>
  <c r="H102" i="2" s="1"/>
  <c r="G87" i="2"/>
  <c r="H87" i="2" s="1"/>
  <c r="G83" i="2"/>
  <c r="H83" i="2" s="1"/>
  <c r="G79" i="2"/>
  <c r="H79" i="2" s="1"/>
  <c r="G75" i="2"/>
  <c r="H75" i="2" s="1"/>
  <c r="G71" i="2"/>
  <c r="H71" i="2" s="1"/>
  <c r="G63" i="2"/>
  <c r="H63" i="2" s="1"/>
  <c r="G59" i="2"/>
  <c r="H59" i="2" s="1"/>
  <c r="G55" i="2"/>
  <c r="H55" i="2" s="1"/>
  <c r="G51" i="2"/>
  <c r="H51" i="2" s="1"/>
  <c r="G47" i="2"/>
  <c r="H47" i="2" s="1"/>
  <c r="G43" i="2"/>
  <c r="H43" i="2" s="1"/>
  <c r="G35" i="2"/>
  <c r="H35" i="2" s="1"/>
  <c r="G31" i="2"/>
  <c r="H31" i="2" s="1"/>
  <c r="G27" i="2"/>
  <c r="H27" i="2" s="1"/>
  <c r="G23" i="2"/>
  <c r="H23" i="2" s="1"/>
  <c r="G19" i="2"/>
  <c r="H19" i="2" s="1"/>
  <c r="G15" i="2"/>
  <c r="H15" i="2" s="1"/>
  <c r="G98" i="2"/>
  <c r="H98" i="2" s="1"/>
  <c r="G94" i="2"/>
  <c r="H94" i="2" s="1"/>
  <c r="G90" i="2"/>
  <c r="H90" i="2" s="1"/>
  <c r="G86" i="2"/>
  <c r="H86" i="2" s="1"/>
  <c r="G82" i="2"/>
  <c r="H82" i="2" s="1"/>
  <c r="G78" i="2"/>
  <c r="H78" i="2" s="1"/>
  <c r="G74" i="2"/>
  <c r="H74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6" i="2"/>
  <c r="H26" i="2" s="1"/>
  <c r="G22" i="2"/>
  <c r="H22" i="2" s="1"/>
  <c r="G18" i="2"/>
  <c r="H18" i="2" s="1"/>
  <c r="G14" i="2"/>
  <c r="H14" i="2" s="1"/>
  <c r="G10" i="2"/>
  <c r="H10" i="2" s="1"/>
  <c r="F9" i="3"/>
  <c r="F7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F54" i="3" l="1"/>
  <c r="F40" i="3"/>
  <c r="J54" i="3"/>
  <c r="F28" i="3"/>
  <c r="F55" i="3"/>
  <c r="F16" i="3"/>
  <c r="F17" i="3"/>
  <c r="J16" i="3"/>
  <c r="F32" i="3"/>
  <c r="F50" i="3"/>
  <c r="F10" i="3"/>
  <c r="F39" i="3"/>
  <c r="J21" i="3"/>
  <c r="F20" i="3"/>
  <c r="J32" i="3"/>
  <c r="F12" i="3"/>
  <c r="F47" i="3"/>
  <c r="F49" i="3"/>
  <c r="F13" i="3"/>
  <c r="F23" i="3"/>
  <c r="J27" i="3"/>
  <c r="J10" i="3"/>
  <c r="F53" i="3"/>
  <c r="F44" i="3"/>
  <c r="F42" i="3"/>
  <c r="F21" i="3"/>
  <c r="I102" i="2"/>
  <c r="J102" i="2" s="1"/>
  <c r="F46" i="3"/>
  <c r="F24" i="3"/>
  <c r="J17" i="3"/>
  <c r="F29" i="3"/>
  <c r="F57" i="3"/>
  <c r="F31" i="3"/>
  <c r="F51" i="3"/>
  <c r="J51" i="3"/>
  <c r="F27" i="3"/>
  <c r="J46" i="3"/>
  <c r="J24" i="3"/>
  <c r="J50" i="3"/>
  <c r="J13" i="3"/>
  <c r="J40" i="3"/>
  <c r="F35" i="3"/>
  <c r="F38" i="3"/>
  <c r="J12" i="3"/>
  <c r="J42" i="3"/>
  <c r="J19" i="3"/>
  <c r="F19" i="3"/>
  <c r="F43" i="3"/>
  <c r="F34" i="3"/>
  <c r="F36" i="3"/>
  <c r="I14" i="2"/>
  <c r="I27" i="2"/>
  <c r="I107" i="5"/>
  <c r="J107" i="5" s="1"/>
  <c r="Q17" i="5" s="1"/>
  <c r="I105" i="5"/>
  <c r="I104" i="5"/>
  <c r="I103" i="5"/>
  <c r="I101" i="5"/>
  <c r="I100" i="5"/>
  <c r="I99" i="5"/>
  <c r="I98" i="5"/>
  <c r="I97" i="5"/>
  <c r="I95" i="5"/>
  <c r="I94" i="5"/>
  <c r="I93" i="5"/>
  <c r="I92" i="5"/>
  <c r="I91" i="5"/>
  <c r="I90" i="5"/>
  <c r="I88" i="5"/>
  <c r="I87" i="5"/>
  <c r="I86" i="5"/>
  <c r="I85" i="5"/>
  <c r="I84" i="5"/>
  <c r="I82" i="5"/>
  <c r="I81" i="5"/>
  <c r="I80" i="5"/>
  <c r="I79" i="5"/>
  <c r="I78" i="5"/>
  <c r="I77" i="5"/>
  <c r="I75" i="5"/>
  <c r="I74" i="5"/>
  <c r="I73" i="5"/>
  <c r="I72" i="5"/>
  <c r="I71" i="5"/>
  <c r="I69" i="5"/>
  <c r="I68" i="5"/>
  <c r="I67" i="5"/>
  <c r="I66" i="5"/>
  <c r="I65" i="5"/>
  <c r="I64" i="5"/>
  <c r="I62" i="5"/>
  <c r="I61" i="5"/>
  <c r="I60" i="5"/>
  <c r="I59" i="5"/>
  <c r="I58" i="5"/>
  <c r="I56" i="5"/>
  <c r="I55" i="5"/>
  <c r="I54" i="5"/>
  <c r="I53" i="5"/>
  <c r="I52" i="5"/>
  <c r="I51" i="5"/>
  <c r="I49" i="5"/>
  <c r="I48" i="5"/>
  <c r="I47" i="5"/>
  <c r="I46" i="5"/>
  <c r="I45" i="5"/>
  <c r="I43" i="5"/>
  <c r="I42" i="5"/>
  <c r="I41" i="5"/>
  <c r="I40" i="5"/>
  <c r="I39" i="5"/>
  <c r="I38" i="5"/>
  <c r="I36" i="5"/>
  <c r="I35" i="5"/>
  <c r="I34" i="5"/>
  <c r="I33" i="5"/>
  <c r="I32" i="5"/>
  <c r="I31" i="5"/>
  <c r="I29" i="5"/>
  <c r="I28" i="5"/>
  <c r="I27" i="5"/>
  <c r="I26" i="5"/>
  <c r="I25" i="5"/>
  <c r="I23" i="5"/>
  <c r="I22" i="5"/>
  <c r="I21" i="5"/>
  <c r="I20" i="5"/>
  <c r="I19" i="5"/>
  <c r="I18" i="5"/>
  <c r="I16" i="5"/>
  <c r="I15" i="5"/>
  <c r="I14" i="5"/>
  <c r="I13" i="5"/>
  <c r="I12" i="5"/>
  <c r="I10" i="5"/>
  <c r="I9" i="5"/>
  <c r="I7" i="5"/>
  <c r="E7" i="3"/>
  <c r="E9" i="3"/>
  <c r="E10" i="3"/>
  <c r="E12" i="3"/>
  <c r="E13" i="3"/>
  <c r="E14" i="3"/>
  <c r="E16" i="3"/>
  <c r="E17" i="3"/>
  <c r="E19" i="3"/>
  <c r="E20" i="3"/>
  <c r="E21" i="3"/>
  <c r="E23" i="3"/>
  <c r="E24" i="3"/>
  <c r="E25" i="3"/>
  <c r="E27" i="3"/>
  <c r="E28" i="3"/>
  <c r="E29" i="3"/>
  <c r="E31" i="3"/>
  <c r="E32" i="3"/>
  <c r="E34" i="3"/>
  <c r="E35" i="3"/>
  <c r="E36" i="3"/>
  <c r="E38" i="3"/>
  <c r="E39" i="3"/>
  <c r="E40" i="3"/>
  <c r="E42" i="3"/>
  <c r="E43" i="3"/>
  <c r="E44" i="3"/>
  <c r="E46" i="3"/>
  <c r="E47" i="3"/>
  <c r="E49" i="3"/>
  <c r="E50" i="3"/>
  <c r="E51" i="3"/>
  <c r="E53" i="3"/>
  <c r="E54" i="3"/>
  <c r="E55" i="3"/>
  <c r="E57" i="3"/>
  <c r="E7" i="2"/>
  <c r="I7" i="2"/>
  <c r="E9" i="2"/>
  <c r="I9" i="2"/>
  <c r="E10" i="2"/>
  <c r="I10" i="2"/>
  <c r="E12" i="2"/>
  <c r="I12" i="2"/>
  <c r="E13" i="2"/>
  <c r="I13" i="2"/>
  <c r="E14" i="2"/>
  <c r="E15" i="2"/>
  <c r="I15" i="2"/>
  <c r="E16" i="2"/>
  <c r="I16" i="2"/>
  <c r="E17" i="2"/>
  <c r="I17" i="2"/>
  <c r="E18" i="2"/>
  <c r="I18" i="2"/>
  <c r="E19" i="2"/>
  <c r="I19" i="2"/>
  <c r="E20" i="2"/>
  <c r="I20" i="2"/>
  <c r="E21" i="2"/>
  <c r="I21" i="2"/>
  <c r="E22" i="2"/>
  <c r="I22" i="2"/>
  <c r="E23" i="2"/>
  <c r="I23" i="2"/>
  <c r="E24" i="2"/>
  <c r="I24" i="2"/>
  <c r="E26" i="2"/>
  <c r="I26" i="2"/>
  <c r="E27" i="2"/>
  <c r="E28" i="2"/>
  <c r="I28" i="2"/>
  <c r="E29" i="2"/>
  <c r="I29" i="2"/>
  <c r="E30" i="2"/>
  <c r="I30" i="2"/>
  <c r="E31" i="2"/>
  <c r="I31" i="2"/>
  <c r="E32" i="2"/>
  <c r="I32" i="2"/>
  <c r="E33" i="2"/>
  <c r="I33" i="2"/>
  <c r="E34" i="2"/>
  <c r="I34" i="2"/>
  <c r="E35" i="2"/>
  <c r="I35" i="2"/>
  <c r="E36" i="2"/>
  <c r="I36" i="2"/>
  <c r="E37" i="2"/>
  <c r="I37" i="2"/>
  <c r="E38" i="2"/>
  <c r="I38" i="2"/>
  <c r="E40" i="2"/>
  <c r="I40" i="2"/>
  <c r="E41" i="2"/>
  <c r="I41" i="2"/>
  <c r="E42" i="2"/>
  <c r="I42" i="2"/>
  <c r="E43" i="2"/>
  <c r="I43" i="2"/>
  <c r="E44" i="2"/>
  <c r="I44" i="2"/>
  <c r="E45" i="2"/>
  <c r="I45" i="2"/>
  <c r="E46" i="2"/>
  <c r="I46" i="2"/>
  <c r="E47" i="2"/>
  <c r="I47" i="2"/>
  <c r="E48" i="2"/>
  <c r="I48" i="2"/>
  <c r="E49" i="2"/>
  <c r="I49" i="2"/>
  <c r="E50" i="2"/>
  <c r="I50" i="2"/>
  <c r="E51" i="2"/>
  <c r="I51" i="2"/>
  <c r="E52" i="2"/>
  <c r="I52" i="2"/>
  <c r="E54" i="2"/>
  <c r="I54" i="2"/>
  <c r="E55" i="2"/>
  <c r="I55" i="2"/>
  <c r="E56" i="2"/>
  <c r="I56" i="2"/>
  <c r="E57" i="2"/>
  <c r="I57" i="2"/>
  <c r="E58" i="2"/>
  <c r="I58" i="2"/>
  <c r="E59" i="2"/>
  <c r="I59" i="2"/>
  <c r="E60" i="2"/>
  <c r="I60" i="2"/>
  <c r="E61" i="2"/>
  <c r="I61" i="2"/>
  <c r="E62" i="2"/>
  <c r="I62" i="2"/>
  <c r="E63" i="2"/>
  <c r="I63" i="2"/>
  <c r="E64" i="2"/>
  <c r="I64" i="2"/>
  <c r="E65" i="2"/>
  <c r="I65" i="2"/>
  <c r="E66" i="2"/>
  <c r="I66" i="2"/>
  <c r="E68" i="2"/>
  <c r="I68" i="2"/>
  <c r="E69" i="2"/>
  <c r="I69" i="2"/>
  <c r="E70" i="2"/>
  <c r="I70" i="2"/>
  <c r="E71" i="2"/>
  <c r="I71" i="2"/>
  <c r="E72" i="2"/>
  <c r="I72" i="2"/>
  <c r="E73" i="2"/>
  <c r="I73" i="2"/>
  <c r="E74" i="2"/>
  <c r="I74" i="2"/>
  <c r="E75" i="2"/>
  <c r="I75" i="2"/>
  <c r="E76" i="2"/>
  <c r="I76" i="2"/>
  <c r="E77" i="2"/>
  <c r="I77" i="2"/>
  <c r="E78" i="2"/>
  <c r="I78" i="2"/>
  <c r="E79" i="2"/>
  <c r="I79" i="2"/>
  <c r="E80" i="2"/>
  <c r="I80" i="2"/>
  <c r="E82" i="2"/>
  <c r="I82" i="2"/>
  <c r="E83" i="2"/>
  <c r="I83" i="2"/>
  <c r="E84" i="2"/>
  <c r="I84" i="2"/>
  <c r="E85" i="2"/>
  <c r="I85" i="2"/>
  <c r="E86" i="2"/>
  <c r="I86" i="2"/>
  <c r="E87" i="2"/>
  <c r="I87" i="2"/>
  <c r="E88" i="2"/>
  <c r="I88" i="2"/>
  <c r="E89" i="2"/>
  <c r="I89" i="2"/>
  <c r="E90" i="2"/>
  <c r="I90" i="2"/>
  <c r="E91" i="2"/>
  <c r="I91" i="2"/>
  <c r="E92" i="2"/>
  <c r="I92" i="2"/>
  <c r="E93" i="2"/>
  <c r="I93" i="2"/>
  <c r="E94" i="2"/>
  <c r="I94" i="2"/>
  <c r="E96" i="2"/>
  <c r="I96" i="2"/>
  <c r="E97" i="2"/>
  <c r="I97" i="2"/>
  <c r="E98" i="2"/>
  <c r="I98" i="2"/>
  <c r="E99" i="2"/>
  <c r="I99" i="2"/>
  <c r="E100" i="2"/>
  <c r="I100" i="2"/>
  <c r="E101" i="2"/>
  <c r="I101" i="2"/>
  <c r="E103" i="2"/>
  <c r="I103" i="2"/>
  <c r="E104" i="2"/>
  <c r="I104" i="2"/>
  <c r="E105" i="2"/>
  <c r="I105" i="2"/>
  <c r="E107" i="2"/>
  <c r="I107" i="2"/>
  <c r="J107" i="2" s="1"/>
  <c r="Q17" i="2" s="1"/>
  <c r="F103" i="5" l="1"/>
  <c r="F103" i="2"/>
  <c r="F105" i="2"/>
  <c r="J104" i="2"/>
  <c r="F98" i="2"/>
  <c r="J97" i="2"/>
  <c r="F92" i="2"/>
  <c r="J91" i="2"/>
  <c r="F88" i="2"/>
  <c r="J87" i="2"/>
  <c r="F82" i="2"/>
  <c r="F78" i="2"/>
  <c r="J77" i="2"/>
  <c r="F72" i="2"/>
  <c r="J71" i="2"/>
  <c r="F68" i="2"/>
  <c r="F64" i="2"/>
  <c r="J63" i="2"/>
  <c r="F58" i="2"/>
  <c r="J57" i="2"/>
  <c r="F54" i="2"/>
  <c r="F50" i="2"/>
  <c r="J49" i="2"/>
  <c r="F44" i="2"/>
  <c r="J43" i="2"/>
  <c r="F40" i="2"/>
  <c r="F36" i="2"/>
  <c r="J35" i="2"/>
  <c r="F32" i="2"/>
  <c r="J31" i="2"/>
  <c r="F13" i="2"/>
  <c r="J12" i="2"/>
  <c r="F7" i="2"/>
  <c r="J7" i="2"/>
  <c r="F14" i="5"/>
  <c r="J13" i="5"/>
  <c r="F22" i="5"/>
  <c r="J21" i="5"/>
  <c r="J29" i="5"/>
  <c r="F38" i="5"/>
  <c r="F46" i="5"/>
  <c r="J45" i="5"/>
  <c r="F54" i="5"/>
  <c r="J53" i="5"/>
  <c r="F58" i="5"/>
  <c r="F66" i="5"/>
  <c r="J65" i="5"/>
  <c r="F74" i="5"/>
  <c r="J73" i="5"/>
  <c r="F78" i="5"/>
  <c r="J77" i="5"/>
  <c r="F82" i="5"/>
  <c r="J81" i="5"/>
  <c r="F86" i="5"/>
  <c r="J85" i="5"/>
  <c r="F90" i="5"/>
  <c r="F94" i="5"/>
  <c r="J93" i="5"/>
  <c r="F98" i="5"/>
  <c r="J97" i="5"/>
  <c r="J101" i="5"/>
  <c r="F27" i="2"/>
  <c r="J26" i="2"/>
  <c r="J24" i="2"/>
  <c r="F23" i="2"/>
  <c r="J22" i="2"/>
  <c r="F21" i="2"/>
  <c r="J20" i="2"/>
  <c r="F19" i="2"/>
  <c r="J18" i="2"/>
  <c r="F17" i="2"/>
  <c r="J16" i="2"/>
  <c r="J10" i="5"/>
  <c r="F15" i="5"/>
  <c r="J14" i="5"/>
  <c r="F19" i="5"/>
  <c r="J18" i="5"/>
  <c r="F23" i="5"/>
  <c r="J22" i="5"/>
  <c r="F27" i="5"/>
  <c r="J26" i="5"/>
  <c r="F31" i="5"/>
  <c r="F35" i="5"/>
  <c r="J34" i="5"/>
  <c r="F39" i="5"/>
  <c r="J38" i="5"/>
  <c r="F43" i="5"/>
  <c r="J42" i="5"/>
  <c r="F47" i="5"/>
  <c r="J46" i="5"/>
  <c r="F51" i="5"/>
  <c r="F55" i="5"/>
  <c r="J54" i="5"/>
  <c r="F59" i="5"/>
  <c r="J58" i="5"/>
  <c r="J62" i="5"/>
  <c r="F67" i="5"/>
  <c r="J66" i="5"/>
  <c r="F71" i="5"/>
  <c r="F75" i="5"/>
  <c r="J74" i="5"/>
  <c r="F79" i="5"/>
  <c r="J78" i="5"/>
  <c r="J82" i="5"/>
  <c r="F87" i="5"/>
  <c r="J86" i="5"/>
  <c r="F91" i="5"/>
  <c r="J90" i="5"/>
  <c r="F95" i="5"/>
  <c r="J94" i="5"/>
  <c r="F99" i="5"/>
  <c r="J98" i="5"/>
  <c r="F104" i="5"/>
  <c r="J103" i="5"/>
  <c r="F28" i="2"/>
  <c r="J27" i="2"/>
  <c r="F100" i="2"/>
  <c r="J99" i="2"/>
  <c r="F96" i="2"/>
  <c r="F90" i="2"/>
  <c r="J89" i="2"/>
  <c r="F86" i="2"/>
  <c r="J85" i="2"/>
  <c r="F80" i="2"/>
  <c r="J79" i="2"/>
  <c r="F76" i="2"/>
  <c r="J75" i="2"/>
  <c r="F70" i="2"/>
  <c r="J69" i="2"/>
  <c r="F66" i="2"/>
  <c r="J65" i="2"/>
  <c r="F60" i="2"/>
  <c r="J59" i="2"/>
  <c r="F56" i="2"/>
  <c r="J55" i="2"/>
  <c r="F52" i="2"/>
  <c r="J51" i="2"/>
  <c r="F48" i="2"/>
  <c r="J47" i="2"/>
  <c r="F42" i="2"/>
  <c r="J41" i="2"/>
  <c r="F38" i="2"/>
  <c r="J37" i="2"/>
  <c r="F34" i="2"/>
  <c r="J33" i="2"/>
  <c r="F30" i="2"/>
  <c r="J29" i="2"/>
  <c r="J10" i="2"/>
  <c r="F10" i="5"/>
  <c r="J9" i="5"/>
  <c r="F18" i="5"/>
  <c r="F26" i="5"/>
  <c r="J25" i="5"/>
  <c r="F34" i="5"/>
  <c r="J33" i="5"/>
  <c r="F42" i="5"/>
  <c r="J41" i="5"/>
  <c r="J49" i="5"/>
  <c r="F62" i="5"/>
  <c r="J61" i="5"/>
  <c r="J69" i="5"/>
  <c r="F107" i="2"/>
  <c r="J105" i="2"/>
  <c r="F104" i="2"/>
  <c r="J103" i="2"/>
  <c r="F101" i="2"/>
  <c r="J100" i="2"/>
  <c r="F99" i="2"/>
  <c r="J98" i="2"/>
  <c r="F97" i="2"/>
  <c r="J96" i="2"/>
  <c r="J94" i="2"/>
  <c r="F93" i="2"/>
  <c r="J92" i="2"/>
  <c r="F91" i="2"/>
  <c r="J90" i="2"/>
  <c r="F89" i="2"/>
  <c r="J88" i="2"/>
  <c r="F87" i="2"/>
  <c r="J86" i="2"/>
  <c r="F85" i="2"/>
  <c r="J84" i="2"/>
  <c r="F83" i="2"/>
  <c r="J82" i="2"/>
  <c r="J80" i="2"/>
  <c r="F79" i="2"/>
  <c r="J78" i="2"/>
  <c r="F77" i="2"/>
  <c r="J76" i="2"/>
  <c r="F75" i="2"/>
  <c r="J74" i="2"/>
  <c r="F73" i="2"/>
  <c r="J72" i="2"/>
  <c r="F71" i="2"/>
  <c r="J70" i="2"/>
  <c r="F69" i="2"/>
  <c r="J68" i="2"/>
  <c r="J66" i="2"/>
  <c r="F65" i="2"/>
  <c r="J64" i="2"/>
  <c r="F63" i="2"/>
  <c r="J62" i="2"/>
  <c r="F61" i="2"/>
  <c r="J60" i="2"/>
  <c r="F59" i="2"/>
  <c r="J58" i="2"/>
  <c r="F57" i="2"/>
  <c r="J56" i="2"/>
  <c r="F55" i="2"/>
  <c r="J54" i="2"/>
  <c r="J52" i="2"/>
  <c r="F51" i="2"/>
  <c r="J50" i="2"/>
  <c r="F49" i="2"/>
  <c r="J48" i="2"/>
  <c r="F47" i="2"/>
  <c r="J46" i="2"/>
  <c r="F45" i="2"/>
  <c r="J44" i="2"/>
  <c r="F43" i="2"/>
  <c r="J42" i="2"/>
  <c r="F41" i="2"/>
  <c r="J40" i="2"/>
  <c r="J38" i="2"/>
  <c r="F37" i="2"/>
  <c r="J36" i="2"/>
  <c r="F35" i="2"/>
  <c r="J34" i="2"/>
  <c r="F33" i="2"/>
  <c r="J32" i="2"/>
  <c r="F31" i="2"/>
  <c r="J30" i="2"/>
  <c r="F29" i="2"/>
  <c r="J28" i="2"/>
  <c r="F14" i="2"/>
  <c r="J13" i="2"/>
  <c r="F12" i="2"/>
  <c r="F10" i="2"/>
  <c r="J9" i="2"/>
  <c r="F12" i="5"/>
  <c r="F16" i="5"/>
  <c r="J15" i="5"/>
  <c r="F20" i="5"/>
  <c r="J19" i="5"/>
  <c r="J23" i="5"/>
  <c r="F28" i="5"/>
  <c r="J27" i="5"/>
  <c r="F32" i="5"/>
  <c r="J31" i="5"/>
  <c r="F36" i="5"/>
  <c r="J35" i="5"/>
  <c r="F40" i="5"/>
  <c r="J39" i="5"/>
  <c r="J43" i="5"/>
  <c r="F48" i="5"/>
  <c r="J47" i="5"/>
  <c r="F52" i="5"/>
  <c r="J51" i="5"/>
  <c r="F56" i="5"/>
  <c r="J55" i="5"/>
  <c r="F60" i="5"/>
  <c r="J59" i="5"/>
  <c r="F64" i="5"/>
  <c r="F68" i="5"/>
  <c r="J67" i="5"/>
  <c r="F72" i="5"/>
  <c r="J71" i="5"/>
  <c r="J75" i="5"/>
  <c r="F80" i="5"/>
  <c r="J79" i="5"/>
  <c r="F84" i="5"/>
  <c r="F88" i="5"/>
  <c r="J87" i="5"/>
  <c r="F92" i="5"/>
  <c r="J91" i="5"/>
  <c r="J95" i="5"/>
  <c r="F100" i="5"/>
  <c r="J99" i="5"/>
  <c r="F105" i="5"/>
  <c r="J104" i="5"/>
  <c r="F15" i="2"/>
  <c r="J14" i="2"/>
  <c r="F102" i="2"/>
  <c r="J101" i="2"/>
  <c r="F94" i="2"/>
  <c r="J93" i="2"/>
  <c r="F84" i="2"/>
  <c r="J83" i="2"/>
  <c r="F74" i="2"/>
  <c r="J73" i="2"/>
  <c r="F62" i="2"/>
  <c r="J61" i="2"/>
  <c r="F46" i="2"/>
  <c r="J45" i="2"/>
  <c r="F26" i="2"/>
  <c r="F24" i="2"/>
  <c r="J23" i="2"/>
  <c r="F22" i="2"/>
  <c r="J21" i="2"/>
  <c r="F20" i="2"/>
  <c r="J19" i="2"/>
  <c r="F18" i="2"/>
  <c r="J17" i="2"/>
  <c r="F16" i="2"/>
  <c r="J15" i="2"/>
  <c r="F7" i="5"/>
  <c r="J7" i="5"/>
  <c r="F13" i="5"/>
  <c r="J12" i="5"/>
  <c r="J16" i="5"/>
  <c r="F21" i="5"/>
  <c r="J20" i="5"/>
  <c r="F25" i="5"/>
  <c r="F29" i="5"/>
  <c r="J28" i="5"/>
  <c r="F33" i="5"/>
  <c r="J32" i="5"/>
  <c r="J36" i="5"/>
  <c r="F41" i="5"/>
  <c r="J40" i="5"/>
  <c r="F45" i="5"/>
  <c r="F49" i="5"/>
  <c r="J48" i="5"/>
  <c r="F53" i="5"/>
  <c r="J52" i="5"/>
  <c r="J56" i="5"/>
  <c r="F61" i="5"/>
  <c r="J60" i="5"/>
  <c r="F65" i="5"/>
  <c r="J64" i="5"/>
  <c r="F69" i="5"/>
  <c r="J68" i="5"/>
  <c r="F73" i="5"/>
  <c r="J72" i="5"/>
  <c r="F77" i="5"/>
  <c r="F81" i="5"/>
  <c r="J80" i="5"/>
  <c r="F85" i="5"/>
  <c r="J84" i="5"/>
  <c r="J88" i="5"/>
  <c r="F93" i="5"/>
  <c r="J92" i="5"/>
  <c r="F97" i="5"/>
  <c r="F101" i="5"/>
  <c r="J100" i="5"/>
  <c r="F107" i="5"/>
  <c r="J105" i="5"/>
  <c r="F9" i="2"/>
  <c r="F9" i="5"/>
  <c r="I52" i="32"/>
  <c r="I46" i="32"/>
  <c r="I42" i="32"/>
  <c r="I38" i="32"/>
  <c r="I34" i="32"/>
  <c r="I30" i="32"/>
  <c r="I26" i="32"/>
  <c r="I22" i="32"/>
  <c r="I33" i="32"/>
  <c r="I29" i="32"/>
  <c r="I51" i="32"/>
  <c r="I39" i="32"/>
  <c r="I54" i="32"/>
  <c r="I48" i="32"/>
  <c r="I44" i="32"/>
  <c r="I40" i="32"/>
  <c r="I36" i="32"/>
  <c r="I32" i="32"/>
  <c r="I28" i="32"/>
  <c r="I24" i="32"/>
  <c r="I57" i="32"/>
  <c r="J57" i="32" s="1"/>
  <c r="Q17" i="32" s="1"/>
  <c r="I41" i="32"/>
  <c r="I27" i="32"/>
  <c r="I55" i="32"/>
  <c r="I49" i="32"/>
  <c r="I23" i="32"/>
  <c r="I45" i="32"/>
  <c r="I53" i="32"/>
  <c r="I47" i="32"/>
  <c r="I21" i="32"/>
  <c r="F21" i="32" s="1"/>
  <c r="I35" i="32"/>
  <c r="F28" i="32" l="1"/>
  <c r="J27" i="32"/>
  <c r="J24" i="32"/>
  <c r="F41" i="32"/>
  <c r="J40" i="32"/>
  <c r="F51" i="32"/>
  <c r="F34" i="32"/>
  <c r="J33" i="32"/>
  <c r="J30" i="32"/>
  <c r="F47" i="32"/>
  <c r="J46" i="32"/>
  <c r="F48" i="32"/>
  <c r="J47" i="32"/>
  <c r="F38" i="32"/>
  <c r="F45" i="32"/>
  <c r="J44" i="32"/>
  <c r="F40" i="32"/>
  <c r="J39" i="32"/>
  <c r="F44" i="32"/>
  <c r="F35" i="32"/>
  <c r="J34" i="32"/>
  <c r="F53" i="32"/>
  <c r="J52" i="32"/>
  <c r="F24" i="32"/>
  <c r="J23" i="32"/>
  <c r="F32" i="32"/>
  <c r="J49" i="32"/>
  <c r="F33" i="32"/>
  <c r="J32" i="32"/>
  <c r="F52" i="32"/>
  <c r="J51" i="32"/>
  <c r="F23" i="32"/>
  <c r="J22" i="32"/>
  <c r="F39" i="32"/>
  <c r="J38" i="32"/>
  <c r="F54" i="32"/>
  <c r="J53" i="32"/>
  <c r="F29" i="32"/>
  <c r="J28" i="32"/>
  <c r="F36" i="32"/>
  <c r="J35" i="32"/>
  <c r="F26" i="32"/>
  <c r="F42" i="32"/>
  <c r="J41" i="32"/>
  <c r="F49" i="32"/>
  <c r="J48" i="32"/>
  <c r="F22" i="32"/>
  <c r="J21" i="32"/>
  <c r="F46" i="32"/>
  <c r="J45" i="32"/>
  <c r="F57" i="32"/>
  <c r="J55" i="32"/>
  <c r="J36" i="32"/>
  <c r="F55" i="32"/>
  <c r="J54" i="32"/>
  <c r="F30" i="32"/>
  <c r="J29" i="32"/>
  <c r="F27" i="32"/>
  <c r="J26" i="32"/>
  <c r="J42" i="32"/>
</calcChain>
</file>

<file path=xl/sharedStrings.xml><?xml version="1.0" encoding="utf-8"?>
<sst xmlns="http://schemas.openxmlformats.org/spreadsheetml/2006/main" count="1051" uniqueCount="252">
  <si>
    <t>인원</t>
    <phoneticPr fontId="1" type="noConversion"/>
  </si>
  <si>
    <t>표준점수</t>
    <phoneticPr fontId="1" type="noConversion"/>
  </si>
  <si>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</si>
  <si>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</si>
  <si>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</si>
  <si>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</si>
  <si>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</si>
  <si>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</si>
  <si>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B2:J57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</si>
  <si>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</si>
  <si>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</si>
  <si>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</si>
  <si>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</si>
  <si>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</si>
  <si>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</si>
  <si>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</si>
  <si>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</si>
  <si>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</si>
  <si>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</si>
  <si>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</si>
  <si>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</si>
  <si>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</si>
  <si>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</si>
  <si>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</si>
  <si>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</si>
  <si>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</si>
  <si>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</si>
  <si>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</si>
  <si>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</si>
  <si>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</si>
  <si>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</si>
  <si>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</si>
  <si>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</si>
  <si>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</si>
  <si>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</si>
  <si>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</si>
  <si>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</si>
  <si>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</si>
  <si>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</si>
  <si>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</si>
  <si>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</si>
  <si>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</si>
  <si>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</si>
  <si>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</si>
  <si>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</si>
  <si>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</si>
  <si>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국</t>
    <phoneticPr fontId="1" type="noConversion"/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</si>
  <si>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</si>
  <si>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</si>
  <si>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</si>
  <si>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</si>
  <si>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</si>
  <si>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</si>
  <si>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</si>
  <si>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</si>
  <si>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</si>
  <si>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</si>
  <si>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</si>
  <si>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이 아래로 붙여넣기</t>
    <phoneticPr fontId="1" type="noConversion"/>
  </si>
  <si>
    <t>.</t>
    <phoneticPr fontId="1" type="noConversion"/>
  </si>
  <si>
    <t>물리학Ⅰ</t>
    <phoneticPr fontId="1" type="noConversion"/>
  </si>
  <si>
    <t>정치와 법</t>
    <phoneticPr fontId="1" type="noConversion"/>
  </si>
  <si>
    <t>수학</t>
    <phoneticPr fontId="1" type="noConversion"/>
  </si>
  <si>
    <t>정</t>
    <phoneticPr fontId="1" type="noConversion"/>
  </si>
  <si>
    <t>수</t>
    <phoneticPr fontId="1" type="noConversion"/>
  </si>
  <si>
    <t>영</t>
    <phoneticPr fontId="1" type="noConversion"/>
  </si>
  <si>
    <t>한</t>
    <phoneticPr fontId="1" type="noConversion"/>
  </si>
  <si>
    <t>성공적인 직업생활</t>
    <phoneticPr fontId="1" type="noConversion"/>
  </si>
  <si>
    <t>농업 기초 기술</t>
    <phoneticPr fontId="1" type="noConversion"/>
  </si>
  <si>
    <t>공업 일반</t>
    <phoneticPr fontId="1" type="noConversion"/>
  </si>
  <si>
    <t>상업 경제</t>
    <phoneticPr fontId="1" type="noConversion"/>
  </si>
  <si>
    <t>인간 발달</t>
    <phoneticPr fontId="1" type="noConversion"/>
  </si>
  <si>
    <t>수산∙해운 산업 기초</t>
    <phoneticPr fontId="1" type="noConversion"/>
  </si>
  <si>
    <t>성공적인 직업생활</t>
    <phoneticPr fontId="1" type="noConversion"/>
  </si>
  <si>
    <t>농업 기초 기술</t>
    <phoneticPr fontId="1" type="noConversion"/>
  </si>
  <si>
    <t>공업 일반</t>
    <phoneticPr fontId="1" type="noConversion"/>
  </si>
  <si>
    <t>상업 경제</t>
    <phoneticPr fontId="1" type="noConversion"/>
  </si>
  <si>
    <t>수산∙해운 산업 기초</t>
    <phoneticPr fontId="1" type="noConversion"/>
  </si>
  <si>
    <t>인간 발달</t>
    <phoneticPr fontId="1" type="noConversion"/>
  </si>
  <si>
    <t>성</t>
    <phoneticPr fontId="1" type="noConversion"/>
  </si>
  <si>
    <t>농</t>
    <phoneticPr fontId="1" type="noConversion"/>
  </si>
  <si>
    <t>공</t>
    <phoneticPr fontId="1" type="noConversion"/>
  </si>
  <si>
    <t>상</t>
    <phoneticPr fontId="1" type="noConversion"/>
  </si>
  <si>
    <t>수</t>
    <phoneticPr fontId="1" type="noConversion"/>
  </si>
  <si>
    <t>인</t>
    <phoneticPr fontId="1" type="noConversion"/>
  </si>
  <si>
    <r>
      <rPr>
        <sz val="11"/>
        <color theme="1"/>
        <rFont val="맑은 고딕"/>
        <family val="2"/>
        <charset val="129"/>
      </rPr>
      <t>오차</t>
    </r>
    <r>
      <rPr>
        <sz val="11"/>
        <color theme="1"/>
        <rFont val="Microsoft Sans Serif"/>
        <family val="2"/>
      </rPr>
      <t xml:space="preserve"> </t>
    </r>
    <r>
      <rPr>
        <sz val="11"/>
        <color theme="1"/>
        <rFont val="맑은 고딕"/>
        <family val="2"/>
        <charset val="129"/>
      </rPr>
      <t>경고</t>
    </r>
    <phoneticPr fontId="1" type="noConversion"/>
  </si>
  <si>
    <t>오차 경고</t>
    <phoneticPr fontId="1" type="noConversion"/>
  </si>
  <si>
    <t>B2:K108</t>
    <phoneticPr fontId="1" type="noConversion"/>
  </si>
  <si>
    <t>B2:K16</t>
    <phoneticPr fontId="1" type="noConversion"/>
  </si>
  <si>
    <t>B3:M50</t>
    <phoneticPr fontId="1" type="noConversion"/>
  </si>
  <si>
    <t>독일어Ⅰ</t>
    <phoneticPr fontId="1" type="noConversion"/>
  </si>
  <si>
    <t>프랑스어Ⅰ</t>
    <phoneticPr fontId="1" type="noConversion"/>
  </si>
  <si>
    <t>스페인어Ⅰ</t>
    <phoneticPr fontId="1" type="noConversion"/>
  </si>
  <si>
    <t>일본어Ⅰ</t>
    <phoneticPr fontId="1" type="noConversion"/>
  </si>
  <si>
    <t>중국어Ⅰ</t>
    <phoneticPr fontId="1" type="noConversion"/>
  </si>
  <si>
    <t>러시아어Ⅰ</t>
    <phoneticPr fontId="1" type="noConversion"/>
  </si>
  <si>
    <t>한문Ⅰ</t>
    <phoneticPr fontId="1" type="noConversion"/>
  </si>
  <si>
    <t>독</t>
    <phoneticPr fontId="1" type="noConversion"/>
  </si>
  <si>
    <t>프</t>
    <phoneticPr fontId="1" type="noConversion"/>
  </si>
  <si>
    <t>스</t>
    <phoneticPr fontId="1" type="noConversion"/>
  </si>
  <si>
    <t>중</t>
    <phoneticPr fontId="1" type="noConversion"/>
  </si>
  <si>
    <t>일</t>
    <phoneticPr fontId="1" type="noConversion"/>
  </si>
  <si>
    <t>러</t>
    <phoneticPr fontId="1" type="noConversion"/>
  </si>
  <si>
    <t>한문</t>
    <phoneticPr fontId="1" type="noConversion"/>
  </si>
  <si>
    <t>1등급</t>
    <phoneticPr fontId="1" type="noConversion"/>
  </si>
  <si>
    <t>제2외국어/한문 (독일어Ⅰ)</t>
    <phoneticPr fontId="1" type="noConversion"/>
  </si>
  <si>
    <t>제2외국어/한문 (프랑스어Ⅰ)</t>
    <phoneticPr fontId="1" type="noConversion"/>
  </si>
  <si>
    <t>제2외국어/한문 (스페인어Ⅰ)</t>
    <phoneticPr fontId="1" type="noConversion"/>
  </si>
  <si>
    <t>제2외국어/한문 (일본어Ⅰ)</t>
    <phoneticPr fontId="1" type="noConversion"/>
  </si>
  <si>
    <t>제2외국어/한문 (중국어Ⅰ)</t>
    <phoneticPr fontId="1" type="noConversion"/>
  </si>
  <si>
    <t>제2외국어/한문 (러시아어Ⅰ)</t>
    <phoneticPr fontId="1" type="noConversion"/>
  </si>
  <si>
    <t>제2외국어/한문 (한문Ⅰ)</t>
    <phoneticPr fontId="1" type="noConversion"/>
  </si>
  <si>
    <t>B2:K58</t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</si>
  <si>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</si>
  <si>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</si>
  <si>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</si>
  <si>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</si>
  <si>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</si>
  <si>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</si>
  <si>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</si>
  <si>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</si>
  <si>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t>2023학년도 11월 고2 전국연합학력평가</t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</si>
  <si>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</si>
  <si>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</si>
  <si>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</si>
  <si>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</si>
  <si>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수학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</si>
  <si>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</si>
  <si>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국어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</si>
  <si>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</si>
  <si>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</si>
  <si>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</si>
  <si>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</si>
  <si>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</si>
  <si>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</si>
  <si>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</si>
  <si>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</si>
  <si>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</si>
  <si>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인간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발달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</si>
  <si>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수산∙해운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산업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기초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</si>
  <si>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상업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</si>
  <si>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공업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일반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</si>
  <si>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농업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기초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기술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</si>
  <si>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성공적인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직업생활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</si>
  <si>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</si>
  <si>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</si>
  <si>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</si>
  <si>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</si>
  <si>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</si>
  <si>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</si>
  <si>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</si>
  <si>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</si>
  <si>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</si>
  <si>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</si>
  <si>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</si>
  <si>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</si>
  <si>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</si>
  <si>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sz val="12"/>
        <color theme="1"/>
        <rFont val="맑은 고딕"/>
        <family val="2"/>
        <charset val="129"/>
      </rPr>
      <t>전과목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</si>
  <si>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r>
      <rPr>
        <b/>
        <sz val="13"/>
        <color theme="1"/>
        <rFont val="Microsoft Sans Serif"/>
        <family val="2"/>
      </rPr>
      <t>/</t>
    </r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</si>
  <si>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phoneticPr fontId="1" type="noConversion"/>
  </si>
  <si>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</si>
  <si>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</si>
  <si>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</si>
  <si>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</si>
  <si>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</si>
  <si>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</si>
  <si>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</si>
  <si>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</si>
  <si>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</si>
  <si>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</si>
  <si>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</si>
  <si>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</si>
  <si>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</si>
  <si>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</si>
  <si>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</si>
  <si>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</si>
  <si>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</si>
  <si>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</si>
  <si>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</si>
  <si>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</si>
  <si>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</si>
  <si>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</si>
  <si>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</si>
  <si>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</si>
  <si>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직업탐구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</si>
  <si>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성공적인</t>
    </r>
    <r>
      <rPr>
        <b/>
        <sz val="13"/>
        <color theme="1"/>
        <rFont val="Microsoft Sans Serif"/>
        <family val="2"/>
      </rPr>
      <t xml:space="preserve">    </t>
    </r>
    <r>
      <rPr>
        <b/>
        <sz val="13"/>
        <color theme="1"/>
        <rFont val="맑은 고딕"/>
        <family val="3"/>
        <charset val="129"/>
      </rPr>
      <t>직업생활</t>
    </r>
    <phoneticPr fontId="1" type="noConversion"/>
  </si>
  <si>
    <r>
      <rPr>
        <b/>
        <sz val="13"/>
        <color theme="1"/>
        <rFont val="맑은 고딕"/>
        <family val="3"/>
        <charset val="129"/>
      </rPr>
      <t>농업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기술</t>
    </r>
    <phoneticPr fontId="1" type="noConversion"/>
  </si>
  <si>
    <r>
      <rPr>
        <b/>
        <sz val="13"/>
        <color theme="1"/>
        <rFont val="맑은 고딕"/>
        <family val="3"/>
        <charset val="129"/>
      </rPr>
      <t>공업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일반</t>
    </r>
    <phoneticPr fontId="1" type="noConversion"/>
  </si>
  <si>
    <r>
      <rPr>
        <b/>
        <sz val="13"/>
        <color theme="1"/>
        <rFont val="맑은 고딕"/>
        <family val="3"/>
        <charset val="129"/>
      </rPr>
      <t>상업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</si>
  <si>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수산∙해운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산업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phoneticPr fontId="1" type="noConversion"/>
  </si>
  <si>
    <r>
      <rPr>
        <b/>
        <sz val="13"/>
        <color theme="1"/>
        <rFont val="맑은 고딕"/>
        <family val="3"/>
        <charset val="129"/>
      </rPr>
      <t>인간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발달</t>
    </r>
    <phoneticPr fontId="1" type="noConversion"/>
  </si>
  <si>
    <t>49.14</t>
  </si>
  <si>
    <t>21.54</t>
  </si>
  <si>
    <t>37.44</t>
  </si>
  <si>
    <t>23.61</t>
  </si>
  <si>
    <t>57.16</t>
  </si>
  <si>
    <t>21.99</t>
  </si>
  <si>
    <t>27.89</t>
  </si>
  <si>
    <t>13.18</t>
  </si>
  <si>
    <t>31.48</t>
  </si>
  <si>
    <t>13.66</t>
  </si>
  <si>
    <t>23.34</t>
  </si>
  <si>
    <t>11.81</t>
  </si>
  <si>
    <t>26.98</t>
  </si>
  <si>
    <t>12.18</t>
  </si>
  <si>
    <t>24.84</t>
  </si>
  <si>
    <t>12.29</t>
  </si>
  <si>
    <t>22.33</t>
  </si>
  <si>
    <t>12.98</t>
  </si>
  <si>
    <t>21.63</t>
  </si>
  <si>
    <t>12.23</t>
  </si>
  <si>
    <t>19.88</t>
  </si>
  <si>
    <t>11.45</t>
  </si>
  <si>
    <t>24.12</t>
  </si>
  <si>
    <t>11.91</t>
  </si>
  <si>
    <t>23.86</t>
  </si>
  <si>
    <t>12.25</t>
  </si>
  <si>
    <t>25.39</t>
  </si>
  <si>
    <t>12.28</t>
  </si>
  <si>
    <t>21.71</t>
  </si>
  <si>
    <t>10.62</t>
  </si>
  <si>
    <t>24.05</t>
  </si>
  <si>
    <t>11.47</t>
  </si>
  <si>
    <t>22.73</t>
  </si>
  <si>
    <t>11.73</t>
  </si>
  <si>
    <t>25.17</t>
  </si>
  <si>
    <t>11.42</t>
  </si>
  <si>
    <t>14.03</t>
  </si>
  <si>
    <t xml:space="preserve"> 6.41</t>
  </si>
  <si>
    <t>18.58</t>
  </si>
  <si>
    <t xml:space="preserve"> 9.31</t>
  </si>
  <si>
    <t>23.47</t>
  </si>
  <si>
    <t>10.63</t>
  </si>
  <si>
    <t>15.70</t>
  </si>
  <si>
    <t xml:space="preserve"> 8.95</t>
  </si>
  <si>
    <t>20.72</t>
  </si>
  <si>
    <t xml:space="preserve"> 9.26</t>
  </si>
  <si>
    <t>28.79</t>
  </si>
  <si>
    <t>11.51</t>
  </si>
  <si>
    <t>33.37</t>
  </si>
  <si>
    <t xml:space="preserve"> 8.92</t>
  </si>
  <si>
    <t>33.21</t>
  </si>
  <si>
    <t>11.35</t>
  </si>
  <si>
    <t>32.23</t>
  </si>
  <si>
    <t>12.52</t>
  </si>
  <si>
    <t>28.48</t>
  </si>
  <si>
    <t>30.14</t>
  </si>
  <si>
    <t>14.33</t>
  </si>
  <si>
    <t>31.55</t>
  </si>
  <si>
    <t xml:space="preserve"> 8.73</t>
  </si>
  <si>
    <t>-</t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</si>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</sst>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0_ "/>
    <numFmt numFmtId="177" formatCode="#,##0_ "/>
    <numFmt numFmtId="178" formatCode="0.00_);[Red]\(0.00\)"/>
    <numFmt numFmtId="184" formatCode="0.00_ "/>
  </numFmts>
  <fonts count="4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theme="1"/>
      <name val="맑은 고딕"/>
      <family val="3"/>
      <charset val="129"/>
    </font>
    <font>
      <b/>
      <sz val="13"/>
      <color theme="1"/>
      <name val="MS PGothic"/>
      <family val="2"/>
      <charset val="128"/>
    </font>
    <font>
      <b/>
      <sz val="13"/>
      <color indexed="8"/>
      <name val="Microsoft Sans Serif"/>
      <family val="2"/>
    </font>
    <font>
      <sz val="10"/>
      <name val="돋움"/>
      <family val="3"/>
      <charset val="129"/>
    </font>
  </fonts>
  <fills count="4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FF"/>
        <bgColor indexed="64"/>
      </patternFill>
    </fill>
  </fills>
  <borders count="76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1">
    <xf numFmtId="0" fontId="0" fillId="0" borderId="0">
      <alignment vertical="center"/>
    </xf>
    <xf numFmtId="0" fontId="2" fillId="0" borderId="0"/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7" fillId="0" borderId="28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1" borderId="30" applyNumberFormat="0" applyAlignment="0" applyProtection="0">
      <alignment vertical="center"/>
    </xf>
    <xf numFmtId="0" fontId="12" fillId="11" borderId="29" applyNumberFormat="0" applyAlignment="0" applyProtection="0">
      <alignment vertical="center"/>
    </xf>
    <xf numFmtId="0" fontId="13" fillId="0" borderId="31" applyNumberFormat="0" applyFill="0" applyAlignment="0" applyProtection="0">
      <alignment vertical="center"/>
    </xf>
    <xf numFmtId="0" fontId="14" fillId="12" borderId="32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4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3" borderId="33" applyNumberFormat="0" applyFont="0" applyAlignment="0" applyProtection="0">
      <alignment vertical="center"/>
    </xf>
    <xf numFmtId="0" fontId="2" fillId="0" borderId="0"/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19" fillId="0" borderId="0"/>
    <xf numFmtId="0" fontId="19" fillId="0" borderId="0"/>
  </cellStyleXfs>
  <cellXfs count="2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8" xfId="0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16" xfId="0" applyBorder="1">
      <alignment vertical="center"/>
    </xf>
    <xf numFmtId="0" fontId="0" fillId="0" borderId="41" xfId="0" applyBorder="1">
      <alignment vertical="center"/>
    </xf>
    <xf numFmtId="0" fontId="0" fillId="0" borderId="41" xfId="0" applyBorder="1" applyAlignment="1">
      <alignment horizontal="center" vertical="center"/>
    </xf>
    <xf numFmtId="0" fontId="0" fillId="38" borderId="0" xfId="0" applyFill="1">
      <alignment vertical="center"/>
    </xf>
    <xf numFmtId="0" fontId="24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6" borderId="0" xfId="0" applyFont="1" applyFill="1">
      <alignment vertical="center"/>
    </xf>
    <xf numFmtId="0" fontId="29" fillId="5" borderId="15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8" fillId="6" borderId="0" xfId="0" quotePrefix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6" borderId="0" xfId="0" applyFont="1" applyFill="1">
      <alignment vertical="center"/>
    </xf>
    <xf numFmtId="0" fontId="25" fillId="0" borderId="0" xfId="0" applyFont="1">
      <alignment vertical="center"/>
    </xf>
    <xf numFmtId="0" fontId="0" fillId="6" borderId="61" xfId="0" applyFill="1" applyBorder="1">
      <alignment vertical="center"/>
    </xf>
    <xf numFmtId="0" fontId="0" fillId="6" borderId="62" xfId="0" applyFill="1" applyBorder="1">
      <alignment vertical="center"/>
    </xf>
    <xf numFmtId="0" fontId="0" fillId="6" borderId="63" xfId="0" applyFill="1" applyBorder="1">
      <alignment vertical="center"/>
    </xf>
    <xf numFmtId="0" fontId="0" fillId="6" borderId="64" xfId="0" applyFill="1" applyBorder="1">
      <alignment vertical="center"/>
    </xf>
    <xf numFmtId="0" fontId="0" fillId="6" borderId="65" xfId="0" applyFill="1" applyBorder="1">
      <alignment vertical="center"/>
    </xf>
    <xf numFmtId="0" fontId="0" fillId="6" borderId="66" xfId="0" applyFill="1" applyBorder="1">
      <alignment vertical="center"/>
    </xf>
    <xf numFmtId="0" fontId="0" fillId="6" borderId="67" xfId="0" applyFill="1" applyBorder="1">
      <alignment vertical="center"/>
    </xf>
    <xf numFmtId="0" fontId="0" fillId="6" borderId="68" xfId="0" applyFill="1" applyBorder="1">
      <alignment vertical="center"/>
    </xf>
    <xf numFmtId="0" fontId="28" fillId="6" borderId="64" xfId="0" applyFont="1" applyFill="1" applyBorder="1">
      <alignment vertical="center"/>
    </xf>
    <xf numFmtId="0" fontId="28" fillId="6" borderId="65" xfId="0" applyFont="1" applyFill="1" applyBorder="1">
      <alignment vertical="center"/>
    </xf>
    <xf numFmtId="0" fontId="29" fillId="6" borderId="0" xfId="0" applyFont="1" applyFill="1" applyAlignment="1">
      <alignment horizontal="center" vertical="center"/>
    </xf>
    <xf numFmtId="0" fontId="29" fillId="6" borderId="0" xfId="0" applyFont="1" applyFill="1">
      <alignment vertical="center"/>
    </xf>
    <xf numFmtId="0" fontId="3" fillId="6" borderId="62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25" fillId="6" borderId="64" xfId="0" applyFont="1" applyFill="1" applyBorder="1">
      <alignment vertical="center"/>
    </xf>
    <xf numFmtId="0" fontId="25" fillId="6" borderId="65" xfId="0" applyFont="1" applyFill="1" applyBorder="1">
      <alignment vertical="center"/>
    </xf>
    <xf numFmtId="0" fontId="3" fillId="6" borderId="67" xfId="0" applyFont="1" applyFill="1" applyBorder="1" applyAlignment="1">
      <alignment horizontal="center" vertical="center"/>
    </xf>
    <xf numFmtId="0" fontId="0" fillId="6" borderId="67" xfId="0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33" fillId="5" borderId="15" xfId="0" applyFont="1" applyFill="1" applyBorder="1" applyAlignment="1">
      <alignment horizontal="center" vertical="center"/>
    </xf>
    <xf numFmtId="0" fontId="33" fillId="5" borderId="14" xfId="0" applyFont="1" applyFill="1" applyBorder="1" applyAlignment="1">
      <alignment horizontal="center" vertical="center"/>
    </xf>
    <xf numFmtId="0" fontId="33" fillId="5" borderId="13" xfId="0" applyFont="1" applyFill="1" applyBorder="1" applyAlignment="1">
      <alignment horizontal="center" vertical="center"/>
    </xf>
    <xf numFmtId="0" fontId="33" fillId="5" borderId="12" xfId="0" applyFont="1" applyFill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178" fontId="33" fillId="0" borderId="8" xfId="0" applyNumberFormat="1" applyFont="1" applyBorder="1" applyAlignment="1">
      <alignment horizontal="center" vertical="center"/>
    </xf>
    <xf numFmtId="177" fontId="35" fillId="0" borderId="8" xfId="1" applyNumberFormat="1" applyFont="1" applyBorder="1" applyAlignment="1">
      <alignment horizontal="center" vertical="center"/>
    </xf>
    <xf numFmtId="10" fontId="35" fillId="0" borderId="7" xfId="1" applyNumberFormat="1" applyFont="1" applyBorder="1" applyAlignment="1">
      <alignment horizontal="center" vertical="center"/>
    </xf>
    <xf numFmtId="177" fontId="33" fillId="0" borderId="10" xfId="0" applyNumberFormat="1" applyFont="1" applyBorder="1" applyAlignment="1">
      <alignment horizontal="center" vertical="center"/>
    </xf>
    <xf numFmtId="10" fontId="35" fillId="0" borderId="5" xfId="1" applyNumberFormat="1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0" fontId="33" fillId="4" borderId="8" xfId="0" applyFont="1" applyFill="1" applyBorder="1" applyAlignment="1">
      <alignment horizontal="center" vertical="center"/>
    </xf>
    <xf numFmtId="178" fontId="33" fillId="4" borderId="8" xfId="0" applyNumberFormat="1" applyFont="1" applyFill="1" applyBorder="1" applyAlignment="1">
      <alignment horizontal="center" vertical="center"/>
    </xf>
    <xf numFmtId="0" fontId="33" fillId="4" borderId="6" xfId="0" applyFont="1" applyFill="1" applyBorder="1">
      <alignment vertical="center"/>
    </xf>
    <xf numFmtId="0" fontId="35" fillId="4" borderId="7" xfId="1" applyFont="1" applyFill="1" applyBorder="1" applyAlignment="1">
      <alignment horizontal="center" vertical="center"/>
    </xf>
    <xf numFmtId="177" fontId="33" fillId="4" borderId="8" xfId="0" applyNumberFormat="1" applyFont="1" applyFill="1" applyBorder="1" applyAlignment="1">
      <alignment horizontal="center" vertical="center"/>
    </xf>
    <xf numFmtId="176" fontId="35" fillId="4" borderId="5" xfId="1" applyNumberFormat="1" applyFont="1" applyFill="1" applyBorder="1" applyAlignment="1">
      <alignment horizontal="center" vertical="center"/>
    </xf>
    <xf numFmtId="177" fontId="33" fillId="0" borderId="6" xfId="0" applyNumberFormat="1" applyFont="1" applyBorder="1" applyAlignment="1">
      <alignment horizontal="center" vertical="center"/>
    </xf>
    <xf numFmtId="0" fontId="33" fillId="6" borderId="8" xfId="0" applyFont="1" applyFill="1" applyBorder="1" applyAlignment="1">
      <alignment horizontal="center" vertical="center"/>
    </xf>
    <xf numFmtId="0" fontId="33" fillId="6" borderId="9" xfId="0" applyFont="1" applyFill="1" applyBorder="1" applyAlignment="1">
      <alignment horizontal="center" vertical="center"/>
    </xf>
    <xf numFmtId="177" fontId="33" fillId="6" borderId="6" xfId="0" applyNumberFormat="1" applyFont="1" applyFill="1" applyBorder="1" applyAlignment="1">
      <alignment horizontal="center" vertical="center"/>
    </xf>
    <xf numFmtId="177" fontId="33" fillId="4" borderId="6" xfId="0" applyNumberFormat="1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178" fontId="33" fillId="2" borderId="2" xfId="0" applyNumberFormat="1" applyFont="1" applyFill="1" applyBorder="1" applyAlignment="1">
      <alignment horizontal="center" vertical="center"/>
    </xf>
    <xf numFmtId="177" fontId="35" fillId="2" borderId="2" xfId="1" applyNumberFormat="1" applyFont="1" applyFill="1" applyBorder="1" applyAlignment="1">
      <alignment horizontal="center" vertical="center"/>
    </xf>
    <xf numFmtId="10" fontId="35" fillId="2" borderId="2" xfId="1" applyNumberFormat="1" applyFont="1" applyFill="1" applyBorder="1" applyAlignment="1">
      <alignment horizontal="center" vertical="center"/>
    </xf>
    <xf numFmtId="177" fontId="33" fillId="2" borderId="2" xfId="0" applyNumberFormat="1" applyFont="1" applyFill="1" applyBorder="1" applyAlignment="1">
      <alignment horizontal="center" vertical="center"/>
    </xf>
    <xf numFmtId="10" fontId="35" fillId="2" borderId="1" xfId="1" applyNumberFormat="1" applyFont="1" applyFill="1" applyBorder="1" applyAlignment="1">
      <alignment horizontal="center" vertical="center"/>
    </xf>
    <xf numFmtId="0" fontId="29" fillId="5" borderId="21" xfId="0" applyFont="1" applyFill="1" applyBorder="1" applyAlignment="1">
      <alignment horizontal="center" vertical="center"/>
    </xf>
    <xf numFmtId="2" fontId="29" fillId="0" borderId="20" xfId="0" applyNumberFormat="1" applyFont="1" applyBorder="1" applyAlignment="1">
      <alignment horizontal="center" vertical="center"/>
    </xf>
    <xf numFmtId="3" fontId="29" fillId="0" borderId="19" xfId="0" applyNumberFormat="1" applyFont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17" xfId="0" applyFont="1" applyFill="1" applyBorder="1" applyAlignment="1">
      <alignment horizontal="center" vertical="center"/>
    </xf>
    <xf numFmtId="2" fontId="29" fillId="0" borderId="16" xfId="0" applyNumberFormat="1" applyFont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0" fontId="33" fillId="5" borderId="46" xfId="0" applyFont="1" applyFill="1" applyBorder="1" applyAlignment="1">
      <alignment horizontal="center" vertical="center"/>
    </xf>
    <xf numFmtId="0" fontId="37" fillId="39" borderId="21" xfId="0" applyFont="1" applyFill="1" applyBorder="1" applyAlignment="1">
      <alignment horizontal="center" vertical="center"/>
    </xf>
    <xf numFmtId="0" fontId="37" fillId="39" borderId="22" xfId="0" applyFont="1" applyFill="1" applyBorder="1" applyAlignment="1">
      <alignment horizontal="center" vertical="center"/>
    </xf>
    <xf numFmtId="3" fontId="33" fillId="0" borderId="48" xfId="0" applyNumberFormat="1" applyFont="1" applyBorder="1" applyAlignment="1">
      <alignment horizontal="center" vertical="center"/>
    </xf>
    <xf numFmtId="10" fontId="33" fillId="0" borderId="10" xfId="0" applyNumberFormat="1" applyFont="1" applyBorder="1" applyAlignment="1">
      <alignment horizontal="center" vertical="center"/>
    </xf>
    <xf numFmtId="3" fontId="33" fillId="0" borderId="10" xfId="0" applyNumberFormat="1" applyFont="1" applyBorder="1" applyAlignment="1">
      <alignment horizontal="center" vertical="center"/>
    </xf>
    <xf numFmtId="10" fontId="33" fillId="0" borderId="42" xfId="0" applyNumberFormat="1" applyFont="1" applyBorder="1" applyAlignment="1">
      <alignment horizontal="center" vertical="center"/>
    </xf>
    <xf numFmtId="0" fontId="37" fillId="39" borderId="9" xfId="0" applyFont="1" applyFill="1" applyBorder="1" applyAlignment="1">
      <alignment horizontal="center" vertical="center"/>
    </xf>
    <xf numFmtId="0" fontId="37" fillId="39" borderId="59" xfId="0" applyFont="1" applyFill="1" applyBorder="1" applyAlignment="1">
      <alignment horizontal="center" vertical="center"/>
    </xf>
    <xf numFmtId="3" fontId="33" fillId="0" borderId="57" xfId="0" applyNumberFormat="1" applyFont="1" applyBorder="1" applyAlignment="1">
      <alignment horizontal="center" vertical="center"/>
    </xf>
    <xf numFmtId="10" fontId="33" fillId="0" borderId="8" xfId="0" applyNumberFormat="1" applyFont="1" applyBorder="1" applyAlignment="1">
      <alignment horizontal="center" vertical="center"/>
    </xf>
    <xf numFmtId="3" fontId="33" fillId="0" borderId="6" xfId="0" applyNumberFormat="1" applyFont="1" applyBorder="1" applyAlignment="1">
      <alignment horizontal="center" vertical="center"/>
    </xf>
    <xf numFmtId="10" fontId="33" fillId="0" borderId="25" xfId="0" applyNumberFormat="1" applyFont="1" applyBorder="1" applyAlignment="1">
      <alignment horizontal="center" vertical="center"/>
    </xf>
    <xf numFmtId="0" fontId="37" fillId="39" borderId="4" xfId="0" applyFont="1" applyFill="1" applyBorder="1" applyAlignment="1">
      <alignment horizontal="center" vertical="center"/>
    </xf>
    <xf numFmtId="0" fontId="37" fillId="39" borderId="1" xfId="0" applyFont="1" applyFill="1" applyBorder="1" applyAlignment="1">
      <alignment horizontal="center" vertical="center"/>
    </xf>
    <xf numFmtId="3" fontId="33" fillId="0" borderId="58" xfId="0" applyNumberFormat="1" applyFont="1" applyBorder="1" applyAlignment="1">
      <alignment horizontal="center" vertical="center"/>
    </xf>
    <xf numFmtId="10" fontId="33" fillId="0" borderId="24" xfId="0" applyNumberFormat="1" applyFont="1" applyBorder="1" applyAlignment="1">
      <alignment horizontal="center" vertical="center"/>
    </xf>
    <xf numFmtId="3" fontId="33" fillId="0" borderId="2" xfId="0" applyNumberFormat="1" applyFont="1" applyBorder="1" applyAlignment="1">
      <alignment horizontal="center" vertical="center"/>
    </xf>
    <xf numFmtId="10" fontId="33" fillId="0" borderId="43" xfId="0" applyNumberFormat="1" applyFont="1" applyBorder="1" applyAlignment="1">
      <alignment horizontal="center" vertical="center"/>
    </xf>
    <xf numFmtId="176" fontId="35" fillId="4" borderId="7" xfId="1" applyNumberFormat="1" applyFont="1" applyFill="1" applyBorder="1" applyAlignment="1">
      <alignment horizontal="center" vertical="center"/>
    </xf>
    <xf numFmtId="0" fontId="33" fillId="6" borderId="11" xfId="0" applyFont="1" applyFill="1" applyBorder="1" applyAlignment="1">
      <alignment horizontal="center" vertical="center"/>
    </xf>
    <xf numFmtId="0" fontId="33" fillId="4" borderId="6" xfId="0" applyFont="1" applyFill="1" applyBorder="1" applyAlignment="1">
      <alignment horizontal="center" vertical="center"/>
    </xf>
    <xf numFmtId="0" fontId="33" fillId="2" borderId="17" xfId="0" applyFont="1" applyFill="1" applyBorder="1" applyAlignment="1">
      <alignment horizontal="center" vertical="center"/>
    </xf>
    <xf numFmtId="0" fontId="33" fillId="2" borderId="24" xfId="0" applyFont="1" applyFill="1" applyBorder="1" applyAlignment="1">
      <alignment horizontal="center" vertical="center"/>
    </xf>
    <xf numFmtId="177" fontId="35" fillId="2" borderId="24" xfId="1" applyNumberFormat="1" applyFont="1" applyFill="1" applyBorder="1" applyAlignment="1">
      <alignment horizontal="center" vertical="center"/>
    </xf>
    <xf numFmtId="10" fontId="35" fillId="2" borderId="16" xfId="1" applyNumberFormat="1" applyFont="1" applyFill="1" applyBorder="1" applyAlignment="1">
      <alignment horizontal="center" vertical="center"/>
    </xf>
    <xf numFmtId="0" fontId="37" fillId="39" borderId="45" xfId="0" applyFont="1" applyFill="1" applyBorder="1" applyAlignment="1">
      <alignment horizontal="center" vertical="center"/>
    </xf>
    <xf numFmtId="0" fontId="37" fillId="39" borderId="46" xfId="0" applyFont="1" applyFill="1" applyBorder="1" applyAlignment="1">
      <alignment horizontal="center" vertical="center"/>
    </xf>
    <xf numFmtId="0" fontId="37" fillId="39" borderId="12" xfId="0" applyFont="1" applyFill="1" applyBorder="1" applyAlignment="1">
      <alignment horizontal="center" vertical="center"/>
    </xf>
    <xf numFmtId="0" fontId="37" fillId="39" borderId="47" xfId="0" applyFont="1" applyFill="1" applyBorder="1" applyAlignment="1">
      <alignment horizontal="center" vertical="center"/>
    </xf>
    <xf numFmtId="0" fontId="33" fillId="6" borderId="21" xfId="0" applyFont="1" applyFill="1" applyBorder="1" applyAlignment="1">
      <alignment horizontal="center" vertical="center"/>
    </xf>
    <xf numFmtId="0" fontId="33" fillId="6" borderId="22" xfId="0" applyFont="1" applyFill="1" applyBorder="1" applyAlignment="1">
      <alignment horizontal="center" vertical="center"/>
    </xf>
    <xf numFmtId="0" fontId="37" fillId="39" borderId="49" xfId="0" applyFont="1" applyFill="1" applyBorder="1" applyAlignment="1">
      <alignment horizontal="center" vertical="center"/>
    </xf>
    <xf numFmtId="0" fontId="33" fillId="6" borderId="5" xfId="0" applyFont="1" applyFill="1" applyBorder="1" applyAlignment="1">
      <alignment horizontal="center" vertical="center"/>
    </xf>
    <xf numFmtId="0" fontId="37" fillId="39" borderId="51" xfId="0" applyFont="1" applyFill="1" applyBorder="1" applyAlignment="1">
      <alignment horizontal="center" vertical="center"/>
    </xf>
    <xf numFmtId="0" fontId="33" fillId="6" borderId="17" xfId="0" applyFont="1" applyFill="1" applyBorder="1" applyAlignment="1">
      <alignment horizontal="center" vertical="center"/>
    </xf>
    <xf numFmtId="0" fontId="33" fillId="6" borderId="16" xfId="0" applyFont="1" applyFill="1" applyBorder="1" applyAlignment="1">
      <alignment horizontal="center" vertical="center"/>
    </xf>
    <xf numFmtId="0" fontId="37" fillId="39" borderId="60" xfId="0" applyFont="1" applyFill="1" applyBorder="1" applyAlignment="1">
      <alignment horizontal="center" vertical="center"/>
    </xf>
    <xf numFmtId="0" fontId="37" fillId="39" borderId="15" xfId="0" applyFont="1" applyFill="1" applyBorder="1" applyAlignment="1">
      <alignment horizontal="center" vertical="center"/>
    </xf>
    <xf numFmtId="0" fontId="37" fillId="39" borderId="14" xfId="0" applyFont="1" applyFill="1" applyBorder="1" applyAlignment="1">
      <alignment horizontal="center" vertical="center"/>
    </xf>
    <xf numFmtId="0" fontId="37" fillId="39" borderId="53" xfId="0" applyFont="1" applyFill="1" applyBorder="1" applyAlignment="1">
      <alignment horizontal="center" vertical="center"/>
    </xf>
    <xf numFmtId="0" fontId="33" fillId="6" borderId="25" xfId="0" applyFont="1" applyFill="1" applyBorder="1" applyAlignment="1">
      <alignment horizontal="center" vertical="center"/>
    </xf>
    <xf numFmtId="0" fontId="37" fillId="39" borderId="54" xfId="0" applyFont="1" applyFill="1" applyBorder="1" applyAlignment="1">
      <alignment horizontal="center" vertical="center"/>
    </xf>
    <xf numFmtId="0" fontId="33" fillId="6" borderId="6" xfId="0" applyFont="1" applyFill="1" applyBorder="1" applyAlignment="1">
      <alignment horizontal="center" vertical="center"/>
    </xf>
    <xf numFmtId="0" fontId="33" fillId="6" borderId="55" xfId="0" applyFont="1" applyFill="1" applyBorder="1" applyAlignment="1">
      <alignment horizontal="center" vertical="center"/>
    </xf>
    <xf numFmtId="0" fontId="37" fillId="39" borderId="56" xfId="0" applyFont="1" applyFill="1" applyBorder="1" applyAlignment="1">
      <alignment horizontal="center" vertical="center"/>
    </xf>
    <xf numFmtId="0" fontId="33" fillId="6" borderId="4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3" fillId="6" borderId="44" xfId="0" applyFont="1" applyFill="1" applyBorder="1" applyAlignment="1">
      <alignment horizontal="center" vertical="center"/>
    </xf>
    <xf numFmtId="0" fontId="33" fillId="6" borderId="48" xfId="0" applyFont="1" applyFill="1" applyBorder="1" applyAlignment="1">
      <alignment horizontal="center" vertical="center"/>
    </xf>
    <xf numFmtId="0" fontId="33" fillId="6" borderId="50" xfId="0" applyFont="1" applyFill="1" applyBorder="1" applyAlignment="1">
      <alignment horizontal="center" vertical="center"/>
    </xf>
    <xf numFmtId="0" fontId="33" fillId="6" borderId="52" xfId="0" applyFont="1" applyFill="1" applyBorder="1" applyAlignment="1">
      <alignment horizontal="center" vertical="center"/>
    </xf>
    <xf numFmtId="0" fontId="37" fillId="39" borderId="15" xfId="0" applyFont="1" applyFill="1" applyBorder="1" applyAlignment="1">
      <alignment horizontal="center" vertical="center" wrapText="1"/>
    </xf>
    <xf numFmtId="0" fontId="37" fillId="39" borderId="14" xfId="0" applyFont="1" applyFill="1" applyBorder="1" applyAlignment="1">
      <alignment horizontal="center" vertical="center" wrapText="1"/>
    </xf>
    <xf numFmtId="0" fontId="37" fillId="39" borderId="13" xfId="0" applyFont="1" applyFill="1" applyBorder="1" applyAlignment="1">
      <alignment horizontal="center" vertical="center" wrapText="1"/>
    </xf>
    <xf numFmtId="0" fontId="37" fillId="39" borderId="12" xfId="0" applyFont="1" applyFill="1" applyBorder="1" applyAlignment="1">
      <alignment horizontal="center" vertical="center" wrapText="1"/>
    </xf>
    <xf numFmtId="0" fontId="40" fillId="39" borderId="21" xfId="0" applyFont="1" applyFill="1" applyBorder="1" applyAlignment="1">
      <alignment horizontal="center" vertical="center"/>
    </xf>
    <xf numFmtId="0" fontId="40" fillId="39" borderId="22" xfId="0" applyFont="1" applyFill="1" applyBorder="1" applyAlignment="1">
      <alignment horizontal="center" vertical="center"/>
    </xf>
    <xf numFmtId="0" fontId="40" fillId="39" borderId="9" xfId="0" applyFont="1" applyFill="1" applyBorder="1" applyAlignment="1">
      <alignment horizontal="center" vertical="center"/>
    </xf>
    <xf numFmtId="0" fontId="40" fillId="39" borderId="59" xfId="0" applyFont="1" applyFill="1" applyBorder="1" applyAlignment="1">
      <alignment horizontal="center" vertical="center"/>
    </xf>
    <xf numFmtId="0" fontId="40" fillId="39" borderId="4" xfId="0" applyFont="1" applyFill="1" applyBorder="1" applyAlignment="1">
      <alignment horizontal="center" vertical="center"/>
    </xf>
    <xf numFmtId="0" fontId="40" fillId="39" borderId="1" xfId="0" applyFont="1" applyFill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29" fillId="6" borderId="20" xfId="0" applyFont="1" applyFill="1" applyBorder="1" applyAlignment="1">
      <alignment horizontal="center" vertical="center"/>
    </xf>
    <xf numFmtId="0" fontId="29" fillId="6" borderId="22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6" borderId="42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44" xfId="0" applyFont="1" applyFill="1" applyBorder="1" applyAlignment="1">
      <alignment horizontal="center" vertical="center"/>
    </xf>
    <xf numFmtId="0" fontId="30" fillId="6" borderId="3" xfId="0" applyFont="1" applyFill="1" applyBorder="1" applyAlignment="1">
      <alignment horizontal="center" vertical="center"/>
    </xf>
    <xf numFmtId="38" fontId="41" fillId="0" borderId="6" xfId="34" applyNumberFormat="1" applyFont="1" applyBorder="1" applyAlignment="1">
      <alignment horizontal="center" vertical="center"/>
    </xf>
    <xf numFmtId="184" fontId="41" fillId="0" borderId="6" xfId="34" applyNumberFormat="1" applyFont="1" applyBorder="1" applyAlignment="1">
      <alignment horizontal="center" vertical="center"/>
    </xf>
    <xf numFmtId="10" fontId="35" fillId="0" borderId="72" xfId="1" applyNumberFormat="1" applyFont="1" applyBorder="1" applyAlignment="1">
      <alignment horizontal="center" vertical="center"/>
    </xf>
    <xf numFmtId="0" fontId="41" fillId="0" borderId="6" xfId="34" applyFont="1" applyBorder="1" applyAlignment="1">
      <alignment horizontal="center" vertical="center"/>
    </xf>
    <xf numFmtId="38" fontId="41" fillId="0" borderId="6" xfId="34" applyNumberFormat="1" applyFont="1" applyBorder="1" applyAlignment="1">
      <alignment horizontal="center" vertical="center"/>
    </xf>
    <xf numFmtId="0" fontId="41" fillId="0" borderId="69" xfId="45" applyFont="1" applyBorder="1" applyAlignment="1">
      <alignment horizontal="center" vertical="center"/>
    </xf>
    <xf numFmtId="38" fontId="41" fillId="0" borderId="69" xfId="45" applyNumberFormat="1" applyFont="1" applyBorder="1" applyAlignment="1">
      <alignment horizontal="center" vertical="center"/>
    </xf>
    <xf numFmtId="0" fontId="41" fillId="0" borderId="69" xfId="45" applyFont="1" applyBorder="1" applyAlignment="1">
      <alignment horizontal="center" vertical="center"/>
    </xf>
    <xf numFmtId="38" fontId="41" fillId="0" borderId="69" xfId="45" applyNumberFormat="1" applyFont="1" applyBorder="1" applyAlignment="1">
      <alignment horizontal="center" vertical="center"/>
    </xf>
    <xf numFmtId="0" fontId="41" fillId="0" borderId="69" xfId="45" applyFont="1" applyBorder="1" applyAlignment="1">
      <alignment horizontal="center" vertical="center"/>
    </xf>
    <xf numFmtId="38" fontId="41" fillId="0" borderId="69" xfId="45" applyNumberFormat="1" applyFont="1" applyBorder="1" applyAlignment="1">
      <alignment horizontal="center" vertical="center"/>
    </xf>
    <xf numFmtId="0" fontId="41" fillId="0" borderId="69" xfId="45" applyFont="1" applyBorder="1" applyAlignment="1">
      <alignment horizontal="center" vertical="center"/>
    </xf>
    <xf numFmtId="38" fontId="41" fillId="0" borderId="69" xfId="45" applyNumberFormat="1" applyFont="1" applyBorder="1" applyAlignment="1">
      <alignment horizontal="center" vertical="center"/>
    </xf>
    <xf numFmtId="0" fontId="41" fillId="0" borderId="69" xfId="34" applyFont="1" applyBorder="1" applyAlignment="1">
      <alignment horizontal="center" vertical="center"/>
    </xf>
    <xf numFmtId="38" fontId="41" fillId="0" borderId="69" xfId="34" applyNumberFormat="1" applyFont="1" applyBorder="1" applyAlignment="1">
      <alignment horizontal="center" vertical="center"/>
    </xf>
    <xf numFmtId="0" fontId="41" fillId="0" borderId="69" xfId="45" applyFont="1" applyBorder="1" applyAlignment="1">
      <alignment horizontal="center" vertical="center"/>
    </xf>
    <xf numFmtId="38" fontId="41" fillId="0" borderId="69" xfId="45" applyNumberFormat="1" applyFont="1" applyBorder="1" applyAlignment="1">
      <alignment horizontal="center" vertical="center"/>
    </xf>
    <xf numFmtId="0" fontId="41" fillId="0" borderId="70" xfId="45" applyFont="1" applyBorder="1" applyAlignment="1">
      <alignment horizontal="center" vertical="center"/>
    </xf>
    <xf numFmtId="38" fontId="41" fillId="0" borderId="70" xfId="45" applyNumberFormat="1" applyFont="1" applyBorder="1" applyAlignment="1">
      <alignment horizontal="center" vertical="center"/>
    </xf>
    <xf numFmtId="0" fontId="41" fillId="0" borderId="71" xfId="45" applyFont="1" applyBorder="1" applyAlignment="1">
      <alignment horizontal="center" vertical="center"/>
    </xf>
    <xf numFmtId="38" fontId="41" fillId="0" borderId="71" xfId="45" applyNumberFormat="1" applyFont="1" applyBorder="1" applyAlignment="1">
      <alignment horizontal="center" vertical="center"/>
    </xf>
    <xf numFmtId="0" fontId="41" fillId="0" borderId="69" xfId="34" applyFont="1" applyBorder="1" applyAlignment="1">
      <alignment horizontal="center" vertical="center"/>
    </xf>
    <xf numFmtId="38" fontId="41" fillId="0" borderId="69" xfId="34" applyNumberFormat="1" applyFont="1" applyBorder="1" applyAlignment="1">
      <alignment horizontal="center" vertical="center"/>
    </xf>
    <xf numFmtId="0" fontId="41" fillId="0" borderId="69" xfId="45" applyFont="1" applyBorder="1" applyAlignment="1">
      <alignment horizontal="center" vertical="center"/>
    </xf>
    <xf numFmtId="38" fontId="41" fillId="0" borderId="69" xfId="45" applyNumberFormat="1" applyFont="1" applyBorder="1" applyAlignment="1">
      <alignment horizontal="center" vertical="center"/>
    </xf>
    <xf numFmtId="0" fontId="41" fillId="0" borderId="69" xfId="45" applyFont="1" applyBorder="1" applyAlignment="1">
      <alignment horizontal="center" vertical="center"/>
    </xf>
    <xf numFmtId="38" fontId="41" fillId="0" borderId="69" xfId="45" applyNumberFormat="1" applyFont="1" applyBorder="1" applyAlignment="1">
      <alignment horizontal="center" vertical="center"/>
    </xf>
    <xf numFmtId="10" fontId="35" fillId="0" borderId="73" xfId="1" applyNumberFormat="1" applyFont="1" applyBorder="1" applyAlignment="1">
      <alignment horizontal="center" vertical="center"/>
    </xf>
    <xf numFmtId="10" fontId="35" fillId="0" borderId="25" xfId="1" applyNumberFormat="1" applyFont="1" applyBorder="1" applyAlignment="1">
      <alignment horizontal="center" vertical="center"/>
    </xf>
    <xf numFmtId="177" fontId="33" fillId="0" borderId="74" xfId="0" applyNumberFormat="1" applyFont="1" applyBorder="1" applyAlignment="1">
      <alignment horizontal="center" vertical="center"/>
    </xf>
    <xf numFmtId="177" fontId="33" fillId="0" borderId="75" xfId="0" applyNumberFormat="1" applyFont="1" applyBorder="1" applyAlignment="1">
      <alignment horizontal="center" vertical="center"/>
    </xf>
    <xf numFmtId="177" fontId="33" fillId="0" borderId="8" xfId="0" applyNumberFormat="1" applyFont="1" applyBorder="1" applyAlignment="1">
      <alignment horizontal="center" vertical="center"/>
    </xf>
    <xf numFmtId="10" fontId="35" fillId="0" borderId="74" xfId="1" applyNumberFormat="1" applyFont="1" applyBorder="1" applyAlignment="1">
      <alignment horizontal="center" vertical="center"/>
    </xf>
    <xf numFmtId="10" fontId="35" fillId="0" borderId="75" xfId="1" applyNumberFormat="1" applyFont="1" applyBorder="1" applyAlignment="1">
      <alignment horizontal="center" vertical="center"/>
    </xf>
    <xf numFmtId="10" fontId="35" fillId="0" borderId="8" xfId="1" applyNumberFormat="1" applyFont="1" applyBorder="1" applyAlignment="1">
      <alignment horizontal="center" vertical="center"/>
    </xf>
    <xf numFmtId="177" fontId="35" fillId="0" borderId="8" xfId="1" applyNumberFormat="1" applyFont="1" applyBorder="1" applyAlignment="1">
      <alignment horizontal="center" vertical="center"/>
    </xf>
    <xf numFmtId="177" fontId="35" fillId="0" borderId="74" xfId="1" applyNumberFormat="1" applyFont="1" applyBorder="1" applyAlignment="1">
      <alignment horizontal="center" vertical="center"/>
    </xf>
    <xf numFmtId="177" fontId="35" fillId="0" borderId="75" xfId="1" applyNumberFormat="1" applyFont="1" applyBorder="1" applyAlignment="1">
      <alignment horizontal="center" vertical="center"/>
    </xf>
    <xf numFmtId="178" fontId="33" fillId="0" borderId="8" xfId="0" applyNumberFormat="1" applyFont="1" applyBorder="1" applyAlignment="1">
      <alignment horizontal="center" vertical="center"/>
    </xf>
    <xf numFmtId="178" fontId="33" fillId="0" borderId="74" xfId="0" applyNumberFormat="1" applyFont="1" applyBorder="1" applyAlignment="1">
      <alignment horizontal="center" vertical="center"/>
    </xf>
    <xf numFmtId="178" fontId="33" fillId="0" borderId="75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74" xfId="0" applyFont="1" applyBorder="1" applyAlignment="1">
      <alignment horizontal="center" vertical="center"/>
    </xf>
    <xf numFmtId="0" fontId="33" fillId="0" borderId="75" xfId="0" applyFont="1" applyBorder="1" applyAlignment="1">
      <alignment horizontal="center" vertical="center"/>
    </xf>
    <xf numFmtId="0" fontId="33" fillId="40" borderId="9" xfId="0" applyFont="1" applyFill="1" applyBorder="1" applyAlignment="1">
      <alignment horizontal="center" vertical="center"/>
    </xf>
    <xf numFmtId="0" fontId="33" fillId="40" borderId="8" xfId="0" applyFont="1" applyFill="1" applyBorder="1" applyAlignment="1">
      <alignment horizontal="center" vertical="center"/>
    </xf>
    <xf numFmtId="178" fontId="33" fillId="40" borderId="8" xfId="0" applyNumberFormat="1" applyFont="1" applyFill="1" applyBorder="1" applyAlignment="1">
      <alignment horizontal="center" vertical="center"/>
    </xf>
    <xf numFmtId="177" fontId="35" fillId="40" borderId="8" xfId="1" applyNumberFormat="1" applyFont="1" applyFill="1" applyBorder="1" applyAlignment="1">
      <alignment horizontal="center" vertical="center"/>
    </xf>
    <xf numFmtId="10" fontId="35" fillId="40" borderId="7" xfId="1" applyNumberFormat="1" applyFont="1" applyFill="1" applyBorder="1" applyAlignment="1">
      <alignment horizontal="center" vertical="center"/>
    </xf>
    <xf numFmtId="177" fontId="33" fillId="40" borderId="6" xfId="0" applyNumberFormat="1" applyFont="1" applyFill="1" applyBorder="1" applyAlignment="1">
      <alignment horizontal="center" vertical="center"/>
    </xf>
    <xf numFmtId="10" fontId="35" fillId="40" borderId="5" xfId="1" applyNumberFormat="1" applyFont="1" applyFill="1" applyBorder="1" applyAlignment="1">
      <alignment horizontal="center" vertical="center"/>
    </xf>
    <xf numFmtId="0" fontId="33" fillId="6" borderId="8" xfId="0" applyFont="1" applyFill="1" applyBorder="1" applyAlignment="1">
      <alignment horizontal="center" vertical="center"/>
    </xf>
    <xf numFmtId="0" fontId="33" fillId="6" borderId="74" xfId="0" applyFont="1" applyFill="1" applyBorder="1" applyAlignment="1">
      <alignment horizontal="center" vertical="center"/>
    </xf>
    <xf numFmtId="177" fontId="33" fillId="6" borderId="74" xfId="0" applyNumberFormat="1" applyFont="1" applyFill="1" applyBorder="1" applyAlignment="1">
      <alignment horizontal="center" vertical="center"/>
    </xf>
    <xf numFmtId="177" fontId="33" fillId="6" borderId="8" xfId="0" applyNumberFormat="1" applyFont="1" applyFill="1" applyBorder="1" applyAlignment="1">
      <alignment horizontal="center" vertical="center"/>
    </xf>
  </cellXfs>
  <cellStyles count="51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3" xfId="50" xr:uid="{871518F3-6446-4DD5-B11E-0637AB6DEE58}"/>
    <cellStyle name="표준 5" xfId="48" xr:uid="{00000000-0005-0000-0000-00002F000000}"/>
    <cellStyle name="하이퍼링크 2" xfId="46" xr:uid="{00000000-0005-0000-0000-000030000000}"/>
  </cellStyles>
  <dxfs count="85"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FF"/>
      <color rgb="FFD4D4D4"/>
      <color rgb="FFCCFFCC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</xdr:row>
          <xdr:rowOff>107950</xdr:rowOff>
        </xdr:from>
        <xdr:to>
          <xdr:col>9</xdr:col>
          <xdr:colOff>88900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6600" y="1045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736600" y="2315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736600" y="295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1045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736600" y="2315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736600" y="295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33"/>
  <sheetViews>
    <sheetView topLeftCell="A19" zoomScale="115" zoomScaleNormal="115" workbookViewId="0">
      <selection activeCell="H5" sqref="H5"/>
    </sheetView>
  </sheetViews>
  <sheetFormatPr defaultRowHeight="17" x14ac:dyDescent="0.45"/>
  <cols>
    <col min="2" max="2" width="15.75" style="1" customWidth="1"/>
    <col min="3" max="5" width="12.58203125" style="1" customWidth="1"/>
  </cols>
  <sheetData>
    <row r="3" spans="2:5" x14ac:dyDescent="0.45">
      <c r="C3" s="1" t="s">
        <v>3</v>
      </c>
      <c r="D3" s="1" t="s">
        <v>4</v>
      </c>
      <c r="E3" s="1" t="s">
        <v>2</v>
      </c>
    </row>
    <row r="4" spans="2:5" x14ac:dyDescent="0.45">
      <c r="B4" s="16" t="s">
        <v>5</v>
      </c>
      <c r="C4" s="160">
        <v>290062</v>
      </c>
      <c r="D4" s="161" t="s">
        <v>191</v>
      </c>
      <c r="E4" s="161" t="s">
        <v>192</v>
      </c>
    </row>
    <row r="5" spans="2:5" x14ac:dyDescent="0.45">
      <c r="B5" s="16" t="s">
        <v>62</v>
      </c>
      <c r="C5" s="160">
        <v>287461</v>
      </c>
      <c r="D5" s="161" t="s">
        <v>193</v>
      </c>
      <c r="E5" s="161" t="s">
        <v>194</v>
      </c>
    </row>
    <row r="6" spans="2:5" x14ac:dyDescent="0.45">
      <c r="B6" s="16" t="s">
        <v>6</v>
      </c>
      <c r="C6" s="160">
        <v>284952</v>
      </c>
      <c r="D6" s="161" t="s">
        <v>195</v>
      </c>
      <c r="E6" s="161" t="s">
        <v>196</v>
      </c>
    </row>
    <row r="7" spans="2:5" x14ac:dyDescent="0.45">
      <c r="B7" s="16" t="s">
        <v>7</v>
      </c>
      <c r="C7" s="160">
        <v>283554</v>
      </c>
      <c r="D7" s="161" t="s">
        <v>197</v>
      </c>
      <c r="E7" s="161" t="s">
        <v>198</v>
      </c>
    </row>
    <row r="8" spans="2:5" x14ac:dyDescent="0.45">
      <c r="B8" s="16" t="s">
        <v>12</v>
      </c>
      <c r="C8" s="160">
        <v>71433</v>
      </c>
      <c r="D8" s="161" t="s">
        <v>199</v>
      </c>
      <c r="E8" s="161" t="s">
        <v>200</v>
      </c>
    </row>
    <row r="9" spans="2:5" x14ac:dyDescent="0.45">
      <c r="B9" s="16" t="s">
        <v>13</v>
      </c>
      <c r="C9" s="160">
        <v>37049</v>
      </c>
      <c r="D9" s="161" t="s">
        <v>201</v>
      </c>
      <c r="E9" s="161" t="s">
        <v>202</v>
      </c>
    </row>
    <row r="10" spans="2:5" x14ac:dyDescent="0.45">
      <c r="B10" s="16" t="s">
        <v>14</v>
      </c>
      <c r="C10" s="160">
        <v>25204</v>
      </c>
      <c r="D10" s="161" t="s">
        <v>203</v>
      </c>
      <c r="E10" s="161" t="s">
        <v>204</v>
      </c>
    </row>
    <row r="11" spans="2:5" x14ac:dyDescent="0.45">
      <c r="B11" s="16" t="s">
        <v>15</v>
      </c>
      <c r="C11" s="160">
        <v>20605</v>
      </c>
      <c r="D11" s="161" t="s">
        <v>205</v>
      </c>
      <c r="E11" s="161" t="s">
        <v>206</v>
      </c>
    </row>
    <row r="12" spans="2:5" x14ac:dyDescent="0.45">
      <c r="B12" s="16" t="s">
        <v>16</v>
      </c>
      <c r="C12" s="160">
        <v>10247</v>
      </c>
      <c r="D12" s="161" t="s">
        <v>207</v>
      </c>
      <c r="E12" s="161" t="s">
        <v>208</v>
      </c>
    </row>
    <row r="13" spans="2:5" x14ac:dyDescent="0.45">
      <c r="B13" s="16" t="s">
        <v>17</v>
      </c>
      <c r="C13" s="160">
        <v>16479</v>
      </c>
      <c r="D13" s="161" t="s">
        <v>209</v>
      </c>
      <c r="E13" s="161" t="s">
        <v>210</v>
      </c>
    </row>
    <row r="14" spans="2:5" x14ac:dyDescent="0.45">
      <c r="B14" s="16" t="s">
        <v>61</v>
      </c>
      <c r="C14" s="160">
        <v>10243</v>
      </c>
      <c r="D14" s="161" t="s">
        <v>211</v>
      </c>
      <c r="E14" s="161" t="s">
        <v>212</v>
      </c>
    </row>
    <row r="15" spans="2:5" x14ac:dyDescent="0.45">
      <c r="B15" s="16" t="s">
        <v>18</v>
      </c>
      <c r="C15" s="160">
        <v>30610</v>
      </c>
      <c r="D15" s="161" t="s">
        <v>213</v>
      </c>
      <c r="E15" s="161" t="s">
        <v>214</v>
      </c>
    </row>
    <row r="16" spans="2:5" x14ac:dyDescent="0.45">
      <c r="B16" s="16" t="s">
        <v>19</v>
      </c>
      <c r="C16" s="160">
        <v>57856</v>
      </c>
      <c r="D16" s="161" t="s">
        <v>215</v>
      </c>
      <c r="E16" s="161" t="s">
        <v>216</v>
      </c>
    </row>
    <row r="17" spans="2:5" x14ac:dyDescent="0.45">
      <c r="B17" s="16" t="s">
        <v>60</v>
      </c>
      <c r="C17" s="160">
        <v>48172</v>
      </c>
      <c r="D17" s="161" t="s">
        <v>217</v>
      </c>
      <c r="E17" s="161" t="s">
        <v>218</v>
      </c>
    </row>
    <row r="18" spans="2:5" x14ac:dyDescent="0.45">
      <c r="B18" s="16" t="s">
        <v>20</v>
      </c>
      <c r="C18" s="160">
        <v>51308</v>
      </c>
      <c r="D18" s="161" t="s">
        <v>219</v>
      </c>
      <c r="E18" s="161" t="s">
        <v>220</v>
      </c>
    </row>
    <row r="19" spans="2:5" x14ac:dyDescent="0.45">
      <c r="B19" s="16" t="s">
        <v>21</v>
      </c>
      <c r="C19" s="160">
        <v>96832</v>
      </c>
      <c r="D19" s="161" t="s">
        <v>221</v>
      </c>
      <c r="E19" s="161" t="s">
        <v>222</v>
      </c>
    </row>
    <row r="20" spans="2:5" x14ac:dyDescent="0.45">
      <c r="B20" s="16" t="s">
        <v>22</v>
      </c>
      <c r="C20" s="160">
        <v>82139</v>
      </c>
      <c r="D20" s="161" t="s">
        <v>223</v>
      </c>
      <c r="E20" s="161" t="s">
        <v>224</v>
      </c>
    </row>
    <row r="21" spans="2:5" x14ac:dyDescent="0.45">
      <c r="B21" s="16" t="s">
        <v>73</v>
      </c>
      <c r="C21" s="160">
        <v>2524</v>
      </c>
      <c r="D21" s="161" t="s">
        <v>225</v>
      </c>
      <c r="E21" s="161" t="s">
        <v>226</v>
      </c>
    </row>
    <row r="22" spans="2:5" x14ac:dyDescent="0.45">
      <c r="B22" s="16" t="s">
        <v>74</v>
      </c>
      <c r="C22" s="160">
        <v>445</v>
      </c>
      <c r="D22" s="161" t="s">
        <v>227</v>
      </c>
      <c r="E22" s="161" t="s">
        <v>228</v>
      </c>
    </row>
    <row r="23" spans="2:5" x14ac:dyDescent="0.45">
      <c r="B23" s="16" t="s">
        <v>75</v>
      </c>
      <c r="C23" s="160">
        <v>682</v>
      </c>
      <c r="D23" s="161" t="s">
        <v>229</v>
      </c>
      <c r="E23" s="161" t="s">
        <v>230</v>
      </c>
    </row>
    <row r="24" spans="2:5" x14ac:dyDescent="0.45">
      <c r="B24" s="16" t="s">
        <v>76</v>
      </c>
      <c r="C24" s="160">
        <v>902</v>
      </c>
      <c r="D24" s="161" t="s">
        <v>231</v>
      </c>
      <c r="E24" s="161" t="s">
        <v>232</v>
      </c>
    </row>
    <row r="25" spans="2:5" x14ac:dyDescent="0.45">
      <c r="B25" s="16" t="s">
        <v>77</v>
      </c>
      <c r="C25" s="160">
        <v>82</v>
      </c>
      <c r="D25" s="161" t="s">
        <v>233</v>
      </c>
      <c r="E25" s="161" t="s">
        <v>234</v>
      </c>
    </row>
    <row r="26" spans="2:5" x14ac:dyDescent="0.45">
      <c r="B26" s="16" t="s">
        <v>78</v>
      </c>
      <c r="C26" s="160">
        <v>476</v>
      </c>
      <c r="D26" s="161" t="s">
        <v>235</v>
      </c>
      <c r="E26" s="161" t="s">
        <v>236</v>
      </c>
    </row>
    <row r="27" spans="2:5" x14ac:dyDescent="0.45">
      <c r="B27" s="16" t="s">
        <v>90</v>
      </c>
      <c r="C27" s="160">
        <v>208</v>
      </c>
      <c r="D27" s="161" t="s">
        <v>237</v>
      </c>
      <c r="E27" s="161" t="s">
        <v>238</v>
      </c>
    </row>
    <row r="28" spans="2:5" x14ac:dyDescent="0.45">
      <c r="B28" s="45" t="s">
        <v>91</v>
      </c>
      <c r="C28" s="160">
        <v>365</v>
      </c>
      <c r="D28" s="161" t="s">
        <v>239</v>
      </c>
      <c r="E28" s="161" t="s">
        <v>240</v>
      </c>
    </row>
    <row r="29" spans="2:5" x14ac:dyDescent="0.45">
      <c r="B29" s="45" t="s">
        <v>92</v>
      </c>
      <c r="C29" s="160">
        <v>366</v>
      </c>
      <c r="D29" s="161" t="s">
        <v>241</v>
      </c>
      <c r="E29" s="161" t="s">
        <v>242</v>
      </c>
    </row>
    <row r="30" spans="2:5" x14ac:dyDescent="0.45">
      <c r="B30" s="45" t="s">
        <v>94</v>
      </c>
      <c r="C30" s="160">
        <v>718</v>
      </c>
      <c r="D30" s="161" t="s">
        <v>243</v>
      </c>
      <c r="E30" s="161" t="s">
        <v>244</v>
      </c>
    </row>
    <row r="31" spans="2:5" x14ac:dyDescent="0.45">
      <c r="B31" s="45" t="s">
        <v>93</v>
      </c>
      <c r="C31" s="160">
        <v>569</v>
      </c>
      <c r="D31" s="161" t="s">
        <v>245</v>
      </c>
      <c r="E31" s="161" t="s">
        <v>206</v>
      </c>
    </row>
    <row r="32" spans="2:5" x14ac:dyDescent="0.45">
      <c r="B32" s="45" t="s">
        <v>95</v>
      </c>
      <c r="C32" s="160">
        <v>118</v>
      </c>
      <c r="D32" s="161" t="s">
        <v>246</v>
      </c>
      <c r="E32" s="161" t="s">
        <v>247</v>
      </c>
    </row>
    <row r="33" spans="2:5" x14ac:dyDescent="0.45">
      <c r="B33" s="45" t="s">
        <v>96</v>
      </c>
      <c r="C33" s="160">
        <v>105</v>
      </c>
      <c r="D33" s="161" t="s">
        <v>248</v>
      </c>
      <c r="E33" s="161" t="s">
        <v>249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323850</xdr:colOff>
                    <xdr:row>4</xdr:row>
                    <xdr:rowOff>107950</xdr:rowOff>
                  </from>
                  <to>
                    <xdr:col>9</xdr:col>
                    <xdr:colOff>88900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V273"/>
  <sheetViews>
    <sheetView topLeftCell="A205" workbookViewId="0">
      <selection activeCell="C4" sqref="C4:D273"/>
    </sheetView>
  </sheetViews>
  <sheetFormatPr defaultRowHeight="17" x14ac:dyDescent="0.45"/>
  <cols>
    <col min="2" max="2" width="12.58203125" customWidth="1"/>
    <col min="3" max="3" width="18" customWidth="1"/>
    <col min="4" max="4" width="15.6640625" customWidth="1"/>
    <col min="5" max="22" width="12.58203125" customWidth="1"/>
  </cols>
  <sheetData>
    <row r="3" spans="1:22" x14ac:dyDescent="0.45">
      <c r="C3" s="148" t="s">
        <v>58</v>
      </c>
      <c r="D3" s="148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26</v>
      </c>
      <c r="P3" s="1" t="s">
        <v>20</v>
      </c>
      <c r="Q3" s="1" t="s">
        <v>21</v>
      </c>
      <c r="R3" s="1" t="s">
        <v>22</v>
      </c>
      <c r="S3" s="1" t="s">
        <v>27</v>
      </c>
      <c r="T3" s="1" t="s">
        <v>23</v>
      </c>
      <c r="U3" s="1" t="s">
        <v>24</v>
      </c>
      <c r="V3" s="1" t="s">
        <v>25</v>
      </c>
    </row>
    <row r="4" spans="1:22" x14ac:dyDescent="0.45">
      <c r="A4" t="s">
        <v>46</v>
      </c>
      <c r="B4" s="1" t="s">
        <v>28</v>
      </c>
      <c r="C4" s="163">
        <v>133</v>
      </c>
      <c r="D4" s="164">
        <v>13348</v>
      </c>
    </row>
    <row r="5" spans="1:22" x14ac:dyDescent="0.45">
      <c r="B5" s="1" t="s">
        <v>29</v>
      </c>
      <c r="C5" s="163">
        <v>126</v>
      </c>
      <c r="D5" s="164">
        <v>19939</v>
      </c>
    </row>
    <row r="6" spans="1:22" x14ac:dyDescent="0.45">
      <c r="B6" s="1" t="s">
        <v>30</v>
      </c>
      <c r="C6" s="163">
        <v>117</v>
      </c>
      <c r="D6" s="164">
        <v>36499</v>
      </c>
    </row>
    <row r="7" spans="1:22" x14ac:dyDescent="0.45">
      <c r="B7" s="1" t="s">
        <v>31</v>
      </c>
      <c r="C7" s="163">
        <v>106</v>
      </c>
      <c r="D7" s="164">
        <v>49878</v>
      </c>
    </row>
    <row r="8" spans="1:22" x14ac:dyDescent="0.45">
      <c r="B8" s="1" t="s">
        <v>32</v>
      </c>
      <c r="C8" s="163">
        <v>94</v>
      </c>
      <c r="D8" s="164">
        <v>56301</v>
      </c>
    </row>
    <row r="9" spans="1:22" x14ac:dyDescent="0.45">
      <c r="B9" s="1" t="s">
        <v>33</v>
      </c>
      <c r="C9" s="163">
        <v>81</v>
      </c>
      <c r="D9" s="164">
        <v>50912</v>
      </c>
    </row>
    <row r="10" spans="1:22" x14ac:dyDescent="0.45">
      <c r="B10" s="1" t="s">
        <v>34</v>
      </c>
      <c r="C10" s="163">
        <v>73</v>
      </c>
      <c r="D10" s="164">
        <v>34923</v>
      </c>
    </row>
    <row r="11" spans="1:22" x14ac:dyDescent="0.45">
      <c r="B11" s="1" t="s">
        <v>35</v>
      </c>
      <c r="C11" s="163">
        <v>69</v>
      </c>
      <c r="D11" s="164">
        <v>17815</v>
      </c>
    </row>
    <row r="12" spans="1:22" x14ac:dyDescent="0.45">
      <c r="B12" s="1" t="s">
        <v>37</v>
      </c>
      <c r="C12" s="163">
        <v>54</v>
      </c>
      <c r="D12" s="164">
        <v>10447</v>
      </c>
    </row>
    <row r="13" spans="1:22" x14ac:dyDescent="0.45">
      <c r="A13" t="s">
        <v>64</v>
      </c>
      <c r="B13" s="1" t="s">
        <v>38</v>
      </c>
      <c r="C13" s="163">
        <v>139</v>
      </c>
      <c r="D13" s="164">
        <v>14150</v>
      </c>
    </row>
    <row r="14" spans="1:22" x14ac:dyDescent="0.45">
      <c r="B14" s="1" t="s">
        <v>39</v>
      </c>
      <c r="C14" s="163">
        <v>130</v>
      </c>
      <c r="D14" s="164">
        <v>18074</v>
      </c>
    </row>
    <row r="15" spans="1:22" x14ac:dyDescent="0.45">
      <c r="B15" s="1" t="s">
        <v>40</v>
      </c>
      <c r="C15" s="163">
        <v>117</v>
      </c>
      <c r="D15" s="164">
        <v>33981</v>
      </c>
    </row>
    <row r="16" spans="1:22" x14ac:dyDescent="0.45">
      <c r="B16" s="1" t="s">
        <v>41</v>
      </c>
      <c r="C16" s="163">
        <v>102</v>
      </c>
      <c r="D16" s="164">
        <v>50895</v>
      </c>
    </row>
    <row r="17" spans="1:4" x14ac:dyDescent="0.45">
      <c r="B17" s="1" t="s">
        <v>42</v>
      </c>
      <c r="C17" s="163">
        <v>89</v>
      </c>
      <c r="D17" s="164">
        <v>58662</v>
      </c>
    </row>
    <row r="18" spans="1:4" x14ac:dyDescent="0.45">
      <c r="B18" s="1" t="s">
        <v>43</v>
      </c>
      <c r="C18" s="163">
        <v>83</v>
      </c>
      <c r="D18" s="164">
        <v>47933</v>
      </c>
    </row>
    <row r="19" spans="1:4" x14ac:dyDescent="0.45">
      <c r="B19" s="1" t="s">
        <v>44</v>
      </c>
      <c r="C19" s="163">
        <v>79</v>
      </c>
      <c r="D19" s="164">
        <v>39615</v>
      </c>
    </row>
    <row r="20" spans="1:4" x14ac:dyDescent="0.45">
      <c r="B20" s="1" t="s">
        <v>45</v>
      </c>
      <c r="C20" s="163">
        <v>76</v>
      </c>
      <c r="D20" s="164">
        <v>15011</v>
      </c>
    </row>
    <row r="21" spans="1:4" x14ac:dyDescent="0.45">
      <c r="B21" s="1" t="s">
        <v>36</v>
      </c>
      <c r="C21" s="163">
        <v>68</v>
      </c>
      <c r="D21" s="164">
        <v>9140</v>
      </c>
    </row>
    <row r="22" spans="1:4" x14ac:dyDescent="0.45">
      <c r="A22" t="s">
        <v>65</v>
      </c>
      <c r="B22" s="1" t="s">
        <v>28</v>
      </c>
      <c r="C22" s="163">
        <v>90</v>
      </c>
      <c r="D22" s="164">
        <v>16636</v>
      </c>
    </row>
    <row r="23" spans="1:4" x14ac:dyDescent="0.45">
      <c r="B23" s="1" t="s">
        <v>29</v>
      </c>
      <c r="C23" s="163">
        <v>80</v>
      </c>
      <c r="D23" s="164">
        <v>31631</v>
      </c>
    </row>
    <row r="24" spans="1:4" x14ac:dyDescent="0.45">
      <c r="B24" s="1" t="s">
        <v>30</v>
      </c>
      <c r="C24" s="163">
        <v>70</v>
      </c>
      <c r="D24" s="164">
        <v>45292</v>
      </c>
    </row>
    <row r="25" spans="1:4" x14ac:dyDescent="0.45">
      <c r="B25" s="1" t="s">
        <v>31</v>
      </c>
      <c r="C25" s="163">
        <v>60</v>
      </c>
      <c r="D25" s="164">
        <v>48378</v>
      </c>
    </row>
    <row r="26" spans="1:4" x14ac:dyDescent="0.45">
      <c r="B26" s="1" t="s">
        <v>32</v>
      </c>
      <c r="C26" s="163">
        <v>50</v>
      </c>
      <c r="D26" s="164">
        <v>41462</v>
      </c>
    </row>
    <row r="27" spans="1:4" x14ac:dyDescent="0.45">
      <c r="B27" s="1" t="s">
        <v>33</v>
      </c>
      <c r="C27" s="163">
        <v>40</v>
      </c>
      <c r="D27" s="164">
        <v>34182</v>
      </c>
    </row>
    <row r="28" spans="1:4" x14ac:dyDescent="0.45">
      <c r="B28" s="1" t="s">
        <v>34</v>
      </c>
      <c r="C28" s="163">
        <v>30</v>
      </c>
      <c r="D28" s="164">
        <v>26384</v>
      </c>
    </row>
    <row r="29" spans="1:4" x14ac:dyDescent="0.45">
      <c r="B29" s="1" t="s">
        <v>35</v>
      </c>
      <c r="C29" s="163">
        <v>20</v>
      </c>
      <c r="D29" s="164">
        <v>27583</v>
      </c>
    </row>
    <row r="30" spans="1:4" x14ac:dyDescent="0.45">
      <c r="B30" s="1" t="s">
        <v>37</v>
      </c>
      <c r="C30" s="163">
        <v>0</v>
      </c>
      <c r="D30" s="164">
        <v>13404</v>
      </c>
    </row>
    <row r="31" spans="1:4" x14ac:dyDescent="0.45">
      <c r="A31" t="s">
        <v>66</v>
      </c>
      <c r="B31" s="1" t="s">
        <v>28</v>
      </c>
      <c r="C31" s="163">
        <v>40</v>
      </c>
      <c r="D31" s="164">
        <v>64726</v>
      </c>
    </row>
    <row r="32" spans="1:4" x14ac:dyDescent="0.45">
      <c r="B32" s="1" t="s">
        <v>29</v>
      </c>
      <c r="C32" s="163">
        <v>35</v>
      </c>
      <c r="D32" s="164">
        <v>35815</v>
      </c>
    </row>
    <row r="33" spans="1:4" x14ac:dyDescent="0.45">
      <c r="B33" s="1" t="s">
        <v>30</v>
      </c>
      <c r="C33" s="163">
        <v>30</v>
      </c>
      <c r="D33" s="164">
        <v>37781</v>
      </c>
    </row>
    <row r="34" spans="1:4" x14ac:dyDescent="0.45">
      <c r="B34" s="1" t="s">
        <v>31</v>
      </c>
      <c r="C34" s="163">
        <v>25</v>
      </c>
      <c r="D34" s="164">
        <v>34984</v>
      </c>
    </row>
    <row r="35" spans="1:4" x14ac:dyDescent="0.45">
      <c r="B35" s="1" t="s">
        <v>32</v>
      </c>
      <c r="C35" s="163">
        <v>20</v>
      </c>
      <c r="D35" s="164">
        <v>27943</v>
      </c>
    </row>
    <row r="36" spans="1:4" x14ac:dyDescent="0.45">
      <c r="B36" s="1" t="s">
        <v>33</v>
      </c>
      <c r="C36" s="163">
        <v>15</v>
      </c>
      <c r="D36" s="164">
        <v>20989</v>
      </c>
    </row>
    <row r="37" spans="1:4" x14ac:dyDescent="0.45">
      <c r="B37" s="1" t="s">
        <v>34</v>
      </c>
      <c r="C37" s="163">
        <v>10</v>
      </c>
      <c r="D37" s="164">
        <v>32092</v>
      </c>
    </row>
    <row r="38" spans="1:4" x14ac:dyDescent="0.45">
      <c r="B38" s="1" t="s">
        <v>35</v>
      </c>
      <c r="C38" s="163">
        <v>5</v>
      </c>
      <c r="D38" s="164">
        <v>25023</v>
      </c>
    </row>
    <row r="39" spans="1:4" x14ac:dyDescent="0.45">
      <c r="B39" s="1" t="s">
        <v>37</v>
      </c>
      <c r="C39" s="163">
        <v>0</v>
      </c>
      <c r="D39" s="164">
        <v>4201</v>
      </c>
    </row>
    <row r="40" spans="1:4" x14ac:dyDescent="0.45">
      <c r="A40" t="s">
        <v>47</v>
      </c>
      <c r="B40" s="1" t="s">
        <v>38</v>
      </c>
      <c r="C40" s="163">
        <v>64</v>
      </c>
      <c r="D40" s="164">
        <v>3734</v>
      </c>
    </row>
    <row r="41" spans="1:4" x14ac:dyDescent="0.45">
      <c r="B41" s="1" t="s">
        <v>39</v>
      </c>
      <c r="C41" s="163">
        <v>61</v>
      </c>
      <c r="D41" s="164">
        <v>6080</v>
      </c>
    </row>
    <row r="42" spans="1:4" x14ac:dyDescent="0.45">
      <c r="B42" s="1" t="s">
        <v>40</v>
      </c>
      <c r="C42" s="163">
        <v>59</v>
      </c>
      <c r="D42" s="164">
        <v>6939</v>
      </c>
    </row>
    <row r="43" spans="1:4" x14ac:dyDescent="0.45">
      <c r="B43" s="1" t="s">
        <v>41</v>
      </c>
      <c r="C43" s="163">
        <v>56</v>
      </c>
      <c r="D43" s="164">
        <v>12074</v>
      </c>
    </row>
    <row r="44" spans="1:4" x14ac:dyDescent="0.45">
      <c r="B44" s="1" t="s">
        <v>42</v>
      </c>
      <c r="C44" s="163">
        <v>50</v>
      </c>
      <c r="D44" s="164">
        <v>15539</v>
      </c>
    </row>
    <row r="45" spans="1:4" x14ac:dyDescent="0.45">
      <c r="B45" s="1" t="s">
        <v>43</v>
      </c>
      <c r="C45" s="163">
        <v>39</v>
      </c>
      <c r="D45" s="164">
        <v>11882</v>
      </c>
    </row>
    <row r="46" spans="1:4" x14ac:dyDescent="0.45">
      <c r="B46" s="1" t="s">
        <v>44</v>
      </c>
      <c r="C46" s="163">
        <v>35</v>
      </c>
      <c r="D46" s="164">
        <v>7952</v>
      </c>
    </row>
    <row r="47" spans="1:4" x14ac:dyDescent="0.45">
      <c r="B47" s="1" t="s">
        <v>45</v>
      </c>
      <c r="C47" s="163">
        <v>32</v>
      </c>
      <c r="D47" s="164">
        <v>5680</v>
      </c>
    </row>
    <row r="48" spans="1:4" x14ac:dyDescent="0.45">
      <c r="B48" s="1" t="s">
        <v>36</v>
      </c>
      <c r="C48" s="163">
        <v>27</v>
      </c>
      <c r="D48" s="164">
        <v>1553</v>
      </c>
    </row>
    <row r="49" spans="1:4" x14ac:dyDescent="0.45">
      <c r="A49" t="s">
        <v>48</v>
      </c>
      <c r="B49" s="1" t="s">
        <v>28</v>
      </c>
      <c r="C49" s="163">
        <v>68</v>
      </c>
      <c r="D49" s="164">
        <v>1890</v>
      </c>
    </row>
    <row r="50" spans="1:4" x14ac:dyDescent="0.45">
      <c r="B50" s="1" t="s">
        <v>29</v>
      </c>
      <c r="C50" s="163">
        <v>64</v>
      </c>
      <c r="D50" s="164">
        <v>2300</v>
      </c>
    </row>
    <row r="51" spans="1:4" x14ac:dyDescent="0.45">
      <c r="B51" s="1" t="s">
        <v>30</v>
      </c>
      <c r="C51" s="163">
        <v>58</v>
      </c>
      <c r="D51" s="164">
        <v>4893</v>
      </c>
    </row>
    <row r="52" spans="1:4" x14ac:dyDescent="0.45">
      <c r="B52" s="1" t="s">
        <v>31</v>
      </c>
      <c r="C52" s="163">
        <v>52</v>
      </c>
      <c r="D52" s="164">
        <v>6389</v>
      </c>
    </row>
    <row r="53" spans="1:4" x14ac:dyDescent="0.45">
      <c r="B53" s="1" t="s">
        <v>32</v>
      </c>
      <c r="C53" s="163">
        <v>45</v>
      </c>
      <c r="D53" s="164">
        <v>8381</v>
      </c>
    </row>
    <row r="54" spans="1:4" x14ac:dyDescent="0.45">
      <c r="B54" s="1" t="s">
        <v>33</v>
      </c>
      <c r="C54" s="163">
        <v>40</v>
      </c>
      <c r="D54" s="164">
        <v>7361</v>
      </c>
    </row>
    <row r="55" spans="1:4" x14ac:dyDescent="0.45">
      <c r="B55" s="1" t="s">
        <v>34</v>
      </c>
      <c r="C55" s="163">
        <v>39</v>
      </c>
      <c r="D55" s="164">
        <v>3034</v>
      </c>
    </row>
    <row r="56" spans="1:4" x14ac:dyDescent="0.45">
      <c r="B56" s="1" t="s">
        <v>35</v>
      </c>
      <c r="C56" s="163">
        <v>36</v>
      </c>
      <c r="D56" s="164">
        <v>1815</v>
      </c>
    </row>
    <row r="57" spans="1:4" x14ac:dyDescent="0.45">
      <c r="B57" s="1" t="s">
        <v>37</v>
      </c>
      <c r="C57" s="163">
        <v>30</v>
      </c>
      <c r="D57" s="164">
        <v>986</v>
      </c>
    </row>
    <row r="58" spans="1:4" x14ac:dyDescent="0.45">
      <c r="A58" t="s">
        <v>49</v>
      </c>
      <c r="B58" s="1" t="s">
        <v>38</v>
      </c>
      <c r="C58" s="163">
        <v>66</v>
      </c>
      <c r="D58" s="164">
        <v>1678</v>
      </c>
    </row>
    <row r="59" spans="1:4" x14ac:dyDescent="0.45">
      <c r="B59" s="1" t="s">
        <v>39</v>
      </c>
      <c r="C59" s="163">
        <v>63</v>
      </c>
      <c r="D59" s="164">
        <v>1399</v>
      </c>
    </row>
    <row r="60" spans="1:4" x14ac:dyDescent="0.45">
      <c r="B60" s="1" t="s">
        <v>40</v>
      </c>
      <c r="C60" s="163">
        <v>58</v>
      </c>
      <c r="D60" s="164">
        <v>3228</v>
      </c>
    </row>
    <row r="61" spans="1:4" x14ac:dyDescent="0.45">
      <c r="B61" s="1" t="s">
        <v>41</v>
      </c>
      <c r="C61" s="163">
        <v>53</v>
      </c>
      <c r="D61" s="164">
        <v>3970</v>
      </c>
    </row>
    <row r="62" spans="1:4" x14ac:dyDescent="0.45">
      <c r="B62" s="1" t="s">
        <v>42</v>
      </c>
      <c r="C62" s="163">
        <v>48</v>
      </c>
      <c r="D62" s="164">
        <v>4949</v>
      </c>
    </row>
    <row r="63" spans="1:4" x14ac:dyDescent="0.45">
      <c r="B63" s="1" t="s">
        <v>43</v>
      </c>
      <c r="C63" s="163">
        <v>41</v>
      </c>
      <c r="D63" s="164">
        <v>4306</v>
      </c>
    </row>
    <row r="64" spans="1:4" x14ac:dyDescent="0.45">
      <c r="B64" s="1" t="s">
        <v>44</v>
      </c>
      <c r="C64" s="163">
        <v>37</v>
      </c>
      <c r="D64" s="164">
        <v>3375</v>
      </c>
    </row>
    <row r="65" spans="1:4" x14ac:dyDescent="0.45">
      <c r="B65" s="1" t="s">
        <v>45</v>
      </c>
      <c r="C65" s="163">
        <v>34</v>
      </c>
      <c r="D65" s="164">
        <v>1807</v>
      </c>
    </row>
    <row r="66" spans="1:4" x14ac:dyDescent="0.45">
      <c r="B66" s="1" t="s">
        <v>36</v>
      </c>
      <c r="C66" s="163">
        <v>28</v>
      </c>
      <c r="D66" s="164">
        <v>492</v>
      </c>
    </row>
    <row r="67" spans="1:4" x14ac:dyDescent="0.45">
      <c r="A67" t="s">
        <v>50</v>
      </c>
      <c r="B67" s="1" t="s">
        <v>28</v>
      </c>
      <c r="C67" s="163">
        <v>68</v>
      </c>
      <c r="D67" s="164">
        <v>1148</v>
      </c>
    </row>
    <row r="68" spans="1:4" x14ac:dyDescent="0.45">
      <c r="B68" s="1" t="s">
        <v>29</v>
      </c>
      <c r="C68" s="163">
        <v>64</v>
      </c>
      <c r="D68" s="164">
        <v>1310</v>
      </c>
    </row>
    <row r="69" spans="1:4" x14ac:dyDescent="0.45">
      <c r="B69" s="1" t="s">
        <v>30</v>
      </c>
      <c r="C69" s="163">
        <v>58</v>
      </c>
      <c r="D69" s="164">
        <v>2555</v>
      </c>
    </row>
    <row r="70" spans="1:4" x14ac:dyDescent="0.45">
      <c r="B70" s="1" t="s">
        <v>31</v>
      </c>
      <c r="C70" s="163">
        <v>53</v>
      </c>
      <c r="D70" s="164">
        <v>3407</v>
      </c>
    </row>
    <row r="71" spans="1:4" x14ac:dyDescent="0.45">
      <c r="B71" s="1" t="s">
        <v>32</v>
      </c>
      <c r="C71" s="163">
        <v>46</v>
      </c>
      <c r="D71" s="164">
        <v>4223</v>
      </c>
    </row>
    <row r="72" spans="1:4" x14ac:dyDescent="0.45">
      <c r="B72" s="1" t="s">
        <v>33</v>
      </c>
      <c r="C72" s="163">
        <v>40</v>
      </c>
      <c r="D72" s="164">
        <v>4206</v>
      </c>
    </row>
    <row r="73" spans="1:4" x14ac:dyDescent="0.45">
      <c r="B73" s="1" t="s">
        <v>34</v>
      </c>
      <c r="C73" s="163">
        <v>38</v>
      </c>
      <c r="D73" s="164">
        <v>1556</v>
      </c>
    </row>
    <row r="74" spans="1:4" x14ac:dyDescent="0.45">
      <c r="B74" s="1" t="s">
        <v>35</v>
      </c>
      <c r="C74" s="163">
        <v>36</v>
      </c>
      <c r="D74" s="164">
        <v>1497</v>
      </c>
    </row>
    <row r="75" spans="1:4" x14ac:dyDescent="0.45">
      <c r="B75" s="1" t="s">
        <v>37</v>
      </c>
      <c r="C75" s="163">
        <v>30</v>
      </c>
      <c r="D75" s="164">
        <v>703</v>
      </c>
    </row>
    <row r="76" spans="1:4" x14ac:dyDescent="0.45">
      <c r="A76" t="s">
        <v>51</v>
      </c>
      <c r="B76" s="1" t="s">
        <v>38</v>
      </c>
      <c r="C76" s="163">
        <v>70</v>
      </c>
      <c r="D76" s="164">
        <v>468</v>
      </c>
    </row>
    <row r="77" spans="1:4" x14ac:dyDescent="0.45">
      <c r="B77" s="1" t="s">
        <v>39</v>
      </c>
      <c r="C77" s="163">
        <v>65</v>
      </c>
      <c r="D77" s="164">
        <v>690</v>
      </c>
    </row>
    <row r="78" spans="1:4" x14ac:dyDescent="0.45">
      <c r="B78" s="1" t="s">
        <v>40</v>
      </c>
      <c r="C78" s="163">
        <v>58</v>
      </c>
      <c r="D78" s="164">
        <v>1314</v>
      </c>
    </row>
    <row r="79" spans="1:4" x14ac:dyDescent="0.45">
      <c r="B79" s="1" t="s">
        <v>41</v>
      </c>
      <c r="C79" s="163">
        <v>51</v>
      </c>
      <c r="D79" s="164">
        <v>2032</v>
      </c>
    </row>
    <row r="80" spans="1:4" x14ac:dyDescent="0.45">
      <c r="B80" s="1" t="s">
        <v>42</v>
      </c>
      <c r="C80" s="163">
        <v>45</v>
      </c>
      <c r="D80" s="164">
        <v>1767</v>
      </c>
    </row>
    <row r="81" spans="1:4" x14ac:dyDescent="0.45">
      <c r="B81" s="1" t="s">
        <v>43</v>
      </c>
      <c r="C81" s="163">
        <v>41</v>
      </c>
      <c r="D81" s="164">
        <v>1924</v>
      </c>
    </row>
    <row r="82" spans="1:4" x14ac:dyDescent="0.45">
      <c r="B82" s="1" t="s">
        <v>44</v>
      </c>
      <c r="C82" s="163">
        <v>38</v>
      </c>
      <c r="D82" s="164">
        <v>1703</v>
      </c>
    </row>
    <row r="83" spans="1:4" x14ac:dyDescent="0.45">
      <c r="B83" s="1" t="s">
        <v>45</v>
      </c>
      <c r="C83" s="163" t="s">
        <v>250</v>
      </c>
      <c r="D83" s="164" t="s">
        <v>250</v>
      </c>
    </row>
    <row r="84" spans="1:4" x14ac:dyDescent="0.45">
      <c r="B84" s="1" t="s">
        <v>36</v>
      </c>
      <c r="C84" s="163">
        <v>33</v>
      </c>
      <c r="D84" s="164">
        <v>349</v>
      </c>
    </row>
    <row r="85" spans="1:4" x14ac:dyDescent="0.45">
      <c r="A85" t="s">
        <v>50</v>
      </c>
      <c r="B85" s="1" t="s">
        <v>28</v>
      </c>
      <c r="C85" s="163">
        <v>70</v>
      </c>
      <c r="D85" s="164">
        <v>664</v>
      </c>
    </row>
    <row r="86" spans="1:4" x14ac:dyDescent="0.45">
      <c r="B86" s="1" t="s">
        <v>29</v>
      </c>
      <c r="C86" s="163">
        <v>64</v>
      </c>
      <c r="D86" s="164">
        <v>1326</v>
      </c>
    </row>
    <row r="87" spans="1:4" x14ac:dyDescent="0.45">
      <c r="B87" s="1" t="s">
        <v>30</v>
      </c>
      <c r="C87" s="163">
        <v>58</v>
      </c>
      <c r="D87" s="164">
        <v>2151</v>
      </c>
    </row>
    <row r="88" spans="1:4" x14ac:dyDescent="0.45">
      <c r="B88" s="1" t="s">
        <v>31</v>
      </c>
      <c r="C88" s="163">
        <v>52</v>
      </c>
      <c r="D88" s="164">
        <v>2556</v>
      </c>
    </row>
    <row r="89" spans="1:4" x14ac:dyDescent="0.45">
      <c r="B89" s="1" t="s">
        <v>32</v>
      </c>
      <c r="C89" s="163">
        <v>45</v>
      </c>
      <c r="D89" s="164">
        <v>3642</v>
      </c>
    </row>
    <row r="90" spans="1:4" x14ac:dyDescent="0.45">
      <c r="B90" s="1" t="s">
        <v>33</v>
      </c>
      <c r="C90" s="163">
        <v>40</v>
      </c>
      <c r="D90" s="164">
        <v>4210</v>
      </c>
    </row>
    <row r="91" spans="1:4" x14ac:dyDescent="0.45">
      <c r="B91" s="1" t="s">
        <v>34</v>
      </c>
      <c r="C91" s="163">
        <v>39</v>
      </c>
      <c r="D91" s="164">
        <v>312</v>
      </c>
    </row>
    <row r="92" spans="1:4" x14ac:dyDescent="0.45">
      <c r="B92" s="1" t="s">
        <v>35</v>
      </c>
      <c r="C92" s="163">
        <v>37</v>
      </c>
      <c r="D92" s="164">
        <v>1129</v>
      </c>
    </row>
    <row r="93" spans="1:4" x14ac:dyDescent="0.45">
      <c r="B93" s="1" t="s">
        <v>37</v>
      </c>
      <c r="C93" s="163">
        <v>32</v>
      </c>
      <c r="D93" s="164">
        <v>489</v>
      </c>
    </row>
    <row r="94" spans="1:4" x14ac:dyDescent="0.45">
      <c r="A94" t="s">
        <v>63</v>
      </c>
      <c r="B94" s="1" t="s">
        <v>38</v>
      </c>
      <c r="C94" s="163">
        <v>71</v>
      </c>
      <c r="D94" s="164">
        <v>472</v>
      </c>
    </row>
    <row r="95" spans="1:4" x14ac:dyDescent="0.45">
      <c r="B95" s="1" t="s">
        <v>39</v>
      </c>
      <c r="C95" s="163">
        <v>65</v>
      </c>
      <c r="D95" s="164">
        <v>765</v>
      </c>
    </row>
    <row r="96" spans="1:4" x14ac:dyDescent="0.45">
      <c r="B96" s="1" t="s">
        <v>40</v>
      </c>
      <c r="C96" s="163">
        <v>57</v>
      </c>
      <c r="D96" s="164">
        <v>1259</v>
      </c>
    </row>
    <row r="97" spans="1:4" x14ac:dyDescent="0.45">
      <c r="B97" s="1" t="s">
        <v>41</v>
      </c>
      <c r="C97" s="163">
        <v>50</v>
      </c>
      <c r="D97" s="164">
        <v>1690</v>
      </c>
    </row>
    <row r="98" spans="1:4" x14ac:dyDescent="0.45">
      <c r="B98" s="1" t="s">
        <v>42</v>
      </c>
      <c r="C98" s="163">
        <v>44</v>
      </c>
      <c r="D98" s="164">
        <v>2955</v>
      </c>
    </row>
    <row r="99" spans="1:4" x14ac:dyDescent="0.45">
      <c r="B99" s="1" t="s">
        <v>43</v>
      </c>
      <c r="C99" s="163">
        <v>41</v>
      </c>
      <c r="D99" s="164">
        <v>1775</v>
      </c>
    </row>
    <row r="100" spans="1:4" x14ac:dyDescent="0.45">
      <c r="B100" s="1" t="s">
        <v>44</v>
      </c>
      <c r="C100" s="163">
        <v>40</v>
      </c>
      <c r="D100" s="164">
        <v>513</v>
      </c>
    </row>
    <row r="101" spans="1:4" x14ac:dyDescent="0.45">
      <c r="B101" s="1" t="s">
        <v>45</v>
      </c>
      <c r="C101" s="163">
        <v>38</v>
      </c>
      <c r="D101" s="164">
        <v>426</v>
      </c>
    </row>
    <row r="102" spans="1:4" x14ac:dyDescent="0.45">
      <c r="B102" s="1" t="s">
        <v>36</v>
      </c>
      <c r="C102" s="163">
        <v>33</v>
      </c>
      <c r="D102" s="164">
        <v>388</v>
      </c>
    </row>
    <row r="103" spans="1:4" x14ac:dyDescent="0.45">
      <c r="A103" t="s">
        <v>52</v>
      </c>
      <c r="B103" s="1" t="s">
        <v>28</v>
      </c>
      <c r="C103" s="163">
        <v>68</v>
      </c>
      <c r="D103" s="164">
        <v>1362</v>
      </c>
    </row>
    <row r="104" spans="1:4" x14ac:dyDescent="0.45">
      <c r="B104" s="1" t="s">
        <v>29</v>
      </c>
      <c r="C104" s="163">
        <v>64</v>
      </c>
      <c r="D104" s="164">
        <v>2013</v>
      </c>
    </row>
    <row r="105" spans="1:4" x14ac:dyDescent="0.45">
      <c r="B105" s="1" t="s">
        <v>30</v>
      </c>
      <c r="C105" s="163">
        <v>58</v>
      </c>
      <c r="D105" s="164">
        <v>4409</v>
      </c>
    </row>
    <row r="106" spans="1:4" x14ac:dyDescent="0.45">
      <c r="B106" s="1" t="s">
        <v>31</v>
      </c>
      <c r="C106" s="163">
        <v>52</v>
      </c>
      <c r="D106" s="164">
        <v>5828</v>
      </c>
    </row>
    <row r="107" spans="1:4" x14ac:dyDescent="0.45">
      <c r="B107" s="1" t="s">
        <v>32</v>
      </c>
      <c r="C107" s="163">
        <v>46</v>
      </c>
      <c r="D107" s="164">
        <v>5336</v>
      </c>
    </row>
    <row r="108" spans="1:4" x14ac:dyDescent="0.45">
      <c r="B108" s="1" t="s">
        <v>33</v>
      </c>
      <c r="C108" s="163">
        <v>41</v>
      </c>
      <c r="D108" s="164">
        <v>4831</v>
      </c>
    </row>
    <row r="109" spans="1:4" x14ac:dyDescent="0.45">
      <c r="B109" s="1" t="s">
        <v>34</v>
      </c>
      <c r="C109" s="163">
        <v>37</v>
      </c>
      <c r="D109" s="164">
        <v>3721</v>
      </c>
    </row>
    <row r="110" spans="1:4" x14ac:dyDescent="0.45">
      <c r="B110" s="1" t="s">
        <v>35</v>
      </c>
      <c r="C110" s="163">
        <v>36</v>
      </c>
      <c r="D110" s="164">
        <v>1932</v>
      </c>
    </row>
    <row r="111" spans="1:4" x14ac:dyDescent="0.45">
      <c r="B111" s="1" t="s">
        <v>37</v>
      </c>
      <c r="C111" s="163">
        <v>30</v>
      </c>
      <c r="D111" s="164">
        <v>1178</v>
      </c>
    </row>
    <row r="112" spans="1:4" x14ac:dyDescent="0.45">
      <c r="A112" t="s">
        <v>53</v>
      </c>
      <c r="B112" s="1" t="s">
        <v>38</v>
      </c>
      <c r="C112" s="163">
        <v>69</v>
      </c>
      <c r="D112" s="164">
        <v>2577</v>
      </c>
    </row>
    <row r="113" spans="1:4" x14ac:dyDescent="0.45">
      <c r="B113" s="1" t="s">
        <v>39</v>
      </c>
      <c r="C113" s="163">
        <v>64</v>
      </c>
      <c r="D113" s="164">
        <v>4112</v>
      </c>
    </row>
    <row r="114" spans="1:4" x14ac:dyDescent="0.45">
      <c r="B114" s="1" t="s">
        <v>40</v>
      </c>
      <c r="C114" s="163">
        <v>58</v>
      </c>
      <c r="D114" s="164">
        <v>7495</v>
      </c>
    </row>
    <row r="115" spans="1:4" x14ac:dyDescent="0.45">
      <c r="B115" s="1" t="s">
        <v>41</v>
      </c>
      <c r="C115" s="163">
        <v>53</v>
      </c>
      <c r="D115" s="164">
        <v>9298</v>
      </c>
    </row>
    <row r="116" spans="1:4" x14ac:dyDescent="0.45">
      <c r="B116" s="1" t="s">
        <v>42</v>
      </c>
      <c r="C116" s="163">
        <v>46</v>
      </c>
      <c r="D116" s="164">
        <v>12282</v>
      </c>
    </row>
    <row r="117" spans="1:4" x14ac:dyDescent="0.45">
      <c r="B117" s="1" t="s">
        <v>43</v>
      </c>
      <c r="C117" s="163">
        <v>40</v>
      </c>
      <c r="D117" s="164">
        <v>11697</v>
      </c>
    </row>
    <row r="118" spans="1:4" x14ac:dyDescent="0.45">
      <c r="B118" s="1" t="s">
        <v>44</v>
      </c>
      <c r="C118" s="163">
        <v>37</v>
      </c>
      <c r="D118" s="164">
        <v>4432</v>
      </c>
    </row>
    <row r="119" spans="1:4" x14ac:dyDescent="0.45">
      <c r="B119" s="1" t="s">
        <v>45</v>
      </c>
      <c r="C119" s="163">
        <v>36</v>
      </c>
      <c r="D119" s="164">
        <v>4054</v>
      </c>
    </row>
    <row r="120" spans="1:4" x14ac:dyDescent="0.45">
      <c r="B120" s="1" t="s">
        <v>36</v>
      </c>
      <c r="C120" s="163">
        <v>31</v>
      </c>
      <c r="D120" s="164">
        <v>1909</v>
      </c>
    </row>
    <row r="121" spans="1:4" x14ac:dyDescent="0.45">
      <c r="A121" t="s">
        <v>54</v>
      </c>
      <c r="B121" s="1" t="s">
        <v>28</v>
      </c>
      <c r="C121" s="163">
        <v>68</v>
      </c>
      <c r="D121" s="164">
        <v>2363</v>
      </c>
    </row>
    <row r="122" spans="1:4" x14ac:dyDescent="0.45">
      <c r="B122" s="1" t="s">
        <v>29</v>
      </c>
      <c r="C122" s="163">
        <v>64</v>
      </c>
      <c r="D122" s="164">
        <v>3736</v>
      </c>
    </row>
    <row r="123" spans="1:4" x14ac:dyDescent="0.45">
      <c r="B123" s="1" t="s">
        <v>30</v>
      </c>
      <c r="C123" s="163">
        <v>59</v>
      </c>
      <c r="D123" s="164">
        <v>5740</v>
      </c>
    </row>
    <row r="124" spans="1:4" x14ac:dyDescent="0.45">
      <c r="B124" s="1" t="s">
        <v>31</v>
      </c>
      <c r="C124" s="163">
        <v>53</v>
      </c>
      <c r="D124" s="164">
        <v>8005</v>
      </c>
    </row>
    <row r="125" spans="1:4" x14ac:dyDescent="0.45">
      <c r="B125" s="1" t="s">
        <v>32</v>
      </c>
      <c r="C125" s="163">
        <v>46</v>
      </c>
      <c r="D125" s="164">
        <v>10177</v>
      </c>
    </row>
    <row r="126" spans="1:4" x14ac:dyDescent="0.45">
      <c r="B126" s="1" t="s">
        <v>33</v>
      </c>
      <c r="C126" s="163">
        <v>41</v>
      </c>
      <c r="D126" s="164">
        <v>7300</v>
      </c>
    </row>
    <row r="127" spans="1:4" x14ac:dyDescent="0.45">
      <c r="B127" s="1" t="s">
        <v>34</v>
      </c>
      <c r="C127" s="163">
        <v>37</v>
      </c>
      <c r="D127" s="164">
        <v>8162</v>
      </c>
    </row>
    <row r="128" spans="1:4" x14ac:dyDescent="0.45">
      <c r="B128" s="1" t="s">
        <v>35</v>
      </c>
      <c r="C128" s="163">
        <v>35</v>
      </c>
      <c r="D128" s="164">
        <v>1507</v>
      </c>
    </row>
    <row r="129" spans="1:4" x14ac:dyDescent="0.45">
      <c r="B129" s="1" t="s">
        <v>37</v>
      </c>
      <c r="C129" s="163">
        <v>29</v>
      </c>
      <c r="D129" s="164">
        <v>1182</v>
      </c>
    </row>
    <row r="130" spans="1:4" x14ac:dyDescent="0.45">
      <c r="A130" t="s">
        <v>55</v>
      </c>
      <c r="B130" s="1" t="s">
        <v>38</v>
      </c>
      <c r="C130" s="163">
        <v>71</v>
      </c>
      <c r="D130" s="164">
        <v>2176</v>
      </c>
    </row>
    <row r="131" spans="1:4" x14ac:dyDescent="0.45">
      <c r="B131" s="1" t="s">
        <v>39</v>
      </c>
      <c r="C131" s="163">
        <v>63</v>
      </c>
      <c r="D131" s="164">
        <v>4807</v>
      </c>
    </row>
    <row r="132" spans="1:4" x14ac:dyDescent="0.45">
      <c r="B132" s="1" t="s">
        <v>40</v>
      </c>
      <c r="C132" s="163">
        <v>57</v>
      </c>
      <c r="D132" s="164">
        <v>5968</v>
      </c>
    </row>
    <row r="133" spans="1:4" x14ac:dyDescent="0.45">
      <c r="B133" s="1" t="s">
        <v>41</v>
      </c>
      <c r="C133" s="163">
        <v>51</v>
      </c>
      <c r="D133" s="164">
        <v>8513</v>
      </c>
    </row>
    <row r="134" spans="1:4" x14ac:dyDescent="0.45">
      <c r="B134" s="1" t="s">
        <v>42</v>
      </c>
      <c r="C134" s="163">
        <v>46</v>
      </c>
      <c r="D134" s="164">
        <v>10383</v>
      </c>
    </row>
    <row r="135" spans="1:4" x14ac:dyDescent="0.45">
      <c r="B135" s="1" t="s">
        <v>43</v>
      </c>
      <c r="C135" s="163">
        <v>42</v>
      </c>
      <c r="D135" s="164">
        <v>9009</v>
      </c>
    </row>
    <row r="136" spans="1:4" x14ac:dyDescent="0.45">
      <c r="B136" s="1" t="s">
        <v>44</v>
      </c>
      <c r="C136" s="163">
        <v>39</v>
      </c>
      <c r="D136" s="164">
        <v>5051</v>
      </c>
    </row>
    <row r="137" spans="1:4" x14ac:dyDescent="0.45">
      <c r="B137" s="1" t="s">
        <v>45</v>
      </c>
      <c r="C137" s="163">
        <v>36</v>
      </c>
      <c r="D137" s="164">
        <v>3949</v>
      </c>
    </row>
    <row r="138" spans="1:4" x14ac:dyDescent="0.45">
      <c r="B138" s="1" t="s">
        <v>36</v>
      </c>
      <c r="C138" s="163">
        <v>30</v>
      </c>
      <c r="D138" s="164">
        <v>1452</v>
      </c>
    </row>
    <row r="139" spans="1:4" x14ac:dyDescent="0.45">
      <c r="A139" t="s">
        <v>56</v>
      </c>
      <c r="B139" s="1" t="s">
        <v>104</v>
      </c>
      <c r="C139" s="163">
        <v>70</v>
      </c>
      <c r="D139" s="164">
        <v>4419</v>
      </c>
    </row>
    <row r="140" spans="1:4" x14ac:dyDescent="0.45">
      <c r="B140" s="1" t="s">
        <v>29</v>
      </c>
      <c r="C140" s="163">
        <v>64</v>
      </c>
      <c r="D140" s="164">
        <v>7553</v>
      </c>
    </row>
    <row r="141" spans="1:4" x14ac:dyDescent="0.45">
      <c r="B141" s="1" t="s">
        <v>30</v>
      </c>
      <c r="C141" s="163">
        <v>58</v>
      </c>
      <c r="D141" s="164">
        <v>11084</v>
      </c>
    </row>
    <row r="142" spans="1:4" x14ac:dyDescent="0.45">
      <c r="B142" s="1" t="s">
        <v>31</v>
      </c>
      <c r="C142" s="163">
        <v>52</v>
      </c>
      <c r="D142" s="164">
        <v>16165</v>
      </c>
    </row>
    <row r="143" spans="1:4" x14ac:dyDescent="0.45">
      <c r="B143" s="1" t="s">
        <v>32</v>
      </c>
      <c r="C143" s="163">
        <v>46</v>
      </c>
      <c r="D143" s="164">
        <v>22034</v>
      </c>
    </row>
    <row r="144" spans="1:4" x14ac:dyDescent="0.45">
      <c r="B144" s="1" t="s">
        <v>33</v>
      </c>
      <c r="C144" s="163">
        <v>42</v>
      </c>
      <c r="D144" s="164">
        <v>13610</v>
      </c>
    </row>
    <row r="145" spans="1:4" x14ac:dyDescent="0.45">
      <c r="B145" s="1" t="s">
        <v>34</v>
      </c>
      <c r="C145" s="163">
        <v>39</v>
      </c>
      <c r="D145" s="164">
        <v>12097</v>
      </c>
    </row>
    <row r="146" spans="1:4" x14ac:dyDescent="0.45">
      <c r="B146" s="1" t="s">
        <v>35</v>
      </c>
      <c r="C146" s="163">
        <v>35</v>
      </c>
      <c r="D146" s="164">
        <v>6227</v>
      </c>
    </row>
    <row r="147" spans="1:4" x14ac:dyDescent="0.45">
      <c r="B147" s="1" t="s">
        <v>37</v>
      </c>
      <c r="C147" s="163">
        <v>29</v>
      </c>
      <c r="D147" s="164">
        <v>3643</v>
      </c>
    </row>
    <row r="148" spans="1:4" x14ac:dyDescent="0.45">
      <c r="A148" t="s">
        <v>57</v>
      </c>
      <c r="B148" s="1" t="s">
        <v>38</v>
      </c>
      <c r="C148" s="163">
        <v>69</v>
      </c>
      <c r="D148" s="164">
        <v>4091</v>
      </c>
    </row>
    <row r="149" spans="1:4" x14ac:dyDescent="0.45">
      <c r="B149" s="1" t="s">
        <v>39</v>
      </c>
      <c r="C149" s="163">
        <v>65</v>
      </c>
      <c r="D149" s="164">
        <v>4951</v>
      </c>
    </row>
    <row r="150" spans="1:4" x14ac:dyDescent="0.45">
      <c r="B150" s="1" t="s">
        <v>40</v>
      </c>
      <c r="C150" s="163">
        <v>58</v>
      </c>
      <c r="D150" s="164">
        <v>11173</v>
      </c>
    </row>
    <row r="151" spans="1:4" x14ac:dyDescent="0.45">
      <c r="B151" s="1" t="s">
        <v>41</v>
      </c>
      <c r="C151" s="163">
        <v>52</v>
      </c>
      <c r="D151" s="164">
        <v>12779</v>
      </c>
    </row>
    <row r="152" spans="1:4" x14ac:dyDescent="0.45">
      <c r="B152" s="1" t="s">
        <v>42</v>
      </c>
      <c r="C152" s="163">
        <v>45</v>
      </c>
      <c r="D152" s="164">
        <v>18650</v>
      </c>
    </row>
    <row r="153" spans="1:4" x14ac:dyDescent="0.45">
      <c r="B153" s="1" t="s">
        <v>43</v>
      </c>
      <c r="C153" s="163">
        <v>41</v>
      </c>
      <c r="D153" s="164">
        <v>15420</v>
      </c>
    </row>
    <row r="154" spans="1:4" x14ac:dyDescent="0.45">
      <c r="B154" s="1" t="s">
        <v>44</v>
      </c>
      <c r="C154" s="163">
        <v>38</v>
      </c>
      <c r="D154" s="164">
        <v>6408</v>
      </c>
    </row>
    <row r="155" spans="1:4" x14ac:dyDescent="0.45">
      <c r="B155" s="1" t="s">
        <v>45</v>
      </c>
      <c r="C155" s="163">
        <v>37</v>
      </c>
      <c r="D155" s="164">
        <v>6064</v>
      </c>
    </row>
    <row r="156" spans="1:4" x14ac:dyDescent="0.45">
      <c r="B156" s="1" t="s">
        <v>36</v>
      </c>
      <c r="C156" s="163">
        <v>31</v>
      </c>
      <c r="D156" s="164">
        <v>2603</v>
      </c>
    </row>
    <row r="157" spans="1:4" x14ac:dyDescent="0.45">
      <c r="A157" t="s">
        <v>79</v>
      </c>
      <c r="B157" s="1" t="s">
        <v>28</v>
      </c>
      <c r="C157" s="163">
        <v>67</v>
      </c>
      <c r="D157" s="164">
        <v>111</v>
      </c>
    </row>
    <row r="158" spans="1:4" x14ac:dyDescent="0.45">
      <c r="B158" s="1" t="s">
        <v>39</v>
      </c>
      <c r="C158" s="163">
        <v>62</v>
      </c>
      <c r="D158" s="164">
        <v>229</v>
      </c>
    </row>
    <row r="159" spans="1:4" x14ac:dyDescent="0.45">
      <c r="B159" s="1" t="s">
        <v>40</v>
      </c>
      <c r="C159" s="163">
        <v>59</v>
      </c>
      <c r="D159" s="164">
        <v>247</v>
      </c>
    </row>
    <row r="160" spans="1:4" x14ac:dyDescent="0.45">
      <c r="B160" s="1" t="s">
        <v>41</v>
      </c>
      <c r="C160" s="163">
        <v>53</v>
      </c>
      <c r="D160" s="164">
        <v>502</v>
      </c>
    </row>
    <row r="161" spans="1:4" x14ac:dyDescent="0.45">
      <c r="B161" s="1" t="s">
        <v>42</v>
      </c>
      <c r="C161" s="163">
        <v>46</v>
      </c>
      <c r="D161" s="164">
        <v>464</v>
      </c>
    </row>
    <row r="162" spans="1:4" x14ac:dyDescent="0.45">
      <c r="B162" s="1" t="s">
        <v>43</v>
      </c>
      <c r="C162" s="163">
        <v>42</v>
      </c>
      <c r="D162" s="164">
        <v>405</v>
      </c>
    </row>
    <row r="163" spans="1:4" x14ac:dyDescent="0.45">
      <c r="B163" s="1" t="s">
        <v>44</v>
      </c>
      <c r="C163" s="163">
        <v>37</v>
      </c>
      <c r="D163" s="164">
        <v>318</v>
      </c>
    </row>
    <row r="164" spans="1:4" x14ac:dyDescent="0.45">
      <c r="B164" s="1" t="s">
        <v>45</v>
      </c>
      <c r="C164" s="163">
        <v>34</v>
      </c>
      <c r="D164" s="164">
        <v>187</v>
      </c>
    </row>
    <row r="165" spans="1:4" x14ac:dyDescent="0.45">
      <c r="B165" s="1" t="s">
        <v>36</v>
      </c>
      <c r="C165" s="163">
        <v>28</v>
      </c>
      <c r="D165" s="164">
        <v>61</v>
      </c>
    </row>
    <row r="166" spans="1:4" x14ac:dyDescent="0.45">
      <c r="A166" t="s">
        <v>80</v>
      </c>
      <c r="B166" s="1" t="s">
        <v>28</v>
      </c>
      <c r="C166" s="163">
        <v>69</v>
      </c>
      <c r="D166" s="164">
        <v>21</v>
      </c>
    </row>
    <row r="167" spans="1:4" x14ac:dyDescent="0.45">
      <c r="B167" s="1" t="s">
        <v>39</v>
      </c>
      <c r="C167" s="163">
        <v>64</v>
      </c>
      <c r="D167" s="164">
        <v>31</v>
      </c>
    </row>
    <row r="168" spans="1:4" x14ac:dyDescent="0.45">
      <c r="B168" s="1" t="s">
        <v>40</v>
      </c>
      <c r="C168" s="163">
        <v>58</v>
      </c>
      <c r="D168" s="164">
        <v>57</v>
      </c>
    </row>
    <row r="169" spans="1:4" x14ac:dyDescent="0.45">
      <c r="B169" s="1" t="s">
        <v>41</v>
      </c>
      <c r="C169" s="163">
        <v>50</v>
      </c>
      <c r="D169" s="164">
        <v>76</v>
      </c>
    </row>
    <row r="170" spans="1:4" x14ac:dyDescent="0.45">
      <c r="B170" s="1" t="s">
        <v>42</v>
      </c>
      <c r="C170" s="163">
        <v>47</v>
      </c>
      <c r="D170" s="164">
        <v>93</v>
      </c>
    </row>
    <row r="171" spans="1:4" x14ac:dyDescent="0.45">
      <c r="B171" s="1" t="s">
        <v>43</v>
      </c>
      <c r="C171" s="163">
        <v>42</v>
      </c>
      <c r="D171" s="164">
        <v>76</v>
      </c>
    </row>
    <row r="172" spans="1:4" x14ac:dyDescent="0.45">
      <c r="B172" s="1" t="s">
        <v>44</v>
      </c>
      <c r="C172" s="163">
        <v>39</v>
      </c>
      <c r="D172" s="164">
        <v>60</v>
      </c>
    </row>
    <row r="173" spans="1:4" x14ac:dyDescent="0.45">
      <c r="B173" s="1" t="s">
        <v>45</v>
      </c>
      <c r="C173" s="163">
        <v>36</v>
      </c>
      <c r="D173" s="164">
        <v>17</v>
      </c>
    </row>
    <row r="174" spans="1:4" x14ac:dyDescent="0.45">
      <c r="B174" s="1" t="s">
        <v>36</v>
      </c>
      <c r="C174" s="163">
        <v>28</v>
      </c>
      <c r="D174" s="164">
        <v>14</v>
      </c>
    </row>
    <row r="175" spans="1:4" x14ac:dyDescent="0.45">
      <c r="A175" t="s">
        <v>81</v>
      </c>
      <c r="B175" s="1" t="s">
        <v>28</v>
      </c>
      <c r="C175" s="163">
        <v>69</v>
      </c>
      <c r="D175" s="164">
        <v>33</v>
      </c>
    </row>
    <row r="176" spans="1:4" x14ac:dyDescent="0.45">
      <c r="B176" s="1" t="s">
        <v>39</v>
      </c>
      <c r="C176" s="163">
        <v>63</v>
      </c>
      <c r="D176" s="164">
        <v>57</v>
      </c>
    </row>
    <row r="177" spans="1:4" x14ac:dyDescent="0.45">
      <c r="B177" s="1" t="s">
        <v>40</v>
      </c>
      <c r="C177" s="163">
        <v>58</v>
      </c>
      <c r="D177" s="164">
        <v>67</v>
      </c>
    </row>
    <row r="178" spans="1:4" x14ac:dyDescent="0.45">
      <c r="B178" s="1" t="s">
        <v>41</v>
      </c>
      <c r="C178" s="163">
        <v>52</v>
      </c>
      <c r="D178" s="164">
        <v>135</v>
      </c>
    </row>
    <row r="179" spans="1:4" x14ac:dyDescent="0.45">
      <c r="B179" s="1" t="s">
        <v>42</v>
      </c>
      <c r="C179" s="163">
        <v>45</v>
      </c>
      <c r="D179" s="164">
        <v>126</v>
      </c>
    </row>
    <row r="180" spans="1:4" x14ac:dyDescent="0.45">
      <c r="B180" s="1" t="s">
        <v>43</v>
      </c>
      <c r="C180" s="163">
        <v>41</v>
      </c>
      <c r="D180" s="164">
        <v>113</v>
      </c>
    </row>
    <row r="181" spans="1:4" x14ac:dyDescent="0.45">
      <c r="B181" s="1" t="s">
        <v>44</v>
      </c>
      <c r="C181" s="163">
        <v>40</v>
      </c>
      <c r="D181" s="164">
        <v>100</v>
      </c>
    </row>
    <row r="182" spans="1:4" x14ac:dyDescent="0.45">
      <c r="B182" s="1" t="s">
        <v>45</v>
      </c>
      <c r="C182" s="163">
        <v>38</v>
      </c>
      <c r="D182" s="164">
        <v>31</v>
      </c>
    </row>
    <row r="183" spans="1:4" x14ac:dyDescent="0.45">
      <c r="B183" s="1" t="s">
        <v>36</v>
      </c>
      <c r="C183" s="163">
        <v>32</v>
      </c>
      <c r="D183" s="164">
        <v>20</v>
      </c>
    </row>
    <row r="184" spans="1:4" x14ac:dyDescent="0.45">
      <c r="A184" t="s">
        <v>82</v>
      </c>
      <c r="B184" s="1" t="s">
        <v>28</v>
      </c>
      <c r="C184" s="163">
        <v>67</v>
      </c>
      <c r="D184" s="164">
        <v>45</v>
      </c>
    </row>
    <row r="185" spans="1:4" x14ac:dyDescent="0.45">
      <c r="B185" s="1" t="s">
        <v>39</v>
      </c>
      <c r="C185" s="163">
        <v>64</v>
      </c>
      <c r="D185" s="164">
        <v>62</v>
      </c>
    </row>
    <row r="186" spans="1:4" x14ac:dyDescent="0.45">
      <c r="B186" s="1" t="s">
        <v>40</v>
      </c>
      <c r="C186" s="163">
        <v>58</v>
      </c>
      <c r="D186" s="164">
        <v>111</v>
      </c>
    </row>
    <row r="187" spans="1:4" x14ac:dyDescent="0.45">
      <c r="B187" s="1" t="s">
        <v>41</v>
      </c>
      <c r="C187" s="163">
        <v>52</v>
      </c>
      <c r="D187" s="164">
        <v>156</v>
      </c>
    </row>
    <row r="188" spans="1:4" x14ac:dyDescent="0.45">
      <c r="B188" s="1" t="s">
        <v>42</v>
      </c>
      <c r="C188" s="163">
        <v>47</v>
      </c>
      <c r="D188" s="164">
        <v>168</v>
      </c>
    </row>
    <row r="189" spans="1:4" x14ac:dyDescent="0.45">
      <c r="B189" s="1" t="s">
        <v>43</v>
      </c>
      <c r="C189" s="163">
        <v>41</v>
      </c>
      <c r="D189" s="164">
        <v>199</v>
      </c>
    </row>
    <row r="190" spans="1:4" x14ac:dyDescent="0.45">
      <c r="B190" s="1" t="s">
        <v>44</v>
      </c>
      <c r="C190" s="163">
        <v>38</v>
      </c>
      <c r="D190" s="164">
        <v>62</v>
      </c>
    </row>
    <row r="191" spans="1:4" x14ac:dyDescent="0.45">
      <c r="B191" s="1" t="s">
        <v>45</v>
      </c>
      <c r="C191" s="163">
        <v>35</v>
      </c>
      <c r="D191" s="164">
        <v>66</v>
      </c>
    </row>
    <row r="192" spans="1:4" x14ac:dyDescent="0.45">
      <c r="B192" s="1" t="s">
        <v>36</v>
      </c>
      <c r="C192" s="163">
        <v>28</v>
      </c>
      <c r="D192" s="164">
        <v>33</v>
      </c>
    </row>
    <row r="193" spans="1:4" x14ac:dyDescent="0.45">
      <c r="A193" t="s">
        <v>83</v>
      </c>
      <c r="B193" s="1" t="s">
        <v>28</v>
      </c>
      <c r="C193" s="163">
        <v>69</v>
      </c>
      <c r="D193" s="164">
        <v>4</v>
      </c>
    </row>
    <row r="194" spans="1:4" x14ac:dyDescent="0.45">
      <c r="B194" s="1" t="s">
        <v>39</v>
      </c>
      <c r="C194" s="163">
        <v>64</v>
      </c>
      <c r="D194" s="164">
        <v>10</v>
      </c>
    </row>
    <row r="195" spans="1:4" x14ac:dyDescent="0.45">
      <c r="B195" s="1" t="s">
        <v>40</v>
      </c>
      <c r="C195" s="163">
        <v>60</v>
      </c>
      <c r="D195" s="164">
        <v>5</v>
      </c>
    </row>
    <row r="196" spans="1:4" x14ac:dyDescent="0.45">
      <c r="B196" s="1" t="s">
        <v>41</v>
      </c>
      <c r="C196" s="163">
        <v>48</v>
      </c>
      <c r="D196" s="164">
        <v>15</v>
      </c>
    </row>
    <row r="197" spans="1:4" x14ac:dyDescent="0.45">
      <c r="B197" s="1" t="s">
        <v>42</v>
      </c>
      <c r="C197" s="163">
        <v>46</v>
      </c>
      <c r="D197" s="164">
        <v>16</v>
      </c>
    </row>
    <row r="198" spans="1:4" x14ac:dyDescent="0.45">
      <c r="B198" s="1" t="s">
        <v>43</v>
      </c>
      <c r="C198" s="163">
        <v>43</v>
      </c>
      <c r="D198" s="164">
        <v>14</v>
      </c>
    </row>
    <row r="199" spans="1:4" x14ac:dyDescent="0.45">
      <c r="B199" s="1" t="s">
        <v>44</v>
      </c>
      <c r="C199" s="163">
        <v>40</v>
      </c>
      <c r="D199" s="164">
        <v>10</v>
      </c>
    </row>
    <row r="200" spans="1:4" x14ac:dyDescent="0.45">
      <c r="B200" s="1" t="s">
        <v>45</v>
      </c>
      <c r="C200" s="163">
        <v>36</v>
      </c>
      <c r="D200" s="164">
        <v>7</v>
      </c>
    </row>
    <row r="201" spans="1:4" x14ac:dyDescent="0.45">
      <c r="B201" s="1" t="s">
        <v>36</v>
      </c>
      <c r="C201" s="163">
        <v>35</v>
      </c>
      <c r="D201" s="164">
        <v>1</v>
      </c>
    </row>
    <row r="202" spans="1:4" x14ac:dyDescent="0.45">
      <c r="A202" t="s">
        <v>84</v>
      </c>
      <c r="B202" s="1" t="s">
        <v>28</v>
      </c>
      <c r="C202" s="163">
        <v>66</v>
      </c>
      <c r="D202" s="164">
        <v>20</v>
      </c>
    </row>
    <row r="203" spans="1:4" x14ac:dyDescent="0.45">
      <c r="B203" s="1" t="s">
        <v>39</v>
      </c>
      <c r="C203" s="163">
        <v>62</v>
      </c>
      <c r="D203" s="164">
        <v>43</v>
      </c>
    </row>
    <row r="204" spans="1:4" x14ac:dyDescent="0.45">
      <c r="B204" s="1" t="s">
        <v>40</v>
      </c>
      <c r="C204" s="163">
        <v>59</v>
      </c>
      <c r="D204" s="164">
        <v>57</v>
      </c>
    </row>
    <row r="205" spans="1:4" x14ac:dyDescent="0.45">
      <c r="B205" s="1" t="s">
        <v>41</v>
      </c>
      <c r="C205" s="163">
        <v>54</v>
      </c>
      <c r="D205" s="164">
        <v>83</v>
      </c>
    </row>
    <row r="206" spans="1:4" x14ac:dyDescent="0.45">
      <c r="B206" s="1" t="s">
        <v>42</v>
      </c>
      <c r="C206" s="163">
        <v>46</v>
      </c>
      <c r="D206" s="164">
        <v>89</v>
      </c>
    </row>
    <row r="207" spans="1:4" x14ac:dyDescent="0.45">
      <c r="B207" s="1" t="s">
        <v>43</v>
      </c>
      <c r="C207" s="163">
        <v>41</v>
      </c>
      <c r="D207" s="164">
        <v>93</v>
      </c>
    </row>
    <row r="208" spans="1:4" x14ac:dyDescent="0.45">
      <c r="B208" s="1" t="s">
        <v>44</v>
      </c>
      <c r="C208" s="163">
        <v>37</v>
      </c>
      <c r="D208" s="164">
        <v>42</v>
      </c>
    </row>
    <row r="209" spans="1:4" x14ac:dyDescent="0.45">
      <c r="B209" s="1" t="s">
        <v>45</v>
      </c>
      <c r="C209" s="163">
        <v>35</v>
      </c>
      <c r="D209" s="164">
        <v>36</v>
      </c>
    </row>
    <row r="210" spans="1:4" x14ac:dyDescent="0.45">
      <c r="B210" s="1" t="s">
        <v>36</v>
      </c>
      <c r="C210" s="163">
        <v>28</v>
      </c>
      <c r="D210" s="164">
        <v>13</v>
      </c>
    </row>
    <row r="211" spans="1:4" x14ac:dyDescent="0.45">
      <c r="A211" t="s">
        <v>97</v>
      </c>
      <c r="B211" s="1" t="s">
        <v>28</v>
      </c>
      <c r="C211" s="163">
        <v>45</v>
      </c>
      <c r="D211" s="164">
        <v>16</v>
      </c>
    </row>
    <row r="212" spans="1:4" x14ac:dyDescent="0.45">
      <c r="B212" s="1" t="s">
        <v>39</v>
      </c>
      <c r="C212" s="163">
        <v>40</v>
      </c>
      <c r="D212" s="164">
        <v>28</v>
      </c>
    </row>
    <row r="213" spans="1:4" x14ac:dyDescent="0.45">
      <c r="B213" s="1" t="s">
        <v>40</v>
      </c>
      <c r="C213" s="163">
        <v>35</v>
      </c>
      <c r="D213" s="164">
        <v>34</v>
      </c>
    </row>
    <row r="214" spans="1:4" x14ac:dyDescent="0.45">
      <c r="B214" s="1" t="s">
        <v>41</v>
      </c>
      <c r="C214" s="163">
        <v>30</v>
      </c>
      <c r="D214" s="164">
        <v>29</v>
      </c>
    </row>
    <row r="215" spans="1:4" x14ac:dyDescent="0.45">
      <c r="B215" s="1" t="s">
        <v>42</v>
      </c>
      <c r="C215" s="163">
        <v>25</v>
      </c>
      <c r="D215" s="164">
        <v>30</v>
      </c>
    </row>
    <row r="216" spans="1:4" x14ac:dyDescent="0.45">
      <c r="B216" s="1" t="s">
        <v>43</v>
      </c>
      <c r="C216" s="163">
        <v>20</v>
      </c>
      <c r="D216" s="164">
        <v>17</v>
      </c>
    </row>
    <row r="217" spans="1:4" x14ac:dyDescent="0.45">
      <c r="B217" s="1" t="s">
        <v>44</v>
      </c>
      <c r="C217" s="163">
        <v>15</v>
      </c>
      <c r="D217" s="164">
        <v>22</v>
      </c>
    </row>
    <row r="218" spans="1:4" x14ac:dyDescent="0.45">
      <c r="B218" s="1" t="s">
        <v>45</v>
      </c>
      <c r="C218" s="163">
        <v>10</v>
      </c>
      <c r="D218" s="164">
        <v>20</v>
      </c>
    </row>
    <row r="219" spans="1:4" x14ac:dyDescent="0.45">
      <c r="B219" s="1" t="s">
        <v>36</v>
      </c>
      <c r="C219" s="163">
        <v>0</v>
      </c>
      <c r="D219" s="164">
        <v>12</v>
      </c>
    </row>
    <row r="220" spans="1:4" x14ac:dyDescent="0.45">
      <c r="A220" t="s">
        <v>98</v>
      </c>
      <c r="B220" s="1" t="s">
        <v>28</v>
      </c>
      <c r="C220" s="163">
        <v>45</v>
      </c>
      <c r="D220" s="164">
        <v>24</v>
      </c>
    </row>
    <row r="221" spans="1:4" x14ac:dyDescent="0.45">
      <c r="B221" s="1" t="s">
        <v>39</v>
      </c>
      <c r="C221" s="163">
        <v>40</v>
      </c>
      <c r="D221" s="164">
        <v>70</v>
      </c>
    </row>
    <row r="222" spans="1:4" x14ac:dyDescent="0.45">
      <c r="B222" s="1" t="s">
        <v>40</v>
      </c>
      <c r="C222" s="163">
        <v>35</v>
      </c>
      <c r="D222" s="164">
        <v>100</v>
      </c>
    </row>
    <row r="223" spans="1:4" x14ac:dyDescent="0.45">
      <c r="B223" s="1" t="s">
        <v>41</v>
      </c>
      <c r="C223" s="163">
        <v>30</v>
      </c>
      <c r="D223" s="164">
        <v>67</v>
      </c>
    </row>
    <row r="224" spans="1:4" x14ac:dyDescent="0.45">
      <c r="B224" s="1" t="s">
        <v>42</v>
      </c>
      <c r="C224" s="163">
        <v>25</v>
      </c>
      <c r="D224" s="164">
        <v>42</v>
      </c>
    </row>
    <row r="225" spans="1:4" x14ac:dyDescent="0.45">
      <c r="B225" s="1" t="s">
        <v>43</v>
      </c>
      <c r="C225" s="163">
        <v>20</v>
      </c>
      <c r="D225" s="164">
        <v>32</v>
      </c>
    </row>
    <row r="226" spans="1:4" x14ac:dyDescent="0.45">
      <c r="B226" s="1" t="s">
        <v>44</v>
      </c>
      <c r="C226" s="163">
        <v>15</v>
      </c>
      <c r="D226" s="164">
        <v>14</v>
      </c>
    </row>
    <row r="227" spans="1:4" x14ac:dyDescent="0.45">
      <c r="B227" s="1" t="s">
        <v>45</v>
      </c>
      <c r="C227" s="163">
        <v>10</v>
      </c>
      <c r="D227" s="164">
        <v>10</v>
      </c>
    </row>
    <row r="228" spans="1:4" x14ac:dyDescent="0.45">
      <c r="B228" s="1" t="s">
        <v>36</v>
      </c>
      <c r="C228" s="163">
        <v>0</v>
      </c>
      <c r="D228" s="164">
        <v>6</v>
      </c>
    </row>
    <row r="229" spans="1:4" x14ac:dyDescent="0.45">
      <c r="A229" t="s">
        <v>99</v>
      </c>
      <c r="B229" s="1" t="s">
        <v>28</v>
      </c>
      <c r="C229" s="163">
        <v>45</v>
      </c>
      <c r="D229" s="164">
        <v>63</v>
      </c>
    </row>
    <row r="230" spans="1:4" x14ac:dyDescent="0.45">
      <c r="B230" s="1" t="s">
        <v>39</v>
      </c>
      <c r="C230" s="163">
        <v>40</v>
      </c>
      <c r="D230" s="164">
        <v>73</v>
      </c>
    </row>
    <row r="231" spans="1:4" x14ac:dyDescent="0.45">
      <c r="B231" s="1" t="s">
        <v>40</v>
      </c>
      <c r="C231" s="163">
        <v>35</v>
      </c>
      <c r="D231" s="164">
        <v>55</v>
      </c>
    </row>
    <row r="232" spans="1:4" x14ac:dyDescent="0.45">
      <c r="B232" s="1" t="s">
        <v>41</v>
      </c>
      <c r="C232" s="163">
        <v>30</v>
      </c>
      <c r="D232" s="164">
        <v>50</v>
      </c>
    </row>
    <row r="233" spans="1:4" x14ac:dyDescent="0.45">
      <c r="B233" s="1" t="s">
        <v>42</v>
      </c>
      <c r="C233" s="163">
        <v>25</v>
      </c>
      <c r="D233" s="164">
        <v>33</v>
      </c>
    </row>
    <row r="234" spans="1:4" x14ac:dyDescent="0.45">
      <c r="B234" s="1" t="s">
        <v>43</v>
      </c>
      <c r="C234" s="163">
        <v>20</v>
      </c>
      <c r="D234" s="164">
        <v>34</v>
      </c>
    </row>
    <row r="235" spans="1:4" x14ac:dyDescent="0.45">
      <c r="B235" s="1" t="s">
        <v>44</v>
      </c>
      <c r="C235" s="163">
        <v>15</v>
      </c>
      <c r="D235" s="164">
        <v>26</v>
      </c>
    </row>
    <row r="236" spans="1:4" x14ac:dyDescent="0.45">
      <c r="B236" s="1" t="s">
        <v>45</v>
      </c>
      <c r="C236" s="163">
        <v>10</v>
      </c>
      <c r="D236" s="164">
        <v>28</v>
      </c>
    </row>
    <row r="237" spans="1:4" x14ac:dyDescent="0.45">
      <c r="B237" s="1" t="s">
        <v>36</v>
      </c>
      <c r="C237" s="163">
        <v>0</v>
      </c>
      <c r="D237" s="164">
        <v>4</v>
      </c>
    </row>
    <row r="238" spans="1:4" x14ac:dyDescent="0.45">
      <c r="A238" t="s">
        <v>100</v>
      </c>
      <c r="B238" s="1" t="s">
        <v>28</v>
      </c>
      <c r="C238" s="163">
        <v>45</v>
      </c>
      <c r="D238" s="164">
        <v>142</v>
      </c>
    </row>
    <row r="239" spans="1:4" x14ac:dyDescent="0.45">
      <c r="B239" s="1" t="s">
        <v>39</v>
      </c>
      <c r="C239" s="163">
        <v>40</v>
      </c>
      <c r="D239" s="164">
        <v>132</v>
      </c>
    </row>
    <row r="240" spans="1:4" x14ac:dyDescent="0.45">
      <c r="B240" s="1" t="s">
        <v>40</v>
      </c>
      <c r="C240" s="163">
        <v>35</v>
      </c>
      <c r="D240" s="164">
        <v>101</v>
      </c>
    </row>
    <row r="241" spans="1:4" x14ac:dyDescent="0.45">
      <c r="B241" s="1" t="s">
        <v>41</v>
      </c>
      <c r="C241" s="163">
        <v>30</v>
      </c>
      <c r="D241" s="164">
        <v>64</v>
      </c>
    </row>
    <row r="242" spans="1:4" x14ac:dyDescent="0.45">
      <c r="B242" s="1" t="s">
        <v>42</v>
      </c>
      <c r="C242" s="163">
        <v>25</v>
      </c>
      <c r="D242" s="164">
        <v>52</v>
      </c>
    </row>
    <row r="243" spans="1:4" x14ac:dyDescent="0.45">
      <c r="B243" s="1" t="s">
        <v>43</v>
      </c>
      <c r="C243" s="163">
        <v>20</v>
      </c>
      <c r="D243" s="164">
        <v>67</v>
      </c>
    </row>
    <row r="244" spans="1:4" x14ac:dyDescent="0.45">
      <c r="B244" s="1" t="s">
        <v>44</v>
      </c>
      <c r="C244" s="163">
        <v>15</v>
      </c>
      <c r="D244" s="164">
        <v>80</v>
      </c>
    </row>
    <row r="245" spans="1:4" x14ac:dyDescent="0.45">
      <c r="B245" s="1" t="s">
        <v>45</v>
      </c>
      <c r="C245" s="163">
        <v>10</v>
      </c>
      <c r="D245" s="164">
        <v>55</v>
      </c>
    </row>
    <row r="246" spans="1:4" x14ac:dyDescent="0.45">
      <c r="B246" s="1" t="s">
        <v>36</v>
      </c>
      <c r="C246" s="163">
        <v>0</v>
      </c>
      <c r="D246" s="164">
        <v>25</v>
      </c>
    </row>
    <row r="247" spans="1:4" x14ac:dyDescent="0.45">
      <c r="A247" t="s">
        <v>101</v>
      </c>
      <c r="B247" s="1" t="s">
        <v>28</v>
      </c>
      <c r="C247" s="163">
        <v>45</v>
      </c>
      <c r="D247" s="164">
        <v>68</v>
      </c>
    </row>
    <row r="248" spans="1:4" x14ac:dyDescent="0.45">
      <c r="B248" s="1" t="s">
        <v>39</v>
      </c>
      <c r="C248" s="163">
        <v>40</v>
      </c>
      <c r="D248" s="164">
        <v>65</v>
      </c>
    </row>
    <row r="249" spans="1:4" x14ac:dyDescent="0.45">
      <c r="B249" s="1" t="s">
        <v>40</v>
      </c>
      <c r="C249" s="163">
        <v>35</v>
      </c>
      <c r="D249" s="164">
        <v>81</v>
      </c>
    </row>
    <row r="250" spans="1:4" x14ac:dyDescent="0.45">
      <c r="B250" s="1" t="s">
        <v>41</v>
      </c>
      <c r="C250" s="163">
        <v>30</v>
      </c>
      <c r="D250" s="164">
        <v>55</v>
      </c>
    </row>
    <row r="251" spans="1:4" x14ac:dyDescent="0.45">
      <c r="B251" s="1" t="s">
        <v>42</v>
      </c>
      <c r="C251" s="163">
        <v>25</v>
      </c>
      <c r="D251" s="164">
        <v>74</v>
      </c>
    </row>
    <row r="252" spans="1:4" x14ac:dyDescent="0.45">
      <c r="B252" s="1" t="s">
        <v>43</v>
      </c>
      <c r="C252" s="163">
        <v>20</v>
      </c>
      <c r="D252" s="164">
        <v>62</v>
      </c>
    </row>
    <row r="253" spans="1:4" x14ac:dyDescent="0.45">
      <c r="B253" s="1" t="s">
        <v>44</v>
      </c>
      <c r="C253" s="163">
        <v>15</v>
      </c>
      <c r="D253" s="164">
        <v>66</v>
      </c>
    </row>
    <row r="254" spans="1:4" x14ac:dyDescent="0.45">
      <c r="B254" s="1" t="s">
        <v>45</v>
      </c>
      <c r="C254" s="163">
        <v>10</v>
      </c>
      <c r="D254" s="164">
        <v>65</v>
      </c>
    </row>
    <row r="255" spans="1:4" x14ac:dyDescent="0.45">
      <c r="B255" s="1" t="s">
        <v>36</v>
      </c>
      <c r="C255" s="163">
        <v>0</v>
      </c>
      <c r="D255" s="164">
        <v>33</v>
      </c>
    </row>
    <row r="256" spans="1:4" x14ac:dyDescent="0.45">
      <c r="A256" t="s">
        <v>102</v>
      </c>
      <c r="B256" s="1" t="s">
        <v>28</v>
      </c>
      <c r="C256" s="163">
        <v>45</v>
      </c>
      <c r="D256" s="164">
        <v>24</v>
      </c>
    </row>
    <row r="257" spans="1:4" x14ac:dyDescent="0.45">
      <c r="B257" s="1" t="s">
        <v>39</v>
      </c>
      <c r="C257" s="163">
        <v>40</v>
      </c>
      <c r="D257" s="164">
        <v>17</v>
      </c>
    </row>
    <row r="258" spans="1:4" x14ac:dyDescent="0.45">
      <c r="B258" s="1" t="s">
        <v>40</v>
      </c>
      <c r="C258" s="163">
        <v>35</v>
      </c>
      <c r="D258" s="164">
        <v>19</v>
      </c>
    </row>
    <row r="259" spans="1:4" x14ac:dyDescent="0.45">
      <c r="B259" s="1" t="s">
        <v>41</v>
      </c>
      <c r="C259" s="163">
        <v>30</v>
      </c>
      <c r="D259" s="164">
        <v>10</v>
      </c>
    </row>
    <row r="260" spans="1:4" x14ac:dyDescent="0.45">
      <c r="B260" s="1" t="s">
        <v>42</v>
      </c>
      <c r="C260" s="163">
        <v>25</v>
      </c>
      <c r="D260" s="164">
        <v>7</v>
      </c>
    </row>
    <row r="261" spans="1:4" x14ac:dyDescent="0.45">
      <c r="B261" s="1" t="s">
        <v>43</v>
      </c>
      <c r="C261" s="163">
        <v>20</v>
      </c>
      <c r="D261" s="164">
        <v>4</v>
      </c>
    </row>
    <row r="262" spans="1:4" x14ac:dyDescent="0.45">
      <c r="B262" s="1" t="s">
        <v>44</v>
      </c>
      <c r="C262" s="163">
        <v>15</v>
      </c>
      <c r="D262" s="164">
        <v>8</v>
      </c>
    </row>
    <row r="263" spans="1:4" x14ac:dyDescent="0.45">
      <c r="B263" s="1" t="s">
        <v>45</v>
      </c>
      <c r="C263" s="163">
        <v>10</v>
      </c>
      <c r="D263" s="164">
        <v>20</v>
      </c>
    </row>
    <row r="264" spans="1:4" x14ac:dyDescent="0.45">
      <c r="B264" s="1" t="s">
        <v>36</v>
      </c>
      <c r="C264" s="163">
        <v>0</v>
      </c>
      <c r="D264" s="164">
        <v>9</v>
      </c>
    </row>
    <row r="265" spans="1:4" x14ac:dyDescent="0.45">
      <c r="A265" t="s">
        <v>103</v>
      </c>
      <c r="B265" s="1" t="s">
        <v>28</v>
      </c>
      <c r="C265" s="163">
        <v>45</v>
      </c>
      <c r="D265" s="164">
        <v>7</v>
      </c>
    </row>
    <row r="266" spans="1:4" x14ac:dyDescent="0.45">
      <c r="B266" s="1" t="s">
        <v>39</v>
      </c>
      <c r="C266" s="163">
        <v>40</v>
      </c>
      <c r="D266" s="164">
        <v>17</v>
      </c>
    </row>
    <row r="267" spans="1:4" x14ac:dyDescent="0.45">
      <c r="B267" s="1" t="s">
        <v>40</v>
      </c>
      <c r="C267" s="163">
        <v>35</v>
      </c>
      <c r="D267" s="164">
        <v>16</v>
      </c>
    </row>
    <row r="268" spans="1:4" x14ac:dyDescent="0.45">
      <c r="B268" s="1" t="s">
        <v>41</v>
      </c>
      <c r="C268" s="163">
        <v>30</v>
      </c>
      <c r="D268" s="164">
        <v>24</v>
      </c>
    </row>
    <row r="269" spans="1:4" x14ac:dyDescent="0.45">
      <c r="B269" s="1" t="s">
        <v>42</v>
      </c>
      <c r="C269" s="163">
        <v>25</v>
      </c>
      <c r="D269" s="164">
        <v>16</v>
      </c>
    </row>
    <row r="270" spans="1:4" x14ac:dyDescent="0.45">
      <c r="B270" s="1" t="s">
        <v>43</v>
      </c>
      <c r="C270" s="163">
        <v>20</v>
      </c>
      <c r="D270" s="164">
        <v>13</v>
      </c>
    </row>
    <row r="271" spans="1:4" x14ac:dyDescent="0.45">
      <c r="B271" s="1" t="s">
        <v>44</v>
      </c>
      <c r="C271" s="163">
        <v>15</v>
      </c>
      <c r="D271" s="164">
        <v>8</v>
      </c>
    </row>
    <row r="272" spans="1:4" x14ac:dyDescent="0.45">
      <c r="B272" s="1" t="s">
        <v>45</v>
      </c>
      <c r="C272" s="163">
        <v>10</v>
      </c>
      <c r="D272" s="164">
        <v>4</v>
      </c>
    </row>
    <row r="273" spans="2:4" x14ac:dyDescent="0.45">
      <c r="B273" s="1" t="s">
        <v>36</v>
      </c>
      <c r="C273" s="163" t="s">
        <v>250</v>
      </c>
      <c r="D273" s="164" t="s">
        <v>250</v>
      </c>
    </row>
  </sheetData>
  <mergeCells count="1">
    <mergeCell ref="C3:D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J102"/>
  <sheetViews>
    <sheetView workbookViewId="0">
      <selection activeCell="A5" sqref="A5:J96"/>
    </sheetView>
  </sheetViews>
  <sheetFormatPr defaultRowHeight="17" x14ac:dyDescent="0.45"/>
  <sheetData>
    <row r="1" spans="1:10" x14ac:dyDescent="0.45">
      <c r="A1" s="15"/>
    </row>
    <row r="2" spans="1:10" ht="17.5" thickBot="1" x14ac:dyDescent="0.5"/>
    <row r="3" spans="1:10" x14ac:dyDescent="0.45">
      <c r="A3" s="46" t="s">
        <v>11</v>
      </c>
      <c r="B3" s="47"/>
      <c r="C3" s="47"/>
      <c r="D3" s="48"/>
      <c r="F3" s="46" t="s">
        <v>62</v>
      </c>
      <c r="G3" s="47"/>
      <c r="H3" s="47"/>
      <c r="I3" s="48"/>
    </row>
    <row r="4" spans="1:10" x14ac:dyDescent="0.45">
      <c r="A4" s="6" t="s">
        <v>9</v>
      </c>
      <c r="B4" s="1"/>
      <c r="C4" s="1"/>
      <c r="D4" s="7" t="s">
        <v>10</v>
      </c>
      <c r="F4" s="6" t="s">
        <v>9</v>
      </c>
      <c r="G4" s="1"/>
      <c r="H4" s="1"/>
      <c r="I4" s="7" t="s">
        <v>10</v>
      </c>
    </row>
    <row r="5" spans="1:10" x14ac:dyDescent="0.45">
      <c r="A5" s="165">
        <v>147</v>
      </c>
      <c r="B5" s="166">
        <v>107</v>
      </c>
      <c r="C5" s="166">
        <v>84</v>
      </c>
      <c r="D5" s="166">
        <v>201</v>
      </c>
      <c r="E5" s="166">
        <v>201</v>
      </c>
      <c r="F5" s="165">
        <v>153</v>
      </c>
      <c r="G5" s="166">
        <v>753</v>
      </c>
      <c r="H5" s="166">
        <v>193</v>
      </c>
      <c r="I5" s="166">
        <v>960</v>
      </c>
      <c r="J5" s="166">
        <v>960</v>
      </c>
    </row>
    <row r="6" spans="1:10" x14ac:dyDescent="0.45">
      <c r="A6" s="165">
        <v>145</v>
      </c>
      <c r="B6" s="166">
        <v>115</v>
      </c>
      <c r="C6" s="166">
        <v>110</v>
      </c>
      <c r="D6" s="166">
        <v>228</v>
      </c>
      <c r="E6" s="166">
        <v>429</v>
      </c>
      <c r="F6" s="165">
        <v>151</v>
      </c>
      <c r="G6" s="166">
        <v>8</v>
      </c>
      <c r="H6" s="166">
        <v>1</v>
      </c>
      <c r="I6" s="166">
        <v>9</v>
      </c>
      <c r="J6" s="166">
        <v>969</v>
      </c>
    </row>
    <row r="7" spans="1:10" x14ac:dyDescent="0.45">
      <c r="A7" s="165">
        <v>144</v>
      </c>
      <c r="B7" s="166">
        <v>250</v>
      </c>
      <c r="C7" s="166">
        <v>281</v>
      </c>
      <c r="D7" s="166">
        <v>539</v>
      </c>
      <c r="E7" s="166">
        <v>968</v>
      </c>
      <c r="F7" s="165">
        <v>150</v>
      </c>
      <c r="G7" s="166">
        <v>1124</v>
      </c>
      <c r="H7" s="166">
        <v>335</v>
      </c>
      <c r="I7" s="166">
        <v>1478</v>
      </c>
      <c r="J7" s="166">
        <v>2447</v>
      </c>
    </row>
    <row r="8" spans="1:10" x14ac:dyDescent="0.45">
      <c r="A8" s="165">
        <v>143</v>
      </c>
      <c r="B8" s="166">
        <v>266</v>
      </c>
      <c r="C8" s="166">
        <v>329</v>
      </c>
      <c r="D8" s="166">
        <v>608</v>
      </c>
      <c r="E8" s="166">
        <v>1576</v>
      </c>
      <c r="F8" s="165">
        <v>149</v>
      </c>
      <c r="G8" s="166">
        <v>2</v>
      </c>
      <c r="H8" s="166">
        <v>2</v>
      </c>
      <c r="I8" s="166">
        <v>5</v>
      </c>
      <c r="J8" s="166">
        <v>2452</v>
      </c>
    </row>
    <row r="9" spans="1:10" x14ac:dyDescent="0.45">
      <c r="A9" s="165">
        <v>142</v>
      </c>
      <c r="B9" s="166">
        <v>238</v>
      </c>
      <c r="C9" s="166">
        <v>299</v>
      </c>
      <c r="D9" s="166">
        <v>547</v>
      </c>
      <c r="E9" s="166">
        <v>2123</v>
      </c>
      <c r="F9" s="165">
        <v>148</v>
      </c>
      <c r="G9" s="166">
        <v>32</v>
      </c>
      <c r="H9" s="166">
        <v>12</v>
      </c>
      <c r="I9" s="166">
        <v>46</v>
      </c>
      <c r="J9" s="166">
        <v>2498</v>
      </c>
    </row>
    <row r="10" spans="1:10" x14ac:dyDescent="0.45">
      <c r="A10" s="165">
        <v>141</v>
      </c>
      <c r="B10" s="166">
        <v>294</v>
      </c>
      <c r="C10" s="166">
        <v>307</v>
      </c>
      <c r="D10" s="166">
        <v>614</v>
      </c>
      <c r="E10" s="166">
        <v>2737</v>
      </c>
      <c r="F10" s="165">
        <v>147</v>
      </c>
      <c r="G10" s="166">
        <v>196</v>
      </c>
      <c r="H10" s="166">
        <v>59</v>
      </c>
      <c r="I10" s="166">
        <v>258</v>
      </c>
      <c r="J10" s="166">
        <v>2756</v>
      </c>
    </row>
    <row r="11" spans="1:10" x14ac:dyDescent="0.45">
      <c r="A11" s="165">
        <v>140</v>
      </c>
      <c r="B11" s="166">
        <v>477</v>
      </c>
      <c r="C11" s="166">
        <v>553</v>
      </c>
      <c r="D11" s="166">
        <v>1046</v>
      </c>
      <c r="E11" s="166">
        <v>3783</v>
      </c>
      <c r="F11" s="165">
        <v>146</v>
      </c>
      <c r="G11" s="166">
        <v>1506</v>
      </c>
      <c r="H11" s="166">
        <v>597</v>
      </c>
      <c r="I11" s="166">
        <v>2147</v>
      </c>
      <c r="J11" s="166">
        <v>4903</v>
      </c>
    </row>
    <row r="12" spans="1:10" x14ac:dyDescent="0.45">
      <c r="A12" s="165">
        <v>139</v>
      </c>
      <c r="B12" s="166">
        <v>365</v>
      </c>
      <c r="C12" s="166">
        <v>417</v>
      </c>
      <c r="D12" s="166">
        <v>790</v>
      </c>
      <c r="E12" s="166">
        <v>4573</v>
      </c>
      <c r="F12" s="165">
        <v>145</v>
      </c>
      <c r="G12" s="166">
        <v>72</v>
      </c>
      <c r="H12" s="166">
        <v>22</v>
      </c>
      <c r="I12" s="166">
        <v>96</v>
      </c>
      <c r="J12" s="166">
        <v>4999</v>
      </c>
    </row>
    <row r="13" spans="1:10" x14ac:dyDescent="0.45">
      <c r="A13" s="165">
        <v>138</v>
      </c>
      <c r="B13" s="166">
        <v>541</v>
      </c>
      <c r="C13" s="166">
        <v>647</v>
      </c>
      <c r="D13" s="166">
        <v>1211</v>
      </c>
      <c r="E13" s="166">
        <v>5784</v>
      </c>
      <c r="F13" s="165">
        <v>144</v>
      </c>
      <c r="G13" s="166">
        <v>398</v>
      </c>
      <c r="H13" s="166">
        <v>162</v>
      </c>
      <c r="I13" s="166">
        <v>572</v>
      </c>
      <c r="J13" s="166">
        <v>5571</v>
      </c>
    </row>
    <row r="14" spans="1:10" x14ac:dyDescent="0.45">
      <c r="A14" s="165">
        <v>137</v>
      </c>
      <c r="B14" s="166">
        <v>523</v>
      </c>
      <c r="C14" s="166">
        <v>698</v>
      </c>
      <c r="D14" s="166">
        <v>1237</v>
      </c>
      <c r="E14" s="166">
        <v>7021</v>
      </c>
      <c r="F14" s="165">
        <v>143</v>
      </c>
      <c r="G14" s="166">
        <v>2073</v>
      </c>
      <c r="H14" s="166">
        <v>1007</v>
      </c>
      <c r="I14" s="166">
        <v>3125</v>
      </c>
      <c r="J14" s="166">
        <v>8696</v>
      </c>
    </row>
    <row r="15" spans="1:10" x14ac:dyDescent="0.45">
      <c r="A15" s="165">
        <v>136</v>
      </c>
      <c r="B15" s="166">
        <v>557</v>
      </c>
      <c r="C15" s="166">
        <v>705</v>
      </c>
      <c r="D15" s="166">
        <v>1284</v>
      </c>
      <c r="E15" s="166">
        <v>8305</v>
      </c>
      <c r="F15" s="165">
        <v>142</v>
      </c>
      <c r="G15" s="166">
        <v>16</v>
      </c>
      <c r="H15" s="166">
        <v>3</v>
      </c>
      <c r="I15" s="166">
        <v>19</v>
      </c>
      <c r="J15" s="166">
        <v>8715</v>
      </c>
    </row>
    <row r="16" spans="1:10" x14ac:dyDescent="0.45">
      <c r="A16" s="165">
        <v>135</v>
      </c>
      <c r="B16" s="166">
        <v>706</v>
      </c>
      <c r="C16" s="166">
        <v>835</v>
      </c>
      <c r="D16" s="166">
        <v>1569</v>
      </c>
      <c r="E16" s="166">
        <v>9874</v>
      </c>
      <c r="F16" s="165">
        <v>141</v>
      </c>
      <c r="G16" s="166">
        <v>149</v>
      </c>
      <c r="H16" s="166">
        <v>60</v>
      </c>
      <c r="I16" s="166">
        <v>214</v>
      </c>
      <c r="J16" s="166">
        <v>8929</v>
      </c>
    </row>
    <row r="17" spans="1:10" x14ac:dyDescent="0.45">
      <c r="A17" s="165">
        <v>134</v>
      </c>
      <c r="B17" s="166">
        <v>716</v>
      </c>
      <c r="C17" s="166">
        <v>799</v>
      </c>
      <c r="D17" s="166">
        <v>1560</v>
      </c>
      <c r="E17" s="166">
        <v>11434</v>
      </c>
      <c r="F17" s="165">
        <v>140</v>
      </c>
      <c r="G17" s="166">
        <v>779</v>
      </c>
      <c r="H17" s="166">
        <v>352</v>
      </c>
      <c r="I17" s="166">
        <v>1146</v>
      </c>
      <c r="J17" s="166">
        <v>10075</v>
      </c>
    </row>
    <row r="18" spans="1:10" x14ac:dyDescent="0.45">
      <c r="A18" s="165">
        <v>133</v>
      </c>
      <c r="B18" s="166">
        <v>864</v>
      </c>
      <c r="C18" s="166">
        <v>1018</v>
      </c>
      <c r="D18" s="166">
        <v>1914</v>
      </c>
      <c r="E18" s="166">
        <v>13348</v>
      </c>
      <c r="F18" s="165">
        <v>139</v>
      </c>
      <c r="G18" s="166">
        <v>2521</v>
      </c>
      <c r="H18" s="166">
        <v>1486</v>
      </c>
      <c r="I18" s="166">
        <v>4075</v>
      </c>
      <c r="J18" s="166">
        <v>14150</v>
      </c>
    </row>
    <row r="19" spans="1:10" x14ac:dyDescent="0.45">
      <c r="A19" s="165">
        <v>132</v>
      </c>
      <c r="B19" s="166">
        <v>844</v>
      </c>
      <c r="C19" s="166">
        <v>1108</v>
      </c>
      <c r="D19" s="166">
        <v>1989</v>
      </c>
      <c r="E19" s="166">
        <v>15337</v>
      </c>
      <c r="F19" s="165">
        <v>138</v>
      </c>
      <c r="G19" s="166">
        <v>308</v>
      </c>
      <c r="H19" s="166">
        <v>142</v>
      </c>
      <c r="I19" s="166">
        <v>459</v>
      </c>
      <c r="J19" s="166">
        <v>14609</v>
      </c>
    </row>
    <row r="20" spans="1:10" x14ac:dyDescent="0.45">
      <c r="A20" s="165">
        <v>131</v>
      </c>
      <c r="B20" s="166">
        <v>1982</v>
      </c>
      <c r="C20" s="166">
        <v>2328</v>
      </c>
      <c r="D20" s="166">
        <v>4394</v>
      </c>
      <c r="E20" s="166">
        <v>19731</v>
      </c>
      <c r="F20" s="165">
        <v>137</v>
      </c>
      <c r="G20" s="166">
        <v>1240</v>
      </c>
      <c r="H20" s="166">
        <v>657</v>
      </c>
      <c r="I20" s="166">
        <v>1922</v>
      </c>
      <c r="J20" s="166">
        <v>16531</v>
      </c>
    </row>
    <row r="21" spans="1:10" x14ac:dyDescent="0.45">
      <c r="A21" s="165">
        <v>130</v>
      </c>
      <c r="B21" s="166">
        <v>1082</v>
      </c>
      <c r="C21" s="166">
        <v>1294</v>
      </c>
      <c r="D21" s="166">
        <v>2433</v>
      </c>
      <c r="E21" s="166">
        <v>22164</v>
      </c>
      <c r="F21" s="165">
        <v>136</v>
      </c>
      <c r="G21" s="166">
        <v>2457</v>
      </c>
      <c r="H21" s="166">
        <v>1515</v>
      </c>
      <c r="I21" s="166">
        <v>4026</v>
      </c>
      <c r="J21" s="166">
        <v>20557</v>
      </c>
    </row>
    <row r="22" spans="1:10" x14ac:dyDescent="0.45">
      <c r="A22" s="165">
        <v>129</v>
      </c>
      <c r="B22" s="166">
        <v>1190</v>
      </c>
      <c r="C22" s="166">
        <v>1344</v>
      </c>
      <c r="D22" s="166">
        <v>2590</v>
      </c>
      <c r="E22" s="166">
        <v>24754</v>
      </c>
      <c r="F22" s="165">
        <v>135</v>
      </c>
      <c r="G22" s="166">
        <v>110</v>
      </c>
      <c r="H22" s="166">
        <v>44</v>
      </c>
      <c r="I22" s="166">
        <v>157</v>
      </c>
      <c r="J22" s="166">
        <v>20714</v>
      </c>
    </row>
    <row r="23" spans="1:10" x14ac:dyDescent="0.45">
      <c r="A23" s="165">
        <v>128</v>
      </c>
      <c r="B23" s="166">
        <v>1298</v>
      </c>
      <c r="C23" s="166">
        <v>1425</v>
      </c>
      <c r="D23" s="166">
        <v>2770</v>
      </c>
      <c r="E23" s="166">
        <v>27524</v>
      </c>
      <c r="F23" s="165">
        <v>134</v>
      </c>
      <c r="G23" s="166">
        <v>2069</v>
      </c>
      <c r="H23" s="166">
        <v>1249</v>
      </c>
      <c r="I23" s="166">
        <v>3373</v>
      </c>
      <c r="J23" s="166">
        <v>24087</v>
      </c>
    </row>
    <row r="24" spans="1:10" x14ac:dyDescent="0.45">
      <c r="A24" s="165">
        <v>127</v>
      </c>
      <c r="B24" s="166">
        <v>1276</v>
      </c>
      <c r="C24" s="166">
        <v>1491</v>
      </c>
      <c r="D24" s="166">
        <v>2828</v>
      </c>
      <c r="E24" s="166">
        <v>30352</v>
      </c>
      <c r="F24" s="165">
        <v>133</v>
      </c>
      <c r="G24" s="166">
        <v>2041</v>
      </c>
      <c r="H24" s="166">
        <v>1452</v>
      </c>
      <c r="I24" s="166">
        <v>3548</v>
      </c>
      <c r="J24" s="166">
        <v>27635</v>
      </c>
    </row>
    <row r="25" spans="1:10" x14ac:dyDescent="0.45">
      <c r="A25" s="165">
        <v>126</v>
      </c>
      <c r="B25" s="166">
        <v>1287</v>
      </c>
      <c r="C25" s="166">
        <v>1586</v>
      </c>
      <c r="D25" s="166">
        <v>2935</v>
      </c>
      <c r="E25" s="166">
        <v>33287</v>
      </c>
      <c r="F25" s="165">
        <v>132</v>
      </c>
      <c r="G25" s="166">
        <v>226</v>
      </c>
      <c r="H25" s="166">
        <v>119</v>
      </c>
      <c r="I25" s="166">
        <v>347</v>
      </c>
      <c r="J25" s="166">
        <v>27982</v>
      </c>
    </row>
    <row r="26" spans="1:10" x14ac:dyDescent="0.45">
      <c r="A26" s="165">
        <v>125</v>
      </c>
      <c r="B26" s="166">
        <v>1402</v>
      </c>
      <c r="C26" s="166">
        <v>1613</v>
      </c>
      <c r="D26" s="166">
        <v>3087</v>
      </c>
      <c r="E26" s="166">
        <v>36374</v>
      </c>
      <c r="F26" s="165">
        <v>131</v>
      </c>
      <c r="G26" s="166">
        <v>724</v>
      </c>
      <c r="H26" s="166">
        <v>450</v>
      </c>
      <c r="I26" s="166">
        <v>1195</v>
      </c>
      <c r="J26" s="166">
        <v>29177</v>
      </c>
    </row>
    <row r="27" spans="1:10" x14ac:dyDescent="0.45">
      <c r="A27" s="165">
        <v>124</v>
      </c>
      <c r="B27" s="166">
        <v>1431</v>
      </c>
      <c r="C27" s="166">
        <v>1669</v>
      </c>
      <c r="D27" s="166">
        <v>3180</v>
      </c>
      <c r="E27" s="166">
        <v>39554</v>
      </c>
      <c r="F27" s="165">
        <v>130</v>
      </c>
      <c r="G27" s="166">
        <v>1757</v>
      </c>
      <c r="H27" s="166">
        <v>1229</v>
      </c>
      <c r="I27" s="166">
        <v>3047</v>
      </c>
      <c r="J27" s="166">
        <v>32224</v>
      </c>
    </row>
    <row r="28" spans="1:10" x14ac:dyDescent="0.45">
      <c r="A28" s="165">
        <v>123</v>
      </c>
      <c r="B28" s="166">
        <v>1479</v>
      </c>
      <c r="C28" s="166">
        <v>1765</v>
      </c>
      <c r="D28" s="166">
        <v>3300</v>
      </c>
      <c r="E28" s="166">
        <v>42854</v>
      </c>
      <c r="F28" s="165">
        <v>129</v>
      </c>
      <c r="G28" s="166">
        <v>1621</v>
      </c>
      <c r="H28" s="166">
        <v>1208</v>
      </c>
      <c r="I28" s="166">
        <v>2875</v>
      </c>
      <c r="J28" s="166">
        <v>35099</v>
      </c>
    </row>
    <row r="29" spans="1:10" x14ac:dyDescent="0.45">
      <c r="A29" s="165">
        <v>122</v>
      </c>
      <c r="B29" s="166">
        <v>1552</v>
      </c>
      <c r="C29" s="166">
        <v>1966</v>
      </c>
      <c r="D29" s="166">
        <v>3590</v>
      </c>
      <c r="E29" s="166">
        <v>46444</v>
      </c>
      <c r="F29" s="165">
        <v>128</v>
      </c>
      <c r="G29" s="166">
        <v>1377</v>
      </c>
      <c r="H29" s="166">
        <v>888</v>
      </c>
      <c r="I29" s="166">
        <v>2308</v>
      </c>
      <c r="J29" s="166">
        <v>37407</v>
      </c>
    </row>
    <row r="30" spans="1:10" x14ac:dyDescent="0.45">
      <c r="A30" s="165">
        <v>121</v>
      </c>
      <c r="B30" s="166">
        <v>1552</v>
      </c>
      <c r="C30" s="166">
        <v>1909</v>
      </c>
      <c r="D30" s="166">
        <v>3543</v>
      </c>
      <c r="E30" s="166">
        <v>49987</v>
      </c>
      <c r="F30" s="165">
        <v>127</v>
      </c>
      <c r="G30" s="166">
        <v>1779</v>
      </c>
      <c r="H30" s="166">
        <v>1282</v>
      </c>
      <c r="I30" s="166">
        <v>3117</v>
      </c>
      <c r="J30" s="166">
        <v>40524</v>
      </c>
    </row>
    <row r="31" spans="1:10" x14ac:dyDescent="0.45">
      <c r="A31" s="165">
        <v>120</v>
      </c>
      <c r="B31" s="166">
        <v>1654</v>
      </c>
      <c r="C31" s="166">
        <v>1985</v>
      </c>
      <c r="D31" s="166">
        <v>3724</v>
      </c>
      <c r="E31" s="166">
        <v>53711</v>
      </c>
      <c r="F31" s="165">
        <v>126</v>
      </c>
      <c r="G31" s="166">
        <v>1191</v>
      </c>
      <c r="H31" s="166">
        <v>1019</v>
      </c>
      <c r="I31" s="166">
        <v>2258</v>
      </c>
      <c r="J31" s="166">
        <v>42782</v>
      </c>
    </row>
    <row r="32" spans="1:10" x14ac:dyDescent="0.45">
      <c r="A32" s="165">
        <v>119</v>
      </c>
      <c r="B32" s="166">
        <v>1760</v>
      </c>
      <c r="C32" s="166">
        <v>2135</v>
      </c>
      <c r="D32" s="166">
        <v>3959</v>
      </c>
      <c r="E32" s="166">
        <v>57670</v>
      </c>
      <c r="F32" s="165">
        <v>125</v>
      </c>
      <c r="G32" s="166">
        <v>530</v>
      </c>
      <c r="H32" s="166">
        <v>366</v>
      </c>
      <c r="I32" s="166">
        <v>907</v>
      </c>
      <c r="J32" s="166">
        <v>43689</v>
      </c>
    </row>
    <row r="33" spans="1:10" x14ac:dyDescent="0.45">
      <c r="A33" s="165">
        <v>118</v>
      </c>
      <c r="B33" s="166">
        <v>3484</v>
      </c>
      <c r="C33" s="166">
        <v>4244</v>
      </c>
      <c r="D33" s="166">
        <v>7920</v>
      </c>
      <c r="E33" s="166">
        <v>65590</v>
      </c>
      <c r="F33" s="165">
        <v>124</v>
      </c>
      <c r="G33" s="166">
        <v>1219</v>
      </c>
      <c r="H33" s="166">
        <v>989</v>
      </c>
      <c r="I33" s="166">
        <v>2253</v>
      </c>
      <c r="J33" s="166">
        <v>45942</v>
      </c>
    </row>
    <row r="34" spans="1:10" x14ac:dyDescent="0.45">
      <c r="A34" s="165">
        <v>117</v>
      </c>
      <c r="B34" s="166">
        <v>1801</v>
      </c>
      <c r="C34" s="166">
        <v>2293</v>
      </c>
      <c r="D34" s="166">
        <v>4196</v>
      </c>
      <c r="E34" s="166">
        <v>69786</v>
      </c>
      <c r="F34" s="165">
        <v>123</v>
      </c>
      <c r="G34" s="166">
        <v>2432</v>
      </c>
      <c r="H34" s="166">
        <v>2119</v>
      </c>
      <c r="I34" s="166">
        <v>4636</v>
      </c>
      <c r="J34" s="166">
        <v>50578</v>
      </c>
    </row>
    <row r="35" spans="1:10" x14ac:dyDescent="0.45">
      <c r="A35" s="165">
        <v>116</v>
      </c>
      <c r="B35" s="166">
        <v>1854</v>
      </c>
      <c r="C35" s="166">
        <v>2313</v>
      </c>
      <c r="D35" s="166">
        <v>4263</v>
      </c>
      <c r="E35" s="166">
        <v>74049</v>
      </c>
      <c r="F35" s="165">
        <v>122</v>
      </c>
      <c r="G35" s="166">
        <v>801</v>
      </c>
      <c r="H35" s="166">
        <v>626</v>
      </c>
      <c r="I35" s="166">
        <v>1447</v>
      </c>
      <c r="J35" s="166">
        <v>52025</v>
      </c>
    </row>
    <row r="36" spans="1:10" x14ac:dyDescent="0.45">
      <c r="A36" s="165">
        <v>115</v>
      </c>
      <c r="B36" s="166">
        <v>1854</v>
      </c>
      <c r="C36" s="166">
        <v>2274</v>
      </c>
      <c r="D36" s="166">
        <v>4243</v>
      </c>
      <c r="E36" s="166">
        <v>78292</v>
      </c>
      <c r="F36" s="165">
        <v>121</v>
      </c>
      <c r="G36" s="166">
        <v>1323</v>
      </c>
      <c r="H36" s="166">
        <v>1314</v>
      </c>
      <c r="I36" s="166">
        <v>2689</v>
      </c>
      <c r="J36" s="166">
        <v>54714</v>
      </c>
    </row>
    <row r="37" spans="1:10" x14ac:dyDescent="0.45">
      <c r="A37" s="165">
        <v>114</v>
      </c>
      <c r="B37" s="166">
        <v>1964</v>
      </c>
      <c r="C37" s="166">
        <v>2284</v>
      </c>
      <c r="D37" s="166">
        <v>4363</v>
      </c>
      <c r="E37" s="166">
        <v>82655</v>
      </c>
      <c r="F37" s="165">
        <v>120</v>
      </c>
      <c r="G37" s="166">
        <v>1341</v>
      </c>
      <c r="H37" s="166">
        <v>1263</v>
      </c>
      <c r="I37" s="166">
        <v>2654</v>
      </c>
      <c r="J37" s="166">
        <v>57368</v>
      </c>
    </row>
    <row r="38" spans="1:10" x14ac:dyDescent="0.45">
      <c r="A38" s="165">
        <v>113</v>
      </c>
      <c r="B38" s="166">
        <v>1968</v>
      </c>
      <c r="C38" s="166">
        <v>2334</v>
      </c>
      <c r="D38" s="166">
        <v>4396</v>
      </c>
      <c r="E38" s="166">
        <v>87051</v>
      </c>
      <c r="F38" s="165">
        <v>119</v>
      </c>
      <c r="G38" s="166">
        <v>808</v>
      </c>
      <c r="H38" s="166">
        <v>742</v>
      </c>
      <c r="I38" s="166">
        <v>1580</v>
      </c>
      <c r="J38" s="166">
        <v>58948</v>
      </c>
    </row>
    <row r="39" spans="1:10" x14ac:dyDescent="0.45">
      <c r="A39" s="165">
        <v>112</v>
      </c>
      <c r="B39" s="166">
        <v>2058</v>
      </c>
      <c r="C39" s="166">
        <v>2488</v>
      </c>
      <c r="D39" s="166">
        <v>4661</v>
      </c>
      <c r="E39" s="166">
        <v>91712</v>
      </c>
      <c r="F39" s="165">
        <v>118</v>
      </c>
      <c r="G39" s="166">
        <v>1054</v>
      </c>
      <c r="H39" s="166">
        <v>979</v>
      </c>
      <c r="I39" s="166">
        <v>2083</v>
      </c>
      <c r="J39" s="166">
        <v>61031</v>
      </c>
    </row>
    <row r="40" spans="1:10" x14ac:dyDescent="0.45">
      <c r="A40" s="165">
        <v>111</v>
      </c>
      <c r="B40" s="166">
        <v>2109</v>
      </c>
      <c r="C40" s="166">
        <v>2381</v>
      </c>
      <c r="D40" s="166">
        <v>4607</v>
      </c>
      <c r="E40" s="166">
        <v>96319</v>
      </c>
      <c r="F40" s="165">
        <v>117</v>
      </c>
      <c r="G40" s="166">
        <v>2543</v>
      </c>
      <c r="H40" s="166">
        <v>2516</v>
      </c>
      <c r="I40" s="166">
        <v>5174</v>
      </c>
      <c r="J40" s="166">
        <v>66205</v>
      </c>
    </row>
    <row r="41" spans="1:10" x14ac:dyDescent="0.45">
      <c r="A41" s="165">
        <v>110</v>
      </c>
      <c r="B41" s="166">
        <v>2073</v>
      </c>
      <c r="C41" s="166">
        <v>2419</v>
      </c>
      <c r="D41" s="166">
        <v>4605</v>
      </c>
      <c r="E41" s="166">
        <v>100924</v>
      </c>
      <c r="F41" s="165">
        <v>116</v>
      </c>
      <c r="G41" s="166">
        <v>922</v>
      </c>
      <c r="H41" s="166">
        <v>882</v>
      </c>
      <c r="I41" s="166">
        <v>1845</v>
      </c>
      <c r="J41" s="166">
        <v>68050</v>
      </c>
    </row>
    <row r="42" spans="1:10" x14ac:dyDescent="0.45">
      <c r="A42" s="165">
        <v>109</v>
      </c>
      <c r="B42" s="166">
        <v>2112</v>
      </c>
      <c r="C42" s="166">
        <v>2407</v>
      </c>
      <c r="D42" s="166">
        <v>4637</v>
      </c>
      <c r="E42" s="166">
        <v>105561</v>
      </c>
      <c r="F42" s="165">
        <v>115</v>
      </c>
      <c r="G42" s="166">
        <v>1404</v>
      </c>
      <c r="H42" s="166">
        <v>1467</v>
      </c>
      <c r="I42" s="166">
        <v>2935</v>
      </c>
      <c r="J42" s="166">
        <v>70985</v>
      </c>
    </row>
    <row r="43" spans="1:10" x14ac:dyDescent="0.45">
      <c r="A43" s="165">
        <v>108</v>
      </c>
      <c r="B43" s="166">
        <v>2094</v>
      </c>
      <c r="C43" s="166">
        <v>2448</v>
      </c>
      <c r="D43" s="166">
        <v>4674</v>
      </c>
      <c r="E43" s="166">
        <v>110235</v>
      </c>
      <c r="F43" s="165">
        <v>114</v>
      </c>
      <c r="G43" s="166">
        <v>1408</v>
      </c>
      <c r="H43" s="166">
        <v>1479</v>
      </c>
      <c r="I43" s="166">
        <v>2960</v>
      </c>
      <c r="J43" s="166">
        <v>73945</v>
      </c>
    </row>
    <row r="44" spans="1:10" x14ac:dyDescent="0.45">
      <c r="A44" s="165">
        <v>107</v>
      </c>
      <c r="B44" s="166">
        <v>2119</v>
      </c>
      <c r="C44" s="166">
        <v>2504</v>
      </c>
      <c r="D44" s="166">
        <v>4751</v>
      </c>
      <c r="E44" s="166">
        <v>114986</v>
      </c>
      <c r="F44" s="165">
        <v>113</v>
      </c>
      <c r="G44" s="166">
        <v>966</v>
      </c>
      <c r="H44" s="166">
        <v>964</v>
      </c>
      <c r="I44" s="166">
        <v>1964</v>
      </c>
      <c r="J44" s="166">
        <v>75909</v>
      </c>
    </row>
    <row r="45" spans="1:10" x14ac:dyDescent="0.45">
      <c r="A45" s="165">
        <v>106</v>
      </c>
      <c r="B45" s="166">
        <v>2064</v>
      </c>
      <c r="C45" s="166">
        <v>2503</v>
      </c>
      <c r="D45" s="166">
        <v>4678</v>
      </c>
      <c r="E45" s="166">
        <v>119664</v>
      </c>
      <c r="F45" s="165">
        <v>112</v>
      </c>
      <c r="G45" s="166">
        <v>1254</v>
      </c>
      <c r="H45" s="166">
        <v>1376</v>
      </c>
      <c r="I45" s="166">
        <v>2695</v>
      </c>
      <c r="J45" s="166">
        <v>78604</v>
      </c>
    </row>
    <row r="46" spans="1:10" x14ac:dyDescent="0.45">
      <c r="A46" s="165">
        <v>105</v>
      </c>
      <c r="B46" s="166">
        <v>4104</v>
      </c>
      <c r="C46" s="166">
        <v>4821</v>
      </c>
      <c r="D46" s="166">
        <v>9203</v>
      </c>
      <c r="E46" s="166">
        <v>128867</v>
      </c>
      <c r="F46" s="165">
        <v>111</v>
      </c>
      <c r="G46" s="166">
        <v>2770</v>
      </c>
      <c r="H46" s="166">
        <v>3117</v>
      </c>
      <c r="I46" s="166">
        <v>5994</v>
      </c>
      <c r="J46" s="166">
        <v>84598</v>
      </c>
    </row>
    <row r="47" spans="1:10" x14ac:dyDescent="0.45">
      <c r="A47" s="165">
        <v>104</v>
      </c>
      <c r="B47" s="166">
        <v>2049</v>
      </c>
      <c r="C47" s="166">
        <v>2475</v>
      </c>
      <c r="D47" s="166">
        <v>4664</v>
      </c>
      <c r="E47" s="166">
        <v>133531</v>
      </c>
      <c r="F47" s="165">
        <v>110</v>
      </c>
      <c r="G47" s="166">
        <v>1165</v>
      </c>
      <c r="H47" s="166">
        <v>1331</v>
      </c>
      <c r="I47" s="166">
        <v>2557</v>
      </c>
      <c r="J47" s="166">
        <v>87155</v>
      </c>
    </row>
    <row r="48" spans="1:10" x14ac:dyDescent="0.45">
      <c r="A48" s="165">
        <v>103</v>
      </c>
      <c r="B48" s="166">
        <v>1941</v>
      </c>
      <c r="C48" s="166">
        <v>2354</v>
      </c>
      <c r="D48" s="166">
        <v>4407</v>
      </c>
      <c r="E48" s="166">
        <v>137938</v>
      </c>
      <c r="F48" s="165">
        <v>109</v>
      </c>
      <c r="G48" s="166">
        <v>1718</v>
      </c>
      <c r="H48" s="166">
        <v>1915</v>
      </c>
      <c r="I48" s="166">
        <v>3698</v>
      </c>
      <c r="J48" s="166">
        <v>90853</v>
      </c>
    </row>
    <row r="49" spans="1:10" x14ac:dyDescent="0.45">
      <c r="A49" s="165">
        <v>102</v>
      </c>
      <c r="B49" s="166">
        <v>2041</v>
      </c>
      <c r="C49" s="166">
        <v>2460</v>
      </c>
      <c r="D49" s="166">
        <v>4632</v>
      </c>
      <c r="E49" s="166">
        <v>142570</v>
      </c>
      <c r="F49" s="165">
        <v>108</v>
      </c>
      <c r="G49" s="166">
        <v>1392</v>
      </c>
      <c r="H49" s="166">
        <v>1597</v>
      </c>
      <c r="I49" s="166">
        <v>3036</v>
      </c>
      <c r="J49" s="166">
        <v>93889</v>
      </c>
    </row>
    <row r="50" spans="1:10" x14ac:dyDescent="0.45">
      <c r="A50" s="165">
        <v>101</v>
      </c>
      <c r="B50" s="166">
        <v>1933</v>
      </c>
      <c r="C50" s="166">
        <v>2377</v>
      </c>
      <c r="D50" s="166">
        <v>4449</v>
      </c>
      <c r="E50" s="166">
        <v>147019</v>
      </c>
      <c r="F50" s="165">
        <v>107</v>
      </c>
      <c r="G50" s="166">
        <v>1172</v>
      </c>
      <c r="H50" s="166">
        <v>1350</v>
      </c>
      <c r="I50" s="166">
        <v>2571</v>
      </c>
      <c r="J50" s="166">
        <v>96460</v>
      </c>
    </row>
    <row r="51" spans="1:10" x14ac:dyDescent="0.45">
      <c r="A51" s="165">
        <v>100</v>
      </c>
      <c r="B51" s="166">
        <v>1915</v>
      </c>
      <c r="C51" s="166">
        <v>2295</v>
      </c>
      <c r="D51" s="166">
        <v>4349</v>
      </c>
      <c r="E51" s="166">
        <v>151368</v>
      </c>
      <c r="F51" s="165">
        <v>106</v>
      </c>
      <c r="G51" s="166">
        <v>3226</v>
      </c>
      <c r="H51" s="166">
        <v>3815</v>
      </c>
      <c r="I51" s="166">
        <v>7210</v>
      </c>
      <c r="J51" s="166">
        <v>103670</v>
      </c>
    </row>
    <row r="52" spans="1:10" x14ac:dyDescent="0.45">
      <c r="A52" s="165">
        <v>99</v>
      </c>
      <c r="B52" s="166">
        <v>1917</v>
      </c>
      <c r="C52" s="166">
        <v>2303</v>
      </c>
      <c r="D52" s="166">
        <v>4349</v>
      </c>
      <c r="E52" s="166">
        <v>155717</v>
      </c>
      <c r="F52" s="165">
        <v>105</v>
      </c>
      <c r="G52" s="166">
        <v>1258</v>
      </c>
      <c r="H52" s="166">
        <v>1511</v>
      </c>
      <c r="I52" s="166">
        <v>2828</v>
      </c>
      <c r="J52" s="166">
        <v>106498</v>
      </c>
    </row>
    <row r="53" spans="1:10" x14ac:dyDescent="0.45">
      <c r="A53" s="165">
        <v>98</v>
      </c>
      <c r="B53" s="166">
        <v>1847</v>
      </c>
      <c r="C53" s="166">
        <v>2227</v>
      </c>
      <c r="D53" s="166">
        <v>4178</v>
      </c>
      <c r="E53" s="166">
        <v>159895</v>
      </c>
      <c r="F53" s="165">
        <v>104</v>
      </c>
      <c r="G53" s="166">
        <v>1529</v>
      </c>
      <c r="H53" s="166">
        <v>1865</v>
      </c>
      <c r="I53" s="166">
        <v>3462</v>
      </c>
      <c r="J53" s="166">
        <v>109960</v>
      </c>
    </row>
    <row r="54" spans="1:10" x14ac:dyDescent="0.45">
      <c r="A54" s="165">
        <v>97</v>
      </c>
      <c r="B54" s="166">
        <v>1939</v>
      </c>
      <c r="C54" s="166">
        <v>2123</v>
      </c>
      <c r="D54" s="166">
        <v>4193</v>
      </c>
      <c r="E54" s="166">
        <v>164088</v>
      </c>
      <c r="F54" s="165">
        <v>103</v>
      </c>
      <c r="G54" s="166">
        <v>1834</v>
      </c>
      <c r="H54" s="166">
        <v>2200</v>
      </c>
      <c r="I54" s="166">
        <v>4125</v>
      </c>
      <c r="J54" s="166">
        <v>114085</v>
      </c>
    </row>
    <row r="55" spans="1:10" x14ac:dyDescent="0.45">
      <c r="A55" s="165">
        <v>96</v>
      </c>
      <c r="B55" s="166">
        <v>1833</v>
      </c>
      <c r="C55" s="166">
        <v>2121</v>
      </c>
      <c r="D55" s="166">
        <v>4074</v>
      </c>
      <c r="E55" s="166">
        <v>168162</v>
      </c>
      <c r="F55" s="165">
        <v>102</v>
      </c>
      <c r="G55" s="166">
        <v>1364</v>
      </c>
      <c r="H55" s="166">
        <v>1574</v>
      </c>
      <c r="I55" s="166">
        <v>3015</v>
      </c>
      <c r="J55" s="166">
        <v>117100</v>
      </c>
    </row>
    <row r="56" spans="1:10" x14ac:dyDescent="0.45">
      <c r="A56" s="165">
        <v>95</v>
      </c>
      <c r="B56" s="166">
        <v>1713</v>
      </c>
      <c r="C56" s="166">
        <v>2132</v>
      </c>
      <c r="D56" s="166">
        <v>3960</v>
      </c>
      <c r="E56" s="166">
        <v>172122</v>
      </c>
      <c r="F56" s="165">
        <v>101</v>
      </c>
      <c r="G56" s="166">
        <v>1444</v>
      </c>
      <c r="H56" s="166">
        <v>1856</v>
      </c>
      <c r="I56" s="166">
        <v>3383</v>
      </c>
      <c r="J56" s="166">
        <v>120483</v>
      </c>
    </row>
    <row r="57" spans="1:10" x14ac:dyDescent="0.45">
      <c r="A57" s="165">
        <v>94</v>
      </c>
      <c r="B57" s="166">
        <v>1688</v>
      </c>
      <c r="C57" s="166">
        <v>2048</v>
      </c>
      <c r="D57" s="166">
        <v>3843</v>
      </c>
      <c r="E57" s="166">
        <v>175965</v>
      </c>
      <c r="F57" s="165">
        <v>100</v>
      </c>
      <c r="G57" s="166">
        <v>3156</v>
      </c>
      <c r="H57" s="166">
        <v>4043</v>
      </c>
      <c r="I57" s="166">
        <v>7400</v>
      </c>
      <c r="J57" s="166">
        <v>127883</v>
      </c>
    </row>
    <row r="58" spans="1:10" x14ac:dyDescent="0.45">
      <c r="A58" s="165">
        <v>93</v>
      </c>
      <c r="B58" s="166">
        <v>1808</v>
      </c>
      <c r="C58" s="166">
        <v>1948</v>
      </c>
      <c r="D58" s="166">
        <v>3889</v>
      </c>
      <c r="E58" s="166">
        <v>179854</v>
      </c>
      <c r="F58" s="165">
        <v>99</v>
      </c>
      <c r="G58" s="166">
        <v>1311</v>
      </c>
      <c r="H58" s="166">
        <v>1710</v>
      </c>
      <c r="I58" s="166">
        <v>3085</v>
      </c>
      <c r="J58" s="166">
        <v>130968</v>
      </c>
    </row>
    <row r="59" spans="1:10" x14ac:dyDescent="0.45">
      <c r="A59" s="165">
        <v>92</v>
      </c>
      <c r="B59" s="166">
        <v>3369</v>
      </c>
      <c r="C59" s="166">
        <v>3747</v>
      </c>
      <c r="D59" s="166">
        <v>7369</v>
      </c>
      <c r="E59" s="166">
        <v>187223</v>
      </c>
      <c r="F59" s="165">
        <v>98</v>
      </c>
      <c r="G59" s="166">
        <v>1688</v>
      </c>
      <c r="H59" s="166">
        <v>2119</v>
      </c>
      <c r="I59" s="166">
        <v>3901</v>
      </c>
      <c r="J59" s="166">
        <v>134869</v>
      </c>
    </row>
    <row r="60" spans="1:10" x14ac:dyDescent="0.45">
      <c r="A60" s="165">
        <v>91</v>
      </c>
      <c r="B60" s="166">
        <v>1580</v>
      </c>
      <c r="C60" s="166">
        <v>1799</v>
      </c>
      <c r="D60" s="166">
        <v>3510</v>
      </c>
      <c r="E60" s="166">
        <v>190733</v>
      </c>
      <c r="F60" s="165">
        <v>97</v>
      </c>
      <c r="G60" s="166">
        <v>1507</v>
      </c>
      <c r="H60" s="166">
        <v>1827</v>
      </c>
      <c r="I60" s="166">
        <v>3426</v>
      </c>
      <c r="J60" s="166">
        <v>138295</v>
      </c>
    </row>
    <row r="61" spans="1:10" x14ac:dyDescent="0.45">
      <c r="A61" s="165">
        <v>90</v>
      </c>
      <c r="B61" s="166">
        <v>1617</v>
      </c>
      <c r="C61" s="166">
        <v>1819</v>
      </c>
      <c r="D61" s="166">
        <v>3539</v>
      </c>
      <c r="E61" s="166">
        <v>194272</v>
      </c>
      <c r="F61" s="165">
        <v>96</v>
      </c>
      <c r="G61" s="166">
        <v>1325</v>
      </c>
      <c r="H61" s="166">
        <v>1744</v>
      </c>
      <c r="I61" s="166">
        <v>3153</v>
      </c>
      <c r="J61" s="166">
        <v>141448</v>
      </c>
    </row>
    <row r="62" spans="1:10" x14ac:dyDescent="0.45">
      <c r="A62" s="165">
        <v>89</v>
      </c>
      <c r="B62" s="166">
        <v>1577</v>
      </c>
      <c r="C62" s="166">
        <v>1675</v>
      </c>
      <c r="D62" s="166">
        <v>3373</v>
      </c>
      <c r="E62" s="166">
        <v>197645</v>
      </c>
      <c r="F62" s="165">
        <v>95</v>
      </c>
      <c r="G62" s="166">
        <v>3011</v>
      </c>
      <c r="H62" s="166">
        <v>3911</v>
      </c>
      <c r="I62" s="166">
        <v>7093</v>
      </c>
      <c r="J62" s="166">
        <v>148541</v>
      </c>
    </row>
    <row r="63" spans="1:10" x14ac:dyDescent="0.45">
      <c r="A63" s="165">
        <v>88</v>
      </c>
      <c r="B63" s="166">
        <v>1585</v>
      </c>
      <c r="C63" s="166">
        <v>1719</v>
      </c>
      <c r="D63" s="166">
        <v>3424</v>
      </c>
      <c r="E63" s="166">
        <v>201069</v>
      </c>
      <c r="F63" s="165">
        <v>94</v>
      </c>
      <c r="G63" s="166">
        <v>1489</v>
      </c>
      <c r="H63" s="166">
        <v>1869</v>
      </c>
      <c r="I63" s="166">
        <v>3421</v>
      </c>
      <c r="J63" s="166">
        <v>151962</v>
      </c>
    </row>
    <row r="64" spans="1:10" x14ac:dyDescent="0.45">
      <c r="A64" s="165">
        <v>87</v>
      </c>
      <c r="B64" s="166">
        <v>1584</v>
      </c>
      <c r="C64" s="166">
        <v>1570</v>
      </c>
      <c r="D64" s="166">
        <v>3270</v>
      </c>
      <c r="E64" s="166">
        <v>204339</v>
      </c>
      <c r="F64" s="165">
        <v>93</v>
      </c>
      <c r="G64" s="166">
        <v>1655</v>
      </c>
      <c r="H64" s="166">
        <v>2043</v>
      </c>
      <c r="I64" s="166">
        <v>3803</v>
      </c>
      <c r="J64" s="166">
        <v>155765</v>
      </c>
    </row>
    <row r="65" spans="1:10" x14ac:dyDescent="0.45">
      <c r="A65" s="165">
        <v>86</v>
      </c>
      <c r="B65" s="166">
        <v>1606</v>
      </c>
      <c r="C65" s="166">
        <v>1583</v>
      </c>
      <c r="D65" s="166">
        <v>3311</v>
      </c>
      <c r="E65" s="166">
        <v>207650</v>
      </c>
      <c r="F65" s="165">
        <v>92</v>
      </c>
      <c r="G65" s="166">
        <v>1605</v>
      </c>
      <c r="H65" s="166">
        <v>2045</v>
      </c>
      <c r="I65" s="166">
        <v>3740</v>
      </c>
      <c r="J65" s="166">
        <v>159505</v>
      </c>
    </row>
    <row r="66" spans="1:10" x14ac:dyDescent="0.45">
      <c r="A66" s="165">
        <v>85</v>
      </c>
      <c r="B66" s="166">
        <v>1674</v>
      </c>
      <c r="C66" s="166">
        <v>1494</v>
      </c>
      <c r="D66" s="166">
        <v>3331</v>
      </c>
      <c r="E66" s="166">
        <v>210981</v>
      </c>
      <c r="F66" s="165">
        <v>91</v>
      </c>
      <c r="G66" s="166">
        <v>1596</v>
      </c>
      <c r="H66" s="166">
        <v>2048</v>
      </c>
      <c r="I66" s="166">
        <v>3744</v>
      </c>
      <c r="J66" s="166">
        <v>163249</v>
      </c>
    </row>
    <row r="67" spans="1:10" x14ac:dyDescent="0.45">
      <c r="A67" s="165">
        <v>84</v>
      </c>
      <c r="B67" s="166">
        <v>1705</v>
      </c>
      <c r="C67" s="166">
        <v>1531</v>
      </c>
      <c r="D67" s="166">
        <v>3396</v>
      </c>
      <c r="E67" s="166">
        <v>214377</v>
      </c>
      <c r="F67" s="165">
        <v>90</v>
      </c>
      <c r="G67" s="166">
        <v>1827</v>
      </c>
      <c r="H67" s="166">
        <v>2133</v>
      </c>
      <c r="I67" s="166">
        <v>4069</v>
      </c>
      <c r="J67" s="166">
        <v>167318</v>
      </c>
    </row>
    <row r="68" spans="1:10" x14ac:dyDescent="0.45">
      <c r="A68" s="165">
        <v>83</v>
      </c>
      <c r="B68" s="166">
        <v>1813</v>
      </c>
      <c r="C68" s="166">
        <v>1574</v>
      </c>
      <c r="D68" s="166">
        <v>3574</v>
      </c>
      <c r="E68" s="166">
        <v>217951</v>
      </c>
      <c r="F68" s="165">
        <v>89</v>
      </c>
      <c r="G68" s="166">
        <v>3629</v>
      </c>
      <c r="H68" s="166">
        <v>4580</v>
      </c>
      <c r="I68" s="166">
        <v>8444</v>
      </c>
      <c r="J68" s="166">
        <v>175762</v>
      </c>
    </row>
    <row r="69" spans="1:10" x14ac:dyDescent="0.45">
      <c r="A69" s="165">
        <v>82</v>
      </c>
      <c r="B69" s="166">
        <v>1840</v>
      </c>
      <c r="C69" s="166">
        <v>1487</v>
      </c>
      <c r="D69" s="166">
        <v>3484</v>
      </c>
      <c r="E69" s="166">
        <v>221435</v>
      </c>
      <c r="F69" s="165">
        <v>88</v>
      </c>
      <c r="G69" s="166">
        <v>1989</v>
      </c>
      <c r="H69" s="166">
        <v>2403</v>
      </c>
      <c r="I69" s="166">
        <v>4531</v>
      </c>
      <c r="J69" s="166">
        <v>180293</v>
      </c>
    </row>
    <row r="70" spans="1:10" x14ac:dyDescent="0.45">
      <c r="A70" s="165">
        <v>81</v>
      </c>
      <c r="B70" s="166">
        <v>3005</v>
      </c>
      <c r="C70" s="166">
        <v>2077</v>
      </c>
      <c r="D70" s="166">
        <v>5442</v>
      </c>
      <c r="E70" s="166">
        <v>226877</v>
      </c>
      <c r="F70" s="165">
        <v>87</v>
      </c>
      <c r="G70" s="166">
        <v>2210</v>
      </c>
      <c r="H70" s="166">
        <v>2526</v>
      </c>
      <c r="I70" s="166">
        <v>4883</v>
      </c>
      <c r="J70" s="166">
        <v>185176</v>
      </c>
    </row>
    <row r="71" spans="1:10" x14ac:dyDescent="0.45">
      <c r="A71" s="165">
        <v>80</v>
      </c>
      <c r="B71" s="166">
        <v>1893</v>
      </c>
      <c r="C71" s="166">
        <v>1450</v>
      </c>
      <c r="D71" s="166">
        <v>3513</v>
      </c>
      <c r="E71" s="166">
        <v>230390</v>
      </c>
      <c r="F71" s="165">
        <v>86</v>
      </c>
      <c r="G71" s="166">
        <v>2468</v>
      </c>
      <c r="H71" s="166">
        <v>2883</v>
      </c>
      <c r="I71" s="166">
        <v>5513</v>
      </c>
      <c r="J71" s="166">
        <v>190689</v>
      </c>
    </row>
    <row r="72" spans="1:10" x14ac:dyDescent="0.45">
      <c r="A72" s="165">
        <v>79</v>
      </c>
      <c r="B72" s="166">
        <v>3860</v>
      </c>
      <c r="C72" s="166">
        <v>2714</v>
      </c>
      <c r="D72" s="166">
        <v>6978</v>
      </c>
      <c r="E72" s="166">
        <v>237368</v>
      </c>
      <c r="F72" s="165">
        <v>85</v>
      </c>
      <c r="G72" s="166">
        <v>3176</v>
      </c>
      <c r="H72" s="166">
        <v>3540</v>
      </c>
      <c r="I72" s="166">
        <v>6963</v>
      </c>
      <c r="J72" s="166">
        <v>197652</v>
      </c>
    </row>
    <row r="73" spans="1:10" x14ac:dyDescent="0.45">
      <c r="A73" s="165">
        <v>78</v>
      </c>
      <c r="B73" s="166">
        <v>2225</v>
      </c>
      <c r="C73" s="166">
        <v>1359</v>
      </c>
      <c r="D73" s="166">
        <v>3831</v>
      </c>
      <c r="E73" s="166">
        <v>241199</v>
      </c>
      <c r="F73" s="165">
        <v>84</v>
      </c>
      <c r="G73" s="166">
        <v>5052</v>
      </c>
      <c r="H73" s="166">
        <v>5815</v>
      </c>
      <c r="I73" s="166">
        <v>11214</v>
      </c>
      <c r="J73" s="166">
        <v>208866</v>
      </c>
    </row>
    <row r="74" spans="1:10" x14ac:dyDescent="0.45">
      <c r="A74" s="165">
        <v>77</v>
      </c>
      <c r="B74" s="166">
        <v>1943</v>
      </c>
      <c r="C74" s="166">
        <v>1296</v>
      </c>
      <c r="D74" s="166">
        <v>3439</v>
      </c>
      <c r="E74" s="166">
        <v>244638</v>
      </c>
      <c r="F74" s="165">
        <v>83</v>
      </c>
      <c r="G74" s="166">
        <v>7297</v>
      </c>
      <c r="H74" s="166">
        <v>6818</v>
      </c>
      <c r="I74" s="166">
        <v>14829</v>
      </c>
      <c r="J74" s="166">
        <v>223695</v>
      </c>
    </row>
    <row r="75" spans="1:10" x14ac:dyDescent="0.45">
      <c r="A75" s="165">
        <v>76</v>
      </c>
      <c r="B75" s="166">
        <v>1997</v>
      </c>
      <c r="C75" s="166">
        <v>1132</v>
      </c>
      <c r="D75" s="166">
        <v>3320</v>
      </c>
      <c r="E75" s="166">
        <v>247958</v>
      </c>
      <c r="F75" s="165">
        <v>82</v>
      </c>
      <c r="G75" s="166">
        <v>3075</v>
      </c>
      <c r="H75" s="166">
        <v>3284</v>
      </c>
      <c r="I75" s="166">
        <v>6626</v>
      </c>
      <c r="J75" s="166">
        <v>230321</v>
      </c>
    </row>
    <row r="76" spans="1:10" x14ac:dyDescent="0.45">
      <c r="A76" s="165">
        <v>75</v>
      </c>
      <c r="B76" s="166">
        <v>2000</v>
      </c>
      <c r="C76" s="166">
        <v>1119</v>
      </c>
      <c r="D76" s="166">
        <v>3357</v>
      </c>
      <c r="E76" s="166">
        <v>251315</v>
      </c>
      <c r="F76" s="165">
        <v>81</v>
      </c>
      <c r="G76" s="166">
        <v>2616</v>
      </c>
      <c r="H76" s="166">
        <v>2720</v>
      </c>
      <c r="I76" s="166">
        <v>5518</v>
      </c>
      <c r="J76" s="166">
        <v>235839</v>
      </c>
    </row>
    <row r="77" spans="1:10" x14ac:dyDescent="0.45">
      <c r="A77" s="165">
        <v>74</v>
      </c>
      <c r="B77" s="166">
        <v>2199</v>
      </c>
      <c r="C77" s="166">
        <v>1097</v>
      </c>
      <c r="D77" s="166">
        <v>3519</v>
      </c>
      <c r="E77" s="166">
        <v>254834</v>
      </c>
      <c r="F77" s="165">
        <v>80</v>
      </c>
      <c r="G77" s="166">
        <v>2046</v>
      </c>
      <c r="H77" s="166">
        <v>2254</v>
      </c>
      <c r="I77" s="166">
        <v>4460</v>
      </c>
      <c r="J77" s="166">
        <v>240299</v>
      </c>
    </row>
    <row r="78" spans="1:10" x14ac:dyDescent="0.45">
      <c r="A78" s="165">
        <v>73</v>
      </c>
      <c r="B78" s="166">
        <v>4304</v>
      </c>
      <c r="C78" s="166">
        <v>2050</v>
      </c>
      <c r="D78" s="166">
        <v>6966</v>
      </c>
      <c r="E78" s="166">
        <v>261800</v>
      </c>
      <c r="F78" s="165">
        <v>79</v>
      </c>
      <c r="G78" s="166">
        <v>12649</v>
      </c>
      <c r="H78" s="166">
        <v>9146</v>
      </c>
      <c r="I78" s="166">
        <v>23011</v>
      </c>
      <c r="J78" s="166">
        <v>263310</v>
      </c>
    </row>
    <row r="79" spans="1:10" x14ac:dyDescent="0.45">
      <c r="A79" s="165">
        <v>72</v>
      </c>
      <c r="B79" s="166">
        <v>7708</v>
      </c>
      <c r="C79" s="166">
        <v>2823</v>
      </c>
      <c r="D79" s="166">
        <v>11716</v>
      </c>
      <c r="E79" s="166">
        <v>273516</v>
      </c>
      <c r="F79" s="165">
        <v>78</v>
      </c>
      <c r="G79" s="166">
        <v>4413</v>
      </c>
      <c r="H79" s="166">
        <v>4149</v>
      </c>
      <c r="I79" s="166">
        <v>8937</v>
      </c>
      <c r="J79" s="166">
        <v>272247</v>
      </c>
    </row>
    <row r="80" spans="1:10" x14ac:dyDescent="0.45">
      <c r="A80" s="165">
        <v>71</v>
      </c>
      <c r="B80" s="166">
        <v>1364</v>
      </c>
      <c r="C80" s="166">
        <v>649</v>
      </c>
      <c r="D80" s="166">
        <v>2176</v>
      </c>
      <c r="E80" s="166">
        <v>275692</v>
      </c>
      <c r="F80" s="165">
        <v>77</v>
      </c>
      <c r="G80" s="166">
        <v>1642</v>
      </c>
      <c r="H80" s="166">
        <v>1524</v>
      </c>
      <c r="I80" s="166">
        <v>3284</v>
      </c>
      <c r="J80" s="166">
        <v>275531</v>
      </c>
    </row>
    <row r="81" spans="1:10" x14ac:dyDescent="0.45">
      <c r="A81" s="165">
        <v>70</v>
      </c>
      <c r="B81" s="166">
        <v>1467</v>
      </c>
      <c r="C81" s="166">
        <v>681</v>
      </c>
      <c r="D81" s="166">
        <v>2323</v>
      </c>
      <c r="E81" s="166">
        <v>278015</v>
      </c>
      <c r="F81" s="165">
        <v>76</v>
      </c>
      <c r="G81" s="166">
        <v>1407</v>
      </c>
      <c r="H81" s="166">
        <v>1253</v>
      </c>
      <c r="I81" s="166">
        <v>2790</v>
      </c>
      <c r="J81" s="166">
        <v>278321</v>
      </c>
    </row>
    <row r="82" spans="1:10" x14ac:dyDescent="0.45">
      <c r="A82" s="165">
        <v>69</v>
      </c>
      <c r="B82" s="166">
        <v>1007</v>
      </c>
      <c r="C82" s="166">
        <v>475</v>
      </c>
      <c r="D82" s="166">
        <v>1600</v>
      </c>
      <c r="E82" s="166">
        <v>279615</v>
      </c>
      <c r="F82" s="165">
        <v>75</v>
      </c>
      <c r="G82" s="166">
        <v>698</v>
      </c>
      <c r="H82" s="166">
        <v>721</v>
      </c>
      <c r="I82" s="166">
        <v>1473</v>
      </c>
      <c r="J82" s="166">
        <v>279794</v>
      </c>
    </row>
    <row r="83" spans="1:10" x14ac:dyDescent="0.45">
      <c r="A83" s="165">
        <v>68</v>
      </c>
      <c r="B83" s="166">
        <v>1087</v>
      </c>
      <c r="C83" s="166">
        <v>465</v>
      </c>
      <c r="D83" s="166">
        <v>1703</v>
      </c>
      <c r="E83" s="166">
        <v>281318</v>
      </c>
      <c r="F83" s="165">
        <v>74</v>
      </c>
      <c r="G83" s="166">
        <v>785</v>
      </c>
      <c r="H83" s="166">
        <v>715</v>
      </c>
      <c r="I83" s="166">
        <v>1563</v>
      </c>
      <c r="J83" s="166">
        <v>281357</v>
      </c>
    </row>
    <row r="84" spans="1:10" x14ac:dyDescent="0.45">
      <c r="A84" s="165">
        <v>67</v>
      </c>
      <c r="B84" s="166">
        <v>812</v>
      </c>
      <c r="C84" s="166">
        <v>354</v>
      </c>
      <c r="D84" s="166">
        <v>1273</v>
      </c>
      <c r="E84" s="166">
        <v>282591</v>
      </c>
      <c r="F84" s="165">
        <v>73</v>
      </c>
      <c r="G84" s="166">
        <v>1045</v>
      </c>
      <c r="H84" s="166">
        <v>961</v>
      </c>
      <c r="I84" s="166">
        <v>2077</v>
      </c>
      <c r="J84" s="166">
        <v>283434</v>
      </c>
    </row>
    <row r="85" spans="1:10" x14ac:dyDescent="0.45">
      <c r="A85" s="165">
        <v>66</v>
      </c>
      <c r="B85" s="166">
        <v>1844</v>
      </c>
      <c r="C85" s="166">
        <v>739</v>
      </c>
      <c r="D85" s="166">
        <v>2845</v>
      </c>
      <c r="E85" s="166">
        <v>285436</v>
      </c>
      <c r="F85" s="165">
        <v>72</v>
      </c>
      <c r="G85" s="166">
        <v>262</v>
      </c>
      <c r="H85" s="166">
        <v>201</v>
      </c>
      <c r="I85" s="166">
        <v>484</v>
      </c>
      <c r="J85" s="166">
        <v>283918</v>
      </c>
    </row>
    <row r="86" spans="1:10" x14ac:dyDescent="0.45">
      <c r="A86" s="165">
        <v>65</v>
      </c>
      <c r="B86" s="166">
        <v>385</v>
      </c>
      <c r="C86" s="166">
        <v>146</v>
      </c>
      <c r="D86" s="166">
        <v>577</v>
      </c>
      <c r="E86" s="166">
        <v>286013</v>
      </c>
      <c r="F86" s="165">
        <v>71</v>
      </c>
      <c r="G86" s="166">
        <v>437</v>
      </c>
      <c r="H86" s="166">
        <v>313</v>
      </c>
      <c r="I86" s="166">
        <v>790</v>
      </c>
      <c r="J86" s="166">
        <v>284708</v>
      </c>
    </row>
    <row r="87" spans="1:10" x14ac:dyDescent="0.45">
      <c r="A87" s="165">
        <v>64</v>
      </c>
      <c r="B87" s="166">
        <v>388</v>
      </c>
      <c r="C87" s="166">
        <v>161</v>
      </c>
      <c r="D87" s="166">
        <v>605</v>
      </c>
      <c r="E87" s="166">
        <v>286618</v>
      </c>
      <c r="F87" s="165">
        <v>70</v>
      </c>
      <c r="G87" s="166">
        <v>160</v>
      </c>
      <c r="H87" s="166">
        <v>89</v>
      </c>
      <c r="I87" s="166">
        <v>262</v>
      </c>
      <c r="J87" s="166">
        <v>284970</v>
      </c>
    </row>
    <row r="88" spans="1:10" x14ac:dyDescent="0.45">
      <c r="A88" s="165">
        <v>63</v>
      </c>
      <c r="B88" s="166">
        <v>180</v>
      </c>
      <c r="C88" s="166">
        <v>62</v>
      </c>
      <c r="D88" s="166">
        <v>272</v>
      </c>
      <c r="E88" s="166">
        <v>286890</v>
      </c>
      <c r="F88" s="165">
        <v>68</v>
      </c>
      <c r="G88" s="166">
        <v>1582</v>
      </c>
      <c r="H88" s="166">
        <v>680</v>
      </c>
      <c r="I88" s="166">
        <v>2491</v>
      </c>
      <c r="J88" s="166">
        <v>287461</v>
      </c>
    </row>
    <row r="89" spans="1:10" x14ac:dyDescent="0.45">
      <c r="A89" s="165">
        <v>62</v>
      </c>
      <c r="B89" s="166">
        <v>293</v>
      </c>
      <c r="C89" s="166">
        <v>98</v>
      </c>
      <c r="D89" s="166">
        <v>427</v>
      </c>
      <c r="E89" s="166">
        <v>287317</v>
      </c>
      <c r="F89" s="165"/>
      <c r="G89" s="166"/>
      <c r="H89" s="166"/>
      <c r="I89" s="166"/>
      <c r="J89" s="166"/>
    </row>
    <row r="90" spans="1:10" x14ac:dyDescent="0.45">
      <c r="A90" s="165">
        <v>61</v>
      </c>
      <c r="B90" s="166">
        <v>98</v>
      </c>
      <c r="C90" s="166">
        <v>23</v>
      </c>
      <c r="D90" s="166">
        <v>126</v>
      </c>
      <c r="E90" s="166">
        <v>287443</v>
      </c>
      <c r="F90" s="165"/>
      <c r="G90" s="166"/>
      <c r="H90" s="166"/>
      <c r="I90" s="166"/>
      <c r="J90" s="166"/>
    </row>
    <row r="91" spans="1:10" x14ac:dyDescent="0.45">
      <c r="A91" s="165">
        <v>60</v>
      </c>
      <c r="B91" s="166">
        <v>164</v>
      </c>
      <c r="C91" s="166">
        <v>52</v>
      </c>
      <c r="D91" s="166">
        <v>231</v>
      </c>
      <c r="E91" s="166">
        <v>287674</v>
      </c>
      <c r="F91" s="165"/>
      <c r="G91" s="166"/>
      <c r="H91" s="166"/>
      <c r="I91" s="166"/>
      <c r="J91" s="166"/>
    </row>
    <row r="92" spans="1:10" x14ac:dyDescent="0.45">
      <c r="A92" s="165">
        <v>59</v>
      </c>
      <c r="B92" s="166">
        <v>27</v>
      </c>
      <c r="C92" s="166">
        <v>15</v>
      </c>
      <c r="D92" s="166">
        <v>44</v>
      </c>
      <c r="E92" s="166">
        <v>287718</v>
      </c>
      <c r="F92" s="165"/>
      <c r="G92" s="166"/>
      <c r="H92" s="166"/>
      <c r="I92" s="166"/>
      <c r="J92" s="166"/>
    </row>
    <row r="93" spans="1:10" x14ac:dyDescent="0.45">
      <c r="A93" s="165">
        <v>58</v>
      </c>
      <c r="B93" s="166">
        <v>77</v>
      </c>
      <c r="C93" s="166">
        <v>33</v>
      </c>
      <c r="D93" s="166">
        <v>124</v>
      </c>
      <c r="E93" s="166">
        <v>287842</v>
      </c>
      <c r="F93" s="165"/>
      <c r="G93" s="166"/>
      <c r="H93" s="166"/>
      <c r="I93" s="166"/>
      <c r="J93" s="166"/>
    </row>
    <row r="94" spans="1:10" x14ac:dyDescent="0.45">
      <c r="A94" s="165">
        <v>57</v>
      </c>
      <c r="B94" s="166">
        <v>4</v>
      </c>
      <c r="C94" s="166">
        <v>4</v>
      </c>
      <c r="D94" s="166">
        <v>10</v>
      </c>
      <c r="E94" s="166">
        <v>287852</v>
      </c>
      <c r="F94" s="165"/>
      <c r="G94" s="166"/>
      <c r="H94" s="166"/>
      <c r="I94" s="166"/>
      <c r="J94" s="166"/>
    </row>
    <row r="95" spans="1:10" x14ac:dyDescent="0.45">
      <c r="A95" s="165">
        <v>56</v>
      </c>
      <c r="B95" s="166">
        <v>80</v>
      </c>
      <c r="C95" s="166">
        <v>33</v>
      </c>
      <c r="D95" s="166">
        <v>129</v>
      </c>
      <c r="E95" s="166">
        <v>287981</v>
      </c>
      <c r="F95" s="165"/>
      <c r="G95" s="166"/>
      <c r="H95" s="166"/>
      <c r="I95" s="166"/>
      <c r="J95" s="166"/>
    </row>
    <row r="96" spans="1:10" x14ac:dyDescent="0.45">
      <c r="A96" s="165">
        <v>54</v>
      </c>
      <c r="B96" s="166">
        <v>1285</v>
      </c>
      <c r="C96" s="166">
        <v>506</v>
      </c>
      <c r="D96" s="166">
        <v>2081</v>
      </c>
      <c r="E96" s="166">
        <v>290062</v>
      </c>
      <c r="F96" s="165"/>
      <c r="G96" s="166"/>
      <c r="H96" s="166"/>
      <c r="I96" s="166"/>
      <c r="J96" s="166"/>
    </row>
    <row r="97" spans="1:9" x14ac:dyDescent="0.45">
      <c r="A97" s="9"/>
      <c r="D97" s="10"/>
      <c r="F97" s="9"/>
      <c r="I97" s="10"/>
    </row>
    <row r="98" spans="1:9" x14ac:dyDescent="0.45">
      <c r="A98" s="9"/>
      <c r="D98" s="10"/>
      <c r="F98" s="9"/>
      <c r="I98" s="10"/>
    </row>
    <row r="99" spans="1:9" x14ac:dyDescent="0.45">
      <c r="A99" s="9"/>
      <c r="D99" s="10"/>
      <c r="F99" s="9"/>
      <c r="I99" s="10"/>
    </row>
    <row r="100" spans="1:9" x14ac:dyDescent="0.45">
      <c r="A100" s="9"/>
      <c r="D100" s="10"/>
      <c r="F100" s="9"/>
      <c r="I100" s="10"/>
    </row>
    <row r="101" spans="1:9" x14ac:dyDescent="0.45">
      <c r="A101" s="9"/>
      <c r="D101" s="10"/>
      <c r="F101" s="9"/>
      <c r="I101" s="10"/>
    </row>
    <row r="102" spans="1:9" ht="17.5" thickBot="1" x14ac:dyDescent="0.5">
      <c r="A102" s="11"/>
      <c r="B102" s="13"/>
      <c r="C102" s="13"/>
      <c r="D102" s="12"/>
      <c r="F102" s="11"/>
      <c r="G102" s="13"/>
      <c r="H102" s="13"/>
      <c r="I1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E877-379A-49E2-992A-061D04B66978}">
  <sheetPr codeName="Sheet4"/>
  <dimension ref="A1:T224"/>
  <sheetViews>
    <sheetView topLeftCell="A207" workbookViewId="0">
      <selection activeCell="A177" sqref="A177:T223"/>
    </sheetView>
  </sheetViews>
  <sheetFormatPr defaultRowHeight="17" x14ac:dyDescent="0.45"/>
  <sheetData>
    <row r="1" spans="1:20" x14ac:dyDescent="0.45">
      <c r="A1" s="15"/>
    </row>
    <row r="2" spans="1:20" ht="17.5" thickBot="1" x14ac:dyDescent="0.5"/>
    <row r="3" spans="1:20" x14ac:dyDescent="0.45">
      <c r="A3" s="46" t="s">
        <v>12</v>
      </c>
      <c r="B3" s="47"/>
      <c r="C3" s="47"/>
      <c r="D3" s="48"/>
      <c r="F3" s="46" t="s">
        <v>13</v>
      </c>
      <c r="G3" s="47"/>
      <c r="H3" s="47"/>
      <c r="I3" s="48"/>
      <c r="K3" s="46" t="s">
        <v>14</v>
      </c>
      <c r="L3" s="47"/>
      <c r="M3" s="47"/>
      <c r="N3" s="48"/>
      <c r="P3" s="46" t="s">
        <v>15</v>
      </c>
      <c r="Q3" s="47"/>
      <c r="R3" s="47"/>
      <c r="S3" s="48"/>
    </row>
    <row r="4" spans="1:20" x14ac:dyDescent="0.45">
      <c r="A4" s="6" t="s">
        <v>9</v>
      </c>
      <c r="B4" s="1"/>
      <c r="C4" s="1"/>
      <c r="D4" s="7" t="s">
        <v>10</v>
      </c>
      <c r="F4" s="6" t="s">
        <v>9</v>
      </c>
      <c r="G4" s="1"/>
      <c r="H4" s="1"/>
      <c r="I4" s="7" t="s">
        <v>10</v>
      </c>
      <c r="K4" s="6" t="s">
        <v>9</v>
      </c>
      <c r="L4" s="1"/>
      <c r="M4" s="1"/>
      <c r="N4" s="7" t="s">
        <v>10</v>
      </c>
      <c r="P4" s="6" t="s">
        <v>9</v>
      </c>
      <c r="Q4" s="1"/>
      <c r="R4" s="1"/>
      <c r="S4" s="7" t="s">
        <v>10</v>
      </c>
    </row>
    <row r="5" spans="1:20" x14ac:dyDescent="0.45">
      <c r="A5" s="167">
        <v>64</v>
      </c>
      <c r="B5" s="168">
        <v>1249</v>
      </c>
      <c r="C5" s="168">
        <v>2467</v>
      </c>
      <c r="D5" s="168">
        <v>3734</v>
      </c>
      <c r="E5" s="168">
        <v>3734</v>
      </c>
      <c r="F5" s="167">
        <v>73</v>
      </c>
      <c r="G5" s="168">
        <v>184</v>
      </c>
      <c r="H5" s="168">
        <v>312</v>
      </c>
      <c r="I5" s="168">
        <v>499</v>
      </c>
      <c r="J5" s="168">
        <v>499</v>
      </c>
      <c r="K5" s="167">
        <v>69</v>
      </c>
      <c r="L5" s="168">
        <v>326</v>
      </c>
      <c r="M5" s="168">
        <v>274</v>
      </c>
      <c r="N5" s="168">
        <v>603</v>
      </c>
      <c r="O5" s="168">
        <v>603</v>
      </c>
      <c r="P5" s="167">
        <v>70</v>
      </c>
      <c r="Q5" s="168">
        <v>259</v>
      </c>
      <c r="R5" s="168">
        <v>235</v>
      </c>
      <c r="S5" s="168">
        <v>497</v>
      </c>
      <c r="T5" s="168">
        <v>497</v>
      </c>
    </row>
    <row r="6" spans="1:20" x14ac:dyDescent="0.45">
      <c r="A6" s="167">
        <v>62</v>
      </c>
      <c r="B6" s="168">
        <v>302</v>
      </c>
      <c r="C6" s="168">
        <v>486</v>
      </c>
      <c r="D6" s="168">
        <v>795</v>
      </c>
      <c r="E6" s="168">
        <v>4529</v>
      </c>
      <c r="F6" s="167">
        <v>71</v>
      </c>
      <c r="G6" s="168">
        <v>109</v>
      </c>
      <c r="H6" s="168">
        <v>191</v>
      </c>
      <c r="I6" s="168">
        <v>302</v>
      </c>
      <c r="J6" s="168">
        <v>801</v>
      </c>
      <c r="K6" s="167">
        <v>67</v>
      </c>
      <c r="L6" s="168">
        <v>197</v>
      </c>
      <c r="M6" s="168">
        <v>162</v>
      </c>
      <c r="N6" s="168">
        <v>367</v>
      </c>
      <c r="O6" s="168">
        <v>970</v>
      </c>
      <c r="P6" s="167">
        <v>69</v>
      </c>
      <c r="Q6" s="168">
        <v>103</v>
      </c>
      <c r="R6" s="168">
        <v>103</v>
      </c>
      <c r="S6" s="168">
        <v>206</v>
      </c>
      <c r="T6" s="168">
        <v>703</v>
      </c>
    </row>
    <row r="7" spans="1:20" x14ac:dyDescent="0.45">
      <c r="A7" s="167">
        <v>61</v>
      </c>
      <c r="B7" s="168">
        <v>1584</v>
      </c>
      <c r="C7" s="168">
        <v>3668</v>
      </c>
      <c r="D7" s="168">
        <v>5285</v>
      </c>
      <c r="E7" s="168">
        <v>9814</v>
      </c>
      <c r="F7" s="167">
        <v>70</v>
      </c>
      <c r="G7" s="168">
        <v>132</v>
      </c>
      <c r="H7" s="168">
        <v>268</v>
      </c>
      <c r="I7" s="168">
        <v>403</v>
      </c>
      <c r="J7" s="168">
        <v>1204</v>
      </c>
      <c r="K7" s="167">
        <v>66</v>
      </c>
      <c r="L7" s="168">
        <v>333</v>
      </c>
      <c r="M7" s="168">
        <v>368</v>
      </c>
      <c r="N7" s="168">
        <v>708</v>
      </c>
      <c r="O7" s="168">
        <v>1678</v>
      </c>
      <c r="P7" s="167">
        <v>68</v>
      </c>
      <c r="Q7" s="168">
        <v>229</v>
      </c>
      <c r="R7" s="168">
        <v>213</v>
      </c>
      <c r="S7" s="168">
        <v>445</v>
      </c>
      <c r="T7" s="168">
        <v>1148</v>
      </c>
    </row>
    <row r="8" spans="1:20" x14ac:dyDescent="0.45">
      <c r="A8" s="167">
        <v>60</v>
      </c>
      <c r="B8" s="168">
        <v>722</v>
      </c>
      <c r="C8" s="168">
        <v>1453</v>
      </c>
      <c r="D8" s="168">
        <v>2191</v>
      </c>
      <c r="E8" s="168">
        <v>12005</v>
      </c>
      <c r="F8" s="167">
        <v>69</v>
      </c>
      <c r="G8" s="168">
        <v>62</v>
      </c>
      <c r="H8" s="168">
        <v>100</v>
      </c>
      <c r="I8" s="168">
        <v>163</v>
      </c>
      <c r="J8" s="168">
        <v>1367</v>
      </c>
      <c r="K8" s="167">
        <v>65</v>
      </c>
      <c r="L8" s="168">
        <v>286</v>
      </c>
      <c r="M8" s="168">
        <v>317</v>
      </c>
      <c r="N8" s="168">
        <v>608</v>
      </c>
      <c r="O8" s="168">
        <v>2286</v>
      </c>
      <c r="P8" s="167">
        <v>67</v>
      </c>
      <c r="Q8" s="168">
        <v>20</v>
      </c>
      <c r="R8" s="168">
        <v>35</v>
      </c>
      <c r="S8" s="168">
        <v>56</v>
      </c>
      <c r="T8" s="168">
        <v>1204</v>
      </c>
    </row>
    <row r="9" spans="1:20" x14ac:dyDescent="0.45">
      <c r="A9" s="167">
        <v>59</v>
      </c>
      <c r="B9" s="168">
        <v>1347</v>
      </c>
      <c r="C9" s="168">
        <v>3358</v>
      </c>
      <c r="D9" s="168">
        <v>4748</v>
      </c>
      <c r="E9" s="168">
        <v>16753</v>
      </c>
      <c r="F9" s="167">
        <v>68</v>
      </c>
      <c r="G9" s="168">
        <v>174</v>
      </c>
      <c r="H9" s="168">
        <v>344</v>
      </c>
      <c r="I9" s="168">
        <v>523</v>
      </c>
      <c r="J9" s="168">
        <v>1890</v>
      </c>
      <c r="K9" s="167">
        <v>64</v>
      </c>
      <c r="L9" s="168">
        <v>174</v>
      </c>
      <c r="M9" s="168">
        <v>281</v>
      </c>
      <c r="N9" s="168">
        <v>462</v>
      </c>
      <c r="O9" s="168">
        <v>2748</v>
      </c>
      <c r="P9" s="167">
        <v>66</v>
      </c>
      <c r="Q9" s="168">
        <v>332</v>
      </c>
      <c r="R9" s="168">
        <v>361</v>
      </c>
      <c r="S9" s="168">
        <v>704</v>
      </c>
      <c r="T9" s="168">
        <v>1908</v>
      </c>
    </row>
    <row r="10" spans="1:20" x14ac:dyDescent="0.45">
      <c r="A10" s="167">
        <v>58</v>
      </c>
      <c r="B10" s="168">
        <v>1297</v>
      </c>
      <c r="C10" s="168">
        <v>2466</v>
      </c>
      <c r="D10" s="168">
        <v>3794</v>
      </c>
      <c r="E10" s="168">
        <v>20547</v>
      </c>
      <c r="F10" s="167">
        <v>67</v>
      </c>
      <c r="G10" s="168">
        <v>207</v>
      </c>
      <c r="H10" s="168">
        <v>491</v>
      </c>
      <c r="I10" s="168">
        <v>702</v>
      </c>
      <c r="J10" s="168">
        <v>2592</v>
      </c>
      <c r="K10" s="167">
        <v>63</v>
      </c>
      <c r="L10" s="168">
        <v>162</v>
      </c>
      <c r="M10" s="168">
        <v>165</v>
      </c>
      <c r="N10" s="168">
        <v>329</v>
      </c>
      <c r="O10" s="168">
        <v>3077</v>
      </c>
      <c r="P10" s="167">
        <v>65</v>
      </c>
      <c r="Q10" s="168">
        <v>77</v>
      </c>
      <c r="R10" s="168">
        <v>82</v>
      </c>
      <c r="S10" s="168">
        <v>162</v>
      </c>
      <c r="T10" s="168">
        <v>2070</v>
      </c>
    </row>
    <row r="11" spans="1:20" x14ac:dyDescent="0.45">
      <c r="A11" s="167">
        <v>57</v>
      </c>
      <c r="B11" s="168">
        <v>1016</v>
      </c>
      <c r="C11" s="168">
        <v>2671</v>
      </c>
      <c r="D11" s="168">
        <v>3717</v>
      </c>
      <c r="E11" s="168">
        <v>24264</v>
      </c>
      <c r="F11" s="167">
        <v>66</v>
      </c>
      <c r="G11" s="168">
        <v>156</v>
      </c>
      <c r="H11" s="168">
        <v>408</v>
      </c>
      <c r="I11" s="168">
        <v>573</v>
      </c>
      <c r="J11" s="168">
        <v>3165</v>
      </c>
      <c r="K11" s="167">
        <v>62</v>
      </c>
      <c r="L11" s="168">
        <v>450</v>
      </c>
      <c r="M11" s="168">
        <v>581</v>
      </c>
      <c r="N11" s="168">
        <v>1041</v>
      </c>
      <c r="O11" s="168">
        <v>4118</v>
      </c>
      <c r="P11" s="167">
        <v>64</v>
      </c>
      <c r="Q11" s="168">
        <v>188</v>
      </c>
      <c r="R11" s="168">
        <v>199</v>
      </c>
      <c r="S11" s="168">
        <v>388</v>
      </c>
      <c r="T11" s="168">
        <v>2458</v>
      </c>
    </row>
    <row r="12" spans="1:20" x14ac:dyDescent="0.45">
      <c r="A12" s="167">
        <v>56</v>
      </c>
      <c r="B12" s="168">
        <v>1486</v>
      </c>
      <c r="C12" s="168">
        <v>3035</v>
      </c>
      <c r="D12" s="168">
        <v>4563</v>
      </c>
      <c r="E12" s="168">
        <v>28827</v>
      </c>
      <c r="F12" s="167">
        <v>65</v>
      </c>
      <c r="G12" s="168">
        <v>117</v>
      </c>
      <c r="H12" s="168">
        <v>304</v>
      </c>
      <c r="I12" s="168">
        <v>422</v>
      </c>
      <c r="J12" s="168">
        <v>3587</v>
      </c>
      <c r="K12" s="167">
        <v>61</v>
      </c>
      <c r="L12" s="168">
        <v>208</v>
      </c>
      <c r="M12" s="168">
        <v>257</v>
      </c>
      <c r="N12" s="168">
        <v>472</v>
      </c>
      <c r="O12" s="168">
        <v>4590</v>
      </c>
      <c r="P12" s="167">
        <v>63</v>
      </c>
      <c r="Q12" s="168">
        <v>173</v>
      </c>
      <c r="R12" s="168">
        <v>143</v>
      </c>
      <c r="S12" s="168">
        <v>317</v>
      </c>
      <c r="T12" s="168">
        <v>2775</v>
      </c>
    </row>
    <row r="13" spans="1:20" x14ac:dyDescent="0.45">
      <c r="A13" s="167">
        <v>55</v>
      </c>
      <c r="B13" s="168">
        <v>746</v>
      </c>
      <c r="C13" s="168">
        <v>1808</v>
      </c>
      <c r="D13" s="168">
        <v>2581</v>
      </c>
      <c r="E13" s="168">
        <v>31408</v>
      </c>
      <c r="F13" s="167">
        <v>64</v>
      </c>
      <c r="G13" s="168">
        <v>168</v>
      </c>
      <c r="H13" s="168">
        <v>428</v>
      </c>
      <c r="I13" s="168">
        <v>603</v>
      </c>
      <c r="J13" s="168">
        <v>4190</v>
      </c>
      <c r="K13" s="167">
        <v>60</v>
      </c>
      <c r="L13" s="168">
        <v>238</v>
      </c>
      <c r="M13" s="168">
        <v>345</v>
      </c>
      <c r="N13" s="168">
        <v>591</v>
      </c>
      <c r="O13" s="168">
        <v>5181</v>
      </c>
      <c r="P13" s="167">
        <v>62</v>
      </c>
      <c r="Q13" s="168">
        <v>338</v>
      </c>
      <c r="R13" s="168">
        <v>362</v>
      </c>
      <c r="S13" s="168">
        <v>704</v>
      </c>
      <c r="T13" s="168">
        <v>3479</v>
      </c>
    </row>
    <row r="14" spans="1:20" x14ac:dyDescent="0.45">
      <c r="A14" s="167">
        <v>54</v>
      </c>
      <c r="B14" s="168">
        <v>619</v>
      </c>
      <c r="C14" s="168">
        <v>1083</v>
      </c>
      <c r="D14" s="168">
        <v>1717</v>
      </c>
      <c r="E14" s="168">
        <v>33125</v>
      </c>
      <c r="F14" s="167">
        <v>63</v>
      </c>
      <c r="G14" s="168">
        <v>148</v>
      </c>
      <c r="H14" s="168">
        <v>402</v>
      </c>
      <c r="I14" s="168">
        <v>560</v>
      </c>
      <c r="J14" s="168">
        <v>4750</v>
      </c>
      <c r="K14" s="167">
        <v>59</v>
      </c>
      <c r="L14" s="168">
        <v>192</v>
      </c>
      <c r="M14" s="168">
        <v>259</v>
      </c>
      <c r="N14" s="168">
        <v>458</v>
      </c>
      <c r="O14" s="168">
        <v>5639</v>
      </c>
      <c r="P14" s="167">
        <v>61</v>
      </c>
      <c r="Q14" s="168">
        <v>158</v>
      </c>
      <c r="R14" s="168">
        <v>159</v>
      </c>
      <c r="S14" s="168">
        <v>317</v>
      </c>
      <c r="T14" s="168">
        <v>3796</v>
      </c>
    </row>
    <row r="15" spans="1:20" x14ac:dyDescent="0.45">
      <c r="A15" s="167">
        <v>53</v>
      </c>
      <c r="B15" s="168">
        <v>1372</v>
      </c>
      <c r="C15" s="168">
        <v>3053</v>
      </c>
      <c r="D15" s="168">
        <v>4461</v>
      </c>
      <c r="E15" s="168">
        <v>37586</v>
      </c>
      <c r="F15" s="167">
        <v>62</v>
      </c>
      <c r="G15" s="168">
        <v>353</v>
      </c>
      <c r="H15" s="168">
        <v>989</v>
      </c>
      <c r="I15" s="168">
        <v>1357</v>
      </c>
      <c r="J15" s="168">
        <v>6107</v>
      </c>
      <c r="K15" s="167">
        <v>58</v>
      </c>
      <c r="L15" s="168">
        <v>297</v>
      </c>
      <c r="M15" s="168">
        <v>361</v>
      </c>
      <c r="N15" s="168">
        <v>666</v>
      </c>
      <c r="O15" s="168">
        <v>6305</v>
      </c>
      <c r="P15" s="167">
        <v>60</v>
      </c>
      <c r="Q15" s="168">
        <v>191</v>
      </c>
      <c r="R15" s="168">
        <v>192</v>
      </c>
      <c r="S15" s="168">
        <v>387</v>
      </c>
      <c r="T15" s="168">
        <v>4183</v>
      </c>
    </row>
    <row r="16" spans="1:20" x14ac:dyDescent="0.45">
      <c r="A16" s="167">
        <v>52</v>
      </c>
      <c r="B16" s="168">
        <v>610</v>
      </c>
      <c r="C16" s="168">
        <v>1161</v>
      </c>
      <c r="D16" s="168">
        <v>1787</v>
      </c>
      <c r="E16" s="168">
        <v>39373</v>
      </c>
      <c r="F16" s="167">
        <v>61</v>
      </c>
      <c r="G16" s="168">
        <v>174</v>
      </c>
      <c r="H16" s="168">
        <v>466</v>
      </c>
      <c r="I16" s="168">
        <v>650</v>
      </c>
      <c r="J16" s="168">
        <v>6757</v>
      </c>
      <c r="K16" s="167">
        <v>57</v>
      </c>
      <c r="L16" s="168">
        <v>509</v>
      </c>
      <c r="M16" s="168">
        <v>675</v>
      </c>
      <c r="N16" s="168">
        <v>1196</v>
      </c>
      <c r="O16" s="168">
        <v>7501</v>
      </c>
      <c r="P16" s="167">
        <v>59</v>
      </c>
      <c r="Q16" s="168">
        <v>246</v>
      </c>
      <c r="R16" s="168">
        <v>198</v>
      </c>
      <c r="S16" s="168">
        <v>445</v>
      </c>
      <c r="T16" s="168">
        <v>4628</v>
      </c>
    </row>
    <row r="17" spans="1:20" x14ac:dyDescent="0.45">
      <c r="A17" s="167">
        <v>51</v>
      </c>
      <c r="B17" s="168">
        <v>583</v>
      </c>
      <c r="C17" s="168">
        <v>1387</v>
      </c>
      <c r="D17" s="168">
        <v>1988</v>
      </c>
      <c r="E17" s="168">
        <v>41361</v>
      </c>
      <c r="F17" s="167">
        <v>60</v>
      </c>
      <c r="G17" s="168">
        <v>196</v>
      </c>
      <c r="H17" s="168">
        <v>551</v>
      </c>
      <c r="I17" s="168">
        <v>756</v>
      </c>
      <c r="J17" s="168">
        <v>7513</v>
      </c>
      <c r="K17" s="167">
        <v>56</v>
      </c>
      <c r="L17" s="168">
        <v>329</v>
      </c>
      <c r="M17" s="168">
        <v>404</v>
      </c>
      <c r="N17" s="168">
        <v>743</v>
      </c>
      <c r="O17" s="168">
        <v>8244</v>
      </c>
      <c r="P17" s="167">
        <v>58</v>
      </c>
      <c r="Q17" s="168">
        <v>199</v>
      </c>
      <c r="R17" s="168">
        <v>183</v>
      </c>
      <c r="S17" s="168">
        <v>385</v>
      </c>
      <c r="T17" s="168">
        <v>5013</v>
      </c>
    </row>
    <row r="18" spans="1:20" x14ac:dyDescent="0.45">
      <c r="A18" s="167">
        <v>50</v>
      </c>
      <c r="B18" s="168">
        <v>975</v>
      </c>
      <c r="C18" s="168">
        <v>2006</v>
      </c>
      <c r="D18" s="168">
        <v>3005</v>
      </c>
      <c r="E18" s="168">
        <v>44366</v>
      </c>
      <c r="F18" s="167">
        <v>59</v>
      </c>
      <c r="G18" s="168">
        <v>211</v>
      </c>
      <c r="H18" s="168">
        <v>591</v>
      </c>
      <c r="I18" s="168">
        <v>811</v>
      </c>
      <c r="J18" s="168">
        <v>8324</v>
      </c>
      <c r="K18" s="167">
        <v>55</v>
      </c>
      <c r="L18" s="168">
        <v>250</v>
      </c>
      <c r="M18" s="168">
        <v>338</v>
      </c>
      <c r="N18" s="168">
        <v>598</v>
      </c>
      <c r="O18" s="168">
        <v>8842</v>
      </c>
      <c r="P18" s="167">
        <v>57</v>
      </c>
      <c r="Q18" s="168">
        <v>455</v>
      </c>
      <c r="R18" s="168">
        <v>475</v>
      </c>
      <c r="S18" s="168">
        <v>935</v>
      </c>
      <c r="T18" s="168">
        <v>5948</v>
      </c>
    </row>
    <row r="19" spans="1:20" x14ac:dyDescent="0.45">
      <c r="A19" s="167">
        <v>49</v>
      </c>
      <c r="B19" s="168">
        <v>428</v>
      </c>
      <c r="C19" s="168">
        <v>826</v>
      </c>
      <c r="D19" s="168">
        <v>1268</v>
      </c>
      <c r="E19" s="168">
        <v>45634</v>
      </c>
      <c r="F19" s="167">
        <v>58</v>
      </c>
      <c r="G19" s="168">
        <v>197</v>
      </c>
      <c r="H19" s="168">
        <v>552</v>
      </c>
      <c r="I19" s="168">
        <v>759</v>
      </c>
      <c r="J19" s="168">
        <v>9083</v>
      </c>
      <c r="K19" s="167">
        <v>54</v>
      </c>
      <c r="L19" s="168">
        <v>306</v>
      </c>
      <c r="M19" s="168">
        <v>344</v>
      </c>
      <c r="N19" s="168">
        <v>661</v>
      </c>
      <c r="O19" s="168">
        <v>9503</v>
      </c>
      <c r="P19" s="167">
        <v>56</v>
      </c>
      <c r="Q19" s="168">
        <v>239</v>
      </c>
      <c r="R19" s="168">
        <v>245</v>
      </c>
      <c r="S19" s="168">
        <v>489</v>
      </c>
      <c r="T19" s="168">
        <v>6437</v>
      </c>
    </row>
    <row r="20" spans="1:20" x14ac:dyDescent="0.45">
      <c r="A20" s="167">
        <v>48</v>
      </c>
      <c r="B20" s="168">
        <v>348</v>
      </c>
      <c r="C20" s="168">
        <v>712</v>
      </c>
      <c r="D20" s="168">
        <v>1070</v>
      </c>
      <c r="E20" s="168">
        <v>46704</v>
      </c>
      <c r="F20" s="167">
        <v>57</v>
      </c>
      <c r="G20" s="168">
        <v>263</v>
      </c>
      <c r="H20" s="168">
        <v>662</v>
      </c>
      <c r="I20" s="168">
        <v>938</v>
      </c>
      <c r="J20" s="168">
        <v>10021</v>
      </c>
      <c r="K20" s="167">
        <v>53</v>
      </c>
      <c r="L20" s="168">
        <v>315</v>
      </c>
      <c r="M20" s="168">
        <v>449</v>
      </c>
      <c r="N20" s="168">
        <v>772</v>
      </c>
      <c r="O20" s="168">
        <v>10275</v>
      </c>
      <c r="P20" s="167">
        <v>55</v>
      </c>
      <c r="Q20" s="168">
        <v>271</v>
      </c>
      <c r="R20" s="168">
        <v>230</v>
      </c>
      <c r="S20" s="168">
        <v>502</v>
      </c>
      <c r="T20" s="168">
        <v>6939</v>
      </c>
    </row>
    <row r="21" spans="1:20" x14ac:dyDescent="0.45">
      <c r="A21" s="167">
        <v>47</v>
      </c>
      <c r="B21" s="168">
        <v>738</v>
      </c>
      <c r="C21" s="168">
        <v>1402</v>
      </c>
      <c r="D21" s="168">
        <v>2162</v>
      </c>
      <c r="E21" s="168">
        <v>48866</v>
      </c>
      <c r="F21" s="167">
        <v>56</v>
      </c>
      <c r="G21" s="168">
        <v>474</v>
      </c>
      <c r="H21" s="168">
        <v>1209</v>
      </c>
      <c r="I21" s="168">
        <v>1702</v>
      </c>
      <c r="J21" s="168">
        <v>11723</v>
      </c>
      <c r="K21" s="167">
        <v>52</v>
      </c>
      <c r="L21" s="168">
        <v>558</v>
      </c>
      <c r="M21" s="168">
        <v>797</v>
      </c>
      <c r="N21" s="168">
        <v>1369</v>
      </c>
      <c r="O21" s="168">
        <v>11644</v>
      </c>
      <c r="P21" s="167">
        <v>54</v>
      </c>
      <c r="Q21" s="168">
        <v>223</v>
      </c>
      <c r="R21" s="168">
        <v>252</v>
      </c>
      <c r="S21" s="168">
        <v>475</v>
      </c>
      <c r="T21" s="168">
        <v>7414</v>
      </c>
    </row>
    <row r="22" spans="1:20" x14ac:dyDescent="0.45">
      <c r="A22" s="167">
        <v>46</v>
      </c>
      <c r="B22" s="168">
        <v>312</v>
      </c>
      <c r="C22" s="168">
        <v>578</v>
      </c>
      <c r="D22" s="168">
        <v>896</v>
      </c>
      <c r="E22" s="168">
        <v>49762</v>
      </c>
      <c r="F22" s="167">
        <v>55</v>
      </c>
      <c r="G22" s="168">
        <v>271</v>
      </c>
      <c r="H22" s="168">
        <v>657</v>
      </c>
      <c r="I22" s="168">
        <v>940</v>
      </c>
      <c r="J22" s="168">
        <v>12663</v>
      </c>
      <c r="K22" s="167">
        <v>51</v>
      </c>
      <c r="L22" s="168">
        <v>309</v>
      </c>
      <c r="M22" s="168">
        <v>428</v>
      </c>
      <c r="N22" s="168">
        <v>745</v>
      </c>
      <c r="O22" s="168">
        <v>12389</v>
      </c>
      <c r="P22" s="167">
        <v>53</v>
      </c>
      <c r="Q22" s="168">
        <v>447</v>
      </c>
      <c r="R22" s="168">
        <v>549</v>
      </c>
      <c r="S22" s="168">
        <v>1006</v>
      </c>
      <c r="T22" s="168">
        <v>8420</v>
      </c>
    </row>
    <row r="23" spans="1:20" x14ac:dyDescent="0.45">
      <c r="A23" s="167">
        <v>45</v>
      </c>
      <c r="B23" s="168">
        <v>533</v>
      </c>
      <c r="C23" s="168">
        <v>909</v>
      </c>
      <c r="D23" s="168">
        <v>1456</v>
      </c>
      <c r="E23" s="168">
        <v>51218</v>
      </c>
      <c r="F23" s="167">
        <v>54</v>
      </c>
      <c r="G23" s="168">
        <v>254</v>
      </c>
      <c r="H23" s="168">
        <v>624</v>
      </c>
      <c r="I23" s="168">
        <v>887</v>
      </c>
      <c r="J23" s="168">
        <v>13550</v>
      </c>
      <c r="K23" s="167">
        <v>50</v>
      </c>
      <c r="L23" s="168">
        <v>297</v>
      </c>
      <c r="M23" s="168">
        <v>387</v>
      </c>
      <c r="N23" s="168">
        <v>690</v>
      </c>
      <c r="O23" s="168">
        <v>13079</v>
      </c>
      <c r="P23" s="167">
        <v>52</v>
      </c>
      <c r="Q23" s="168">
        <v>243</v>
      </c>
      <c r="R23" s="168">
        <v>267</v>
      </c>
      <c r="S23" s="168">
        <v>517</v>
      </c>
      <c r="T23" s="168">
        <v>8937</v>
      </c>
    </row>
    <row r="24" spans="1:20" x14ac:dyDescent="0.45">
      <c r="A24" s="167">
        <v>44</v>
      </c>
      <c r="B24" s="168">
        <v>255</v>
      </c>
      <c r="C24" s="168">
        <v>409</v>
      </c>
      <c r="D24" s="168">
        <v>672</v>
      </c>
      <c r="E24" s="168">
        <v>51890</v>
      </c>
      <c r="F24" s="167">
        <v>53</v>
      </c>
      <c r="G24" s="168">
        <v>284</v>
      </c>
      <c r="H24" s="168">
        <v>672</v>
      </c>
      <c r="I24" s="168">
        <v>970</v>
      </c>
      <c r="J24" s="168">
        <v>14520</v>
      </c>
      <c r="K24" s="167">
        <v>49</v>
      </c>
      <c r="L24" s="168">
        <v>314</v>
      </c>
      <c r="M24" s="168">
        <v>429</v>
      </c>
      <c r="N24" s="168">
        <v>757</v>
      </c>
      <c r="O24" s="168">
        <v>13836</v>
      </c>
      <c r="P24" s="167">
        <v>51</v>
      </c>
      <c r="Q24" s="168">
        <v>268</v>
      </c>
      <c r="R24" s="168">
        <v>282</v>
      </c>
      <c r="S24" s="168">
        <v>550</v>
      </c>
      <c r="T24" s="168">
        <v>9487</v>
      </c>
    </row>
    <row r="25" spans="1:20" x14ac:dyDescent="0.45">
      <c r="A25" s="167">
        <v>43</v>
      </c>
      <c r="B25" s="168">
        <v>219</v>
      </c>
      <c r="C25" s="168">
        <v>362</v>
      </c>
      <c r="D25" s="168">
        <v>584</v>
      </c>
      <c r="E25" s="168">
        <v>52474</v>
      </c>
      <c r="F25" s="167">
        <v>52</v>
      </c>
      <c r="G25" s="168">
        <v>271</v>
      </c>
      <c r="H25" s="168">
        <v>673</v>
      </c>
      <c r="I25" s="168">
        <v>952</v>
      </c>
      <c r="J25" s="168">
        <v>15472</v>
      </c>
      <c r="K25" s="167">
        <v>48</v>
      </c>
      <c r="L25" s="168">
        <v>630</v>
      </c>
      <c r="M25" s="168">
        <v>745</v>
      </c>
      <c r="N25" s="168">
        <v>1388</v>
      </c>
      <c r="O25" s="168">
        <v>15224</v>
      </c>
      <c r="P25" s="167">
        <v>50</v>
      </c>
      <c r="Q25" s="168">
        <v>224</v>
      </c>
      <c r="R25" s="168">
        <v>243</v>
      </c>
      <c r="S25" s="168">
        <v>471</v>
      </c>
      <c r="T25" s="168">
        <v>9958</v>
      </c>
    </row>
    <row r="26" spans="1:20" x14ac:dyDescent="0.45">
      <c r="A26" s="167">
        <v>42</v>
      </c>
      <c r="B26" s="168">
        <v>577</v>
      </c>
      <c r="C26" s="168">
        <v>696</v>
      </c>
      <c r="D26" s="168">
        <v>1283</v>
      </c>
      <c r="E26" s="168">
        <v>53757</v>
      </c>
      <c r="F26" s="167">
        <v>51</v>
      </c>
      <c r="G26" s="168">
        <v>606</v>
      </c>
      <c r="H26" s="168">
        <v>1306</v>
      </c>
      <c r="I26" s="168">
        <v>1932</v>
      </c>
      <c r="J26" s="168">
        <v>17404</v>
      </c>
      <c r="K26" s="167">
        <v>47</v>
      </c>
      <c r="L26" s="168">
        <v>293</v>
      </c>
      <c r="M26" s="168">
        <v>353</v>
      </c>
      <c r="N26" s="168">
        <v>654</v>
      </c>
      <c r="O26" s="168">
        <v>15878</v>
      </c>
      <c r="P26" s="167">
        <v>49</v>
      </c>
      <c r="Q26" s="168">
        <v>484</v>
      </c>
      <c r="R26" s="168">
        <v>572</v>
      </c>
      <c r="S26" s="168">
        <v>1062</v>
      </c>
      <c r="T26" s="168">
        <v>11020</v>
      </c>
    </row>
    <row r="27" spans="1:20" x14ac:dyDescent="0.45">
      <c r="A27" s="167">
        <v>41</v>
      </c>
      <c r="B27" s="168">
        <v>266</v>
      </c>
      <c r="C27" s="168">
        <v>300</v>
      </c>
      <c r="D27" s="168">
        <v>572</v>
      </c>
      <c r="E27" s="168">
        <v>54329</v>
      </c>
      <c r="F27" s="167">
        <v>50</v>
      </c>
      <c r="G27" s="168">
        <v>280</v>
      </c>
      <c r="H27" s="168">
        <v>626</v>
      </c>
      <c r="I27" s="168">
        <v>916</v>
      </c>
      <c r="J27" s="168">
        <v>18320</v>
      </c>
      <c r="K27" s="167">
        <v>46</v>
      </c>
      <c r="L27" s="168">
        <v>255</v>
      </c>
      <c r="M27" s="168">
        <v>325</v>
      </c>
      <c r="N27" s="168">
        <v>583</v>
      </c>
      <c r="O27" s="168">
        <v>16461</v>
      </c>
      <c r="P27" s="167">
        <v>48</v>
      </c>
      <c r="Q27" s="168">
        <v>272</v>
      </c>
      <c r="R27" s="168">
        <v>291</v>
      </c>
      <c r="S27" s="168">
        <v>571</v>
      </c>
      <c r="T27" s="168">
        <v>11591</v>
      </c>
    </row>
    <row r="28" spans="1:20" x14ac:dyDescent="0.45">
      <c r="A28" s="167">
        <v>40</v>
      </c>
      <c r="B28" s="168">
        <v>305</v>
      </c>
      <c r="C28" s="168">
        <v>345</v>
      </c>
      <c r="D28" s="168">
        <v>656</v>
      </c>
      <c r="E28" s="168">
        <v>54985</v>
      </c>
      <c r="F28" s="167">
        <v>49</v>
      </c>
      <c r="G28" s="168">
        <v>325</v>
      </c>
      <c r="H28" s="168">
        <v>710</v>
      </c>
      <c r="I28" s="168">
        <v>1041</v>
      </c>
      <c r="J28" s="168">
        <v>19361</v>
      </c>
      <c r="K28" s="167">
        <v>45</v>
      </c>
      <c r="L28" s="168">
        <v>255</v>
      </c>
      <c r="M28" s="168">
        <v>340</v>
      </c>
      <c r="N28" s="168">
        <v>605</v>
      </c>
      <c r="O28" s="168">
        <v>17066</v>
      </c>
      <c r="P28" s="167">
        <v>47</v>
      </c>
      <c r="Q28" s="168">
        <v>240</v>
      </c>
      <c r="R28" s="168">
        <v>273</v>
      </c>
      <c r="S28" s="168">
        <v>522</v>
      </c>
      <c r="T28" s="168">
        <v>12113</v>
      </c>
    </row>
    <row r="29" spans="1:20" x14ac:dyDescent="0.45">
      <c r="A29" s="167">
        <v>39</v>
      </c>
      <c r="B29" s="168">
        <v>603</v>
      </c>
      <c r="C29" s="168">
        <v>644</v>
      </c>
      <c r="D29" s="168">
        <v>1263</v>
      </c>
      <c r="E29" s="168">
        <v>56248</v>
      </c>
      <c r="F29" s="167">
        <v>48</v>
      </c>
      <c r="G29" s="168">
        <v>307</v>
      </c>
      <c r="H29" s="168">
        <v>547</v>
      </c>
      <c r="I29" s="168">
        <v>863</v>
      </c>
      <c r="J29" s="168">
        <v>20224</v>
      </c>
      <c r="K29" s="167">
        <v>44</v>
      </c>
      <c r="L29" s="168">
        <v>221</v>
      </c>
      <c r="M29" s="168">
        <v>271</v>
      </c>
      <c r="N29" s="168">
        <v>496</v>
      </c>
      <c r="O29" s="168">
        <v>17562</v>
      </c>
      <c r="P29" s="167">
        <v>46</v>
      </c>
      <c r="Q29" s="168">
        <v>245</v>
      </c>
      <c r="R29" s="168">
        <v>281</v>
      </c>
      <c r="S29" s="168">
        <v>530</v>
      </c>
      <c r="T29" s="168">
        <v>12643</v>
      </c>
    </row>
    <row r="30" spans="1:20" x14ac:dyDescent="0.45">
      <c r="A30" s="167">
        <v>38</v>
      </c>
      <c r="B30" s="168">
        <v>374</v>
      </c>
      <c r="C30" s="168">
        <v>339</v>
      </c>
      <c r="D30" s="168">
        <v>727</v>
      </c>
      <c r="E30" s="168">
        <v>56975</v>
      </c>
      <c r="F30" s="167">
        <v>47</v>
      </c>
      <c r="G30" s="168">
        <v>316</v>
      </c>
      <c r="H30" s="168">
        <v>612</v>
      </c>
      <c r="I30" s="168">
        <v>934</v>
      </c>
      <c r="J30" s="168">
        <v>21158</v>
      </c>
      <c r="K30" s="167">
        <v>43</v>
      </c>
      <c r="L30" s="168">
        <v>493</v>
      </c>
      <c r="M30" s="168">
        <v>524</v>
      </c>
      <c r="N30" s="168">
        <v>1026</v>
      </c>
      <c r="O30" s="168">
        <v>18588</v>
      </c>
      <c r="P30" s="167">
        <v>45</v>
      </c>
      <c r="Q30" s="168">
        <v>269</v>
      </c>
      <c r="R30" s="168">
        <v>282</v>
      </c>
      <c r="S30" s="168">
        <v>554</v>
      </c>
      <c r="T30" s="168">
        <v>13197</v>
      </c>
    </row>
    <row r="31" spans="1:20" x14ac:dyDescent="0.45">
      <c r="A31" s="167">
        <v>37</v>
      </c>
      <c r="B31" s="168">
        <v>391</v>
      </c>
      <c r="C31" s="168">
        <v>331</v>
      </c>
      <c r="D31" s="168">
        <v>728</v>
      </c>
      <c r="E31" s="168">
        <v>57703</v>
      </c>
      <c r="F31" s="167">
        <v>46</v>
      </c>
      <c r="G31" s="168">
        <v>326</v>
      </c>
      <c r="H31" s="168">
        <v>585</v>
      </c>
      <c r="I31" s="168">
        <v>922</v>
      </c>
      <c r="J31" s="168">
        <v>22080</v>
      </c>
      <c r="K31" s="167">
        <v>42</v>
      </c>
      <c r="L31" s="168">
        <v>208</v>
      </c>
      <c r="M31" s="168">
        <v>218</v>
      </c>
      <c r="N31" s="168">
        <v>428</v>
      </c>
      <c r="O31" s="168">
        <v>19016</v>
      </c>
      <c r="P31" s="167">
        <v>44</v>
      </c>
      <c r="Q31" s="168">
        <v>447</v>
      </c>
      <c r="R31" s="168">
        <v>545</v>
      </c>
      <c r="S31" s="168">
        <v>1004</v>
      </c>
      <c r="T31" s="168">
        <v>14201</v>
      </c>
    </row>
    <row r="32" spans="1:20" x14ac:dyDescent="0.45">
      <c r="A32" s="167">
        <v>36</v>
      </c>
      <c r="B32" s="168">
        <v>1180</v>
      </c>
      <c r="C32" s="168">
        <v>1025</v>
      </c>
      <c r="D32" s="168">
        <v>2238</v>
      </c>
      <c r="E32" s="168">
        <v>59941</v>
      </c>
      <c r="F32" s="167">
        <v>45</v>
      </c>
      <c r="G32" s="168">
        <v>654</v>
      </c>
      <c r="H32" s="168">
        <v>1104</v>
      </c>
      <c r="I32" s="168">
        <v>1773</v>
      </c>
      <c r="J32" s="168">
        <v>23853</v>
      </c>
      <c r="K32" s="167">
        <v>41</v>
      </c>
      <c r="L32" s="168">
        <v>284</v>
      </c>
      <c r="M32" s="168">
        <v>227</v>
      </c>
      <c r="N32" s="168">
        <v>514</v>
      </c>
      <c r="O32" s="168">
        <v>19530</v>
      </c>
      <c r="P32" s="167">
        <v>43</v>
      </c>
      <c r="Q32" s="168">
        <v>247</v>
      </c>
      <c r="R32" s="168">
        <v>284</v>
      </c>
      <c r="S32" s="168">
        <v>539</v>
      </c>
      <c r="T32" s="168">
        <v>14740</v>
      </c>
    </row>
    <row r="33" spans="1:20" x14ac:dyDescent="0.45">
      <c r="A33" s="167">
        <v>35</v>
      </c>
      <c r="B33" s="168">
        <v>2673</v>
      </c>
      <c r="C33" s="168">
        <v>1505</v>
      </c>
      <c r="D33" s="168">
        <v>4259</v>
      </c>
      <c r="E33" s="168">
        <v>64200</v>
      </c>
      <c r="F33" s="167">
        <v>44</v>
      </c>
      <c r="G33" s="168">
        <v>327</v>
      </c>
      <c r="H33" s="168">
        <v>483</v>
      </c>
      <c r="I33" s="168">
        <v>818</v>
      </c>
      <c r="J33" s="168">
        <v>24671</v>
      </c>
      <c r="K33" s="167">
        <v>40</v>
      </c>
      <c r="L33" s="168">
        <v>212</v>
      </c>
      <c r="M33" s="168">
        <v>154</v>
      </c>
      <c r="N33" s="168">
        <v>371</v>
      </c>
      <c r="O33" s="168">
        <v>19901</v>
      </c>
      <c r="P33" s="167">
        <v>42</v>
      </c>
      <c r="Q33" s="168">
        <v>224</v>
      </c>
      <c r="R33" s="168">
        <v>261</v>
      </c>
      <c r="S33" s="168">
        <v>492</v>
      </c>
      <c r="T33" s="168">
        <v>15232</v>
      </c>
    </row>
    <row r="34" spans="1:20" x14ac:dyDescent="0.45">
      <c r="A34" s="167">
        <v>34</v>
      </c>
      <c r="B34" s="168">
        <v>1451</v>
      </c>
      <c r="C34" s="168">
        <v>961</v>
      </c>
      <c r="D34" s="168">
        <v>2449</v>
      </c>
      <c r="E34" s="168">
        <v>66649</v>
      </c>
      <c r="F34" s="167">
        <v>43</v>
      </c>
      <c r="G34" s="168">
        <v>330</v>
      </c>
      <c r="H34" s="168">
        <v>530</v>
      </c>
      <c r="I34" s="168">
        <v>871</v>
      </c>
      <c r="J34" s="168">
        <v>25542</v>
      </c>
      <c r="K34" s="167">
        <v>39</v>
      </c>
      <c r="L34" s="168">
        <v>477</v>
      </c>
      <c r="M34" s="168">
        <v>381</v>
      </c>
      <c r="N34" s="168">
        <v>871</v>
      </c>
      <c r="O34" s="168">
        <v>20772</v>
      </c>
      <c r="P34" s="167">
        <v>41</v>
      </c>
      <c r="Q34" s="168">
        <v>234</v>
      </c>
      <c r="R34" s="168">
        <v>260</v>
      </c>
      <c r="S34" s="168">
        <v>502</v>
      </c>
      <c r="T34" s="168">
        <v>15734</v>
      </c>
    </row>
    <row r="35" spans="1:20" x14ac:dyDescent="0.45">
      <c r="A35" s="167">
        <v>33</v>
      </c>
      <c r="B35" s="168">
        <v>365</v>
      </c>
      <c r="C35" s="168">
        <v>264</v>
      </c>
      <c r="D35" s="168">
        <v>641</v>
      </c>
      <c r="E35" s="168">
        <v>67290</v>
      </c>
      <c r="F35" s="167">
        <v>42</v>
      </c>
      <c r="G35" s="168">
        <v>383</v>
      </c>
      <c r="H35" s="168">
        <v>482</v>
      </c>
      <c r="I35" s="168">
        <v>873</v>
      </c>
      <c r="J35" s="168">
        <v>26415</v>
      </c>
      <c r="K35" s="167">
        <v>38</v>
      </c>
      <c r="L35" s="168">
        <v>1022</v>
      </c>
      <c r="M35" s="168">
        <v>463</v>
      </c>
      <c r="N35" s="168">
        <v>1518</v>
      </c>
      <c r="O35" s="168">
        <v>22290</v>
      </c>
      <c r="P35" s="167">
        <v>40</v>
      </c>
      <c r="Q35" s="168">
        <v>626</v>
      </c>
      <c r="R35" s="168">
        <v>473</v>
      </c>
      <c r="S35" s="168">
        <v>1115</v>
      </c>
      <c r="T35" s="168">
        <v>16849</v>
      </c>
    </row>
    <row r="36" spans="1:20" x14ac:dyDescent="0.45">
      <c r="A36" s="167">
        <v>32</v>
      </c>
      <c r="B36" s="168">
        <v>1492</v>
      </c>
      <c r="C36" s="168">
        <v>1064</v>
      </c>
      <c r="D36" s="168">
        <v>2590</v>
      </c>
      <c r="E36" s="168">
        <v>69880</v>
      </c>
      <c r="F36" s="167">
        <v>41</v>
      </c>
      <c r="G36" s="168">
        <v>389</v>
      </c>
      <c r="H36" s="168">
        <v>457</v>
      </c>
      <c r="I36" s="168">
        <v>857</v>
      </c>
      <c r="J36" s="168">
        <v>27272</v>
      </c>
      <c r="K36" s="167">
        <v>37</v>
      </c>
      <c r="L36" s="168">
        <v>377</v>
      </c>
      <c r="M36" s="168">
        <v>224</v>
      </c>
      <c r="N36" s="168">
        <v>615</v>
      </c>
      <c r="O36" s="168">
        <v>22905</v>
      </c>
      <c r="P36" s="167">
        <v>39</v>
      </c>
      <c r="Q36" s="168">
        <v>569</v>
      </c>
      <c r="R36" s="168">
        <v>389</v>
      </c>
      <c r="S36" s="168">
        <v>977</v>
      </c>
      <c r="T36" s="168">
        <v>17826</v>
      </c>
    </row>
    <row r="37" spans="1:20" x14ac:dyDescent="0.45">
      <c r="A37" s="167">
        <v>31</v>
      </c>
      <c r="B37" s="168">
        <v>543</v>
      </c>
      <c r="C37" s="168">
        <v>392</v>
      </c>
      <c r="D37" s="168">
        <v>954</v>
      </c>
      <c r="E37" s="168">
        <v>70834</v>
      </c>
      <c r="F37" s="167">
        <v>40</v>
      </c>
      <c r="G37" s="168">
        <v>2230</v>
      </c>
      <c r="H37" s="168">
        <v>1645</v>
      </c>
      <c r="I37" s="168">
        <v>3942</v>
      </c>
      <c r="J37" s="168">
        <v>31214</v>
      </c>
      <c r="K37" s="167">
        <v>36</v>
      </c>
      <c r="L37" s="168">
        <v>164</v>
      </c>
      <c r="M37" s="168">
        <v>104</v>
      </c>
      <c r="N37" s="168">
        <v>272</v>
      </c>
      <c r="O37" s="168">
        <v>23177</v>
      </c>
      <c r="P37" s="167">
        <v>38</v>
      </c>
      <c r="Q37" s="168">
        <v>349</v>
      </c>
      <c r="R37" s="168">
        <v>224</v>
      </c>
      <c r="S37" s="168">
        <v>579</v>
      </c>
      <c r="T37" s="168">
        <v>18405</v>
      </c>
    </row>
    <row r="38" spans="1:20" x14ac:dyDescent="0.45">
      <c r="A38" s="167">
        <v>30</v>
      </c>
      <c r="B38" s="168">
        <v>101</v>
      </c>
      <c r="C38" s="168">
        <v>82</v>
      </c>
      <c r="D38" s="168">
        <v>186</v>
      </c>
      <c r="E38" s="168">
        <v>71020</v>
      </c>
      <c r="F38" s="167">
        <v>39</v>
      </c>
      <c r="G38" s="168">
        <v>1660</v>
      </c>
      <c r="H38" s="168">
        <v>1324</v>
      </c>
      <c r="I38" s="168">
        <v>3034</v>
      </c>
      <c r="J38" s="168">
        <v>34248</v>
      </c>
      <c r="K38" s="167">
        <v>35</v>
      </c>
      <c r="L38" s="168">
        <v>291</v>
      </c>
      <c r="M38" s="168">
        <v>174</v>
      </c>
      <c r="N38" s="168">
        <v>474</v>
      </c>
      <c r="O38" s="168">
        <v>23651</v>
      </c>
      <c r="P38" s="167">
        <v>37</v>
      </c>
      <c r="Q38" s="168">
        <v>178</v>
      </c>
      <c r="R38" s="168">
        <v>137</v>
      </c>
      <c r="S38" s="168">
        <v>319</v>
      </c>
      <c r="T38" s="168">
        <v>18724</v>
      </c>
    </row>
    <row r="39" spans="1:20" x14ac:dyDescent="0.45">
      <c r="A39" s="167">
        <v>29</v>
      </c>
      <c r="B39" s="168">
        <v>120</v>
      </c>
      <c r="C39" s="168">
        <v>85</v>
      </c>
      <c r="D39" s="168">
        <v>208</v>
      </c>
      <c r="E39" s="168">
        <v>71228</v>
      </c>
      <c r="F39" s="167">
        <v>38</v>
      </c>
      <c r="G39" s="168">
        <v>394</v>
      </c>
      <c r="H39" s="168">
        <v>295</v>
      </c>
      <c r="I39" s="168">
        <v>695</v>
      </c>
      <c r="J39" s="168">
        <v>34943</v>
      </c>
      <c r="K39" s="167">
        <v>34</v>
      </c>
      <c r="L39" s="168">
        <v>651</v>
      </c>
      <c r="M39" s="168">
        <v>389</v>
      </c>
      <c r="N39" s="168">
        <v>1061</v>
      </c>
      <c r="O39" s="168">
        <v>24712</v>
      </c>
      <c r="P39" s="167">
        <v>36</v>
      </c>
      <c r="Q39" s="168">
        <v>810</v>
      </c>
      <c r="R39" s="168">
        <v>340</v>
      </c>
      <c r="S39" s="168">
        <v>1178</v>
      </c>
      <c r="T39" s="168">
        <v>19902</v>
      </c>
    </row>
    <row r="40" spans="1:20" x14ac:dyDescent="0.45">
      <c r="A40" s="167">
        <v>28</v>
      </c>
      <c r="B40" s="168">
        <v>87</v>
      </c>
      <c r="C40" s="168">
        <v>42</v>
      </c>
      <c r="D40" s="168">
        <v>132</v>
      </c>
      <c r="E40" s="168">
        <v>71360</v>
      </c>
      <c r="F40" s="167">
        <v>37</v>
      </c>
      <c r="G40" s="168">
        <v>296</v>
      </c>
      <c r="H40" s="168">
        <v>246</v>
      </c>
      <c r="I40" s="168">
        <v>548</v>
      </c>
      <c r="J40" s="168">
        <v>35491</v>
      </c>
      <c r="K40" s="167">
        <v>33</v>
      </c>
      <c r="L40" s="168">
        <v>82</v>
      </c>
      <c r="M40" s="168">
        <v>52</v>
      </c>
      <c r="N40" s="168">
        <v>137</v>
      </c>
      <c r="O40" s="168">
        <v>24849</v>
      </c>
      <c r="P40" s="167">
        <v>35</v>
      </c>
      <c r="Q40" s="168">
        <v>232</v>
      </c>
      <c r="R40" s="168">
        <v>146</v>
      </c>
      <c r="S40" s="168">
        <v>386</v>
      </c>
      <c r="T40" s="168">
        <v>20288</v>
      </c>
    </row>
    <row r="41" spans="1:20" x14ac:dyDescent="0.45">
      <c r="A41" s="167">
        <v>27</v>
      </c>
      <c r="B41" s="168">
        <v>48</v>
      </c>
      <c r="C41" s="168">
        <v>24</v>
      </c>
      <c r="D41" s="168">
        <v>73</v>
      </c>
      <c r="E41" s="168">
        <v>71433</v>
      </c>
      <c r="F41" s="167">
        <v>36</v>
      </c>
      <c r="G41" s="168">
        <v>320</v>
      </c>
      <c r="H41" s="168">
        <v>244</v>
      </c>
      <c r="I41" s="168">
        <v>572</v>
      </c>
      <c r="J41" s="168">
        <v>36063</v>
      </c>
      <c r="K41" s="167">
        <v>32</v>
      </c>
      <c r="L41" s="168">
        <v>107</v>
      </c>
      <c r="M41" s="168">
        <v>51</v>
      </c>
      <c r="N41" s="168">
        <v>159</v>
      </c>
      <c r="O41" s="168">
        <v>25008</v>
      </c>
      <c r="P41" s="167">
        <v>34</v>
      </c>
      <c r="Q41" s="168">
        <v>103</v>
      </c>
      <c r="R41" s="168">
        <v>44</v>
      </c>
      <c r="S41" s="168">
        <v>149</v>
      </c>
      <c r="T41" s="168">
        <v>20437</v>
      </c>
    </row>
    <row r="42" spans="1:20" x14ac:dyDescent="0.45">
      <c r="A42" s="167"/>
      <c r="B42" s="168"/>
      <c r="C42" s="168"/>
      <c r="D42" s="168"/>
      <c r="E42" s="168"/>
      <c r="F42" s="167">
        <v>35</v>
      </c>
      <c r="G42" s="168">
        <v>124</v>
      </c>
      <c r="H42" s="168">
        <v>97</v>
      </c>
      <c r="I42" s="168">
        <v>223</v>
      </c>
      <c r="J42" s="168">
        <v>36286</v>
      </c>
      <c r="K42" s="167">
        <v>31</v>
      </c>
      <c r="L42" s="168">
        <v>53</v>
      </c>
      <c r="M42" s="168">
        <v>17</v>
      </c>
      <c r="N42" s="168">
        <v>71</v>
      </c>
      <c r="O42" s="168">
        <v>25079</v>
      </c>
      <c r="P42" s="167">
        <v>33</v>
      </c>
      <c r="Q42" s="168">
        <v>27</v>
      </c>
      <c r="R42" s="168">
        <v>26</v>
      </c>
      <c r="S42" s="168">
        <v>54</v>
      </c>
      <c r="T42" s="168">
        <v>20491</v>
      </c>
    </row>
    <row r="43" spans="1:20" x14ac:dyDescent="0.45">
      <c r="A43" s="167"/>
      <c r="B43" s="168"/>
      <c r="C43" s="168"/>
      <c r="D43" s="168"/>
      <c r="E43" s="168"/>
      <c r="F43" s="167">
        <v>34</v>
      </c>
      <c r="G43" s="168">
        <v>240</v>
      </c>
      <c r="H43" s="168">
        <v>190</v>
      </c>
      <c r="I43" s="168">
        <v>432</v>
      </c>
      <c r="J43" s="168">
        <v>36718</v>
      </c>
      <c r="K43" s="167">
        <v>30</v>
      </c>
      <c r="L43" s="168">
        <v>28</v>
      </c>
      <c r="M43" s="168">
        <v>23</v>
      </c>
      <c r="N43" s="168">
        <v>52</v>
      </c>
      <c r="O43" s="168">
        <v>25131</v>
      </c>
      <c r="P43" s="167">
        <v>32</v>
      </c>
      <c r="Q43" s="168">
        <v>20</v>
      </c>
      <c r="R43" s="168">
        <v>13</v>
      </c>
      <c r="S43" s="168">
        <v>33</v>
      </c>
      <c r="T43" s="168">
        <v>20524</v>
      </c>
    </row>
    <row r="44" spans="1:20" x14ac:dyDescent="0.45">
      <c r="A44" s="167"/>
      <c r="B44" s="168"/>
      <c r="C44" s="168"/>
      <c r="D44" s="168"/>
      <c r="E44" s="168"/>
      <c r="F44" s="167">
        <v>33</v>
      </c>
      <c r="G44" s="168">
        <v>70</v>
      </c>
      <c r="H44" s="168">
        <v>61</v>
      </c>
      <c r="I44" s="168">
        <v>133</v>
      </c>
      <c r="J44" s="168">
        <v>36851</v>
      </c>
      <c r="K44" s="167">
        <v>29</v>
      </c>
      <c r="L44" s="168">
        <v>40</v>
      </c>
      <c r="M44" s="168">
        <v>11</v>
      </c>
      <c r="N44" s="168">
        <v>54</v>
      </c>
      <c r="O44" s="168">
        <v>25185</v>
      </c>
      <c r="P44" s="167">
        <v>31</v>
      </c>
      <c r="Q44" s="168">
        <v>34</v>
      </c>
      <c r="R44" s="168">
        <v>27</v>
      </c>
      <c r="S44" s="168">
        <v>61</v>
      </c>
      <c r="T44" s="168">
        <v>20585</v>
      </c>
    </row>
    <row r="45" spans="1:20" x14ac:dyDescent="0.45">
      <c r="A45" s="167"/>
      <c r="B45" s="168"/>
      <c r="C45" s="168"/>
      <c r="D45" s="168"/>
      <c r="E45" s="168"/>
      <c r="F45" s="167">
        <v>32</v>
      </c>
      <c r="G45" s="168">
        <v>74</v>
      </c>
      <c r="H45" s="168">
        <v>54</v>
      </c>
      <c r="I45" s="168">
        <v>129</v>
      </c>
      <c r="J45" s="168">
        <v>36980</v>
      </c>
      <c r="K45" s="167">
        <v>28</v>
      </c>
      <c r="L45" s="168">
        <v>9</v>
      </c>
      <c r="M45" s="168">
        <v>9</v>
      </c>
      <c r="N45" s="168">
        <v>19</v>
      </c>
      <c r="O45" s="168">
        <v>25204</v>
      </c>
      <c r="P45" s="167">
        <v>30</v>
      </c>
      <c r="Q45" s="168">
        <v>11</v>
      </c>
      <c r="R45" s="168">
        <v>7</v>
      </c>
      <c r="S45" s="168">
        <v>20</v>
      </c>
      <c r="T45" s="168">
        <v>20605</v>
      </c>
    </row>
    <row r="46" spans="1:20" x14ac:dyDescent="0.45">
      <c r="A46" s="167"/>
      <c r="B46" s="168"/>
      <c r="C46" s="168"/>
      <c r="D46" s="168"/>
      <c r="E46" s="168"/>
      <c r="F46" s="167">
        <v>30</v>
      </c>
      <c r="G46" s="168">
        <v>45</v>
      </c>
      <c r="H46" s="168">
        <v>22</v>
      </c>
      <c r="I46" s="168">
        <v>69</v>
      </c>
      <c r="J46" s="168">
        <v>37049</v>
      </c>
      <c r="K46" s="167"/>
      <c r="L46" s="168"/>
      <c r="M46" s="168"/>
      <c r="N46" s="168"/>
      <c r="O46" s="168"/>
      <c r="P46" s="167"/>
      <c r="Q46" s="168"/>
      <c r="R46" s="168"/>
      <c r="S46" s="168"/>
      <c r="T46" s="168"/>
    </row>
    <row r="47" spans="1:20" x14ac:dyDescent="0.45">
      <c r="A47" s="6"/>
      <c r="B47" s="1"/>
      <c r="C47" s="1"/>
      <c r="D47" s="7"/>
      <c r="F47" s="6"/>
      <c r="G47" s="1"/>
      <c r="H47" s="1"/>
      <c r="I47" s="7"/>
      <c r="K47" s="6"/>
      <c r="L47" s="1"/>
      <c r="M47" s="1"/>
      <c r="N47" s="7"/>
      <c r="P47" s="6"/>
      <c r="Q47" s="1"/>
      <c r="R47" s="1"/>
      <c r="S47" s="7"/>
    </row>
    <row r="48" spans="1:20" x14ac:dyDescent="0.45">
      <c r="A48" s="6"/>
      <c r="B48" s="1"/>
      <c r="C48" s="1"/>
      <c r="D48" s="7"/>
      <c r="F48" s="6"/>
      <c r="G48" s="1"/>
      <c r="H48" s="1"/>
      <c r="I48" s="7"/>
      <c r="K48" s="6"/>
      <c r="L48" s="1"/>
      <c r="M48" s="1"/>
      <c r="N48" s="7"/>
      <c r="P48" s="6"/>
      <c r="Q48" s="1"/>
      <c r="R48" s="1"/>
      <c r="S48" s="7"/>
    </row>
    <row r="49" spans="1:20" x14ac:dyDescent="0.45">
      <c r="A49" s="6"/>
      <c r="B49" s="1"/>
      <c r="C49" s="1"/>
      <c r="D49" s="7"/>
      <c r="F49" s="6"/>
      <c r="G49" s="1"/>
      <c r="H49" s="1"/>
      <c r="I49" s="7"/>
      <c r="K49" s="6"/>
      <c r="L49" s="1"/>
      <c r="M49" s="1"/>
      <c r="N49" s="7"/>
      <c r="P49" s="6"/>
      <c r="Q49" s="1"/>
      <c r="R49" s="1"/>
      <c r="S49" s="7"/>
    </row>
    <row r="50" spans="1:20" x14ac:dyDescent="0.45">
      <c r="A50" s="6"/>
      <c r="B50" s="1"/>
      <c r="C50" s="1"/>
      <c r="D50" s="7"/>
      <c r="F50" s="6"/>
      <c r="G50" s="1"/>
      <c r="H50" s="1"/>
      <c r="I50" s="7"/>
      <c r="K50" s="6"/>
      <c r="L50" s="1"/>
      <c r="M50" s="1"/>
      <c r="N50" s="7"/>
      <c r="P50" s="6"/>
      <c r="Q50" s="1"/>
      <c r="R50" s="1"/>
      <c r="S50" s="7"/>
    </row>
    <row r="51" spans="1:20" x14ac:dyDescent="0.45">
      <c r="A51" s="6"/>
      <c r="B51" s="1"/>
      <c r="C51" s="1"/>
      <c r="D51" s="7"/>
      <c r="F51" s="6"/>
      <c r="G51" s="1"/>
      <c r="H51" s="1"/>
      <c r="I51" s="7"/>
      <c r="K51" s="6"/>
      <c r="L51" s="1"/>
      <c r="M51" s="1"/>
      <c r="N51" s="7"/>
      <c r="P51" s="6"/>
      <c r="Q51" s="1"/>
      <c r="R51" s="1"/>
      <c r="S51" s="7"/>
    </row>
    <row r="52" spans="1:20" ht="17.5" thickBot="1" x14ac:dyDescent="0.5">
      <c r="A52" s="8"/>
      <c r="B52" s="14"/>
      <c r="C52" s="14"/>
      <c r="D52" s="2"/>
      <c r="F52" s="8"/>
      <c r="G52" s="14"/>
      <c r="H52" s="14"/>
      <c r="I52" s="2"/>
      <c r="K52" s="8"/>
      <c r="L52" s="14"/>
      <c r="M52" s="14"/>
      <c r="N52" s="2"/>
      <c r="P52" s="8"/>
      <c r="Q52" s="14"/>
      <c r="R52" s="14"/>
      <c r="S52" s="2"/>
    </row>
    <row r="61" spans="1:20" ht="17.5" thickBot="1" x14ac:dyDescent="0.5"/>
    <row r="62" spans="1:20" x14ac:dyDescent="0.45">
      <c r="A62" s="46" t="s">
        <v>16</v>
      </c>
      <c r="B62" s="47"/>
      <c r="C62" s="47"/>
      <c r="D62" s="48"/>
      <c r="F62" s="46" t="s">
        <v>17</v>
      </c>
      <c r="G62" s="47"/>
      <c r="H62" s="47"/>
      <c r="I62" s="48"/>
      <c r="K62" s="46" t="s">
        <v>18</v>
      </c>
      <c r="L62" s="47"/>
      <c r="M62" s="47"/>
      <c r="N62" s="48"/>
      <c r="P62" s="46" t="s">
        <v>61</v>
      </c>
      <c r="Q62" s="47"/>
      <c r="R62" s="47"/>
      <c r="S62" s="48"/>
    </row>
    <row r="63" spans="1:20" x14ac:dyDescent="0.45">
      <c r="A63" s="6" t="s">
        <v>9</v>
      </c>
      <c r="B63" s="1"/>
      <c r="C63" s="1"/>
      <c r="D63" s="7" t="s">
        <v>10</v>
      </c>
      <c r="F63" s="6" t="s">
        <v>9</v>
      </c>
      <c r="G63" s="1"/>
      <c r="H63" s="1"/>
      <c r="I63" s="7" t="s">
        <v>10</v>
      </c>
      <c r="K63" s="6" t="s">
        <v>9</v>
      </c>
      <c r="L63" s="1"/>
      <c r="M63" s="1"/>
      <c r="N63" s="7" t="s">
        <v>10</v>
      </c>
      <c r="P63" s="6" t="s">
        <v>9</v>
      </c>
      <c r="Q63" s="1"/>
      <c r="R63" s="1"/>
      <c r="S63" s="7" t="s">
        <v>10</v>
      </c>
    </row>
    <row r="64" spans="1:20" x14ac:dyDescent="0.45">
      <c r="A64" s="169">
        <v>71</v>
      </c>
      <c r="B64" s="170">
        <v>213</v>
      </c>
      <c r="C64" s="170">
        <v>79</v>
      </c>
      <c r="D64" s="170">
        <v>295</v>
      </c>
      <c r="E64" s="170">
        <v>295</v>
      </c>
      <c r="F64" s="169">
        <v>73</v>
      </c>
      <c r="G64" s="170">
        <v>242</v>
      </c>
      <c r="H64" s="170">
        <v>78</v>
      </c>
      <c r="I64" s="170">
        <v>321</v>
      </c>
      <c r="J64" s="170">
        <v>321</v>
      </c>
      <c r="K64" s="169">
        <v>76</v>
      </c>
      <c r="L64" s="170">
        <v>72</v>
      </c>
      <c r="M64" s="170">
        <v>30</v>
      </c>
      <c r="N64" s="170">
        <v>102</v>
      </c>
      <c r="O64" s="170">
        <v>102</v>
      </c>
      <c r="P64" s="169">
        <v>72</v>
      </c>
      <c r="Q64" s="170">
        <v>184</v>
      </c>
      <c r="R64" s="170">
        <v>175</v>
      </c>
      <c r="S64" s="170">
        <v>360</v>
      </c>
      <c r="T64" s="170">
        <v>360</v>
      </c>
    </row>
    <row r="65" spans="1:20" x14ac:dyDescent="0.45">
      <c r="A65" s="169">
        <v>70</v>
      </c>
      <c r="B65" s="170">
        <v>115</v>
      </c>
      <c r="C65" s="170">
        <v>58</v>
      </c>
      <c r="D65" s="170">
        <v>173</v>
      </c>
      <c r="E65" s="170">
        <v>468</v>
      </c>
      <c r="F65" s="169">
        <v>72</v>
      </c>
      <c r="G65" s="170">
        <v>62</v>
      </c>
      <c r="H65" s="170">
        <v>26</v>
      </c>
      <c r="I65" s="170">
        <v>89</v>
      </c>
      <c r="J65" s="170">
        <v>410</v>
      </c>
      <c r="K65" s="169">
        <v>75</v>
      </c>
      <c r="L65" s="170">
        <v>49</v>
      </c>
      <c r="M65" s="170">
        <v>22</v>
      </c>
      <c r="N65" s="170">
        <v>72</v>
      </c>
      <c r="O65" s="170">
        <v>174</v>
      </c>
      <c r="P65" s="169">
        <v>70</v>
      </c>
      <c r="Q65" s="170">
        <v>68</v>
      </c>
      <c r="R65" s="170">
        <v>65</v>
      </c>
      <c r="S65" s="170">
        <v>135</v>
      </c>
      <c r="T65" s="170">
        <v>495</v>
      </c>
    </row>
    <row r="66" spans="1:20" x14ac:dyDescent="0.45">
      <c r="A66" s="169">
        <v>69</v>
      </c>
      <c r="B66" s="170">
        <v>61</v>
      </c>
      <c r="C66" s="170">
        <v>37</v>
      </c>
      <c r="D66" s="170">
        <v>99</v>
      </c>
      <c r="E66" s="170">
        <v>567</v>
      </c>
      <c r="F66" s="169">
        <v>71</v>
      </c>
      <c r="G66" s="170">
        <v>153</v>
      </c>
      <c r="H66" s="170">
        <v>69</v>
      </c>
      <c r="I66" s="170">
        <v>225</v>
      </c>
      <c r="J66" s="170">
        <v>635</v>
      </c>
      <c r="K66" s="169">
        <v>74</v>
      </c>
      <c r="L66" s="170">
        <v>63</v>
      </c>
      <c r="M66" s="170">
        <v>28</v>
      </c>
      <c r="N66" s="170">
        <v>92</v>
      </c>
      <c r="O66" s="170">
        <v>266</v>
      </c>
      <c r="P66" s="169">
        <v>69</v>
      </c>
      <c r="Q66" s="170">
        <v>239</v>
      </c>
      <c r="R66" s="170">
        <v>303</v>
      </c>
      <c r="S66" s="170">
        <v>544</v>
      </c>
      <c r="T66" s="170">
        <v>1039</v>
      </c>
    </row>
    <row r="67" spans="1:20" x14ac:dyDescent="0.45">
      <c r="A67" s="169">
        <v>68</v>
      </c>
      <c r="B67" s="170">
        <v>69</v>
      </c>
      <c r="C67" s="170">
        <v>36</v>
      </c>
      <c r="D67" s="170">
        <v>105</v>
      </c>
      <c r="E67" s="170">
        <v>672</v>
      </c>
      <c r="F67" s="169">
        <v>70</v>
      </c>
      <c r="G67" s="170">
        <v>18</v>
      </c>
      <c r="H67" s="170">
        <v>11</v>
      </c>
      <c r="I67" s="170">
        <v>29</v>
      </c>
      <c r="J67" s="170">
        <v>664</v>
      </c>
      <c r="K67" s="169">
        <v>73</v>
      </c>
      <c r="L67" s="170">
        <v>18</v>
      </c>
      <c r="M67" s="170">
        <v>12</v>
      </c>
      <c r="N67" s="170">
        <v>30</v>
      </c>
      <c r="O67" s="170">
        <v>296</v>
      </c>
      <c r="P67" s="169">
        <v>68</v>
      </c>
      <c r="Q67" s="170">
        <v>140</v>
      </c>
      <c r="R67" s="170">
        <v>180</v>
      </c>
      <c r="S67" s="170">
        <v>323</v>
      </c>
      <c r="T67" s="170">
        <v>1362</v>
      </c>
    </row>
    <row r="68" spans="1:20" x14ac:dyDescent="0.45">
      <c r="A68" s="169">
        <v>67</v>
      </c>
      <c r="B68" s="170">
        <v>127</v>
      </c>
      <c r="C68" s="170">
        <v>85</v>
      </c>
      <c r="D68" s="170">
        <v>213</v>
      </c>
      <c r="E68" s="170">
        <v>885</v>
      </c>
      <c r="F68" s="169">
        <v>69</v>
      </c>
      <c r="G68" s="170">
        <v>110</v>
      </c>
      <c r="H68" s="170">
        <v>57</v>
      </c>
      <c r="I68" s="170">
        <v>167</v>
      </c>
      <c r="J68" s="170">
        <v>831</v>
      </c>
      <c r="K68" s="169">
        <v>72</v>
      </c>
      <c r="L68" s="170">
        <v>58</v>
      </c>
      <c r="M68" s="170">
        <v>38</v>
      </c>
      <c r="N68" s="170">
        <v>98</v>
      </c>
      <c r="O68" s="170">
        <v>394</v>
      </c>
      <c r="P68" s="169">
        <v>67</v>
      </c>
      <c r="Q68" s="170">
        <v>254</v>
      </c>
      <c r="R68" s="170">
        <v>397</v>
      </c>
      <c r="S68" s="170">
        <v>657</v>
      </c>
      <c r="T68" s="170">
        <v>2019</v>
      </c>
    </row>
    <row r="69" spans="1:20" x14ac:dyDescent="0.45">
      <c r="A69" s="169">
        <v>66</v>
      </c>
      <c r="B69" s="170">
        <v>112</v>
      </c>
      <c r="C69" s="170">
        <v>45</v>
      </c>
      <c r="D69" s="170">
        <v>159</v>
      </c>
      <c r="E69" s="170">
        <v>1044</v>
      </c>
      <c r="F69" s="169">
        <v>68</v>
      </c>
      <c r="G69" s="170">
        <v>122</v>
      </c>
      <c r="H69" s="170">
        <v>65</v>
      </c>
      <c r="I69" s="170">
        <v>187</v>
      </c>
      <c r="J69" s="170">
        <v>1018</v>
      </c>
      <c r="K69" s="169">
        <v>71</v>
      </c>
      <c r="L69" s="170">
        <v>51</v>
      </c>
      <c r="M69" s="170">
        <v>27</v>
      </c>
      <c r="N69" s="170">
        <v>78</v>
      </c>
      <c r="O69" s="170">
        <v>472</v>
      </c>
      <c r="P69" s="169">
        <v>66</v>
      </c>
      <c r="Q69" s="170">
        <v>47</v>
      </c>
      <c r="R69" s="170">
        <v>64</v>
      </c>
      <c r="S69" s="170">
        <v>113</v>
      </c>
      <c r="T69" s="170">
        <v>2132</v>
      </c>
    </row>
    <row r="70" spans="1:20" x14ac:dyDescent="0.45">
      <c r="A70" s="169">
        <v>65</v>
      </c>
      <c r="B70" s="170">
        <v>61</v>
      </c>
      <c r="C70" s="170">
        <v>52</v>
      </c>
      <c r="D70" s="170">
        <v>114</v>
      </c>
      <c r="E70" s="170">
        <v>1158</v>
      </c>
      <c r="F70" s="169">
        <v>67</v>
      </c>
      <c r="G70" s="170">
        <v>219</v>
      </c>
      <c r="H70" s="170">
        <v>119</v>
      </c>
      <c r="I70" s="170">
        <v>339</v>
      </c>
      <c r="J70" s="170">
        <v>1357</v>
      </c>
      <c r="K70" s="169">
        <v>70</v>
      </c>
      <c r="L70" s="170">
        <v>55</v>
      </c>
      <c r="M70" s="170">
        <v>34</v>
      </c>
      <c r="N70" s="170">
        <v>90</v>
      </c>
      <c r="O70" s="170">
        <v>562</v>
      </c>
      <c r="P70" s="169">
        <v>65</v>
      </c>
      <c r="Q70" s="170">
        <v>219</v>
      </c>
      <c r="R70" s="170">
        <v>430</v>
      </c>
      <c r="S70" s="170">
        <v>654</v>
      </c>
      <c r="T70" s="170">
        <v>2786</v>
      </c>
    </row>
    <row r="71" spans="1:20" x14ac:dyDescent="0.45">
      <c r="A71" s="169">
        <v>64</v>
      </c>
      <c r="B71" s="170">
        <v>150</v>
      </c>
      <c r="C71" s="170">
        <v>113</v>
      </c>
      <c r="D71" s="170">
        <v>264</v>
      </c>
      <c r="E71" s="170">
        <v>1422</v>
      </c>
      <c r="F71" s="169">
        <v>66</v>
      </c>
      <c r="G71" s="170">
        <v>116</v>
      </c>
      <c r="H71" s="170">
        <v>52</v>
      </c>
      <c r="I71" s="170">
        <v>168</v>
      </c>
      <c r="J71" s="170">
        <v>1525</v>
      </c>
      <c r="K71" s="169">
        <v>69</v>
      </c>
      <c r="L71" s="170">
        <v>65</v>
      </c>
      <c r="M71" s="170">
        <v>49</v>
      </c>
      <c r="N71" s="170">
        <v>114</v>
      </c>
      <c r="O71" s="170">
        <v>676</v>
      </c>
      <c r="P71" s="169">
        <v>64</v>
      </c>
      <c r="Q71" s="170">
        <v>218</v>
      </c>
      <c r="R71" s="170">
        <v>369</v>
      </c>
      <c r="S71" s="170">
        <v>589</v>
      </c>
      <c r="T71" s="170">
        <v>3375</v>
      </c>
    </row>
    <row r="72" spans="1:20" x14ac:dyDescent="0.45">
      <c r="A72" s="169">
        <v>63</v>
      </c>
      <c r="B72" s="170">
        <v>60</v>
      </c>
      <c r="C72" s="170">
        <v>52</v>
      </c>
      <c r="D72" s="170">
        <v>113</v>
      </c>
      <c r="E72" s="170">
        <v>1535</v>
      </c>
      <c r="F72" s="169">
        <v>65</v>
      </c>
      <c r="G72" s="170">
        <v>125</v>
      </c>
      <c r="H72" s="170">
        <v>84</v>
      </c>
      <c r="I72" s="170">
        <v>209</v>
      </c>
      <c r="J72" s="170">
        <v>1734</v>
      </c>
      <c r="K72" s="169">
        <v>68</v>
      </c>
      <c r="L72" s="170">
        <v>116</v>
      </c>
      <c r="M72" s="170">
        <v>76</v>
      </c>
      <c r="N72" s="170">
        <v>193</v>
      </c>
      <c r="O72" s="170">
        <v>869</v>
      </c>
      <c r="P72" s="169">
        <v>63</v>
      </c>
      <c r="Q72" s="170">
        <v>119</v>
      </c>
      <c r="R72" s="170">
        <v>193</v>
      </c>
      <c r="S72" s="170">
        <v>317</v>
      </c>
      <c r="T72" s="170">
        <v>3692</v>
      </c>
    </row>
    <row r="73" spans="1:20" x14ac:dyDescent="0.45">
      <c r="A73" s="169">
        <v>62</v>
      </c>
      <c r="B73" s="170">
        <v>83</v>
      </c>
      <c r="C73" s="170">
        <v>60</v>
      </c>
      <c r="D73" s="170">
        <v>145</v>
      </c>
      <c r="E73" s="170">
        <v>1680</v>
      </c>
      <c r="F73" s="169">
        <v>64</v>
      </c>
      <c r="G73" s="170">
        <v>145</v>
      </c>
      <c r="H73" s="170">
        <v>109</v>
      </c>
      <c r="I73" s="170">
        <v>256</v>
      </c>
      <c r="J73" s="170">
        <v>1990</v>
      </c>
      <c r="K73" s="169">
        <v>67</v>
      </c>
      <c r="L73" s="170">
        <v>64</v>
      </c>
      <c r="M73" s="170">
        <v>46</v>
      </c>
      <c r="N73" s="170">
        <v>111</v>
      </c>
      <c r="O73" s="170">
        <v>980</v>
      </c>
      <c r="P73" s="169">
        <v>62</v>
      </c>
      <c r="Q73" s="170">
        <v>434</v>
      </c>
      <c r="R73" s="170">
        <v>887</v>
      </c>
      <c r="S73" s="170">
        <v>1327</v>
      </c>
      <c r="T73" s="170">
        <v>5019</v>
      </c>
    </row>
    <row r="74" spans="1:20" x14ac:dyDescent="0.45">
      <c r="A74" s="169">
        <v>61</v>
      </c>
      <c r="B74" s="170">
        <v>150</v>
      </c>
      <c r="C74" s="170">
        <v>132</v>
      </c>
      <c r="D74" s="170">
        <v>282</v>
      </c>
      <c r="E74" s="170">
        <v>1962</v>
      </c>
      <c r="F74" s="169">
        <v>63</v>
      </c>
      <c r="G74" s="170">
        <v>269</v>
      </c>
      <c r="H74" s="170">
        <v>191</v>
      </c>
      <c r="I74" s="170">
        <v>462</v>
      </c>
      <c r="J74" s="170">
        <v>2452</v>
      </c>
      <c r="K74" s="169">
        <v>66</v>
      </c>
      <c r="L74" s="170">
        <v>69</v>
      </c>
      <c r="M74" s="170">
        <v>48</v>
      </c>
      <c r="N74" s="170">
        <v>118</v>
      </c>
      <c r="O74" s="170">
        <v>1098</v>
      </c>
      <c r="P74" s="169">
        <v>61</v>
      </c>
      <c r="Q74" s="170">
        <v>194</v>
      </c>
      <c r="R74" s="170">
        <v>423</v>
      </c>
      <c r="S74" s="170">
        <v>621</v>
      </c>
      <c r="T74" s="170">
        <v>5640</v>
      </c>
    </row>
    <row r="75" spans="1:20" x14ac:dyDescent="0.45">
      <c r="A75" s="169">
        <v>60</v>
      </c>
      <c r="B75" s="170">
        <v>77</v>
      </c>
      <c r="C75" s="170">
        <v>78</v>
      </c>
      <c r="D75" s="170">
        <v>156</v>
      </c>
      <c r="E75" s="170">
        <v>2118</v>
      </c>
      <c r="F75" s="169">
        <v>62</v>
      </c>
      <c r="G75" s="170">
        <v>142</v>
      </c>
      <c r="H75" s="170">
        <v>103</v>
      </c>
      <c r="I75" s="170">
        <v>245</v>
      </c>
      <c r="J75" s="170">
        <v>2697</v>
      </c>
      <c r="K75" s="169">
        <v>65</v>
      </c>
      <c r="L75" s="170">
        <v>85</v>
      </c>
      <c r="M75" s="170">
        <v>53</v>
      </c>
      <c r="N75" s="170">
        <v>139</v>
      </c>
      <c r="O75" s="170">
        <v>1237</v>
      </c>
      <c r="P75" s="169">
        <v>60</v>
      </c>
      <c r="Q75" s="170">
        <v>251</v>
      </c>
      <c r="R75" s="170">
        <v>580</v>
      </c>
      <c r="S75" s="170">
        <v>838</v>
      </c>
      <c r="T75" s="170">
        <v>6478</v>
      </c>
    </row>
    <row r="76" spans="1:20" x14ac:dyDescent="0.45">
      <c r="A76" s="169">
        <v>59</v>
      </c>
      <c r="B76" s="170">
        <v>84</v>
      </c>
      <c r="C76" s="170">
        <v>76</v>
      </c>
      <c r="D76" s="170">
        <v>160</v>
      </c>
      <c r="E76" s="170">
        <v>2278</v>
      </c>
      <c r="F76" s="169">
        <v>61</v>
      </c>
      <c r="G76" s="170">
        <v>131</v>
      </c>
      <c r="H76" s="170">
        <v>106</v>
      </c>
      <c r="I76" s="170">
        <v>240</v>
      </c>
      <c r="J76" s="170">
        <v>2937</v>
      </c>
      <c r="K76" s="169">
        <v>64</v>
      </c>
      <c r="L76" s="170">
        <v>55</v>
      </c>
      <c r="M76" s="170">
        <v>36</v>
      </c>
      <c r="N76" s="170">
        <v>92</v>
      </c>
      <c r="O76" s="170">
        <v>1329</v>
      </c>
      <c r="P76" s="169">
        <v>59</v>
      </c>
      <c r="Q76" s="170">
        <v>169</v>
      </c>
      <c r="R76" s="170">
        <v>351</v>
      </c>
      <c r="S76" s="170">
        <v>529</v>
      </c>
      <c r="T76" s="170">
        <v>7007</v>
      </c>
    </row>
    <row r="77" spans="1:20" x14ac:dyDescent="0.45">
      <c r="A77" s="169">
        <v>58</v>
      </c>
      <c r="B77" s="170">
        <v>107</v>
      </c>
      <c r="C77" s="170">
        <v>86</v>
      </c>
      <c r="D77" s="170">
        <v>194</v>
      </c>
      <c r="E77" s="170">
        <v>2472</v>
      </c>
      <c r="F77" s="169">
        <v>60</v>
      </c>
      <c r="G77" s="170">
        <v>179</v>
      </c>
      <c r="H77" s="170">
        <v>135</v>
      </c>
      <c r="I77" s="170">
        <v>316</v>
      </c>
      <c r="J77" s="170">
        <v>3253</v>
      </c>
      <c r="K77" s="169">
        <v>63</v>
      </c>
      <c r="L77" s="170">
        <v>69</v>
      </c>
      <c r="M77" s="170">
        <v>59</v>
      </c>
      <c r="N77" s="170">
        <v>129</v>
      </c>
      <c r="O77" s="170">
        <v>1458</v>
      </c>
      <c r="P77" s="169">
        <v>58</v>
      </c>
      <c r="Q77" s="170">
        <v>245</v>
      </c>
      <c r="R77" s="170">
        <v>526</v>
      </c>
      <c r="S77" s="170">
        <v>777</v>
      </c>
      <c r="T77" s="170">
        <v>7784</v>
      </c>
    </row>
    <row r="78" spans="1:20" x14ac:dyDescent="0.45">
      <c r="A78" s="169">
        <v>57</v>
      </c>
      <c r="B78" s="170">
        <v>163</v>
      </c>
      <c r="C78" s="170">
        <v>168</v>
      </c>
      <c r="D78" s="170">
        <v>334</v>
      </c>
      <c r="E78" s="170">
        <v>2806</v>
      </c>
      <c r="F78" s="169">
        <v>59</v>
      </c>
      <c r="G78" s="170">
        <v>126</v>
      </c>
      <c r="H78" s="170">
        <v>102</v>
      </c>
      <c r="I78" s="170">
        <v>233</v>
      </c>
      <c r="J78" s="170">
        <v>3486</v>
      </c>
      <c r="K78" s="169">
        <v>62</v>
      </c>
      <c r="L78" s="170">
        <v>84</v>
      </c>
      <c r="M78" s="170">
        <v>53</v>
      </c>
      <c r="N78" s="170">
        <v>138</v>
      </c>
      <c r="O78" s="170">
        <v>1596</v>
      </c>
      <c r="P78" s="169">
        <v>57</v>
      </c>
      <c r="Q78" s="170">
        <v>428</v>
      </c>
      <c r="R78" s="170">
        <v>958</v>
      </c>
      <c r="S78" s="170">
        <v>1408</v>
      </c>
      <c r="T78" s="170">
        <v>9192</v>
      </c>
    </row>
    <row r="79" spans="1:20" x14ac:dyDescent="0.45">
      <c r="A79" s="169">
        <v>56</v>
      </c>
      <c r="B79" s="170">
        <v>87</v>
      </c>
      <c r="C79" s="170">
        <v>80</v>
      </c>
      <c r="D79" s="170">
        <v>167</v>
      </c>
      <c r="E79" s="170">
        <v>2973</v>
      </c>
      <c r="F79" s="169">
        <v>58</v>
      </c>
      <c r="G79" s="170">
        <v>347</v>
      </c>
      <c r="H79" s="170">
        <v>304</v>
      </c>
      <c r="I79" s="170">
        <v>655</v>
      </c>
      <c r="J79" s="170">
        <v>4141</v>
      </c>
      <c r="K79" s="169">
        <v>61</v>
      </c>
      <c r="L79" s="170">
        <v>165</v>
      </c>
      <c r="M79" s="170">
        <v>116</v>
      </c>
      <c r="N79" s="170">
        <v>286</v>
      </c>
      <c r="O79" s="170">
        <v>1882</v>
      </c>
      <c r="P79" s="169">
        <v>56</v>
      </c>
      <c r="Q79" s="170">
        <v>263</v>
      </c>
      <c r="R79" s="170">
        <v>502</v>
      </c>
      <c r="S79" s="170">
        <v>775</v>
      </c>
      <c r="T79" s="170">
        <v>9967</v>
      </c>
    </row>
    <row r="80" spans="1:20" x14ac:dyDescent="0.45">
      <c r="A80" s="169">
        <v>55</v>
      </c>
      <c r="B80" s="170">
        <v>105</v>
      </c>
      <c r="C80" s="170">
        <v>83</v>
      </c>
      <c r="D80" s="170">
        <v>189</v>
      </c>
      <c r="E80" s="170">
        <v>3162</v>
      </c>
      <c r="F80" s="169">
        <v>57</v>
      </c>
      <c r="G80" s="170">
        <v>162</v>
      </c>
      <c r="H80" s="170">
        <v>167</v>
      </c>
      <c r="I80" s="170">
        <v>330</v>
      </c>
      <c r="J80" s="170">
        <v>4471</v>
      </c>
      <c r="K80" s="169">
        <v>60</v>
      </c>
      <c r="L80" s="170">
        <v>78</v>
      </c>
      <c r="M80" s="170">
        <v>62</v>
      </c>
      <c r="N80" s="170">
        <v>142</v>
      </c>
      <c r="O80" s="170">
        <v>2024</v>
      </c>
      <c r="P80" s="169">
        <v>55</v>
      </c>
      <c r="Q80" s="170">
        <v>193</v>
      </c>
      <c r="R80" s="170">
        <v>442</v>
      </c>
      <c r="S80" s="170">
        <v>643</v>
      </c>
      <c r="T80" s="170">
        <v>10610</v>
      </c>
    </row>
    <row r="81" spans="1:20" x14ac:dyDescent="0.45">
      <c r="A81" s="169">
        <v>54</v>
      </c>
      <c r="B81" s="170">
        <v>196</v>
      </c>
      <c r="C81" s="170">
        <v>226</v>
      </c>
      <c r="D81" s="170">
        <v>424</v>
      </c>
      <c r="E81" s="170">
        <v>3586</v>
      </c>
      <c r="F81" s="169">
        <v>56</v>
      </c>
      <c r="G81" s="170">
        <v>201</v>
      </c>
      <c r="H81" s="170">
        <v>161</v>
      </c>
      <c r="I81" s="170">
        <v>362</v>
      </c>
      <c r="J81" s="170">
        <v>4833</v>
      </c>
      <c r="K81" s="169">
        <v>59</v>
      </c>
      <c r="L81" s="170">
        <v>79</v>
      </c>
      <c r="M81" s="170">
        <v>60</v>
      </c>
      <c r="N81" s="170">
        <v>140</v>
      </c>
      <c r="O81" s="170">
        <v>2164</v>
      </c>
      <c r="P81" s="169">
        <v>54</v>
      </c>
      <c r="Q81" s="170">
        <v>256</v>
      </c>
      <c r="R81" s="170">
        <v>521</v>
      </c>
      <c r="S81" s="170">
        <v>783</v>
      </c>
      <c r="T81" s="170">
        <v>11393</v>
      </c>
    </row>
    <row r="82" spans="1:20" x14ac:dyDescent="0.45">
      <c r="A82" s="169">
        <v>53</v>
      </c>
      <c r="B82" s="170">
        <v>102</v>
      </c>
      <c r="C82" s="170">
        <v>127</v>
      </c>
      <c r="D82" s="170">
        <v>230</v>
      </c>
      <c r="E82" s="170">
        <v>3816</v>
      </c>
      <c r="F82" s="169">
        <v>55</v>
      </c>
      <c r="G82" s="170">
        <v>194</v>
      </c>
      <c r="H82" s="170">
        <v>165</v>
      </c>
      <c r="I82" s="170">
        <v>359</v>
      </c>
      <c r="J82" s="170">
        <v>5192</v>
      </c>
      <c r="K82" s="169">
        <v>58</v>
      </c>
      <c r="L82" s="170">
        <v>93</v>
      </c>
      <c r="M82" s="170">
        <v>54</v>
      </c>
      <c r="N82" s="170">
        <v>150</v>
      </c>
      <c r="O82" s="170">
        <v>2314</v>
      </c>
      <c r="P82" s="169">
        <v>53</v>
      </c>
      <c r="Q82" s="170">
        <v>249</v>
      </c>
      <c r="R82" s="170">
        <v>461</v>
      </c>
      <c r="S82" s="170">
        <v>714</v>
      </c>
      <c r="T82" s="170">
        <v>12107</v>
      </c>
    </row>
    <row r="83" spans="1:20" x14ac:dyDescent="0.45">
      <c r="A83" s="169">
        <v>52</v>
      </c>
      <c r="B83" s="170">
        <v>110</v>
      </c>
      <c r="C83" s="170">
        <v>107</v>
      </c>
      <c r="D83" s="170">
        <v>217</v>
      </c>
      <c r="E83" s="170">
        <v>4033</v>
      </c>
      <c r="F83" s="169">
        <v>54</v>
      </c>
      <c r="G83" s="170">
        <v>385</v>
      </c>
      <c r="H83" s="170">
        <v>332</v>
      </c>
      <c r="I83" s="170">
        <v>723</v>
      </c>
      <c r="J83" s="170">
        <v>5915</v>
      </c>
      <c r="K83" s="169">
        <v>57</v>
      </c>
      <c r="L83" s="170">
        <v>102</v>
      </c>
      <c r="M83" s="170">
        <v>79</v>
      </c>
      <c r="N83" s="170">
        <v>182</v>
      </c>
      <c r="O83" s="170">
        <v>2496</v>
      </c>
      <c r="P83" s="169">
        <v>52</v>
      </c>
      <c r="Q83" s="170">
        <v>528</v>
      </c>
      <c r="R83" s="170">
        <v>967</v>
      </c>
      <c r="S83" s="170">
        <v>1505</v>
      </c>
      <c r="T83" s="170">
        <v>13612</v>
      </c>
    </row>
    <row r="84" spans="1:20" x14ac:dyDescent="0.45">
      <c r="A84" s="169">
        <v>51</v>
      </c>
      <c r="B84" s="170">
        <v>215</v>
      </c>
      <c r="C84" s="170">
        <v>249</v>
      </c>
      <c r="D84" s="170">
        <v>471</v>
      </c>
      <c r="E84" s="170">
        <v>4504</v>
      </c>
      <c r="F84" s="169">
        <v>53</v>
      </c>
      <c r="G84" s="170">
        <v>158</v>
      </c>
      <c r="H84" s="170">
        <v>181</v>
      </c>
      <c r="I84" s="170">
        <v>342</v>
      </c>
      <c r="J84" s="170">
        <v>6257</v>
      </c>
      <c r="K84" s="169">
        <v>56</v>
      </c>
      <c r="L84" s="170">
        <v>112</v>
      </c>
      <c r="M84" s="170">
        <v>95</v>
      </c>
      <c r="N84" s="170">
        <v>208</v>
      </c>
      <c r="O84" s="170">
        <v>2704</v>
      </c>
      <c r="P84" s="169">
        <v>51</v>
      </c>
      <c r="Q84" s="170">
        <v>278</v>
      </c>
      <c r="R84" s="170">
        <v>454</v>
      </c>
      <c r="S84" s="170">
        <v>737</v>
      </c>
      <c r="T84" s="170">
        <v>14349</v>
      </c>
    </row>
    <row r="85" spans="1:20" x14ac:dyDescent="0.45">
      <c r="A85" s="169">
        <v>50</v>
      </c>
      <c r="B85" s="170">
        <v>100</v>
      </c>
      <c r="C85" s="170">
        <v>115</v>
      </c>
      <c r="D85" s="170">
        <v>217</v>
      </c>
      <c r="E85" s="170">
        <v>4721</v>
      </c>
      <c r="F85" s="169">
        <v>52</v>
      </c>
      <c r="G85" s="170">
        <v>226</v>
      </c>
      <c r="H85" s="170">
        <v>211</v>
      </c>
      <c r="I85" s="170">
        <v>440</v>
      </c>
      <c r="J85" s="170">
        <v>6697</v>
      </c>
      <c r="K85" s="169">
        <v>55</v>
      </c>
      <c r="L85" s="170">
        <v>108</v>
      </c>
      <c r="M85" s="170">
        <v>68</v>
      </c>
      <c r="N85" s="170">
        <v>179</v>
      </c>
      <c r="O85" s="170">
        <v>2883</v>
      </c>
      <c r="P85" s="169">
        <v>50</v>
      </c>
      <c r="Q85" s="170">
        <v>277</v>
      </c>
      <c r="R85" s="170">
        <v>455</v>
      </c>
      <c r="S85" s="170">
        <v>741</v>
      </c>
      <c r="T85" s="170">
        <v>15090</v>
      </c>
    </row>
    <row r="86" spans="1:20" x14ac:dyDescent="0.45">
      <c r="A86" s="169">
        <v>49</v>
      </c>
      <c r="B86" s="170">
        <v>105</v>
      </c>
      <c r="C86" s="170">
        <v>122</v>
      </c>
      <c r="D86" s="170">
        <v>230</v>
      </c>
      <c r="E86" s="170">
        <v>4951</v>
      </c>
      <c r="F86" s="169">
        <v>51</v>
      </c>
      <c r="G86" s="170">
        <v>179</v>
      </c>
      <c r="H86" s="170">
        <v>176</v>
      </c>
      <c r="I86" s="170">
        <v>356</v>
      </c>
      <c r="J86" s="170">
        <v>7053</v>
      </c>
      <c r="K86" s="169">
        <v>54</v>
      </c>
      <c r="L86" s="170">
        <v>213</v>
      </c>
      <c r="M86" s="170">
        <v>155</v>
      </c>
      <c r="N86" s="170">
        <v>374</v>
      </c>
      <c r="O86" s="170">
        <v>3257</v>
      </c>
      <c r="P86" s="169">
        <v>49</v>
      </c>
      <c r="Q86" s="170">
        <v>300</v>
      </c>
      <c r="R86" s="170">
        <v>462</v>
      </c>
      <c r="S86" s="170">
        <v>766</v>
      </c>
      <c r="T86" s="170">
        <v>15856</v>
      </c>
    </row>
    <row r="87" spans="1:20" x14ac:dyDescent="0.45">
      <c r="A87" s="169">
        <v>48</v>
      </c>
      <c r="B87" s="170">
        <v>112</v>
      </c>
      <c r="C87" s="170">
        <v>144</v>
      </c>
      <c r="D87" s="170">
        <v>257</v>
      </c>
      <c r="E87" s="170">
        <v>5208</v>
      </c>
      <c r="F87" s="169">
        <v>50</v>
      </c>
      <c r="G87" s="170">
        <v>189</v>
      </c>
      <c r="H87" s="170">
        <v>186</v>
      </c>
      <c r="I87" s="170">
        <v>375</v>
      </c>
      <c r="J87" s="170">
        <v>7428</v>
      </c>
      <c r="K87" s="169">
        <v>53</v>
      </c>
      <c r="L87" s="170">
        <v>110</v>
      </c>
      <c r="M87" s="170">
        <v>72</v>
      </c>
      <c r="N87" s="170">
        <v>188</v>
      </c>
      <c r="O87" s="170">
        <v>3445</v>
      </c>
      <c r="P87" s="169">
        <v>48</v>
      </c>
      <c r="Q87" s="170">
        <v>292</v>
      </c>
      <c r="R87" s="170">
        <v>430</v>
      </c>
      <c r="S87" s="170">
        <v>730</v>
      </c>
      <c r="T87" s="170">
        <v>16586</v>
      </c>
    </row>
    <row r="88" spans="1:20" x14ac:dyDescent="0.45">
      <c r="A88" s="169">
        <v>47</v>
      </c>
      <c r="B88" s="170">
        <v>237</v>
      </c>
      <c r="C88" s="170">
        <v>270</v>
      </c>
      <c r="D88" s="170">
        <v>509</v>
      </c>
      <c r="E88" s="170">
        <v>5717</v>
      </c>
      <c r="F88" s="169">
        <v>49</v>
      </c>
      <c r="G88" s="170">
        <v>390</v>
      </c>
      <c r="H88" s="170">
        <v>371</v>
      </c>
      <c r="I88" s="170">
        <v>768</v>
      </c>
      <c r="J88" s="170">
        <v>8196</v>
      </c>
      <c r="K88" s="169">
        <v>52</v>
      </c>
      <c r="L88" s="170">
        <v>159</v>
      </c>
      <c r="M88" s="170">
        <v>89</v>
      </c>
      <c r="N88" s="170">
        <v>249</v>
      </c>
      <c r="O88" s="170">
        <v>3694</v>
      </c>
      <c r="P88" s="169">
        <v>47</v>
      </c>
      <c r="Q88" s="170">
        <v>644</v>
      </c>
      <c r="R88" s="170">
        <v>886</v>
      </c>
      <c r="S88" s="170">
        <v>1548</v>
      </c>
      <c r="T88" s="170">
        <v>18134</v>
      </c>
    </row>
    <row r="89" spans="1:20" x14ac:dyDescent="0.45">
      <c r="A89" s="169">
        <v>46</v>
      </c>
      <c r="B89" s="170">
        <v>126</v>
      </c>
      <c r="C89" s="170">
        <v>147</v>
      </c>
      <c r="D89" s="170">
        <v>276</v>
      </c>
      <c r="E89" s="170">
        <v>5993</v>
      </c>
      <c r="F89" s="169">
        <v>48</v>
      </c>
      <c r="G89" s="170">
        <v>224</v>
      </c>
      <c r="H89" s="170">
        <v>203</v>
      </c>
      <c r="I89" s="170">
        <v>439</v>
      </c>
      <c r="J89" s="170">
        <v>8635</v>
      </c>
      <c r="K89" s="169">
        <v>51</v>
      </c>
      <c r="L89" s="170">
        <v>144</v>
      </c>
      <c r="M89" s="170">
        <v>99</v>
      </c>
      <c r="N89" s="170">
        <v>243</v>
      </c>
      <c r="O89" s="170">
        <v>3937</v>
      </c>
      <c r="P89" s="169">
        <v>46</v>
      </c>
      <c r="Q89" s="170">
        <v>347</v>
      </c>
      <c r="R89" s="170">
        <v>461</v>
      </c>
      <c r="S89" s="170">
        <v>814</v>
      </c>
      <c r="T89" s="170">
        <v>18948</v>
      </c>
    </row>
    <row r="90" spans="1:20" x14ac:dyDescent="0.45">
      <c r="A90" s="169">
        <v>45</v>
      </c>
      <c r="B90" s="170">
        <v>131</v>
      </c>
      <c r="C90" s="170">
        <v>145</v>
      </c>
      <c r="D90" s="170">
        <v>278</v>
      </c>
      <c r="E90" s="170">
        <v>6271</v>
      </c>
      <c r="F90" s="169">
        <v>47</v>
      </c>
      <c r="G90" s="170">
        <v>175</v>
      </c>
      <c r="H90" s="170">
        <v>199</v>
      </c>
      <c r="I90" s="170">
        <v>374</v>
      </c>
      <c r="J90" s="170">
        <v>9009</v>
      </c>
      <c r="K90" s="169">
        <v>50</v>
      </c>
      <c r="L90" s="170">
        <v>152</v>
      </c>
      <c r="M90" s="170">
        <v>90</v>
      </c>
      <c r="N90" s="170">
        <v>249</v>
      </c>
      <c r="O90" s="170">
        <v>4186</v>
      </c>
      <c r="P90" s="169">
        <v>45</v>
      </c>
      <c r="Q90" s="170">
        <v>333</v>
      </c>
      <c r="R90" s="170">
        <v>400</v>
      </c>
      <c r="S90" s="170">
        <v>741</v>
      </c>
      <c r="T90" s="170">
        <v>19689</v>
      </c>
    </row>
    <row r="91" spans="1:20" x14ac:dyDescent="0.45">
      <c r="A91" s="169">
        <v>44</v>
      </c>
      <c r="B91" s="170">
        <v>338</v>
      </c>
      <c r="C91" s="170">
        <v>307</v>
      </c>
      <c r="D91" s="170">
        <v>656</v>
      </c>
      <c r="E91" s="170">
        <v>6927</v>
      </c>
      <c r="F91" s="169">
        <v>46</v>
      </c>
      <c r="G91" s="170">
        <v>223</v>
      </c>
      <c r="H91" s="170">
        <v>194</v>
      </c>
      <c r="I91" s="170">
        <v>420</v>
      </c>
      <c r="J91" s="170">
        <v>9429</v>
      </c>
      <c r="K91" s="169">
        <v>49</v>
      </c>
      <c r="L91" s="170">
        <v>162</v>
      </c>
      <c r="M91" s="170">
        <v>78</v>
      </c>
      <c r="N91" s="170">
        <v>246</v>
      </c>
      <c r="O91" s="170">
        <v>4432</v>
      </c>
      <c r="P91" s="169">
        <v>44</v>
      </c>
      <c r="Q91" s="170">
        <v>546</v>
      </c>
      <c r="R91" s="170">
        <v>544</v>
      </c>
      <c r="S91" s="170">
        <v>1105</v>
      </c>
      <c r="T91" s="170">
        <v>20794</v>
      </c>
    </row>
    <row r="92" spans="1:20" x14ac:dyDescent="0.45">
      <c r="A92" s="169">
        <v>43</v>
      </c>
      <c r="B92" s="170">
        <v>237</v>
      </c>
      <c r="C92" s="170">
        <v>204</v>
      </c>
      <c r="D92" s="170">
        <v>448</v>
      </c>
      <c r="E92" s="170">
        <v>7375</v>
      </c>
      <c r="F92" s="169">
        <v>45</v>
      </c>
      <c r="G92" s="170">
        <v>463</v>
      </c>
      <c r="H92" s="170">
        <v>443</v>
      </c>
      <c r="I92" s="170">
        <v>910</v>
      </c>
      <c r="J92" s="170">
        <v>10339</v>
      </c>
      <c r="K92" s="169">
        <v>48</v>
      </c>
      <c r="L92" s="170">
        <v>187</v>
      </c>
      <c r="M92" s="170">
        <v>106</v>
      </c>
      <c r="N92" s="170">
        <v>296</v>
      </c>
      <c r="O92" s="170">
        <v>4728</v>
      </c>
      <c r="P92" s="169">
        <v>43</v>
      </c>
      <c r="Q92" s="170">
        <v>335</v>
      </c>
      <c r="R92" s="170">
        <v>402</v>
      </c>
      <c r="S92" s="170">
        <v>745</v>
      </c>
      <c r="T92" s="170">
        <v>21539</v>
      </c>
    </row>
    <row r="93" spans="1:20" x14ac:dyDescent="0.45">
      <c r="A93" s="169">
        <v>42</v>
      </c>
      <c r="B93" s="170">
        <v>146</v>
      </c>
      <c r="C93" s="170">
        <v>127</v>
      </c>
      <c r="D93" s="170">
        <v>275</v>
      </c>
      <c r="E93" s="170">
        <v>7650</v>
      </c>
      <c r="F93" s="169">
        <v>44</v>
      </c>
      <c r="G93" s="170">
        <v>245</v>
      </c>
      <c r="H93" s="170">
        <v>235</v>
      </c>
      <c r="I93" s="170">
        <v>484</v>
      </c>
      <c r="J93" s="170">
        <v>10823</v>
      </c>
      <c r="K93" s="169">
        <v>47</v>
      </c>
      <c r="L93" s="170">
        <v>372</v>
      </c>
      <c r="M93" s="170">
        <v>191</v>
      </c>
      <c r="N93" s="170">
        <v>576</v>
      </c>
      <c r="O93" s="170">
        <v>5304</v>
      </c>
      <c r="P93" s="169">
        <v>42</v>
      </c>
      <c r="Q93" s="170">
        <v>751</v>
      </c>
      <c r="R93" s="170">
        <v>810</v>
      </c>
      <c r="S93" s="170">
        <v>1588</v>
      </c>
      <c r="T93" s="170">
        <v>23127</v>
      </c>
    </row>
    <row r="94" spans="1:20" x14ac:dyDescent="0.45">
      <c r="A94" s="169">
        <v>41</v>
      </c>
      <c r="B94" s="170">
        <v>284</v>
      </c>
      <c r="C94" s="170">
        <v>248</v>
      </c>
      <c r="D94" s="170">
        <v>545</v>
      </c>
      <c r="E94" s="170">
        <v>8195</v>
      </c>
      <c r="F94" s="169">
        <v>43</v>
      </c>
      <c r="G94" s="170">
        <v>248</v>
      </c>
      <c r="H94" s="170">
        <v>213</v>
      </c>
      <c r="I94" s="170">
        <v>466</v>
      </c>
      <c r="J94" s="170">
        <v>11289</v>
      </c>
      <c r="K94" s="169">
        <v>46</v>
      </c>
      <c r="L94" s="170">
        <v>238</v>
      </c>
      <c r="M94" s="170">
        <v>117</v>
      </c>
      <c r="N94" s="170">
        <v>359</v>
      </c>
      <c r="O94" s="170">
        <v>5663</v>
      </c>
      <c r="P94" s="169">
        <v>41</v>
      </c>
      <c r="Q94" s="170">
        <v>320</v>
      </c>
      <c r="R94" s="170">
        <v>327</v>
      </c>
      <c r="S94" s="170">
        <v>652</v>
      </c>
      <c r="T94" s="170">
        <v>23779</v>
      </c>
    </row>
    <row r="95" spans="1:20" x14ac:dyDescent="0.45">
      <c r="A95" s="169">
        <v>40</v>
      </c>
      <c r="B95" s="170">
        <v>188</v>
      </c>
      <c r="C95" s="170">
        <v>127</v>
      </c>
      <c r="D95" s="170">
        <v>319</v>
      </c>
      <c r="E95" s="170">
        <v>8514</v>
      </c>
      <c r="F95" s="169">
        <v>42</v>
      </c>
      <c r="G95" s="170">
        <v>467</v>
      </c>
      <c r="H95" s="170">
        <v>343</v>
      </c>
      <c r="I95" s="170">
        <v>821</v>
      </c>
      <c r="J95" s="170">
        <v>12110</v>
      </c>
      <c r="K95" s="169">
        <v>45</v>
      </c>
      <c r="L95" s="170">
        <v>226</v>
      </c>
      <c r="M95" s="170">
        <v>120</v>
      </c>
      <c r="N95" s="170">
        <v>349</v>
      </c>
      <c r="O95" s="170">
        <v>6012</v>
      </c>
      <c r="P95" s="169">
        <v>40</v>
      </c>
      <c r="Q95" s="170">
        <v>1231</v>
      </c>
      <c r="R95" s="170">
        <v>759</v>
      </c>
      <c r="S95" s="170">
        <v>2029</v>
      </c>
      <c r="T95" s="170">
        <v>25808</v>
      </c>
    </row>
    <row r="96" spans="1:20" x14ac:dyDescent="0.45">
      <c r="A96" s="169">
        <v>39</v>
      </c>
      <c r="B96" s="170">
        <v>95</v>
      </c>
      <c r="C96" s="170">
        <v>81</v>
      </c>
      <c r="D96" s="170">
        <v>176</v>
      </c>
      <c r="E96" s="170">
        <v>8690</v>
      </c>
      <c r="F96" s="169">
        <v>41</v>
      </c>
      <c r="G96" s="170">
        <v>255</v>
      </c>
      <c r="H96" s="170">
        <v>218</v>
      </c>
      <c r="I96" s="170">
        <v>476</v>
      </c>
      <c r="J96" s="170">
        <v>12586</v>
      </c>
      <c r="K96" s="169">
        <v>44</v>
      </c>
      <c r="L96" s="170">
        <v>853</v>
      </c>
      <c r="M96" s="170">
        <v>252</v>
      </c>
      <c r="N96" s="170">
        <v>1129</v>
      </c>
      <c r="O96" s="170">
        <v>7141</v>
      </c>
      <c r="P96" s="169">
        <v>39</v>
      </c>
      <c r="Q96" s="170">
        <v>310</v>
      </c>
      <c r="R96" s="170">
        <v>301</v>
      </c>
      <c r="S96" s="170">
        <v>621</v>
      </c>
      <c r="T96" s="170">
        <v>26429</v>
      </c>
    </row>
    <row r="97" spans="1:20" x14ac:dyDescent="0.45">
      <c r="A97" s="169">
        <v>38</v>
      </c>
      <c r="B97" s="170">
        <v>794</v>
      </c>
      <c r="C97" s="170">
        <v>391</v>
      </c>
      <c r="D97" s="170">
        <v>1208</v>
      </c>
      <c r="E97" s="170">
        <v>9898</v>
      </c>
      <c r="F97" s="169">
        <v>40</v>
      </c>
      <c r="G97" s="170">
        <v>1271</v>
      </c>
      <c r="H97" s="170">
        <v>650</v>
      </c>
      <c r="I97" s="170">
        <v>1963</v>
      </c>
      <c r="J97" s="170">
        <v>14549</v>
      </c>
      <c r="K97" s="169">
        <v>43</v>
      </c>
      <c r="L97" s="170">
        <v>266</v>
      </c>
      <c r="M97" s="170">
        <v>134</v>
      </c>
      <c r="N97" s="170">
        <v>404</v>
      </c>
      <c r="O97" s="170">
        <v>7545</v>
      </c>
      <c r="P97" s="169">
        <v>38</v>
      </c>
      <c r="Q97" s="170">
        <v>323</v>
      </c>
      <c r="R97" s="170">
        <v>282</v>
      </c>
      <c r="S97" s="170">
        <v>613</v>
      </c>
      <c r="T97" s="170">
        <v>27042</v>
      </c>
    </row>
    <row r="98" spans="1:20" x14ac:dyDescent="0.45">
      <c r="A98" s="169">
        <v>37</v>
      </c>
      <c r="B98" s="170">
        <v>121</v>
      </c>
      <c r="C98" s="170">
        <v>90</v>
      </c>
      <c r="D98" s="170">
        <v>214</v>
      </c>
      <c r="E98" s="170">
        <v>10112</v>
      </c>
      <c r="F98" s="169">
        <v>39</v>
      </c>
      <c r="G98" s="170">
        <v>163</v>
      </c>
      <c r="H98" s="170">
        <v>149</v>
      </c>
      <c r="I98" s="170">
        <v>312</v>
      </c>
      <c r="J98" s="170">
        <v>14861</v>
      </c>
      <c r="K98" s="169">
        <v>42</v>
      </c>
      <c r="L98" s="170">
        <v>170</v>
      </c>
      <c r="M98" s="170">
        <v>79</v>
      </c>
      <c r="N98" s="170">
        <v>253</v>
      </c>
      <c r="O98" s="170">
        <v>7798</v>
      </c>
      <c r="P98" s="169">
        <v>37</v>
      </c>
      <c r="Q98" s="170">
        <v>238</v>
      </c>
      <c r="R98" s="170">
        <v>216</v>
      </c>
      <c r="S98" s="170">
        <v>458</v>
      </c>
      <c r="T98" s="170">
        <v>27500</v>
      </c>
    </row>
    <row r="99" spans="1:20" x14ac:dyDescent="0.45">
      <c r="A99" s="169">
        <v>36</v>
      </c>
      <c r="B99" s="170">
        <v>27</v>
      </c>
      <c r="C99" s="170">
        <v>17</v>
      </c>
      <c r="D99" s="170">
        <v>45</v>
      </c>
      <c r="E99" s="170">
        <v>10157</v>
      </c>
      <c r="F99" s="169">
        <v>38</v>
      </c>
      <c r="G99" s="170">
        <v>560</v>
      </c>
      <c r="H99" s="170">
        <v>325</v>
      </c>
      <c r="I99" s="170">
        <v>903</v>
      </c>
      <c r="J99" s="170">
        <v>15764</v>
      </c>
      <c r="K99" s="169">
        <v>41</v>
      </c>
      <c r="L99" s="170">
        <v>745</v>
      </c>
      <c r="M99" s="170">
        <v>346</v>
      </c>
      <c r="N99" s="170">
        <v>1118</v>
      </c>
      <c r="O99" s="170">
        <v>8916</v>
      </c>
      <c r="P99" s="169">
        <v>36</v>
      </c>
      <c r="Q99" s="170">
        <v>1118</v>
      </c>
      <c r="R99" s="170">
        <v>782</v>
      </c>
      <c r="S99" s="170">
        <v>1932</v>
      </c>
      <c r="T99" s="170">
        <v>29432</v>
      </c>
    </row>
    <row r="100" spans="1:20" x14ac:dyDescent="0.45">
      <c r="A100" s="169">
        <v>35</v>
      </c>
      <c r="B100" s="170">
        <v>25</v>
      </c>
      <c r="C100" s="170">
        <v>8</v>
      </c>
      <c r="D100" s="170">
        <v>34</v>
      </c>
      <c r="E100" s="170">
        <v>10191</v>
      </c>
      <c r="F100" s="169">
        <v>37</v>
      </c>
      <c r="G100" s="170">
        <v>140</v>
      </c>
      <c r="H100" s="170">
        <v>84</v>
      </c>
      <c r="I100" s="170">
        <v>226</v>
      </c>
      <c r="J100" s="170">
        <v>15990</v>
      </c>
      <c r="K100" s="169">
        <v>40</v>
      </c>
      <c r="L100" s="170">
        <v>350</v>
      </c>
      <c r="M100" s="170">
        <v>156</v>
      </c>
      <c r="N100" s="170">
        <v>513</v>
      </c>
      <c r="O100" s="170">
        <v>9429</v>
      </c>
      <c r="P100" s="169">
        <v>35</v>
      </c>
      <c r="Q100" s="170">
        <v>288</v>
      </c>
      <c r="R100" s="170">
        <v>225</v>
      </c>
      <c r="S100" s="170">
        <v>522</v>
      </c>
      <c r="T100" s="170">
        <v>29954</v>
      </c>
    </row>
    <row r="101" spans="1:20" x14ac:dyDescent="0.45">
      <c r="A101" s="169">
        <v>34</v>
      </c>
      <c r="B101" s="170">
        <v>25</v>
      </c>
      <c r="C101" s="170">
        <v>8</v>
      </c>
      <c r="D101" s="170">
        <v>33</v>
      </c>
      <c r="E101" s="170">
        <v>10224</v>
      </c>
      <c r="F101" s="169">
        <v>36</v>
      </c>
      <c r="G101" s="170">
        <v>166</v>
      </c>
      <c r="H101" s="170">
        <v>126</v>
      </c>
      <c r="I101" s="170">
        <v>301</v>
      </c>
      <c r="J101" s="170">
        <v>16291</v>
      </c>
      <c r="K101" s="169">
        <v>39</v>
      </c>
      <c r="L101" s="170">
        <v>196</v>
      </c>
      <c r="M101" s="170">
        <v>91</v>
      </c>
      <c r="N101" s="170">
        <v>291</v>
      </c>
      <c r="O101" s="170">
        <v>9720</v>
      </c>
      <c r="P101" s="169">
        <v>34</v>
      </c>
      <c r="Q101" s="170">
        <v>150</v>
      </c>
      <c r="R101" s="170">
        <v>106</v>
      </c>
      <c r="S101" s="170">
        <v>259</v>
      </c>
      <c r="T101" s="170">
        <v>30213</v>
      </c>
    </row>
    <row r="102" spans="1:20" x14ac:dyDescent="0.45">
      <c r="A102" s="169">
        <v>33</v>
      </c>
      <c r="B102" s="170">
        <v>16</v>
      </c>
      <c r="C102" s="170">
        <v>7</v>
      </c>
      <c r="D102" s="170">
        <v>23</v>
      </c>
      <c r="E102" s="170">
        <v>10247</v>
      </c>
      <c r="F102" s="169">
        <v>35</v>
      </c>
      <c r="G102" s="170">
        <v>52</v>
      </c>
      <c r="H102" s="170">
        <v>22</v>
      </c>
      <c r="I102" s="170">
        <v>74</v>
      </c>
      <c r="J102" s="170">
        <v>16365</v>
      </c>
      <c r="K102" s="169">
        <v>38</v>
      </c>
      <c r="L102" s="170">
        <v>95</v>
      </c>
      <c r="M102" s="170">
        <v>39</v>
      </c>
      <c r="N102" s="170">
        <v>135</v>
      </c>
      <c r="O102" s="170">
        <v>9855</v>
      </c>
      <c r="P102" s="169">
        <v>33</v>
      </c>
      <c r="Q102" s="170">
        <v>68</v>
      </c>
      <c r="R102" s="170">
        <v>62</v>
      </c>
      <c r="S102" s="170">
        <v>133</v>
      </c>
      <c r="T102" s="170">
        <v>30346</v>
      </c>
    </row>
    <row r="103" spans="1:20" x14ac:dyDescent="0.45">
      <c r="A103" s="169"/>
      <c r="B103" s="170"/>
      <c r="C103" s="170"/>
      <c r="D103" s="170"/>
      <c r="E103" s="170"/>
      <c r="F103" s="169">
        <v>34</v>
      </c>
      <c r="G103" s="170">
        <v>39</v>
      </c>
      <c r="H103" s="170">
        <v>38</v>
      </c>
      <c r="I103" s="170">
        <v>78</v>
      </c>
      <c r="J103" s="170">
        <v>16443</v>
      </c>
      <c r="K103" s="169">
        <v>37</v>
      </c>
      <c r="L103" s="170">
        <v>105</v>
      </c>
      <c r="M103" s="170">
        <v>44</v>
      </c>
      <c r="N103" s="170">
        <v>150</v>
      </c>
      <c r="O103" s="170">
        <v>10005</v>
      </c>
      <c r="P103" s="169">
        <v>32</v>
      </c>
      <c r="Q103" s="170">
        <v>86</v>
      </c>
      <c r="R103" s="170">
        <v>53</v>
      </c>
      <c r="S103" s="170">
        <v>141</v>
      </c>
      <c r="T103" s="170">
        <v>30487</v>
      </c>
    </row>
    <row r="104" spans="1:20" x14ac:dyDescent="0.45">
      <c r="A104" s="169"/>
      <c r="B104" s="170"/>
      <c r="C104" s="170"/>
      <c r="D104" s="170"/>
      <c r="E104" s="170"/>
      <c r="F104" s="169">
        <v>32</v>
      </c>
      <c r="G104" s="170">
        <v>18</v>
      </c>
      <c r="H104" s="170">
        <v>18</v>
      </c>
      <c r="I104" s="170">
        <v>36</v>
      </c>
      <c r="J104" s="170">
        <v>16479</v>
      </c>
      <c r="K104" s="169">
        <v>36</v>
      </c>
      <c r="L104" s="170">
        <v>47</v>
      </c>
      <c r="M104" s="170">
        <v>18</v>
      </c>
      <c r="N104" s="170">
        <v>65</v>
      </c>
      <c r="O104" s="170">
        <v>10070</v>
      </c>
      <c r="P104" s="169">
        <v>31</v>
      </c>
      <c r="Q104" s="170">
        <v>47</v>
      </c>
      <c r="R104" s="170">
        <v>47</v>
      </c>
      <c r="S104" s="170">
        <v>97</v>
      </c>
      <c r="T104" s="170">
        <v>30584</v>
      </c>
    </row>
    <row r="105" spans="1:20" x14ac:dyDescent="0.45">
      <c r="A105" s="169"/>
      <c r="B105" s="170"/>
      <c r="C105" s="170"/>
      <c r="D105" s="170"/>
      <c r="E105" s="170"/>
      <c r="F105" s="169"/>
      <c r="G105" s="170"/>
      <c r="H105" s="170"/>
      <c r="I105" s="170"/>
      <c r="J105" s="170"/>
      <c r="K105" s="169">
        <v>35</v>
      </c>
      <c r="L105" s="170">
        <v>60</v>
      </c>
      <c r="M105" s="170">
        <v>29</v>
      </c>
      <c r="N105" s="170">
        <v>93</v>
      </c>
      <c r="O105" s="170">
        <v>10163</v>
      </c>
      <c r="P105" s="169">
        <v>30</v>
      </c>
      <c r="Q105" s="170">
        <v>15</v>
      </c>
      <c r="R105" s="170">
        <v>11</v>
      </c>
      <c r="S105" s="170">
        <v>26</v>
      </c>
      <c r="T105" s="170">
        <v>30610</v>
      </c>
    </row>
    <row r="106" spans="1:20" x14ac:dyDescent="0.45">
      <c r="A106" s="169"/>
      <c r="B106" s="170"/>
      <c r="C106" s="170"/>
      <c r="D106" s="170"/>
      <c r="E106" s="170"/>
      <c r="F106" s="169"/>
      <c r="G106" s="170"/>
      <c r="H106" s="170"/>
      <c r="I106" s="170"/>
      <c r="J106" s="170"/>
      <c r="K106" s="169">
        <v>34</v>
      </c>
      <c r="L106" s="170">
        <v>40</v>
      </c>
      <c r="M106" s="170">
        <v>16</v>
      </c>
      <c r="N106" s="170">
        <v>57</v>
      </c>
      <c r="O106" s="170">
        <v>10220</v>
      </c>
      <c r="P106" s="169"/>
      <c r="Q106" s="170"/>
      <c r="R106" s="170"/>
      <c r="S106" s="170"/>
      <c r="T106" s="170"/>
    </row>
    <row r="107" spans="1:20" x14ac:dyDescent="0.45">
      <c r="A107" s="169"/>
      <c r="B107" s="170"/>
      <c r="C107" s="170"/>
      <c r="D107" s="170"/>
      <c r="E107" s="170"/>
      <c r="F107" s="169"/>
      <c r="G107" s="170"/>
      <c r="H107" s="170"/>
      <c r="I107" s="170"/>
      <c r="J107" s="170"/>
      <c r="K107" s="169">
        <v>33</v>
      </c>
      <c r="L107" s="170">
        <v>16</v>
      </c>
      <c r="M107" s="170">
        <v>7</v>
      </c>
      <c r="N107" s="170">
        <v>23</v>
      </c>
      <c r="O107" s="170">
        <v>10243</v>
      </c>
      <c r="P107" s="169"/>
      <c r="Q107" s="170"/>
      <c r="R107" s="170"/>
      <c r="S107" s="170"/>
      <c r="T107" s="170"/>
    </row>
    <row r="108" spans="1:20" x14ac:dyDescent="0.45">
      <c r="A108" s="6"/>
      <c r="B108" s="1"/>
      <c r="C108" s="1"/>
      <c r="D108" s="7"/>
      <c r="F108" s="6"/>
      <c r="G108" s="1"/>
      <c r="H108" s="1"/>
      <c r="I108" s="7"/>
      <c r="K108" s="6"/>
      <c r="L108" s="1"/>
      <c r="M108" s="1"/>
      <c r="N108" s="7"/>
      <c r="P108" s="6"/>
      <c r="Q108" s="1"/>
      <c r="R108" s="1"/>
      <c r="S108" s="7"/>
    </row>
    <row r="109" spans="1:20" x14ac:dyDescent="0.45">
      <c r="A109" s="6"/>
      <c r="B109" s="1"/>
      <c r="C109" s="1"/>
      <c r="D109" s="7"/>
      <c r="F109" s="6"/>
      <c r="G109" s="1"/>
      <c r="H109" s="1"/>
      <c r="I109" s="7"/>
      <c r="K109" s="6"/>
      <c r="L109" s="1"/>
      <c r="M109" s="1"/>
      <c r="N109" s="7"/>
      <c r="P109" s="6"/>
      <c r="Q109" s="1"/>
      <c r="R109" s="1"/>
      <c r="S109" s="7"/>
    </row>
    <row r="110" spans="1:20" x14ac:dyDescent="0.45">
      <c r="A110" s="6"/>
      <c r="B110" s="1"/>
      <c r="C110" s="1"/>
      <c r="D110" s="7"/>
      <c r="F110" s="6"/>
      <c r="G110" s="1"/>
      <c r="H110" s="1"/>
      <c r="I110" s="7"/>
      <c r="K110" s="6"/>
      <c r="L110" s="1"/>
      <c r="M110" s="1"/>
      <c r="N110" s="7"/>
      <c r="P110" s="6"/>
      <c r="Q110" s="1"/>
      <c r="R110" s="1"/>
      <c r="S110" s="7"/>
    </row>
    <row r="111" spans="1:20" ht="17.5" thickBot="1" x14ac:dyDescent="0.5">
      <c r="A111" s="8"/>
      <c r="B111" s="14"/>
      <c r="C111" s="14"/>
      <c r="D111" s="2"/>
      <c r="F111" s="8"/>
      <c r="G111" s="14"/>
      <c r="H111" s="14"/>
      <c r="I111" s="2"/>
      <c r="K111" s="8"/>
      <c r="L111" s="14"/>
      <c r="M111" s="14"/>
      <c r="N111" s="2"/>
      <c r="P111" s="8"/>
      <c r="Q111" s="14"/>
      <c r="R111" s="14"/>
      <c r="S111" s="2"/>
    </row>
    <row r="118" spans="1:5" ht="17.5" thickBot="1" x14ac:dyDescent="0.5"/>
    <row r="119" spans="1:5" x14ac:dyDescent="0.45">
      <c r="A119" s="46" t="s">
        <v>19</v>
      </c>
      <c r="B119" s="47"/>
      <c r="C119" s="47"/>
      <c r="D119" s="48"/>
    </row>
    <row r="120" spans="1:5" x14ac:dyDescent="0.45">
      <c r="A120" s="6" t="s">
        <v>9</v>
      </c>
      <c r="B120" s="1"/>
      <c r="C120" s="1"/>
      <c r="D120" s="7" t="s">
        <v>10</v>
      </c>
    </row>
    <row r="121" spans="1:5" x14ac:dyDescent="0.45">
      <c r="A121" s="171">
        <v>71</v>
      </c>
      <c r="B121" s="172">
        <v>415</v>
      </c>
      <c r="C121" s="172">
        <v>628</v>
      </c>
      <c r="D121" s="172">
        <v>1045</v>
      </c>
      <c r="E121" s="172">
        <v>1045</v>
      </c>
    </row>
    <row r="122" spans="1:5" x14ac:dyDescent="0.45">
      <c r="A122" s="171">
        <v>70</v>
      </c>
      <c r="B122" s="172">
        <v>130</v>
      </c>
      <c r="C122" s="172">
        <v>236</v>
      </c>
      <c r="D122" s="172">
        <v>368</v>
      </c>
      <c r="E122" s="172">
        <v>1413</v>
      </c>
    </row>
    <row r="123" spans="1:5" x14ac:dyDescent="0.45">
      <c r="A123" s="171">
        <v>69</v>
      </c>
      <c r="B123" s="172">
        <v>385</v>
      </c>
      <c r="C123" s="172">
        <v>774</v>
      </c>
      <c r="D123" s="172">
        <v>1164</v>
      </c>
      <c r="E123" s="172">
        <v>2577</v>
      </c>
    </row>
    <row r="124" spans="1:5" x14ac:dyDescent="0.45">
      <c r="A124" s="171">
        <v>68</v>
      </c>
      <c r="B124" s="172">
        <v>23</v>
      </c>
      <c r="C124" s="172">
        <v>53</v>
      </c>
      <c r="D124" s="172">
        <v>77</v>
      </c>
      <c r="E124" s="172">
        <v>2654</v>
      </c>
    </row>
    <row r="125" spans="1:5" x14ac:dyDescent="0.45">
      <c r="A125" s="171">
        <v>67</v>
      </c>
      <c r="B125" s="172">
        <v>294</v>
      </c>
      <c r="C125" s="172">
        <v>540</v>
      </c>
      <c r="D125" s="172">
        <v>840</v>
      </c>
      <c r="E125" s="172">
        <v>3494</v>
      </c>
    </row>
    <row r="126" spans="1:5" x14ac:dyDescent="0.45">
      <c r="A126" s="171">
        <v>66</v>
      </c>
      <c r="B126" s="172">
        <v>437</v>
      </c>
      <c r="C126" s="172">
        <v>861</v>
      </c>
      <c r="D126" s="172">
        <v>1307</v>
      </c>
      <c r="E126" s="172">
        <v>4801</v>
      </c>
    </row>
    <row r="127" spans="1:5" x14ac:dyDescent="0.45">
      <c r="A127" s="171">
        <v>65</v>
      </c>
      <c r="B127" s="172">
        <v>381</v>
      </c>
      <c r="C127" s="172">
        <v>763</v>
      </c>
      <c r="D127" s="172">
        <v>1149</v>
      </c>
      <c r="E127" s="172">
        <v>5950</v>
      </c>
    </row>
    <row r="128" spans="1:5" x14ac:dyDescent="0.45">
      <c r="A128" s="171">
        <v>64</v>
      </c>
      <c r="B128" s="172">
        <v>239</v>
      </c>
      <c r="C128" s="172">
        <v>496</v>
      </c>
      <c r="D128" s="172">
        <v>739</v>
      </c>
      <c r="E128" s="172">
        <v>6689</v>
      </c>
    </row>
    <row r="129" spans="1:5" x14ac:dyDescent="0.45">
      <c r="A129" s="171">
        <v>63</v>
      </c>
      <c r="B129" s="172">
        <v>230</v>
      </c>
      <c r="C129" s="172">
        <v>559</v>
      </c>
      <c r="D129" s="172">
        <v>796</v>
      </c>
      <c r="E129" s="172">
        <v>7485</v>
      </c>
    </row>
    <row r="130" spans="1:5" x14ac:dyDescent="0.45">
      <c r="A130" s="171">
        <v>62</v>
      </c>
      <c r="B130" s="172">
        <v>641</v>
      </c>
      <c r="C130" s="172">
        <v>1364</v>
      </c>
      <c r="D130" s="172">
        <v>2026</v>
      </c>
      <c r="E130" s="172">
        <v>9511</v>
      </c>
    </row>
    <row r="131" spans="1:5" x14ac:dyDescent="0.45">
      <c r="A131" s="171">
        <v>61</v>
      </c>
      <c r="B131" s="172">
        <v>334</v>
      </c>
      <c r="C131" s="172">
        <v>834</v>
      </c>
      <c r="D131" s="172">
        <v>1179</v>
      </c>
      <c r="E131" s="172">
        <v>10690</v>
      </c>
    </row>
    <row r="132" spans="1:5" x14ac:dyDescent="0.45">
      <c r="A132" s="171">
        <v>60</v>
      </c>
      <c r="B132" s="172">
        <v>352</v>
      </c>
      <c r="C132" s="172">
        <v>777</v>
      </c>
      <c r="D132" s="172">
        <v>1136</v>
      </c>
      <c r="E132" s="172">
        <v>11826</v>
      </c>
    </row>
    <row r="133" spans="1:5" x14ac:dyDescent="0.45">
      <c r="A133" s="171">
        <v>59</v>
      </c>
      <c r="B133" s="172">
        <v>287</v>
      </c>
      <c r="C133" s="172">
        <v>644</v>
      </c>
      <c r="D133" s="172">
        <v>935</v>
      </c>
      <c r="E133" s="172">
        <v>12761</v>
      </c>
    </row>
    <row r="134" spans="1:5" x14ac:dyDescent="0.45">
      <c r="A134" s="171">
        <v>58</v>
      </c>
      <c r="B134" s="172">
        <v>431</v>
      </c>
      <c r="C134" s="172">
        <v>985</v>
      </c>
      <c r="D134" s="172">
        <v>1423</v>
      </c>
      <c r="E134" s="172">
        <v>14184</v>
      </c>
    </row>
    <row r="135" spans="1:5" x14ac:dyDescent="0.45">
      <c r="A135" s="171">
        <v>57</v>
      </c>
      <c r="B135" s="172">
        <v>779</v>
      </c>
      <c r="C135" s="172">
        <v>1620</v>
      </c>
      <c r="D135" s="172">
        <v>2414</v>
      </c>
      <c r="E135" s="172">
        <v>16598</v>
      </c>
    </row>
    <row r="136" spans="1:5" x14ac:dyDescent="0.45">
      <c r="A136" s="171">
        <v>56</v>
      </c>
      <c r="B136" s="172">
        <v>424</v>
      </c>
      <c r="C136" s="172">
        <v>939</v>
      </c>
      <c r="D136" s="172">
        <v>1373</v>
      </c>
      <c r="E136" s="172">
        <v>17971</v>
      </c>
    </row>
    <row r="137" spans="1:5" x14ac:dyDescent="0.45">
      <c r="A137" s="171">
        <v>55</v>
      </c>
      <c r="B137" s="172">
        <v>374</v>
      </c>
      <c r="C137" s="172">
        <v>783</v>
      </c>
      <c r="D137" s="172">
        <v>1167</v>
      </c>
      <c r="E137" s="172">
        <v>19138</v>
      </c>
    </row>
    <row r="138" spans="1:5" x14ac:dyDescent="0.45">
      <c r="A138" s="171">
        <v>54</v>
      </c>
      <c r="B138" s="172">
        <v>496</v>
      </c>
      <c r="C138" s="172">
        <v>1027</v>
      </c>
      <c r="D138" s="172">
        <v>1535</v>
      </c>
      <c r="E138" s="172">
        <v>20673</v>
      </c>
    </row>
    <row r="139" spans="1:5" x14ac:dyDescent="0.45">
      <c r="A139" s="171">
        <v>53</v>
      </c>
      <c r="B139" s="172">
        <v>862</v>
      </c>
      <c r="C139" s="172">
        <v>1918</v>
      </c>
      <c r="D139" s="172">
        <v>2809</v>
      </c>
      <c r="E139" s="172">
        <v>23482</v>
      </c>
    </row>
    <row r="140" spans="1:5" x14ac:dyDescent="0.45">
      <c r="A140" s="171">
        <v>52</v>
      </c>
      <c r="B140" s="172">
        <v>490</v>
      </c>
      <c r="C140" s="172">
        <v>1072</v>
      </c>
      <c r="D140" s="172">
        <v>1572</v>
      </c>
      <c r="E140" s="172">
        <v>25054</v>
      </c>
    </row>
    <row r="141" spans="1:5" x14ac:dyDescent="0.45">
      <c r="A141" s="171">
        <v>51</v>
      </c>
      <c r="B141" s="172">
        <v>479</v>
      </c>
      <c r="C141" s="172">
        <v>966</v>
      </c>
      <c r="D141" s="172">
        <v>1455</v>
      </c>
      <c r="E141" s="172">
        <v>26509</v>
      </c>
    </row>
    <row r="142" spans="1:5" x14ac:dyDescent="0.45">
      <c r="A142" s="171">
        <v>50</v>
      </c>
      <c r="B142" s="172">
        <v>598</v>
      </c>
      <c r="C142" s="172">
        <v>1146</v>
      </c>
      <c r="D142" s="172">
        <v>1762</v>
      </c>
      <c r="E142" s="172">
        <v>28271</v>
      </c>
    </row>
    <row r="143" spans="1:5" x14ac:dyDescent="0.45">
      <c r="A143" s="171">
        <v>49</v>
      </c>
      <c r="B143" s="172">
        <v>468</v>
      </c>
      <c r="C143" s="172">
        <v>908</v>
      </c>
      <c r="D143" s="172">
        <v>1395</v>
      </c>
      <c r="E143" s="172">
        <v>29666</v>
      </c>
    </row>
    <row r="144" spans="1:5" x14ac:dyDescent="0.45">
      <c r="A144" s="171">
        <v>48</v>
      </c>
      <c r="B144" s="172">
        <v>1035</v>
      </c>
      <c r="C144" s="172">
        <v>1998</v>
      </c>
      <c r="D144" s="172">
        <v>3056</v>
      </c>
      <c r="E144" s="172">
        <v>32722</v>
      </c>
    </row>
    <row r="145" spans="1:5" x14ac:dyDescent="0.45">
      <c r="A145" s="171">
        <v>47</v>
      </c>
      <c r="B145" s="172">
        <v>472</v>
      </c>
      <c r="C145" s="172">
        <v>869</v>
      </c>
      <c r="D145" s="172">
        <v>1362</v>
      </c>
      <c r="E145" s="172">
        <v>34084</v>
      </c>
    </row>
    <row r="146" spans="1:5" x14ac:dyDescent="0.45">
      <c r="A146" s="171">
        <v>46</v>
      </c>
      <c r="B146" s="172">
        <v>607</v>
      </c>
      <c r="C146" s="172">
        <v>1055</v>
      </c>
      <c r="D146" s="172">
        <v>1680</v>
      </c>
      <c r="E146" s="172">
        <v>35764</v>
      </c>
    </row>
    <row r="147" spans="1:5" x14ac:dyDescent="0.45">
      <c r="A147" s="171">
        <v>45</v>
      </c>
      <c r="B147" s="172">
        <v>436</v>
      </c>
      <c r="C147" s="172">
        <v>817</v>
      </c>
      <c r="D147" s="172">
        <v>1267</v>
      </c>
      <c r="E147" s="172">
        <v>37031</v>
      </c>
    </row>
    <row r="148" spans="1:5" x14ac:dyDescent="0.45">
      <c r="A148" s="171">
        <v>44</v>
      </c>
      <c r="B148" s="172">
        <v>1076</v>
      </c>
      <c r="C148" s="172">
        <v>1769</v>
      </c>
      <c r="D148" s="172">
        <v>2872</v>
      </c>
      <c r="E148" s="172">
        <v>39903</v>
      </c>
    </row>
    <row r="149" spans="1:5" x14ac:dyDescent="0.45">
      <c r="A149" s="171">
        <v>43</v>
      </c>
      <c r="B149" s="172">
        <v>544</v>
      </c>
      <c r="C149" s="172">
        <v>715</v>
      </c>
      <c r="D149" s="172">
        <v>1273</v>
      </c>
      <c r="E149" s="172">
        <v>41176</v>
      </c>
    </row>
    <row r="150" spans="1:5" x14ac:dyDescent="0.45">
      <c r="A150" s="171">
        <v>42</v>
      </c>
      <c r="B150" s="172">
        <v>567</v>
      </c>
      <c r="C150" s="172">
        <v>795</v>
      </c>
      <c r="D150" s="172">
        <v>1371</v>
      </c>
      <c r="E150" s="172">
        <v>42547</v>
      </c>
    </row>
    <row r="151" spans="1:5" x14ac:dyDescent="0.45">
      <c r="A151" s="171">
        <v>41</v>
      </c>
      <c r="B151" s="172">
        <v>731</v>
      </c>
      <c r="C151" s="172">
        <v>922</v>
      </c>
      <c r="D151" s="172">
        <v>1680</v>
      </c>
      <c r="E151" s="172">
        <v>44227</v>
      </c>
    </row>
    <row r="152" spans="1:5" x14ac:dyDescent="0.45">
      <c r="A152" s="171">
        <v>40</v>
      </c>
      <c r="B152" s="172">
        <v>1503</v>
      </c>
      <c r="C152" s="172">
        <v>1688</v>
      </c>
      <c r="D152" s="172">
        <v>3234</v>
      </c>
      <c r="E152" s="172">
        <v>47461</v>
      </c>
    </row>
    <row r="153" spans="1:5" x14ac:dyDescent="0.45">
      <c r="A153" s="171">
        <v>39</v>
      </c>
      <c r="B153" s="172">
        <v>1165</v>
      </c>
      <c r="C153" s="172">
        <v>1396</v>
      </c>
      <c r="D153" s="172">
        <v>2593</v>
      </c>
      <c r="E153" s="172">
        <v>50054</v>
      </c>
    </row>
    <row r="154" spans="1:5" x14ac:dyDescent="0.45">
      <c r="A154" s="171">
        <v>38</v>
      </c>
      <c r="B154" s="172">
        <v>462</v>
      </c>
      <c r="C154" s="172">
        <v>633</v>
      </c>
      <c r="D154" s="172">
        <v>1106</v>
      </c>
      <c r="E154" s="172">
        <v>51160</v>
      </c>
    </row>
    <row r="155" spans="1:5" x14ac:dyDescent="0.45">
      <c r="A155" s="171">
        <v>37</v>
      </c>
      <c r="B155" s="172">
        <v>330</v>
      </c>
      <c r="C155" s="172">
        <v>394</v>
      </c>
      <c r="D155" s="172">
        <v>733</v>
      </c>
      <c r="E155" s="172">
        <v>51893</v>
      </c>
    </row>
    <row r="156" spans="1:5" x14ac:dyDescent="0.45">
      <c r="A156" s="171">
        <v>36</v>
      </c>
      <c r="B156" s="172">
        <v>2220</v>
      </c>
      <c r="C156" s="172">
        <v>1780</v>
      </c>
      <c r="D156" s="172">
        <v>4054</v>
      </c>
      <c r="E156" s="172">
        <v>55947</v>
      </c>
    </row>
    <row r="157" spans="1:5" x14ac:dyDescent="0.45">
      <c r="A157" s="171">
        <v>35</v>
      </c>
      <c r="B157" s="172">
        <v>573</v>
      </c>
      <c r="C157" s="172">
        <v>487</v>
      </c>
      <c r="D157" s="172">
        <v>1073</v>
      </c>
      <c r="E157" s="172">
        <v>57020</v>
      </c>
    </row>
    <row r="158" spans="1:5" x14ac:dyDescent="0.45">
      <c r="A158" s="171">
        <v>34</v>
      </c>
      <c r="B158" s="172">
        <v>209</v>
      </c>
      <c r="C158" s="172">
        <v>186</v>
      </c>
      <c r="D158" s="172">
        <v>398</v>
      </c>
      <c r="E158" s="172">
        <v>57418</v>
      </c>
    </row>
    <row r="159" spans="1:5" x14ac:dyDescent="0.45">
      <c r="A159" s="171">
        <v>33</v>
      </c>
      <c r="B159" s="172">
        <v>69</v>
      </c>
      <c r="C159" s="172">
        <v>80</v>
      </c>
      <c r="D159" s="172">
        <v>152</v>
      </c>
      <c r="E159" s="172">
        <v>57570</v>
      </c>
    </row>
    <row r="160" spans="1:5" x14ac:dyDescent="0.45">
      <c r="A160" s="171">
        <v>32</v>
      </c>
      <c r="B160" s="172">
        <v>105</v>
      </c>
      <c r="C160" s="172">
        <v>102</v>
      </c>
      <c r="D160" s="172">
        <v>212</v>
      </c>
      <c r="E160" s="172">
        <v>57782</v>
      </c>
    </row>
    <row r="161" spans="1:19" x14ac:dyDescent="0.45">
      <c r="A161" s="171">
        <v>31</v>
      </c>
      <c r="B161" s="172">
        <v>40</v>
      </c>
      <c r="C161" s="172">
        <v>31</v>
      </c>
      <c r="D161" s="172">
        <v>74</v>
      </c>
      <c r="E161" s="172">
        <v>57856</v>
      </c>
    </row>
    <row r="162" spans="1:19" x14ac:dyDescent="0.45">
      <c r="A162" s="6"/>
      <c r="B162" s="1"/>
      <c r="C162" s="1"/>
      <c r="D162" s="7"/>
    </row>
    <row r="163" spans="1:19" x14ac:dyDescent="0.45">
      <c r="A163" s="6"/>
      <c r="B163" s="1"/>
      <c r="C163" s="1"/>
      <c r="D163" s="7"/>
    </row>
    <row r="164" spans="1:19" x14ac:dyDescent="0.45">
      <c r="A164" s="6"/>
      <c r="B164" s="1"/>
      <c r="C164" s="1"/>
      <c r="D164" s="7"/>
    </row>
    <row r="165" spans="1:19" x14ac:dyDescent="0.45">
      <c r="A165" s="6"/>
      <c r="B165" s="1"/>
      <c r="C165" s="1"/>
      <c r="D165" s="7"/>
    </row>
    <row r="166" spans="1:19" x14ac:dyDescent="0.45">
      <c r="A166" s="6"/>
      <c r="B166" s="1"/>
      <c r="C166" s="1"/>
      <c r="D166" s="7"/>
    </row>
    <row r="167" spans="1:19" x14ac:dyDescent="0.45">
      <c r="A167" s="6"/>
      <c r="B167" s="1"/>
      <c r="C167" s="1"/>
      <c r="D167" s="7"/>
    </row>
    <row r="168" spans="1:19" ht="17.5" thickBot="1" x14ac:dyDescent="0.5">
      <c r="A168" s="8"/>
      <c r="B168" s="14"/>
      <c r="C168" s="14"/>
      <c r="D168" s="2"/>
    </row>
    <row r="174" spans="1:19" ht="17.5" thickBot="1" x14ac:dyDescent="0.5"/>
    <row r="175" spans="1:19" x14ac:dyDescent="0.45">
      <c r="A175" s="46" t="s">
        <v>60</v>
      </c>
      <c r="B175" s="47"/>
      <c r="C175" s="47"/>
      <c r="D175" s="48"/>
      <c r="F175" s="46" t="s">
        <v>20</v>
      </c>
      <c r="G175" s="47"/>
      <c r="H175" s="47"/>
      <c r="I175" s="48"/>
      <c r="K175" s="46" t="s">
        <v>21</v>
      </c>
      <c r="L175" s="47"/>
      <c r="M175" s="47"/>
      <c r="N175" s="48"/>
      <c r="P175" s="46" t="s">
        <v>22</v>
      </c>
      <c r="Q175" s="47"/>
      <c r="R175" s="47"/>
      <c r="S175" s="48"/>
    </row>
    <row r="176" spans="1:19" x14ac:dyDescent="0.45">
      <c r="A176" s="6" t="s">
        <v>9</v>
      </c>
      <c r="B176" s="1"/>
      <c r="C176" s="1"/>
      <c r="D176" s="7" t="s">
        <v>10</v>
      </c>
      <c r="F176" s="6" t="s">
        <v>9</v>
      </c>
      <c r="G176" s="1"/>
      <c r="H176" s="1"/>
      <c r="I176" s="7" t="s">
        <v>10</v>
      </c>
      <c r="K176" s="6" t="s">
        <v>9</v>
      </c>
      <c r="L176" s="1"/>
      <c r="M176" s="1"/>
      <c r="N176" s="7" t="s">
        <v>10</v>
      </c>
      <c r="P176" s="6" t="s">
        <v>9</v>
      </c>
      <c r="Q176" s="1"/>
      <c r="R176" s="1"/>
      <c r="S176" s="7" t="s">
        <v>10</v>
      </c>
    </row>
    <row r="177" spans="1:20" x14ac:dyDescent="0.45">
      <c r="A177" s="177">
        <v>70</v>
      </c>
      <c r="B177" s="178">
        <v>837</v>
      </c>
      <c r="C177" s="178">
        <v>76</v>
      </c>
      <c r="D177" s="178">
        <v>919</v>
      </c>
      <c r="E177" s="178">
        <v>919</v>
      </c>
      <c r="F177" s="177">
        <v>77</v>
      </c>
      <c r="G177" s="178">
        <v>380</v>
      </c>
      <c r="H177" s="178">
        <v>125</v>
      </c>
      <c r="I177" s="178">
        <v>508</v>
      </c>
      <c r="J177" s="178">
        <v>508</v>
      </c>
      <c r="K177" s="177">
        <v>73</v>
      </c>
      <c r="L177" s="178">
        <v>1150</v>
      </c>
      <c r="M177" s="178">
        <v>875</v>
      </c>
      <c r="N177" s="178">
        <v>2038</v>
      </c>
      <c r="O177" s="178">
        <v>2038</v>
      </c>
      <c r="P177" s="177">
        <v>73</v>
      </c>
      <c r="Q177" s="178">
        <v>766</v>
      </c>
      <c r="R177" s="178">
        <v>266</v>
      </c>
      <c r="S177" s="178">
        <v>1039</v>
      </c>
      <c r="T177" s="178">
        <v>1039</v>
      </c>
    </row>
    <row r="178" spans="1:20" x14ac:dyDescent="0.45">
      <c r="A178" s="177">
        <v>68</v>
      </c>
      <c r="B178" s="178">
        <v>1243</v>
      </c>
      <c r="C178" s="178">
        <v>190</v>
      </c>
      <c r="D178" s="178">
        <v>1444</v>
      </c>
      <c r="E178" s="178">
        <v>2363</v>
      </c>
      <c r="F178" s="177">
        <v>75</v>
      </c>
      <c r="G178" s="178">
        <v>178</v>
      </c>
      <c r="H178" s="178">
        <v>52</v>
      </c>
      <c r="I178" s="178">
        <v>234</v>
      </c>
      <c r="J178" s="178">
        <v>742</v>
      </c>
      <c r="K178" s="177">
        <v>71</v>
      </c>
      <c r="L178" s="178">
        <v>496</v>
      </c>
      <c r="M178" s="178">
        <v>429</v>
      </c>
      <c r="N178" s="178">
        <v>933</v>
      </c>
      <c r="O178" s="178">
        <v>2971</v>
      </c>
      <c r="P178" s="177">
        <v>72</v>
      </c>
      <c r="Q178" s="178">
        <v>355</v>
      </c>
      <c r="R178" s="178">
        <v>162</v>
      </c>
      <c r="S178" s="178">
        <v>520</v>
      </c>
      <c r="T178" s="178">
        <v>1559</v>
      </c>
    </row>
    <row r="179" spans="1:20" x14ac:dyDescent="0.45">
      <c r="A179" s="177">
        <v>67</v>
      </c>
      <c r="B179" s="178">
        <v>109</v>
      </c>
      <c r="C179" s="178">
        <v>22</v>
      </c>
      <c r="D179" s="178">
        <v>131</v>
      </c>
      <c r="E179" s="178">
        <v>2494</v>
      </c>
      <c r="F179" s="177">
        <v>74</v>
      </c>
      <c r="G179" s="178">
        <v>331</v>
      </c>
      <c r="H179" s="178">
        <v>142</v>
      </c>
      <c r="I179" s="178">
        <v>478</v>
      </c>
      <c r="J179" s="178">
        <v>1220</v>
      </c>
      <c r="K179" s="177">
        <v>70</v>
      </c>
      <c r="L179" s="178">
        <v>778</v>
      </c>
      <c r="M179" s="178">
        <v>653</v>
      </c>
      <c r="N179" s="178">
        <v>1448</v>
      </c>
      <c r="O179" s="178">
        <v>4419</v>
      </c>
      <c r="P179" s="177">
        <v>71</v>
      </c>
      <c r="Q179" s="178">
        <v>882</v>
      </c>
      <c r="R179" s="178">
        <v>390</v>
      </c>
      <c r="S179" s="178">
        <v>1286</v>
      </c>
      <c r="T179" s="178">
        <v>2845</v>
      </c>
    </row>
    <row r="180" spans="1:20" x14ac:dyDescent="0.45">
      <c r="A180" s="177">
        <v>66</v>
      </c>
      <c r="B180" s="178">
        <v>921</v>
      </c>
      <c r="C180" s="178">
        <v>218</v>
      </c>
      <c r="D180" s="178">
        <v>1146</v>
      </c>
      <c r="E180" s="178">
        <v>3640</v>
      </c>
      <c r="F180" s="177">
        <v>73</v>
      </c>
      <c r="G180" s="178">
        <v>47</v>
      </c>
      <c r="H180" s="178">
        <v>15</v>
      </c>
      <c r="I180" s="178">
        <v>62</v>
      </c>
      <c r="J180" s="178">
        <v>1282</v>
      </c>
      <c r="K180" s="177">
        <v>69</v>
      </c>
      <c r="L180" s="178">
        <v>175</v>
      </c>
      <c r="M180" s="178">
        <v>194</v>
      </c>
      <c r="N180" s="178">
        <v>373</v>
      </c>
      <c r="O180" s="178">
        <v>4792</v>
      </c>
      <c r="P180" s="177">
        <v>70</v>
      </c>
      <c r="Q180" s="178">
        <v>106</v>
      </c>
      <c r="R180" s="178">
        <v>48</v>
      </c>
      <c r="S180" s="178">
        <v>155</v>
      </c>
      <c r="T180" s="178">
        <v>3000</v>
      </c>
    </row>
    <row r="181" spans="1:20" x14ac:dyDescent="0.45">
      <c r="A181" s="177">
        <v>65</v>
      </c>
      <c r="B181" s="178">
        <v>472</v>
      </c>
      <c r="C181" s="178">
        <v>78</v>
      </c>
      <c r="D181" s="178">
        <v>557</v>
      </c>
      <c r="E181" s="178">
        <v>4197</v>
      </c>
      <c r="F181" s="177">
        <v>72</v>
      </c>
      <c r="G181" s="178">
        <v>266</v>
      </c>
      <c r="H181" s="178">
        <v>109</v>
      </c>
      <c r="I181" s="178">
        <v>377</v>
      </c>
      <c r="J181" s="178">
        <v>1659</v>
      </c>
      <c r="K181" s="177">
        <v>68</v>
      </c>
      <c r="L181" s="178">
        <v>688</v>
      </c>
      <c r="M181" s="178">
        <v>697</v>
      </c>
      <c r="N181" s="178">
        <v>1397</v>
      </c>
      <c r="O181" s="178">
        <v>6189</v>
      </c>
      <c r="P181" s="177">
        <v>69</v>
      </c>
      <c r="Q181" s="178">
        <v>746</v>
      </c>
      <c r="R181" s="178">
        <v>340</v>
      </c>
      <c r="S181" s="178">
        <v>1091</v>
      </c>
      <c r="T181" s="178">
        <v>4091</v>
      </c>
    </row>
    <row r="182" spans="1:20" x14ac:dyDescent="0.45">
      <c r="A182" s="177">
        <v>64</v>
      </c>
      <c r="B182" s="178">
        <v>1511</v>
      </c>
      <c r="C182" s="178">
        <v>373</v>
      </c>
      <c r="D182" s="178">
        <v>1902</v>
      </c>
      <c r="E182" s="178">
        <v>6099</v>
      </c>
      <c r="F182" s="177">
        <v>71</v>
      </c>
      <c r="G182" s="178">
        <v>343</v>
      </c>
      <c r="H182" s="178">
        <v>171</v>
      </c>
      <c r="I182" s="178">
        <v>517</v>
      </c>
      <c r="J182" s="178">
        <v>2176</v>
      </c>
      <c r="K182" s="177">
        <v>67</v>
      </c>
      <c r="L182" s="178">
        <v>904</v>
      </c>
      <c r="M182" s="178">
        <v>934</v>
      </c>
      <c r="N182" s="178">
        <v>1853</v>
      </c>
      <c r="O182" s="178">
        <v>8042</v>
      </c>
      <c r="P182" s="177">
        <v>68</v>
      </c>
      <c r="Q182" s="178">
        <v>713</v>
      </c>
      <c r="R182" s="178">
        <v>370</v>
      </c>
      <c r="S182" s="178">
        <v>1097</v>
      </c>
      <c r="T182" s="178">
        <v>5188</v>
      </c>
    </row>
    <row r="183" spans="1:20" x14ac:dyDescent="0.45">
      <c r="A183" s="177">
        <v>63</v>
      </c>
      <c r="B183" s="178">
        <v>447</v>
      </c>
      <c r="C183" s="178">
        <v>97</v>
      </c>
      <c r="D183" s="178">
        <v>549</v>
      </c>
      <c r="E183" s="178">
        <v>6648</v>
      </c>
      <c r="F183" s="177">
        <v>70</v>
      </c>
      <c r="G183" s="178">
        <v>145</v>
      </c>
      <c r="H183" s="178">
        <v>47</v>
      </c>
      <c r="I183" s="178">
        <v>194</v>
      </c>
      <c r="J183" s="178">
        <v>2370</v>
      </c>
      <c r="K183" s="177">
        <v>66</v>
      </c>
      <c r="L183" s="178">
        <v>690</v>
      </c>
      <c r="M183" s="178">
        <v>815</v>
      </c>
      <c r="N183" s="178">
        <v>1519</v>
      </c>
      <c r="O183" s="178">
        <v>9561</v>
      </c>
      <c r="P183" s="177">
        <v>67</v>
      </c>
      <c r="Q183" s="178">
        <v>353</v>
      </c>
      <c r="R183" s="178">
        <v>201</v>
      </c>
      <c r="S183" s="178">
        <v>554</v>
      </c>
      <c r="T183" s="178">
        <v>5742</v>
      </c>
    </row>
    <row r="184" spans="1:20" x14ac:dyDescent="0.45">
      <c r="A184" s="177">
        <v>62</v>
      </c>
      <c r="B184" s="178">
        <v>943</v>
      </c>
      <c r="C184" s="178">
        <v>279</v>
      </c>
      <c r="D184" s="178">
        <v>1234</v>
      </c>
      <c r="E184" s="178">
        <v>7882</v>
      </c>
      <c r="F184" s="177">
        <v>69</v>
      </c>
      <c r="G184" s="178">
        <v>363</v>
      </c>
      <c r="H184" s="178">
        <v>180</v>
      </c>
      <c r="I184" s="178">
        <v>549</v>
      </c>
      <c r="J184" s="178">
        <v>2919</v>
      </c>
      <c r="K184" s="177">
        <v>65</v>
      </c>
      <c r="L184" s="178">
        <v>478</v>
      </c>
      <c r="M184" s="178">
        <v>513</v>
      </c>
      <c r="N184" s="178">
        <v>994</v>
      </c>
      <c r="O184" s="178">
        <v>10555</v>
      </c>
      <c r="P184" s="177">
        <v>66</v>
      </c>
      <c r="Q184" s="178">
        <v>1447</v>
      </c>
      <c r="R184" s="178">
        <v>860</v>
      </c>
      <c r="S184" s="178">
        <v>2324</v>
      </c>
      <c r="T184" s="178">
        <v>8066</v>
      </c>
    </row>
    <row r="185" spans="1:20" x14ac:dyDescent="0.45">
      <c r="A185" s="177">
        <v>61</v>
      </c>
      <c r="B185" s="178">
        <v>727</v>
      </c>
      <c r="C185" s="178">
        <v>207</v>
      </c>
      <c r="D185" s="178">
        <v>943</v>
      </c>
      <c r="E185" s="178">
        <v>8825</v>
      </c>
      <c r="F185" s="177">
        <v>68</v>
      </c>
      <c r="G185" s="178">
        <v>333</v>
      </c>
      <c r="H185" s="178">
        <v>189</v>
      </c>
      <c r="I185" s="178">
        <v>523</v>
      </c>
      <c r="J185" s="178">
        <v>3442</v>
      </c>
      <c r="K185" s="177">
        <v>64</v>
      </c>
      <c r="L185" s="178">
        <v>635</v>
      </c>
      <c r="M185" s="178">
        <v>763</v>
      </c>
      <c r="N185" s="178">
        <v>1417</v>
      </c>
      <c r="O185" s="178">
        <v>11972</v>
      </c>
      <c r="P185" s="177">
        <v>65</v>
      </c>
      <c r="Q185" s="178">
        <v>582</v>
      </c>
      <c r="R185" s="178">
        <v>384</v>
      </c>
      <c r="S185" s="178">
        <v>976</v>
      </c>
      <c r="T185" s="178">
        <v>9042</v>
      </c>
    </row>
    <row r="186" spans="1:20" x14ac:dyDescent="0.45">
      <c r="A186" s="177">
        <v>60</v>
      </c>
      <c r="B186" s="178">
        <v>622</v>
      </c>
      <c r="C186" s="178">
        <v>236</v>
      </c>
      <c r="D186" s="178">
        <v>867</v>
      </c>
      <c r="E186" s="178">
        <v>9692</v>
      </c>
      <c r="F186" s="177">
        <v>67</v>
      </c>
      <c r="G186" s="178">
        <v>206</v>
      </c>
      <c r="H186" s="178">
        <v>114</v>
      </c>
      <c r="I186" s="178">
        <v>322</v>
      </c>
      <c r="J186" s="178">
        <v>3764</v>
      </c>
      <c r="K186" s="177">
        <v>63</v>
      </c>
      <c r="L186" s="178">
        <v>655</v>
      </c>
      <c r="M186" s="178">
        <v>777</v>
      </c>
      <c r="N186" s="178">
        <v>1439</v>
      </c>
      <c r="O186" s="178">
        <v>13411</v>
      </c>
      <c r="P186" s="177">
        <v>64</v>
      </c>
      <c r="Q186" s="178">
        <v>848</v>
      </c>
      <c r="R186" s="178">
        <v>558</v>
      </c>
      <c r="S186" s="178">
        <v>1418</v>
      </c>
      <c r="T186" s="178">
        <v>10460</v>
      </c>
    </row>
    <row r="187" spans="1:20" x14ac:dyDescent="0.45">
      <c r="A187" s="177">
        <v>59</v>
      </c>
      <c r="B187" s="178">
        <v>1640</v>
      </c>
      <c r="C187" s="178">
        <v>485</v>
      </c>
      <c r="D187" s="178">
        <v>2147</v>
      </c>
      <c r="E187" s="178">
        <v>11839</v>
      </c>
      <c r="F187" s="177">
        <v>66</v>
      </c>
      <c r="G187" s="178">
        <v>417</v>
      </c>
      <c r="H187" s="178">
        <v>257</v>
      </c>
      <c r="I187" s="178">
        <v>682</v>
      </c>
      <c r="J187" s="178">
        <v>4446</v>
      </c>
      <c r="K187" s="177">
        <v>62</v>
      </c>
      <c r="L187" s="178">
        <v>556</v>
      </c>
      <c r="M187" s="178">
        <v>690</v>
      </c>
      <c r="N187" s="178">
        <v>1257</v>
      </c>
      <c r="O187" s="178">
        <v>14668</v>
      </c>
      <c r="P187" s="177">
        <v>63</v>
      </c>
      <c r="Q187" s="178">
        <v>591</v>
      </c>
      <c r="R187" s="178">
        <v>384</v>
      </c>
      <c r="S187" s="178">
        <v>982</v>
      </c>
      <c r="T187" s="178">
        <v>11442</v>
      </c>
    </row>
    <row r="188" spans="1:20" x14ac:dyDescent="0.45">
      <c r="A188" s="177">
        <v>58</v>
      </c>
      <c r="B188" s="178">
        <v>870</v>
      </c>
      <c r="C188" s="178">
        <v>299</v>
      </c>
      <c r="D188" s="178">
        <v>1186</v>
      </c>
      <c r="E188" s="178">
        <v>13025</v>
      </c>
      <c r="F188" s="177">
        <v>65</v>
      </c>
      <c r="G188" s="178">
        <v>298</v>
      </c>
      <c r="H188" s="178">
        <v>194</v>
      </c>
      <c r="I188" s="178">
        <v>495</v>
      </c>
      <c r="J188" s="178">
        <v>4941</v>
      </c>
      <c r="K188" s="177">
        <v>61</v>
      </c>
      <c r="L188" s="178">
        <v>739</v>
      </c>
      <c r="M188" s="178">
        <v>978</v>
      </c>
      <c r="N188" s="178">
        <v>1734</v>
      </c>
      <c r="O188" s="178">
        <v>16402</v>
      </c>
      <c r="P188" s="177">
        <v>62</v>
      </c>
      <c r="Q188" s="178">
        <v>859</v>
      </c>
      <c r="R188" s="178">
        <v>554</v>
      </c>
      <c r="S188" s="178">
        <v>1422</v>
      </c>
      <c r="T188" s="178">
        <v>12864</v>
      </c>
    </row>
    <row r="189" spans="1:20" x14ac:dyDescent="0.45">
      <c r="A189" s="177">
        <v>57</v>
      </c>
      <c r="B189" s="178">
        <v>877</v>
      </c>
      <c r="C189" s="178">
        <v>306</v>
      </c>
      <c r="D189" s="178">
        <v>1192</v>
      </c>
      <c r="E189" s="178">
        <v>14217</v>
      </c>
      <c r="F189" s="177">
        <v>64</v>
      </c>
      <c r="G189" s="178">
        <v>335</v>
      </c>
      <c r="H189" s="178">
        <v>243</v>
      </c>
      <c r="I189" s="178">
        <v>584</v>
      </c>
      <c r="J189" s="178">
        <v>5525</v>
      </c>
      <c r="K189" s="177">
        <v>60</v>
      </c>
      <c r="L189" s="178">
        <v>1354</v>
      </c>
      <c r="M189" s="178">
        <v>1742</v>
      </c>
      <c r="N189" s="178">
        <v>3126</v>
      </c>
      <c r="O189" s="178">
        <v>19528</v>
      </c>
      <c r="P189" s="177">
        <v>61</v>
      </c>
      <c r="Q189" s="178">
        <v>832</v>
      </c>
      <c r="R189" s="178">
        <v>582</v>
      </c>
      <c r="S189" s="178">
        <v>1428</v>
      </c>
      <c r="T189" s="178">
        <v>14292</v>
      </c>
    </row>
    <row r="190" spans="1:20" x14ac:dyDescent="0.45">
      <c r="A190" s="177">
        <v>56</v>
      </c>
      <c r="B190" s="178">
        <v>752</v>
      </c>
      <c r="C190" s="178">
        <v>272</v>
      </c>
      <c r="D190" s="178">
        <v>1029</v>
      </c>
      <c r="E190" s="178">
        <v>15246</v>
      </c>
      <c r="F190" s="177">
        <v>63</v>
      </c>
      <c r="G190" s="178">
        <v>843</v>
      </c>
      <c r="H190" s="178">
        <v>596</v>
      </c>
      <c r="I190" s="178">
        <v>1458</v>
      </c>
      <c r="J190" s="178">
        <v>6983</v>
      </c>
      <c r="K190" s="177">
        <v>59</v>
      </c>
      <c r="L190" s="178">
        <v>796</v>
      </c>
      <c r="M190" s="178">
        <v>997</v>
      </c>
      <c r="N190" s="178">
        <v>1815</v>
      </c>
      <c r="O190" s="178">
        <v>21343</v>
      </c>
      <c r="P190" s="177">
        <v>60</v>
      </c>
      <c r="Q190" s="178">
        <v>1647</v>
      </c>
      <c r="R190" s="178">
        <v>1218</v>
      </c>
      <c r="S190" s="178">
        <v>2890</v>
      </c>
      <c r="T190" s="178">
        <v>17182</v>
      </c>
    </row>
    <row r="191" spans="1:20" x14ac:dyDescent="0.45">
      <c r="A191" s="177">
        <v>55</v>
      </c>
      <c r="B191" s="178">
        <v>1663</v>
      </c>
      <c r="C191" s="178">
        <v>562</v>
      </c>
      <c r="D191" s="178">
        <v>2241</v>
      </c>
      <c r="E191" s="178">
        <v>17487</v>
      </c>
      <c r="F191" s="177">
        <v>62</v>
      </c>
      <c r="G191" s="178">
        <v>480</v>
      </c>
      <c r="H191" s="178">
        <v>374</v>
      </c>
      <c r="I191" s="178">
        <v>862</v>
      </c>
      <c r="J191" s="178">
        <v>7845</v>
      </c>
      <c r="K191" s="177">
        <v>58</v>
      </c>
      <c r="L191" s="178">
        <v>779</v>
      </c>
      <c r="M191" s="178">
        <v>919</v>
      </c>
      <c r="N191" s="178">
        <v>1713</v>
      </c>
      <c r="O191" s="178">
        <v>23056</v>
      </c>
      <c r="P191" s="177">
        <v>59</v>
      </c>
      <c r="Q191" s="178">
        <v>837</v>
      </c>
      <c r="R191" s="178">
        <v>662</v>
      </c>
      <c r="S191" s="178">
        <v>1506</v>
      </c>
      <c r="T191" s="178">
        <v>18688</v>
      </c>
    </row>
    <row r="192" spans="1:20" x14ac:dyDescent="0.45">
      <c r="A192" s="177">
        <v>54</v>
      </c>
      <c r="B192" s="178">
        <v>837</v>
      </c>
      <c r="C192" s="178">
        <v>328</v>
      </c>
      <c r="D192" s="178">
        <v>1176</v>
      </c>
      <c r="E192" s="178">
        <v>18663</v>
      </c>
      <c r="F192" s="177">
        <v>61</v>
      </c>
      <c r="G192" s="178">
        <v>511</v>
      </c>
      <c r="H192" s="178">
        <v>395</v>
      </c>
      <c r="I192" s="178">
        <v>914</v>
      </c>
      <c r="J192" s="178">
        <v>8759</v>
      </c>
      <c r="K192" s="177">
        <v>57</v>
      </c>
      <c r="L192" s="178">
        <v>926</v>
      </c>
      <c r="M192" s="178">
        <v>1149</v>
      </c>
      <c r="N192" s="178">
        <v>2091</v>
      </c>
      <c r="O192" s="178">
        <v>25147</v>
      </c>
      <c r="P192" s="177">
        <v>58</v>
      </c>
      <c r="Q192" s="178">
        <v>877</v>
      </c>
      <c r="R192" s="178">
        <v>638</v>
      </c>
      <c r="S192" s="178">
        <v>1527</v>
      </c>
      <c r="T192" s="178">
        <v>20215</v>
      </c>
    </row>
    <row r="193" spans="1:20" x14ac:dyDescent="0.45">
      <c r="A193" s="177">
        <v>53</v>
      </c>
      <c r="B193" s="178">
        <v>847</v>
      </c>
      <c r="C193" s="178">
        <v>326</v>
      </c>
      <c r="D193" s="178">
        <v>1181</v>
      </c>
      <c r="E193" s="178">
        <v>19844</v>
      </c>
      <c r="F193" s="177">
        <v>60</v>
      </c>
      <c r="G193" s="178">
        <v>481</v>
      </c>
      <c r="H193" s="178">
        <v>391</v>
      </c>
      <c r="I193" s="178">
        <v>881</v>
      </c>
      <c r="J193" s="178">
        <v>9640</v>
      </c>
      <c r="K193" s="177">
        <v>56</v>
      </c>
      <c r="L193" s="178">
        <v>799</v>
      </c>
      <c r="M193" s="178">
        <v>1121</v>
      </c>
      <c r="N193" s="178">
        <v>1934</v>
      </c>
      <c r="O193" s="178">
        <v>27081</v>
      </c>
      <c r="P193" s="177">
        <v>57</v>
      </c>
      <c r="Q193" s="178">
        <v>961</v>
      </c>
      <c r="R193" s="178">
        <v>815</v>
      </c>
      <c r="S193" s="178">
        <v>1789</v>
      </c>
      <c r="T193" s="178">
        <v>22004</v>
      </c>
    </row>
    <row r="194" spans="1:20" x14ac:dyDescent="0.45">
      <c r="A194" s="177">
        <v>52</v>
      </c>
      <c r="B194" s="178">
        <v>766</v>
      </c>
      <c r="C194" s="178">
        <v>283</v>
      </c>
      <c r="D194" s="178">
        <v>1058</v>
      </c>
      <c r="E194" s="178">
        <v>20902</v>
      </c>
      <c r="F194" s="177">
        <v>59</v>
      </c>
      <c r="G194" s="178">
        <v>585</v>
      </c>
      <c r="H194" s="178">
        <v>499</v>
      </c>
      <c r="I194" s="178">
        <v>1095</v>
      </c>
      <c r="J194" s="178">
        <v>10735</v>
      </c>
      <c r="K194" s="177">
        <v>55</v>
      </c>
      <c r="L194" s="178">
        <v>950</v>
      </c>
      <c r="M194" s="178">
        <v>1242</v>
      </c>
      <c r="N194" s="178">
        <v>2212</v>
      </c>
      <c r="O194" s="178">
        <v>29293</v>
      </c>
      <c r="P194" s="177">
        <v>56</v>
      </c>
      <c r="Q194" s="178">
        <v>850</v>
      </c>
      <c r="R194" s="178">
        <v>658</v>
      </c>
      <c r="S194" s="178">
        <v>1515</v>
      </c>
      <c r="T194" s="178">
        <v>23519</v>
      </c>
    </row>
    <row r="195" spans="1:20" x14ac:dyDescent="0.45">
      <c r="A195" s="177">
        <v>51</v>
      </c>
      <c r="B195" s="178">
        <v>831</v>
      </c>
      <c r="C195" s="178">
        <v>327</v>
      </c>
      <c r="D195" s="178">
        <v>1169</v>
      </c>
      <c r="E195" s="178">
        <v>22071</v>
      </c>
      <c r="F195" s="177">
        <v>58</v>
      </c>
      <c r="G195" s="178">
        <v>524</v>
      </c>
      <c r="H195" s="178">
        <v>464</v>
      </c>
      <c r="I195" s="178">
        <v>993</v>
      </c>
      <c r="J195" s="178">
        <v>11728</v>
      </c>
      <c r="K195" s="177">
        <v>54</v>
      </c>
      <c r="L195" s="178">
        <v>1050</v>
      </c>
      <c r="M195" s="178">
        <v>1348</v>
      </c>
      <c r="N195" s="178">
        <v>2423</v>
      </c>
      <c r="O195" s="178">
        <v>31716</v>
      </c>
      <c r="P195" s="177">
        <v>55</v>
      </c>
      <c r="Q195" s="178">
        <v>1007</v>
      </c>
      <c r="R195" s="178">
        <v>801</v>
      </c>
      <c r="S195" s="178">
        <v>1826</v>
      </c>
      <c r="T195" s="178">
        <v>25345</v>
      </c>
    </row>
    <row r="196" spans="1:20" x14ac:dyDescent="0.45">
      <c r="A196" s="177">
        <v>50</v>
      </c>
      <c r="B196" s="178">
        <v>1558</v>
      </c>
      <c r="C196" s="178">
        <v>600</v>
      </c>
      <c r="D196" s="178">
        <v>2172</v>
      </c>
      <c r="E196" s="178">
        <v>24243</v>
      </c>
      <c r="F196" s="177">
        <v>57</v>
      </c>
      <c r="G196" s="178">
        <v>657</v>
      </c>
      <c r="H196" s="178">
        <v>558</v>
      </c>
      <c r="I196" s="178">
        <v>1223</v>
      </c>
      <c r="J196" s="178">
        <v>12951</v>
      </c>
      <c r="K196" s="177">
        <v>53</v>
      </c>
      <c r="L196" s="178">
        <v>2106</v>
      </c>
      <c r="M196" s="178">
        <v>2778</v>
      </c>
      <c r="N196" s="178">
        <v>4943</v>
      </c>
      <c r="O196" s="178">
        <v>36659</v>
      </c>
      <c r="P196" s="177">
        <v>54</v>
      </c>
      <c r="Q196" s="178">
        <v>2029</v>
      </c>
      <c r="R196" s="178">
        <v>1614</v>
      </c>
      <c r="S196" s="178">
        <v>3674</v>
      </c>
      <c r="T196" s="178">
        <v>29019</v>
      </c>
    </row>
    <row r="197" spans="1:20" x14ac:dyDescent="0.45">
      <c r="A197" s="177">
        <v>49</v>
      </c>
      <c r="B197" s="178">
        <v>828</v>
      </c>
      <c r="C197" s="178">
        <v>318</v>
      </c>
      <c r="D197" s="178">
        <v>1163</v>
      </c>
      <c r="E197" s="178">
        <v>25406</v>
      </c>
      <c r="F197" s="177">
        <v>56</v>
      </c>
      <c r="G197" s="178">
        <v>649</v>
      </c>
      <c r="H197" s="178">
        <v>636</v>
      </c>
      <c r="I197" s="178">
        <v>1298</v>
      </c>
      <c r="J197" s="178">
        <v>14249</v>
      </c>
      <c r="K197" s="177">
        <v>52</v>
      </c>
      <c r="L197" s="178">
        <v>1069</v>
      </c>
      <c r="M197" s="178">
        <v>1469</v>
      </c>
      <c r="N197" s="178">
        <v>2562</v>
      </c>
      <c r="O197" s="178">
        <v>39221</v>
      </c>
      <c r="P197" s="177">
        <v>53</v>
      </c>
      <c r="Q197" s="178">
        <v>1104</v>
      </c>
      <c r="R197" s="178">
        <v>935</v>
      </c>
      <c r="S197" s="178">
        <v>2056</v>
      </c>
      <c r="T197" s="178">
        <v>31075</v>
      </c>
    </row>
    <row r="198" spans="1:20" x14ac:dyDescent="0.45">
      <c r="A198" s="177">
        <v>48</v>
      </c>
      <c r="B198" s="178">
        <v>778</v>
      </c>
      <c r="C198" s="178">
        <v>314</v>
      </c>
      <c r="D198" s="178">
        <v>1106</v>
      </c>
      <c r="E198" s="178">
        <v>26512</v>
      </c>
      <c r="F198" s="177">
        <v>55</v>
      </c>
      <c r="G198" s="178">
        <v>610</v>
      </c>
      <c r="H198" s="178">
        <v>574</v>
      </c>
      <c r="I198" s="178">
        <v>1195</v>
      </c>
      <c r="J198" s="178">
        <v>15444</v>
      </c>
      <c r="K198" s="177">
        <v>51</v>
      </c>
      <c r="L198" s="178">
        <v>1197</v>
      </c>
      <c r="M198" s="178">
        <v>1660</v>
      </c>
      <c r="N198" s="178">
        <v>2884</v>
      </c>
      <c r="O198" s="178">
        <v>42105</v>
      </c>
      <c r="P198" s="177">
        <v>52</v>
      </c>
      <c r="Q198" s="178">
        <v>1066</v>
      </c>
      <c r="R198" s="178">
        <v>836</v>
      </c>
      <c r="S198" s="178">
        <v>1919</v>
      </c>
      <c r="T198" s="178">
        <v>32994</v>
      </c>
    </row>
    <row r="199" spans="1:20" x14ac:dyDescent="0.45">
      <c r="A199" s="177">
        <v>47</v>
      </c>
      <c r="B199" s="178">
        <v>880</v>
      </c>
      <c r="C199" s="178">
        <v>337</v>
      </c>
      <c r="D199" s="178">
        <v>1232</v>
      </c>
      <c r="E199" s="178">
        <v>27744</v>
      </c>
      <c r="F199" s="177">
        <v>54</v>
      </c>
      <c r="G199" s="178">
        <v>790</v>
      </c>
      <c r="H199" s="178">
        <v>762</v>
      </c>
      <c r="I199" s="178">
        <v>1564</v>
      </c>
      <c r="J199" s="178">
        <v>17008</v>
      </c>
      <c r="K199" s="177">
        <v>50</v>
      </c>
      <c r="L199" s="178">
        <v>1268</v>
      </c>
      <c r="M199" s="178">
        <v>1697</v>
      </c>
      <c r="N199" s="178">
        <v>2998</v>
      </c>
      <c r="O199" s="178">
        <v>45103</v>
      </c>
      <c r="P199" s="177">
        <v>51</v>
      </c>
      <c r="Q199" s="178">
        <v>1129</v>
      </c>
      <c r="R199" s="178">
        <v>954</v>
      </c>
      <c r="S199" s="178">
        <v>2106</v>
      </c>
      <c r="T199" s="178">
        <v>35100</v>
      </c>
    </row>
    <row r="200" spans="1:20" x14ac:dyDescent="0.45">
      <c r="A200" s="177">
        <v>46</v>
      </c>
      <c r="B200" s="178">
        <v>1613</v>
      </c>
      <c r="C200" s="178">
        <v>641</v>
      </c>
      <c r="D200" s="178">
        <v>2277</v>
      </c>
      <c r="E200" s="178">
        <v>30021</v>
      </c>
      <c r="F200" s="177">
        <v>53</v>
      </c>
      <c r="G200" s="178">
        <v>700</v>
      </c>
      <c r="H200" s="178">
        <v>611</v>
      </c>
      <c r="I200" s="178">
        <v>1323</v>
      </c>
      <c r="J200" s="178">
        <v>18331</v>
      </c>
      <c r="K200" s="177">
        <v>49</v>
      </c>
      <c r="L200" s="178">
        <v>1280</v>
      </c>
      <c r="M200" s="178">
        <v>1566</v>
      </c>
      <c r="N200" s="178">
        <v>2874</v>
      </c>
      <c r="O200" s="178">
        <v>47977</v>
      </c>
      <c r="P200" s="177">
        <v>50</v>
      </c>
      <c r="Q200" s="178">
        <v>1172</v>
      </c>
      <c r="R200" s="178">
        <v>932</v>
      </c>
      <c r="S200" s="178">
        <v>2128</v>
      </c>
      <c r="T200" s="178">
        <v>37228</v>
      </c>
    </row>
    <row r="201" spans="1:20" x14ac:dyDescent="0.45">
      <c r="A201" s="177">
        <v>45</v>
      </c>
      <c r="B201" s="178">
        <v>885</v>
      </c>
      <c r="C201" s="178">
        <v>296</v>
      </c>
      <c r="D201" s="178">
        <v>1188</v>
      </c>
      <c r="E201" s="178">
        <v>31209</v>
      </c>
      <c r="F201" s="177">
        <v>52</v>
      </c>
      <c r="G201" s="178">
        <v>783</v>
      </c>
      <c r="H201" s="178">
        <v>766</v>
      </c>
      <c r="I201" s="178">
        <v>1566</v>
      </c>
      <c r="J201" s="178">
        <v>19897</v>
      </c>
      <c r="K201" s="177">
        <v>48</v>
      </c>
      <c r="L201" s="178">
        <v>1452</v>
      </c>
      <c r="M201" s="178">
        <v>1903</v>
      </c>
      <c r="N201" s="178">
        <v>3381</v>
      </c>
      <c r="O201" s="178">
        <v>51358</v>
      </c>
      <c r="P201" s="177">
        <v>49</v>
      </c>
      <c r="Q201" s="178">
        <v>2498</v>
      </c>
      <c r="R201" s="178">
        <v>2028</v>
      </c>
      <c r="S201" s="178">
        <v>4574</v>
      </c>
      <c r="T201" s="178">
        <v>41802</v>
      </c>
    </row>
    <row r="202" spans="1:20" x14ac:dyDescent="0.45">
      <c r="A202" s="177">
        <v>44</v>
      </c>
      <c r="B202" s="178">
        <v>872</v>
      </c>
      <c r="C202" s="178">
        <v>307</v>
      </c>
      <c r="D202" s="178">
        <v>1190</v>
      </c>
      <c r="E202" s="178">
        <v>32399</v>
      </c>
      <c r="F202" s="177">
        <v>51</v>
      </c>
      <c r="G202" s="178">
        <v>789</v>
      </c>
      <c r="H202" s="178">
        <v>762</v>
      </c>
      <c r="I202" s="178">
        <v>1567</v>
      </c>
      <c r="J202" s="178">
        <v>21464</v>
      </c>
      <c r="K202" s="177">
        <v>47</v>
      </c>
      <c r="L202" s="178">
        <v>1461</v>
      </c>
      <c r="M202" s="178">
        <v>1638</v>
      </c>
      <c r="N202" s="178">
        <v>3132</v>
      </c>
      <c r="O202" s="178">
        <v>54490</v>
      </c>
      <c r="P202" s="177">
        <v>48</v>
      </c>
      <c r="Q202" s="178">
        <v>1223</v>
      </c>
      <c r="R202" s="178">
        <v>1034</v>
      </c>
      <c r="S202" s="178">
        <v>2276</v>
      </c>
      <c r="T202" s="178">
        <v>44078</v>
      </c>
    </row>
    <row r="203" spans="1:20" x14ac:dyDescent="0.45">
      <c r="A203" s="177">
        <v>43</v>
      </c>
      <c r="B203" s="178">
        <v>905</v>
      </c>
      <c r="C203" s="178">
        <v>319</v>
      </c>
      <c r="D203" s="178">
        <v>1237</v>
      </c>
      <c r="E203" s="178">
        <v>33636</v>
      </c>
      <c r="F203" s="177">
        <v>50</v>
      </c>
      <c r="G203" s="178">
        <v>759</v>
      </c>
      <c r="H203" s="178">
        <v>821</v>
      </c>
      <c r="I203" s="178">
        <v>1601</v>
      </c>
      <c r="J203" s="178">
        <v>23065</v>
      </c>
      <c r="K203" s="177">
        <v>46</v>
      </c>
      <c r="L203" s="178">
        <v>3062</v>
      </c>
      <c r="M203" s="178">
        <v>3635</v>
      </c>
      <c r="N203" s="178">
        <v>6765</v>
      </c>
      <c r="O203" s="178">
        <v>61255</v>
      </c>
      <c r="P203" s="177">
        <v>47</v>
      </c>
      <c r="Q203" s="178">
        <v>1431</v>
      </c>
      <c r="R203" s="178">
        <v>1153</v>
      </c>
      <c r="S203" s="178">
        <v>2611</v>
      </c>
      <c r="T203" s="178">
        <v>46689</v>
      </c>
    </row>
    <row r="204" spans="1:20" x14ac:dyDescent="0.45">
      <c r="A204" s="177">
        <v>42</v>
      </c>
      <c r="B204" s="178">
        <v>1862</v>
      </c>
      <c r="C204" s="178">
        <v>552</v>
      </c>
      <c r="D204" s="178">
        <v>2443</v>
      </c>
      <c r="E204" s="178">
        <v>36079</v>
      </c>
      <c r="F204" s="177">
        <v>49</v>
      </c>
      <c r="G204" s="178">
        <v>852</v>
      </c>
      <c r="H204" s="178">
        <v>861</v>
      </c>
      <c r="I204" s="178">
        <v>1734</v>
      </c>
      <c r="J204" s="178">
        <v>24799</v>
      </c>
      <c r="K204" s="177">
        <v>45</v>
      </c>
      <c r="L204" s="178">
        <v>1519</v>
      </c>
      <c r="M204" s="178">
        <v>1657</v>
      </c>
      <c r="N204" s="178">
        <v>3210</v>
      </c>
      <c r="O204" s="178">
        <v>64465</v>
      </c>
      <c r="P204" s="177">
        <v>46</v>
      </c>
      <c r="Q204" s="178">
        <v>1313</v>
      </c>
      <c r="R204" s="178">
        <v>1113</v>
      </c>
      <c r="S204" s="178">
        <v>2455</v>
      </c>
      <c r="T204" s="178">
        <v>49144</v>
      </c>
    </row>
    <row r="205" spans="1:20" x14ac:dyDescent="0.45">
      <c r="A205" s="177">
        <v>41</v>
      </c>
      <c r="B205" s="178">
        <v>935</v>
      </c>
      <c r="C205" s="178">
        <v>290</v>
      </c>
      <c r="D205" s="178">
        <v>1242</v>
      </c>
      <c r="E205" s="178">
        <v>37321</v>
      </c>
      <c r="F205" s="177">
        <v>48</v>
      </c>
      <c r="G205" s="178">
        <v>829</v>
      </c>
      <c r="H205" s="178">
        <v>779</v>
      </c>
      <c r="I205" s="178">
        <v>1627</v>
      </c>
      <c r="J205" s="178">
        <v>26426</v>
      </c>
      <c r="K205" s="177">
        <v>44</v>
      </c>
      <c r="L205" s="178">
        <v>1559</v>
      </c>
      <c r="M205" s="178">
        <v>1912</v>
      </c>
      <c r="N205" s="178">
        <v>3504</v>
      </c>
      <c r="O205" s="178">
        <v>67969</v>
      </c>
      <c r="P205" s="177">
        <v>45</v>
      </c>
      <c r="Q205" s="178">
        <v>1341</v>
      </c>
      <c r="R205" s="178">
        <v>1124</v>
      </c>
      <c r="S205" s="178">
        <v>2500</v>
      </c>
      <c r="T205" s="178">
        <v>51644</v>
      </c>
    </row>
    <row r="206" spans="1:20" x14ac:dyDescent="0.45">
      <c r="A206" s="177">
        <v>40</v>
      </c>
      <c r="B206" s="178">
        <v>1251</v>
      </c>
      <c r="C206" s="178">
        <v>319</v>
      </c>
      <c r="D206" s="178">
        <v>1587</v>
      </c>
      <c r="E206" s="178">
        <v>38908</v>
      </c>
      <c r="F206" s="177">
        <v>47</v>
      </c>
      <c r="G206" s="178">
        <v>1822</v>
      </c>
      <c r="H206" s="178">
        <v>1702</v>
      </c>
      <c r="I206" s="178">
        <v>3557</v>
      </c>
      <c r="J206" s="178">
        <v>29983</v>
      </c>
      <c r="K206" s="177">
        <v>43</v>
      </c>
      <c r="L206" s="178">
        <v>1569</v>
      </c>
      <c r="M206" s="178">
        <v>1631</v>
      </c>
      <c r="N206" s="178">
        <v>3231</v>
      </c>
      <c r="O206" s="178">
        <v>71200</v>
      </c>
      <c r="P206" s="177">
        <v>44</v>
      </c>
      <c r="Q206" s="178">
        <v>1492</v>
      </c>
      <c r="R206" s="178">
        <v>1095</v>
      </c>
      <c r="S206" s="178">
        <v>2610</v>
      </c>
      <c r="T206" s="178">
        <v>54254</v>
      </c>
    </row>
    <row r="207" spans="1:20" x14ac:dyDescent="0.45">
      <c r="A207" s="177">
        <v>39</v>
      </c>
      <c r="B207" s="178">
        <v>951</v>
      </c>
      <c r="C207" s="178">
        <v>271</v>
      </c>
      <c r="D207" s="178">
        <v>1235</v>
      </c>
      <c r="E207" s="178">
        <v>40143</v>
      </c>
      <c r="F207" s="177">
        <v>46</v>
      </c>
      <c r="G207" s="178">
        <v>986</v>
      </c>
      <c r="H207" s="178">
        <v>853</v>
      </c>
      <c r="I207" s="178">
        <v>1864</v>
      </c>
      <c r="J207" s="178">
        <v>31847</v>
      </c>
      <c r="K207" s="177">
        <v>42</v>
      </c>
      <c r="L207" s="178">
        <v>1853</v>
      </c>
      <c r="M207" s="178">
        <v>1766</v>
      </c>
      <c r="N207" s="178">
        <v>3665</v>
      </c>
      <c r="O207" s="178">
        <v>74865</v>
      </c>
      <c r="P207" s="177">
        <v>43</v>
      </c>
      <c r="Q207" s="178">
        <v>3121</v>
      </c>
      <c r="R207" s="178">
        <v>2338</v>
      </c>
      <c r="S207" s="178">
        <v>5527</v>
      </c>
      <c r="T207" s="178">
        <v>59781</v>
      </c>
    </row>
    <row r="208" spans="1:20" x14ac:dyDescent="0.45">
      <c r="A208" s="177">
        <v>38</v>
      </c>
      <c r="B208" s="178">
        <v>1470</v>
      </c>
      <c r="C208" s="178">
        <v>330</v>
      </c>
      <c r="D208" s="178">
        <v>1823</v>
      </c>
      <c r="E208" s="178">
        <v>41966</v>
      </c>
      <c r="F208" s="177">
        <v>45</v>
      </c>
      <c r="G208" s="178">
        <v>986</v>
      </c>
      <c r="H208" s="178">
        <v>888</v>
      </c>
      <c r="I208" s="178">
        <v>1891</v>
      </c>
      <c r="J208" s="178">
        <v>33738</v>
      </c>
      <c r="K208" s="177">
        <v>41</v>
      </c>
      <c r="L208" s="178">
        <v>1381</v>
      </c>
      <c r="M208" s="178">
        <v>1434</v>
      </c>
      <c r="N208" s="178">
        <v>2851</v>
      </c>
      <c r="O208" s="178">
        <v>77716</v>
      </c>
      <c r="P208" s="177">
        <v>42</v>
      </c>
      <c r="Q208" s="178">
        <v>1388</v>
      </c>
      <c r="R208" s="178">
        <v>979</v>
      </c>
      <c r="S208" s="178">
        <v>2393</v>
      </c>
      <c r="T208" s="178">
        <v>62174</v>
      </c>
    </row>
    <row r="209" spans="1:20" x14ac:dyDescent="0.45">
      <c r="A209" s="177">
        <v>37</v>
      </c>
      <c r="B209" s="178">
        <v>2877</v>
      </c>
      <c r="C209" s="178">
        <v>597</v>
      </c>
      <c r="D209" s="178">
        <v>3517</v>
      </c>
      <c r="E209" s="178">
        <v>45483</v>
      </c>
      <c r="F209" s="177">
        <v>44</v>
      </c>
      <c r="G209" s="178">
        <v>1045</v>
      </c>
      <c r="H209" s="178">
        <v>956</v>
      </c>
      <c r="I209" s="178">
        <v>2024</v>
      </c>
      <c r="J209" s="178">
        <v>35762</v>
      </c>
      <c r="K209" s="177">
        <v>40</v>
      </c>
      <c r="L209" s="178">
        <v>1513</v>
      </c>
      <c r="M209" s="178">
        <v>1246</v>
      </c>
      <c r="N209" s="178">
        <v>2803</v>
      </c>
      <c r="O209" s="178">
        <v>80519</v>
      </c>
      <c r="P209" s="177">
        <v>41</v>
      </c>
      <c r="Q209" s="178">
        <v>3208</v>
      </c>
      <c r="R209" s="178">
        <v>1612</v>
      </c>
      <c r="S209" s="178">
        <v>4890</v>
      </c>
      <c r="T209" s="178">
        <v>67064</v>
      </c>
    </row>
    <row r="210" spans="1:20" x14ac:dyDescent="0.45">
      <c r="A210" s="177">
        <v>36</v>
      </c>
      <c r="B210" s="178">
        <v>465</v>
      </c>
      <c r="C210" s="178">
        <v>122</v>
      </c>
      <c r="D210" s="178">
        <v>595</v>
      </c>
      <c r="E210" s="178">
        <v>46078</v>
      </c>
      <c r="F210" s="177">
        <v>43</v>
      </c>
      <c r="G210" s="178">
        <v>1024</v>
      </c>
      <c r="H210" s="178">
        <v>905</v>
      </c>
      <c r="I210" s="178">
        <v>1951</v>
      </c>
      <c r="J210" s="178">
        <v>37713</v>
      </c>
      <c r="K210" s="177">
        <v>39</v>
      </c>
      <c r="L210" s="178">
        <v>3701</v>
      </c>
      <c r="M210" s="178">
        <v>2659</v>
      </c>
      <c r="N210" s="178">
        <v>6443</v>
      </c>
      <c r="O210" s="178">
        <v>86962</v>
      </c>
      <c r="P210" s="177">
        <v>40</v>
      </c>
      <c r="Q210" s="178">
        <v>1306</v>
      </c>
      <c r="R210" s="178">
        <v>855</v>
      </c>
      <c r="S210" s="178">
        <v>2181</v>
      </c>
      <c r="T210" s="178">
        <v>69245</v>
      </c>
    </row>
    <row r="211" spans="1:20" x14ac:dyDescent="0.45">
      <c r="A211" s="177">
        <v>35</v>
      </c>
      <c r="B211" s="178">
        <v>754</v>
      </c>
      <c r="C211" s="178">
        <v>147</v>
      </c>
      <c r="D211" s="178">
        <v>912</v>
      </c>
      <c r="E211" s="178">
        <v>46990</v>
      </c>
      <c r="F211" s="177">
        <v>42</v>
      </c>
      <c r="G211" s="178">
        <v>2048</v>
      </c>
      <c r="H211" s="178">
        <v>1059</v>
      </c>
      <c r="I211" s="178">
        <v>3143</v>
      </c>
      <c r="J211" s="178">
        <v>40856</v>
      </c>
      <c r="K211" s="177">
        <v>38</v>
      </c>
      <c r="L211" s="178">
        <v>1168</v>
      </c>
      <c r="M211" s="178">
        <v>892</v>
      </c>
      <c r="N211" s="178">
        <v>2080</v>
      </c>
      <c r="O211" s="178">
        <v>89042</v>
      </c>
      <c r="P211" s="177">
        <v>39</v>
      </c>
      <c r="Q211" s="178">
        <v>1572</v>
      </c>
      <c r="R211" s="178">
        <v>851</v>
      </c>
      <c r="S211" s="178">
        <v>2444</v>
      </c>
      <c r="T211" s="178">
        <v>71689</v>
      </c>
    </row>
    <row r="212" spans="1:20" x14ac:dyDescent="0.45">
      <c r="A212" s="177">
        <v>34</v>
      </c>
      <c r="B212" s="178">
        <v>239</v>
      </c>
      <c r="C212" s="178">
        <v>65</v>
      </c>
      <c r="D212" s="178">
        <v>305</v>
      </c>
      <c r="E212" s="178">
        <v>47295</v>
      </c>
      <c r="F212" s="177">
        <v>41</v>
      </c>
      <c r="G212" s="178">
        <v>979</v>
      </c>
      <c r="H212" s="178">
        <v>798</v>
      </c>
      <c r="I212" s="178">
        <v>1804</v>
      </c>
      <c r="J212" s="178">
        <v>42660</v>
      </c>
      <c r="K212" s="177">
        <v>37</v>
      </c>
      <c r="L212" s="178">
        <v>906</v>
      </c>
      <c r="M212" s="178">
        <v>674</v>
      </c>
      <c r="N212" s="178">
        <v>1602</v>
      </c>
      <c r="O212" s="178">
        <v>90644</v>
      </c>
      <c r="P212" s="177">
        <v>38</v>
      </c>
      <c r="Q212" s="178">
        <v>1080</v>
      </c>
      <c r="R212" s="178">
        <v>685</v>
      </c>
      <c r="S212" s="178">
        <v>1783</v>
      </c>
      <c r="T212" s="178">
        <v>73472</v>
      </c>
    </row>
    <row r="213" spans="1:20" x14ac:dyDescent="0.45">
      <c r="A213" s="177">
        <v>33</v>
      </c>
      <c r="B213" s="178">
        <v>455</v>
      </c>
      <c r="C213" s="178">
        <v>103</v>
      </c>
      <c r="D213" s="178">
        <v>571</v>
      </c>
      <c r="E213" s="178">
        <v>47866</v>
      </c>
      <c r="F213" s="177">
        <v>40</v>
      </c>
      <c r="G213" s="178">
        <v>789</v>
      </c>
      <c r="H213" s="178">
        <v>616</v>
      </c>
      <c r="I213" s="178">
        <v>1427</v>
      </c>
      <c r="J213" s="178">
        <v>44087</v>
      </c>
      <c r="K213" s="177">
        <v>36</v>
      </c>
      <c r="L213" s="178">
        <v>837</v>
      </c>
      <c r="M213" s="178">
        <v>551</v>
      </c>
      <c r="N213" s="178">
        <v>1403</v>
      </c>
      <c r="O213" s="178">
        <v>92047</v>
      </c>
      <c r="P213" s="177">
        <v>37</v>
      </c>
      <c r="Q213" s="178">
        <v>4302</v>
      </c>
      <c r="R213" s="178">
        <v>1659</v>
      </c>
      <c r="S213" s="178">
        <v>6064</v>
      </c>
      <c r="T213" s="178">
        <v>79536</v>
      </c>
    </row>
    <row r="214" spans="1:20" x14ac:dyDescent="0.45">
      <c r="A214" s="177">
        <v>32</v>
      </c>
      <c r="B214" s="178">
        <v>91</v>
      </c>
      <c r="C214" s="178">
        <v>28</v>
      </c>
      <c r="D214" s="178">
        <v>119</v>
      </c>
      <c r="E214" s="178">
        <v>47985</v>
      </c>
      <c r="F214" s="177">
        <v>39</v>
      </c>
      <c r="G214" s="178">
        <v>1049</v>
      </c>
      <c r="H214" s="178">
        <v>746</v>
      </c>
      <c r="I214" s="178">
        <v>1820</v>
      </c>
      <c r="J214" s="178">
        <v>45907</v>
      </c>
      <c r="K214" s="177">
        <v>35</v>
      </c>
      <c r="L214" s="178">
        <v>648</v>
      </c>
      <c r="M214" s="178">
        <v>477</v>
      </c>
      <c r="N214" s="178">
        <v>1142</v>
      </c>
      <c r="O214" s="178">
        <v>93189</v>
      </c>
      <c r="P214" s="177">
        <v>36</v>
      </c>
      <c r="Q214" s="178">
        <v>431</v>
      </c>
      <c r="R214" s="178">
        <v>313</v>
      </c>
      <c r="S214" s="178">
        <v>754</v>
      </c>
      <c r="T214" s="178">
        <v>80290</v>
      </c>
    </row>
    <row r="215" spans="1:20" x14ac:dyDescent="0.45">
      <c r="A215" s="177">
        <v>31</v>
      </c>
      <c r="B215" s="178">
        <v>96</v>
      </c>
      <c r="C215" s="178">
        <v>22</v>
      </c>
      <c r="D215" s="178">
        <v>120</v>
      </c>
      <c r="E215" s="178">
        <v>48105</v>
      </c>
      <c r="F215" s="177">
        <v>38</v>
      </c>
      <c r="G215" s="178">
        <v>856</v>
      </c>
      <c r="H215" s="178">
        <v>615</v>
      </c>
      <c r="I215" s="178">
        <v>1486</v>
      </c>
      <c r="J215" s="178">
        <v>47393</v>
      </c>
      <c r="K215" s="177">
        <v>34</v>
      </c>
      <c r="L215" s="178">
        <v>1503</v>
      </c>
      <c r="M215" s="178">
        <v>720</v>
      </c>
      <c r="N215" s="178">
        <v>2272</v>
      </c>
      <c r="O215" s="178">
        <v>95461</v>
      </c>
      <c r="P215" s="177">
        <v>35</v>
      </c>
      <c r="Q215" s="178">
        <v>531</v>
      </c>
      <c r="R215" s="178">
        <v>273</v>
      </c>
      <c r="S215" s="178">
        <v>811</v>
      </c>
      <c r="T215" s="178">
        <v>81101</v>
      </c>
    </row>
    <row r="216" spans="1:20" x14ac:dyDescent="0.45">
      <c r="A216" s="177">
        <v>29</v>
      </c>
      <c r="B216" s="178">
        <v>56</v>
      </c>
      <c r="C216" s="178">
        <v>10</v>
      </c>
      <c r="D216" s="178">
        <v>67</v>
      </c>
      <c r="E216" s="178">
        <v>48172</v>
      </c>
      <c r="F216" s="177">
        <v>37</v>
      </c>
      <c r="G216" s="178">
        <v>1060</v>
      </c>
      <c r="H216" s="178">
        <v>483</v>
      </c>
      <c r="I216" s="178">
        <v>1572</v>
      </c>
      <c r="J216" s="178">
        <v>48965</v>
      </c>
      <c r="K216" s="177">
        <v>33</v>
      </c>
      <c r="L216" s="178">
        <v>550</v>
      </c>
      <c r="M216" s="178">
        <v>406</v>
      </c>
      <c r="N216" s="178">
        <v>968</v>
      </c>
      <c r="O216" s="178">
        <v>96429</v>
      </c>
      <c r="P216" s="177">
        <v>34</v>
      </c>
      <c r="Q216" s="178">
        <v>257</v>
      </c>
      <c r="R216" s="178">
        <v>145</v>
      </c>
      <c r="S216" s="178">
        <v>411</v>
      </c>
      <c r="T216" s="178">
        <v>81512</v>
      </c>
    </row>
    <row r="217" spans="1:20" x14ac:dyDescent="0.45">
      <c r="A217" s="177"/>
      <c r="B217" s="178"/>
      <c r="C217" s="178"/>
      <c r="D217" s="178"/>
      <c r="E217" s="178"/>
      <c r="F217" s="177">
        <v>36</v>
      </c>
      <c r="G217" s="178">
        <v>508</v>
      </c>
      <c r="H217" s="178">
        <v>372</v>
      </c>
      <c r="I217" s="178">
        <v>891</v>
      </c>
      <c r="J217" s="178">
        <v>49856</v>
      </c>
      <c r="K217" s="177">
        <v>32</v>
      </c>
      <c r="L217" s="178">
        <v>82</v>
      </c>
      <c r="M217" s="178">
        <v>52</v>
      </c>
      <c r="N217" s="178">
        <v>134</v>
      </c>
      <c r="O217" s="178">
        <v>96563</v>
      </c>
      <c r="P217" s="177">
        <v>33</v>
      </c>
      <c r="Q217" s="178">
        <v>155</v>
      </c>
      <c r="R217" s="178">
        <v>73</v>
      </c>
      <c r="S217" s="178">
        <v>230</v>
      </c>
      <c r="T217" s="178">
        <v>81742</v>
      </c>
    </row>
    <row r="218" spans="1:20" x14ac:dyDescent="0.45">
      <c r="A218" s="177"/>
      <c r="B218" s="178"/>
      <c r="C218" s="178"/>
      <c r="D218" s="178"/>
      <c r="E218" s="178"/>
      <c r="F218" s="177">
        <v>35</v>
      </c>
      <c r="G218" s="178">
        <v>243</v>
      </c>
      <c r="H218" s="178">
        <v>163</v>
      </c>
      <c r="I218" s="178">
        <v>412</v>
      </c>
      <c r="J218" s="178">
        <v>50268</v>
      </c>
      <c r="K218" s="177">
        <v>31</v>
      </c>
      <c r="L218" s="178">
        <v>128</v>
      </c>
      <c r="M218" s="178">
        <v>69</v>
      </c>
      <c r="N218" s="178">
        <v>200</v>
      </c>
      <c r="O218" s="178">
        <v>96763</v>
      </c>
      <c r="P218" s="177">
        <v>32</v>
      </c>
      <c r="Q218" s="178">
        <v>202</v>
      </c>
      <c r="R218" s="178">
        <v>83</v>
      </c>
      <c r="S218" s="178">
        <v>289</v>
      </c>
      <c r="T218" s="178">
        <v>82031</v>
      </c>
    </row>
    <row r="219" spans="1:20" x14ac:dyDescent="0.45">
      <c r="A219" s="177"/>
      <c r="B219" s="178"/>
      <c r="C219" s="178"/>
      <c r="D219" s="178"/>
      <c r="E219" s="178"/>
      <c r="F219" s="177">
        <v>34</v>
      </c>
      <c r="G219" s="178">
        <v>292</v>
      </c>
      <c r="H219" s="178">
        <v>157</v>
      </c>
      <c r="I219" s="178">
        <v>457</v>
      </c>
      <c r="J219" s="178">
        <v>50725</v>
      </c>
      <c r="K219" s="177">
        <v>29</v>
      </c>
      <c r="L219" s="178">
        <v>49</v>
      </c>
      <c r="M219" s="178">
        <v>18</v>
      </c>
      <c r="N219" s="178">
        <v>69</v>
      </c>
      <c r="O219" s="178">
        <v>96832</v>
      </c>
      <c r="P219" s="177">
        <v>31</v>
      </c>
      <c r="Q219" s="178">
        <v>84</v>
      </c>
      <c r="R219" s="178">
        <v>23</v>
      </c>
      <c r="S219" s="178">
        <v>108</v>
      </c>
      <c r="T219" s="178">
        <v>82139</v>
      </c>
    </row>
    <row r="220" spans="1:20" x14ac:dyDescent="0.45">
      <c r="A220" s="177"/>
      <c r="B220" s="178"/>
      <c r="C220" s="178"/>
      <c r="D220" s="178"/>
      <c r="E220" s="178"/>
      <c r="F220" s="177">
        <v>33</v>
      </c>
      <c r="G220" s="178">
        <v>174</v>
      </c>
      <c r="H220" s="178">
        <v>104</v>
      </c>
      <c r="I220" s="178">
        <v>280</v>
      </c>
      <c r="J220" s="178">
        <v>51005</v>
      </c>
      <c r="K220" s="177"/>
      <c r="L220" s="178"/>
      <c r="M220" s="178"/>
      <c r="N220" s="178"/>
      <c r="O220" s="178"/>
      <c r="P220" s="177"/>
      <c r="Q220" s="178"/>
      <c r="R220" s="178"/>
      <c r="S220" s="178"/>
      <c r="T220" s="178"/>
    </row>
    <row r="221" spans="1:20" x14ac:dyDescent="0.45">
      <c r="A221" s="177"/>
      <c r="B221" s="178"/>
      <c r="C221" s="178"/>
      <c r="D221" s="178"/>
      <c r="E221" s="178"/>
      <c r="F221" s="177">
        <v>32</v>
      </c>
      <c r="G221" s="178">
        <v>69</v>
      </c>
      <c r="H221" s="178">
        <v>37</v>
      </c>
      <c r="I221" s="178">
        <v>110</v>
      </c>
      <c r="J221" s="178">
        <v>51115</v>
      </c>
      <c r="K221" s="177"/>
      <c r="L221" s="178"/>
      <c r="M221" s="178"/>
      <c r="N221" s="178"/>
      <c r="O221" s="178"/>
      <c r="P221" s="177"/>
      <c r="Q221" s="178"/>
      <c r="R221" s="178"/>
      <c r="S221" s="178"/>
      <c r="T221" s="178"/>
    </row>
    <row r="222" spans="1:20" x14ac:dyDescent="0.45">
      <c r="A222" s="179"/>
      <c r="B222" s="180"/>
      <c r="C222" s="180"/>
      <c r="D222" s="180"/>
      <c r="E222" s="180"/>
      <c r="F222" s="179">
        <v>31</v>
      </c>
      <c r="G222" s="180">
        <v>79</v>
      </c>
      <c r="H222" s="180">
        <v>62</v>
      </c>
      <c r="I222" s="180">
        <v>143</v>
      </c>
      <c r="J222" s="180">
        <v>51258</v>
      </c>
      <c r="K222" s="179"/>
      <c r="L222" s="180"/>
      <c r="M222" s="180"/>
      <c r="N222" s="180"/>
      <c r="O222" s="180"/>
      <c r="P222" s="179"/>
      <c r="Q222" s="180"/>
      <c r="R222" s="180"/>
      <c r="S222" s="180"/>
      <c r="T222" s="180"/>
    </row>
    <row r="223" spans="1:20" x14ac:dyDescent="0.45">
      <c r="A223" s="173"/>
      <c r="B223" s="174"/>
      <c r="C223" s="174"/>
      <c r="D223" s="174"/>
      <c r="E223" s="174"/>
      <c r="F223" s="175">
        <v>30</v>
      </c>
      <c r="G223" s="176">
        <v>38</v>
      </c>
      <c r="H223" s="176">
        <v>9</v>
      </c>
      <c r="I223" s="176">
        <v>50</v>
      </c>
      <c r="J223" s="176">
        <v>51308</v>
      </c>
      <c r="K223" s="175"/>
      <c r="L223" s="176"/>
      <c r="M223" s="176"/>
      <c r="N223" s="176"/>
      <c r="O223" s="176"/>
      <c r="P223" s="175"/>
      <c r="Q223" s="176"/>
      <c r="R223" s="176"/>
      <c r="S223" s="176"/>
      <c r="T223" s="176"/>
    </row>
    <row r="224" spans="1:20" ht="17.5" thickBot="1" x14ac:dyDescent="0.5">
      <c r="A224" s="8"/>
      <c r="B224" s="14"/>
      <c r="C224" s="14"/>
      <c r="D224" s="2"/>
      <c r="F224" s="8"/>
      <c r="G224" s="14"/>
      <c r="H224" s="14"/>
      <c r="I224" s="2"/>
      <c r="K224" s="8"/>
      <c r="L224" s="14"/>
      <c r="M224" s="14"/>
      <c r="N224" s="2"/>
      <c r="P224" s="8"/>
      <c r="Q224" s="14"/>
      <c r="R224" s="14"/>
      <c r="S224" s="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9C2F0-AFFA-4DD2-AC57-9D55E3AE9A18}">
  <sheetPr codeName="Sheet5"/>
  <dimension ref="A1:T111"/>
  <sheetViews>
    <sheetView topLeftCell="A54" zoomScale="70" zoomScaleNormal="70" workbookViewId="0">
      <selection activeCell="A64" sqref="A64:J105"/>
    </sheetView>
  </sheetViews>
  <sheetFormatPr defaultRowHeight="17" x14ac:dyDescent="0.45"/>
  <sheetData>
    <row r="1" spans="1:20" x14ac:dyDescent="0.45">
      <c r="A1" s="15"/>
    </row>
    <row r="2" spans="1:20" ht="17.5" thickBot="1" x14ac:dyDescent="0.5"/>
    <row r="3" spans="1:20" x14ac:dyDescent="0.45">
      <c r="A3" s="46" t="s">
        <v>67</v>
      </c>
      <c r="B3" s="47"/>
      <c r="C3" s="47"/>
      <c r="D3" s="48"/>
      <c r="F3" s="46" t="s">
        <v>68</v>
      </c>
      <c r="G3" s="47"/>
      <c r="H3" s="47"/>
      <c r="I3" s="48"/>
      <c r="K3" s="46" t="s">
        <v>69</v>
      </c>
      <c r="L3" s="47"/>
      <c r="M3" s="47"/>
      <c r="N3" s="48"/>
      <c r="P3" s="46" t="s">
        <v>70</v>
      </c>
      <c r="Q3" s="47"/>
      <c r="R3" s="47"/>
      <c r="S3" s="48"/>
    </row>
    <row r="4" spans="1:20" x14ac:dyDescent="0.45">
      <c r="A4" s="6" t="s">
        <v>1</v>
      </c>
      <c r="B4" s="1"/>
      <c r="C4" s="1"/>
      <c r="D4" s="7" t="s">
        <v>0</v>
      </c>
      <c r="F4" s="6" t="s">
        <v>1</v>
      </c>
      <c r="G4" s="1"/>
      <c r="H4" s="1"/>
      <c r="I4" s="7" t="s">
        <v>0</v>
      </c>
      <c r="K4" s="6" t="s">
        <v>1</v>
      </c>
      <c r="L4" s="1"/>
      <c r="M4" s="1"/>
      <c r="N4" s="7" t="s">
        <v>0</v>
      </c>
      <c r="P4" s="6" t="s">
        <v>1</v>
      </c>
      <c r="Q4" s="1"/>
      <c r="R4" s="1"/>
      <c r="S4" s="7" t="s">
        <v>0</v>
      </c>
    </row>
    <row r="5" spans="1:20" x14ac:dyDescent="0.45">
      <c r="A5" s="183">
        <v>72</v>
      </c>
      <c r="B5" s="184">
        <v>15</v>
      </c>
      <c r="C5" s="184">
        <v>9</v>
      </c>
      <c r="D5" s="184">
        <v>24</v>
      </c>
      <c r="E5" s="184">
        <v>24</v>
      </c>
      <c r="F5" s="183">
        <v>89</v>
      </c>
      <c r="G5" s="184">
        <v>1</v>
      </c>
      <c r="H5" s="184">
        <v>0</v>
      </c>
      <c r="I5" s="184">
        <v>1</v>
      </c>
      <c r="J5" s="184">
        <v>1</v>
      </c>
      <c r="K5" s="183">
        <v>82</v>
      </c>
      <c r="L5" s="184">
        <v>1</v>
      </c>
      <c r="M5" s="184">
        <v>1</v>
      </c>
      <c r="N5" s="184">
        <v>2</v>
      </c>
      <c r="O5" s="184">
        <v>2</v>
      </c>
      <c r="P5" s="183">
        <v>75</v>
      </c>
      <c r="Q5" s="184">
        <v>3</v>
      </c>
      <c r="R5" s="184">
        <v>2</v>
      </c>
      <c r="S5" s="184">
        <v>5</v>
      </c>
      <c r="T5" s="184">
        <v>5</v>
      </c>
    </row>
    <row r="6" spans="1:20" x14ac:dyDescent="0.45">
      <c r="A6" s="183">
        <v>70</v>
      </c>
      <c r="B6" s="184">
        <v>3</v>
      </c>
      <c r="C6" s="184">
        <v>1</v>
      </c>
      <c r="D6" s="184">
        <v>4</v>
      </c>
      <c r="E6" s="184">
        <v>28</v>
      </c>
      <c r="F6" s="183">
        <v>87</v>
      </c>
      <c r="G6" s="184">
        <v>0</v>
      </c>
      <c r="H6" s="184">
        <v>1</v>
      </c>
      <c r="I6" s="184">
        <v>1</v>
      </c>
      <c r="J6" s="184">
        <v>2</v>
      </c>
      <c r="K6" s="183">
        <v>81</v>
      </c>
      <c r="L6" s="184">
        <v>2</v>
      </c>
      <c r="M6" s="184">
        <v>0</v>
      </c>
      <c r="N6" s="184">
        <v>2</v>
      </c>
      <c r="O6" s="184">
        <v>4</v>
      </c>
      <c r="P6" s="183">
        <v>73</v>
      </c>
      <c r="Q6" s="184">
        <v>4</v>
      </c>
      <c r="R6" s="184">
        <v>0</v>
      </c>
      <c r="S6" s="184">
        <v>4</v>
      </c>
      <c r="T6" s="184">
        <v>9</v>
      </c>
    </row>
    <row r="7" spans="1:20" x14ac:dyDescent="0.45">
      <c r="A7" s="183">
        <v>69</v>
      </c>
      <c r="B7" s="184">
        <v>37</v>
      </c>
      <c r="C7" s="184">
        <v>24</v>
      </c>
      <c r="D7" s="184">
        <v>61</v>
      </c>
      <c r="E7" s="184">
        <v>89</v>
      </c>
      <c r="F7" s="183">
        <v>86</v>
      </c>
      <c r="G7" s="184">
        <v>1</v>
      </c>
      <c r="H7" s="184">
        <v>0</v>
      </c>
      <c r="I7" s="184">
        <v>1</v>
      </c>
      <c r="J7" s="184">
        <v>3</v>
      </c>
      <c r="K7" s="183">
        <v>79</v>
      </c>
      <c r="L7" s="184">
        <v>1</v>
      </c>
      <c r="M7" s="184">
        <v>0</v>
      </c>
      <c r="N7" s="184">
        <v>1</v>
      </c>
      <c r="O7" s="184">
        <v>5</v>
      </c>
      <c r="P7" s="183">
        <v>72</v>
      </c>
      <c r="Q7" s="184">
        <v>4</v>
      </c>
      <c r="R7" s="184">
        <v>1</v>
      </c>
      <c r="S7" s="184">
        <v>5</v>
      </c>
      <c r="T7" s="184">
        <v>14</v>
      </c>
    </row>
    <row r="8" spans="1:20" x14ac:dyDescent="0.45">
      <c r="A8" s="183">
        <v>68</v>
      </c>
      <c r="B8" s="184">
        <v>1</v>
      </c>
      <c r="C8" s="184">
        <v>0</v>
      </c>
      <c r="D8" s="184">
        <v>1</v>
      </c>
      <c r="E8" s="184">
        <v>90</v>
      </c>
      <c r="F8" s="183">
        <v>84</v>
      </c>
      <c r="G8" s="184">
        <v>0</v>
      </c>
      <c r="H8" s="184">
        <v>1</v>
      </c>
      <c r="I8" s="184">
        <v>1</v>
      </c>
      <c r="J8" s="184">
        <v>4</v>
      </c>
      <c r="K8" s="183">
        <v>78</v>
      </c>
      <c r="L8" s="184">
        <v>1</v>
      </c>
      <c r="M8" s="184">
        <v>0</v>
      </c>
      <c r="N8" s="184">
        <v>1</v>
      </c>
      <c r="O8" s="184">
        <v>6</v>
      </c>
      <c r="P8" s="183">
        <v>71</v>
      </c>
      <c r="Q8" s="184">
        <v>0</v>
      </c>
      <c r="R8" s="184">
        <v>1</v>
      </c>
      <c r="S8" s="184">
        <v>1</v>
      </c>
      <c r="T8" s="184">
        <v>15</v>
      </c>
    </row>
    <row r="9" spans="1:20" x14ac:dyDescent="0.45">
      <c r="A9" s="183">
        <v>67</v>
      </c>
      <c r="B9" s="184">
        <v>15</v>
      </c>
      <c r="C9" s="184">
        <v>6</v>
      </c>
      <c r="D9" s="184">
        <v>21</v>
      </c>
      <c r="E9" s="184">
        <v>111</v>
      </c>
      <c r="F9" s="183">
        <v>81</v>
      </c>
      <c r="G9" s="184">
        <v>0</v>
      </c>
      <c r="H9" s="184">
        <v>1</v>
      </c>
      <c r="I9" s="184">
        <v>1</v>
      </c>
      <c r="J9" s="184">
        <v>5</v>
      </c>
      <c r="K9" s="183">
        <v>76</v>
      </c>
      <c r="L9" s="184">
        <v>1</v>
      </c>
      <c r="M9" s="184">
        <v>0</v>
      </c>
      <c r="N9" s="184">
        <v>1</v>
      </c>
      <c r="O9" s="184">
        <v>7</v>
      </c>
      <c r="P9" s="183">
        <v>70</v>
      </c>
      <c r="Q9" s="184">
        <v>2</v>
      </c>
      <c r="R9" s="184">
        <v>6</v>
      </c>
      <c r="S9" s="184">
        <v>8</v>
      </c>
      <c r="T9" s="184">
        <v>23</v>
      </c>
    </row>
    <row r="10" spans="1:20" x14ac:dyDescent="0.45">
      <c r="A10" s="183">
        <v>66</v>
      </c>
      <c r="B10" s="184">
        <v>25</v>
      </c>
      <c r="C10" s="184">
        <v>14</v>
      </c>
      <c r="D10" s="184">
        <v>39</v>
      </c>
      <c r="E10" s="184">
        <v>150</v>
      </c>
      <c r="F10" s="183">
        <v>78</v>
      </c>
      <c r="G10" s="184">
        <v>1</v>
      </c>
      <c r="H10" s="184">
        <v>0</v>
      </c>
      <c r="I10" s="184">
        <v>1</v>
      </c>
      <c r="J10" s="184">
        <v>6</v>
      </c>
      <c r="K10" s="183">
        <v>75</v>
      </c>
      <c r="L10" s="184">
        <v>2</v>
      </c>
      <c r="M10" s="184">
        <v>0</v>
      </c>
      <c r="N10" s="184">
        <v>2</v>
      </c>
      <c r="O10" s="184">
        <v>9</v>
      </c>
      <c r="P10" s="183">
        <v>69</v>
      </c>
      <c r="Q10" s="184">
        <v>3</v>
      </c>
      <c r="R10" s="184">
        <v>0</v>
      </c>
      <c r="S10" s="184">
        <v>3</v>
      </c>
      <c r="T10" s="184">
        <v>26</v>
      </c>
    </row>
    <row r="11" spans="1:20" x14ac:dyDescent="0.45">
      <c r="A11" s="183">
        <v>65</v>
      </c>
      <c r="B11" s="184">
        <v>16</v>
      </c>
      <c r="C11" s="184">
        <v>19</v>
      </c>
      <c r="D11" s="184">
        <v>35</v>
      </c>
      <c r="E11" s="184">
        <v>185</v>
      </c>
      <c r="F11" s="183">
        <v>76</v>
      </c>
      <c r="G11" s="184">
        <v>1</v>
      </c>
      <c r="H11" s="184">
        <v>0</v>
      </c>
      <c r="I11" s="184">
        <v>1</v>
      </c>
      <c r="J11" s="184">
        <v>7</v>
      </c>
      <c r="K11" s="183">
        <v>74</v>
      </c>
      <c r="L11" s="184">
        <v>1</v>
      </c>
      <c r="M11" s="184">
        <v>0</v>
      </c>
      <c r="N11" s="184">
        <v>1</v>
      </c>
      <c r="O11" s="184">
        <v>10</v>
      </c>
      <c r="P11" s="183">
        <v>68</v>
      </c>
      <c r="Q11" s="184">
        <v>3</v>
      </c>
      <c r="R11" s="184">
        <v>3</v>
      </c>
      <c r="S11" s="184">
        <v>6</v>
      </c>
      <c r="T11" s="184">
        <v>32</v>
      </c>
    </row>
    <row r="12" spans="1:20" x14ac:dyDescent="0.45">
      <c r="A12" s="183">
        <v>64</v>
      </c>
      <c r="B12" s="184">
        <v>23</v>
      </c>
      <c r="C12" s="184">
        <v>18</v>
      </c>
      <c r="D12" s="184">
        <v>42</v>
      </c>
      <c r="E12" s="184">
        <v>227</v>
      </c>
      <c r="F12" s="183">
        <v>75</v>
      </c>
      <c r="G12" s="184">
        <v>1</v>
      </c>
      <c r="H12" s="184">
        <v>0</v>
      </c>
      <c r="I12" s="184">
        <v>1</v>
      </c>
      <c r="J12" s="184">
        <v>8</v>
      </c>
      <c r="K12" s="183">
        <v>73</v>
      </c>
      <c r="L12" s="184">
        <v>3</v>
      </c>
      <c r="M12" s="184">
        <v>3</v>
      </c>
      <c r="N12" s="184">
        <v>6</v>
      </c>
      <c r="O12" s="184">
        <v>16</v>
      </c>
      <c r="P12" s="183">
        <v>67</v>
      </c>
      <c r="Q12" s="184">
        <v>7</v>
      </c>
      <c r="R12" s="184">
        <v>6</v>
      </c>
      <c r="S12" s="184">
        <v>13</v>
      </c>
      <c r="T12" s="184">
        <v>45</v>
      </c>
    </row>
    <row r="13" spans="1:20" x14ac:dyDescent="0.45">
      <c r="A13" s="183">
        <v>63</v>
      </c>
      <c r="B13" s="184">
        <v>14</v>
      </c>
      <c r="C13" s="184">
        <v>19</v>
      </c>
      <c r="D13" s="184">
        <v>33</v>
      </c>
      <c r="E13" s="184">
        <v>260</v>
      </c>
      <c r="F13" s="183">
        <v>72</v>
      </c>
      <c r="G13" s="184">
        <v>0</v>
      </c>
      <c r="H13" s="184">
        <v>5</v>
      </c>
      <c r="I13" s="184">
        <v>5</v>
      </c>
      <c r="J13" s="184">
        <v>13</v>
      </c>
      <c r="K13" s="183">
        <v>72</v>
      </c>
      <c r="L13" s="184">
        <v>4</v>
      </c>
      <c r="M13" s="184">
        <v>1</v>
      </c>
      <c r="N13" s="184">
        <v>5</v>
      </c>
      <c r="O13" s="184">
        <v>21</v>
      </c>
      <c r="P13" s="183">
        <v>66</v>
      </c>
      <c r="Q13" s="184">
        <v>11</v>
      </c>
      <c r="R13" s="184">
        <v>18</v>
      </c>
      <c r="S13" s="184">
        <v>30</v>
      </c>
      <c r="T13" s="184">
        <v>75</v>
      </c>
    </row>
    <row r="14" spans="1:20" x14ac:dyDescent="0.45">
      <c r="A14" s="183">
        <v>62</v>
      </c>
      <c r="B14" s="184">
        <v>43</v>
      </c>
      <c r="C14" s="184">
        <v>36</v>
      </c>
      <c r="D14" s="184">
        <v>80</v>
      </c>
      <c r="E14" s="184">
        <v>340</v>
      </c>
      <c r="F14" s="183">
        <v>70</v>
      </c>
      <c r="G14" s="184">
        <v>2</v>
      </c>
      <c r="H14" s="184">
        <v>2</v>
      </c>
      <c r="I14" s="184">
        <v>4</v>
      </c>
      <c r="J14" s="184">
        <v>17</v>
      </c>
      <c r="K14" s="183">
        <v>71</v>
      </c>
      <c r="L14" s="184">
        <v>3</v>
      </c>
      <c r="M14" s="184">
        <v>0</v>
      </c>
      <c r="N14" s="184">
        <v>3</v>
      </c>
      <c r="O14" s="184">
        <v>24</v>
      </c>
      <c r="P14" s="183">
        <v>65</v>
      </c>
      <c r="Q14" s="184">
        <v>6</v>
      </c>
      <c r="R14" s="184">
        <v>10</v>
      </c>
      <c r="S14" s="184">
        <v>16</v>
      </c>
      <c r="T14" s="184">
        <v>91</v>
      </c>
    </row>
    <row r="15" spans="1:20" x14ac:dyDescent="0.45">
      <c r="A15" s="183">
        <v>61</v>
      </c>
      <c r="B15" s="184">
        <v>17</v>
      </c>
      <c r="C15" s="184">
        <v>17</v>
      </c>
      <c r="D15" s="184">
        <v>34</v>
      </c>
      <c r="E15" s="184">
        <v>374</v>
      </c>
      <c r="F15" s="183">
        <v>69</v>
      </c>
      <c r="G15" s="184">
        <v>1</v>
      </c>
      <c r="H15" s="184">
        <v>3</v>
      </c>
      <c r="I15" s="184">
        <v>4</v>
      </c>
      <c r="J15" s="184">
        <v>21</v>
      </c>
      <c r="K15" s="183">
        <v>70</v>
      </c>
      <c r="L15" s="184">
        <v>2</v>
      </c>
      <c r="M15" s="184">
        <v>0</v>
      </c>
      <c r="N15" s="184">
        <v>2</v>
      </c>
      <c r="O15" s="184">
        <v>26</v>
      </c>
      <c r="P15" s="183">
        <v>64</v>
      </c>
      <c r="Q15" s="184">
        <v>6</v>
      </c>
      <c r="R15" s="184">
        <v>10</v>
      </c>
      <c r="S15" s="184">
        <v>16</v>
      </c>
      <c r="T15" s="184">
        <v>107</v>
      </c>
    </row>
    <row r="16" spans="1:20" x14ac:dyDescent="0.45">
      <c r="A16" s="183">
        <v>60</v>
      </c>
      <c r="B16" s="184">
        <v>24</v>
      </c>
      <c r="C16" s="184">
        <v>43</v>
      </c>
      <c r="D16" s="184">
        <v>67</v>
      </c>
      <c r="E16" s="184">
        <v>441</v>
      </c>
      <c r="F16" s="183">
        <v>67</v>
      </c>
      <c r="G16" s="184">
        <v>1</v>
      </c>
      <c r="H16" s="184">
        <v>4</v>
      </c>
      <c r="I16" s="184">
        <v>5</v>
      </c>
      <c r="J16" s="184">
        <v>26</v>
      </c>
      <c r="K16" s="183">
        <v>69</v>
      </c>
      <c r="L16" s="184">
        <v>4</v>
      </c>
      <c r="M16" s="184">
        <v>3</v>
      </c>
      <c r="N16" s="184">
        <v>7</v>
      </c>
      <c r="O16" s="184">
        <v>33</v>
      </c>
      <c r="P16" s="183">
        <v>63</v>
      </c>
      <c r="Q16" s="184">
        <v>7</v>
      </c>
      <c r="R16" s="184">
        <v>17</v>
      </c>
      <c r="S16" s="184">
        <v>24</v>
      </c>
      <c r="T16" s="184">
        <v>131</v>
      </c>
    </row>
    <row r="17" spans="1:20" x14ac:dyDescent="0.45">
      <c r="A17" s="183">
        <v>59</v>
      </c>
      <c r="B17" s="184">
        <v>71</v>
      </c>
      <c r="C17" s="184">
        <v>74</v>
      </c>
      <c r="D17" s="184">
        <v>146</v>
      </c>
      <c r="E17" s="184">
        <v>587</v>
      </c>
      <c r="F17" s="183">
        <v>66</v>
      </c>
      <c r="G17" s="184">
        <v>7</v>
      </c>
      <c r="H17" s="184">
        <v>3</v>
      </c>
      <c r="I17" s="184">
        <v>10</v>
      </c>
      <c r="J17" s="184">
        <v>36</v>
      </c>
      <c r="K17" s="183">
        <v>68</v>
      </c>
      <c r="L17" s="184">
        <v>9</v>
      </c>
      <c r="M17" s="184">
        <v>1</v>
      </c>
      <c r="N17" s="184">
        <v>10</v>
      </c>
      <c r="O17" s="184">
        <v>43</v>
      </c>
      <c r="P17" s="183">
        <v>62</v>
      </c>
      <c r="Q17" s="184">
        <v>3</v>
      </c>
      <c r="R17" s="184">
        <v>6</v>
      </c>
      <c r="S17" s="184">
        <v>10</v>
      </c>
      <c r="T17" s="184">
        <v>141</v>
      </c>
    </row>
    <row r="18" spans="1:20" x14ac:dyDescent="0.45">
      <c r="A18" s="183">
        <v>58</v>
      </c>
      <c r="B18" s="184">
        <v>36</v>
      </c>
      <c r="C18" s="184">
        <v>56</v>
      </c>
      <c r="D18" s="184">
        <v>92</v>
      </c>
      <c r="E18" s="184">
        <v>679</v>
      </c>
      <c r="F18" s="183">
        <v>64</v>
      </c>
      <c r="G18" s="184">
        <v>6</v>
      </c>
      <c r="H18" s="184">
        <v>10</v>
      </c>
      <c r="I18" s="184">
        <v>16</v>
      </c>
      <c r="J18" s="184">
        <v>52</v>
      </c>
      <c r="K18" s="183">
        <v>67</v>
      </c>
      <c r="L18" s="184">
        <v>8</v>
      </c>
      <c r="M18" s="184">
        <v>0</v>
      </c>
      <c r="N18" s="184">
        <v>8</v>
      </c>
      <c r="O18" s="184">
        <v>51</v>
      </c>
      <c r="P18" s="183">
        <v>61</v>
      </c>
      <c r="Q18" s="184">
        <v>9</v>
      </c>
      <c r="R18" s="184">
        <v>8</v>
      </c>
      <c r="S18" s="184">
        <v>17</v>
      </c>
      <c r="T18" s="184">
        <v>158</v>
      </c>
    </row>
    <row r="19" spans="1:20" x14ac:dyDescent="0.45">
      <c r="A19" s="183">
        <v>57</v>
      </c>
      <c r="B19" s="184">
        <v>35</v>
      </c>
      <c r="C19" s="184">
        <v>46</v>
      </c>
      <c r="D19" s="184">
        <v>81</v>
      </c>
      <c r="E19" s="184">
        <v>760</v>
      </c>
      <c r="F19" s="183">
        <v>62</v>
      </c>
      <c r="G19" s="184">
        <v>9</v>
      </c>
      <c r="H19" s="184">
        <v>6</v>
      </c>
      <c r="I19" s="184">
        <v>15</v>
      </c>
      <c r="J19" s="184">
        <v>67</v>
      </c>
      <c r="K19" s="183">
        <v>65</v>
      </c>
      <c r="L19" s="184">
        <v>7</v>
      </c>
      <c r="M19" s="184">
        <v>4</v>
      </c>
      <c r="N19" s="184">
        <v>11</v>
      </c>
      <c r="O19" s="184">
        <v>62</v>
      </c>
      <c r="P19" s="183">
        <v>60</v>
      </c>
      <c r="Q19" s="184">
        <v>5</v>
      </c>
      <c r="R19" s="184">
        <v>9</v>
      </c>
      <c r="S19" s="184">
        <v>14</v>
      </c>
      <c r="T19" s="184">
        <v>172</v>
      </c>
    </row>
    <row r="20" spans="1:20" x14ac:dyDescent="0.45">
      <c r="A20" s="183">
        <v>56</v>
      </c>
      <c r="B20" s="184">
        <v>31</v>
      </c>
      <c r="C20" s="184">
        <v>47</v>
      </c>
      <c r="D20" s="184">
        <v>78</v>
      </c>
      <c r="E20" s="184">
        <v>838</v>
      </c>
      <c r="F20" s="183">
        <v>61</v>
      </c>
      <c r="G20" s="184">
        <v>4</v>
      </c>
      <c r="H20" s="184">
        <v>5</v>
      </c>
      <c r="I20" s="184">
        <v>10</v>
      </c>
      <c r="J20" s="184">
        <v>77</v>
      </c>
      <c r="K20" s="183">
        <v>64</v>
      </c>
      <c r="L20" s="184">
        <v>10</v>
      </c>
      <c r="M20" s="184">
        <v>2</v>
      </c>
      <c r="N20" s="184">
        <v>12</v>
      </c>
      <c r="O20" s="184">
        <v>74</v>
      </c>
      <c r="P20" s="183">
        <v>59</v>
      </c>
      <c r="Q20" s="184">
        <v>6</v>
      </c>
      <c r="R20" s="184">
        <v>14</v>
      </c>
      <c r="S20" s="184">
        <v>20</v>
      </c>
      <c r="T20" s="184">
        <v>192</v>
      </c>
    </row>
    <row r="21" spans="1:20" x14ac:dyDescent="0.45">
      <c r="A21" s="183">
        <v>55</v>
      </c>
      <c r="B21" s="184">
        <v>35</v>
      </c>
      <c r="C21" s="184">
        <v>53</v>
      </c>
      <c r="D21" s="184">
        <v>88</v>
      </c>
      <c r="E21" s="184">
        <v>926</v>
      </c>
      <c r="F21" s="183">
        <v>59</v>
      </c>
      <c r="G21" s="184">
        <v>1</v>
      </c>
      <c r="H21" s="184">
        <v>5</v>
      </c>
      <c r="I21" s="184">
        <v>6</v>
      </c>
      <c r="J21" s="184">
        <v>83</v>
      </c>
      <c r="K21" s="183">
        <v>63</v>
      </c>
      <c r="L21" s="184">
        <v>14</v>
      </c>
      <c r="M21" s="184">
        <v>2</v>
      </c>
      <c r="N21" s="184">
        <v>16</v>
      </c>
      <c r="O21" s="184">
        <v>90</v>
      </c>
      <c r="P21" s="183">
        <v>58</v>
      </c>
      <c r="Q21" s="184">
        <v>6</v>
      </c>
      <c r="R21" s="184">
        <v>20</v>
      </c>
      <c r="S21" s="184">
        <v>26</v>
      </c>
      <c r="T21" s="184">
        <v>218</v>
      </c>
    </row>
    <row r="22" spans="1:20" x14ac:dyDescent="0.45">
      <c r="A22" s="183">
        <v>54</v>
      </c>
      <c r="B22" s="184">
        <v>30</v>
      </c>
      <c r="C22" s="184">
        <v>38</v>
      </c>
      <c r="D22" s="184">
        <v>70</v>
      </c>
      <c r="E22" s="184">
        <v>996</v>
      </c>
      <c r="F22" s="183">
        <v>58</v>
      </c>
      <c r="G22" s="184">
        <v>16</v>
      </c>
      <c r="H22" s="184">
        <v>10</v>
      </c>
      <c r="I22" s="184">
        <v>26</v>
      </c>
      <c r="J22" s="184">
        <v>109</v>
      </c>
      <c r="K22" s="183">
        <v>62</v>
      </c>
      <c r="L22" s="184">
        <v>8</v>
      </c>
      <c r="M22" s="184">
        <v>1</v>
      </c>
      <c r="N22" s="184">
        <v>9</v>
      </c>
      <c r="O22" s="184">
        <v>99</v>
      </c>
      <c r="P22" s="183">
        <v>57</v>
      </c>
      <c r="Q22" s="184">
        <v>4</v>
      </c>
      <c r="R22" s="184">
        <v>21</v>
      </c>
      <c r="S22" s="184">
        <v>25</v>
      </c>
      <c r="T22" s="184">
        <v>243</v>
      </c>
    </row>
    <row r="23" spans="1:20" x14ac:dyDescent="0.45">
      <c r="A23" s="183">
        <v>53</v>
      </c>
      <c r="B23" s="184">
        <v>41</v>
      </c>
      <c r="C23" s="184">
        <v>52</v>
      </c>
      <c r="D23" s="184">
        <v>93</v>
      </c>
      <c r="E23" s="184">
        <v>1089</v>
      </c>
      <c r="F23" s="183">
        <v>56</v>
      </c>
      <c r="G23" s="184">
        <v>8</v>
      </c>
      <c r="H23" s="184">
        <v>7</v>
      </c>
      <c r="I23" s="184">
        <v>15</v>
      </c>
      <c r="J23" s="184">
        <v>124</v>
      </c>
      <c r="K23" s="183">
        <v>61</v>
      </c>
      <c r="L23" s="184">
        <v>10</v>
      </c>
      <c r="M23" s="184">
        <v>2</v>
      </c>
      <c r="N23" s="184">
        <v>12</v>
      </c>
      <c r="O23" s="184">
        <v>111</v>
      </c>
      <c r="P23" s="183">
        <v>56</v>
      </c>
      <c r="Q23" s="184">
        <v>11</v>
      </c>
      <c r="R23" s="184">
        <v>11</v>
      </c>
      <c r="S23" s="184">
        <v>22</v>
      </c>
      <c r="T23" s="184">
        <v>265</v>
      </c>
    </row>
    <row r="24" spans="1:20" x14ac:dyDescent="0.45">
      <c r="A24" s="183">
        <v>52</v>
      </c>
      <c r="B24" s="184">
        <v>69</v>
      </c>
      <c r="C24" s="184">
        <v>80</v>
      </c>
      <c r="D24" s="184">
        <v>150</v>
      </c>
      <c r="E24" s="184">
        <v>1239</v>
      </c>
      <c r="F24" s="183">
        <v>55</v>
      </c>
      <c r="G24" s="184">
        <v>5</v>
      </c>
      <c r="H24" s="184">
        <v>3</v>
      </c>
      <c r="I24" s="184">
        <v>8</v>
      </c>
      <c r="J24" s="184">
        <v>132</v>
      </c>
      <c r="K24" s="183">
        <v>60</v>
      </c>
      <c r="L24" s="184">
        <v>12</v>
      </c>
      <c r="M24" s="184">
        <v>1</v>
      </c>
      <c r="N24" s="184">
        <v>13</v>
      </c>
      <c r="O24" s="184">
        <v>124</v>
      </c>
      <c r="P24" s="183">
        <v>55</v>
      </c>
      <c r="Q24" s="184">
        <v>5</v>
      </c>
      <c r="R24" s="184">
        <v>20</v>
      </c>
      <c r="S24" s="184">
        <v>25</v>
      </c>
      <c r="T24" s="184">
        <v>290</v>
      </c>
    </row>
    <row r="25" spans="1:20" x14ac:dyDescent="0.45">
      <c r="A25" s="183">
        <v>51</v>
      </c>
      <c r="B25" s="184">
        <v>25</v>
      </c>
      <c r="C25" s="184">
        <v>49</v>
      </c>
      <c r="D25" s="184">
        <v>74</v>
      </c>
      <c r="E25" s="184">
        <v>1313</v>
      </c>
      <c r="F25" s="183">
        <v>53</v>
      </c>
      <c r="G25" s="184">
        <v>7</v>
      </c>
      <c r="H25" s="184">
        <v>10</v>
      </c>
      <c r="I25" s="184">
        <v>17</v>
      </c>
      <c r="J25" s="184">
        <v>149</v>
      </c>
      <c r="K25" s="183">
        <v>59</v>
      </c>
      <c r="L25" s="184">
        <v>12</v>
      </c>
      <c r="M25" s="184">
        <v>7</v>
      </c>
      <c r="N25" s="184">
        <v>19</v>
      </c>
      <c r="O25" s="184">
        <v>143</v>
      </c>
      <c r="P25" s="183">
        <v>54</v>
      </c>
      <c r="Q25" s="184">
        <v>5</v>
      </c>
      <c r="R25" s="184">
        <v>20</v>
      </c>
      <c r="S25" s="184">
        <v>25</v>
      </c>
      <c r="T25" s="184">
        <v>315</v>
      </c>
    </row>
    <row r="26" spans="1:20" x14ac:dyDescent="0.45">
      <c r="A26" s="183">
        <v>50</v>
      </c>
      <c r="B26" s="184">
        <v>26</v>
      </c>
      <c r="C26" s="184">
        <v>24</v>
      </c>
      <c r="D26" s="184">
        <v>50</v>
      </c>
      <c r="E26" s="184">
        <v>1363</v>
      </c>
      <c r="F26" s="183">
        <v>52</v>
      </c>
      <c r="G26" s="184">
        <v>4</v>
      </c>
      <c r="H26" s="184">
        <v>6</v>
      </c>
      <c r="I26" s="184">
        <v>11</v>
      </c>
      <c r="J26" s="184">
        <v>160</v>
      </c>
      <c r="K26" s="183">
        <v>58</v>
      </c>
      <c r="L26" s="184">
        <v>12</v>
      </c>
      <c r="M26" s="184">
        <v>2</v>
      </c>
      <c r="N26" s="184">
        <v>14</v>
      </c>
      <c r="O26" s="184">
        <v>157</v>
      </c>
      <c r="P26" s="183">
        <v>53</v>
      </c>
      <c r="Q26" s="184">
        <v>7</v>
      </c>
      <c r="R26" s="184">
        <v>22</v>
      </c>
      <c r="S26" s="184">
        <v>29</v>
      </c>
      <c r="T26" s="184">
        <v>344</v>
      </c>
    </row>
    <row r="27" spans="1:20" x14ac:dyDescent="0.45">
      <c r="A27" s="183">
        <v>49</v>
      </c>
      <c r="B27" s="184">
        <v>20</v>
      </c>
      <c r="C27" s="184">
        <v>36</v>
      </c>
      <c r="D27" s="184">
        <v>56</v>
      </c>
      <c r="E27" s="184">
        <v>1419</v>
      </c>
      <c r="F27" s="183">
        <v>50</v>
      </c>
      <c r="G27" s="184">
        <v>14</v>
      </c>
      <c r="H27" s="184">
        <v>11</v>
      </c>
      <c r="I27" s="184">
        <v>25</v>
      </c>
      <c r="J27" s="184">
        <v>185</v>
      </c>
      <c r="K27" s="183">
        <v>57</v>
      </c>
      <c r="L27" s="184">
        <v>18</v>
      </c>
      <c r="M27" s="184">
        <v>5</v>
      </c>
      <c r="N27" s="184">
        <v>24</v>
      </c>
      <c r="O27" s="184">
        <v>181</v>
      </c>
      <c r="P27" s="183">
        <v>52</v>
      </c>
      <c r="Q27" s="184">
        <v>11</v>
      </c>
      <c r="R27" s="184">
        <v>19</v>
      </c>
      <c r="S27" s="184">
        <v>30</v>
      </c>
      <c r="T27" s="184">
        <v>374</v>
      </c>
    </row>
    <row r="28" spans="1:20" x14ac:dyDescent="0.45">
      <c r="A28" s="183">
        <v>48</v>
      </c>
      <c r="B28" s="184">
        <v>13</v>
      </c>
      <c r="C28" s="184">
        <v>36</v>
      </c>
      <c r="D28" s="184">
        <v>50</v>
      </c>
      <c r="E28" s="184">
        <v>1469</v>
      </c>
      <c r="F28" s="183">
        <v>48</v>
      </c>
      <c r="G28" s="184">
        <v>40</v>
      </c>
      <c r="H28" s="184">
        <v>23</v>
      </c>
      <c r="I28" s="184">
        <v>64</v>
      </c>
      <c r="J28" s="184">
        <v>249</v>
      </c>
      <c r="K28" s="183">
        <v>56</v>
      </c>
      <c r="L28" s="184">
        <v>18</v>
      </c>
      <c r="M28" s="184">
        <v>7</v>
      </c>
      <c r="N28" s="184">
        <v>25</v>
      </c>
      <c r="O28" s="184">
        <v>206</v>
      </c>
      <c r="P28" s="183">
        <v>51</v>
      </c>
      <c r="Q28" s="184">
        <v>17</v>
      </c>
      <c r="R28" s="184">
        <v>48</v>
      </c>
      <c r="S28" s="184">
        <v>65</v>
      </c>
      <c r="T28" s="184">
        <v>439</v>
      </c>
    </row>
    <row r="29" spans="1:20" x14ac:dyDescent="0.45">
      <c r="A29" s="183">
        <v>47</v>
      </c>
      <c r="B29" s="184">
        <v>12</v>
      </c>
      <c r="C29" s="184">
        <v>20</v>
      </c>
      <c r="D29" s="184">
        <v>33</v>
      </c>
      <c r="E29" s="184">
        <v>1502</v>
      </c>
      <c r="F29" s="183">
        <v>47</v>
      </c>
      <c r="G29" s="184">
        <v>19</v>
      </c>
      <c r="H29" s="184">
        <v>9</v>
      </c>
      <c r="I29" s="184">
        <v>29</v>
      </c>
      <c r="J29" s="184">
        <v>278</v>
      </c>
      <c r="K29" s="183">
        <v>55</v>
      </c>
      <c r="L29" s="184">
        <v>10</v>
      </c>
      <c r="M29" s="184">
        <v>1</v>
      </c>
      <c r="N29" s="184">
        <v>11</v>
      </c>
      <c r="O29" s="184">
        <v>217</v>
      </c>
      <c r="P29" s="183">
        <v>50</v>
      </c>
      <c r="Q29" s="184">
        <v>9</v>
      </c>
      <c r="R29" s="184">
        <v>20</v>
      </c>
      <c r="S29" s="184">
        <v>30</v>
      </c>
      <c r="T29" s="184">
        <v>469</v>
      </c>
    </row>
    <row r="30" spans="1:20" x14ac:dyDescent="0.45">
      <c r="A30" s="183">
        <v>46</v>
      </c>
      <c r="B30" s="184">
        <v>28</v>
      </c>
      <c r="C30" s="184">
        <v>23</v>
      </c>
      <c r="D30" s="184">
        <v>51</v>
      </c>
      <c r="E30" s="184">
        <v>1553</v>
      </c>
      <c r="F30" s="183">
        <v>45</v>
      </c>
      <c r="G30" s="184">
        <v>30</v>
      </c>
      <c r="H30" s="184">
        <v>12</v>
      </c>
      <c r="I30" s="184">
        <v>42</v>
      </c>
      <c r="J30" s="184">
        <v>320</v>
      </c>
      <c r="K30" s="183">
        <v>54</v>
      </c>
      <c r="L30" s="184">
        <v>22</v>
      </c>
      <c r="M30" s="184">
        <v>3</v>
      </c>
      <c r="N30" s="184">
        <v>25</v>
      </c>
      <c r="O30" s="184">
        <v>242</v>
      </c>
      <c r="P30" s="183">
        <v>49</v>
      </c>
      <c r="Q30" s="184">
        <v>6</v>
      </c>
      <c r="R30" s="184">
        <v>17</v>
      </c>
      <c r="S30" s="184">
        <v>23</v>
      </c>
      <c r="T30" s="184">
        <v>492</v>
      </c>
    </row>
    <row r="31" spans="1:20" x14ac:dyDescent="0.45">
      <c r="A31" s="183">
        <v>45</v>
      </c>
      <c r="B31" s="184">
        <v>38</v>
      </c>
      <c r="C31" s="184">
        <v>28</v>
      </c>
      <c r="D31" s="184">
        <v>66</v>
      </c>
      <c r="E31" s="184">
        <v>1619</v>
      </c>
      <c r="F31" s="183">
        <v>44</v>
      </c>
      <c r="G31" s="184">
        <v>9</v>
      </c>
      <c r="H31" s="184">
        <v>8</v>
      </c>
      <c r="I31" s="184">
        <v>17</v>
      </c>
      <c r="J31" s="184">
        <v>337</v>
      </c>
      <c r="K31" s="183">
        <v>53</v>
      </c>
      <c r="L31" s="184">
        <v>19</v>
      </c>
      <c r="M31" s="184">
        <v>7</v>
      </c>
      <c r="N31" s="184">
        <v>27</v>
      </c>
      <c r="O31" s="184">
        <v>269</v>
      </c>
      <c r="P31" s="183">
        <v>48</v>
      </c>
      <c r="Q31" s="184">
        <v>5</v>
      </c>
      <c r="R31" s="184">
        <v>19</v>
      </c>
      <c r="S31" s="184">
        <v>24</v>
      </c>
      <c r="T31" s="184">
        <v>516</v>
      </c>
    </row>
    <row r="32" spans="1:20" x14ac:dyDescent="0.45">
      <c r="A32" s="183">
        <v>44</v>
      </c>
      <c r="B32" s="184">
        <v>30</v>
      </c>
      <c r="C32" s="184">
        <v>31</v>
      </c>
      <c r="D32" s="184">
        <v>62</v>
      </c>
      <c r="E32" s="184">
        <v>1681</v>
      </c>
      <c r="F32" s="183">
        <v>42</v>
      </c>
      <c r="G32" s="184">
        <v>12</v>
      </c>
      <c r="H32" s="184">
        <v>5</v>
      </c>
      <c r="I32" s="184">
        <v>17</v>
      </c>
      <c r="J32" s="184">
        <v>354</v>
      </c>
      <c r="K32" s="183">
        <v>52</v>
      </c>
      <c r="L32" s="184">
        <v>19</v>
      </c>
      <c r="M32" s="184">
        <v>4</v>
      </c>
      <c r="N32" s="184">
        <v>23</v>
      </c>
      <c r="O32" s="184">
        <v>292</v>
      </c>
      <c r="P32" s="183">
        <v>47</v>
      </c>
      <c r="Q32" s="184">
        <v>7</v>
      </c>
      <c r="R32" s="184">
        <v>18</v>
      </c>
      <c r="S32" s="184">
        <v>26</v>
      </c>
      <c r="T32" s="184">
        <v>542</v>
      </c>
    </row>
    <row r="33" spans="1:20" x14ac:dyDescent="0.45">
      <c r="A33" s="183">
        <v>43</v>
      </c>
      <c r="B33" s="184">
        <v>24</v>
      </c>
      <c r="C33" s="184">
        <v>20</v>
      </c>
      <c r="D33" s="184">
        <v>44</v>
      </c>
      <c r="E33" s="184">
        <v>1725</v>
      </c>
      <c r="F33" s="183">
        <v>41</v>
      </c>
      <c r="G33" s="184">
        <v>11</v>
      </c>
      <c r="H33" s="184">
        <v>2</v>
      </c>
      <c r="I33" s="184">
        <v>13</v>
      </c>
      <c r="J33" s="184">
        <v>367</v>
      </c>
      <c r="K33" s="183">
        <v>50</v>
      </c>
      <c r="L33" s="184">
        <v>18</v>
      </c>
      <c r="M33" s="184">
        <v>6</v>
      </c>
      <c r="N33" s="184">
        <v>24</v>
      </c>
      <c r="O33" s="184">
        <v>316</v>
      </c>
      <c r="P33" s="183">
        <v>46</v>
      </c>
      <c r="Q33" s="184">
        <v>13</v>
      </c>
      <c r="R33" s="184">
        <v>23</v>
      </c>
      <c r="S33" s="184">
        <v>37</v>
      </c>
      <c r="T33" s="184">
        <v>579</v>
      </c>
    </row>
    <row r="34" spans="1:20" x14ac:dyDescent="0.45">
      <c r="A34" s="183">
        <v>42</v>
      </c>
      <c r="B34" s="184">
        <v>164</v>
      </c>
      <c r="C34" s="184">
        <v>68</v>
      </c>
      <c r="D34" s="184">
        <v>233</v>
      </c>
      <c r="E34" s="184">
        <v>1958</v>
      </c>
      <c r="F34" s="183">
        <v>39</v>
      </c>
      <c r="G34" s="184">
        <v>34</v>
      </c>
      <c r="H34" s="184">
        <v>12</v>
      </c>
      <c r="I34" s="184">
        <v>47</v>
      </c>
      <c r="J34" s="184">
        <v>414</v>
      </c>
      <c r="K34" s="183">
        <v>49</v>
      </c>
      <c r="L34" s="184">
        <v>14</v>
      </c>
      <c r="M34" s="184">
        <v>3</v>
      </c>
      <c r="N34" s="184">
        <v>17</v>
      </c>
      <c r="O34" s="184">
        <v>333</v>
      </c>
      <c r="P34" s="183">
        <v>45</v>
      </c>
      <c r="Q34" s="184">
        <v>8</v>
      </c>
      <c r="R34" s="184">
        <v>17</v>
      </c>
      <c r="S34" s="184">
        <v>25</v>
      </c>
      <c r="T34" s="184">
        <v>604</v>
      </c>
    </row>
    <row r="35" spans="1:20" x14ac:dyDescent="0.45">
      <c r="A35" s="183">
        <v>41</v>
      </c>
      <c r="B35" s="184">
        <v>29</v>
      </c>
      <c r="C35" s="184">
        <v>21</v>
      </c>
      <c r="D35" s="184">
        <v>50</v>
      </c>
      <c r="E35" s="184">
        <v>2008</v>
      </c>
      <c r="F35" s="183">
        <v>37</v>
      </c>
      <c r="G35" s="184">
        <v>7</v>
      </c>
      <c r="H35" s="184">
        <v>4</v>
      </c>
      <c r="I35" s="184">
        <v>11</v>
      </c>
      <c r="J35" s="184">
        <v>425</v>
      </c>
      <c r="K35" s="183">
        <v>48</v>
      </c>
      <c r="L35" s="184">
        <v>18</v>
      </c>
      <c r="M35" s="184">
        <v>5</v>
      </c>
      <c r="N35" s="184">
        <v>23</v>
      </c>
      <c r="O35" s="184">
        <v>356</v>
      </c>
      <c r="P35" s="183">
        <v>44</v>
      </c>
      <c r="Q35" s="184">
        <v>7</v>
      </c>
      <c r="R35" s="184">
        <v>15</v>
      </c>
      <c r="S35" s="184">
        <v>22</v>
      </c>
      <c r="T35" s="184">
        <v>626</v>
      </c>
    </row>
    <row r="36" spans="1:20" x14ac:dyDescent="0.45">
      <c r="A36" s="183">
        <v>40</v>
      </c>
      <c r="B36" s="184">
        <v>27</v>
      </c>
      <c r="C36" s="184">
        <v>23</v>
      </c>
      <c r="D36" s="184">
        <v>51</v>
      </c>
      <c r="E36" s="184">
        <v>2059</v>
      </c>
      <c r="F36" s="183">
        <v>36</v>
      </c>
      <c r="G36" s="184">
        <v>4</v>
      </c>
      <c r="H36" s="184">
        <v>2</v>
      </c>
      <c r="I36" s="184">
        <v>6</v>
      </c>
      <c r="J36" s="184">
        <v>431</v>
      </c>
      <c r="K36" s="183">
        <v>47</v>
      </c>
      <c r="L36" s="184">
        <v>11</v>
      </c>
      <c r="M36" s="184">
        <v>3</v>
      </c>
      <c r="N36" s="184">
        <v>14</v>
      </c>
      <c r="O36" s="184">
        <v>370</v>
      </c>
      <c r="P36" s="183">
        <v>43</v>
      </c>
      <c r="Q36" s="184">
        <v>7</v>
      </c>
      <c r="R36" s="184">
        <v>16</v>
      </c>
      <c r="S36" s="184">
        <v>23</v>
      </c>
      <c r="T36" s="184">
        <v>649</v>
      </c>
    </row>
    <row r="37" spans="1:20" x14ac:dyDescent="0.45">
      <c r="A37" s="183">
        <v>39</v>
      </c>
      <c r="B37" s="184">
        <v>26</v>
      </c>
      <c r="C37" s="184">
        <v>12</v>
      </c>
      <c r="D37" s="184">
        <v>39</v>
      </c>
      <c r="E37" s="184">
        <v>2098</v>
      </c>
      <c r="F37" s="183">
        <v>34</v>
      </c>
      <c r="G37" s="184">
        <v>5</v>
      </c>
      <c r="H37" s="184">
        <v>0</v>
      </c>
      <c r="I37" s="184">
        <v>5</v>
      </c>
      <c r="J37" s="184">
        <v>436</v>
      </c>
      <c r="K37" s="183">
        <v>46</v>
      </c>
      <c r="L37" s="184">
        <v>18</v>
      </c>
      <c r="M37" s="184">
        <v>6</v>
      </c>
      <c r="N37" s="184">
        <v>24</v>
      </c>
      <c r="O37" s="184">
        <v>394</v>
      </c>
      <c r="P37" s="183">
        <v>42</v>
      </c>
      <c r="Q37" s="184">
        <v>6</v>
      </c>
      <c r="R37" s="184">
        <v>12</v>
      </c>
      <c r="S37" s="184">
        <v>18</v>
      </c>
      <c r="T37" s="184">
        <v>667</v>
      </c>
    </row>
    <row r="38" spans="1:20" x14ac:dyDescent="0.45">
      <c r="A38" s="183">
        <v>38</v>
      </c>
      <c r="B38" s="184">
        <v>67</v>
      </c>
      <c r="C38" s="184">
        <v>28</v>
      </c>
      <c r="D38" s="184">
        <v>97</v>
      </c>
      <c r="E38" s="184">
        <v>2195</v>
      </c>
      <c r="F38" s="183">
        <v>33</v>
      </c>
      <c r="G38" s="184">
        <v>3</v>
      </c>
      <c r="H38" s="184">
        <v>1</v>
      </c>
      <c r="I38" s="184">
        <v>4</v>
      </c>
      <c r="J38" s="184">
        <v>440</v>
      </c>
      <c r="K38" s="183">
        <v>45</v>
      </c>
      <c r="L38" s="184">
        <v>18</v>
      </c>
      <c r="M38" s="184">
        <v>6</v>
      </c>
      <c r="N38" s="184">
        <v>24</v>
      </c>
      <c r="O38" s="184">
        <v>418</v>
      </c>
      <c r="P38" s="183">
        <v>41</v>
      </c>
      <c r="Q38" s="184">
        <v>30</v>
      </c>
      <c r="R38" s="184">
        <v>44</v>
      </c>
      <c r="S38" s="184">
        <v>74</v>
      </c>
      <c r="T38" s="184">
        <v>741</v>
      </c>
    </row>
    <row r="39" spans="1:20" x14ac:dyDescent="0.45">
      <c r="A39" s="183">
        <v>37</v>
      </c>
      <c r="B39" s="184">
        <v>47</v>
      </c>
      <c r="C39" s="184">
        <v>32</v>
      </c>
      <c r="D39" s="184">
        <v>81</v>
      </c>
      <c r="E39" s="184">
        <v>2276</v>
      </c>
      <c r="F39" s="183">
        <v>31</v>
      </c>
      <c r="G39" s="184">
        <v>1</v>
      </c>
      <c r="H39" s="184">
        <v>2</v>
      </c>
      <c r="I39" s="184">
        <v>4</v>
      </c>
      <c r="J39" s="184">
        <v>444</v>
      </c>
      <c r="K39" s="183">
        <v>44</v>
      </c>
      <c r="L39" s="184">
        <v>28</v>
      </c>
      <c r="M39" s="184">
        <v>8</v>
      </c>
      <c r="N39" s="184">
        <v>36</v>
      </c>
      <c r="O39" s="184">
        <v>454</v>
      </c>
      <c r="P39" s="183">
        <v>40</v>
      </c>
      <c r="Q39" s="184">
        <v>6</v>
      </c>
      <c r="R39" s="184">
        <v>10</v>
      </c>
      <c r="S39" s="184">
        <v>16</v>
      </c>
      <c r="T39" s="184">
        <v>757</v>
      </c>
    </row>
    <row r="40" spans="1:20" x14ac:dyDescent="0.45">
      <c r="A40" s="183">
        <v>36</v>
      </c>
      <c r="B40" s="184">
        <v>37</v>
      </c>
      <c r="C40" s="184">
        <v>21</v>
      </c>
      <c r="D40" s="184">
        <v>59</v>
      </c>
      <c r="E40" s="184">
        <v>2335</v>
      </c>
      <c r="F40" s="183">
        <v>28</v>
      </c>
      <c r="G40" s="184">
        <v>0</v>
      </c>
      <c r="H40" s="184">
        <v>1</v>
      </c>
      <c r="I40" s="184">
        <v>1</v>
      </c>
      <c r="J40" s="184">
        <v>445</v>
      </c>
      <c r="K40" s="183">
        <v>43</v>
      </c>
      <c r="L40" s="184">
        <v>17</v>
      </c>
      <c r="M40" s="184">
        <v>4</v>
      </c>
      <c r="N40" s="184">
        <v>21</v>
      </c>
      <c r="O40" s="184">
        <v>475</v>
      </c>
      <c r="P40" s="183">
        <v>39</v>
      </c>
      <c r="Q40" s="184">
        <v>7</v>
      </c>
      <c r="R40" s="184">
        <v>18</v>
      </c>
      <c r="S40" s="184">
        <v>25</v>
      </c>
      <c r="T40" s="184">
        <v>782</v>
      </c>
    </row>
    <row r="41" spans="1:20" x14ac:dyDescent="0.45">
      <c r="A41" s="183">
        <v>35</v>
      </c>
      <c r="B41" s="184">
        <v>57</v>
      </c>
      <c r="C41" s="184">
        <v>16</v>
      </c>
      <c r="D41" s="184">
        <v>75</v>
      </c>
      <c r="E41" s="184">
        <v>2410</v>
      </c>
      <c r="F41" s="183"/>
      <c r="G41" s="184"/>
      <c r="H41" s="184"/>
      <c r="I41" s="184"/>
      <c r="J41" s="184"/>
      <c r="K41" s="183">
        <v>42</v>
      </c>
      <c r="L41" s="184">
        <v>9</v>
      </c>
      <c r="M41" s="184">
        <v>3</v>
      </c>
      <c r="N41" s="184">
        <v>12</v>
      </c>
      <c r="O41" s="184">
        <v>487</v>
      </c>
      <c r="P41" s="183">
        <v>38</v>
      </c>
      <c r="Q41" s="184">
        <v>9</v>
      </c>
      <c r="R41" s="184">
        <v>12</v>
      </c>
      <c r="S41" s="184">
        <v>21</v>
      </c>
      <c r="T41" s="184">
        <v>803</v>
      </c>
    </row>
    <row r="42" spans="1:20" x14ac:dyDescent="0.45">
      <c r="A42" s="183">
        <v>34</v>
      </c>
      <c r="B42" s="184">
        <v>32</v>
      </c>
      <c r="C42" s="184">
        <v>20</v>
      </c>
      <c r="D42" s="184">
        <v>53</v>
      </c>
      <c r="E42" s="184">
        <v>2463</v>
      </c>
      <c r="F42" s="183"/>
      <c r="G42" s="184"/>
      <c r="H42" s="184"/>
      <c r="I42" s="184"/>
      <c r="J42" s="184"/>
      <c r="K42" s="183">
        <v>41</v>
      </c>
      <c r="L42" s="184">
        <v>35</v>
      </c>
      <c r="M42" s="184">
        <v>7</v>
      </c>
      <c r="N42" s="184">
        <v>44</v>
      </c>
      <c r="O42" s="184">
        <v>531</v>
      </c>
      <c r="P42" s="183">
        <v>37</v>
      </c>
      <c r="Q42" s="184">
        <v>9</v>
      </c>
      <c r="R42" s="184">
        <v>9</v>
      </c>
      <c r="S42" s="184">
        <v>18</v>
      </c>
      <c r="T42" s="184">
        <v>821</v>
      </c>
    </row>
    <row r="43" spans="1:20" x14ac:dyDescent="0.45">
      <c r="A43" s="183">
        <v>33</v>
      </c>
      <c r="B43" s="184">
        <v>11</v>
      </c>
      <c r="C43" s="184">
        <v>7</v>
      </c>
      <c r="D43" s="184">
        <v>18</v>
      </c>
      <c r="E43" s="184">
        <v>2481</v>
      </c>
      <c r="F43" s="183"/>
      <c r="G43" s="184"/>
      <c r="H43" s="184"/>
      <c r="I43" s="184"/>
      <c r="J43" s="184"/>
      <c r="K43" s="183">
        <v>40</v>
      </c>
      <c r="L43" s="184">
        <v>86</v>
      </c>
      <c r="M43" s="184">
        <v>14</v>
      </c>
      <c r="N43" s="184">
        <v>100</v>
      </c>
      <c r="O43" s="184">
        <v>631</v>
      </c>
      <c r="P43" s="183">
        <v>36</v>
      </c>
      <c r="Q43" s="184">
        <v>9</v>
      </c>
      <c r="R43" s="184">
        <v>8</v>
      </c>
      <c r="S43" s="184">
        <v>18</v>
      </c>
      <c r="T43" s="184">
        <v>839</v>
      </c>
    </row>
    <row r="44" spans="1:20" x14ac:dyDescent="0.45">
      <c r="A44" s="183">
        <v>32</v>
      </c>
      <c r="B44" s="184">
        <v>17</v>
      </c>
      <c r="C44" s="184">
        <v>6</v>
      </c>
      <c r="D44" s="184">
        <v>23</v>
      </c>
      <c r="E44" s="184">
        <v>2504</v>
      </c>
      <c r="F44" s="183"/>
      <c r="G44" s="184"/>
      <c r="H44" s="184"/>
      <c r="I44" s="184"/>
      <c r="J44" s="184"/>
      <c r="K44" s="183">
        <v>39</v>
      </c>
      <c r="L44" s="184">
        <v>12</v>
      </c>
      <c r="M44" s="184">
        <v>5</v>
      </c>
      <c r="N44" s="184">
        <v>17</v>
      </c>
      <c r="O44" s="184">
        <v>648</v>
      </c>
      <c r="P44" s="183">
        <v>35</v>
      </c>
      <c r="Q44" s="184">
        <v>11</v>
      </c>
      <c r="R44" s="184">
        <v>18</v>
      </c>
      <c r="S44" s="184">
        <v>30</v>
      </c>
      <c r="T44" s="184">
        <v>869</v>
      </c>
    </row>
    <row r="45" spans="1:20" x14ac:dyDescent="0.45">
      <c r="A45" s="183">
        <v>31</v>
      </c>
      <c r="B45" s="184">
        <v>8</v>
      </c>
      <c r="C45" s="184">
        <v>4</v>
      </c>
      <c r="D45" s="184">
        <v>13</v>
      </c>
      <c r="E45" s="184">
        <v>2517</v>
      </c>
      <c r="F45" s="183"/>
      <c r="G45" s="184"/>
      <c r="H45" s="184"/>
      <c r="I45" s="184"/>
      <c r="J45" s="184"/>
      <c r="K45" s="183">
        <v>38</v>
      </c>
      <c r="L45" s="184">
        <v>13</v>
      </c>
      <c r="M45" s="184">
        <v>1</v>
      </c>
      <c r="N45" s="184">
        <v>14</v>
      </c>
      <c r="O45" s="184">
        <v>662</v>
      </c>
      <c r="P45" s="183">
        <v>34</v>
      </c>
      <c r="Q45" s="184">
        <v>6</v>
      </c>
      <c r="R45" s="184">
        <v>6</v>
      </c>
      <c r="S45" s="184">
        <v>12</v>
      </c>
      <c r="T45" s="184">
        <v>881</v>
      </c>
    </row>
    <row r="46" spans="1:20" x14ac:dyDescent="0.45">
      <c r="A46" s="183">
        <v>30</v>
      </c>
      <c r="B46" s="184">
        <v>2</v>
      </c>
      <c r="C46" s="184">
        <v>2</v>
      </c>
      <c r="D46" s="184">
        <v>4</v>
      </c>
      <c r="E46" s="184">
        <v>2521</v>
      </c>
      <c r="F46" s="183"/>
      <c r="G46" s="184"/>
      <c r="H46" s="184"/>
      <c r="I46" s="184"/>
      <c r="J46" s="184"/>
      <c r="K46" s="183">
        <v>36</v>
      </c>
      <c r="L46" s="184">
        <v>6</v>
      </c>
      <c r="M46" s="184">
        <v>0</v>
      </c>
      <c r="N46" s="184">
        <v>6</v>
      </c>
      <c r="O46" s="184">
        <v>668</v>
      </c>
      <c r="P46" s="183">
        <v>33</v>
      </c>
      <c r="Q46" s="184">
        <v>4</v>
      </c>
      <c r="R46" s="184">
        <v>4</v>
      </c>
      <c r="S46" s="184">
        <v>8</v>
      </c>
      <c r="T46" s="184">
        <v>889</v>
      </c>
    </row>
    <row r="47" spans="1:20" x14ac:dyDescent="0.45">
      <c r="A47" s="183">
        <v>28</v>
      </c>
      <c r="B47" s="184">
        <v>2</v>
      </c>
      <c r="C47" s="184">
        <v>1</v>
      </c>
      <c r="D47" s="184">
        <v>3</v>
      </c>
      <c r="E47" s="184">
        <v>2524</v>
      </c>
      <c r="F47" s="183"/>
      <c r="G47" s="184"/>
      <c r="H47" s="184"/>
      <c r="I47" s="184"/>
      <c r="J47" s="184"/>
      <c r="K47" s="183">
        <v>35</v>
      </c>
      <c r="L47" s="184">
        <v>8</v>
      </c>
      <c r="M47" s="184">
        <v>0</v>
      </c>
      <c r="N47" s="184">
        <v>8</v>
      </c>
      <c r="O47" s="184">
        <v>676</v>
      </c>
      <c r="P47" s="183">
        <v>32</v>
      </c>
      <c r="Q47" s="184">
        <v>2</v>
      </c>
      <c r="R47" s="184">
        <v>2</v>
      </c>
      <c r="S47" s="184">
        <v>4</v>
      </c>
      <c r="T47" s="184">
        <v>893</v>
      </c>
    </row>
    <row r="48" spans="1:20" x14ac:dyDescent="0.45">
      <c r="A48" s="181"/>
      <c r="B48" s="182"/>
      <c r="C48" s="182"/>
      <c r="D48" s="182"/>
      <c r="E48" s="184"/>
      <c r="F48" s="183"/>
      <c r="G48" s="184"/>
      <c r="H48" s="184"/>
      <c r="I48" s="184"/>
      <c r="J48" s="184"/>
      <c r="K48" s="183">
        <v>34</v>
      </c>
      <c r="L48" s="184">
        <v>3</v>
      </c>
      <c r="M48" s="184">
        <v>1</v>
      </c>
      <c r="N48" s="184">
        <v>4</v>
      </c>
      <c r="O48" s="184">
        <v>680</v>
      </c>
      <c r="P48" s="183">
        <v>31</v>
      </c>
      <c r="Q48" s="184">
        <v>3</v>
      </c>
      <c r="R48" s="184">
        <v>1</v>
      </c>
      <c r="S48" s="184">
        <v>4</v>
      </c>
      <c r="T48" s="184">
        <v>897</v>
      </c>
    </row>
    <row r="49" spans="1:20" x14ac:dyDescent="0.45">
      <c r="A49" s="181"/>
      <c r="B49" s="182"/>
      <c r="C49" s="182"/>
      <c r="D49" s="182"/>
      <c r="E49" s="184"/>
      <c r="F49" s="183"/>
      <c r="G49" s="184"/>
      <c r="H49" s="184"/>
      <c r="I49" s="184"/>
      <c r="J49" s="184"/>
      <c r="K49" s="183">
        <v>32</v>
      </c>
      <c r="L49" s="184">
        <v>2</v>
      </c>
      <c r="M49" s="184">
        <v>0</v>
      </c>
      <c r="N49" s="184">
        <v>2</v>
      </c>
      <c r="O49" s="184">
        <v>682</v>
      </c>
      <c r="P49" s="183">
        <v>30</v>
      </c>
      <c r="Q49" s="184">
        <v>1</v>
      </c>
      <c r="R49" s="184">
        <v>1</v>
      </c>
      <c r="S49" s="184">
        <v>2</v>
      </c>
      <c r="T49" s="184">
        <v>899</v>
      </c>
    </row>
    <row r="50" spans="1:20" x14ac:dyDescent="0.45">
      <c r="A50" s="181"/>
      <c r="B50" s="182"/>
      <c r="C50" s="182"/>
      <c r="D50" s="182"/>
      <c r="E50" s="184"/>
      <c r="F50" s="183"/>
      <c r="G50" s="184"/>
      <c r="H50" s="184"/>
      <c r="I50" s="184"/>
      <c r="J50" s="184"/>
      <c r="K50" s="183"/>
      <c r="L50" s="184"/>
      <c r="M50" s="184"/>
      <c r="N50" s="184"/>
      <c r="O50" s="184"/>
      <c r="P50" s="183">
        <v>28</v>
      </c>
      <c r="Q50" s="184">
        <v>2</v>
      </c>
      <c r="R50" s="184">
        <v>1</v>
      </c>
      <c r="S50" s="184">
        <v>3</v>
      </c>
      <c r="T50" s="184">
        <v>902</v>
      </c>
    </row>
    <row r="51" spans="1:20" x14ac:dyDescent="0.45">
      <c r="A51" s="6"/>
      <c r="B51" s="1"/>
      <c r="C51" s="1"/>
      <c r="D51" s="7"/>
      <c r="F51" s="6"/>
      <c r="G51" s="1"/>
      <c r="H51" s="1"/>
      <c r="I51" s="7"/>
      <c r="K51" s="6"/>
      <c r="L51" s="1"/>
      <c r="M51" s="1"/>
      <c r="N51" s="7"/>
      <c r="P51" s="6"/>
      <c r="Q51" s="1"/>
      <c r="R51" s="1"/>
      <c r="S51" s="7"/>
    </row>
    <row r="52" spans="1:20" ht="17.5" thickBot="1" x14ac:dyDescent="0.5">
      <c r="A52" s="8"/>
      <c r="B52" s="14"/>
      <c r="C52" s="14"/>
      <c r="D52" s="2"/>
      <c r="F52" s="8"/>
      <c r="G52" s="14"/>
      <c r="H52" s="14"/>
      <c r="I52" s="2"/>
      <c r="K52" s="8"/>
      <c r="L52" s="14"/>
      <c r="M52" s="14"/>
      <c r="N52" s="2"/>
      <c r="P52" s="8"/>
      <c r="Q52" s="14"/>
      <c r="R52" s="14"/>
      <c r="S52" s="2"/>
    </row>
    <row r="61" spans="1:20" ht="17.5" thickBot="1" x14ac:dyDescent="0.5"/>
    <row r="62" spans="1:20" x14ac:dyDescent="0.45">
      <c r="A62" s="46" t="s">
        <v>72</v>
      </c>
      <c r="B62" s="47"/>
      <c r="C62" s="47"/>
      <c r="D62" s="48"/>
      <c r="F62" s="46" t="s">
        <v>71</v>
      </c>
      <c r="G62" s="47"/>
      <c r="H62" s="47"/>
      <c r="I62" s="48"/>
    </row>
    <row r="63" spans="1:20" x14ac:dyDescent="0.45">
      <c r="A63" s="6" t="s">
        <v>1</v>
      </c>
      <c r="B63" s="1"/>
      <c r="C63" s="1"/>
      <c r="D63" s="7" t="s">
        <v>0</v>
      </c>
      <c r="F63" s="6" t="s">
        <v>1</v>
      </c>
      <c r="G63" s="1"/>
      <c r="H63" s="1"/>
      <c r="I63" s="7" t="s">
        <v>0</v>
      </c>
    </row>
    <row r="64" spans="1:20" x14ac:dyDescent="0.45">
      <c r="A64" s="185">
        <v>72</v>
      </c>
      <c r="B64" s="186">
        <v>2</v>
      </c>
      <c r="C64" s="186">
        <v>0</v>
      </c>
      <c r="D64" s="186">
        <v>2</v>
      </c>
      <c r="E64" s="186">
        <v>2</v>
      </c>
      <c r="F64" s="185">
        <v>76</v>
      </c>
      <c r="G64" s="186">
        <v>1</v>
      </c>
      <c r="H64" s="186">
        <v>0</v>
      </c>
      <c r="I64" s="186">
        <v>1</v>
      </c>
      <c r="J64" s="186">
        <v>1</v>
      </c>
    </row>
    <row r="65" spans="1:10" x14ac:dyDescent="0.45">
      <c r="A65" s="185">
        <v>69</v>
      </c>
      <c r="B65" s="186">
        <v>2</v>
      </c>
      <c r="C65" s="186">
        <v>0</v>
      </c>
      <c r="D65" s="186">
        <v>2</v>
      </c>
      <c r="E65" s="186">
        <v>4</v>
      </c>
      <c r="F65" s="185">
        <v>75</v>
      </c>
      <c r="G65" s="186">
        <v>0</v>
      </c>
      <c r="H65" s="186">
        <v>1</v>
      </c>
      <c r="I65" s="186">
        <v>1</v>
      </c>
      <c r="J65" s="186">
        <v>2</v>
      </c>
    </row>
    <row r="66" spans="1:10" x14ac:dyDescent="0.45">
      <c r="A66" s="185">
        <v>68</v>
      </c>
      <c r="B66" s="186">
        <v>1</v>
      </c>
      <c r="C66" s="186">
        <v>0</v>
      </c>
      <c r="D66" s="186">
        <v>1</v>
      </c>
      <c r="E66" s="186">
        <v>5</v>
      </c>
      <c r="F66" s="185">
        <v>72</v>
      </c>
      <c r="G66" s="186">
        <v>2</v>
      </c>
      <c r="H66" s="186">
        <v>1</v>
      </c>
      <c r="I66" s="186">
        <v>3</v>
      </c>
      <c r="J66" s="186">
        <v>5</v>
      </c>
    </row>
    <row r="67" spans="1:10" x14ac:dyDescent="0.45">
      <c r="A67" s="185">
        <v>67</v>
      </c>
      <c r="B67" s="186">
        <v>1</v>
      </c>
      <c r="C67" s="186">
        <v>0</v>
      </c>
      <c r="D67" s="186">
        <v>1</v>
      </c>
      <c r="E67" s="186">
        <v>6</v>
      </c>
      <c r="F67" s="185">
        <v>71</v>
      </c>
      <c r="G67" s="186">
        <v>0</v>
      </c>
      <c r="H67" s="186">
        <v>1</v>
      </c>
      <c r="I67" s="186">
        <v>1</v>
      </c>
      <c r="J67" s="186">
        <v>6</v>
      </c>
    </row>
    <row r="68" spans="1:10" x14ac:dyDescent="0.45">
      <c r="A68" s="185">
        <v>66</v>
      </c>
      <c r="B68" s="186">
        <v>1</v>
      </c>
      <c r="C68" s="186">
        <v>1</v>
      </c>
      <c r="D68" s="186">
        <v>2</v>
      </c>
      <c r="E68" s="186">
        <v>8</v>
      </c>
      <c r="F68" s="185">
        <v>70</v>
      </c>
      <c r="G68" s="186">
        <v>0</v>
      </c>
      <c r="H68" s="186">
        <v>1</v>
      </c>
      <c r="I68" s="186">
        <v>1</v>
      </c>
      <c r="J68" s="186">
        <v>7</v>
      </c>
    </row>
    <row r="69" spans="1:10" x14ac:dyDescent="0.45">
      <c r="A69" s="185">
        <v>64</v>
      </c>
      <c r="B69" s="186">
        <v>5</v>
      </c>
      <c r="C69" s="186">
        <v>1</v>
      </c>
      <c r="D69" s="186">
        <v>6</v>
      </c>
      <c r="E69" s="186">
        <v>14</v>
      </c>
      <c r="F69" s="185">
        <v>69</v>
      </c>
      <c r="G69" s="186">
        <v>0</v>
      </c>
      <c r="H69" s="186">
        <v>3</v>
      </c>
      <c r="I69" s="186">
        <v>3</v>
      </c>
      <c r="J69" s="186">
        <v>10</v>
      </c>
    </row>
    <row r="70" spans="1:10" x14ac:dyDescent="0.45">
      <c r="A70" s="185">
        <v>63</v>
      </c>
      <c r="B70" s="186">
        <v>2</v>
      </c>
      <c r="C70" s="186">
        <v>0</v>
      </c>
      <c r="D70" s="186">
        <v>2</v>
      </c>
      <c r="E70" s="186">
        <v>16</v>
      </c>
      <c r="F70" s="185">
        <v>68</v>
      </c>
      <c r="G70" s="186">
        <v>1</v>
      </c>
      <c r="H70" s="186">
        <v>4</v>
      </c>
      <c r="I70" s="186">
        <v>5</v>
      </c>
      <c r="J70" s="186">
        <v>15</v>
      </c>
    </row>
    <row r="71" spans="1:10" x14ac:dyDescent="0.45">
      <c r="A71" s="185">
        <v>62</v>
      </c>
      <c r="B71" s="186">
        <v>2</v>
      </c>
      <c r="C71" s="186">
        <v>0</v>
      </c>
      <c r="D71" s="186">
        <v>2</v>
      </c>
      <c r="E71" s="186">
        <v>18</v>
      </c>
      <c r="F71" s="185">
        <v>66</v>
      </c>
      <c r="G71" s="186">
        <v>1</v>
      </c>
      <c r="H71" s="186">
        <v>4</v>
      </c>
      <c r="I71" s="186">
        <v>5</v>
      </c>
      <c r="J71" s="186">
        <v>20</v>
      </c>
    </row>
    <row r="72" spans="1:10" x14ac:dyDescent="0.45">
      <c r="A72" s="185">
        <v>60</v>
      </c>
      <c r="B72" s="186">
        <v>1</v>
      </c>
      <c r="C72" s="186">
        <v>0</v>
      </c>
      <c r="D72" s="186">
        <v>1</v>
      </c>
      <c r="E72" s="186">
        <v>19</v>
      </c>
      <c r="F72" s="185">
        <v>65</v>
      </c>
      <c r="G72" s="186">
        <v>1</v>
      </c>
      <c r="H72" s="186">
        <v>10</v>
      </c>
      <c r="I72" s="186">
        <v>11</v>
      </c>
      <c r="J72" s="186">
        <v>31</v>
      </c>
    </row>
    <row r="73" spans="1:10" x14ac:dyDescent="0.45">
      <c r="A73" s="185">
        <v>58</v>
      </c>
      <c r="B73" s="186">
        <v>2</v>
      </c>
      <c r="C73" s="186">
        <v>1</v>
      </c>
      <c r="D73" s="186">
        <v>3</v>
      </c>
      <c r="E73" s="186">
        <v>22</v>
      </c>
      <c r="F73" s="185">
        <v>64</v>
      </c>
      <c r="G73" s="186">
        <v>4</v>
      </c>
      <c r="H73" s="186">
        <v>3</v>
      </c>
      <c r="I73" s="186">
        <v>7</v>
      </c>
      <c r="J73" s="186">
        <v>38</v>
      </c>
    </row>
    <row r="74" spans="1:10" x14ac:dyDescent="0.45">
      <c r="A74" s="185">
        <v>57</v>
      </c>
      <c r="B74" s="186">
        <v>1</v>
      </c>
      <c r="C74" s="186">
        <v>0</v>
      </c>
      <c r="D74" s="186">
        <v>1</v>
      </c>
      <c r="E74" s="186">
        <v>23</v>
      </c>
      <c r="F74" s="185">
        <v>63</v>
      </c>
      <c r="G74" s="186">
        <v>2</v>
      </c>
      <c r="H74" s="186">
        <v>9</v>
      </c>
      <c r="I74" s="186">
        <v>11</v>
      </c>
      <c r="J74" s="186">
        <v>49</v>
      </c>
    </row>
    <row r="75" spans="1:10" x14ac:dyDescent="0.45">
      <c r="A75" s="185">
        <v>56</v>
      </c>
      <c r="B75" s="186">
        <v>3</v>
      </c>
      <c r="C75" s="186">
        <v>0</v>
      </c>
      <c r="D75" s="186">
        <v>3</v>
      </c>
      <c r="E75" s="186">
        <v>26</v>
      </c>
      <c r="F75" s="185">
        <v>62</v>
      </c>
      <c r="G75" s="186">
        <v>6</v>
      </c>
      <c r="H75" s="186">
        <v>8</v>
      </c>
      <c r="I75" s="186">
        <v>14</v>
      </c>
      <c r="J75" s="186">
        <v>63</v>
      </c>
    </row>
    <row r="76" spans="1:10" x14ac:dyDescent="0.45">
      <c r="A76" s="185">
        <v>55</v>
      </c>
      <c r="B76" s="186">
        <v>0</v>
      </c>
      <c r="C76" s="186">
        <v>2</v>
      </c>
      <c r="D76" s="186">
        <v>2</v>
      </c>
      <c r="E76" s="186">
        <v>28</v>
      </c>
      <c r="F76" s="185">
        <v>61</v>
      </c>
      <c r="G76" s="186">
        <v>2</v>
      </c>
      <c r="H76" s="186">
        <v>11</v>
      </c>
      <c r="I76" s="186">
        <v>13</v>
      </c>
      <c r="J76" s="186">
        <v>76</v>
      </c>
    </row>
    <row r="77" spans="1:10" x14ac:dyDescent="0.45">
      <c r="A77" s="185">
        <v>54</v>
      </c>
      <c r="B77" s="186">
        <v>0</v>
      </c>
      <c r="C77" s="186">
        <v>2</v>
      </c>
      <c r="D77" s="186">
        <v>2</v>
      </c>
      <c r="E77" s="186">
        <v>30</v>
      </c>
      <c r="F77" s="185">
        <v>60</v>
      </c>
      <c r="G77" s="186">
        <v>3</v>
      </c>
      <c r="H77" s="186">
        <v>18</v>
      </c>
      <c r="I77" s="186">
        <v>21</v>
      </c>
      <c r="J77" s="186">
        <v>97</v>
      </c>
    </row>
    <row r="78" spans="1:10" x14ac:dyDescent="0.45">
      <c r="A78" s="185">
        <v>49</v>
      </c>
      <c r="B78" s="186">
        <v>1</v>
      </c>
      <c r="C78" s="186">
        <v>1</v>
      </c>
      <c r="D78" s="186">
        <v>2</v>
      </c>
      <c r="E78" s="186">
        <v>32</v>
      </c>
      <c r="F78" s="185">
        <v>59</v>
      </c>
      <c r="G78" s="186">
        <v>11</v>
      </c>
      <c r="H78" s="186">
        <v>11</v>
      </c>
      <c r="I78" s="186">
        <v>23</v>
      </c>
      <c r="J78" s="186">
        <v>120</v>
      </c>
    </row>
    <row r="79" spans="1:10" x14ac:dyDescent="0.45">
      <c r="A79" s="185">
        <v>48</v>
      </c>
      <c r="B79" s="186">
        <v>1</v>
      </c>
      <c r="C79" s="186">
        <v>1</v>
      </c>
      <c r="D79" s="186">
        <v>2</v>
      </c>
      <c r="E79" s="186">
        <v>34</v>
      </c>
      <c r="F79" s="185">
        <v>58</v>
      </c>
      <c r="G79" s="186">
        <v>4</v>
      </c>
      <c r="H79" s="186">
        <v>14</v>
      </c>
      <c r="I79" s="186">
        <v>18</v>
      </c>
      <c r="J79" s="186">
        <v>138</v>
      </c>
    </row>
    <row r="80" spans="1:10" x14ac:dyDescent="0.45">
      <c r="A80" s="185">
        <v>47</v>
      </c>
      <c r="B80" s="186">
        <v>0</v>
      </c>
      <c r="C80" s="186">
        <v>1</v>
      </c>
      <c r="D80" s="186">
        <v>1</v>
      </c>
      <c r="E80" s="186">
        <v>35</v>
      </c>
      <c r="F80" s="185">
        <v>57</v>
      </c>
      <c r="G80" s="186">
        <v>4</v>
      </c>
      <c r="H80" s="186">
        <v>15</v>
      </c>
      <c r="I80" s="186">
        <v>19</v>
      </c>
      <c r="J80" s="186">
        <v>157</v>
      </c>
    </row>
    <row r="81" spans="1:10" x14ac:dyDescent="0.45">
      <c r="A81" s="185">
        <v>46</v>
      </c>
      <c r="B81" s="186">
        <v>13</v>
      </c>
      <c r="C81" s="186">
        <v>2</v>
      </c>
      <c r="D81" s="186">
        <v>15</v>
      </c>
      <c r="E81" s="186">
        <v>50</v>
      </c>
      <c r="F81" s="185">
        <v>56</v>
      </c>
      <c r="G81" s="186">
        <v>4</v>
      </c>
      <c r="H81" s="186">
        <v>9</v>
      </c>
      <c r="I81" s="186">
        <v>14</v>
      </c>
      <c r="J81" s="186">
        <v>171</v>
      </c>
    </row>
    <row r="82" spans="1:10" x14ac:dyDescent="0.45">
      <c r="A82" s="185">
        <v>45</v>
      </c>
      <c r="B82" s="186">
        <v>5</v>
      </c>
      <c r="C82" s="186">
        <v>2</v>
      </c>
      <c r="D82" s="186">
        <v>7</v>
      </c>
      <c r="E82" s="186">
        <v>57</v>
      </c>
      <c r="F82" s="185">
        <v>55</v>
      </c>
      <c r="G82" s="186">
        <v>4</v>
      </c>
      <c r="H82" s="186">
        <v>13</v>
      </c>
      <c r="I82" s="186">
        <v>17</v>
      </c>
      <c r="J82" s="186">
        <v>188</v>
      </c>
    </row>
    <row r="83" spans="1:10" x14ac:dyDescent="0.45">
      <c r="A83" s="185">
        <v>44</v>
      </c>
      <c r="B83" s="186">
        <v>0</v>
      </c>
      <c r="C83" s="186">
        <v>1</v>
      </c>
      <c r="D83" s="186">
        <v>2</v>
      </c>
      <c r="E83" s="186">
        <v>59</v>
      </c>
      <c r="F83" s="185">
        <v>54</v>
      </c>
      <c r="G83" s="186">
        <v>5</v>
      </c>
      <c r="H83" s="186">
        <v>10</v>
      </c>
      <c r="I83" s="186">
        <v>15</v>
      </c>
      <c r="J83" s="186">
        <v>203</v>
      </c>
    </row>
    <row r="84" spans="1:10" x14ac:dyDescent="0.45">
      <c r="A84" s="185">
        <v>43</v>
      </c>
      <c r="B84" s="186">
        <v>5</v>
      </c>
      <c r="C84" s="186">
        <v>0</v>
      </c>
      <c r="D84" s="186">
        <v>5</v>
      </c>
      <c r="E84" s="186">
        <v>64</v>
      </c>
      <c r="F84" s="185">
        <v>52</v>
      </c>
      <c r="G84" s="186">
        <v>6</v>
      </c>
      <c r="H84" s="186">
        <v>9</v>
      </c>
      <c r="I84" s="186">
        <v>15</v>
      </c>
      <c r="J84" s="186">
        <v>218</v>
      </c>
    </row>
    <row r="85" spans="1:10" x14ac:dyDescent="0.45">
      <c r="A85" s="185">
        <v>41</v>
      </c>
      <c r="B85" s="186">
        <v>3</v>
      </c>
      <c r="C85" s="186">
        <v>0</v>
      </c>
      <c r="D85" s="186">
        <v>3</v>
      </c>
      <c r="E85" s="186">
        <v>67</v>
      </c>
      <c r="F85" s="185">
        <v>51</v>
      </c>
      <c r="G85" s="186">
        <v>5</v>
      </c>
      <c r="H85" s="186">
        <v>11</v>
      </c>
      <c r="I85" s="186">
        <v>16</v>
      </c>
      <c r="J85" s="186">
        <v>234</v>
      </c>
    </row>
    <row r="86" spans="1:10" x14ac:dyDescent="0.45">
      <c r="A86" s="185">
        <v>40</v>
      </c>
      <c r="B86" s="186">
        <v>5</v>
      </c>
      <c r="C86" s="186">
        <v>2</v>
      </c>
      <c r="D86" s="186">
        <v>7</v>
      </c>
      <c r="E86" s="186">
        <v>74</v>
      </c>
      <c r="F86" s="185">
        <v>50</v>
      </c>
      <c r="G86" s="186">
        <v>2</v>
      </c>
      <c r="H86" s="186">
        <v>8</v>
      </c>
      <c r="I86" s="186">
        <v>10</v>
      </c>
      <c r="J86" s="186">
        <v>244</v>
      </c>
    </row>
    <row r="87" spans="1:10" x14ac:dyDescent="0.45">
      <c r="A87" s="185">
        <v>39</v>
      </c>
      <c r="B87" s="186">
        <v>2</v>
      </c>
      <c r="C87" s="186">
        <v>0</v>
      </c>
      <c r="D87" s="186">
        <v>2</v>
      </c>
      <c r="E87" s="186">
        <v>76</v>
      </c>
      <c r="F87" s="185">
        <v>49</v>
      </c>
      <c r="G87" s="186">
        <v>2</v>
      </c>
      <c r="H87" s="186">
        <v>11</v>
      </c>
      <c r="I87" s="186">
        <v>13</v>
      </c>
      <c r="J87" s="186">
        <v>257</v>
      </c>
    </row>
    <row r="88" spans="1:10" x14ac:dyDescent="0.45">
      <c r="A88" s="185">
        <v>38</v>
      </c>
      <c r="B88" s="186">
        <v>1</v>
      </c>
      <c r="C88" s="186">
        <v>0</v>
      </c>
      <c r="D88" s="186">
        <v>1</v>
      </c>
      <c r="E88" s="186">
        <v>77</v>
      </c>
      <c r="F88" s="185">
        <v>48</v>
      </c>
      <c r="G88" s="186">
        <v>5</v>
      </c>
      <c r="H88" s="186">
        <v>7</v>
      </c>
      <c r="I88" s="186">
        <v>12</v>
      </c>
      <c r="J88" s="186">
        <v>269</v>
      </c>
    </row>
    <row r="89" spans="1:10" x14ac:dyDescent="0.45">
      <c r="A89" s="185">
        <v>36</v>
      </c>
      <c r="B89" s="186">
        <v>4</v>
      </c>
      <c r="C89" s="186">
        <v>0</v>
      </c>
      <c r="D89" s="186">
        <v>4</v>
      </c>
      <c r="E89" s="186">
        <v>81</v>
      </c>
      <c r="F89" s="185">
        <v>47</v>
      </c>
      <c r="G89" s="186">
        <v>5</v>
      </c>
      <c r="H89" s="186">
        <v>9</v>
      </c>
      <c r="I89" s="186">
        <v>14</v>
      </c>
      <c r="J89" s="186">
        <v>283</v>
      </c>
    </row>
    <row r="90" spans="1:10" x14ac:dyDescent="0.45">
      <c r="A90" s="185">
        <v>35</v>
      </c>
      <c r="B90" s="186">
        <v>0</v>
      </c>
      <c r="C90" s="186">
        <v>1</v>
      </c>
      <c r="D90" s="186">
        <v>1</v>
      </c>
      <c r="E90" s="186">
        <v>82</v>
      </c>
      <c r="F90" s="185">
        <v>46</v>
      </c>
      <c r="G90" s="186">
        <v>5</v>
      </c>
      <c r="H90" s="186">
        <v>4</v>
      </c>
      <c r="I90" s="186">
        <v>9</v>
      </c>
      <c r="J90" s="186">
        <v>292</v>
      </c>
    </row>
    <row r="91" spans="1:10" x14ac:dyDescent="0.45">
      <c r="A91" s="185"/>
      <c r="B91" s="186"/>
      <c r="C91" s="186"/>
      <c r="D91" s="186"/>
      <c r="E91" s="186"/>
      <c r="F91" s="185">
        <v>45</v>
      </c>
      <c r="G91" s="186">
        <v>1</v>
      </c>
      <c r="H91" s="186">
        <v>8</v>
      </c>
      <c r="I91" s="186">
        <v>9</v>
      </c>
      <c r="J91" s="186">
        <v>301</v>
      </c>
    </row>
    <row r="92" spans="1:10" x14ac:dyDescent="0.45">
      <c r="A92" s="185"/>
      <c r="B92" s="186"/>
      <c r="C92" s="186"/>
      <c r="D92" s="186"/>
      <c r="E92" s="186"/>
      <c r="F92" s="185">
        <v>44</v>
      </c>
      <c r="G92" s="186">
        <v>9</v>
      </c>
      <c r="H92" s="186">
        <v>7</v>
      </c>
      <c r="I92" s="186">
        <v>16</v>
      </c>
      <c r="J92" s="186">
        <v>317</v>
      </c>
    </row>
    <row r="93" spans="1:10" x14ac:dyDescent="0.45">
      <c r="A93" s="185"/>
      <c r="B93" s="186"/>
      <c r="C93" s="186"/>
      <c r="D93" s="186"/>
      <c r="E93" s="186"/>
      <c r="F93" s="185">
        <v>43</v>
      </c>
      <c r="G93" s="186">
        <v>4</v>
      </c>
      <c r="H93" s="186">
        <v>5</v>
      </c>
      <c r="I93" s="186">
        <v>9</v>
      </c>
      <c r="J93" s="186">
        <v>326</v>
      </c>
    </row>
    <row r="94" spans="1:10" x14ac:dyDescent="0.45">
      <c r="A94" s="185"/>
      <c r="B94" s="186"/>
      <c r="C94" s="186"/>
      <c r="D94" s="186"/>
      <c r="E94" s="186"/>
      <c r="F94" s="185">
        <v>42</v>
      </c>
      <c r="G94" s="186">
        <v>1</v>
      </c>
      <c r="H94" s="186">
        <v>5</v>
      </c>
      <c r="I94" s="186">
        <v>6</v>
      </c>
      <c r="J94" s="186">
        <v>332</v>
      </c>
    </row>
    <row r="95" spans="1:10" x14ac:dyDescent="0.45">
      <c r="A95" s="185"/>
      <c r="B95" s="186"/>
      <c r="C95" s="186"/>
      <c r="D95" s="186"/>
      <c r="E95" s="186"/>
      <c r="F95" s="185">
        <v>41</v>
      </c>
      <c r="G95" s="186">
        <v>37</v>
      </c>
      <c r="H95" s="186">
        <v>16</v>
      </c>
      <c r="I95" s="186">
        <v>53</v>
      </c>
      <c r="J95" s="186">
        <v>385</v>
      </c>
    </row>
    <row r="96" spans="1:10" x14ac:dyDescent="0.45">
      <c r="A96" s="185"/>
      <c r="B96" s="186"/>
      <c r="C96" s="186"/>
      <c r="D96" s="186"/>
      <c r="E96" s="186"/>
      <c r="F96" s="185">
        <v>40</v>
      </c>
      <c r="G96" s="186">
        <v>13</v>
      </c>
      <c r="H96" s="186">
        <v>14</v>
      </c>
      <c r="I96" s="186">
        <v>27</v>
      </c>
      <c r="J96" s="186">
        <v>412</v>
      </c>
    </row>
    <row r="97" spans="1:10" x14ac:dyDescent="0.45">
      <c r="A97" s="185"/>
      <c r="B97" s="186"/>
      <c r="C97" s="186"/>
      <c r="D97" s="186"/>
      <c r="E97" s="186"/>
      <c r="F97" s="185">
        <v>38</v>
      </c>
      <c r="G97" s="186">
        <v>5</v>
      </c>
      <c r="H97" s="186">
        <v>2</v>
      </c>
      <c r="I97" s="186">
        <v>7</v>
      </c>
      <c r="J97" s="186">
        <v>419</v>
      </c>
    </row>
    <row r="98" spans="1:10" x14ac:dyDescent="0.45">
      <c r="A98" s="185"/>
      <c r="B98" s="186"/>
      <c r="C98" s="186"/>
      <c r="D98" s="186"/>
      <c r="E98" s="186"/>
      <c r="F98" s="185">
        <v>37</v>
      </c>
      <c r="G98" s="186">
        <v>3</v>
      </c>
      <c r="H98" s="186">
        <v>5</v>
      </c>
      <c r="I98" s="186">
        <v>8</v>
      </c>
      <c r="J98" s="186">
        <v>427</v>
      </c>
    </row>
    <row r="99" spans="1:10" x14ac:dyDescent="0.45">
      <c r="A99" s="185"/>
      <c r="B99" s="186"/>
      <c r="C99" s="186"/>
      <c r="D99" s="186"/>
      <c r="E99" s="186"/>
      <c r="F99" s="185">
        <v>36</v>
      </c>
      <c r="G99" s="186">
        <v>11</v>
      </c>
      <c r="H99" s="186">
        <v>15</v>
      </c>
      <c r="I99" s="186">
        <v>28</v>
      </c>
      <c r="J99" s="186">
        <v>455</v>
      </c>
    </row>
    <row r="100" spans="1:10" x14ac:dyDescent="0.45">
      <c r="A100" s="185"/>
      <c r="B100" s="186"/>
      <c r="C100" s="186"/>
      <c r="D100" s="186"/>
      <c r="E100" s="186"/>
      <c r="F100" s="185">
        <v>35</v>
      </c>
      <c r="G100" s="186">
        <v>3</v>
      </c>
      <c r="H100" s="186">
        <v>5</v>
      </c>
      <c r="I100" s="186">
        <v>8</v>
      </c>
      <c r="J100" s="186">
        <v>463</v>
      </c>
    </row>
    <row r="101" spans="1:10" x14ac:dyDescent="0.45">
      <c r="A101" s="185"/>
      <c r="B101" s="186"/>
      <c r="C101" s="186"/>
      <c r="D101" s="186"/>
      <c r="E101" s="186"/>
      <c r="F101" s="185">
        <v>34</v>
      </c>
      <c r="G101" s="186">
        <v>1</v>
      </c>
      <c r="H101" s="186">
        <v>0</v>
      </c>
      <c r="I101" s="186">
        <v>1</v>
      </c>
      <c r="J101" s="186">
        <v>464</v>
      </c>
    </row>
    <row r="102" spans="1:10" x14ac:dyDescent="0.45">
      <c r="A102" s="185"/>
      <c r="B102" s="186"/>
      <c r="C102" s="186"/>
      <c r="D102" s="186"/>
      <c r="E102" s="186"/>
      <c r="F102" s="185">
        <v>33</v>
      </c>
      <c r="G102" s="186">
        <v>3</v>
      </c>
      <c r="H102" s="186">
        <v>3</v>
      </c>
      <c r="I102" s="186">
        <v>6</v>
      </c>
      <c r="J102" s="186">
        <v>470</v>
      </c>
    </row>
    <row r="103" spans="1:10" x14ac:dyDescent="0.45">
      <c r="A103" s="185"/>
      <c r="B103" s="186"/>
      <c r="C103" s="186"/>
      <c r="D103" s="186"/>
      <c r="E103" s="186"/>
      <c r="F103" s="185">
        <v>31</v>
      </c>
      <c r="G103" s="186">
        <v>3</v>
      </c>
      <c r="H103" s="186">
        <v>0</v>
      </c>
      <c r="I103" s="186">
        <v>3</v>
      </c>
      <c r="J103" s="186">
        <v>473</v>
      </c>
    </row>
    <row r="104" spans="1:10" x14ac:dyDescent="0.45">
      <c r="A104" s="185"/>
      <c r="B104" s="186"/>
      <c r="C104" s="186"/>
      <c r="D104" s="186"/>
      <c r="E104" s="186"/>
      <c r="F104" s="185">
        <v>30</v>
      </c>
      <c r="G104" s="186">
        <v>1</v>
      </c>
      <c r="H104" s="186">
        <v>1</v>
      </c>
      <c r="I104" s="186">
        <v>2</v>
      </c>
      <c r="J104" s="186">
        <v>475</v>
      </c>
    </row>
    <row r="105" spans="1:10" x14ac:dyDescent="0.45">
      <c r="A105" s="185"/>
      <c r="B105" s="186"/>
      <c r="C105" s="186"/>
      <c r="D105" s="186"/>
      <c r="E105" s="186"/>
      <c r="F105" s="185">
        <v>28</v>
      </c>
      <c r="G105" s="186">
        <v>1</v>
      </c>
      <c r="H105" s="186">
        <v>0</v>
      </c>
      <c r="I105" s="186">
        <v>1</v>
      </c>
      <c r="J105" s="186">
        <v>476</v>
      </c>
    </row>
    <row r="106" spans="1:10" x14ac:dyDescent="0.45">
      <c r="A106" s="6"/>
      <c r="B106" s="1"/>
      <c r="C106" s="1"/>
      <c r="D106" s="7"/>
      <c r="F106" s="6"/>
      <c r="G106" s="1"/>
      <c r="H106" s="1"/>
      <c r="I106" s="7"/>
    </row>
    <row r="107" spans="1:10" x14ac:dyDescent="0.45">
      <c r="A107" s="6"/>
      <c r="B107" s="1"/>
      <c r="C107" s="1"/>
      <c r="D107" s="7"/>
      <c r="F107" s="6"/>
      <c r="G107" s="1"/>
      <c r="H107" s="1"/>
      <c r="I107" s="7"/>
    </row>
    <row r="108" spans="1:10" x14ac:dyDescent="0.45">
      <c r="A108" s="6"/>
      <c r="B108" s="1"/>
      <c r="C108" s="1"/>
      <c r="D108" s="7"/>
      <c r="F108" s="6"/>
      <c r="G108" s="1"/>
      <c r="H108" s="1"/>
      <c r="I108" s="7"/>
    </row>
    <row r="109" spans="1:10" x14ac:dyDescent="0.45">
      <c r="A109" s="6"/>
      <c r="B109" s="1"/>
      <c r="C109" s="1"/>
      <c r="D109" s="7"/>
      <c r="F109" s="6"/>
      <c r="G109" s="1"/>
      <c r="H109" s="1"/>
      <c r="I109" s="7"/>
    </row>
    <row r="110" spans="1:10" x14ac:dyDescent="0.45">
      <c r="A110" s="6"/>
      <c r="B110" s="1"/>
      <c r="C110" s="1"/>
      <c r="D110" s="7"/>
      <c r="F110" s="6"/>
      <c r="G110" s="1"/>
      <c r="H110" s="1"/>
      <c r="I110" s="7"/>
    </row>
    <row r="111" spans="1:10" ht="17.5" thickBot="1" x14ac:dyDescent="0.5">
      <c r="A111" s="8"/>
      <c r="B111" s="14"/>
      <c r="C111" s="14"/>
      <c r="D111" s="2"/>
      <c r="F111" s="8"/>
      <c r="G111" s="14"/>
      <c r="H111" s="14"/>
      <c r="I111" s="2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6"/>
  <dimension ref="A1:Q110"/>
  <sheetViews>
    <sheetView zoomScaleNormal="10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3" width="13.75" customWidth="1"/>
    <col min="14" max="14" width="12.1640625" customWidth="1"/>
  </cols>
  <sheetData>
    <row r="1" spans="1:17" x14ac:dyDescent="0.45">
      <c r="A1" s="5" t="s">
        <v>87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기능'!D4</f>
        <v>49.14</v>
      </c>
      <c r="I3" s="21" t="s">
        <v>124</v>
      </c>
      <c r="J3" s="81">
        <f>'통계 및 응시자 수 입력 기능'!C4</f>
        <v>290062</v>
      </c>
      <c r="K3" s="31"/>
      <c r="L3" s="5"/>
    </row>
    <row r="4" spans="1:17" ht="25" customHeight="1" thickBot="1" x14ac:dyDescent="0.5">
      <c r="A4" s="5"/>
      <c r="B4" s="30"/>
      <c r="C4" s="82" t="s">
        <v>125</v>
      </c>
      <c r="D4" s="152" t="s">
        <v>128</v>
      </c>
      <c r="E4" s="153"/>
      <c r="F4" s="154"/>
      <c r="G4" s="83" t="s">
        <v>127</v>
      </c>
      <c r="H4" s="84" t="str">
        <f>'통계 및 응시자 수 입력 기능'!E4</f>
        <v>21.54</v>
      </c>
      <c r="I4" s="37"/>
      <c r="J4" s="38"/>
      <c r="K4" s="31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20"/>
      <c r="J5" s="20"/>
      <c r="K5" s="31"/>
      <c r="L5" s="5"/>
    </row>
    <row r="6" spans="1:17" ht="25" customHeight="1" thickBot="1" x14ac:dyDescent="0.5">
      <c r="A6" s="5"/>
      <c r="B6" s="30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1" t="s">
        <v>118</v>
      </c>
      <c r="I6" s="51" t="s">
        <v>119</v>
      </c>
      <c r="J6" s="52" t="s">
        <v>120</v>
      </c>
      <c r="K6" s="31"/>
      <c r="L6" s="3" t="s">
        <v>86</v>
      </c>
      <c r="M6" s="3"/>
      <c r="N6" s="4"/>
    </row>
    <row r="7" spans="1:17" ht="25" customHeight="1" x14ac:dyDescent="0.45">
      <c r="A7" s="5"/>
      <c r="B7" s="30"/>
      <c r="C7" s="53">
        <v>100</v>
      </c>
      <c r="D7" s="54">
        <f>ROUND(20*(C7-$H$3)/$H$4+100,0)</f>
        <v>147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99.97</v>
      </c>
      <c r="G7" s="56">
        <f>_xlfn.IFNA(VLOOKUP(D7,'인원 입력 기능(국수)'!$A$5:$D$103,4,FALSE),0)</f>
        <v>201</v>
      </c>
      <c r="H7" s="57">
        <f>G7/$J$3</f>
        <v>6.9295529921189266E-4</v>
      </c>
      <c r="I7" s="58">
        <f>G7</f>
        <v>201</v>
      </c>
      <c r="J7" s="59">
        <f>I7/$J$3</f>
        <v>6.9295529921189266E-4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기능'!C4</f>
        <v>133</v>
      </c>
    </row>
    <row r="8" spans="1:17" ht="25" customHeight="1" x14ac:dyDescent="0.45">
      <c r="A8" s="5"/>
      <c r="B8" s="30"/>
      <c r="C8" s="60">
        <v>99</v>
      </c>
      <c r="D8" s="61" t="s">
        <v>59</v>
      </c>
      <c r="E8" s="61"/>
      <c r="F8" s="62"/>
      <c r="G8" s="63"/>
      <c r="H8" s="64"/>
      <c r="I8" s="65"/>
      <c r="J8" s="66"/>
      <c r="K8" s="31"/>
      <c r="L8" s="20"/>
      <c r="N8" s="1"/>
      <c r="P8" s="1">
        <v>2</v>
      </c>
      <c r="Q8" s="1">
        <f>'표점등급&amp;절평인원 입력 기능'!C5</f>
        <v>126</v>
      </c>
    </row>
    <row r="9" spans="1:17" ht="25" customHeight="1" x14ac:dyDescent="0.45">
      <c r="A9" s="5"/>
      <c r="B9" s="30"/>
      <c r="C9" s="60">
        <v>98</v>
      </c>
      <c r="D9" s="54">
        <f>ROUND(20*(C9-$H$3)/$H$4+100,0)</f>
        <v>145</v>
      </c>
      <c r="E9" s="54">
        <f t="shared" si="0"/>
        <v>1</v>
      </c>
      <c r="F9" s="55">
        <f>IF(I8=0,ROUND(100*(1-(I7+I9)/2/$J$3),2),ROUND(100*(1-(I8+I9)/2/$J$3),2))</f>
        <v>99.89</v>
      </c>
      <c r="G9" s="56">
        <f>_xlfn.IFNA(VLOOKUP(D9,'인원 입력 기능(국수)'!$A$5:$D$103,4,FALSE),0)</f>
        <v>228</v>
      </c>
      <c r="H9" s="57">
        <f>G9/$J$3</f>
        <v>7.860388468672215E-4</v>
      </c>
      <c r="I9" s="67">
        <f>SUM($G$7:G9)</f>
        <v>429</v>
      </c>
      <c r="J9" s="59">
        <f>I9/$J$3</f>
        <v>1.4789941460791141E-3</v>
      </c>
      <c r="K9" s="31"/>
      <c r="L9" s="20" t="str">
        <f t="shared" ref="L9:L40" si="1">IF(ABS((C9-$H$3)/$H$4*20+100-D9)&gt;0.49, "경고", "")</f>
        <v/>
      </c>
      <c r="N9" s="1"/>
      <c r="P9" s="1">
        <v>3</v>
      </c>
      <c r="Q9" s="1">
        <f>'표점등급&amp;절평인원 입력 기능'!C6</f>
        <v>117</v>
      </c>
    </row>
    <row r="10" spans="1:17" ht="25" customHeight="1" x14ac:dyDescent="0.45">
      <c r="A10" s="5"/>
      <c r="B10" s="30"/>
      <c r="C10" s="60">
        <v>97</v>
      </c>
      <c r="D10" s="202">
        <f t="shared" ref="D10:D73" si="2">ROUND(20*(C10-$H$3)/$H$4+100,0)</f>
        <v>144</v>
      </c>
      <c r="E10" s="202">
        <f t="shared" si="0"/>
        <v>1</v>
      </c>
      <c r="F10" s="199">
        <f t="shared" ref="F10:F73" si="3">IF(I9=0,ROUND(100*(1-(I8+I10)/2/$J$3),2),ROUND(100*(1-(I9+I10)/2/$J$3),2))</f>
        <v>99.76</v>
      </c>
      <c r="G10" s="196">
        <f>IF(D10=D9,"",_xlfn.IFNA(VLOOKUP(D10,'인원 입력 기능(국수)'!$A$5:$D$103,4,FALSE),0))</f>
        <v>539</v>
      </c>
      <c r="H10" s="192">
        <f t="shared" ref="H10:H73" si="4">G10/$J$3</f>
        <v>1.858223414304528E-3</v>
      </c>
      <c r="I10" s="189">
        <f>SUM($G$7:G10)</f>
        <v>968</v>
      </c>
      <c r="J10" s="162">
        <f t="shared" ref="J10:J73" si="5">I10/$J$3</f>
        <v>3.3372175603836422E-3</v>
      </c>
      <c r="K10" s="31"/>
      <c r="L10" s="20" t="str">
        <f t="shared" si="1"/>
        <v/>
      </c>
      <c r="N10" s="1"/>
      <c r="P10" s="1">
        <v>4</v>
      </c>
      <c r="Q10" s="1">
        <f>'표점등급&amp;절평인원 입력 기능'!C7</f>
        <v>106</v>
      </c>
    </row>
    <row r="11" spans="1:17" ht="25" customHeight="1" x14ac:dyDescent="0.45">
      <c r="A11" s="5"/>
      <c r="B11" s="30"/>
      <c r="C11" s="60">
        <v>96</v>
      </c>
      <c r="D11" s="201"/>
      <c r="E11" s="201"/>
      <c r="F11" s="198"/>
      <c r="G11" s="195"/>
      <c r="H11" s="194"/>
      <c r="I11" s="191"/>
      <c r="J11" s="188"/>
      <c r="K11" s="31"/>
      <c r="L11" s="20" t="str">
        <f t="shared" si="1"/>
        <v>경고</v>
      </c>
      <c r="N11" s="1"/>
      <c r="P11" s="1">
        <v>5</v>
      </c>
      <c r="Q11" s="1">
        <f>'표점등급&amp;절평인원 입력 기능'!C8</f>
        <v>94</v>
      </c>
    </row>
    <row r="12" spans="1:17" ht="25" customHeight="1" x14ac:dyDescent="0.45">
      <c r="A12" s="5"/>
      <c r="B12" s="30"/>
      <c r="C12" s="60">
        <v>95</v>
      </c>
      <c r="D12" s="54">
        <f t="shared" si="2"/>
        <v>143</v>
      </c>
      <c r="E12" s="54">
        <f t="shared" si="0"/>
        <v>1</v>
      </c>
      <c r="F12" s="55">
        <f t="shared" si="3"/>
        <v>99.56</v>
      </c>
      <c r="G12" s="56">
        <f>IF(D12=D11,"",_xlfn.IFNA(VLOOKUP(D12,'인원 입력 기능(국수)'!$A$5:$D$103,4,FALSE),0))</f>
        <v>608</v>
      </c>
      <c r="H12" s="57">
        <f t="shared" si="4"/>
        <v>2.0961035916459239E-3</v>
      </c>
      <c r="I12" s="67">
        <f>SUM($G$7:G12)</f>
        <v>1576</v>
      </c>
      <c r="J12" s="59">
        <f t="shared" si="5"/>
        <v>5.4333211520295665E-3</v>
      </c>
      <c r="K12" s="31"/>
      <c r="L12" s="20" t="str">
        <f t="shared" si="1"/>
        <v/>
      </c>
      <c r="N12" s="1"/>
      <c r="P12" s="1">
        <v>6</v>
      </c>
      <c r="Q12" s="1">
        <f>'표점등급&amp;절평인원 입력 기능'!C9</f>
        <v>81</v>
      </c>
    </row>
    <row r="13" spans="1:17" ht="25" customHeight="1" x14ac:dyDescent="0.45">
      <c r="A13" s="5"/>
      <c r="B13" s="30"/>
      <c r="C13" s="60">
        <v>94</v>
      </c>
      <c r="D13" s="54">
        <f t="shared" si="2"/>
        <v>142</v>
      </c>
      <c r="E13" s="54">
        <f t="shared" si="0"/>
        <v>1</v>
      </c>
      <c r="F13" s="55">
        <f t="shared" si="3"/>
        <v>99.36</v>
      </c>
      <c r="G13" s="56">
        <f>IF(D13=D12,"",_xlfn.IFNA(VLOOKUP(D13,'인원 입력 기능(국수)'!$A$5:$D$103,4,FALSE),0))</f>
        <v>547</v>
      </c>
      <c r="H13" s="57">
        <f t="shared" si="4"/>
        <v>1.8858037247209216E-3</v>
      </c>
      <c r="I13" s="67">
        <f>SUM($G$7:G13)</f>
        <v>2123</v>
      </c>
      <c r="J13" s="59">
        <f t="shared" si="5"/>
        <v>7.319124876750488E-3</v>
      </c>
      <c r="K13" s="31"/>
      <c r="L13" s="20" t="str">
        <f t="shared" si="1"/>
        <v/>
      </c>
      <c r="N13" s="1"/>
      <c r="P13" s="1">
        <v>7</v>
      </c>
      <c r="Q13" s="1">
        <f>'표점등급&amp;절평인원 입력 기능'!C10</f>
        <v>73</v>
      </c>
    </row>
    <row r="14" spans="1:17" ht="25" customHeight="1" x14ac:dyDescent="0.45">
      <c r="A14" s="5"/>
      <c r="B14" s="30"/>
      <c r="C14" s="60">
        <v>93</v>
      </c>
      <c r="D14" s="54">
        <f t="shared" si="2"/>
        <v>141</v>
      </c>
      <c r="E14" s="54">
        <f t="shared" si="0"/>
        <v>1</v>
      </c>
      <c r="F14" s="55">
        <f t="shared" si="3"/>
        <v>99.16</v>
      </c>
      <c r="G14" s="56">
        <f>IF(D14=D13,"",_xlfn.IFNA(VLOOKUP(D14,'인원 입력 기능(국수)'!$A$5:$D$103,4,FALSE),0))</f>
        <v>614</v>
      </c>
      <c r="H14" s="57">
        <f t="shared" si="4"/>
        <v>2.1167888244582192E-3</v>
      </c>
      <c r="I14" s="67">
        <f>SUM($G$7:G14)</f>
        <v>2737</v>
      </c>
      <c r="J14" s="59">
        <f t="shared" si="5"/>
        <v>9.4359137012087063E-3</v>
      </c>
      <c r="K14" s="31"/>
      <c r="L14" s="20" t="str">
        <f t="shared" si="1"/>
        <v/>
      </c>
      <c r="N14" s="1"/>
      <c r="P14" s="1">
        <v>8</v>
      </c>
      <c r="Q14" s="1">
        <f>'표점등급&amp;절평인원 입력 기능'!C11</f>
        <v>69</v>
      </c>
    </row>
    <row r="15" spans="1:17" ht="25" customHeight="1" x14ac:dyDescent="0.45">
      <c r="A15" s="5"/>
      <c r="B15" s="30"/>
      <c r="C15" s="60">
        <v>92</v>
      </c>
      <c r="D15" s="54">
        <f t="shared" si="2"/>
        <v>140</v>
      </c>
      <c r="E15" s="54">
        <f t="shared" si="0"/>
        <v>1</v>
      </c>
      <c r="F15" s="55">
        <f t="shared" si="3"/>
        <v>98.88</v>
      </c>
      <c r="G15" s="56">
        <f>IF(D15=D14,"",_xlfn.IFNA(VLOOKUP(D15,'인원 입력 기능(국수)'!$A$5:$D$103,4,FALSE),0))</f>
        <v>1046</v>
      </c>
      <c r="H15" s="57">
        <f t="shared" si="4"/>
        <v>3.6061255869434812E-3</v>
      </c>
      <c r="I15" s="67">
        <f>SUM($G$7:G15)</f>
        <v>3783</v>
      </c>
      <c r="J15" s="59">
        <f t="shared" si="5"/>
        <v>1.3042039288152188E-2</v>
      </c>
      <c r="K15" s="31"/>
      <c r="L15" s="20" t="str">
        <f t="shared" si="1"/>
        <v/>
      </c>
      <c r="N15" s="1"/>
      <c r="P15" s="1">
        <v>9</v>
      </c>
      <c r="Q15" s="1"/>
    </row>
    <row r="16" spans="1:17" ht="25" customHeight="1" x14ac:dyDescent="0.45">
      <c r="A16" s="5"/>
      <c r="B16" s="30"/>
      <c r="C16" s="69">
        <v>91</v>
      </c>
      <c r="D16" s="54">
        <f t="shared" si="2"/>
        <v>139</v>
      </c>
      <c r="E16" s="68">
        <f t="shared" si="0"/>
        <v>1</v>
      </c>
      <c r="F16" s="55">
        <f t="shared" si="3"/>
        <v>98.56</v>
      </c>
      <c r="G16" s="56">
        <f>IF(D16=D15,"",_xlfn.IFNA(VLOOKUP(D16,'인원 입력 기능(국수)'!$A$5:$D$103,4,FALSE),0))</f>
        <v>790</v>
      </c>
      <c r="H16" s="57">
        <f t="shared" si="4"/>
        <v>2.7235556536188816E-3</v>
      </c>
      <c r="I16" s="70">
        <f>SUM($G$7:G16)</f>
        <v>4573</v>
      </c>
      <c r="J16" s="59">
        <f t="shared" si="5"/>
        <v>1.5765594941771068E-2</v>
      </c>
      <c r="K16" s="31"/>
      <c r="L16" s="20" t="str">
        <f t="shared" si="1"/>
        <v/>
      </c>
      <c r="N16" s="1"/>
    </row>
    <row r="17" spans="1:17" ht="25" customHeight="1" x14ac:dyDescent="0.45">
      <c r="A17" s="5"/>
      <c r="B17" s="30"/>
      <c r="C17" s="69">
        <v>90</v>
      </c>
      <c r="D17" s="54">
        <f t="shared" si="2"/>
        <v>138</v>
      </c>
      <c r="E17" s="68">
        <f t="shared" si="0"/>
        <v>1</v>
      </c>
      <c r="F17" s="55">
        <f t="shared" si="3"/>
        <v>98.21</v>
      </c>
      <c r="G17" s="56">
        <f>IF(D17=D16,"",_xlfn.IFNA(VLOOKUP(D17,'인원 입력 기능(국수)'!$A$5:$D$103,4,FALSE),0))</f>
        <v>1211</v>
      </c>
      <c r="H17" s="57">
        <f t="shared" si="4"/>
        <v>4.1749694892816019E-3</v>
      </c>
      <c r="I17" s="70">
        <f>SUM($G$7:G17)</f>
        <v>5784</v>
      </c>
      <c r="J17" s="59">
        <f t="shared" si="5"/>
        <v>1.994056443105267E-2</v>
      </c>
      <c r="K17" s="31"/>
      <c r="L17" s="20" t="str">
        <f t="shared" si="1"/>
        <v/>
      </c>
      <c r="N17" s="1"/>
      <c r="Q17" s="1">
        <f>Q7*H3*H4*J3*IFERROR(IF(J107=1, 1, 0), 0)</f>
        <v>40834132081.7976</v>
      </c>
    </row>
    <row r="18" spans="1:17" ht="25" customHeight="1" x14ac:dyDescent="0.45">
      <c r="A18" s="5"/>
      <c r="B18" s="30"/>
      <c r="C18" s="69">
        <v>89</v>
      </c>
      <c r="D18" s="54">
        <f t="shared" si="2"/>
        <v>137</v>
      </c>
      <c r="E18" s="68">
        <f t="shared" si="0"/>
        <v>1</v>
      </c>
      <c r="F18" s="55">
        <f t="shared" si="3"/>
        <v>97.79</v>
      </c>
      <c r="G18" s="56">
        <f>IF(D18=D17,"",_xlfn.IFNA(VLOOKUP(D18,'인원 입력 기능(국수)'!$A$5:$D$103,4,FALSE),0))</f>
        <v>1237</v>
      </c>
      <c r="H18" s="57">
        <f t="shared" si="4"/>
        <v>4.2646054981348817E-3</v>
      </c>
      <c r="I18" s="70">
        <f>SUM($G$7:G18)</f>
        <v>7021</v>
      </c>
      <c r="J18" s="59">
        <f t="shared" si="5"/>
        <v>2.4205169929187552E-2</v>
      </c>
      <c r="K18" s="31"/>
      <c r="L18" s="20" t="str">
        <f t="shared" si="1"/>
        <v/>
      </c>
      <c r="N18" s="1"/>
    </row>
    <row r="19" spans="1:17" ht="25" customHeight="1" x14ac:dyDescent="0.45">
      <c r="A19" s="5"/>
      <c r="B19" s="30"/>
      <c r="C19" s="69">
        <v>88</v>
      </c>
      <c r="D19" s="54">
        <f t="shared" si="2"/>
        <v>136</v>
      </c>
      <c r="E19" s="68">
        <f t="shared" si="0"/>
        <v>1</v>
      </c>
      <c r="F19" s="55">
        <f t="shared" si="3"/>
        <v>97.36</v>
      </c>
      <c r="G19" s="56">
        <f>IF(D19=D18,"",_xlfn.IFNA(VLOOKUP(D19,'인원 입력 기능(국수)'!$A$5:$D$103,4,FALSE),0))</f>
        <v>1284</v>
      </c>
      <c r="H19" s="57">
        <f t="shared" si="4"/>
        <v>4.4266398218311947E-3</v>
      </c>
      <c r="I19" s="70">
        <f>SUM($G$7:G19)</f>
        <v>8305</v>
      </c>
      <c r="J19" s="59">
        <f t="shared" si="5"/>
        <v>2.8631809751018748E-2</v>
      </c>
      <c r="K19" s="31"/>
      <c r="L19" s="20" t="str">
        <f t="shared" si="1"/>
        <v/>
      </c>
      <c r="N19" s="1"/>
    </row>
    <row r="20" spans="1:17" ht="25" customHeight="1" x14ac:dyDescent="0.45">
      <c r="A20" s="5"/>
      <c r="B20" s="30"/>
      <c r="C20" s="69">
        <v>87</v>
      </c>
      <c r="D20" s="54">
        <f t="shared" si="2"/>
        <v>135</v>
      </c>
      <c r="E20" s="68">
        <f t="shared" si="0"/>
        <v>1</v>
      </c>
      <c r="F20" s="55">
        <f t="shared" si="3"/>
        <v>96.87</v>
      </c>
      <c r="G20" s="56">
        <f>IF(D20=D19,"",_xlfn.IFNA(VLOOKUP(D20,'인원 입력 기능(국수)'!$A$5:$D$103,4,FALSE),0))</f>
        <v>1569</v>
      </c>
      <c r="H20" s="57">
        <f t="shared" si="4"/>
        <v>5.4091883804152216E-3</v>
      </c>
      <c r="I20" s="70">
        <f>SUM($G$7:G20)</f>
        <v>9874</v>
      </c>
      <c r="J20" s="59">
        <f t="shared" si="5"/>
        <v>3.4040998131433971E-2</v>
      </c>
      <c r="K20" s="31"/>
      <c r="L20" s="20" t="str">
        <f t="shared" si="1"/>
        <v/>
      </c>
      <c r="N20" s="1"/>
    </row>
    <row r="21" spans="1:17" ht="25" customHeight="1" x14ac:dyDescent="0.45">
      <c r="A21" s="5"/>
      <c r="B21" s="30"/>
      <c r="C21" s="69">
        <v>86</v>
      </c>
      <c r="D21" s="54">
        <f t="shared" si="2"/>
        <v>134</v>
      </c>
      <c r="E21" s="68">
        <f t="shared" si="0"/>
        <v>1</v>
      </c>
      <c r="F21" s="55">
        <f t="shared" si="3"/>
        <v>96.33</v>
      </c>
      <c r="G21" s="56">
        <f>IF(D21=D20,"",_xlfn.IFNA(VLOOKUP(D21,'인원 입력 기능(국수)'!$A$5:$D$103,4,FALSE),0))</f>
        <v>1560</v>
      </c>
      <c r="H21" s="57">
        <f t="shared" si="4"/>
        <v>5.3781605311967783E-3</v>
      </c>
      <c r="I21" s="70">
        <f>SUM($G$7:G21)</f>
        <v>11434</v>
      </c>
      <c r="J21" s="59">
        <f t="shared" si="5"/>
        <v>3.9419158662630745E-2</v>
      </c>
      <c r="K21" s="31"/>
      <c r="L21" s="20" t="str">
        <f t="shared" si="1"/>
        <v/>
      </c>
      <c r="N21" s="1"/>
    </row>
    <row r="22" spans="1:17" ht="25" customHeight="1" x14ac:dyDescent="0.45">
      <c r="A22" s="5"/>
      <c r="B22" s="30"/>
      <c r="C22" s="69">
        <v>85</v>
      </c>
      <c r="D22" s="54">
        <f t="shared" si="2"/>
        <v>133</v>
      </c>
      <c r="E22" s="68">
        <f t="shared" si="0"/>
        <v>1</v>
      </c>
      <c r="F22" s="55">
        <f t="shared" si="3"/>
        <v>95.73</v>
      </c>
      <c r="G22" s="56">
        <f>IF(D22=D21,"",_xlfn.IFNA(VLOOKUP(D22,'인원 입력 기능(국수)'!$A$5:$D$103,4,FALSE),0))</f>
        <v>1914</v>
      </c>
      <c r="H22" s="57">
        <f t="shared" si="4"/>
        <v>6.5985892671222013E-3</v>
      </c>
      <c r="I22" s="70">
        <f>SUM($G$7:G22)</f>
        <v>13348</v>
      </c>
      <c r="J22" s="59">
        <f t="shared" si="5"/>
        <v>4.6017747929752946E-2</v>
      </c>
      <c r="K22" s="31"/>
      <c r="L22" s="20" t="str">
        <f t="shared" si="1"/>
        <v/>
      </c>
      <c r="N22" s="1"/>
    </row>
    <row r="23" spans="1:17" ht="25" customHeight="1" x14ac:dyDescent="0.45">
      <c r="A23" s="5"/>
      <c r="B23" s="30"/>
      <c r="C23" s="69">
        <v>84</v>
      </c>
      <c r="D23" s="54">
        <f t="shared" si="2"/>
        <v>132</v>
      </c>
      <c r="E23" s="68">
        <f t="shared" si="0"/>
        <v>2</v>
      </c>
      <c r="F23" s="55">
        <f t="shared" si="3"/>
        <v>95.06</v>
      </c>
      <c r="G23" s="56">
        <f>IF(D23=D22,"",_xlfn.IFNA(VLOOKUP(D23,'인원 입력 기능(국수)'!$A$5:$D$103,4,FALSE),0))</f>
        <v>1989</v>
      </c>
      <c r="H23" s="57">
        <f t="shared" si="4"/>
        <v>6.8571546772758923E-3</v>
      </c>
      <c r="I23" s="70">
        <f>SUM($G$7:G23)</f>
        <v>15337</v>
      </c>
      <c r="J23" s="59">
        <f t="shared" si="5"/>
        <v>5.2874902607028845E-2</v>
      </c>
      <c r="K23" s="31"/>
      <c r="L23" s="20" t="str">
        <f t="shared" si="1"/>
        <v/>
      </c>
      <c r="N23" s="1"/>
    </row>
    <row r="24" spans="1:17" ht="25" customHeight="1" x14ac:dyDescent="0.45">
      <c r="A24" s="5"/>
      <c r="B24" s="30"/>
      <c r="C24" s="69">
        <v>83</v>
      </c>
      <c r="D24" s="202">
        <f t="shared" si="2"/>
        <v>131</v>
      </c>
      <c r="E24" s="212">
        <f t="shared" si="0"/>
        <v>2</v>
      </c>
      <c r="F24" s="199">
        <f t="shared" si="3"/>
        <v>93.96</v>
      </c>
      <c r="G24" s="196">
        <f>IF(D24=D23,"",_xlfn.IFNA(VLOOKUP(D24,'인원 입력 기능(국수)'!$A$5:$D$103,4,FALSE),0))</f>
        <v>4394</v>
      </c>
      <c r="H24" s="192">
        <f t="shared" si="4"/>
        <v>1.514848549620426E-2</v>
      </c>
      <c r="I24" s="213">
        <f>SUM($G$7:G24)</f>
        <v>19731</v>
      </c>
      <c r="J24" s="162">
        <f t="shared" si="5"/>
        <v>6.8023388103233107E-2</v>
      </c>
      <c r="K24" s="31"/>
      <c r="L24" s="20" t="str">
        <f t="shared" si="1"/>
        <v/>
      </c>
      <c r="N24" s="1"/>
    </row>
    <row r="25" spans="1:17" ht="25" customHeight="1" x14ac:dyDescent="0.45">
      <c r="A25" s="5"/>
      <c r="B25" s="30"/>
      <c r="C25" s="69">
        <v>82</v>
      </c>
      <c r="D25" s="201"/>
      <c r="E25" s="211"/>
      <c r="F25" s="198"/>
      <c r="G25" s="195"/>
      <c r="H25" s="194"/>
      <c r="I25" s="214"/>
      <c r="J25" s="188"/>
      <c r="K25" s="31"/>
      <c r="L25" s="20" t="str">
        <f t="shared" si="1"/>
        <v>경고</v>
      </c>
      <c r="N25" s="1"/>
    </row>
    <row r="26" spans="1:17" ht="25" customHeight="1" x14ac:dyDescent="0.45">
      <c r="A26" s="5"/>
      <c r="B26" s="30"/>
      <c r="C26" s="69">
        <v>81</v>
      </c>
      <c r="D26" s="54">
        <f t="shared" si="2"/>
        <v>130</v>
      </c>
      <c r="E26" s="68">
        <f t="shared" si="0"/>
        <v>2</v>
      </c>
      <c r="F26" s="55">
        <f t="shared" si="3"/>
        <v>92.78</v>
      </c>
      <c r="G26" s="56">
        <f>IF(D26=D25,"",_xlfn.IFNA(VLOOKUP(D26,'인원 입력 기능(국수)'!$A$5:$D$103,4,FALSE),0))</f>
        <v>2433</v>
      </c>
      <c r="H26" s="57">
        <f t="shared" si="4"/>
        <v>8.3878619053857455E-3</v>
      </c>
      <c r="I26" s="70">
        <f>SUM($G$7:G26)</f>
        <v>22164</v>
      </c>
      <c r="J26" s="59">
        <f t="shared" si="5"/>
        <v>7.6411250008618842E-2</v>
      </c>
      <c r="K26" s="31"/>
      <c r="L26" s="20" t="str">
        <f t="shared" si="1"/>
        <v/>
      </c>
      <c r="N26" s="1"/>
    </row>
    <row r="27" spans="1:17" ht="25" customHeight="1" x14ac:dyDescent="0.45">
      <c r="A27" s="5"/>
      <c r="B27" s="30"/>
      <c r="C27" s="69">
        <v>80</v>
      </c>
      <c r="D27" s="54">
        <f t="shared" si="2"/>
        <v>129</v>
      </c>
      <c r="E27" s="68">
        <f t="shared" si="0"/>
        <v>2</v>
      </c>
      <c r="F27" s="55">
        <f t="shared" si="3"/>
        <v>91.91</v>
      </c>
      <c r="G27" s="56">
        <f>IF(D27=D26,"",_xlfn.IFNA(VLOOKUP(D27,'인원 입력 기능(국수)'!$A$5:$D$103,4,FALSE),0))</f>
        <v>2590</v>
      </c>
      <c r="H27" s="57">
        <f t="shared" si="4"/>
        <v>8.9291254973074725E-3</v>
      </c>
      <c r="I27" s="70">
        <f>SUM($G$7:G27)</f>
        <v>24754</v>
      </c>
      <c r="J27" s="59">
        <f t="shared" si="5"/>
        <v>8.5340375505926325E-2</v>
      </c>
      <c r="K27" s="31"/>
      <c r="L27" s="20" t="str">
        <f t="shared" si="1"/>
        <v/>
      </c>
      <c r="N27" s="1"/>
    </row>
    <row r="28" spans="1:17" ht="25" customHeight="1" x14ac:dyDescent="0.45">
      <c r="A28" s="5"/>
      <c r="B28" s="30"/>
      <c r="C28" s="69">
        <v>79</v>
      </c>
      <c r="D28" s="54">
        <f t="shared" si="2"/>
        <v>128</v>
      </c>
      <c r="E28" s="68">
        <f t="shared" si="0"/>
        <v>2</v>
      </c>
      <c r="F28" s="55">
        <f t="shared" si="3"/>
        <v>90.99</v>
      </c>
      <c r="G28" s="56">
        <f>IF(D28=D27,"",_xlfn.IFNA(VLOOKUP(D28,'인원 입력 기능(국수)'!$A$5:$D$103,4,FALSE),0))</f>
        <v>2770</v>
      </c>
      <c r="H28" s="57">
        <f t="shared" si="4"/>
        <v>9.5496824816763311E-3</v>
      </c>
      <c r="I28" s="70">
        <f>SUM($G$7:G28)</f>
        <v>27524</v>
      </c>
      <c r="J28" s="59">
        <f t="shared" si="5"/>
        <v>9.4890057987602652E-2</v>
      </c>
      <c r="K28" s="31"/>
      <c r="L28" s="20" t="str">
        <f t="shared" si="1"/>
        <v/>
      </c>
      <c r="N28" s="1"/>
    </row>
    <row r="29" spans="1:17" ht="25" customHeight="1" x14ac:dyDescent="0.45">
      <c r="A29" s="5"/>
      <c r="B29" s="30"/>
      <c r="C29" s="69">
        <v>78</v>
      </c>
      <c r="D29" s="54">
        <f t="shared" si="2"/>
        <v>127</v>
      </c>
      <c r="E29" s="68">
        <f t="shared" si="0"/>
        <v>2</v>
      </c>
      <c r="F29" s="55">
        <f t="shared" si="3"/>
        <v>90.02</v>
      </c>
      <c r="G29" s="56">
        <f>IF(D29=D28,"",_xlfn.IFNA(VLOOKUP(D29,'인원 입력 기능(국수)'!$A$5:$D$103,4,FALSE),0))</f>
        <v>2828</v>
      </c>
      <c r="H29" s="57">
        <f t="shared" si="4"/>
        <v>9.7496397321951856E-3</v>
      </c>
      <c r="I29" s="70">
        <f>SUM($G$7:G29)</f>
        <v>30352</v>
      </c>
      <c r="J29" s="59">
        <f t="shared" si="5"/>
        <v>0.10463969771979784</v>
      </c>
      <c r="K29" s="31"/>
      <c r="L29" s="20" t="str">
        <f t="shared" si="1"/>
        <v/>
      </c>
      <c r="N29" s="1"/>
    </row>
    <row r="30" spans="1:17" ht="25" customHeight="1" x14ac:dyDescent="0.45">
      <c r="A30" s="5"/>
      <c r="B30" s="30"/>
      <c r="C30" s="69">
        <v>77</v>
      </c>
      <c r="D30" s="54">
        <f t="shared" si="2"/>
        <v>126</v>
      </c>
      <c r="E30" s="68">
        <f t="shared" si="0"/>
        <v>2</v>
      </c>
      <c r="F30" s="55">
        <f t="shared" si="3"/>
        <v>89.03</v>
      </c>
      <c r="G30" s="56">
        <f>IF(D30=D29,"",_xlfn.IFNA(VLOOKUP(D30,'인원 입력 기능(국수)'!$A$5:$D$103,4,FALSE),0))</f>
        <v>2935</v>
      </c>
      <c r="H30" s="57">
        <f t="shared" si="4"/>
        <v>1.0118526384014451E-2</v>
      </c>
      <c r="I30" s="70">
        <f>SUM($G$7:G30)</f>
        <v>33287</v>
      </c>
      <c r="J30" s="59">
        <f t="shared" si="5"/>
        <v>0.11475822410381228</v>
      </c>
      <c r="K30" s="31"/>
      <c r="L30" s="20" t="str">
        <f t="shared" si="1"/>
        <v/>
      </c>
      <c r="N30" s="1"/>
    </row>
    <row r="31" spans="1:17" ht="25" customHeight="1" x14ac:dyDescent="0.45">
      <c r="A31" s="5"/>
      <c r="B31" s="30"/>
      <c r="C31" s="69">
        <v>76</v>
      </c>
      <c r="D31" s="54">
        <f t="shared" si="2"/>
        <v>125</v>
      </c>
      <c r="E31" s="68">
        <f t="shared" si="0"/>
        <v>3</v>
      </c>
      <c r="F31" s="55">
        <f t="shared" si="3"/>
        <v>87.99</v>
      </c>
      <c r="G31" s="56">
        <f>IF(D31=D30,"",_xlfn.IFNA(VLOOKUP(D31,'인원 입력 기능(국수)'!$A$5:$D$103,4,FALSE),0))</f>
        <v>3087</v>
      </c>
      <c r="H31" s="57">
        <f t="shared" si="4"/>
        <v>1.0642552281925934E-2</v>
      </c>
      <c r="I31" s="70">
        <f>SUM($G$7:G31)</f>
        <v>36374</v>
      </c>
      <c r="J31" s="59">
        <f t="shared" si="5"/>
        <v>0.12540077638573821</v>
      </c>
      <c r="K31" s="31"/>
      <c r="L31" s="20" t="str">
        <f t="shared" si="1"/>
        <v/>
      </c>
      <c r="N31" s="1"/>
    </row>
    <row r="32" spans="1:17" ht="25" customHeight="1" x14ac:dyDescent="0.45">
      <c r="A32" s="5"/>
      <c r="B32" s="30"/>
      <c r="C32" s="69">
        <v>75</v>
      </c>
      <c r="D32" s="54">
        <f t="shared" si="2"/>
        <v>124</v>
      </c>
      <c r="E32" s="68">
        <f t="shared" si="0"/>
        <v>3</v>
      </c>
      <c r="F32" s="55">
        <f t="shared" si="3"/>
        <v>86.91</v>
      </c>
      <c r="G32" s="56">
        <f>IF(D32=D31,"",_xlfn.IFNA(VLOOKUP(D32,'인원 입력 기능(국수)'!$A$5:$D$103,4,FALSE),0))</f>
        <v>3180</v>
      </c>
      <c r="H32" s="57">
        <f t="shared" si="4"/>
        <v>1.0963173390516509E-2</v>
      </c>
      <c r="I32" s="70">
        <f>SUM($G$7:G32)</f>
        <v>39554</v>
      </c>
      <c r="J32" s="59">
        <f t="shared" si="5"/>
        <v>0.13636394977625474</v>
      </c>
      <c r="K32" s="31"/>
      <c r="L32" s="20" t="str">
        <f t="shared" si="1"/>
        <v/>
      </c>
      <c r="N32" s="1"/>
    </row>
    <row r="33" spans="1:14" ht="25" customHeight="1" x14ac:dyDescent="0.45">
      <c r="A33" s="5"/>
      <c r="B33" s="30"/>
      <c r="C33" s="69">
        <v>74</v>
      </c>
      <c r="D33" s="54">
        <f t="shared" si="2"/>
        <v>123</v>
      </c>
      <c r="E33" s="68">
        <f t="shared" si="0"/>
        <v>3</v>
      </c>
      <c r="F33" s="55">
        <f t="shared" si="3"/>
        <v>85.79</v>
      </c>
      <c r="G33" s="56">
        <f>IF(D33=D32,"",_xlfn.IFNA(VLOOKUP(D33,'인원 입력 기능(국수)'!$A$5:$D$103,4,FALSE),0))</f>
        <v>3300</v>
      </c>
      <c r="H33" s="57">
        <f t="shared" si="4"/>
        <v>1.1376878046762417E-2</v>
      </c>
      <c r="I33" s="70">
        <f>SUM($G$7:G33)</f>
        <v>42854</v>
      </c>
      <c r="J33" s="59">
        <f t="shared" si="5"/>
        <v>0.14774082782301715</v>
      </c>
      <c r="K33" s="31"/>
      <c r="L33" s="20" t="str">
        <f t="shared" si="1"/>
        <v/>
      </c>
      <c r="N33" s="1"/>
    </row>
    <row r="34" spans="1:14" ht="25" customHeight="1" x14ac:dyDescent="0.45">
      <c r="A34" s="5"/>
      <c r="B34" s="30"/>
      <c r="C34" s="69">
        <v>73</v>
      </c>
      <c r="D34" s="54">
        <f t="shared" si="2"/>
        <v>122</v>
      </c>
      <c r="E34" s="68">
        <f t="shared" si="0"/>
        <v>3</v>
      </c>
      <c r="F34" s="55">
        <f t="shared" si="3"/>
        <v>84.61</v>
      </c>
      <c r="G34" s="56">
        <f>IF(D34=D33,"",_xlfn.IFNA(VLOOKUP(D34,'인원 입력 기능(국수)'!$A$5:$D$103,4,FALSE),0))</f>
        <v>3590</v>
      </c>
      <c r="H34" s="57">
        <f t="shared" si="4"/>
        <v>1.237666429935669E-2</v>
      </c>
      <c r="I34" s="70">
        <f>SUM($G$7:G34)</f>
        <v>46444</v>
      </c>
      <c r="J34" s="59">
        <f t="shared" si="5"/>
        <v>0.16011749212237383</v>
      </c>
      <c r="K34" s="31"/>
      <c r="L34" s="20" t="str">
        <f t="shared" si="1"/>
        <v/>
      </c>
      <c r="N34" s="1"/>
    </row>
    <row r="35" spans="1:14" ht="25" customHeight="1" x14ac:dyDescent="0.45">
      <c r="A35" s="5"/>
      <c r="B35" s="30"/>
      <c r="C35" s="69">
        <v>72</v>
      </c>
      <c r="D35" s="54">
        <f t="shared" si="2"/>
        <v>121</v>
      </c>
      <c r="E35" s="68">
        <f t="shared" si="0"/>
        <v>3</v>
      </c>
      <c r="F35" s="55">
        <f t="shared" si="3"/>
        <v>83.38</v>
      </c>
      <c r="G35" s="56">
        <f>IF(D35=D34,"",_xlfn.IFNA(VLOOKUP(D35,'인원 입력 기능(국수)'!$A$5:$D$103,4,FALSE),0))</f>
        <v>3543</v>
      </c>
      <c r="H35" s="57">
        <f t="shared" si="4"/>
        <v>1.2214629975660377E-2</v>
      </c>
      <c r="I35" s="70">
        <f>SUM($G$7:G35)</f>
        <v>49987</v>
      </c>
      <c r="J35" s="59">
        <f t="shared" si="5"/>
        <v>0.17233212209803422</v>
      </c>
      <c r="K35" s="31"/>
      <c r="L35" s="20" t="str">
        <f t="shared" si="1"/>
        <v/>
      </c>
      <c r="N35" s="1"/>
    </row>
    <row r="36" spans="1:14" ht="25" customHeight="1" x14ac:dyDescent="0.45">
      <c r="A36" s="5"/>
      <c r="B36" s="30"/>
      <c r="C36" s="69">
        <v>71</v>
      </c>
      <c r="D36" s="54">
        <f t="shared" si="2"/>
        <v>120</v>
      </c>
      <c r="E36" s="68">
        <f t="shared" si="0"/>
        <v>3</v>
      </c>
      <c r="F36" s="55">
        <f t="shared" si="3"/>
        <v>82.12</v>
      </c>
      <c r="G36" s="56">
        <f>IF(D36=D35,"",_xlfn.IFNA(VLOOKUP(D36,'인원 입력 기능(국수)'!$A$5:$D$103,4,FALSE),0))</f>
        <v>3724</v>
      </c>
      <c r="H36" s="57">
        <f t="shared" si="4"/>
        <v>1.2838634498831285E-2</v>
      </c>
      <c r="I36" s="70">
        <f>SUM($G$7:G36)</f>
        <v>53711</v>
      </c>
      <c r="J36" s="59">
        <f t="shared" si="5"/>
        <v>0.18517075659686549</v>
      </c>
      <c r="K36" s="31"/>
      <c r="L36" s="20" t="str">
        <f t="shared" si="1"/>
        <v/>
      </c>
      <c r="N36" s="1"/>
    </row>
    <row r="37" spans="1:14" ht="25" customHeight="1" x14ac:dyDescent="0.45">
      <c r="A37" s="5"/>
      <c r="B37" s="30"/>
      <c r="C37" s="69">
        <v>70</v>
      </c>
      <c r="D37" s="54">
        <f t="shared" si="2"/>
        <v>119</v>
      </c>
      <c r="E37" s="68">
        <f t="shared" si="0"/>
        <v>3</v>
      </c>
      <c r="F37" s="55">
        <f t="shared" si="3"/>
        <v>80.8</v>
      </c>
      <c r="G37" s="56">
        <f>IF(D37=D36,"",_xlfn.IFNA(VLOOKUP(D37,'인원 입력 기능(국수)'!$A$5:$D$103,4,FALSE),0))</f>
        <v>3959</v>
      </c>
      <c r="H37" s="57">
        <f t="shared" si="4"/>
        <v>1.364880611731285E-2</v>
      </c>
      <c r="I37" s="70">
        <f>SUM($G$7:G37)</f>
        <v>57670</v>
      </c>
      <c r="J37" s="59">
        <f t="shared" si="5"/>
        <v>0.19881956271417836</v>
      </c>
      <c r="K37" s="31"/>
      <c r="L37" s="20" t="str">
        <f t="shared" si="1"/>
        <v/>
      </c>
      <c r="N37" s="1"/>
    </row>
    <row r="38" spans="1:14" ht="25" customHeight="1" x14ac:dyDescent="0.45">
      <c r="A38" s="5"/>
      <c r="B38" s="30"/>
      <c r="C38" s="69">
        <v>69</v>
      </c>
      <c r="D38" s="202">
        <f t="shared" si="2"/>
        <v>118</v>
      </c>
      <c r="E38" s="212">
        <f t="shared" si="0"/>
        <v>3</v>
      </c>
      <c r="F38" s="199">
        <f t="shared" si="3"/>
        <v>78.75</v>
      </c>
      <c r="G38" s="196">
        <f>IF(D38=D37,"",_xlfn.IFNA(VLOOKUP(D38,'인원 입력 기능(국수)'!$A$5:$D$103,4,FALSE),0))</f>
        <v>7920</v>
      </c>
      <c r="H38" s="192">
        <f t="shared" si="4"/>
        <v>2.73045073122298E-2</v>
      </c>
      <c r="I38" s="213">
        <f>SUM($G$7:G38)</f>
        <v>65590</v>
      </c>
      <c r="J38" s="162">
        <f t="shared" si="5"/>
        <v>0.22612407002640814</v>
      </c>
      <c r="K38" s="31"/>
      <c r="L38" s="20" t="str">
        <f t="shared" si="1"/>
        <v/>
      </c>
      <c r="N38" s="1"/>
    </row>
    <row r="39" spans="1:14" ht="25" customHeight="1" x14ac:dyDescent="0.45">
      <c r="A39" s="5"/>
      <c r="B39" s="30"/>
      <c r="C39" s="69">
        <v>68</v>
      </c>
      <c r="D39" s="201"/>
      <c r="E39" s="211"/>
      <c r="F39" s="198"/>
      <c r="G39" s="195"/>
      <c r="H39" s="194"/>
      <c r="I39" s="214"/>
      <c r="J39" s="188"/>
      <c r="K39" s="31"/>
      <c r="L39" s="20" t="str">
        <f t="shared" si="1"/>
        <v>경고</v>
      </c>
      <c r="N39" s="1"/>
    </row>
    <row r="40" spans="1:14" ht="25" customHeight="1" x14ac:dyDescent="0.45">
      <c r="A40" s="5"/>
      <c r="B40" s="30"/>
      <c r="C40" s="69">
        <v>67</v>
      </c>
      <c r="D40" s="54">
        <f t="shared" si="2"/>
        <v>117</v>
      </c>
      <c r="E40" s="68">
        <f t="shared" ref="E39:E70" si="6">IF(ROUND(D40,0)&gt;=$Q$7,1,IF(ROUND(D40,0)&gt;=$Q$8,2,IF(ROUND(D40,0)&gt;=$Q$9,3,IF(ROUND(D40,0)&gt;=$Q$10,4,IF(ROUND(D40,0)&gt;=$Q$11,5,IF(ROUND(D40,0)&gt;=$Q$12,6,IF(ROUND(D40,0)&gt;=$Q$13,7,IF(ROUND(D40,0)&gt;=$Q$14,8,9))))))))</f>
        <v>3</v>
      </c>
      <c r="F40" s="55">
        <f t="shared" si="3"/>
        <v>76.66</v>
      </c>
      <c r="G40" s="56">
        <f>IF(D40=D39,"",_xlfn.IFNA(VLOOKUP(D40,'인원 입력 기능(국수)'!$A$5:$D$103,4,FALSE),0))</f>
        <v>4196</v>
      </c>
      <c r="H40" s="57">
        <f t="shared" si="4"/>
        <v>1.4465872813398515E-2</v>
      </c>
      <c r="I40" s="70">
        <f>SUM($G$7:G40)</f>
        <v>69786</v>
      </c>
      <c r="J40" s="59">
        <f t="shared" si="5"/>
        <v>0.24058994283980667</v>
      </c>
      <c r="K40" s="31"/>
      <c r="L40" s="20" t="str">
        <f t="shared" si="1"/>
        <v/>
      </c>
      <c r="N40" s="1"/>
    </row>
    <row r="41" spans="1:14" ht="25" customHeight="1" x14ac:dyDescent="0.45">
      <c r="A41" s="5"/>
      <c r="B41" s="30"/>
      <c r="C41" s="69">
        <v>66</v>
      </c>
      <c r="D41" s="54">
        <f t="shared" si="2"/>
        <v>116</v>
      </c>
      <c r="E41" s="68">
        <f t="shared" si="6"/>
        <v>4</v>
      </c>
      <c r="F41" s="55">
        <f t="shared" si="3"/>
        <v>75.209999999999994</v>
      </c>
      <c r="G41" s="56">
        <f>IF(D41=D40,"",_xlfn.IFNA(VLOOKUP(D41,'인원 입력 기능(국수)'!$A$5:$D$103,4,FALSE),0))</f>
        <v>4263</v>
      </c>
      <c r="H41" s="57">
        <f t="shared" si="4"/>
        <v>1.4696857913135812E-2</v>
      </c>
      <c r="I41" s="70">
        <f>SUM($G$7:G41)</f>
        <v>74049</v>
      </c>
      <c r="J41" s="59">
        <f t="shared" si="5"/>
        <v>0.25528680075294247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69">
        <v>65</v>
      </c>
      <c r="D42" s="54">
        <f t="shared" si="2"/>
        <v>115</v>
      </c>
      <c r="E42" s="68">
        <f t="shared" si="6"/>
        <v>4</v>
      </c>
      <c r="F42" s="55">
        <f t="shared" si="3"/>
        <v>73.739999999999995</v>
      </c>
      <c r="G42" s="56">
        <f>IF(D42=D41,"",_xlfn.IFNA(VLOOKUP(D42,'인원 입력 기능(국수)'!$A$5:$D$103,4,FALSE),0))</f>
        <v>4243</v>
      </c>
      <c r="H42" s="57">
        <f t="shared" si="4"/>
        <v>1.4627907137094828E-2</v>
      </c>
      <c r="I42" s="70">
        <f>SUM($G$7:G42)</f>
        <v>78292</v>
      </c>
      <c r="J42" s="59">
        <f t="shared" si="5"/>
        <v>0.2699147078900373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69">
        <v>64</v>
      </c>
      <c r="D43" s="54">
        <f t="shared" si="2"/>
        <v>114</v>
      </c>
      <c r="E43" s="68">
        <f t="shared" si="6"/>
        <v>4</v>
      </c>
      <c r="F43" s="55">
        <f t="shared" si="3"/>
        <v>72.260000000000005</v>
      </c>
      <c r="G43" s="56">
        <f>IF(D43=D42,"",_xlfn.IFNA(VLOOKUP(D43,'인원 입력 기능(국수)'!$A$5:$D$103,4,FALSE),0))</f>
        <v>4363</v>
      </c>
      <c r="H43" s="57">
        <f t="shared" si="4"/>
        <v>1.5041611793340733E-2</v>
      </c>
      <c r="I43" s="70">
        <f>SUM($G$7:G43)</f>
        <v>82655</v>
      </c>
      <c r="J43" s="59">
        <f t="shared" si="5"/>
        <v>0.28495631968337803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69">
        <v>63</v>
      </c>
      <c r="D44" s="54">
        <f t="shared" si="2"/>
        <v>113</v>
      </c>
      <c r="E44" s="68">
        <f t="shared" si="6"/>
        <v>4</v>
      </c>
      <c r="F44" s="55">
        <f t="shared" si="3"/>
        <v>70.75</v>
      </c>
      <c r="G44" s="56">
        <f>IF(D44=D43,"",_xlfn.IFNA(VLOOKUP(D44,'인원 입력 기능(국수)'!$A$5:$D$103,4,FALSE),0))</f>
        <v>4396</v>
      </c>
      <c r="H44" s="57">
        <f t="shared" si="4"/>
        <v>1.5155380573808358E-2</v>
      </c>
      <c r="I44" s="70">
        <f>SUM($G$7:G44)</f>
        <v>87051</v>
      </c>
      <c r="J44" s="59">
        <f t="shared" si="5"/>
        <v>0.30011170025718642</v>
      </c>
      <c r="K44" s="31"/>
      <c r="L44" s="20" t="str">
        <f t="shared" si="7"/>
        <v/>
      </c>
      <c r="N44" s="1"/>
    </row>
    <row r="45" spans="1:14" ht="25" customHeight="1" x14ac:dyDescent="0.45">
      <c r="A45" s="5"/>
      <c r="B45" s="30"/>
      <c r="C45" s="69">
        <v>62</v>
      </c>
      <c r="D45" s="54">
        <f t="shared" si="2"/>
        <v>112</v>
      </c>
      <c r="E45" s="68">
        <f t="shared" si="6"/>
        <v>4</v>
      </c>
      <c r="F45" s="55">
        <f t="shared" si="3"/>
        <v>69.19</v>
      </c>
      <c r="G45" s="56">
        <f>IF(D45=D44,"",_xlfn.IFNA(VLOOKUP(D45,'인원 입력 기능(국수)'!$A$5:$D$103,4,FALSE),0))</f>
        <v>4661</v>
      </c>
      <c r="H45" s="57">
        <f t="shared" si="4"/>
        <v>1.6068978356351401E-2</v>
      </c>
      <c r="I45" s="70">
        <f>SUM($G$7:G45)</f>
        <v>91712</v>
      </c>
      <c r="J45" s="59">
        <f t="shared" si="5"/>
        <v>0.31618067861353777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69">
        <v>61</v>
      </c>
      <c r="D46" s="54">
        <f t="shared" si="2"/>
        <v>111</v>
      </c>
      <c r="E46" s="68">
        <f t="shared" si="6"/>
        <v>4</v>
      </c>
      <c r="F46" s="55">
        <f t="shared" si="3"/>
        <v>67.59</v>
      </c>
      <c r="G46" s="56">
        <f>IF(D46=D45,"",_xlfn.IFNA(VLOOKUP(D46,'인원 입력 기능(국수)'!$A$5:$D$103,4,FALSE),0))</f>
        <v>4607</v>
      </c>
      <c r="H46" s="57">
        <f t="shared" si="4"/>
        <v>1.5882811261040745E-2</v>
      </c>
      <c r="I46" s="70">
        <f>SUM($G$7:G46)</f>
        <v>96319</v>
      </c>
      <c r="J46" s="59">
        <f t="shared" si="5"/>
        <v>0.33206348987457857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69">
        <v>60</v>
      </c>
      <c r="D47" s="54">
        <f t="shared" si="2"/>
        <v>110</v>
      </c>
      <c r="E47" s="68">
        <f t="shared" si="6"/>
        <v>4</v>
      </c>
      <c r="F47" s="55">
        <f t="shared" si="3"/>
        <v>66</v>
      </c>
      <c r="G47" s="56">
        <f>IF(D47=D46,"",_xlfn.IFNA(VLOOKUP(D47,'인원 입력 기능(국수)'!$A$5:$D$103,4,FALSE),0))</f>
        <v>4605</v>
      </c>
      <c r="H47" s="57">
        <f t="shared" si="4"/>
        <v>1.5875916183436645E-2</v>
      </c>
      <c r="I47" s="70">
        <f>SUM($G$7:G47)</f>
        <v>100924</v>
      </c>
      <c r="J47" s="59">
        <f t="shared" si="5"/>
        <v>0.34793940605801521</v>
      </c>
      <c r="K47" s="31"/>
      <c r="L47" s="20" t="str">
        <f t="shared" si="7"/>
        <v/>
      </c>
      <c r="N47" s="1"/>
    </row>
    <row r="48" spans="1:14" ht="25" customHeight="1" x14ac:dyDescent="0.45">
      <c r="A48" s="5"/>
      <c r="B48" s="30"/>
      <c r="C48" s="69">
        <v>59</v>
      </c>
      <c r="D48" s="54">
        <f t="shared" si="2"/>
        <v>109</v>
      </c>
      <c r="E48" s="68">
        <f t="shared" si="6"/>
        <v>4</v>
      </c>
      <c r="F48" s="55">
        <f t="shared" si="3"/>
        <v>64.41</v>
      </c>
      <c r="G48" s="56">
        <f>IF(D48=D47,"",_xlfn.IFNA(VLOOKUP(D48,'인원 입력 기능(국수)'!$A$5:$D$103,4,FALSE),0))</f>
        <v>4637</v>
      </c>
      <c r="H48" s="57">
        <f t="shared" si="4"/>
        <v>1.5986237425102221E-2</v>
      </c>
      <c r="I48" s="70">
        <f>SUM($G$7:G48)</f>
        <v>105561</v>
      </c>
      <c r="J48" s="59">
        <f t="shared" si="5"/>
        <v>0.3639256434831174</v>
      </c>
      <c r="K48" s="31"/>
      <c r="L48" s="20" t="str">
        <f t="shared" si="7"/>
        <v/>
      </c>
      <c r="N48" s="1"/>
    </row>
    <row r="49" spans="1:14" ht="25" customHeight="1" x14ac:dyDescent="0.45">
      <c r="A49" s="5"/>
      <c r="B49" s="30"/>
      <c r="C49" s="69">
        <v>58</v>
      </c>
      <c r="D49" s="54">
        <f t="shared" si="2"/>
        <v>108</v>
      </c>
      <c r="E49" s="68">
        <f t="shared" si="6"/>
        <v>4</v>
      </c>
      <c r="F49" s="55">
        <f t="shared" si="3"/>
        <v>62.8</v>
      </c>
      <c r="G49" s="56">
        <f>IF(D49=D48,"",_xlfn.IFNA(VLOOKUP(D49,'인원 입력 기능(국수)'!$A$5:$D$103,4,FALSE),0))</f>
        <v>4674</v>
      </c>
      <c r="H49" s="57">
        <f t="shared" si="4"/>
        <v>1.6113796360778039E-2</v>
      </c>
      <c r="I49" s="70">
        <f>SUM($G$7:G49)</f>
        <v>110235</v>
      </c>
      <c r="J49" s="59">
        <f t="shared" si="5"/>
        <v>0.38003943984389543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69">
        <v>57</v>
      </c>
      <c r="D50" s="54">
        <f t="shared" si="2"/>
        <v>107</v>
      </c>
      <c r="E50" s="68">
        <f t="shared" si="6"/>
        <v>4</v>
      </c>
      <c r="F50" s="55">
        <f t="shared" si="3"/>
        <v>61.18</v>
      </c>
      <c r="G50" s="56">
        <f>IF(D50=D49,"",_xlfn.IFNA(VLOOKUP(D50,'인원 입력 기능(국수)'!$A$5:$D$103,4,FALSE),0))</f>
        <v>4751</v>
      </c>
      <c r="H50" s="57">
        <f t="shared" si="4"/>
        <v>1.637925684853583E-2</v>
      </c>
      <c r="I50" s="70">
        <f>SUM($G$7:G50)</f>
        <v>114986</v>
      </c>
      <c r="J50" s="59">
        <f t="shared" si="5"/>
        <v>0.39641869669243129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69">
        <v>56</v>
      </c>
      <c r="D51" s="54">
        <f t="shared" si="2"/>
        <v>106</v>
      </c>
      <c r="E51" s="68">
        <f t="shared" si="6"/>
        <v>4</v>
      </c>
      <c r="F51" s="55">
        <f t="shared" si="3"/>
        <v>59.55</v>
      </c>
      <c r="G51" s="56">
        <f>IF(D51=D50,"",_xlfn.IFNA(VLOOKUP(D51,'인원 입력 기능(국수)'!$A$5:$D$103,4,FALSE),0))</f>
        <v>4678</v>
      </c>
      <c r="H51" s="57">
        <f t="shared" si="4"/>
        <v>1.6127586515986239E-2</v>
      </c>
      <c r="I51" s="70">
        <f>SUM($G$7:G51)</f>
        <v>119664</v>
      </c>
      <c r="J51" s="59">
        <f t="shared" si="5"/>
        <v>0.41254628320841752</v>
      </c>
      <c r="K51" s="31"/>
      <c r="L51" s="20" t="str">
        <f t="shared" si="7"/>
        <v/>
      </c>
      <c r="N51" s="1"/>
    </row>
    <row r="52" spans="1:14" ht="25" customHeight="1" x14ac:dyDescent="0.45">
      <c r="A52" s="5"/>
      <c r="B52" s="30"/>
      <c r="C52" s="69">
        <v>55</v>
      </c>
      <c r="D52" s="202">
        <f t="shared" si="2"/>
        <v>105</v>
      </c>
      <c r="E52" s="212">
        <f t="shared" si="6"/>
        <v>5</v>
      </c>
      <c r="F52" s="199">
        <f t="shared" si="3"/>
        <v>57.16</v>
      </c>
      <c r="G52" s="196">
        <f>IF(D52=D51,"",_xlfn.IFNA(VLOOKUP(D52,'인원 입력 기능(국수)'!$A$5:$D$103,4,FALSE),0))</f>
        <v>9203</v>
      </c>
      <c r="H52" s="192">
        <f t="shared" si="4"/>
        <v>3.1727699595258944E-2</v>
      </c>
      <c r="I52" s="213">
        <f>SUM($G$7:G52)</f>
        <v>128867</v>
      </c>
      <c r="J52" s="162">
        <f t="shared" si="5"/>
        <v>0.44427398280367647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69">
        <v>54</v>
      </c>
      <c r="D53" s="201"/>
      <c r="E53" s="211"/>
      <c r="F53" s="198"/>
      <c r="G53" s="195"/>
      <c r="H53" s="194"/>
      <c r="I53" s="214"/>
      <c r="J53" s="188"/>
      <c r="K53" s="31"/>
      <c r="L53" s="20" t="str">
        <f t="shared" si="7"/>
        <v>경고</v>
      </c>
      <c r="N53" s="1"/>
    </row>
    <row r="54" spans="1:14" ht="25" customHeight="1" x14ac:dyDescent="0.45">
      <c r="A54" s="5"/>
      <c r="B54" s="30"/>
      <c r="C54" s="69">
        <v>53</v>
      </c>
      <c r="D54" s="54">
        <f t="shared" si="2"/>
        <v>104</v>
      </c>
      <c r="E54" s="68">
        <f t="shared" si="6"/>
        <v>5</v>
      </c>
      <c r="F54" s="55">
        <f t="shared" si="3"/>
        <v>54.77</v>
      </c>
      <c r="G54" s="56">
        <f>IF(D54=D53,"",_xlfn.IFNA(VLOOKUP(D54,'인원 입력 기능(국수)'!$A$5:$D$103,4,FALSE),0))</f>
        <v>4664</v>
      </c>
      <c r="H54" s="57">
        <f t="shared" si="4"/>
        <v>1.6079320972757549E-2</v>
      </c>
      <c r="I54" s="70">
        <f>SUM($G$7:G54)</f>
        <v>133531</v>
      </c>
      <c r="J54" s="59">
        <f t="shared" si="5"/>
        <v>0.46035330377643402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69">
        <v>52</v>
      </c>
      <c r="D55" s="54">
        <f t="shared" si="2"/>
        <v>103</v>
      </c>
      <c r="E55" s="68">
        <f t="shared" si="6"/>
        <v>5</v>
      </c>
      <c r="F55" s="55">
        <f t="shared" si="3"/>
        <v>53.21</v>
      </c>
      <c r="G55" s="56">
        <f>IF(D55=D54,"",_xlfn.IFNA(VLOOKUP(D55,'인원 입력 기능(국수)'!$A$5:$D$103,4,FALSE),0))</f>
        <v>4407</v>
      </c>
      <c r="H55" s="57">
        <f t="shared" si="4"/>
        <v>1.51933035006309E-2</v>
      </c>
      <c r="I55" s="70">
        <f>SUM($G$7:G55)</f>
        <v>137938</v>
      </c>
      <c r="J55" s="59">
        <f t="shared" si="5"/>
        <v>0.47554660727706488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69">
        <v>51</v>
      </c>
      <c r="D56" s="54">
        <f t="shared" si="2"/>
        <v>102</v>
      </c>
      <c r="E56" s="68">
        <f t="shared" si="6"/>
        <v>5</v>
      </c>
      <c r="F56" s="55">
        <f t="shared" si="3"/>
        <v>51.65</v>
      </c>
      <c r="G56" s="56">
        <f>IF(D56=D55,"",_xlfn.IFNA(VLOOKUP(D56,'인원 입력 기능(국수)'!$A$5:$D$103,4,FALSE),0))</f>
        <v>4632</v>
      </c>
      <c r="H56" s="57">
        <f t="shared" si="4"/>
        <v>1.5968999731091973E-2</v>
      </c>
      <c r="I56" s="70">
        <f>SUM($G$7:G56)</f>
        <v>142570</v>
      </c>
      <c r="J56" s="59">
        <f t="shared" si="5"/>
        <v>0.49151560700815689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69">
        <v>50</v>
      </c>
      <c r="D57" s="54">
        <f t="shared" si="2"/>
        <v>101</v>
      </c>
      <c r="E57" s="68">
        <f t="shared" si="6"/>
        <v>5</v>
      </c>
      <c r="F57" s="55">
        <f t="shared" si="3"/>
        <v>50.08</v>
      </c>
      <c r="G57" s="56">
        <f>IF(D57=D56,"",_xlfn.IFNA(VLOOKUP(D57,'인원 입력 기능(국수)'!$A$5:$D$103,4,FALSE),0))</f>
        <v>4449</v>
      </c>
      <c r="H57" s="57">
        <f t="shared" si="4"/>
        <v>1.5338100130316966E-2</v>
      </c>
      <c r="I57" s="70">
        <f>SUM($G$7:G57)</f>
        <v>147019</v>
      </c>
      <c r="J57" s="59">
        <f t="shared" si="5"/>
        <v>0.50685370713847389</v>
      </c>
      <c r="K57" s="31"/>
      <c r="L57" s="20" t="str">
        <f t="shared" si="7"/>
        <v/>
      </c>
      <c r="N57" s="1"/>
    </row>
    <row r="58" spans="1:14" ht="25" customHeight="1" x14ac:dyDescent="0.45">
      <c r="A58" s="5"/>
      <c r="B58" s="30"/>
      <c r="C58" s="69">
        <v>49</v>
      </c>
      <c r="D58" s="54">
        <f t="shared" si="2"/>
        <v>100</v>
      </c>
      <c r="E58" s="68">
        <f t="shared" si="6"/>
        <v>5</v>
      </c>
      <c r="F58" s="55">
        <f t="shared" si="3"/>
        <v>48.56</v>
      </c>
      <c r="G58" s="56">
        <f>IF(D58=D57,"",_xlfn.IFNA(VLOOKUP(D58,'인원 입력 기능(국수)'!$A$5:$D$103,4,FALSE),0))</f>
        <v>4349</v>
      </c>
      <c r="H58" s="57">
        <f t="shared" si="4"/>
        <v>1.4993346250112045E-2</v>
      </c>
      <c r="I58" s="70">
        <f>SUM($G$7:G58)</f>
        <v>151368</v>
      </c>
      <c r="J58" s="59">
        <f t="shared" si="5"/>
        <v>0.52184705338858584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69">
        <v>48</v>
      </c>
      <c r="D59" s="54">
        <f t="shared" si="2"/>
        <v>99</v>
      </c>
      <c r="E59" s="68">
        <f t="shared" si="6"/>
        <v>5</v>
      </c>
      <c r="F59" s="55">
        <f t="shared" si="3"/>
        <v>47.07</v>
      </c>
      <c r="G59" s="56">
        <f>IF(D59=D58,"",_xlfn.IFNA(VLOOKUP(D59,'인원 입력 기능(국수)'!$A$5:$D$103,4,FALSE),0))</f>
        <v>4349</v>
      </c>
      <c r="H59" s="57">
        <f t="shared" si="4"/>
        <v>1.4993346250112045E-2</v>
      </c>
      <c r="I59" s="70">
        <f>SUM($G$7:G59)</f>
        <v>155717</v>
      </c>
      <c r="J59" s="59">
        <f t="shared" si="5"/>
        <v>0.5368403996386979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69">
        <v>47</v>
      </c>
      <c r="D60" s="54">
        <f t="shared" si="2"/>
        <v>98</v>
      </c>
      <c r="E60" s="68">
        <f t="shared" si="6"/>
        <v>5</v>
      </c>
      <c r="F60" s="55">
        <f t="shared" si="3"/>
        <v>45.6</v>
      </c>
      <c r="G60" s="56">
        <f>IF(D60=D59,"",_xlfn.IFNA(VLOOKUP(D60,'인원 입력 기능(국수)'!$A$5:$D$103,4,FALSE),0))</f>
        <v>4178</v>
      </c>
      <c r="H60" s="57">
        <f t="shared" si="4"/>
        <v>1.4403817114961628E-2</v>
      </c>
      <c r="I60" s="70">
        <f>SUM($G$7:G60)</f>
        <v>159895</v>
      </c>
      <c r="J60" s="59">
        <f t="shared" si="5"/>
        <v>0.55124421675365953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69">
        <v>46</v>
      </c>
      <c r="D61" s="54">
        <f t="shared" si="2"/>
        <v>97</v>
      </c>
      <c r="E61" s="68">
        <f t="shared" si="6"/>
        <v>5</v>
      </c>
      <c r="F61" s="55">
        <f t="shared" si="3"/>
        <v>44.15</v>
      </c>
      <c r="G61" s="56">
        <f>IF(D61=D60,"",_xlfn.IFNA(VLOOKUP(D61,'인원 입력 기능(국수)'!$A$5:$D$103,4,FALSE),0))</f>
        <v>4193</v>
      </c>
      <c r="H61" s="57">
        <f t="shared" si="4"/>
        <v>1.4455530196992366E-2</v>
      </c>
      <c r="I61" s="70">
        <f>SUM($G$7:G61)</f>
        <v>164088</v>
      </c>
      <c r="J61" s="59">
        <f t="shared" si="5"/>
        <v>0.56569974695065195</v>
      </c>
      <c r="K61" s="31"/>
      <c r="L61" s="20" t="str">
        <f t="shared" si="7"/>
        <v/>
      </c>
      <c r="N61" s="1"/>
    </row>
    <row r="62" spans="1:14" ht="25" customHeight="1" x14ac:dyDescent="0.45">
      <c r="A62" s="5"/>
      <c r="B62" s="30"/>
      <c r="C62" s="69">
        <v>45</v>
      </c>
      <c r="D62" s="54">
        <f t="shared" si="2"/>
        <v>96</v>
      </c>
      <c r="E62" s="68">
        <f t="shared" si="6"/>
        <v>5</v>
      </c>
      <c r="F62" s="55">
        <f t="shared" si="3"/>
        <v>42.73</v>
      </c>
      <c r="G62" s="56">
        <f>IF(D62=D61,"",_xlfn.IFNA(VLOOKUP(D62,'인원 입력 기능(국수)'!$A$5:$D$103,4,FALSE),0))</f>
        <v>4074</v>
      </c>
      <c r="H62" s="57">
        <f t="shared" si="4"/>
        <v>1.4045273079548511E-2</v>
      </c>
      <c r="I62" s="70">
        <f>SUM($G$7:G62)</f>
        <v>168162</v>
      </c>
      <c r="J62" s="59">
        <f t="shared" si="5"/>
        <v>0.57974502003020045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69">
        <v>44</v>
      </c>
      <c r="D63" s="54">
        <f t="shared" si="2"/>
        <v>95</v>
      </c>
      <c r="E63" s="68">
        <f t="shared" si="6"/>
        <v>5</v>
      </c>
      <c r="F63" s="55">
        <f t="shared" si="3"/>
        <v>41.34</v>
      </c>
      <c r="G63" s="56">
        <f>IF(D63=D62,"",_xlfn.IFNA(VLOOKUP(D63,'인원 입력 기능(국수)'!$A$5:$D$103,4,FALSE),0))</f>
        <v>3960</v>
      </c>
      <c r="H63" s="57">
        <f t="shared" si="4"/>
        <v>1.36522536561149E-2</v>
      </c>
      <c r="I63" s="70">
        <f>SUM($G$7:G63)</f>
        <v>172122</v>
      </c>
      <c r="J63" s="59">
        <f t="shared" si="5"/>
        <v>0.59339727368631534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69">
        <v>43</v>
      </c>
      <c r="D64" s="54">
        <f t="shared" si="2"/>
        <v>94</v>
      </c>
      <c r="E64" s="68">
        <f t="shared" si="6"/>
        <v>5</v>
      </c>
      <c r="F64" s="55">
        <f t="shared" si="3"/>
        <v>40</v>
      </c>
      <c r="G64" s="56">
        <f>IF(D64=D63,"",_xlfn.IFNA(VLOOKUP(D64,'인원 입력 기능(국수)'!$A$5:$D$103,4,FALSE),0))</f>
        <v>3843</v>
      </c>
      <c r="H64" s="57">
        <f t="shared" si="4"/>
        <v>1.3248891616275141E-2</v>
      </c>
      <c r="I64" s="70">
        <f>SUM($G$7:G64)</f>
        <v>175965</v>
      </c>
      <c r="J64" s="59">
        <f t="shared" si="5"/>
        <v>0.60664616530259052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69">
        <v>42</v>
      </c>
      <c r="D65" s="54">
        <f t="shared" si="2"/>
        <v>93</v>
      </c>
      <c r="E65" s="68">
        <f t="shared" si="6"/>
        <v>6</v>
      </c>
      <c r="F65" s="55">
        <f t="shared" si="3"/>
        <v>38.67</v>
      </c>
      <c r="G65" s="56">
        <f>IF(D65=D64,"",_xlfn.IFNA(VLOOKUP(D65,'인원 입력 기능(국수)'!$A$5:$D$103,4,FALSE),0))</f>
        <v>3889</v>
      </c>
      <c r="H65" s="57">
        <f t="shared" si="4"/>
        <v>1.3407478401169405E-2</v>
      </c>
      <c r="I65" s="70">
        <f>SUM($G$7:G65)</f>
        <v>179854</v>
      </c>
      <c r="J65" s="59">
        <f t="shared" si="5"/>
        <v>0.62005364370375993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69">
        <v>41</v>
      </c>
      <c r="D66" s="202">
        <f t="shared" si="2"/>
        <v>92</v>
      </c>
      <c r="E66" s="212">
        <f t="shared" si="6"/>
        <v>6</v>
      </c>
      <c r="F66" s="199">
        <f t="shared" si="3"/>
        <v>36.72</v>
      </c>
      <c r="G66" s="196">
        <f>IF(D66=D65,"",_xlfn.IFNA(VLOOKUP(D66,'인원 입력 기능(국수)'!$A$5:$D$103,4,FALSE),0))</f>
        <v>7369</v>
      </c>
      <c r="H66" s="192">
        <f t="shared" si="4"/>
        <v>2.5404913432300679E-2</v>
      </c>
      <c r="I66" s="213">
        <f>SUM($G$7:G66)</f>
        <v>187223</v>
      </c>
      <c r="J66" s="162">
        <f t="shared" si="5"/>
        <v>0.6454585571360606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69">
        <v>40</v>
      </c>
      <c r="D67" s="201"/>
      <c r="E67" s="211"/>
      <c r="F67" s="198"/>
      <c r="G67" s="195"/>
      <c r="H67" s="194"/>
      <c r="I67" s="214"/>
      <c r="J67" s="188"/>
      <c r="K67" s="31"/>
      <c r="L67" s="20" t="str">
        <f t="shared" si="7"/>
        <v>경고</v>
      </c>
      <c r="N67" s="1"/>
    </row>
    <row r="68" spans="1:14" ht="25" customHeight="1" x14ac:dyDescent="0.45">
      <c r="A68" s="5"/>
      <c r="B68" s="30"/>
      <c r="C68" s="69">
        <v>39</v>
      </c>
      <c r="D68" s="54">
        <f t="shared" si="2"/>
        <v>91</v>
      </c>
      <c r="E68" s="68">
        <f t="shared" si="6"/>
        <v>6</v>
      </c>
      <c r="F68" s="55">
        <f t="shared" si="3"/>
        <v>34.85</v>
      </c>
      <c r="G68" s="56">
        <f>IF(D68=D67,"",_xlfn.IFNA(VLOOKUP(D68,'인원 입력 기능(국수)'!$A$5:$D$103,4,FALSE),0))</f>
        <v>3510</v>
      </c>
      <c r="H68" s="57">
        <f t="shared" si="4"/>
        <v>1.2100861195192752E-2</v>
      </c>
      <c r="I68" s="70">
        <f>SUM($G$7:G68)</f>
        <v>190733</v>
      </c>
      <c r="J68" s="59">
        <f t="shared" si="5"/>
        <v>0.65755941833125331</v>
      </c>
      <c r="K68" s="31"/>
      <c r="L68" s="20" t="str">
        <f t="shared" si="7"/>
        <v/>
      </c>
      <c r="N68" s="1"/>
    </row>
    <row r="69" spans="1:14" ht="25" customHeight="1" x14ac:dyDescent="0.45">
      <c r="A69" s="5"/>
      <c r="B69" s="30"/>
      <c r="C69" s="69">
        <v>38</v>
      </c>
      <c r="D69" s="54">
        <f t="shared" si="2"/>
        <v>90</v>
      </c>
      <c r="E69" s="68">
        <f t="shared" si="6"/>
        <v>6</v>
      </c>
      <c r="F69" s="55">
        <f t="shared" si="3"/>
        <v>33.630000000000003</v>
      </c>
      <c r="G69" s="56">
        <f>IF(D69=D68,"",_xlfn.IFNA(VLOOKUP(D69,'인원 입력 기능(국수)'!$A$5:$D$103,4,FALSE),0))</f>
        <v>3539</v>
      </c>
      <c r="H69" s="57">
        <f t="shared" si="4"/>
        <v>1.220083982045218E-2</v>
      </c>
      <c r="I69" s="70">
        <f>SUM($G$7:G69)</f>
        <v>194272</v>
      </c>
      <c r="J69" s="59">
        <f t="shared" si="5"/>
        <v>0.66976025815170548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69">
        <v>37</v>
      </c>
      <c r="D70" s="54">
        <f t="shared" si="2"/>
        <v>89</v>
      </c>
      <c r="E70" s="68">
        <f t="shared" si="6"/>
        <v>6</v>
      </c>
      <c r="F70" s="55">
        <f t="shared" si="3"/>
        <v>32.44</v>
      </c>
      <c r="G70" s="56">
        <f>IF(D70=D69,"",_xlfn.IFNA(VLOOKUP(D70,'인원 입력 기능(국수)'!$A$5:$D$103,4,FALSE),0))</f>
        <v>3373</v>
      </c>
      <c r="H70" s="57">
        <f t="shared" si="4"/>
        <v>1.162854837931201E-2</v>
      </c>
      <c r="I70" s="70">
        <f>SUM($G$7:G70)</f>
        <v>197645</v>
      </c>
      <c r="J70" s="59">
        <f t="shared" si="5"/>
        <v>0.68138880653101752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69">
        <v>36</v>
      </c>
      <c r="D71" s="54">
        <f t="shared" si="2"/>
        <v>88</v>
      </c>
      <c r="E71" s="68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55">
        <f t="shared" si="3"/>
        <v>31.27</v>
      </c>
      <c r="G71" s="56">
        <f>IF(D71=D70,"",_xlfn.IFNA(VLOOKUP(D71,'인원 입력 기능(국수)'!$A$5:$D$103,4,FALSE),0))</f>
        <v>3424</v>
      </c>
      <c r="H71" s="57">
        <f t="shared" si="4"/>
        <v>1.1804372858216519E-2</v>
      </c>
      <c r="I71" s="70">
        <f>SUM($G$7:G71)</f>
        <v>201069</v>
      </c>
      <c r="J71" s="59">
        <f t="shared" si="5"/>
        <v>0.69319317938923397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69">
        <v>35</v>
      </c>
      <c r="D72" s="54">
        <f t="shared" si="2"/>
        <v>87</v>
      </c>
      <c r="E72" s="68">
        <f t="shared" si="8"/>
        <v>6</v>
      </c>
      <c r="F72" s="55">
        <f t="shared" si="3"/>
        <v>30.12</v>
      </c>
      <c r="G72" s="56">
        <f>IF(D72=D71,"",_xlfn.IFNA(VLOOKUP(D72,'인원 입력 기능(국수)'!$A$5:$D$103,4,FALSE),0))</f>
        <v>3270</v>
      </c>
      <c r="H72" s="57">
        <f t="shared" si="4"/>
        <v>1.127345188270094E-2</v>
      </c>
      <c r="I72" s="70">
        <f>SUM($G$7:G72)</f>
        <v>204339</v>
      </c>
      <c r="J72" s="59">
        <f t="shared" si="5"/>
        <v>0.70446663127193498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69">
        <v>34</v>
      </c>
      <c r="D73" s="54">
        <f t="shared" si="2"/>
        <v>86</v>
      </c>
      <c r="E73" s="68">
        <f t="shared" si="8"/>
        <v>6</v>
      </c>
      <c r="F73" s="55">
        <f t="shared" si="3"/>
        <v>28.98</v>
      </c>
      <c r="G73" s="56">
        <f>IF(D73=D72,"",_xlfn.IFNA(VLOOKUP(D73,'인원 입력 기능(국수)'!$A$5:$D$103,4,FALSE),0))</f>
        <v>3311</v>
      </c>
      <c r="H73" s="57">
        <f t="shared" si="4"/>
        <v>1.1414800973584958E-2</v>
      </c>
      <c r="I73" s="70">
        <f>SUM($G$7:G73)</f>
        <v>207650</v>
      </c>
      <c r="J73" s="59">
        <f t="shared" si="5"/>
        <v>0.71588143224551992</v>
      </c>
      <c r="K73" s="31"/>
      <c r="L73" s="20" t="str">
        <f t="shared" ref="L73:L105" si="9">IF(ABS((C73-$H$3)/$H$4*20+100-D73)&gt;0.49, "경고", "")</f>
        <v/>
      </c>
      <c r="N73" s="1"/>
    </row>
    <row r="74" spans="1:14" ht="25" customHeight="1" x14ac:dyDescent="0.45">
      <c r="A74" s="5"/>
      <c r="B74" s="30"/>
      <c r="C74" s="69">
        <v>33</v>
      </c>
      <c r="D74" s="54">
        <f t="shared" ref="D74:D105" si="10">ROUND(20*(C74-$H$3)/$H$4+100,0)</f>
        <v>85</v>
      </c>
      <c r="E74" s="68">
        <f t="shared" si="8"/>
        <v>6</v>
      </c>
      <c r="F74" s="55">
        <f t="shared" ref="F74:F105" si="11">IF(I73=0,ROUND(100*(1-(I72+I74)/2/$J$3),2),ROUND(100*(1-(I73+I74)/2/$J$3),2))</f>
        <v>27.84</v>
      </c>
      <c r="G74" s="56">
        <f>IF(D74=D73,"",_xlfn.IFNA(VLOOKUP(D74,'인원 입력 기능(국수)'!$A$5:$D$103,4,FALSE),0))</f>
        <v>3331</v>
      </c>
      <c r="H74" s="57">
        <f t="shared" ref="H74:H105" si="12">G74/$J$3</f>
        <v>1.1483751749625942E-2</v>
      </c>
      <c r="I74" s="70">
        <f>SUM($G$7:G74)</f>
        <v>210981</v>
      </c>
      <c r="J74" s="59">
        <f t="shared" ref="J74:J105" si="13">I74/$J$3</f>
        <v>0.72736518399514583</v>
      </c>
      <c r="K74" s="31"/>
      <c r="L74" s="20" t="str">
        <f t="shared" si="9"/>
        <v/>
      </c>
      <c r="N74" s="1"/>
    </row>
    <row r="75" spans="1:14" ht="25" customHeight="1" x14ac:dyDescent="0.45">
      <c r="A75" s="5"/>
      <c r="B75" s="30"/>
      <c r="C75" s="69">
        <v>32</v>
      </c>
      <c r="D75" s="54">
        <f t="shared" si="10"/>
        <v>84</v>
      </c>
      <c r="E75" s="68">
        <f t="shared" si="8"/>
        <v>6</v>
      </c>
      <c r="F75" s="55">
        <f t="shared" si="11"/>
        <v>26.68</v>
      </c>
      <c r="G75" s="56">
        <f>IF(D75=D74,"",_xlfn.IFNA(VLOOKUP(D75,'인원 입력 기능(국수)'!$A$5:$D$103,4,FALSE),0))</f>
        <v>3396</v>
      </c>
      <c r="H75" s="57">
        <f t="shared" si="12"/>
        <v>1.1707841771759141E-2</v>
      </c>
      <c r="I75" s="70">
        <f>SUM($G$7:G75)</f>
        <v>214377</v>
      </c>
      <c r="J75" s="59">
        <f t="shared" si="13"/>
        <v>0.73907302576690503</v>
      </c>
      <c r="K75" s="31"/>
      <c r="L75" s="20" t="str">
        <f t="shared" si="9"/>
        <v/>
      </c>
      <c r="N75" s="1"/>
    </row>
    <row r="76" spans="1:14" ht="25" customHeight="1" x14ac:dyDescent="0.45">
      <c r="A76" s="5"/>
      <c r="B76" s="30"/>
      <c r="C76" s="69">
        <v>31</v>
      </c>
      <c r="D76" s="54">
        <f t="shared" si="10"/>
        <v>83</v>
      </c>
      <c r="E76" s="68">
        <f t="shared" si="8"/>
        <v>6</v>
      </c>
      <c r="F76" s="55">
        <f t="shared" si="11"/>
        <v>25.48</v>
      </c>
      <c r="G76" s="56">
        <f>IF(D76=D75,"",_xlfn.IFNA(VLOOKUP(D76,'인원 입력 기능(국수)'!$A$5:$D$103,4,FALSE),0))</f>
        <v>3574</v>
      </c>
      <c r="H76" s="57">
        <f t="shared" si="12"/>
        <v>1.2321503678523901E-2</v>
      </c>
      <c r="I76" s="70">
        <f>SUM($G$7:G76)</f>
        <v>217951</v>
      </c>
      <c r="J76" s="59">
        <f t="shared" si="13"/>
        <v>0.75139452944542895</v>
      </c>
      <c r="K76" s="31"/>
      <c r="L76" s="20" t="str">
        <f t="shared" si="9"/>
        <v/>
      </c>
      <c r="N76" s="1"/>
    </row>
    <row r="77" spans="1:14" ht="25" customHeight="1" x14ac:dyDescent="0.45">
      <c r="A77" s="5"/>
      <c r="B77" s="30"/>
      <c r="C77" s="69">
        <v>30</v>
      </c>
      <c r="D77" s="54">
        <f t="shared" si="10"/>
        <v>82</v>
      </c>
      <c r="E77" s="68">
        <f t="shared" si="8"/>
        <v>6</v>
      </c>
      <c r="F77" s="55">
        <f t="shared" si="11"/>
        <v>24.26</v>
      </c>
      <c r="G77" s="56">
        <f>IF(D77=D76,"",_xlfn.IFNA(VLOOKUP(D77,'인원 입력 기능(국수)'!$A$5:$D$103,4,FALSE),0))</f>
        <v>3484</v>
      </c>
      <c r="H77" s="57">
        <f t="shared" si="12"/>
        <v>1.2011225186339472E-2</v>
      </c>
      <c r="I77" s="70">
        <f>SUM($G$7:G77)</f>
        <v>221435</v>
      </c>
      <c r="J77" s="59">
        <f t="shared" si="13"/>
        <v>0.76340575463176841</v>
      </c>
      <c r="K77" s="31"/>
      <c r="L77" s="20" t="str">
        <f t="shared" si="9"/>
        <v/>
      </c>
      <c r="N77" s="1"/>
    </row>
    <row r="78" spans="1:14" ht="25" customHeight="1" x14ac:dyDescent="0.45">
      <c r="A78" s="5"/>
      <c r="B78" s="30"/>
      <c r="C78" s="69">
        <v>29</v>
      </c>
      <c r="D78" s="54">
        <f t="shared" si="10"/>
        <v>81</v>
      </c>
      <c r="E78" s="68">
        <f t="shared" si="8"/>
        <v>6</v>
      </c>
      <c r="F78" s="55">
        <f t="shared" si="11"/>
        <v>22.72</v>
      </c>
      <c r="G78" s="56">
        <f>IF(D78=D77,"",_xlfn.IFNA(VLOOKUP(D78,'인원 입력 기능(국수)'!$A$5:$D$103,4,FALSE),0))</f>
        <v>5442</v>
      </c>
      <c r="H78" s="57">
        <f t="shared" si="12"/>
        <v>1.876150616075184E-2</v>
      </c>
      <c r="I78" s="70">
        <f>SUM($G$7:G78)</f>
        <v>226877</v>
      </c>
      <c r="J78" s="59">
        <f t="shared" si="13"/>
        <v>0.78216726079252019</v>
      </c>
      <c r="K78" s="31"/>
      <c r="L78" s="20" t="str">
        <f t="shared" si="9"/>
        <v/>
      </c>
      <c r="N78" s="1"/>
    </row>
    <row r="79" spans="1:14" ht="25" customHeight="1" x14ac:dyDescent="0.45">
      <c r="A79" s="5"/>
      <c r="B79" s="30"/>
      <c r="C79" s="69">
        <v>28</v>
      </c>
      <c r="D79" s="54">
        <f t="shared" si="10"/>
        <v>80</v>
      </c>
      <c r="E79" s="68">
        <f t="shared" si="8"/>
        <v>7</v>
      </c>
      <c r="F79" s="55">
        <f t="shared" si="11"/>
        <v>21.18</v>
      </c>
      <c r="G79" s="56">
        <f>IF(D79=D78,"",_xlfn.IFNA(VLOOKUP(D79,'인원 입력 기능(국수)'!$A$5:$D$103,4,FALSE),0))</f>
        <v>3513</v>
      </c>
      <c r="H79" s="57">
        <f t="shared" si="12"/>
        <v>1.21112038115989E-2</v>
      </c>
      <c r="I79" s="70">
        <f>SUM($G$7:G79)</f>
        <v>230390</v>
      </c>
      <c r="J79" s="59">
        <f t="shared" si="13"/>
        <v>0.79427846460411911</v>
      </c>
      <c r="K79" s="31"/>
      <c r="L79" s="20" t="str">
        <f t="shared" si="9"/>
        <v/>
      </c>
      <c r="N79" s="1"/>
    </row>
    <row r="80" spans="1:14" ht="25" customHeight="1" x14ac:dyDescent="0.45">
      <c r="A80" s="5"/>
      <c r="B80" s="30"/>
      <c r="C80" s="69">
        <v>27</v>
      </c>
      <c r="D80" s="202">
        <f t="shared" si="10"/>
        <v>79</v>
      </c>
      <c r="E80" s="212">
        <f t="shared" si="8"/>
        <v>7</v>
      </c>
      <c r="F80" s="199">
        <f t="shared" si="11"/>
        <v>19.37</v>
      </c>
      <c r="G80" s="196">
        <f>IF(D80=D79,"",_xlfn.IFNA(VLOOKUP(D80,'인원 입력 기능(국수)'!$A$5:$D$103,4,FALSE),0))</f>
        <v>6978</v>
      </c>
      <c r="H80" s="192">
        <f t="shared" si="12"/>
        <v>2.4056925760699437E-2</v>
      </c>
      <c r="I80" s="213">
        <f>SUM($G$7:G80)</f>
        <v>237368</v>
      </c>
      <c r="J80" s="162">
        <f t="shared" si="13"/>
        <v>0.8183353903648185</v>
      </c>
      <c r="K80" s="31"/>
      <c r="L80" s="20" t="str">
        <f t="shared" si="9"/>
        <v/>
      </c>
      <c r="N80" s="1"/>
    </row>
    <row r="81" spans="1:14" ht="25" customHeight="1" x14ac:dyDescent="0.45">
      <c r="A81" s="5"/>
      <c r="B81" s="30"/>
      <c r="C81" s="69">
        <v>26</v>
      </c>
      <c r="D81" s="201"/>
      <c r="E81" s="211"/>
      <c r="F81" s="198"/>
      <c r="G81" s="195"/>
      <c r="H81" s="194"/>
      <c r="I81" s="214"/>
      <c r="J81" s="188"/>
      <c r="K81" s="31"/>
      <c r="L81" s="20" t="str">
        <f t="shared" si="9"/>
        <v>경고</v>
      </c>
      <c r="N81" s="1"/>
    </row>
    <row r="82" spans="1:14" ht="25" customHeight="1" x14ac:dyDescent="0.45">
      <c r="A82" s="5"/>
      <c r="B82" s="30"/>
      <c r="C82" s="69">
        <v>25</v>
      </c>
      <c r="D82" s="54">
        <f t="shared" si="10"/>
        <v>78</v>
      </c>
      <c r="E82" s="68">
        <f t="shared" si="8"/>
        <v>7</v>
      </c>
      <c r="F82" s="55">
        <f t="shared" si="11"/>
        <v>17.510000000000002</v>
      </c>
      <c r="G82" s="56">
        <f>IF(D82=D81,"",_xlfn.IFNA(VLOOKUP(D82,'인원 입력 기능(국수)'!$A$5:$D$103,4,FALSE),0))</f>
        <v>3831</v>
      </c>
      <c r="H82" s="57">
        <f t="shared" si="12"/>
        <v>1.3207521150650551E-2</v>
      </c>
      <c r="I82" s="70">
        <f>SUM($G$7:G82)</f>
        <v>241199</v>
      </c>
      <c r="J82" s="59">
        <f t="shared" si="13"/>
        <v>0.83154291151546911</v>
      </c>
      <c r="K82" s="31"/>
      <c r="L82" s="20" t="str">
        <f t="shared" si="9"/>
        <v/>
      </c>
      <c r="N82" s="1"/>
    </row>
    <row r="83" spans="1:14" ht="25" customHeight="1" x14ac:dyDescent="0.45">
      <c r="A83" s="5"/>
      <c r="B83" s="30"/>
      <c r="C83" s="69">
        <v>24</v>
      </c>
      <c r="D83" s="54">
        <f t="shared" si="10"/>
        <v>77</v>
      </c>
      <c r="E83" s="68">
        <f t="shared" si="8"/>
        <v>7</v>
      </c>
      <c r="F83" s="55">
        <f t="shared" si="11"/>
        <v>16.25</v>
      </c>
      <c r="G83" s="56">
        <f>IF(D83=D82,"",_xlfn.IFNA(VLOOKUP(D83,'인원 입력 기능(국수)'!$A$5:$D$103,4,FALSE),0))</f>
        <v>3439</v>
      </c>
      <c r="H83" s="57">
        <f t="shared" si="12"/>
        <v>1.1856085940247257E-2</v>
      </c>
      <c r="I83" s="70">
        <f>SUM($G$7:G83)</f>
        <v>244638</v>
      </c>
      <c r="J83" s="59">
        <f t="shared" si="13"/>
        <v>0.84339899745571634</v>
      </c>
      <c r="K83" s="31"/>
      <c r="L83" s="20" t="str">
        <f t="shared" si="9"/>
        <v/>
      </c>
      <c r="N83" s="1"/>
    </row>
    <row r="84" spans="1:14" ht="25" customHeight="1" x14ac:dyDescent="0.45">
      <c r="A84" s="5"/>
      <c r="B84" s="30"/>
      <c r="C84" s="69">
        <v>23</v>
      </c>
      <c r="D84" s="54">
        <f t="shared" si="10"/>
        <v>76</v>
      </c>
      <c r="E84" s="68">
        <f t="shared" si="8"/>
        <v>7</v>
      </c>
      <c r="F84" s="55">
        <f t="shared" si="11"/>
        <v>15.09</v>
      </c>
      <c r="G84" s="56">
        <f>IF(D84=D83,"",_xlfn.IFNA(VLOOKUP(D84,'인원 입력 기능(국수)'!$A$5:$D$103,4,FALSE),0))</f>
        <v>3320</v>
      </c>
      <c r="H84" s="57">
        <f t="shared" si="12"/>
        <v>1.14458288228034E-2</v>
      </c>
      <c r="I84" s="70">
        <f>SUM($G$7:G84)</f>
        <v>247958</v>
      </c>
      <c r="J84" s="59">
        <f t="shared" si="13"/>
        <v>0.85484482627851976</v>
      </c>
      <c r="K84" s="31"/>
      <c r="L84" s="20" t="str">
        <f t="shared" si="9"/>
        <v/>
      </c>
      <c r="N84" s="1"/>
    </row>
    <row r="85" spans="1:14" ht="25" customHeight="1" x14ac:dyDescent="0.45">
      <c r="A85" s="5"/>
      <c r="B85" s="30"/>
      <c r="C85" s="69">
        <v>22</v>
      </c>
      <c r="D85" s="54">
        <f t="shared" si="10"/>
        <v>75</v>
      </c>
      <c r="E85" s="68">
        <f t="shared" si="8"/>
        <v>7</v>
      </c>
      <c r="F85" s="55">
        <f t="shared" si="11"/>
        <v>13.94</v>
      </c>
      <c r="G85" s="56">
        <f>IF(D85=D84,"",_xlfn.IFNA(VLOOKUP(D85,'인원 입력 기능(국수)'!$A$5:$D$103,4,FALSE),0))</f>
        <v>3357</v>
      </c>
      <c r="H85" s="57">
        <f t="shared" si="12"/>
        <v>1.1573387758479221E-2</v>
      </c>
      <c r="I85" s="70">
        <f>SUM($G$7:G85)</f>
        <v>251315</v>
      </c>
      <c r="J85" s="59">
        <f t="shared" si="13"/>
        <v>0.86641821403699903</v>
      </c>
      <c r="K85" s="31"/>
      <c r="L85" s="20" t="str">
        <f t="shared" si="9"/>
        <v/>
      </c>
      <c r="N85" s="1"/>
    </row>
    <row r="86" spans="1:14" ht="25" customHeight="1" x14ac:dyDescent="0.45">
      <c r="A86" s="5"/>
      <c r="B86" s="30"/>
      <c r="C86" s="69">
        <v>21</v>
      </c>
      <c r="D86" s="54">
        <f t="shared" si="10"/>
        <v>74</v>
      </c>
      <c r="E86" s="68">
        <f t="shared" si="8"/>
        <v>7</v>
      </c>
      <c r="F86" s="55">
        <f t="shared" si="11"/>
        <v>12.75</v>
      </c>
      <c r="G86" s="56">
        <f>IF(D86=D85,"",_xlfn.IFNA(VLOOKUP(D86,'인원 입력 기능(국수)'!$A$5:$D$103,4,FALSE),0))</f>
        <v>3519</v>
      </c>
      <c r="H86" s="57">
        <f t="shared" si="12"/>
        <v>1.2131889044411195E-2</v>
      </c>
      <c r="I86" s="70">
        <f>SUM($G$7:G86)</f>
        <v>254834</v>
      </c>
      <c r="J86" s="59">
        <f t="shared" si="13"/>
        <v>0.87855010308141013</v>
      </c>
      <c r="K86" s="31"/>
      <c r="L86" s="20" t="str">
        <f t="shared" si="9"/>
        <v/>
      </c>
      <c r="N86" s="1"/>
    </row>
    <row r="87" spans="1:14" ht="25" customHeight="1" x14ac:dyDescent="0.45">
      <c r="A87" s="5"/>
      <c r="B87" s="30"/>
      <c r="C87" s="69">
        <v>20</v>
      </c>
      <c r="D87" s="54">
        <f t="shared" si="10"/>
        <v>73</v>
      </c>
      <c r="E87" s="68">
        <f t="shared" si="8"/>
        <v>7</v>
      </c>
      <c r="F87" s="55">
        <f t="shared" si="11"/>
        <v>10.94</v>
      </c>
      <c r="G87" s="56">
        <f>IF(D87=D86,"",_xlfn.IFNA(VLOOKUP(D87,'인원 입력 기능(국수)'!$A$5:$D$103,4,FALSE),0))</f>
        <v>6966</v>
      </c>
      <c r="H87" s="57">
        <f t="shared" si="12"/>
        <v>2.4015555295074847E-2</v>
      </c>
      <c r="I87" s="70">
        <f>SUM($G$7:G87)</f>
        <v>261800</v>
      </c>
      <c r="J87" s="59">
        <f t="shared" si="13"/>
        <v>0.90256565837648506</v>
      </c>
      <c r="K87" s="31"/>
      <c r="L87" s="20" t="str">
        <f t="shared" si="9"/>
        <v/>
      </c>
      <c r="N87" s="1"/>
    </row>
    <row r="88" spans="1:14" ht="25" customHeight="1" x14ac:dyDescent="0.45">
      <c r="A88" s="5"/>
      <c r="B88" s="30"/>
      <c r="C88" s="69">
        <v>19</v>
      </c>
      <c r="D88" s="54">
        <f t="shared" si="10"/>
        <v>72</v>
      </c>
      <c r="E88" s="68">
        <f t="shared" si="8"/>
        <v>8</v>
      </c>
      <c r="F88" s="55">
        <f t="shared" si="11"/>
        <v>7.72</v>
      </c>
      <c r="G88" s="56">
        <f>IF(D88=D87,"",_xlfn.IFNA(VLOOKUP(D88,'인원 입력 기능(국수)'!$A$5:$D$103,4,FALSE),0))</f>
        <v>11716</v>
      </c>
      <c r="H88" s="57">
        <f t="shared" si="12"/>
        <v>4.0391364604808626E-2</v>
      </c>
      <c r="I88" s="70">
        <f>SUM($G$7:G88)</f>
        <v>273516</v>
      </c>
      <c r="J88" s="59">
        <f t="shared" si="13"/>
        <v>0.94295702298129369</v>
      </c>
      <c r="K88" s="31"/>
      <c r="L88" s="20" t="str">
        <f t="shared" si="9"/>
        <v/>
      </c>
      <c r="N88" s="1"/>
    </row>
    <row r="89" spans="1:14" ht="25" customHeight="1" x14ac:dyDescent="0.45">
      <c r="A89" s="5"/>
      <c r="B89" s="30"/>
      <c r="C89" s="69">
        <v>18</v>
      </c>
      <c r="D89" s="54">
        <f t="shared" si="10"/>
        <v>71</v>
      </c>
      <c r="E89" s="68">
        <f t="shared" si="8"/>
        <v>8</v>
      </c>
      <c r="F89" s="55">
        <f t="shared" si="11"/>
        <v>5.33</v>
      </c>
      <c r="G89" s="56">
        <f>IF(D89=D88,"",_xlfn.IFNA(VLOOKUP(D89,'인원 입력 기능(국수)'!$A$5:$D$103,4,FALSE),0))</f>
        <v>2176</v>
      </c>
      <c r="H89" s="57">
        <f t="shared" si="12"/>
        <v>7.5018444332590967E-3</v>
      </c>
      <c r="I89" s="70">
        <f>SUM($G$7:G89)</f>
        <v>275692</v>
      </c>
      <c r="J89" s="59">
        <f t="shared" si="13"/>
        <v>0.95045886741455277</v>
      </c>
      <c r="K89" s="31"/>
      <c r="L89" s="20" t="str">
        <f t="shared" si="9"/>
        <v/>
      </c>
      <c r="N89" s="1"/>
    </row>
    <row r="90" spans="1:14" ht="25" customHeight="1" x14ac:dyDescent="0.45">
      <c r="A90" s="5"/>
      <c r="B90" s="30"/>
      <c r="C90" s="69">
        <v>17</v>
      </c>
      <c r="D90" s="54">
        <f t="shared" si="10"/>
        <v>70</v>
      </c>
      <c r="E90" s="68">
        <f t="shared" si="8"/>
        <v>8</v>
      </c>
      <c r="F90" s="55">
        <f t="shared" si="11"/>
        <v>4.55</v>
      </c>
      <c r="G90" s="56">
        <f>IF(D90=D89,"",_xlfn.IFNA(VLOOKUP(D90,'인원 입력 기능(국수)'!$A$5:$D$103,4,FALSE),0))</f>
        <v>2323</v>
      </c>
      <c r="H90" s="57">
        <f t="shared" si="12"/>
        <v>8.0086326371603313E-3</v>
      </c>
      <c r="I90" s="70">
        <f>SUM($G$7:G90)</f>
        <v>278015</v>
      </c>
      <c r="J90" s="59">
        <f t="shared" si="13"/>
        <v>0.95846750005171311</v>
      </c>
      <c r="K90" s="31"/>
      <c r="L90" s="20" t="str">
        <f t="shared" si="9"/>
        <v/>
      </c>
      <c r="N90" s="1"/>
    </row>
    <row r="91" spans="1:14" ht="25" customHeight="1" x14ac:dyDescent="0.45">
      <c r="A91" s="5"/>
      <c r="B91" s="30"/>
      <c r="C91" s="69">
        <v>16</v>
      </c>
      <c r="D91" s="54">
        <f t="shared" si="10"/>
        <v>69</v>
      </c>
      <c r="E91" s="68">
        <f t="shared" si="8"/>
        <v>8</v>
      </c>
      <c r="F91" s="55">
        <f t="shared" si="11"/>
        <v>3.88</v>
      </c>
      <c r="G91" s="56">
        <f>IF(D91=D90,"",_xlfn.IFNA(VLOOKUP(D91,'인원 입력 기능(국수)'!$A$5:$D$103,4,FALSE),0))</f>
        <v>1600</v>
      </c>
      <c r="H91" s="57">
        <f t="shared" si="12"/>
        <v>5.5160620832787471E-3</v>
      </c>
      <c r="I91" s="70">
        <f>SUM($G$7:G91)</f>
        <v>279615</v>
      </c>
      <c r="J91" s="59">
        <f t="shared" si="13"/>
        <v>0.96398356213499181</v>
      </c>
      <c r="K91" s="31"/>
      <c r="L91" s="20" t="str">
        <f t="shared" si="9"/>
        <v/>
      </c>
      <c r="N91" s="1"/>
    </row>
    <row r="92" spans="1:14" ht="25" customHeight="1" x14ac:dyDescent="0.45">
      <c r="A92" s="5"/>
      <c r="B92" s="30"/>
      <c r="C92" s="69">
        <v>15</v>
      </c>
      <c r="D92" s="54">
        <f t="shared" si="10"/>
        <v>68</v>
      </c>
      <c r="E92" s="68">
        <f t="shared" si="8"/>
        <v>9</v>
      </c>
      <c r="F92" s="55">
        <f t="shared" si="11"/>
        <v>3.31</v>
      </c>
      <c r="G92" s="56">
        <f>IF(D92=D91,"",_xlfn.IFNA(VLOOKUP(D92,'인원 입력 기능(국수)'!$A$5:$D$103,4,FALSE),0))</f>
        <v>1703</v>
      </c>
      <c r="H92" s="57">
        <f t="shared" si="12"/>
        <v>5.8711585798898163E-3</v>
      </c>
      <c r="I92" s="70">
        <f>SUM($G$7:G92)</f>
        <v>281318</v>
      </c>
      <c r="J92" s="59">
        <f t="shared" si="13"/>
        <v>0.96985472071488166</v>
      </c>
      <c r="K92" s="31"/>
      <c r="L92" s="20" t="str">
        <f t="shared" si="9"/>
        <v/>
      </c>
      <c r="N92" s="1"/>
    </row>
    <row r="93" spans="1:14" ht="25" customHeight="1" x14ac:dyDescent="0.45">
      <c r="A93" s="5"/>
      <c r="B93" s="30"/>
      <c r="C93" s="69">
        <v>14</v>
      </c>
      <c r="D93" s="54">
        <f t="shared" si="10"/>
        <v>67</v>
      </c>
      <c r="E93" s="68">
        <f t="shared" si="8"/>
        <v>9</v>
      </c>
      <c r="F93" s="55">
        <f t="shared" si="11"/>
        <v>2.8</v>
      </c>
      <c r="G93" s="56">
        <f>IF(D93=D92,"",_xlfn.IFNA(VLOOKUP(D93,'인원 입력 기능(국수)'!$A$5:$D$103,4,FALSE),0))</f>
        <v>1273</v>
      </c>
      <c r="H93" s="57">
        <f t="shared" si="12"/>
        <v>4.3887168950086531E-3</v>
      </c>
      <c r="I93" s="70">
        <f>SUM($G$7:G93)</f>
        <v>282591</v>
      </c>
      <c r="J93" s="59">
        <f t="shared" si="13"/>
        <v>0.97424343760989029</v>
      </c>
      <c r="K93" s="31"/>
      <c r="L93" s="20" t="str">
        <f t="shared" si="9"/>
        <v/>
      </c>
      <c r="N93" s="1"/>
    </row>
    <row r="94" spans="1:14" ht="25" customHeight="1" x14ac:dyDescent="0.45">
      <c r="A94" s="5"/>
      <c r="B94" s="30"/>
      <c r="C94" s="69">
        <v>13</v>
      </c>
      <c r="D94" s="202">
        <f t="shared" si="10"/>
        <v>66</v>
      </c>
      <c r="E94" s="212">
        <f t="shared" si="8"/>
        <v>9</v>
      </c>
      <c r="F94" s="199">
        <f t="shared" si="11"/>
        <v>2.09</v>
      </c>
      <c r="G94" s="196">
        <f>IF(D94=D93,"",_xlfn.IFNA(VLOOKUP(D94,'인원 입력 기능(국수)'!$A$5:$D$103,4,FALSE),0))</f>
        <v>2845</v>
      </c>
      <c r="H94" s="192">
        <f t="shared" si="12"/>
        <v>9.8082478918300221E-3</v>
      </c>
      <c r="I94" s="213">
        <f>SUM($G$7:G94)</f>
        <v>285436</v>
      </c>
      <c r="J94" s="162">
        <f t="shared" si="13"/>
        <v>0.98405168550172029</v>
      </c>
      <c r="K94" s="31"/>
      <c r="L94" s="20" t="str">
        <f t="shared" si="9"/>
        <v/>
      </c>
      <c r="N94" s="1"/>
    </row>
    <row r="95" spans="1:14" ht="25" customHeight="1" x14ac:dyDescent="0.45">
      <c r="A95" s="5"/>
      <c r="B95" s="30"/>
      <c r="C95" s="69">
        <v>12</v>
      </c>
      <c r="D95" s="201"/>
      <c r="E95" s="211"/>
      <c r="F95" s="198"/>
      <c r="G95" s="195"/>
      <c r="H95" s="194"/>
      <c r="I95" s="214"/>
      <c r="J95" s="188"/>
      <c r="K95" s="31"/>
      <c r="L95" s="20" t="str">
        <f t="shared" si="9"/>
        <v>경고</v>
      </c>
      <c r="N95" s="1"/>
    </row>
    <row r="96" spans="1:14" ht="25" customHeight="1" x14ac:dyDescent="0.45">
      <c r="A96" s="5"/>
      <c r="B96" s="30"/>
      <c r="C96" s="69">
        <v>11</v>
      </c>
      <c r="D96" s="54">
        <f t="shared" si="10"/>
        <v>65</v>
      </c>
      <c r="E96" s="68">
        <f t="shared" si="8"/>
        <v>9</v>
      </c>
      <c r="F96" s="55">
        <f t="shared" si="11"/>
        <v>1.5</v>
      </c>
      <c r="G96" s="56">
        <f>IF(D96=D95,"",_xlfn.IFNA(VLOOKUP(D96,'인원 입력 기능(국수)'!$A$5:$D$103,4,FALSE),0))</f>
        <v>577</v>
      </c>
      <c r="H96" s="57">
        <f t="shared" si="12"/>
        <v>1.9892298887823983E-3</v>
      </c>
      <c r="I96" s="70">
        <f>SUM($G$7:G96)</f>
        <v>286013</v>
      </c>
      <c r="J96" s="59">
        <f t="shared" si="13"/>
        <v>0.98604091539050276</v>
      </c>
      <c r="K96" s="31"/>
      <c r="L96" s="20" t="str">
        <f t="shared" si="9"/>
        <v/>
      </c>
      <c r="N96" s="1"/>
    </row>
    <row r="97" spans="1:14" ht="25" customHeight="1" x14ac:dyDescent="0.45">
      <c r="A97" s="5"/>
      <c r="B97" s="30"/>
      <c r="C97" s="69">
        <v>10</v>
      </c>
      <c r="D97" s="54">
        <f t="shared" si="10"/>
        <v>64</v>
      </c>
      <c r="E97" s="68">
        <f t="shared" si="8"/>
        <v>9</v>
      </c>
      <c r="F97" s="55">
        <f t="shared" si="11"/>
        <v>1.29</v>
      </c>
      <c r="G97" s="56">
        <f>IF(D97=D96,"",_xlfn.IFNA(VLOOKUP(D97,'인원 입력 기능(국수)'!$A$5:$D$103,4,FALSE),0))</f>
        <v>605</v>
      </c>
      <c r="H97" s="57">
        <f t="shared" si="12"/>
        <v>2.0857609752397764E-3</v>
      </c>
      <c r="I97" s="70">
        <f>SUM($G$7:G97)</f>
        <v>286618</v>
      </c>
      <c r="J97" s="59">
        <f t="shared" si="13"/>
        <v>0.98812667636574247</v>
      </c>
      <c r="K97" s="31"/>
      <c r="L97" s="20" t="str">
        <f t="shared" si="9"/>
        <v/>
      </c>
      <c r="N97" s="1"/>
    </row>
    <row r="98" spans="1:14" ht="25" customHeight="1" x14ac:dyDescent="0.45">
      <c r="A98" s="5"/>
      <c r="B98" s="30"/>
      <c r="C98" s="69">
        <v>9</v>
      </c>
      <c r="D98" s="54">
        <f t="shared" si="10"/>
        <v>63</v>
      </c>
      <c r="E98" s="68">
        <f t="shared" si="8"/>
        <v>9</v>
      </c>
      <c r="F98" s="55">
        <f t="shared" si="11"/>
        <v>1.1399999999999999</v>
      </c>
      <c r="G98" s="56">
        <f>IF(D98=D97,"",_xlfn.IFNA(VLOOKUP(D98,'인원 입력 기능(국수)'!$A$5:$D$103,4,FALSE),0))</f>
        <v>272</v>
      </c>
      <c r="H98" s="57">
        <f t="shared" si="12"/>
        <v>9.3773055415738709E-4</v>
      </c>
      <c r="I98" s="70">
        <f>SUM($G$7:G98)</f>
        <v>286890</v>
      </c>
      <c r="J98" s="59">
        <f t="shared" si="13"/>
        <v>0.98906440691989983</v>
      </c>
      <c r="K98" s="31"/>
      <c r="L98" s="20" t="str">
        <f t="shared" si="9"/>
        <v/>
      </c>
      <c r="N98" s="1"/>
    </row>
    <row r="99" spans="1:14" ht="25" customHeight="1" x14ac:dyDescent="0.45">
      <c r="A99" s="5"/>
      <c r="B99" s="30"/>
      <c r="C99" s="69">
        <v>8</v>
      </c>
      <c r="D99" s="54">
        <f t="shared" si="10"/>
        <v>62</v>
      </c>
      <c r="E99" s="68">
        <f t="shared" si="8"/>
        <v>9</v>
      </c>
      <c r="F99" s="55">
        <f t="shared" si="11"/>
        <v>1.02</v>
      </c>
      <c r="G99" s="56">
        <f>IF(D99=D98,"",_xlfn.IFNA(VLOOKUP(D99,'인원 입력 기능(국수)'!$A$5:$D$103,4,FALSE),0))</f>
        <v>427</v>
      </c>
      <c r="H99" s="57">
        <f t="shared" si="12"/>
        <v>1.4720990684750157E-3</v>
      </c>
      <c r="I99" s="70">
        <f>SUM($G$7:G99)</f>
        <v>287317</v>
      </c>
      <c r="J99" s="59">
        <f t="shared" si="13"/>
        <v>0.99053650598837495</v>
      </c>
      <c r="K99" s="31"/>
      <c r="L99" s="20" t="str">
        <f t="shared" si="9"/>
        <v/>
      </c>
      <c r="N99" s="1"/>
    </row>
    <row r="100" spans="1:14" ht="25" customHeight="1" x14ac:dyDescent="0.45">
      <c r="A100" s="5"/>
      <c r="B100" s="30"/>
      <c r="C100" s="69">
        <v>7</v>
      </c>
      <c r="D100" s="54">
        <f t="shared" si="10"/>
        <v>61</v>
      </c>
      <c r="E100" s="68">
        <f t="shared" si="8"/>
        <v>9</v>
      </c>
      <c r="F100" s="55">
        <f t="shared" si="11"/>
        <v>0.92</v>
      </c>
      <c r="G100" s="56">
        <f>IF(D100=D99,"",_xlfn.IFNA(VLOOKUP(D100,'인원 입력 기능(국수)'!$A$5:$D$103,4,FALSE),0))</f>
        <v>126</v>
      </c>
      <c r="H100" s="57">
        <f t="shared" si="12"/>
        <v>4.3438988905820133E-4</v>
      </c>
      <c r="I100" s="70">
        <f>SUM($G$7:G100)</f>
        <v>287443</v>
      </c>
      <c r="J100" s="59">
        <f t="shared" si="13"/>
        <v>0.99097089587743314</v>
      </c>
      <c r="K100" s="31"/>
      <c r="L100" s="20" t="str">
        <f t="shared" si="9"/>
        <v/>
      </c>
      <c r="N100" s="1"/>
    </row>
    <row r="101" spans="1:14" ht="25" customHeight="1" x14ac:dyDescent="0.45">
      <c r="A101" s="5"/>
      <c r="B101" s="30"/>
      <c r="C101" s="60">
        <v>6</v>
      </c>
      <c r="D101" s="54">
        <f t="shared" si="10"/>
        <v>60</v>
      </c>
      <c r="E101" s="54">
        <f t="shared" si="8"/>
        <v>9</v>
      </c>
      <c r="F101" s="55">
        <f t="shared" si="11"/>
        <v>0.86</v>
      </c>
      <c r="G101" s="56">
        <f>IF(D101=D100,"",_xlfn.IFNA(VLOOKUP(D101,'인원 입력 기능(국수)'!$A$5:$D$103,4,FALSE),0))</f>
        <v>231</v>
      </c>
      <c r="H101" s="57">
        <f t="shared" si="12"/>
        <v>7.9638146327336919E-4</v>
      </c>
      <c r="I101" s="67">
        <f>SUM($G$7:G101)</f>
        <v>287674</v>
      </c>
      <c r="J101" s="59">
        <f t="shared" si="13"/>
        <v>0.99176727734070647</v>
      </c>
      <c r="K101" s="31"/>
      <c r="L101" s="20" t="str">
        <f t="shared" si="9"/>
        <v/>
      </c>
      <c r="N101" s="1"/>
    </row>
    <row r="102" spans="1:14" ht="25" customHeight="1" x14ac:dyDescent="0.45">
      <c r="A102" s="5"/>
      <c r="B102" s="30"/>
      <c r="C102" s="60">
        <v>5</v>
      </c>
      <c r="D102" s="54">
        <f t="shared" si="10"/>
        <v>59</v>
      </c>
      <c r="E102" s="54">
        <f t="shared" si="8"/>
        <v>9</v>
      </c>
      <c r="F102" s="55">
        <f t="shared" si="11"/>
        <v>0.82</v>
      </c>
      <c r="G102" s="56">
        <f>IF(D102=D101,"",_xlfn.IFNA(VLOOKUP(D102,'인원 입력 기능(국수)'!$A$5:$D$103,4,FALSE),0))</f>
        <v>44</v>
      </c>
      <c r="H102" s="57">
        <f t="shared" si="12"/>
        <v>1.5169170729016556E-4</v>
      </c>
      <c r="I102" s="67">
        <f>SUM($G$7:G102)</f>
        <v>287718</v>
      </c>
      <c r="J102" s="59">
        <f t="shared" si="13"/>
        <v>0.99191896904799659</v>
      </c>
      <c r="K102" s="31"/>
      <c r="L102" s="20" t="str">
        <f t="shared" si="9"/>
        <v/>
      </c>
      <c r="N102" s="1"/>
    </row>
    <row r="103" spans="1:14" ht="25" customHeight="1" x14ac:dyDescent="0.45">
      <c r="A103" s="5"/>
      <c r="B103" s="30"/>
      <c r="C103" s="60">
        <v>4</v>
      </c>
      <c r="D103" s="54">
        <f t="shared" si="10"/>
        <v>58</v>
      </c>
      <c r="E103" s="54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55">
        <f t="shared" si="11"/>
        <v>0.79</v>
      </c>
      <c r="G103" s="56">
        <f>IF(D103=D102,"",_xlfn.IFNA(VLOOKUP(D103,'인원 입력 기능(국수)'!$A$5:$D$103,4,FALSE),0))</f>
        <v>124</v>
      </c>
      <c r="H103" s="57">
        <f t="shared" si="12"/>
        <v>4.2749481145410291E-4</v>
      </c>
      <c r="I103" s="67">
        <f>SUM($G$7:G103)</f>
        <v>287842</v>
      </c>
      <c r="J103" s="59">
        <f t="shared" si="13"/>
        <v>0.99234646385945069</v>
      </c>
      <c r="K103" s="31"/>
      <c r="L103" s="20" t="str">
        <f t="shared" si="9"/>
        <v/>
      </c>
      <c r="N103" s="1"/>
    </row>
    <row r="104" spans="1:14" ht="25" customHeight="1" x14ac:dyDescent="0.45">
      <c r="A104" s="5"/>
      <c r="B104" s="30"/>
      <c r="C104" s="60">
        <v>3</v>
      </c>
      <c r="D104" s="54">
        <f t="shared" si="10"/>
        <v>57</v>
      </c>
      <c r="E104" s="54">
        <f t="shared" si="14"/>
        <v>9</v>
      </c>
      <c r="F104" s="55">
        <f t="shared" si="11"/>
        <v>0.76</v>
      </c>
      <c r="G104" s="56">
        <f>IF(D104=D103,"",_xlfn.IFNA(VLOOKUP(D104,'인원 입력 기능(국수)'!$A$5:$D$103,4,FALSE),0))</f>
        <v>10</v>
      </c>
      <c r="H104" s="57">
        <f t="shared" si="12"/>
        <v>3.4475388020492172E-5</v>
      </c>
      <c r="I104" s="67">
        <f>SUM($G$7:G104)</f>
        <v>287852</v>
      </c>
      <c r="J104" s="59">
        <f t="shared" si="13"/>
        <v>0.99238093924747128</v>
      </c>
      <c r="K104" s="31"/>
      <c r="L104" s="20" t="str">
        <f t="shared" si="9"/>
        <v/>
      </c>
      <c r="N104" s="1"/>
    </row>
    <row r="105" spans="1:14" ht="25" customHeight="1" x14ac:dyDescent="0.45">
      <c r="A105" s="5"/>
      <c r="B105" s="30"/>
      <c r="C105" s="60">
        <v>2</v>
      </c>
      <c r="D105" s="54">
        <f t="shared" si="10"/>
        <v>56</v>
      </c>
      <c r="E105" s="54">
        <f t="shared" si="14"/>
        <v>9</v>
      </c>
      <c r="F105" s="55">
        <f t="shared" si="11"/>
        <v>0.74</v>
      </c>
      <c r="G105" s="56">
        <f>IF(D105=D104,"",_xlfn.IFNA(VLOOKUP(D105,'인원 입력 기능(국수)'!$A$5:$D$103,4,FALSE),0))</f>
        <v>129</v>
      </c>
      <c r="H105" s="57">
        <f t="shared" si="12"/>
        <v>4.4473250546434902E-4</v>
      </c>
      <c r="I105" s="67">
        <f>SUM($G$7:G105)</f>
        <v>287981</v>
      </c>
      <c r="J105" s="59">
        <f t="shared" si="13"/>
        <v>0.99282567175293557</v>
      </c>
      <c r="K105" s="31"/>
      <c r="L105" s="20" t="str">
        <f t="shared" si="9"/>
        <v/>
      </c>
      <c r="N105" s="1"/>
    </row>
    <row r="106" spans="1:14" ht="25" customHeight="1" x14ac:dyDescent="0.45">
      <c r="A106" s="5"/>
      <c r="B106" s="30"/>
      <c r="C106" s="60">
        <v>1</v>
      </c>
      <c r="D106" s="61" t="s">
        <v>59</v>
      </c>
      <c r="E106" s="61"/>
      <c r="F106" s="62"/>
      <c r="G106" s="63"/>
      <c r="H106" s="64"/>
      <c r="I106" s="71"/>
      <c r="J106" s="66"/>
      <c r="K106" s="31"/>
      <c r="L106" s="20"/>
    </row>
    <row r="107" spans="1:14" ht="25" customHeight="1" thickBot="1" x14ac:dyDescent="0.5">
      <c r="A107" s="5"/>
      <c r="B107" s="30"/>
      <c r="C107" s="72">
        <v>0</v>
      </c>
      <c r="D107" s="73">
        <f>ROUND(20*(C107-$H$3)/$H$4+100,0)</f>
        <v>54</v>
      </c>
      <c r="E107" s="73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4">
        <f>IF(I105=0,ROUND(100*(1-(I104+I107)/2/$J$3),2),ROUND(100*(1-(I105+I107)/2/$J$3),2))</f>
        <v>0.36</v>
      </c>
      <c r="G107" s="75">
        <f>_xlfn.IFNA(VLOOKUP(D107,'인원 입력 기능(국수)'!$A$5:$D$103,4,FALSE),0)</f>
        <v>2081</v>
      </c>
      <c r="H107" s="76">
        <f>G107/$J$3</f>
        <v>7.1743282470644208E-3</v>
      </c>
      <c r="I107" s="77">
        <f>SUM($G$7:G107)</f>
        <v>290062</v>
      </c>
      <c r="J107" s="78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L109" s="5"/>
    </row>
    <row r="110" spans="1:14" x14ac:dyDescent="0.45">
      <c r="A110" s="5"/>
      <c r="C110" s="5"/>
      <c r="D110" s="5"/>
      <c r="E110" s="5"/>
      <c r="F110" s="5"/>
      <c r="G110" s="5"/>
      <c r="H110" s="5"/>
      <c r="I110" s="5"/>
      <c r="J110" s="5"/>
      <c r="L110" s="5"/>
    </row>
  </sheetData>
  <mergeCells count="51">
    <mergeCell ref="I94:I95"/>
    <mergeCell ref="J94:J95"/>
    <mergeCell ref="D94:D95"/>
    <mergeCell ref="E94:E95"/>
    <mergeCell ref="F94:F95"/>
    <mergeCell ref="G94:G95"/>
    <mergeCell ref="H94:H95"/>
    <mergeCell ref="I66:I67"/>
    <mergeCell ref="J66:J67"/>
    <mergeCell ref="D80:D81"/>
    <mergeCell ref="E80:E81"/>
    <mergeCell ref="F80:F81"/>
    <mergeCell ref="G80:G81"/>
    <mergeCell ref="H80:H81"/>
    <mergeCell ref="I80:I81"/>
    <mergeCell ref="J80:J81"/>
    <mergeCell ref="D66:D67"/>
    <mergeCell ref="E66:E67"/>
    <mergeCell ref="F66:F67"/>
    <mergeCell ref="G66:G67"/>
    <mergeCell ref="H66:H67"/>
    <mergeCell ref="I38:I39"/>
    <mergeCell ref="J38:J39"/>
    <mergeCell ref="D52:D53"/>
    <mergeCell ref="E52:E53"/>
    <mergeCell ref="F52:F53"/>
    <mergeCell ref="G52:G53"/>
    <mergeCell ref="H52:H53"/>
    <mergeCell ref="I52:I53"/>
    <mergeCell ref="J52:J53"/>
    <mergeCell ref="D38:D39"/>
    <mergeCell ref="E38:E39"/>
    <mergeCell ref="F38:F39"/>
    <mergeCell ref="G38:G39"/>
    <mergeCell ref="H38:H39"/>
    <mergeCell ref="G10:G11"/>
    <mergeCell ref="H10:H11"/>
    <mergeCell ref="I10:I11"/>
    <mergeCell ref="J10:J11"/>
    <mergeCell ref="D24:D25"/>
    <mergeCell ref="E24:E25"/>
    <mergeCell ref="F24:F25"/>
    <mergeCell ref="G24:G25"/>
    <mergeCell ref="H24:H25"/>
    <mergeCell ref="I24:I25"/>
    <mergeCell ref="J24:J25"/>
    <mergeCell ref="D3:F3"/>
    <mergeCell ref="D4:F4"/>
    <mergeCell ref="D10:D11"/>
    <mergeCell ref="E10:E11"/>
    <mergeCell ref="F10:F11"/>
  </mergeCells>
  <phoneticPr fontId="1" type="noConversion"/>
  <conditionalFormatting sqref="C7:C106">
    <cfRule type="expression" dxfId="84" priority="2">
      <formula>OR(AND($D7=0,OR($D6=$Q$7:$Q$14)),AND($D8&gt;0,OR($D7=$Q$7:$Q$14)))</formula>
    </cfRule>
  </conditionalFormatting>
  <conditionalFormatting sqref="D7:J10 D12:J24 D26:J38 D40:J52 D54:J66 D68:J80 D82:J94 D96:J107">
    <cfRule type="expression" dxfId="83" priority="3">
      <formula>OR($D7=$Q$7:$Q$14)</formula>
    </cfRule>
  </conditionalFormatting>
  <conditionalFormatting sqref="D7:D10 D12:D24 D26:D38 D40:D52 D54:D66 D68:D80 D82:D94 D96:D106">
    <cfRule type="expression" dxfId="82" priority="1">
      <formula>$D7=$D8</formula>
    </cfRule>
  </conditionalFormatting>
  <conditionalFormatting sqref="C107">
    <cfRule type="expression" dxfId="81" priority="7">
      <formula>OR(AND($D107=0,OR($D106=$Q$7:$Q$14)),AND($D109&gt;0,OR($D107=$Q$7:$Q$14)))</formula>
    </cfRule>
  </conditionalFormatting>
  <conditionalFormatting sqref="D107">
    <cfRule type="expression" dxfId="80" priority="9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7"/>
  <dimension ref="A1:Q109"/>
  <sheetViews>
    <sheetView zoomScaleNormal="10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4" width="12.4140625" customWidth="1"/>
  </cols>
  <sheetData>
    <row r="1" spans="1:17" x14ac:dyDescent="0.45">
      <c r="A1" s="5" t="s">
        <v>87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기능'!D5</f>
        <v>37.44</v>
      </c>
      <c r="I3" s="21" t="s">
        <v>124</v>
      </c>
      <c r="J3" s="81">
        <f>'통계 및 응시자 수 입력 기능'!C5</f>
        <v>287461</v>
      </c>
      <c r="K3" s="31"/>
      <c r="L3" s="5"/>
    </row>
    <row r="4" spans="1:17" ht="25" customHeight="1" thickBot="1" x14ac:dyDescent="0.5">
      <c r="A4" s="5"/>
      <c r="B4" s="30"/>
      <c r="C4" s="82" t="s">
        <v>125</v>
      </c>
      <c r="D4" s="152" t="s">
        <v>126</v>
      </c>
      <c r="E4" s="153"/>
      <c r="F4" s="154"/>
      <c r="G4" s="83" t="s">
        <v>127</v>
      </c>
      <c r="H4" s="84" t="str">
        <f>'통계 및 응시자 수 입력 기능'!E5</f>
        <v>23.61</v>
      </c>
      <c r="I4" s="37"/>
      <c r="J4" s="38"/>
      <c r="K4" s="31"/>
      <c r="L4" s="5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20"/>
      <c r="J5" s="20"/>
      <c r="K5" s="31"/>
      <c r="L5" s="5"/>
    </row>
    <row r="6" spans="1:17" ht="25" customHeight="1" thickBot="1" x14ac:dyDescent="0.5">
      <c r="A6" s="5"/>
      <c r="B6" s="30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1" t="s">
        <v>118</v>
      </c>
      <c r="I6" s="51" t="s">
        <v>119</v>
      </c>
      <c r="J6" s="52" t="s">
        <v>120</v>
      </c>
      <c r="K6" s="31"/>
      <c r="L6" s="3" t="s">
        <v>86</v>
      </c>
      <c r="M6" s="3"/>
      <c r="N6" s="4"/>
    </row>
    <row r="7" spans="1:17" ht="25" customHeight="1" x14ac:dyDescent="0.45">
      <c r="A7" s="5"/>
      <c r="B7" s="30"/>
      <c r="C7" s="53">
        <v>100</v>
      </c>
      <c r="D7" s="54">
        <f>ROUND(20*(C7-$H$3)/$H$4+100,0)</f>
        <v>153</v>
      </c>
      <c r="E7" s="54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99.83</v>
      </c>
      <c r="G7" s="56">
        <f>_xlfn.IFNA(VLOOKUP(D7,'인원 입력 기능(국수)'!$F$5:$I$103,4,FALSE),0)</f>
        <v>960</v>
      </c>
      <c r="H7" s="57">
        <f>G7/$J$3</f>
        <v>3.3395834565384521E-3</v>
      </c>
      <c r="I7" s="58">
        <f>G7</f>
        <v>960</v>
      </c>
      <c r="J7" s="59">
        <f>I7/$J$3</f>
        <v>3.3395834565384521E-3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기능'!C13</f>
        <v>139</v>
      </c>
    </row>
    <row r="8" spans="1:17" ht="25" customHeight="1" x14ac:dyDescent="0.45">
      <c r="A8" s="5"/>
      <c r="B8" s="30"/>
      <c r="C8" s="60">
        <v>99</v>
      </c>
      <c r="D8" s="61" t="s">
        <v>59</v>
      </c>
      <c r="E8" s="61"/>
      <c r="F8" s="62"/>
      <c r="G8" s="63"/>
      <c r="H8" s="64"/>
      <c r="I8" s="65"/>
      <c r="J8" s="66"/>
      <c r="K8" s="31"/>
      <c r="L8" s="20"/>
      <c r="N8" s="1"/>
      <c r="P8" s="1">
        <v>2</v>
      </c>
      <c r="Q8" s="1">
        <f>'표점등급&amp;절평인원 입력 기능'!C14</f>
        <v>130</v>
      </c>
    </row>
    <row r="9" spans="1:17" ht="25" customHeight="1" x14ac:dyDescent="0.45">
      <c r="A9" s="5"/>
      <c r="B9" s="30"/>
      <c r="C9" s="60">
        <v>98</v>
      </c>
      <c r="D9" s="54">
        <f t="shared" ref="D9:D40" si="1">ROUND(20*(C9-$H$3)/$H$4+100,0)</f>
        <v>151</v>
      </c>
      <c r="E9" s="54">
        <f t="shared" si="0"/>
        <v>1</v>
      </c>
      <c r="F9" s="55">
        <f>IF(I8=0,ROUND(100*(1-(I7+I9)/2/$J$3),2),ROUND(100*(1-(I8+I9)/2/$J$3),2))</f>
        <v>99.66</v>
      </c>
      <c r="G9" s="56">
        <f>_xlfn.IFNA(VLOOKUP(D9,'인원 입력 기능(국수)'!$F$5:$I$103,4,FALSE),0)</f>
        <v>9</v>
      </c>
      <c r="H9" s="57">
        <f>G9/$J$3</f>
        <v>3.1308594905047986E-5</v>
      </c>
      <c r="I9" s="67">
        <f>SUM($G$7:G9)</f>
        <v>969</v>
      </c>
      <c r="J9" s="59">
        <f>I9/$J$3</f>
        <v>3.3708920514435E-3</v>
      </c>
      <c r="K9" s="31"/>
      <c r="L9" s="20" t="str">
        <f t="shared" ref="L9:L40" si="2">IF(ABS((C9-$H$3)/$H$4*20+100-D9)&gt;0.49, "경고", "")</f>
        <v/>
      </c>
      <c r="N9" s="1"/>
      <c r="P9" s="1">
        <v>3</v>
      </c>
      <c r="Q9" s="1">
        <f>'표점등급&amp;절평인원 입력 기능'!C15</f>
        <v>117</v>
      </c>
    </row>
    <row r="10" spans="1:17" ht="25" customHeight="1" x14ac:dyDescent="0.45">
      <c r="A10" s="5"/>
      <c r="B10" s="30"/>
      <c r="C10" s="60">
        <v>97</v>
      </c>
      <c r="D10" s="202">
        <f t="shared" si="1"/>
        <v>150</v>
      </c>
      <c r="E10" s="202">
        <f t="shared" si="0"/>
        <v>1</v>
      </c>
      <c r="F10" s="199">
        <f t="shared" ref="F10:F73" si="3">IF(I9=0,ROUND(100*(1-(I8+I10)/2/$J$3),2),ROUND(100*(1-(I9+I10)/2/$J$3),2))</f>
        <v>99.41</v>
      </c>
      <c r="G10" s="196">
        <f>IF(D10=D9,"",_xlfn.IFNA(VLOOKUP(D10,'인원 입력 기능(국수)'!$F$5:$I$103,4,FALSE),0))</f>
        <v>1478</v>
      </c>
      <c r="H10" s="192">
        <f t="shared" ref="H10:H73" si="4">G10/$J$3</f>
        <v>5.1415670299623257E-3</v>
      </c>
      <c r="I10" s="189">
        <f>SUM($G$7:G10)</f>
        <v>2447</v>
      </c>
      <c r="J10" s="162">
        <f t="shared" ref="J10:J73" si="5">I10/$J$3</f>
        <v>8.5124590814058248E-3</v>
      </c>
      <c r="K10" s="31"/>
      <c r="L10" s="20" t="str">
        <f t="shared" si="2"/>
        <v/>
      </c>
      <c r="N10" s="1"/>
      <c r="P10" s="1">
        <v>4</v>
      </c>
      <c r="Q10" s="1">
        <f>'표점등급&amp;절평인원 입력 기능'!C16</f>
        <v>102</v>
      </c>
    </row>
    <row r="11" spans="1:17" ht="25" customHeight="1" x14ac:dyDescent="0.45">
      <c r="A11" s="5"/>
      <c r="B11" s="30"/>
      <c r="C11" s="60">
        <v>96</v>
      </c>
      <c r="D11" s="201"/>
      <c r="E11" s="201"/>
      <c r="F11" s="198"/>
      <c r="G11" s="195"/>
      <c r="H11" s="194"/>
      <c r="I11" s="191"/>
      <c r="J11" s="188"/>
      <c r="K11" s="31"/>
      <c r="L11" s="20" t="str">
        <f t="shared" si="2"/>
        <v>경고</v>
      </c>
      <c r="N11" s="1"/>
      <c r="P11" s="1">
        <v>5</v>
      </c>
      <c r="Q11" s="1">
        <f>'표점등급&amp;절평인원 입력 기능'!C17</f>
        <v>89</v>
      </c>
    </row>
    <row r="12" spans="1:17" ht="25" customHeight="1" x14ac:dyDescent="0.45">
      <c r="A12" s="5"/>
      <c r="B12" s="30"/>
      <c r="C12" s="60">
        <v>95</v>
      </c>
      <c r="D12" s="54">
        <f t="shared" si="1"/>
        <v>149</v>
      </c>
      <c r="E12" s="54">
        <f t="shared" si="0"/>
        <v>1</v>
      </c>
      <c r="F12" s="55">
        <f t="shared" si="3"/>
        <v>99.15</v>
      </c>
      <c r="G12" s="56">
        <f>IF(D12=D11,"",_xlfn.IFNA(VLOOKUP(D12,'인원 입력 기능(국수)'!$F$5:$I$103,4,FALSE),0))</f>
        <v>5</v>
      </c>
      <c r="H12" s="57">
        <f t="shared" si="4"/>
        <v>1.739366383613777E-5</v>
      </c>
      <c r="I12" s="67">
        <f>SUM($G$7:G12)</f>
        <v>2452</v>
      </c>
      <c r="J12" s="59">
        <f t="shared" si="5"/>
        <v>8.5298527452419629E-3</v>
      </c>
      <c r="K12" s="31"/>
      <c r="L12" s="20" t="str">
        <f t="shared" si="2"/>
        <v/>
      </c>
      <c r="N12" s="1"/>
      <c r="P12" s="1">
        <v>6</v>
      </c>
      <c r="Q12" s="1">
        <f>'표점등급&amp;절평인원 입력 기능'!C18</f>
        <v>83</v>
      </c>
    </row>
    <row r="13" spans="1:17" ht="25" customHeight="1" x14ac:dyDescent="0.45">
      <c r="A13" s="5"/>
      <c r="B13" s="30"/>
      <c r="C13" s="60">
        <v>94</v>
      </c>
      <c r="D13" s="54">
        <f t="shared" si="1"/>
        <v>148</v>
      </c>
      <c r="E13" s="54">
        <f t="shared" si="0"/>
        <v>1</v>
      </c>
      <c r="F13" s="55">
        <f t="shared" si="3"/>
        <v>99.14</v>
      </c>
      <c r="G13" s="56">
        <f>IF(D13=D12,"",_xlfn.IFNA(VLOOKUP(D13,'인원 입력 기능(국수)'!$F$5:$I$103,4,FALSE),0))</f>
        <v>46</v>
      </c>
      <c r="H13" s="57">
        <f t="shared" si="4"/>
        <v>1.6002170729246751E-4</v>
      </c>
      <c r="I13" s="67">
        <f>SUM($G$7:G13)</f>
        <v>2498</v>
      </c>
      <c r="J13" s="59">
        <f t="shared" si="5"/>
        <v>8.6898744525344303E-3</v>
      </c>
      <c r="K13" s="31"/>
      <c r="L13" s="20" t="str">
        <f t="shared" si="2"/>
        <v/>
      </c>
      <c r="N13" s="1"/>
      <c r="P13" s="1">
        <v>7</v>
      </c>
      <c r="Q13" s="1">
        <f>'표점등급&amp;절평인원 입력 기능'!C19</f>
        <v>79</v>
      </c>
    </row>
    <row r="14" spans="1:17" ht="25" customHeight="1" x14ac:dyDescent="0.45">
      <c r="A14" s="5"/>
      <c r="B14" s="30"/>
      <c r="C14" s="60">
        <v>93</v>
      </c>
      <c r="D14" s="54">
        <f t="shared" si="1"/>
        <v>147</v>
      </c>
      <c r="E14" s="54">
        <f t="shared" si="0"/>
        <v>1</v>
      </c>
      <c r="F14" s="55">
        <f t="shared" si="3"/>
        <v>99.09</v>
      </c>
      <c r="G14" s="56">
        <f>IF(D14=D13,"",_xlfn.IFNA(VLOOKUP(D14,'인원 입력 기능(국수)'!$F$5:$I$103,4,FALSE),0))</f>
        <v>258</v>
      </c>
      <c r="H14" s="57">
        <f t="shared" si="4"/>
        <v>8.9751305394470901E-4</v>
      </c>
      <c r="I14" s="67">
        <f>SUM($G$7:G14)</f>
        <v>2756</v>
      </c>
      <c r="J14" s="59">
        <f t="shared" si="5"/>
        <v>9.5873875064791392E-3</v>
      </c>
      <c r="K14" s="31"/>
      <c r="L14" s="20" t="str">
        <f t="shared" si="2"/>
        <v/>
      </c>
      <c r="N14" s="1"/>
      <c r="P14" s="1">
        <v>8</v>
      </c>
      <c r="Q14" s="1">
        <f>'표점등급&amp;절평인원 입력 기능'!C20</f>
        <v>76</v>
      </c>
    </row>
    <row r="15" spans="1:17" ht="25" customHeight="1" x14ac:dyDescent="0.45">
      <c r="A15" s="5"/>
      <c r="B15" s="30"/>
      <c r="C15" s="60">
        <v>92</v>
      </c>
      <c r="D15" s="54">
        <f t="shared" si="1"/>
        <v>146</v>
      </c>
      <c r="E15" s="54">
        <f t="shared" si="0"/>
        <v>1</v>
      </c>
      <c r="F15" s="55">
        <f t="shared" si="3"/>
        <v>98.67</v>
      </c>
      <c r="G15" s="56">
        <f>IF(D15=D14,"",_xlfn.IFNA(VLOOKUP(D15,'인원 입력 기능(국수)'!$F$5:$I$103,4,FALSE),0))</f>
        <v>2147</v>
      </c>
      <c r="H15" s="57">
        <f t="shared" si="4"/>
        <v>7.4688392512375591E-3</v>
      </c>
      <c r="I15" s="67">
        <f>SUM($G$7:G15)</f>
        <v>4903</v>
      </c>
      <c r="J15" s="59">
        <f t="shared" si="5"/>
        <v>1.7056226757716699E-2</v>
      </c>
      <c r="K15" s="31"/>
      <c r="L15" s="20" t="str">
        <f t="shared" si="2"/>
        <v/>
      </c>
      <c r="N15" s="1"/>
      <c r="P15" s="1">
        <v>9</v>
      </c>
    </row>
    <row r="16" spans="1:17" ht="25" customHeight="1" x14ac:dyDescent="0.45">
      <c r="A16" s="5"/>
      <c r="B16" s="30"/>
      <c r="C16" s="60">
        <v>91</v>
      </c>
      <c r="D16" s="202">
        <f t="shared" si="1"/>
        <v>145</v>
      </c>
      <c r="E16" s="202">
        <f t="shared" si="0"/>
        <v>1</v>
      </c>
      <c r="F16" s="199">
        <f t="shared" si="3"/>
        <v>98.28</v>
      </c>
      <c r="G16" s="196">
        <f>IF(D16=D15,"",_xlfn.IFNA(VLOOKUP(D16,'인원 입력 기능(국수)'!$F$5:$I$103,4,FALSE),0))</f>
        <v>96</v>
      </c>
      <c r="H16" s="192">
        <f t="shared" si="4"/>
        <v>3.339583456538452E-4</v>
      </c>
      <c r="I16" s="189">
        <f>SUM($G$7:G16)</f>
        <v>4999</v>
      </c>
      <c r="J16" s="162">
        <f t="shared" si="5"/>
        <v>1.7390185103370544E-2</v>
      </c>
      <c r="K16" s="31"/>
      <c r="L16" s="20" t="str">
        <f t="shared" si="2"/>
        <v/>
      </c>
      <c r="N16" s="1"/>
    </row>
    <row r="17" spans="1:17" ht="25" customHeight="1" x14ac:dyDescent="0.45">
      <c r="A17" s="5"/>
      <c r="B17" s="30"/>
      <c r="C17" s="60">
        <v>90</v>
      </c>
      <c r="D17" s="201"/>
      <c r="E17" s="201"/>
      <c r="F17" s="198"/>
      <c r="G17" s="195"/>
      <c r="H17" s="194"/>
      <c r="I17" s="191"/>
      <c r="J17" s="188"/>
      <c r="K17" s="31"/>
      <c r="L17" s="20" t="str">
        <f t="shared" si="2"/>
        <v>경고</v>
      </c>
      <c r="N17" s="1"/>
      <c r="Q17" s="1">
        <f>Q7*H3*H4*J3*IFERROR(IF(J107=1, 1, 0), 0)</f>
        <v>35320395621.513596</v>
      </c>
    </row>
    <row r="18" spans="1:17" ht="25" customHeight="1" x14ac:dyDescent="0.45">
      <c r="A18" s="5"/>
      <c r="B18" s="30"/>
      <c r="C18" s="60">
        <v>89</v>
      </c>
      <c r="D18" s="54">
        <f t="shared" si="1"/>
        <v>144</v>
      </c>
      <c r="E18" s="54">
        <f t="shared" si="0"/>
        <v>1</v>
      </c>
      <c r="F18" s="55">
        <f t="shared" si="3"/>
        <v>98.16</v>
      </c>
      <c r="G18" s="56">
        <f>IF(D18=D17,"",_xlfn.IFNA(VLOOKUP(D18,'인원 입력 기능(국수)'!$F$5:$I$103,4,FALSE),0))</f>
        <v>572</v>
      </c>
      <c r="H18" s="57">
        <f t="shared" si="4"/>
        <v>1.9898351428541609E-3</v>
      </c>
      <c r="I18" s="67">
        <f>SUM($G$7:G18)</f>
        <v>5571</v>
      </c>
      <c r="J18" s="59">
        <f t="shared" si="5"/>
        <v>1.9380020246224705E-2</v>
      </c>
      <c r="K18" s="31"/>
      <c r="L18" s="20" t="str">
        <f t="shared" si="2"/>
        <v/>
      </c>
      <c r="N18" s="1"/>
    </row>
    <row r="19" spans="1:17" ht="25" customHeight="1" x14ac:dyDescent="0.45">
      <c r="A19" s="5"/>
      <c r="B19" s="30"/>
      <c r="C19" s="60">
        <v>88</v>
      </c>
      <c r="D19" s="54">
        <f t="shared" si="1"/>
        <v>143</v>
      </c>
      <c r="E19" s="68">
        <f t="shared" si="0"/>
        <v>1</v>
      </c>
      <c r="F19" s="55">
        <f t="shared" si="3"/>
        <v>97.52</v>
      </c>
      <c r="G19" s="56">
        <f>IF(D19=D18,"",_xlfn.IFNA(VLOOKUP(D19,'인원 입력 기능(국수)'!$F$5:$I$103,4,FALSE),0))</f>
        <v>3125</v>
      </c>
      <c r="H19" s="57">
        <f t="shared" si="4"/>
        <v>1.0871039897586107E-2</v>
      </c>
      <c r="I19" s="67">
        <f>SUM($G$7:G19)</f>
        <v>8696</v>
      </c>
      <c r="J19" s="59">
        <f t="shared" si="5"/>
        <v>3.0251060143810814E-2</v>
      </c>
      <c r="K19" s="31"/>
      <c r="L19" s="20" t="str">
        <f t="shared" si="2"/>
        <v/>
      </c>
      <c r="N19" s="1"/>
    </row>
    <row r="20" spans="1:17" ht="25" customHeight="1" x14ac:dyDescent="0.45">
      <c r="A20" s="5"/>
      <c r="B20" s="30"/>
      <c r="C20" s="60">
        <v>87</v>
      </c>
      <c r="D20" s="54">
        <f t="shared" si="1"/>
        <v>142</v>
      </c>
      <c r="E20" s="68">
        <f t="shared" si="0"/>
        <v>1</v>
      </c>
      <c r="F20" s="55">
        <f t="shared" si="3"/>
        <v>96.97</v>
      </c>
      <c r="G20" s="56">
        <f>IF(D20=D19,"",_xlfn.IFNA(VLOOKUP(D20,'인원 입력 기능(국수)'!$F$5:$I$103,4,FALSE),0))</f>
        <v>19</v>
      </c>
      <c r="H20" s="57">
        <f t="shared" si="4"/>
        <v>6.6095922577323534E-5</v>
      </c>
      <c r="I20" s="67">
        <f>SUM($G$7:G20)</f>
        <v>8715</v>
      </c>
      <c r="J20" s="59">
        <f t="shared" si="5"/>
        <v>3.0317156066388136E-2</v>
      </c>
      <c r="K20" s="31"/>
      <c r="L20" s="20" t="str">
        <f t="shared" si="2"/>
        <v/>
      </c>
      <c r="N20" s="1"/>
    </row>
    <row r="21" spans="1:17" ht="25" customHeight="1" x14ac:dyDescent="0.45">
      <c r="A21" s="5"/>
      <c r="B21" s="30"/>
      <c r="C21" s="60">
        <v>86</v>
      </c>
      <c r="D21" s="54">
        <f t="shared" si="1"/>
        <v>141</v>
      </c>
      <c r="E21" s="68">
        <f t="shared" si="0"/>
        <v>1</v>
      </c>
      <c r="F21" s="55">
        <f t="shared" si="3"/>
        <v>96.93</v>
      </c>
      <c r="G21" s="56">
        <f>IF(D21=D20,"",_xlfn.IFNA(VLOOKUP(D21,'인원 입력 기능(국수)'!$F$5:$I$103,4,FALSE),0))</f>
        <v>214</v>
      </c>
      <c r="H21" s="57">
        <f t="shared" si="4"/>
        <v>7.4444881218669668E-4</v>
      </c>
      <c r="I21" s="67">
        <f>SUM($G$7:G21)</f>
        <v>8929</v>
      </c>
      <c r="J21" s="59">
        <f t="shared" si="5"/>
        <v>3.1061604878574834E-2</v>
      </c>
      <c r="K21" s="31"/>
      <c r="L21" s="20" t="str">
        <f t="shared" si="2"/>
        <v/>
      </c>
      <c r="N21" s="1"/>
    </row>
    <row r="22" spans="1:17" ht="25" customHeight="1" x14ac:dyDescent="0.45">
      <c r="A22" s="5"/>
      <c r="B22" s="30"/>
      <c r="C22" s="60">
        <v>85</v>
      </c>
      <c r="D22" s="54">
        <f t="shared" si="1"/>
        <v>140</v>
      </c>
      <c r="E22" s="68">
        <f t="shared" si="0"/>
        <v>1</v>
      </c>
      <c r="F22" s="55">
        <f t="shared" si="3"/>
        <v>96.69</v>
      </c>
      <c r="G22" s="56">
        <f>IF(D22=D21,"",_xlfn.IFNA(VLOOKUP(D22,'인원 입력 기능(국수)'!$F$5:$I$103,4,FALSE),0))</f>
        <v>1146</v>
      </c>
      <c r="H22" s="57">
        <f t="shared" si="4"/>
        <v>3.9866277512427776E-3</v>
      </c>
      <c r="I22" s="67">
        <f>SUM($G$7:G22)</f>
        <v>10075</v>
      </c>
      <c r="J22" s="59">
        <f t="shared" si="5"/>
        <v>3.5048232629817613E-2</v>
      </c>
      <c r="K22" s="31"/>
      <c r="L22" s="20" t="str">
        <f t="shared" si="2"/>
        <v/>
      </c>
      <c r="N22" s="1"/>
    </row>
    <row r="23" spans="1:17" ht="25" customHeight="1" x14ac:dyDescent="0.45">
      <c r="A23" s="5"/>
      <c r="B23" s="30"/>
      <c r="C23" s="60">
        <v>84</v>
      </c>
      <c r="D23" s="202">
        <f t="shared" si="1"/>
        <v>139</v>
      </c>
      <c r="E23" s="212">
        <f t="shared" si="0"/>
        <v>1</v>
      </c>
      <c r="F23" s="199">
        <f t="shared" si="3"/>
        <v>95.79</v>
      </c>
      <c r="G23" s="196">
        <f>IF(D23=D22,"",_xlfn.IFNA(VLOOKUP(D23,'인원 입력 기능(국수)'!$F$5:$I$103,4,FALSE),0))</f>
        <v>4075</v>
      </c>
      <c r="H23" s="192">
        <f t="shared" si="4"/>
        <v>1.4175836026452284E-2</v>
      </c>
      <c r="I23" s="189">
        <f>SUM($G$7:G23)</f>
        <v>14150</v>
      </c>
      <c r="J23" s="162">
        <f t="shared" si="5"/>
        <v>4.9224068656269895E-2</v>
      </c>
      <c r="K23" s="31"/>
      <c r="L23" s="20" t="str">
        <f t="shared" si="2"/>
        <v/>
      </c>
      <c r="N23" s="1"/>
    </row>
    <row r="24" spans="1:17" ht="25" customHeight="1" x14ac:dyDescent="0.45">
      <c r="A24" s="5"/>
      <c r="B24" s="30"/>
      <c r="C24" s="69">
        <v>83</v>
      </c>
      <c r="D24" s="201"/>
      <c r="E24" s="211"/>
      <c r="F24" s="198"/>
      <c r="G24" s="195"/>
      <c r="H24" s="194"/>
      <c r="I24" s="191"/>
      <c r="J24" s="188"/>
      <c r="K24" s="31"/>
      <c r="L24" s="20" t="str">
        <f t="shared" si="2"/>
        <v>경고</v>
      </c>
      <c r="N24" s="1"/>
    </row>
    <row r="25" spans="1:17" ht="25" customHeight="1" x14ac:dyDescent="0.45">
      <c r="A25" s="5"/>
      <c r="B25" s="30"/>
      <c r="C25" s="69">
        <v>82</v>
      </c>
      <c r="D25" s="68">
        <f t="shared" si="1"/>
        <v>138</v>
      </c>
      <c r="E25" s="68">
        <f t="shared" si="0"/>
        <v>2</v>
      </c>
      <c r="F25" s="55">
        <f t="shared" si="3"/>
        <v>95</v>
      </c>
      <c r="G25" s="56">
        <f>IF(D25=D24,"",_xlfn.IFNA(VLOOKUP(D25,'인원 입력 기능(국수)'!$F$5:$I$103,4,FALSE),0))</f>
        <v>459</v>
      </c>
      <c r="H25" s="57">
        <f t="shared" si="4"/>
        <v>1.5967383401574475E-3</v>
      </c>
      <c r="I25" s="70">
        <f>SUM($G$7:G25)</f>
        <v>14609</v>
      </c>
      <c r="J25" s="59">
        <f t="shared" si="5"/>
        <v>5.082080699642734E-2</v>
      </c>
      <c r="K25" s="31"/>
      <c r="L25" s="20" t="str">
        <f t="shared" si="2"/>
        <v/>
      </c>
      <c r="N25" s="1"/>
    </row>
    <row r="26" spans="1:17" ht="25" customHeight="1" x14ac:dyDescent="0.45">
      <c r="A26" s="5"/>
      <c r="B26" s="30"/>
      <c r="C26" s="69">
        <v>81</v>
      </c>
      <c r="D26" s="68">
        <f t="shared" si="1"/>
        <v>137</v>
      </c>
      <c r="E26" s="68">
        <f t="shared" si="0"/>
        <v>2</v>
      </c>
      <c r="F26" s="55">
        <f t="shared" si="3"/>
        <v>94.58</v>
      </c>
      <c r="G26" s="56">
        <f>IF(D26=D25,"",_xlfn.IFNA(VLOOKUP(D26,'인원 입력 기능(국수)'!$F$5:$I$103,4,FALSE),0))</f>
        <v>1922</v>
      </c>
      <c r="H26" s="57">
        <f t="shared" si="4"/>
        <v>6.6861243786113592E-3</v>
      </c>
      <c r="I26" s="70">
        <f>SUM($G$7:G26)</f>
        <v>16531</v>
      </c>
      <c r="J26" s="59">
        <f t="shared" si="5"/>
        <v>5.7506931375038699E-2</v>
      </c>
      <c r="K26" s="31"/>
      <c r="L26" s="20" t="str">
        <f t="shared" si="2"/>
        <v/>
      </c>
      <c r="N26" s="1"/>
    </row>
    <row r="27" spans="1:17" ht="25" customHeight="1" x14ac:dyDescent="0.45">
      <c r="A27" s="5"/>
      <c r="B27" s="30"/>
      <c r="C27" s="69">
        <v>80</v>
      </c>
      <c r="D27" s="68">
        <f t="shared" si="1"/>
        <v>136</v>
      </c>
      <c r="E27" s="68">
        <f t="shared" si="0"/>
        <v>2</v>
      </c>
      <c r="F27" s="55">
        <f t="shared" si="3"/>
        <v>93.55</v>
      </c>
      <c r="G27" s="56">
        <f>IF(D27=D26,"",_xlfn.IFNA(VLOOKUP(D27,'인원 입력 기능(국수)'!$F$5:$I$103,4,FALSE),0))</f>
        <v>4026</v>
      </c>
      <c r="H27" s="57">
        <f t="shared" si="4"/>
        <v>1.4005378120858133E-2</v>
      </c>
      <c r="I27" s="70">
        <f>SUM($G$7:G27)</f>
        <v>20557</v>
      </c>
      <c r="J27" s="59">
        <f t="shared" si="5"/>
        <v>7.1512309495896834E-2</v>
      </c>
      <c r="K27" s="31"/>
      <c r="L27" s="20" t="str">
        <f t="shared" si="2"/>
        <v/>
      </c>
      <c r="N27" s="1"/>
    </row>
    <row r="28" spans="1:17" ht="25" customHeight="1" x14ac:dyDescent="0.45">
      <c r="A28" s="5"/>
      <c r="B28" s="30"/>
      <c r="C28" s="69">
        <v>79</v>
      </c>
      <c r="D28" s="68">
        <f t="shared" si="1"/>
        <v>135</v>
      </c>
      <c r="E28" s="68">
        <f t="shared" si="0"/>
        <v>2</v>
      </c>
      <c r="F28" s="55">
        <f t="shared" si="3"/>
        <v>92.82</v>
      </c>
      <c r="G28" s="56">
        <f>IF(D28=D27,"",_xlfn.IFNA(VLOOKUP(D28,'인원 입력 기능(국수)'!$F$5:$I$103,4,FALSE),0))</f>
        <v>157</v>
      </c>
      <c r="H28" s="57">
        <f t="shared" si="4"/>
        <v>5.4616104445472601E-4</v>
      </c>
      <c r="I28" s="70">
        <f>SUM($G$7:G28)</f>
        <v>20714</v>
      </c>
      <c r="J28" s="59">
        <f t="shared" si="5"/>
        <v>7.2058470540351555E-2</v>
      </c>
      <c r="K28" s="31"/>
      <c r="L28" s="20" t="str">
        <f t="shared" si="2"/>
        <v/>
      </c>
      <c r="N28" s="1"/>
    </row>
    <row r="29" spans="1:17" ht="25" customHeight="1" x14ac:dyDescent="0.45">
      <c r="A29" s="5"/>
      <c r="B29" s="30"/>
      <c r="C29" s="69">
        <v>78</v>
      </c>
      <c r="D29" s="212">
        <f t="shared" si="1"/>
        <v>134</v>
      </c>
      <c r="E29" s="212">
        <f t="shared" si="0"/>
        <v>2</v>
      </c>
      <c r="F29" s="199">
        <f t="shared" si="3"/>
        <v>92.21</v>
      </c>
      <c r="G29" s="196">
        <f>IF(D29=D28,"",_xlfn.IFNA(VLOOKUP(D29,'인원 입력 기능(국수)'!$F$5:$I$103,4,FALSE),0))</f>
        <v>3373</v>
      </c>
      <c r="H29" s="192">
        <f t="shared" si="4"/>
        <v>1.1733765623858541E-2</v>
      </c>
      <c r="I29" s="213">
        <f>SUM($G$7:G29)</f>
        <v>24087</v>
      </c>
      <c r="J29" s="162">
        <f t="shared" si="5"/>
        <v>8.3792236164210096E-2</v>
      </c>
      <c r="K29" s="31"/>
      <c r="L29" s="20" t="str">
        <f t="shared" si="2"/>
        <v/>
      </c>
      <c r="N29" s="1"/>
    </row>
    <row r="30" spans="1:17" ht="25" customHeight="1" x14ac:dyDescent="0.45">
      <c r="A30" s="5"/>
      <c r="B30" s="30"/>
      <c r="C30" s="69">
        <v>77</v>
      </c>
      <c r="D30" s="211"/>
      <c r="E30" s="211"/>
      <c r="F30" s="198"/>
      <c r="G30" s="195"/>
      <c r="H30" s="194"/>
      <c r="I30" s="214"/>
      <c r="J30" s="188"/>
      <c r="K30" s="31"/>
      <c r="L30" s="20" t="str">
        <f t="shared" si="2"/>
        <v>경고</v>
      </c>
      <c r="N30" s="1"/>
    </row>
    <row r="31" spans="1:17" ht="25" customHeight="1" x14ac:dyDescent="0.45">
      <c r="A31" s="5"/>
      <c r="B31" s="30"/>
      <c r="C31" s="69">
        <v>76</v>
      </c>
      <c r="D31" s="68">
        <f t="shared" si="1"/>
        <v>133</v>
      </c>
      <c r="E31" s="68">
        <f t="shared" si="0"/>
        <v>2</v>
      </c>
      <c r="F31" s="55">
        <f t="shared" si="3"/>
        <v>91</v>
      </c>
      <c r="G31" s="56">
        <f>IF(D31=D30,"",_xlfn.IFNA(VLOOKUP(D31,'인원 입력 기능(국수)'!$F$5:$I$103,4,FALSE),0))</f>
        <v>3548</v>
      </c>
      <c r="H31" s="57">
        <f t="shared" si="4"/>
        <v>1.2342543858123363E-2</v>
      </c>
      <c r="I31" s="70">
        <f>SUM($G$7:G31)</f>
        <v>27635</v>
      </c>
      <c r="J31" s="59">
        <f t="shared" si="5"/>
        <v>9.6134780022333458E-2</v>
      </c>
      <c r="K31" s="31"/>
      <c r="L31" s="20" t="str">
        <f t="shared" si="2"/>
        <v/>
      </c>
      <c r="N31" s="1"/>
    </row>
    <row r="32" spans="1:17" ht="25" customHeight="1" x14ac:dyDescent="0.45">
      <c r="A32" s="5"/>
      <c r="B32" s="30"/>
      <c r="C32" s="69">
        <v>75</v>
      </c>
      <c r="D32" s="68">
        <f t="shared" si="1"/>
        <v>132</v>
      </c>
      <c r="E32" s="68">
        <f t="shared" si="0"/>
        <v>2</v>
      </c>
      <c r="F32" s="55">
        <f t="shared" si="3"/>
        <v>90.33</v>
      </c>
      <c r="G32" s="56">
        <f>IF(D32=D31,"",_xlfn.IFNA(VLOOKUP(D32,'인원 입력 기능(국수)'!$F$5:$I$103,4,FALSE),0))</f>
        <v>347</v>
      </c>
      <c r="H32" s="57">
        <f t="shared" si="4"/>
        <v>1.2071202702279614E-3</v>
      </c>
      <c r="I32" s="70">
        <f>SUM($G$7:G32)</f>
        <v>27982</v>
      </c>
      <c r="J32" s="59">
        <f t="shared" si="5"/>
        <v>9.7341900292561429E-2</v>
      </c>
      <c r="K32" s="31"/>
      <c r="L32" s="20" t="str">
        <f t="shared" si="2"/>
        <v/>
      </c>
      <c r="N32" s="1"/>
    </row>
    <row r="33" spans="1:14" ht="25" customHeight="1" x14ac:dyDescent="0.45">
      <c r="A33" s="5"/>
      <c r="B33" s="30"/>
      <c r="C33" s="69">
        <v>74</v>
      </c>
      <c r="D33" s="68">
        <f t="shared" si="1"/>
        <v>131</v>
      </c>
      <c r="E33" s="68">
        <f t="shared" si="0"/>
        <v>2</v>
      </c>
      <c r="F33" s="55">
        <f t="shared" si="3"/>
        <v>90.06</v>
      </c>
      <c r="G33" s="56">
        <f>IF(D33=D32,"",_xlfn.IFNA(VLOOKUP(D33,'인원 입력 기능(국수)'!$F$5:$I$103,4,FALSE),0))</f>
        <v>1195</v>
      </c>
      <c r="H33" s="57">
        <f t="shared" si="4"/>
        <v>4.1570856568369273E-3</v>
      </c>
      <c r="I33" s="70">
        <f>SUM($G$7:G33)</f>
        <v>29177</v>
      </c>
      <c r="J33" s="59">
        <f t="shared" si="5"/>
        <v>0.10149898594939835</v>
      </c>
      <c r="K33" s="31"/>
      <c r="L33" s="20" t="str">
        <f t="shared" si="2"/>
        <v/>
      </c>
      <c r="N33" s="1"/>
    </row>
    <row r="34" spans="1:14" ht="25" customHeight="1" x14ac:dyDescent="0.45">
      <c r="A34" s="5"/>
      <c r="B34" s="30"/>
      <c r="C34" s="69">
        <v>73</v>
      </c>
      <c r="D34" s="68">
        <f t="shared" si="1"/>
        <v>130</v>
      </c>
      <c r="E34" s="68">
        <f t="shared" si="0"/>
        <v>2</v>
      </c>
      <c r="F34" s="55">
        <f t="shared" si="3"/>
        <v>89.32</v>
      </c>
      <c r="G34" s="56">
        <f>IF(D34=D33,"",_xlfn.IFNA(VLOOKUP(D34,'인원 입력 기능(국수)'!$F$5:$I$103,4,FALSE),0))</f>
        <v>3047</v>
      </c>
      <c r="H34" s="57">
        <f t="shared" si="4"/>
        <v>1.0599698741742358E-2</v>
      </c>
      <c r="I34" s="70">
        <f>SUM($G$7:G34)</f>
        <v>32224</v>
      </c>
      <c r="J34" s="59">
        <f t="shared" si="5"/>
        <v>0.11209868469114072</v>
      </c>
      <c r="K34" s="31"/>
      <c r="L34" s="20" t="str">
        <f t="shared" si="2"/>
        <v/>
      </c>
      <c r="N34" s="1"/>
    </row>
    <row r="35" spans="1:14" ht="25" customHeight="1" x14ac:dyDescent="0.45">
      <c r="A35" s="5"/>
      <c r="B35" s="30"/>
      <c r="C35" s="69">
        <v>72</v>
      </c>
      <c r="D35" s="68">
        <f t="shared" si="1"/>
        <v>129</v>
      </c>
      <c r="E35" s="68">
        <f t="shared" si="0"/>
        <v>3</v>
      </c>
      <c r="F35" s="55">
        <f t="shared" si="3"/>
        <v>88.29</v>
      </c>
      <c r="G35" s="56">
        <f>IF(D35=D34,"",_xlfn.IFNA(VLOOKUP(D35,'인원 입력 기능(국수)'!$F$5:$I$103,4,FALSE),0))</f>
        <v>2875</v>
      </c>
      <c r="H35" s="57">
        <f t="shared" si="4"/>
        <v>1.0001356705779219E-2</v>
      </c>
      <c r="I35" s="70">
        <f>SUM($G$7:G35)</f>
        <v>35099</v>
      </c>
      <c r="J35" s="59">
        <f t="shared" si="5"/>
        <v>0.12210004139691993</v>
      </c>
      <c r="K35" s="31"/>
      <c r="L35" s="20" t="str">
        <f t="shared" si="2"/>
        <v/>
      </c>
      <c r="N35" s="1"/>
    </row>
    <row r="36" spans="1:14" ht="25" customHeight="1" x14ac:dyDescent="0.45">
      <c r="A36" s="5"/>
      <c r="B36" s="30"/>
      <c r="C36" s="69">
        <v>71</v>
      </c>
      <c r="D36" s="212">
        <f t="shared" si="1"/>
        <v>128</v>
      </c>
      <c r="E36" s="212">
        <f t="shared" si="0"/>
        <v>3</v>
      </c>
      <c r="F36" s="199">
        <f t="shared" si="3"/>
        <v>87.39</v>
      </c>
      <c r="G36" s="196">
        <f>IF(D36=D35,"",_xlfn.IFNA(VLOOKUP(D36,'인원 입력 기능(국수)'!$F$5:$I$103,4,FALSE),0))</f>
        <v>2308</v>
      </c>
      <c r="H36" s="192">
        <f t="shared" si="4"/>
        <v>8.0289152267611959E-3</v>
      </c>
      <c r="I36" s="213">
        <f>SUM($G$7:G36)</f>
        <v>37407</v>
      </c>
      <c r="J36" s="162">
        <f t="shared" si="5"/>
        <v>0.13012895662368112</v>
      </c>
      <c r="K36" s="31"/>
      <c r="L36" s="20" t="str">
        <f t="shared" si="2"/>
        <v/>
      </c>
      <c r="N36" s="1"/>
    </row>
    <row r="37" spans="1:14" ht="25" customHeight="1" x14ac:dyDescent="0.45">
      <c r="A37" s="5"/>
      <c r="B37" s="30"/>
      <c r="C37" s="69">
        <v>70</v>
      </c>
      <c r="D37" s="211"/>
      <c r="E37" s="211"/>
      <c r="F37" s="198"/>
      <c r="G37" s="195"/>
      <c r="H37" s="194"/>
      <c r="I37" s="214"/>
      <c r="J37" s="188"/>
      <c r="K37" s="31"/>
      <c r="L37" s="20" t="str">
        <f t="shared" si="2"/>
        <v>경고</v>
      </c>
      <c r="N37" s="1"/>
    </row>
    <row r="38" spans="1:14" ht="25" customHeight="1" x14ac:dyDescent="0.45">
      <c r="A38" s="5"/>
      <c r="B38" s="30"/>
      <c r="C38" s="69">
        <v>69</v>
      </c>
      <c r="D38" s="68">
        <f t="shared" si="1"/>
        <v>127</v>
      </c>
      <c r="E38" s="68">
        <f t="shared" si="0"/>
        <v>3</v>
      </c>
      <c r="F38" s="55">
        <f t="shared" si="3"/>
        <v>86.44</v>
      </c>
      <c r="G38" s="56">
        <f>IF(D38=D37,"",_xlfn.IFNA(VLOOKUP(D38,'인원 입력 기능(국수)'!$F$5:$I$103,4,FALSE),0))</f>
        <v>3117</v>
      </c>
      <c r="H38" s="57">
        <f t="shared" si="4"/>
        <v>1.0843210035448287E-2</v>
      </c>
      <c r="I38" s="70">
        <f>SUM($G$7:G38)</f>
        <v>40524</v>
      </c>
      <c r="J38" s="59">
        <f t="shared" si="5"/>
        <v>0.1409721666591294</v>
      </c>
      <c r="K38" s="31"/>
      <c r="L38" s="20" t="str">
        <f t="shared" si="2"/>
        <v/>
      </c>
      <c r="N38" s="1"/>
    </row>
    <row r="39" spans="1:14" ht="25" customHeight="1" x14ac:dyDescent="0.45">
      <c r="A39" s="5"/>
      <c r="B39" s="30"/>
      <c r="C39" s="69">
        <v>68</v>
      </c>
      <c r="D39" s="68">
        <f t="shared" si="1"/>
        <v>126</v>
      </c>
      <c r="E39" s="68">
        <f t="shared" si="0"/>
        <v>3</v>
      </c>
      <c r="F39" s="55">
        <f t="shared" si="3"/>
        <v>85.51</v>
      </c>
      <c r="G39" s="56">
        <f>IF(D39=D38,"",_xlfn.IFNA(VLOOKUP(D39,'인원 입력 기능(국수)'!$F$5:$I$103,4,FALSE),0))</f>
        <v>2258</v>
      </c>
      <c r="H39" s="57">
        <f t="shared" si="4"/>
        <v>7.854978588399817E-3</v>
      </c>
      <c r="I39" s="70">
        <f>SUM($G$7:G39)</f>
        <v>42782</v>
      </c>
      <c r="J39" s="59">
        <f t="shared" si="5"/>
        <v>0.14882714524752924</v>
      </c>
      <c r="K39" s="31"/>
      <c r="L39" s="20" t="str">
        <f t="shared" si="2"/>
        <v/>
      </c>
      <c r="N39" s="1"/>
    </row>
    <row r="40" spans="1:14" ht="25" customHeight="1" x14ac:dyDescent="0.45">
      <c r="A40" s="5"/>
      <c r="B40" s="30"/>
      <c r="C40" s="69">
        <v>67</v>
      </c>
      <c r="D40" s="68">
        <f t="shared" si="1"/>
        <v>125</v>
      </c>
      <c r="E40" s="68">
        <f t="shared" si="0"/>
        <v>3</v>
      </c>
      <c r="F40" s="55">
        <f t="shared" si="3"/>
        <v>84.96</v>
      </c>
      <c r="G40" s="56">
        <f>IF(D40=D39,"",_xlfn.IFNA(VLOOKUP(D40,'인원 입력 기능(국수)'!$F$5:$I$103,4,FALSE),0))</f>
        <v>907</v>
      </c>
      <c r="H40" s="57">
        <f t="shared" si="4"/>
        <v>3.1552106198753918E-3</v>
      </c>
      <c r="I40" s="70">
        <f>SUM($G$7:G40)</f>
        <v>43689</v>
      </c>
      <c r="J40" s="59">
        <f t="shared" si="5"/>
        <v>0.15198235586740463</v>
      </c>
      <c r="K40" s="31"/>
      <c r="L40" s="20" t="str">
        <f t="shared" si="2"/>
        <v/>
      </c>
      <c r="N40" s="1"/>
    </row>
    <row r="41" spans="1:14" ht="25" customHeight="1" x14ac:dyDescent="0.45">
      <c r="A41" s="5"/>
      <c r="B41" s="30"/>
      <c r="C41" s="69">
        <v>66</v>
      </c>
      <c r="D41" s="68">
        <f t="shared" ref="D41:D72" si="6">ROUND(20*(C41-$H$3)/$H$4+100,0)</f>
        <v>124</v>
      </c>
      <c r="E41" s="68">
        <f t="shared" si="0"/>
        <v>3</v>
      </c>
      <c r="F41" s="55">
        <f t="shared" si="3"/>
        <v>84.41</v>
      </c>
      <c r="G41" s="56">
        <f>IF(D41=D40,"",_xlfn.IFNA(VLOOKUP(D41,'인원 입력 기능(국수)'!$F$5:$I$103,4,FALSE),0))</f>
        <v>2253</v>
      </c>
      <c r="H41" s="57">
        <f t="shared" si="4"/>
        <v>7.8375849245636807E-3</v>
      </c>
      <c r="I41" s="70">
        <f>SUM($G$7:G41)</f>
        <v>45942</v>
      </c>
      <c r="J41" s="59">
        <f t="shared" si="5"/>
        <v>0.15981994079196829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69">
        <v>65</v>
      </c>
      <c r="D42" s="68">
        <f t="shared" si="6"/>
        <v>123</v>
      </c>
      <c r="E42" s="68">
        <f t="shared" si="0"/>
        <v>3</v>
      </c>
      <c r="F42" s="55">
        <f t="shared" si="3"/>
        <v>83.21</v>
      </c>
      <c r="G42" s="56">
        <f>IF(D42=D41,"",_xlfn.IFNA(VLOOKUP(D42,'인원 입력 기능(국수)'!$F$5:$I$103,4,FALSE),0))</f>
        <v>4636</v>
      </c>
      <c r="H42" s="57">
        <f t="shared" si="4"/>
        <v>1.6127405108866941E-2</v>
      </c>
      <c r="I42" s="70">
        <f>SUM($G$7:G42)</f>
        <v>50578</v>
      </c>
      <c r="J42" s="59">
        <f t="shared" si="5"/>
        <v>0.17594734590083524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69">
        <v>64</v>
      </c>
      <c r="D43" s="212">
        <f t="shared" si="6"/>
        <v>122</v>
      </c>
      <c r="E43" s="212">
        <f t="shared" si="0"/>
        <v>3</v>
      </c>
      <c r="F43" s="199">
        <f t="shared" si="3"/>
        <v>82.15</v>
      </c>
      <c r="G43" s="196">
        <f>IF(D43=D42,"",_xlfn.IFNA(VLOOKUP(D43,'인원 입력 기능(국수)'!$F$5:$I$103,4,FALSE),0))</f>
        <v>1447</v>
      </c>
      <c r="H43" s="192">
        <f t="shared" si="4"/>
        <v>5.0337263141782707E-3</v>
      </c>
      <c r="I43" s="213">
        <f>SUM($G$7:G43)</f>
        <v>52025</v>
      </c>
      <c r="J43" s="162">
        <f t="shared" si="5"/>
        <v>0.18098107221501353</v>
      </c>
      <c r="K43" s="31"/>
      <c r="L43" s="20" t="str">
        <f t="shared" si="7"/>
        <v>경고</v>
      </c>
      <c r="N43" s="1"/>
    </row>
    <row r="44" spans="1:14" ht="25" customHeight="1" x14ac:dyDescent="0.45">
      <c r="A44" s="5"/>
      <c r="B44" s="30"/>
      <c r="C44" s="69">
        <v>63</v>
      </c>
      <c r="D44" s="211"/>
      <c r="E44" s="211"/>
      <c r="F44" s="198"/>
      <c r="G44" s="195"/>
      <c r="H44" s="194"/>
      <c r="I44" s="214"/>
      <c r="J44" s="188"/>
      <c r="K44" s="31"/>
      <c r="L44" s="20" t="str">
        <f t="shared" si="7"/>
        <v>경고</v>
      </c>
      <c r="N44" s="1"/>
    </row>
    <row r="45" spans="1:14" ht="25" customHeight="1" x14ac:dyDescent="0.45">
      <c r="A45" s="5"/>
      <c r="B45" s="30"/>
      <c r="C45" s="69">
        <v>62</v>
      </c>
      <c r="D45" s="68">
        <f t="shared" si="6"/>
        <v>121</v>
      </c>
      <c r="E45" s="68">
        <f t="shared" si="0"/>
        <v>3</v>
      </c>
      <c r="F45" s="55">
        <f t="shared" si="3"/>
        <v>81.430000000000007</v>
      </c>
      <c r="G45" s="56">
        <f>IF(D45=D44,"",_xlfn.IFNA(VLOOKUP(D45,'인원 입력 기능(국수)'!$F$5:$I$103,4,FALSE),0))</f>
        <v>2689</v>
      </c>
      <c r="H45" s="57">
        <f t="shared" si="4"/>
        <v>9.3543124110748929E-3</v>
      </c>
      <c r="I45" s="70">
        <f>SUM($G$7:G45)</f>
        <v>54714</v>
      </c>
      <c r="J45" s="59">
        <f t="shared" si="5"/>
        <v>0.1903353846260884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69">
        <v>61</v>
      </c>
      <c r="D46" s="68">
        <f t="shared" si="6"/>
        <v>120</v>
      </c>
      <c r="E46" s="68">
        <f t="shared" si="0"/>
        <v>3</v>
      </c>
      <c r="F46" s="55">
        <f t="shared" si="3"/>
        <v>80.5</v>
      </c>
      <c r="G46" s="56">
        <f>IF(D46=D45,"",_xlfn.IFNA(VLOOKUP(D46,'인원 입력 기능(국수)'!$F$5:$I$103,4,FALSE),0))</f>
        <v>2654</v>
      </c>
      <c r="H46" s="57">
        <f t="shared" si="4"/>
        <v>9.2325567642219299E-3</v>
      </c>
      <c r="I46" s="70">
        <f>SUM($G$7:G46)</f>
        <v>57368</v>
      </c>
      <c r="J46" s="59">
        <f t="shared" si="5"/>
        <v>0.19956794139031034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69">
        <v>60</v>
      </c>
      <c r="D47" s="68">
        <f t="shared" si="6"/>
        <v>119</v>
      </c>
      <c r="E47" s="68">
        <f t="shared" si="0"/>
        <v>3</v>
      </c>
      <c r="F47" s="55">
        <f t="shared" si="3"/>
        <v>79.77</v>
      </c>
      <c r="G47" s="56">
        <f>IF(D47=D46,"",_xlfn.IFNA(VLOOKUP(D47,'인원 입력 기능(국수)'!$F$5:$I$103,4,FALSE),0))</f>
        <v>1580</v>
      </c>
      <c r="H47" s="57">
        <f t="shared" si="4"/>
        <v>5.4963977722195358E-3</v>
      </c>
      <c r="I47" s="70">
        <f>SUM($G$7:G47)</f>
        <v>58948</v>
      </c>
      <c r="J47" s="59">
        <f t="shared" si="5"/>
        <v>0.20506433916252986</v>
      </c>
      <c r="K47" s="31"/>
      <c r="L47" s="20" t="str">
        <f t="shared" si="7"/>
        <v/>
      </c>
      <c r="N47" s="1"/>
    </row>
    <row r="48" spans="1:14" ht="25" customHeight="1" x14ac:dyDescent="0.45">
      <c r="A48" s="5"/>
      <c r="B48" s="30"/>
      <c r="C48" s="69">
        <v>59</v>
      </c>
      <c r="D48" s="68">
        <f t="shared" si="6"/>
        <v>118</v>
      </c>
      <c r="E48" s="68">
        <f t="shared" si="0"/>
        <v>3</v>
      </c>
      <c r="F48" s="55">
        <f t="shared" si="3"/>
        <v>79.13</v>
      </c>
      <c r="G48" s="56">
        <f>IF(D48=D47,"",_xlfn.IFNA(VLOOKUP(D48,'인원 입력 기능(국수)'!$F$5:$I$103,4,FALSE),0))</f>
        <v>2083</v>
      </c>
      <c r="H48" s="57">
        <f t="shared" si="4"/>
        <v>7.246200354134996E-3</v>
      </c>
      <c r="I48" s="70">
        <f>SUM($G$7:G48)</f>
        <v>61031</v>
      </c>
      <c r="J48" s="59">
        <f t="shared" si="5"/>
        <v>0.21231053951666487</v>
      </c>
      <c r="K48" s="31"/>
      <c r="L48" s="20" t="str">
        <f t="shared" si="7"/>
        <v/>
      </c>
      <c r="N48" s="1"/>
    </row>
    <row r="49" spans="1:14" ht="25" customHeight="1" x14ac:dyDescent="0.45">
      <c r="A49" s="5"/>
      <c r="B49" s="30"/>
      <c r="C49" s="69">
        <v>58</v>
      </c>
      <c r="D49" s="212">
        <f t="shared" si="6"/>
        <v>117</v>
      </c>
      <c r="E49" s="212">
        <f t="shared" si="0"/>
        <v>3</v>
      </c>
      <c r="F49" s="199">
        <f t="shared" si="3"/>
        <v>77.87</v>
      </c>
      <c r="G49" s="196">
        <f>IF(D49=D48,"",_xlfn.IFNA(VLOOKUP(D49,'인원 입력 기능(국수)'!$F$5:$I$103,4,FALSE),0))</f>
        <v>5174</v>
      </c>
      <c r="H49" s="192">
        <f t="shared" si="4"/>
        <v>1.7998963337635367E-2</v>
      </c>
      <c r="I49" s="213">
        <f>SUM($G$7:G49)</f>
        <v>66205</v>
      </c>
      <c r="J49" s="162">
        <f t="shared" si="5"/>
        <v>0.23030950285430024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69">
        <v>57</v>
      </c>
      <c r="D50" s="211"/>
      <c r="E50" s="211"/>
      <c r="F50" s="198"/>
      <c r="G50" s="195"/>
      <c r="H50" s="194"/>
      <c r="I50" s="214"/>
      <c r="J50" s="188"/>
      <c r="K50" s="31"/>
      <c r="L50" s="20" t="str">
        <f t="shared" si="7"/>
        <v>경고</v>
      </c>
      <c r="N50" s="1"/>
    </row>
    <row r="51" spans="1:14" ht="25" customHeight="1" x14ac:dyDescent="0.45">
      <c r="A51" s="5"/>
      <c r="B51" s="30"/>
      <c r="C51" s="69">
        <v>56</v>
      </c>
      <c r="D51" s="68">
        <f t="shared" si="6"/>
        <v>116</v>
      </c>
      <c r="E51" s="68">
        <f t="shared" si="0"/>
        <v>4</v>
      </c>
      <c r="F51" s="55">
        <f t="shared" si="3"/>
        <v>76.650000000000006</v>
      </c>
      <c r="G51" s="56">
        <f>IF(D51=D50,"",_xlfn.IFNA(VLOOKUP(D51,'인원 입력 기능(국수)'!$F$5:$I$103,4,FALSE),0))</f>
        <v>1845</v>
      </c>
      <c r="H51" s="57">
        <f t="shared" si="4"/>
        <v>6.4182619555348376E-3</v>
      </c>
      <c r="I51" s="70">
        <f>SUM($G$7:G51)</f>
        <v>68050</v>
      </c>
      <c r="J51" s="59">
        <f t="shared" si="5"/>
        <v>0.23672776480983507</v>
      </c>
      <c r="K51" s="31"/>
      <c r="L51" s="20" t="str">
        <f t="shared" si="7"/>
        <v/>
      </c>
      <c r="N51" s="1"/>
    </row>
    <row r="52" spans="1:14" ht="25" customHeight="1" x14ac:dyDescent="0.45">
      <c r="A52" s="5"/>
      <c r="B52" s="30"/>
      <c r="C52" s="69">
        <v>55</v>
      </c>
      <c r="D52" s="68">
        <f t="shared" si="6"/>
        <v>115</v>
      </c>
      <c r="E52" s="68">
        <f t="shared" si="0"/>
        <v>4</v>
      </c>
      <c r="F52" s="55">
        <f t="shared" si="3"/>
        <v>75.819999999999993</v>
      </c>
      <c r="G52" s="56">
        <f>IF(D52=D51,"",_xlfn.IFNA(VLOOKUP(D52,'인원 입력 기능(국수)'!$F$5:$I$103,4,FALSE),0))</f>
        <v>2935</v>
      </c>
      <c r="H52" s="57">
        <f t="shared" si="4"/>
        <v>1.0210080671812873E-2</v>
      </c>
      <c r="I52" s="70">
        <f>SUM($G$7:G52)</f>
        <v>70985</v>
      </c>
      <c r="J52" s="59">
        <f t="shared" si="5"/>
        <v>0.24693784548164793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69">
        <v>54</v>
      </c>
      <c r="D53" s="68">
        <f t="shared" si="6"/>
        <v>114</v>
      </c>
      <c r="E53" s="68">
        <f t="shared" si="0"/>
        <v>4</v>
      </c>
      <c r="F53" s="55">
        <f t="shared" si="3"/>
        <v>74.790000000000006</v>
      </c>
      <c r="G53" s="56">
        <f>IF(D53=D52,"",_xlfn.IFNA(VLOOKUP(D53,'인원 입력 기능(국수)'!$F$5:$I$103,4,FALSE),0))</f>
        <v>2960</v>
      </c>
      <c r="H53" s="57">
        <f t="shared" si="4"/>
        <v>1.0297048990993561E-2</v>
      </c>
      <c r="I53" s="70">
        <f>SUM($G$7:G53)</f>
        <v>73945</v>
      </c>
      <c r="J53" s="59">
        <f t="shared" si="5"/>
        <v>0.25723489447264153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69">
        <v>53</v>
      </c>
      <c r="D54" s="68">
        <f t="shared" si="6"/>
        <v>113</v>
      </c>
      <c r="E54" s="68">
        <f t="shared" si="0"/>
        <v>4</v>
      </c>
      <c r="F54" s="55">
        <f t="shared" si="3"/>
        <v>73.930000000000007</v>
      </c>
      <c r="G54" s="56">
        <f>IF(D54=D53,"",_xlfn.IFNA(VLOOKUP(D54,'인원 입력 기능(국수)'!$F$5:$I$103,4,FALSE),0))</f>
        <v>1964</v>
      </c>
      <c r="H54" s="57">
        <f t="shared" si="4"/>
        <v>6.8322311548349168E-3</v>
      </c>
      <c r="I54" s="70">
        <f>SUM($G$7:G54)</f>
        <v>75909</v>
      </c>
      <c r="J54" s="59">
        <f t="shared" si="5"/>
        <v>0.26406712562747642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69">
        <v>52</v>
      </c>
      <c r="D55" s="68">
        <f t="shared" si="6"/>
        <v>112</v>
      </c>
      <c r="E55" s="68">
        <f t="shared" si="0"/>
        <v>4</v>
      </c>
      <c r="F55" s="55">
        <f t="shared" si="3"/>
        <v>73.12</v>
      </c>
      <c r="G55" s="56">
        <f>IF(D55=D54,"",_xlfn.IFNA(VLOOKUP(D55,'인원 입력 기능(국수)'!$F$5:$I$103,4,FALSE),0))</f>
        <v>2695</v>
      </c>
      <c r="H55" s="57">
        <f t="shared" si="4"/>
        <v>9.3751848076782593E-3</v>
      </c>
      <c r="I55" s="70">
        <f>SUM($G$7:G55)</f>
        <v>78604</v>
      </c>
      <c r="J55" s="59">
        <f t="shared" si="5"/>
        <v>0.27344231043515466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69">
        <v>51</v>
      </c>
      <c r="D56" s="212">
        <f t="shared" si="6"/>
        <v>111</v>
      </c>
      <c r="E56" s="212">
        <f t="shared" si="0"/>
        <v>4</v>
      </c>
      <c r="F56" s="199">
        <f t="shared" si="3"/>
        <v>71.61</v>
      </c>
      <c r="G56" s="196">
        <f>IF(D56=D55,"",_xlfn.IFNA(VLOOKUP(D56,'인원 입력 기능(국수)'!$F$5:$I$103,4,FALSE),0))</f>
        <v>5994</v>
      </c>
      <c r="H56" s="192">
        <f t="shared" si="4"/>
        <v>2.0851524206761961E-2</v>
      </c>
      <c r="I56" s="213">
        <f>SUM($G$7:G56)</f>
        <v>84598</v>
      </c>
      <c r="J56" s="162">
        <f t="shared" si="5"/>
        <v>0.29429383464191666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69">
        <v>50</v>
      </c>
      <c r="D57" s="211"/>
      <c r="E57" s="211"/>
      <c r="F57" s="198"/>
      <c r="G57" s="195"/>
      <c r="H57" s="194"/>
      <c r="I57" s="214"/>
      <c r="J57" s="188"/>
      <c r="K57" s="31"/>
      <c r="L57" s="20" t="str">
        <f t="shared" si="7"/>
        <v>경고</v>
      </c>
      <c r="N57" s="1"/>
    </row>
    <row r="58" spans="1:14" ht="25" customHeight="1" x14ac:dyDescent="0.45">
      <c r="A58" s="5"/>
      <c r="B58" s="30"/>
      <c r="C58" s="69">
        <v>49</v>
      </c>
      <c r="D58" s="68">
        <f t="shared" si="6"/>
        <v>110</v>
      </c>
      <c r="E58" s="68">
        <f t="shared" si="0"/>
        <v>4</v>
      </c>
      <c r="F58" s="55">
        <f t="shared" si="3"/>
        <v>70.13</v>
      </c>
      <c r="G58" s="56">
        <f>IF(D58=D57,"",_xlfn.IFNA(VLOOKUP(D58,'인원 입력 기능(국수)'!$F$5:$I$103,4,FALSE),0))</f>
        <v>2557</v>
      </c>
      <c r="H58" s="57">
        <f t="shared" si="4"/>
        <v>8.895119685800857E-3</v>
      </c>
      <c r="I58" s="70">
        <f>SUM($G$7:G58)</f>
        <v>87155</v>
      </c>
      <c r="J58" s="59">
        <f t="shared" si="5"/>
        <v>0.30318895432771747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69">
        <v>48</v>
      </c>
      <c r="D59" s="68">
        <f t="shared" si="6"/>
        <v>109</v>
      </c>
      <c r="E59" s="68">
        <f t="shared" si="0"/>
        <v>4</v>
      </c>
      <c r="F59" s="55">
        <f t="shared" si="3"/>
        <v>69.040000000000006</v>
      </c>
      <c r="G59" s="56">
        <f>IF(D59=D58,"",_xlfn.IFNA(VLOOKUP(D59,'인원 입력 기능(국수)'!$F$5:$I$103,4,FALSE),0))</f>
        <v>3698</v>
      </c>
      <c r="H59" s="57">
        <f t="shared" si="4"/>
        <v>1.2864353773207497E-2</v>
      </c>
      <c r="I59" s="70">
        <f>SUM($G$7:G59)</f>
        <v>90853</v>
      </c>
      <c r="J59" s="59">
        <f t="shared" si="5"/>
        <v>0.31605330810092497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69">
        <v>47</v>
      </c>
      <c r="D60" s="68">
        <f t="shared" si="6"/>
        <v>108</v>
      </c>
      <c r="E60" s="68">
        <f t="shared" si="0"/>
        <v>4</v>
      </c>
      <c r="F60" s="55">
        <f t="shared" si="3"/>
        <v>67.87</v>
      </c>
      <c r="G60" s="56">
        <f>IF(D60=D59,"",_xlfn.IFNA(VLOOKUP(D60,'인원 입력 기능(국수)'!$F$5:$I$103,4,FALSE),0))</f>
        <v>3036</v>
      </c>
      <c r="H60" s="57">
        <f t="shared" si="4"/>
        <v>1.0561432681302855E-2</v>
      </c>
      <c r="I60" s="70">
        <f>SUM($G$7:G60)</f>
        <v>93889</v>
      </c>
      <c r="J60" s="59">
        <f t="shared" si="5"/>
        <v>0.32661474078222785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69">
        <v>46</v>
      </c>
      <c r="D61" s="68">
        <f t="shared" si="6"/>
        <v>107</v>
      </c>
      <c r="E61" s="68">
        <f t="shared" si="0"/>
        <v>4</v>
      </c>
      <c r="F61" s="55">
        <f t="shared" si="3"/>
        <v>66.89</v>
      </c>
      <c r="G61" s="56">
        <f>IF(D61=D60,"",_xlfn.IFNA(VLOOKUP(D61,'인원 입력 기능(국수)'!$F$5:$I$103,4,FALSE),0))</f>
        <v>2571</v>
      </c>
      <c r="H61" s="57">
        <f t="shared" si="4"/>
        <v>8.9438219445420429E-3</v>
      </c>
      <c r="I61" s="70">
        <f>SUM($G$7:G61)</f>
        <v>96460</v>
      </c>
      <c r="J61" s="59">
        <f t="shared" si="5"/>
        <v>0.33555856272676987</v>
      </c>
      <c r="K61" s="31"/>
      <c r="L61" s="20" t="str">
        <f t="shared" si="7"/>
        <v/>
      </c>
      <c r="N61" s="1"/>
    </row>
    <row r="62" spans="1:14" ht="25" customHeight="1" x14ac:dyDescent="0.45">
      <c r="A62" s="5"/>
      <c r="B62" s="30"/>
      <c r="C62" s="69">
        <v>45</v>
      </c>
      <c r="D62" s="212">
        <f t="shared" si="6"/>
        <v>106</v>
      </c>
      <c r="E62" s="212">
        <f t="shared" si="0"/>
        <v>4</v>
      </c>
      <c r="F62" s="199">
        <f t="shared" si="3"/>
        <v>65.19</v>
      </c>
      <c r="G62" s="196">
        <f>IF(D62=D61,"",_xlfn.IFNA(VLOOKUP(D62,'인원 입력 기능(국수)'!$F$5:$I$103,4,FALSE),0))</f>
        <v>7210</v>
      </c>
      <c r="H62" s="192">
        <f t="shared" si="4"/>
        <v>2.5081663251710667E-2</v>
      </c>
      <c r="I62" s="213">
        <f>SUM($G$7:G62)</f>
        <v>103670</v>
      </c>
      <c r="J62" s="162">
        <f t="shared" si="5"/>
        <v>0.36064022597848056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69">
        <v>44</v>
      </c>
      <c r="D63" s="211"/>
      <c r="E63" s="211"/>
      <c r="F63" s="198"/>
      <c r="G63" s="195"/>
      <c r="H63" s="194"/>
      <c r="I63" s="214"/>
      <c r="J63" s="188"/>
      <c r="K63" s="31"/>
      <c r="L63" s="20" t="str">
        <f t="shared" si="7"/>
        <v>경고</v>
      </c>
      <c r="N63" s="1"/>
    </row>
    <row r="64" spans="1:14" ht="25" customHeight="1" x14ac:dyDescent="0.45">
      <c r="A64" s="5"/>
      <c r="B64" s="30"/>
      <c r="C64" s="69">
        <v>43</v>
      </c>
      <c r="D64" s="68">
        <f t="shared" si="6"/>
        <v>105</v>
      </c>
      <c r="E64" s="68">
        <f t="shared" si="0"/>
        <v>4</v>
      </c>
      <c r="F64" s="55">
        <f t="shared" si="3"/>
        <v>63.44</v>
      </c>
      <c r="G64" s="56">
        <f>IF(D64=D63,"",_xlfn.IFNA(VLOOKUP(D64,'인원 입력 기능(국수)'!$F$5:$I$103,4,FALSE),0))</f>
        <v>2828</v>
      </c>
      <c r="H64" s="57">
        <f t="shared" si="4"/>
        <v>9.8378562657195235E-3</v>
      </c>
      <c r="I64" s="70">
        <f>SUM($G$7:G64)</f>
        <v>106498</v>
      </c>
      <c r="J64" s="59">
        <f t="shared" si="5"/>
        <v>0.37047808224420009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69">
        <v>42</v>
      </c>
      <c r="D65" s="68">
        <f t="shared" si="6"/>
        <v>104</v>
      </c>
      <c r="E65" s="68">
        <f t="shared" si="0"/>
        <v>4</v>
      </c>
      <c r="F65" s="55">
        <f t="shared" si="3"/>
        <v>62.35</v>
      </c>
      <c r="G65" s="56">
        <f>IF(D65=D64,"",_xlfn.IFNA(VLOOKUP(D65,'인원 입력 기능(국수)'!$F$5:$I$103,4,FALSE),0))</f>
        <v>3462</v>
      </c>
      <c r="H65" s="57">
        <f t="shared" si="4"/>
        <v>1.2043372840141793E-2</v>
      </c>
      <c r="I65" s="70">
        <f>SUM($G$7:G65)</f>
        <v>109960</v>
      </c>
      <c r="J65" s="59">
        <f t="shared" si="5"/>
        <v>0.38252145508434188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69">
        <v>41</v>
      </c>
      <c r="D66" s="68">
        <f t="shared" si="6"/>
        <v>103</v>
      </c>
      <c r="E66" s="68">
        <f t="shared" si="0"/>
        <v>4</v>
      </c>
      <c r="F66" s="55">
        <f t="shared" si="3"/>
        <v>61.03</v>
      </c>
      <c r="G66" s="56">
        <f>IF(D66=D65,"",_xlfn.IFNA(VLOOKUP(D66,'인원 입력 기능(국수)'!$F$5:$I$103,4,FALSE),0))</f>
        <v>4125</v>
      </c>
      <c r="H66" s="57">
        <f t="shared" si="4"/>
        <v>1.4349772664813661E-2</v>
      </c>
      <c r="I66" s="70">
        <f>SUM($G$7:G66)</f>
        <v>114085</v>
      </c>
      <c r="J66" s="59">
        <f t="shared" si="5"/>
        <v>0.39687122774915556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69">
        <v>40</v>
      </c>
      <c r="D67" s="68">
        <f t="shared" si="6"/>
        <v>102</v>
      </c>
      <c r="E67" s="68">
        <f t="shared" si="0"/>
        <v>4</v>
      </c>
      <c r="F67" s="55">
        <f t="shared" si="3"/>
        <v>59.79</v>
      </c>
      <c r="G67" s="56">
        <f>IF(D67=D66,"",_xlfn.IFNA(VLOOKUP(D67,'인원 입력 기능(국수)'!$F$5:$I$103,4,FALSE),0))</f>
        <v>3015</v>
      </c>
      <c r="H67" s="57">
        <f t="shared" si="4"/>
        <v>1.0488379293191076E-2</v>
      </c>
      <c r="I67" s="70">
        <f>SUM($G$7:G67)</f>
        <v>117100</v>
      </c>
      <c r="J67" s="59">
        <f t="shared" si="5"/>
        <v>0.40735960704234664</v>
      </c>
      <c r="K67" s="31"/>
      <c r="L67" s="20" t="str">
        <f t="shared" si="7"/>
        <v/>
      </c>
      <c r="N67" s="1"/>
    </row>
    <row r="68" spans="1:14" ht="25" customHeight="1" x14ac:dyDescent="0.45">
      <c r="A68" s="5"/>
      <c r="B68" s="30"/>
      <c r="C68" s="69">
        <v>39</v>
      </c>
      <c r="D68" s="68">
        <f t="shared" si="6"/>
        <v>101</v>
      </c>
      <c r="E68" s="68">
        <f t="shared" si="0"/>
        <v>5</v>
      </c>
      <c r="F68" s="55">
        <f t="shared" si="3"/>
        <v>58.68</v>
      </c>
      <c r="G68" s="56">
        <f>IF(D68=D67,"",_xlfn.IFNA(VLOOKUP(D68,'인원 입력 기능(국수)'!$F$5:$I$103,4,FALSE),0))</f>
        <v>3383</v>
      </c>
      <c r="H68" s="57">
        <f t="shared" si="4"/>
        <v>1.1768552951530816E-2</v>
      </c>
      <c r="I68" s="70">
        <f>SUM($G$7:G68)</f>
        <v>120483</v>
      </c>
      <c r="J68" s="59">
        <f t="shared" si="5"/>
        <v>0.41912815999387742</v>
      </c>
      <c r="K68" s="31"/>
      <c r="L68" s="20" t="str">
        <f t="shared" si="7"/>
        <v/>
      </c>
      <c r="N68" s="1"/>
    </row>
    <row r="69" spans="1:14" ht="25" customHeight="1" x14ac:dyDescent="0.45">
      <c r="A69" s="5"/>
      <c r="B69" s="30"/>
      <c r="C69" s="69">
        <v>38</v>
      </c>
      <c r="D69" s="212">
        <f t="shared" si="6"/>
        <v>100</v>
      </c>
      <c r="E69" s="212">
        <f t="shared" si="0"/>
        <v>5</v>
      </c>
      <c r="F69" s="199">
        <f t="shared" si="3"/>
        <v>56.8</v>
      </c>
      <c r="G69" s="196">
        <f>IF(D69=D68,"",_xlfn.IFNA(VLOOKUP(D69,'인원 입력 기능(국수)'!$F$5:$I$103,4,FALSE),0))</f>
        <v>7400</v>
      </c>
      <c r="H69" s="192">
        <f t="shared" si="4"/>
        <v>2.5742622477483903E-2</v>
      </c>
      <c r="I69" s="213">
        <f>SUM($G$7:G69)</f>
        <v>127883</v>
      </c>
      <c r="J69" s="162">
        <f t="shared" si="5"/>
        <v>0.44487078247136136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69">
        <v>37</v>
      </c>
      <c r="D70" s="211"/>
      <c r="E70" s="211"/>
      <c r="F70" s="198"/>
      <c r="G70" s="195"/>
      <c r="H70" s="194"/>
      <c r="I70" s="214"/>
      <c r="J70" s="188"/>
      <c r="K70" s="31"/>
      <c r="L70" s="20" t="str">
        <f t="shared" si="7"/>
        <v>경고</v>
      </c>
      <c r="N70" s="1"/>
    </row>
    <row r="71" spans="1:14" ht="25" customHeight="1" x14ac:dyDescent="0.45">
      <c r="A71" s="5"/>
      <c r="B71" s="30"/>
      <c r="C71" s="69">
        <v>36</v>
      </c>
      <c r="D71" s="68">
        <f t="shared" si="6"/>
        <v>99</v>
      </c>
      <c r="E71" s="68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55">
        <f t="shared" si="3"/>
        <v>54.98</v>
      </c>
      <c r="G71" s="56">
        <f>IF(D71=D70,"",_xlfn.IFNA(VLOOKUP(D71,'인원 입력 기능(국수)'!$F$5:$I$103,4,FALSE),0))</f>
        <v>3085</v>
      </c>
      <c r="H71" s="57">
        <f t="shared" si="4"/>
        <v>1.0731890586897006E-2</v>
      </c>
      <c r="I71" s="70">
        <f>SUM($G$7:G71)</f>
        <v>130968</v>
      </c>
      <c r="J71" s="59">
        <f t="shared" si="5"/>
        <v>0.45560267305825836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69">
        <v>35</v>
      </c>
      <c r="D72" s="68">
        <f t="shared" si="6"/>
        <v>98</v>
      </c>
      <c r="E72" s="68">
        <f t="shared" si="8"/>
        <v>5</v>
      </c>
      <c r="F72" s="55">
        <f t="shared" si="3"/>
        <v>53.76</v>
      </c>
      <c r="G72" s="56">
        <f>IF(D72=D71,"",_xlfn.IFNA(VLOOKUP(D72,'인원 입력 기능(국수)'!$F$5:$I$103,4,FALSE),0))</f>
        <v>3901</v>
      </c>
      <c r="H72" s="57">
        <f t="shared" si="4"/>
        <v>1.357053652495469E-2</v>
      </c>
      <c r="I72" s="70">
        <f>SUM($G$7:G72)</f>
        <v>134869</v>
      </c>
      <c r="J72" s="59">
        <f t="shared" si="5"/>
        <v>0.46917320958321301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69">
        <v>34</v>
      </c>
      <c r="D73" s="68">
        <f t="shared" ref="D73:D104" si="9">ROUND(20*(C73-$H$3)/$H$4+100,0)</f>
        <v>97</v>
      </c>
      <c r="E73" s="68">
        <f t="shared" si="8"/>
        <v>5</v>
      </c>
      <c r="F73" s="55">
        <f t="shared" si="3"/>
        <v>52.49</v>
      </c>
      <c r="G73" s="56">
        <f>IF(D73=D72,"",_xlfn.IFNA(VLOOKUP(D73,'인원 입력 기능(국수)'!$F$5:$I$103,4,FALSE),0))</f>
        <v>3426</v>
      </c>
      <c r="H73" s="57">
        <f t="shared" si="4"/>
        <v>1.1918138460521602E-2</v>
      </c>
      <c r="I73" s="70">
        <f>SUM($G$7:G73)</f>
        <v>138295</v>
      </c>
      <c r="J73" s="59">
        <f t="shared" si="5"/>
        <v>0.4810913480437346</v>
      </c>
      <c r="K73" s="31"/>
      <c r="L73" s="20" t="str">
        <f t="shared" ref="L73:L105" si="10">IF(ABS((C73-$H$3)/$H$4*20+100-D73)&gt;0.49, "경고", "")</f>
        <v/>
      </c>
      <c r="N73" s="1"/>
    </row>
    <row r="74" spans="1:14" ht="25" customHeight="1" x14ac:dyDescent="0.45">
      <c r="A74" s="5"/>
      <c r="B74" s="30"/>
      <c r="C74" s="69">
        <v>33</v>
      </c>
      <c r="D74" s="68">
        <f t="shared" si="9"/>
        <v>96</v>
      </c>
      <c r="E74" s="68">
        <f t="shared" si="8"/>
        <v>5</v>
      </c>
      <c r="F74" s="55">
        <f t="shared" ref="F74:F105" si="11">IF(I73=0,ROUND(100*(1-(I72+I74)/2/$J$3),2),ROUND(100*(1-(I73+I74)/2/$J$3),2))</f>
        <v>51.34</v>
      </c>
      <c r="G74" s="56">
        <f>IF(D74=D73,"",_xlfn.IFNA(VLOOKUP(D74,'인원 입력 기능(국수)'!$F$5:$I$103,4,FALSE),0))</f>
        <v>3153</v>
      </c>
      <c r="H74" s="57">
        <f t="shared" ref="H74:H105" si="12">G74/$J$3</f>
        <v>1.0968444415068479E-2</v>
      </c>
      <c r="I74" s="70">
        <f>SUM($G$7:G74)</f>
        <v>141448</v>
      </c>
      <c r="J74" s="59">
        <f t="shared" ref="J74:J105" si="13">I74/$J$3</f>
        <v>0.4920597924588031</v>
      </c>
      <c r="K74" s="31"/>
      <c r="L74" s="20" t="str">
        <f t="shared" si="10"/>
        <v/>
      </c>
      <c r="N74" s="1"/>
    </row>
    <row r="75" spans="1:14" ht="25" customHeight="1" x14ac:dyDescent="0.45">
      <c r="A75" s="5"/>
      <c r="B75" s="30"/>
      <c r="C75" s="69">
        <v>32</v>
      </c>
      <c r="D75" s="212">
        <f t="shared" si="9"/>
        <v>95</v>
      </c>
      <c r="E75" s="212">
        <f t="shared" si="8"/>
        <v>5</v>
      </c>
      <c r="F75" s="199">
        <f t="shared" si="11"/>
        <v>49.56</v>
      </c>
      <c r="G75" s="196">
        <f>IF(D75=D74,"",_xlfn.IFNA(VLOOKUP(D75,'인원 입력 기능(국수)'!$F$5:$I$103,4,FALSE),0))</f>
        <v>7093</v>
      </c>
      <c r="H75" s="192">
        <f t="shared" si="12"/>
        <v>2.4674651517945043E-2</v>
      </c>
      <c r="I75" s="213">
        <f>SUM($G$7:G75)</f>
        <v>148541</v>
      </c>
      <c r="J75" s="162">
        <f t="shared" si="13"/>
        <v>0.51673444397674817</v>
      </c>
      <c r="K75" s="31"/>
      <c r="L75" s="20" t="str">
        <f t="shared" si="10"/>
        <v/>
      </c>
      <c r="N75" s="1"/>
    </row>
    <row r="76" spans="1:14" ht="25" customHeight="1" x14ac:dyDescent="0.45">
      <c r="A76" s="5"/>
      <c r="B76" s="30"/>
      <c r="C76" s="69">
        <v>31</v>
      </c>
      <c r="D76" s="211"/>
      <c r="E76" s="211"/>
      <c r="F76" s="198"/>
      <c r="G76" s="195"/>
      <c r="H76" s="194"/>
      <c r="I76" s="214"/>
      <c r="J76" s="188"/>
      <c r="K76" s="31"/>
      <c r="L76" s="20" t="str">
        <f t="shared" si="10"/>
        <v>경고</v>
      </c>
      <c r="N76" s="1"/>
    </row>
    <row r="77" spans="1:14" ht="25" customHeight="1" x14ac:dyDescent="0.45">
      <c r="A77" s="5"/>
      <c r="B77" s="30"/>
      <c r="C77" s="69">
        <v>30</v>
      </c>
      <c r="D77" s="68">
        <f t="shared" si="9"/>
        <v>94</v>
      </c>
      <c r="E77" s="68">
        <f t="shared" si="8"/>
        <v>5</v>
      </c>
      <c r="F77" s="55">
        <f t="shared" si="11"/>
        <v>47.73</v>
      </c>
      <c r="G77" s="56">
        <f>IF(D77=D76,"",_xlfn.IFNA(VLOOKUP(D77,'인원 입력 기능(국수)'!$F$5:$I$103,4,FALSE),0))</f>
        <v>3421</v>
      </c>
      <c r="H77" s="57">
        <f t="shared" si="12"/>
        <v>1.1900744796685464E-2</v>
      </c>
      <c r="I77" s="70">
        <f>SUM($G$7:G77)</f>
        <v>151962</v>
      </c>
      <c r="J77" s="59">
        <f t="shared" si="13"/>
        <v>0.52863518877343363</v>
      </c>
      <c r="K77" s="31"/>
      <c r="L77" s="20" t="str">
        <f t="shared" si="10"/>
        <v/>
      </c>
      <c r="N77" s="1"/>
    </row>
    <row r="78" spans="1:14" ht="25" customHeight="1" x14ac:dyDescent="0.45">
      <c r="A78" s="5"/>
      <c r="B78" s="30"/>
      <c r="C78" s="69">
        <v>29</v>
      </c>
      <c r="D78" s="68">
        <f t="shared" si="9"/>
        <v>93</v>
      </c>
      <c r="E78" s="68">
        <f t="shared" si="8"/>
        <v>5</v>
      </c>
      <c r="F78" s="55">
        <f t="shared" si="11"/>
        <v>46.48</v>
      </c>
      <c r="G78" s="56">
        <f>IF(D78=D77,"",_xlfn.IFNA(VLOOKUP(D78,'인원 입력 기능(국수)'!$F$5:$I$103,4,FALSE),0))</f>
        <v>3803</v>
      </c>
      <c r="H78" s="57">
        <f t="shared" si="12"/>
        <v>1.3229620713766389E-2</v>
      </c>
      <c r="I78" s="70">
        <f>SUM($G$7:G78)</f>
        <v>155765</v>
      </c>
      <c r="J78" s="59">
        <f t="shared" si="13"/>
        <v>0.54186480948719995</v>
      </c>
      <c r="K78" s="31"/>
      <c r="L78" s="20" t="str">
        <f t="shared" si="10"/>
        <v/>
      </c>
      <c r="N78" s="1"/>
    </row>
    <row r="79" spans="1:14" ht="25" customHeight="1" x14ac:dyDescent="0.45">
      <c r="A79" s="5"/>
      <c r="B79" s="30"/>
      <c r="C79" s="69">
        <v>28</v>
      </c>
      <c r="D79" s="68">
        <f t="shared" si="9"/>
        <v>92</v>
      </c>
      <c r="E79" s="68">
        <f t="shared" si="8"/>
        <v>5</v>
      </c>
      <c r="F79" s="55">
        <f t="shared" si="11"/>
        <v>45.16</v>
      </c>
      <c r="G79" s="56">
        <f>IF(D79=D78,"",_xlfn.IFNA(VLOOKUP(D79,'인원 입력 기능(국수)'!$F$5:$I$103,4,FALSE),0))</f>
        <v>3740</v>
      </c>
      <c r="H79" s="57">
        <f t="shared" si="12"/>
        <v>1.3010460549431052E-2</v>
      </c>
      <c r="I79" s="70">
        <f>SUM($G$7:G79)</f>
        <v>159505</v>
      </c>
      <c r="J79" s="59">
        <f t="shared" si="13"/>
        <v>0.55487527003663106</v>
      </c>
      <c r="K79" s="31"/>
      <c r="L79" s="20" t="str">
        <f t="shared" si="10"/>
        <v/>
      </c>
      <c r="N79" s="1"/>
    </row>
    <row r="80" spans="1:14" ht="25" customHeight="1" x14ac:dyDescent="0.45">
      <c r="A80" s="5"/>
      <c r="B80" s="30"/>
      <c r="C80" s="69">
        <v>27</v>
      </c>
      <c r="D80" s="68">
        <f t="shared" si="9"/>
        <v>91</v>
      </c>
      <c r="E80" s="68">
        <f t="shared" si="8"/>
        <v>5</v>
      </c>
      <c r="F80" s="55">
        <f t="shared" si="11"/>
        <v>43.86</v>
      </c>
      <c r="G80" s="56">
        <f>IF(D80=D79,"",_xlfn.IFNA(VLOOKUP(D80,'인원 입력 기능(국수)'!$F$5:$I$103,4,FALSE),0))</f>
        <v>3744</v>
      </c>
      <c r="H80" s="57">
        <f t="shared" si="12"/>
        <v>1.3024375480499964E-2</v>
      </c>
      <c r="I80" s="70">
        <f>SUM($G$7:G80)</f>
        <v>163249</v>
      </c>
      <c r="J80" s="59">
        <f t="shared" si="13"/>
        <v>0.56789964551713101</v>
      </c>
      <c r="K80" s="31"/>
      <c r="L80" s="20" t="str">
        <f t="shared" si="10"/>
        <v/>
      </c>
      <c r="N80" s="1"/>
    </row>
    <row r="81" spans="1:14" ht="25" customHeight="1" x14ac:dyDescent="0.45">
      <c r="A81" s="5"/>
      <c r="B81" s="30"/>
      <c r="C81" s="69">
        <v>26</v>
      </c>
      <c r="D81" s="68">
        <f t="shared" si="9"/>
        <v>90</v>
      </c>
      <c r="E81" s="68">
        <f t="shared" si="8"/>
        <v>5</v>
      </c>
      <c r="F81" s="55">
        <f t="shared" si="11"/>
        <v>42.5</v>
      </c>
      <c r="G81" s="56">
        <f>IF(D81=D80,"",_xlfn.IFNA(VLOOKUP(D81,'인원 입력 기능(국수)'!$F$5:$I$103,4,FALSE),0))</f>
        <v>4069</v>
      </c>
      <c r="H81" s="57">
        <f t="shared" si="12"/>
        <v>1.4154963629848919E-2</v>
      </c>
      <c r="I81" s="70">
        <f>SUM($G$7:G81)</f>
        <v>167318</v>
      </c>
      <c r="J81" s="59">
        <f t="shared" si="13"/>
        <v>0.58205460914697993</v>
      </c>
      <c r="K81" s="31"/>
      <c r="L81" s="20" t="str">
        <f t="shared" si="10"/>
        <v/>
      </c>
      <c r="N81" s="1"/>
    </row>
    <row r="82" spans="1:14" ht="25" customHeight="1" x14ac:dyDescent="0.45">
      <c r="A82" s="5"/>
      <c r="B82" s="30"/>
      <c r="C82" s="69">
        <v>25</v>
      </c>
      <c r="D82" s="212">
        <f t="shared" si="9"/>
        <v>89</v>
      </c>
      <c r="E82" s="212">
        <f t="shared" si="8"/>
        <v>5</v>
      </c>
      <c r="F82" s="199">
        <f t="shared" si="11"/>
        <v>40.33</v>
      </c>
      <c r="G82" s="196">
        <f>IF(D82=D81,"",_xlfn.IFNA(VLOOKUP(D82,'인원 입력 기능(국수)'!$F$5:$I$103,4,FALSE),0))</f>
        <v>8444</v>
      </c>
      <c r="H82" s="192">
        <f t="shared" si="12"/>
        <v>2.9374419486469468E-2</v>
      </c>
      <c r="I82" s="213">
        <f>SUM($G$7:G82)</f>
        <v>175762</v>
      </c>
      <c r="J82" s="162">
        <f t="shared" si="13"/>
        <v>0.61142902863344939</v>
      </c>
      <c r="K82" s="31"/>
      <c r="L82" s="20" t="str">
        <f t="shared" si="10"/>
        <v/>
      </c>
      <c r="N82" s="1"/>
    </row>
    <row r="83" spans="1:14" ht="25" customHeight="1" x14ac:dyDescent="0.45">
      <c r="A83" s="5"/>
      <c r="B83" s="30"/>
      <c r="C83" s="69">
        <v>24</v>
      </c>
      <c r="D83" s="211"/>
      <c r="E83" s="211"/>
      <c r="F83" s="198"/>
      <c r="G83" s="195"/>
      <c r="H83" s="194"/>
      <c r="I83" s="214"/>
      <c r="J83" s="188"/>
      <c r="K83" s="31"/>
      <c r="L83" s="20" t="str">
        <f t="shared" si="10"/>
        <v>경고</v>
      </c>
      <c r="N83" s="1"/>
    </row>
    <row r="84" spans="1:14" ht="25" customHeight="1" x14ac:dyDescent="0.45">
      <c r="A84" s="5"/>
      <c r="B84" s="30"/>
      <c r="C84" s="69">
        <v>23</v>
      </c>
      <c r="D84" s="68">
        <f t="shared" si="9"/>
        <v>88</v>
      </c>
      <c r="E84" s="68">
        <f t="shared" si="8"/>
        <v>6</v>
      </c>
      <c r="F84" s="55">
        <f t="shared" si="11"/>
        <v>38.07</v>
      </c>
      <c r="G84" s="56">
        <f>IF(D84=D83,"",_xlfn.IFNA(VLOOKUP(D84,'인원 입력 기능(국수)'!$F$5:$I$103,4,FALSE),0))</f>
        <v>4531</v>
      </c>
      <c r="H84" s="57">
        <f t="shared" si="12"/>
        <v>1.576213816830805E-2</v>
      </c>
      <c r="I84" s="70">
        <f>SUM($G$7:G84)</f>
        <v>180293</v>
      </c>
      <c r="J84" s="59">
        <f t="shared" si="13"/>
        <v>0.62719116680175746</v>
      </c>
      <c r="K84" s="31"/>
      <c r="L84" s="20" t="str">
        <f t="shared" si="10"/>
        <v/>
      </c>
      <c r="N84" s="1"/>
    </row>
    <row r="85" spans="1:14" ht="25" customHeight="1" x14ac:dyDescent="0.45">
      <c r="A85" s="5"/>
      <c r="B85" s="30"/>
      <c r="C85" s="69">
        <v>22</v>
      </c>
      <c r="D85" s="68">
        <f t="shared" si="9"/>
        <v>87</v>
      </c>
      <c r="E85" s="68">
        <f t="shared" si="8"/>
        <v>6</v>
      </c>
      <c r="F85" s="55">
        <f t="shared" si="11"/>
        <v>36.43</v>
      </c>
      <c r="G85" s="56">
        <f>IF(D85=D84,"",_xlfn.IFNA(VLOOKUP(D85,'인원 입력 기능(국수)'!$F$5:$I$103,4,FALSE),0))</f>
        <v>4883</v>
      </c>
      <c r="H85" s="57">
        <f t="shared" si="12"/>
        <v>1.6986652102372147E-2</v>
      </c>
      <c r="I85" s="70">
        <f>SUM($G$7:G85)</f>
        <v>185176</v>
      </c>
      <c r="J85" s="59">
        <f t="shared" si="13"/>
        <v>0.64417781890412962</v>
      </c>
      <c r="K85" s="31"/>
      <c r="L85" s="20" t="str">
        <f t="shared" si="10"/>
        <v/>
      </c>
      <c r="N85" s="1"/>
    </row>
    <row r="86" spans="1:14" ht="25" customHeight="1" x14ac:dyDescent="0.45">
      <c r="A86" s="5"/>
      <c r="B86" s="30"/>
      <c r="C86" s="69">
        <v>21</v>
      </c>
      <c r="D86" s="68">
        <f t="shared" si="9"/>
        <v>86</v>
      </c>
      <c r="E86" s="68">
        <f t="shared" si="8"/>
        <v>6</v>
      </c>
      <c r="F86" s="55">
        <f t="shared" si="11"/>
        <v>34.619999999999997</v>
      </c>
      <c r="G86" s="56">
        <f>IF(D86=D85,"",_xlfn.IFNA(VLOOKUP(D86,'인원 입력 기능(국수)'!$F$5:$I$103,4,FALSE),0))</f>
        <v>5513</v>
      </c>
      <c r="H86" s="57">
        <f t="shared" si="12"/>
        <v>1.9178253745725508E-2</v>
      </c>
      <c r="I86" s="70">
        <f>SUM($G$7:G86)</f>
        <v>190689</v>
      </c>
      <c r="J86" s="59">
        <f t="shared" si="13"/>
        <v>0.66335607264985508</v>
      </c>
      <c r="K86" s="31"/>
      <c r="L86" s="20" t="str">
        <f t="shared" si="10"/>
        <v/>
      </c>
      <c r="N86" s="1"/>
    </row>
    <row r="87" spans="1:14" ht="25" customHeight="1" x14ac:dyDescent="0.45">
      <c r="A87" s="5"/>
      <c r="B87" s="30"/>
      <c r="C87" s="69">
        <v>20</v>
      </c>
      <c r="D87" s="68">
        <f t="shared" si="9"/>
        <v>85</v>
      </c>
      <c r="E87" s="68">
        <f t="shared" si="8"/>
        <v>6</v>
      </c>
      <c r="F87" s="55">
        <f t="shared" si="11"/>
        <v>32.450000000000003</v>
      </c>
      <c r="G87" s="56">
        <f>IF(D87=D86,"",_xlfn.IFNA(VLOOKUP(D87,'인원 입력 기능(국수)'!$F$5:$I$103,4,FALSE),0))</f>
        <v>6963</v>
      </c>
      <c r="H87" s="57">
        <f t="shared" si="12"/>
        <v>2.4222416258205461E-2</v>
      </c>
      <c r="I87" s="70">
        <f>SUM($G$7:G87)</f>
        <v>197652</v>
      </c>
      <c r="J87" s="59">
        <f t="shared" si="13"/>
        <v>0.68757848890806061</v>
      </c>
      <c r="K87" s="31"/>
      <c r="L87" s="20" t="str">
        <f t="shared" si="10"/>
        <v/>
      </c>
      <c r="N87" s="1"/>
    </row>
    <row r="88" spans="1:14" ht="25" customHeight="1" x14ac:dyDescent="0.45">
      <c r="A88" s="5"/>
      <c r="B88" s="30"/>
      <c r="C88" s="69">
        <v>19</v>
      </c>
      <c r="D88" s="212">
        <f t="shared" si="9"/>
        <v>84</v>
      </c>
      <c r="E88" s="212">
        <f t="shared" si="8"/>
        <v>6</v>
      </c>
      <c r="F88" s="199">
        <f t="shared" si="11"/>
        <v>29.29</v>
      </c>
      <c r="G88" s="196">
        <f>IF(D88=D87,"",_xlfn.IFNA(VLOOKUP(D88,'인원 입력 기능(국수)'!$F$5:$I$103,4,FALSE),0))</f>
        <v>11214</v>
      </c>
      <c r="H88" s="192">
        <f t="shared" si="12"/>
        <v>3.9010509251689793E-2</v>
      </c>
      <c r="I88" s="213">
        <f>SUM($G$7:G88)</f>
        <v>208866</v>
      </c>
      <c r="J88" s="162">
        <f t="shared" si="13"/>
        <v>0.72658899815975042</v>
      </c>
      <c r="K88" s="31"/>
      <c r="L88" s="20" t="str">
        <f t="shared" si="10"/>
        <v/>
      </c>
      <c r="N88" s="1"/>
    </row>
    <row r="89" spans="1:14" ht="25" customHeight="1" x14ac:dyDescent="0.45">
      <c r="A89" s="5"/>
      <c r="B89" s="30"/>
      <c r="C89" s="69">
        <v>18</v>
      </c>
      <c r="D89" s="211"/>
      <c r="E89" s="211"/>
      <c r="F89" s="198"/>
      <c r="G89" s="195"/>
      <c r="H89" s="194"/>
      <c r="I89" s="214"/>
      <c r="J89" s="188"/>
      <c r="K89" s="31"/>
      <c r="L89" s="20" t="str">
        <f t="shared" si="10"/>
        <v>경고</v>
      </c>
      <c r="N89" s="1"/>
    </row>
    <row r="90" spans="1:14" ht="25" customHeight="1" x14ac:dyDescent="0.45">
      <c r="A90" s="5"/>
      <c r="B90" s="30"/>
      <c r="C90" s="69">
        <v>17</v>
      </c>
      <c r="D90" s="68">
        <f t="shared" si="9"/>
        <v>83</v>
      </c>
      <c r="E90" s="68">
        <f t="shared" si="8"/>
        <v>6</v>
      </c>
      <c r="F90" s="55">
        <f t="shared" si="11"/>
        <v>24.76</v>
      </c>
      <c r="G90" s="56">
        <f>IF(D90=D89,"",_xlfn.IFNA(VLOOKUP(D90,'인원 입력 기능(국수)'!$F$5:$I$103,4,FALSE),0))</f>
        <v>14829</v>
      </c>
      <c r="H90" s="57">
        <f t="shared" si="12"/>
        <v>5.1586128205217401E-2</v>
      </c>
      <c r="I90" s="70">
        <f>SUM($G$7:G90)</f>
        <v>223695</v>
      </c>
      <c r="J90" s="59">
        <f t="shared" si="13"/>
        <v>0.77817512636496777</v>
      </c>
      <c r="K90" s="31"/>
      <c r="L90" s="20" t="str">
        <f t="shared" si="10"/>
        <v/>
      </c>
      <c r="N90" s="1"/>
    </row>
    <row r="91" spans="1:14" ht="25" customHeight="1" x14ac:dyDescent="0.45">
      <c r="A91" s="5"/>
      <c r="B91" s="30"/>
      <c r="C91" s="69">
        <v>16</v>
      </c>
      <c r="D91" s="68">
        <f t="shared" si="9"/>
        <v>82</v>
      </c>
      <c r="E91" s="68">
        <f t="shared" si="8"/>
        <v>7</v>
      </c>
      <c r="F91" s="55">
        <f t="shared" si="11"/>
        <v>21.03</v>
      </c>
      <c r="G91" s="56">
        <f>IF(D91=D90,"",_xlfn.IFNA(VLOOKUP(D91,'인원 입력 기능(국수)'!$F$5:$I$103,4,FALSE),0))</f>
        <v>6626</v>
      </c>
      <c r="H91" s="57">
        <f t="shared" si="12"/>
        <v>2.3050083315649776E-2</v>
      </c>
      <c r="I91" s="70">
        <f>SUM($G$7:G91)</f>
        <v>230321</v>
      </c>
      <c r="J91" s="59">
        <f t="shared" si="13"/>
        <v>0.8012252096806175</v>
      </c>
      <c r="K91" s="31"/>
      <c r="L91" s="20" t="str">
        <f t="shared" si="10"/>
        <v/>
      </c>
      <c r="N91" s="1"/>
    </row>
    <row r="92" spans="1:14" ht="25" customHeight="1" x14ac:dyDescent="0.45">
      <c r="A92" s="5"/>
      <c r="B92" s="30"/>
      <c r="C92" s="69">
        <v>15</v>
      </c>
      <c r="D92" s="68">
        <f t="shared" si="9"/>
        <v>81</v>
      </c>
      <c r="E92" s="68">
        <f t="shared" si="8"/>
        <v>7</v>
      </c>
      <c r="F92" s="55">
        <f t="shared" si="11"/>
        <v>18.920000000000002</v>
      </c>
      <c r="G92" s="56">
        <f>IF(D92=D91,"",_xlfn.IFNA(VLOOKUP(D92,'인원 입력 기능(국수)'!$F$5:$I$103,4,FALSE),0))</f>
        <v>5518</v>
      </c>
      <c r="H92" s="57">
        <f t="shared" si="12"/>
        <v>1.9195647409561645E-2</v>
      </c>
      <c r="I92" s="70">
        <f>SUM($G$7:G92)</f>
        <v>235839</v>
      </c>
      <c r="J92" s="59">
        <f t="shared" si="13"/>
        <v>0.8204208570901792</v>
      </c>
      <c r="K92" s="31"/>
      <c r="L92" s="20" t="str">
        <f t="shared" si="10"/>
        <v/>
      </c>
      <c r="N92" s="1"/>
    </row>
    <row r="93" spans="1:14" ht="25" customHeight="1" x14ac:dyDescent="0.45">
      <c r="A93" s="5"/>
      <c r="B93" s="30"/>
      <c r="C93" s="69">
        <v>14</v>
      </c>
      <c r="D93" s="68">
        <f t="shared" si="9"/>
        <v>80</v>
      </c>
      <c r="E93" s="68">
        <f t="shared" si="8"/>
        <v>7</v>
      </c>
      <c r="F93" s="55">
        <f t="shared" si="11"/>
        <v>17.18</v>
      </c>
      <c r="G93" s="56">
        <f>IF(D93=D92,"",_xlfn.IFNA(VLOOKUP(D93,'인원 입력 기능(국수)'!$F$5:$I$103,4,FALSE),0))</f>
        <v>4460</v>
      </c>
      <c r="H93" s="57">
        <f t="shared" si="12"/>
        <v>1.5515148141834892E-2</v>
      </c>
      <c r="I93" s="70">
        <f>SUM($G$7:G93)</f>
        <v>240299</v>
      </c>
      <c r="J93" s="59">
        <f t="shared" si="13"/>
        <v>0.83593600523201406</v>
      </c>
      <c r="K93" s="31"/>
      <c r="L93" s="20" t="str">
        <f t="shared" si="10"/>
        <v/>
      </c>
      <c r="N93" s="1"/>
    </row>
    <row r="94" spans="1:14" ht="25" customHeight="1" x14ac:dyDescent="0.45">
      <c r="A94" s="5"/>
      <c r="B94" s="30"/>
      <c r="C94" s="69">
        <v>13</v>
      </c>
      <c r="D94" s="68">
        <f t="shared" si="9"/>
        <v>79</v>
      </c>
      <c r="E94" s="68">
        <f t="shared" si="8"/>
        <v>7</v>
      </c>
      <c r="F94" s="55">
        <f t="shared" si="11"/>
        <v>12.4</v>
      </c>
      <c r="G94" s="56">
        <f>IF(D94=D93,"",_xlfn.IFNA(VLOOKUP(D94,'인원 입력 기능(국수)'!$F$5:$I$103,4,FALSE),0))</f>
        <v>23011</v>
      </c>
      <c r="H94" s="57">
        <f t="shared" si="12"/>
        <v>8.004911970667325E-2</v>
      </c>
      <c r="I94" s="70">
        <f>SUM($G$7:G94)</f>
        <v>263310</v>
      </c>
      <c r="J94" s="59">
        <f t="shared" si="13"/>
        <v>0.91598512493868733</v>
      </c>
      <c r="K94" s="31"/>
      <c r="L94" s="20" t="str">
        <f t="shared" si="10"/>
        <v/>
      </c>
      <c r="N94" s="1"/>
    </row>
    <row r="95" spans="1:14" ht="25" customHeight="1" x14ac:dyDescent="0.45">
      <c r="A95" s="5"/>
      <c r="B95" s="30"/>
      <c r="C95" s="69">
        <v>12</v>
      </c>
      <c r="D95" s="212">
        <f t="shared" si="9"/>
        <v>78</v>
      </c>
      <c r="E95" s="212">
        <f t="shared" si="8"/>
        <v>8</v>
      </c>
      <c r="F95" s="199">
        <f t="shared" si="11"/>
        <v>6.85</v>
      </c>
      <c r="G95" s="196">
        <f>IF(D95=D94,"",_xlfn.IFNA(VLOOKUP(D95,'인원 입력 기능(국수)'!$F$5:$I$103,4,FALSE),0))</f>
        <v>8937</v>
      </c>
      <c r="H95" s="192">
        <f t="shared" si="12"/>
        <v>3.1089434740712654E-2</v>
      </c>
      <c r="I95" s="213">
        <f>SUM($G$7:G95)</f>
        <v>272247</v>
      </c>
      <c r="J95" s="162">
        <f t="shared" si="13"/>
        <v>0.94707455967940002</v>
      </c>
      <c r="K95" s="31"/>
      <c r="L95" s="20" t="str">
        <f t="shared" si="10"/>
        <v/>
      </c>
      <c r="N95" s="1"/>
    </row>
    <row r="96" spans="1:14" ht="25" customHeight="1" x14ac:dyDescent="0.45">
      <c r="A96" s="5"/>
      <c r="B96" s="30"/>
      <c r="C96" s="69">
        <v>11</v>
      </c>
      <c r="D96" s="211"/>
      <c r="E96" s="211"/>
      <c r="F96" s="198"/>
      <c r="G96" s="195"/>
      <c r="H96" s="194"/>
      <c r="I96" s="214"/>
      <c r="J96" s="188"/>
      <c r="K96" s="31"/>
      <c r="L96" s="20" t="str">
        <f t="shared" si="10"/>
        <v>경고</v>
      </c>
      <c r="N96" s="1"/>
    </row>
    <row r="97" spans="1:14" ht="25" customHeight="1" x14ac:dyDescent="0.45">
      <c r="A97" s="5"/>
      <c r="B97" s="30"/>
      <c r="C97" s="69">
        <v>10</v>
      </c>
      <c r="D97" s="68">
        <f t="shared" si="9"/>
        <v>77</v>
      </c>
      <c r="E97" s="68">
        <f t="shared" si="8"/>
        <v>8</v>
      </c>
      <c r="F97" s="55">
        <f t="shared" si="11"/>
        <v>4.72</v>
      </c>
      <c r="G97" s="56">
        <f>IF(D97=D96,"",_xlfn.IFNA(VLOOKUP(D97,'인원 입력 기능(국수)'!$F$5:$I$103,4,FALSE),0))</f>
        <v>3284</v>
      </c>
      <c r="H97" s="57">
        <f t="shared" si="12"/>
        <v>1.1424158407575288E-2</v>
      </c>
      <c r="I97" s="70">
        <f>SUM($G$7:G97)</f>
        <v>275531</v>
      </c>
      <c r="J97" s="59">
        <f t="shared" si="13"/>
        <v>0.95849871808697529</v>
      </c>
      <c r="K97" s="31"/>
      <c r="L97" s="20" t="str">
        <f t="shared" si="10"/>
        <v/>
      </c>
      <c r="N97" s="1"/>
    </row>
    <row r="98" spans="1:14" ht="25" customHeight="1" x14ac:dyDescent="0.45">
      <c r="A98" s="5"/>
      <c r="B98" s="30"/>
      <c r="C98" s="69">
        <v>9</v>
      </c>
      <c r="D98" s="68">
        <f t="shared" si="9"/>
        <v>76</v>
      </c>
      <c r="E98" s="68">
        <f t="shared" si="8"/>
        <v>8</v>
      </c>
      <c r="F98" s="55">
        <f t="shared" si="11"/>
        <v>3.66</v>
      </c>
      <c r="G98" s="56">
        <f>IF(D98=D97,"",_xlfn.IFNA(VLOOKUP(D98,'인원 입력 기능(국수)'!$F$5:$I$103,4,FALSE),0))</f>
        <v>2790</v>
      </c>
      <c r="H98" s="57">
        <f t="shared" si="12"/>
        <v>9.7056644205648773E-3</v>
      </c>
      <c r="I98" s="70">
        <f>SUM($G$7:G98)</f>
        <v>278321</v>
      </c>
      <c r="J98" s="59">
        <f t="shared" si="13"/>
        <v>0.96820438250754015</v>
      </c>
      <c r="K98" s="31"/>
      <c r="L98" s="20" t="str">
        <f t="shared" si="10"/>
        <v/>
      </c>
      <c r="N98" s="1"/>
    </row>
    <row r="99" spans="1:14" ht="25" customHeight="1" x14ac:dyDescent="0.45">
      <c r="A99" s="5"/>
      <c r="B99" s="30"/>
      <c r="C99" s="69">
        <v>8</v>
      </c>
      <c r="D99" s="68">
        <f t="shared" si="9"/>
        <v>75</v>
      </c>
      <c r="E99" s="68">
        <f t="shared" si="8"/>
        <v>9</v>
      </c>
      <c r="F99" s="55">
        <f t="shared" si="11"/>
        <v>2.92</v>
      </c>
      <c r="G99" s="56">
        <f>IF(D99=D98,"",_xlfn.IFNA(VLOOKUP(D99,'인원 입력 기능(국수)'!$F$5:$I$103,4,FALSE),0))</f>
        <v>1473</v>
      </c>
      <c r="H99" s="57">
        <f t="shared" si="12"/>
        <v>5.1241733661261876E-3</v>
      </c>
      <c r="I99" s="70">
        <f>SUM($G$7:G99)</f>
        <v>279794</v>
      </c>
      <c r="J99" s="59">
        <f t="shared" si="13"/>
        <v>0.97332855587366629</v>
      </c>
      <c r="K99" s="31"/>
      <c r="L99" s="20" t="str">
        <f t="shared" si="10"/>
        <v/>
      </c>
      <c r="N99" s="1"/>
    </row>
    <row r="100" spans="1:14" ht="25" customHeight="1" x14ac:dyDescent="0.45">
      <c r="A100" s="5"/>
      <c r="B100" s="30"/>
      <c r="C100" s="69">
        <v>7</v>
      </c>
      <c r="D100" s="68">
        <f t="shared" si="9"/>
        <v>74</v>
      </c>
      <c r="E100" s="68">
        <f t="shared" si="8"/>
        <v>9</v>
      </c>
      <c r="F100" s="55">
        <f t="shared" si="11"/>
        <v>2.4</v>
      </c>
      <c r="G100" s="56">
        <f>IF(D100=D99,"",_xlfn.IFNA(VLOOKUP(D100,'인원 입력 기능(국수)'!$F$5:$I$103,4,FALSE),0))</f>
        <v>1563</v>
      </c>
      <c r="H100" s="57">
        <f t="shared" si="12"/>
        <v>5.4372593151766676E-3</v>
      </c>
      <c r="I100" s="70">
        <f>SUM($G$7:G100)</f>
        <v>281357</v>
      </c>
      <c r="J100" s="59">
        <f t="shared" si="13"/>
        <v>0.97876581518884298</v>
      </c>
      <c r="K100" s="31"/>
      <c r="L100" s="20" t="str">
        <f t="shared" si="10"/>
        <v/>
      </c>
      <c r="N100" s="1"/>
    </row>
    <row r="101" spans="1:14" ht="25" customHeight="1" x14ac:dyDescent="0.45">
      <c r="A101" s="5"/>
      <c r="B101" s="30"/>
      <c r="C101" s="60">
        <v>6</v>
      </c>
      <c r="D101" s="202">
        <f t="shared" si="9"/>
        <v>73</v>
      </c>
      <c r="E101" s="212">
        <f t="shared" si="8"/>
        <v>9</v>
      </c>
      <c r="F101" s="199">
        <f t="shared" si="11"/>
        <v>1.76</v>
      </c>
      <c r="G101" s="196">
        <f>IF(D101=D100,"",_xlfn.IFNA(VLOOKUP(D101,'인원 입력 기능(국수)'!$F$5:$I$103,4,FALSE),0))</f>
        <v>2077</v>
      </c>
      <c r="H101" s="192">
        <f t="shared" si="12"/>
        <v>7.2253279575316305E-3</v>
      </c>
      <c r="I101" s="189">
        <f>SUM($G$7:G101)</f>
        <v>283434</v>
      </c>
      <c r="J101" s="162">
        <f t="shared" si="13"/>
        <v>0.98599114314637459</v>
      </c>
      <c r="K101" s="31"/>
      <c r="L101" s="20" t="str">
        <f t="shared" si="10"/>
        <v/>
      </c>
      <c r="N101" s="1"/>
    </row>
    <row r="102" spans="1:14" ht="25" customHeight="1" x14ac:dyDescent="0.45">
      <c r="A102" s="5"/>
      <c r="B102" s="30"/>
      <c r="C102" s="60">
        <v>5</v>
      </c>
      <c r="D102" s="201"/>
      <c r="E102" s="211"/>
      <c r="F102" s="198"/>
      <c r="G102" s="195"/>
      <c r="H102" s="194"/>
      <c r="I102" s="191"/>
      <c r="J102" s="188"/>
      <c r="K102" s="31"/>
      <c r="L102" s="20" t="str">
        <f t="shared" si="10"/>
        <v>경고</v>
      </c>
      <c r="N102" s="1"/>
    </row>
    <row r="103" spans="1:14" ht="25" customHeight="1" x14ac:dyDescent="0.45">
      <c r="A103" s="5"/>
      <c r="B103" s="30"/>
      <c r="C103" s="60">
        <v>4</v>
      </c>
      <c r="D103" s="54">
        <f t="shared" si="9"/>
        <v>72</v>
      </c>
      <c r="E103" s="68">
        <f t="shared" si="8"/>
        <v>9</v>
      </c>
      <c r="F103" s="55">
        <f t="shared" si="11"/>
        <v>1.32</v>
      </c>
      <c r="G103" s="56">
        <f>IF(D103=D102,"",_xlfn.IFNA(VLOOKUP(D103,'인원 입력 기능(국수)'!$F$5:$I$103,4,FALSE),0))</f>
        <v>484</v>
      </c>
      <c r="H103" s="57">
        <f t="shared" si="12"/>
        <v>1.6837066593381363E-3</v>
      </c>
      <c r="I103" s="67">
        <f>SUM($G$7:G103)</f>
        <v>283918</v>
      </c>
      <c r="J103" s="59">
        <f t="shared" si="13"/>
        <v>0.98767484980571274</v>
      </c>
      <c r="K103" s="31"/>
      <c r="L103" s="20" t="str">
        <f t="shared" si="10"/>
        <v/>
      </c>
      <c r="N103" s="1"/>
    </row>
    <row r="104" spans="1:14" ht="25" customHeight="1" x14ac:dyDescent="0.45">
      <c r="A104" s="5"/>
      <c r="B104" s="30"/>
      <c r="C104" s="60">
        <v>3</v>
      </c>
      <c r="D104" s="54">
        <f t="shared" si="9"/>
        <v>71</v>
      </c>
      <c r="E104" s="54">
        <f t="shared" si="8"/>
        <v>9</v>
      </c>
      <c r="F104" s="55">
        <f t="shared" si="11"/>
        <v>1.1000000000000001</v>
      </c>
      <c r="G104" s="56">
        <f>IF(D104=D103,"",_xlfn.IFNA(VLOOKUP(D104,'인원 입력 기능(국수)'!$F$5:$I$103,4,FALSE),0))</f>
        <v>790</v>
      </c>
      <c r="H104" s="57">
        <f t="shared" si="12"/>
        <v>2.7481988861097679E-3</v>
      </c>
      <c r="I104" s="67">
        <f>SUM($G$7:G104)</f>
        <v>284708</v>
      </c>
      <c r="J104" s="59">
        <f t="shared" si="13"/>
        <v>0.99042304869182252</v>
      </c>
      <c r="K104" s="31"/>
      <c r="L104" s="20" t="str">
        <f t="shared" si="10"/>
        <v/>
      </c>
      <c r="N104" s="1"/>
    </row>
    <row r="105" spans="1:14" ht="25" customHeight="1" x14ac:dyDescent="0.45">
      <c r="A105" s="5"/>
      <c r="B105" s="30"/>
      <c r="C105" s="60">
        <v>2</v>
      </c>
      <c r="D105" s="54">
        <f t="shared" ref="D105" si="14">ROUND(20*(C105-$H$3)/$H$4+100,0)</f>
        <v>70</v>
      </c>
      <c r="E105" s="54">
        <f t="shared" si="8"/>
        <v>9</v>
      </c>
      <c r="F105" s="55">
        <f t="shared" si="11"/>
        <v>0.91</v>
      </c>
      <c r="G105" s="56">
        <f>IF(D105=D104,"",_xlfn.IFNA(VLOOKUP(D105,'인원 입력 기능(국수)'!$F$5:$I$103,4,FALSE),0))</f>
        <v>262</v>
      </c>
      <c r="H105" s="57">
        <f t="shared" si="12"/>
        <v>9.114279850136192E-4</v>
      </c>
      <c r="I105" s="67">
        <f>SUM($G$7:G105)</f>
        <v>284970</v>
      </c>
      <c r="J105" s="59">
        <f t="shared" si="13"/>
        <v>0.99133447667683616</v>
      </c>
      <c r="K105" s="31"/>
      <c r="L105" s="20" t="str">
        <f t="shared" si="10"/>
        <v/>
      </c>
      <c r="N105" s="1"/>
    </row>
    <row r="106" spans="1:14" ht="25" customHeight="1" x14ac:dyDescent="0.45">
      <c r="A106" s="5"/>
      <c r="B106" s="30"/>
      <c r="C106" s="60">
        <v>1</v>
      </c>
      <c r="D106" s="61" t="s">
        <v>59</v>
      </c>
      <c r="E106" s="61"/>
      <c r="F106" s="62"/>
      <c r="G106" s="63"/>
      <c r="H106" s="64"/>
      <c r="I106" s="71"/>
      <c r="J106" s="66"/>
      <c r="K106" s="31"/>
      <c r="L106" s="20"/>
    </row>
    <row r="107" spans="1:14" ht="25" customHeight="1" thickBot="1" x14ac:dyDescent="0.5">
      <c r="A107" s="5"/>
      <c r="B107" s="30"/>
      <c r="C107" s="72">
        <v>0</v>
      </c>
      <c r="D107" s="73">
        <f>ROUND(20*(C107-$H$3)/$H$4+100,0)</f>
        <v>68</v>
      </c>
      <c r="E107" s="73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4">
        <f>IF(I105=0,ROUND(100*(1-(I104+I107)/2/$J$3),2),ROUND(100*(1-(I105+I107)/2/$J$3),2))</f>
        <v>0.43</v>
      </c>
      <c r="G107" s="75">
        <f>_xlfn.IFNA(VLOOKUP(D107,'인원 입력 기능(국수)'!$F$5:$I$103,4,FALSE),0)</f>
        <v>2491</v>
      </c>
      <c r="H107" s="76">
        <f>G107/$J$3</f>
        <v>8.6655233231638373E-3</v>
      </c>
      <c r="I107" s="77">
        <f>SUM($G$7:G107)</f>
        <v>287461</v>
      </c>
      <c r="J107" s="78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C109" s="5"/>
      <c r="D109" s="5"/>
      <c r="E109" s="5"/>
      <c r="F109" s="5"/>
      <c r="G109" s="5"/>
      <c r="H109" s="5"/>
      <c r="I109" s="5"/>
      <c r="J109" s="5"/>
      <c r="L109" s="5"/>
    </row>
  </sheetData>
  <mergeCells count="107">
    <mergeCell ref="I101:I102"/>
    <mergeCell ref="J101:J102"/>
    <mergeCell ref="D101:D102"/>
    <mergeCell ref="E101:E102"/>
    <mergeCell ref="F101:F102"/>
    <mergeCell ref="G101:G102"/>
    <mergeCell ref="H101:H102"/>
    <mergeCell ref="I88:I89"/>
    <mergeCell ref="J88:J89"/>
    <mergeCell ref="D95:D96"/>
    <mergeCell ref="E95:E96"/>
    <mergeCell ref="F95:F96"/>
    <mergeCell ref="G95:G96"/>
    <mergeCell ref="H95:H96"/>
    <mergeCell ref="I95:I96"/>
    <mergeCell ref="J95:J96"/>
    <mergeCell ref="D88:D89"/>
    <mergeCell ref="E88:E89"/>
    <mergeCell ref="F88:F89"/>
    <mergeCell ref="G88:G89"/>
    <mergeCell ref="H88:H89"/>
    <mergeCell ref="I75:I76"/>
    <mergeCell ref="J75:J76"/>
    <mergeCell ref="D82:D83"/>
    <mergeCell ref="E82:E83"/>
    <mergeCell ref="F82:F83"/>
    <mergeCell ref="G82:G83"/>
    <mergeCell ref="H82:H83"/>
    <mergeCell ref="I82:I83"/>
    <mergeCell ref="J82:J83"/>
    <mergeCell ref="D75:D76"/>
    <mergeCell ref="E75:E76"/>
    <mergeCell ref="F75:F76"/>
    <mergeCell ref="G75:G76"/>
    <mergeCell ref="H75:H76"/>
    <mergeCell ref="I62:I63"/>
    <mergeCell ref="J62:J63"/>
    <mergeCell ref="D69:D70"/>
    <mergeCell ref="E69:E70"/>
    <mergeCell ref="F69:F70"/>
    <mergeCell ref="G69:G70"/>
    <mergeCell ref="H69:H70"/>
    <mergeCell ref="I69:I70"/>
    <mergeCell ref="J69:J70"/>
    <mergeCell ref="D62:D63"/>
    <mergeCell ref="E62:E63"/>
    <mergeCell ref="F62:F63"/>
    <mergeCell ref="G62:G63"/>
    <mergeCell ref="H62:H63"/>
    <mergeCell ref="I49:I50"/>
    <mergeCell ref="J49:J50"/>
    <mergeCell ref="D56:D57"/>
    <mergeCell ref="E56:E57"/>
    <mergeCell ref="F56:F57"/>
    <mergeCell ref="G56:G57"/>
    <mergeCell ref="H56:H57"/>
    <mergeCell ref="I56:I57"/>
    <mergeCell ref="J56:J57"/>
    <mergeCell ref="D49:D50"/>
    <mergeCell ref="E49:E50"/>
    <mergeCell ref="F49:F50"/>
    <mergeCell ref="G49:G50"/>
    <mergeCell ref="H49:H50"/>
    <mergeCell ref="I36:I37"/>
    <mergeCell ref="J36:J37"/>
    <mergeCell ref="D43:D44"/>
    <mergeCell ref="E43:E44"/>
    <mergeCell ref="F43:F44"/>
    <mergeCell ref="G43:G44"/>
    <mergeCell ref="H43:H44"/>
    <mergeCell ref="I43:I44"/>
    <mergeCell ref="J43:J44"/>
    <mergeCell ref="D36:D37"/>
    <mergeCell ref="E36:E37"/>
    <mergeCell ref="F36:F37"/>
    <mergeCell ref="G36:G37"/>
    <mergeCell ref="H36:H37"/>
    <mergeCell ref="I23:I24"/>
    <mergeCell ref="J23:J24"/>
    <mergeCell ref="D29:D30"/>
    <mergeCell ref="E29:E30"/>
    <mergeCell ref="F29:F30"/>
    <mergeCell ref="G29:G30"/>
    <mergeCell ref="H29:H30"/>
    <mergeCell ref="I29:I30"/>
    <mergeCell ref="J29:J30"/>
    <mergeCell ref="D23:D24"/>
    <mergeCell ref="E23:E24"/>
    <mergeCell ref="F23:F24"/>
    <mergeCell ref="G23:G24"/>
    <mergeCell ref="H23:H24"/>
    <mergeCell ref="G10:G11"/>
    <mergeCell ref="H10:H11"/>
    <mergeCell ref="I10:I11"/>
    <mergeCell ref="J10:J11"/>
    <mergeCell ref="D16:D17"/>
    <mergeCell ref="E16:E17"/>
    <mergeCell ref="F16:F17"/>
    <mergeCell ref="G16:G17"/>
    <mergeCell ref="H16:H17"/>
    <mergeCell ref="I16:I17"/>
    <mergeCell ref="J16:J17"/>
    <mergeCell ref="D3:F3"/>
    <mergeCell ref="D4:F4"/>
    <mergeCell ref="D10:D11"/>
    <mergeCell ref="E10:E11"/>
    <mergeCell ref="F10:F11"/>
  </mergeCells>
  <phoneticPr fontId="1" type="noConversion"/>
  <conditionalFormatting sqref="D7:G10 I7:J10 D12:G16 I12:J16 D18:G23 I18:J23 D25:G29 I25:J29 D31:G36 I31:J36 D38:G43 I38:J43 D45:G49 I45:J49 D51:G56 I51:J56 D58:G62 I58:J62 D64:G69 I64:J69 D71:G75 I71:J75 D77:G82 I77:J82 D84:G88 I84:J88 D90:G95 I90:J95 D97:G101 I97:J101 D103:G107 I103:J107">
    <cfRule type="expression" dxfId="79" priority="4">
      <formula>OR($D7=$Q$7:$Q$14)</formula>
    </cfRule>
  </conditionalFormatting>
  <conditionalFormatting sqref="C7:C106">
    <cfRule type="expression" dxfId="78" priority="3">
      <formula>OR(AND($D7=0,OR($D6=$Q$7:$Q$14)),AND($D8&gt;0,OR($D7=$Q$7:$Q$14)))</formula>
    </cfRule>
  </conditionalFormatting>
  <conditionalFormatting sqref="D7:D10 D12:D16 D18:D23 D25:D29 D31:D36 D38:D43 D45:D49 D51:D56 D58:D62 D64:D69 D71:D75 D77:D82 D84:D88 D90:D95 D97:D101 D103:D106">
    <cfRule type="expression" dxfId="77" priority="2">
      <formula>$D7=$D8</formula>
    </cfRule>
  </conditionalFormatting>
  <conditionalFormatting sqref="H7:H10 H12:H16 H18:H23 H25:H29 H31:H36 H38:H43 H45:H49 H51:H56 H58:H62 H64:H69 H71:H75 H77:H82 H84:H88 H90:H95 H97:H101 H103:H107">
    <cfRule type="expression" dxfId="76" priority="1">
      <formula>OR($D7=$Q$7:$Q$14)</formula>
    </cfRule>
  </conditionalFormatting>
  <conditionalFormatting sqref="C107">
    <cfRule type="expression" dxfId="75" priority="11">
      <formula>OR(AND($D107=0,OR($D106=$Q$7:$Q$14)),AND($D109&gt;0,OR($D107=$Q$7:$Q$14)))</formula>
    </cfRule>
  </conditionalFormatting>
  <conditionalFormatting sqref="D107">
    <cfRule type="expression" dxfId="74" priority="13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8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기능'!D6</f>
        <v>57.16</v>
      </c>
      <c r="I3" s="21" t="s">
        <v>124</v>
      </c>
      <c r="J3" s="81">
        <f>'통계 및 응시자 수 입력 기능'!C6</f>
        <v>284952</v>
      </c>
      <c r="K3" s="31"/>
    </row>
    <row r="4" spans="1:12" ht="25" customHeight="1" thickBot="1" x14ac:dyDescent="0.5">
      <c r="A4" s="5"/>
      <c r="B4" s="30"/>
      <c r="C4" s="82" t="s">
        <v>125</v>
      </c>
      <c r="D4" s="152" t="s">
        <v>129</v>
      </c>
      <c r="E4" s="153"/>
      <c r="F4" s="154"/>
      <c r="G4" s="83" t="s">
        <v>127</v>
      </c>
      <c r="H4" s="84" t="str">
        <f>'통계 및 응시자 수 입력 기능'!E6</f>
        <v>21.99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49" t="s">
        <v>131</v>
      </c>
      <c r="D6" s="85" t="s">
        <v>132</v>
      </c>
      <c r="E6" s="86" t="s">
        <v>133</v>
      </c>
      <c r="F6" s="50" t="s">
        <v>134</v>
      </c>
      <c r="G6" s="50" t="s">
        <v>135</v>
      </c>
      <c r="H6" s="52" t="s">
        <v>136</v>
      </c>
      <c r="I6" s="20"/>
      <c r="J6" s="20"/>
      <c r="K6" s="31"/>
      <c r="L6" s="5"/>
    </row>
    <row r="7" spans="1:12" ht="25" customHeight="1" x14ac:dyDescent="0.45">
      <c r="A7" s="5"/>
      <c r="B7" s="30"/>
      <c r="C7" s="87">
        <v>1</v>
      </c>
      <c r="D7" s="88">
        <v>90</v>
      </c>
      <c r="E7" s="89">
        <f>'표점등급&amp;절평인원 입력 기능'!D22</f>
        <v>16636</v>
      </c>
      <c r="F7" s="90">
        <f>E7/$J$3</f>
        <v>5.8381762542463293E-2</v>
      </c>
      <c r="G7" s="91">
        <f>SUM($E$7:E7)</f>
        <v>16636</v>
      </c>
      <c r="H7" s="92">
        <f>G7/$J$3</f>
        <v>5.8381762542463293E-2</v>
      </c>
      <c r="I7" s="20"/>
      <c r="J7" s="20"/>
      <c r="K7" s="31"/>
      <c r="L7" s="5"/>
    </row>
    <row r="8" spans="1:12" ht="25" customHeight="1" x14ac:dyDescent="0.45">
      <c r="A8" s="5"/>
      <c r="B8" s="30"/>
      <c r="C8" s="93">
        <v>2</v>
      </c>
      <c r="D8" s="94">
        <v>80</v>
      </c>
      <c r="E8" s="95">
        <f>'표점등급&amp;절평인원 입력 기능'!D23</f>
        <v>31631</v>
      </c>
      <c r="F8" s="96">
        <f t="shared" ref="F8:F15" si="0">E8/$J$3</f>
        <v>0.11100466043403802</v>
      </c>
      <c r="G8" s="97">
        <f>SUM($E$7:E8)</f>
        <v>48267</v>
      </c>
      <c r="H8" s="98">
        <f t="shared" ref="H8:H15" si="1">G8/$J$3</f>
        <v>0.16938642297650131</v>
      </c>
      <c r="I8" s="20"/>
      <c r="J8" s="20"/>
      <c r="K8" s="31"/>
      <c r="L8" s="5"/>
    </row>
    <row r="9" spans="1:12" ht="25" customHeight="1" x14ac:dyDescent="0.45">
      <c r="A9" s="5"/>
      <c r="B9" s="30"/>
      <c r="C9" s="93">
        <v>3</v>
      </c>
      <c r="D9" s="94">
        <v>70</v>
      </c>
      <c r="E9" s="95">
        <f>'표점등급&amp;절평인원 입력 기능'!D24</f>
        <v>45292</v>
      </c>
      <c r="F9" s="96">
        <f t="shared" si="0"/>
        <v>0.15894606810971673</v>
      </c>
      <c r="G9" s="97">
        <f>SUM($E$7:E9)</f>
        <v>93559</v>
      </c>
      <c r="H9" s="98">
        <f t="shared" si="1"/>
        <v>0.32833249108621804</v>
      </c>
      <c r="I9" s="20"/>
      <c r="J9" s="20"/>
      <c r="K9" s="31"/>
      <c r="L9" s="5"/>
    </row>
    <row r="10" spans="1:12" ht="25" customHeight="1" x14ac:dyDescent="0.45">
      <c r="A10" s="5"/>
      <c r="B10" s="30"/>
      <c r="C10" s="93">
        <v>4</v>
      </c>
      <c r="D10" s="94">
        <v>60</v>
      </c>
      <c r="E10" s="95">
        <f>'표점등급&amp;절평인원 입력 기능'!D25</f>
        <v>48378</v>
      </c>
      <c r="F10" s="96">
        <f t="shared" si="0"/>
        <v>0.16977596226732924</v>
      </c>
      <c r="G10" s="97">
        <f>SUM($E$7:E10)</f>
        <v>141937</v>
      </c>
      <c r="H10" s="98">
        <f t="shared" si="1"/>
        <v>0.49810845335354725</v>
      </c>
      <c r="I10" s="20"/>
      <c r="J10" s="20"/>
      <c r="K10" s="31"/>
      <c r="L10" s="5"/>
    </row>
    <row r="11" spans="1:12" ht="25" customHeight="1" x14ac:dyDescent="0.45">
      <c r="A11" s="5"/>
      <c r="B11" s="30"/>
      <c r="C11" s="93">
        <v>5</v>
      </c>
      <c r="D11" s="94">
        <v>50</v>
      </c>
      <c r="E11" s="95">
        <f>'표점등급&amp;절평인원 입력 기능'!D26</f>
        <v>41462</v>
      </c>
      <c r="F11" s="96">
        <f t="shared" si="0"/>
        <v>0.14550520789466295</v>
      </c>
      <c r="G11" s="97">
        <f>SUM($E$7:E11)</f>
        <v>183399</v>
      </c>
      <c r="H11" s="98">
        <f t="shared" si="1"/>
        <v>0.64361366124821018</v>
      </c>
      <c r="I11" s="20"/>
      <c r="J11" s="20"/>
      <c r="K11" s="31"/>
      <c r="L11" s="5"/>
    </row>
    <row r="12" spans="1:12" ht="25" customHeight="1" x14ac:dyDescent="0.45">
      <c r="A12" s="5"/>
      <c r="B12" s="30"/>
      <c r="C12" s="93">
        <v>6</v>
      </c>
      <c r="D12" s="94">
        <v>40</v>
      </c>
      <c r="E12" s="95">
        <f>'표점등급&amp;절평인원 입력 기능'!D27</f>
        <v>34182</v>
      </c>
      <c r="F12" s="96">
        <f t="shared" si="0"/>
        <v>0.11995704539711952</v>
      </c>
      <c r="G12" s="97">
        <f>SUM($E$7:E12)</f>
        <v>217581</v>
      </c>
      <c r="H12" s="98">
        <f t="shared" si="1"/>
        <v>0.76357070664532978</v>
      </c>
      <c r="I12" s="20"/>
      <c r="J12" s="20"/>
      <c r="K12" s="31"/>
      <c r="L12" s="5"/>
    </row>
    <row r="13" spans="1:12" ht="25" customHeight="1" x14ac:dyDescent="0.45">
      <c r="A13" s="5"/>
      <c r="B13" s="30"/>
      <c r="C13" s="93">
        <v>7</v>
      </c>
      <c r="D13" s="94">
        <v>30</v>
      </c>
      <c r="E13" s="95">
        <f>'표점등급&amp;절평인원 입력 기능'!D28</f>
        <v>26384</v>
      </c>
      <c r="F13" s="96">
        <f t="shared" si="0"/>
        <v>9.2591032875712395E-2</v>
      </c>
      <c r="G13" s="97">
        <f>SUM($E$7:E13)</f>
        <v>243965</v>
      </c>
      <c r="H13" s="98">
        <f t="shared" si="1"/>
        <v>0.85616173952104213</v>
      </c>
      <c r="I13" s="20"/>
      <c r="J13" s="20"/>
      <c r="K13" s="31"/>
      <c r="L13" s="5"/>
    </row>
    <row r="14" spans="1:12" ht="25" customHeight="1" x14ac:dyDescent="0.45">
      <c r="A14" s="5"/>
      <c r="B14" s="30"/>
      <c r="C14" s="93">
        <v>8</v>
      </c>
      <c r="D14" s="94">
        <v>20</v>
      </c>
      <c r="E14" s="95">
        <f>'표점등급&amp;절평인원 입력 기능'!D29</f>
        <v>27583</v>
      </c>
      <c r="F14" s="96">
        <f t="shared" si="0"/>
        <v>9.6798759089250119E-2</v>
      </c>
      <c r="G14" s="97">
        <f>SUM($E$7:E14)</f>
        <v>271548</v>
      </c>
      <c r="H14" s="98">
        <f t="shared" si="1"/>
        <v>0.95296049861029231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99">
        <v>9</v>
      </c>
      <c r="D15" s="100">
        <v>0</v>
      </c>
      <c r="E15" s="101">
        <f>'표점등급&amp;절평인원 입력 기능'!D30</f>
        <v>13404</v>
      </c>
      <c r="F15" s="102">
        <f t="shared" si="0"/>
        <v>4.7039501389707743E-2</v>
      </c>
      <c r="G15" s="103">
        <f>SUM($E$7:E15)</f>
        <v>284952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9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기능'!D7</f>
        <v>27.89</v>
      </c>
      <c r="I3" s="21" t="s">
        <v>124</v>
      </c>
      <c r="J3" s="81">
        <f>'통계 및 응시자 수 입력 기능'!C7</f>
        <v>283554</v>
      </c>
      <c r="K3" s="31"/>
    </row>
    <row r="4" spans="1:12" ht="25" customHeight="1" thickBot="1" x14ac:dyDescent="0.5">
      <c r="A4" s="5"/>
      <c r="B4" s="30"/>
      <c r="C4" s="82" t="s">
        <v>125</v>
      </c>
      <c r="D4" s="152" t="s">
        <v>130</v>
      </c>
      <c r="E4" s="153"/>
      <c r="F4" s="154"/>
      <c r="G4" s="83" t="s">
        <v>127</v>
      </c>
      <c r="H4" s="84" t="str">
        <f>'통계 및 응시자 수 입력 기능'!E7</f>
        <v>13.18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49" t="s">
        <v>131</v>
      </c>
      <c r="D6" s="85" t="s">
        <v>132</v>
      </c>
      <c r="E6" s="86" t="s">
        <v>133</v>
      </c>
      <c r="F6" s="50" t="s">
        <v>134</v>
      </c>
      <c r="G6" s="50" t="s">
        <v>135</v>
      </c>
      <c r="H6" s="52" t="s">
        <v>136</v>
      </c>
      <c r="I6" s="20"/>
      <c r="J6" s="20"/>
      <c r="K6" s="31"/>
      <c r="L6" s="5"/>
    </row>
    <row r="7" spans="1:12" ht="25" customHeight="1" x14ac:dyDescent="0.45">
      <c r="A7" s="5"/>
      <c r="B7" s="30"/>
      <c r="C7" s="87">
        <v>1</v>
      </c>
      <c r="D7" s="88">
        <v>40</v>
      </c>
      <c r="E7" s="89">
        <f>'표점등급&amp;절평인원 입력 기능'!D31</f>
        <v>64726</v>
      </c>
      <c r="F7" s="90">
        <f>E7/$J$3</f>
        <v>0.22826692622921912</v>
      </c>
      <c r="G7" s="91">
        <f>SUM($E$7:E7)</f>
        <v>64726</v>
      </c>
      <c r="H7" s="92">
        <f>G7/$J$3</f>
        <v>0.22826692622921912</v>
      </c>
      <c r="I7" s="20"/>
      <c r="J7" s="20"/>
      <c r="K7" s="31"/>
      <c r="L7" s="5"/>
    </row>
    <row r="8" spans="1:12" ht="25" customHeight="1" x14ac:dyDescent="0.45">
      <c r="A8" s="5"/>
      <c r="B8" s="30"/>
      <c r="C8" s="93">
        <v>2</v>
      </c>
      <c r="D8" s="94">
        <v>35</v>
      </c>
      <c r="E8" s="95">
        <f>'표점등급&amp;절평인원 입력 기능'!D32</f>
        <v>35815</v>
      </c>
      <c r="F8" s="96">
        <f t="shared" ref="F8:F15" si="0">E8/$J$3</f>
        <v>0.12630751109136179</v>
      </c>
      <c r="G8" s="97">
        <f>SUM($E$7:E8)</f>
        <v>100541</v>
      </c>
      <c r="H8" s="98">
        <f t="shared" ref="H8:H15" si="1">G8/$J$3</f>
        <v>0.35457443732058092</v>
      </c>
      <c r="I8" s="20"/>
      <c r="J8" s="20"/>
      <c r="K8" s="31"/>
      <c r="L8" s="5"/>
    </row>
    <row r="9" spans="1:12" ht="25" customHeight="1" x14ac:dyDescent="0.45">
      <c r="A9" s="5"/>
      <c r="B9" s="30"/>
      <c r="C9" s="93">
        <v>3</v>
      </c>
      <c r="D9" s="94">
        <v>30</v>
      </c>
      <c r="E9" s="95">
        <f>'표점등급&amp;절평인원 입력 기능'!D33</f>
        <v>37781</v>
      </c>
      <c r="F9" s="96">
        <f t="shared" si="0"/>
        <v>0.13324093470732207</v>
      </c>
      <c r="G9" s="97">
        <f>SUM($E$7:E9)</f>
        <v>138322</v>
      </c>
      <c r="H9" s="98">
        <f t="shared" si="1"/>
        <v>0.48781537202790298</v>
      </c>
      <c r="I9" s="20"/>
      <c r="J9" s="20"/>
      <c r="K9" s="31"/>
      <c r="L9" s="5"/>
    </row>
    <row r="10" spans="1:12" ht="25" customHeight="1" x14ac:dyDescent="0.45">
      <c r="A10" s="5"/>
      <c r="B10" s="30"/>
      <c r="C10" s="93">
        <v>4</v>
      </c>
      <c r="D10" s="94">
        <v>25</v>
      </c>
      <c r="E10" s="95">
        <f>'표점등급&amp;절평인원 입력 기능'!D34</f>
        <v>34984</v>
      </c>
      <c r="F10" s="96">
        <f t="shared" si="0"/>
        <v>0.12337685238085162</v>
      </c>
      <c r="G10" s="97">
        <f>SUM($E$7:E10)</f>
        <v>173306</v>
      </c>
      <c r="H10" s="98">
        <f t="shared" si="1"/>
        <v>0.61119222440875465</v>
      </c>
      <c r="I10" s="20"/>
      <c r="J10" s="20"/>
      <c r="K10" s="31"/>
      <c r="L10" s="5"/>
    </row>
    <row r="11" spans="1:12" ht="25" customHeight="1" x14ac:dyDescent="0.45">
      <c r="A11" s="5"/>
      <c r="B11" s="30"/>
      <c r="C11" s="93">
        <v>5</v>
      </c>
      <c r="D11" s="94">
        <v>20</v>
      </c>
      <c r="E11" s="95">
        <f>'표점등급&amp;절평인원 입력 기능'!D35</f>
        <v>27943</v>
      </c>
      <c r="F11" s="96">
        <f t="shared" si="0"/>
        <v>9.8545603306601212E-2</v>
      </c>
      <c r="G11" s="97">
        <f>SUM($E$7:E11)</f>
        <v>201249</v>
      </c>
      <c r="H11" s="98">
        <f t="shared" si="1"/>
        <v>0.70973782771535576</v>
      </c>
      <c r="I11" s="20"/>
      <c r="J11" s="20"/>
      <c r="K11" s="31"/>
      <c r="L11" s="5"/>
    </row>
    <row r="12" spans="1:12" ht="25" customHeight="1" x14ac:dyDescent="0.45">
      <c r="A12" s="5"/>
      <c r="B12" s="30"/>
      <c r="C12" s="93">
        <v>6</v>
      </c>
      <c r="D12" s="94">
        <v>15</v>
      </c>
      <c r="E12" s="95">
        <f>'표점등급&amp;절평인원 입력 기능'!D36</f>
        <v>20989</v>
      </c>
      <c r="F12" s="96">
        <f t="shared" si="0"/>
        <v>7.4021174097350068E-2</v>
      </c>
      <c r="G12" s="97">
        <f>SUM($E$7:E12)</f>
        <v>222238</v>
      </c>
      <c r="H12" s="98">
        <f t="shared" si="1"/>
        <v>0.78375900181270586</v>
      </c>
      <c r="I12" s="20"/>
      <c r="J12" s="20"/>
      <c r="K12" s="31"/>
      <c r="L12" s="5"/>
    </row>
    <row r="13" spans="1:12" ht="25" customHeight="1" x14ac:dyDescent="0.45">
      <c r="A13" s="5"/>
      <c r="B13" s="30"/>
      <c r="C13" s="93">
        <v>7</v>
      </c>
      <c r="D13" s="94">
        <v>10</v>
      </c>
      <c r="E13" s="95">
        <f>'표점등급&amp;절평인원 입력 기능'!D37</f>
        <v>32092</v>
      </c>
      <c r="F13" s="96">
        <f t="shared" si="0"/>
        <v>0.11317773686846244</v>
      </c>
      <c r="G13" s="97">
        <f>SUM($E$7:E13)</f>
        <v>254330</v>
      </c>
      <c r="H13" s="98">
        <f t="shared" si="1"/>
        <v>0.8969367386811683</v>
      </c>
      <c r="I13" s="20"/>
      <c r="J13" s="20"/>
      <c r="K13" s="31"/>
      <c r="L13" s="5"/>
    </row>
    <row r="14" spans="1:12" ht="25" customHeight="1" x14ac:dyDescent="0.45">
      <c r="A14" s="5"/>
      <c r="B14" s="30"/>
      <c r="C14" s="93">
        <v>8</v>
      </c>
      <c r="D14" s="94">
        <v>5</v>
      </c>
      <c r="E14" s="95">
        <f>'표점등급&amp;절평인원 입력 기능'!D38</f>
        <v>25023</v>
      </c>
      <c r="F14" s="96">
        <f t="shared" si="0"/>
        <v>8.824774117099389E-2</v>
      </c>
      <c r="G14" s="97">
        <f>SUM($E$7:E14)</f>
        <v>279353</v>
      </c>
      <c r="H14" s="98">
        <f t="shared" si="1"/>
        <v>0.98518447985216218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99">
        <v>9</v>
      </c>
      <c r="D15" s="100">
        <v>0</v>
      </c>
      <c r="E15" s="101">
        <f>'표점등급&amp;절평인원 입력 기능'!D39</f>
        <v>4201</v>
      </c>
      <c r="F15" s="102">
        <f t="shared" si="0"/>
        <v>1.4815520147837801E-2</v>
      </c>
      <c r="G15" s="103">
        <f>SUM($E$7:E15)</f>
        <v>283554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10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기능'!D8</f>
        <v>31.48</v>
      </c>
      <c r="I3" s="21" t="s">
        <v>124</v>
      </c>
      <c r="J3" s="81">
        <f>'통계 및 응시자 수 입력 기능'!C8</f>
        <v>71433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137</v>
      </c>
      <c r="E4" s="153"/>
      <c r="F4" s="154"/>
      <c r="G4" s="83" t="s">
        <v>127</v>
      </c>
      <c r="H4" s="84" t="str">
        <f>'통계 및 응시자 수 입력 기능'!E8</f>
        <v>13.66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64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97.39</v>
      </c>
      <c r="G7" s="56">
        <f>_xlfn.IFNA(VLOOKUP(D7,'인원 입력 기능(사과탐)'!$A$5:$D$59,4,FALSE),0)</f>
        <v>3734</v>
      </c>
      <c r="H7" s="57">
        <f>G7/$J$3</f>
        <v>5.2272759088936485E-2</v>
      </c>
      <c r="I7" s="58">
        <f>G7</f>
        <v>3734</v>
      </c>
      <c r="J7" s="59">
        <f>I7/$J$3</f>
        <v>5.2272759088936485E-2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기능'!C40</f>
        <v>64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기능'!C41</f>
        <v>61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62</v>
      </c>
      <c r="E9" s="54">
        <f t="shared" si="0"/>
        <v>2</v>
      </c>
      <c r="F9" s="55">
        <f>IF(I8=0,ROUND(100*(1-(I7+I9)/2/$J$3),2),ROUND(100*(1-(I8+I9)/2/$J$3),2))</f>
        <v>94.22</v>
      </c>
      <c r="G9" s="56">
        <f>_xlfn.IFNA(VLOOKUP(D9,'인원 입력 기능(사과탐)'!$A$5:$D$59,4,FALSE),0)</f>
        <v>795</v>
      </c>
      <c r="H9" s="57">
        <f t="shared" ref="H9:H55" si="1">G9/$J$3</f>
        <v>1.1129309982781067E-2</v>
      </c>
      <c r="I9" s="67">
        <f>SUM($G$7:G9)</f>
        <v>4529</v>
      </c>
      <c r="J9" s="59">
        <f>I9/$J$3</f>
        <v>6.3402069071717554E-2</v>
      </c>
      <c r="K9" s="36"/>
      <c r="L9" s="20" t="str">
        <f t="shared" ref="L9:L55" si="2">IF(ABS((C9-$H$3)/$H$4*10+50-D9)&gt;0.49, "경고", "")</f>
        <v/>
      </c>
      <c r="N9" s="24"/>
      <c r="P9" s="24">
        <v>3</v>
      </c>
      <c r="Q9" s="24">
        <f>'표점등급&amp;절평인원 입력 기능'!C42</f>
        <v>59</v>
      </c>
    </row>
    <row r="10" spans="1:17" s="22" customFormat="1" ht="25" customHeight="1" x14ac:dyDescent="0.45">
      <c r="A10" s="20"/>
      <c r="B10" s="35"/>
      <c r="C10" s="60">
        <v>47</v>
      </c>
      <c r="D10" s="202">
        <f t="shared" ref="D10:D55" si="3">ROUND(10*(C10-$H$3)/$H$4+50,0)</f>
        <v>61</v>
      </c>
      <c r="E10" s="202">
        <f t="shared" si="0"/>
        <v>2</v>
      </c>
      <c r="F10" s="199">
        <f t="shared" ref="F10:F55" si="4">IF(I9=0,ROUND(100*(1-(I8+I10)/2/$J$3),2),ROUND(100*(1-(I9+I10)/2/$J$3),2))</f>
        <v>89.96</v>
      </c>
      <c r="G10" s="196">
        <f>IF(D10=D9,"",_xlfn.IFNA(VLOOKUP(D10,'인원 입력 기능(사과탐)'!$A$5:$D$59,4,FALSE),0))</f>
        <v>5285</v>
      </c>
      <c r="H10" s="192">
        <f t="shared" si="1"/>
        <v>7.398541290439993E-2</v>
      </c>
      <c r="I10" s="189">
        <f>SUM($G$7:G10)</f>
        <v>9814</v>
      </c>
      <c r="J10" s="162">
        <f t="shared" ref="J10:J55" si="5">I10/$J$3</f>
        <v>0.13738748197611747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기능'!C43</f>
        <v>56</v>
      </c>
    </row>
    <row r="11" spans="1:17" s="22" customFormat="1" ht="25" customHeight="1" x14ac:dyDescent="0.45">
      <c r="A11" s="20"/>
      <c r="B11" s="35"/>
      <c r="C11" s="53">
        <v>46</v>
      </c>
      <c r="D11" s="201"/>
      <c r="E11" s="201"/>
      <c r="F11" s="198"/>
      <c r="G11" s="195"/>
      <c r="H11" s="194"/>
      <c r="I11" s="191"/>
      <c r="J11" s="188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기능'!C44</f>
        <v>50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60</v>
      </c>
      <c r="E12" s="54">
        <f t="shared" si="0"/>
        <v>3</v>
      </c>
      <c r="F12" s="55">
        <f t="shared" si="4"/>
        <v>84.73</v>
      </c>
      <c r="G12" s="56">
        <f>IF(D12=D11,"",_xlfn.IFNA(VLOOKUP(D12,'인원 입력 기능(사과탐)'!$A$5:$D$59,4,FALSE),0))</f>
        <v>2191</v>
      </c>
      <c r="H12" s="57">
        <f t="shared" si="1"/>
        <v>3.0672098329903547E-2</v>
      </c>
      <c r="I12" s="67">
        <f>SUM($G$7:G12)</f>
        <v>12005</v>
      </c>
      <c r="J12" s="59">
        <f t="shared" si="5"/>
        <v>0.16805958030602103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기능'!C45</f>
        <v>39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59</v>
      </c>
      <c r="E13" s="54">
        <f t="shared" si="0"/>
        <v>3</v>
      </c>
      <c r="F13" s="55">
        <f t="shared" si="4"/>
        <v>79.87</v>
      </c>
      <c r="G13" s="56">
        <f>IF(D13=D12,"",_xlfn.IFNA(VLOOKUP(D13,'인원 입력 기능(사과탐)'!$A$5:$D$59,4,FALSE),0))</f>
        <v>4748</v>
      </c>
      <c r="H13" s="57">
        <f t="shared" si="1"/>
        <v>6.6467878991502527E-2</v>
      </c>
      <c r="I13" s="67">
        <f>SUM($G$7:G13)</f>
        <v>16753</v>
      </c>
      <c r="J13" s="59">
        <f t="shared" si="5"/>
        <v>0.23452745929752356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기능'!C46</f>
        <v>35</v>
      </c>
    </row>
    <row r="14" spans="1:17" s="22" customFormat="1" ht="25" customHeight="1" x14ac:dyDescent="0.45">
      <c r="A14" s="20"/>
      <c r="B14" s="35"/>
      <c r="C14" s="60">
        <v>43</v>
      </c>
      <c r="D14" s="202">
        <f t="shared" si="3"/>
        <v>58</v>
      </c>
      <c r="E14" s="202">
        <f t="shared" si="0"/>
        <v>4</v>
      </c>
      <c r="F14" s="199">
        <f t="shared" si="4"/>
        <v>73.89</v>
      </c>
      <c r="G14" s="196">
        <f>IF(D14=D13,"",_xlfn.IFNA(VLOOKUP(D14,'인원 입력 기능(사과탐)'!$A$5:$D$59,4,FALSE),0))</f>
        <v>3794</v>
      </c>
      <c r="H14" s="192">
        <f t="shared" si="1"/>
        <v>5.3112707012165243E-2</v>
      </c>
      <c r="I14" s="189">
        <f>SUM($G$7:G14)</f>
        <v>20547</v>
      </c>
      <c r="J14" s="162">
        <f t="shared" si="5"/>
        <v>0.28764016630968881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기능'!C47</f>
        <v>32</v>
      </c>
    </row>
    <row r="15" spans="1:17" s="22" customFormat="1" ht="25" customHeight="1" x14ac:dyDescent="0.45">
      <c r="A15" s="20"/>
      <c r="B15" s="35"/>
      <c r="C15" s="53">
        <v>42</v>
      </c>
      <c r="D15" s="201"/>
      <c r="E15" s="201"/>
      <c r="F15" s="198"/>
      <c r="G15" s="195"/>
      <c r="H15" s="194"/>
      <c r="I15" s="191"/>
      <c r="J15" s="188"/>
      <c r="K15" s="36"/>
      <c r="L15" s="20" t="str">
        <f t="shared" si="2"/>
        <v>경고</v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57</v>
      </c>
      <c r="E16" s="54">
        <f t="shared" si="0"/>
        <v>4</v>
      </c>
      <c r="F16" s="55">
        <f t="shared" si="4"/>
        <v>68.63</v>
      </c>
      <c r="G16" s="56">
        <f>IF(D16=D15,"",_xlfn.IFNA(VLOOKUP(D16,'인원 입력 기능(사과탐)'!$A$5:$D$59,4,FALSE),0))</f>
        <v>3717</v>
      </c>
      <c r="H16" s="57">
        <f t="shared" si="1"/>
        <v>5.2034773844021671E-2</v>
      </c>
      <c r="I16" s="67">
        <f>SUM($G$7:G16)</f>
        <v>24264</v>
      </c>
      <c r="J16" s="59">
        <f t="shared" si="5"/>
        <v>0.33967494015371047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202">
        <f t="shared" si="3"/>
        <v>56</v>
      </c>
      <c r="E17" s="202">
        <f t="shared" si="0"/>
        <v>4</v>
      </c>
      <c r="F17" s="199">
        <f t="shared" si="4"/>
        <v>62.84</v>
      </c>
      <c r="G17" s="196">
        <f>IF(D17=D16,"",_xlfn.IFNA(VLOOKUP(D17,'인원 입력 기능(사과탐)'!$A$5:$D$59,4,FALSE),0))</f>
        <v>4563</v>
      </c>
      <c r="H17" s="192">
        <f t="shared" si="1"/>
        <v>6.3878039561547181E-2</v>
      </c>
      <c r="I17" s="189">
        <f>SUM($G$7:G17)</f>
        <v>28827</v>
      </c>
      <c r="J17" s="162">
        <f t="shared" si="5"/>
        <v>0.40355297971525766</v>
      </c>
      <c r="K17" s="36"/>
      <c r="L17" s="20" t="str">
        <f t="shared" si="2"/>
        <v/>
      </c>
      <c r="N17" s="24"/>
      <c r="Q17" s="24">
        <f>Q7*H3*H4*J3*IFERROR(IF(J57=1, 1, 0), 0)</f>
        <v>1965912964.7616</v>
      </c>
    </row>
    <row r="18" spans="1:17" s="22" customFormat="1" ht="25" customHeight="1" x14ac:dyDescent="0.45">
      <c r="A18" s="20"/>
      <c r="B18" s="35"/>
      <c r="C18" s="60">
        <v>39</v>
      </c>
      <c r="D18" s="201"/>
      <c r="E18" s="201"/>
      <c r="F18" s="198"/>
      <c r="G18" s="195"/>
      <c r="H18" s="194"/>
      <c r="I18" s="191"/>
      <c r="J18" s="188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55</v>
      </c>
      <c r="E19" s="54">
        <f t="shared" si="0"/>
        <v>5</v>
      </c>
      <c r="F19" s="55">
        <f t="shared" si="4"/>
        <v>57.84</v>
      </c>
      <c r="G19" s="56">
        <f>IF(D19=D18,"",_xlfn.IFNA(VLOOKUP(D19,'인원 입력 기능(사과탐)'!$A$5:$D$59,4,FALSE),0))</f>
        <v>2581</v>
      </c>
      <c r="H19" s="57">
        <f t="shared" si="1"/>
        <v>3.6131759830890488E-2</v>
      </c>
      <c r="I19" s="67">
        <f>SUM($G$7:G19)</f>
        <v>31408</v>
      </c>
      <c r="J19" s="59">
        <f t="shared" si="5"/>
        <v>0.43968473954614812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54</v>
      </c>
      <c r="E20" s="54">
        <f t="shared" si="0"/>
        <v>5</v>
      </c>
      <c r="F20" s="55">
        <f t="shared" si="4"/>
        <v>54.83</v>
      </c>
      <c r="G20" s="56">
        <f>IF(D20=D19,"",_xlfn.IFNA(VLOOKUP(D20,'인원 입력 기능(사과탐)'!$A$5:$D$59,4,FALSE),0))</f>
        <v>1717</v>
      </c>
      <c r="H20" s="57">
        <f t="shared" si="1"/>
        <v>2.4036509736396344E-2</v>
      </c>
      <c r="I20" s="67">
        <f>SUM($G$7:G20)</f>
        <v>33125</v>
      </c>
      <c r="J20" s="59">
        <f t="shared" si="5"/>
        <v>0.46372124928254449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212">
        <f t="shared" si="3"/>
        <v>53</v>
      </c>
      <c r="E21" s="212">
        <f t="shared" si="0"/>
        <v>5</v>
      </c>
      <c r="F21" s="199">
        <f t="shared" si="4"/>
        <v>50.51</v>
      </c>
      <c r="G21" s="196">
        <f>IF(D21=D20,"",_xlfn.IFNA(VLOOKUP(D21,'인원 입력 기능(사과탐)'!$A$5:$D$59,4,FALSE),0))</f>
        <v>4461</v>
      </c>
      <c r="H21" s="192">
        <f t="shared" si="1"/>
        <v>6.2450128092058292E-2</v>
      </c>
      <c r="I21" s="189">
        <f>SUM($G$7:G21)</f>
        <v>37586</v>
      </c>
      <c r="J21" s="162">
        <f t="shared" si="5"/>
        <v>0.52617137737460273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211"/>
      <c r="E22" s="211"/>
      <c r="F22" s="198"/>
      <c r="G22" s="195"/>
      <c r="H22" s="194"/>
      <c r="I22" s="191"/>
      <c r="J22" s="188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52</v>
      </c>
      <c r="E23" s="68">
        <f t="shared" si="0"/>
        <v>5</v>
      </c>
      <c r="F23" s="55">
        <f t="shared" si="4"/>
        <v>46.13</v>
      </c>
      <c r="G23" s="56">
        <f>IF(D23=D22,"",_xlfn.IFNA(VLOOKUP(D23,'인원 입력 기능(사과탐)'!$A$5:$D$59,4,FALSE),0))</f>
        <v>1787</v>
      </c>
      <c r="H23" s="57">
        <f t="shared" si="1"/>
        <v>2.5016448980163229E-2</v>
      </c>
      <c r="I23" s="67">
        <f>SUM($G$7:G23)</f>
        <v>39373</v>
      </c>
      <c r="J23" s="59">
        <f t="shared" si="5"/>
        <v>0.55118782635476604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51</v>
      </c>
      <c r="E24" s="68">
        <f t="shared" si="0"/>
        <v>5</v>
      </c>
      <c r="F24" s="55">
        <f t="shared" si="4"/>
        <v>43.49</v>
      </c>
      <c r="G24" s="56">
        <f>IF(D24=D23,"",_xlfn.IFNA(VLOOKUP(D24,'인원 입력 기능(사과탐)'!$A$5:$D$59,4,FALSE),0))</f>
        <v>1988</v>
      </c>
      <c r="H24" s="57">
        <f t="shared" si="1"/>
        <v>2.7830274522979575E-2</v>
      </c>
      <c r="I24" s="67">
        <f>SUM($G$7:G24)</f>
        <v>41361</v>
      </c>
      <c r="J24" s="59">
        <f t="shared" si="5"/>
        <v>0.57901810087774563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212">
        <f t="shared" si="3"/>
        <v>50</v>
      </c>
      <c r="E25" s="212">
        <f t="shared" si="0"/>
        <v>5</v>
      </c>
      <c r="F25" s="199">
        <f t="shared" si="4"/>
        <v>39.99</v>
      </c>
      <c r="G25" s="196">
        <f>IF(D25=D24,"",_xlfn.IFNA(VLOOKUP(D25,'인원 입력 기능(사과탐)'!$A$5:$D$59,4,FALSE),0))</f>
        <v>3005</v>
      </c>
      <c r="H25" s="192">
        <f t="shared" si="1"/>
        <v>4.2067391821707052E-2</v>
      </c>
      <c r="I25" s="189">
        <f>SUM($G$7:G25)</f>
        <v>44366</v>
      </c>
      <c r="J25" s="162">
        <f t="shared" si="5"/>
        <v>0.62108549269945268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211"/>
      <c r="E26" s="211"/>
      <c r="F26" s="198"/>
      <c r="G26" s="195"/>
      <c r="H26" s="194"/>
      <c r="I26" s="191"/>
      <c r="J26" s="188"/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49</v>
      </c>
      <c r="E27" s="68">
        <f t="shared" si="0"/>
        <v>6</v>
      </c>
      <c r="F27" s="55">
        <f t="shared" si="4"/>
        <v>37</v>
      </c>
      <c r="G27" s="56">
        <f>IF(D27=D26,"",_xlfn.IFNA(VLOOKUP(D27,'인원 입력 기능(사과탐)'!$A$5:$D$59,4,FALSE),0))</f>
        <v>1268</v>
      </c>
      <c r="H27" s="57">
        <f t="shared" si="1"/>
        <v>1.7750899444234459E-2</v>
      </c>
      <c r="I27" s="67">
        <f>SUM($G$7:G27)</f>
        <v>45634</v>
      </c>
      <c r="J27" s="59">
        <f t="shared" si="5"/>
        <v>0.63883639214368704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48</v>
      </c>
      <c r="E28" s="68">
        <f t="shared" si="0"/>
        <v>6</v>
      </c>
      <c r="F28" s="55">
        <f t="shared" si="4"/>
        <v>35.369999999999997</v>
      </c>
      <c r="G28" s="56">
        <f>IF(D28=D27,"",_xlfn.IFNA(VLOOKUP(D28,'인원 입력 기능(사과탐)'!$A$5:$D$59,4,FALSE),0))</f>
        <v>1070</v>
      </c>
      <c r="H28" s="57">
        <f t="shared" si="1"/>
        <v>1.497907129757955E-2</v>
      </c>
      <c r="I28" s="67">
        <f>SUM($G$7:G28)</f>
        <v>46704</v>
      </c>
      <c r="J28" s="59">
        <f t="shared" si="5"/>
        <v>0.65381546344126662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212">
        <f t="shared" si="3"/>
        <v>47</v>
      </c>
      <c r="E29" s="212">
        <f t="shared" si="0"/>
        <v>6</v>
      </c>
      <c r="F29" s="199">
        <f t="shared" si="4"/>
        <v>33.11</v>
      </c>
      <c r="G29" s="196">
        <f>IF(D29=D28,"",_xlfn.IFNA(VLOOKUP(D29,'인원 입력 기능(사과탐)'!$A$5:$D$59,4,FALSE),0))</f>
        <v>2162</v>
      </c>
      <c r="H29" s="192">
        <f t="shared" si="1"/>
        <v>3.0266123500342978E-2</v>
      </c>
      <c r="I29" s="189">
        <f>SUM($G$7:G29)</f>
        <v>48866</v>
      </c>
      <c r="J29" s="162">
        <f t="shared" si="5"/>
        <v>0.68408158694160959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211"/>
      <c r="E30" s="211"/>
      <c r="F30" s="198"/>
      <c r="G30" s="195"/>
      <c r="H30" s="194"/>
      <c r="I30" s="191"/>
      <c r="J30" s="188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46</v>
      </c>
      <c r="E31" s="68">
        <f t="shared" si="0"/>
        <v>6</v>
      </c>
      <c r="F31" s="55">
        <f t="shared" si="4"/>
        <v>30.96</v>
      </c>
      <c r="G31" s="56">
        <f>IF(D31=D30,"",_xlfn.IFNA(VLOOKUP(D31,'인원 입력 기능(사과탐)'!$A$5:$D$59,4,FALSE),0))</f>
        <v>896</v>
      </c>
      <c r="H31" s="57">
        <f t="shared" si="1"/>
        <v>1.2543222320216147E-2</v>
      </c>
      <c r="I31" s="67">
        <f>SUM($G$7:G31)</f>
        <v>49762</v>
      </c>
      <c r="J31" s="59">
        <f t="shared" si="5"/>
        <v>0.69662480926182579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212">
        <f t="shared" si="3"/>
        <v>45</v>
      </c>
      <c r="E32" s="212">
        <f t="shared" si="0"/>
        <v>6</v>
      </c>
      <c r="F32" s="199">
        <f t="shared" si="4"/>
        <v>29.32</v>
      </c>
      <c r="G32" s="196">
        <f>IF(D32=D31,"",_xlfn.IFNA(VLOOKUP(D32,'인원 입력 기능(사과탐)'!$A$5:$D$59,4,FALSE),0))</f>
        <v>1456</v>
      </c>
      <c r="H32" s="192">
        <f t="shared" si="1"/>
        <v>2.038273627035124E-2</v>
      </c>
      <c r="I32" s="189">
        <f>SUM($G$7:G32)</f>
        <v>51218</v>
      </c>
      <c r="J32" s="162">
        <f t="shared" si="5"/>
        <v>0.71700754553217705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211"/>
      <c r="E33" s="211"/>
      <c r="F33" s="198"/>
      <c r="G33" s="195"/>
      <c r="H33" s="194"/>
      <c r="I33" s="191"/>
      <c r="J33" s="188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44</v>
      </c>
      <c r="E34" s="68">
        <f t="shared" si="0"/>
        <v>6</v>
      </c>
      <c r="F34" s="55">
        <f t="shared" si="4"/>
        <v>27.83</v>
      </c>
      <c r="G34" s="56">
        <f>IF(D34=D33,"",_xlfn.IFNA(VLOOKUP(D34,'인원 입력 기능(사과탐)'!$A$5:$D$59,4,FALSE),0))</f>
        <v>672</v>
      </c>
      <c r="H34" s="57">
        <f t="shared" si="1"/>
        <v>9.4074167401621105E-3</v>
      </c>
      <c r="I34" s="67">
        <f>SUM($G$7:G34)</f>
        <v>51890</v>
      </c>
      <c r="J34" s="59">
        <f t="shared" si="5"/>
        <v>0.72641496227233915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43</v>
      </c>
      <c r="E35" s="68">
        <f t="shared" si="0"/>
        <v>6</v>
      </c>
      <c r="F35" s="55">
        <f t="shared" si="4"/>
        <v>26.95</v>
      </c>
      <c r="G35" s="56">
        <f>IF(D35=D34,"",_xlfn.IFNA(VLOOKUP(D35,'인원 입력 기능(사과탐)'!$A$5:$D$59,4,FALSE),0))</f>
        <v>584</v>
      </c>
      <c r="H35" s="57">
        <f t="shared" si="1"/>
        <v>8.175493119426596E-3</v>
      </c>
      <c r="I35" s="67">
        <f>SUM($G$7:G35)</f>
        <v>52474</v>
      </c>
      <c r="J35" s="59">
        <f t="shared" si="5"/>
        <v>0.73459045539176571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212">
        <f t="shared" si="3"/>
        <v>42</v>
      </c>
      <c r="E36" s="212">
        <f t="shared" si="0"/>
        <v>6</v>
      </c>
      <c r="F36" s="199">
        <f t="shared" si="4"/>
        <v>25.64</v>
      </c>
      <c r="G36" s="196">
        <f>IF(D36=D35,"",_xlfn.IFNA(VLOOKUP(D36,'인원 입력 기능(사과탐)'!$A$5:$D$59,4,FALSE),0))</f>
        <v>1283</v>
      </c>
      <c r="H36" s="192">
        <f t="shared" si="1"/>
        <v>1.7960886425041647E-2</v>
      </c>
      <c r="I36" s="189">
        <f>SUM($G$7:G36)</f>
        <v>53757</v>
      </c>
      <c r="J36" s="162">
        <f t="shared" si="5"/>
        <v>0.75255134181680738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211"/>
      <c r="E37" s="211"/>
      <c r="F37" s="198"/>
      <c r="G37" s="195"/>
      <c r="H37" s="194"/>
      <c r="I37" s="191"/>
      <c r="J37" s="188"/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41</v>
      </c>
      <c r="E38" s="68">
        <f t="shared" si="0"/>
        <v>6</v>
      </c>
      <c r="F38" s="55">
        <f t="shared" si="4"/>
        <v>24.34</v>
      </c>
      <c r="G38" s="56">
        <f>IF(D38=D37,"",_xlfn.IFNA(VLOOKUP(D38,'인원 입력 기능(사과탐)'!$A$5:$D$59,4,FALSE),0))</f>
        <v>572</v>
      </c>
      <c r="H38" s="57">
        <f t="shared" si="1"/>
        <v>8.0075035347808438E-3</v>
      </c>
      <c r="I38" s="67">
        <f>SUM($G$7:G38)</f>
        <v>54329</v>
      </c>
      <c r="J38" s="59">
        <f t="shared" si="5"/>
        <v>0.76055884535158824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40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23.48</v>
      </c>
      <c r="G39" s="56">
        <f>IF(D39=D38,"",_xlfn.IFNA(VLOOKUP(D39,'인원 입력 기능(사과탐)'!$A$5:$D$59,4,FALSE),0))</f>
        <v>656</v>
      </c>
      <c r="H39" s="57">
        <f t="shared" si="1"/>
        <v>9.183430627301108E-3</v>
      </c>
      <c r="I39" s="67">
        <f>SUM($G$7:G39)</f>
        <v>54985</v>
      </c>
      <c r="J39" s="59">
        <f t="shared" si="5"/>
        <v>0.76974227597888933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212">
        <f t="shared" si="3"/>
        <v>39</v>
      </c>
      <c r="E40" s="212">
        <f t="shared" si="6"/>
        <v>6</v>
      </c>
      <c r="F40" s="199">
        <f t="shared" si="4"/>
        <v>22.14</v>
      </c>
      <c r="G40" s="196">
        <f>IF(D40=D39,"",_xlfn.IFNA(VLOOKUP(D40,'인원 입력 기능(사과탐)'!$A$5:$D$59,4,FALSE),0))</f>
        <v>1263</v>
      </c>
      <c r="H40" s="192">
        <f t="shared" si="1"/>
        <v>1.7680903783965394E-2</v>
      </c>
      <c r="I40" s="189">
        <f>SUM($G$7:G40)</f>
        <v>56248</v>
      </c>
      <c r="J40" s="162">
        <f t="shared" si="5"/>
        <v>0.7874231797628547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211"/>
      <c r="E41" s="211"/>
      <c r="F41" s="198"/>
      <c r="G41" s="195"/>
      <c r="H41" s="194"/>
      <c r="I41" s="191"/>
      <c r="J41" s="188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38</v>
      </c>
      <c r="E42" s="68">
        <f t="shared" si="6"/>
        <v>7</v>
      </c>
      <c r="F42" s="55">
        <f t="shared" si="4"/>
        <v>20.75</v>
      </c>
      <c r="G42" s="56">
        <f>IF(D42=D41,"",_xlfn.IFNA(VLOOKUP(D42,'인원 입력 기능(사과탐)'!$A$5:$D$59,4,FALSE),0))</f>
        <v>727</v>
      </c>
      <c r="H42" s="57">
        <f t="shared" si="1"/>
        <v>1.0177369003121807E-2</v>
      </c>
      <c r="I42" s="67">
        <f>SUM($G$7:G42)</f>
        <v>56975</v>
      </c>
      <c r="J42" s="59">
        <f t="shared" si="5"/>
        <v>0.79760054876597652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37</v>
      </c>
      <c r="E43" s="68">
        <f t="shared" si="6"/>
        <v>7</v>
      </c>
      <c r="F43" s="55">
        <f t="shared" si="4"/>
        <v>19.73</v>
      </c>
      <c r="G43" s="56">
        <f>IF(D43=D42,"",_xlfn.IFNA(VLOOKUP(D43,'인원 입력 기능(사과탐)'!$A$5:$D$59,4,FALSE),0))</f>
        <v>728</v>
      </c>
      <c r="H43" s="57">
        <f t="shared" si="1"/>
        <v>1.019136813517562E-2</v>
      </c>
      <c r="I43" s="67">
        <f>SUM($G$7:G43)</f>
        <v>57703</v>
      </c>
      <c r="J43" s="59">
        <f t="shared" si="5"/>
        <v>0.80779191690115215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212">
        <f t="shared" si="3"/>
        <v>36</v>
      </c>
      <c r="E44" s="212">
        <f t="shared" si="6"/>
        <v>7</v>
      </c>
      <c r="F44" s="199">
        <f t="shared" si="4"/>
        <v>17.649999999999999</v>
      </c>
      <c r="G44" s="196">
        <f>IF(D44=D43,"",_xlfn.IFNA(VLOOKUP(D44,'인원 입력 기능(사과탐)'!$A$5:$D$59,4,FALSE),0))</f>
        <v>2238</v>
      </c>
      <c r="H44" s="192">
        <f t="shared" si="1"/>
        <v>3.133005753643274E-2</v>
      </c>
      <c r="I44" s="189">
        <f>SUM($G$7:G44)</f>
        <v>59941</v>
      </c>
      <c r="J44" s="162">
        <f t="shared" si="5"/>
        <v>0.83912197443758485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211"/>
      <c r="E45" s="211"/>
      <c r="F45" s="198"/>
      <c r="G45" s="195"/>
      <c r="H45" s="194"/>
      <c r="I45" s="191"/>
      <c r="J45" s="188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35</v>
      </c>
      <c r="E46" s="68">
        <f t="shared" si="6"/>
        <v>7</v>
      </c>
      <c r="F46" s="55">
        <f t="shared" si="4"/>
        <v>13.11</v>
      </c>
      <c r="G46" s="56">
        <f>IF(D46=D45,"",_xlfn.IFNA(VLOOKUP(D46,'인원 입력 기능(사과탐)'!$A$5:$D$59,4,FALSE),0))</f>
        <v>4259</v>
      </c>
      <c r="H46" s="57">
        <f t="shared" si="1"/>
        <v>5.9622303417188133E-2</v>
      </c>
      <c r="I46" s="67">
        <f>SUM($G$7:G46)</f>
        <v>64200</v>
      </c>
      <c r="J46" s="59">
        <f t="shared" si="5"/>
        <v>0.89874427785477295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212">
        <f t="shared" si="3"/>
        <v>34</v>
      </c>
      <c r="E47" s="212">
        <f t="shared" si="6"/>
        <v>8</v>
      </c>
      <c r="F47" s="199">
        <f t="shared" si="4"/>
        <v>8.41</v>
      </c>
      <c r="G47" s="196">
        <f>IF(D47=D46,"",_xlfn.IFNA(VLOOKUP(D47,'인원 입력 기능(사과탐)'!$A$5:$D$59,4,FALSE),0))</f>
        <v>2449</v>
      </c>
      <c r="H47" s="192">
        <f t="shared" si="1"/>
        <v>3.4283874399787216E-2</v>
      </c>
      <c r="I47" s="189">
        <f>SUM($G$7:G47)</f>
        <v>66649</v>
      </c>
      <c r="J47" s="162">
        <f t="shared" si="5"/>
        <v>0.93302815225456026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211"/>
      <c r="E48" s="211"/>
      <c r="F48" s="198"/>
      <c r="G48" s="195"/>
      <c r="H48" s="194"/>
      <c r="I48" s="191"/>
      <c r="J48" s="188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33</v>
      </c>
      <c r="E49" s="68">
        <f t="shared" si="6"/>
        <v>8</v>
      </c>
      <c r="F49" s="55">
        <f t="shared" si="4"/>
        <v>6.25</v>
      </c>
      <c r="G49" s="56">
        <f>IF(D49=D48,"",_xlfn.IFNA(VLOOKUP(D49,'인원 입력 기능(사과탐)'!$A$5:$D$59,4,FALSE),0))</f>
        <v>641</v>
      </c>
      <c r="H49" s="57">
        <f t="shared" si="1"/>
        <v>8.9734436464939168E-3</v>
      </c>
      <c r="I49" s="67">
        <f>SUM($G$7:G49)</f>
        <v>67290</v>
      </c>
      <c r="J49" s="59">
        <f t="shared" si="5"/>
        <v>0.94200159590105415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32</v>
      </c>
      <c r="E50" s="68">
        <f t="shared" si="6"/>
        <v>8</v>
      </c>
      <c r="F50" s="55">
        <f t="shared" si="4"/>
        <v>3.99</v>
      </c>
      <c r="G50" s="56">
        <f>IF(D50=D49,"",_xlfn.IFNA(VLOOKUP(D50,'인원 입력 기능(사과탐)'!$A$5:$D$59,4,FALSE),0))</f>
        <v>2590</v>
      </c>
      <c r="H50" s="57">
        <f t="shared" si="1"/>
        <v>3.6257752019374798E-2</v>
      </c>
      <c r="I50" s="67">
        <f>SUM($G$7:G50)</f>
        <v>69880</v>
      </c>
      <c r="J50" s="59">
        <f t="shared" si="5"/>
        <v>0.9782593479204289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212">
        <f t="shared" si="3"/>
        <v>31</v>
      </c>
      <c r="E51" s="212">
        <f t="shared" si="6"/>
        <v>9</v>
      </c>
      <c r="F51" s="199">
        <f t="shared" si="4"/>
        <v>1.51</v>
      </c>
      <c r="G51" s="196">
        <f>IF(D51=D50,"",_xlfn.IFNA(VLOOKUP(D51,'인원 입력 기능(사과탐)'!$A$5:$D$59,4,FALSE),0))</f>
        <v>954</v>
      </c>
      <c r="H51" s="192">
        <f t="shared" si="1"/>
        <v>1.335517197933728E-2</v>
      </c>
      <c r="I51" s="189">
        <f>SUM($G$7:G51)</f>
        <v>70834</v>
      </c>
      <c r="J51" s="162">
        <f t="shared" si="5"/>
        <v>0.99161451989976623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211"/>
      <c r="E52" s="211"/>
      <c r="F52" s="198"/>
      <c r="G52" s="195"/>
      <c r="H52" s="194"/>
      <c r="I52" s="191"/>
      <c r="J52" s="188"/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30</v>
      </c>
      <c r="E53" s="54">
        <f t="shared" si="6"/>
        <v>9</v>
      </c>
      <c r="F53" s="55">
        <f t="shared" si="4"/>
        <v>0.71</v>
      </c>
      <c r="G53" s="56">
        <f>IF(D53=D52,"",_xlfn.IFNA(VLOOKUP(D53,'인원 입력 기능(사과탐)'!$A$5:$D$59,4,FALSE),0))</f>
        <v>186</v>
      </c>
      <c r="H53" s="57">
        <f t="shared" si="1"/>
        <v>2.6038385620091556E-3</v>
      </c>
      <c r="I53" s="67">
        <f>SUM($G$7:G53)</f>
        <v>71020</v>
      </c>
      <c r="J53" s="59">
        <f t="shared" si="5"/>
        <v>0.99421835846177542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29</v>
      </c>
      <c r="E54" s="54">
        <f t="shared" si="6"/>
        <v>9</v>
      </c>
      <c r="F54" s="55">
        <f t="shared" si="4"/>
        <v>0.43</v>
      </c>
      <c r="G54" s="56">
        <f>IF(D54=D53,"",_xlfn.IFNA(VLOOKUP(D54,'인원 입력 기능(사과탐)'!$A$5:$D$59,4,FALSE),0))</f>
        <v>208</v>
      </c>
      <c r="H54" s="57">
        <f t="shared" si="1"/>
        <v>2.9118194671930342E-3</v>
      </c>
      <c r="I54" s="67">
        <f>SUM($G$7:G54)</f>
        <v>71228</v>
      </c>
      <c r="J54" s="59">
        <f t="shared" si="5"/>
        <v>0.99713017792896841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28</v>
      </c>
      <c r="E55" s="54">
        <f t="shared" si="6"/>
        <v>9</v>
      </c>
      <c r="F55" s="55">
        <f t="shared" si="4"/>
        <v>0.19</v>
      </c>
      <c r="G55" s="56">
        <f>IF(D55=D54,"",_xlfn.IFNA(VLOOKUP(D55,'인원 입력 기능(사과탐)'!$A$5:$D$59,4,FALSE),0))</f>
        <v>132</v>
      </c>
      <c r="H55" s="57">
        <f t="shared" si="1"/>
        <v>1.8478854311032716E-3</v>
      </c>
      <c r="I55" s="67">
        <f>SUM($G$7:G55)</f>
        <v>71360</v>
      </c>
      <c r="J55" s="59">
        <f t="shared" si="5"/>
        <v>0.99897806336007167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27</v>
      </c>
      <c r="E57" s="109">
        <f t="shared" si="6"/>
        <v>9</v>
      </c>
      <c r="F57" s="74">
        <f>IF(I55=0,ROUND(100*(1-(I54+I57)/2/$J$3),2),ROUND(100*(1-(I55+I57)/2/$J$3),2))</f>
        <v>0.05</v>
      </c>
      <c r="G57" s="110">
        <f>_xlfn.IFNA(VLOOKUP(D57,'인원 입력 기능(사과탐)'!$A$5:$D$59,4,FALSE),0)</f>
        <v>73</v>
      </c>
      <c r="H57" s="76">
        <f>G57/$J$3</f>
        <v>1.0219366399283245E-3</v>
      </c>
      <c r="I57" s="77">
        <f>SUM($G$7:G57)</f>
        <v>71433</v>
      </c>
      <c r="J57" s="111">
        <f>I57/$J$3</f>
        <v>1</v>
      </c>
      <c r="K57" s="36"/>
      <c r="L57" s="20" t="str">
        <f>IF(ABS((C57-$H$3)/$H$4*10+50-D57)&gt;0.49, "경고", "")</f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86">
    <mergeCell ref="I47:I48"/>
    <mergeCell ref="J47:J48"/>
    <mergeCell ref="D51:D52"/>
    <mergeCell ref="E51:E52"/>
    <mergeCell ref="F51:F52"/>
    <mergeCell ref="G51:G52"/>
    <mergeCell ref="H51:H52"/>
    <mergeCell ref="I51:I52"/>
    <mergeCell ref="J51:J52"/>
    <mergeCell ref="D47:D48"/>
    <mergeCell ref="E47:E48"/>
    <mergeCell ref="F47:F48"/>
    <mergeCell ref="G47:G48"/>
    <mergeCell ref="H47:H48"/>
    <mergeCell ref="I40:I41"/>
    <mergeCell ref="J40:J41"/>
    <mergeCell ref="D44:D45"/>
    <mergeCell ref="E44:E45"/>
    <mergeCell ref="F44:F45"/>
    <mergeCell ref="G44:G45"/>
    <mergeCell ref="H44:H45"/>
    <mergeCell ref="I44:I45"/>
    <mergeCell ref="J44:J45"/>
    <mergeCell ref="D40:D41"/>
    <mergeCell ref="E40:E41"/>
    <mergeCell ref="F40:F41"/>
    <mergeCell ref="G40:G41"/>
    <mergeCell ref="H40:H41"/>
    <mergeCell ref="I32:I33"/>
    <mergeCell ref="J32:J33"/>
    <mergeCell ref="D36:D37"/>
    <mergeCell ref="E36:E37"/>
    <mergeCell ref="F36:F37"/>
    <mergeCell ref="G36:G37"/>
    <mergeCell ref="H36:H37"/>
    <mergeCell ref="I36:I37"/>
    <mergeCell ref="J36:J37"/>
    <mergeCell ref="D32:D33"/>
    <mergeCell ref="E32:E33"/>
    <mergeCell ref="F32:F33"/>
    <mergeCell ref="G32:G33"/>
    <mergeCell ref="H32:H33"/>
    <mergeCell ref="I25:I26"/>
    <mergeCell ref="J25:J26"/>
    <mergeCell ref="D29:D30"/>
    <mergeCell ref="E29:E30"/>
    <mergeCell ref="F29:F30"/>
    <mergeCell ref="G29:G30"/>
    <mergeCell ref="H29:H30"/>
    <mergeCell ref="I29:I30"/>
    <mergeCell ref="J29:J30"/>
    <mergeCell ref="D25:D26"/>
    <mergeCell ref="E25:E26"/>
    <mergeCell ref="F25:F26"/>
    <mergeCell ref="G25:G26"/>
    <mergeCell ref="H25:H26"/>
    <mergeCell ref="I17:I18"/>
    <mergeCell ref="J17:J18"/>
    <mergeCell ref="D21:D22"/>
    <mergeCell ref="E21:E22"/>
    <mergeCell ref="F21:F22"/>
    <mergeCell ref="G21:G22"/>
    <mergeCell ref="H21:H22"/>
    <mergeCell ref="I21:I22"/>
    <mergeCell ref="J21:J22"/>
    <mergeCell ref="D17:D18"/>
    <mergeCell ref="E17:E18"/>
    <mergeCell ref="F17:F18"/>
    <mergeCell ref="G17:G18"/>
    <mergeCell ref="H17:H18"/>
    <mergeCell ref="G10:G11"/>
    <mergeCell ref="H10:H11"/>
    <mergeCell ref="I10:I11"/>
    <mergeCell ref="J10:J11"/>
    <mergeCell ref="D14:D15"/>
    <mergeCell ref="E14:E15"/>
    <mergeCell ref="F14:F15"/>
    <mergeCell ref="G14:G15"/>
    <mergeCell ref="H14:H15"/>
    <mergeCell ref="I14:I15"/>
    <mergeCell ref="J14:J15"/>
    <mergeCell ref="D3:F3"/>
    <mergeCell ref="D4:F4"/>
    <mergeCell ref="D10:D11"/>
    <mergeCell ref="E10:E11"/>
    <mergeCell ref="F10:F11"/>
  </mergeCells>
  <phoneticPr fontId="1" type="noConversion"/>
  <conditionalFormatting sqref="D7:J10 D12:J14 D16:J17 D19:J21 D23:J25 D27:J29 D31:J32 D34:J36 D38:J40 D42:J44 D46:J47 D49:J51 D53:J57">
    <cfRule type="expression" dxfId="73" priority="3">
      <formula>OR($D7=$Q$7:$Q$14)</formula>
    </cfRule>
  </conditionalFormatting>
  <conditionalFormatting sqref="C7:C57">
    <cfRule type="expression" dxfId="72" priority="2">
      <formula>OR(AND($D7=0,OR($D6=$Q$7:$Q$14)),AND($D8&gt;0,OR($D7=$Q$7:$Q$14)))</formula>
    </cfRule>
  </conditionalFormatting>
  <conditionalFormatting sqref="D7:D10 D12:D14 D16:D17 D19:D21 D23:D25 D27:D29 D31:D32 D34:D36 D38:D40 D42:D44 D46:D47 D49:D51 D53:D57">
    <cfRule type="expression" dxfId="71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1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기능'!D9</f>
        <v>23.34</v>
      </c>
      <c r="I3" s="21" t="s">
        <v>124</v>
      </c>
      <c r="J3" s="81">
        <f>'통계 및 응시자 수 입력 기능'!C9</f>
        <v>37049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155</v>
      </c>
      <c r="E4" s="153"/>
      <c r="F4" s="154"/>
      <c r="G4" s="83" t="s">
        <v>127</v>
      </c>
      <c r="H4" s="84" t="str">
        <f>'통계 및 응시자 수 입력 기능'!E9</f>
        <v>11.81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73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99.33</v>
      </c>
      <c r="G7" s="56">
        <f>_xlfn.IFNA(VLOOKUP(D7,'인원 입력 기능(사과탐)'!$F$5:$I$59,4,FALSE),0)</f>
        <v>499</v>
      </c>
      <c r="H7" s="57">
        <f>G7/$J$3</f>
        <v>1.3468649626170746E-2</v>
      </c>
      <c r="I7" s="58">
        <f>G7</f>
        <v>499</v>
      </c>
      <c r="J7" s="59">
        <f>I7/$J$3</f>
        <v>1.3468649626170746E-2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기능'!C49</f>
        <v>68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기능'!C50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71</v>
      </c>
      <c r="E9" s="54">
        <f t="shared" si="0"/>
        <v>1</v>
      </c>
      <c r="F9" s="55">
        <f>IF(I8=0,ROUND(100*(1-(I7+I9)/2/$J$3),2),ROUND(100*(1-(I8+I9)/2/$J$3),2))</f>
        <v>98.25</v>
      </c>
      <c r="G9" s="56">
        <f>_xlfn.IFNA(VLOOKUP(D9,'인원 입력 기능(사과탐)'!$F$5:$I$59,4,FALSE),0)</f>
        <v>302</v>
      </c>
      <c r="H9" s="57">
        <f t="shared" ref="H9:H55" si="1">G9/$J$3</f>
        <v>8.1513671084239795E-3</v>
      </c>
      <c r="I9" s="67">
        <f>SUM($G$7:G9)</f>
        <v>801</v>
      </c>
      <c r="J9" s="59">
        <f>I9/$J$3</f>
        <v>2.1620016734594724E-2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기능'!C51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70</v>
      </c>
      <c r="E10" s="54">
        <f t="shared" si="0"/>
        <v>1</v>
      </c>
      <c r="F10" s="55">
        <f t="shared" ref="F10:F55" si="4">IF(I9=0,ROUND(100*(1-(I8+I10)/2/$J$3),2),ROUND(100*(1-(I9+I10)/2/$J$3),2))</f>
        <v>97.29</v>
      </c>
      <c r="G10" s="56">
        <f>IF(D10=D9,"",_xlfn.IFNA(VLOOKUP(D10,'인원 입력 기능(사과탐)'!$F$5:$I$59,4,FALSE),0))</f>
        <v>403</v>
      </c>
      <c r="H10" s="57">
        <f t="shared" si="1"/>
        <v>1.0877486571837297E-2</v>
      </c>
      <c r="I10" s="67">
        <f>SUM($G$7:G10)</f>
        <v>1204</v>
      </c>
      <c r="J10" s="59">
        <f t="shared" ref="J10:J55" si="5">I10/$J$3</f>
        <v>3.2497503306432023E-2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기능'!C52</f>
        <v>52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69</v>
      </c>
      <c r="E11" s="54">
        <f t="shared" si="0"/>
        <v>1</v>
      </c>
      <c r="F11" s="55">
        <f t="shared" si="4"/>
        <v>96.53</v>
      </c>
      <c r="G11" s="56">
        <f>IF(D11=D10,"",_xlfn.IFNA(VLOOKUP(D11,'인원 입력 기능(사과탐)'!$F$5:$I$59,4,FALSE),0))</f>
        <v>163</v>
      </c>
      <c r="H11" s="57">
        <f t="shared" si="1"/>
        <v>4.3995789360036707E-3</v>
      </c>
      <c r="I11" s="67">
        <f>SUM($G$7:G11)</f>
        <v>1367</v>
      </c>
      <c r="J11" s="59">
        <f t="shared" si="5"/>
        <v>3.6897082242435694E-2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기능'!C53</f>
        <v>45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68</v>
      </c>
      <c r="E12" s="54">
        <f t="shared" si="0"/>
        <v>1</v>
      </c>
      <c r="F12" s="55">
        <f t="shared" si="4"/>
        <v>95.6</v>
      </c>
      <c r="G12" s="56">
        <f>IF(D12=D11,"",_xlfn.IFNA(VLOOKUP(D12,'인원 입력 기능(사과탐)'!$F$5:$I$59,4,FALSE),0))</f>
        <v>523</v>
      </c>
      <c r="H12" s="57">
        <f t="shared" si="1"/>
        <v>1.411644038975411E-2</v>
      </c>
      <c r="I12" s="67">
        <f>SUM($G$7:G12)</f>
        <v>1890</v>
      </c>
      <c r="J12" s="59">
        <f t="shared" si="5"/>
        <v>5.1013522632189806E-2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기능'!C54</f>
        <v>40</v>
      </c>
    </row>
    <row r="13" spans="1:17" s="22" customFormat="1" ht="25" customHeight="1" x14ac:dyDescent="0.45">
      <c r="A13" s="20"/>
      <c r="B13" s="35"/>
      <c r="C13" s="53">
        <v>44</v>
      </c>
      <c r="D13" s="202">
        <f t="shared" si="3"/>
        <v>67</v>
      </c>
      <c r="E13" s="202">
        <f t="shared" si="0"/>
        <v>2</v>
      </c>
      <c r="F13" s="199">
        <f t="shared" si="4"/>
        <v>93.95</v>
      </c>
      <c r="G13" s="196">
        <f>IF(D13=D12,"",_xlfn.IFNA(VLOOKUP(D13,'인원 입력 기능(사과탐)'!$F$5:$I$59,4,FALSE),0))</f>
        <v>702</v>
      </c>
      <c r="H13" s="192">
        <f t="shared" si="1"/>
        <v>1.8947879834813355E-2</v>
      </c>
      <c r="I13" s="189">
        <f>SUM($G$7:G13)</f>
        <v>2592</v>
      </c>
      <c r="J13" s="162">
        <f t="shared" si="5"/>
        <v>6.9961402467003164E-2</v>
      </c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기능'!C55</f>
        <v>39</v>
      </c>
    </row>
    <row r="14" spans="1:17" s="22" customFormat="1" ht="25" customHeight="1" x14ac:dyDescent="0.45">
      <c r="A14" s="20"/>
      <c r="B14" s="35"/>
      <c r="C14" s="60">
        <v>43</v>
      </c>
      <c r="D14" s="201"/>
      <c r="E14" s="201"/>
      <c r="F14" s="198"/>
      <c r="G14" s="195"/>
      <c r="H14" s="194"/>
      <c r="I14" s="191"/>
      <c r="J14" s="188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기능'!C56</f>
        <v>36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66</v>
      </c>
      <c r="E15" s="54">
        <f t="shared" si="0"/>
        <v>2</v>
      </c>
      <c r="F15" s="55">
        <f t="shared" si="4"/>
        <v>92.23</v>
      </c>
      <c r="G15" s="56">
        <f>IF(D15=D14,"",_xlfn.IFNA(VLOOKUP(D15,'인원 입력 기능(사과탐)'!$F$5:$I$59,4,FALSE),0))</f>
        <v>573</v>
      </c>
      <c r="H15" s="57">
        <f t="shared" si="1"/>
        <v>1.5466004480552782E-2</v>
      </c>
      <c r="I15" s="67">
        <f>SUM($G$7:G15)</f>
        <v>3165</v>
      </c>
      <c r="J15" s="59">
        <f t="shared" si="5"/>
        <v>8.5427406947555934E-2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65</v>
      </c>
      <c r="E16" s="54">
        <f t="shared" si="0"/>
        <v>2</v>
      </c>
      <c r="F16" s="55">
        <f t="shared" si="4"/>
        <v>90.89</v>
      </c>
      <c r="G16" s="56">
        <f>IF(D16=D15,"",_xlfn.IFNA(VLOOKUP(D16,'인원 입력 기능(사과탐)'!$F$5:$I$59,4,FALSE),0))</f>
        <v>422</v>
      </c>
      <c r="H16" s="57">
        <f t="shared" si="1"/>
        <v>1.1390320926340791E-2</v>
      </c>
      <c r="I16" s="67">
        <f>SUM($G$7:G16)</f>
        <v>3587</v>
      </c>
      <c r="J16" s="59">
        <f t="shared" si="5"/>
        <v>9.6817727873896725E-2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64</v>
      </c>
      <c r="E17" s="54">
        <f t="shared" si="0"/>
        <v>2</v>
      </c>
      <c r="F17" s="55">
        <f t="shared" si="4"/>
        <v>89.5</v>
      </c>
      <c r="G17" s="56">
        <f>IF(D17=D16,"",_xlfn.IFNA(VLOOKUP(D17,'인원 입력 기능(사과탐)'!$F$5:$I$59,4,FALSE),0))</f>
        <v>603</v>
      </c>
      <c r="H17" s="57">
        <f t="shared" si="1"/>
        <v>1.6275742935031985E-2</v>
      </c>
      <c r="I17" s="67">
        <f>SUM($G$7:G17)</f>
        <v>4190</v>
      </c>
      <c r="J17" s="59">
        <f t="shared" si="5"/>
        <v>0.11309347080892872</v>
      </c>
      <c r="K17" s="36"/>
      <c r="L17" s="20" t="str">
        <f t="shared" si="2"/>
        <v/>
      </c>
      <c r="N17" s="24"/>
      <c r="Q17" s="24">
        <f>Q7*H3*H4*J3*IFERROR(IF(J57=1, 1, 0), 0)</f>
        <v>694442276.87279999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63</v>
      </c>
      <c r="E18" s="54">
        <f t="shared" si="0"/>
        <v>3</v>
      </c>
      <c r="F18" s="55">
        <f t="shared" si="4"/>
        <v>87.93</v>
      </c>
      <c r="G18" s="56">
        <f>IF(D18=D17,"",_xlfn.IFNA(VLOOKUP(D18,'인원 입력 기능(사과탐)'!$F$5:$I$59,4,FALSE),0))</f>
        <v>560</v>
      </c>
      <c r="H18" s="57">
        <f t="shared" si="1"/>
        <v>1.5115117816945127E-2</v>
      </c>
      <c r="I18" s="67">
        <f>SUM($G$7:G18)</f>
        <v>4750</v>
      </c>
      <c r="J18" s="59">
        <f t="shared" si="5"/>
        <v>0.12820858862587384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202">
        <f t="shared" si="3"/>
        <v>62</v>
      </c>
      <c r="E19" s="202">
        <f t="shared" si="0"/>
        <v>3</v>
      </c>
      <c r="F19" s="199">
        <f t="shared" si="4"/>
        <v>85.35</v>
      </c>
      <c r="G19" s="196">
        <f>IF(D19=D18,"",_xlfn.IFNA(VLOOKUP(D19,'인원 입력 기능(사과탐)'!$F$5:$I$59,4,FALSE),0))</f>
        <v>1357</v>
      </c>
      <c r="H19" s="192">
        <f t="shared" si="1"/>
        <v>3.6627169424275956E-2</v>
      </c>
      <c r="I19" s="189">
        <f>SUM($G$7:G19)</f>
        <v>6107</v>
      </c>
      <c r="J19" s="162">
        <f t="shared" si="5"/>
        <v>0.1648357580501498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201"/>
      <c r="E20" s="201"/>
      <c r="F20" s="198"/>
      <c r="G20" s="195"/>
      <c r="H20" s="194"/>
      <c r="I20" s="191"/>
      <c r="J20" s="188"/>
      <c r="K20" s="36"/>
      <c r="L20" s="20" t="str">
        <f t="shared" si="2"/>
        <v>경고</v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61</v>
      </c>
      <c r="E21" s="68">
        <f t="shared" si="0"/>
        <v>3</v>
      </c>
      <c r="F21" s="55">
        <f t="shared" si="4"/>
        <v>82.64</v>
      </c>
      <c r="G21" s="56">
        <f>IF(D21=D20,"",_xlfn.IFNA(VLOOKUP(D21,'인원 입력 기능(사과탐)'!$F$5:$I$59,4,FALSE),0))</f>
        <v>650</v>
      </c>
      <c r="H21" s="57">
        <f t="shared" si="1"/>
        <v>1.7544333180382735E-2</v>
      </c>
      <c r="I21" s="67">
        <f>SUM($G$7:G21)</f>
        <v>6757</v>
      </c>
      <c r="J21" s="59">
        <f t="shared" si="5"/>
        <v>0.18238009123053253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60</v>
      </c>
      <c r="E22" s="68">
        <f t="shared" si="0"/>
        <v>3</v>
      </c>
      <c r="F22" s="55">
        <f t="shared" si="4"/>
        <v>80.739999999999995</v>
      </c>
      <c r="G22" s="56">
        <f>IF(D22=D21,"",_xlfn.IFNA(VLOOKUP(D22,'인원 입력 기능(사과탐)'!$F$5:$I$59,4,FALSE),0))</f>
        <v>756</v>
      </c>
      <c r="H22" s="57">
        <f t="shared" si="1"/>
        <v>2.0405409052875922E-2</v>
      </c>
      <c r="I22" s="67">
        <f>SUM($G$7:G22)</f>
        <v>7513</v>
      </c>
      <c r="J22" s="59">
        <f t="shared" si="5"/>
        <v>0.20278550028340847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59</v>
      </c>
      <c r="E23" s="68">
        <f t="shared" si="0"/>
        <v>3</v>
      </c>
      <c r="F23" s="55">
        <f t="shared" si="4"/>
        <v>78.63</v>
      </c>
      <c r="G23" s="56">
        <f>IF(D23=D22,"",_xlfn.IFNA(VLOOKUP(D23,'인원 입력 기능(사과탐)'!$F$5:$I$59,4,FALSE),0))</f>
        <v>811</v>
      </c>
      <c r="H23" s="57">
        <f t="shared" si="1"/>
        <v>2.1889929552754459E-2</v>
      </c>
      <c r="I23" s="67">
        <f>SUM($G$7:G23)</f>
        <v>8324</v>
      </c>
      <c r="J23" s="59">
        <f t="shared" si="5"/>
        <v>0.22467542983616293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58</v>
      </c>
      <c r="E24" s="68">
        <f t="shared" si="0"/>
        <v>3</v>
      </c>
      <c r="F24" s="55">
        <f t="shared" si="4"/>
        <v>76.510000000000005</v>
      </c>
      <c r="G24" s="56">
        <f>IF(D24=D23,"",_xlfn.IFNA(VLOOKUP(D24,'인원 입력 기능(사과탐)'!$F$5:$I$59,4,FALSE),0))</f>
        <v>759</v>
      </c>
      <c r="H24" s="57">
        <f t="shared" si="1"/>
        <v>2.048638289832384E-2</v>
      </c>
      <c r="I24" s="67">
        <f>SUM($G$7:G24)</f>
        <v>9083</v>
      </c>
      <c r="J24" s="59">
        <f t="shared" si="5"/>
        <v>0.24516181273448676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57</v>
      </c>
      <c r="E25" s="68">
        <f t="shared" si="0"/>
        <v>4</v>
      </c>
      <c r="F25" s="55">
        <f t="shared" si="4"/>
        <v>74.22</v>
      </c>
      <c r="G25" s="56">
        <f>IF(D25=D24,"",_xlfn.IFNA(VLOOKUP(D25,'인원 입력 기능(사과탐)'!$F$5:$I$59,4,FALSE),0))</f>
        <v>938</v>
      </c>
      <c r="H25" s="57">
        <f t="shared" si="1"/>
        <v>2.5317822343383086E-2</v>
      </c>
      <c r="I25" s="67">
        <f>SUM($G$7:G25)</f>
        <v>10021</v>
      </c>
      <c r="J25" s="59">
        <f t="shared" si="5"/>
        <v>0.27047963507786987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212">
        <f t="shared" si="3"/>
        <v>56</v>
      </c>
      <c r="E26" s="212">
        <f t="shared" si="0"/>
        <v>4</v>
      </c>
      <c r="F26" s="199">
        <f t="shared" si="4"/>
        <v>70.66</v>
      </c>
      <c r="G26" s="196">
        <f>IF(D26=D25,"",_xlfn.IFNA(VLOOKUP(D26,'인원 입력 기능(사과탐)'!$F$5:$I$59,4,FALSE),0))</f>
        <v>1702</v>
      </c>
      <c r="H26" s="192">
        <f t="shared" si="1"/>
        <v>4.5939161650786799E-2</v>
      </c>
      <c r="I26" s="189">
        <f>SUM($G$7:G26)</f>
        <v>11723</v>
      </c>
      <c r="J26" s="162">
        <f t="shared" si="5"/>
        <v>0.31641879672865664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211"/>
      <c r="E27" s="211"/>
      <c r="F27" s="198"/>
      <c r="G27" s="195"/>
      <c r="H27" s="194"/>
      <c r="I27" s="191"/>
      <c r="J27" s="188"/>
      <c r="K27" s="36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55</v>
      </c>
      <c r="E28" s="68">
        <f t="shared" si="0"/>
        <v>4</v>
      </c>
      <c r="F28" s="55">
        <f t="shared" si="4"/>
        <v>67.09</v>
      </c>
      <c r="G28" s="56">
        <f>IF(D28=D27,"",_xlfn.IFNA(VLOOKUP(D28,'인원 입력 기능(사과탐)'!$F$5:$I$59,4,FALSE),0))</f>
        <v>940</v>
      </c>
      <c r="H28" s="57">
        <f t="shared" si="1"/>
        <v>2.5371804907015034E-2</v>
      </c>
      <c r="I28" s="67">
        <f>SUM($G$7:G28)</f>
        <v>12663</v>
      </c>
      <c r="J28" s="59">
        <f t="shared" si="5"/>
        <v>0.34179060163567165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54</v>
      </c>
      <c r="E29" s="68">
        <f t="shared" si="0"/>
        <v>4</v>
      </c>
      <c r="F29" s="55">
        <f t="shared" si="4"/>
        <v>64.62</v>
      </c>
      <c r="G29" s="56">
        <f>IF(D29=D28,"",_xlfn.IFNA(VLOOKUP(D29,'인원 입력 기능(사과탐)'!$F$5:$I$59,4,FALSE),0))</f>
        <v>887</v>
      </c>
      <c r="H29" s="57">
        <f t="shared" si="1"/>
        <v>2.3941266970768441E-2</v>
      </c>
      <c r="I29" s="67">
        <f>SUM($G$7:G29)</f>
        <v>13550</v>
      </c>
      <c r="J29" s="59">
        <f t="shared" si="5"/>
        <v>0.36573186860644014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53</v>
      </c>
      <c r="E30" s="68">
        <f t="shared" si="0"/>
        <v>4</v>
      </c>
      <c r="F30" s="55">
        <f t="shared" si="4"/>
        <v>62.12</v>
      </c>
      <c r="G30" s="56">
        <f>IF(D30=D29,"",_xlfn.IFNA(VLOOKUP(D30,'인원 입력 기능(사과탐)'!$F$5:$I$59,4,FALSE),0))</f>
        <v>970</v>
      </c>
      <c r="H30" s="57">
        <f t="shared" si="1"/>
        <v>2.6181543361494239E-2</v>
      </c>
      <c r="I30" s="67">
        <f>SUM($G$7:G30)</f>
        <v>14520</v>
      </c>
      <c r="J30" s="59">
        <f t="shared" si="5"/>
        <v>0.39191341196793433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52</v>
      </c>
      <c r="E31" s="68">
        <f t="shared" si="0"/>
        <v>4</v>
      </c>
      <c r="F31" s="55">
        <f t="shared" si="4"/>
        <v>59.52</v>
      </c>
      <c r="G31" s="56">
        <f>IF(D31=D30,"",_xlfn.IFNA(VLOOKUP(D31,'인원 입력 기능(사과탐)'!$F$5:$I$59,4,FALSE),0))</f>
        <v>952</v>
      </c>
      <c r="H31" s="57">
        <f t="shared" si="1"/>
        <v>2.5695700288806717E-2</v>
      </c>
      <c r="I31" s="67">
        <f>SUM($G$7:G31)</f>
        <v>15472</v>
      </c>
      <c r="J31" s="59">
        <f t="shared" si="5"/>
        <v>0.41760911225674108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212">
        <f t="shared" si="3"/>
        <v>51</v>
      </c>
      <c r="E32" s="212">
        <f t="shared" si="0"/>
        <v>5</v>
      </c>
      <c r="F32" s="199">
        <f t="shared" si="4"/>
        <v>55.63</v>
      </c>
      <c r="G32" s="196">
        <f>IF(D32=D31,"",_xlfn.IFNA(VLOOKUP(D32,'인원 입력 기능(사과탐)'!$F$5:$I$59,4,FALSE),0))</f>
        <v>1932</v>
      </c>
      <c r="H32" s="192">
        <f t="shared" si="1"/>
        <v>5.2147156468460687E-2</v>
      </c>
      <c r="I32" s="189">
        <f>SUM($G$7:G32)</f>
        <v>17404</v>
      </c>
      <c r="J32" s="162">
        <f t="shared" si="5"/>
        <v>0.46975626872520176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211"/>
      <c r="E33" s="211"/>
      <c r="F33" s="198"/>
      <c r="G33" s="195"/>
      <c r="H33" s="194"/>
      <c r="I33" s="191"/>
      <c r="J33" s="188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50</v>
      </c>
      <c r="E34" s="68">
        <f t="shared" si="0"/>
        <v>5</v>
      </c>
      <c r="F34" s="55">
        <f t="shared" si="4"/>
        <v>51.79</v>
      </c>
      <c r="G34" s="56">
        <f>IF(D34=D33,"",_xlfn.IFNA(VLOOKUP(D34,'인원 입력 기능(사과탐)'!$F$5:$I$59,4,FALSE),0))</f>
        <v>916</v>
      </c>
      <c r="H34" s="57">
        <f t="shared" si="1"/>
        <v>2.4724014143431672E-2</v>
      </c>
      <c r="I34" s="67">
        <f>SUM($G$7:G34)</f>
        <v>18320</v>
      </c>
      <c r="J34" s="59">
        <f t="shared" si="5"/>
        <v>0.49448028286863344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49</v>
      </c>
      <c r="E35" s="68">
        <f t="shared" si="0"/>
        <v>5</v>
      </c>
      <c r="F35" s="55">
        <f t="shared" si="4"/>
        <v>49.15</v>
      </c>
      <c r="G35" s="56">
        <f>IF(D35=D34,"",_xlfn.IFNA(VLOOKUP(D35,'인원 입력 기능(사과탐)'!$F$5:$I$59,4,FALSE),0))</f>
        <v>1041</v>
      </c>
      <c r="H35" s="57">
        <f t="shared" si="1"/>
        <v>2.8097924370428351E-2</v>
      </c>
      <c r="I35" s="67">
        <f>SUM($G$7:G35)</f>
        <v>19361</v>
      </c>
      <c r="J35" s="59">
        <f t="shared" si="5"/>
        <v>0.52257820723906179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48</v>
      </c>
      <c r="E36" s="68">
        <f t="shared" si="0"/>
        <v>5</v>
      </c>
      <c r="F36" s="55">
        <f t="shared" si="4"/>
        <v>46.58</v>
      </c>
      <c r="G36" s="56">
        <f>IF(D36=D35,"",_xlfn.IFNA(VLOOKUP(D36,'인원 입력 기능(사과탐)'!$F$5:$I$59,4,FALSE),0))</f>
        <v>863</v>
      </c>
      <c r="H36" s="57">
        <f t="shared" si="1"/>
        <v>2.3293476207185079E-2</v>
      </c>
      <c r="I36" s="67">
        <f>SUM($G$7:G36)</f>
        <v>20224</v>
      </c>
      <c r="J36" s="59">
        <f t="shared" si="5"/>
        <v>0.54587168344624681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47</v>
      </c>
      <c r="E37" s="68">
        <f t="shared" si="0"/>
        <v>5</v>
      </c>
      <c r="F37" s="55">
        <f t="shared" si="4"/>
        <v>44.15</v>
      </c>
      <c r="G37" s="56">
        <f>IF(D37=D36,"",_xlfn.IFNA(VLOOKUP(D37,'인원 입력 기능(사과탐)'!$F$5:$I$59,4,FALSE),0))</f>
        <v>934</v>
      </c>
      <c r="H37" s="57">
        <f t="shared" si="1"/>
        <v>2.5209857216119194E-2</v>
      </c>
      <c r="I37" s="67">
        <f>SUM($G$7:G37)</f>
        <v>21158</v>
      </c>
      <c r="J37" s="59">
        <f t="shared" si="5"/>
        <v>0.57108154066236605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46</v>
      </c>
      <c r="E38" s="68">
        <f t="shared" si="0"/>
        <v>5</v>
      </c>
      <c r="F38" s="55">
        <f t="shared" si="4"/>
        <v>41.65</v>
      </c>
      <c r="G38" s="56">
        <f>IF(D38=D37,"",_xlfn.IFNA(VLOOKUP(D38,'인원 입력 기능(사과탐)'!$F$5:$I$59,4,FALSE),0))</f>
        <v>922</v>
      </c>
      <c r="H38" s="57">
        <f t="shared" si="1"/>
        <v>2.4885961834327511E-2</v>
      </c>
      <c r="I38" s="67">
        <f>SUM($G$7:G38)</f>
        <v>22080</v>
      </c>
      <c r="J38" s="59">
        <f t="shared" si="5"/>
        <v>0.59596750249669361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212">
        <f t="shared" si="3"/>
        <v>45</v>
      </c>
      <c r="E39" s="212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99">
        <f t="shared" si="4"/>
        <v>38.01</v>
      </c>
      <c r="G39" s="196">
        <f>IF(D39=D38,"",_xlfn.IFNA(VLOOKUP(D39,'인원 입력 기능(사과탐)'!$F$5:$I$59,4,FALSE),0))</f>
        <v>1773</v>
      </c>
      <c r="H39" s="192">
        <f t="shared" si="1"/>
        <v>4.7855542659720911E-2</v>
      </c>
      <c r="I39" s="189">
        <f>SUM($G$7:G39)</f>
        <v>23853</v>
      </c>
      <c r="J39" s="162">
        <f t="shared" si="5"/>
        <v>0.64382304515641453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211"/>
      <c r="E40" s="211"/>
      <c r="F40" s="198"/>
      <c r="G40" s="195"/>
      <c r="H40" s="194"/>
      <c r="I40" s="191"/>
      <c r="J40" s="188"/>
      <c r="K40" s="36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44</v>
      </c>
      <c r="E41" s="68">
        <f t="shared" si="6"/>
        <v>6</v>
      </c>
      <c r="F41" s="55">
        <f t="shared" si="4"/>
        <v>34.51</v>
      </c>
      <c r="G41" s="56">
        <f>IF(D41=D40,"",_xlfn.IFNA(VLOOKUP(D41,'인원 입력 기능(사과탐)'!$F$5:$I$59,4,FALSE),0))</f>
        <v>818</v>
      </c>
      <c r="H41" s="57">
        <f t="shared" si="1"/>
        <v>2.2078868525466273E-2</v>
      </c>
      <c r="I41" s="67">
        <f>SUM($G$7:G41)</f>
        <v>24671</v>
      </c>
      <c r="J41" s="59">
        <f t="shared" si="5"/>
        <v>0.66590191368188079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43</v>
      </c>
      <c r="E42" s="68">
        <f t="shared" si="6"/>
        <v>6</v>
      </c>
      <c r="F42" s="55">
        <f t="shared" si="4"/>
        <v>32.229999999999997</v>
      </c>
      <c r="G42" s="56">
        <f>IF(D42=D41,"",_xlfn.IFNA(VLOOKUP(D42,'인원 입력 기능(사과탐)'!$F$5:$I$59,4,FALSE),0))</f>
        <v>871</v>
      </c>
      <c r="H42" s="57">
        <f t="shared" si="1"/>
        <v>2.3509406461712866E-2</v>
      </c>
      <c r="I42" s="67">
        <f>SUM($G$7:G42)</f>
        <v>25542</v>
      </c>
      <c r="J42" s="59">
        <f t="shared" si="5"/>
        <v>0.68941132014359363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42</v>
      </c>
      <c r="E43" s="68">
        <f t="shared" si="6"/>
        <v>6</v>
      </c>
      <c r="F43" s="55">
        <f t="shared" si="4"/>
        <v>29.88</v>
      </c>
      <c r="G43" s="56">
        <f>IF(D43=D42,"",_xlfn.IFNA(VLOOKUP(D43,'인원 입력 기능(사과탐)'!$F$5:$I$59,4,FALSE),0))</f>
        <v>873</v>
      </c>
      <c r="H43" s="57">
        <f t="shared" si="1"/>
        <v>2.3563389025344814E-2</v>
      </c>
      <c r="I43" s="67">
        <f>SUM($G$7:G43)</f>
        <v>26415</v>
      </c>
      <c r="J43" s="59">
        <f t="shared" si="5"/>
        <v>0.71297470916893846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41</v>
      </c>
      <c r="E44" s="68">
        <f t="shared" si="6"/>
        <v>6</v>
      </c>
      <c r="F44" s="55">
        <f t="shared" si="4"/>
        <v>27.55</v>
      </c>
      <c r="G44" s="56">
        <f>IF(D44=D43,"",_xlfn.IFNA(VLOOKUP(D44,'인원 입력 기능(사과탐)'!$F$5:$I$59,4,FALSE),0))</f>
        <v>857</v>
      </c>
      <c r="H44" s="57">
        <f t="shared" si="1"/>
        <v>2.3131528516289239E-2</v>
      </c>
      <c r="I44" s="67">
        <f>SUM($G$7:G44)</f>
        <v>27272</v>
      </c>
      <c r="J44" s="59">
        <f t="shared" si="5"/>
        <v>0.73610623768522765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212">
        <f t="shared" si="3"/>
        <v>40</v>
      </c>
      <c r="E45" s="212">
        <f t="shared" si="6"/>
        <v>6</v>
      </c>
      <c r="F45" s="199">
        <f t="shared" si="4"/>
        <v>21.07</v>
      </c>
      <c r="G45" s="196">
        <f>IF(D45=D44,"",_xlfn.IFNA(VLOOKUP(D45,'인원 입력 기능(사과탐)'!$F$5:$I$59,4,FALSE),0))</f>
        <v>3942</v>
      </c>
      <c r="H45" s="192">
        <f t="shared" si="1"/>
        <v>0.1063996329185673</v>
      </c>
      <c r="I45" s="189">
        <f>SUM($G$7:G45)</f>
        <v>31214</v>
      </c>
      <c r="J45" s="162">
        <f t="shared" si="5"/>
        <v>0.842505870603795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211"/>
      <c r="E46" s="211"/>
      <c r="F46" s="198"/>
      <c r="G46" s="195"/>
      <c r="H46" s="194"/>
      <c r="I46" s="191"/>
      <c r="J46" s="188"/>
      <c r="K46" s="36"/>
      <c r="L46" s="20" t="str">
        <f t="shared" si="2"/>
        <v>경고</v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39</v>
      </c>
      <c r="E47" s="68">
        <f t="shared" si="6"/>
        <v>7</v>
      </c>
      <c r="F47" s="55">
        <f t="shared" si="4"/>
        <v>11.65</v>
      </c>
      <c r="G47" s="56">
        <f>IF(D47=D46,"",_xlfn.IFNA(VLOOKUP(D47,'인원 입력 기능(사과탐)'!$F$5:$I$59,4,FALSE),0))</f>
        <v>3034</v>
      </c>
      <c r="H47" s="57">
        <f t="shared" si="1"/>
        <v>8.1891549029663419E-2</v>
      </c>
      <c r="I47" s="67">
        <f>SUM($G$7:G47)</f>
        <v>34248</v>
      </c>
      <c r="J47" s="59">
        <f t="shared" si="5"/>
        <v>0.92439741963345834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38</v>
      </c>
      <c r="E48" s="68">
        <f t="shared" si="6"/>
        <v>8</v>
      </c>
      <c r="F48" s="55">
        <f t="shared" si="4"/>
        <v>6.62</v>
      </c>
      <c r="G48" s="56">
        <f>IF(D48=D47,"",_xlfn.IFNA(VLOOKUP(D48,'인원 입력 기능(사과탐)'!$F$5:$I$59,4,FALSE),0))</f>
        <v>695</v>
      </c>
      <c r="H48" s="57">
        <f t="shared" si="1"/>
        <v>1.8758940862101541E-2</v>
      </c>
      <c r="I48" s="67">
        <f>SUM($G$7:G48)</f>
        <v>34943</v>
      </c>
      <c r="J48" s="59">
        <f t="shared" si="5"/>
        <v>0.94315636049555995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37</v>
      </c>
      <c r="E49" s="68">
        <f t="shared" si="6"/>
        <v>8</v>
      </c>
      <c r="F49" s="55">
        <f t="shared" si="4"/>
        <v>4.9400000000000004</v>
      </c>
      <c r="G49" s="56">
        <f>IF(D49=D48,"",_xlfn.IFNA(VLOOKUP(D49,'인원 입력 기능(사과탐)'!$F$5:$I$59,4,FALSE),0))</f>
        <v>548</v>
      </c>
      <c r="H49" s="57">
        <f t="shared" si="1"/>
        <v>1.4791222435153446E-2</v>
      </c>
      <c r="I49" s="67">
        <f>SUM($G$7:G49)</f>
        <v>35491</v>
      </c>
      <c r="J49" s="59">
        <f t="shared" si="5"/>
        <v>0.95794758293071336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36</v>
      </c>
      <c r="E50" s="68">
        <f t="shared" si="6"/>
        <v>8</v>
      </c>
      <c r="F50" s="55">
        <f t="shared" si="4"/>
        <v>3.43</v>
      </c>
      <c r="G50" s="56">
        <f>IF(D50=D49,"",_xlfn.IFNA(VLOOKUP(D50,'인원 입력 기능(사과탐)'!$F$5:$I$59,4,FALSE),0))</f>
        <v>572</v>
      </c>
      <c r="H50" s="57">
        <f t="shared" si="1"/>
        <v>1.5439013198736808E-2</v>
      </c>
      <c r="I50" s="67">
        <f>SUM($G$7:G50)</f>
        <v>36063</v>
      </c>
      <c r="J50" s="59">
        <f t="shared" si="5"/>
        <v>0.97338659612945022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35</v>
      </c>
      <c r="E51" s="68">
        <f t="shared" si="6"/>
        <v>9</v>
      </c>
      <c r="F51" s="55">
        <f t="shared" si="4"/>
        <v>2.36</v>
      </c>
      <c r="G51" s="56">
        <f>IF(D51=D50,"",_xlfn.IFNA(VLOOKUP(D51,'인원 입력 기능(사과탐)'!$F$5:$I$59,4,FALSE),0))</f>
        <v>223</v>
      </c>
      <c r="H51" s="57">
        <f t="shared" si="1"/>
        <v>6.0190558449620775E-3</v>
      </c>
      <c r="I51" s="67">
        <f>SUM($G$7:G51)</f>
        <v>36286</v>
      </c>
      <c r="J51" s="59">
        <f t="shared" si="5"/>
        <v>0.97940565197441232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212">
        <f t="shared" si="3"/>
        <v>34</v>
      </c>
      <c r="E52" s="212">
        <f t="shared" si="6"/>
        <v>9</v>
      </c>
      <c r="F52" s="199">
        <f t="shared" si="4"/>
        <v>1.48</v>
      </c>
      <c r="G52" s="196">
        <f>IF(D52=D51,"",_xlfn.IFNA(VLOOKUP(D52,'인원 입력 기능(사과탐)'!$F$5:$I$59,4,FALSE),0))</f>
        <v>432</v>
      </c>
      <c r="H52" s="192">
        <f t="shared" si="1"/>
        <v>1.1660233744500526E-2</v>
      </c>
      <c r="I52" s="189">
        <f>SUM($G$7:G52)</f>
        <v>36718</v>
      </c>
      <c r="J52" s="162">
        <f t="shared" si="5"/>
        <v>0.99106588571891274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211"/>
      <c r="E53" s="211"/>
      <c r="F53" s="198"/>
      <c r="G53" s="195"/>
      <c r="H53" s="194"/>
      <c r="I53" s="191"/>
      <c r="J53" s="188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33</v>
      </c>
      <c r="E54" s="54">
        <f t="shared" si="6"/>
        <v>9</v>
      </c>
      <c r="F54" s="55">
        <f t="shared" si="4"/>
        <v>0.71</v>
      </c>
      <c r="G54" s="56">
        <f>IF(D54=D53,"",_xlfn.IFNA(VLOOKUP(D54,'인원 입력 기능(사과탐)'!$F$5:$I$59,4,FALSE),0))</f>
        <v>133</v>
      </c>
      <c r="H54" s="57">
        <f t="shared" si="1"/>
        <v>3.5898404815244674E-3</v>
      </c>
      <c r="I54" s="67">
        <f>SUM($G$7:G54)</f>
        <v>36851</v>
      </c>
      <c r="J54" s="59">
        <f t="shared" si="5"/>
        <v>0.9946557262004373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32</v>
      </c>
      <c r="E55" s="54">
        <f t="shared" si="6"/>
        <v>9</v>
      </c>
      <c r="F55" s="55">
        <f t="shared" si="4"/>
        <v>0.36</v>
      </c>
      <c r="G55" s="56">
        <f>IF(D55=D54,"",_xlfn.IFNA(VLOOKUP(D55,'인원 입력 기능(사과탐)'!$F$5:$I$59,4,FALSE),0))</f>
        <v>129</v>
      </c>
      <c r="H55" s="57">
        <f t="shared" si="1"/>
        <v>3.4818753542605737E-3</v>
      </c>
      <c r="I55" s="67">
        <f>SUM($G$7:G55)</f>
        <v>36980</v>
      </c>
      <c r="J55" s="59">
        <f t="shared" si="5"/>
        <v>0.99813760155469788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30</v>
      </c>
      <c r="E57" s="109">
        <f t="shared" si="6"/>
        <v>9</v>
      </c>
      <c r="F57" s="74">
        <f>IF(I55=0,ROUND(100*(1-(I54+I57)/2/$J$3),2),ROUND(100*(1-(I55+I57)/2/$J$3),2))</f>
        <v>0.09</v>
      </c>
      <c r="G57" s="110">
        <f>_xlfn.IFNA(VLOOKUP(D57,'인원 입력 기능(사과탐)'!$F$5:$I$59,4,FALSE),0)</f>
        <v>69</v>
      </c>
      <c r="H57" s="76">
        <f>G57/$J$3</f>
        <v>1.8623984453021675E-3</v>
      </c>
      <c r="I57" s="77">
        <f>SUM($G$7:G57)</f>
        <v>37049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1">
    <mergeCell ref="I52:I53"/>
    <mergeCell ref="J52:J53"/>
    <mergeCell ref="D52:D53"/>
    <mergeCell ref="E52:E53"/>
    <mergeCell ref="F52:F53"/>
    <mergeCell ref="G52:G53"/>
    <mergeCell ref="H52:H53"/>
    <mergeCell ref="I39:I40"/>
    <mergeCell ref="J39:J40"/>
    <mergeCell ref="D45:D46"/>
    <mergeCell ref="E45:E46"/>
    <mergeCell ref="F45:F46"/>
    <mergeCell ref="G45:G46"/>
    <mergeCell ref="H45:H46"/>
    <mergeCell ref="I45:I46"/>
    <mergeCell ref="J45:J46"/>
    <mergeCell ref="D39:D40"/>
    <mergeCell ref="E39:E40"/>
    <mergeCell ref="F39:F40"/>
    <mergeCell ref="G39:G40"/>
    <mergeCell ref="H39:H40"/>
    <mergeCell ref="I26:I27"/>
    <mergeCell ref="J26:J27"/>
    <mergeCell ref="D32:D33"/>
    <mergeCell ref="E32:E33"/>
    <mergeCell ref="F32:F33"/>
    <mergeCell ref="G32:G33"/>
    <mergeCell ref="H32:H33"/>
    <mergeCell ref="I32:I33"/>
    <mergeCell ref="J32:J33"/>
    <mergeCell ref="D26:D27"/>
    <mergeCell ref="E26:E27"/>
    <mergeCell ref="F26:F27"/>
    <mergeCell ref="G26:G27"/>
    <mergeCell ref="H26:H27"/>
    <mergeCell ref="G13:G14"/>
    <mergeCell ref="H13:H14"/>
    <mergeCell ref="I13:I14"/>
    <mergeCell ref="J13:J14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13:D14"/>
    <mergeCell ref="E13:E14"/>
    <mergeCell ref="F13:F14"/>
  </mergeCells>
  <phoneticPr fontId="1" type="noConversion"/>
  <conditionalFormatting sqref="D7:G13 I7:J13 D15:G19 I15:J19 D21:G26 I21:J26 D28:G32 I28:J32 D34:G39 I34:J39 D41:G45 I41:J45 D47:G52 I47:J52 D54:G57 I54:J57">
    <cfRule type="expression" dxfId="70" priority="4">
      <formula>OR($D7=$Q$7:$Q$14)</formula>
    </cfRule>
  </conditionalFormatting>
  <conditionalFormatting sqref="C7:C57">
    <cfRule type="expression" dxfId="69" priority="3">
      <formula>OR(AND($D7=0,OR($D6=$Q$7:$Q$14)),AND($D8&gt;0,OR($D7=$Q$7:$Q$14)))</formula>
    </cfRule>
  </conditionalFormatting>
  <conditionalFormatting sqref="D7:D13 D15:D19 D21:D26 D28:D32 D34:D39 D41:D45 D47:D52 D54:D57">
    <cfRule type="expression" dxfId="68" priority="2">
      <formula>$D7=$D8</formula>
    </cfRule>
  </conditionalFormatting>
  <conditionalFormatting sqref="H7:H13 H15:H19 H21:H26 H28:H32 H34:H39 H41:H45 H47:H52 H54:H57">
    <cfRule type="expression" dxfId="67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2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기능'!D10</f>
        <v>26.98</v>
      </c>
      <c r="I3" s="21" t="s">
        <v>124</v>
      </c>
      <c r="J3" s="81">
        <f>'통계 및 응시자 수 입력 기능'!C10</f>
        <v>25204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154</v>
      </c>
      <c r="E4" s="153"/>
      <c r="F4" s="154"/>
      <c r="G4" s="83" t="s">
        <v>127</v>
      </c>
      <c r="H4" s="84" t="str">
        <f>'통계 및 응시자 수 입력 기능'!E10</f>
        <v>12.18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69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98.8</v>
      </c>
      <c r="G7" s="56">
        <f>_xlfn.IFNA(VLOOKUP(D7,'인원 입력 기능(사과탐)'!$K$5:$N$59,4,FALSE),0)</f>
        <v>603</v>
      </c>
      <c r="H7" s="57">
        <f>G7/$J$3</f>
        <v>2.3924773845421361E-2</v>
      </c>
      <c r="I7" s="58">
        <f>G7</f>
        <v>603</v>
      </c>
      <c r="J7" s="59">
        <f>I7/$J$3</f>
        <v>2.3924773845421361E-2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기능'!C58</f>
        <v>66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기능'!C59</f>
        <v>63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67</v>
      </c>
      <c r="E9" s="54">
        <f t="shared" si="0"/>
        <v>1</v>
      </c>
      <c r="F9" s="55">
        <f>IF(I8=0,ROUND(100*(1-(I7+I9)/2/$J$3),2),ROUND(100*(1-(I8+I9)/2/$J$3),2))</f>
        <v>96.88</v>
      </c>
      <c r="G9" s="56">
        <f>_xlfn.IFNA(VLOOKUP(D9,'인원 입력 기능(사과탐)'!$K$5:$N$59,4,FALSE),0)</f>
        <v>367</v>
      </c>
      <c r="H9" s="57">
        <f t="shared" ref="H9:H55" si="1">G9/$J$3</f>
        <v>1.4561180764957942E-2</v>
      </c>
      <c r="I9" s="67">
        <f>SUM($G$7:G9)</f>
        <v>970</v>
      </c>
      <c r="J9" s="59">
        <f>I9/$J$3</f>
        <v>3.8485954610379305E-2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기능'!C60</f>
        <v>58</v>
      </c>
    </row>
    <row r="10" spans="1:17" s="22" customFormat="1" ht="25" customHeight="1" x14ac:dyDescent="0.45">
      <c r="A10" s="20"/>
      <c r="B10" s="35"/>
      <c r="C10" s="60">
        <v>47</v>
      </c>
      <c r="D10" s="202">
        <f t="shared" ref="D10:D55" si="3">ROUND(10*(C10-$H$3)/$H$4+50,0)</f>
        <v>66</v>
      </c>
      <c r="E10" s="202">
        <f t="shared" si="0"/>
        <v>1</v>
      </c>
      <c r="F10" s="199">
        <f t="shared" ref="F10:F55" si="4">IF(I9=0,ROUND(100*(1-(I8+I10)/2/$J$3),2),ROUND(100*(1-(I9+I10)/2/$J$3),2))</f>
        <v>94.75</v>
      </c>
      <c r="G10" s="196">
        <f>IF(D10=D9,"",_xlfn.IFNA(VLOOKUP(D10,'인원 입력 기능(사과탐)'!$K$5:$N$59,4,FALSE),0))</f>
        <v>708</v>
      </c>
      <c r="H10" s="192">
        <f t="shared" si="1"/>
        <v>2.8090779241390255E-2</v>
      </c>
      <c r="I10" s="189">
        <f>SUM($G$7:G10)</f>
        <v>1678</v>
      </c>
      <c r="J10" s="162">
        <f t="shared" ref="J10:J55" si="5">I10/$J$3</f>
        <v>6.6576733851769557E-2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기능'!C61</f>
        <v>53</v>
      </c>
    </row>
    <row r="11" spans="1:17" s="22" customFormat="1" ht="25" customHeight="1" x14ac:dyDescent="0.45">
      <c r="A11" s="20"/>
      <c r="B11" s="35"/>
      <c r="C11" s="53">
        <v>46</v>
      </c>
      <c r="D11" s="201"/>
      <c r="E11" s="201"/>
      <c r="F11" s="198"/>
      <c r="G11" s="195"/>
      <c r="H11" s="194"/>
      <c r="I11" s="191"/>
      <c r="J11" s="188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기능'!C62</f>
        <v>48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65</v>
      </c>
      <c r="E12" s="54">
        <f t="shared" si="0"/>
        <v>2</v>
      </c>
      <c r="F12" s="55">
        <f t="shared" si="4"/>
        <v>92.14</v>
      </c>
      <c r="G12" s="56">
        <f>IF(D12=D11,"",_xlfn.IFNA(VLOOKUP(D12,'인원 입력 기능(사과탐)'!$K$5:$N$59,4,FALSE),0))</f>
        <v>608</v>
      </c>
      <c r="H12" s="57">
        <f t="shared" si="1"/>
        <v>2.4123155054753213E-2</v>
      </c>
      <c r="I12" s="67">
        <f>SUM($G$7:G12)</f>
        <v>2286</v>
      </c>
      <c r="J12" s="59">
        <f t="shared" si="5"/>
        <v>9.069988890652278E-2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기능'!C63</f>
        <v>41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64</v>
      </c>
      <c r="E13" s="54">
        <f t="shared" si="0"/>
        <v>2</v>
      </c>
      <c r="F13" s="55">
        <f t="shared" si="4"/>
        <v>90.01</v>
      </c>
      <c r="G13" s="56">
        <f>IF(D13=D12,"",_xlfn.IFNA(VLOOKUP(D13,'인원 입력 기능(사과탐)'!$K$5:$N$59,4,FALSE),0))</f>
        <v>462</v>
      </c>
      <c r="H13" s="57">
        <f t="shared" si="1"/>
        <v>1.8330423742263131E-2</v>
      </c>
      <c r="I13" s="67">
        <f>SUM($G$7:G13)</f>
        <v>2748</v>
      </c>
      <c r="J13" s="59">
        <f t="shared" si="5"/>
        <v>0.1090303126487859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기능'!C64</f>
        <v>37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63</v>
      </c>
      <c r="E14" s="54">
        <f t="shared" si="0"/>
        <v>2</v>
      </c>
      <c r="F14" s="55">
        <f t="shared" si="4"/>
        <v>88.44</v>
      </c>
      <c r="G14" s="56">
        <f>IF(D14=D13,"",_xlfn.IFNA(VLOOKUP(D14,'인원 입력 기능(사과탐)'!$K$5:$N$59,4,FALSE),0))</f>
        <v>329</v>
      </c>
      <c r="H14" s="57">
        <f t="shared" si="1"/>
        <v>1.3053483574035867E-2</v>
      </c>
      <c r="I14" s="67">
        <f>SUM($G$7:G14)</f>
        <v>3077</v>
      </c>
      <c r="J14" s="59">
        <f t="shared" si="5"/>
        <v>0.12208379622282177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기능'!C65</f>
        <v>34</v>
      </c>
    </row>
    <row r="15" spans="1:17" s="22" customFormat="1" ht="25" customHeight="1" x14ac:dyDescent="0.45">
      <c r="A15" s="20"/>
      <c r="B15" s="35"/>
      <c r="C15" s="53">
        <v>42</v>
      </c>
      <c r="D15" s="202">
        <f t="shared" si="3"/>
        <v>62</v>
      </c>
      <c r="E15" s="202">
        <f t="shared" si="0"/>
        <v>3</v>
      </c>
      <c r="F15" s="199">
        <f t="shared" si="4"/>
        <v>85.73</v>
      </c>
      <c r="G15" s="196">
        <f>IF(D15=D14,"",_xlfn.IFNA(VLOOKUP(D15,'인원 입력 기능(사과탐)'!$K$5:$N$59,4,FALSE),0))</f>
        <v>1041</v>
      </c>
      <c r="H15" s="192">
        <f t="shared" si="1"/>
        <v>4.1302967782891602E-2</v>
      </c>
      <c r="I15" s="189">
        <f>SUM($G$7:G15)</f>
        <v>4118</v>
      </c>
      <c r="J15" s="162">
        <f t="shared" si="5"/>
        <v>0.16338676400571339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201"/>
      <c r="E16" s="201"/>
      <c r="F16" s="198"/>
      <c r="G16" s="195"/>
      <c r="H16" s="194"/>
      <c r="I16" s="191"/>
      <c r="J16" s="188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61</v>
      </c>
      <c r="E17" s="54">
        <f t="shared" si="0"/>
        <v>3</v>
      </c>
      <c r="F17" s="55">
        <f t="shared" si="4"/>
        <v>82.72</v>
      </c>
      <c r="G17" s="56">
        <f>IF(D17=D16,"",_xlfn.IFNA(VLOOKUP(D17,'인원 입력 기능(사과탐)'!$K$5:$N$59,4,FALSE),0))</f>
        <v>472</v>
      </c>
      <c r="H17" s="57">
        <f t="shared" si="1"/>
        <v>1.8727186160926838E-2</v>
      </c>
      <c r="I17" s="67">
        <f>SUM($G$7:G17)</f>
        <v>4590</v>
      </c>
      <c r="J17" s="59">
        <f t="shared" si="5"/>
        <v>0.18211395016664023</v>
      </c>
      <c r="K17" s="36"/>
      <c r="L17" s="20" t="str">
        <f t="shared" si="2"/>
        <v/>
      </c>
      <c r="N17" s="24"/>
      <c r="Q17" s="24">
        <f>Q7*H3*H4*J3*IFERROR(IF(J57=1, 1, 0), 0)</f>
        <v>546641551.20960009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60</v>
      </c>
      <c r="E18" s="54">
        <f t="shared" si="0"/>
        <v>3</v>
      </c>
      <c r="F18" s="55">
        <f t="shared" si="4"/>
        <v>80.62</v>
      </c>
      <c r="G18" s="56">
        <f>IF(D18=D17,"",_xlfn.IFNA(VLOOKUP(D18,'인원 입력 기능(사과탐)'!$K$5:$N$59,4,FALSE),0))</f>
        <v>591</v>
      </c>
      <c r="H18" s="57">
        <f t="shared" si="1"/>
        <v>2.3448658943024916E-2</v>
      </c>
      <c r="I18" s="67">
        <f>SUM($G$7:G18)</f>
        <v>5181</v>
      </c>
      <c r="J18" s="59">
        <f t="shared" si="5"/>
        <v>0.20556260910966515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59</v>
      </c>
      <c r="E19" s="54">
        <f t="shared" si="0"/>
        <v>3</v>
      </c>
      <c r="F19" s="55">
        <f t="shared" si="4"/>
        <v>78.540000000000006</v>
      </c>
      <c r="G19" s="56">
        <f>IF(D19=D18,"",_xlfn.IFNA(VLOOKUP(D19,'인원 입력 기능(사과탐)'!$K$5:$N$59,4,FALSE),0))</f>
        <v>458</v>
      </c>
      <c r="H19" s="57">
        <f t="shared" si="1"/>
        <v>1.817171877479765E-2</v>
      </c>
      <c r="I19" s="67">
        <f>SUM($G$7:G19)</f>
        <v>5639</v>
      </c>
      <c r="J19" s="59">
        <f t="shared" si="5"/>
        <v>0.22373432788446279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58</v>
      </c>
      <c r="E20" s="54">
        <f t="shared" si="0"/>
        <v>3</v>
      </c>
      <c r="F20" s="55">
        <f t="shared" si="4"/>
        <v>76.31</v>
      </c>
      <c r="G20" s="56">
        <f>IF(D20=D19,"",_xlfn.IFNA(VLOOKUP(D20,'인원 입력 기능(사과탐)'!$K$5:$N$59,4,FALSE),0))</f>
        <v>666</v>
      </c>
      <c r="H20" s="57">
        <f t="shared" si="1"/>
        <v>2.6424377083002697E-2</v>
      </c>
      <c r="I20" s="67">
        <f>SUM($G$7:G20)</f>
        <v>6305</v>
      </c>
      <c r="J20" s="59">
        <f t="shared" si="5"/>
        <v>0.25015870496746551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212">
        <f t="shared" si="3"/>
        <v>57</v>
      </c>
      <c r="E21" s="212">
        <f t="shared" si="0"/>
        <v>4</v>
      </c>
      <c r="F21" s="199">
        <f t="shared" si="4"/>
        <v>72.61</v>
      </c>
      <c r="G21" s="196">
        <f>IF(D21=D20,"",_xlfn.IFNA(VLOOKUP(D21,'인원 입력 기능(사과탐)'!$K$5:$N$59,4,FALSE),0))</f>
        <v>1196</v>
      </c>
      <c r="H21" s="192">
        <f t="shared" si="1"/>
        <v>4.745278527217902E-2</v>
      </c>
      <c r="I21" s="189">
        <f>SUM($G$7:G21)</f>
        <v>7501</v>
      </c>
      <c r="J21" s="162">
        <f t="shared" si="5"/>
        <v>0.2976114902396445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211"/>
      <c r="E22" s="211"/>
      <c r="F22" s="198"/>
      <c r="G22" s="195"/>
      <c r="H22" s="194"/>
      <c r="I22" s="191"/>
      <c r="J22" s="188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56</v>
      </c>
      <c r="E23" s="68">
        <f t="shared" si="0"/>
        <v>4</v>
      </c>
      <c r="F23" s="55">
        <f t="shared" si="4"/>
        <v>68.760000000000005</v>
      </c>
      <c r="G23" s="56">
        <f>IF(D23=D22,"",_xlfn.IFNA(VLOOKUP(D23,'인원 입력 기능(사과탐)'!$K$5:$N$59,4,FALSE),0))</f>
        <v>743</v>
      </c>
      <c r="H23" s="57">
        <f t="shared" si="1"/>
        <v>2.9479447706713222E-2</v>
      </c>
      <c r="I23" s="67">
        <f>SUM($G$7:G23)</f>
        <v>8244</v>
      </c>
      <c r="J23" s="59">
        <f t="shared" si="5"/>
        <v>0.32709093794635774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55</v>
      </c>
      <c r="E24" s="68">
        <f t="shared" si="0"/>
        <v>4</v>
      </c>
      <c r="F24" s="55">
        <f t="shared" si="4"/>
        <v>66.099999999999994</v>
      </c>
      <c r="G24" s="56">
        <f>IF(D24=D23,"",_xlfn.IFNA(VLOOKUP(D24,'인원 입력 기능(사과탐)'!$K$5:$N$59,4,FALSE),0))</f>
        <v>598</v>
      </c>
      <c r="H24" s="57">
        <f t="shared" si="1"/>
        <v>2.372639263608951E-2</v>
      </c>
      <c r="I24" s="67">
        <f>SUM($G$7:G24)</f>
        <v>8842</v>
      </c>
      <c r="J24" s="59">
        <f t="shared" si="5"/>
        <v>0.35081733058244724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54</v>
      </c>
      <c r="E25" s="68">
        <f t="shared" si="0"/>
        <v>4</v>
      </c>
      <c r="F25" s="55">
        <f t="shared" si="4"/>
        <v>63.61</v>
      </c>
      <c r="G25" s="56">
        <f>IF(D25=D24,"",_xlfn.IFNA(VLOOKUP(D25,'인원 입력 기능(사과탐)'!$K$5:$N$59,4,FALSE),0))</f>
        <v>661</v>
      </c>
      <c r="H25" s="57">
        <f t="shared" si="1"/>
        <v>2.6225995873670846E-2</v>
      </c>
      <c r="I25" s="67">
        <f>SUM($G$7:G25)</f>
        <v>9503</v>
      </c>
      <c r="J25" s="59">
        <f t="shared" si="5"/>
        <v>0.3770433264561181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53</v>
      </c>
      <c r="E26" s="68">
        <f t="shared" si="0"/>
        <v>4</v>
      </c>
      <c r="F26" s="55">
        <f t="shared" si="4"/>
        <v>60.76</v>
      </c>
      <c r="G26" s="56">
        <f>IF(D26=D25,"",_xlfn.IFNA(VLOOKUP(D26,'인원 입력 기능(사과탐)'!$K$5:$N$59,4,FALSE),0))</f>
        <v>772</v>
      </c>
      <c r="H26" s="57">
        <f t="shared" si="1"/>
        <v>3.0630058720837964E-2</v>
      </c>
      <c r="I26" s="67">
        <f>SUM($G$7:G26)</f>
        <v>10275</v>
      </c>
      <c r="J26" s="59">
        <f t="shared" si="5"/>
        <v>0.40767338517695606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212">
        <f t="shared" si="3"/>
        <v>52</v>
      </c>
      <c r="E27" s="212">
        <f t="shared" si="0"/>
        <v>5</v>
      </c>
      <c r="F27" s="199">
        <f t="shared" si="4"/>
        <v>56.52</v>
      </c>
      <c r="G27" s="196">
        <f>IF(D27=D26,"",_xlfn.IFNA(VLOOKUP(D27,'인원 입력 기능(사과탐)'!$K$5:$N$59,4,FALSE),0))</f>
        <v>1369</v>
      </c>
      <c r="H27" s="192">
        <f t="shared" si="1"/>
        <v>5.4316775115061104E-2</v>
      </c>
      <c r="I27" s="189">
        <f>SUM($G$7:G27)</f>
        <v>11644</v>
      </c>
      <c r="J27" s="162">
        <f t="shared" si="5"/>
        <v>0.46199016029201712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211"/>
      <c r="E28" s="211"/>
      <c r="F28" s="198"/>
      <c r="G28" s="195"/>
      <c r="H28" s="194"/>
      <c r="I28" s="191"/>
      <c r="J28" s="188"/>
      <c r="K28" s="36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51</v>
      </c>
      <c r="E29" s="68">
        <f t="shared" si="0"/>
        <v>5</v>
      </c>
      <c r="F29" s="55">
        <f t="shared" si="4"/>
        <v>52.32</v>
      </c>
      <c r="G29" s="56">
        <f>IF(D29=D28,"",_xlfn.IFNA(VLOOKUP(D29,'인원 입력 기능(사과탐)'!$K$5:$N$59,4,FALSE),0))</f>
        <v>745</v>
      </c>
      <c r="H29" s="57">
        <f t="shared" si="1"/>
        <v>2.9558800190445961E-2</v>
      </c>
      <c r="I29" s="67">
        <f>SUM($G$7:G29)</f>
        <v>12389</v>
      </c>
      <c r="J29" s="59">
        <f t="shared" si="5"/>
        <v>0.4915489604824631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50</v>
      </c>
      <c r="E30" s="68">
        <f t="shared" si="0"/>
        <v>5</v>
      </c>
      <c r="F30" s="55">
        <f t="shared" si="4"/>
        <v>49.48</v>
      </c>
      <c r="G30" s="56">
        <f>IF(D30=D29,"",_xlfn.IFNA(VLOOKUP(D30,'인원 입력 기능(사과탐)'!$K$5:$N$59,4,FALSE),0))</f>
        <v>690</v>
      </c>
      <c r="H30" s="57">
        <f t="shared" si="1"/>
        <v>2.7376606887795588E-2</v>
      </c>
      <c r="I30" s="67">
        <f>SUM($G$7:G30)</f>
        <v>13079</v>
      </c>
      <c r="J30" s="59">
        <f t="shared" si="5"/>
        <v>0.51892556737025863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49</v>
      </c>
      <c r="E31" s="68">
        <f t="shared" si="0"/>
        <v>5</v>
      </c>
      <c r="F31" s="55">
        <f t="shared" si="4"/>
        <v>46.61</v>
      </c>
      <c r="G31" s="56">
        <f>IF(D31=D30,"",_xlfn.IFNA(VLOOKUP(D31,'인원 입력 기능(사과탐)'!$K$5:$N$59,4,FALSE),0))</f>
        <v>757</v>
      </c>
      <c r="H31" s="57">
        <f t="shared" si="1"/>
        <v>3.0034915092842406E-2</v>
      </c>
      <c r="I31" s="67">
        <f>SUM($G$7:G31)</f>
        <v>13836</v>
      </c>
      <c r="J31" s="59">
        <f t="shared" si="5"/>
        <v>0.54896048246310114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212">
        <f t="shared" si="3"/>
        <v>48</v>
      </c>
      <c r="E32" s="212">
        <f t="shared" si="0"/>
        <v>5</v>
      </c>
      <c r="F32" s="199">
        <f t="shared" si="4"/>
        <v>42.35</v>
      </c>
      <c r="G32" s="196">
        <f>IF(D32=D31,"",_xlfn.IFNA(VLOOKUP(D32,'인원 입력 기능(사과탐)'!$K$5:$N$59,4,FALSE),0))</f>
        <v>1388</v>
      </c>
      <c r="H32" s="192">
        <f t="shared" si="1"/>
        <v>5.507062371052214E-2</v>
      </c>
      <c r="I32" s="189">
        <f>SUM($G$7:G32)</f>
        <v>15224</v>
      </c>
      <c r="J32" s="162">
        <f t="shared" si="5"/>
        <v>0.60403110617362321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211"/>
      <c r="E33" s="211"/>
      <c r="F33" s="198"/>
      <c r="G33" s="195"/>
      <c r="H33" s="194"/>
      <c r="I33" s="191"/>
      <c r="J33" s="188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47</v>
      </c>
      <c r="E34" s="68">
        <f t="shared" si="0"/>
        <v>6</v>
      </c>
      <c r="F34" s="55">
        <f t="shared" si="4"/>
        <v>38.299999999999997</v>
      </c>
      <c r="G34" s="56">
        <f>IF(D34=D33,"",_xlfn.IFNA(VLOOKUP(D34,'인원 입력 기능(사과탐)'!$K$5:$N$59,4,FALSE),0))</f>
        <v>654</v>
      </c>
      <c r="H34" s="57">
        <f t="shared" si="1"/>
        <v>2.5948262180606252E-2</v>
      </c>
      <c r="I34" s="67">
        <f>SUM($G$7:G34)</f>
        <v>15878</v>
      </c>
      <c r="J34" s="59">
        <f t="shared" si="5"/>
        <v>0.62997936835422952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46</v>
      </c>
      <c r="E35" s="68">
        <f t="shared" si="0"/>
        <v>6</v>
      </c>
      <c r="F35" s="55">
        <f t="shared" si="4"/>
        <v>35.85</v>
      </c>
      <c r="G35" s="56">
        <f>IF(D35=D34,"",_xlfn.IFNA(VLOOKUP(D35,'인원 입력 기능(사과탐)'!$K$5:$N$59,4,FALSE),0))</f>
        <v>583</v>
      </c>
      <c r="H35" s="57">
        <f t="shared" si="1"/>
        <v>2.3131249008093952E-2</v>
      </c>
      <c r="I35" s="67">
        <f>SUM($G$7:G35)</f>
        <v>16461</v>
      </c>
      <c r="J35" s="59">
        <f t="shared" si="5"/>
        <v>0.65311061736232345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45</v>
      </c>
      <c r="E36" s="68">
        <f t="shared" si="0"/>
        <v>6</v>
      </c>
      <c r="F36" s="55">
        <f t="shared" si="4"/>
        <v>33.49</v>
      </c>
      <c r="G36" s="56">
        <f>IF(D36=D35,"",_xlfn.IFNA(VLOOKUP(D36,'인원 입력 기능(사과탐)'!$K$5:$N$59,4,FALSE),0))</f>
        <v>605</v>
      </c>
      <c r="H36" s="57">
        <f t="shared" si="1"/>
        <v>2.4004126329154104E-2</v>
      </c>
      <c r="I36" s="67">
        <f>SUM($G$7:G36)</f>
        <v>17066</v>
      </c>
      <c r="J36" s="59">
        <f t="shared" si="5"/>
        <v>0.67711474369147751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44</v>
      </c>
      <c r="E37" s="68">
        <f t="shared" si="0"/>
        <v>6</v>
      </c>
      <c r="F37" s="55">
        <f t="shared" si="4"/>
        <v>31.3</v>
      </c>
      <c r="G37" s="56">
        <f>IF(D37=D36,"",_xlfn.IFNA(VLOOKUP(D37,'인원 입력 기능(사과탐)'!$K$5:$N$59,4,FALSE),0))</f>
        <v>496</v>
      </c>
      <c r="H37" s="57">
        <f t="shared" si="1"/>
        <v>1.9679415965719729E-2</v>
      </c>
      <c r="I37" s="67">
        <f>SUM($G$7:G37)</f>
        <v>17562</v>
      </c>
      <c r="J37" s="59">
        <f t="shared" si="5"/>
        <v>0.69679415965719727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212">
        <f t="shared" si="3"/>
        <v>43</v>
      </c>
      <c r="E38" s="212">
        <f t="shared" si="0"/>
        <v>6</v>
      </c>
      <c r="F38" s="199">
        <f t="shared" si="4"/>
        <v>28.29</v>
      </c>
      <c r="G38" s="196">
        <f>IF(D38=D37,"",_xlfn.IFNA(VLOOKUP(D38,'인원 입력 기능(사과탐)'!$K$5:$N$59,4,FALSE),0))</f>
        <v>1026</v>
      </c>
      <c r="H38" s="192">
        <f t="shared" si="1"/>
        <v>4.0707824154896051E-2</v>
      </c>
      <c r="I38" s="189">
        <f>SUM($G$7:G38)</f>
        <v>18588</v>
      </c>
      <c r="J38" s="162">
        <f t="shared" si="5"/>
        <v>0.73750198381209331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211"/>
      <c r="E39" s="211"/>
      <c r="F39" s="198"/>
      <c r="G39" s="195"/>
      <c r="H39" s="194"/>
      <c r="I39" s="191"/>
      <c r="J39" s="188"/>
      <c r="K39" s="36"/>
      <c r="L39" s="20" t="str">
        <f t="shared" si="2"/>
        <v>경고</v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42</v>
      </c>
      <c r="E40" s="68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6</v>
      </c>
      <c r="F40" s="55">
        <f t="shared" si="4"/>
        <v>25.4</v>
      </c>
      <c r="G40" s="56">
        <f>IF(D40=D39,"",_xlfn.IFNA(VLOOKUP(D40,'인원 입력 기능(사과탐)'!$K$5:$N$59,4,FALSE),0))</f>
        <v>428</v>
      </c>
      <c r="H40" s="57">
        <f t="shared" si="1"/>
        <v>1.6981431518806538E-2</v>
      </c>
      <c r="I40" s="67">
        <f>SUM($G$7:G40)</f>
        <v>19016</v>
      </c>
      <c r="J40" s="59">
        <f t="shared" si="5"/>
        <v>0.75448341533089991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41</v>
      </c>
      <c r="E41" s="68">
        <f t="shared" si="6"/>
        <v>6</v>
      </c>
      <c r="F41" s="55">
        <f t="shared" si="4"/>
        <v>23.53</v>
      </c>
      <c r="G41" s="56">
        <f>IF(D41=D40,"",_xlfn.IFNA(VLOOKUP(D41,'인원 입력 기능(사과탐)'!$K$5:$N$59,4,FALSE),0))</f>
        <v>514</v>
      </c>
      <c r="H41" s="57">
        <f t="shared" si="1"/>
        <v>2.0393588319314395E-2</v>
      </c>
      <c r="I41" s="67">
        <f>SUM($G$7:G41)</f>
        <v>19530</v>
      </c>
      <c r="J41" s="59">
        <f t="shared" si="5"/>
        <v>0.77487700365021428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40</v>
      </c>
      <c r="E42" s="68">
        <f t="shared" si="6"/>
        <v>7</v>
      </c>
      <c r="F42" s="55">
        <f t="shared" si="4"/>
        <v>21.78</v>
      </c>
      <c r="G42" s="56">
        <f>IF(D42=D41,"",_xlfn.IFNA(VLOOKUP(D42,'인원 입력 기능(사과탐)'!$K$5:$N$59,4,FALSE),0))</f>
        <v>371</v>
      </c>
      <c r="H42" s="57">
        <f t="shared" si="1"/>
        <v>1.4719885732423424E-2</v>
      </c>
      <c r="I42" s="67">
        <f>SUM($G$7:G42)</f>
        <v>19901</v>
      </c>
      <c r="J42" s="59">
        <f t="shared" si="5"/>
        <v>0.78959688938263772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212">
        <f t="shared" si="3"/>
        <v>39</v>
      </c>
      <c r="E43" s="212">
        <f t="shared" si="6"/>
        <v>7</v>
      </c>
      <c r="F43" s="199">
        <f t="shared" si="4"/>
        <v>19.309999999999999</v>
      </c>
      <c r="G43" s="196">
        <f>IF(D43=D42,"",_xlfn.IFNA(VLOOKUP(D43,'인원 입력 기능(사과탐)'!$K$5:$N$59,4,FALSE),0))</f>
        <v>871</v>
      </c>
      <c r="H43" s="192">
        <f t="shared" si="1"/>
        <v>3.4558006665608633E-2</v>
      </c>
      <c r="I43" s="189">
        <f>SUM($G$7:G43)</f>
        <v>20772</v>
      </c>
      <c r="J43" s="162">
        <f t="shared" si="5"/>
        <v>0.82415489604824632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211"/>
      <c r="E44" s="211"/>
      <c r="F44" s="198"/>
      <c r="G44" s="195"/>
      <c r="H44" s="194"/>
      <c r="I44" s="191"/>
      <c r="J44" s="188"/>
      <c r="K44" s="36"/>
      <c r="L44" s="20" t="str">
        <f t="shared" si="2"/>
        <v>경고</v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38</v>
      </c>
      <c r="E45" s="68">
        <f t="shared" si="6"/>
        <v>7</v>
      </c>
      <c r="F45" s="55">
        <f t="shared" si="4"/>
        <v>14.57</v>
      </c>
      <c r="G45" s="56">
        <f>IF(D45=D44,"",_xlfn.IFNA(VLOOKUP(D45,'인원 입력 기능(사과탐)'!$K$5:$N$59,4,FALSE),0))</f>
        <v>1518</v>
      </c>
      <c r="H45" s="57">
        <f t="shared" si="1"/>
        <v>6.0228535153150291E-2</v>
      </c>
      <c r="I45" s="67">
        <f>SUM($G$7:G45)</f>
        <v>22290</v>
      </c>
      <c r="J45" s="59">
        <f t="shared" si="5"/>
        <v>0.88438343120139662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37</v>
      </c>
      <c r="E46" s="68">
        <f t="shared" si="6"/>
        <v>7</v>
      </c>
      <c r="F46" s="55">
        <f t="shared" si="4"/>
        <v>10.34</v>
      </c>
      <c r="G46" s="56">
        <f>IF(D46=D45,"",_xlfn.IFNA(VLOOKUP(D46,'인원 입력 기능(사과탐)'!$K$5:$N$59,4,FALSE),0))</f>
        <v>615</v>
      </c>
      <c r="H46" s="57">
        <f t="shared" si="1"/>
        <v>2.4400888747817807E-2</v>
      </c>
      <c r="I46" s="67">
        <f>SUM($G$7:G46)</f>
        <v>22905</v>
      </c>
      <c r="J46" s="59">
        <f t="shared" si="5"/>
        <v>0.90878431994921438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36</v>
      </c>
      <c r="E47" s="68">
        <f t="shared" si="6"/>
        <v>8</v>
      </c>
      <c r="F47" s="55">
        <f t="shared" si="4"/>
        <v>8.58</v>
      </c>
      <c r="G47" s="56">
        <f>IF(D47=D46,"",_xlfn.IFNA(VLOOKUP(D47,'인원 입력 기능(사과탐)'!$K$5:$N$59,4,FALSE),0))</f>
        <v>272</v>
      </c>
      <c r="H47" s="57">
        <f t="shared" si="1"/>
        <v>1.0791937787652753E-2</v>
      </c>
      <c r="I47" s="67">
        <f>SUM($G$7:G47)</f>
        <v>23177</v>
      </c>
      <c r="J47" s="59">
        <f t="shared" si="5"/>
        <v>0.91957625773686713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35</v>
      </c>
      <c r="E48" s="68">
        <f t="shared" si="6"/>
        <v>8</v>
      </c>
      <c r="F48" s="55">
        <f t="shared" si="4"/>
        <v>7.1</v>
      </c>
      <c r="G48" s="56">
        <f>IF(D48=D47,"",_xlfn.IFNA(VLOOKUP(D48,'인원 입력 기능(사과탐)'!$K$5:$N$59,4,FALSE),0))</f>
        <v>474</v>
      </c>
      <c r="H48" s="57">
        <f t="shared" si="1"/>
        <v>1.8806538644659577E-2</v>
      </c>
      <c r="I48" s="67">
        <f>SUM($G$7:G48)</f>
        <v>23651</v>
      </c>
      <c r="J48" s="59">
        <f t="shared" si="5"/>
        <v>0.93838279638152677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212">
        <f t="shared" si="3"/>
        <v>34</v>
      </c>
      <c r="E49" s="212">
        <f t="shared" si="6"/>
        <v>8</v>
      </c>
      <c r="F49" s="199">
        <f t="shared" si="4"/>
        <v>4.0599999999999996</v>
      </c>
      <c r="G49" s="196">
        <f>IF(D49=D48,"",_xlfn.IFNA(VLOOKUP(D49,'인원 입력 기능(사과탐)'!$K$5:$N$59,4,FALSE),0))</f>
        <v>1061</v>
      </c>
      <c r="H49" s="192">
        <f t="shared" si="1"/>
        <v>4.2096492620219014E-2</v>
      </c>
      <c r="I49" s="189">
        <f>SUM($G$7:G49)</f>
        <v>24712</v>
      </c>
      <c r="J49" s="162">
        <f t="shared" si="5"/>
        <v>0.98047928900174575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211"/>
      <c r="E50" s="211"/>
      <c r="F50" s="198"/>
      <c r="G50" s="195"/>
      <c r="H50" s="194"/>
      <c r="I50" s="191"/>
      <c r="J50" s="188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33</v>
      </c>
      <c r="E51" s="68">
        <f t="shared" si="6"/>
        <v>9</v>
      </c>
      <c r="F51" s="55">
        <f t="shared" si="4"/>
        <v>1.68</v>
      </c>
      <c r="G51" s="56">
        <f>IF(D51=D50,"",_xlfn.IFNA(VLOOKUP(D51,'인원 입력 기능(사과탐)'!$K$5:$N$59,4,FALSE),0))</f>
        <v>137</v>
      </c>
      <c r="H51" s="57">
        <f t="shared" si="1"/>
        <v>5.4356451356927472E-3</v>
      </c>
      <c r="I51" s="67">
        <f>SUM($G$7:G51)</f>
        <v>24849</v>
      </c>
      <c r="J51" s="59">
        <f t="shared" si="5"/>
        <v>0.98591493413743847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32</v>
      </c>
      <c r="E52" s="68">
        <f t="shared" si="6"/>
        <v>9</v>
      </c>
      <c r="F52" s="55">
        <f t="shared" si="4"/>
        <v>1.0900000000000001</v>
      </c>
      <c r="G52" s="56">
        <f>IF(D52=D51,"",_xlfn.IFNA(VLOOKUP(D52,'인원 입력 기능(사과탐)'!$K$5:$N$59,4,FALSE),0))</f>
        <v>159</v>
      </c>
      <c r="H52" s="57">
        <f t="shared" si="1"/>
        <v>6.3085224567528964E-3</v>
      </c>
      <c r="I52" s="67">
        <f>SUM($G$7:G52)</f>
        <v>25008</v>
      </c>
      <c r="J52" s="59">
        <f t="shared" si="5"/>
        <v>0.99222345659419142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31</v>
      </c>
      <c r="E53" s="54">
        <f t="shared" si="6"/>
        <v>9</v>
      </c>
      <c r="F53" s="55">
        <f t="shared" si="4"/>
        <v>0.64</v>
      </c>
      <c r="G53" s="56">
        <f>IF(D53=D52,"",_xlfn.IFNA(VLOOKUP(D53,'인원 입력 기능(사과탐)'!$K$5:$N$59,4,FALSE),0))</f>
        <v>71</v>
      </c>
      <c r="H53" s="57">
        <f t="shared" si="1"/>
        <v>2.8170131725122997E-3</v>
      </c>
      <c r="I53" s="67">
        <f>SUM($G$7:G53)</f>
        <v>25079</v>
      </c>
      <c r="J53" s="59">
        <f t="shared" si="5"/>
        <v>0.99504046976670368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30</v>
      </c>
      <c r="E54" s="54">
        <f t="shared" si="6"/>
        <v>9</v>
      </c>
      <c r="F54" s="55">
        <f t="shared" si="4"/>
        <v>0.39</v>
      </c>
      <c r="G54" s="56">
        <f>IF(D54=D53,"",_xlfn.IFNA(VLOOKUP(D54,'인원 입력 기능(사과탐)'!$K$5:$N$59,4,FALSE),0))</f>
        <v>52</v>
      </c>
      <c r="H54" s="57">
        <f t="shared" si="1"/>
        <v>2.0631645770512615E-3</v>
      </c>
      <c r="I54" s="67">
        <f>SUM($G$7:G54)</f>
        <v>25131</v>
      </c>
      <c r="J54" s="59">
        <f t="shared" si="5"/>
        <v>0.99710363434375493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29</v>
      </c>
      <c r="E55" s="54">
        <f t="shared" si="6"/>
        <v>9</v>
      </c>
      <c r="F55" s="55">
        <f t="shared" si="4"/>
        <v>0.18</v>
      </c>
      <c r="G55" s="56">
        <f>IF(D55=D54,"",_xlfn.IFNA(VLOOKUP(D55,'인원 입력 기능(사과탐)'!$K$5:$N$59,4,FALSE),0))</f>
        <v>54</v>
      </c>
      <c r="H55" s="57">
        <f t="shared" si="1"/>
        <v>2.1425170607840024E-3</v>
      </c>
      <c r="I55" s="67">
        <f>SUM($G$7:G55)</f>
        <v>25185</v>
      </c>
      <c r="J55" s="59">
        <f t="shared" si="5"/>
        <v>0.99924615140453898</v>
      </c>
      <c r="K55" s="36"/>
      <c r="L55" s="20" t="str">
        <f t="shared" si="2"/>
        <v>경고</v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28</v>
      </c>
      <c r="E57" s="109">
        <f t="shared" si="6"/>
        <v>9</v>
      </c>
      <c r="F57" s="74">
        <f>IF(I55=0,ROUND(100*(1-(I54+I57)/2/$J$3),2),ROUND(100*(1-(I55+I57)/2/$J$3),2))</f>
        <v>0.04</v>
      </c>
      <c r="G57" s="110">
        <f>_xlfn.IFNA(VLOOKUP(D57,'인원 입력 기능(사과탐)'!$K$5:$N$59,4,FALSE),0)</f>
        <v>19</v>
      </c>
      <c r="H57" s="76">
        <f>G57/$J$3</f>
        <v>7.538485954610379E-4</v>
      </c>
      <c r="I57" s="77">
        <f>SUM($G$7:G57)</f>
        <v>25204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8">
    <mergeCell ref="I43:I44"/>
    <mergeCell ref="J43:J44"/>
    <mergeCell ref="D49:D50"/>
    <mergeCell ref="E49:E50"/>
    <mergeCell ref="F49:F50"/>
    <mergeCell ref="G49:G50"/>
    <mergeCell ref="H49:H50"/>
    <mergeCell ref="I49:I50"/>
    <mergeCell ref="J49:J50"/>
    <mergeCell ref="D43:D44"/>
    <mergeCell ref="E43:E44"/>
    <mergeCell ref="F43:F44"/>
    <mergeCell ref="G43:G44"/>
    <mergeCell ref="H43:H44"/>
    <mergeCell ref="I32:I33"/>
    <mergeCell ref="J32:J33"/>
    <mergeCell ref="D38:D39"/>
    <mergeCell ref="E38:E39"/>
    <mergeCell ref="F38:F39"/>
    <mergeCell ref="G38:G39"/>
    <mergeCell ref="H38:H39"/>
    <mergeCell ref="I38:I39"/>
    <mergeCell ref="J38:J39"/>
    <mergeCell ref="D32:D33"/>
    <mergeCell ref="E32:E33"/>
    <mergeCell ref="F32:F33"/>
    <mergeCell ref="G32:G33"/>
    <mergeCell ref="H32:H33"/>
    <mergeCell ref="I21:I22"/>
    <mergeCell ref="J21:J22"/>
    <mergeCell ref="D27:D28"/>
    <mergeCell ref="E27:E28"/>
    <mergeCell ref="F27:F28"/>
    <mergeCell ref="G27:G28"/>
    <mergeCell ref="H27:H28"/>
    <mergeCell ref="I27:I28"/>
    <mergeCell ref="J27:J28"/>
    <mergeCell ref="D21:D22"/>
    <mergeCell ref="E21:E22"/>
    <mergeCell ref="F21:F22"/>
    <mergeCell ref="G21:G22"/>
    <mergeCell ref="H21:H22"/>
    <mergeCell ref="G10:G11"/>
    <mergeCell ref="H10:H11"/>
    <mergeCell ref="I10:I11"/>
    <mergeCell ref="J10:J11"/>
    <mergeCell ref="D15:D16"/>
    <mergeCell ref="E15:E16"/>
    <mergeCell ref="F15:F16"/>
    <mergeCell ref="G15:G16"/>
    <mergeCell ref="H15:H16"/>
    <mergeCell ref="I15:I16"/>
    <mergeCell ref="J15:J16"/>
    <mergeCell ref="D3:F3"/>
    <mergeCell ref="D4:F4"/>
    <mergeCell ref="D10:D11"/>
    <mergeCell ref="E10:E11"/>
    <mergeCell ref="F10:F11"/>
  </mergeCells>
  <phoneticPr fontId="1" type="noConversion"/>
  <conditionalFormatting sqref="D7:G10 I7:J10 D12:G15 I12:J15 D17:G21 I17:J21 D23:G27 I23:J27 D29:G32 I29:J32 D34:G38 I34:J38 D40:G43 I40:J43 D45:G49 I45:J49 D51:G57 I51:J57">
    <cfRule type="expression" dxfId="66" priority="4">
      <formula>OR($D7=$Q$7:$Q$14)</formula>
    </cfRule>
  </conditionalFormatting>
  <conditionalFormatting sqref="C7:C57">
    <cfRule type="expression" dxfId="65" priority="3">
      <formula>OR(AND($D7=0,OR($D6=$Q$7:$Q$14)),AND($D8&gt;0,OR($D7=$Q$7:$Q$14)))</formula>
    </cfRule>
  </conditionalFormatting>
  <conditionalFormatting sqref="D7:D10 D12:D15 D17:D21 D23:D27 D29:D32 D34:D38 D40:D43 D45:D49 D51:D57">
    <cfRule type="expression" dxfId="64" priority="2">
      <formula>$D7=$D8</formula>
    </cfRule>
  </conditionalFormatting>
  <conditionalFormatting sqref="H7:H10 H12:H15 H17:H21 H23:H27 H29:H32 H34:H38 H40:H43 H45:H49 H51:H57">
    <cfRule type="expression" dxfId="63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3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기능'!D11</f>
        <v>24.84</v>
      </c>
      <c r="I3" s="21" t="s">
        <v>124</v>
      </c>
      <c r="J3" s="81">
        <f>'통계 및 응시자 수 입력 기능'!C11</f>
        <v>20605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153</v>
      </c>
      <c r="E4" s="153"/>
      <c r="F4" s="154"/>
      <c r="G4" s="83" t="s">
        <v>127</v>
      </c>
      <c r="H4" s="84" t="str">
        <f>'통계 및 응시자 수 입력 기능'!E11</f>
        <v>12.29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70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98.79</v>
      </c>
      <c r="G7" s="56">
        <f>_xlfn.IFNA(VLOOKUP(D7,'인원 입력 기능(사과탐)'!$P$5:$S$59,4,FALSE),0)</f>
        <v>497</v>
      </c>
      <c r="H7" s="57">
        <f>G7/$J$3</f>
        <v>2.4120359136132006E-2</v>
      </c>
      <c r="I7" s="58">
        <f>G7</f>
        <v>497</v>
      </c>
      <c r="J7" s="59">
        <f>I7/$J$3</f>
        <v>2.4120359136132006E-2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기능'!C67</f>
        <v>68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기능'!C68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69</v>
      </c>
      <c r="E9" s="54">
        <f t="shared" si="0"/>
        <v>1</v>
      </c>
      <c r="F9" s="55">
        <f>IF(I8=0,ROUND(100*(1-(I7+I9)/2/$J$3),2),ROUND(100*(1-(I8+I9)/2/$J$3),2))</f>
        <v>97.09</v>
      </c>
      <c r="G9" s="56">
        <f>_xlfn.IFNA(VLOOKUP(D9,'인원 입력 기능(사과탐)'!$P$5:$S$59,4,FALSE),0)</f>
        <v>206</v>
      </c>
      <c r="H9" s="57">
        <f t="shared" ref="H9:H55" si="1">G9/$J$3</f>
        <v>9.997573404513467E-3</v>
      </c>
      <c r="I9" s="67">
        <f>SUM($G$7:G9)</f>
        <v>703</v>
      </c>
      <c r="J9" s="59">
        <f>I9/$J$3</f>
        <v>3.4117932540645476E-2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기능'!C69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68</v>
      </c>
      <c r="E10" s="54">
        <f t="shared" si="0"/>
        <v>1</v>
      </c>
      <c r="F10" s="55">
        <f t="shared" ref="F10:F55" si="4">IF(I9=0,ROUND(100*(1-(I8+I10)/2/$J$3),2),ROUND(100*(1-(I9+I10)/2/$J$3),2))</f>
        <v>95.51</v>
      </c>
      <c r="G10" s="56">
        <f>IF(D10=D9,"",_xlfn.IFNA(VLOOKUP(D10,'인원 입력 기능(사과탐)'!$P$5:$S$59,4,FALSE),0))</f>
        <v>445</v>
      </c>
      <c r="H10" s="57">
        <f t="shared" si="1"/>
        <v>2.1596699830138316E-2</v>
      </c>
      <c r="I10" s="67">
        <f>SUM($G$7:G10)</f>
        <v>1148</v>
      </c>
      <c r="J10" s="59">
        <f t="shared" ref="J10:J55" si="5">I10/$J$3</f>
        <v>5.5714632370783793E-2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기능'!C70</f>
        <v>53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67</v>
      </c>
      <c r="E11" s="54">
        <f t="shared" si="0"/>
        <v>2</v>
      </c>
      <c r="F11" s="55">
        <f t="shared" si="4"/>
        <v>94.29</v>
      </c>
      <c r="G11" s="56">
        <f>IF(D11=D10,"",_xlfn.IFNA(VLOOKUP(D11,'인원 입력 기능(사과탐)'!$P$5:$S$59,4,FALSE),0))</f>
        <v>56</v>
      </c>
      <c r="H11" s="57">
        <f t="shared" si="1"/>
        <v>2.7177869449162826E-3</v>
      </c>
      <c r="I11" s="67">
        <f>SUM($G$7:G11)</f>
        <v>1204</v>
      </c>
      <c r="J11" s="59">
        <f t="shared" si="5"/>
        <v>5.843241931570007E-2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기능'!C71</f>
        <v>46</v>
      </c>
    </row>
    <row r="12" spans="1:17" s="22" customFormat="1" ht="25" customHeight="1" x14ac:dyDescent="0.45">
      <c r="A12" s="20"/>
      <c r="B12" s="35"/>
      <c r="C12" s="60">
        <v>45</v>
      </c>
      <c r="D12" s="202">
        <f t="shared" si="3"/>
        <v>66</v>
      </c>
      <c r="E12" s="202">
        <f t="shared" si="0"/>
        <v>2</v>
      </c>
      <c r="F12" s="199">
        <f t="shared" si="4"/>
        <v>92.45</v>
      </c>
      <c r="G12" s="196">
        <f>IF(D12=D11,"",_xlfn.IFNA(VLOOKUP(D12,'인원 입력 기능(사과탐)'!$P$5:$S$59,4,FALSE),0))</f>
        <v>704</v>
      </c>
      <c r="H12" s="192">
        <f t="shared" si="1"/>
        <v>3.4166464450376119E-2</v>
      </c>
      <c r="I12" s="189">
        <f>SUM($G$7:G12)</f>
        <v>1908</v>
      </c>
      <c r="J12" s="162">
        <f t="shared" si="5"/>
        <v>9.2598883766076195E-2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기능'!C72</f>
        <v>40</v>
      </c>
    </row>
    <row r="13" spans="1:17" s="22" customFormat="1" ht="25" customHeight="1" x14ac:dyDescent="0.45">
      <c r="A13" s="20"/>
      <c r="B13" s="35"/>
      <c r="C13" s="53">
        <v>44</v>
      </c>
      <c r="D13" s="201"/>
      <c r="E13" s="201"/>
      <c r="F13" s="198"/>
      <c r="G13" s="195"/>
      <c r="H13" s="194"/>
      <c r="I13" s="191"/>
      <c r="J13" s="188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기능'!C73</f>
        <v>38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65</v>
      </c>
      <c r="E14" s="54">
        <f t="shared" si="0"/>
        <v>2</v>
      </c>
      <c r="F14" s="55">
        <f t="shared" si="4"/>
        <v>90.35</v>
      </c>
      <c r="G14" s="56">
        <f>IF(D14=D13,"",_xlfn.IFNA(VLOOKUP(D14,'인원 입력 기능(사과탐)'!$P$5:$S$59,4,FALSE),0))</f>
        <v>162</v>
      </c>
      <c r="H14" s="57">
        <f t="shared" si="1"/>
        <v>7.8621693763649605E-3</v>
      </c>
      <c r="I14" s="67">
        <f>SUM($G$7:G14)</f>
        <v>2070</v>
      </c>
      <c r="J14" s="59">
        <f t="shared" si="5"/>
        <v>0.10046105314244115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기능'!C74</f>
        <v>36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64</v>
      </c>
      <c r="E15" s="54">
        <f t="shared" si="0"/>
        <v>2</v>
      </c>
      <c r="F15" s="55">
        <f t="shared" si="4"/>
        <v>89.01</v>
      </c>
      <c r="G15" s="56">
        <f>IF(D15=D14,"",_xlfn.IFNA(VLOOKUP(D15,'인원 입력 기능(사과탐)'!$P$5:$S$59,4,FALSE),0))</f>
        <v>388</v>
      </c>
      <c r="H15" s="57">
        <f t="shared" si="1"/>
        <v>1.8830380975491386E-2</v>
      </c>
      <c r="I15" s="67">
        <f>SUM($G$7:G15)</f>
        <v>2458</v>
      </c>
      <c r="J15" s="59">
        <f t="shared" si="5"/>
        <v>0.11929143411793254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63</v>
      </c>
      <c r="E16" s="54">
        <f t="shared" si="0"/>
        <v>3</v>
      </c>
      <c r="F16" s="55">
        <f t="shared" si="4"/>
        <v>87.3</v>
      </c>
      <c r="G16" s="56">
        <f>IF(D16=D15,"",_xlfn.IFNA(VLOOKUP(D16,'인원 입력 기능(사과탐)'!$P$5:$S$59,4,FALSE),0))</f>
        <v>317</v>
      </c>
      <c r="H16" s="57">
        <f t="shared" si="1"/>
        <v>1.5384615384615385E-2</v>
      </c>
      <c r="I16" s="67">
        <f>SUM($G$7:G16)</f>
        <v>2775</v>
      </c>
      <c r="J16" s="59">
        <f t="shared" si="5"/>
        <v>0.13467604950254791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202">
        <f t="shared" si="3"/>
        <v>62</v>
      </c>
      <c r="E17" s="202">
        <f t="shared" si="0"/>
        <v>3</v>
      </c>
      <c r="F17" s="199">
        <f t="shared" si="4"/>
        <v>84.82</v>
      </c>
      <c r="G17" s="196">
        <f>IF(D17=D16,"",_xlfn.IFNA(VLOOKUP(D17,'인원 입력 기능(사과탐)'!$P$5:$S$59,4,FALSE),0))</f>
        <v>704</v>
      </c>
      <c r="H17" s="192">
        <f t="shared" si="1"/>
        <v>3.4166464450376119E-2</v>
      </c>
      <c r="I17" s="189">
        <f>SUM($G$7:G17)</f>
        <v>3479</v>
      </c>
      <c r="J17" s="162">
        <f t="shared" si="5"/>
        <v>0.16884251395292404</v>
      </c>
      <c r="K17" s="36"/>
      <c r="L17" s="20" t="str">
        <f t="shared" si="2"/>
        <v/>
      </c>
      <c r="N17" s="24"/>
      <c r="Q17" s="24">
        <f>Q7*H3*H4*J3*IFERROR(IF(J57=1, 1, 0), 0)</f>
        <v>427745063.30399996</v>
      </c>
    </row>
    <row r="18" spans="1:17" s="22" customFormat="1" ht="25" customHeight="1" x14ac:dyDescent="0.45">
      <c r="A18" s="20"/>
      <c r="B18" s="35"/>
      <c r="C18" s="60">
        <v>39</v>
      </c>
      <c r="D18" s="201"/>
      <c r="E18" s="201"/>
      <c r="F18" s="198"/>
      <c r="G18" s="195"/>
      <c r="H18" s="194"/>
      <c r="I18" s="191"/>
      <c r="J18" s="188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61</v>
      </c>
      <c r="E19" s="54">
        <f t="shared" si="0"/>
        <v>3</v>
      </c>
      <c r="F19" s="55">
        <f t="shared" si="4"/>
        <v>82.35</v>
      </c>
      <c r="G19" s="56">
        <f>IF(D19=D18,"",_xlfn.IFNA(VLOOKUP(D19,'인원 입력 기능(사과탐)'!$P$5:$S$59,4,FALSE),0))</f>
        <v>317</v>
      </c>
      <c r="H19" s="57">
        <f t="shared" si="1"/>
        <v>1.5384615384615385E-2</v>
      </c>
      <c r="I19" s="67">
        <f>SUM($G$7:G19)</f>
        <v>3796</v>
      </c>
      <c r="J19" s="59">
        <f t="shared" si="5"/>
        <v>0.18422712933753943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60</v>
      </c>
      <c r="E20" s="54">
        <f t="shared" si="0"/>
        <v>3</v>
      </c>
      <c r="F20" s="55">
        <f t="shared" si="4"/>
        <v>80.64</v>
      </c>
      <c r="G20" s="56">
        <f>IF(D20=D19,"",_xlfn.IFNA(VLOOKUP(D20,'인원 입력 기능(사과탐)'!$P$5:$S$59,4,FALSE),0))</f>
        <v>387</v>
      </c>
      <c r="H20" s="57">
        <f t="shared" si="1"/>
        <v>1.8781849065760737E-2</v>
      </c>
      <c r="I20" s="67">
        <f>SUM($G$7:G20)</f>
        <v>4183</v>
      </c>
      <c r="J20" s="59">
        <f t="shared" si="5"/>
        <v>0.20300897840330018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59</v>
      </c>
      <c r="E21" s="68">
        <f t="shared" si="0"/>
        <v>3</v>
      </c>
      <c r="F21" s="55">
        <f t="shared" si="4"/>
        <v>78.62</v>
      </c>
      <c r="G21" s="56">
        <f>IF(D21=D20,"",_xlfn.IFNA(VLOOKUP(D21,'인원 입력 기능(사과탐)'!$P$5:$S$59,4,FALSE),0))</f>
        <v>445</v>
      </c>
      <c r="H21" s="57">
        <f t="shared" si="1"/>
        <v>2.1596699830138316E-2</v>
      </c>
      <c r="I21" s="67">
        <f>SUM($G$7:G21)</f>
        <v>4628</v>
      </c>
      <c r="J21" s="59">
        <f t="shared" si="5"/>
        <v>0.22460567823343849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58</v>
      </c>
      <c r="E22" s="68">
        <f t="shared" si="0"/>
        <v>3</v>
      </c>
      <c r="F22" s="55">
        <f t="shared" si="4"/>
        <v>76.61</v>
      </c>
      <c r="G22" s="56">
        <f>IF(D22=D21,"",_xlfn.IFNA(VLOOKUP(D22,'인원 입력 기능(사과탐)'!$P$5:$S$59,4,FALSE),0))</f>
        <v>385</v>
      </c>
      <c r="H22" s="57">
        <f t="shared" si="1"/>
        <v>1.8684785246299442E-2</v>
      </c>
      <c r="I22" s="67">
        <f>SUM($G$7:G22)</f>
        <v>5013</v>
      </c>
      <c r="J22" s="59">
        <f t="shared" si="5"/>
        <v>0.24329046347973793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212">
        <f t="shared" si="3"/>
        <v>57</v>
      </c>
      <c r="E23" s="212">
        <f t="shared" si="0"/>
        <v>4</v>
      </c>
      <c r="F23" s="199">
        <f t="shared" si="4"/>
        <v>73.400000000000006</v>
      </c>
      <c r="G23" s="196">
        <f>IF(D23=D22,"",_xlfn.IFNA(VLOOKUP(D23,'인원 입력 기능(사과탐)'!$P$5:$S$59,4,FALSE),0))</f>
        <v>935</v>
      </c>
      <c r="H23" s="192">
        <f t="shared" si="1"/>
        <v>4.5377335598155787E-2</v>
      </c>
      <c r="I23" s="189">
        <f>SUM($G$7:G23)</f>
        <v>5948</v>
      </c>
      <c r="J23" s="162">
        <f t="shared" si="5"/>
        <v>0.28866779907789369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211"/>
      <c r="E24" s="211"/>
      <c r="F24" s="198"/>
      <c r="G24" s="195"/>
      <c r="H24" s="194"/>
      <c r="I24" s="191"/>
      <c r="J24" s="188"/>
      <c r="K24" s="36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56</v>
      </c>
      <c r="E25" s="68">
        <f t="shared" si="0"/>
        <v>4</v>
      </c>
      <c r="F25" s="55">
        <f t="shared" si="4"/>
        <v>69.95</v>
      </c>
      <c r="G25" s="56">
        <f>IF(D25=D24,"",_xlfn.IFNA(VLOOKUP(D25,'인원 입력 기능(사과탐)'!$P$5:$S$59,4,FALSE),0))</f>
        <v>489</v>
      </c>
      <c r="H25" s="57">
        <f t="shared" si="1"/>
        <v>2.3732103858286824E-2</v>
      </c>
      <c r="I25" s="67">
        <f>SUM($G$7:G25)</f>
        <v>6437</v>
      </c>
      <c r="J25" s="59">
        <f t="shared" si="5"/>
        <v>0.31239990293618053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55</v>
      </c>
      <c r="E26" s="68">
        <f t="shared" si="0"/>
        <v>4</v>
      </c>
      <c r="F26" s="55">
        <f t="shared" si="4"/>
        <v>67.540000000000006</v>
      </c>
      <c r="G26" s="56">
        <f>IF(D26=D25,"",_xlfn.IFNA(VLOOKUP(D26,'인원 입력 기능(사과탐)'!$P$5:$S$59,4,FALSE),0))</f>
        <v>502</v>
      </c>
      <c r="H26" s="57">
        <f t="shared" si="1"/>
        <v>2.4363018684785246E-2</v>
      </c>
      <c r="I26" s="67">
        <f>SUM($G$7:G26)</f>
        <v>6939</v>
      </c>
      <c r="J26" s="59">
        <f t="shared" si="5"/>
        <v>0.33676292162096577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54</v>
      </c>
      <c r="E27" s="68">
        <f t="shared" si="0"/>
        <v>4</v>
      </c>
      <c r="F27" s="55">
        <f t="shared" si="4"/>
        <v>65.17</v>
      </c>
      <c r="G27" s="56">
        <f>IF(D27=D26,"",_xlfn.IFNA(VLOOKUP(D27,'인원 입력 기능(사과탐)'!$P$5:$S$59,4,FALSE),0))</f>
        <v>475</v>
      </c>
      <c r="H27" s="57">
        <f t="shared" si="1"/>
        <v>2.3052657122057753E-2</v>
      </c>
      <c r="I27" s="67">
        <f>SUM($G$7:G27)</f>
        <v>7414</v>
      </c>
      <c r="J27" s="59">
        <f t="shared" si="5"/>
        <v>0.35981557874302356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212">
        <f t="shared" si="3"/>
        <v>53</v>
      </c>
      <c r="E28" s="212">
        <f t="shared" si="0"/>
        <v>4</v>
      </c>
      <c r="F28" s="199">
        <f t="shared" si="4"/>
        <v>61.58</v>
      </c>
      <c r="G28" s="196">
        <f>IF(D28=D27,"",_xlfn.IFNA(VLOOKUP(D28,'인원 입력 기능(사과탐)'!$P$5:$S$59,4,FALSE),0))</f>
        <v>1006</v>
      </c>
      <c r="H28" s="192">
        <f t="shared" si="1"/>
        <v>4.8823101189031791E-2</v>
      </c>
      <c r="I28" s="189">
        <f>SUM($G$7:G28)</f>
        <v>8420</v>
      </c>
      <c r="J28" s="162">
        <f t="shared" si="5"/>
        <v>0.40863867993205533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211"/>
      <c r="E29" s="211"/>
      <c r="F29" s="198"/>
      <c r="G29" s="195"/>
      <c r="H29" s="194"/>
      <c r="I29" s="191"/>
      <c r="J29" s="188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52</v>
      </c>
      <c r="E30" s="68">
        <f t="shared" si="0"/>
        <v>5</v>
      </c>
      <c r="F30" s="55">
        <f t="shared" si="4"/>
        <v>57.88</v>
      </c>
      <c r="G30" s="56">
        <f>IF(D30=D29,"",_xlfn.IFNA(VLOOKUP(D30,'인원 입력 기능(사과탐)'!$P$5:$S$59,4,FALSE),0))</f>
        <v>517</v>
      </c>
      <c r="H30" s="57">
        <f t="shared" si="1"/>
        <v>2.5090997330744966E-2</v>
      </c>
      <c r="I30" s="67">
        <f>SUM($G$7:G30)</f>
        <v>8937</v>
      </c>
      <c r="J30" s="59">
        <f t="shared" si="5"/>
        <v>0.43372967726280032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51</v>
      </c>
      <c r="E31" s="68">
        <f t="shared" si="0"/>
        <v>5</v>
      </c>
      <c r="F31" s="55">
        <f t="shared" si="4"/>
        <v>55.29</v>
      </c>
      <c r="G31" s="56">
        <f>IF(D31=D30,"",_xlfn.IFNA(VLOOKUP(D31,'인원 입력 기능(사과탐)'!$P$5:$S$59,4,FALSE),0))</f>
        <v>550</v>
      </c>
      <c r="H31" s="57">
        <f t="shared" si="1"/>
        <v>2.6692550351856345E-2</v>
      </c>
      <c r="I31" s="67">
        <f>SUM($G$7:G31)</f>
        <v>9487</v>
      </c>
      <c r="J31" s="59">
        <f t="shared" si="5"/>
        <v>0.46042222761465662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50</v>
      </c>
      <c r="E32" s="68">
        <f t="shared" si="0"/>
        <v>5</v>
      </c>
      <c r="F32" s="55">
        <f t="shared" si="4"/>
        <v>52.81</v>
      </c>
      <c r="G32" s="56">
        <f>IF(D32=D31,"",_xlfn.IFNA(VLOOKUP(D32,'인원 입력 기능(사과탐)'!$P$5:$S$59,4,FALSE),0))</f>
        <v>471</v>
      </c>
      <c r="H32" s="57">
        <f t="shared" si="1"/>
        <v>2.2858529483135163E-2</v>
      </c>
      <c r="I32" s="67">
        <f>SUM($G$7:G32)</f>
        <v>9958</v>
      </c>
      <c r="J32" s="59">
        <f t="shared" si="5"/>
        <v>0.48328075709779178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212">
        <f t="shared" si="3"/>
        <v>49</v>
      </c>
      <c r="E33" s="212">
        <f t="shared" si="0"/>
        <v>5</v>
      </c>
      <c r="F33" s="199">
        <f t="shared" si="4"/>
        <v>49.09</v>
      </c>
      <c r="G33" s="196">
        <f>IF(D33=D32,"",_xlfn.IFNA(VLOOKUP(D33,'인원 입력 기능(사과탐)'!$P$5:$S$59,4,FALSE),0))</f>
        <v>1062</v>
      </c>
      <c r="H33" s="192">
        <f t="shared" si="1"/>
        <v>5.1540888133948068E-2</v>
      </c>
      <c r="I33" s="189">
        <f>SUM($G$7:G33)</f>
        <v>11020</v>
      </c>
      <c r="J33" s="162">
        <f t="shared" si="5"/>
        <v>0.53482164523173992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211"/>
      <c r="E34" s="211"/>
      <c r="F34" s="198"/>
      <c r="G34" s="195"/>
      <c r="H34" s="194"/>
      <c r="I34" s="191"/>
      <c r="J34" s="188"/>
      <c r="K34" s="36"/>
      <c r="L34" s="20" t="str">
        <f t="shared" si="2"/>
        <v>경고</v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48</v>
      </c>
      <c r="E35" s="68">
        <f t="shared" si="0"/>
        <v>5</v>
      </c>
      <c r="F35" s="55">
        <f t="shared" si="4"/>
        <v>45.13</v>
      </c>
      <c r="G35" s="56">
        <f>IF(D35=D34,"",_xlfn.IFNA(VLOOKUP(D35,'인원 입력 기능(사과탐)'!$P$5:$S$59,4,FALSE),0))</f>
        <v>571</v>
      </c>
      <c r="H35" s="57">
        <f t="shared" si="1"/>
        <v>2.7711720456199952E-2</v>
      </c>
      <c r="I35" s="67">
        <f>SUM($G$7:G35)</f>
        <v>11591</v>
      </c>
      <c r="J35" s="59">
        <f t="shared" si="5"/>
        <v>0.56253336568793977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47</v>
      </c>
      <c r="E36" s="68">
        <f t="shared" si="0"/>
        <v>5</v>
      </c>
      <c r="F36" s="55">
        <f t="shared" si="4"/>
        <v>42.48</v>
      </c>
      <c r="G36" s="56">
        <f>IF(D36=D35,"",_xlfn.IFNA(VLOOKUP(D36,'인원 입력 기능(사과탐)'!$P$5:$S$59,4,FALSE),0))</f>
        <v>522</v>
      </c>
      <c r="H36" s="57">
        <f t="shared" si="1"/>
        <v>2.5333656879398203E-2</v>
      </c>
      <c r="I36" s="67">
        <f>SUM($G$7:G36)</f>
        <v>12113</v>
      </c>
      <c r="J36" s="59">
        <f t="shared" si="5"/>
        <v>0.58786702256733803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46</v>
      </c>
      <c r="E37" s="68">
        <f t="shared" si="0"/>
        <v>5</v>
      </c>
      <c r="F37" s="55">
        <f t="shared" si="4"/>
        <v>39.93</v>
      </c>
      <c r="G37" s="56">
        <f>IF(D37=D36,"",_xlfn.IFNA(VLOOKUP(D37,'인원 입력 기능(사과탐)'!$P$5:$S$59,4,FALSE),0))</f>
        <v>530</v>
      </c>
      <c r="H37" s="57">
        <f t="shared" si="1"/>
        <v>2.5721912157243388E-2</v>
      </c>
      <c r="I37" s="67">
        <f>SUM($G$7:G37)</f>
        <v>12643</v>
      </c>
      <c r="J37" s="59">
        <f t="shared" si="5"/>
        <v>0.61358893472458143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45</v>
      </c>
      <c r="E38" s="68">
        <f t="shared" si="0"/>
        <v>6</v>
      </c>
      <c r="F38" s="55">
        <f t="shared" si="4"/>
        <v>37.299999999999997</v>
      </c>
      <c r="G38" s="56">
        <f>IF(D38=D37,"",_xlfn.IFNA(VLOOKUP(D38,'인원 입력 기능(사과탐)'!$P$5:$S$59,4,FALSE),0))</f>
        <v>554</v>
      </c>
      <c r="H38" s="57">
        <f t="shared" si="1"/>
        <v>2.6886677990778936E-2</v>
      </c>
      <c r="I38" s="67">
        <f>SUM($G$7:G38)</f>
        <v>13197</v>
      </c>
      <c r="J38" s="59">
        <f t="shared" si="5"/>
        <v>0.64047561271536035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212">
        <f t="shared" si="3"/>
        <v>44</v>
      </c>
      <c r="E39" s="212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99">
        <f t="shared" si="4"/>
        <v>33.520000000000003</v>
      </c>
      <c r="G39" s="196">
        <f>IF(D39=D38,"",_xlfn.IFNA(VLOOKUP(D39,'인원 입력 기능(사과탐)'!$P$5:$S$59,4,FALSE),0))</f>
        <v>1004</v>
      </c>
      <c r="H39" s="192">
        <f t="shared" si="1"/>
        <v>4.8726037369570492E-2</v>
      </c>
      <c r="I39" s="189">
        <f>SUM($G$7:G39)</f>
        <v>14201</v>
      </c>
      <c r="J39" s="162">
        <f t="shared" si="5"/>
        <v>0.68920165008493084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211"/>
      <c r="E40" s="211"/>
      <c r="F40" s="198"/>
      <c r="G40" s="195"/>
      <c r="H40" s="194"/>
      <c r="I40" s="191"/>
      <c r="J40" s="188"/>
      <c r="K40" s="36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43</v>
      </c>
      <c r="E41" s="68">
        <f t="shared" si="6"/>
        <v>6</v>
      </c>
      <c r="F41" s="55">
        <f t="shared" si="4"/>
        <v>29.77</v>
      </c>
      <c r="G41" s="56">
        <f>IF(D41=D40,"",_xlfn.IFNA(VLOOKUP(D41,'인원 입력 기능(사과탐)'!$P$5:$S$59,4,FALSE),0))</f>
        <v>539</v>
      </c>
      <c r="H41" s="57">
        <f t="shared" si="1"/>
        <v>2.6158699344819219E-2</v>
      </c>
      <c r="I41" s="67">
        <f>SUM($G$7:G41)</f>
        <v>14740</v>
      </c>
      <c r="J41" s="59">
        <f t="shared" si="5"/>
        <v>0.71536034942975002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42</v>
      </c>
      <c r="E42" s="68">
        <f t="shared" si="6"/>
        <v>6</v>
      </c>
      <c r="F42" s="55">
        <f t="shared" si="4"/>
        <v>27.27</v>
      </c>
      <c r="G42" s="56">
        <f>IF(D42=D41,"",_xlfn.IFNA(VLOOKUP(D42,'인원 입력 기능(사과탐)'!$P$5:$S$59,4,FALSE),0))</f>
        <v>492</v>
      </c>
      <c r="H42" s="57">
        <f t="shared" si="1"/>
        <v>2.3877699587478766E-2</v>
      </c>
      <c r="I42" s="67">
        <f>SUM($G$7:G42)</f>
        <v>15232</v>
      </c>
      <c r="J42" s="59">
        <f t="shared" si="5"/>
        <v>0.73923804901722878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41</v>
      </c>
      <c r="E43" s="68">
        <f t="shared" si="6"/>
        <v>6</v>
      </c>
      <c r="F43" s="55">
        <f t="shared" si="4"/>
        <v>24.86</v>
      </c>
      <c r="G43" s="56">
        <f>IF(D43=D42,"",_xlfn.IFNA(VLOOKUP(D43,'인원 입력 기능(사과탐)'!$P$5:$S$59,4,FALSE),0))</f>
        <v>502</v>
      </c>
      <c r="H43" s="57">
        <f t="shared" si="1"/>
        <v>2.4363018684785246E-2</v>
      </c>
      <c r="I43" s="67">
        <f>SUM($G$7:G43)</f>
        <v>15734</v>
      </c>
      <c r="J43" s="59">
        <f t="shared" si="5"/>
        <v>0.76360106770201408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212">
        <f t="shared" si="3"/>
        <v>40</v>
      </c>
      <c r="E44" s="212">
        <f t="shared" si="6"/>
        <v>6</v>
      </c>
      <c r="F44" s="199">
        <f t="shared" si="4"/>
        <v>20.93</v>
      </c>
      <c r="G44" s="196">
        <f>IF(D44=D43,"",_xlfn.IFNA(VLOOKUP(D44,'인원 입력 기능(사과탐)'!$P$5:$S$59,4,FALSE),0))</f>
        <v>1115</v>
      </c>
      <c r="H44" s="192">
        <f t="shared" si="1"/>
        <v>5.4113079349672411E-2</v>
      </c>
      <c r="I44" s="189">
        <f>SUM($G$7:G44)</f>
        <v>16849</v>
      </c>
      <c r="J44" s="162">
        <f t="shared" si="5"/>
        <v>0.81771414705168644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211"/>
      <c r="E45" s="211"/>
      <c r="F45" s="198"/>
      <c r="G45" s="195"/>
      <c r="H45" s="194"/>
      <c r="I45" s="191"/>
      <c r="J45" s="188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39</v>
      </c>
      <c r="E46" s="68">
        <f t="shared" si="6"/>
        <v>7</v>
      </c>
      <c r="F46" s="55">
        <f t="shared" si="4"/>
        <v>15.86</v>
      </c>
      <c r="G46" s="56">
        <f>IF(D46=D45,"",_xlfn.IFNA(VLOOKUP(D46,'인원 입력 기능(사과탐)'!$P$5:$S$59,4,FALSE),0))</f>
        <v>977</v>
      </c>
      <c r="H46" s="57">
        <f t="shared" si="1"/>
        <v>4.7415675806843E-2</v>
      </c>
      <c r="I46" s="67">
        <f>SUM($G$7:G46)</f>
        <v>17826</v>
      </c>
      <c r="J46" s="59">
        <f t="shared" si="5"/>
        <v>0.86512982285852946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38</v>
      </c>
      <c r="E47" s="68">
        <f t="shared" si="6"/>
        <v>7</v>
      </c>
      <c r="F47" s="55">
        <f t="shared" si="4"/>
        <v>12.08</v>
      </c>
      <c r="G47" s="56">
        <f>IF(D47=D46,"",_xlfn.IFNA(VLOOKUP(D47,'인원 입력 기능(사과탐)'!$P$5:$S$59,4,FALSE),0))</f>
        <v>579</v>
      </c>
      <c r="H47" s="57">
        <f t="shared" si="1"/>
        <v>2.8099975734045133E-2</v>
      </c>
      <c r="I47" s="67">
        <f>SUM($G$7:G47)</f>
        <v>18405</v>
      </c>
      <c r="J47" s="59">
        <f t="shared" si="5"/>
        <v>0.89322979859257456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37</v>
      </c>
      <c r="E48" s="68">
        <f t="shared" si="6"/>
        <v>8</v>
      </c>
      <c r="F48" s="55">
        <f t="shared" si="4"/>
        <v>9.9</v>
      </c>
      <c r="G48" s="56">
        <f>IF(D48=D47,"",_xlfn.IFNA(VLOOKUP(D48,'인원 입력 기능(사과탐)'!$P$5:$S$59,4,FALSE),0))</f>
        <v>319</v>
      </c>
      <c r="H48" s="57">
        <f t="shared" si="1"/>
        <v>1.5481679204076681E-2</v>
      </c>
      <c r="I48" s="67">
        <f>SUM($G$7:G48)</f>
        <v>18724</v>
      </c>
      <c r="J48" s="59">
        <f t="shared" si="5"/>
        <v>0.90871147779665129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36</v>
      </c>
      <c r="E49" s="68">
        <f t="shared" si="6"/>
        <v>8</v>
      </c>
      <c r="F49" s="55">
        <f t="shared" si="4"/>
        <v>6.27</v>
      </c>
      <c r="G49" s="56">
        <f>IF(D49=D48,"",_xlfn.IFNA(VLOOKUP(D49,'인원 입력 기능(사과탐)'!$P$5:$S$59,4,FALSE),0))</f>
        <v>1178</v>
      </c>
      <c r="H49" s="57">
        <f t="shared" si="1"/>
        <v>5.7170589662703226E-2</v>
      </c>
      <c r="I49" s="67">
        <f>SUM($G$7:G49)</f>
        <v>19902</v>
      </c>
      <c r="J49" s="59">
        <f t="shared" si="5"/>
        <v>0.96588206745935457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212">
        <f t="shared" si="3"/>
        <v>35</v>
      </c>
      <c r="E50" s="212">
        <f t="shared" si="6"/>
        <v>9</v>
      </c>
      <c r="F50" s="199">
        <f t="shared" si="4"/>
        <v>2.48</v>
      </c>
      <c r="G50" s="196">
        <f>IF(D50=D49,"",_xlfn.IFNA(VLOOKUP(D50,'인원 입력 기능(사과탐)'!$P$5:$S$59,4,FALSE),0))</f>
        <v>386</v>
      </c>
      <c r="H50" s="192">
        <f t="shared" si="1"/>
        <v>1.8733317156030091E-2</v>
      </c>
      <c r="I50" s="189">
        <f>SUM($G$7:G50)</f>
        <v>20288</v>
      </c>
      <c r="J50" s="162">
        <f t="shared" si="5"/>
        <v>0.98461538461538467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211"/>
      <c r="E51" s="211"/>
      <c r="F51" s="198"/>
      <c r="G51" s="195"/>
      <c r="H51" s="194"/>
      <c r="I51" s="191"/>
      <c r="J51" s="188"/>
      <c r="K51" s="36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34</v>
      </c>
      <c r="E52" s="68">
        <f t="shared" si="6"/>
        <v>9</v>
      </c>
      <c r="F52" s="55">
        <f t="shared" si="4"/>
        <v>1.18</v>
      </c>
      <c r="G52" s="56">
        <f>IF(D52=D51,"",_xlfn.IFNA(VLOOKUP(D52,'인원 입력 기능(사과탐)'!$P$5:$S$59,4,FALSE),0))</f>
        <v>149</v>
      </c>
      <c r="H52" s="57">
        <f t="shared" si="1"/>
        <v>7.2312545498665372E-3</v>
      </c>
      <c r="I52" s="67">
        <f>SUM($G$7:G52)</f>
        <v>20437</v>
      </c>
      <c r="J52" s="59">
        <f t="shared" si="5"/>
        <v>0.99184663916525118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33</v>
      </c>
      <c r="E53" s="54">
        <f t="shared" si="6"/>
        <v>9</v>
      </c>
      <c r="F53" s="55">
        <f t="shared" si="4"/>
        <v>0.68</v>
      </c>
      <c r="G53" s="56">
        <f>IF(D53=D52,"",_xlfn.IFNA(VLOOKUP(D53,'인원 입력 기능(사과탐)'!$P$5:$S$59,4,FALSE),0))</f>
        <v>54</v>
      </c>
      <c r="H53" s="57">
        <f t="shared" si="1"/>
        <v>2.6207231254549868E-3</v>
      </c>
      <c r="I53" s="67">
        <f>SUM($G$7:G53)</f>
        <v>20491</v>
      </c>
      <c r="J53" s="59">
        <f t="shared" si="5"/>
        <v>0.99446736229070609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32</v>
      </c>
      <c r="E54" s="54">
        <f t="shared" si="6"/>
        <v>9</v>
      </c>
      <c r="F54" s="55">
        <f t="shared" si="4"/>
        <v>0.47</v>
      </c>
      <c r="G54" s="56">
        <f>IF(D54=D53,"",_xlfn.IFNA(VLOOKUP(D54,'인원 입력 기능(사과탐)'!$P$5:$S$59,4,FALSE),0))</f>
        <v>33</v>
      </c>
      <c r="H54" s="57">
        <f t="shared" si="1"/>
        <v>1.6015530211113808E-3</v>
      </c>
      <c r="I54" s="67">
        <f>SUM($G$7:G54)</f>
        <v>20524</v>
      </c>
      <c r="J54" s="59">
        <f t="shared" si="5"/>
        <v>0.99606891531181752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31</v>
      </c>
      <c r="E55" s="54">
        <f t="shared" si="6"/>
        <v>9</v>
      </c>
      <c r="F55" s="55">
        <f t="shared" si="4"/>
        <v>0.25</v>
      </c>
      <c r="G55" s="56">
        <f>IF(D55=D54,"",_xlfn.IFNA(VLOOKUP(D55,'인원 입력 기능(사과탐)'!$P$5:$S$59,4,FALSE),0))</f>
        <v>61</v>
      </c>
      <c r="H55" s="57">
        <f t="shared" si="1"/>
        <v>2.9604464935695219E-3</v>
      </c>
      <c r="I55" s="67">
        <f>SUM($G$7:G55)</f>
        <v>20585</v>
      </c>
      <c r="J55" s="59">
        <f t="shared" si="5"/>
        <v>0.99902936180538704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30</v>
      </c>
      <c r="E57" s="109">
        <f t="shared" si="6"/>
        <v>9</v>
      </c>
      <c r="F57" s="74">
        <f>IF(I55=0,ROUND(100*(1-(I54+I57)/2/$J$3),2),ROUND(100*(1-(I55+I57)/2/$J$3),2))</f>
        <v>0.05</v>
      </c>
      <c r="G57" s="110">
        <f>_xlfn.IFNA(VLOOKUP(D57,'인원 입력 기능(사과탐)'!$P$5:$S$59,4,FALSE),0)</f>
        <v>20</v>
      </c>
      <c r="H57" s="76">
        <f>G57/$J$3</f>
        <v>9.7063819461295803E-4</v>
      </c>
      <c r="I57" s="77">
        <f>SUM($G$7:G57)</f>
        <v>20605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8">
    <mergeCell ref="I44:I45"/>
    <mergeCell ref="J44:J45"/>
    <mergeCell ref="D50:D51"/>
    <mergeCell ref="E50:E51"/>
    <mergeCell ref="F50:F51"/>
    <mergeCell ref="G50:G51"/>
    <mergeCell ref="H50:H51"/>
    <mergeCell ref="I50:I51"/>
    <mergeCell ref="J50:J51"/>
    <mergeCell ref="D44:D45"/>
    <mergeCell ref="E44:E45"/>
    <mergeCell ref="F44:F45"/>
    <mergeCell ref="G44:G45"/>
    <mergeCell ref="H44:H45"/>
    <mergeCell ref="I33:I34"/>
    <mergeCell ref="J33:J34"/>
    <mergeCell ref="D39:D40"/>
    <mergeCell ref="E39:E40"/>
    <mergeCell ref="F39:F40"/>
    <mergeCell ref="G39:G40"/>
    <mergeCell ref="H39:H40"/>
    <mergeCell ref="I39:I40"/>
    <mergeCell ref="J39:J40"/>
    <mergeCell ref="D33:D34"/>
    <mergeCell ref="E33:E34"/>
    <mergeCell ref="F33:F34"/>
    <mergeCell ref="G33:G34"/>
    <mergeCell ref="H33:H34"/>
    <mergeCell ref="I23:I24"/>
    <mergeCell ref="J23:J24"/>
    <mergeCell ref="D28:D29"/>
    <mergeCell ref="E28:E29"/>
    <mergeCell ref="F28:F29"/>
    <mergeCell ref="G28:G29"/>
    <mergeCell ref="H28:H29"/>
    <mergeCell ref="I28:I29"/>
    <mergeCell ref="J28:J29"/>
    <mergeCell ref="D23:D24"/>
    <mergeCell ref="E23:E24"/>
    <mergeCell ref="F23:F24"/>
    <mergeCell ref="G23:G24"/>
    <mergeCell ref="H23:H24"/>
    <mergeCell ref="G12:G13"/>
    <mergeCell ref="H12:H13"/>
    <mergeCell ref="I12:I13"/>
    <mergeCell ref="J12:J13"/>
    <mergeCell ref="D17:D18"/>
    <mergeCell ref="E17:E18"/>
    <mergeCell ref="F17:F18"/>
    <mergeCell ref="G17:G18"/>
    <mergeCell ref="H17:H18"/>
    <mergeCell ref="I17:I18"/>
    <mergeCell ref="J17:J18"/>
    <mergeCell ref="D3:F3"/>
    <mergeCell ref="D4:F4"/>
    <mergeCell ref="D12:D13"/>
    <mergeCell ref="E12:E13"/>
    <mergeCell ref="F12:F13"/>
  </mergeCells>
  <phoneticPr fontId="1" type="noConversion"/>
  <conditionalFormatting sqref="D7:G12 I7:J12 D14:G17 I14:J17 D19:G23 I19:J23 D25:G28 I25:J28 D30:G33 I30:J33 D35:G39 I35:J39 D41:G44 I41:J44 D46:G50 I46:J50 D52:G57 I52:J57">
    <cfRule type="expression" dxfId="62" priority="4">
      <formula>OR($D7=$Q$7:$Q$14)</formula>
    </cfRule>
  </conditionalFormatting>
  <conditionalFormatting sqref="C7:C57">
    <cfRule type="expression" dxfId="61" priority="3">
      <formula>OR(AND($D7=0,OR($D6=$Q$7:$Q$14)),AND($D8&gt;0,OR($D7=$Q$7:$Q$14)))</formula>
    </cfRule>
  </conditionalFormatting>
  <conditionalFormatting sqref="D7:D12 D14:D17 D19:D23 D25:D28 D30:D33 D35:D39 D41:D44 D46:D50 D52:D57">
    <cfRule type="expression" dxfId="60" priority="2">
      <formula>$D7=$D8</formula>
    </cfRule>
  </conditionalFormatting>
  <conditionalFormatting sqref="H7:H12 H14:H17 H19:H23 H25:H28 H30:H33 H35:H39 H41:H44 H46:H50 H52:H57">
    <cfRule type="expression" dxfId="59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4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기능'!D12</f>
        <v>22.33</v>
      </c>
      <c r="I3" s="21" t="s">
        <v>124</v>
      </c>
      <c r="J3" s="81">
        <f>'통계 및 응시자 수 입력 기능'!C12</f>
        <v>10247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152</v>
      </c>
      <c r="E4" s="153"/>
      <c r="F4" s="154"/>
      <c r="G4" s="83" t="s">
        <v>127</v>
      </c>
      <c r="H4" s="84" t="str">
        <f>'통계 및 응시자 수 입력 기능'!E12</f>
        <v>12.98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71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98.56</v>
      </c>
      <c r="G7" s="56">
        <f>_xlfn.IFNA(VLOOKUP(D7,'인원 입력 기능(사과탐)'!$A$64:$D$116,4,FALSE),0)</f>
        <v>295</v>
      </c>
      <c r="H7" s="57">
        <f>G7/$J$3</f>
        <v>2.8788913828437592E-2</v>
      </c>
      <c r="I7" s="58">
        <f>G7</f>
        <v>295</v>
      </c>
      <c r="J7" s="59">
        <f>I7/$J$3</f>
        <v>2.8788913828437592E-2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기능'!C76</f>
        <v>70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기능'!C77</f>
        <v>65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70</v>
      </c>
      <c r="E9" s="54">
        <f t="shared" si="0"/>
        <v>1</v>
      </c>
      <c r="F9" s="55">
        <f>IF(I8=0,ROUND(100*(1-(I7+I9)/2/$J$3),2),ROUND(100*(1-(I8+I9)/2/$J$3),2))</f>
        <v>96.28</v>
      </c>
      <c r="G9" s="56">
        <f>_xlfn.IFNA(VLOOKUP(D9,'인원 입력 기능(사과탐)'!$A$64:$D$116,4,FALSE),0)</f>
        <v>173</v>
      </c>
      <c r="H9" s="57">
        <f t="shared" ref="H9:H55" si="1">G9/$J$3</f>
        <v>1.6882990143456622E-2</v>
      </c>
      <c r="I9" s="67">
        <f>SUM($G$7:G9)</f>
        <v>468</v>
      </c>
      <c r="J9" s="59">
        <f>I9/$J$3</f>
        <v>4.5671903971894211E-2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기능'!C78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69</v>
      </c>
      <c r="E10" s="54">
        <f t="shared" si="0"/>
        <v>2</v>
      </c>
      <c r="F10" s="55">
        <f t="shared" ref="F10:F55" si="4">IF(I9=0,ROUND(100*(1-(I8+I10)/2/$J$3),2),ROUND(100*(1-(I9+I10)/2/$J$3),2))</f>
        <v>94.95</v>
      </c>
      <c r="G10" s="56">
        <f>IF(D10=D9,"",_xlfn.IFNA(VLOOKUP(D10,'인원 입력 기능(사과탐)'!$A$64:$D$116,4,FALSE),0))</f>
        <v>99</v>
      </c>
      <c r="H10" s="57">
        <f t="shared" si="1"/>
        <v>9.6613643017468519E-3</v>
      </c>
      <c r="I10" s="67">
        <f>SUM($G$7:G10)</f>
        <v>567</v>
      </c>
      <c r="J10" s="59">
        <f t="shared" ref="J10:J55" si="5">I10/$J$3</f>
        <v>5.5333268273641066E-2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기능'!C79</f>
        <v>51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68</v>
      </c>
      <c r="E11" s="54">
        <f t="shared" si="0"/>
        <v>2</v>
      </c>
      <c r="F11" s="55">
        <f t="shared" si="4"/>
        <v>93.95</v>
      </c>
      <c r="G11" s="56">
        <f>IF(D11=D10,"",_xlfn.IFNA(VLOOKUP(D11,'인원 입력 기능(사과탐)'!$A$64:$D$116,4,FALSE),0))</f>
        <v>105</v>
      </c>
      <c r="H11" s="57">
        <f t="shared" si="1"/>
        <v>1.0246901532155753E-2</v>
      </c>
      <c r="I11" s="67">
        <f>SUM($G$7:G11)</f>
        <v>672</v>
      </c>
      <c r="J11" s="59">
        <f t="shared" si="5"/>
        <v>6.5580169805796812E-2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기능'!C80</f>
        <v>45</v>
      </c>
    </row>
    <row r="12" spans="1:17" s="22" customFormat="1" ht="25" customHeight="1" x14ac:dyDescent="0.45">
      <c r="A12" s="20"/>
      <c r="B12" s="35"/>
      <c r="C12" s="60">
        <v>45</v>
      </c>
      <c r="D12" s="202">
        <f t="shared" si="3"/>
        <v>67</v>
      </c>
      <c r="E12" s="202">
        <f t="shared" si="0"/>
        <v>2</v>
      </c>
      <c r="F12" s="199">
        <f t="shared" si="4"/>
        <v>92.4</v>
      </c>
      <c r="G12" s="196">
        <f>IF(D12=D11,"",_xlfn.IFNA(VLOOKUP(D12,'인원 입력 기능(사과탐)'!$A$64:$D$116,4,FALSE),0))</f>
        <v>213</v>
      </c>
      <c r="H12" s="192">
        <f t="shared" si="1"/>
        <v>2.0786571679515958E-2</v>
      </c>
      <c r="I12" s="189">
        <f>SUM($G$7:G12)</f>
        <v>885</v>
      </c>
      <c r="J12" s="162">
        <f t="shared" si="5"/>
        <v>8.6366741485312773E-2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기능'!C81</f>
        <v>41</v>
      </c>
    </row>
    <row r="13" spans="1:17" s="22" customFormat="1" ht="25" customHeight="1" x14ac:dyDescent="0.45">
      <c r="A13" s="20"/>
      <c r="B13" s="35"/>
      <c r="C13" s="53">
        <v>44</v>
      </c>
      <c r="D13" s="201"/>
      <c r="E13" s="201"/>
      <c r="F13" s="198"/>
      <c r="G13" s="195"/>
      <c r="H13" s="194"/>
      <c r="I13" s="191"/>
      <c r="J13" s="188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기능'!C82</f>
        <v>38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66</v>
      </c>
      <c r="E14" s="54">
        <f t="shared" si="0"/>
        <v>2</v>
      </c>
      <c r="F14" s="55">
        <f t="shared" si="4"/>
        <v>90.59</v>
      </c>
      <c r="G14" s="56">
        <f>IF(D14=D13,"",_xlfn.IFNA(VLOOKUP(D14,'인원 입력 기능(사과탐)'!$A$64:$D$116,4,FALSE),0))</f>
        <v>159</v>
      </c>
      <c r="H14" s="57">
        <f t="shared" si="1"/>
        <v>1.5516736605835855E-2</v>
      </c>
      <c r="I14" s="67">
        <f>SUM($G$7:G14)</f>
        <v>1044</v>
      </c>
      <c r="J14" s="59">
        <f t="shared" si="5"/>
        <v>0.10188347809114863</v>
      </c>
      <c r="K14" s="36"/>
      <c r="L14" s="20" t="str">
        <f t="shared" si="2"/>
        <v/>
      </c>
      <c r="N14" s="24"/>
      <c r="P14" s="24">
        <v>8</v>
      </c>
      <c r="Q14" s="24" t="str">
        <f>'표점등급&amp;절평인원 입력 기능'!C83</f>
        <v>-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65</v>
      </c>
      <c r="E15" s="54">
        <f t="shared" si="0"/>
        <v>2</v>
      </c>
      <c r="F15" s="55">
        <f t="shared" si="4"/>
        <v>89.26</v>
      </c>
      <c r="G15" s="56">
        <f>IF(D15=D14,"",_xlfn.IFNA(VLOOKUP(D15,'인원 입력 기능(사과탐)'!$A$64:$D$116,4,FALSE),0))</f>
        <v>114</v>
      </c>
      <c r="H15" s="57">
        <f t="shared" si="1"/>
        <v>1.1125207377769104E-2</v>
      </c>
      <c r="I15" s="67">
        <f>SUM($G$7:G15)</f>
        <v>1158</v>
      </c>
      <c r="J15" s="59">
        <f t="shared" si="5"/>
        <v>0.11300868546891774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202">
        <f t="shared" si="3"/>
        <v>64</v>
      </c>
      <c r="E16" s="202">
        <f t="shared" si="0"/>
        <v>3</v>
      </c>
      <c r="F16" s="199">
        <f t="shared" si="4"/>
        <v>87.41</v>
      </c>
      <c r="G16" s="196">
        <f>IF(D16=D15,"",_xlfn.IFNA(VLOOKUP(D16,'인원 입력 기능(사과탐)'!$A$64:$D$116,4,FALSE),0))</f>
        <v>264</v>
      </c>
      <c r="H16" s="192">
        <f t="shared" si="1"/>
        <v>2.5763638137991606E-2</v>
      </c>
      <c r="I16" s="189">
        <f>SUM($G$7:G16)</f>
        <v>1422</v>
      </c>
      <c r="J16" s="162">
        <f t="shared" si="5"/>
        <v>0.13877232360690933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201"/>
      <c r="E17" s="201"/>
      <c r="F17" s="198"/>
      <c r="G17" s="195"/>
      <c r="H17" s="194"/>
      <c r="I17" s="191"/>
      <c r="J17" s="188"/>
      <c r="K17" s="36"/>
      <c r="L17" s="20" t="str">
        <f t="shared" si="2"/>
        <v>경고</v>
      </c>
      <c r="N17" s="24"/>
      <c r="Q17" s="24">
        <f>Q7*H3*H4*J3*IFERROR(IF(J57=1, 1, 0), 0)</f>
        <v>207901772.38600001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63</v>
      </c>
      <c r="E18" s="54">
        <f t="shared" si="0"/>
        <v>3</v>
      </c>
      <c r="F18" s="55">
        <f t="shared" si="4"/>
        <v>85.57</v>
      </c>
      <c r="G18" s="56">
        <f>IF(D18=D17,"",_xlfn.IFNA(VLOOKUP(D18,'인원 입력 기능(사과탐)'!$A$64:$D$116,4,FALSE),0))</f>
        <v>113</v>
      </c>
      <c r="H18" s="57">
        <f t="shared" si="1"/>
        <v>1.1027617839367621E-2</v>
      </c>
      <c r="I18" s="67">
        <f>SUM($G$7:G18)</f>
        <v>1535</v>
      </c>
      <c r="J18" s="59">
        <f t="shared" si="5"/>
        <v>0.14979994144627695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62</v>
      </c>
      <c r="E19" s="54">
        <f t="shared" si="0"/>
        <v>3</v>
      </c>
      <c r="F19" s="55">
        <f t="shared" si="4"/>
        <v>84.31</v>
      </c>
      <c r="G19" s="56">
        <f>IF(D19=D18,"",_xlfn.IFNA(VLOOKUP(D19,'인원 입력 기능(사과탐)'!$A$64:$D$116,4,FALSE),0))</f>
        <v>145</v>
      </c>
      <c r="H19" s="57">
        <f t="shared" si="1"/>
        <v>1.4150483068215087E-2</v>
      </c>
      <c r="I19" s="67">
        <f>SUM($G$7:G19)</f>
        <v>1680</v>
      </c>
      <c r="J19" s="59">
        <f t="shared" si="5"/>
        <v>0.16395042451449204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202">
        <f t="shared" si="3"/>
        <v>61</v>
      </c>
      <c r="E20" s="202">
        <f t="shared" si="0"/>
        <v>3</v>
      </c>
      <c r="F20" s="199">
        <f t="shared" si="4"/>
        <v>82.23</v>
      </c>
      <c r="G20" s="196">
        <f>IF(D20=D19,"",_xlfn.IFNA(VLOOKUP(D20,'인원 입력 기능(사과탐)'!$A$64:$D$116,4,FALSE),0))</f>
        <v>282</v>
      </c>
      <c r="H20" s="192">
        <f t="shared" si="1"/>
        <v>2.7520249829218309E-2</v>
      </c>
      <c r="I20" s="189">
        <f>SUM($G$7:G20)</f>
        <v>1962</v>
      </c>
      <c r="J20" s="162">
        <f t="shared" si="5"/>
        <v>0.19147067434371035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201"/>
      <c r="E21" s="201"/>
      <c r="F21" s="198"/>
      <c r="G21" s="195"/>
      <c r="H21" s="194"/>
      <c r="I21" s="191"/>
      <c r="J21" s="188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60</v>
      </c>
      <c r="E22" s="68">
        <f t="shared" si="0"/>
        <v>3</v>
      </c>
      <c r="F22" s="55">
        <f t="shared" si="4"/>
        <v>80.09</v>
      </c>
      <c r="G22" s="56">
        <f>IF(D22=D21,"",_xlfn.IFNA(VLOOKUP(D22,'인원 입력 기능(사과탐)'!$A$64:$D$116,4,FALSE),0))</f>
        <v>156</v>
      </c>
      <c r="H22" s="57">
        <f t="shared" si="1"/>
        <v>1.5223967990631405E-2</v>
      </c>
      <c r="I22" s="67">
        <f>SUM($G$7:G22)</f>
        <v>2118</v>
      </c>
      <c r="J22" s="59">
        <f t="shared" si="5"/>
        <v>0.20669464233434176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59</v>
      </c>
      <c r="E23" s="68">
        <f t="shared" si="0"/>
        <v>3</v>
      </c>
      <c r="F23" s="55">
        <f t="shared" si="4"/>
        <v>78.55</v>
      </c>
      <c r="G23" s="56">
        <f>IF(D23=D22,"",_xlfn.IFNA(VLOOKUP(D23,'인원 입력 기능(사과탐)'!$A$64:$D$116,4,FALSE),0))</f>
        <v>160</v>
      </c>
      <c r="H23" s="57">
        <f t="shared" si="1"/>
        <v>1.5614326144237337E-2</v>
      </c>
      <c r="I23" s="67">
        <f>SUM($G$7:G23)</f>
        <v>2278</v>
      </c>
      <c r="J23" s="59">
        <f t="shared" si="5"/>
        <v>0.22230896847857909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58</v>
      </c>
      <c r="E24" s="68">
        <f t="shared" si="0"/>
        <v>3</v>
      </c>
      <c r="F24" s="55">
        <f t="shared" si="4"/>
        <v>76.819999999999993</v>
      </c>
      <c r="G24" s="56">
        <f>IF(D24=D23,"",_xlfn.IFNA(VLOOKUP(D24,'인원 입력 기능(사과탐)'!$A$64:$D$116,4,FALSE),0))</f>
        <v>194</v>
      </c>
      <c r="H24" s="57">
        <f t="shared" si="1"/>
        <v>1.8932370449887773E-2</v>
      </c>
      <c r="I24" s="67">
        <f>SUM($G$7:G24)</f>
        <v>2472</v>
      </c>
      <c r="J24" s="59">
        <f t="shared" si="5"/>
        <v>0.24124133892846686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212">
        <f t="shared" si="3"/>
        <v>57</v>
      </c>
      <c r="E25" s="212">
        <f t="shared" si="0"/>
        <v>4</v>
      </c>
      <c r="F25" s="199">
        <f t="shared" si="4"/>
        <v>74.25</v>
      </c>
      <c r="G25" s="196">
        <f>IF(D25=D24,"",_xlfn.IFNA(VLOOKUP(D25,'인원 입력 기능(사과탐)'!$A$64:$D$116,4,FALSE),0))</f>
        <v>334</v>
      </c>
      <c r="H25" s="192">
        <f t="shared" si="1"/>
        <v>3.2594905826095442E-2</v>
      </c>
      <c r="I25" s="189">
        <f>SUM($G$7:G25)</f>
        <v>2806</v>
      </c>
      <c r="J25" s="162">
        <f t="shared" si="5"/>
        <v>0.27383624475456231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211"/>
      <c r="E26" s="211"/>
      <c r="F26" s="198"/>
      <c r="G26" s="195"/>
      <c r="H26" s="194"/>
      <c r="I26" s="191"/>
      <c r="J26" s="188"/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56</v>
      </c>
      <c r="E27" s="68">
        <f t="shared" si="0"/>
        <v>4</v>
      </c>
      <c r="F27" s="55">
        <f t="shared" si="4"/>
        <v>71.8</v>
      </c>
      <c r="G27" s="56">
        <f>IF(D27=D26,"",_xlfn.IFNA(VLOOKUP(D27,'인원 입력 기능(사과탐)'!$A$64:$D$116,4,FALSE),0))</f>
        <v>167</v>
      </c>
      <c r="H27" s="57">
        <f t="shared" si="1"/>
        <v>1.6297452913047721E-2</v>
      </c>
      <c r="I27" s="67">
        <f>SUM($G$7:G27)</f>
        <v>2973</v>
      </c>
      <c r="J27" s="59">
        <f t="shared" si="5"/>
        <v>0.29013369766761005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55</v>
      </c>
      <c r="E28" s="68">
        <f t="shared" si="0"/>
        <v>4</v>
      </c>
      <c r="F28" s="55">
        <f t="shared" si="4"/>
        <v>70.06</v>
      </c>
      <c r="G28" s="56">
        <f>IF(D28=D27,"",_xlfn.IFNA(VLOOKUP(D28,'인원 입력 기능(사과탐)'!$A$64:$D$116,4,FALSE),0))</f>
        <v>189</v>
      </c>
      <c r="H28" s="57">
        <f t="shared" si="1"/>
        <v>1.8444422757880354E-2</v>
      </c>
      <c r="I28" s="67">
        <f>SUM($G$7:G28)</f>
        <v>3162</v>
      </c>
      <c r="J28" s="59">
        <f t="shared" si="5"/>
        <v>0.30857812042549038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212">
        <f t="shared" si="3"/>
        <v>54</v>
      </c>
      <c r="E29" s="212">
        <f t="shared" si="0"/>
        <v>4</v>
      </c>
      <c r="F29" s="199">
        <f t="shared" si="4"/>
        <v>67.069999999999993</v>
      </c>
      <c r="G29" s="196">
        <f>IF(D29=D28,"",_xlfn.IFNA(VLOOKUP(D29,'인원 입력 기능(사과탐)'!$A$64:$D$116,4,FALSE),0))</f>
        <v>424</v>
      </c>
      <c r="H29" s="192">
        <f t="shared" si="1"/>
        <v>4.1377964282228945E-2</v>
      </c>
      <c r="I29" s="189">
        <f>SUM($G$7:G29)</f>
        <v>3586</v>
      </c>
      <c r="J29" s="162">
        <f t="shared" si="5"/>
        <v>0.34995608470771933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211"/>
      <c r="E30" s="211"/>
      <c r="F30" s="198"/>
      <c r="G30" s="195"/>
      <c r="H30" s="194"/>
      <c r="I30" s="191"/>
      <c r="J30" s="188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53</v>
      </c>
      <c r="E31" s="68">
        <f t="shared" si="0"/>
        <v>4</v>
      </c>
      <c r="F31" s="55">
        <f t="shared" si="4"/>
        <v>63.88</v>
      </c>
      <c r="G31" s="56">
        <f>IF(D31=D30,"",_xlfn.IFNA(VLOOKUP(D31,'인원 입력 기능(사과탐)'!$A$64:$D$116,4,FALSE),0))</f>
        <v>230</v>
      </c>
      <c r="H31" s="57">
        <f t="shared" si="1"/>
        <v>2.2445593832341171E-2</v>
      </c>
      <c r="I31" s="67">
        <f>SUM($G$7:G31)</f>
        <v>3816</v>
      </c>
      <c r="J31" s="59">
        <f t="shared" si="5"/>
        <v>0.37240167854006051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52</v>
      </c>
      <c r="E32" s="68">
        <f t="shared" si="0"/>
        <v>4</v>
      </c>
      <c r="F32" s="55">
        <f t="shared" si="4"/>
        <v>61.7</v>
      </c>
      <c r="G32" s="56">
        <f>IF(D32=D31,"",_xlfn.IFNA(VLOOKUP(D32,'인원 입력 기능(사과탐)'!$A$64:$D$116,4,FALSE),0))</f>
        <v>217</v>
      </c>
      <c r="H32" s="57">
        <f t="shared" si="1"/>
        <v>2.1176929833121888E-2</v>
      </c>
      <c r="I32" s="67">
        <f>SUM($G$7:G32)</f>
        <v>4033</v>
      </c>
      <c r="J32" s="59">
        <f t="shared" si="5"/>
        <v>0.39357860837318237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212">
        <f t="shared" si="3"/>
        <v>51</v>
      </c>
      <c r="E33" s="212">
        <f t="shared" si="0"/>
        <v>4</v>
      </c>
      <c r="F33" s="199">
        <f t="shared" si="4"/>
        <v>58.34</v>
      </c>
      <c r="G33" s="196">
        <f>IF(D33=D32,"",_xlfn.IFNA(VLOOKUP(D33,'인원 입력 기능(사과탐)'!$A$64:$D$116,4,FALSE),0))</f>
        <v>471</v>
      </c>
      <c r="H33" s="192">
        <f t="shared" si="1"/>
        <v>4.5964672587098666E-2</v>
      </c>
      <c r="I33" s="189">
        <f>SUM($G$7:G33)</f>
        <v>4504</v>
      </c>
      <c r="J33" s="162">
        <f t="shared" si="5"/>
        <v>0.43954328096028106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211"/>
      <c r="E34" s="211"/>
      <c r="F34" s="198"/>
      <c r="G34" s="195"/>
      <c r="H34" s="194"/>
      <c r="I34" s="191"/>
      <c r="J34" s="188"/>
      <c r="K34" s="36"/>
      <c r="L34" s="20" t="str">
        <f t="shared" si="2"/>
        <v>경고</v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50</v>
      </c>
      <c r="E35" s="68">
        <f t="shared" si="0"/>
        <v>5</v>
      </c>
      <c r="F35" s="55">
        <f t="shared" si="4"/>
        <v>54.99</v>
      </c>
      <c r="G35" s="56">
        <f>IF(D35=D34,"",_xlfn.IFNA(VLOOKUP(D35,'인원 입력 기능(사과탐)'!$A$64:$D$116,4,FALSE),0))</f>
        <v>217</v>
      </c>
      <c r="H35" s="57">
        <f t="shared" si="1"/>
        <v>2.1176929833121888E-2</v>
      </c>
      <c r="I35" s="67">
        <f>SUM($G$7:G35)</f>
        <v>4721</v>
      </c>
      <c r="J35" s="59">
        <f t="shared" si="5"/>
        <v>0.46072021079340297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49</v>
      </c>
      <c r="E36" s="68">
        <f t="shared" si="0"/>
        <v>5</v>
      </c>
      <c r="F36" s="55">
        <f t="shared" si="4"/>
        <v>52.81</v>
      </c>
      <c r="G36" s="56">
        <f>IF(D36=D35,"",_xlfn.IFNA(VLOOKUP(D36,'인원 입력 기능(사과탐)'!$A$64:$D$116,4,FALSE),0))</f>
        <v>230</v>
      </c>
      <c r="H36" s="57">
        <f t="shared" si="1"/>
        <v>2.2445593832341171E-2</v>
      </c>
      <c r="I36" s="67">
        <f>SUM($G$7:G36)</f>
        <v>4951</v>
      </c>
      <c r="J36" s="59">
        <f t="shared" si="5"/>
        <v>0.4831658046257441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48</v>
      </c>
      <c r="E37" s="68">
        <f t="shared" si="0"/>
        <v>5</v>
      </c>
      <c r="F37" s="55">
        <f t="shared" si="4"/>
        <v>50.43</v>
      </c>
      <c r="G37" s="56">
        <f>IF(D37=D36,"",_xlfn.IFNA(VLOOKUP(D37,'인원 입력 기능(사과탐)'!$A$64:$D$116,4,FALSE),0))</f>
        <v>257</v>
      </c>
      <c r="H37" s="57">
        <f t="shared" si="1"/>
        <v>2.5080511369181224E-2</v>
      </c>
      <c r="I37" s="67">
        <f>SUM($G$7:G37)</f>
        <v>5208</v>
      </c>
      <c r="J37" s="59">
        <f t="shared" si="5"/>
        <v>0.50824631599492531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212">
        <f t="shared" si="3"/>
        <v>47</v>
      </c>
      <c r="E38" s="212">
        <f t="shared" si="0"/>
        <v>5</v>
      </c>
      <c r="F38" s="199">
        <f t="shared" si="4"/>
        <v>46.69</v>
      </c>
      <c r="G38" s="196">
        <f>IF(D38=D37,"",_xlfn.IFNA(VLOOKUP(D38,'인원 입력 기능(사과탐)'!$A$64:$D$116,4,FALSE),0))</f>
        <v>509</v>
      </c>
      <c r="H38" s="192">
        <f t="shared" si="1"/>
        <v>4.9673075046355028E-2</v>
      </c>
      <c r="I38" s="189">
        <f>SUM($G$7:G38)</f>
        <v>5717</v>
      </c>
      <c r="J38" s="162">
        <f t="shared" si="5"/>
        <v>0.55791939104128041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211"/>
      <c r="E39" s="211"/>
      <c r="F39" s="198"/>
      <c r="G39" s="195"/>
      <c r="H39" s="194"/>
      <c r="I39" s="191"/>
      <c r="J39" s="188"/>
      <c r="K39" s="36"/>
      <c r="L39" s="20" t="str">
        <f t="shared" si="2"/>
        <v>경고</v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46</v>
      </c>
      <c r="E40" s="68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5</v>
      </c>
      <c r="F40" s="55">
        <f t="shared" si="4"/>
        <v>42.86</v>
      </c>
      <c r="G40" s="56">
        <f>IF(D40=D39,"",_xlfn.IFNA(VLOOKUP(D40,'인원 입력 기능(사과탐)'!$A$64:$D$116,4,FALSE),0))</f>
        <v>276</v>
      </c>
      <c r="H40" s="57">
        <f t="shared" si="1"/>
        <v>2.6934712598809408E-2</v>
      </c>
      <c r="I40" s="67">
        <f>SUM($G$7:G40)</f>
        <v>5993</v>
      </c>
      <c r="J40" s="59">
        <f t="shared" si="5"/>
        <v>0.58485410364008983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45</v>
      </c>
      <c r="E41" s="68">
        <f t="shared" si="6"/>
        <v>5</v>
      </c>
      <c r="F41" s="55">
        <f t="shared" si="4"/>
        <v>40.159999999999997</v>
      </c>
      <c r="G41" s="56">
        <f>IF(D41=D40,"",_xlfn.IFNA(VLOOKUP(D41,'인원 입력 기능(사과탐)'!$A$64:$D$116,4,FALSE),0))</f>
        <v>278</v>
      </c>
      <c r="H41" s="57">
        <f t="shared" si="1"/>
        <v>2.7129891675612375E-2</v>
      </c>
      <c r="I41" s="67">
        <f>SUM($G$7:G41)</f>
        <v>6271</v>
      </c>
      <c r="J41" s="59">
        <f t="shared" si="5"/>
        <v>0.61198399531570213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212">
        <f t="shared" si="3"/>
        <v>44</v>
      </c>
      <c r="E42" s="212">
        <f t="shared" si="6"/>
        <v>6</v>
      </c>
      <c r="F42" s="199">
        <f t="shared" si="4"/>
        <v>35.6</v>
      </c>
      <c r="G42" s="196">
        <f>IF(D42=D41,"",_xlfn.IFNA(VLOOKUP(D42,'인원 입력 기능(사과탐)'!$A$64:$D$116,4,FALSE),0))</f>
        <v>656</v>
      </c>
      <c r="H42" s="192">
        <f t="shared" si="1"/>
        <v>6.401873719137309E-2</v>
      </c>
      <c r="I42" s="189">
        <f>SUM($G$7:G42)</f>
        <v>6927</v>
      </c>
      <c r="J42" s="162">
        <f t="shared" si="5"/>
        <v>0.67600273250707521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211"/>
      <c r="E43" s="211"/>
      <c r="F43" s="198"/>
      <c r="G43" s="195"/>
      <c r="H43" s="194"/>
      <c r="I43" s="191"/>
      <c r="J43" s="188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43</v>
      </c>
      <c r="E44" s="68">
        <f t="shared" si="6"/>
        <v>6</v>
      </c>
      <c r="F44" s="55">
        <f t="shared" si="4"/>
        <v>30.21</v>
      </c>
      <c r="G44" s="56">
        <f>IF(D44=D43,"",_xlfn.IFNA(VLOOKUP(D44,'인원 입력 기능(사과탐)'!$A$64:$D$116,4,FALSE),0))</f>
        <v>448</v>
      </c>
      <c r="H44" s="57">
        <f t="shared" si="1"/>
        <v>4.3720113203864548E-2</v>
      </c>
      <c r="I44" s="67">
        <f>SUM($G$7:G44)</f>
        <v>7375</v>
      </c>
      <c r="J44" s="59">
        <f t="shared" si="5"/>
        <v>0.71972284571093981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42</v>
      </c>
      <c r="E45" s="68">
        <f t="shared" si="6"/>
        <v>6</v>
      </c>
      <c r="F45" s="55">
        <f t="shared" si="4"/>
        <v>26.69</v>
      </c>
      <c r="G45" s="56">
        <f>IF(D45=D44,"",_xlfn.IFNA(VLOOKUP(D45,'인원 입력 기능(사과탐)'!$A$64:$D$116,4,FALSE),0))</f>
        <v>275</v>
      </c>
      <c r="H45" s="57">
        <f t="shared" si="1"/>
        <v>2.6837123060407923E-2</v>
      </c>
      <c r="I45" s="67">
        <f>SUM($G$7:G45)</f>
        <v>7650</v>
      </c>
      <c r="J45" s="59">
        <f t="shared" si="5"/>
        <v>0.74655996877134767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212">
        <f t="shared" si="3"/>
        <v>41</v>
      </c>
      <c r="E46" s="212">
        <f t="shared" si="6"/>
        <v>6</v>
      </c>
      <c r="F46" s="199">
        <f t="shared" si="4"/>
        <v>22.68</v>
      </c>
      <c r="G46" s="196">
        <f>IF(D46=D45,"",_xlfn.IFNA(VLOOKUP(D46,'인원 입력 기능(사과탐)'!$A$64:$D$116,4,FALSE),0))</f>
        <v>545</v>
      </c>
      <c r="H46" s="192">
        <f t="shared" si="1"/>
        <v>5.3186298428808433E-2</v>
      </c>
      <c r="I46" s="189">
        <f>SUM($G$7:G46)</f>
        <v>8195</v>
      </c>
      <c r="J46" s="162">
        <f t="shared" si="5"/>
        <v>0.79974626720015618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211"/>
      <c r="E47" s="211"/>
      <c r="F47" s="198"/>
      <c r="G47" s="195"/>
      <c r="H47" s="194"/>
      <c r="I47" s="191"/>
      <c r="J47" s="188"/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40</v>
      </c>
      <c r="E48" s="68">
        <f t="shared" si="6"/>
        <v>7</v>
      </c>
      <c r="F48" s="55">
        <f t="shared" si="4"/>
        <v>18.47</v>
      </c>
      <c r="G48" s="56">
        <f>IF(D48=D47,"",_xlfn.IFNA(VLOOKUP(D48,'인원 입력 기능(사과탐)'!$A$64:$D$116,4,FALSE),0))</f>
        <v>319</v>
      </c>
      <c r="H48" s="57">
        <f t="shared" si="1"/>
        <v>3.1131062750073192E-2</v>
      </c>
      <c r="I48" s="67">
        <f>SUM($G$7:G48)</f>
        <v>8514</v>
      </c>
      <c r="J48" s="59">
        <f t="shared" si="5"/>
        <v>0.83087732995022934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39</v>
      </c>
      <c r="E49" s="68">
        <f t="shared" si="6"/>
        <v>7</v>
      </c>
      <c r="F49" s="55">
        <f t="shared" si="4"/>
        <v>16.05</v>
      </c>
      <c r="G49" s="56">
        <f>IF(D49=D48,"",_xlfn.IFNA(VLOOKUP(D49,'인원 입력 기능(사과탐)'!$A$64:$D$116,4,FALSE),0))</f>
        <v>176</v>
      </c>
      <c r="H49" s="57">
        <f t="shared" si="1"/>
        <v>1.7175758758661071E-2</v>
      </c>
      <c r="I49" s="67">
        <f>SUM($G$7:G49)</f>
        <v>8690</v>
      </c>
      <c r="J49" s="59">
        <f t="shared" si="5"/>
        <v>0.8480530887088904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204">
        <v>7</v>
      </c>
      <c r="D50" s="205">
        <f t="shared" si="3"/>
        <v>38</v>
      </c>
      <c r="E50" s="205">
        <f t="shared" si="6"/>
        <v>7</v>
      </c>
      <c r="F50" s="206">
        <f t="shared" si="4"/>
        <v>9.3000000000000007</v>
      </c>
      <c r="G50" s="207">
        <f>IF(D50=D49,"",_xlfn.IFNA(VLOOKUP(D50,'인원 입력 기능(사과탐)'!$A$64:$D$116,4,FALSE),0))</f>
        <v>1208</v>
      </c>
      <c r="H50" s="208">
        <f t="shared" si="1"/>
        <v>0.1178881623889919</v>
      </c>
      <c r="I50" s="209">
        <f>SUM($G$7:G50)</f>
        <v>9898</v>
      </c>
      <c r="J50" s="210">
        <f t="shared" si="5"/>
        <v>0.96594125109788231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212">
        <f t="shared" si="3"/>
        <v>37</v>
      </c>
      <c r="E51" s="212">
        <f t="shared" si="6"/>
        <v>9</v>
      </c>
      <c r="F51" s="199">
        <f t="shared" si="4"/>
        <v>2.36</v>
      </c>
      <c r="G51" s="196">
        <f>IF(D51=D50,"",_xlfn.IFNA(VLOOKUP(D51,'인원 입력 기능(사과탐)'!$A$64:$D$116,4,FALSE),0))</f>
        <v>214</v>
      </c>
      <c r="H51" s="192">
        <f t="shared" si="1"/>
        <v>2.0884161217917439E-2</v>
      </c>
      <c r="I51" s="189">
        <f>SUM($G$7:G51)</f>
        <v>10112</v>
      </c>
      <c r="J51" s="162">
        <f t="shared" si="5"/>
        <v>0.98682541231579979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211"/>
      <c r="E52" s="211"/>
      <c r="F52" s="198"/>
      <c r="G52" s="195"/>
      <c r="H52" s="194"/>
      <c r="I52" s="191"/>
      <c r="J52" s="188"/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36</v>
      </c>
      <c r="E53" s="54">
        <f t="shared" si="6"/>
        <v>9</v>
      </c>
      <c r="F53" s="55">
        <f t="shared" si="4"/>
        <v>1.1000000000000001</v>
      </c>
      <c r="G53" s="56">
        <f>IF(D53=D52,"",_xlfn.IFNA(VLOOKUP(D53,'인원 입력 기능(사과탐)'!$A$64:$D$116,4,FALSE),0))</f>
        <v>45</v>
      </c>
      <c r="H53" s="57">
        <f t="shared" si="1"/>
        <v>4.3915292280667512E-3</v>
      </c>
      <c r="I53" s="67">
        <f>SUM($G$7:G53)</f>
        <v>10157</v>
      </c>
      <c r="J53" s="59">
        <f t="shared" si="5"/>
        <v>0.99121694154386653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35</v>
      </c>
      <c r="E54" s="54">
        <f t="shared" si="6"/>
        <v>9</v>
      </c>
      <c r="F54" s="55">
        <f t="shared" si="4"/>
        <v>0.71</v>
      </c>
      <c r="G54" s="56">
        <f>IF(D54=D53,"",_xlfn.IFNA(VLOOKUP(D54,'인원 입력 기능(사과탐)'!$A$64:$D$116,4,FALSE),0))</f>
        <v>34</v>
      </c>
      <c r="H54" s="57">
        <f t="shared" si="1"/>
        <v>3.3180443056504342E-3</v>
      </c>
      <c r="I54" s="67">
        <f>SUM($G$7:G54)</f>
        <v>10191</v>
      </c>
      <c r="J54" s="59">
        <f t="shared" si="5"/>
        <v>0.99453498584951694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34</v>
      </c>
      <c r="E55" s="54">
        <f t="shared" si="6"/>
        <v>9</v>
      </c>
      <c r="F55" s="55">
        <f t="shared" si="4"/>
        <v>0.39</v>
      </c>
      <c r="G55" s="56">
        <f>IF(D55=D54,"",_xlfn.IFNA(VLOOKUP(D55,'인원 입력 기능(사과탐)'!$A$64:$D$116,4,FALSE),0))</f>
        <v>33</v>
      </c>
      <c r="H55" s="57">
        <f t="shared" si="1"/>
        <v>3.2204547672489508E-3</v>
      </c>
      <c r="I55" s="67">
        <f>SUM($G$7:G55)</f>
        <v>10224</v>
      </c>
      <c r="J55" s="59">
        <f t="shared" si="5"/>
        <v>0.99775544061676591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33</v>
      </c>
      <c r="E57" s="109">
        <f t="shared" si="6"/>
        <v>9</v>
      </c>
      <c r="F57" s="74">
        <f>IF(I55=0,ROUND(100*(1-(I54+I57)/2/$J$3),2),ROUND(100*(1-(I55+I57)/2/$J$3),2))</f>
        <v>0.11</v>
      </c>
      <c r="G57" s="110">
        <f>_xlfn.IFNA(VLOOKUP(D57,'인원 입력 기능(사과탐)'!$A$64:$D$116,4,FALSE),0)</f>
        <v>23</v>
      </c>
      <c r="H57" s="76">
        <f>G57/$J$3</f>
        <v>2.2445593832341173E-3</v>
      </c>
      <c r="I57" s="77">
        <f>SUM($G$7:G57)</f>
        <v>10247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72">
    <mergeCell ref="I46:I47"/>
    <mergeCell ref="J46:J47"/>
    <mergeCell ref="D51:D52"/>
    <mergeCell ref="E51:E52"/>
    <mergeCell ref="F51:F52"/>
    <mergeCell ref="G51:G52"/>
    <mergeCell ref="H51:H52"/>
    <mergeCell ref="I51:I52"/>
    <mergeCell ref="J51:J52"/>
    <mergeCell ref="D46:D47"/>
    <mergeCell ref="E46:E47"/>
    <mergeCell ref="F46:F47"/>
    <mergeCell ref="G46:G47"/>
    <mergeCell ref="H46:H47"/>
    <mergeCell ref="I38:I39"/>
    <mergeCell ref="J38:J39"/>
    <mergeCell ref="D42:D43"/>
    <mergeCell ref="E42:E43"/>
    <mergeCell ref="F42:F43"/>
    <mergeCell ref="G42:G43"/>
    <mergeCell ref="H42:H43"/>
    <mergeCell ref="I42:I43"/>
    <mergeCell ref="J42:J43"/>
    <mergeCell ref="D38:D39"/>
    <mergeCell ref="E38:E39"/>
    <mergeCell ref="F38:F39"/>
    <mergeCell ref="G38:G39"/>
    <mergeCell ref="H38:H39"/>
    <mergeCell ref="I29:I30"/>
    <mergeCell ref="J29:J30"/>
    <mergeCell ref="D33:D34"/>
    <mergeCell ref="E33:E34"/>
    <mergeCell ref="F33:F34"/>
    <mergeCell ref="G33:G34"/>
    <mergeCell ref="H33:H34"/>
    <mergeCell ref="I33:I34"/>
    <mergeCell ref="J33:J34"/>
    <mergeCell ref="D29:D30"/>
    <mergeCell ref="E29:E30"/>
    <mergeCell ref="F29:F30"/>
    <mergeCell ref="G29:G30"/>
    <mergeCell ref="H29:H30"/>
    <mergeCell ref="I20:I21"/>
    <mergeCell ref="J20:J21"/>
    <mergeCell ref="D25:D26"/>
    <mergeCell ref="E25:E26"/>
    <mergeCell ref="F25:F26"/>
    <mergeCell ref="G25:G26"/>
    <mergeCell ref="H25:H26"/>
    <mergeCell ref="I25:I26"/>
    <mergeCell ref="J25:J26"/>
    <mergeCell ref="D20:D21"/>
    <mergeCell ref="E20:E21"/>
    <mergeCell ref="F20:F21"/>
    <mergeCell ref="G20:G21"/>
    <mergeCell ref="H20:H21"/>
    <mergeCell ref="G12:G13"/>
    <mergeCell ref="H12:H13"/>
    <mergeCell ref="I12:I13"/>
    <mergeCell ref="J12:J13"/>
    <mergeCell ref="D16:D17"/>
    <mergeCell ref="E16:E17"/>
    <mergeCell ref="F16:F17"/>
    <mergeCell ref="G16:G17"/>
    <mergeCell ref="H16:H17"/>
    <mergeCell ref="I16:I17"/>
    <mergeCell ref="J16:J17"/>
    <mergeCell ref="D3:F3"/>
    <mergeCell ref="D4:F4"/>
    <mergeCell ref="D12:D13"/>
    <mergeCell ref="E12:E13"/>
    <mergeCell ref="F12:F13"/>
  </mergeCells>
  <phoneticPr fontId="1" type="noConversion"/>
  <conditionalFormatting sqref="D7:G12 I7:J12 I51:J51 D51:G51 D14:G16 I14:J16 D18:G20 I18:J20 D22:G25 I22:J25 D27:G29 I27:J29 D31:G33 I31:J33 D35:G38 I35:J38 D40:G42 I40:J42 D44:G46 I44:J46 D48:G49 I48:J49 D53:G57 I53:J57">
    <cfRule type="expression" dxfId="58" priority="4">
      <formula>OR($D7=$Q$7:$Q$14)</formula>
    </cfRule>
  </conditionalFormatting>
  <conditionalFormatting sqref="C7:C49 C51:C57">
    <cfRule type="expression" dxfId="57" priority="3">
      <formula>OR(AND($D7=0,OR($D6=$Q$7:$Q$14)),AND($D8&gt;0,OR($D7=$Q$7:$Q$14)))</formula>
    </cfRule>
  </conditionalFormatting>
  <conditionalFormatting sqref="D7:D12 D51 D14:D16 D18:D20 D22:D25 D27:D29 D31:D33 D35:D38 D40:D42 D44:D46 D48:D49 D53:D57">
    <cfRule type="expression" dxfId="56" priority="2">
      <formula>$D7=$D8</formula>
    </cfRule>
  </conditionalFormatting>
  <conditionalFormatting sqref="H7:H12 H51 H14:H16 H18:H20 H22:H25 H27:H29 H31:H33 H35:H38 H40:H42 H44:H46 H48:H49 H53:H57">
    <cfRule type="expression" dxfId="55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5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기능'!D13</f>
        <v>21.63</v>
      </c>
      <c r="I3" s="21" t="s">
        <v>124</v>
      </c>
      <c r="J3" s="81">
        <f>'통계 및 응시자 수 입력 기능'!C13</f>
        <v>16479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151</v>
      </c>
      <c r="E4" s="153"/>
      <c r="F4" s="154"/>
      <c r="G4" s="83" t="s">
        <v>127</v>
      </c>
      <c r="H4" s="84" t="str">
        <f>'통계 및 응시자 수 입력 기능'!E13</f>
        <v>12.23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73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99.03</v>
      </c>
      <c r="G7" s="56">
        <f>_xlfn.IFNA(VLOOKUP(D7,'인원 입력 기능(사과탐)'!$F$64:$I$116,4,FALSE),0)</f>
        <v>321</v>
      </c>
      <c r="H7" s="57">
        <f>G7/$J$3</f>
        <v>1.9479337338430731E-2</v>
      </c>
      <c r="I7" s="58">
        <f>G7</f>
        <v>321</v>
      </c>
      <c r="J7" s="59">
        <f>I7/$J$3</f>
        <v>1.9479337338430731E-2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기능'!C85</f>
        <v>70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기능'!C86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72</v>
      </c>
      <c r="E9" s="54">
        <f t="shared" si="0"/>
        <v>1</v>
      </c>
      <c r="F9" s="55">
        <f>IF(I8=0,ROUND(100*(1-(I7+I9)/2/$J$3),2),ROUND(100*(1-(I8+I9)/2/$J$3),2))</f>
        <v>97.78</v>
      </c>
      <c r="G9" s="56">
        <f>_xlfn.IFNA(VLOOKUP(D9,'인원 입력 기능(사과탐)'!$F$64:$I$116,4,FALSE),0)</f>
        <v>89</v>
      </c>
      <c r="H9" s="57">
        <f t="shared" ref="H9:H55" si="1">G9/$J$3</f>
        <v>5.4008131561381154E-3</v>
      </c>
      <c r="I9" s="67">
        <f>SUM($G$7:G9)</f>
        <v>410</v>
      </c>
      <c r="J9" s="59">
        <f>I9/$J$3</f>
        <v>2.4880150494568844E-2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기능'!C87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71</v>
      </c>
      <c r="E10" s="54">
        <f t="shared" si="0"/>
        <v>1</v>
      </c>
      <c r="F10" s="55">
        <f t="shared" ref="F10:F55" si="4">IF(I9=0,ROUND(100*(1-(I8+I10)/2/$J$3),2),ROUND(100*(1-(I9+I10)/2/$J$3),2))</f>
        <v>96.83</v>
      </c>
      <c r="G10" s="56">
        <f>IF(D10=D9,"",_xlfn.IFNA(VLOOKUP(D10,'인원 입력 기능(사과탐)'!$F$64:$I$116,4,FALSE),0))</f>
        <v>225</v>
      </c>
      <c r="H10" s="57">
        <f t="shared" si="1"/>
        <v>1.3653741125068269E-2</v>
      </c>
      <c r="I10" s="67">
        <f>SUM($G$7:G10)</f>
        <v>635</v>
      </c>
      <c r="J10" s="59">
        <f t="shared" ref="J10:J55" si="5">I10/$J$3</f>
        <v>3.8533891619637113E-2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기능'!C88</f>
        <v>52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70</v>
      </c>
      <c r="E11" s="54">
        <f t="shared" si="0"/>
        <v>1</v>
      </c>
      <c r="F11" s="55">
        <f t="shared" si="4"/>
        <v>96.06</v>
      </c>
      <c r="G11" s="56">
        <f>IF(D11=D10,"",_xlfn.IFNA(VLOOKUP(D11,'인원 입력 기능(사과탐)'!$F$64:$I$116,4,FALSE),0))</f>
        <v>29</v>
      </c>
      <c r="H11" s="57">
        <f t="shared" si="1"/>
        <v>1.7598155227865769E-3</v>
      </c>
      <c r="I11" s="67">
        <f>SUM($G$7:G11)</f>
        <v>664</v>
      </c>
      <c r="J11" s="59">
        <f t="shared" si="5"/>
        <v>4.0293707142423689E-2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기능'!C89</f>
        <v>45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69</v>
      </c>
      <c r="E12" s="54">
        <f t="shared" si="0"/>
        <v>2</v>
      </c>
      <c r="F12" s="55">
        <f t="shared" si="4"/>
        <v>95.46</v>
      </c>
      <c r="G12" s="56">
        <f>IF(D12=D11,"",_xlfn.IFNA(VLOOKUP(D12,'인원 입력 기능(사과탐)'!$F$64:$I$116,4,FALSE),0))</f>
        <v>167</v>
      </c>
      <c r="H12" s="57">
        <f t="shared" si="1"/>
        <v>1.0134110079495115E-2</v>
      </c>
      <c r="I12" s="67">
        <f>SUM($G$7:G12)</f>
        <v>831</v>
      </c>
      <c r="J12" s="59">
        <f t="shared" si="5"/>
        <v>5.0427817221918803E-2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기능'!C90</f>
        <v>40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68</v>
      </c>
      <c r="E13" s="54">
        <f t="shared" si="0"/>
        <v>2</v>
      </c>
      <c r="F13" s="55">
        <f t="shared" si="4"/>
        <v>94.39</v>
      </c>
      <c r="G13" s="56">
        <f>IF(D13=D12,"",_xlfn.IFNA(VLOOKUP(D13,'인원 입력 기능(사과탐)'!$F$64:$I$116,4,FALSE),0))</f>
        <v>187</v>
      </c>
      <c r="H13" s="57">
        <f t="shared" si="1"/>
        <v>1.1347775957278962E-2</v>
      </c>
      <c r="I13" s="67">
        <f>SUM($G$7:G13)</f>
        <v>1018</v>
      </c>
      <c r="J13" s="59">
        <f t="shared" si="5"/>
        <v>6.1775593179197764E-2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기능'!C91</f>
        <v>39</v>
      </c>
    </row>
    <row r="14" spans="1:17" s="22" customFormat="1" ht="25" customHeight="1" x14ac:dyDescent="0.45">
      <c r="A14" s="20"/>
      <c r="B14" s="35"/>
      <c r="C14" s="60">
        <v>43</v>
      </c>
      <c r="D14" s="202">
        <f t="shared" si="3"/>
        <v>67</v>
      </c>
      <c r="E14" s="202">
        <f t="shared" si="0"/>
        <v>2</v>
      </c>
      <c r="F14" s="199">
        <f t="shared" si="4"/>
        <v>92.79</v>
      </c>
      <c r="G14" s="196">
        <f>IF(D14=D13,"",_xlfn.IFNA(VLOOKUP(D14,'인원 입력 기능(사과탐)'!$F$64:$I$116,4,FALSE),0))</f>
        <v>339</v>
      </c>
      <c r="H14" s="192">
        <f t="shared" si="1"/>
        <v>2.0571636628436193E-2</v>
      </c>
      <c r="I14" s="189">
        <f>SUM($G$7:G14)</f>
        <v>1357</v>
      </c>
      <c r="J14" s="162">
        <f t="shared" si="5"/>
        <v>8.2347229807633954E-2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기능'!C92</f>
        <v>37</v>
      </c>
    </row>
    <row r="15" spans="1:17" s="22" customFormat="1" ht="25" customHeight="1" x14ac:dyDescent="0.45">
      <c r="A15" s="20"/>
      <c r="B15" s="35"/>
      <c r="C15" s="53">
        <v>42</v>
      </c>
      <c r="D15" s="201"/>
      <c r="E15" s="201"/>
      <c r="F15" s="198"/>
      <c r="G15" s="195"/>
      <c r="H15" s="194"/>
      <c r="I15" s="191"/>
      <c r="J15" s="188"/>
      <c r="K15" s="36"/>
      <c r="L15" s="20" t="str">
        <f t="shared" si="2"/>
        <v>경고</v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66</v>
      </c>
      <c r="E16" s="54">
        <f t="shared" si="0"/>
        <v>2</v>
      </c>
      <c r="F16" s="55">
        <f t="shared" si="4"/>
        <v>91.26</v>
      </c>
      <c r="G16" s="56">
        <f>IF(D16=D15,"",_xlfn.IFNA(VLOOKUP(D16,'인원 입력 기능(사과탐)'!$F$64:$I$116,4,FALSE),0))</f>
        <v>168</v>
      </c>
      <c r="H16" s="57">
        <f t="shared" si="1"/>
        <v>1.0194793373384307E-2</v>
      </c>
      <c r="I16" s="67">
        <f>SUM($G$7:G16)</f>
        <v>1525</v>
      </c>
      <c r="J16" s="59">
        <f t="shared" si="5"/>
        <v>9.2542023181018271E-2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65</v>
      </c>
      <c r="E17" s="54">
        <f t="shared" si="0"/>
        <v>2</v>
      </c>
      <c r="F17" s="55">
        <f t="shared" si="4"/>
        <v>90.11</v>
      </c>
      <c r="G17" s="56">
        <f>IF(D17=D16,"",_xlfn.IFNA(VLOOKUP(D17,'인원 입력 기능(사과탐)'!$F$64:$I$116,4,FALSE),0))</f>
        <v>209</v>
      </c>
      <c r="H17" s="57">
        <f t="shared" si="1"/>
        <v>1.2682808422841191E-2</v>
      </c>
      <c r="I17" s="67">
        <f>SUM($G$7:G17)</f>
        <v>1734</v>
      </c>
      <c r="J17" s="59">
        <f t="shared" si="5"/>
        <v>0.10522483160385945</v>
      </c>
      <c r="K17" s="36"/>
      <c r="L17" s="20" t="str">
        <f t="shared" si="2"/>
        <v/>
      </c>
      <c r="N17" s="24"/>
      <c r="Q17" s="24">
        <f>Q7*H3*H4*J3*IFERROR(IF(J57=1, 1, 0), 0)</f>
        <v>305148943.19699997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64</v>
      </c>
      <c r="E18" s="54">
        <f t="shared" si="0"/>
        <v>2</v>
      </c>
      <c r="F18" s="55">
        <f t="shared" si="4"/>
        <v>88.7</v>
      </c>
      <c r="G18" s="56">
        <f>IF(D18=D17,"",_xlfn.IFNA(VLOOKUP(D18,'인원 입력 기능(사과탐)'!$F$64:$I$116,4,FALSE),0))</f>
        <v>256</v>
      </c>
      <c r="H18" s="57">
        <f t="shared" si="1"/>
        <v>1.5534923235633231E-2</v>
      </c>
      <c r="I18" s="67">
        <f>SUM($G$7:G18)</f>
        <v>1990</v>
      </c>
      <c r="J18" s="59">
        <f t="shared" si="5"/>
        <v>0.12075975483949269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202">
        <f t="shared" si="3"/>
        <v>63</v>
      </c>
      <c r="E19" s="202">
        <f t="shared" si="0"/>
        <v>3</v>
      </c>
      <c r="F19" s="199">
        <f t="shared" si="4"/>
        <v>86.52</v>
      </c>
      <c r="G19" s="196">
        <f>IF(D19=D18,"",_xlfn.IFNA(VLOOKUP(D19,'인원 입력 기능(사과탐)'!$F$64:$I$116,4,FALSE),0))</f>
        <v>462</v>
      </c>
      <c r="H19" s="192">
        <f t="shared" si="1"/>
        <v>2.8035681776806844E-2</v>
      </c>
      <c r="I19" s="189">
        <f>SUM($G$7:G19)</f>
        <v>2452</v>
      </c>
      <c r="J19" s="162">
        <f t="shared" si="5"/>
        <v>0.14879543661629954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201"/>
      <c r="E20" s="201"/>
      <c r="F20" s="198"/>
      <c r="G20" s="195"/>
      <c r="H20" s="194"/>
      <c r="I20" s="191"/>
      <c r="J20" s="188"/>
      <c r="K20" s="36"/>
      <c r="L20" s="20" t="str">
        <f t="shared" si="2"/>
        <v>경고</v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62</v>
      </c>
      <c r="E21" s="68">
        <f t="shared" si="0"/>
        <v>3</v>
      </c>
      <c r="F21" s="55">
        <f t="shared" si="4"/>
        <v>84.38</v>
      </c>
      <c r="G21" s="56">
        <f>IF(D21=D20,"",_xlfn.IFNA(VLOOKUP(D21,'인원 입력 기능(사과탐)'!$F$64:$I$116,4,FALSE),0))</f>
        <v>245</v>
      </c>
      <c r="H21" s="57">
        <f t="shared" si="1"/>
        <v>1.4867407002852115E-2</v>
      </c>
      <c r="I21" s="67">
        <f>SUM($G$7:G21)</f>
        <v>2697</v>
      </c>
      <c r="J21" s="59">
        <f t="shared" si="5"/>
        <v>0.16366284361915165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61</v>
      </c>
      <c r="E22" s="68">
        <f t="shared" si="0"/>
        <v>3</v>
      </c>
      <c r="F22" s="55">
        <f t="shared" si="4"/>
        <v>82.91</v>
      </c>
      <c r="G22" s="56">
        <f>IF(D22=D21,"",_xlfn.IFNA(VLOOKUP(D22,'인원 입력 기능(사과탐)'!$F$64:$I$116,4,FALSE),0))</f>
        <v>240</v>
      </c>
      <c r="H22" s="57">
        <f t="shared" si="1"/>
        <v>1.4563990533406153E-2</v>
      </c>
      <c r="I22" s="67">
        <f>SUM($G$7:G22)</f>
        <v>2937</v>
      </c>
      <c r="J22" s="59">
        <f t="shared" si="5"/>
        <v>0.1782268341525578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60</v>
      </c>
      <c r="E23" s="68">
        <f t="shared" si="0"/>
        <v>3</v>
      </c>
      <c r="F23" s="55">
        <f t="shared" si="4"/>
        <v>81.22</v>
      </c>
      <c r="G23" s="56">
        <f>IF(D23=D22,"",_xlfn.IFNA(VLOOKUP(D23,'인원 입력 기능(사과탐)'!$F$64:$I$116,4,FALSE),0))</f>
        <v>316</v>
      </c>
      <c r="H23" s="57">
        <f t="shared" si="1"/>
        <v>1.9175920868984769E-2</v>
      </c>
      <c r="I23" s="67">
        <f>SUM($G$7:G23)</f>
        <v>3253</v>
      </c>
      <c r="J23" s="59">
        <f t="shared" si="5"/>
        <v>0.19740275502154256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59</v>
      </c>
      <c r="E24" s="68">
        <f t="shared" si="0"/>
        <v>3</v>
      </c>
      <c r="F24" s="55">
        <f t="shared" si="4"/>
        <v>79.55</v>
      </c>
      <c r="G24" s="56">
        <f>IF(D24=D23,"",_xlfn.IFNA(VLOOKUP(D24,'인원 입력 기능(사과탐)'!$F$64:$I$116,4,FALSE),0))</f>
        <v>233</v>
      </c>
      <c r="H24" s="57">
        <f t="shared" si="1"/>
        <v>1.4139207476181807E-2</v>
      </c>
      <c r="I24" s="67">
        <f>SUM($G$7:G24)</f>
        <v>3486</v>
      </c>
      <c r="J24" s="59">
        <f t="shared" si="5"/>
        <v>0.21154196249772439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212">
        <f t="shared" si="3"/>
        <v>58</v>
      </c>
      <c r="E25" s="212">
        <f t="shared" si="0"/>
        <v>3</v>
      </c>
      <c r="F25" s="199">
        <f t="shared" si="4"/>
        <v>76.86</v>
      </c>
      <c r="G25" s="196">
        <f>IF(D25=D24,"",_xlfn.IFNA(VLOOKUP(D25,'인원 입력 기능(사과탐)'!$F$64:$I$116,4,FALSE),0))</f>
        <v>655</v>
      </c>
      <c r="H25" s="192">
        <f t="shared" si="1"/>
        <v>3.9747557497420961E-2</v>
      </c>
      <c r="I25" s="189">
        <f>SUM($G$7:G25)</f>
        <v>4141</v>
      </c>
      <c r="J25" s="162">
        <f t="shared" si="5"/>
        <v>0.25128951999514532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211"/>
      <c r="E26" s="211"/>
      <c r="F26" s="198"/>
      <c r="G26" s="195"/>
      <c r="H26" s="194"/>
      <c r="I26" s="191"/>
      <c r="J26" s="188"/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57</v>
      </c>
      <c r="E27" s="68">
        <f t="shared" si="0"/>
        <v>4</v>
      </c>
      <c r="F27" s="55">
        <f t="shared" si="4"/>
        <v>73.87</v>
      </c>
      <c r="G27" s="56">
        <f>IF(D27=D26,"",_xlfn.IFNA(VLOOKUP(D27,'인원 입력 기능(사과탐)'!$F$64:$I$116,4,FALSE),0))</f>
        <v>330</v>
      </c>
      <c r="H27" s="57">
        <f t="shared" si="1"/>
        <v>2.0025486983433462E-2</v>
      </c>
      <c r="I27" s="67">
        <f>SUM($G$7:G27)</f>
        <v>4471</v>
      </c>
      <c r="J27" s="59">
        <f t="shared" si="5"/>
        <v>0.2713150069785788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56</v>
      </c>
      <c r="E28" s="68">
        <f t="shared" si="0"/>
        <v>4</v>
      </c>
      <c r="F28" s="55">
        <f t="shared" si="4"/>
        <v>71.77</v>
      </c>
      <c r="G28" s="56">
        <f>IF(D28=D27,"",_xlfn.IFNA(VLOOKUP(D28,'인원 입력 기능(사과탐)'!$F$64:$I$116,4,FALSE),0))</f>
        <v>362</v>
      </c>
      <c r="H28" s="57">
        <f t="shared" si="1"/>
        <v>2.1967352387887613E-2</v>
      </c>
      <c r="I28" s="67">
        <f>SUM($G$7:G28)</f>
        <v>4833</v>
      </c>
      <c r="J28" s="59">
        <f t="shared" si="5"/>
        <v>0.29328235936646641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55</v>
      </c>
      <c r="E29" s="68">
        <f t="shared" si="0"/>
        <v>4</v>
      </c>
      <c r="F29" s="55">
        <f t="shared" si="4"/>
        <v>69.58</v>
      </c>
      <c r="G29" s="56">
        <f>IF(D29=D28,"",_xlfn.IFNA(VLOOKUP(D29,'인원 입력 기능(사과탐)'!$F$64:$I$116,4,FALSE),0))</f>
        <v>359</v>
      </c>
      <c r="H29" s="57">
        <f t="shared" si="1"/>
        <v>2.1785302506220038E-2</v>
      </c>
      <c r="I29" s="67">
        <f>SUM($G$7:G29)</f>
        <v>5192</v>
      </c>
      <c r="J29" s="59">
        <f t="shared" si="5"/>
        <v>0.31506766187268642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212">
        <f t="shared" si="3"/>
        <v>54</v>
      </c>
      <c r="E30" s="212">
        <f t="shared" si="0"/>
        <v>4</v>
      </c>
      <c r="F30" s="199">
        <f t="shared" si="4"/>
        <v>66.3</v>
      </c>
      <c r="G30" s="196">
        <f>IF(D30=D29,"",_xlfn.IFNA(VLOOKUP(D30,'인원 입력 기능(사과탐)'!$F$64:$I$116,4,FALSE),0))</f>
        <v>723</v>
      </c>
      <c r="H30" s="192">
        <f t="shared" si="1"/>
        <v>4.3874021481886037E-2</v>
      </c>
      <c r="I30" s="189">
        <f>SUM($G$7:G30)</f>
        <v>5915</v>
      </c>
      <c r="J30" s="162">
        <f t="shared" si="5"/>
        <v>0.35894168335457249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211"/>
      <c r="E31" s="211"/>
      <c r="F31" s="198"/>
      <c r="G31" s="195"/>
      <c r="H31" s="194"/>
      <c r="I31" s="191"/>
      <c r="J31" s="188"/>
      <c r="K31" s="36"/>
      <c r="L31" s="20" t="str">
        <f t="shared" si="2"/>
        <v>경고</v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53</v>
      </c>
      <c r="E32" s="68">
        <f t="shared" si="0"/>
        <v>4</v>
      </c>
      <c r="F32" s="55">
        <f t="shared" si="4"/>
        <v>63.07</v>
      </c>
      <c r="G32" s="56">
        <f>IF(D32=D31,"",_xlfn.IFNA(VLOOKUP(D32,'인원 입력 기능(사과탐)'!$F$64:$I$116,4,FALSE),0))</f>
        <v>342</v>
      </c>
      <c r="H32" s="57">
        <f t="shared" si="1"/>
        <v>2.0753686510103769E-2</v>
      </c>
      <c r="I32" s="67">
        <f>SUM($G$7:G32)</f>
        <v>6257</v>
      </c>
      <c r="J32" s="59">
        <f t="shared" si="5"/>
        <v>0.37969536986467628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52</v>
      </c>
      <c r="E33" s="68">
        <f t="shared" si="0"/>
        <v>4</v>
      </c>
      <c r="F33" s="55">
        <f t="shared" si="4"/>
        <v>60.7</v>
      </c>
      <c r="G33" s="56">
        <f>IF(D33=D32,"",_xlfn.IFNA(VLOOKUP(D33,'인원 입력 기능(사과탐)'!$F$64:$I$116,4,FALSE),0))</f>
        <v>440</v>
      </c>
      <c r="H33" s="57">
        <f t="shared" si="1"/>
        <v>2.6700649311244613E-2</v>
      </c>
      <c r="I33" s="67">
        <f>SUM($G$7:G33)</f>
        <v>6697</v>
      </c>
      <c r="J33" s="59">
        <f t="shared" si="5"/>
        <v>0.40639601917592089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51</v>
      </c>
      <c r="E34" s="68">
        <f t="shared" si="0"/>
        <v>5</v>
      </c>
      <c r="F34" s="55">
        <f t="shared" si="4"/>
        <v>58.28</v>
      </c>
      <c r="G34" s="56">
        <f>IF(D34=D33,"",_xlfn.IFNA(VLOOKUP(D34,'인원 입력 기능(사과탐)'!$F$64:$I$116,4,FALSE),0))</f>
        <v>356</v>
      </c>
      <c r="H34" s="57">
        <f t="shared" si="1"/>
        <v>2.1603252624552462E-2</v>
      </c>
      <c r="I34" s="67">
        <f>SUM($G$7:G34)</f>
        <v>7053</v>
      </c>
      <c r="J34" s="59">
        <f t="shared" si="5"/>
        <v>0.42799927180047331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50</v>
      </c>
      <c r="E35" s="68">
        <f t="shared" si="0"/>
        <v>5</v>
      </c>
      <c r="F35" s="55">
        <f t="shared" si="4"/>
        <v>56.06</v>
      </c>
      <c r="G35" s="56">
        <f>IF(D35=D34,"",_xlfn.IFNA(VLOOKUP(D35,'인원 입력 기능(사과탐)'!$F$64:$I$116,4,FALSE),0))</f>
        <v>375</v>
      </c>
      <c r="H35" s="57">
        <f t="shared" si="1"/>
        <v>2.2756235208447113E-2</v>
      </c>
      <c r="I35" s="67">
        <f>SUM($G$7:G35)</f>
        <v>7428</v>
      </c>
      <c r="J35" s="59">
        <f t="shared" si="5"/>
        <v>0.45075550700892042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212">
        <f t="shared" si="3"/>
        <v>49</v>
      </c>
      <c r="E36" s="212">
        <f t="shared" si="0"/>
        <v>5</v>
      </c>
      <c r="F36" s="199">
        <f t="shared" si="4"/>
        <v>52.59</v>
      </c>
      <c r="G36" s="196">
        <f>IF(D36=D35,"",_xlfn.IFNA(VLOOKUP(D36,'인원 입력 기능(사과탐)'!$F$64:$I$116,4,FALSE),0))</f>
        <v>768</v>
      </c>
      <c r="H36" s="192">
        <f t="shared" si="1"/>
        <v>4.6604769706899689E-2</v>
      </c>
      <c r="I36" s="189">
        <f>SUM($G$7:G36)</f>
        <v>8196</v>
      </c>
      <c r="J36" s="162">
        <f t="shared" si="5"/>
        <v>0.49736027671582012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211"/>
      <c r="E37" s="211"/>
      <c r="F37" s="198"/>
      <c r="G37" s="195"/>
      <c r="H37" s="194"/>
      <c r="I37" s="191"/>
      <c r="J37" s="188"/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48</v>
      </c>
      <c r="E38" s="68">
        <f t="shared" si="0"/>
        <v>5</v>
      </c>
      <c r="F38" s="55">
        <f t="shared" si="4"/>
        <v>48.93</v>
      </c>
      <c r="G38" s="56">
        <f>IF(D38=D37,"",_xlfn.IFNA(VLOOKUP(D38,'인원 입력 기능(사과탐)'!$F$64:$I$116,4,FALSE),0))</f>
        <v>439</v>
      </c>
      <c r="H38" s="57">
        <f t="shared" si="1"/>
        <v>2.6639966017355424E-2</v>
      </c>
      <c r="I38" s="67">
        <f>SUM($G$7:G38)</f>
        <v>8635</v>
      </c>
      <c r="J38" s="59">
        <f t="shared" si="5"/>
        <v>0.52400024273317558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47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5">
        <f t="shared" si="4"/>
        <v>46.47</v>
      </c>
      <c r="G39" s="56">
        <f>IF(D39=D38,"",_xlfn.IFNA(VLOOKUP(D39,'인원 입력 기능(사과탐)'!$F$64:$I$116,4,FALSE),0))</f>
        <v>374</v>
      </c>
      <c r="H39" s="57">
        <f t="shared" si="1"/>
        <v>2.2695551914557924E-2</v>
      </c>
      <c r="I39" s="67">
        <f>SUM($G$7:G39)</f>
        <v>9009</v>
      </c>
      <c r="J39" s="59">
        <f t="shared" si="5"/>
        <v>0.54669579464773344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46</v>
      </c>
      <c r="E40" s="68">
        <f t="shared" si="6"/>
        <v>5</v>
      </c>
      <c r="F40" s="55">
        <f t="shared" si="4"/>
        <v>44.06</v>
      </c>
      <c r="G40" s="56">
        <f>IF(D40=D39,"",_xlfn.IFNA(VLOOKUP(D40,'인원 입력 기능(사과탐)'!$F$64:$I$116,4,FALSE),0))</f>
        <v>420</v>
      </c>
      <c r="H40" s="57">
        <f t="shared" si="1"/>
        <v>2.5486983433460769E-2</v>
      </c>
      <c r="I40" s="67">
        <f>SUM($G$7:G40)</f>
        <v>9429</v>
      </c>
      <c r="J40" s="59">
        <f t="shared" si="5"/>
        <v>0.57218277808119422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212">
        <f t="shared" si="3"/>
        <v>45</v>
      </c>
      <c r="E41" s="212">
        <f t="shared" si="6"/>
        <v>5</v>
      </c>
      <c r="F41" s="199">
        <f t="shared" si="4"/>
        <v>40.020000000000003</v>
      </c>
      <c r="G41" s="196">
        <f>IF(D41=D40,"",_xlfn.IFNA(VLOOKUP(D41,'인원 입력 기능(사과탐)'!$F$64:$I$116,4,FALSE),0))</f>
        <v>910</v>
      </c>
      <c r="H41" s="192">
        <f t="shared" si="1"/>
        <v>5.5221797439164999E-2</v>
      </c>
      <c r="I41" s="189">
        <f>SUM($G$7:G41)</f>
        <v>10339</v>
      </c>
      <c r="J41" s="162">
        <f t="shared" si="5"/>
        <v>0.62740457552035922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211"/>
      <c r="E42" s="211"/>
      <c r="F42" s="198"/>
      <c r="G42" s="195"/>
      <c r="H42" s="194"/>
      <c r="I42" s="191"/>
      <c r="J42" s="188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44</v>
      </c>
      <c r="E43" s="68">
        <f t="shared" si="6"/>
        <v>6</v>
      </c>
      <c r="F43" s="55">
        <f t="shared" si="4"/>
        <v>35.79</v>
      </c>
      <c r="G43" s="56">
        <f>IF(D43=D42,"",_xlfn.IFNA(VLOOKUP(D43,'인원 입력 기능(사과탐)'!$F$64:$I$116,4,FALSE),0))</f>
        <v>484</v>
      </c>
      <c r="H43" s="57">
        <f t="shared" si="1"/>
        <v>2.9370714242369075E-2</v>
      </c>
      <c r="I43" s="67">
        <f>SUM($G$7:G43)</f>
        <v>10823</v>
      </c>
      <c r="J43" s="59">
        <f t="shared" si="5"/>
        <v>0.65677528976272836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43</v>
      </c>
      <c r="E44" s="68">
        <f t="shared" si="6"/>
        <v>6</v>
      </c>
      <c r="F44" s="55">
        <f t="shared" si="4"/>
        <v>32.909999999999997</v>
      </c>
      <c r="G44" s="56">
        <f>IF(D44=D43,"",_xlfn.IFNA(VLOOKUP(D44,'인원 입력 기능(사과탐)'!$F$64:$I$116,4,FALSE),0))</f>
        <v>466</v>
      </c>
      <c r="H44" s="57">
        <f t="shared" si="1"/>
        <v>2.8278414952363613E-2</v>
      </c>
      <c r="I44" s="67">
        <f>SUM($G$7:G44)</f>
        <v>11289</v>
      </c>
      <c r="J44" s="59">
        <f t="shared" si="5"/>
        <v>0.68505370471509197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42</v>
      </c>
      <c r="E45" s="68">
        <f t="shared" si="6"/>
        <v>6</v>
      </c>
      <c r="F45" s="55">
        <f t="shared" si="4"/>
        <v>29</v>
      </c>
      <c r="G45" s="56">
        <f>IF(D45=D44,"",_xlfn.IFNA(VLOOKUP(D45,'인원 입력 기능(사과탐)'!$F$64:$I$116,4,FALSE),0))</f>
        <v>821</v>
      </c>
      <c r="H45" s="57">
        <f t="shared" si="1"/>
        <v>4.9820984283026885E-2</v>
      </c>
      <c r="I45" s="67">
        <f>SUM($G$7:G45)</f>
        <v>12110</v>
      </c>
      <c r="J45" s="59">
        <f t="shared" si="5"/>
        <v>0.73487468899811881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41</v>
      </c>
      <c r="E46" s="68">
        <f t="shared" si="6"/>
        <v>6</v>
      </c>
      <c r="F46" s="55">
        <f t="shared" si="4"/>
        <v>25.07</v>
      </c>
      <c r="G46" s="56">
        <f>IF(D46=D45,"",_xlfn.IFNA(VLOOKUP(D46,'인원 입력 기능(사과탐)'!$F$64:$I$116,4,FALSE),0))</f>
        <v>476</v>
      </c>
      <c r="H46" s="57">
        <f t="shared" si="1"/>
        <v>2.8885247891255537E-2</v>
      </c>
      <c r="I46" s="67">
        <f>SUM($G$7:G46)</f>
        <v>12586</v>
      </c>
      <c r="J46" s="59">
        <f t="shared" si="5"/>
        <v>0.76375993688937438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212">
        <f t="shared" si="3"/>
        <v>40</v>
      </c>
      <c r="E47" s="212">
        <f t="shared" si="6"/>
        <v>6</v>
      </c>
      <c r="F47" s="199">
        <f t="shared" si="4"/>
        <v>17.670000000000002</v>
      </c>
      <c r="G47" s="196">
        <f>IF(D47=D46,"",_xlfn.IFNA(VLOOKUP(D47,'인원 입력 기능(사과탐)'!$F$64:$I$116,4,FALSE),0))</f>
        <v>1963</v>
      </c>
      <c r="H47" s="192">
        <f t="shared" si="1"/>
        <v>0.1191213059044845</v>
      </c>
      <c r="I47" s="189">
        <f>SUM($G$7:G47)</f>
        <v>14549</v>
      </c>
      <c r="J47" s="162">
        <f t="shared" si="5"/>
        <v>0.88288124279385882</v>
      </c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69">
        <v>9</v>
      </c>
      <c r="D48" s="211"/>
      <c r="E48" s="211"/>
      <c r="F48" s="198"/>
      <c r="G48" s="195"/>
      <c r="H48" s="194"/>
      <c r="I48" s="191"/>
      <c r="J48" s="188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39</v>
      </c>
      <c r="E49" s="68">
        <f t="shared" si="6"/>
        <v>7</v>
      </c>
      <c r="F49" s="55">
        <f t="shared" si="4"/>
        <v>10.77</v>
      </c>
      <c r="G49" s="56">
        <f>IF(D49=D48,"",_xlfn.IFNA(VLOOKUP(D49,'인원 입력 기능(사과탐)'!$F$64:$I$116,4,FALSE),0))</f>
        <v>312</v>
      </c>
      <c r="H49" s="57">
        <f t="shared" si="1"/>
        <v>1.8933187693428E-2</v>
      </c>
      <c r="I49" s="67">
        <f>SUM($G$7:G49)</f>
        <v>14861</v>
      </c>
      <c r="J49" s="59">
        <f t="shared" si="5"/>
        <v>0.90181443048728682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38</v>
      </c>
      <c r="E50" s="68">
        <f t="shared" si="6"/>
        <v>8</v>
      </c>
      <c r="F50" s="55">
        <f t="shared" si="4"/>
        <v>7.08</v>
      </c>
      <c r="G50" s="56">
        <f>IF(D50=D49,"",_xlfn.IFNA(VLOOKUP(D50,'인원 입력 기능(사과탐)'!$F$64:$I$116,4,FALSE),0))</f>
        <v>903</v>
      </c>
      <c r="H50" s="57">
        <f t="shared" si="1"/>
        <v>5.4797014381940651E-2</v>
      </c>
      <c r="I50" s="67">
        <f>SUM($G$7:G50)</f>
        <v>15764</v>
      </c>
      <c r="J50" s="59">
        <f t="shared" si="5"/>
        <v>0.95661144486922756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37</v>
      </c>
      <c r="E51" s="68">
        <f t="shared" si="6"/>
        <v>8</v>
      </c>
      <c r="F51" s="55">
        <f t="shared" si="4"/>
        <v>3.65</v>
      </c>
      <c r="G51" s="56">
        <f>IF(D51=D50,"",_xlfn.IFNA(VLOOKUP(D51,'인원 입력 기능(사과탐)'!$F$64:$I$116,4,FALSE),0))</f>
        <v>226</v>
      </c>
      <c r="H51" s="57">
        <f t="shared" si="1"/>
        <v>1.3714424418957462E-2</v>
      </c>
      <c r="I51" s="67">
        <f>SUM($G$7:G51)</f>
        <v>15990</v>
      </c>
      <c r="J51" s="59">
        <f t="shared" si="5"/>
        <v>0.97032586928818498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212">
        <f t="shared" si="3"/>
        <v>36</v>
      </c>
      <c r="E52" s="212">
        <f t="shared" si="6"/>
        <v>9</v>
      </c>
      <c r="F52" s="199">
        <f t="shared" si="4"/>
        <v>2.0499999999999998</v>
      </c>
      <c r="G52" s="196">
        <f>IF(D52=D51,"",_xlfn.IFNA(VLOOKUP(D52,'인원 입력 기능(사과탐)'!$F$64:$I$116,4,FALSE),0))</f>
        <v>301</v>
      </c>
      <c r="H52" s="192">
        <f t="shared" si="1"/>
        <v>1.8265671460646882E-2</v>
      </c>
      <c r="I52" s="189">
        <f>SUM($G$7:G52)</f>
        <v>16291</v>
      </c>
      <c r="J52" s="162">
        <f t="shared" si="5"/>
        <v>0.98859154074883182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211"/>
      <c r="E53" s="211"/>
      <c r="F53" s="198"/>
      <c r="G53" s="195"/>
      <c r="H53" s="194"/>
      <c r="I53" s="191"/>
      <c r="J53" s="188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35</v>
      </c>
      <c r="E54" s="54">
        <f t="shared" si="6"/>
        <v>9</v>
      </c>
      <c r="F54" s="55">
        <f t="shared" si="4"/>
        <v>0.92</v>
      </c>
      <c r="G54" s="56">
        <f>IF(D54=D53,"",_xlfn.IFNA(VLOOKUP(D54,'인원 입력 기능(사과탐)'!$F$64:$I$116,4,FALSE),0))</f>
        <v>74</v>
      </c>
      <c r="H54" s="57">
        <f t="shared" si="1"/>
        <v>4.490563747800231E-3</v>
      </c>
      <c r="I54" s="67">
        <f>SUM($G$7:G54)</f>
        <v>16365</v>
      </c>
      <c r="J54" s="59">
        <f t="shared" si="5"/>
        <v>0.99308210449663203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34</v>
      </c>
      <c r="E55" s="54">
        <f t="shared" si="6"/>
        <v>9</v>
      </c>
      <c r="F55" s="55">
        <f t="shared" si="4"/>
        <v>0.46</v>
      </c>
      <c r="G55" s="56">
        <f>IF(D55=D54,"",_xlfn.IFNA(VLOOKUP(D55,'인원 입력 기능(사과탐)'!$F$64:$I$116,4,FALSE),0))</f>
        <v>78</v>
      </c>
      <c r="H55" s="57">
        <f t="shared" si="1"/>
        <v>4.7332969233569999E-3</v>
      </c>
      <c r="I55" s="67">
        <f>SUM($G$7:G55)</f>
        <v>16443</v>
      </c>
      <c r="J55" s="59">
        <f t="shared" si="5"/>
        <v>0.99781540141998903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32</v>
      </c>
      <c r="E57" s="109">
        <f t="shared" si="6"/>
        <v>9</v>
      </c>
      <c r="F57" s="74">
        <f>IF(I55=0,ROUND(100*(1-(I54+I57)/2/$J$3),2),ROUND(100*(1-(I55+I57)/2/$J$3),2))</f>
        <v>0.11</v>
      </c>
      <c r="G57" s="110">
        <f>_xlfn.IFNA(VLOOKUP(D57,'인원 입력 기능(사과탐)'!$F$64:$I$116,4,FALSE),0)</f>
        <v>36</v>
      </c>
      <c r="H57" s="76">
        <f>G57/$J$3</f>
        <v>2.1845985800109228E-3</v>
      </c>
      <c r="I57" s="77">
        <f>SUM($G$7:G57)</f>
        <v>16479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8">
    <mergeCell ref="I47:I48"/>
    <mergeCell ref="J47:J48"/>
    <mergeCell ref="D52:D53"/>
    <mergeCell ref="E52:E53"/>
    <mergeCell ref="F52:F53"/>
    <mergeCell ref="G52:G53"/>
    <mergeCell ref="H52:H53"/>
    <mergeCell ref="I52:I53"/>
    <mergeCell ref="J52:J53"/>
    <mergeCell ref="D47:D48"/>
    <mergeCell ref="E47:E48"/>
    <mergeCell ref="F47:F48"/>
    <mergeCell ref="G47:G48"/>
    <mergeCell ref="H47:H48"/>
    <mergeCell ref="I36:I37"/>
    <mergeCell ref="J36:J37"/>
    <mergeCell ref="D41:D42"/>
    <mergeCell ref="E41:E42"/>
    <mergeCell ref="F41:F42"/>
    <mergeCell ref="G41:G42"/>
    <mergeCell ref="H41:H42"/>
    <mergeCell ref="I41:I42"/>
    <mergeCell ref="J41:J42"/>
    <mergeCell ref="D36:D37"/>
    <mergeCell ref="E36:E37"/>
    <mergeCell ref="F36:F37"/>
    <mergeCell ref="G36:G37"/>
    <mergeCell ref="H36:H37"/>
    <mergeCell ref="I25:I26"/>
    <mergeCell ref="J25:J26"/>
    <mergeCell ref="D30:D31"/>
    <mergeCell ref="E30:E31"/>
    <mergeCell ref="F30:F31"/>
    <mergeCell ref="G30:G31"/>
    <mergeCell ref="H30:H31"/>
    <mergeCell ref="I30:I31"/>
    <mergeCell ref="J30:J31"/>
    <mergeCell ref="D25:D26"/>
    <mergeCell ref="E25:E26"/>
    <mergeCell ref="F25:F26"/>
    <mergeCell ref="G25:G26"/>
    <mergeCell ref="H25:H26"/>
    <mergeCell ref="G14:G15"/>
    <mergeCell ref="H14:H15"/>
    <mergeCell ref="I14:I15"/>
    <mergeCell ref="J14:J15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14:D15"/>
    <mergeCell ref="E14:E15"/>
    <mergeCell ref="F14:F15"/>
  </mergeCells>
  <phoneticPr fontId="1" type="noConversion"/>
  <conditionalFormatting sqref="D7:G14 I7:J14 D16:G19 I16:J19 D21:G25 I21:J25 D27:G30 I27:J30 D32:G36 I32:J36 D38:G41 I38:J41 D43:G47 I43:J47 D49:G52 I49:J52 D54:G57 I54:J57">
    <cfRule type="expression" dxfId="54" priority="4">
      <formula>OR($D7=$Q$7:$Q$14)</formula>
    </cfRule>
  </conditionalFormatting>
  <conditionalFormatting sqref="C7:C57">
    <cfRule type="expression" dxfId="53" priority="3">
      <formula>OR(AND($D7=0,OR($D6=$Q$7:$Q$14)),AND($D8&gt;0,OR($D7=$Q$7:$Q$14)))</formula>
    </cfRule>
  </conditionalFormatting>
  <conditionalFormatting sqref="D7:D14 D16:D19 D21:D25 D27:D30 D32:D36 D38:D41 D43:D47 D49:D52 D54:D57">
    <cfRule type="expression" dxfId="52" priority="2">
      <formula>$D7=$D8</formula>
    </cfRule>
  </conditionalFormatting>
  <conditionalFormatting sqref="H7:H14 H16:H19 H21:H25 H27:H30 H32:H36 H38:H41 H43:H47 H49:H52 H54:H57">
    <cfRule type="expression" dxfId="51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6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기능'!D14</f>
        <v>19.88</v>
      </c>
      <c r="I3" s="21" t="s">
        <v>124</v>
      </c>
      <c r="J3" s="81">
        <f>'통계 및 응시자 수 입력 기능'!C14</f>
        <v>10243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150</v>
      </c>
      <c r="E4" s="153"/>
      <c r="F4" s="154"/>
      <c r="G4" s="83" t="s">
        <v>127</v>
      </c>
      <c r="H4" s="84" t="str">
        <f>'통계 및 응시자 수 입력 기능'!E14</f>
        <v>11.45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76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99.5</v>
      </c>
      <c r="G7" s="56">
        <f>_xlfn.IFNA(VLOOKUP(D7,'인원 입력 기능(사과탐)'!$K$64:$N$116,4,FALSE),0)</f>
        <v>102</v>
      </c>
      <c r="H7" s="57">
        <f>G7/$J$3</f>
        <v>9.9580201112955194E-3</v>
      </c>
      <c r="I7" s="58">
        <f>G7</f>
        <v>102</v>
      </c>
      <c r="J7" s="59">
        <f>I7/$J$3</f>
        <v>9.9580201112955194E-3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기능'!C94</f>
        <v>71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기능'!C95</f>
        <v>65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75</v>
      </c>
      <c r="E9" s="54">
        <f t="shared" si="0"/>
        <v>1</v>
      </c>
      <c r="F9" s="55">
        <f>IF(I8=0,ROUND(100*(1-(I7+I9)/2/$J$3),2),ROUND(100*(1-(I8+I9)/2/$J$3),2))</f>
        <v>98.65</v>
      </c>
      <c r="G9" s="56">
        <f>_xlfn.IFNA(VLOOKUP(D9,'인원 입력 기능(사과탐)'!$K$64:$N$116,4,FALSE),0)</f>
        <v>72</v>
      </c>
      <c r="H9" s="57">
        <f t="shared" ref="H9:H55" si="1">G9/$J$3</f>
        <v>7.0291906667968368E-3</v>
      </c>
      <c r="I9" s="67">
        <f>SUM($G$7:G9)</f>
        <v>174</v>
      </c>
      <c r="J9" s="59">
        <f>I9/$J$3</f>
        <v>1.6987210778092357E-2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기능'!C96</f>
        <v>57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74</v>
      </c>
      <c r="E10" s="54">
        <f t="shared" si="0"/>
        <v>1</v>
      </c>
      <c r="F10" s="55">
        <f t="shared" ref="F10:F55" si="4">IF(I9=0,ROUND(100*(1-(I8+I10)/2/$J$3),2),ROUND(100*(1-(I9+I10)/2/$J$3),2))</f>
        <v>97.85</v>
      </c>
      <c r="G10" s="56">
        <f>IF(D10=D9,"",_xlfn.IFNA(VLOOKUP(D10,'인원 입력 기능(사과탐)'!$K$64:$N$116,4,FALSE),0))</f>
        <v>92</v>
      </c>
      <c r="H10" s="57">
        <f t="shared" si="1"/>
        <v>8.9817436297959588E-3</v>
      </c>
      <c r="I10" s="67">
        <f>SUM($G$7:G10)</f>
        <v>266</v>
      </c>
      <c r="J10" s="59">
        <f t="shared" ref="J10:J55" si="5">I10/$J$3</f>
        <v>2.5968954407888312E-2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기능'!C97</f>
        <v>50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73</v>
      </c>
      <c r="E11" s="54">
        <f t="shared" si="0"/>
        <v>1</v>
      </c>
      <c r="F11" s="55">
        <f t="shared" si="4"/>
        <v>97.26</v>
      </c>
      <c r="G11" s="56">
        <f>IF(D11=D10,"",_xlfn.IFNA(VLOOKUP(D11,'인원 입력 기능(사과탐)'!$K$64:$N$116,4,FALSE),0))</f>
        <v>30</v>
      </c>
      <c r="H11" s="57">
        <f t="shared" si="1"/>
        <v>2.9288294444986822E-3</v>
      </c>
      <c r="I11" s="67">
        <f>SUM($G$7:G11)</f>
        <v>296</v>
      </c>
      <c r="J11" s="59">
        <f t="shared" si="5"/>
        <v>2.8897783852386998E-2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기능'!C98</f>
        <v>44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72</v>
      </c>
      <c r="E12" s="54">
        <f t="shared" si="0"/>
        <v>1</v>
      </c>
      <c r="F12" s="55">
        <f t="shared" si="4"/>
        <v>96.63</v>
      </c>
      <c r="G12" s="56">
        <f>IF(D12=D11,"",_xlfn.IFNA(VLOOKUP(D12,'인원 입력 기능(사과탐)'!$K$64:$N$116,4,FALSE),0))</f>
        <v>98</v>
      </c>
      <c r="H12" s="57">
        <f t="shared" si="1"/>
        <v>9.5675095186956941E-3</v>
      </c>
      <c r="I12" s="67">
        <f>SUM($G$7:G12)</f>
        <v>394</v>
      </c>
      <c r="J12" s="59">
        <f t="shared" si="5"/>
        <v>3.846529337108269E-2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기능'!C99</f>
        <v>41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71</v>
      </c>
      <c r="E13" s="54">
        <f t="shared" si="0"/>
        <v>1</v>
      </c>
      <c r="F13" s="55">
        <f t="shared" si="4"/>
        <v>95.77</v>
      </c>
      <c r="G13" s="56">
        <f>IF(D13=D12,"",_xlfn.IFNA(VLOOKUP(D13,'인원 입력 기능(사과탐)'!$K$64:$N$116,4,FALSE),0))</f>
        <v>78</v>
      </c>
      <c r="H13" s="57">
        <f t="shared" si="1"/>
        <v>7.6149565556965729E-3</v>
      </c>
      <c r="I13" s="67">
        <f>SUM($G$7:G13)</f>
        <v>472</v>
      </c>
      <c r="J13" s="59">
        <f t="shared" si="5"/>
        <v>4.6080249926779261E-2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기능'!C100</f>
        <v>40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70</v>
      </c>
      <c r="E14" s="54">
        <f t="shared" si="0"/>
        <v>2</v>
      </c>
      <c r="F14" s="55">
        <f t="shared" si="4"/>
        <v>94.95</v>
      </c>
      <c r="G14" s="56">
        <f>IF(D14=D13,"",_xlfn.IFNA(VLOOKUP(D14,'인원 입력 기능(사과탐)'!$K$64:$N$116,4,FALSE),0))</f>
        <v>90</v>
      </c>
      <c r="H14" s="57">
        <f t="shared" si="1"/>
        <v>8.7864883334960453E-3</v>
      </c>
      <c r="I14" s="67">
        <f>SUM($G$7:G14)</f>
        <v>562</v>
      </c>
      <c r="J14" s="59">
        <f t="shared" si="5"/>
        <v>5.4866738260275313E-2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기능'!C101</f>
        <v>38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69</v>
      </c>
      <c r="E15" s="54">
        <f t="shared" si="0"/>
        <v>2</v>
      </c>
      <c r="F15" s="55">
        <f t="shared" si="4"/>
        <v>93.96</v>
      </c>
      <c r="G15" s="56">
        <f>IF(D15=D14,"",_xlfn.IFNA(VLOOKUP(D15,'인원 입력 기능(사과탐)'!$K$64:$N$116,4,FALSE),0))</f>
        <v>114</v>
      </c>
      <c r="H15" s="57">
        <f t="shared" si="1"/>
        <v>1.1129551889094992E-2</v>
      </c>
      <c r="I15" s="67">
        <f>SUM($G$7:G15)</f>
        <v>676</v>
      </c>
      <c r="J15" s="59">
        <f t="shared" si="5"/>
        <v>6.5996290149370307E-2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202">
        <f t="shared" si="3"/>
        <v>68</v>
      </c>
      <c r="E16" s="202">
        <f t="shared" si="0"/>
        <v>2</v>
      </c>
      <c r="F16" s="199">
        <f t="shared" si="4"/>
        <v>92.46</v>
      </c>
      <c r="G16" s="196">
        <f>IF(D16=D15,"",_xlfn.IFNA(VLOOKUP(D16,'인원 입력 기능(사과탐)'!$K$64:$N$116,4,FALSE),0))</f>
        <v>193</v>
      </c>
      <c r="H16" s="192">
        <f t="shared" si="1"/>
        <v>1.8842136092941521E-2</v>
      </c>
      <c r="I16" s="189">
        <f>SUM($G$7:G16)</f>
        <v>869</v>
      </c>
      <c r="J16" s="162">
        <f t="shared" si="5"/>
        <v>8.4838426242311818E-2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201"/>
      <c r="E17" s="201"/>
      <c r="F17" s="198"/>
      <c r="G17" s="195"/>
      <c r="H17" s="194"/>
      <c r="I17" s="191"/>
      <c r="J17" s="188"/>
      <c r="K17" s="36"/>
      <c r="L17" s="20" t="str">
        <f t="shared" si="2"/>
        <v>경고</v>
      </c>
      <c r="N17" s="24"/>
      <c r="Q17" s="24">
        <f>Q7*H3*H4*J3*IFERROR(IF(J57=1, 1, 0), 0)</f>
        <v>165541691.37799999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67</v>
      </c>
      <c r="E18" s="54">
        <f t="shared" si="0"/>
        <v>2</v>
      </c>
      <c r="F18" s="55">
        <f t="shared" si="4"/>
        <v>90.97</v>
      </c>
      <c r="G18" s="56">
        <f>IF(D18=D17,"",_xlfn.IFNA(VLOOKUP(D18,'인원 입력 기능(사과탐)'!$K$64:$N$116,4,FALSE),0))</f>
        <v>111</v>
      </c>
      <c r="H18" s="57">
        <f t="shared" si="1"/>
        <v>1.0836668944645123E-2</v>
      </c>
      <c r="I18" s="67">
        <f>SUM($G$7:G18)</f>
        <v>980</v>
      </c>
      <c r="J18" s="59">
        <f t="shared" si="5"/>
        <v>9.5675095186956952E-2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66</v>
      </c>
      <c r="E19" s="54">
        <f t="shared" si="0"/>
        <v>2</v>
      </c>
      <c r="F19" s="55">
        <f t="shared" si="4"/>
        <v>89.86</v>
      </c>
      <c r="G19" s="56">
        <f>IF(D19=D18,"",_xlfn.IFNA(VLOOKUP(D19,'인원 입력 기능(사과탐)'!$K$64:$N$116,4,FALSE),0))</f>
        <v>118</v>
      </c>
      <c r="H19" s="57">
        <f t="shared" si="1"/>
        <v>1.1520062481694815E-2</v>
      </c>
      <c r="I19" s="67">
        <f>SUM($G$7:G19)</f>
        <v>1098</v>
      </c>
      <c r="J19" s="59">
        <f t="shared" si="5"/>
        <v>0.10719515766865176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65</v>
      </c>
      <c r="E20" s="54">
        <f t="shared" si="0"/>
        <v>2</v>
      </c>
      <c r="F20" s="55">
        <f t="shared" si="4"/>
        <v>88.6</v>
      </c>
      <c r="G20" s="56">
        <f>IF(D20=D19,"",_xlfn.IFNA(VLOOKUP(D20,'인원 입력 기능(사과탐)'!$K$64:$N$116,4,FALSE),0))</f>
        <v>139</v>
      </c>
      <c r="H20" s="57">
        <f t="shared" si="1"/>
        <v>1.3570243092843893E-2</v>
      </c>
      <c r="I20" s="67">
        <f>SUM($G$7:G20)</f>
        <v>1237</v>
      </c>
      <c r="J20" s="59">
        <f t="shared" si="5"/>
        <v>0.12076540076149565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64</v>
      </c>
      <c r="E21" s="68">
        <f t="shared" si="0"/>
        <v>3</v>
      </c>
      <c r="F21" s="55">
        <f t="shared" si="4"/>
        <v>87.47</v>
      </c>
      <c r="G21" s="56">
        <f>IF(D21=D20,"",_xlfn.IFNA(VLOOKUP(D21,'인원 입력 기능(사과탐)'!$K$64:$N$116,4,FALSE),0))</f>
        <v>92</v>
      </c>
      <c r="H21" s="57">
        <f t="shared" si="1"/>
        <v>8.9817436297959588E-3</v>
      </c>
      <c r="I21" s="67">
        <f>SUM($G$7:G21)</f>
        <v>1329</v>
      </c>
      <c r="J21" s="59">
        <f t="shared" si="5"/>
        <v>0.12974714439129162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63</v>
      </c>
      <c r="E22" s="68">
        <f t="shared" si="0"/>
        <v>3</v>
      </c>
      <c r="F22" s="55">
        <f t="shared" si="4"/>
        <v>86.4</v>
      </c>
      <c r="G22" s="56">
        <f>IF(D22=D21,"",_xlfn.IFNA(VLOOKUP(D22,'인원 입력 기능(사과탐)'!$K$64:$N$116,4,FALSE),0))</f>
        <v>129</v>
      </c>
      <c r="H22" s="57">
        <f t="shared" si="1"/>
        <v>1.2593966611344333E-2</v>
      </c>
      <c r="I22" s="67">
        <f>SUM($G$7:G22)</f>
        <v>1458</v>
      </c>
      <c r="J22" s="59">
        <f t="shared" si="5"/>
        <v>0.14234111100263594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62</v>
      </c>
      <c r="E23" s="68">
        <f t="shared" si="0"/>
        <v>3</v>
      </c>
      <c r="F23" s="55">
        <f t="shared" si="4"/>
        <v>85.09</v>
      </c>
      <c r="G23" s="56">
        <f>IF(D23=D22,"",_xlfn.IFNA(VLOOKUP(D23,'인원 입력 기능(사과탐)'!$K$64:$N$116,4,FALSE),0))</f>
        <v>138</v>
      </c>
      <c r="H23" s="57">
        <f t="shared" si="1"/>
        <v>1.3472615444693936E-2</v>
      </c>
      <c r="I23" s="67">
        <f>SUM($G$7:G23)</f>
        <v>1596</v>
      </c>
      <c r="J23" s="59">
        <f t="shared" si="5"/>
        <v>0.15581372644732988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212">
        <f t="shared" si="3"/>
        <v>61</v>
      </c>
      <c r="E24" s="212">
        <f t="shared" si="0"/>
        <v>3</v>
      </c>
      <c r="F24" s="199">
        <f t="shared" si="4"/>
        <v>83.02</v>
      </c>
      <c r="G24" s="196">
        <f>IF(D24=D23,"",_xlfn.IFNA(VLOOKUP(D24,'인원 입력 기능(사과탐)'!$K$64:$N$116,4,FALSE),0))</f>
        <v>286</v>
      </c>
      <c r="H24" s="192">
        <f t="shared" si="1"/>
        <v>2.7921507370887437E-2</v>
      </c>
      <c r="I24" s="189">
        <f>SUM($G$7:G24)</f>
        <v>1882</v>
      </c>
      <c r="J24" s="162">
        <f t="shared" si="5"/>
        <v>0.18373523381821733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211"/>
      <c r="E25" s="211"/>
      <c r="F25" s="198"/>
      <c r="G25" s="195"/>
      <c r="H25" s="194"/>
      <c r="I25" s="191"/>
      <c r="J25" s="188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60</v>
      </c>
      <c r="E26" s="68">
        <f t="shared" si="0"/>
        <v>3</v>
      </c>
      <c r="F26" s="55">
        <f t="shared" si="4"/>
        <v>80.930000000000007</v>
      </c>
      <c r="G26" s="56">
        <f>IF(D26=D25,"",_xlfn.IFNA(VLOOKUP(D26,'인원 입력 기능(사과탐)'!$K$64:$N$116,4,FALSE),0))</f>
        <v>142</v>
      </c>
      <c r="H26" s="57">
        <f t="shared" si="1"/>
        <v>1.3863126037293762E-2</v>
      </c>
      <c r="I26" s="67">
        <f>SUM($G$7:G26)</f>
        <v>2024</v>
      </c>
      <c r="J26" s="59">
        <f t="shared" si="5"/>
        <v>0.19759835985551108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59</v>
      </c>
      <c r="E27" s="68">
        <f t="shared" si="0"/>
        <v>3</v>
      </c>
      <c r="F27" s="55">
        <f t="shared" si="4"/>
        <v>79.56</v>
      </c>
      <c r="G27" s="56">
        <f>IF(D27=D26,"",_xlfn.IFNA(VLOOKUP(D27,'인원 입력 기능(사과탐)'!$K$64:$N$116,4,FALSE),0))</f>
        <v>140</v>
      </c>
      <c r="H27" s="57">
        <f t="shared" si="1"/>
        <v>1.366787074099385E-2</v>
      </c>
      <c r="I27" s="67">
        <f>SUM($G$7:G27)</f>
        <v>2164</v>
      </c>
      <c r="J27" s="59">
        <f t="shared" si="5"/>
        <v>0.21126623059650493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58</v>
      </c>
      <c r="E28" s="68">
        <f t="shared" si="0"/>
        <v>3</v>
      </c>
      <c r="F28" s="55">
        <f t="shared" si="4"/>
        <v>78.14</v>
      </c>
      <c r="G28" s="56">
        <f>IF(D28=D27,"",_xlfn.IFNA(VLOOKUP(D28,'인원 입력 기능(사과탐)'!$K$64:$N$116,4,FALSE),0))</f>
        <v>150</v>
      </c>
      <c r="H28" s="57">
        <f t="shared" si="1"/>
        <v>1.4644147222493411E-2</v>
      </c>
      <c r="I28" s="67">
        <f>SUM($G$7:G28)</f>
        <v>2314</v>
      </c>
      <c r="J28" s="59">
        <f t="shared" si="5"/>
        <v>0.22591037781899834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57</v>
      </c>
      <c r="E29" s="68">
        <f t="shared" si="0"/>
        <v>3</v>
      </c>
      <c r="F29" s="55">
        <f t="shared" si="4"/>
        <v>76.52</v>
      </c>
      <c r="G29" s="56">
        <f>IF(D29=D28,"",_xlfn.IFNA(VLOOKUP(D29,'인원 입력 기능(사과탐)'!$K$64:$N$116,4,FALSE),0))</f>
        <v>182</v>
      </c>
      <c r="H29" s="57">
        <f t="shared" si="1"/>
        <v>1.7768231963292004E-2</v>
      </c>
      <c r="I29" s="67">
        <f>SUM($G$7:G29)</f>
        <v>2496</v>
      </c>
      <c r="J29" s="59">
        <f t="shared" si="5"/>
        <v>0.24367860978229033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56</v>
      </c>
      <c r="E30" s="68">
        <f t="shared" si="0"/>
        <v>4</v>
      </c>
      <c r="F30" s="55">
        <f t="shared" si="4"/>
        <v>74.62</v>
      </c>
      <c r="G30" s="56">
        <f>IF(D30=D29,"",_xlfn.IFNA(VLOOKUP(D30,'인원 입력 기능(사과탐)'!$K$64:$N$116,4,FALSE),0))</f>
        <v>208</v>
      </c>
      <c r="H30" s="57">
        <f t="shared" si="1"/>
        <v>2.0306550815190862E-2</v>
      </c>
      <c r="I30" s="67">
        <f>SUM($G$7:G30)</f>
        <v>2704</v>
      </c>
      <c r="J30" s="59">
        <f t="shared" si="5"/>
        <v>0.26398516059748123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55</v>
      </c>
      <c r="E31" s="68">
        <f t="shared" si="0"/>
        <v>4</v>
      </c>
      <c r="F31" s="55">
        <f t="shared" si="4"/>
        <v>72.73</v>
      </c>
      <c r="G31" s="56">
        <f>IF(D31=D30,"",_xlfn.IFNA(VLOOKUP(D31,'인원 입력 기능(사과탐)'!$K$64:$N$116,4,FALSE),0))</f>
        <v>179</v>
      </c>
      <c r="H31" s="57">
        <f t="shared" si="1"/>
        <v>1.7475349018842137E-2</v>
      </c>
      <c r="I31" s="67">
        <f>SUM($G$7:G31)</f>
        <v>2883</v>
      </c>
      <c r="J31" s="59">
        <f t="shared" si="5"/>
        <v>0.28146050961632335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212">
        <f t="shared" si="3"/>
        <v>54</v>
      </c>
      <c r="E32" s="212">
        <f t="shared" si="0"/>
        <v>4</v>
      </c>
      <c r="F32" s="199">
        <f t="shared" si="4"/>
        <v>70.03</v>
      </c>
      <c r="G32" s="196">
        <f>IF(D32=D31,"",_xlfn.IFNA(VLOOKUP(D32,'인원 입력 기능(사과탐)'!$K$64:$N$116,4,FALSE),0))</f>
        <v>374</v>
      </c>
      <c r="H32" s="192">
        <f t="shared" si="1"/>
        <v>3.6512740408083569E-2</v>
      </c>
      <c r="I32" s="189">
        <f>SUM($G$7:G32)</f>
        <v>3257</v>
      </c>
      <c r="J32" s="162">
        <f t="shared" si="5"/>
        <v>0.31797325002440691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211"/>
      <c r="E33" s="211"/>
      <c r="F33" s="198"/>
      <c r="G33" s="195"/>
      <c r="H33" s="194"/>
      <c r="I33" s="191"/>
      <c r="J33" s="188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53</v>
      </c>
      <c r="E34" s="68">
        <f t="shared" si="0"/>
        <v>4</v>
      </c>
      <c r="F34" s="55">
        <f t="shared" si="4"/>
        <v>67.28</v>
      </c>
      <c r="G34" s="56">
        <f>IF(D34=D33,"",_xlfn.IFNA(VLOOKUP(D34,'인원 입력 기능(사과탐)'!$K$64:$N$116,4,FALSE),0))</f>
        <v>188</v>
      </c>
      <c r="H34" s="57">
        <f t="shared" si="1"/>
        <v>1.8353997852191741E-2</v>
      </c>
      <c r="I34" s="67">
        <f>SUM($G$7:G34)</f>
        <v>3445</v>
      </c>
      <c r="J34" s="59">
        <f t="shared" si="5"/>
        <v>0.33632724787659868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52</v>
      </c>
      <c r="E35" s="68">
        <f t="shared" si="0"/>
        <v>4</v>
      </c>
      <c r="F35" s="55">
        <f t="shared" si="4"/>
        <v>65.150000000000006</v>
      </c>
      <c r="G35" s="56">
        <f>IF(D35=D34,"",_xlfn.IFNA(VLOOKUP(D35,'인원 입력 기능(사과탐)'!$K$64:$N$116,4,FALSE),0))</f>
        <v>249</v>
      </c>
      <c r="H35" s="57">
        <f t="shared" si="1"/>
        <v>2.4309284389339061E-2</v>
      </c>
      <c r="I35" s="67">
        <f>SUM($G$7:G35)</f>
        <v>3694</v>
      </c>
      <c r="J35" s="59">
        <f t="shared" si="5"/>
        <v>0.36063653226593773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51</v>
      </c>
      <c r="E36" s="68">
        <f t="shared" si="0"/>
        <v>4</v>
      </c>
      <c r="F36" s="55">
        <f t="shared" si="4"/>
        <v>62.75</v>
      </c>
      <c r="G36" s="56">
        <f>IF(D36=D35,"",_xlfn.IFNA(VLOOKUP(D36,'인원 입력 기능(사과탐)'!$K$64:$N$116,4,FALSE),0))</f>
        <v>243</v>
      </c>
      <c r="H36" s="57">
        <f t="shared" si="1"/>
        <v>2.3723518500439324E-2</v>
      </c>
      <c r="I36" s="67">
        <f>SUM($G$7:G36)</f>
        <v>3937</v>
      </c>
      <c r="J36" s="59">
        <f t="shared" si="5"/>
        <v>0.38436005076637703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50</v>
      </c>
      <c r="E37" s="68">
        <f t="shared" si="0"/>
        <v>4</v>
      </c>
      <c r="F37" s="55">
        <f t="shared" si="4"/>
        <v>60.35</v>
      </c>
      <c r="G37" s="56">
        <f>IF(D37=D36,"",_xlfn.IFNA(VLOOKUP(D37,'인원 입력 기능(사과탐)'!$K$64:$N$116,4,FALSE),0))</f>
        <v>249</v>
      </c>
      <c r="H37" s="57">
        <f t="shared" si="1"/>
        <v>2.4309284389339061E-2</v>
      </c>
      <c r="I37" s="67">
        <f>SUM($G$7:G37)</f>
        <v>4186</v>
      </c>
      <c r="J37" s="59">
        <f t="shared" si="5"/>
        <v>0.40866933515571607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49</v>
      </c>
      <c r="E38" s="68">
        <f t="shared" si="0"/>
        <v>5</v>
      </c>
      <c r="F38" s="55">
        <f t="shared" si="4"/>
        <v>57.93</v>
      </c>
      <c r="G38" s="56">
        <f>IF(D38=D37,"",_xlfn.IFNA(VLOOKUP(D38,'인원 입력 기능(사과탐)'!$K$64:$N$116,4,FALSE),0))</f>
        <v>246</v>
      </c>
      <c r="H38" s="57">
        <f t="shared" si="1"/>
        <v>2.4016401444889191E-2</v>
      </c>
      <c r="I38" s="67">
        <f>SUM($G$7:G38)</f>
        <v>4432</v>
      </c>
      <c r="J38" s="59">
        <f t="shared" si="5"/>
        <v>0.43268573660060528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48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5">
        <f t="shared" si="4"/>
        <v>55.29</v>
      </c>
      <c r="G39" s="56">
        <f>IF(D39=D38,"",_xlfn.IFNA(VLOOKUP(D39,'인원 입력 기능(사과탐)'!$K$64:$N$116,4,FALSE),0))</f>
        <v>296</v>
      </c>
      <c r="H39" s="57">
        <f t="shared" si="1"/>
        <v>2.8897783852386998E-2</v>
      </c>
      <c r="I39" s="67">
        <f>SUM($G$7:G39)</f>
        <v>4728</v>
      </c>
      <c r="J39" s="59">
        <f t="shared" si="5"/>
        <v>0.46158352045299228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212">
        <f t="shared" si="3"/>
        <v>47</v>
      </c>
      <c r="E40" s="212">
        <f t="shared" si="6"/>
        <v>5</v>
      </c>
      <c r="F40" s="199">
        <f t="shared" si="4"/>
        <v>51.03</v>
      </c>
      <c r="G40" s="196">
        <f>IF(D40=D39,"",_xlfn.IFNA(VLOOKUP(D40,'인원 입력 기능(사과탐)'!$K$64:$N$116,4,FALSE),0))</f>
        <v>576</v>
      </c>
      <c r="H40" s="192">
        <f t="shared" si="1"/>
        <v>5.6233525334374694E-2</v>
      </c>
      <c r="I40" s="189">
        <f>SUM($G$7:G40)</f>
        <v>5304</v>
      </c>
      <c r="J40" s="162">
        <f t="shared" si="5"/>
        <v>0.51781704578736698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211"/>
      <c r="E41" s="211"/>
      <c r="F41" s="198"/>
      <c r="G41" s="195"/>
      <c r="H41" s="194"/>
      <c r="I41" s="191"/>
      <c r="J41" s="188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46</v>
      </c>
      <c r="E42" s="68">
        <f t="shared" si="6"/>
        <v>5</v>
      </c>
      <c r="F42" s="55">
        <f t="shared" si="4"/>
        <v>46.47</v>
      </c>
      <c r="G42" s="56">
        <f>IF(D42=D41,"",_xlfn.IFNA(VLOOKUP(D42,'인원 입력 기능(사과탐)'!$K$64:$N$116,4,FALSE),0))</f>
        <v>359</v>
      </c>
      <c r="H42" s="57">
        <f t="shared" si="1"/>
        <v>3.5048325685834228E-2</v>
      </c>
      <c r="I42" s="67">
        <f>SUM($G$7:G42)</f>
        <v>5663</v>
      </c>
      <c r="J42" s="59">
        <f t="shared" si="5"/>
        <v>0.55286537147320125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45</v>
      </c>
      <c r="E43" s="68">
        <f t="shared" si="6"/>
        <v>5</v>
      </c>
      <c r="F43" s="55">
        <f t="shared" si="4"/>
        <v>43.01</v>
      </c>
      <c r="G43" s="56">
        <f>IF(D43=D42,"",_xlfn.IFNA(VLOOKUP(D43,'인원 입력 기능(사과탐)'!$K$64:$N$116,4,FALSE),0))</f>
        <v>349</v>
      </c>
      <c r="H43" s="57">
        <f t="shared" si="1"/>
        <v>3.4072049204334667E-2</v>
      </c>
      <c r="I43" s="67">
        <f>SUM($G$7:G43)</f>
        <v>6012</v>
      </c>
      <c r="J43" s="59">
        <f t="shared" si="5"/>
        <v>0.58693742067753585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44</v>
      </c>
      <c r="E44" s="68">
        <f t="shared" si="6"/>
        <v>5</v>
      </c>
      <c r="F44" s="55">
        <f t="shared" si="4"/>
        <v>35.799999999999997</v>
      </c>
      <c r="G44" s="56">
        <f>IF(D44=D43,"",_xlfn.IFNA(VLOOKUP(D44,'인원 입력 기능(사과탐)'!$K$64:$N$116,4,FALSE),0))</f>
        <v>1129</v>
      </c>
      <c r="H44" s="57">
        <f t="shared" si="1"/>
        <v>0.11022161476130041</v>
      </c>
      <c r="I44" s="67">
        <f>SUM($G$7:G44)</f>
        <v>7141</v>
      </c>
      <c r="J44" s="59">
        <f t="shared" si="5"/>
        <v>0.69715903543883628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43</v>
      </c>
      <c r="E45" s="68">
        <f t="shared" si="6"/>
        <v>6</v>
      </c>
      <c r="F45" s="55">
        <f t="shared" si="4"/>
        <v>28.31</v>
      </c>
      <c r="G45" s="56">
        <f>IF(D45=D44,"",_xlfn.IFNA(VLOOKUP(D45,'인원 입력 기능(사과탐)'!$K$64:$N$116,4,FALSE),0))</f>
        <v>404</v>
      </c>
      <c r="H45" s="57">
        <f t="shared" si="1"/>
        <v>3.9441569852582251E-2</v>
      </c>
      <c r="I45" s="67">
        <f>SUM($G$7:G45)</f>
        <v>7545</v>
      </c>
      <c r="J45" s="59">
        <f t="shared" si="5"/>
        <v>0.73660060529141858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42</v>
      </c>
      <c r="E46" s="68">
        <f t="shared" si="6"/>
        <v>6</v>
      </c>
      <c r="F46" s="55">
        <f t="shared" si="4"/>
        <v>25.1</v>
      </c>
      <c r="G46" s="56">
        <f>IF(D46=D45,"",_xlfn.IFNA(VLOOKUP(D46,'인원 입력 기능(사과탐)'!$K$64:$N$116,4,FALSE),0))</f>
        <v>253</v>
      </c>
      <c r="H46" s="57">
        <f t="shared" si="1"/>
        <v>2.4699794981938885E-2</v>
      </c>
      <c r="I46" s="67">
        <f>SUM($G$7:G46)</f>
        <v>7798</v>
      </c>
      <c r="J46" s="59">
        <f t="shared" si="5"/>
        <v>0.76130040027335744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41</v>
      </c>
      <c r="E47" s="68">
        <f t="shared" si="6"/>
        <v>6</v>
      </c>
      <c r="F47" s="55">
        <f t="shared" si="4"/>
        <v>18.41</v>
      </c>
      <c r="G47" s="56">
        <f>IF(D47=D46,"",_xlfn.IFNA(VLOOKUP(D47,'인원 입력 기능(사과탐)'!$K$64:$N$116,4,FALSE),0))</f>
        <v>1118</v>
      </c>
      <c r="H47" s="57">
        <f t="shared" si="1"/>
        <v>0.10914771063165088</v>
      </c>
      <c r="I47" s="67">
        <f>SUM($G$7:G47)</f>
        <v>8916</v>
      </c>
      <c r="J47" s="59">
        <f t="shared" si="5"/>
        <v>0.87044811090500829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212">
        <f t="shared" si="3"/>
        <v>40</v>
      </c>
      <c r="E48" s="212">
        <f t="shared" si="6"/>
        <v>7</v>
      </c>
      <c r="F48" s="199">
        <f t="shared" si="4"/>
        <v>10.45</v>
      </c>
      <c r="G48" s="196">
        <f>IF(D48=D47,"",_xlfn.IFNA(VLOOKUP(D48,'인원 입력 기능(사과탐)'!$K$64:$N$116,4,FALSE),0))</f>
        <v>513</v>
      </c>
      <c r="H48" s="192">
        <f t="shared" si="1"/>
        <v>5.0082983500927464E-2</v>
      </c>
      <c r="I48" s="189">
        <f>SUM($G$7:G48)</f>
        <v>9429</v>
      </c>
      <c r="J48" s="162">
        <f t="shared" si="5"/>
        <v>0.92053109440593572</v>
      </c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6">
        <v>8</v>
      </c>
      <c r="D49" s="211"/>
      <c r="E49" s="211"/>
      <c r="F49" s="198"/>
      <c r="G49" s="195"/>
      <c r="H49" s="194"/>
      <c r="I49" s="191"/>
      <c r="J49" s="188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39</v>
      </c>
      <c r="E50" s="68">
        <f t="shared" si="6"/>
        <v>8</v>
      </c>
      <c r="F50" s="55">
        <f t="shared" si="4"/>
        <v>6.53</v>
      </c>
      <c r="G50" s="56">
        <f>IF(D50=D49,"",_xlfn.IFNA(VLOOKUP(D50,'인원 입력 기능(사과탐)'!$K$64:$N$116,4,FALSE),0))</f>
        <v>291</v>
      </c>
      <c r="H50" s="57">
        <f t="shared" si="1"/>
        <v>2.8409645611637217E-2</v>
      </c>
      <c r="I50" s="67">
        <f>SUM($G$7:G50)</f>
        <v>9720</v>
      </c>
      <c r="J50" s="59">
        <f t="shared" si="5"/>
        <v>0.948940740017573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38</v>
      </c>
      <c r="E51" s="68">
        <f t="shared" si="6"/>
        <v>8</v>
      </c>
      <c r="F51" s="55">
        <f t="shared" si="4"/>
        <v>4.45</v>
      </c>
      <c r="G51" s="56">
        <f>IF(D51=D50,"",_xlfn.IFNA(VLOOKUP(D51,'인원 입력 기능(사과탐)'!$K$64:$N$116,4,FALSE),0))</f>
        <v>135</v>
      </c>
      <c r="H51" s="57">
        <f t="shared" si="1"/>
        <v>1.317973250024407E-2</v>
      </c>
      <c r="I51" s="67">
        <f>SUM($G$7:G51)</f>
        <v>9855</v>
      </c>
      <c r="J51" s="59">
        <f t="shared" si="5"/>
        <v>0.96212047251781707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37</v>
      </c>
      <c r="E52" s="68">
        <f t="shared" si="6"/>
        <v>9</v>
      </c>
      <c r="F52" s="55">
        <f t="shared" si="4"/>
        <v>3.06</v>
      </c>
      <c r="G52" s="56">
        <f>IF(D52=D51,"",_xlfn.IFNA(VLOOKUP(D52,'인원 입력 기능(사과탐)'!$K$64:$N$116,4,FALSE),0))</f>
        <v>150</v>
      </c>
      <c r="H52" s="57">
        <f t="shared" si="1"/>
        <v>1.4644147222493411E-2</v>
      </c>
      <c r="I52" s="67">
        <f>SUM($G$7:G52)</f>
        <v>10005</v>
      </c>
      <c r="J52" s="59">
        <f t="shared" si="5"/>
        <v>0.97676461974031048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36</v>
      </c>
      <c r="E53" s="54">
        <f t="shared" si="6"/>
        <v>9</v>
      </c>
      <c r="F53" s="55">
        <f t="shared" si="4"/>
        <v>2.0099999999999998</v>
      </c>
      <c r="G53" s="56">
        <f>IF(D53=D52,"",_xlfn.IFNA(VLOOKUP(D53,'인원 입력 기능(사과탐)'!$K$64:$N$116,4,FALSE),0))</f>
        <v>65</v>
      </c>
      <c r="H53" s="57">
        <f t="shared" si="1"/>
        <v>6.3457971297471447E-3</v>
      </c>
      <c r="I53" s="67">
        <f>SUM($G$7:G53)</f>
        <v>10070</v>
      </c>
      <c r="J53" s="59">
        <f t="shared" si="5"/>
        <v>0.98311041687005762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35</v>
      </c>
      <c r="E54" s="54">
        <f t="shared" si="6"/>
        <v>9</v>
      </c>
      <c r="F54" s="55">
        <f t="shared" si="4"/>
        <v>1.23</v>
      </c>
      <c r="G54" s="56">
        <f>IF(D54=D53,"",_xlfn.IFNA(VLOOKUP(D54,'인원 입력 기능(사과탐)'!$K$64:$N$116,4,FALSE),0))</f>
        <v>93</v>
      </c>
      <c r="H54" s="57">
        <f t="shared" si="1"/>
        <v>9.0793712779459138E-3</v>
      </c>
      <c r="I54" s="67">
        <f>SUM($G$7:G54)</f>
        <v>10163</v>
      </c>
      <c r="J54" s="59">
        <f t="shared" si="5"/>
        <v>0.99218978814800352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34</v>
      </c>
      <c r="E55" s="54">
        <f t="shared" si="6"/>
        <v>9</v>
      </c>
      <c r="F55" s="55">
        <f t="shared" si="4"/>
        <v>0.5</v>
      </c>
      <c r="G55" s="56">
        <f>IF(D55=D54,"",_xlfn.IFNA(VLOOKUP(D55,'인원 입력 기능(사과탐)'!$K$64:$N$116,4,FALSE),0))</f>
        <v>57</v>
      </c>
      <c r="H55" s="57">
        <f t="shared" si="1"/>
        <v>5.5647759445474959E-3</v>
      </c>
      <c r="I55" s="67">
        <f>SUM($G$7:G55)</f>
        <v>10220</v>
      </c>
      <c r="J55" s="59">
        <f t="shared" si="5"/>
        <v>0.99775456409255103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33</v>
      </c>
      <c r="E57" s="109">
        <f t="shared" si="6"/>
        <v>9</v>
      </c>
      <c r="F57" s="74">
        <f>IF(I55=0,ROUND(100*(1-(I54+I57)/2/$J$3),2),ROUND(100*(1-(I55+I57)/2/$J$3),2))</f>
        <v>0.11</v>
      </c>
      <c r="G57" s="110">
        <f>_xlfn.IFNA(VLOOKUP(D57,'인원 입력 기능(사과탐)'!$K$64:$N$116,4,FALSE),0)</f>
        <v>23</v>
      </c>
      <c r="H57" s="76">
        <f>G57/$J$3</f>
        <v>2.2454359074489897E-3</v>
      </c>
      <c r="I57" s="77">
        <f>SUM($G$7:G57)</f>
        <v>10243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7">
    <mergeCell ref="I48:I49"/>
    <mergeCell ref="J48:J49"/>
    <mergeCell ref="D48:D49"/>
    <mergeCell ref="E48:E49"/>
    <mergeCell ref="F48:F49"/>
    <mergeCell ref="G48:G49"/>
    <mergeCell ref="H48:H49"/>
    <mergeCell ref="I32:I33"/>
    <mergeCell ref="J32:J33"/>
    <mergeCell ref="D40:D41"/>
    <mergeCell ref="E40:E41"/>
    <mergeCell ref="F40:F41"/>
    <mergeCell ref="G40:G41"/>
    <mergeCell ref="H40:H41"/>
    <mergeCell ref="I40:I41"/>
    <mergeCell ref="J40:J41"/>
    <mergeCell ref="D32:D33"/>
    <mergeCell ref="E32:E33"/>
    <mergeCell ref="F32:F33"/>
    <mergeCell ref="G32:G33"/>
    <mergeCell ref="H32:H33"/>
    <mergeCell ref="G16:G17"/>
    <mergeCell ref="H16:H17"/>
    <mergeCell ref="I16:I17"/>
    <mergeCell ref="J16:J17"/>
    <mergeCell ref="D24:D25"/>
    <mergeCell ref="E24:E25"/>
    <mergeCell ref="F24:F25"/>
    <mergeCell ref="G24:G25"/>
    <mergeCell ref="H24:H25"/>
    <mergeCell ref="I24:I25"/>
    <mergeCell ref="J24:J25"/>
    <mergeCell ref="D3:F3"/>
    <mergeCell ref="D4:F4"/>
    <mergeCell ref="D16:D17"/>
    <mergeCell ref="E16:E17"/>
    <mergeCell ref="F16:F17"/>
  </mergeCells>
  <phoneticPr fontId="1" type="noConversion"/>
  <conditionalFormatting sqref="D7:G16 I7:J16 D18:G24 I18:J24 D26:G32 I26:J32 D34:G40 I34:J40 D42:G48 I42:J48 D50:G57 I50:J57">
    <cfRule type="expression" dxfId="50" priority="4">
      <formula>OR($D7=$Q$7:$Q$14)</formula>
    </cfRule>
  </conditionalFormatting>
  <conditionalFormatting sqref="C7:C57">
    <cfRule type="expression" dxfId="49" priority="3">
      <formula>OR(AND($D7=0,OR($D6=$Q$7:$Q$14)),AND($D8&gt;0,OR($D7=$Q$7:$Q$14)))</formula>
    </cfRule>
  </conditionalFormatting>
  <conditionalFormatting sqref="D7:D16 D18:D24 D26:D32 D34:D40 D42:D48 D50:D57">
    <cfRule type="expression" dxfId="48" priority="2">
      <formula>$D7=$D8</formula>
    </cfRule>
  </conditionalFormatting>
  <conditionalFormatting sqref="H7:H16 H18:H24 H26:H32 H34:H40 H42:H48 H50:H57">
    <cfRule type="expression" dxfId="47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7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기능'!D15</f>
        <v>24.12</v>
      </c>
      <c r="I3" s="21" t="s">
        <v>124</v>
      </c>
      <c r="J3" s="81">
        <f>'통계 및 응시자 수 입력 기능'!C15</f>
        <v>30610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149</v>
      </c>
      <c r="E4" s="153"/>
      <c r="F4" s="154"/>
      <c r="G4" s="83" t="s">
        <v>127</v>
      </c>
      <c r="H4" s="84" t="str">
        <f>'통계 및 응시자 수 입력 기능'!E15</f>
        <v>11.91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72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99.41</v>
      </c>
      <c r="G7" s="56">
        <f>_xlfn.IFNA(VLOOKUP(D7,'인원 입력 기능(사과탐)'!$P$64:$S$116,4,FALSE),0)</f>
        <v>360</v>
      </c>
      <c r="H7" s="57">
        <f>G7/$J$3</f>
        <v>1.1760862463247305E-2</v>
      </c>
      <c r="I7" s="58">
        <f>G7</f>
        <v>360</v>
      </c>
      <c r="J7" s="59">
        <f>I7/$J$3</f>
        <v>1.1760862463247305E-2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기능'!C103</f>
        <v>68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기능'!C104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70</v>
      </c>
      <c r="E9" s="54">
        <f t="shared" si="0"/>
        <v>1</v>
      </c>
      <c r="F9" s="55">
        <f>IF(I8=0,ROUND(100*(1-(I7+I9)/2/$J$3),2),ROUND(100*(1-(I8+I9)/2/$J$3),2))</f>
        <v>98.6</v>
      </c>
      <c r="G9" s="56">
        <f>_xlfn.IFNA(VLOOKUP(D9,'인원 입력 기능(사과탐)'!$P$64:$S$116,4,FALSE),0)</f>
        <v>135</v>
      </c>
      <c r="H9" s="57">
        <f t="shared" ref="H9:H55" si="1">G9/$J$3</f>
        <v>4.4103234237177396E-3</v>
      </c>
      <c r="I9" s="67">
        <f>SUM($G$7:G9)</f>
        <v>495</v>
      </c>
      <c r="J9" s="59">
        <f>I9/$J$3</f>
        <v>1.6171185886965044E-2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기능'!C105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69</v>
      </c>
      <c r="E10" s="54">
        <f t="shared" si="0"/>
        <v>1</v>
      </c>
      <c r="F10" s="55">
        <f t="shared" ref="F10:F55" si="4">IF(I9=0,ROUND(100*(1-(I8+I10)/2/$J$3),2),ROUND(100*(1-(I9+I10)/2/$J$3),2))</f>
        <v>97.49</v>
      </c>
      <c r="G10" s="56">
        <f>IF(D10=D9,"",_xlfn.IFNA(VLOOKUP(D10,'인원 입력 기능(사과탐)'!$P$64:$S$116,4,FALSE),0))</f>
        <v>544</v>
      </c>
      <c r="H10" s="57">
        <f t="shared" si="1"/>
        <v>1.7771969944462594E-2</v>
      </c>
      <c r="I10" s="67">
        <f>SUM($G$7:G10)</f>
        <v>1039</v>
      </c>
      <c r="J10" s="59">
        <f t="shared" ref="J10:J55" si="5">I10/$J$3</f>
        <v>3.3943155831427638E-2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기능'!C106</f>
        <v>52</v>
      </c>
    </row>
    <row r="11" spans="1:17" s="22" customFormat="1" ht="25" customHeight="1" x14ac:dyDescent="0.45">
      <c r="A11" s="20"/>
      <c r="B11" s="35"/>
      <c r="C11" s="53">
        <v>46</v>
      </c>
      <c r="D11" s="202">
        <f t="shared" si="3"/>
        <v>68</v>
      </c>
      <c r="E11" s="202">
        <f t="shared" si="0"/>
        <v>1</v>
      </c>
      <c r="F11" s="199">
        <f t="shared" si="4"/>
        <v>96.08</v>
      </c>
      <c r="G11" s="196">
        <f>IF(D11=D10,"",_xlfn.IFNA(VLOOKUP(D11,'인원 입력 기능(사과탐)'!$P$64:$S$116,4,FALSE),0))</f>
        <v>323</v>
      </c>
      <c r="H11" s="192">
        <f t="shared" si="1"/>
        <v>1.0552107154524665E-2</v>
      </c>
      <c r="I11" s="189">
        <f>SUM($G$7:G11)</f>
        <v>1362</v>
      </c>
      <c r="J11" s="162">
        <f t="shared" si="5"/>
        <v>4.4495262985952307E-2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기능'!C107</f>
        <v>46</v>
      </c>
    </row>
    <row r="12" spans="1:17" s="22" customFormat="1" ht="25" customHeight="1" x14ac:dyDescent="0.45">
      <c r="A12" s="20"/>
      <c r="B12" s="35"/>
      <c r="C12" s="60">
        <v>45</v>
      </c>
      <c r="D12" s="201"/>
      <c r="E12" s="201"/>
      <c r="F12" s="198"/>
      <c r="G12" s="195"/>
      <c r="H12" s="194"/>
      <c r="I12" s="191"/>
      <c r="J12" s="188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기능'!C108</f>
        <v>41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67</v>
      </c>
      <c r="E13" s="54">
        <f t="shared" si="0"/>
        <v>2</v>
      </c>
      <c r="F13" s="55">
        <f t="shared" si="4"/>
        <v>94.48</v>
      </c>
      <c r="G13" s="56">
        <f>IF(D13=D12,"",_xlfn.IFNA(VLOOKUP(D13,'인원 입력 기능(사과탐)'!$P$64:$S$116,4,FALSE),0))</f>
        <v>657</v>
      </c>
      <c r="H13" s="57">
        <f t="shared" si="1"/>
        <v>2.1463573995426331E-2</v>
      </c>
      <c r="I13" s="67">
        <f>SUM($G$7:G13)</f>
        <v>2019</v>
      </c>
      <c r="J13" s="59">
        <f t="shared" si="5"/>
        <v>6.5958836981378638E-2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기능'!C109</f>
        <v>37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66</v>
      </c>
      <c r="E14" s="54">
        <f t="shared" si="0"/>
        <v>2</v>
      </c>
      <c r="F14" s="55">
        <f t="shared" si="4"/>
        <v>93.22</v>
      </c>
      <c r="G14" s="56">
        <f>IF(D14=D13,"",_xlfn.IFNA(VLOOKUP(D14,'인원 입력 기능(사과탐)'!$P$64:$S$116,4,FALSE),0))</f>
        <v>113</v>
      </c>
      <c r="H14" s="57">
        <f t="shared" si="1"/>
        <v>3.6916040509637374E-3</v>
      </c>
      <c r="I14" s="67">
        <f>SUM($G$7:G14)</f>
        <v>2132</v>
      </c>
      <c r="J14" s="59">
        <f t="shared" si="5"/>
        <v>6.9650441032342372E-2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기능'!C110</f>
        <v>36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65</v>
      </c>
      <c r="E15" s="54">
        <f t="shared" si="0"/>
        <v>2</v>
      </c>
      <c r="F15" s="55">
        <f t="shared" si="4"/>
        <v>91.97</v>
      </c>
      <c r="G15" s="56">
        <f>IF(D15=D14,"",_xlfn.IFNA(VLOOKUP(D15,'인원 입력 기능(사과탐)'!$P$64:$S$116,4,FALSE),0))</f>
        <v>654</v>
      </c>
      <c r="H15" s="57">
        <f t="shared" si="1"/>
        <v>2.1365566808232605E-2</v>
      </c>
      <c r="I15" s="67">
        <f>SUM($G$7:G15)</f>
        <v>2786</v>
      </c>
      <c r="J15" s="59">
        <f t="shared" si="5"/>
        <v>9.1016007840574981E-2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64</v>
      </c>
      <c r="E16" s="54">
        <f t="shared" si="0"/>
        <v>2</v>
      </c>
      <c r="F16" s="55">
        <f t="shared" si="4"/>
        <v>89.94</v>
      </c>
      <c r="G16" s="56">
        <f>IF(D16=D15,"",_xlfn.IFNA(VLOOKUP(D16,'인원 입력 기능(사과탐)'!$P$64:$S$116,4,FALSE),0))</f>
        <v>589</v>
      </c>
      <c r="H16" s="57">
        <f t="shared" si="1"/>
        <v>1.9242077752368508E-2</v>
      </c>
      <c r="I16" s="67">
        <f>SUM($G$7:G16)</f>
        <v>3375</v>
      </c>
      <c r="J16" s="59">
        <f t="shared" si="5"/>
        <v>0.11025808559294348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63</v>
      </c>
      <c r="E17" s="54">
        <f t="shared" si="0"/>
        <v>3</v>
      </c>
      <c r="F17" s="55">
        <f t="shared" si="4"/>
        <v>88.46</v>
      </c>
      <c r="G17" s="56">
        <f>IF(D17=D16,"",_xlfn.IFNA(VLOOKUP(D17,'인원 입력 기능(사과탐)'!$P$64:$S$116,4,FALSE),0))</f>
        <v>317</v>
      </c>
      <c r="H17" s="57">
        <f t="shared" si="1"/>
        <v>1.0356092780137211E-2</v>
      </c>
      <c r="I17" s="67">
        <f>SUM($G$7:G17)</f>
        <v>3692</v>
      </c>
      <c r="J17" s="59">
        <f t="shared" si="5"/>
        <v>0.12061417837308069</v>
      </c>
      <c r="K17" s="36"/>
      <c r="L17" s="20" t="str">
        <f t="shared" si="2"/>
        <v/>
      </c>
      <c r="N17" s="24"/>
      <c r="Q17" s="24">
        <f>Q7*H3*H4*J3*IFERROR(IF(J57=1, 1, 0), 0)</f>
        <v>597945094.41600001</v>
      </c>
    </row>
    <row r="18" spans="1:17" s="22" customFormat="1" ht="25" customHeight="1" x14ac:dyDescent="0.45">
      <c r="A18" s="20"/>
      <c r="B18" s="35"/>
      <c r="C18" s="60">
        <v>39</v>
      </c>
      <c r="D18" s="202">
        <f t="shared" si="3"/>
        <v>62</v>
      </c>
      <c r="E18" s="202">
        <f t="shared" si="0"/>
        <v>3</v>
      </c>
      <c r="F18" s="199">
        <f t="shared" si="4"/>
        <v>85.77</v>
      </c>
      <c r="G18" s="196">
        <f>IF(D18=D17,"",_xlfn.IFNA(VLOOKUP(D18,'인원 입력 기능(사과탐)'!$P$64:$S$116,4,FALSE),0))</f>
        <v>1327</v>
      </c>
      <c r="H18" s="192">
        <f t="shared" si="1"/>
        <v>4.3351845802025481E-2</v>
      </c>
      <c r="I18" s="189">
        <f>SUM($G$7:G18)</f>
        <v>5019</v>
      </c>
      <c r="J18" s="162">
        <f t="shared" si="5"/>
        <v>0.16396602417510617</v>
      </c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3">
        <v>38</v>
      </c>
      <c r="D19" s="201"/>
      <c r="E19" s="201"/>
      <c r="F19" s="198"/>
      <c r="G19" s="195"/>
      <c r="H19" s="194"/>
      <c r="I19" s="191"/>
      <c r="J19" s="188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61</v>
      </c>
      <c r="E20" s="54">
        <f t="shared" si="0"/>
        <v>3</v>
      </c>
      <c r="F20" s="55">
        <f t="shared" si="4"/>
        <v>82.59</v>
      </c>
      <c r="G20" s="56">
        <f>IF(D20=D19,"",_xlfn.IFNA(VLOOKUP(D20,'인원 입력 기능(사과탐)'!$P$64:$S$116,4,FALSE),0))</f>
        <v>621</v>
      </c>
      <c r="H20" s="57">
        <f t="shared" si="1"/>
        <v>2.02874877491016E-2</v>
      </c>
      <c r="I20" s="67">
        <f>SUM($G$7:G20)</f>
        <v>5640</v>
      </c>
      <c r="J20" s="59">
        <f t="shared" si="5"/>
        <v>0.18425351192420777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60</v>
      </c>
      <c r="E21" s="68">
        <f t="shared" si="0"/>
        <v>3</v>
      </c>
      <c r="F21" s="55">
        <f t="shared" si="4"/>
        <v>80.209999999999994</v>
      </c>
      <c r="G21" s="56">
        <f>IF(D21=D20,"",_xlfn.IFNA(VLOOKUP(D21,'인원 입력 기능(사과탐)'!$P$64:$S$116,4,FALSE),0))</f>
        <v>838</v>
      </c>
      <c r="H21" s="57">
        <f t="shared" si="1"/>
        <v>2.7376674289447893E-2</v>
      </c>
      <c r="I21" s="67">
        <f>SUM($G$7:G21)</f>
        <v>6478</v>
      </c>
      <c r="J21" s="59">
        <f t="shared" si="5"/>
        <v>0.21163018621365567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59</v>
      </c>
      <c r="E22" s="68">
        <f t="shared" si="0"/>
        <v>3</v>
      </c>
      <c r="F22" s="55">
        <f t="shared" si="4"/>
        <v>77.97</v>
      </c>
      <c r="G22" s="56">
        <f>IF(D22=D21,"",_xlfn.IFNA(VLOOKUP(D22,'인원 입력 기능(사과탐)'!$P$64:$S$116,4,FALSE),0))</f>
        <v>529</v>
      </c>
      <c r="H22" s="57">
        <f t="shared" si="1"/>
        <v>1.7281934008493958E-2</v>
      </c>
      <c r="I22" s="67">
        <f>SUM($G$7:G22)</f>
        <v>7007</v>
      </c>
      <c r="J22" s="59">
        <f t="shared" si="5"/>
        <v>0.22891212022214963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58</v>
      </c>
      <c r="E23" s="68">
        <f t="shared" si="0"/>
        <v>3</v>
      </c>
      <c r="F23" s="55">
        <f t="shared" si="4"/>
        <v>75.84</v>
      </c>
      <c r="G23" s="56">
        <f>IF(D23=D22,"",_xlfn.IFNA(VLOOKUP(D23,'인원 입력 기능(사과탐)'!$P$64:$S$116,4,FALSE),0))</f>
        <v>777</v>
      </c>
      <c r="H23" s="57">
        <f t="shared" si="1"/>
        <v>2.5383861483175434E-2</v>
      </c>
      <c r="I23" s="67">
        <f>SUM($G$7:G23)</f>
        <v>7784</v>
      </c>
      <c r="J23" s="59">
        <f t="shared" si="5"/>
        <v>0.25429598170532508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212">
        <f t="shared" si="3"/>
        <v>57</v>
      </c>
      <c r="E24" s="212">
        <f t="shared" si="0"/>
        <v>4</v>
      </c>
      <c r="F24" s="199">
        <f t="shared" si="4"/>
        <v>72.27</v>
      </c>
      <c r="G24" s="196">
        <f>IF(D24=D23,"",_xlfn.IFNA(VLOOKUP(D24,'인원 입력 기능(사과탐)'!$P$64:$S$116,4,FALSE),0))</f>
        <v>1408</v>
      </c>
      <c r="H24" s="192">
        <f t="shared" si="1"/>
        <v>4.5998039856256126E-2</v>
      </c>
      <c r="I24" s="189">
        <f>SUM($G$7:G24)</f>
        <v>9192</v>
      </c>
      <c r="J24" s="162">
        <f t="shared" si="5"/>
        <v>0.30029402156158119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211"/>
      <c r="E25" s="211"/>
      <c r="F25" s="198"/>
      <c r="G25" s="195"/>
      <c r="H25" s="194"/>
      <c r="I25" s="191"/>
      <c r="J25" s="188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56</v>
      </c>
      <c r="E26" s="68">
        <f t="shared" si="0"/>
        <v>4</v>
      </c>
      <c r="F26" s="55">
        <f t="shared" si="4"/>
        <v>68.7</v>
      </c>
      <c r="G26" s="56">
        <f>IF(D26=D25,"",_xlfn.IFNA(VLOOKUP(D26,'인원 입력 기능(사과탐)'!$P$64:$S$116,4,FALSE),0))</f>
        <v>775</v>
      </c>
      <c r="H26" s="57">
        <f t="shared" si="1"/>
        <v>2.5318523358379613E-2</v>
      </c>
      <c r="I26" s="67">
        <f>SUM($G$7:G26)</f>
        <v>9967</v>
      </c>
      <c r="J26" s="59">
        <f t="shared" si="5"/>
        <v>0.32561254491996078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55</v>
      </c>
      <c r="E27" s="68">
        <f t="shared" si="0"/>
        <v>4</v>
      </c>
      <c r="F27" s="55">
        <f t="shared" si="4"/>
        <v>66.39</v>
      </c>
      <c r="G27" s="56">
        <f>IF(D27=D26,"",_xlfn.IFNA(VLOOKUP(D27,'인원 입력 기능(사과탐)'!$P$64:$S$116,4,FALSE),0))</f>
        <v>643</v>
      </c>
      <c r="H27" s="57">
        <f t="shared" si="1"/>
        <v>2.1006207121855604E-2</v>
      </c>
      <c r="I27" s="67">
        <f>SUM($G$7:G27)</f>
        <v>10610</v>
      </c>
      <c r="J27" s="59">
        <f t="shared" si="5"/>
        <v>0.34661875204181641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54</v>
      </c>
      <c r="E28" s="68">
        <f t="shared" si="0"/>
        <v>4</v>
      </c>
      <c r="F28" s="55">
        <f t="shared" si="4"/>
        <v>64.06</v>
      </c>
      <c r="G28" s="56">
        <f>IF(D28=D27,"",_xlfn.IFNA(VLOOKUP(D28,'인원 입력 기능(사과탐)'!$P$64:$S$116,4,FALSE),0))</f>
        <v>783</v>
      </c>
      <c r="H28" s="57">
        <f t="shared" si="1"/>
        <v>2.5579875857562887E-2</v>
      </c>
      <c r="I28" s="67">
        <f>SUM($G$7:G28)</f>
        <v>11393</v>
      </c>
      <c r="J28" s="59">
        <f t="shared" si="5"/>
        <v>0.3721986278993793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53</v>
      </c>
      <c r="E29" s="68">
        <f t="shared" si="0"/>
        <v>4</v>
      </c>
      <c r="F29" s="55">
        <f t="shared" si="4"/>
        <v>61.61</v>
      </c>
      <c r="G29" s="56">
        <f>IF(D29=D28,"",_xlfn.IFNA(VLOOKUP(D29,'인원 입력 기능(사과탐)'!$P$64:$S$116,4,FALSE),0))</f>
        <v>714</v>
      </c>
      <c r="H29" s="57">
        <f t="shared" si="1"/>
        <v>2.3325710552107155E-2</v>
      </c>
      <c r="I29" s="67">
        <f>SUM($G$7:G29)</f>
        <v>12107</v>
      </c>
      <c r="J29" s="59">
        <f t="shared" si="5"/>
        <v>0.39552433845148643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212">
        <f t="shared" si="3"/>
        <v>52</v>
      </c>
      <c r="E30" s="212">
        <f t="shared" si="0"/>
        <v>4</v>
      </c>
      <c r="F30" s="199">
        <f t="shared" si="4"/>
        <v>57.99</v>
      </c>
      <c r="G30" s="196">
        <f>IF(D30=D29,"",_xlfn.IFNA(VLOOKUP(D30,'인원 입력 기능(사과탐)'!$P$64:$S$116,4,FALSE),0))</f>
        <v>1505</v>
      </c>
      <c r="H30" s="192">
        <f t="shared" si="1"/>
        <v>4.9166938908853319E-2</v>
      </c>
      <c r="I30" s="189">
        <f>SUM($G$7:G30)</f>
        <v>13612</v>
      </c>
      <c r="J30" s="162">
        <f t="shared" si="5"/>
        <v>0.44469127736033975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211"/>
      <c r="E31" s="211"/>
      <c r="F31" s="198"/>
      <c r="G31" s="195"/>
      <c r="H31" s="194"/>
      <c r="I31" s="191"/>
      <c r="J31" s="188"/>
      <c r="K31" s="36"/>
      <c r="L31" s="20" t="str">
        <f t="shared" si="2"/>
        <v>경고</v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51</v>
      </c>
      <c r="E32" s="68">
        <f t="shared" si="0"/>
        <v>5</v>
      </c>
      <c r="F32" s="55">
        <f t="shared" si="4"/>
        <v>54.33</v>
      </c>
      <c r="G32" s="56">
        <f>IF(D32=D31,"",_xlfn.IFNA(VLOOKUP(D32,'인원 입력 기능(사과탐)'!$P$64:$S$116,4,FALSE),0))</f>
        <v>737</v>
      </c>
      <c r="H32" s="57">
        <f t="shared" si="1"/>
        <v>2.4077098987259064E-2</v>
      </c>
      <c r="I32" s="67">
        <f>SUM($G$7:G32)</f>
        <v>14349</v>
      </c>
      <c r="J32" s="59">
        <f t="shared" si="5"/>
        <v>0.46876837634759883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50</v>
      </c>
      <c r="E33" s="68">
        <f t="shared" si="0"/>
        <v>5</v>
      </c>
      <c r="F33" s="55">
        <f t="shared" si="4"/>
        <v>51.91</v>
      </c>
      <c r="G33" s="56">
        <f>IF(D33=D32,"",_xlfn.IFNA(VLOOKUP(D33,'인원 입력 기능(사과탐)'!$P$64:$S$116,4,FALSE),0))</f>
        <v>741</v>
      </c>
      <c r="H33" s="57">
        <f t="shared" si="1"/>
        <v>2.4207775236850703E-2</v>
      </c>
      <c r="I33" s="67">
        <f>SUM($G$7:G33)</f>
        <v>15090</v>
      </c>
      <c r="J33" s="59">
        <f t="shared" si="5"/>
        <v>0.49297615158444952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49</v>
      </c>
      <c r="E34" s="68">
        <f t="shared" si="0"/>
        <v>5</v>
      </c>
      <c r="F34" s="55">
        <f t="shared" si="4"/>
        <v>49.45</v>
      </c>
      <c r="G34" s="56">
        <f>IF(D34=D33,"",_xlfn.IFNA(VLOOKUP(D34,'인원 입력 기능(사과탐)'!$P$64:$S$116,4,FALSE),0))</f>
        <v>766</v>
      </c>
      <c r="H34" s="57">
        <f t="shared" si="1"/>
        <v>2.502450179679843E-2</v>
      </c>
      <c r="I34" s="67">
        <f>SUM($G$7:G34)</f>
        <v>15856</v>
      </c>
      <c r="J34" s="59">
        <f t="shared" si="5"/>
        <v>0.51800065338124801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48</v>
      </c>
      <c r="E35" s="68">
        <f t="shared" si="0"/>
        <v>5</v>
      </c>
      <c r="F35" s="55">
        <f t="shared" si="4"/>
        <v>47.01</v>
      </c>
      <c r="G35" s="56">
        <f>IF(D35=D34,"",_xlfn.IFNA(VLOOKUP(D35,'인원 입력 기능(사과탐)'!$P$64:$S$116,4,FALSE),0))</f>
        <v>730</v>
      </c>
      <c r="H35" s="57">
        <f t="shared" si="1"/>
        <v>2.3848415550473703E-2</v>
      </c>
      <c r="I35" s="67">
        <f>SUM($G$7:G35)</f>
        <v>16586</v>
      </c>
      <c r="J35" s="59">
        <f t="shared" si="5"/>
        <v>0.54184906893172169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212">
        <f t="shared" si="3"/>
        <v>47</v>
      </c>
      <c r="E36" s="212">
        <f t="shared" si="0"/>
        <v>5</v>
      </c>
      <c r="F36" s="199">
        <f t="shared" si="4"/>
        <v>43.29</v>
      </c>
      <c r="G36" s="196">
        <f>IF(D36=D35,"",_xlfn.IFNA(VLOOKUP(D36,'인원 입력 기능(사과탐)'!$P$64:$S$116,4,FALSE),0))</f>
        <v>1548</v>
      </c>
      <c r="H36" s="192">
        <f t="shared" si="1"/>
        <v>5.0571708591963409E-2</v>
      </c>
      <c r="I36" s="189">
        <f>SUM($G$7:G36)</f>
        <v>18134</v>
      </c>
      <c r="J36" s="162">
        <f t="shared" si="5"/>
        <v>0.59242077752368505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211"/>
      <c r="E37" s="211"/>
      <c r="F37" s="198"/>
      <c r="G37" s="195"/>
      <c r="H37" s="194"/>
      <c r="I37" s="191"/>
      <c r="J37" s="188"/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46</v>
      </c>
      <c r="E38" s="68">
        <f t="shared" si="0"/>
        <v>5</v>
      </c>
      <c r="F38" s="55">
        <f t="shared" si="4"/>
        <v>39.43</v>
      </c>
      <c r="G38" s="56">
        <f>IF(D38=D37,"",_xlfn.IFNA(VLOOKUP(D38,'인원 입력 기능(사과탐)'!$P$64:$S$116,4,FALSE),0))</f>
        <v>814</v>
      </c>
      <c r="H38" s="57">
        <f t="shared" si="1"/>
        <v>2.6592616791898071E-2</v>
      </c>
      <c r="I38" s="67">
        <f>SUM($G$7:G38)</f>
        <v>18948</v>
      </c>
      <c r="J38" s="59">
        <f t="shared" si="5"/>
        <v>0.61901339431558311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45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36.89</v>
      </c>
      <c r="G39" s="56">
        <f>IF(D39=D38,"",_xlfn.IFNA(VLOOKUP(D39,'인원 입력 기능(사과탐)'!$P$64:$S$116,4,FALSE),0))</f>
        <v>741</v>
      </c>
      <c r="H39" s="57">
        <f t="shared" si="1"/>
        <v>2.4207775236850703E-2</v>
      </c>
      <c r="I39" s="67">
        <f>SUM($G$7:G39)</f>
        <v>19689</v>
      </c>
      <c r="J39" s="59">
        <f t="shared" si="5"/>
        <v>0.6432211695524338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44</v>
      </c>
      <c r="E40" s="68">
        <f t="shared" si="6"/>
        <v>6</v>
      </c>
      <c r="F40" s="55">
        <f t="shared" si="4"/>
        <v>33.869999999999997</v>
      </c>
      <c r="G40" s="56">
        <f>IF(D40=D39,"",_xlfn.IFNA(VLOOKUP(D40,'인원 입력 기능(사과탐)'!$P$64:$S$116,4,FALSE),0))</f>
        <v>1105</v>
      </c>
      <c r="H40" s="57">
        <f t="shared" si="1"/>
        <v>3.6099313949689647E-2</v>
      </c>
      <c r="I40" s="67">
        <f>SUM($G$7:G40)</f>
        <v>20794</v>
      </c>
      <c r="J40" s="59">
        <f t="shared" si="5"/>
        <v>0.67932048350212348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43</v>
      </c>
      <c r="E41" s="68">
        <f t="shared" si="6"/>
        <v>6</v>
      </c>
      <c r="F41" s="55">
        <f t="shared" si="4"/>
        <v>30.85</v>
      </c>
      <c r="G41" s="56">
        <f>IF(D41=D40,"",_xlfn.IFNA(VLOOKUP(D41,'인원 입력 기능(사과탐)'!$P$64:$S$116,4,FALSE),0))</f>
        <v>745</v>
      </c>
      <c r="H41" s="57">
        <f t="shared" si="1"/>
        <v>2.4338451486442338E-2</v>
      </c>
      <c r="I41" s="67">
        <f>SUM($G$7:G41)</f>
        <v>21539</v>
      </c>
      <c r="J41" s="59">
        <f t="shared" si="5"/>
        <v>0.7036589349885658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212">
        <f t="shared" si="3"/>
        <v>42</v>
      </c>
      <c r="E42" s="212">
        <f t="shared" si="6"/>
        <v>6</v>
      </c>
      <c r="F42" s="199">
        <f t="shared" si="4"/>
        <v>27.04</v>
      </c>
      <c r="G42" s="196">
        <f>IF(D42=D41,"",_xlfn.IFNA(VLOOKUP(D42,'인원 입력 기능(사과탐)'!$P$64:$S$116,4,FALSE),0))</f>
        <v>1588</v>
      </c>
      <c r="H42" s="192">
        <f t="shared" si="1"/>
        <v>5.1878471087879775E-2</v>
      </c>
      <c r="I42" s="189">
        <f>SUM($G$7:G42)</f>
        <v>23127</v>
      </c>
      <c r="J42" s="162">
        <f t="shared" si="5"/>
        <v>0.75553740607644559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211"/>
      <c r="E43" s="211"/>
      <c r="F43" s="198"/>
      <c r="G43" s="195"/>
      <c r="H43" s="194"/>
      <c r="I43" s="191"/>
      <c r="J43" s="188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41</v>
      </c>
      <c r="E44" s="68">
        <f t="shared" si="6"/>
        <v>6</v>
      </c>
      <c r="F44" s="55">
        <f t="shared" si="4"/>
        <v>23.38</v>
      </c>
      <c r="G44" s="56">
        <f>IF(D44=D43,"",_xlfn.IFNA(VLOOKUP(D44,'인원 입력 기능(사과탐)'!$P$64:$S$116,4,FALSE),0))</f>
        <v>652</v>
      </c>
      <c r="H44" s="57">
        <f t="shared" si="1"/>
        <v>2.1300228683436784E-2</v>
      </c>
      <c r="I44" s="67">
        <f>SUM($G$7:G44)</f>
        <v>23779</v>
      </c>
      <c r="J44" s="59">
        <f t="shared" si="5"/>
        <v>0.77683763475988243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40</v>
      </c>
      <c r="E45" s="68">
        <f t="shared" si="6"/>
        <v>7</v>
      </c>
      <c r="F45" s="55">
        <f t="shared" si="4"/>
        <v>19</v>
      </c>
      <c r="G45" s="56">
        <f>IF(D45=D44,"",_xlfn.IFNA(VLOOKUP(D45,'인원 입력 기능(사과탐)'!$P$64:$S$116,4,FALSE),0))</f>
        <v>2029</v>
      </c>
      <c r="H45" s="57">
        <f t="shared" si="1"/>
        <v>6.6285527605357733E-2</v>
      </c>
      <c r="I45" s="67">
        <f>SUM($G$7:G45)</f>
        <v>25808</v>
      </c>
      <c r="J45" s="59">
        <f t="shared" si="5"/>
        <v>0.8431231623652401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39</v>
      </c>
      <c r="E46" s="68">
        <f t="shared" si="6"/>
        <v>7</v>
      </c>
      <c r="F46" s="55">
        <f t="shared" si="4"/>
        <v>14.67</v>
      </c>
      <c r="G46" s="56">
        <f>IF(D46=D45,"",_xlfn.IFNA(VLOOKUP(D46,'인원 입력 기능(사과탐)'!$P$64:$S$116,4,FALSE),0))</f>
        <v>621</v>
      </c>
      <c r="H46" s="57">
        <f t="shared" si="1"/>
        <v>2.02874877491016E-2</v>
      </c>
      <c r="I46" s="67">
        <f>SUM($G$7:G46)</f>
        <v>26429</v>
      </c>
      <c r="J46" s="59">
        <f t="shared" si="5"/>
        <v>0.8634106501143417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38</v>
      </c>
      <c r="E47" s="68">
        <f t="shared" si="6"/>
        <v>7</v>
      </c>
      <c r="F47" s="55">
        <f t="shared" si="4"/>
        <v>12.66</v>
      </c>
      <c r="G47" s="56">
        <f>IF(D47=D46,"",_xlfn.IFNA(VLOOKUP(D47,'인원 입력 기능(사과탐)'!$P$64:$S$116,4,FALSE),0))</f>
        <v>613</v>
      </c>
      <c r="H47" s="57">
        <f t="shared" si="1"/>
        <v>2.0026135249918326E-2</v>
      </c>
      <c r="I47" s="67">
        <f>SUM($G$7:G47)</f>
        <v>27042</v>
      </c>
      <c r="J47" s="59">
        <f t="shared" si="5"/>
        <v>0.88343678536426007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37</v>
      </c>
      <c r="E48" s="68">
        <f t="shared" si="6"/>
        <v>7</v>
      </c>
      <c r="F48" s="55">
        <f t="shared" si="4"/>
        <v>10.91</v>
      </c>
      <c r="G48" s="56">
        <f>IF(D48=D47,"",_xlfn.IFNA(VLOOKUP(D48,'인원 입력 기능(사과탐)'!$P$64:$S$116,4,FALSE),0))</f>
        <v>458</v>
      </c>
      <c r="H48" s="57">
        <f t="shared" si="1"/>
        <v>1.4962430578242404E-2</v>
      </c>
      <c r="I48" s="67">
        <f>SUM($G$7:G48)</f>
        <v>27500</v>
      </c>
      <c r="J48" s="59">
        <f t="shared" si="5"/>
        <v>0.89839921594250249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212">
        <f t="shared" si="3"/>
        <v>36</v>
      </c>
      <c r="E49" s="212">
        <f t="shared" si="6"/>
        <v>8</v>
      </c>
      <c r="F49" s="199">
        <f t="shared" si="4"/>
        <v>7</v>
      </c>
      <c r="G49" s="196">
        <f>IF(D49=D48,"",_xlfn.IFNA(VLOOKUP(D49,'인원 입력 기능(사과탐)'!$P$64:$S$116,4,FALSE),0))</f>
        <v>1932</v>
      </c>
      <c r="H49" s="192">
        <f t="shared" si="1"/>
        <v>6.311662855276054E-2</v>
      </c>
      <c r="I49" s="189">
        <f>SUM($G$7:G49)</f>
        <v>29432</v>
      </c>
      <c r="J49" s="162">
        <f t="shared" si="5"/>
        <v>0.96151584449526295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211"/>
      <c r="E50" s="211"/>
      <c r="F50" s="198"/>
      <c r="G50" s="195"/>
      <c r="H50" s="194"/>
      <c r="I50" s="191"/>
      <c r="J50" s="188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35</v>
      </c>
      <c r="E51" s="68">
        <f t="shared" si="6"/>
        <v>9</v>
      </c>
      <c r="F51" s="55">
        <f t="shared" si="4"/>
        <v>3</v>
      </c>
      <c r="G51" s="56">
        <f>IF(D51=D50,"",_xlfn.IFNA(VLOOKUP(D51,'인원 입력 기능(사과탐)'!$P$64:$S$116,4,FALSE),0))</f>
        <v>522</v>
      </c>
      <c r="H51" s="57">
        <f t="shared" si="1"/>
        <v>1.7053250571708593E-2</v>
      </c>
      <c r="I51" s="67">
        <f>SUM($G$7:G51)</f>
        <v>29954</v>
      </c>
      <c r="J51" s="59">
        <f t="shared" si="5"/>
        <v>0.97856909506697154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34</v>
      </c>
      <c r="E52" s="68">
        <f t="shared" si="6"/>
        <v>9</v>
      </c>
      <c r="F52" s="55">
        <f t="shared" si="4"/>
        <v>1.72</v>
      </c>
      <c r="G52" s="56">
        <f>IF(D52=D51,"",_xlfn.IFNA(VLOOKUP(D52,'인원 입력 기능(사과탐)'!$P$64:$S$116,4,FALSE),0))</f>
        <v>259</v>
      </c>
      <c r="H52" s="57">
        <f t="shared" si="1"/>
        <v>8.4612871610584769E-3</v>
      </c>
      <c r="I52" s="67">
        <f>SUM($G$7:G52)</f>
        <v>30213</v>
      </c>
      <c r="J52" s="59">
        <f t="shared" si="5"/>
        <v>0.98703038222803008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33</v>
      </c>
      <c r="E53" s="54">
        <f t="shared" si="6"/>
        <v>9</v>
      </c>
      <c r="F53" s="55">
        <f t="shared" si="4"/>
        <v>1.08</v>
      </c>
      <c r="G53" s="56">
        <f>IF(D53=D52,"",_xlfn.IFNA(VLOOKUP(D53,'인원 입력 기능(사과탐)'!$P$64:$S$116,4,FALSE),0))</f>
        <v>133</v>
      </c>
      <c r="H53" s="57">
        <f t="shared" si="1"/>
        <v>4.3449852989219211E-3</v>
      </c>
      <c r="I53" s="67">
        <f>SUM($G$7:G53)</f>
        <v>30346</v>
      </c>
      <c r="J53" s="59">
        <f t="shared" si="5"/>
        <v>0.99137536752695199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32</v>
      </c>
      <c r="E54" s="54">
        <f t="shared" si="6"/>
        <v>9</v>
      </c>
      <c r="F54" s="55">
        <f t="shared" si="4"/>
        <v>0.63</v>
      </c>
      <c r="G54" s="56">
        <f>IF(D54=D53,"",_xlfn.IFNA(VLOOKUP(D54,'인원 입력 기능(사과탐)'!$P$64:$S$116,4,FALSE),0))</f>
        <v>141</v>
      </c>
      <c r="H54" s="57">
        <f t="shared" si="1"/>
        <v>4.6063377981051942E-3</v>
      </c>
      <c r="I54" s="67">
        <f>SUM($G$7:G54)</f>
        <v>30487</v>
      </c>
      <c r="J54" s="59">
        <f t="shared" si="5"/>
        <v>0.99598170532505714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31</v>
      </c>
      <c r="E55" s="54">
        <f t="shared" si="6"/>
        <v>9</v>
      </c>
      <c r="F55" s="55">
        <f t="shared" si="4"/>
        <v>0.24</v>
      </c>
      <c r="G55" s="56">
        <f>IF(D55=D54,"",_xlfn.IFNA(VLOOKUP(D55,'인원 입력 기능(사과탐)'!$P$64:$S$116,4,FALSE),0))</f>
        <v>97</v>
      </c>
      <c r="H55" s="57">
        <f t="shared" si="1"/>
        <v>3.1688990525971903E-3</v>
      </c>
      <c r="I55" s="67">
        <f>SUM($G$7:G55)</f>
        <v>30584</v>
      </c>
      <c r="J55" s="59">
        <f t="shared" si="5"/>
        <v>0.99915060437765435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30</v>
      </c>
      <c r="E57" s="109">
        <f t="shared" si="6"/>
        <v>9</v>
      </c>
      <c r="F57" s="74">
        <f>IF(I55=0,ROUND(100*(1-(I54+I57)/2/$J$3),2),ROUND(100*(1-(I55+I57)/2/$J$3),2))</f>
        <v>0.04</v>
      </c>
      <c r="G57" s="110">
        <f>_xlfn.IFNA(VLOOKUP(D57,'인원 입력 기능(사과탐)'!$P$64:$S$116,4,FALSE),0)</f>
        <v>26</v>
      </c>
      <c r="H57" s="76">
        <f>G57/$J$3</f>
        <v>8.4939562234563864E-4</v>
      </c>
      <c r="I57" s="77">
        <f>SUM($G$7:G57)</f>
        <v>30610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1">
    <mergeCell ref="I49:I50"/>
    <mergeCell ref="J49:J50"/>
    <mergeCell ref="D49:D50"/>
    <mergeCell ref="E49:E50"/>
    <mergeCell ref="F49:F50"/>
    <mergeCell ref="G49:G50"/>
    <mergeCell ref="H49:H50"/>
    <mergeCell ref="I36:I37"/>
    <mergeCell ref="J36:J37"/>
    <mergeCell ref="D42:D43"/>
    <mergeCell ref="E42:E43"/>
    <mergeCell ref="F42:F43"/>
    <mergeCell ref="G42:G43"/>
    <mergeCell ref="H42:H43"/>
    <mergeCell ref="I42:I43"/>
    <mergeCell ref="J42:J43"/>
    <mergeCell ref="D36:D37"/>
    <mergeCell ref="E36:E37"/>
    <mergeCell ref="F36:F37"/>
    <mergeCell ref="G36:G37"/>
    <mergeCell ref="H36:H37"/>
    <mergeCell ref="I24:I25"/>
    <mergeCell ref="J24:J25"/>
    <mergeCell ref="D30:D31"/>
    <mergeCell ref="E30:E31"/>
    <mergeCell ref="F30:F31"/>
    <mergeCell ref="G30:G31"/>
    <mergeCell ref="H30:H31"/>
    <mergeCell ref="I30:I31"/>
    <mergeCell ref="J30:J31"/>
    <mergeCell ref="D24:D25"/>
    <mergeCell ref="E24:E25"/>
    <mergeCell ref="F24:F25"/>
    <mergeCell ref="G24:G25"/>
    <mergeCell ref="H24:H25"/>
    <mergeCell ref="G11:G12"/>
    <mergeCell ref="H11:H12"/>
    <mergeCell ref="I11:I12"/>
    <mergeCell ref="J11:J12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11:D12"/>
    <mergeCell ref="E11:E12"/>
    <mergeCell ref="F11:F12"/>
  </mergeCells>
  <phoneticPr fontId="1" type="noConversion"/>
  <conditionalFormatting sqref="D7:G11 I7:J11 D13:G18 I13:J18 D20:G24 I20:J24 D26:G30 I26:J30 D32:G36 I32:J36 D38:G42 I38:J42 D44:G49 I44:J49 D51:G57 I51:J57">
    <cfRule type="expression" dxfId="46" priority="4">
      <formula>OR($D7=$Q$7:$Q$14)</formula>
    </cfRule>
  </conditionalFormatting>
  <conditionalFormatting sqref="C7:C57">
    <cfRule type="expression" dxfId="45" priority="3">
      <formula>OR(AND($D7=0,OR($D6=$Q$7:$Q$14)),AND($D8&gt;0,OR($D7=$Q$7:$Q$14)))</formula>
    </cfRule>
  </conditionalFormatting>
  <conditionalFormatting sqref="D7:D11 D13:D18 D20:D24 D26:D30 D32:D36 D38:D42 D44:D49 D51:D57">
    <cfRule type="expression" dxfId="44" priority="2">
      <formula>$D7=$D8</formula>
    </cfRule>
  </conditionalFormatting>
  <conditionalFormatting sqref="H7:H11 H13:H18 H20:H24 H26:H30 H32:H36 H38:H42 H44:H49 H51:H57">
    <cfRule type="expression" dxfId="43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8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기능'!D16</f>
        <v>23.86</v>
      </c>
      <c r="I3" s="21" t="s">
        <v>124</v>
      </c>
      <c r="J3" s="81">
        <f>'통계 및 응시자 수 입력 기능'!C16</f>
        <v>57856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148</v>
      </c>
      <c r="E4" s="153"/>
      <c r="F4" s="154"/>
      <c r="G4" s="83" t="s">
        <v>127</v>
      </c>
      <c r="H4" s="84" t="str">
        <f>'통계 및 응시자 수 입력 기능'!E16</f>
        <v>12.25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71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99.1</v>
      </c>
      <c r="G7" s="56">
        <f>_xlfn.IFNA(VLOOKUP(D7,'인원 입력 기능(사과탐)'!$A$121:$D$172,4,FALSE),0)</f>
        <v>1045</v>
      </c>
      <c r="H7" s="57">
        <f>G7/$J$3</f>
        <v>1.8062085176991149E-2</v>
      </c>
      <c r="I7" s="58">
        <f>G7</f>
        <v>1045</v>
      </c>
      <c r="J7" s="59">
        <f>I7/$J$3</f>
        <v>1.8062085176991149E-2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기능'!C112</f>
        <v>69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기능'!C113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70</v>
      </c>
      <c r="E9" s="54">
        <f t="shared" si="0"/>
        <v>1</v>
      </c>
      <c r="F9" s="55">
        <f>IF(I8=0,ROUND(100*(1-(I7+I9)/2/$J$3),2),ROUND(100*(1-(I8+I9)/2/$J$3),2))</f>
        <v>97.88</v>
      </c>
      <c r="G9" s="56">
        <f>_xlfn.IFNA(VLOOKUP(D9,'인원 입력 기능(사과탐)'!$A$121:$D$172,4,FALSE),0)</f>
        <v>368</v>
      </c>
      <c r="H9" s="57">
        <f t="shared" ref="H9:H55" si="1">G9/$J$3</f>
        <v>6.360619469026549E-3</v>
      </c>
      <c r="I9" s="67">
        <f>SUM($G$7:G9)</f>
        <v>1413</v>
      </c>
      <c r="J9" s="59">
        <f>I9/$J$3</f>
        <v>2.4422704646017698E-2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기능'!C114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69</v>
      </c>
      <c r="E10" s="54">
        <f t="shared" si="0"/>
        <v>1</v>
      </c>
      <c r="F10" s="55">
        <f t="shared" ref="F10:F55" si="4">IF(I9=0,ROUND(100*(1-(I8+I10)/2/$J$3),2),ROUND(100*(1-(I9+I10)/2/$J$3),2))</f>
        <v>96.55</v>
      </c>
      <c r="G10" s="56">
        <f>IF(D10=D9,"",_xlfn.IFNA(VLOOKUP(D10,'인원 입력 기능(사과탐)'!$A$121:$D$172,4,FALSE),0))</f>
        <v>1164</v>
      </c>
      <c r="H10" s="57">
        <f t="shared" si="1"/>
        <v>2.0118915929203538E-2</v>
      </c>
      <c r="I10" s="67">
        <f>SUM($G$7:G10)</f>
        <v>2577</v>
      </c>
      <c r="J10" s="59">
        <f t="shared" ref="J10:J55" si="5">I10/$J$3</f>
        <v>4.4541620575221236E-2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기능'!C115</f>
        <v>53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68</v>
      </c>
      <c r="E11" s="54">
        <f t="shared" si="0"/>
        <v>2</v>
      </c>
      <c r="F11" s="55">
        <f t="shared" si="4"/>
        <v>95.48</v>
      </c>
      <c r="G11" s="56">
        <f>IF(D11=D10,"",_xlfn.IFNA(VLOOKUP(D11,'인원 입력 기능(사과탐)'!$A$121:$D$172,4,FALSE),0))</f>
        <v>77</v>
      </c>
      <c r="H11" s="57">
        <f t="shared" si="1"/>
        <v>1.3308904867256636E-3</v>
      </c>
      <c r="I11" s="67">
        <f>SUM($G$7:G11)</f>
        <v>2654</v>
      </c>
      <c r="J11" s="59">
        <f t="shared" si="5"/>
        <v>4.5872511061946904E-2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기능'!C116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67</v>
      </c>
      <c r="E12" s="54">
        <f t="shared" si="0"/>
        <v>2</v>
      </c>
      <c r="F12" s="55">
        <f t="shared" si="4"/>
        <v>94.69</v>
      </c>
      <c r="G12" s="56">
        <f>IF(D12=D11,"",_xlfn.IFNA(VLOOKUP(D12,'인원 입력 기능(사과탐)'!$A$121:$D$172,4,FALSE),0))</f>
        <v>840</v>
      </c>
      <c r="H12" s="57">
        <f t="shared" si="1"/>
        <v>1.4518805309734513E-2</v>
      </c>
      <c r="I12" s="67">
        <f>SUM($G$7:G12)</f>
        <v>3494</v>
      </c>
      <c r="J12" s="59">
        <f t="shared" si="5"/>
        <v>6.0391316371681415E-2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기능'!C117</f>
        <v>40</v>
      </c>
    </row>
    <row r="13" spans="1:17" s="22" customFormat="1" ht="25" customHeight="1" x14ac:dyDescent="0.45">
      <c r="A13" s="20"/>
      <c r="B13" s="35"/>
      <c r="C13" s="53">
        <v>44</v>
      </c>
      <c r="D13" s="202">
        <f t="shared" si="3"/>
        <v>66</v>
      </c>
      <c r="E13" s="202">
        <f t="shared" si="0"/>
        <v>2</v>
      </c>
      <c r="F13" s="199">
        <f t="shared" si="4"/>
        <v>92.83</v>
      </c>
      <c r="G13" s="196">
        <f>IF(D13=D12,"",_xlfn.IFNA(VLOOKUP(D13,'인원 입력 기능(사과탐)'!$A$121:$D$172,4,FALSE),0))</f>
        <v>1307</v>
      </c>
      <c r="H13" s="192">
        <f t="shared" si="1"/>
        <v>2.2590569690265488E-2</v>
      </c>
      <c r="I13" s="189">
        <f>SUM($G$7:G13)</f>
        <v>4801</v>
      </c>
      <c r="J13" s="162">
        <f t="shared" si="5"/>
        <v>8.2981886061946897E-2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기능'!C118</f>
        <v>37</v>
      </c>
    </row>
    <row r="14" spans="1:17" s="22" customFormat="1" ht="25" customHeight="1" x14ac:dyDescent="0.45">
      <c r="A14" s="20"/>
      <c r="B14" s="35"/>
      <c r="C14" s="60">
        <v>43</v>
      </c>
      <c r="D14" s="201"/>
      <c r="E14" s="201"/>
      <c r="F14" s="198"/>
      <c r="G14" s="195"/>
      <c r="H14" s="194"/>
      <c r="I14" s="191"/>
      <c r="J14" s="188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기능'!C119</f>
        <v>36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65</v>
      </c>
      <c r="E15" s="54">
        <f t="shared" si="0"/>
        <v>2</v>
      </c>
      <c r="F15" s="55">
        <f t="shared" si="4"/>
        <v>90.71</v>
      </c>
      <c r="G15" s="56">
        <f>IF(D15=D14,"",_xlfn.IFNA(VLOOKUP(D15,'인원 입력 기능(사과탐)'!$A$121:$D$172,4,FALSE),0))</f>
        <v>1149</v>
      </c>
      <c r="H15" s="57">
        <f t="shared" si="1"/>
        <v>1.9859651548672565E-2</v>
      </c>
      <c r="I15" s="67">
        <f>SUM($G$7:G15)</f>
        <v>5950</v>
      </c>
      <c r="J15" s="59">
        <f t="shared" si="5"/>
        <v>0.10284153761061947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64</v>
      </c>
      <c r="E16" s="54">
        <f t="shared" si="0"/>
        <v>2</v>
      </c>
      <c r="F16" s="55">
        <f t="shared" si="4"/>
        <v>89.08</v>
      </c>
      <c r="G16" s="56">
        <f>IF(D16=D15,"",_xlfn.IFNA(VLOOKUP(D16,'인원 입력 기능(사과탐)'!$A$121:$D$172,4,FALSE),0))</f>
        <v>739</v>
      </c>
      <c r="H16" s="57">
        <f t="shared" si="1"/>
        <v>1.2773091814159292E-2</v>
      </c>
      <c r="I16" s="67">
        <f>SUM($G$7:G16)</f>
        <v>6689</v>
      </c>
      <c r="J16" s="59">
        <f t="shared" si="5"/>
        <v>0.11561462942477876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63</v>
      </c>
      <c r="E17" s="54">
        <f t="shared" si="0"/>
        <v>3</v>
      </c>
      <c r="F17" s="55">
        <f t="shared" si="4"/>
        <v>87.75</v>
      </c>
      <c r="G17" s="56">
        <f>IF(D17=D16,"",_xlfn.IFNA(VLOOKUP(D17,'인원 입력 기능(사과탐)'!$A$121:$D$172,4,FALSE),0))</f>
        <v>796</v>
      </c>
      <c r="H17" s="57">
        <f t="shared" si="1"/>
        <v>1.3758296460176992E-2</v>
      </c>
      <c r="I17" s="67">
        <f>SUM($G$7:G17)</f>
        <v>7485</v>
      </c>
      <c r="J17" s="59">
        <f t="shared" si="5"/>
        <v>0.12937292588495575</v>
      </c>
      <c r="K17" s="36"/>
      <c r="L17" s="20" t="str">
        <f t="shared" si="2"/>
        <v/>
      </c>
      <c r="N17" s="24"/>
      <c r="Q17" s="24">
        <f>Q7*H3*H4*J3*IFERROR(IF(J57=1, 1, 0), 0)</f>
        <v>1166820426.2399998</v>
      </c>
    </row>
    <row r="18" spans="1:17" s="22" customFormat="1" ht="25" customHeight="1" x14ac:dyDescent="0.45">
      <c r="A18" s="20"/>
      <c r="B18" s="35"/>
      <c r="C18" s="60">
        <v>39</v>
      </c>
      <c r="D18" s="202">
        <f t="shared" si="3"/>
        <v>62</v>
      </c>
      <c r="E18" s="202">
        <f t="shared" si="0"/>
        <v>3</v>
      </c>
      <c r="F18" s="199">
        <f t="shared" si="4"/>
        <v>85.31</v>
      </c>
      <c r="G18" s="196">
        <f>IF(D18=D17,"",_xlfn.IFNA(VLOOKUP(D18,'인원 입력 기능(사과탐)'!$A$121:$D$172,4,FALSE),0))</f>
        <v>2026</v>
      </c>
      <c r="H18" s="192">
        <f t="shared" si="1"/>
        <v>3.5017975663716817E-2</v>
      </c>
      <c r="I18" s="189">
        <f>SUM($G$7:G18)</f>
        <v>9511</v>
      </c>
      <c r="J18" s="162">
        <f t="shared" si="5"/>
        <v>0.16439090154867256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201"/>
      <c r="E19" s="201"/>
      <c r="F19" s="198"/>
      <c r="G19" s="195"/>
      <c r="H19" s="194"/>
      <c r="I19" s="191"/>
      <c r="J19" s="188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61</v>
      </c>
      <c r="E20" s="54">
        <f t="shared" si="0"/>
        <v>3</v>
      </c>
      <c r="F20" s="55">
        <f t="shared" si="4"/>
        <v>82.54</v>
      </c>
      <c r="G20" s="56">
        <f>IF(D20=D19,"",_xlfn.IFNA(VLOOKUP(D20,'인원 입력 기능(사과탐)'!$A$121:$D$172,4,FALSE),0))</f>
        <v>1179</v>
      </c>
      <c r="H20" s="57">
        <f t="shared" si="1"/>
        <v>2.0378180309734512E-2</v>
      </c>
      <c r="I20" s="67">
        <f>SUM($G$7:G20)</f>
        <v>10690</v>
      </c>
      <c r="J20" s="59">
        <f t="shared" si="5"/>
        <v>0.18476908185840707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60</v>
      </c>
      <c r="E21" s="68">
        <f t="shared" si="0"/>
        <v>3</v>
      </c>
      <c r="F21" s="55">
        <f t="shared" si="4"/>
        <v>80.540000000000006</v>
      </c>
      <c r="G21" s="56">
        <f>IF(D21=D20,"",_xlfn.IFNA(VLOOKUP(D21,'인원 입력 기능(사과탐)'!$A$121:$D$172,4,FALSE),0))</f>
        <v>1136</v>
      </c>
      <c r="H21" s="57">
        <f t="shared" si="1"/>
        <v>1.9634955752212389E-2</v>
      </c>
      <c r="I21" s="67">
        <f>SUM($G$7:G21)</f>
        <v>11826</v>
      </c>
      <c r="J21" s="59">
        <f t="shared" si="5"/>
        <v>0.20440403761061948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59</v>
      </c>
      <c r="E22" s="68">
        <f t="shared" si="0"/>
        <v>3</v>
      </c>
      <c r="F22" s="55">
        <f t="shared" si="4"/>
        <v>78.75</v>
      </c>
      <c r="G22" s="56">
        <f>IF(D22=D21,"",_xlfn.IFNA(VLOOKUP(D22,'인원 입력 기능(사과탐)'!$A$121:$D$172,4,FALSE),0))</f>
        <v>935</v>
      </c>
      <c r="H22" s="57">
        <f t="shared" si="1"/>
        <v>1.6160813053097346E-2</v>
      </c>
      <c r="I22" s="67">
        <f>SUM($G$7:G22)</f>
        <v>12761</v>
      </c>
      <c r="J22" s="59">
        <f t="shared" si="5"/>
        <v>0.22056485066371681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58</v>
      </c>
      <c r="E23" s="68">
        <f t="shared" si="0"/>
        <v>3</v>
      </c>
      <c r="F23" s="55">
        <f t="shared" si="4"/>
        <v>76.709999999999994</v>
      </c>
      <c r="G23" s="56">
        <f>IF(D23=D22,"",_xlfn.IFNA(VLOOKUP(D23,'인원 입력 기능(사과탐)'!$A$121:$D$172,4,FALSE),0))</f>
        <v>1423</v>
      </c>
      <c r="H23" s="57">
        <f t="shared" si="1"/>
        <v>2.4595547566371681E-2</v>
      </c>
      <c r="I23" s="67">
        <f>SUM($G$7:G23)</f>
        <v>14184</v>
      </c>
      <c r="J23" s="59">
        <f t="shared" si="5"/>
        <v>0.24516039823008851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212">
        <f t="shared" si="3"/>
        <v>57</v>
      </c>
      <c r="E24" s="212">
        <f t="shared" si="0"/>
        <v>4</v>
      </c>
      <c r="F24" s="199">
        <f t="shared" si="4"/>
        <v>73.400000000000006</v>
      </c>
      <c r="G24" s="196">
        <f>IF(D24=D23,"",_xlfn.IFNA(VLOOKUP(D24,'인원 입력 기능(사과탐)'!$A$121:$D$172,4,FALSE),0))</f>
        <v>2414</v>
      </c>
      <c r="H24" s="192">
        <f t="shared" si="1"/>
        <v>4.1724280973451329E-2</v>
      </c>
      <c r="I24" s="189">
        <f>SUM($G$7:G24)</f>
        <v>16598</v>
      </c>
      <c r="J24" s="162">
        <f t="shared" si="5"/>
        <v>0.28688467920353983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211"/>
      <c r="E25" s="211"/>
      <c r="F25" s="198"/>
      <c r="G25" s="195"/>
      <c r="H25" s="194"/>
      <c r="I25" s="191"/>
      <c r="J25" s="188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56</v>
      </c>
      <c r="E26" s="68">
        <f t="shared" si="0"/>
        <v>4</v>
      </c>
      <c r="F26" s="55">
        <f t="shared" si="4"/>
        <v>70.12</v>
      </c>
      <c r="G26" s="56">
        <f>IF(D26=D25,"",_xlfn.IFNA(VLOOKUP(D26,'인원 입력 기능(사과탐)'!$A$121:$D$172,4,FALSE),0))</f>
        <v>1373</v>
      </c>
      <c r="H26" s="57">
        <f t="shared" si="1"/>
        <v>2.3731332964601771E-2</v>
      </c>
      <c r="I26" s="67">
        <f>SUM($G$7:G26)</f>
        <v>17971</v>
      </c>
      <c r="J26" s="59">
        <f t="shared" si="5"/>
        <v>0.31061601216814161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55</v>
      </c>
      <c r="E27" s="68">
        <f t="shared" si="0"/>
        <v>4</v>
      </c>
      <c r="F27" s="55">
        <f t="shared" si="4"/>
        <v>67.930000000000007</v>
      </c>
      <c r="G27" s="56">
        <f>IF(D27=D26,"",_xlfn.IFNA(VLOOKUP(D27,'인원 입력 기능(사과탐)'!$A$121:$D$172,4,FALSE),0))</f>
        <v>1167</v>
      </c>
      <c r="H27" s="57">
        <f t="shared" si="1"/>
        <v>2.0170768805309734E-2</v>
      </c>
      <c r="I27" s="67">
        <f>SUM($G$7:G27)</f>
        <v>19138</v>
      </c>
      <c r="J27" s="59">
        <f t="shared" si="5"/>
        <v>0.33078678097345132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54</v>
      </c>
      <c r="E28" s="68">
        <f t="shared" si="0"/>
        <v>4</v>
      </c>
      <c r="F28" s="55">
        <f t="shared" si="4"/>
        <v>65.59</v>
      </c>
      <c r="G28" s="56">
        <f>IF(D28=D27,"",_xlfn.IFNA(VLOOKUP(D28,'인원 입력 기능(사과탐)'!$A$121:$D$172,4,FALSE),0))</f>
        <v>1535</v>
      </c>
      <c r="H28" s="57">
        <f t="shared" si="1"/>
        <v>2.6531388274336282E-2</v>
      </c>
      <c r="I28" s="67">
        <f>SUM($G$7:G28)</f>
        <v>20673</v>
      </c>
      <c r="J28" s="59">
        <f t="shared" si="5"/>
        <v>0.35731816924778759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212">
        <f t="shared" si="3"/>
        <v>53</v>
      </c>
      <c r="E29" s="212">
        <f t="shared" si="0"/>
        <v>4</v>
      </c>
      <c r="F29" s="199">
        <f t="shared" si="4"/>
        <v>61.84</v>
      </c>
      <c r="G29" s="196">
        <f>IF(D29=D28,"",_xlfn.IFNA(VLOOKUP(D29,'인원 입력 기능(사과탐)'!$A$121:$D$172,4,FALSE),0))</f>
        <v>2809</v>
      </c>
      <c r="H29" s="192">
        <f t="shared" si="1"/>
        <v>4.8551576327433628E-2</v>
      </c>
      <c r="I29" s="189">
        <f>SUM($G$7:G29)</f>
        <v>23482</v>
      </c>
      <c r="J29" s="162">
        <f t="shared" si="5"/>
        <v>0.40586974557522126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211"/>
      <c r="E30" s="211"/>
      <c r="F30" s="198"/>
      <c r="G30" s="195"/>
      <c r="H30" s="194"/>
      <c r="I30" s="191"/>
      <c r="J30" s="188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52</v>
      </c>
      <c r="E31" s="68">
        <f t="shared" si="0"/>
        <v>5</v>
      </c>
      <c r="F31" s="55">
        <f t="shared" si="4"/>
        <v>58.05</v>
      </c>
      <c r="G31" s="56">
        <f>IF(D31=D30,"",_xlfn.IFNA(VLOOKUP(D31,'인원 입력 기능(사과탐)'!$A$121:$D$172,4,FALSE),0))</f>
        <v>1572</v>
      </c>
      <c r="H31" s="57">
        <f t="shared" si="1"/>
        <v>2.7170907079646017E-2</v>
      </c>
      <c r="I31" s="67">
        <f>SUM($G$7:G31)</f>
        <v>25054</v>
      </c>
      <c r="J31" s="59">
        <f t="shared" si="5"/>
        <v>0.43304065265486724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51</v>
      </c>
      <c r="E32" s="68">
        <f t="shared" si="0"/>
        <v>5</v>
      </c>
      <c r="F32" s="55">
        <f t="shared" si="4"/>
        <v>55.44</v>
      </c>
      <c r="G32" s="56">
        <f>IF(D32=D31,"",_xlfn.IFNA(VLOOKUP(D32,'인원 입력 기능(사과탐)'!$A$121:$D$172,4,FALSE),0))</f>
        <v>1455</v>
      </c>
      <c r="H32" s="57">
        <f t="shared" si="1"/>
        <v>2.5148644911504425E-2</v>
      </c>
      <c r="I32" s="67">
        <f>SUM($G$7:G32)</f>
        <v>26509</v>
      </c>
      <c r="J32" s="59">
        <f t="shared" si="5"/>
        <v>0.45818929756637167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50</v>
      </c>
      <c r="E33" s="68">
        <f t="shared" si="0"/>
        <v>5</v>
      </c>
      <c r="F33" s="55">
        <f t="shared" si="4"/>
        <v>52.66</v>
      </c>
      <c r="G33" s="56">
        <f>IF(D33=D32,"",_xlfn.IFNA(VLOOKUP(D33,'인원 입력 기능(사과탐)'!$A$121:$D$172,4,FALSE),0))</f>
        <v>1762</v>
      </c>
      <c r="H33" s="57">
        <f t="shared" si="1"/>
        <v>3.0454922566371681E-2</v>
      </c>
      <c r="I33" s="67">
        <f>SUM($G$7:G33)</f>
        <v>28271</v>
      </c>
      <c r="J33" s="59">
        <f t="shared" si="5"/>
        <v>0.48864422013274339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49</v>
      </c>
      <c r="E34" s="68">
        <f t="shared" si="0"/>
        <v>5</v>
      </c>
      <c r="F34" s="55">
        <f t="shared" si="4"/>
        <v>49.93</v>
      </c>
      <c r="G34" s="56">
        <f>IF(D34=D33,"",_xlfn.IFNA(VLOOKUP(D34,'인원 입력 기능(사과탐)'!$A$121:$D$172,4,FALSE),0))</f>
        <v>1395</v>
      </c>
      <c r="H34" s="57">
        <f t="shared" si="1"/>
        <v>2.4111587389380532E-2</v>
      </c>
      <c r="I34" s="67">
        <f>SUM($G$7:G34)</f>
        <v>29666</v>
      </c>
      <c r="J34" s="59">
        <f t="shared" si="5"/>
        <v>0.51275580752212391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212">
        <f t="shared" si="3"/>
        <v>48</v>
      </c>
      <c r="E35" s="212">
        <f t="shared" si="0"/>
        <v>5</v>
      </c>
      <c r="F35" s="199">
        <f t="shared" si="4"/>
        <v>46.08</v>
      </c>
      <c r="G35" s="196">
        <f>IF(D35=D34,"",_xlfn.IFNA(VLOOKUP(D35,'인원 입력 기능(사과탐)'!$A$121:$D$172,4,FALSE),0))</f>
        <v>3056</v>
      </c>
      <c r="H35" s="192">
        <f t="shared" si="1"/>
        <v>5.282079646017699E-2</v>
      </c>
      <c r="I35" s="189">
        <f>SUM($G$7:G35)</f>
        <v>32722</v>
      </c>
      <c r="J35" s="162">
        <f t="shared" si="5"/>
        <v>0.56557660398230092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211"/>
      <c r="E36" s="211"/>
      <c r="F36" s="198"/>
      <c r="G36" s="195"/>
      <c r="H36" s="194"/>
      <c r="I36" s="191"/>
      <c r="J36" s="188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47</v>
      </c>
      <c r="E37" s="68">
        <f t="shared" si="0"/>
        <v>5</v>
      </c>
      <c r="F37" s="55">
        <f t="shared" si="4"/>
        <v>42.27</v>
      </c>
      <c r="G37" s="56">
        <f>IF(D37=D36,"",_xlfn.IFNA(VLOOKUP(D37,'인원 입력 기능(사과탐)'!$A$121:$D$172,4,FALSE),0))</f>
        <v>1362</v>
      </c>
      <c r="H37" s="57">
        <f t="shared" si="1"/>
        <v>2.3541205752212389E-2</v>
      </c>
      <c r="I37" s="67">
        <f>SUM($G$7:G37)</f>
        <v>34084</v>
      </c>
      <c r="J37" s="59">
        <f t="shared" si="5"/>
        <v>0.58911780973451322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46</v>
      </c>
      <c r="E38" s="68">
        <f t="shared" si="0"/>
        <v>5</v>
      </c>
      <c r="F38" s="55">
        <f t="shared" si="4"/>
        <v>39.64</v>
      </c>
      <c r="G38" s="56">
        <f>IF(D38=D37,"",_xlfn.IFNA(VLOOKUP(D38,'인원 입력 기능(사과탐)'!$A$121:$D$172,4,FALSE),0))</f>
        <v>1680</v>
      </c>
      <c r="H38" s="57">
        <f t="shared" si="1"/>
        <v>2.9037610619469027E-2</v>
      </c>
      <c r="I38" s="67">
        <f>SUM($G$7:G38)</f>
        <v>35764</v>
      </c>
      <c r="J38" s="59">
        <f t="shared" si="5"/>
        <v>0.6181554203539823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45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37.090000000000003</v>
      </c>
      <c r="G39" s="56">
        <f>IF(D39=D38,"",_xlfn.IFNA(VLOOKUP(D39,'인원 입력 기능(사과탐)'!$A$121:$D$172,4,FALSE),0))</f>
        <v>1267</v>
      </c>
      <c r="H39" s="57">
        <f t="shared" si="1"/>
        <v>2.1899198008849558E-2</v>
      </c>
      <c r="I39" s="67">
        <f>SUM($G$7:G39)</f>
        <v>37031</v>
      </c>
      <c r="J39" s="59">
        <f t="shared" si="5"/>
        <v>0.64005461836283184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212">
        <f t="shared" si="3"/>
        <v>44</v>
      </c>
      <c r="E40" s="212">
        <f t="shared" si="6"/>
        <v>6</v>
      </c>
      <c r="F40" s="199">
        <f t="shared" si="4"/>
        <v>33.51</v>
      </c>
      <c r="G40" s="196">
        <f>IF(D40=D39,"",_xlfn.IFNA(VLOOKUP(D40,'인원 입력 기능(사과탐)'!$A$121:$D$172,4,FALSE),0))</f>
        <v>2872</v>
      </c>
      <c r="H40" s="192">
        <f t="shared" si="1"/>
        <v>4.9640486725663714E-2</v>
      </c>
      <c r="I40" s="189">
        <f>SUM($G$7:G40)</f>
        <v>39903</v>
      </c>
      <c r="J40" s="162">
        <f t="shared" si="5"/>
        <v>0.68969510508849563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211"/>
      <c r="E41" s="211"/>
      <c r="F41" s="198"/>
      <c r="G41" s="195"/>
      <c r="H41" s="194"/>
      <c r="I41" s="191"/>
      <c r="J41" s="188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43</v>
      </c>
      <c r="E42" s="68">
        <f t="shared" si="6"/>
        <v>6</v>
      </c>
      <c r="F42" s="55">
        <f t="shared" si="4"/>
        <v>29.93</v>
      </c>
      <c r="G42" s="56">
        <f>IF(D42=D41,"",_xlfn.IFNA(VLOOKUP(D42,'인원 입력 기능(사과탐)'!$A$121:$D$172,4,FALSE),0))</f>
        <v>1273</v>
      </c>
      <c r="H42" s="57">
        <f t="shared" si="1"/>
        <v>2.2002903761061947E-2</v>
      </c>
      <c r="I42" s="67">
        <f>SUM($G$7:G42)</f>
        <v>41176</v>
      </c>
      <c r="J42" s="59">
        <f t="shared" si="5"/>
        <v>0.71169800884955747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42</v>
      </c>
      <c r="E43" s="68">
        <f t="shared" si="6"/>
        <v>6</v>
      </c>
      <c r="F43" s="55">
        <f t="shared" si="4"/>
        <v>27.65</v>
      </c>
      <c r="G43" s="56">
        <f>IF(D43=D42,"",_xlfn.IFNA(VLOOKUP(D43,'인원 입력 기능(사과탐)'!$A$121:$D$172,4,FALSE),0))</f>
        <v>1371</v>
      </c>
      <c r="H43" s="57">
        <f t="shared" si="1"/>
        <v>2.3696764380530973E-2</v>
      </c>
      <c r="I43" s="67">
        <f>SUM($G$7:G43)</f>
        <v>42547</v>
      </c>
      <c r="J43" s="59">
        <f t="shared" si="5"/>
        <v>0.73539477323008851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41</v>
      </c>
      <c r="E44" s="68">
        <f t="shared" si="6"/>
        <v>6</v>
      </c>
      <c r="F44" s="55">
        <f t="shared" si="4"/>
        <v>25.01</v>
      </c>
      <c r="G44" s="56">
        <f>IF(D44=D43,"",_xlfn.IFNA(VLOOKUP(D44,'인원 입력 기능(사과탐)'!$A$121:$D$172,4,FALSE),0))</f>
        <v>1680</v>
      </c>
      <c r="H44" s="57">
        <f t="shared" si="1"/>
        <v>2.9037610619469027E-2</v>
      </c>
      <c r="I44" s="67">
        <f>SUM($G$7:G44)</f>
        <v>44227</v>
      </c>
      <c r="J44" s="59">
        <f t="shared" si="5"/>
        <v>0.76443238384955747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212">
        <f t="shared" si="3"/>
        <v>40</v>
      </c>
      <c r="E45" s="212">
        <f t="shared" si="6"/>
        <v>6</v>
      </c>
      <c r="F45" s="199">
        <f t="shared" si="4"/>
        <v>20.76</v>
      </c>
      <c r="G45" s="196">
        <f>IF(D45=D44,"",_xlfn.IFNA(VLOOKUP(D45,'인원 입력 기능(사과탐)'!$A$121:$D$172,4,FALSE),0))</f>
        <v>3234</v>
      </c>
      <c r="H45" s="192">
        <f t="shared" si="1"/>
        <v>5.5897400442477874E-2</v>
      </c>
      <c r="I45" s="189">
        <f>SUM($G$7:G45)</f>
        <v>47461</v>
      </c>
      <c r="J45" s="162">
        <f t="shared" si="5"/>
        <v>0.8203297842920354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211"/>
      <c r="E46" s="211"/>
      <c r="F46" s="198"/>
      <c r="G46" s="195"/>
      <c r="H46" s="194"/>
      <c r="I46" s="191"/>
      <c r="J46" s="188"/>
      <c r="K46" s="36"/>
      <c r="L46" s="20" t="str">
        <f t="shared" si="2"/>
        <v>경고</v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39</v>
      </c>
      <c r="E47" s="68">
        <f t="shared" si="6"/>
        <v>7</v>
      </c>
      <c r="F47" s="55">
        <f t="shared" si="4"/>
        <v>15.73</v>
      </c>
      <c r="G47" s="56">
        <f>IF(D47=D46,"",_xlfn.IFNA(VLOOKUP(D47,'인원 입력 기능(사과탐)'!$A$121:$D$172,4,FALSE),0))</f>
        <v>2593</v>
      </c>
      <c r="H47" s="57">
        <f t="shared" si="1"/>
        <v>4.4818169247787608E-2</v>
      </c>
      <c r="I47" s="67">
        <f>SUM($G$7:G47)</f>
        <v>50054</v>
      </c>
      <c r="J47" s="59">
        <f t="shared" si="5"/>
        <v>0.86514795353982299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38</v>
      </c>
      <c r="E48" s="68">
        <f t="shared" si="6"/>
        <v>7</v>
      </c>
      <c r="F48" s="55">
        <f t="shared" si="4"/>
        <v>12.53</v>
      </c>
      <c r="G48" s="56">
        <f>IF(D48=D47,"",_xlfn.IFNA(VLOOKUP(D48,'인원 입력 기능(사과탐)'!$A$121:$D$172,4,FALSE),0))</f>
        <v>1106</v>
      </c>
      <c r="H48" s="57">
        <f t="shared" si="1"/>
        <v>1.9116426991150442E-2</v>
      </c>
      <c r="I48" s="67">
        <f>SUM($G$7:G48)</f>
        <v>51160</v>
      </c>
      <c r="J48" s="59">
        <f t="shared" si="5"/>
        <v>0.88426438053097345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37</v>
      </c>
      <c r="E49" s="68">
        <f t="shared" si="6"/>
        <v>7</v>
      </c>
      <c r="F49" s="55">
        <f t="shared" si="4"/>
        <v>10.94</v>
      </c>
      <c r="G49" s="56">
        <f>IF(D49=D48,"",_xlfn.IFNA(VLOOKUP(D49,'인원 입력 기능(사과탐)'!$A$121:$D$172,4,FALSE),0))</f>
        <v>733</v>
      </c>
      <c r="H49" s="57">
        <f t="shared" si="1"/>
        <v>1.2669386061946902E-2</v>
      </c>
      <c r="I49" s="67">
        <f>SUM($G$7:G49)</f>
        <v>51893</v>
      </c>
      <c r="J49" s="59">
        <f t="shared" si="5"/>
        <v>0.89693376659292035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36</v>
      </c>
      <c r="E50" s="68">
        <f t="shared" si="6"/>
        <v>8</v>
      </c>
      <c r="F50" s="55">
        <f t="shared" si="4"/>
        <v>6.8</v>
      </c>
      <c r="G50" s="56">
        <f>IF(D50=D49,"",_xlfn.IFNA(VLOOKUP(D50,'인원 입력 기능(사과탐)'!$A$121:$D$172,4,FALSE),0))</f>
        <v>4054</v>
      </c>
      <c r="H50" s="57">
        <f t="shared" si="1"/>
        <v>7.0070519911504425E-2</v>
      </c>
      <c r="I50" s="67">
        <f>SUM($G$7:G50)</f>
        <v>55947</v>
      </c>
      <c r="J50" s="59">
        <f t="shared" si="5"/>
        <v>0.96700428650442483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212">
        <f t="shared" si="3"/>
        <v>35</v>
      </c>
      <c r="E51" s="212">
        <f t="shared" si="6"/>
        <v>9</v>
      </c>
      <c r="F51" s="199">
        <f t="shared" si="4"/>
        <v>2.37</v>
      </c>
      <c r="G51" s="196">
        <f>IF(D51=D50,"",_xlfn.IFNA(VLOOKUP(D51,'인원 입력 기능(사과탐)'!$A$121:$D$172,4,FALSE),0))</f>
        <v>1073</v>
      </c>
      <c r="H51" s="192">
        <f t="shared" si="1"/>
        <v>1.8546045353982302E-2</v>
      </c>
      <c r="I51" s="189">
        <f>SUM($G$7:G51)</f>
        <v>57020</v>
      </c>
      <c r="J51" s="162">
        <f t="shared" si="5"/>
        <v>0.98555033185840712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211"/>
      <c r="E52" s="211"/>
      <c r="F52" s="198"/>
      <c r="G52" s="195"/>
      <c r="H52" s="194"/>
      <c r="I52" s="191"/>
      <c r="J52" s="188"/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34</v>
      </c>
      <c r="E53" s="54">
        <f t="shared" si="6"/>
        <v>9</v>
      </c>
      <c r="F53" s="55">
        <f t="shared" si="4"/>
        <v>1.1000000000000001</v>
      </c>
      <c r="G53" s="56">
        <f>IF(D53=D52,"",_xlfn.IFNA(VLOOKUP(D53,'인원 입력 기능(사과탐)'!$A$121:$D$172,4,FALSE),0))</f>
        <v>398</v>
      </c>
      <c r="H53" s="57">
        <f t="shared" si="1"/>
        <v>6.8791482300884959E-3</v>
      </c>
      <c r="I53" s="67">
        <f>SUM($G$7:G53)</f>
        <v>57418</v>
      </c>
      <c r="J53" s="59">
        <f t="shared" si="5"/>
        <v>0.99242948008849563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33</v>
      </c>
      <c r="E54" s="54">
        <f t="shared" si="6"/>
        <v>9</v>
      </c>
      <c r="F54" s="55">
        <f t="shared" si="4"/>
        <v>0.63</v>
      </c>
      <c r="G54" s="56">
        <f>IF(D54=D53,"",_xlfn.IFNA(VLOOKUP(D54,'인원 입력 기능(사과탐)'!$A$121:$D$172,4,FALSE),0))</f>
        <v>152</v>
      </c>
      <c r="H54" s="57">
        <f t="shared" si="1"/>
        <v>2.6272123893805312E-3</v>
      </c>
      <c r="I54" s="67">
        <f>SUM($G$7:G54)</f>
        <v>57570</v>
      </c>
      <c r="J54" s="59">
        <f t="shared" si="5"/>
        <v>0.99505669247787609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32</v>
      </c>
      <c r="E55" s="54">
        <f t="shared" si="6"/>
        <v>9</v>
      </c>
      <c r="F55" s="55">
        <f t="shared" si="4"/>
        <v>0.31</v>
      </c>
      <c r="G55" s="56">
        <f>IF(D55=D54,"",_xlfn.IFNA(VLOOKUP(D55,'인원 입력 기능(사과탐)'!$A$121:$D$172,4,FALSE),0))</f>
        <v>212</v>
      </c>
      <c r="H55" s="57">
        <f t="shared" si="1"/>
        <v>3.6642699115044248E-3</v>
      </c>
      <c r="I55" s="67">
        <f>SUM($G$7:G55)</f>
        <v>57782</v>
      </c>
      <c r="J55" s="59">
        <f t="shared" si="5"/>
        <v>0.99872096238938057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31</v>
      </c>
      <c r="E57" s="109">
        <f t="shared" si="6"/>
        <v>9</v>
      </c>
      <c r="F57" s="74">
        <f>IF(I55=0,ROUND(100*(1-(I54+I57)/2/$J$3),2),ROUND(100*(1-(I55+I57)/2/$J$3),2))</f>
        <v>0.06</v>
      </c>
      <c r="G57" s="110">
        <f>_xlfn.IFNA(VLOOKUP(D57,'인원 입력 기능(사과탐)'!$A$121:$D$172,4,FALSE),0)</f>
        <v>74</v>
      </c>
      <c r="H57" s="76">
        <f>G57/$J$3</f>
        <v>1.2790376106194691E-3</v>
      </c>
      <c r="I57" s="77">
        <f>SUM($G$7:G57)</f>
        <v>57856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8">
    <mergeCell ref="I45:I46"/>
    <mergeCell ref="J45:J46"/>
    <mergeCell ref="D51:D52"/>
    <mergeCell ref="E51:E52"/>
    <mergeCell ref="F51:F52"/>
    <mergeCell ref="G51:G52"/>
    <mergeCell ref="H51:H52"/>
    <mergeCell ref="I51:I52"/>
    <mergeCell ref="J51:J52"/>
    <mergeCell ref="D45:D46"/>
    <mergeCell ref="E45:E46"/>
    <mergeCell ref="F45:F46"/>
    <mergeCell ref="G45:G46"/>
    <mergeCell ref="H45:H46"/>
    <mergeCell ref="I35:I36"/>
    <mergeCell ref="J35:J36"/>
    <mergeCell ref="D40:D41"/>
    <mergeCell ref="E40:E41"/>
    <mergeCell ref="F40:F41"/>
    <mergeCell ref="G40:G41"/>
    <mergeCell ref="H40:H41"/>
    <mergeCell ref="I40:I41"/>
    <mergeCell ref="J40:J41"/>
    <mergeCell ref="D35:D36"/>
    <mergeCell ref="E35:E36"/>
    <mergeCell ref="F35:F36"/>
    <mergeCell ref="G35:G36"/>
    <mergeCell ref="H35:H36"/>
    <mergeCell ref="I24:I25"/>
    <mergeCell ref="J24:J25"/>
    <mergeCell ref="D29:D30"/>
    <mergeCell ref="E29:E30"/>
    <mergeCell ref="F29:F30"/>
    <mergeCell ref="G29:G30"/>
    <mergeCell ref="H29:H30"/>
    <mergeCell ref="I29:I30"/>
    <mergeCell ref="J29:J30"/>
    <mergeCell ref="D24:D25"/>
    <mergeCell ref="E24:E25"/>
    <mergeCell ref="F24:F25"/>
    <mergeCell ref="G24:G25"/>
    <mergeCell ref="H24:H25"/>
    <mergeCell ref="G13:G14"/>
    <mergeCell ref="H13:H14"/>
    <mergeCell ref="I13:I14"/>
    <mergeCell ref="J13:J14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13:D14"/>
    <mergeCell ref="E13:E14"/>
    <mergeCell ref="F13:F14"/>
  </mergeCells>
  <phoneticPr fontId="1" type="noConversion"/>
  <conditionalFormatting sqref="D7:G13 I7:J13 D15:G18 I15:J18 D20:G24 I20:J24 D26:G29 I26:J29 D31:G35 I31:J35 D37:G40 I37:J40 D42:G45 I42:J45 D47:G51 I47:J51 D53:G57 I53:J57">
    <cfRule type="expression" dxfId="42" priority="4">
      <formula>OR($D7=$Q$7:$Q$14)</formula>
    </cfRule>
  </conditionalFormatting>
  <conditionalFormatting sqref="C7:C57">
    <cfRule type="expression" dxfId="41" priority="3">
      <formula>OR(AND($D7=0,OR($D6=$Q$7:$Q$14)),AND($D8&gt;0,OR($D7=$Q$7:$Q$14)))</formula>
    </cfRule>
  </conditionalFormatting>
  <conditionalFormatting sqref="D7:D13 D15:D18 D20:D24 D26:D29 D31:D35 D37:D40 D42:D45 D47:D51 D53:D57">
    <cfRule type="expression" dxfId="40" priority="2">
      <formula>$D7=$D8</formula>
    </cfRule>
  </conditionalFormatting>
  <conditionalFormatting sqref="H7:H13 H15:H18 H20:H24 H26:H29 H31:H35 H37:H40 H42:H45 H47:H51 H53:H57">
    <cfRule type="expression" dxfId="39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9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기능'!D17</f>
        <v>25.39</v>
      </c>
      <c r="I3" s="21" t="s">
        <v>124</v>
      </c>
      <c r="J3" s="81">
        <f>'통계 및 응시자 수 입력 기능'!C17</f>
        <v>48172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147</v>
      </c>
      <c r="E4" s="153"/>
      <c r="F4" s="154"/>
      <c r="G4" s="83" t="s">
        <v>127</v>
      </c>
      <c r="H4" s="84" t="str">
        <f>'통계 및 응시자 수 입력 기능'!E17</f>
        <v>12.28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70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99.05</v>
      </c>
      <c r="G7" s="56">
        <f>_xlfn.IFNA(VLOOKUP(D7,'인원 입력 기능(사과탐)'!$A$177:$D$231,4,FALSE),0)</f>
        <v>919</v>
      </c>
      <c r="H7" s="57">
        <f>G7/$J$3</f>
        <v>1.9077472390600349E-2</v>
      </c>
      <c r="I7" s="58">
        <f>G7</f>
        <v>919</v>
      </c>
      <c r="J7" s="59">
        <f>I7/$J$3</f>
        <v>1.9077472390600349E-2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기능'!C121</f>
        <v>68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기능'!C122</f>
        <v>64</v>
      </c>
    </row>
    <row r="9" spans="1:17" s="22" customFormat="1" ht="25" customHeight="1" x14ac:dyDescent="0.45">
      <c r="A9" s="20"/>
      <c r="B9" s="35"/>
      <c r="C9" s="53">
        <v>48</v>
      </c>
      <c r="D9" s="202">
        <f>ROUND(10*(C9-$H$3)/$H$4+50,0)</f>
        <v>68</v>
      </c>
      <c r="E9" s="202">
        <f t="shared" si="0"/>
        <v>1</v>
      </c>
      <c r="F9" s="199">
        <f>IF(I8=0,ROUND(100*(1-(I7+I9)/2/$J$3),2),ROUND(100*(1-(I8+I9)/2/$J$3),2))</f>
        <v>96.59</v>
      </c>
      <c r="G9" s="196">
        <f>_xlfn.IFNA(VLOOKUP(D9,'인원 입력 기능(사과탐)'!$A$177:$D$231,4,FALSE),0)</f>
        <v>1444</v>
      </c>
      <c r="H9" s="192">
        <f t="shared" ref="H9:H55" si="1">G9/$J$3</f>
        <v>2.9975919621356806E-2</v>
      </c>
      <c r="I9" s="189">
        <f>SUM($G$7:G9)</f>
        <v>2363</v>
      </c>
      <c r="J9" s="162">
        <f>I9/$J$3</f>
        <v>4.9053392011957152E-2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기능'!C123</f>
        <v>59</v>
      </c>
    </row>
    <row r="10" spans="1:17" s="22" customFormat="1" ht="25" customHeight="1" x14ac:dyDescent="0.45">
      <c r="A10" s="20"/>
      <c r="B10" s="35"/>
      <c r="C10" s="60">
        <v>47</v>
      </c>
      <c r="D10" s="201"/>
      <c r="E10" s="201"/>
      <c r="F10" s="198"/>
      <c r="G10" s="195"/>
      <c r="H10" s="194"/>
      <c r="I10" s="191"/>
      <c r="J10" s="188"/>
      <c r="K10" s="36"/>
      <c r="L10" s="20" t="str">
        <f t="shared" si="2"/>
        <v>경고</v>
      </c>
      <c r="N10" s="24"/>
      <c r="P10" s="24">
        <v>4</v>
      </c>
      <c r="Q10" s="24">
        <f>'표점등급&amp;절평인원 입력 기능'!C124</f>
        <v>53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ref="D10:D55" si="3">ROUND(10*(C11-$H$3)/$H$4+50,0)</f>
        <v>67</v>
      </c>
      <c r="E11" s="54">
        <f t="shared" si="0"/>
        <v>2</v>
      </c>
      <c r="F11" s="55">
        <f t="shared" ref="F10:F55" si="4">IF(I10=0,ROUND(100*(1-(I9+I11)/2/$J$3),2),ROUND(100*(1-(I10+I11)/2/$J$3),2))</f>
        <v>94.96</v>
      </c>
      <c r="G11" s="56">
        <f>IF(D11=D10,"",_xlfn.IFNA(VLOOKUP(D11,'인원 입력 기능(사과탐)'!$A$177:$D$231,4,FALSE),0))</f>
        <v>131</v>
      </c>
      <c r="H11" s="57">
        <f t="shared" si="1"/>
        <v>2.7194220709125631E-3</v>
      </c>
      <c r="I11" s="67">
        <f>SUM($G$7:G11)</f>
        <v>2494</v>
      </c>
      <c r="J11" s="59">
        <f t="shared" ref="J10:J55" si="5">I11/$J$3</f>
        <v>5.1772814082869718E-2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기능'!C125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66</v>
      </c>
      <c r="E12" s="54">
        <f t="shared" si="0"/>
        <v>2</v>
      </c>
      <c r="F12" s="55">
        <f t="shared" si="4"/>
        <v>93.63</v>
      </c>
      <c r="G12" s="56">
        <f>IF(D12=D11,"",_xlfn.IFNA(VLOOKUP(D12,'인원 입력 기능(사과탐)'!$A$177:$D$231,4,FALSE),0))</f>
        <v>1146</v>
      </c>
      <c r="H12" s="57">
        <f t="shared" si="1"/>
        <v>2.3789753383708378E-2</v>
      </c>
      <c r="I12" s="67">
        <f>SUM($G$7:G12)</f>
        <v>3640</v>
      </c>
      <c r="J12" s="59">
        <f t="shared" si="5"/>
        <v>7.5562567466578093E-2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기능'!C126</f>
        <v>41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65</v>
      </c>
      <c r="E13" s="54">
        <f t="shared" si="0"/>
        <v>2</v>
      </c>
      <c r="F13" s="55">
        <f t="shared" si="4"/>
        <v>91.87</v>
      </c>
      <c r="G13" s="56">
        <f>IF(D13=D12,"",_xlfn.IFNA(VLOOKUP(D13,'인원 입력 기능(사과탐)'!$A$177:$D$231,4,FALSE),0))</f>
        <v>557</v>
      </c>
      <c r="H13" s="57">
        <f t="shared" si="1"/>
        <v>1.1562733538154945E-2</v>
      </c>
      <c r="I13" s="67">
        <f>SUM($G$7:G13)</f>
        <v>4197</v>
      </c>
      <c r="J13" s="59">
        <f t="shared" si="5"/>
        <v>8.7125301004733036E-2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기능'!C127</f>
        <v>37</v>
      </c>
    </row>
    <row r="14" spans="1:17" s="22" customFormat="1" ht="25" customHeight="1" x14ac:dyDescent="0.45">
      <c r="A14" s="20"/>
      <c r="B14" s="35"/>
      <c r="C14" s="69">
        <v>43</v>
      </c>
      <c r="D14" s="202">
        <f t="shared" si="3"/>
        <v>64</v>
      </c>
      <c r="E14" s="202">
        <f t="shared" si="0"/>
        <v>2</v>
      </c>
      <c r="F14" s="199">
        <f t="shared" si="4"/>
        <v>89.31</v>
      </c>
      <c r="G14" s="196">
        <f>IF(D14=D13,"",_xlfn.IFNA(VLOOKUP(D14,'인원 입력 기능(사과탐)'!$A$177:$D$231,4,FALSE),0))</f>
        <v>1902</v>
      </c>
      <c r="H14" s="192">
        <f t="shared" si="1"/>
        <v>3.9483517395997675E-2</v>
      </c>
      <c r="I14" s="189">
        <f>SUM($G$7:G14)</f>
        <v>6099</v>
      </c>
      <c r="J14" s="162">
        <f t="shared" si="5"/>
        <v>0.12660881840073071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기능'!C128</f>
        <v>35</v>
      </c>
    </row>
    <row r="15" spans="1:17" s="22" customFormat="1" ht="25" customHeight="1" x14ac:dyDescent="0.45">
      <c r="A15" s="20"/>
      <c r="B15" s="35"/>
      <c r="C15" s="53">
        <v>42</v>
      </c>
      <c r="D15" s="201"/>
      <c r="E15" s="201"/>
      <c r="F15" s="198"/>
      <c r="G15" s="195"/>
      <c r="H15" s="194"/>
      <c r="I15" s="191"/>
      <c r="J15" s="188"/>
      <c r="K15" s="36"/>
      <c r="L15" s="20" t="str">
        <f t="shared" si="2"/>
        <v>경고</v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63</v>
      </c>
      <c r="E16" s="54">
        <f t="shared" si="0"/>
        <v>3</v>
      </c>
      <c r="F16" s="55">
        <f t="shared" si="4"/>
        <v>86.77</v>
      </c>
      <c r="G16" s="56">
        <f>IF(D16=D15,"",_xlfn.IFNA(VLOOKUP(D16,'인원 입력 기능(사과탐)'!$A$177:$D$231,4,FALSE),0))</f>
        <v>549</v>
      </c>
      <c r="H16" s="57">
        <f t="shared" si="1"/>
        <v>1.1396661961305322E-2</v>
      </c>
      <c r="I16" s="67">
        <f>SUM($G$7:G16)</f>
        <v>6648</v>
      </c>
      <c r="J16" s="59">
        <f t="shared" si="5"/>
        <v>0.13800548036203603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62</v>
      </c>
      <c r="E17" s="54">
        <f t="shared" si="0"/>
        <v>3</v>
      </c>
      <c r="F17" s="55">
        <f t="shared" si="4"/>
        <v>84.92</v>
      </c>
      <c r="G17" s="56">
        <f>IF(D17=D16,"",_xlfn.IFNA(VLOOKUP(D17,'인원 입력 기능(사과탐)'!$A$177:$D$231,4,FALSE),0))</f>
        <v>1234</v>
      </c>
      <c r="H17" s="57">
        <f t="shared" si="1"/>
        <v>2.5616540729054223E-2</v>
      </c>
      <c r="I17" s="67">
        <f>SUM($G$7:G17)</f>
        <v>7882</v>
      </c>
      <c r="J17" s="59">
        <f t="shared" si="5"/>
        <v>0.16362202109109025</v>
      </c>
      <c r="K17" s="36"/>
      <c r="L17" s="20" t="str">
        <f t="shared" si="2"/>
        <v/>
      </c>
      <c r="N17" s="24"/>
      <c r="Q17" s="24">
        <f>Q7*H3*H4*J3*IFERROR(IF(J57=1, 1, 0), 0)</f>
        <v>1021326635.2832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61</v>
      </c>
      <c r="E18" s="54">
        <f t="shared" si="0"/>
        <v>3</v>
      </c>
      <c r="F18" s="55">
        <f t="shared" si="4"/>
        <v>82.66</v>
      </c>
      <c r="G18" s="56">
        <f>IF(D18=D17,"",_xlfn.IFNA(VLOOKUP(D18,'인원 입력 기능(사과탐)'!$A$177:$D$231,4,FALSE),0))</f>
        <v>943</v>
      </c>
      <c r="H18" s="57">
        <f t="shared" si="1"/>
        <v>1.9575687121149217E-2</v>
      </c>
      <c r="I18" s="67">
        <f>SUM($G$7:G18)</f>
        <v>8825</v>
      </c>
      <c r="J18" s="59">
        <f t="shared" si="5"/>
        <v>0.18319770821223946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60</v>
      </c>
      <c r="E19" s="54">
        <f t="shared" si="0"/>
        <v>3</v>
      </c>
      <c r="F19" s="55">
        <f t="shared" si="4"/>
        <v>80.78</v>
      </c>
      <c r="G19" s="56">
        <f>IF(D19=D18,"",_xlfn.IFNA(VLOOKUP(D19,'인원 입력 기능(사과탐)'!$A$177:$D$231,4,FALSE),0))</f>
        <v>867</v>
      </c>
      <c r="H19" s="57">
        <f t="shared" si="1"/>
        <v>1.7998007141077806E-2</v>
      </c>
      <c r="I19" s="67">
        <f>SUM($G$7:G19)</f>
        <v>9692</v>
      </c>
      <c r="J19" s="59">
        <f t="shared" si="5"/>
        <v>0.20119571535331729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202">
        <f t="shared" si="3"/>
        <v>59</v>
      </c>
      <c r="E20" s="202">
        <f t="shared" si="0"/>
        <v>3</v>
      </c>
      <c r="F20" s="199">
        <f t="shared" si="4"/>
        <v>77.650000000000006</v>
      </c>
      <c r="G20" s="196">
        <f>IF(D20=D19,"",_xlfn.IFNA(VLOOKUP(D20,'인원 입력 기능(사과탐)'!$A$177:$D$231,4,FALSE),0))</f>
        <v>2147</v>
      </c>
      <c r="H20" s="192">
        <f t="shared" si="1"/>
        <v>4.4569459437017352E-2</v>
      </c>
      <c r="I20" s="189">
        <f>SUM($G$7:G20)</f>
        <v>11839</v>
      </c>
      <c r="J20" s="162">
        <f t="shared" si="5"/>
        <v>0.24576517479033463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201"/>
      <c r="E21" s="201"/>
      <c r="F21" s="198"/>
      <c r="G21" s="195"/>
      <c r="H21" s="194"/>
      <c r="I21" s="191"/>
      <c r="J21" s="188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58</v>
      </c>
      <c r="E22" s="68">
        <f t="shared" si="0"/>
        <v>4</v>
      </c>
      <c r="F22" s="55">
        <f t="shared" si="4"/>
        <v>74.19</v>
      </c>
      <c r="G22" s="56">
        <f>IF(D22=D21,"",_xlfn.IFNA(VLOOKUP(D22,'인원 입력 기능(사과탐)'!$A$177:$D$231,4,FALSE),0))</f>
        <v>1186</v>
      </c>
      <c r="H22" s="57">
        <f t="shared" si="1"/>
        <v>2.462011126795649E-2</v>
      </c>
      <c r="I22" s="67">
        <f>SUM($G$7:G22)</f>
        <v>13025</v>
      </c>
      <c r="J22" s="59">
        <f t="shared" si="5"/>
        <v>0.2703852860582911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57</v>
      </c>
      <c r="E23" s="68">
        <f t="shared" si="0"/>
        <v>4</v>
      </c>
      <c r="F23" s="55">
        <f t="shared" si="4"/>
        <v>71.72</v>
      </c>
      <c r="G23" s="56">
        <f>IF(D23=D22,"",_xlfn.IFNA(VLOOKUP(D23,'인원 입력 기능(사과탐)'!$A$177:$D$231,4,FALSE),0))</f>
        <v>1192</v>
      </c>
      <c r="H23" s="57">
        <f t="shared" si="1"/>
        <v>2.4744664950593707E-2</v>
      </c>
      <c r="I23" s="67">
        <f>SUM($G$7:G23)</f>
        <v>14217</v>
      </c>
      <c r="J23" s="59">
        <f t="shared" si="5"/>
        <v>0.29512995100888484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56</v>
      </c>
      <c r="E24" s="68">
        <f t="shared" si="0"/>
        <v>4</v>
      </c>
      <c r="F24" s="55">
        <f t="shared" si="4"/>
        <v>69.42</v>
      </c>
      <c r="G24" s="56">
        <f>IF(D24=D23,"",_xlfn.IFNA(VLOOKUP(D24,'인원 입력 기능(사과탐)'!$A$177:$D$231,4,FALSE),0))</f>
        <v>1029</v>
      </c>
      <c r="H24" s="57">
        <f t="shared" si="1"/>
        <v>2.1360956572282652E-2</v>
      </c>
      <c r="I24" s="67">
        <f>SUM($G$7:G24)</f>
        <v>15246</v>
      </c>
      <c r="J24" s="59">
        <f t="shared" si="5"/>
        <v>0.31649090758116749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212">
        <f t="shared" si="3"/>
        <v>55</v>
      </c>
      <c r="E25" s="212">
        <f t="shared" si="0"/>
        <v>4</v>
      </c>
      <c r="F25" s="199">
        <f t="shared" si="4"/>
        <v>66.02</v>
      </c>
      <c r="G25" s="196">
        <f>IF(D25=D24,"",_xlfn.IFNA(VLOOKUP(D25,'인원 입력 기능(사과탐)'!$A$177:$D$231,4,FALSE),0))</f>
        <v>2241</v>
      </c>
      <c r="H25" s="192">
        <f t="shared" si="1"/>
        <v>4.6520800465000414E-2</v>
      </c>
      <c r="I25" s="189">
        <f>SUM($G$7:G25)</f>
        <v>17487</v>
      </c>
      <c r="J25" s="162">
        <f t="shared" si="5"/>
        <v>0.36301170804616789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211"/>
      <c r="E26" s="211"/>
      <c r="F26" s="198"/>
      <c r="G26" s="195"/>
      <c r="H26" s="194"/>
      <c r="I26" s="191"/>
      <c r="J26" s="188"/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54</v>
      </c>
      <c r="E27" s="68">
        <f t="shared" si="0"/>
        <v>4</v>
      </c>
      <c r="F27" s="55">
        <f t="shared" si="4"/>
        <v>62.48</v>
      </c>
      <c r="G27" s="56">
        <f>IF(D27=D26,"",_xlfn.IFNA(VLOOKUP(D27,'인원 입력 기능(사과탐)'!$A$177:$D$231,4,FALSE),0))</f>
        <v>1176</v>
      </c>
      <c r="H27" s="57">
        <f t="shared" si="1"/>
        <v>2.4412521796894463E-2</v>
      </c>
      <c r="I27" s="67">
        <f>SUM($G$7:G27)</f>
        <v>18663</v>
      </c>
      <c r="J27" s="59">
        <f t="shared" si="5"/>
        <v>0.38742422984306235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53</v>
      </c>
      <c r="E28" s="68">
        <f t="shared" si="0"/>
        <v>4</v>
      </c>
      <c r="F28" s="55">
        <f t="shared" si="4"/>
        <v>60.03</v>
      </c>
      <c r="G28" s="56">
        <f>IF(D28=D27,"",_xlfn.IFNA(VLOOKUP(D28,'인원 입력 기능(사과탐)'!$A$177:$D$231,4,FALSE),0))</f>
        <v>1181</v>
      </c>
      <c r="H28" s="57">
        <f t="shared" si="1"/>
        <v>2.4516316532425475E-2</v>
      </c>
      <c r="I28" s="67">
        <f>SUM($G$7:G28)</f>
        <v>19844</v>
      </c>
      <c r="J28" s="59">
        <f t="shared" si="5"/>
        <v>0.41194054637548783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52</v>
      </c>
      <c r="E29" s="68">
        <f t="shared" si="0"/>
        <v>5</v>
      </c>
      <c r="F29" s="55">
        <f t="shared" si="4"/>
        <v>57.71</v>
      </c>
      <c r="G29" s="56">
        <f>IF(D29=D28,"",_xlfn.IFNA(VLOOKUP(D29,'인원 입력 기능(사과탐)'!$A$177:$D$231,4,FALSE),0))</f>
        <v>1058</v>
      </c>
      <c r="H29" s="57">
        <f t="shared" si="1"/>
        <v>2.1962966038362536E-2</v>
      </c>
      <c r="I29" s="67">
        <f>SUM($G$7:G29)</f>
        <v>20902</v>
      </c>
      <c r="J29" s="59">
        <f t="shared" si="5"/>
        <v>0.43390351241385039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51</v>
      </c>
      <c r="E30" s="68">
        <f t="shared" si="0"/>
        <v>5</v>
      </c>
      <c r="F30" s="55">
        <f t="shared" si="4"/>
        <v>55.4</v>
      </c>
      <c r="G30" s="56">
        <f>IF(D30=D29,"",_xlfn.IFNA(VLOOKUP(D30,'인원 입력 기능(사과탐)'!$A$177:$D$231,4,FALSE),0))</f>
        <v>1169</v>
      </c>
      <c r="H30" s="57">
        <f t="shared" si="1"/>
        <v>2.4267209167151041E-2</v>
      </c>
      <c r="I30" s="67">
        <f>SUM($G$7:G30)</f>
        <v>22071</v>
      </c>
      <c r="J30" s="59">
        <f t="shared" si="5"/>
        <v>0.45817072158100142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212">
        <f t="shared" si="3"/>
        <v>50</v>
      </c>
      <c r="E31" s="212">
        <f t="shared" si="0"/>
        <v>5</v>
      </c>
      <c r="F31" s="199">
        <f t="shared" si="4"/>
        <v>51.93</v>
      </c>
      <c r="G31" s="196">
        <f>IF(D31=D30,"",_xlfn.IFNA(VLOOKUP(D31,'인원 입력 기능(사과탐)'!$A$177:$D$231,4,FALSE),0))</f>
        <v>2172</v>
      </c>
      <c r="H31" s="192">
        <f t="shared" si="1"/>
        <v>4.5088433114672422E-2</v>
      </c>
      <c r="I31" s="189">
        <f>SUM($G$7:G31)</f>
        <v>24243</v>
      </c>
      <c r="J31" s="162">
        <f t="shared" si="5"/>
        <v>0.50325915469567384</v>
      </c>
      <c r="K31" s="36"/>
      <c r="L31" s="20" t="str">
        <f t="shared" si="2"/>
        <v>경고</v>
      </c>
      <c r="N31" s="24"/>
    </row>
    <row r="32" spans="1:17" s="22" customFormat="1" ht="25" customHeight="1" x14ac:dyDescent="0.45">
      <c r="A32" s="20"/>
      <c r="B32" s="35"/>
      <c r="C32" s="69">
        <v>25</v>
      </c>
      <c r="D32" s="211"/>
      <c r="E32" s="211"/>
      <c r="F32" s="198"/>
      <c r="G32" s="195"/>
      <c r="H32" s="194"/>
      <c r="I32" s="191"/>
      <c r="J32" s="188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49</v>
      </c>
      <c r="E33" s="68">
        <f t="shared" si="0"/>
        <v>5</v>
      </c>
      <c r="F33" s="55">
        <f t="shared" si="4"/>
        <v>48.47</v>
      </c>
      <c r="G33" s="56">
        <f>IF(D33=D32,"",_xlfn.IFNA(VLOOKUP(D33,'인원 입력 기능(사과탐)'!$A$177:$D$231,4,FALSE),0))</f>
        <v>1163</v>
      </c>
      <c r="H33" s="57">
        <f t="shared" si="1"/>
        <v>2.4142655484513824E-2</v>
      </c>
      <c r="I33" s="67">
        <f>SUM($G$7:G33)</f>
        <v>25406</v>
      </c>
      <c r="J33" s="59">
        <f t="shared" si="5"/>
        <v>0.52740181018018761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48</v>
      </c>
      <c r="E34" s="68">
        <f t="shared" si="0"/>
        <v>5</v>
      </c>
      <c r="F34" s="55">
        <f t="shared" si="4"/>
        <v>46.11</v>
      </c>
      <c r="G34" s="56">
        <f>IF(D34=D33,"",_xlfn.IFNA(VLOOKUP(D34,'인원 입력 기능(사과탐)'!$A$177:$D$231,4,FALSE),0))</f>
        <v>1106</v>
      </c>
      <c r="H34" s="57">
        <f t="shared" si="1"/>
        <v>2.2959395499460269E-2</v>
      </c>
      <c r="I34" s="67">
        <f>SUM($G$7:G34)</f>
        <v>26512</v>
      </c>
      <c r="J34" s="59">
        <f t="shared" si="5"/>
        <v>0.55036120567964797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47</v>
      </c>
      <c r="E35" s="68">
        <f t="shared" si="0"/>
        <v>5</v>
      </c>
      <c r="F35" s="55">
        <f t="shared" si="4"/>
        <v>43.69</v>
      </c>
      <c r="G35" s="56">
        <f>IF(D35=D34,"",_xlfn.IFNA(VLOOKUP(D35,'인원 입력 기능(사과탐)'!$A$177:$D$231,4,FALSE),0))</f>
        <v>1232</v>
      </c>
      <c r="H35" s="57">
        <f t="shared" si="1"/>
        <v>2.5575022834841817E-2</v>
      </c>
      <c r="I35" s="67">
        <f>SUM($G$7:G35)</f>
        <v>27744</v>
      </c>
      <c r="J35" s="59">
        <f t="shared" si="5"/>
        <v>0.57593622851448978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212">
        <f t="shared" si="3"/>
        <v>46</v>
      </c>
      <c r="E36" s="212">
        <f t="shared" si="0"/>
        <v>5</v>
      </c>
      <c r="F36" s="199">
        <f t="shared" si="4"/>
        <v>40.04</v>
      </c>
      <c r="G36" s="196">
        <f>IF(D36=D35,"",_xlfn.IFNA(VLOOKUP(D36,'인원 입력 기능(사과탐)'!$A$177:$D$231,4,FALSE),0))</f>
        <v>2277</v>
      </c>
      <c r="H36" s="192">
        <f t="shared" si="1"/>
        <v>4.7268122560823717E-2</v>
      </c>
      <c r="I36" s="189">
        <f>SUM($G$7:G36)</f>
        <v>30021</v>
      </c>
      <c r="J36" s="162">
        <f t="shared" si="5"/>
        <v>0.62320435107531347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211"/>
      <c r="E37" s="211"/>
      <c r="F37" s="198"/>
      <c r="G37" s="195"/>
      <c r="H37" s="194"/>
      <c r="I37" s="191"/>
      <c r="J37" s="188"/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45</v>
      </c>
      <c r="E38" s="68">
        <f t="shared" si="0"/>
        <v>6</v>
      </c>
      <c r="F38" s="55">
        <f t="shared" si="4"/>
        <v>36.450000000000003</v>
      </c>
      <c r="G38" s="56">
        <f>IF(D38=D37,"",_xlfn.IFNA(VLOOKUP(D38,'인원 입력 기능(사과탐)'!$A$177:$D$231,4,FALSE),0))</f>
        <v>1188</v>
      </c>
      <c r="H38" s="57">
        <f t="shared" si="1"/>
        <v>2.4661629162168894E-2</v>
      </c>
      <c r="I38" s="67">
        <f>SUM($G$7:G38)</f>
        <v>31209</v>
      </c>
      <c r="J38" s="59">
        <f t="shared" si="5"/>
        <v>0.64786598023748232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44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33.979999999999997</v>
      </c>
      <c r="G39" s="56">
        <f>IF(D39=D38,"",_xlfn.IFNA(VLOOKUP(D39,'인원 입력 기능(사과탐)'!$A$177:$D$231,4,FALSE),0))</f>
        <v>1190</v>
      </c>
      <c r="H39" s="57">
        <f t="shared" si="1"/>
        <v>2.4703147056381301E-2</v>
      </c>
      <c r="I39" s="67">
        <f>SUM($G$7:G39)</f>
        <v>32399</v>
      </c>
      <c r="J39" s="59">
        <f t="shared" si="5"/>
        <v>0.67256912729386364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43</v>
      </c>
      <c r="E40" s="68">
        <f t="shared" si="6"/>
        <v>6</v>
      </c>
      <c r="F40" s="55">
        <f t="shared" si="4"/>
        <v>31.46</v>
      </c>
      <c r="G40" s="56">
        <f>IF(D40=D39,"",_xlfn.IFNA(VLOOKUP(D40,'인원 입력 기능(사과탐)'!$A$177:$D$231,4,FALSE),0))</f>
        <v>1237</v>
      </c>
      <c r="H40" s="57">
        <f t="shared" si="1"/>
        <v>2.5678817570372832E-2</v>
      </c>
      <c r="I40" s="67">
        <f>SUM($G$7:G40)</f>
        <v>33636</v>
      </c>
      <c r="J40" s="59">
        <f t="shared" si="5"/>
        <v>0.69824794486423647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212">
        <f t="shared" si="3"/>
        <v>42</v>
      </c>
      <c r="E41" s="212">
        <f t="shared" si="6"/>
        <v>6</v>
      </c>
      <c r="F41" s="199">
        <f t="shared" si="4"/>
        <v>27.64</v>
      </c>
      <c r="G41" s="196">
        <f>IF(D41=D40,"",_xlfn.IFNA(VLOOKUP(D41,'인원 입력 기능(사과탐)'!$A$177:$D$231,4,FALSE),0))</f>
        <v>2443</v>
      </c>
      <c r="H41" s="192">
        <f t="shared" si="1"/>
        <v>5.0714107780453377E-2</v>
      </c>
      <c r="I41" s="189">
        <f>SUM($G$7:G41)</f>
        <v>36079</v>
      </c>
      <c r="J41" s="162">
        <f t="shared" si="5"/>
        <v>0.74896205264468985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211"/>
      <c r="E42" s="211"/>
      <c r="F42" s="198"/>
      <c r="G42" s="195"/>
      <c r="H42" s="194"/>
      <c r="I42" s="191"/>
      <c r="J42" s="188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41</v>
      </c>
      <c r="E43" s="68">
        <f t="shared" si="6"/>
        <v>6</v>
      </c>
      <c r="F43" s="55">
        <f t="shared" si="4"/>
        <v>23.81</v>
      </c>
      <c r="G43" s="56">
        <f>IF(D43=D42,"",_xlfn.IFNA(VLOOKUP(D43,'인원 입력 기능(사과탐)'!$A$177:$D$231,4,FALSE),0))</f>
        <v>1242</v>
      </c>
      <c r="H43" s="57">
        <f t="shared" si="1"/>
        <v>2.5782612305903844E-2</v>
      </c>
      <c r="I43" s="67">
        <f>SUM($G$7:G43)</f>
        <v>37321</v>
      </c>
      <c r="J43" s="59">
        <f t="shared" si="5"/>
        <v>0.77474466495059369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40</v>
      </c>
      <c r="E44" s="68">
        <f t="shared" si="6"/>
        <v>7</v>
      </c>
      <c r="F44" s="55">
        <f t="shared" si="4"/>
        <v>20.88</v>
      </c>
      <c r="G44" s="56">
        <f>IF(D44=D43,"",_xlfn.IFNA(VLOOKUP(D44,'인원 입력 기능(사과탐)'!$A$177:$D$231,4,FALSE),0))</f>
        <v>1587</v>
      </c>
      <c r="H44" s="57">
        <f t="shared" si="1"/>
        <v>3.2944449057543804E-2</v>
      </c>
      <c r="I44" s="67">
        <f>SUM($G$7:G44)</f>
        <v>38908</v>
      </c>
      <c r="J44" s="59">
        <f t="shared" si="5"/>
        <v>0.80768911400813748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39</v>
      </c>
      <c r="E45" s="68">
        <f t="shared" si="6"/>
        <v>7</v>
      </c>
      <c r="F45" s="55">
        <f t="shared" si="4"/>
        <v>17.95</v>
      </c>
      <c r="G45" s="56">
        <f>IF(D45=D44,"",_xlfn.IFNA(VLOOKUP(D45,'인원 입력 기능(사과탐)'!$A$177:$D$231,4,FALSE),0))</f>
        <v>1235</v>
      </c>
      <c r="H45" s="57">
        <f t="shared" si="1"/>
        <v>2.5637299676160425E-2</v>
      </c>
      <c r="I45" s="67">
        <f>SUM($G$7:G45)</f>
        <v>40143</v>
      </c>
      <c r="J45" s="59">
        <f t="shared" si="5"/>
        <v>0.83332641368429794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38</v>
      </c>
      <c r="E46" s="68">
        <f t="shared" si="6"/>
        <v>7</v>
      </c>
      <c r="F46" s="55">
        <f t="shared" si="4"/>
        <v>14.78</v>
      </c>
      <c r="G46" s="56">
        <f>IF(D46=D45,"",_xlfn.IFNA(VLOOKUP(D46,'인원 입력 기능(사과탐)'!$A$177:$D$231,4,FALSE),0))</f>
        <v>1823</v>
      </c>
      <c r="H46" s="57">
        <f t="shared" si="1"/>
        <v>3.7843560574607658E-2</v>
      </c>
      <c r="I46" s="67">
        <f>SUM($G$7:G46)</f>
        <v>41966</v>
      </c>
      <c r="J46" s="59">
        <f t="shared" si="5"/>
        <v>0.87116997425890563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212">
        <f t="shared" si="3"/>
        <v>37</v>
      </c>
      <c r="E47" s="212">
        <f t="shared" si="6"/>
        <v>7</v>
      </c>
      <c r="F47" s="199">
        <f t="shared" si="4"/>
        <v>9.23</v>
      </c>
      <c r="G47" s="196">
        <f>IF(D47=D46,"",_xlfn.IFNA(VLOOKUP(D47,'인원 입력 기능(사과탐)'!$A$177:$D$231,4,FALSE),0))</f>
        <v>3517</v>
      </c>
      <c r="H47" s="192">
        <f t="shared" si="1"/>
        <v>7.3009216972515154E-2</v>
      </c>
      <c r="I47" s="189">
        <f>SUM($G$7:G47)</f>
        <v>45483</v>
      </c>
      <c r="J47" s="162">
        <f t="shared" si="5"/>
        <v>0.94417919123142069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211"/>
      <c r="E48" s="211"/>
      <c r="F48" s="198"/>
      <c r="G48" s="195"/>
      <c r="H48" s="194"/>
      <c r="I48" s="191"/>
      <c r="J48" s="188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36</v>
      </c>
      <c r="E49" s="68">
        <f t="shared" si="6"/>
        <v>8</v>
      </c>
      <c r="F49" s="55">
        <f t="shared" si="4"/>
        <v>4.96</v>
      </c>
      <c r="G49" s="56">
        <f>IF(D49=D48,"",_xlfn.IFNA(VLOOKUP(D49,'인원 입력 기능(사과탐)'!$A$177:$D$231,4,FALSE),0))</f>
        <v>595</v>
      </c>
      <c r="H49" s="57">
        <f t="shared" si="1"/>
        <v>1.235157352819065E-2</v>
      </c>
      <c r="I49" s="67">
        <f>SUM($G$7:G49)</f>
        <v>46078</v>
      </c>
      <c r="J49" s="59">
        <f t="shared" si="5"/>
        <v>0.95653076475961141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35</v>
      </c>
      <c r="E50" s="68">
        <f t="shared" si="6"/>
        <v>8</v>
      </c>
      <c r="F50" s="55">
        <f t="shared" si="4"/>
        <v>3.4</v>
      </c>
      <c r="G50" s="56">
        <f>IF(D50=D49,"",_xlfn.IFNA(VLOOKUP(D50,'인원 입력 기능(사과탐)'!$A$177:$D$231,4,FALSE),0))</f>
        <v>912</v>
      </c>
      <c r="H50" s="57">
        <f t="shared" si="1"/>
        <v>1.893215976085693E-2</v>
      </c>
      <c r="I50" s="67">
        <f>SUM($G$7:G50)</f>
        <v>46990</v>
      </c>
      <c r="J50" s="59">
        <f t="shared" si="5"/>
        <v>0.97546292452046834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34</v>
      </c>
      <c r="E51" s="68">
        <f t="shared" si="6"/>
        <v>9</v>
      </c>
      <c r="F51" s="55">
        <f t="shared" si="4"/>
        <v>2.14</v>
      </c>
      <c r="G51" s="56">
        <f>IF(D51=D50,"",_xlfn.IFNA(VLOOKUP(D51,'인원 입력 기능(사과탐)'!$A$177:$D$231,4,FALSE),0))</f>
        <v>305</v>
      </c>
      <c r="H51" s="57">
        <f t="shared" si="1"/>
        <v>6.3314788673918456E-3</v>
      </c>
      <c r="I51" s="67">
        <f>SUM($G$7:G51)</f>
        <v>47295</v>
      </c>
      <c r="J51" s="59">
        <f t="shared" si="5"/>
        <v>0.98179440338786017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212">
        <f t="shared" si="3"/>
        <v>33</v>
      </c>
      <c r="E52" s="212">
        <f t="shared" si="6"/>
        <v>9</v>
      </c>
      <c r="F52" s="199">
        <f t="shared" si="4"/>
        <v>1.23</v>
      </c>
      <c r="G52" s="196">
        <f>IF(D52=D51,"",_xlfn.IFNA(VLOOKUP(D52,'인원 입력 기능(사과탐)'!$A$177:$D$231,4,FALSE),0))</f>
        <v>571</v>
      </c>
      <c r="H52" s="192">
        <f t="shared" si="1"/>
        <v>1.1853358797641784E-2</v>
      </c>
      <c r="I52" s="189">
        <f>SUM($G$7:G52)</f>
        <v>47866</v>
      </c>
      <c r="J52" s="162">
        <f t="shared" si="5"/>
        <v>0.99364776218550199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6">
        <v>4</v>
      </c>
      <c r="D53" s="211"/>
      <c r="E53" s="211"/>
      <c r="F53" s="198"/>
      <c r="G53" s="195"/>
      <c r="H53" s="194"/>
      <c r="I53" s="191"/>
      <c r="J53" s="188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32</v>
      </c>
      <c r="E54" s="54">
        <f t="shared" si="6"/>
        <v>9</v>
      </c>
      <c r="F54" s="55">
        <f t="shared" si="4"/>
        <v>0.51</v>
      </c>
      <c r="G54" s="56">
        <f>IF(D54=D53,"",_xlfn.IFNA(VLOOKUP(D54,'인원 입력 기능(사과탐)'!$A$177:$D$231,4,FALSE),0))</f>
        <v>119</v>
      </c>
      <c r="H54" s="57">
        <f t="shared" si="1"/>
        <v>2.4703147056381299E-3</v>
      </c>
      <c r="I54" s="67">
        <f>SUM($G$7:G54)</f>
        <v>47985</v>
      </c>
      <c r="J54" s="59">
        <f t="shared" si="5"/>
        <v>0.99611807689114007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31</v>
      </c>
      <c r="E55" s="54">
        <f t="shared" si="6"/>
        <v>9</v>
      </c>
      <c r="F55" s="55">
        <f t="shared" si="4"/>
        <v>0.26</v>
      </c>
      <c r="G55" s="56">
        <f>IF(D55=D54,"",_xlfn.IFNA(VLOOKUP(D55,'인원 입력 기능(사과탐)'!$A$177:$D$231,4,FALSE),0))</f>
        <v>120</v>
      </c>
      <c r="H55" s="57">
        <f t="shared" si="1"/>
        <v>2.4910736527443329E-3</v>
      </c>
      <c r="I55" s="67">
        <f>SUM($G$7:G55)</f>
        <v>48105</v>
      </c>
      <c r="J55" s="59">
        <f t="shared" si="5"/>
        <v>0.99860915054388444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29</v>
      </c>
      <c r="E57" s="109">
        <f t="shared" si="6"/>
        <v>9</v>
      </c>
      <c r="F57" s="74">
        <f>IF(I55=0,ROUND(100*(1-(I54+I57)/2/$J$3),2),ROUND(100*(1-(I55+I57)/2/$J$3),2))</f>
        <v>7.0000000000000007E-2</v>
      </c>
      <c r="G57" s="110">
        <f>_xlfn.IFNA(VLOOKUP(D57,'인원 입력 기능(사과탐)'!$A$177:$D$231,4,FALSE),0)</f>
        <v>67</v>
      </c>
      <c r="H57" s="76">
        <f>G57/$J$3</f>
        <v>1.3908494561155858E-3</v>
      </c>
      <c r="I57" s="77">
        <f>SUM($G$7:G57)</f>
        <v>48172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65">
    <mergeCell ref="I52:I53"/>
    <mergeCell ref="J52:J53"/>
    <mergeCell ref="D52:D53"/>
    <mergeCell ref="E52:E53"/>
    <mergeCell ref="F52:F53"/>
    <mergeCell ref="G52:G53"/>
    <mergeCell ref="H52:H53"/>
    <mergeCell ref="I41:I42"/>
    <mergeCell ref="J41:J42"/>
    <mergeCell ref="D47:D48"/>
    <mergeCell ref="E47:E48"/>
    <mergeCell ref="F47:F48"/>
    <mergeCell ref="G47:G48"/>
    <mergeCell ref="H47:H48"/>
    <mergeCell ref="I47:I48"/>
    <mergeCell ref="J47:J48"/>
    <mergeCell ref="D41:D42"/>
    <mergeCell ref="E41:E42"/>
    <mergeCell ref="F41:F42"/>
    <mergeCell ref="G41:G42"/>
    <mergeCell ref="H41:H42"/>
    <mergeCell ref="I31:I32"/>
    <mergeCell ref="J31:J32"/>
    <mergeCell ref="D36:D37"/>
    <mergeCell ref="E36:E37"/>
    <mergeCell ref="F36:F37"/>
    <mergeCell ref="G36:G37"/>
    <mergeCell ref="H36:H37"/>
    <mergeCell ref="I36:I37"/>
    <mergeCell ref="J36:J37"/>
    <mergeCell ref="D31:D32"/>
    <mergeCell ref="E31:E32"/>
    <mergeCell ref="F31:F32"/>
    <mergeCell ref="G31:G32"/>
    <mergeCell ref="H31:H32"/>
    <mergeCell ref="I20:I21"/>
    <mergeCell ref="J20:J21"/>
    <mergeCell ref="D25:D26"/>
    <mergeCell ref="E25:E26"/>
    <mergeCell ref="F25:F26"/>
    <mergeCell ref="G25:G26"/>
    <mergeCell ref="H25:H26"/>
    <mergeCell ref="I25:I26"/>
    <mergeCell ref="J25:J26"/>
    <mergeCell ref="D20:D21"/>
    <mergeCell ref="E20:E21"/>
    <mergeCell ref="F20:F21"/>
    <mergeCell ref="G20:G21"/>
    <mergeCell ref="H20:H21"/>
    <mergeCell ref="G9:G10"/>
    <mergeCell ref="H9:H10"/>
    <mergeCell ref="I9:I10"/>
    <mergeCell ref="J9:J10"/>
    <mergeCell ref="D14:D15"/>
    <mergeCell ref="E14:E15"/>
    <mergeCell ref="F14:F15"/>
    <mergeCell ref="G14:G15"/>
    <mergeCell ref="H14:H15"/>
    <mergeCell ref="I14:I15"/>
    <mergeCell ref="J14:J15"/>
    <mergeCell ref="D3:F3"/>
    <mergeCell ref="D4:F4"/>
    <mergeCell ref="D9:D10"/>
    <mergeCell ref="E9:E10"/>
    <mergeCell ref="F9:F10"/>
  </mergeCells>
  <phoneticPr fontId="1" type="noConversion"/>
  <conditionalFormatting sqref="D7:G9 I7:J9 D11:G14 I11:J14 D16:G20 I16:J20 D22:G25 I22:J25 D27:G31 I27:J31 D33:G36 I33:J36 D38:G41 I38:J41 D43:G47 I43:J47 D49:G52 I49:J52 D54:G57 I54:J57">
    <cfRule type="expression" dxfId="38" priority="4">
      <formula>OR($D7=$Q$7:$Q$14)</formula>
    </cfRule>
  </conditionalFormatting>
  <conditionalFormatting sqref="C7:C57">
    <cfRule type="expression" dxfId="37" priority="3">
      <formula>OR(AND($D7=0,OR($D6=$Q$7:$Q$14)),AND($D8&gt;0,OR($D7=$Q$7:$Q$14)))</formula>
    </cfRule>
  </conditionalFormatting>
  <conditionalFormatting sqref="D7:D9 D11:D14 D16:D20 D22:D25 D27:D31 D33:D36 D38:D41 D43:D47 D49:D52 D54:D57">
    <cfRule type="expression" dxfId="36" priority="2">
      <formula>$D7=$D8</formula>
    </cfRule>
  </conditionalFormatting>
  <conditionalFormatting sqref="H7:H9 H11:H14 H16:H20 H22:H25 H27:H31 H33:H36 H38:H41 H43:H47 H49:H52 H54:H57">
    <cfRule type="expression" dxfId="35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20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기능'!D18</f>
        <v>21.71</v>
      </c>
      <c r="I3" s="21" t="s">
        <v>124</v>
      </c>
      <c r="J3" s="81">
        <f>'통계 및 응시자 수 입력 기능'!C18</f>
        <v>51308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146</v>
      </c>
      <c r="E4" s="153"/>
      <c r="F4" s="154"/>
      <c r="G4" s="83" t="s">
        <v>127</v>
      </c>
      <c r="H4" s="84" t="str">
        <f>'통계 및 응시자 수 입력 기능'!E18</f>
        <v>10.62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77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99.5</v>
      </c>
      <c r="G7" s="56">
        <f>_xlfn.IFNA(VLOOKUP(D7,'인원 입력 기능(사과탐)'!$F$177:$I$231,4,FALSE),0)</f>
        <v>508</v>
      </c>
      <c r="H7" s="57">
        <f>G7/$J$3</f>
        <v>9.9009900990099011E-3</v>
      </c>
      <c r="I7" s="58">
        <f>G7</f>
        <v>508</v>
      </c>
      <c r="J7" s="59">
        <f>I7/$J$3</f>
        <v>9.9009900990099011E-3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기능'!C130</f>
        <v>71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기능'!C131</f>
        <v>63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75</v>
      </c>
      <c r="E9" s="54">
        <f t="shared" si="0"/>
        <v>1</v>
      </c>
      <c r="F9" s="55">
        <f>IF(I8=0,ROUND(100*(1-(I7+I9)/2/$J$3),2),ROUND(100*(1-(I8+I9)/2/$J$3),2))</f>
        <v>98.78</v>
      </c>
      <c r="G9" s="56">
        <f>_xlfn.IFNA(VLOOKUP(D9,'인원 입력 기능(사과탐)'!$F$177:$I$231,4,FALSE),0)</f>
        <v>234</v>
      </c>
      <c r="H9" s="57">
        <f t="shared" ref="H9:H55" si="1">G9/$J$3</f>
        <v>4.5606922897014112E-3</v>
      </c>
      <c r="I9" s="67">
        <f>SUM($G$7:G9)</f>
        <v>742</v>
      </c>
      <c r="J9" s="59">
        <f>I9/$J$3</f>
        <v>1.4461682388711311E-2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기능'!C132</f>
        <v>57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74</v>
      </c>
      <c r="E10" s="54">
        <f t="shared" si="0"/>
        <v>1</v>
      </c>
      <c r="F10" s="55">
        <f t="shared" ref="F10:F55" si="4">IF(I9=0,ROUND(100*(1-(I8+I10)/2/$J$3),2),ROUND(100*(1-(I9+I10)/2/$J$3),2))</f>
        <v>98.09</v>
      </c>
      <c r="G10" s="56">
        <f>IF(D10=D9,"",_xlfn.IFNA(VLOOKUP(D10,'인원 입력 기능(사과탐)'!$F$177:$I$231,4,FALSE),0))</f>
        <v>478</v>
      </c>
      <c r="H10" s="57">
        <f t="shared" si="1"/>
        <v>9.3162859593045912E-3</v>
      </c>
      <c r="I10" s="67">
        <f>SUM($G$7:G10)</f>
        <v>1220</v>
      </c>
      <c r="J10" s="59">
        <f t="shared" ref="J10:J55" si="5">I10/$J$3</f>
        <v>2.3777968348015904E-2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기능'!C133</f>
        <v>51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73</v>
      </c>
      <c r="E11" s="54">
        <f t="shared" si="0"/>
        <v>1</v>
      </c>
      <c r="F11" s="55">
        <f t="shared" si="4"/>
        <v>97.56</v>
      </c>
      <c r="G11" s="56">
        <f>IF(D11=D10,"",_xlfn.IFNA(VLOOKUP(D11,'인원 입력 기능(사과탐)'!$F$177:$I$231,4,FALSE),0))</f>
        <v>62</v>
      </c>
      <c r="H11" s="57">
        <f t="shared" si="1"/>
        <v>1.2083885553909723E-3</v>
      </c>
      <c r="I11" s="67">
        <f>SUM($G$7:G11)</f>
        <v>1282</v>
      </c>
      <c r="J11" s="59">
        <f t="shared" si="5"/>
        <v>2.4986356903406875E-2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기능'!C134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72</v>
      </c>
      <c r="E12" s="54">
        <f t="shared" si="0"/>
        <v>1</v>
      </c>
      <c r="F12" s="55">
        <f t="shared" si="4"/>
        <v>97.13</v>
      </c>
      <c r="G12" s="56">
        <f>IF(D12=D11,"",_xlfn.IFNA(VLOOKUP(D12,'인원 입력 기능(사과탐)'!$F$177:$I$231,4,FALSE),0))</f>
        <v>377</v>
      </c>
      <c r="H12" s="57">
        <f t="shared" si="1"/>
        <v>7.347782022296718E-3</v>
      </c>
      <c r="I12" s="67">
        <f>SUM($G$7:G12)</f>
        <v>1659</v>
      </c>
      <c r="J12" s="59">
        <f t="shared" si="5"/>
        <v>3.2334138925703595E-2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기능'!C135</f>
        <v>42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71</v>
      </c>
      <c r="E13" s="54">
        <f t="shared" si="0"/>
        <v>1</v>
      </c>
      <c r="F13" s="55">
        <f t="shared" si="4"/>
        <v>96.26</v>
      </c>
      <c r="G13" s="56">
        <f>IF(D13=D12,"",_xlfn.IFNA(VLOOKUP(D13,'인원 입력 기능(사과탐)'!$F$177:$I$231,4,FALSE),0))</f>
        <v>517</v>
      </c>
      <c r="H13" s="57">
        <f t="shared" si="1"/>
        <v>1.0076401340921493E-2</v>
      </c>
      <c r="I13" s="67">
        <f>SUM($G$7:G13)</f>
        <v>2176</v>
      </c>
      <c r="J13" s="59">
        <f t="shared" si="5"/>
        <v>4.2410540266625087E-2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기능'!C136</f>
        <v>39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70</v>
      </c>
      <c r="E14" s="54">
        <f t="shared" si="0"/>
        <v>2</v>
      </c>
      <c r="F14" s="55">
        <f t="shared" si="4"/>
        <v>95.57</v>
      </c>
      <c r="G14" s="56">
        <f>IF(D14=D13,"",_xlfn.IFNA(VLOOKUP(D14,'인원 입력 기능(사과탐)'!$F$177:$I$231,4,FALSE),0))</f>
        <v>194</v>
      </c>
      <c r="H14" s="57">
        <f t="shared" si="1"/>
        <v>3.7810867700943324E-3</v>
      </c>
      <c r="I14" s="67">
        <f>SUM($G$7:G14)</f>
        <v>2370</v>
      </c>
      <c r="J14" s="59">
        <f t="shared" si="5"/>
        <v>4.6191627036719418E-2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기능'!C137</f>
        <v>36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69</v>
      </c>
      <c r="E15" s="54">
        <f t="shared" si="0"/>
        <v>2</v>
      </c>
      <c r="F15" s="55">
        <f t="shared" si="4"/>
        <v>94.85</v>
      </c>
      <c r="G15" s="56">
        <f>IF(D15=D14,"",_xlfn.IFNA(VLOOKUP(D15,'인원 입력 기능(사과탐)'!$F$177:$I$231,4,FALSE),0))</f>
        <v>549</v>
      </c>
      <c r="H15" s="57">
        <f t="shared" si="1"/>
        <v>1.0700085756607157E-2</v>
      </c>
      <c r="I15" s="67">
        <f>SUM($G$7:G15)</f>
        <v>2919</v>
      </c>
      <c r="J15" s="59">
        <f t="shared" si="5"/>
        <v>5.6891712793326575E-2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68</v>
      </c>
      <c r="E16" s="54">
        <f t="shared" si="0"/>
        <v>2</v>
      </c>
      <c r="F16" s="55">
        <f t="shared" si="4"/>
        <v>93.8</v>
      </c>
      <c r="G16" s="56">
        <f>IF(D16=D15,"",_xlfn.IFNA(VLOOKUP(D16,'인원 입력 기능(사과탐)'!$F$177:$I$231,4,FALSE),0))</f>
        <v>523</v>
      </c>
      <c r="H16" s="57">
        <f t="shared" si="1"/>
        <v>1.0193342168862555E-2</v>
      </c>
      <c r="I16" s="67">
        <f>SUM($G$7:G16)</f>
        <v>3442</v>
      </c>
      <c r="J16" s="59">
        <f t="shared" si="5"/>
        <v>6.7085054962189139E-2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67</v>
      </c>
      <c r="E17" s="54">
        <f t="shared" si="0"/>
        <v>2</v>
      </c>
      <c r="F17" s="55">
        <f t="shared" si="4"/>
        <v>92.98</v>
      </c>
      <c r="G17" s="56">
        <f>IF(D17=D16,"",_xlfn.IFNA(VLOOKUP(D17,'인원 입력 기능(사과탐)'!$F$177:$I$231,4,FALSE),0))</f>
        <v>322</v>
      </c>
      <c r="H17" s="57">
        <f t="shared" si="1"/>
        <v>6.2758244328369843E-3</v>
      </c>
      <c r="I17" s="67">
        <f>SUM($G$7:G17)</f>
        <v>3764</v>
      </c>
      <c r="J17" s="59">
        <f t="shared" si="5"/>
        <v>7.3360879395026113E-2</v>
      </c>
      <c r="K17" s="36"/>
      <c r="L17" s="20" t="str">
        <f t="shared" si="2"/>
        <v/>
      </c>
      <c r="N17" s="24"/>
      <c r="Q17" s="24">
        <f>Q7*H3*H4*J3*IFERROR(IF(J57=1, 1, 0), 0)</f>
        <v>839900374.65359998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66</v>
      </c>
      <c r="E18" s="54">
        <f t="shared" si="0"/>
        <v>2</v>
      </c>
      <c r="F18" s="55">
        <f t="shared" si="4"/>
        <v>92</v>
      </c>
      <c r="G18" s="56">
        <f>IF(D18=D17,"",_xlfn.IFNA(VLOOKUP(D18,'인원 입력 기능(사과탐)'!$F$177:$I$231,4,FALSE),0))</f>
        <v>682</v>
      </c>
      <c r="H18" s="57">
        <f t="shared" si="1"/>
        <v>1.3292274109300693E-2</v>
      </c>
      <c r="I18" s="67">
        <f>SUM($G$7:G18)</f>
        <v>4446</v>
      </c>
      <c r="J18" s="59">
        <f t="shared" si="5"/>
        <v>8.6653153504326813E-2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65</v>
      </c>
      <c r="E19" s="54">
        <f t="shared" si="0"/>
        <v>2</v>
      </c>
      <c r="F19" s="55">
        <f t="shared" si="4"/>
        <v>90.85</v>
      </c>
      <c r="G19" s="56">
        <f>IF(D19=D18,"",_xlfn.IFNA(VLOOKUP(D19,'인원 입력 기능(사과탐)'!$F$177:$I$231,4,FALSE),0))</f>
        <v>495</v>
      </c>
      <c r="H19" s="57">
        <f t="shared" si="1"/>
        <v>9.6476183051376011E-3</v>
      </c>
      <c r="I19" s="67">
        <f>SUM($G$7:G19)</f>
        <v>4941</v>
      </c>
      <c r="J19" s="59">
        <f t="shared" si="5"/>
        <v>9.6300771809464406E-2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64</v>
      </c>
      <c r="E20" s="54">
        <f t="shared" si="0"/>
        <v>2</v>
      </c>
      <c r="F20" s="55">
        <f t="shared" si="4"/>
        <v>89.8</v>
      </c>
      <c r="G20" s="56">
        <f>IF(D20=D19,"",_xlfn.IFNA(VLOOKUP(D20,'인원 입력 기능(사과탐)'!$F$177:$I$231,4,FALSE),0))</f>
        <v>584</v>
      </c>
      <c r="H20" s="57">
        <f t="shared" si="1"/>
        <v>1.138224058626335E-2</v>
      </c>
      <c r="I20" s="67">
        <f>SUM($G$7:G20)</f>
        <v>5525</v>
      </c>
      <c r="J20" s="59">
        <f t="shared" si="5"/>
        <v>0.10768301239572776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212">
        <f t="shared" si="3"/>
        <v>63</v>
      </c>
      <c r="E21" s="212">
        <f t="shared" si="0"/>
        <v>2</v>
      </c>
      <c r="F21" s="199">
        <f t="shared" si="4"/>
        <v>87.81</v>
      </c>
      <c r="G21" s="196">
        <f>IF(D21=D20,"",_xlfn.IFNA(VLOOKUP(D21,'인원 입력 기능(사과탐)'!$F$177:$I$231,4,FALSE),0))</f>
        <v>1458</v>
      </c>
      <c r="H21" s="192">
        <f t="shared" si="1"/>
        <v>2.8416621189678023E-2</v>
      </c>
      <c r="I21" s="189">
        <f>SUM($G$7:G21)</f>
        <v>6983</v>
      </c>
      <c r="J21" s="162">
        <f t="shared" si="5"/>
        <v>0.13609963358540578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211"/>
      <c r="E22" s="211"/>
      <c r="F22" s="198"/>
      <c r="G22" s="195"/>
      <c r="H22" s="194"/>
      <c r="I22" s="191"/>
      <c r="J22" s="188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62</v>
      </c>
      <c r="E23" s="68">
        <f t="shared" si="0"/>
        <v>3</v>
      </c>
      <c r="F23" s="55">
        <f t="shared" si="4"/>
        <v>85.55</v>
      </c>
      <c r="G23" s="56">
        <f>IF(D23=D22,"",_xlfn.IFNA(VLOOKUP(D23,'인원 입력 기능(사과탐)'!$F$177:$I$231,4,FALSE),0))</f>
        <v>862</v>
      </c>
      <c r="H23" s="57">
        <f t="shared" si="1"/>
        <v>1.6800498947532549E-2</v>
      </c>
      <c r="I23" s="67">
        <f>SUM($G$7:G23)</f>
        <v>7845</v>
      </c>
      <c r="J23" s="59">
        <f t="shared" si="5"/>
        <v>0.15290013253293833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61</v>
      </c>
      <c r="E24" s="68">
        <f t="shared" si="0"/>
        <v>3</v>
      </c>
      <c r="F24" s="55">
        <f t="shared" si="4"/>
        <v>83.82</v>
      </c>
      <c r="G24" s="56">
        <f>IF(D24=D23,"",_xlfn.IFNA(VLOOKUP(D24,'인원 입력 기능(사과탐)'!$F$177:$I$231,4,FALSE),0))</f>
        <v>914</v>
      </c>
      <c r="H24" s="57">
        <f t="shared" si="1"/>
        <v>1.7813986123021749E-2</v>
      </c>
      <c r="I24" s="67">
        <f>SUM($G$7:G24)</f>
        <v>8759</v>
      </c>
      <c r="J24" s="59">
        <f t="shared" si="5"/>
        <v>0.17071411865596009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60</v>
      </c>
      <c r="E25" s="68">
        <f t="shared" si="0"/>
        <v>3</v>
      </c>
      <c r="F25" s="55">
        <f t="shared" si="4"/>
        <v>82.07</v>
      </c>
      <c r="G25" s="56">
        <f>IF(D25=D24,"",_xlfn.IFNA(VLOOKUP(D25,'인원 입력 기능(사과탐)'!$F$177:$I$231,4,FALSE),0))</f>
        <v>881</v>
      </c>
      <c r="H25" s="57">
        <f t="shared" si="1"/>
        <v>1.7170811569345912E-2</v>
      </c>
      <c r="I25" s="67">
        <f>SUM($G$7:G25)</f>
        <v>9640</v>
      </c>
      <c r="J25" s="59">
        <f t="shared" si="5"/>
        <v>0.187884930225306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59</v>
      </c>
      <c r="E26" s="68">
        <f t="shared" si="0"/>
        <v>3</v>
      </c>
      <c r="F26" s="55">
        <f t="shared" si="4"/>
        <v>80.14</v>
      </c>
      <c r="G26" s="56">
        <f>IF(D26=D25,"",_xlfn.IFNA(VLOOKUP(D26,'인원 입력 기능(사과탐)'!$F$177:$I$231,4,FALSE),0))</f>
        <v>1095</v>
      </c>
      <c r="H26" s="57">
        <f t="shared" si="1"/>
        <v>2.1341701099243781E-2</v>
      </c>
      <c r="I26" s="67">
        <f>SUM($G$7:G26)</f>
        <v>10735</v>
      </c>
      <c r="J26" s="59">
        <f t="shared" si="5"/>
        <v>0.20922663132454977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58</v>
      </c>
      <c r="E27" s="68">
        <f t="shared" si="0"/>
        <v>3</v>
      </c>
      <c r="F27" s="55">
        <f t="shared" si="4"/>
        <v>78.11</v>
      </c>
      <c r="G27" s="56">
        <f>IF(D27=D26,"",_xlfn.IFNA(VLOOKUP(D27,'인원 입력 기능(사과탐)'!$F$177:$I$231,4,FALSE),0))</f>
        <v>993</v>
      </c>
      <c r="H27" s="57">
        <f t="shared" si="1"/>
        <v>1.9353707024245732E-2</v>
      </c>
      <c r="I27" s="67">
        <f>SUM($G$7:G27)</f>
        <v>11728</v>
      </c>
      <c r="J27" s="59">
        <f t="shared" si="5"/>
        <v>0.22858033834879551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57</v>
      </c>
      <c r="E28" s="68">
        <f t="shared" si="0"/>
        <v>3</v>
      </c>
      <c r="F28" s="55">
        <f t="shared" si="4"/>
        <v>75.95</v>
      </c>
      <c r="G28" s="56">
        <f>IF(D28=D27,"",_xlfn.IFNA(VLOOKUP(D28,'인원 입력 기능(사과탐)'!$F$177:$I$231,4,FALSE),0))</f>
        <v>1223</v>
      </c>
      <c r="H28" s="57">
        <f t="shared" si="1"/>
        <v>2.3836438761986434E-2</v>
      </c>
      <c r="I28" s="67">
        <f>SUM($G$7:G28)</f>
        <v>12951</v>
      </c>
      <c r="J28" s="59">
        <f t="shared" si="5"/>
        <v>0.25241677711078192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56</v>
      </c>
      <c r="E29" s="68">
        <f t="shared" si="0"/>
        <v>4</v>
      </c>
      <c r="F29" s="55">
        <f t="shared" si="4"/>
        <v>73.489999999999995</v>
      </c>
      <c r="G29" s="56">
        <f>IF(D29=D28,"",_xlfn.IFNA(VLOOKUP(D29,'인원 입력 기능(사과탐)'!$F$177:$I$231,4,FALSE),0))</f>
        <v>1298</v>
      </c>
      <c r="H29" s="57">
        <f t="shared" si="1"/>
        <v>2.5298199111249708E-2</v>
      </c>
      <c r="I29" s="67">
        <f>SUM($G$7:G29)</f>
        <v>14249</v>
      </c>
      <c r="J29" s="59">
        <f t="shared" si="5"/>
        <v>0.27771497622203167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55</v>
      </c>
      <c r="E30" s="68">
        <f t="shared" si="0"/>
        <v>4</v>
      </c>
      <c r="F30" s="55">
        <f t="shared" si="4"/>
        <v>71.06</v>
      </c>
      <c r="G30" s="56">
        <f>IF(D30=D29,"",_xlfn.IFNA(VLOOKUP(D30,'인원 입력 기능(사과탐)'!$F$177:$I$231,4,FALSE),0))</f>
        <v>1195</v>
      </c>
      <c r="H30" s="57">
        <f t="shared" si="1"/>
        <v>2.329071489826148E-2</v>
      </c>
      <c r="I30" s="67">
        <f>SUM($G$7:G30)</f>
        <v>15444</v>
      </c>
      <c r="J30" s="59">
        <f t="shared" si="5"/>
        <v>0.30100569112029313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54</v>
      </c>
      <c r="E31" s="68">
        <f t="shared" si="0"/>
        <v>4</v>
      </c>
      <c r="F31" s="55">
        <f t="shared" si="4"/>
        <v>68.38</v>
      </c>
      <c r="G31" s="56">
        <f>IF(D31=D30,"",_xlfn.IFNA(VLOOKUP(D31,'인원 입력 기능(사과탐)'!$F$177:$I$231,4,FALSE),0))</f>
        <v>1564</v>
      </c>
      <c r="H31" s="57">
        <f t="shared" si="1"/>
        <v>3.048257581663678E-2</v>
      </c>
      <c r="I31" s="67">
        <f>SUM($G$7:G31)</f>
        <v>17008</v>
      </c>
      <c r="J31" s="59">
        <f t="shared" si="5"/>
        <v>0.3314882669369299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53</v>
      </c>
      <c r="E32" s="68">
        <f t="shared" si="0"/>
        <v>4</v>
      </c>
      <c r="F32" s="55">
        <f t="shared" si="4"/>
        <v>65.56</v>
      </c>
      <c r="G32" s="56">
        <f>IF(D32=D31,"",_xlfn.IFNA(VLOOKUP(D32,'인원 입력 기능(사과탐)'!$F$177:$I$231,4,FALSE),0))</f>
        <v>1323</v>
      </c>
      <c r="H32" s="57">
        <f t="shared" si="1"/>
        <v>2.5785452561004132E-2</v>
      </c>
      <c r="I32" s="67">
        <f>SUM($G$7:G32)</f>
        <v>18331</v>
      </c>
      <c r="J32" s="59">
        <f t="shared" si="5"/>
        <v>0.35727371949793407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52</v>
      </c>
      <c r="E33" s="68">
        <f t="shared" si="0"/>
        <v>4</v>
      </c>
      <c r="F33" s="55">
        <f t="shared" si="4"/>
        <v>62.75</v>
      </c>
      <c r="G33" s="56">
        <f>IF(D33=D32,"",_xlfn.IFNA(VLOOKUP(D33,'인원 입력 기능(사과탐)'!$F$177:$I$231,4,FALSE),0))</f>
        <v>1566</v>
      </c>
      <c r="H33" s="57">
        <f t="shared" si="1"/>
        <v>3.0521556092617134E-2</v>
      </c>
      <c r="I33" s="67">
        <f>SUM($G$7:G33)</f>
        <v>19897</v>
      </c>
      <c r="J33" s="59">
        <f t="shared" si="5"/>
        <v>0.38779527559055116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51</v>
      </c>
      <c r="E34" s="68">
        <f t="shared" si="0"/>
        <v>4</v>
      </c>
      <c r="F34" s="55">
        <f t="shared" si="4"/>
        <v>59.69</v>
      </c>
      <c r="G34" s="56">
        <f>IF(D34=D33,"",_xlfn.IFNA(VLOOKUP(D34,'인원 입력 기능(사과탐)'!$F$177:$I$231,4,FALSE),0))</f>
        <v>1567</v>
      </c>
      <c r="H34" s="57">
        <f t="shared" si="1"/>
        <v>3.0541046230607313E-2</v>
      </c>
      <c r="I34" s="67">
        <f>SUM($G$7:G34)</f>
        <v>21464</v>
      </c>
      <c r="J34" s="59">
        <f t="shared" si="5"/>
        <v>0.41833632182115849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50</v>
      </c>
      <c r="E35" s="68">
        <f t="shared" si="0"/>
        <v>5</v>
      </c>
      <c r="F35" s="55">
        <f t="shared" si="4"/>
        <v>56.61</v>
      </c>
      <c r="G35" s="56">
        <f>IF(D35=D34,"",_xlfn.IFNA(VLOOKUP(D35,'인원 입력 기능(사과탐)'!$F$177:$I$231,4,FALSE),0))</f>
        <v>1601</v>
      </c>
      <c r="H35" s="57">
        <f t="shared" si="1"/>
        <v>3.120371092227333E-2</v>
      </c>
      <c r="I35" s="67">
        <f>SUM($G$7:G35)</f>
        <v>23065</v>
      </c>
      <c r="J35" s="59">
        <f t="shared" si="5"/>
        <v>0.44954003274343185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49</v>
      </c>
      <c r="E36" s="68">
        <f t="shared" si="0"/>
        <v>5</v>
      </c>
      <c r="F36" s="55">
        <f t="shared" si="4"/>
        <v>53.36</v>
      </c>
      <c r="G36" s="56">
        <f>IF(D36=D35,"",_xlfn.IFNA(VLOOKUP(D36,'인원 입력 기능(사과탐)'!$F$177:$I$231,4,FALSE),0))</f>
        <v>1734</v>
      </c>
      <c r="H36" s="57">
        <f t="shared" si="1"/>
        <v>3.3795899274966866E-2</v>
      </c>
      <c r="I36" s="67">
        <f>SUM($G$7:G36)</f>
        <v>24799</v>
      </c>
      <c r="J36" s="59">
        <f t="shared" si="5"/>
        <v>0.4833359320183987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48</v>
      </c>
      <c r="E37" s="68">
        <f t="shared" si="0"/>
        <v>5</v>
      </c>
      <c r="F37" s="55">
        <f t="shared" si="4"/>
        <v>50.08</v>
      </c>
      <c r="G37" s="56">
        <f>IF(D37=D36,"",_xlfn.IFNA(VLOOKUP(D37,'인원 입력 기능(사과탐)'!$F$177:$I$231,4,FALSE),0))</f>
        <v>1627</v>
      </c>
      <c r="H37" s="57">
        <f t="shared" si="1"/>
        <v>3.171045451001793E-2</v>
      </c>
      <c r="I37" s="67">
        <f>SUM($G$7:G37)</f>
        <v>26426</v>
      </c>
      <c r="J37" s="59">
        <f t="shared" si="5"/>
        <v>0.51504638652841661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212">
        <f t="shared" si="3"/>
        <v>47</v>
      </c>
      <c r="E38" s="212">
        <f t="shared" si="0"/>
        <v>5</v>
      </c>
      <c r="F38" s="199">
        <f t="shared" si="4"/>
        <v>45.03</v>
      </c>
      <c r="G38" s="196">
        <f>IF(D38=D37,"",_xlfn.IFNA(VLOOKUP(D38,'인원 입력 기능(사과탐)'!$F$177:$I$231,4,FALSE),0))</f>
        <v>3557</v>
      </c>
      <c r="H38" s="192">
        <f t="shared" si="1"/>
        <v>6.9326420831059485E-2</v>
      </c>
      <c r="I38" s="189">
        <f>SUM($G$7:G38)</f>
        <v>29983</v>
      </c>
      <c r="J38" s="162">
        <f t="shared" si="5"/>
        <v>0.58437280735947605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211"/>
      <c r="E39" s="211"/>
      <c r="F39" s="198"/>
      <c r="G39" s="195"/>
      <c r="H39" s="194"/>
      <c r="I39" s="191"/>
      <c r="J39" s="188"/>
      <c r="K39" s="36"/>
      <c r="L39" s="20" t="str">
        <f t="shared" si="2"/>
        <v>경고</v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46</v>
      </c>
      <c r="E40" s="68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5</v>
      </c>
      <c r="F40" s="55">
        <f t="shared" si="4"/>
        <v>39.75</v>
      </c>
      <c r="G40" s="56">
        <f>IF(D40=D39,"",_xlfn.IFNA(VLOOKUP(D40,'인원 입력 기능(사과탐)'!$F$177:$I$231,4,FALSE),0))</f>
        <v>1864</v>
      </c>
      <c r="H40" s="57">
        <f t="shared" si="1"/>
        <v>3.6329617213689873E-2</v>
      </c>
      <c r="I40" s="67">
        <f>SUM($G$7:G40)</f>
        <v>31847</v>
      </c>
      <c r="J40" s="59">
        <f t="shared" si="5"/>
        <v>0.62070242457316593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45</v>
      </c>
      <c r="E41" s="68">
        <f t="shared" si="6"/>
        <v>6</v>
      </c>
      <c r="F41" s="55">
        <f t="shared" si="4"/>
        <v>36.090000000000003</v>
      </c>
      <c r="G41" s="56">
        <f>IF(D41=D40,"",_xlfn.IFNA(VLOOKUP(D41,'인원 입력 기능(사과탐)'!$F$177:$I$231,4,FALSE),0))</f>
        <v>1891</v>
      </c>
      <c r="H41" s="57">
        <f t="shared" si="1"/>
        <v>3.6855850939424652E-2</v>
      </c>
      <c r="I41" s="67">
        <f>SUM($G$7:G41)</f>
        <v>33738</v>
      </c>
      <c r="J41" s="59">
        <f t="shared" si="5"/>
        <v>0.65755827551259061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44</v>
      </c>
      <c r="E42" s="68">
        <f t="shared" si="6"/>
        <v>6</v>
      </c>
      <c r="F42" s="55">
        <f t="shared" si="4"/>
        <v>32.270000000000003</v>
      </c>
      <c r="G42" s="56">
        <f>IF(D42=D41,"",_xlfn.IFNA(VLOOKUP(D42,'인원 입력 기능(사과탐)'!$F$177:$I$231,4,FALSE),0))</f>
        <v>2024</v>
      </c>
      <c r="H42" s="57">
        <f t="shared" si="1"/>
        <v>3.9448039292118188E-2</v>
      </c>
      <c r="I42" s="67">
        <f>SUM($G$7:G42)</f>
        <v>35762</v>
      </c>
      <c r="J42" s="59">
        <f t="shared" si="5"/>
        <v>0.69700631480470887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43</v>
      </c>
      <c r="E43" s="68">
        <f t="shared" si="6"/>
        <v>6</v>
      </c>
      <c r="F43" s="55">
        <f t="shared" si="4"/>
        <v>28.4</v>
      </c>
      <c r="G43" s="56">
        <f>IF(D43=D42,"",_xlfn.IFNA(VLOOKUP(D43,'인원 입력 기능(사과탐)'!$F$177:$I$231,4,FALSE),0))</f>
        <v>1951</v>
      </c>
      <c r="H43" s="57">
        <f t="shared" si="1"/>
        <v>3.8025259218835268E-2</v>
      </c>
      <c r="I43" s="67">
        <f>SUM($G$7:G43)</f>
        <v>37713</v>
      </c>
      <c r="J43" s="59">
        <f t="shared" si="5"/>
        <v>0.73503157402354413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42</v>
      </c>
      <c r="E44" s="68">
        <f t="shared" si="6"/>
        <v>6</v>
      </c>
      <c r="F44" s="55">
        <f t="shared" si="4"/>
        <v>23.43</v>
      </c>
      <c r="G44" s="56">
        <f>IF(D44=D43,"",_xlfn.IFNA(VLOOKUP(D44,'인원 입력 기능(사과탐)'!$F$177:$I$231,4,FALSE),0))</f>
        <v>3143</v>
      </c>
      <c r="H44" s="57">
        <f t="shared" si="1"/>
        <v>6.1257503703126215E-2</v>
      </c>
      <c r="I44" s="67">
        <f>SUM($G$7:G44)</f>
        <v>40856</v>
      </c>
      <c r="J44" s="59">
        <f t="shared" si="5"/>
        <v>0.79628907772667035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41</v>
      </c>
      <c r="E45" s="68">
        <f t="shared" si="6"/>
        <v>7</v>
      </c>
      <c r="F45" s="55">
        <f t="shared" si="4"/>
        <v>18.61</v>
      </c>
      <c r="G45" s="56">
        <f>IF(D45=D44,"",_xlfn.IFNA(VLOOKUP(D45,'인원 입력 기능(사과탐)'!$F$177:$I$231,4,FALSE),0))</f>
        <v>1804</v>
      </c>
      <c r="H45" s="57">
        <f t="shared" si="1"/>
        <v>3.5160208934279256E-2</v>
      </c>
      <c r="I45" s="67">
        <f>SUM($G$7:G45)</f>
        <v>42660</v>
      </c>
      <c r="J45" s="59">
        <f t="shared" si="5"/>
        <v>0.83144928666094953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40</v>
      </c>
      <c r="E46" s="68">
        <f t="shared" si="6"/>
        <v>7</v>
      </c>
      <c r="F46" s="55">
        <f t="shared" si="4"/>
        <v>15.46</v>
      </c>
      <c r="G46" s="56">
        <f>IF(D46=D45,"",_xlfn.IFNA(VLOOKUP(D46,'인원 입력 기능(사과탐)'!$F$177:$I$231,4,FALSE),0))</f>
        <v>1427</v>
      </c>
      <c r="H46" s="57">
        <f t="shared" si="1"/>
        <v>2.7812426911982536E-2</v>
      </c>
      <c r="I46" s="67">
        <f>SUM($G$7:G46)</f>
        <v>44087</v>
      </c>
      <c r="J46" s="59">
        <f t="shared" si="5"/>
        <v>0.85926171357293213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39</v>
      </c>
      <c r="E47" s="68">
        <f t="shared" si="6"/>
        <v>7</v>
      </c>
      <c r="F47" s="55">
        <f t="shared" si="4"/>
        <v>12.3</v>
      </c>
      <c r="G47" s="56">
        <f>IF(D47=D46,"",_xlfn.IFNA(VLOOKUP(D47,'인원 입력 기능(사과탐)'!$F$177:$I$231,4,FALSE),0))</f>
        <v>1820</v>
      </c>
      <c r="H47" s="57">
        <f t="shared" si="1"/>
        <v>3.5472051142122089E-2</v>
      </c>
      <c r="I47" s="67">
        <f>SUM($G$7:G47)</f>
        <v>45907</v>
      </c>
      <c r="J47" s="59">
        <f t="shared" si="5"/>
        <v>0.89473376471505417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38</v>
      </c>
      <c r="E48" s="68">
        <f t="shared" si="6"/>
        <v>8</v>
      </c>
      <c r="F48" s="55">
        <f t="shared" si="4"/>
        <v>9.08</v>
      </c>
      <c r="G48" s="56">
        <f>IF(D48=D47,"",_xlfn.IFNA(VLOOKUP(D48,'인원 입력 기능(사과탐)'!$F$177:$I$231,4,FALSE),0))</f>
        <v>1486</v>
      </c>
      <c r="H48" s="57">
        <f t="shared" si="1"/>
        <v>2.8962345053402977E-2</v>
      </c>
      <c r="I48" s="67">
        <f>SUM($G$7:G48)</f>
        <v>47393</v>
      </c>
      <c r="J48" s="59">
        <f t="shared" si="5"/>
        <v>0.92369610976845717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37</v>
      </c>
      <c r="E49" s="68">
        <f t="shared" si="6"/>
        <v>8</v>
      </c>
      <c r="F49" s="55">
        <f t="shared" si="4"/>
        <v>6.1</v>
      </c>
      <c r="G49" s="56">
        <f>IF(D49=D48,"",_xlfn.IFNA(VLOOKUP(D49,'인원 입력 기능(사과탐)'!$F$177:$I$231,4,FALSE),0))</f>
        <v>1572</v>
      </c>
      <c r="H49" s="57">
        <f t="shared" si="1"/>
        <v>3.0638496920558197E-2</v>
      </c>
      <c r="I49" s="67">
        <f>SUM($G$7:G49)</f>
        <v>48965</v>
      </c>
      <c r="J49" s="59">
        <f t="shared" si="5"/>
        <v>0.95433460668901537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36</v>
      </c>
      <c r="E50" s="68">
        <f t="shared" si="6"/>
        <v>8</v>
      </c>
      <c r="F50" s="55">
        <f t="shared" si="4"/>
        <v>3.7</v>
      </c>
      <c r="G50" s="56">
        <f>IF(D50=D49,"",_xlfn.IFNA(VLOOKUP(D50,'인원 입력 기능(사과탐)'!$F$177:$I$231,4,FALSE),0))</f>
        <v>891</v>
      </c>
      <c r="H50" s="57">
        <f t="shared" si="1"/>
        <v>1.7365712949247682E-2</v>
      </c>
      <c r="I50" s="67">
        <f>SUM($G$7:G50)</f>
        <v>49856</v>
      </c>
      <c r="J50" s="59">
        <f t="shared" si="5"/>
        <v>0.97170031963826309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35</v>
      </c>
      <c r="E51" s="68">
        <f t="shared" si="6"/>
        <v>9</v>
      </c>
      <c r="F51" s="55">
        <f t="shared" si="4"/>
        <v>2.4300000000000002</v>
      </c>
      <c r="G51" s="56">
        <f>IF(D51=D50,"",_xlfn.IFNA(VLOOKUP(D51,'인원 입력 기능(사과탐)'!$F$177:$I$231,4,FALSE),0))</f>
        <v>412</v>
      </c>
      <c r="H51" s="57">
        <f t="shared" si="1"/>
        <v>8.0299368519529124E-3</v>
      </c>
      <c r="I51" s="67">
        <f>SUM($G$7:G51)</f>
        <v>50268</v>
      </c>
      <c r="J51" s="59">
        <f t="shared" si="5"/>
        <v>0.97973025649021594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34</v>
      </c>
      <c r="E52" s="68">
        <f t="shared" si="6"/>
        <v>9</v>
      </c>
      <c r="F52" s="55">
        <f t="shared" si="4"/>
        <v>1.58</v>
      </c>
      <c r="G52" s="56">
        <f>IF(D52=D51,"",_xlfn.IFNA(VLOOKUP(D52,'인원 입력 기능(사과탐)'!$F$177:$I$231,4,FALSE),0))</f>
        <v>457</v>
      </c>
      <c r="H52" s="57">
        <f t="shared" si="1"/>
        <v>8.9069930615108747E-3</v>
      </c>
      <c r="I52" s="67">
        <f>SUM($G$7:G52)</f>
        <v>50725</v>
      </c>
      <c r="J52" s="59">
        <f t="shared" si="5"/>
        <v>0.98863724955172683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33</v>
      </c>
      <c r="E53" s="54">
        <f t="shared" si="6"/>
        <v>9</v>
      </c>
      <c r="F53" s="55">
        <f t="shared" si="4"/>
        <v>0.86</v>
      </c>
      <c r="G53" s="56">
        <f>IF(D53=D52,"",_xlfn.IFNA(VLOOKUP(D53,'인원 입력 기능(사과탐)'!$F$177:$I$231,4,FALSE),0))</f>
        <v>280</v>
      </c>
      <c r="H53" s="57">
        <f t="shared" si="1"/>
        <v>5.4572386372495514E-3</v>
      </c>
      <c r="I53" s="67">
        <f>SUM($G$7:G53)</f>
        <v>51005</v>
      </c>
      <c r="J53" s="59">
        <f t="shared" si="5"/>
        <v>0.99409448818897639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32</v>
      </c>
      <c r="E54" s="54">
        <f t="shared" si="6"/>
        <v>9</v>
      </c>
      <c r="F54" s="55">
        <f t="shared" si="4"/>
        <v>0.48</v>
      </c>
      <c r="G54" s="56">
        <f>IF(D54=D53,"",_xlfn.IFNA(VLOOKUP(D54,'인원 입력 기능(사과탐)'!$F$177:$I$231,4,FALSE),0))</f>
        <v>110</v>
      </c>
      <c r="H54" s="57">
        <f t="shared" si="1"/>
        <v>2.1439151789194666E-3</v>
      </c>
      <c r="I54" s="67">
        <f>SUM($G$7:G54)</f>
        <v>51115</v>
      </c>
      <c r="J54" s="59">
        <f t="shared" si="5"/>
        <v>0.99623840336789582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31</v>
      </c>
      <c r="E55" s="54">
        <f t="shared" si="6"/>
        <v>9</v>
      </c>
      <c r="F55" s="55">
        <f t="shared" si="4"/>
        <v>0.24</v>
      </c>
      <c r="G55" s="56">
        <f>IF(D55=D54,"",_xlfn.IFNA(VLOOKUP(D55,'인원 입력 기능(사과탐)'!$F$177:$I$231,4,FALSE),0))</f>
        <v>143</v>
      </c>
      <c r="H55" s="57">
        <f t="shared" si="1"/>
        <v>2.7870897325953069E-3</v>
      </c>
      <c r="I55" s="67">
        <f>SUM($G$7:G55)</f>
        <v>51258</v>
      </c>
      <c r="J55" s="59">
        <f t="shared" si="5"/>
        <v>0.99902549310049116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30</v>
      </c>
      <c r="E57" s="109">
        <f t="shared" si="6"/>
        <v>9</v>
      </c>
      <c r="F57" s="74">
        <f>IF(I55=0,ROUND(100*(1-(I54+I57)/2/$J$3),2),ROUND(100*(1-(I55+I57)/2/$J$3),2))</f>
        <v>0.05</v>
      </c>
      <c r="G57" s="110">
        <f>_xlfn.IFNA(VLOOKUP(D57,'인원 입력 기능(사과탐)'!$F$177:$I$231,4,FALSE),0)</f>
        <v>50</v>
      </c>
      <c r="H57" s="76">
        <f>G57/$J$3</f>
        <v>9.7450689950884857E-4</v>
      </c>
      <c r="I57" s="77">
        <f>SUM($G$7:G57)</f>
        <v>51308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6">
    <mergeCell ref="G21:G22"/>
    <mergeCell ref="H21:H22"/>
    <mergeCell ref="I21:I22"/>
    <mergeCell ref="J21:J22"/>
    <mergeCell ref="D38:D39"/>
    <mergeCell ref="E38:E39"/>
    <mergeCell ref="F38:F39"/>
    <mergeCell ref="G38:G39"/>
    <mergeCell ref="H38:H39"/>
    <mergeCell ref="I38:I39"/>
    <mergeCell ref="J38:J39"/>
    <mergeCell ref="D3:F3"/>
    <mergeCell ref="D4:F4"/>
    <mergeCell ref="D21:D22"/>
    <mergeCell ref="E21:E22"/>
    <mergeCell ref="F21:F22"/>
  </mergeCells>
  <phoneticPr fontId="1" type="noConversion"/>
  <conditionalFormatting sqref="D7:G21 I7:J21 D23:G38 I23:J38 D40:G57 I40:J57">
    <cfRule type="expression" dxfId="34" priority="4">
      <formula>OR($D7=$Q$7:$Q$14)</formula>
    </cfRule>
  </conditionalFormatting>
  <conditionalFormatting sqref="C7:C57">
    <cfRule type="expression" dxfId="33" priority="3">
      <formula>OR(AND($D7=0,OR($D6=$Q$7:$Q$14)),AND($D8&gt;0,OR($D7=$Q$7:$Q$14)))</formula>
    </cfRule>
  </conditionalFormatting>
  <conditionalFormatting sqref="D7:D21 D23:D38 D40:D57">
    <cfRule type="expression" dxfId="32" priority="2">
      <formula>$D7=$D8</formula>
    </cfRule>
  </conditionalFormatting>
  <conditionalFormatting sqref="H7:H21 H23:H38 H40:H57">
    <cfRule type="expression" dxfId="31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2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기능'!D19</f>
        <v>24.05</v>
      </c>
      <c r="I3" s="21" t="s">
        <v>124</v>
      </c>
      <c r="J3" s="81">
        <f>'통계 및 응시자 수 입력 기능'!C19</f>
        <v>96832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145</v>
      </c>
      <c r="E4" s="153"/>
      <c r="F4" s="154"/>
      <c r="G4" s="83" t="s">
        <v>127</v>
      </c>
      <c r="H4" s="84" t="str">
        <f>'통계 및 응시자 수 입력 기능'!E19</f>
        <v>11.47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73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98.95</v>
      </c>
      <c r="G7" s="56">
        <f>_xlfn.IFNA(VLOOKUP(D7,'인원 입력 기능(사과탐)'!$K$177:$N$231,4,FALSE),0)</f>
        <v>2038</v>
      </c>
      <c r="H7" s="57">
        <f>G7/$J$3</f>
        <v>2.104676140118969E-2</v>
      </c>
      <c r="I7" s="58">
        <f>G7</f>
        <v>2038</v>
      </c>
      <c r="J7" s="59">
        <f>I7/$J$3</f>
        <v>2.104676140118969E-2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기능'!C139</f>
        <v>70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기능'!C140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71</v>
      </c>
      <c r="E9" s="54">
        <f t="shared" si="0"/>
        <v>1</v>
      </c>
      <c r="F9" s="55">
        <f>IF(I8=0,ROUND(100*(1-(I7+I9)/2/$J$3),2),ROUND(100*(1-(I8+I9)/2/$J$3),2))</f>
        <v>97.41</v>
      </c>
      <c r="G9" s="56">
        <f>_xlfn.IFNA(VLOOKUP(D9,'인원 입력 기능(사과탐)'!$K$177:$N$231,4,FALSE),0)</f>
        <v>933</v>
      </c>
      <c r="H9" s="57">
        <f t="shared" ref="H9:H55" si="1">G9/$J$3</f>
        <v>9.6352445472571054E-3</v>
      </c>
      <c r="I9" s="67">
        <f>SUM($G$7:G9)</f>
        <v>2971</v>
      </c>
      <c r="J9" s="59">
        <f>I9/$J$3</f>
        <v>3.0682005948446795E-2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기능'!C141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70</v>
      </c>
      <c r="E10" s="54">
        <f t="shared" si="0"/>
        <v>1</v>
      </c>
      <c r="F10" s="55">
        <f t="shared" ref="F10:F55" si="4">IF(I9=0,ROUND(100*(1-(I8+I10)/2/$J$3),2),ROUND(100*(1-(I9+I10)/2/$J$3),2))</f>
        <v>96.18</v>
      </c>
      <c r="G10" s="56">
        <f>IF(D10=D9,"",_xlfn.IFNA(VLOOKUP(D10,'인원 입력 기능(사과탐)'!$K$177:$N$231,4,FALSE),0))</f>
        <v>1448</v>
      </c>
      <c r="H10" s="57">
        <f t="shared" si="1"/>
        <v>1.4953734302709848E-2</v>
      </c>
      <c r="I10" s="67">
        <f>SUM($G$7:G10)</f>
        <v>4419</v>
      </c>
      <c r="J10" s="59">
        <f t="shared" ref="J10:J55" si="5">I10/$J$3</f>
        <v>4.5635740251156645E-2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기능'!C142</f>
        <v>52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69</v>
      </c>
      <c r="E11" s="54">
        <f t="shared" si="0"/>
        <v>2</v>
      </c>
      <c r="F11" s="55">
        <f t="shared" si="4"/>
        <v>95.24</v>
      </c>
      <c r="G11" s="56">
        <f>IF(D11=D10,"",_xlfn.IFNA(VLOOKUP(D11,'인원 입력 기능(사과탐)'!$K$177:$N$231,4,FALSE),0))</f>
        <v>373</v>
      </c>
      <c r="H11" s="57">
        <f t="shared" si="1"/>
        <v>3.8520323859881031E-3</v>
      </c>
      <c r="I11" s="67">
        <f>SUM($G$7:G11)</f>
        <v>4792</v>
      </c>
      <c r="J11" s="59">
        <f t="shared" si="5"/>
        <v>4.9487772637144746E-2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기능'!C143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68</v>
      </c>
      <c r="E12" s="54">
        <f t="shared" si="0"/>
        <v>2</v>
      </c>
      <c r="F12" s="55">
        <f t="shared" si="4"/>
        <v>94.33</v>
      </c>
      <c r="G12" s="56">
        <f>IF(D12=D11,"",_xlfn.IFNA(VLOOKUP(D12,'인원 입력 기능(사과탐)'!$K$177:$N$231,4,FALSE),0))</f>
        <v>1397</v>
      </c>
      <c r="H12" s="57">
        <f t="shared" si="1"/>
        <v>1.4427048909451422E-2</v>
      </c>
      <c r="I12" s="67">
        <f>SUM($G$7:G12)</f>
        <v>6189</v>
      </c>
      <c r="J12" s="59">
        <f t="shared" si="5"/>
        <v>6.3914821546596168E-2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기능'!C144</f>
        <v>42</v>
      </c>
    </row>
    <row r="13" spans="1:17" s="22" customFormat="1" ht="25" customHeight="1" x14ac:dyDescent="0.45">
      <c r="A13" s="20"/>
      <c r="B13" s="35"/>
      <c r="C13" s="53">
        <v>44</v>
      </c>
      <c r="D13" s="202">
        <f t="shared" si="3"/>
        <v>67</v>
      </c>
      <c r="E13" s="202">
        <f t="shared" si="0"/>
        <v>2</v>
      </c>
      <c r="F13" s="199">
        <f t="shared" si="4"/>
        <v>92.65</v>
      </c>
      <c r="G13" s="196">
        <f>IF(D13=D12,"",_xlfn.IFNA(VLOOKUP(D13,'인원 입력 기능(사과탐)'!$K$177:$N$231,4,FALSE),0))</f>
        <v>1853</v>
      </c>
      <c r="H13" s="192">
        <f t="shared" si="1"/>
        <v>1.9136235955056181E-2</v>
      </c>
      <c r="I13" s="189">
        <f>SUM($G$7:G13)</f>
        <v>8042</v>
      </c>
      <c r="J13" s="162">
        <f t="shared" si="5"/>
        <v>8.3051057501652342E-2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기능'!C145</f>
        <v>39</v>
      </c>
    </row>
    <row r="14" spans="1:17" s="22" customFormat="1" ht="25" customHeight="1" x14ac:dyDescent="0.45">
      <c r="A14" s="20"/>
      <c r="B14" s="35"/>
      <c r="C14" s="60">
        <v>43</v>
      </c>
      <c r="D14" s="201"/>
      <c r="E14" s="201"/>
      <c r="F14" s="198"/>
      <c r="G14" s="195"/>
      <c r="H14" s="194"/>
      <c r="I14" s="191"/>
      <c r="J14" s="188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기능'!C146</f>
        <v>35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66</v>
      </c>
      <c r="E15" s="54">
        <f t="shared" si="0"/>
        <v>2</v>
      </c>
      <c r="F15" s="55">
        <f t="shared" si="4"/>
        <v>90.91</v>
      </c>
      <c r="G15" s="56">
        <f>IF(D15=D14,"",_xlfn.IFNA(VLOOKUP(D15,'인원 입력 기능(사과탐)'!$K$177:$N$231,4,FALSE),0))</f>
        <v>1519</v>
      </c>
      <c r="H15" s="57">
        <f t="shared" si="1"/>
        <v>1.5686962987442168E-2</v>
      </c>
      <c r="I15" s="67">
        <f>SUM($G$7:G15)</f>
        <v>9561</v>
      </c>
      <c r="J15" s="59">
        <f t="shared" si="5"/>
        <v>9.8738020489094511E-2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65</v>
      </c>
      <c r="E16" s="54">
        <f t="shared" si="0"/>
        <v>2</v>
      </c>
      <c r="F16" s="55">
        <f t="shared" si="4"/>
        <v>89.61</v>
      </c>
      <c r="G16" s="56">
        <f>IF(D16=D15,"",_xlfn.IFNA(VLOOKUP(D16,'인원 입력 기능(사과탐)'!$K$177:$N$231,4,FALSE),0))</f>
        <v>994</v>
      </c>
      <c r="H16" s="57">
        <f t="shared" si="1"/>
        <v>1.0265201586252479E-2</v>
      </c>
      <c r="I16" s="67">
        <f>SUM($G$7:G16)</f>
        <v>10555</v>
      </c>
      <c r="J16" s="59">
        <f t="shared" si="5"/>
        <v>0.10900322207534699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64</v>
      </c>
      <c r="E17" s="54">
        <f t="shared" si="0"/>
        <v>2</v>
      </c>
      <c r="F17" s="55">
        <f t="shared" si="4"/>
        <v>88.37</v>
      </c>
      <c r="G17" s="56">
        <f>IF(D17=D16,"",_xlfn.IFNA(VLOOKUP(D17,'인원 입력 기능(사과탐)'!$K$177:$N$231,4,FALSE),0))</f>
        <v>1417</v>
      </c>
      <c r="H17" s="57">
        <f t="shared" si="1"/>
        <v>1.4633592200925314E-2</v>
      </c>
      <c r="I17" s="67">
        <f>SUM($G$7:G17)</f>
        <v>11972</v>
      </c>
      <c r="J17" s="59">
        <f t="shared" si="5"/>
        <v>0.12363681427627231</v>
      </c>
      <c r="K17" s="36"/>
      <c r="L17" s="20" t="str">
        <f t="shared" si="2"/>
        <v/>
      </c>
      <c r="N17" s="24"/>
      <c r="Q17" s="24">
        <f>Q7*H3*H4*J3*IFERROR(IF(J57=1, 1, 0), 0)</f>
        <v>1869801227.8400002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63</v>
      </c>
      <c r="E18" s="54">
        <f t="shared" si="0"/>
        <v>3</v>
      </c>
      <c r="F18" s="55">
        <f t="shared" si="4"/>
        <v>86.89</v>
      </c>
      <c r="G18" s="56">
        <f>IF(D18=D17,"",_xlfn.IFNA(VLOOKUP(D18,'인원 입력 기능(사과탐)'!$K$177:$N$231,4,FALSE),0))</f>
        <v>1439</v>
      </c>
      <c r="H18" s="57">
        <f t="shared" si="1"/>
        <v>1.4860789821546596E-2</v>
      </c>
      <c r="I18" s="67">
        <f>SUM($G$7:G18)</f>
        <v>13411</v>
      </c>
      <c r="J18" s="59">
        <f t="shared" si="5"/>
        <v>0.13849760409781892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62</v>
      </c>
      <c r="E19" s="54">
        <f t="shared" si="0"/>
        <v>3</v>
      </c>
      <c r="F19" s="55">
        <f t="shared" si="4"/>
        <v>85.5</v>
      </c>
      <c r="G19" s="56">
        <f>IF(D19=D18,"",_xlfn.IFNA(VLOOKUP(D19,'인원 입력 기능(사과탐)'!$K$177:$N$231,4,FALSE),0))</f>
        <v>1257</v>
      </c>
      <c r="H19" s="57">
        <f t="shared" si="1"/>
        <v>1.298124586913417E-2</v>
      </c>
      <c r="I19" s="67">
        <f>SUM($G$7:G19)</f>
        <v>14668</v>
      </c>
      <c r="J19" s="59">
        <f t="shared" si="5"/>
        <v>0.15147884996695307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61</v>
      </c>
      <c r="E20" s="54">
        <f t="shared" si="0"/>
        <v>3</v>
      </c>
      <c r="F20" s="55">
        <f t="shared" si="4"/>
        <v>83.96</v>
      </c>
      <c r="G20" s="56">
        <f>IF(D20=D19,"",_xlfn.IFNA(VLOOKUP(D20,'인원 입력 기능(사과탐)'!$K$177:$N$231,4,FALSE),0))</f>
        <v>1734</v>
      </c>
      <c r="H20" s="57">
        <f t="shared" si="1"/>
        <v>1.7907303370786515E-2</v>
      </c>
      <c r="I20" s="67">
        <f>SUM($G$7:G20)</f>
        <v>16402</v>
      </c>
      <c r="J20" s="59">
        <f t="shared" si="5"/>
        <v>0.1693861533377396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212">
        <f t="shared" si="3"/>
        <v>60</v>
      </c>
      <c r="E21" s="212">
        <f t="shared" si="0"/>
        <v>3</v>
      </c>
      <c r="F21" s="199">
        <f t="shared" si="4"/>
        <v>81.45</v>
      </c>
      <c r="G21" s="196">
        <f>IF(D21=D20,"",_xlfn.IFNA(VLOOKUP(D21,'인원 입력 기능(사과탐)'!$K$177:$N$231,4,FALSE),0))</f>
        <v>3126</v>
      </c>
      <c r="H21" s="192">
        <f t="shared" si="1"/>
        <v>3.2282716457369465E-2</v>
      </c>
      <c r="I21" s="189">
        <f>SUM($G$7:G21)</f>
        <v>19528</v>
      </c>
      <c r="J21" s="162">
        <f t="shared" si="5"/>
        <v>0.20166886979510906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211"/>
      <c r="E22" s="211"/>
      <c r="F22" s="198"/>
      <c r="G22" s="195"/>
      <c r="H22" s="194"/>
      <c r="I22" s="191"/>
      <c r="J22" s="188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59</v>
      </c>
      <c r="E23" s="68">
        <f t="shared" si="0"/>
        <v>3</v>
      </c>
      <c r="F23" s="55">
        <f t="shared" si="4"/>
        <v>78.900000000000006</v>
      </c>
      <c r="G23" s="56">
        <f>IF(D23=D22,"",_xlfn.IFNA(VLOOKUP(D23,'인원 입력 기능(사과탐)'!$K$177:$N$231,4,FALSE),0))</f>
        <v>1815</v>
      </c>
      <c r="H23" s="57">
        <f t="shared" si="1"/>
        <v>1.8743803701255782E-2</v>
      </c>
      <c r="I23" s="67">
        <f>SUM($G$7:G23)</f>
        <v>21343</v>
      </c>
      <c r="J23" s="59">
        <f t="shared" si="5"/>
        <v>0.22041267349636484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58</v>
      </c>
      <c r="E24" s="68">
        <f t="shared" si="0"/>
        <v>3</v>
      </c>
      <c r="F24" s="55">
        <f t="shared" si="4"/>
        <v>77.069999999999993</v>
      </c>
      <c r="G24" s="56">
        <f>IF(D24=D23,"",_xlfn.IFNA(VLOOKUP(D24,'인원 입력 기능(사과탐)'!$K$177:$N$231,4,FALSE),0))</f>
        <v>1713</v>
      </c>
      <c r="H24" s="57">
        <f t="shared" si="1"/>
        <v>1.7690432914738929E-2</v>
      </c>
      <c r="I24" s="67">
        <f>SUM($G$7:G24)</f>
        <v>23056</v>
      </c>
      <c r="J24" s="59">
        <f t="shared" si="5"/>
        <v>0.23810310641110377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57</v>
      </c>
      <c r="E25" s="68">
        <f t="shared" si="0"/>
        <v>4</v>
      </c>
      <c r="F25" s="55">
        <f t="shared" si="4"/>
        <v>75.11</v>
      </c>
      <c r="G25" s="56">
        <f>IF(D25=D24,"",_xlfn.IFNA(VLOOKUP(D25,'인원 입력 기능(사과탐)'!$K$177:$N$231,4,FALSE),0))</f>
        <v>2091</v>
      </c>
      <c r="H25" s="57">
        <f t="shared" si="1"/>
        <v>2.1594101123595506E-2</v>
      </c>
      <c r="I25" s="67">
        <f>SUM($G$7:G25)</f>
        <v>25147</v>
      </c>
      <c r="J25" s="59">
        <f t="shared" si="5"/>
        <v>0.25969720753469927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56</v>
      </c>
      <c r="E26" s="68">
        <f t="shared" si="0"/>
        <v>4</v>
      </c>
      <c r="F26" s="55">
        <f t="shared" si="4"/>
        <v>73.03</v>
      </c>
      <c r="G26" s="56">
        <f>IF(D26=D25,"",_xlfn.IFNA(VLOOKUP(D26,'인원 입력 기능(사과탐)'!$K$177:$N$231,4,FALSE),0))</f>
        <v>1934</v>
      </c>
      <c r="H26" s="57">
        <f t="shared" si="1"/>
        <v>1.9972736285525445E-2</v>
      </c>
      <c r="I26" s="67">
        <f>SUM($G$7:G26)</f>
        <v>27081</v>
      </c>
      <c r="J26" s="59">
        <f t="shared" si="5"/>
        <v>0.2796699438202247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55</v>
      </c>
      <c r="E27" s="68">
        <f t="shared" si="0"/>
        <v>4</v>
      </c>
      <c r="F27" s="55">
        <f t="shared" si="4"/>
        <v>70.89</v>
      </c>
      <c r="G27" s="56">
        <f>IF(D27=D26,"",_xlfn.IFNA(VLOOKUP(D27,'인원 입력 기능(사과탐)'!$K$177:$N$231,4,FALSE),0))</f>
        <v>2212</v>
      </c>
      <c r="H27" s="57">
        <f t="shared" si="1"/>
        <v>2.2843688037012557E-2</v>
      </c>
      <c r="I27" s="67">
        <f>SUM($G$7:G27)</f>
        <v>29293</v>
      </c>
      <c r="J27" s="59">
        <f t="shared" si="5"/>
        <v>0.30251363185723729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54</v>
      </c>
      <c r="E28" s="68">
        <f t="shared" si="0"/>
        <v>4</v>
      </c>
      <c r="F28" s="55">
        <f t="shared" si="4"/>
        <v>68.5</v>
      </c>
      <c r="G28" s="56">
        <f>IF(D28=D27,"",_xlfn.IFNA(VLOOKUP(D28,'인원 입력 기능(사과탐)'!$K$177:$N$231,4,FALSE),0))</f>
        <v>2423</v>
      </c>
      <c r="H28" s="57">
        <f t="shared" si="1"/>
        <v>2.5022719762062128E-2</v>
      </c>
      <c r="I28" s="67">
        <f>SUM($G$7:G28)</f>
        <v>31716</v>
      </c>
      <c r="J28" s="59">
        <f t="shared" si="5"/>
        <v>0.32753635161929939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212">
        <f t="shared" si="3"/>
        <v>53</v>
      </c>
      <c r="E29" s="212">
        <f t="shared" si="0"/>
        <v>4</v>
      </c>
      <c r="F29" s="199">
        <f t="shared" si="4"/>
        <v>64.69</v>
      </c>
      <c r="G29" s="196">
        <f>IF(D29=D28,"",_xlfn.IFNA(VLOOKUP(D29,'인원 입력 기능(사과탐)'!$K$177:$N$231,4,FALSE),0))</f>
        <v>4943</v>
      </c>
      <c r="H29" s="192">
        <f t="shared" si="1"/>
        <v>5.1047174487772635E-2</v>
      </c>
      <c r="I29" s="189">
        <f>SUM($G$7:G29)</f>
        <v>36659</v>
      </c>
      <c r="J29" s="162">
        <f t="shared" si="5"/>
        <v>0.37858352610707202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211"/>
      <c r="E30" s="211"/>
      <c r="F30" s="198"/>
      <c r="G30" s="195"/>
      <c r="H30" s="194"/>
      <c r="I30" s="191"/>
      <c r="J30" s="188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52</v>
      </c>
      <c r="E31" s="68">
        <f t="shared" si="0"/>
        <v>4</v>
      </c>
      <c r="F31" s="55">
        <f t="shared" si="4"/>
        <v>60.82</v>
      </c>
      <c r="G31" s="56">
        <f>IF(D31=D30,"",_xlfn.IFNA(VLOOKUP(D31,'인원 입력 기능(사과탐)'!$K$177:$N$231,4,FALSE),0))</f>
        <v>2562</v>
      </c>
      <c r="H31" s="57">
        <f t="shared" si="1"/>
        <v>2.6458195637805684E-2</v>
      </c>
      <c r="I31" s="67">
        <f>SUM($G$7:G31)</f>
        <v>39221</v>
      </c>
      <c r="J31" s="59">
        <f t="shared" si="5"/>
        <v>0.40504172174487774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51</v>
      </c>
      <c r="E32" s="68">
        <f t="shared" si="0"/>
        <v>5</v>
      </c>
      <c r="F32" s="55">
        <f t="shared" si="4"/>
        <v>58.01</v>
      </c>
      <c r="G32" s="56">
        <f>IF(D32=D31,"",_xlfn.IFNA(VLOOKUP(D32,'인원 입력 기능(사과탐)'!$K$177:$N$231,4,FALSE),0))</f>
        <v>2884</v>
      </c>
      <c r="H32" s="57">
        <f t="shared" si="1"/>
        <v>2.978354263053536E-2</v>
      </c>
      <c r="I32" s="67">
        <f>SUM($G$7:G32)</f>
        <v>42105</v>
      </c>
      <c r="J32" s="59">
        <f t="shared" si="5"/>
        <v>0.43482526437541308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50</v>
      </c>
      <c r="E33" s="68">
        <f t="shared" si="0"/>
        <v>5</v>
      </c>
      <c r="F33" s="55">
        <f t="shared" si="4"/>
        <v>54.97</v>
      </c>
      <c r="G33" s="56">
        <f>IF(D33=D32,"",_xlfn.IFNA(VLOOKUP(D33,'인원 입력 기능(사과탐)'!$K$177:$N$231,4,FALSE),0))</f>
        <v>2998</v>
      </c>
      <c r="H33" s="57">
        <f t="shared" si="1"/>
        <v>3.096083939193655E-2</v>
      </c>
      <c r="I33" s="67">
        <f>SUM($G$7:G33)</f>
        <v>45103</v>
      </c>
      <c r="J33" s="59">
        <f t="shared" si="5"/>
        <v>0.46578610376734964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49</v>
      </c>
      <c r="E34" s="68">
        <f t="shared" si="0"/>
        <v>5</v>
      </c>
      <c r="F34" s="55">
        <f t="shared" si="4"/>
        <v>51.94</v>
      </c>
      <c r="G34" s="56">
        <f>IF(D34=D33,"",_xlfn.IFNA(VLOOKUP(D34,'인원 입력 기능(사과탐)'!$K$177:$N$231,4,FALSE),0))</f>
        <v>2874</v>
      </c>
      <c r="H34" s="57">
        <f t="shared" si="1"/>
        <v>2.9680270984798415E-2</v>
      </c>
      <c r="I34" s="67">
        <f>SUM($G$7:G34)</f>
        <v>47977</v>
      </c>
      <c r="J34" s="59">
        <f t="shared" si="5"/>
        <v>0.49546637475214805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48</v>
      </c>
      <c r="E35" s="68">
        <f t="shared" si="0"/>
        <v>5</v>
      </c>
      <c r="F35" s="55">
        <f t="shared" si="4"/>
        <v>48.71</v>
      </c>
      <c r="G35" s="56">
        <f>IF(D35=D34,"",_xlfn.IFNA(VLOOKUP(D35,'인원 입력 기능(사과탐)'!$K$177:$N$231,4,FALSE),0))</f>
        <v>3381</v>
      </c>
      <c r="H35" s="57">
        <f t="shared" si="1"/>
        <v>3.4916143423661603E-2</v>
      </c>
      <c r="I35" s="67">
        <f>SUM($G$7:G35)</f>
        <v>51358</v>
      </c>
      <c r="J35" s="59">
        <f t="shared" si="5"/>
        <v>0.53038251817580961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47</v>
      </c>
      <c r="E36" s="68">
        <f t="shared" si="0"/>
        <v>5</v>
      </c>
      <c r="F36" s="55">
        <f t="shared" si="4"/>
        <v>45.34</v>
      </c>
      <c r="G36" s="56">
        <f>IF(D36=D35,"",_xlfn.IFNA(VLOOKUP(D36,'인원 입력 기능(사과탐)'!$K$177:$N$231,4,FALSE),0))</f>
        <v>3132</v>
      </c>
      <c r="H36" s="57">
        <f t="shared" si="1"/>
        <v>3.2344679444811633E-2</v>
      </c>
      <c r="I36" s="67">
        <f>SUM($G$7:G36)</f>
        <v>54490</v>
      </c>
      <c r="J36" s="59">
        <f t="shared" si="5"/>
        <v>0.56272719762062129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212">
        <f t="shared" si="3"/>
        <v>46</v>
      </c>
      <c r="E37" s="212">
        <f t="shared" si="0"/>
        <v>5</v>
      </c>
      <c r="F37" s="199">
        <f t="shared" si="4"/>
        <v>40.229999999999997</v>
      </c>
      <c r="G37" s="196">
        <f>IF(D37=D36,"",_xlfn.IFNA(VLOOKUP(D37,'인원 입력 기능(사과탐)'!$K$177:$N$231,4,FALSE),0))</f>
        <v>6765</v>
      </c>
      <c r="H37" s="192">
        <f t="shared" si="1"/>
        <v>6.9863268341044282E-2</v>
      </c>
      <c r="I37" s="189">
        <f>SUM($G$7:G37)</f>
        <v>61255</v>
      </c>
      <c r="J37" s="162">
        <f t="shared" si="5"/>
        <v>0.63259046596166557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211"/>
      <c r="E38" s="211"/>
      <c r="F38" s="198"/>
      <c r="G38" s="195"/>
      <c r="H38" s="194"/>
      <c r="I38" s="191"/>
      <c r="J38" s="188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45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35.08</v>
      </c>
      <c r="G39" s="56">
        <f>IF(D39=D38,"",_xlfn.IFNA(VLOOKUP(D39,'인원 입력 기능(사과탐)'!$K$177:$N$231,4,FALSE),0))</f>
        <v>3210</v>
      </c>
      <c r="H39" s="57">
        <f t="shared" si="1"/>
        <v>3.3150198281559816E-2</v>
      </c>
      <c r="I39" s="67">
        <f>SUM($G$7:G39)</f>
        <v>64465</v>
      </c>
      <c r="J39" s="59">
        <f t="shared" si="5"/>
        <v>0.66574066424322542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44</v>
      </c>
      <c r="E40" s="68">
        <f t="shared" si="6"/>
        <v>6</v>
      </c>
      <c r="F40" s="55">
        <f t="shared" si="4"/>
        <v>31.62</v>
      </c>
      <c r="G40" s="56">
        <f>IF(D40=D39,"",_xlfn.IFNA(VLOOKUP(D40,'인원 입력 기능(사과탐)'!$K$177:$N$231,4,FALSE),0))</f>
        <v>3504</v>
      </c>
      <c r="H40" s="57">
        <f t="shared" si="1"/>
        <v>3.6186384666226042E-2</v>
      </c>
      <c r="I40" s="67">
        <f>SUM($G$7:G40)</f>
        <v>67969</v>
      </c>
      <c r="J40" s="59">
        <f t="shared" si="5"/>
        <v>0.70192704890945146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43</v>
      </c>
      <c r="E41" s="68">
        <f t="shared" si="6"/>
        <v>6</v>
      </c>
      <c r="F41" s="55">
        <f t="shared" si="4"/>
        <v>28.14</v>
      </c>
      <c r="G41" s="56">
        <f>IF(D41=D40,"",_xlfn.IFNA(VLOOKUP(D41,'인원 입력 기능(사과탐)'!$K$177:$N$231,4,FALSE),0))</f>
        <v>3231</v>
      </c>
      <c r="H41" s="57">
        <f t="shared" si="1"/>
        <v>3.3367068737607405E-2</v>
      </c>
      <c r="I41" s="67">
        <f>SUM($G$7:G41)</f>
        <v>71200</v>
      </c>
      <c r="J41" s="59">
        <f t="shared" si="5"/>
        <v>0.73529411764705888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42</v>
      </c>
      <c r="E42" s="68">
        <f t="shared" si="6"/>
        <v>6</v>
      </c>
      <c r="F42" s="55">
        <f t="shared" si="4"/>
        <v>24.58</v>
      </c>
      <c r="G42" s="56">
        <f>IF(D42=D41,"",_xlfn.IFNA(VLOOKUP(D42,'인원 입력 기능(사과탐)'!$K$177:$N$231,4,FALSE),0))</f>
        <v>3665</v>
      </c>
      <c r="H42" s="57">
        <f t="shared" si="1"/>
        <v>3.7849058162590876E-2</v>
      </c>
      <c r="I42" s="67">
        <f>SUM($G$7:G42)</f>
        <v>74865</v>
      </c>
      <c r="J42" s="59">
        <f t="shared" si="5"/>
        <v>0.77314317580964975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41</v>
      </c>
      <c r="E43" s="68">
        <f t="shared" si="6"/>
        <v>7</v>
      </c>
      <c r="F43" s="55">
        <f t="shared" si="4"/>
        <v>21.21</v>
      </c>
      <c r="G43" s="56">
        <f>IF(D43=D42,"",_xlfn.IFNA(VLOOKUP(D43,'인원 입력 기능(사과탐)'!$K$177:$N$231,4,FALSE),0))</f>
        <v>2851</v>
      </c>
      <c r="H43" s="57">
        <f t="shared" si="1"/>
        <v>2.9442746199603437E-2</v>
      </c>
      <c r="I43" s="67">
        <f>SUM($G$7:G43)</f>
        <v>77716</v>
      </c>
      <c r="J43" s="59">
        <f t="shared" si="5"/>
        <v>0.80258592200925316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40</v>
      </c>
      <c r="E44" s="68">
        <f t="shared" si="6"/>
        <v>7</v>
      </c>
      <c r="F44" s="55">
        <f t="shared" si="4"/>
        <v>18.29</v>
      </c>
      <c r="G44" s="56">
        <f>IF(D44=D43,"",_xlfn.IFNA(VLOOKUP(D44,'인원 입력 기능(사과탐)'!$K$177:$N$231,4,FALSE),0))</f>
        <v>2803</v>
      </c>
      <c r="H44" s="57">
        <f t="shared" si="1"/>
        <v>2.8947042300066093E-2</v>
      </c>
      <c r="I44" s="67">
        <f>SUM($G$7:G44)</f>
        <v>80519</v>
      </c>
      <c r="J44" s="59">
        <f t="shared" si="5"/>
        <v>0.83153296430931922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212">
        <f t="shared" si="3"/>
        <v>39</v>
      </c>
      <c r="E45" s="212">
        <f t="shared" si="6"/>
        <v>7</v>
      </c>
      <c r="F45" s="199">
        <f t="shared" si="4"/>
        <v>13.52</v>
      </c>
      <c r="G45" s="196">
        <f>IF(D45=D44,"",_xlfn.IFNA(VLOOKUP(D45,'인원 입력 기능(사과탐)'!$K$177:$N$231,4,FALSE),0))</f>
        <v>6443</v>
      </c>
      <c r="H45" s="192">
        <f t="shared" si="1"/>
        <v>6.6537921348314613E-2</v>
      </c>
      <c r="I45" s="189">
        <f>SUM($G$7:G45)</f>
        <v>86962</v>
      </c>
      <c r="J45" s="162">
        <f t="shared" si="5"/>
        <v>0.89807088565763382</v>
      </c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69">
        <v>11</v>
      </c>
      <c r="D46" s="211"/>
      <c r="E46" s="211"/>
      <c r="F46" s="198"/>
      <c r="G46" s="195"/>
      <c r="H46" s="194"/>
      <c r="I46" s="191"/>
      <c r="J46" s="188"/>
      <c r="K46" s="36"/>
      <c r="L46" s="20" t="str">
        <f t="shared" si="2"/>
        <v>경고</v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38</v>
      </c>
      <c r="E47" s="68">
        <f t="shared" si="6"/>
        <v>8</v>
      </c>
      <c r="F47" s="55">
        <f t="shared" si="4"/>
        <v>9.1199999999999992</v>
      </c>
      <c r="G47" s="56">
        <f>IF(D47=D46,"",_xlfn.IFNA(VLOOKUP(D47,'인원 입력 기능(사과탐)'!$K$177:$N$231,4,FALSE),0))</f>
        <v>2080</v>
      </c>
      <c r="H47" s="57">
        <f t="shared" si="1"/>
        <v>2.1480502313284865E-2</v>
      </c>
      <c r="I47" s="67">
        <f>SUM($G$7:G47)</f>
        <v>89042</v>
      </c>
      <c r="J47" s="59">
        <f t="shared" si="5"/>
        <v>0.91955138797091873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37</v>
      </c>
      <c r="E48" s="68">
        <f t="shared" si="6"/>
        <v>8</v>
      </c>
      <c r="F48" s="55">
        <f t="shared" si="4"/>
        <v>7.22</v>
      </c>
      <c r="G48" s="56">
        <f>IF(D48=D47,"",_xlfn.IFNA(VLOOKUP(D48,'인원 입력 기능(사과탐)'!$K$177:$N$231,4,FALSE),0))</f>
        <v>1602</v>
      </c>
      <c r="H48" s="57">
        <f t="shared" si="1"/>
        <v>1.6544117647058824E-2</v>
      </c>
      <c r="I48" s="67">
        <f>SUM($G$7:G48)</f>
        <v>90644</v>
      </c>
      <c r="J48" s="59">
        <f t="shared" si="5"/>
        <v>0.9360955056179775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36</v>
      </c>
      <c r="E49" s="68">
        <f t="shared" si="6"/>
        <v>8</v>
      </c>
      <c r="F49" s="55">
        <f t="shared" si="4"/>
        <v>5.67</v>
      </c>
      <c r="G49" s="56">
        <f>IF(D49=D48,"",_xlfn.IFNA(VLOOKUP(D49,'인원 입력 기능(사과탐)'!$K$177:$N$231,4,FALSE),0))</f>
        <v>1403</v>
      </c>
      <c r="H49" s="57">
        <f t="shared" si="1"/>
        <v>1.4489011896893588E-2</v>
      </c>
      <c r="I49" s="67">
        <f>SUM($G$7:G49)</f>
        <v>92047</v>
      </c>
      <c r="J49" s="59">
        <f t="shared" si="5"/>
        <v>0.95058451751487116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35</v>
      </c>
      <c r="E50" s="68">
        <f t="shared" si="6"/>
        <v>8</v>
      </c>
      <c r="F50" s="55">
        <f t="shared" si="4"/>
        <v>4.3499999999999996</v>
      </c>
      <c r="G50" s="56">
        <f>IF(D50=D49,"",_xlfn.IFNA(VLOOKUP(D50,'인원 입력 기능(사과탐)'!$K$177:$N$231,4,FALSE),0))</f>
        <v>1142</v>
      </c>
      <c r="H50" s="57">
        <f t="shared" si="1"/>
        <v>1.1793621943159286E-2</v>
      </c>
      <c r="I50" s="67">
        <f>SUM($G$7:G50)</f>
        <v>93189</v>
      </c>
      <c r="J50" s="59">
        <f t="shared" si="5"/>
        <v>0.96237813945803041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34</v>
      </c>
      <c r="E51" s="68">
        <f t="shared" si="6"/>
        <v>9</v>
      </c>
      <c r="F51" s="55">
        <f t="shared" si="4"/>
        <v>2.59</v>
      </c>
      <c r="G51" s="56">
        <f>IF(D51=D50,"",_xlfn.IFNA(VLOOKUP(D51,'인원 입력 기능(사과탐)'!$K$177:$N$231,4,FALSE),0))</f>
        <v>2272</v>
      </c>
      <c r="H51" s="57">
        <f t="shared" si="1"/>
        <v>2.3463317911434238E-2</v>
      </c>
      <c r="I51" s="67">
        <f>SUM($G$7:G51)</f>
        <v>95461</v>
      </c>
      <c r="J51" s="59">
        <f t="shared" si="5"/>
        <v>0.9858414573694646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212">
        <f t="shared" si="3"/>
        <v>33</v>
      </c>
      <c r="E52" s="212">
        <f t="shared" si="6"/>
        <v>9</v>
      </c>
      <c r="F52" s="199">
        <f t="shared" si="4"/>
        <v>0.92</v>
      </c>
      <c r="G52" s="196">
        <f>IF(D52=D51,"",_xlfn.IFNA(VLOOKUP(D52,'인원 입력 기능(사과탐)'!$K$177:$N$231,4,FALSE),0))</f>
        <v>968</v>
      </c>
      <c r="H52" s="192">
        <f t="shared" si="1"/>
        <v>9.9966953073364184E-3</v>
      </c>
      <c r="I52" s="189">
        <f>SUM($G$7:G52)</f>
        <v>96429</v>
      </c>
      <c r="J52" s="162">
        <f t="shared" si="5"/>
        <v>0.99583815267680109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211"/>
      <c r="E53" s="211"/>
      <c r="F53" s="198"/>
      <c r="G53" s="195"/>
      <c r="H53" s="194"/>
      <c r="I53" s="191"/>
      <c r="J53" s="188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32</v>
      </c>
      <c r="E54" s="54">
        <f t="shared" si="6"/>
        <v>9</v>
      </c>
      <c r="F54" s="55">
        <f t="shared" si="4"/>
        <v>0.35</v>
      </c>
      <c r="G54" s="56">
        <f>IF(D54=D53,"",_xlfn.IFNA(VLOOKUP(D54,'인원 입력 기능(사과탐)'!$K$177:$N$231,4,FALSE),0))</f>
        <v>134</v>
      </c>
      <c r="H54" s="57">
        <f t="shared" si="1"/>
        <v>1.3838400528750827E-3</v>
      </c>
      <c r="I54" s="67">
        <f>SUM($G$7:G54)</f>
        <v>96563</v>
      </c>
      <c r="J54" s="59">
        <f t="shared" si="5"/>
        <v>0.99722199272967615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31</v>
      </c>
      <c r="E55" s="54">
        <f t="shared" si="6"/>
        <v>9</v>
      </c>
      <c r="F55" s="55">
        <f t="shared" si="4"/>
        <v>0.17</v>
      </c>
      <c r="G55" s="56">
        <f>IF(D55=D54,"",_xlfn.IFNA(VLOOKUP(D55,'인원 입력 기능(사과탐)'!$K$177:$N$231,4,FALSE),0))</f>
        <v>200</v>
      </c>
      <c r="H55" s="57">
        <f t="shared" si="1"/>
        <v>2.0654329147389294E-3</v>
      </c>
      <c r="I55" s="67">
        <f>SUM($G$7:G55)</f>
        <v>96763</v>
      </c>
      <c r="J55" s="59">
        <f t="shared" si="5"/>
        <v>0.99928742564441508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29</v>
      </c>
      <c r="E57" s="109">
        <f t="shared" si="6"/>
        <v>9</v>
      </c>
      <c r="F57" s="74">
        <f>IF(I55=0,ROUND(100*(1-(I54+I57)/2/$J$3),2),ROUND(100*(1-(I55+I57)/2/$J$3),2))</f>
        <v>0.04</v>
      </c>
      <c r="G57" s="110">
        <f>_xlfn.IFNA(VLOOKUP(D57,'인원 입력 기능(사과탐)'!$K$177:$N$231,4,FALSE),0)</f>
        <v>69</v>
      </c>
      <c r="H57" s="76">
        <f>G57/$J$3</f>
        <v>7.1257435558493064E-4</v>
      </c>
      <c r="I57" s="77">
        <f>SUM($G$7:G57)</f>
        <v>96832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4">
    <mergeCell ref="I45:I46"/>
    <mergeCell ref="J45:J46"/>
    <mergeCell ref="D52:D53"/>
    <mergeCell ref="E52:E53"/>
    <mergeCell ref="F52:F53"/>
    <mergeCell ref="G52:G53"/>
    <mergeCell ref="H52:H53"/>
    <mergeCell ref="I52:I53"/>
    <mergeCell ref="J52:J53"/>
    <mergeCell ref="D45:D46"/>
    <mergeCell ref="E45:E46"/>
    <mergeCell ref="F45:F46"/>
    <mergeCell ref="G45:G46"/>
    <mergeCell ref="H45:H46"/>
    <mergeCell ref="I29:I30"/>
    <mergeCell ref="J29:J30"/>
    <mergeCell ref="D37:D38"/>
    <mergeCell ref="E37:E38"/>
    <mergeCell ref="F37:F38"/>
    <mergeCell ref="G37:G38"/>
    <mergeCell ref="H37:H38"/>
    <mergeCell ref="I37:I38"/>
    <mergeCell ref="J37:J38"/>
    <mergeCell ref="D29:D30"/>
    <mergeCell ref="E29:E30"/>
    <mergeCell ref="F29:F30"/>
    <mergeCell ref="G29:G30"/>
    <mergeCell ref="H29:H30"/>
    <mergeCell ref="G13:G14"/>
    <mergeCell ref="H13:H14"/>
    <mergeCell ref="I13:I14"/>
    <mergeCell ref="J13:J14"/>
    <mergeCell ref="D21:D22"/>
    <mergeCell ref="E21:E22"/>
    <mergeCell ref="F21:F22"/>
    <mergeCell ref="G21:G22"/>
    <mergeCell ref="H21:H22"/>
    <mergeCell ref="I21:I22"/>
    <mergeCell ref="J21:J22"/>
    <mergeCell ref="D3:F3"/>
    <mergeCell ref="D4:F4"/>
    <mergeCell ref="D13:D14"/>
    <mergeCell ref="E13:E14"/>
    <mergeCell ref="F13:F14"/>
  </mergeCells>
  <phoneticPr fontId="1" type="noConversion"/>
  <conditionalFormatting sqref="D7:G13 I7:J13 D15:G21 I15:J21 D23:G29 I23:J29 D31:G37 I31:J37 D39:G45 I39:J45 D47:G52 I47:J52 D54:G57 I54:J57">
    <cfRule type="expression" dxfId="30" priority="5">
      <formula>OR($D7=$Q$7:$Q$14)</formula>
    </cfRule>
  </conditionalFormatting>
  <conditionalFormatting sqref="C7:C57">
    <cfRule type="expression" dxfId="29" priority="4">
      <formula>OR(AND($D7=0,OR($D6=$Q$7:$Q$14)),AND($D8&gt;0,OR($D7=$Q$7:$Q$14)))</formula>
    </cfRule>
  </conditionalFormatting>
  <conditionalFormatting sqref="D7:D13 D15:D21 D23:D29 D31:D37 D39:D45 D47:D52 D54:D57">
    <cfRule type="expression" dxfId="28" priority="2">
      <formula>$D7=$D8</formula>
    </cfRule>
  </conditionalFormatting>
  <conditionalFormatting sqref="H7:H13 H15:H21 H23:H29 H31:H37 H39:H45 H47:H52 H54:H57">
    <cfRule type="expression" dxfId="27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2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기능'!D20</f>
        <v>22.73</v>
      </c>
      <c r="I3" s="21" t="s">
        <v>124</v>
      </c>
      <c r="J3" s="81">
        <f>'통계 및 응시자 수 입력 기능'!C20</f>
        <v>82139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144</v>
      </c>
      <c r="E4" s="153"/>
      <c r="F4" s="154"/>
      <c r="G4" s="83" t="s">
        <v>127</v>
      </c>
      <c r="H4" s="84" t="str">
        <f>'통계 및 응시자 수 입력 기능'!E20</f>
        <v>11.73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73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99.37</v>
      </c>
      <c r="G7" s="56">
        <f>_xlfn.IFNA(VLOOKUP(D7,'인원 입력 기능(사과탐)'!$P$177:$S$231,4,FALSE),0)</f>
        <v>1039</v>
      </c>
      <c r="H7" s="57">
        <f>G7/$J$3</f>
        <v>1.2649289618816884E-2</v>
      </c>
      <c r="I7" s="58">
        <f>G7</f>
        <v>1039</v>
      </c>
      <c r="J7" s="59">
        <f>I7/$J$3</f>
        <v>1.2649289618816884E-2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기능'!C148</f>
        <v>69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기능'!C149</f>
        <v>65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72</v>
      </c>
      <c r="E9" s="54">
        <f t="shared" si="0"/>
        <v>1</v>
      </c>
      <c r="F9" s="55">
        <f>IF(I8=0,ROUND(100*(1-(I7+I9)/2/$J$3),2),ROUND(100*(1-(I8+I9)/2/$J$3),2))</f>
        <v>98.42</v>
      </c>
      <c r="G9" s="56">
        <f>_xlfn.IFNA(VLOOKUP(D9,'인원 입력 기능(사과탐)'!$P$177:$S$231,4,FALSE),0)</f>
        <v>520</v>
      </c>
      <c r="H9" s="57">
        <f t="shared" ref="H9:H55" si="1">G9/$J$3</f>
        <v>6.3307320517659088E-3</v>
      </c>
      <c r="I9" s="67">
        <f>SUM($G$7:G9)</f>
        <v>1559</v>
      </c>
      <c r="J9" s="59">
        <f>I9/$J$3</f>
        <v>1.8980021670582794E-2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기능'!C150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71</v>
      </c>
      <c r="E10" s="54">
        <f t="shared" si="0"/>
        <v>1</v>
      </c>
      <c r="F10" s="55">
        <f t="shared" ref="F10:F55" si="4">IF(I9=0,ROUND(100*(1-(I8+I10)/2/$J$3),2),ROUND(100*(1-(I9+I10)/2/$J$3),2))</f>
        <v>97.32</v>
      </c>
      <c r="G10" s="56">
        <f>IF(D10=D9,"",_xlfn.IFNA(VLOOKUP(D10,'인원 입력 기능(사과탐)'!$P$177:$S$231,4,FALSE),0))</f>
        <v>1286</v>
      </c>
      <c r="H10" s="57">
        <f t="shared" si="1"/>
        <v>1.565638734340569E-2</v>
      </c>
      <c r="I10" s="67">
        <f>SUM($G$7:G10)</f>
        <v>2845</v>
      </c>
      <c r="J10" s="59">
        <f t="shared" ref="J10:J55" si="5">I10/$J$3</f>
        <v>3.4636409013988484E-2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기능'!C151</f>
        <v>52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70</v>
      </c>
      <c r="E11" s="54">
        <f t="shared" si="0"/>
        <v>1</v>
      </c>
      <c r="F11" s="55">
        <f t="shared" si="4"/>
        <v>96.44</v>
      </c>
      <c r="G11" s="56">
        <f>IF(D11=D10,"",_xlfn.IFNA(VLOOKUP(D11,'인원 입력 기능(사과탐)'!$P$177:$S$231,4,FALSE),0))</f>
        <v>155</v>
      </c>
      <c r="H11" s="57">
        <f t="shared" si="1"/>
        <v>1.8870451308148383E-3</v>
      </c>
      <c r="I11" s="67">
        <f>SUM($G$7:G11)</f>
        <v>3000</v>
      </c>
      <c r="J11" s="59">
        <f t="shared" si="5"/>
        <v>3.6523454144803319E-2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기능'!C152</f>
        <v>45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69</v>
      </c>
      <c r="E12" s="54">
        <f t="shared" si="0"/>
        <v>1</v>
      </c>
      <c r="F12" s="55">
        <f t="shared" si="4"/>
        <v>95.68</v>
      </c>
      <c r="G12" s="56">
        <f>IF(D12=D11,"",_xlfn.IFNA(VLOOKUP(D12,'인원 입력 기능(사과탐)'!$P$177:$S$231,4,FALSE),0))</f>
        <v>1091</v>
      </c>
      <c r="H12" s="57">
        <f t="shared" si="1"/>
        <v>1.3282362823993475E-2</v>
      </c>
      <c r="I12" s="67">
        <f>SUM($G$7:G12)</f>
        <v>4091</v>
      </c>
      <c r="J12" s="59">
        <f t="shared" si="5"/>
        <v>4.9805816968796796E-2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기능'!C153</f>
        <v>41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68</v>
      </c>
      <c r="E13" s="54">
        <f t="shared" si="0"/>
        <v>2</v>
      </c>
      <c r="F13" s="55">
        <f t="shared" si="4"/>
        <v>94.35</v>
      </c>
      <c r="G13" s="56">
        <f>IF(D13=D12,"",_xlfn.IFNA(VLOOKUP(D13,'인원 입력 기능(사과탐)'!$P$177:$S$231,4,FALSE),0))</f>
        <v>1097</v>
      </c>
      <c r="H13" s="57">
        <f t="shared" si="1"/>
        <v>1.3355409732283082E-2</v>
      </c>
      <c r="I13" s="67">
        <f>SUM($G$7:G13)</f>
        <v>5188</v>
      </c>
      <c r="J13" s="59">
        <f t="shared" si="5"/>
        <v>6.3161226701079876E-2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기능'!C154</f>
        <v>38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67</v>
      </c>
      <c r="E14" s="54">
        <f t="shared" si="0"/>
        <v>2</v>
      </c>
      <c r="F14" s="55">
        <f t="shared" si="4"/>
        <v>93.35</v>
      </c>
      <c r="G14" s="56">
        <f>IF(D14=D13,"",_xlfn.IFNA(VLOOKUP(D14,'인원 입력 기능(사과탐)'!$P$177:$S$231,4,FALSE),0))</f>
        <v>554</v>
      </c>
      <c r="H14" s="57">
        <f t="shared" si="1"/>
        <v>6.7446645320736803E-3</v>
      </c>
      <c r="I14" s="67">
        <f>SUM($G$7:G14)</f>
        <v>5742</v>
      </c>
      <c r="J14" s="59">
        <f t="shared" si="5"/>
        <v>6.9905891233153564E-2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기능'!C155</f>
        <v>37</v>
      </c>
    </row>
    <row r="15" spans="1:17" s="22" customFormat="1" ht="25" customHeight="1" x14ac:dyDescent="0.45">
      <c r="A15" s="20"/>
      <c r="B15" s="35"/>
      <c r="C15" s="53">
        <v>42</v>
      </c>
      <c r="D15" s="202">
        <f t="shared" si="3"/>
        <v>66</v>
      </c>
      <c r="E15" s="202">
        <f t="shared" si="0"/>
        <v>2</v>
      </c>
      <c r="F15" s="199">
        <f t="shared" si="4"/>
        <v>91.59</v>
      </c>
      <c r="G15" s="196">
        <f>IF(D15=D14,"",_xlfn.IFNA(VLOOKUP(D15,'인원 입력 기능(사과탐)'!$P$177:$S$231,4,FALSE),0))</f>
        <v>2324</v>
      </c>
      <c r="H15" s="192">
        <f t="shared" si="1"/>
        <v>2.8293502477507639E-2</v>
      </c>
      <c r="I15" s="189">
        <f>SUM($G$7:G15)</f>
        <v>8066</v>
      </c>
      <c r="J15" s="162">
        <f t="shared" si="5"/>
        <v>9.8199393710661192E-2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201"/>
      <c r="E16" s="201"/>
      <c r="F16" s="198"/>
      <c r="G16" s="195"/>
      <c r="H16" s="194"/>
      <c r="I16" s="191"/>
      <c r="J16" s="188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65</v>
      </c>
      <c r="E17" s="54">
        <f t="shared" si="0"/>
        <v>2</v>
      </c>
      <c r="F17" s="55">
        <f t="shared" si="4"/>
        <v>89.59</v>
      </c>
      <c r="G17" s="56">
        <f>IF(D17=D16,"",_xlfn.IFNA(VLOOKUP(D17,'인원 입력 기능(사과탐)'!$P$177:$S$231,4,FALSE),0))</f>
        <v>976</v>
      </c>
      <c r="H17" s="57">
        <f t="shared" si="1"/>
        <v>1.1882297081776013E-2</v>
      </c>
      <c r="I17" s="67">
        <f>SUM($G$7:G17)</f>
        <v>9042</v>
      </c>
      <c r="J17" s="59">
        <f t="shared" si="5"/>
        <v>0.11008169079243721</v>
      </c>
      <c r="K17" s="36"/>
      <c r="L17" s="20" t="str">
        <f t="shared" si="2"/>
        <v/>
      </c>
      <c r="N17" s="24"/>
      <c r="Q17" s="24">
        <f>Q7*H3*H4*J3*IFERROR(IF(J57=1, 1, 0), 0)</f>
        <v>1511109548.4339001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64</v>
      </c>
      <c r="E18" s="54">
        <f t="shared" si="0"/>
        <v>3</v>
      </c>
      <c r="F18" s="55">
        <f t="shared" si="4"/>
        <v>88.13</v>
      </c>
      <c r="G18" s="56">
        <f>IF(D18=D17,"",_xlfn.IFNA(VLOOKUP(D18,'인원 입력 기능(사과탐)'!$P$177:$S$231,4,FALSE),0))</f>
        <v>1418</v>
      </c>
      <c r="H18" s="57">
        <f t="shared" si="1"/>
        <v>1.7263419325777036E-2</v>
      </c>
      <c r="I18" s="67">
        <f>SUM($G$7:G18)</f>
        <v>10460</v>
      </c>
      <c r="J18" s="59">
        <f t="shared" si="5"/>
        <v>0.12734511011821426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63</v>
      </c>
      <c r="E19" s="54">
        <f t="shared" si="0"/>
        <v>3</v>
      </c>
      <c r="F19" s="55">
        <f t="shared" si="4"/>
        <v>86.67</v>
      </c>
      <c r="G19" s="56">
        <f>IF(D19=D18,"",_xlfn.IFNA(VLOOKUP(D19,'인원 입력 기능(사과탐)'!$P$177:$S$231,4,FALSE),0))</f>
        <v>982</v>
      </c>
      <c r="H19" s="57">
        <f t="shared" si="1"/>
        <v>1.195534399006562E-2</v>
      </c>
      <c r="I19" s="67">
        <f>SUM($G$7:G19)</f>
        <v>11442</v>
      </c>
      <c r="J19" s="59">
        <f t="shared" si="5"/>
        <v>0.13930045410827988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62</v>
      </c>
      <c r="E20" s="54">
        <f t="shared" si="0"/>
        <v>3</v>
      </c>
      <c r="F20" s="55">
        <f t="shared" si="4"/>
        <v>85.2</v>
      </c>
      <c r="G20" s="56">
        <f>IF(D20=D19,"",_xlfn.IFNA(VLOOKUP(D20,'인원 입력 기능(사과탐)'!$P$177:$S$231,4,FALSE),0))</f>
        <v>1422</v>
      </c>
      <c r="H20" s="57">
        <f t="shared" si="1"/>
        <v>1.7312117264636773E-2</v>
      </c>
      <c r="I20" s="67">
        <f>SUM($G$7:G20)</f>
        <v>12864</v>
      </c>
      <c r="J20" s="59">
        <f t="shared" si="5"/>
        <v>0.15661257137291665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61</v>
      </c>
      <c r="E21" s="68">
        <f t="shared" si="0"/>
        <v>3</v>
      </c>
      <c r="F21" s="55">
        <f t="shared" si="4"/>
        <v>83.47</v>
      </c>
      <c r="G21" s="56">
        <f>IF(D21=D20,"",_xlfn.IFNA(VLOOKUP(D21,'인원 입력 기능(사과탐)'!$P$177:$S$231,4,FALSE),0))</f>
        <v>1428</v>
      </c>
      <c r="H21" s="57">
        <f t="shared" si="1"/>
        <v>1.738516417292638E-2</v>
      </c>
      <c r="I21" s="67">
        <f>SUM($G$7:G21)</f>
        <v>14292</v>
      </c>
      <c r="J21" s="59">
        <f t="shared" si="5"/>
        <v>0.17399773554584302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212">
        <f t="shared" si="3"/>
        <v>60</v>
      </c>
      <c r="E22" s="212">
        <f t="shared" si="0"/>
        <v>3</v>
      </c>
      <c r="F22" s="199">
        <f t="shared" si="4"/>
        <v>80.84</v>
      </c>
      <c r="G22" s="196">
        <f>IF(D22=D21,"",_xlfn.IFNA(VLOOKUP(D22,'인원 입력 기능(사과탐)'!$P$177:$S$231,4,FALSE),0))</f>
        <v>2890</v>
      </c>
      <c r="H22" s="192">
        <f t="shared" si="1"/>
        <v>3.5184260826160531E-2</v>
      </c>
      <c r="I22" s="189">
        <f>SUM($G$7:G22)</f>
        <v>17182</v>
      </c>
      <c r="J22" s="162">
        <f t="shared" si="5"/>
        <v>0.20918199637200355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211"/>
      <c r="E23" s="211"/>
      <c r="F23" s="198"/>
      <c r="G23" s="195"/>
      <c r="H23" s="194"/>
      <c r="I23" s="191"/>
      <c r="J23" s="188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59</v>
      </c>
      <c r="E24" s="68">
        <f t="shared" si="0"/>
        <v>3</v>
      </c>
      <c r="F24" s="55">
        <f t="shared" si="4"/>
        <v>78.17</v>
      </c>
      <c r="G24" s="56">
        <f>IF(D24=D23,"",_xlfn.IFNA(VLOOKUP(D24,'인원 입력 기능(사과탐)'!$P$177:$S$231,4,FALSE),0))</f>
        <v>1506</v>
      </c>
      <c r="H24" s="57">
        <f t="shared" si="1"/>
        <v>1.8334773980691266E-2</v>
      </c>
      <c r="I24" s="67">
        <f>SUM($G$7:G24)</f>
        <v>18688</v>
      </c>
      <c r="J24" s="59">
        <f t="shared" si="5"/>
        <v>0.22751677035269482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58</v>
      </c>
      <c r="E25" s="68">
        <f t="shared" si="0"/>
        <v>3</v>
      </c>
      <c r="F25" s="55">
        <f t="shared" si="4"/>
        <v>76.319999999999993</v>
      </c>
      <c r="G25" s="56">
        <f>IF(D25=D24,"",_xlfn.IFNA(VLOOKUP(D25,'인원 입력 기능(사과탐)'!$P$177:$S$231,4,FALSE),0))</f>
        <v>1527</v>
      </c>
      <c r="H25" s="57">
        <f t="shared" si="1"/>
        <v>1.8590438159704889E-2</v>
      </c>
      <c r="I25" s="67">
        <f>SUM($G$7:G25)</f>
        <v>20215</v>
      </c>
      <c r="J25" s="59">
        <f t="shared" si="5"/>
        <v>0.2461072085123997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57</v>
      </c>
      <c r="E26" s="68">
        <f t="shared" si="0"/>
        <v>4</v>
      </c>
      <c r="F26" s="55">
        <f t="shared" si="4"/>
        <v>74.3</v>
      </c>
      <c r="G26" s="56">
        <f>IF(D26=D25,"",_xlfn.IFNA(VLOOKUP(D26,'인원 입력 기능(사과탐)'!$P$177:$S$231,4,FALSE),0))</f>
        <v>1789</v>
      </c>
      <c r="H26" s="57">
        <f t="shared" si="1"/>
        <v>2.1780153155017714E-2</v>
      </c>
      <c r="I26" s="67">
        <f>SUM($G$7:G26)</f>
        <v>22004</v>
      </c>
      <c r="J26" s="59">
        <f t="shared" si="5"/>
        <v>0.26788736166741745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56</v>
      </c>
      <c r="E27" s="68">
        <f t="shared" si="0"/>
        <v>4</v>
      </c>
      <c r="F27" s="55">
        <f t="shared" si="4"/>
        <v>72.290000000000006</v>
      </c>
      <c r="G27" s="56">
        <f>IF(D27=D26,"",_xlfn.IFNA(VLOOKUP(D27,'인원 입력 기능(사과탐)'!$P$177:$S$231,4,FALSE),0))</f>
        <v>1515</v>
      </c>
      <c r="H27" s="57">
        <f t="shared" si="1"/>
        <v>1.8444344343125679E-2</v>
      </c>
      <c r="I27" s="67">
        <f>SUM($G$7:G27)</f>
        <v>23519</v>
      </c>
      <c r="J27" s="59">
        <f t="shared" si="5"/>
        <v>0.28633170601054309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55</v>
      </c>
      <c r="E28" s="68">
        <f t="shared" si="0"/>
        <v>4</v>
      </c>
      <c r="F28" s="55">
        <f t="shared" si="4"/>
        <v>70.260000000000005</v>
      </c>
      <c r="G28" s="56">
        <f>IF(D28=D27,"",_xlfn.IFNA(VLOOKUP(D28,'인원 입력 기능(사과탐)'!$P$177:$S$231,4,FALSE),0))</f>
        <v>1826</v>
      </c>
      <c r="H28" s="57">
        <f t="shared" si="1"/>
        <v>2.2230609089470287E-2</v>
      </c>
      <c r="I28" s="67">
        <f>SUM($G$7:G28)</f>
        <v>25345</v>
      </c>
      <c r="J28" s="59">
        <f t="shared" si="5"/>
        <v>0.30856231510001342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212">
        <f t="shared" si="3"/>
        <v>54</v>
      </c>
      <c r="E29" s="212">
        <f t="shared" si="0"/>
        <v>4</v>
      </c>
      <c r="F29" s="199">
        <f t="shared" si="4"/>
        <v>66.91</v>
      </c>
      <c r="G29" s="196">
        <f>IF(D29=D28,"",_xlfn.IFNA(VLOOKUP(D29,'인원 입력 기능(사과탐)'!$P$177:$S$231,4,FALSE),0))</f>
        <v>3674</v>
      </c>
      <c r="H29" s="192">
        <f t="shared" si="1"/>
        <v>4.4729056842669132E-2</v>
      </c>
      <c r="I29" s="189">
        <f>SUM($G$7:G29)</f>
        <v>29019</v>
      </c>
      <c r="J29" s="162">
        <f t="shared" si="5"/>
        <v>0.35329137194268251</v>
      </c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69">
        <v>27</v>
      </c>
      <c r="D30" s="211"/>
      <c r="E30" s="211"/>
      <c r="F30" s="198"/>
      <c r="G30" s="195"/>
      <c r="H30" s="194"/>
      <c r="I30" s="191"/>
      <c r="J30" s="188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53</v>
      </c>
      <c r="E31" s="68">
        <f t="shared" si="0"/>
        <v>4</v>
      </c>
      <c r="F31" s="55">
        <f t="shared" si="4"/>
        <v>63.42</v>
      </c>
      <c r="G31" s="56">
        <f>IF(D31=D30,"",_xlfn.IFNA(VLOOKUP(D31,'인원 입력 기능(사과탐)'!$P$177:$S$231,4,FALSE),0))</f>
        <v>2056</v>
      </c>
      <c r="H31" s="57">
        <f t="shared" si="1"/>
        <v>2.5030740573905211E-2</v>
      </c>
      <c r="I31" s="67">
        <f>SUM($G$7:G31)</f>
        <v>31075</v>
      </c>
      <c r="J31" s="59">
        <f t="shared" si="5"/>
        <v>0.37832211251658776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52</v>
      </c>
      <c r="E32" s="68">
        <f t="shared" si="0"/>
        <v>4</v>
      </c>
      <c r="F32" s="55">
        <f t="shared" si="4"/>
        <v>61</v>
      </c>
      <c r="G32" s="56">
        <f>IF(D32=D31,"",_xlfn.IFNA(VLOOKUP(D32,'인원 입력 기능(사과탐)'!$P$177:$S$231,4,FALSE),0))</f>
        <v>1919</v>
      </c>
      <c r="H32" s="57">
        <f t="shared" si="1"/>
        <v>2.336283616795919E-2</v>
      </c>
      <c r="I32" s="67">
        <f>SUM($G$7:G32)</f>
        <v>32994</v>
      </c>
      <c r="J32" s="59">
        <f t="shared" si="5"/>
        <v>0.40168494868454691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51</v>
      </c>
      <c r="E33" s="68">
        <f t="shared" si="0"/>
        <v>5</v>
      </c>
      <c r="F33" s="55">
        <f t="shared" si="4"/>
        <v>58.55</v>
      </c>
      <c r="G33" s="56">
        <f>IF(D33=D32,"",_xlfn.IFNA(VLOOKUP(D33,'인원 입력 기능(사과탐)'!$P$177:$S$231,4,FALSE),0))</f>
        <v>2106</v>
      </c>
      <c r="H33" s="57">
        <f t="shared" si="1"/>
        <v>2.5639464809651933E-2</v>
      </c>
      <c r="I33" s="67">
        <f>SUM($G$7:G33)</f>
        <v>35100</v>
      </c>
      <c r="J33" s="59">
        <f t="shared" si="5"/>
        <v>0.42732441349419886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50</v>
      </c>
      <c r="E34" s="68">
        <f t="shared" si="0"/>
        <v>5</v>
      </c>
      <c r="F34" s="55">
        <f t="shared" si="4"/>
        <v>55.97</v>
      </c>
      <c r="G34" s="56">
        <f>IF(D34=D33,"",_xlfn.IFNA(VLOOKUP(D34,'인원 입력 기능(사과탐)'!$P$177:$S$231,4,FALSE),0))</f>
        <v>2128</v>
      </c>
      <c r="H34" s="57">
        <f t="shared" si="1"/>
        <v>2.5907303473380491E-2</v>
      </c>
      <c r="I34" s="67">
        <f>SUM($G$7:G34)</f>
        <v>37228</v>
      </c>
      <c r="J34" s="59">
        <f t="shared" si="5"/>
        <v>0.45323171696757936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212">
        <f t="shared" si="3"/>
        <v>49</v>
      </c>
      <c r="E35" s="212">
        <f t="shared" si="0"/>
        <v>5</v>
      </c>
      <c r="F35" s="199">
        <f t="shared" si="4"/>
        <v>51.89</v>
      </c>
      <c r="G35" s="196">
        <f>IF(D35=D34,"",_xlfn.IFNA(VLOOKUP(D35,'인원 입력 기능(사과탐)'!$P$177:$S$231,4,FALSE),0))</f>
        <v>4574</v>
      </c>
      <c r="H35" s="192">
        <f t="shared" si="1"/>
        <v>5.5686093086110132E-2</v>
      </c>
      <c r="I35" s="189">
        <f>SUM($G$7:G35)</f>
        <v>41802</v>
      </c>
      <c r="J35" s="162">
        <f t="shared" si="5"/>
        <v>0.50891781005368952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211"/>
      <c r="E36" s="211"/>
      <c r="F36" s="198"/>
      <c r="G36" s="195"/>
      <c r="H36" s="194"/>
      <c r="I36" s="191"/>
      <c r="J36" s="188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48</v>
      </c>
      <c r="E37" s="68">
        <f t="shared" si="0"/>
        <v>5</v>
      </c>
      <c r="F37" s="55">
        <f t="shared" si="4"/>
        <v>47.72</v>
      </c>
      <c r="G37" s="56">
        <f>IF(D37=D36,"",_xlfn.IFNA(VLOOKUP(D37,'인원 입력 기능(사과탐)'!$P$177:$S$231,4,FALSE),0))</f>
        <v>2276</v>
      </c>
      <c r="H37" s="57">
        <f t="shared" si="1"/>
        <v>2.7709127211190787E-2</v>
      </c>
      <c r="I37" s="67">
        <f>SUM($G$7:G37)</f>
        <v>44078</v>
      </c>
      <c r="J37" s="59">
        <f t="shared" si="5"/>
        <v>0.53662693726488031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47</v>
      </c>
      <c r="E38" s="68">
        <f t="shared" si="0"/>
        <v>5</v>
      </c>
      <c r="F38" s="55">
        <f t="shared" si="4"/>
        <v>44.75</v>
      </c>
      <c r="G38" s="56">
        <f>IF(D38=D37,"",_xlfn.IFNA(VLOOKUP(D38,'인원 입력 기능(사과탐)'!$P$177:$S$231,4,FALSE),0))</f>
        <v>2611</v>
      </c>
      <c r="H38" s="57">
        <f t="shared" si="1"/>
        <v>3.1787579590693824E-2</v>
      </c>
      <c r="I38" s="67">
        <f>SUM($G$7:G38)</f>
        <v>46689</v>
      </c>
      <c r="J38" s="59">
        <f t="shared" si="5"/>
        <v>0.56841451685557409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46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5">
        <f t="shared" si="4"/>
        <v>41.66</v>
      </c>
      <c r="G39" s="56">
        <f>IF(D39=D38,"",_xlfn.IFNA(VLOOKUP(D39,'인원 입력 기능(사과탐)'!$P$177:$S$231,4,FALSE),0))</f>
        <v>2455</v>
      </c>
      <c r="H39" s="57">
        <f t="shared" si="1"/>
        <v>2.988835997516405E-2</v>
      </c>
      <c r="I39" s="67">
        <f>SUM($G$7:G39)</f>
        <v>49144</v>
      </c>
      <c r="J39" s="59">
        <f t="shared" si="5"/>
        <v>0.59830287683073813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45</v>
      </c>
      <c r="E40" s="68">
        <f t="shared" si="6"/>
        <v>5</v>
      </c>
      <c r="F40" s="55">
        <f t="shared" si="4"/>
        <v>38.65</v>
      </c>
      <c r="G40" s="56">
        <f>IF(D40=D39,"",_xlfn.IFNA(VLOOKUP(D40,'인원 입력 기능(사과탐)'!$P$177:$S$231,4,FALSE),0))</f>
        <v>2500</v>
      </c>
      <c r="H40" s="57">
        <f t="shared" si="1"/>
        <v>3.04362117873361E-2</v>
      </c>
      <c r="I40" s="67">
        <f>SUM($G$7:G40)</f>
        <v>51644</v>
      </c>
      <c r="J40" s="59">
        <f t="shared" si="5"/>
        <v>0.62873908861807426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44</v>
      </c>
      <c r="E41" s="68">
        <f t="shared" si="6"/>
        <v>6</v>
      </c>
      <c r="F41" s="55">
        <f t="shared" si="4"/>
        <v>35.54</v>
      </c>
      <c r="G41" s="56">
        <f>IF(D41=D40,"",_xlfn.IFNA(VLOOKUP(D41,'인원 입력 기능(사과탐)'!$P$177:$S$231,4,FALSE),0))</f>
        <v>2610</v>
      </c>
      <c r="H41" s="57">
        <f t="shared" si="1"/>
        <v>3.1775405105978892E-2</v>
      </c>
      <c r="I41" s="67">
        <f>SUM($G$7:G41)</f>
        <v>54254</v>
      </c>
      <c r="J41" s="59">
        <f t="shared" si="5"/>
        <v>0.66051449372405313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212">
        <f t="shared" si="3"/>
        <v>43</v>
      </c>
      <c r="E42" s="212">
        <f t="shared" si="6"/>
        <v>6</v>
      </c>
      <c r="F42" s="199">
        <f t="shared" si="4"/>
        <v>30.58</v>
      </c>
      <c r="G42" s="196">
        <f>IF(D42=D41,"",_xlfn.IFNA(VLOOKUP(D42,'인원 입력 기능(사과탐)'!$P$177:$S$231,4,FALSE),0))</f>
        <v>5527</v>
      </c>
      <c r="H42" s="192">
        <f t="shared" si="1"/>
        <v>6.7288377019442652E-2</v>
      </c>
      <c r="I42" s="189">
        <f>SUM($G$7:G42)</f>
        <v>59781</v>
      </c>
      <c r="J42" s="162">
        <f t="shared" si="5"/>
        <v>0.72780287074349581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211"/>
      <c r="E43" s="211"/>
      <c r="F43" s="198"/>
      <c r="G43" s="195"/>
      <c r="H43" s="194"/>
      <c r="I43" s="191"/>
      <c r="J43" s="188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42</v>
      </c>
      <c r="E44" s="68">
        <f t="shared" si="6"/>
        <v>6</v>
      </c>
      <c r="F44" s="55">
        <f t="shared" si="4"/>
        <v>25.76</v>
      </c>
      <c r="G44" s="56">
        <f>IF(D44=D43,"",_xlfn.IFNA(VLOOKUP(D44,'인원 입력 기능(사과탐)'!$P$177:$S$231,4,FALSE),0))</f>
        <v>2393</v>
      </c>
      <c r="H44" s="57">
        <f t="shared" si="1"/>
        <v>2.9133541922838117E-2</v>
      </c>
      <c r="I44" s="67">
        <f>SUM($G$7:G44)</f>
        <v>62174</v>
      </c>
      <c r="J44" s="59">
        <f t="shared" si="5"/>
        <v>0.75693641266633394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41</v>
      </c>
      <c r="E45" s="68">
        <f t="shared" si="6"/>
        <v>6</v>
      </c>
      <c r="F45" s="55">
        <f t="shared" si="4"/>
        <v>21.33</v>
      </c>
      <c r="G45" s="56">
        <f>IF(D45=D44,"",_xlfn.IFNA(VLOOKUP(D45,'인원 입력 기능(사과탐)'!$P$177:$S$231,4,FALSE),0))</f>
        <v>4890</v>
      </c>
      <c r="H45" s="57">
        <f t="shared" si="1"/>
        <v>5.9533230256029412E-2</v>
      </c>
      <c r="I45" s="67">
        <f>SUM($G$7:G45)</f>
        <v>67064</v>
      </c>
      <c r="J45" s="59">
        <f t="shared" si="5"/>
        <v>0.81646964292236335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40</v>
      </c>
      <c r="E46" s="68">
        <f t="shared" si="6"/>
        <v>7</v>
      </c>
      <c r="F46" s="55">
        <f t="shared" si="4"/>
        <v>17.03</v>
      </c>
      <c r="G46" s="56">
        <f>IF(D46=D45,"",_xlfn.IFNA(VLOOKUP(D46,'인원 입력 기능(사과탐)'!$P$177:$S$231,4,FALSE),0))</f>
        <v>2181</v>
      </c>
      <c r="H46" s="57">
        <f t="shared" si="1"/>
        <v>2.6552551163272015E-2</v>
      </c>
      <c r="I46" s="67">
        <f>SUM($G$7:G46)</f>
        <v>69245</v>
      </c>
      <c r="J46" s="59">
        <f t="shared" si="5"/>
        <v>0.84302219408563528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39</v>
      </c>
      <c r="E47" s="68">
        <f t="shared" si="6"/>
        <v>7</v>
      </c>
      <c r="F47" s="55">
        <f t="shared" si="4"/>
        <v>14.21</v>
      </c>
      <c r="G47" s="56">
        <f>IF(D47=D46,"",_xlfn.IFNA(VLOOKUP(D47,'인원 입력 기능(사과탐)'!$P$177:$S$231,4,FALSE),0))</f>
        <v>2444</v>
      </c>
      <c r="H47" s="57">
        <f t="shared" si="1"/>
        <v>2.9754440643299771E-2</v>
      </c>
      <c r="I47" s="67">
        <f>SUM($G$7:G47)</f>
        <v>71689</v>
      </c>
      <c r="J47" s="59">
        <f t="shared" si="5"/>
        <v>0.87277663472893507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38</v>
      </c>
      <c r="E48" s="68">
        <f t="shared" si="6"/>
        <v>7</v>
      </c>
      <c r="F48" s="55">
        <f t="shared" si="4"/>
        <v>11.64</v>
      </c>
      <c r="G48" s="56">
        <f>IF(D48=D47,"",_xlfn.IFNA(VLOOKUP(D48,'인원 입력 기능(사과탐)'!$P$177:$S$231,4,FALSE),0))</f>
        <v>1783</v>
      </c>
      <c r="H48" s="57">
        <f t="shared" si="1"/>
        <v>2.1707106246728107E-2</v>
      </c>
      <c r="I48" s="67">
        <f>SUM($G$7:G48)</f>
        <v>73472</v>
      </c>
      <c r="J48" s="59">
        <f t="shared" si="5"/>
        <v>0.89448374097566319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212">
        <f t="shared" si="3"/>
        <v>37</v>
      </c>
      <c r="E49" s="212">
        <f t="shared" si="6"/>
        <v>8</v>
      </c>
      <c r="F49" s="199">
        <f t="shared" si="4"/>
        <v>6.86</v>
      </c>
      <c r="G49" s="196">
        <f>IF(D49=D48,"",_xlfn.IFNA(VLOOKUP(D49,'인원 입력 기능(사과탐)'!$P$177:$S$231,4,FALSE),0))</f>
        <v>6064</v>
      </c>
      <c r="H49" s="192">
        <f t="shared" si="1"/>
        <v>7.3826075311362441E-2</v>
      </c>
      <c r="I49" s="189">
        <f>SUM($G$7:G49)</f>
        <v>79536</v>
      </c>
      <c r="J49" s="162">
        <f t="shared" si="5"/>
        <v>0.96830981628702562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211"/>
      <c r="E50" s="211"/>
      <c r="F50" s="198"/>
      <c r="G50" s="195"/>
      <c r="H50" s="194"/>
      <c r="I50" s="191"/>
      <c r="J50" s="188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36</v>
      </c>
      <c r="E51" s="68">
        <f t="shared" si="6"/>
        <v>9</v>
      </c>
      <c r="F51" s="55">
        <f t="shared" si="4"/>
        <v>2.71</v>
      </c>
      <c r="G51" s="56">
        <f>IF(D51=D50,"",_xlfn.IFNA(VLOOKUP(D51,'인원 입력 기능(사과탐)'!$P$177:$S$231,4,FALSE),0))</f>
        <v>754</v>
      </c>
      <c r="H51" s="57">
        <f t="shared" si="1"/>
        <v>9.1795614750605683E-3</v>
      </c>
      <c r="I51" s="67">
        <f>SUM($G$7:G51)</f>
        <v>80290</v>
      </c>
      <c r="J51" s="59">
        <f t="shared" si="5"/>
        <v>0.97748937776208622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35</v>
      </c>
      <c r="E52" s="68">
        <f t="shared" si="6"/>
        <v>9</v>
      </c>
      <c r="F52" s="55">
        <f t="shared" si="4"/>
        <v>1.76</v>
      </c>
      <c r="G52" s="56">
        <f>IF(D52=D51,"",_xlfn.IFNA(VLOOKUP(D52,'인원 입력 기능(사과탐)'!$P$177:$S$231,4,FALSE),0))</f>
        <v>811</v>
      </c>
      <c r="H52" s="57">
        <f t="shared" si="1"/>
        <v>9.8735071038118308E-3</v>
      </c>
      <c r="I52" s="67">
        <f>SUM($G$7:G52)</f>
        <v>81101</v>
      </c>
      <c r="J52" s="59">
        <f t="shared" si="5"/>
        <v>0.98736288486589807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34</v>
      </c>
      <c r="E53" s="54">
        <f t="shared" si="6"/>
        <v>9</v>
      </c>
      <c r="F53" s="55">
        <f t="shared" si="4"/>
        <v>1.01</v>
      </c>
      <c r="G53" s="56">
        <f>IF(D53=D52,"",_xlfn.IFNA(VLOOKUP(D53,'인원 입력 기능(사과탐)'!$P$177:$S$231,4,FALSE),0))</f>
        <v>411</v>
      </c>
      <c r="H53" s="57">
        <f t="shared" si="1"/>
        <v>5.0037132178380548E-3</v>
      </c>
      <c r="I53" s="67">
        <f>SUM($G$7:G53)</f>
        <v>81512</v>
      </c>
      <c r="J53" s="59">
        <f t="shared" si="5"/>
        <v>0.99236659808373606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33</v>
      </c>
      <c r="E54" s="54">
        <f t="shared" si="6"/>
        <v>9</v>
      </c>
      <c r="F54" s="55">
        <f t="shared" si="4"/>
        <v>0.62</v>
      </c>
      <c r="G54" s="56">
        <f>IF(D54=D53,"",_xlfn.IFNA(VLOOKUP(D54,'인원 입력 기능(사과탐)'!$P$177:$S$231,4,FALSE),0))</f>
        <v>230</v>
      </c>
      <c r="H54" s="57">
        <f t="shared" si="1"/>
        <v>2.8001314844349214E-3</v>
      </c>
      <c r="I54" s="67">
        <f>SUM($G$7:G54)</f>
        <v>81742</v>
      </c>
      <c r="J54" s="59">
        <f t="shared" si="5"/>
        <v>0.99516672956817098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32</v>
      </c>
      <c r="E55" s="54">
        <f t="shared" si="6"/>
        <v>9</v>
      </c>
      <c r="F55" s="55">
        <f t="shared" si="4"/>
        <v>0.31</v>
      </c>
      <c r="G55" s="56">
        <f>IF(D55=D54,"",_xlfn.IFNA(VLOOKUP(D55,'인원 입력 기능(사과탐)'!$P$177:$S$231,4,FALSE),0))</f>
        <v>289</v>
      </c>
      <c r="H55" s="57">
        <f t="shared" si="1"/>
        <v>3.5184260826160532E-3</v>
      </c>
      <c r="I55" s="67">
        <f>SUM($G$7:G55)</f>
        <v>82031</v>
      </c>
      <c r="J55" s="59">
        <f t="shared" si="5"/>
        <v>0.99868515565078708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31</v>
      </c>
      <c r="E57" s="109">
        <f t="shared" si="6"/>
        <v>9</v>
      </c>
      <c r="F57" s="74">
        <f>IF(I55=0,ROUND(100*(1-(I54+I57)/2/$J$3),2),ROUND(100*(1-(I55+I57)/2/$J$3),2))</f>
        <v>7.0000000000000007E-2</v>
      </c>
      <c r="G57" s="110">
        <f>_xlfn.IFNA(VLOOKUP(D57,'인원 입력 기능(사과탐)'!$P$177:$S$231,4,FALSE),0)</f>
        <v>108</v>
      </c>
      <c r="H57" s="76">
        <f>G57/$J$3</f>
        <v>1.3148443492129196E-3</v>
      </c>
      <c r="I57" s="77">
        <f>SUM($G$7:G57)</f>
        <v>82139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4">
    <mergeCell ref="I42:I43"/>
    <mergeCell ref="J42:J43"/>
    <mergeCell ref="D49:D50"/>
    <mergeCell ref="E49:E50"/>
    <mergeCell ref="F49:F50"/>
    <mergeCell ref="G49:G50"/>
    <mergeCell ref="H49:H50"/>
    <mergeCell ref="I49:I50"/>
    <mergeCell ref="J49:J50"/>
    <mergeCell ref="D42:D43"/>
    <mergeCell ref="E42:E43"/>
    <mergeCell ref="F42:F43"/>
    <mergeCell ref="G42:G43"/>
    <mergeCell ref="H42:H43"/>
    <mergeCell ref="I29:I30"/>
    <mergeCell ref="J29:J30"/>
    <mergeCell ref="D35:D36"/>
    <mergeCell ref="E35:E36"/>
    <mergeCell ref="F35:F36"/>
    <mergeCell ref="G35:G36"/>
    <mergeCell ref="H35:H36"/>
    <mergeCell ref="I35:I36"/>
    <mergeCell ref="J35:J36"/>
    <mergeCell ref="D29:D30"/>
    <mergeCell ref="E29:E30"/>
    <mergeCell ref="F29:F30"/>
    <mergeCell ref="G29:G30"/>
    <mergeCell ref="H29:H30"/>
    <mergeCell ref="G15:G16"/>
    <mergeCell ref="H15:H16"/>
    <mergeCell ref="I15:I16"/>
    <mergeCell ref="J15:J16"/>
    <mergeCell ref="D22:D23"/>
    <mergeCell ref="E22:E23"/>
    <mergeCell ref="F22:F23"/>
    <mergeCell ref="G22:G23"/>
    <mergeCell ref="H22:H23"/>
    <mergeCell ref="I22:I23"/>
    <mergeCell ref="J22:J23"/>
    <mergeCell ref="D3:F3"/>
    <mergeCell ref="D4:F4"/>
    <mergeCell ref="D15:D16"/>
    <mergeCell ref="E15:E16"/>
    <mergeCell ref="F15:F16"/>
  </mergeCells>
  <phoneticPr fontId="1" type="noConversion"/>
  <conditionalFormatting sqref="D7:G15 I7:J15 D17:G22 I17:J22 D24:G29 I24:J29 D31:G35 I31:J35 D37:G42 I37:J42 D44:G49 I44:J49 D51:G57 I51:J57">
    <cfRule type="expression" dxfId="26" priority="4">
      <formula>OR($D7=$Q$7:$Q$14)</formula>
    </cfRule>
  </conditionalFormatting>
  <conditionalFormatting sqref="C7:C57">
    <cfRule type="expression" dxfId="25" priority="3">
      <formula>OR(AND($D7=0,OR($D6=$Q$7:$Q$14)),AND($D8&gt;0,OR($D7=$Q$7:$Q$14)))</formula>
    </cfRule>
  </conditionalFormatting>
  <conditionalFormatting sqref="D7:D15 D17:D22 D24:D29 D31:D35 D37:D42 D44:D49 D51:D57">
    <cfRule type="expression" dxfId="24" priority="2">
      <formula>$D7=$D8</formula>
    </cfRule>
  </conditionalFormatting>
  <conditionalFormatting sqref="H7:H15 H17:H22 H24:H29 H31:H35 H37:H42 H44:H49 H51:H57">
    <cfRule type="expression" dxfId="23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98C6-A2E7-434D-A987-71CB1C52276E}">
  <sheetPr codeName="Sheet23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기능'!D21</f>
        <v>25.17</v>
      </c>
      <c r="I3" s="21" t="s">
        <v>124</v>
      </c>
      <c r="J3" s="81">
        <f>'통계 및 응시자 수 입력 기능'!C21</f>
        <v>2524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143</v>
      </c>
      <c r="E4" s="153"/>
      <c r="F4" s="154"/>
      <c r="G4" s="83" t="s">
        <v>127</v>
      </c>
      <c r="H4" s="84" t="str">
        <f>'통계 및 응시자 수 입력 기능'!E21</f>
        <v>11.42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72</v>
      </c>
      <c r="E7" s="54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99.52</v>
      </c>
      <c r="G7" s="56">
        <f>_xlfn.IFNA(VLOOKUP(D7,'인원 입력 기능(직탐)'!$A$5:$D$59,4,FALSE),0)</f>
        <v>24</v>
      </c>
      <c r="H7" s="57">
        <f>G7/$J$3</f>
        <v>9.5087163232963554E-3</v>
      </c>
      <c r="I7" s="58">
        <f>G7</f>
        <v>24</v>
      </c>
      <c r="J7" s="59">
        <f>I7/$J$3</f>
        <v>9.5087163232963554E-3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기능'!C157</f>
        <v>67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기능'!C158</f>
        <v>62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70</v>
      </c>
      <c r="E9" s="54">
        <f t="shared" si="0"/>
        <v>1</v>
      </c>
      <c r="F9" s="55">
        <f>IF(I8=0,ROUND(100*(1-(I7+I9)/2/$J$3),2),ROUND(100*(1-(I8+I9)/2/$J$3),2))</f>
        <v>98.97</v>
      </c>
      <c r="G9" s="56">
        <f>_xlfn.IFNA(VLOOKUP(D9,'인원 입력 기능(직탐)'!$A$5:$D$59,4,FALSE),0)</f>
        <v>4</v>
      </c>
      <c r="H9" s="57">
        <f t="shared" ref="H9:H55" si="1">G9/$J$3</f>
        <v>1.5847860538827259E-3</v>
      </c>
      <c r="I9" s="67">
        <f>SUM($G$7:G9)</f>
        <v>28</v>
      </c>
      <c r="J9" s="59">
        <f>I9/$J$3</f>
        <v>1.1093502377179081E-2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기능'!C159</f>
        <v>59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69</v>
      </c>
      <c r="E10" s="54">
        <f t="shared" si="0"/>
        <v>1</v>
      </c>
      <c r="F10" s="55">
        <f t="shared" ref="F10:F55" si="4">IF(I9=0,ROUND(100*(1-(I8+I10)/2/$J$3),2),ROUND(100*(1-(I9+I10)/2/$J$3),2))</f>
        <v>97.68</v>
      </c>
      <c r="G10" s="56">
        <f>IF(D10=D9,"",_xlfn.IFNA(VLOOKUP(D10,'인원 입력 기능(직탐)'!$A$5:$D$59,4,FALSE),0))</f>
        <v>61</v>
      </c>
      <c r="H10" s="57">
        <f t="shared" si="1"/>
        <v>2.4167987321711569E-2</v>
      </c>
      <c r="I10" s="67">
        <f>SUM($G$7:G10)</f>
        <v>89</v>
      </c>
      <c r="J10" s="59">
        <f t="shared" ref="J10:J55" si="5">I10/$J$3</f>
        <v>3.5261489698890647E-2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기능'!C160</f>
        <v>53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68</v>
      </c>
      <c r="E11" s="54">
        <f t="shared" si="0"/>
        <v>1</v>
      </c>
      <c r="F11" s="55">
        <f t="shared" si="4"/>
        <v>96.45</v>
      </c>
      <c r="G11" s="56">
        <f>IF(D11=D10,"",_xlfn.IFNA(VLOOKUP(D11,'인원 입력 기능(직탐)'!$A$5:$D$59,4,FALSE),0))</f>
        <v>1</v>
      </c>
      <c r="H11" s="57">
        <f t="shared" si="1"/>
        <v>3.9619651347068147E-4</v>
      </c>
      <c r="I11" s="67">
        <f>SUM($G$7:G11)</f>
        <v>90</v>
      </c>
      <c r="J11" s="59">
        <f t="shared" si="5"/>
        <v>3.5657686212361331E-2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기능'!C161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67</v>
      </c>
      <c r="E12" s="54">
        <f t="shared" si="0"/>
        <v>1</v>
      </c>
      <c r="F12" s="55">
        <f t="shared" si="4"/>
        <v>96.02</v>
      </c>
      <c r="G12" s="56">
        <f>IF(D12=D11,"",_xlfn.IFNA(VLOOKUP(D12,'인원 입력 기능(직탐)'!$A$5:$D$59,4,FALSE),0))</f>
        <v>21</v>
      </c>
      <c r="H12" s="57">
        <f t="shared" si="1"/>
        <v>8.3201267828843101E-3</v>
      </c>
      <c r="I12" s="67">
        <f>SUM($G$7:G12)</f>
        <v>111</v>
      </c>
      <c r="J12" s="59">
        <f t="shared" si="5"/>
        <v>4.3977812995245641E-2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기능'!C162</f>
        <v>42</v>
      </c>
    </row>
    <row r="13" spans="1:17" s="22" customFormat="1" ht="25" customHeight="1" x14ac:dyDescent="0.45">
      <c r="A13" s="20"/>
      <c r="B13" s="35"/>
      <c r="C13" s="53">
        <v>44</v>
      </c>
      <c r="D13" s="202">
        <f t="shared" si="3"/>
        <v>66</v>
      </c>
      <c r="E13" s="202">
        <f t="shared" si="0"/>
        <v>2</v>
      </c>
      <c r="F13" s="199">
        <f t="shared" si="4"/>
        <v>94.83</v>
      </c>
      <c r="G13" s="196">
        <f>IF(D13=D12,"",_xlfn.IFNA(VLOOKUP(D13,'인원 입력 기능(직탐)'!$A$5:$D$59,4,FALSE),0))</f>
        <v>39</v>
      </c>
      <c r="H13" s="192">
        <f t="shared" si="1"/>
        <v>1.5451664025356577E-2</v>
      </c>
      <c r="I13" s="189">
        <f>SUM($G$7:G13)</f>
        <v>150</v>
      </c>
      <c r="J13" s="162">
        <f t="shared" si="5"/>
        <v>5.9429477020602216E-2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기능'!C163</f>
        <v>37</v>
      </c>
    </row>
    <row r="14" spans="1:17" s="22" customFormat="1" ht="25" customHeight="1" x14ac:dyDescent="0.45">
      <c r="A14" s="20"/>
      <c r="B14" s="35"/>
      <c r="C14" s="60">
        <v>43</v>
      </c>
      <c r="D14" s="201"/>
      <c r="E14" s="201"/>
      <c r="F14" s="198"/>
      <c r="G14" s="195"/>
      <c r="H14" s="194"/>
      <c r="I14" s="191"/>
      <c r="J14" s="188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기능'!C164</f>
        <v>34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65</v>
      </c>
      <c r="E15" s="54">
        <f t="shared" si="0"/>
        <v>2</v>
      </c>
      <c r="F15" s="55">
        <f t="shared" si="4"/>
        <v>93.36</v>
      </c>
      <c r="G15" s="56">
        <f>IF(D15=D14,"",_xlfn.IFNA(VLOOKUP(D15,'인원 입력 기능(직탐)'!$A$5:$D$59,4,FALSE),0))</f>
        <v>35</v>
      </c>
      <c r="H15" s="57">
        <f t="shared" si="1"/>
        <v>1.3866877971473851E-2</v>
      </c>
      <c r="I15" s="67">
        <f>SUM($G$7:G15)</f>
        <v>185</v>
      </c>
      <c r="J15" s="59">
        <f t="shared" si="5"/>
        <v>7.3296354992076068E-2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64</v>
      </c>
      <c r="E16" s="54">
        <f t="shared" si="0"/>
        <v>2</v>
      </c>
      <c r="F16" s="55">
        <f t="shared" si="4"/>
        <v>91.84</v>
      </c>
      <c r="G16" s="56">
        <f>IF(D16=D15,"",_xlfn.IFNA(VLOOKUP(D16,'인원 입력 기능(직탐)'!$A$5:$D$59,4,FALSE),0))</f>
        <v>42</v>
      </c>
      <c r="H16" s="57">
        <f t="shared" si="1"/>
        <v>1.664025356576862E-2</v>
      </c>
      <c r="I16" s="67">
        <f>SUM($G$7:G16)</f>
        <v>227</v>
      </c>
      <c r="J16" s="59">
        <f t="shared" si="5"/>
        <v>8.9936608557844688E-2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63</v>
      </c>
      <c r="E17" s="54">
        <f t="shared" si="0"/>
        <v>2</v>
      </c>
      <c r="F17" s="55">
        <f t="shared" si="4"/>
        <v>90.35</v>
      </c>
      <c r="G17" s="56">
        <f>IF(D17=D16,"",_xlfn.IFNA(VLOOKUP(D17,'인원 입력 기능(직탐)'!$A$5:$D$59,4,FALSE),0))</f>
        <v>33</v>
      </c>
      <c r="H17" s="57">
        <f t="shared" si="1"/>
        <v>1.3074484944532488E-2</v>
      </c>
      <c r="I17" s="67">
        <f>SUM($G$7:G17)</f>
        <v>260</v>
      </c>
      <c r="J17" s="59">
        <f t="shared" si="5"/>
        <v>0.10301109350237718</v>
      </c>
      <c r="K17" s="36"/>
      <c r="L17" s="20" t="str">
        <f t="shared" si="2"/>
        <v/>
      </c>
      <c r="N17" s="24"/>
      <c r="Q17" s="24">
        <f>Q7*H3*H4*J3*IFERROR(IF(J57=1, 1, 0), 0)</f>
        <v>48608640.271200001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62</v>
      </c>
      <c r="E18" s="54">
        <f t="shared" si="0"/>
        <v>2</v>
      </c>
      <c r="F18" s="55">
        <f t="shared" si="4"/>
        <v>88.11</v>
      </c>
      <c r="G18" s="56">
        <f>IF(D18=D17,"",_xlfn.IFNA(VLOOKUP(D18,'인원 입력 기능(직탐)'!$A$5:$D$59,4,FALSE),0))</f>
        <v>80</v>
      </c>
      <c r="H18" s="57">
        <f t="shared" si="1"/>
        <v>3.1695721077654518E-2</v>
      </c>
      <c r="I18" s="67">
        <f>SUM($G$7:G18)</f>
        <v>340</v>
      </c>
      <c r="J18" s="59">
        <f t="shared" si="5"/>
        <v>0.1347068145800317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61</v>
      </c>
      <c r="E19" s="54">
        <f t="shared" si="0"/>
        <v>3</v>
      </c>
      <c r="F19" s="55">
        <f t="shared" si="4"/>
        <v>85.86</v>
      </c>
      <c r="G19" s="56">
        <f>IF(D19=D18,"",_xlfn.IFNA(VLOOKUP(D19,'인원 입력 기능(직탐)'!$A$5:$D$59,4,FALSE),0))</f>
        <v>34</v>
      </c>
      <c r="H19" s="57">
        <f t="shared" si="1"/>
        <v>1.347068145800317E-2</v>
      </c>
      <c r="I19" s="67">
        <f>SUM($G$7:G19)</f>
        <v>374</v>
      </c>
      <c r="J19" s="59">
        <f t="shared" si="5"/>
        <v>0.14817749603803487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60</v>
      </c>
      <c r="E20" s="54">
        <f t="shared" si="0"/>
        <v>3</v>
      </c>
      <c r="F20" s="55">
        <f t="shared" si="4"/>
        <v>83.85</v>
      </c>
      <c r="G20" s="56">
        <f>IF(D20=D19,"",_xlfn.IFNA(VLOOKUP(D20,'인원 입력 기능(직탐)'!$A$5:$D$59,4,FALSE),0))</f>
        <v>67</v>
      </c>
      <c r="H20" s="57">
        <f t="shared" si="1"/>
        <v>2.6545166402535656E-2</v>
      </c>
      <c r="I20" s="67">
        <f>SUM($G$7:G20)</f>
        <v>441</v>
      </c>
      <c r="J20" s="59">
        <f t="shared" si="5"/>
        <v>0.17472266244057053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212">
        <f t="shared" si="3"/>
        <v>59</v>
      </c>
      <c r="E21" s="212">
        <f t="shared" si="0"/>
        <v>3</v>
      </c>
      <c r="F21" s="199">
        <f t="shared" si="4"/>
        <v>79.64</v>
      </c>
      <c r="G21" s="196">
        <f>IF(D21=D20,"",_xlfn.IFNA(VLOOKUP(D21,'인원 입력 기능(직탐)'!$A$5:$D$59,4,FALSE),0))</f>
        <v>146</v>
      </c>
      <c r="H21" s="192">
        <f t="shared" si="1"/>
        <v>5.7844690966719493E-2</v>
      </c>
      <c r="I21" s="189">
        <f>SUM($G$7:G21)</f>
        <v>587</v>
      </c>
      <c r="J21" s="162">
        <f t="shared" si="5"/>
        <v>0.23256735340729001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211"/>
      <c r="E22" s="211"/>
      <c r="F22" s="198"/>
      <c r="G22" s="195"/>
      <c r="H22" s="194"/>
      <c r="I22" s="191"/>
      <c r="J22" s="188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58</v>
      </c>
      <c r="E23" s="68">
        <f t="shared" si="0"/>
        <v>4</v>
      </c>
      <c r="F23" s="55">
        <f t="shared" si="4"/>
        <v>74.92</v>
      </c>
      <c r="G23" s="56">
        <f>IF(D23=D22,"",_xlfn.IFNA(VLOOKUP(D23,'인원 입력 기능(직탐)'!$A$5:$D$59,4,FALSE),0))</f>
        <v>92</v>
      </c>
      <c r="H23" s="57">
        <f t="shared" si="1"/>
        <v>3.6450079239302692E-2</v>
      </c>
      <c r="I23" s="67">
        <f>SUM($G$7:G23)</f>
        <v>679</v>
      </c>
      <c r="J23" s="59">
        <f t="shared" si="5"/>
        <v>0.26901743264659272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57</v>
      </c>
      <c r="E24" s="68">
        <f t="shared" si="0"/>
        <v>4</v>
      </c>
      <c r="F24" s="55">
        <f t="shared" si="4"/>
        <v>71.489999999999995</v>
      </c>
      <c r="G24" s="56">
        <f>IF(D24=D23,"",_xlfn.IFNA(VLOOKUP(D24,'인원 입력 기능(직탐)'!$A$5:$D$59,4,FALSE),0))</f>
        <v>81</v>
      </c>
      <c r="H24" s="57">
        <f t="shared" si="1"/>
        <v>3.2091917591125195E-2</v>
      </c>
      <c r="I24" s="67">
        <f>SUM($G$7:G24)</f>
        <v>760</v>
      </c>
      <c r="J24" s="59">
        <f t="shared" si="5"/>
        <v>0.3011093502377179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56</v>
      </c>
      <c r="E25" s="68">
        <f t="shared" si="0"/>
        <v>4</v>
      </c>
      <c r="F25" s="55">
        <f t="shared" si="4"/>
        <v>68.34</v>
      </c>
      <c r="G25" s="56">
        <f>IF(D25=D24,"",_xlfn.IFNA(VLOOKUP(D25,'인원 입력 기능(직탐)'!$A$5:$D$59,4,FALSE),0))</f>
        <v>78</v>
      </c>
      <c r="H25" s="57">
        <f t="shared" si="1"/>
        <v>3.0903328050713153E-2</v>
      </c>
      <c r="I25" s="67">
        <f>SUM($G$7:G25)</f>
        <v>838</v>
      </c>
      <c r="J25" s="59">
        <f t="shared" si="5"/>
        <v>0.33201267828843106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55</v>
      </c>
      <c r="E26" s="68">
        <f t="shared" si="0"/>
        <v>4</v>
      </c>
      <c r="F26" s="55">
        <f t="shared" si="4"/>
        <v>65.06</v>
      </c>
      <c r="G26" s="56">
        <f>IF(D26=D25,"",_xlfn.IFNA(VLOOKUP(D26,'인원 입력 기능(직탐)'!$A$5:$D$59,4,FALSE),0))</f>
        <v>88</v>
      </c>
      <c r="H26" s="57">
        <f t="shared" si="1"/>
        <v>3.486529318541997E-2</v>
      </c>
      <c r="I26" s="67">
        <f>SUM($G$7:G26)</f>
        <v>926</v>
      </c>
      <c r="J26" s="59">
        <f t="shared" si="5"/>
        <v>0.36687797147385104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54</v>
      </c>
      <c r="E27" s="68">
        <f t="shared" si="0"/>
        <v>4</v>
      </c>
      <c r="F27" s="55">
        <f t="shared" si="4"/>
        <v>61.93</v>
      </c>
      <c r="G27" s="56">
        <f>IF(D27=D26,"",_xlfn.IFNA(VLOOKUP(D27,'인원 입력 기능(직탐)'!$A$5:$D$59,4,FALSE),0))</f>
        <v>70</v>
      </c>
      <c r="H27" s="57">
        <f t="shared" si="1"/>
        <v>2.7733755942947701E-2</v>
      </c>
      <c r="I27" s="67">
        <f>SUM($G$7:G27)</f>
        <v>996</v>
      </c>
      <c r="J27" s="59">
        <f t="shared" si="5"/>
        <v>0.39461172741679873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53</v>
      </c>
      <c r="E28" s="68">
        <f t="shared" si="0"/>
        <v>4</v>
      </c>
      <c r="F28" s="55">
        <f t="shared" si="4"/>
        <v>58.7</v>
      </c>
      <c r="G28" s="56">
        <f>IF(D28=D27,"",_xlfn.IFNA(VLOOKUP(D28,'인원 입력 기능(직탐)'!$A$5:$D$59,4,FALSE),0))</f>
        <v>93</v>
      </c>
      <c r="H28" s="57">
        <f t="shared" si="1"/>
        <v>3.6846275752773376E-2</v>
      </c>
      <c r="I28" s="67">
        <f>SUM($G$7:G28)</f>
        <v>1089</v>
      </c>
      <c r="J28" s="59">
        <f t="shared" si="5"/>
        <v>0.43145800316957211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212">
        <f t="shared" si="3"/>
        <v>52</v>
      </c>
      <c r="E29" s="212">
        <f t="shared" si="0"/>
        <v>5</v>
      </c>
      <c r="F29" s="199">
        <f t="shared" si="4"/>
        <v>53.88</v>
      </c>
      <c r="G29" s="196">
        <f>IF(D29=D28,"",_xlfn.IFNA(VLOOKUP(D29,'인원 입력 기능(직탐)'!$A$5:$D$59,4,FALSE),0))</f>
        <v>150</v>
      </c>
      <c r="H29" s="192">
        <f t="shared" si="1"/>
        <v>5.9429477020602216E-2</v>
      </c>
      <c r="I29" s="189">
        <f>SUM($G$7:G29)</f>
        <v>1239</v>
      </c>
      <c r="J29" s="162">
        <f t="shared" si="5"/>
        <v>0.49088748019017431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211"/>
      <c r="E30" s="211"/>
      <c r="F30" s="198"/>
      <c r="G30" s="195"/>
      <c r="H30" s="194"/>
      <c r="I30" s="191"/>
      <c r="J30" s="188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51</v>
      </c>
      <c r="E31" s="68">
        <f t="shared" si="0"/>
        <v>5</v>
      </c>
      <c r="F31" s="55">
        <f t="shared" si="4"/>
        <v>49.45</v>
      </c>
      <c r="G31" s="56">
        <f>IF(D31=D30,"",_xlfn.IFNA(VLOOKUP(D31,'인원 입력 기능(직탐)'!$A$5:$D$59,4,FALSE),0))</f>
        <v>74</v>
      </c>
      <c r="H31" s="57">
        <f t="shared" si="1"/>
        <v>2.9318541996830427E-2</v>
      </c>
      <c r="I31" s="67">
        <f>SUM($G$7:G31)</f>
        <v>1313</v>
      </c>
      <c r="J31" s="59">
        <f t="shared" si="5"/>
        <v>0.52020602218700474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50</v>
      </c>
      <c r="E32" s="68">
        <f t="shared" si="0"/>
        <v>5</v>
      </c>
      <c r="F32" s="55">
        <f t="shared" si="4"/>
        <v>46.99</v>
      </c>
      <c r="G32" s="56">
        <f>IF(D32=D31,"",_xlfn.IFNA(VLOOKUP(D32,'인원 입력 기능(직탐)'!$A$5:$D$59,4,FALSE),0))</f>
        <v>50</v>
      </c>
      <c r="H32" s="57">
        <f t="shared" si="1"/>
        <v>1.9809825673534072E-2</v>
      </c>
      <c r="I32" s="67">
        <f>SUM($G$7:G32)</f>
        <v>1363</v>
      </c>
      <c r="J32" s="59">
        <f t="shared" si="5"/>
        <v>0.5400158478605388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49</v>
      </c>
      <c r="E33" s="68">
        <f t="shared" si="0"/>
        <v>5</v>
      </c>
      <c r="F33" s="55">
        <f t="shared" si="4"/>
        <v>44.89</v>
      </c>
      <c r="G33" s="56">
        <f>IF(D33=D32,"",_xlfn.IFNA(VLOOKUP(D33,'인원 입력 기능(직탐)'!$A$5:$D$59,4,FALSE),0))</f>
        <v>56</v>
      </c>
      <c r="H33" s="57">
        <f t="shared" si="1"/>
        <v>2.2187004754358162E-2</v>
      </c>
      <c r="I33" s="67">
        <f>SUM($G$7:G33)</f>
        <v>1419</v>
      </c>
      <c r="J33" s="59">
        <f t="shared" si="5"/>
        <v>0.562202852614897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48</v>
      </c>
      <c r="E34" s="68">
        <f t="shared" si="0"/>
        <v>5</v>
      </c>
      <c r="F34" s="55">
        <f t="shared" si="4"/>
        <v>42.79</v>
      </c>
      <c r="G34" s="56">
        <f>IF(D34=D33,"",_xlfn.IFNA(VLOOKUP(D34,'인원 입력 기능(직탐)'!$A$5:$D$59,4,FALSE),0))</f>
        <v>50</v>
      </c>
      <c r="H34" s="57">
        <f t="shared" si="1"/>
        <v>1.9809825673534072E-2</v>
      </c>
      <c r="I34" s="67">
        <f>SUM($G$7:G34)</f>
        <v>1469</v>
      </c>
      <c r="J34" s="59">
        <f t="shared" si="5"/>
        <v>0.58201267828843106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47</v>
      </c>
      <c r="E35" s="68">
        <f t="shared" si="0"/>
        <v>5</v>
      </c>
      <c r="F35" s="55">
        <f t="shared" si="4"/>
        <v>41.15</v>
      </c>
      <c r="G35" s="56">
        <f>IF(D35=D34,"",_xlfn.IFNA(VLOOKUP(D35,'인원 입력 기능(직탐)'!$A$5:$D$59,4,FALSE),0))</f>
        <v>33</v>
      </c>
      <c r="H35" s="57">
        <f t="shared" si="1"/>
        <v>1.3074484944532488E-2</v>
      </c>
      <c r="I35" s="67">
        <f>SUM($G$7:G35)</f>
        <v>1502</v>
      </c>
      <c r="J35" s="59">
        <f t="shared" si="5"/>
        <v>0.59508716323296351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46</v>
      </c>
      <c r="E36" s="68">
        <f t="shared" si="0"/>
        <v>5</v>
      </c>
      <c r="F36" s="55">
        <f t="shared" si="4"/>
        <v>39.479999999999997</v>
      </c>
      <c r="G36" s="56">
        <f>IF(D36=D35,"",_xlfn.IFNA(VLOOKUP(D36,'인원 입력 기능(직탐)'!$A$5:$D$59,4,FALSE),0))</f>
        <v>51</v>
      </c>
      <c r="H36" s="57">
        <f t="shared" si="1"/>
        <v>2.0206022187004756E-2</v>
      </c>
      <c r="I36" s="67">
        <f>SUM($G$7:G36)</f>
        <v>1553</v>
      </c>
      <c r="J36" s="59">
        <f t="shared" si="5"/>
        <v>0.61529318541996836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212">
        <f t="shared" si="3"/>
        <v>45</v>
      </c>
      <c r="E37" s="212">
        <f t="shared" si="0"/>
        <v>6</v>
      </c>
      <c r="F37" s="199">
        <f t="shared" si="4"/>
        <v>37.159999999999997</v>
      </c>
      <c r="G37" s="196">
        <f>IF(D37=D36,"",_xlfn.IFNA(VLOOKUP(D37,'인원 입력 기능(직탐)'!$A$5:$D$59,4,FALSE),0))</f>
        <v>66</v>
      </c>
      <c r="H37" s="192">
        <f t="shared" si="1"/>
        <v>2.6148969889064975E-2</v>
      </c>
      <c r="I37" s="189">
        <f>SUM($G$7:G37)</f>
        <v>1619</v>
      </c>
      <c r="J37" s="162">
        <f t="shared" si="5"/>
        <v>0.64144215530903326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211"/>
      <c r="E38" s="211"/>
      <c r="F38" s="198"/>
      <c r="G38" s="195"/>
      <c r="H38" s="194"/>
      <c r="I38" s="191"/>
      <c r="J38" s="188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44</v>
      </c>
      <c r="E39" s="68">
        <f t="shared" si="0"/>
        <v>6</v>
      </c>
      <c r="F39" s="55">
        <f t="shared" si="4"/>
        <v>34.630000000000003</v>
      </c>
      <c r="G39" s="56">
        <f>IF(D39=D38,"",_xlfn.IFNA(VLOOKUP(D39,'인원 입력 기능(직탐)'!$A$5:$D$59,4,FALSE),0))</f>
        <v>62</v>
      </c>
      <c r="H39" s="57">
        <f t="shared" si="1"/>
        <v>2.456418383518225E-2</v>
      </c>
      <c r="I39" s="67">
        <f>SUM($G$7:G39)</f>
        <v>1681</v>
      </c>
      <c r="J39" s="59">
        <f t="shared" si="5"/>
        <v>0.66600633914421548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43</v>
      </c>
      <c r="E40" s="68">
        <f t="shared" si="0"/>
        <v>6</v>
      </c>
      <c r="F40" s="55">
        <f t="shared" si="4"/>
        <v>32.53</v>
      </c>
      <c r="G40" s="56">
        <f>IF(D40=D39,"",_xlfn.IFNA(VLOOKUP(D40,'인원 입력 기능(직탐)'!$A$5:$D$59,4,FALSE),0))</f>
        <v>44</v>
      </c>
      <c r="H40" s="57">
        <f t="shared" si="1"/>
        <v>1.7432646592709985E-2</v>
      </c>
      <c r="I40" s="67">
        <f>SUM($G$7:G40)</f>
        <v>1725</v>
      </c>
      <c r="J40" s="59">
        <f t="shared" si="5"/>
        <v>0.68343898573692552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42</v>
      </c>
      <c r="E41" s="68">
        <f t="shared" si="0"/>
        <v>6</v>
      </c>
      <c r="F41" s="55">
        <f t="shared" si="4"/>
        <v>27.04</v>
      </c>
      <c r="G41" s="56">
        <f>IF(D41=D40,"",_xlfn.IFNA(VLOOKUP(D41,'인원 입력 기능(직탐)'!$A$5:$D$59,4,FALSE),0))</f>
        <v>233</v>
      </c>
      <c r="H41" s="57">
        <f t="shared" si="1"/>
        <v>9.2313787638668779E-2</v>
      </c>
      <c r="I41" s="67">
        <f>SUM($G$7:G41)</f>
        <v>1958</v>
      </c>
      <c r="J41" s="59">
        <f t="shared" si="5"/>
        <v>0.77575277337559434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41</v>
      </c>
      <c r="E42" s="68">
        <f t="shared" si="0"/>
        <v>7</v>
      </c>
      <c r="F42" s="55">
        <f t="shared" si="4"/>
        <v>21.43</v>
      </c>
      <c r="G42" s="56">
        <f>IF(D42=D41,"",_xlfn.IFNA(VLOOKUP(D42,'인원 입력 기능(직탐)'!$A$5:$D$59,4,FALSE),0))</f>
        <v>50</v>
      </c>
      <c r="H42" s="57">
        <f t="shared" si="1"/>
        <v>1.9809825673534072E-2</v>
      </c>
      <c r="I42" s="67">
        <f>SUM($G$7:G42)</f>
        <v>2008</v>
      </c>
      <c r="J42" s="59">
        <f t="shared" si="5"/>
        <v>0.7955625990491284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40</v>
      </c>
      <c r="E43" s="68">
        <f t="shared" si="0"/>
        <v>7</v>
      </c>
      <c r="F43" s="55">
        <f t="shared" si="4"/>
        <v>19.43</v>
      </c>
      <c r="G43" s="56">
        <f>IF(D43=D42,"",_xlfn.IFNA(VLOOKUP(D43,'인원 입력 기능(직탐)'!$A$5:$D$59,4,FALSE),0))</f>
        <v>51</v>
      </c>
      <c r="H43" s="57">
        <f t="shared" si="1"/>
        <v>2.0206022187004756E-2</v>
      </c>
      <c r="I43" s="67">
        <f>SUM($G$7:G43)</f>
        <v>2059</v>
      </c>
      <c r="J43" s="59">
        <f t="shared" si="5"/>
        <v>0.81576862123613314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39</v>
      </c>
      <c r="E44" s="68">
        <f t="shared" si="0"/>
        <v>7</v>
      </c>
      <c r="F44" s="55">
        <f t="shared" si="4"/>
        <v>17.649999999999999</v>
      </c>
      <c r="G44" s="56">
        <f>IF(D44=D43,"",_xlfn.IFNA(VLOOKUP(D44,'인원 입력 기능(직탐)'!$A$5:$D$59,4,FALSE),0))</f>
        <v>39</v>
      </c>
      <c r="H44" s="57">
        <f t="shared" si="1"/>
        <v>1.5451664025356577E-2</v>
      </c>
      <c r="I44" s="67">
        <f>SUM($G$7:G44)</f>
        <v>2098</v>
      </c>
      <c r="J44" s="59">
        <f t="shared" si="5"/>
        <v>0.83122028526148972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212">
        <f t="shared" si="3"/>
        <v>38</v>
      </c>
      <c r="E45" s="212">
        <f t="shared" si="0"/>
        <v>7</v>
      </c>
      <c r="F45" s="199">
        <f t="shared" si="4"/>
        <v>14.96</v>
      </c>
      <c r="G45" s="196">
        <f>IF(D45=D44,"",_xlfn.IFNA(VLOOKUP(D45,'인원 입력 기능(직탐)'!$A$5:$D$59,4,FALSE),0))</f>
        <v>97</v>
      </c>
      <c r="H45" s="192">
        <f t="shared" si="1"/>
        <v>3.8431061806656099E-2</v>
      </c>
      <c r="I45" s="189">
        <f>SUM($G$7:G45)</f>
        <v>2195</v>
      </c>
      <c r="J45" s="162">
        <f t="shared" si="5"/>
        <v>0.86965134706814584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211"/>
      <c r="E46" s="211"/>
      <c r="F46" s="198"/>
      <c r="G46" s="195"/>
      <c r="H46" s="194"/>
      <c r="I46" s="191"/>
      <c r="J46" s="188"/>
      <c r="K46" s="36"/>
      <c r="L46" s="20" t="str">
        <f t="shared" si="2"/>
        <v>경고</v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37</v>
      </c>
      <c r="E47" s="68">
        <f t="shared" si="0"/>
        <v>7</v>
      </c>
      <c r="F47" s="55">
        <f t="shared" si="4"/>
        <v>11.43</v>
      </c>
      <c r="G47" s="56">
        <f>IF(D47=D46,"",_xlfn.IFNA(VLOOKUP(D47,'인원 입력 기능(직탐)'!$A$5:$D$59,4,FALSE),0))</f>
        <v>81</v>
      </c>
      <c r="H47" s="57">
        <f t="shared" si="1"/>
        <v>3.2091917591125195E-2</v>
      </c>
      <c r="I47" s="67">
        <f>SUM($G$7:G47)</f>
        <v>2276</v>
      </c>
      <c r="J47" s="59">
        <f t="shared" si="5"/>
        <v>0.90174326465927102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36</v>
      </c>
      <c r="E48" s="68">
        <f t="shared" si="0"/>
        <v>8</v>
      </c>
      <c r="F48" s="55">
        <f t="shared" si="4"/>
        <v>8.66</v>
      </c>
      <c r="G48" s="56">
        <f>IF(D48=D47,"",_xlfn.IFNA(VLOOKUP(D48,'인원 입력 기능(직탐)'!$A$5:$D$59,4,FALSE),0))</f>
        <v>59</v>
      </c>
      <c r="H48" s="57">
        <f t="shared" si="1"/>
        <v>2.3375594294770204E-2</v>
      </c>
      <c r="I48" s="67">
        <f>SUM($G$7:G48)</f>
        <v>2335</v>
      </c>
      <c r="J48" s="59">
        <f t="shared" si="5"/>
        <v>0.92511885895404122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35</v>
      </c>
      <c r="E49" s="68">
        <f t="shared" si="0"/>
        <v>8</v>
      </c>
      <c r="F49" s="55">
        <f t="shared" si="4"/>
        <v>6</v>
      </c>
      <c r="G49" s="56">
        <f>IF(D49=D48,"",_xlfn.IFNA(VLOOKUP(D49,'인원 입력 기능(직탐)'!$A$5:$D$59,4,FALSE),0))</f>
        <v>75</v>
      </c>
      <c r="H49" s="57">
        <f t="shared" si="1"/>
        <v>2.9714738510301108E-2</v>
      </c>
      <c r="I49" s="67">
        <f>SUM($G$7:G49)</f>
        <v>2410</v>
      </c>
      <c r="J49" s="59">
        <f t="shared" si="5"/>
        <v>0.95483359746434227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34</v>
      </c>
      <c r="E50" s="68">
        <f t="shared" si="0"/>
        <v>8</v>
      </c>
      <c r="F50" s="55">
        <f t="shared" si="4"/>
        <v>3.47</v>
      </c>
      <c r="G50" s="56">
        <f>IF(D50=D49,"",_xlfn.IFNA(VLOOKUP(D50,'인원 입력 기능(직탐)'!$A$5:$D$59,4,FALSE),0))</f>
        <v>53</v>
      </c>
      <c r="H50" s="57">
        <f t="shared" si="1"/>
        <v>2.0998415213946117E-2</v>
      </c>
      <c r="I50" s="67">
        <f>SUM($G$7:G50)</f>
        <v>2463</v>
      </c>
      <c r="J50" s="59">
        <f t="shared" si="5"/>
        <v>0.97583201267828845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33</v>
      </c>
      <c r="E51" s="68">
        <f t="shared" si="0"/>
        <v>9</v>
      </c>
      <c r="F51" s="55">
        <f t="shared" si="4"/>
        <v>2.06</v>
      </c>
      <c r="G51" s="56">
        <f>IF(D51=D50,"",_xlfn.IFNA(VLOOKUP(D51,'인원 입력 기능(직탐)'!$A$5:$D$59,4,FALSE),0))</f>
        <v>18</v>
      </c>
      <c r="H51" s="57">
        <f t="shared" si="1"/>
        <v>7.1315372424722665E-3</v>
      </c>
      <c r="I51" s="67">
        <f>SUM($G$7:G51)</f>
        <v>2481</v>
      </c>
      <c r="J51" s="59">
        <f t="shared" si="5"/>
        <v>0.98296354992076074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32</v>
      </c>
      <c r="E52" s="68">
        <f t="shared" si="0"/>
        <v>9</v>
      </c>
      <c r="F52" s="55">
        <f t="shared" si="4"/>
        <v>1.25</v>
      </c>
      <c r="G52" s="56">
        <f>IF(D52=D51,"",_xlfn.IFNA(VLOOKUP(D52,'인원 입력 기능(직탐)'!$A$5:$D$59,4,FALSE),0))</f>
        <v>23</v>
      </c>
      <c r="H52" s="57">
        <f t="shared" si="1"/>
        <v>9.112519809825673E-3</v>
      </c>
      <c r="I52" s="67">
        <f>SUM($G$7:G52)</f>
        <v>2504</v>
      </c>
      <c r="J52" s="59">
        <f t="shared" si="5"/>
        <v>0.99207606973058637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202">
        <f t="shared" si="3"/>
        <v>31</v>
      </c>
      <c r="E53" s="202">
        <f t="shared" si="0"/>
        <v>9</v>
      </c>
      <c r="F53" s="199">
        <f t="shared" si="4"/>
        <v>0.53</v>
      </c>
      <c r="G53" s="196">
        <f>IF(D53=D52,"",_xlfn.IFNA(VLOOKUP(D53,'인원 입력 기능(직탐)'!$A$5:$D$59,4,FALSE),0))</f>
        <v>13</v>
      </c>
      <c r="H53" s="192">
        <f t="shared" si="1"/>
        <v>5.1505546751188592E-3</v>
      </c>
      <c r="I53" s="189">
        <f>SUM($G$7:G53)</f>
        <v>2517</v>
      </c>
      <c r="J53" s="162">
        <f t="shared" si="5"/>
        <v>0.9972266244057052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201"/>
      <c r="E54" s="201"/>
      <c r="F54" s="198"/>
      <c r="G54" s="195"/>
      <c r="H54" s="194"/>
      <c r="I54" s="191"/>
      <c r="J54" s="188"/>
      <c r="K54" s="36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30</v>
      </c>
      <c r="E55" s="54">
        <f t="shared" si="0"/>
        <v>9</v>
      </c>
      <c r="F55" s="55">
        <f t="shared" si="4"/>
        <v>0.2</v>
      </c>
      <c r="G55" s="56">
        <f>IF(D55=D54,"",_xlfn.IFNA(VLOOKUP(D55,'인원 입력 기능(직탐)'!$A$5:$D$59,4,FALSE),0))</f>
        <v>4</v>
      </c>
      <c r="H55" s="57">
        <f t="shared" si="1"/>
        <v>1.5847860538827259E-3</v>
      </c>
      <c r="I55" s="67">
        <f>SUM($G$7:G55)</f>
        <v>2521</v>
      </c>
      <c r="J55" s="59">
        <f t="shared" si="5"/>
        <v>0.99881141045958799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28</v>
      </c>
      <c r="E57" s="109">
        <f t="shared" si="0"/>
        <v>9</v>
      </c>
      <c r="F57" s="74">
        <f>IF(I55=0,ROUND(100*(1-(I54+I57)/2/$J$3),2),ROUND(100*(1-(I55+I57)/2/$J$3),2))</f>
        <v>0.06</v>
      </c>
      <c r="G57" s="110">
        <f>_xlfn.IFNA(VLOOKUP(D57,'인원 입력 기능(직탐)'!$A$5:$D$59,4,FALSE),0)</f>
        <v>3</v>
      </c>
      <c r="H57" s="76">
        <f>G57/$J$3</f>
        <v>1.1885895404120444E-3</v>
      </c>
      <c r="I57" s="77">
        <f>SUM($G$7:G57)</f>
        <v>2524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4">
    <mergeCell ref="I45:I46"/>
    <mergeCell ref="J45:J46"/>
    <mergeCell ref="D53:D54"/>
    <mergeCell ref="E53:E54"/>
    <mergeCell ref="F53:F54"/>
    <mergeCell ref="G53:G54"/>
    <mergeCell ref="H53:H54"/>
    <mergeCell ref="I53:I54"/>
    <mergeCell ref="J53:J54"/>
    <mergeCell ref="D45:D46"/>
    <mergeCell ref="E45:E46"/>
    <mergeCell ref="F45:F46"/>
    <mergeCell ref="G45:G46"/>
    <mergeCell ref="H45:H46"/>
    <mergeCell ref="I29:I30"/>
    <mergeCell ref="J29:J30"/>
    <mergeCell ref="D37:D38"/>
    <mergeCell ref="E37:E38"/>
    <mergeCell ref="F37:F38"/>
    <mergeCell ref="G37:G38"/>
    <mergeCell ref="H37:H38"/>
    <mergeCell ref="I37:I38"/>
    <mergeCell ref="J37:J38"/>
    <mergeCell ref="D29:D30"/>
    <mergeCell ref="E29:E30"/>
    <mergeCell ref="F29:F30"/>
    <mergeCell ref="G29:G30"/>
    <mergeCell ref="H29:H30"/>
    <mergeCell ref="G13:G14"/>
    <mergeCell ref="H13:H14"/>
    <mergeCell ref="I13:I14"/>
    <mergeCell ref="J13:J14"/>
    <mergeCell ref="D21:D22"/>
    <mergeCell ref="E21:E22"/>
    <mergeCell ref="F21:F22"/>
    <mergeCell ref="G21:G22"/>
    <mergeCell ref="H21:H22"/>
    <mergeCell ref="I21:I22"/>
    <mergeCell ref="J21:J22"/>
    <mergeCell ref="D3:F3"/>
    <mergeCell ref="D4:F4"/>
    <mergeCell ref="D13:D14"/>
    <mergeCell ref="E13:E14"/>
    <mergeCell ref="F13:F14"/>
  </mergeCells>
  <phoneticPr fontId="1" type="noConversion"/>
  <conditionalFormatting sqref="D7:J13 D15:J21 D23:J29 D31:J37 D39:J45 D47:J53 D55:J57">
    <cfRule type="expression" dxfId="22" priority="3">
      <formula>OR($D7=$Q$7:$Q$14)</formula>
    </cfRule>
  </conditionalFormatting>
  <conditionalFormatting sqref="C7:C57">
    <cfRule type="expression" dxfId="21" priority="2">
      <formula>OR(AND($D7=0,OR($D6=$Q$7:$Q$14)),AND($D8&gt;0,OR($D7=$Q$7:$Q$14)))</formula>
    </cfRule>
  </conditionalFormatting>
  <conditionalFormatting sqref="D7:D13 D15:D21 D23:D29 D31:D37 D39:D45 D47:D53 D55:D57">
    <cfRule type="expression" dxfId="20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979AD-C31C-4A6E-A31F-C4A8A4FC8937}">
  <sheetPr codeName="Sheet24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기능'!D22</f>
        <v>14.03</v>
      </c>
      <c r="I3" s="21" t="s">
        <v>124</v>
      </c>
      <c r="J3" s="81">
        <f>'통계 및 응시자 수 입력 기능'!C22</f>
        <v>445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142</v>
      </c>
      <c r="E4" s="153"/>
      <c r="F4" s="154"/>
      <c r="G4" s="83" t="s">
        <v>127</v>
      </c>
      <c r="H4" s="84" t="str">
        <f>'통계 및 응시자 수 입력 기능'!E22</f>
        <v xml:space="preserve"> 6.41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v>100</v>
      </c>
      <c r="E7" s="54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100</v>
      </c>
      <c r="G7" s="56">
        <f>_xlfn.IFNA(VLOOKUP(D7,'인원 입력 기능(직탐)'!$F$5:$I$59,4,FALSE),0)</f>
        <v>0</v>
      </c>
      <c r="H7" s="57">
        <f>G7/$J$3</f>
        <v>0</v>
      </c>
      <c r="I7" s="58">
        <f>G7</f>
        <v>0</v>
      </c>
      <c r="J7" s="59">
        <f>I7/$J$3</f>
        <v>0</v>
      </c>
      <c r="K7" s="36"/>
      <c r="L7" s="20" t="str">
        <f>IF(ABS((C7-$H$3)/$H$4*10+50-D7)&gt;0.49, "경고", "")</f>
        <v>경고</v>
      </c>
      <c r="N7" s="24"/>
      <c r="P7" s="24">
        <v>1</v>
      </c>
      <c r="Q7" s="24">
        <f>'표점등급&amp;절평인원 입력 기능'!C166</f>
        <v>69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기능'!C167</f>
        <v>64</v>
      </c>
    </row>
    <row r="9" spans="1:17" s="22" customFormat="1" ht="25" customHeight="1" x14ac:dyDescent="0.45">
      <c r="A9" s="20"/>
      <c r="B9" s="35"/>
      <c r="C9" s="53">
        <v>48</v>
      </c>
      <c r="D9" s="202">
        <v>100</v>
      </c>
      <c r="E9" s="202">
        <f t="shared" si="0"/>
        <v>1</v>
      </c>
      <c r="F9" s="199">
        <f>IF(I8=0,ROUND(100*(1-(I7+I9)/2/$J$3),2),ROUND(100*(1-(I8+I9)/2/$J$3),2))</f>
        <v>100</v>
      </c>
      <c r="G9" s="196">
        <f>_xlfn.IFNA(VLOOKUP(D9,'인원 입력 기능(직탐)'!$F$5:$I$59,4,FALSE),0)</f>
        <v>0</v>
      </c>
      <c r="H9" s="192">
        <f t="shared" ref="H9:H55" si="1">G9/$J$3</f>
        <v>0</v>
      </c>
      <c r="I9" s="189">
        <f>SUM($G$7:G9)</f>
        <v>0</v>
      </c>
      <c r="J9" s="162">
        <f>I9/$J$3</f>
        <v>0</v>
      </c>
      <c r="K9" s="36"/>
      <c r="L9" s="20" t="str">
        <f t="shared" ref="L9:L57" si="2">IF(ABS((C9-$H$3)/$H$4*10+50-D9)&gt;0.49, "경고", "")</f>
        <v>경고</v>
      </c>
      <c r="N9" s="24"/>
      <c r="P9" s="24">
        <v>3</v>
      </c>
      <c r="Q9" s="24">
        <f>'표점등급&amp;절평인원 입력 기능'!C168</f>
        <v>58</v>
      </c>
    </row>
    <row r="10" spans="1:17" s="22" customFormat="1" ht="25" customHeight="1" x14ac:dyDescent="0.45">
      <c r="A10" s="20"/>
      <c r="B10" s="35"/>
      <c r="C10" s="60">
        <v>47</v>
      </c>
      <c r="D10" s="203"/>
      <c r="E10" s="203"/>
      <c r="F10" s="200"/>
      <c r="G10" s="197"/>
      <c r="H10" s="193"/>
      <c r="I10" s="190"/>
      <c r="J10" s="187"/>
      <c r="K10" s="36"/>
      <c r="L10" s="20" t="str">
        <f t="shared" si="2"/>
        <v>경고</v>
      </c>
      <c r="N10" s="24"/>
      <c r="P10" s="24">
        <v>4</v>
      </c>
      <c r="Q10" s="24">
        <f>'표점등급&amp;절평인원 입력 기능'!C169</f>
        <v>50</v>
      </c>
    </row>
    <row r="11" spans="1:17" s="22" customFormat="1" ht="25" customHeight="1" x14ac:dyDescent="0.45">
      <c r="A11" s="20"/>
      <c r="B11" s="35"/>
      <c r="C11" s="53">
        <v>46</v>
      </c>
      <c r="D11" s="201"/>
      <c r="E11" s="201"/>
      <c r="F11" s="198"/>
      <c r="G11" s="195"/>
      <c r="H11" s="194"/>
      <c r="I11" s="191"/>
      <c r="J11" s="188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기능'!C170</f>
        <v>47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ref="D10:D55" si="3">ROUND(10*(C12-$H$3)/$H$4+50,0)</f>
        <v>98</v>
      </c>
      <c r="E12" s="54">
        <f t="shared" si="0"/>
        <v>1</v>
      </c>
      <c r="F12" s="55">
        <f t="shared" ref="F10:F55" si="4">IF(I11=0,ROUND(100*(1-(I10+I12)/2/$J$3),2),ROUND(100*(1-(I11+I12)/2/$J$3),2))</f>
        <v>100</v>
      </c>
      <c r="G12" s="56">
        <f>IF(D12=D11,"",_xlfn.IFNA(VLOOKUP(D12,'인원 입력 기능(직탐)'!$F$5:$I$59,4,FALSE),0))</f>
        <v>0</v>
      </c>
      <c r="H12" s="57">
        <f t="shared" si="1"/>
        <v>0</v>
      </c>
      <c r="I12" s="67">
        <f>SUM($G$7:G12)</f>
        <v>0</v>
      </c>
      <c r="J12" s="59">
        <f t="shared" ref="J10:J55" si="5">I12/$J$3</f>
        <v>0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기능'!C171</f>
        <v>42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97</v>
      </c>
      <c r="E13" s="54">
        <f t="shared" si="0"/>
        <v>1</v>
      </c>
      <c r="F13" s="55">
        <f t="shared" si="4"/>
        <v>100</v>
      </c>
      <c r="G13" s="56">
        <f>IF(D13=D12,"",_xlfn.IFNA(VLOOKUP(D13,'인원 입력 기능(직탐)'!$F$5:$I$59,4,FALSE),0))</f>
        <v>0</v>
      </c>
      <c r="H13" s="57">
        <f t="shared" si="1"/>
        <v>0</v>
      </c>
      <c r="I13" s="67">
        <f>SUM($G$7:G13)</f>
        <v>0</v>
      </c>
      <c r="J13" s="59">
        <f t="shared" si="5"/>
        <v>0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기능'!C172</f>
        <v>39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95</v>
      </c>
      <c r="E14" s="54">
        <f t="shared" si="0"/>
        <v>1</v>
      </c>
      <c r="F14" s="55">
        <f t="shared" si="4"/>
        <v>100</v>
      </c>
      <c r="G14" s="56">
        <f>IF(D14=D13,"",_xlfn.IFNA(VLOOKUP(D14,'인원 입력 기능(직탐)'!$F$5:$I$59,4,FALSE),0))</f>
        <v>0</v>
      </c>
      <c r="H14" s="57">
        <f t="shared" si="1"/>
        <v>0</v>
      </c>
      <c r="I14" s="67">
        <f>SUM($G$7:G14)</f>
        <v>0</v>
      </c>
      <c r="J14" s="59">
        <f t="shared" si="5"/>
        <v>0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기능'!C173</f>
        <v>36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94</v>
      </c>
      <c r="E15" s="54">
        <f t="shared" si="0"/>
        <v>1</v>
      </c>
      <c r="F15" s="55">
        <f t="shared" si="4"/>
        <v>100</v>
      </c>
      <c r="G15" s="56">
        <f>IF(D15=D14,"",_xlfn.IFNA(VLOOKUP(D15,'인원 입력 기능(직탐)'!$F$5:$I$59,4,FALSE),0))</f>
        <v>0</v>
      </c>
      <c r="H15" s="57">
        <f t="shared" si="1"/>
        <v>0</v>
      </c>
      <c r="I15" s="67">
        <f>SUM($G$7:G15)</f>
        <v>0</v>
      </c>
      <c r="J15" s="59">
        <f t="shared" si="5"/>
        <v>0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92</v>
      </c>
      <c r="E16" s="54">
        <f t="shared" si="0"/>
        <v>1</v>
      </c>
      <c r="F16" s="55">
        <f t="shared" si="4"/>
        <v>100</v>
      </c>
      <c r="G16" s="56">
        <f>IF(D16=D15,"",_xlfn.IFNA(VLOOKUP(D16,'인원 입력 기능(직탐)'!$F$5:$I$59,4,FALSE),0))</f>
        <v>0</v>
      </c>
      <c r="H16" s="57">
        <f t="shared" si="1"/>
        <v>0</v>
      </c>
      <c r="I16" s="67">
        <f>SUM($G$7:G16)</f>
        <v>0</v>
      </c>
      <c r="J16" s="59">
        <f t="shared" si="5"/>
        <v>0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91</v>
      </c>
      <c r="E17" s="54">
        <f t="shared" si="0"/>
        <v>1</v>
      </c>
      <c r="F17" s="55">
        <f t="shared" si="4"/>
        <v>100</v>
      </c>
      <c r="G17" s="56">
        <f>IF(D17=D16,"",_xlfn.IFNA(VLOOKUP(D17,'인원 입력 기능(직탐)'!$F$5:$I$59,4,FALSE),0))</f>
        <v>0</v>
      </c>
      <c r="H17" s="57">
        <f t="shared" si="1"/>
        <v>0</v>
      </c>
      <c r="I17" s="67">
        <f>SUM($G$7:G17)</f>
        <v>0</v>
      </c>
      <c r="J17" s="59">
        <f t="shared" si="5"/>
        <v>0</v>
      </c>
      <c r="K17" s="36"/>
      <c r="L17" s="20" t="str">
        <f t="shared" si="2"/>
        <v/>
      </c>
      <c r="N17" s="24"/>
      <c r="Q17" s="24">
        <f>Q7*H3*H4*J3*IFERROR(IF(J57=1, 1, 0), 0)</f>
        <v>2761371.2714999998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89</v>
      </c>
      <c r="E18" s="54">
        <f t="shared" si="0"/>
        <v>1</v>
      </c>
      <c r="F18" s="55">
        <f t="shared" si="4"/>
        <v>99.89</v>
      </c>
      <c r="G18" s="56">
        <f>IF(D18=D17,"",_xlfn.IFNA(VLOOKUP(D18,'인원 입력 기능(직탐)'!$F$5:$I$59,4,FALSE),0))</f>
        <v>1</v>
      </c>
      <c r="H18" s="57">
        <f t="shared" si="1"/>
        <v>2.2471910112359553E-3</v>
      </c>
      <c r="I18" s="67">
        <f>SUM($G$7:G18)</f>
        <v>1</v>
      </c>
      <c r="J18" s="59">
        <f t="shared" si="5"/>
        <v>2.2471910112359553E-3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87</v>
      </c>
      <c r="E19" s="54">
        <f t="shared" si="0"/>
        <v>1</v>
      </c>
      <c r="F19" s="55">
        <f t="shared" si="4"/>
        <v>99.66</v>
      </c>
      <c r="G19" s="56">
        <f>IF(D19=D18,"",_xlfn.IFNA(VLOOKUP(D19,'인원 입력 기능(직탐)'!$F$5:$I$59,4,FALSE),0))</f>
        <v>1</v>
      </c>
      <c r="H19" s="57">
        <f t="shared" si="1"/>
        <v>2.2471910112359553E-3</v>
      </c>
      <c r="I19" s="67">
        <f>SUM($G$7:G19)</f>
        <v>2</v>
      </c>
      <c r="J19" s="59">
        <f t="shared" si="5"/>
        <v>4.4943820224719105E-3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86</v>
      </c>
      <c r="E20" s="54">
        <f t="shared" si="0"/>
        <v>1</v>
      </c>
      <c r="F20" s="55">
        <f t="shared" si="4"/>
        <v>99.44</v>
      </c>
      <c r="G20" s="56">
        <f>IF(D20=D19,"",_xlfn.IFNA(VLOOKUP(D20,'인원 입력 기능(직탐)'!$F$5:$I$59,4,FALSE),0))</f>
        <v>1</v>
      </c>
      <c r="H20" s="57">
        <f t="shared" si="1"/>
        <v>2.2471910112359553E-3</v>
      </c>
      <c r="I20" s="67">
        <f>SUM($G$7:G20)</f>
        <v>3</v>
      </c>
      <c r="J20" s="59">
        <f t="shared" si="5"/>
        <v>6.7415730337078653E-3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84</v>
      </c>
      <c r="E21" s="68">
        <f t="shared" si="0"/>
        <v>1</v>
      </c>
      <c r="F21" s="55">
        <f t="shared" si="4"/>
        <v>99.21</v>
      </c>
      <c r="G21" s="56">
        <f>IF(D21=D20,"",_xlfn.IFNA(VLOOKUP(D21,'인원 입력 기능(직탐)'!$F$5:$I$59,4,FALSE),0))</f>
        <v>1</v>
      </c>
      <c r="H21" s="57">
        <f t="shared" si="1"/>
        <v>2.2471910112359553E-3</v>
      </c>
      <c r="I21" s="67">
        <f>SUM($G$7:G21)</f>
        <v>4</v>
      </c>
      <c r="J21" s="59">
        <f t="shared" si="5"/>
        <v>8.988764044943821E-3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83</v>
      </c>
      <c r="E22" s="68">
        <f t="shared" si="0"/>
        <v>1</v>
      </c>
      <c r="F22" s="55">
        <f t="shared" si="4"/>
        <v>99.1</v>
      </c>
      <c r="G22" s="56">
        <f>IF(D22=D21,"",_xlfn.IFNA(VLOOKUP(D22,'인원 입력 기능(직탐)'!$F$5:$I$59,4,FALSE),0))</f>
        <v>0</v>
      </c>
      <c r="H22" s="57">
        <f t="shared" si="1"/>
        <v>0</v>
      </c>
      <c r="I22" s="67">
        <f>SUM($G$7:G22)</f>
        <v>4</v>
      </c>
      <c r="J22" s="59">
        <f t="shared" si="5"/>
        <v>8.988764044943821E-3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81</v>
      </c>
      <c r="E23" s="68">
        <f t="shared" si="0"/>
        <v>1</v>
      </c>
      <c r="F23" s="55">
        <f t="shared" si="4"/>
        <v>98.99</v>
      </c>
      <c r="G23" s="56">
        <f>IF(D23=D22,"",_xlfn.IFNA(VLOOKUP(D23,'인원 입력 기능(직탐)'!$F$5:$I$59,4,FALSE),0))</f>
        <v>1</v>
      </c>
      <c r="H23" s="57">
        <f t="shared" si="1"/>
        <v>2.2471910112359553E-3</v>
      </c>
      <c r="I23" s="67">
        <f>SUM($G$7:G23)</f>
        <v>5</v>
      </c>
      <c r="J23" s="59">
        <f t="shared" si="5"/>
        <v>1.1235955056179775E-2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80</v>
      </c>
      <c r="E24" s="68">
        <f t="shared" si="0"/>
        <v>1</v>
      </c>
      <c r="F24" s="55">
        <f t="shared" si="4"/>
        <v>98.88</v>
      </c>
      <c r="G24" s="56">
        <f>IF(D24=D23,"",_xlfn.IFNA(VLOOKUP(D24,'인원 입력 기능(직탐)'!$F$5:$I$59,4,FALSE),0))</f>
        <v>0</v>
      </c>
      <c r="H24" s="57">
        <f t="shared" si="1"/>
        <v>0</v>
      </c>
      <c r="I24" s="67">
        <f>SUM($G$7:G24)</f>
        <v>5</v>
      </c>
      <c r="J24" s="59">
        <f t="shared" si="5"/>
        <v>1.1235955056179775E-2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78</v>
      </c>
      <c r="E25" s="68">
        <f t="shared" si="0"/>
        <v>1</v>
      </c>
      <c r="F25" s="55">
        <f t="shared" si="4"/>
        <v>98.76</v>
      </c>
      <c r="G25" s="56">
        <f>IF(D25=D24,"",_xlfn.IFNA(VLOOKUP(D25,'인원 입력 기능(직탐)'!$F$5:$I$59,4,FALSE),0))</f>
        <v>1</v>
      </c>
      <c r="H25" s="57">
        <f t="shared" si="1"/>
        <v>2.2471910112359553E-3</v>
      </c>
      <c r="I25" s="67">
        <f>SUM($G$7:G25)</f>
        <v>6</v>
      </c>
      <c r="J25" s="59">
        <f t="shared" si="5"/>
        <v>1.3483146067415731E-2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76</v>
      </c>
      <c r="E26" s="68">
        <f t="shared" si="0"/>
        <v>1</v>
      </c>
      <c r="F26" s="55">
        <f t="shared" si="4"/>
        <v>98.54</v>
      </c>
      <c r="G26" s="56">
        <f>IF(D26=D25,"",_xlfn.IFNA(VLOOKUP(D26,'인원 입력 기능(직탐)'!$F$5:$I$59,4,FALSE),0))</f>
        <v>1</v>
      </c>
      <c r="H26" s="57">
        <f t="shared" si="1"/>
        <v>2.2471910112359553E-3</v>
      </c>
      <c r="I26" s="67">
        <f>SUM($G$7:G26)</f>
        <v>7</v>
      </c>
      <c r="J26" s="59">
        <f t="shared" si="5"/>
        <v>1.5730337078651686E-2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75</v>
      </c>
      <c r="E27" s="68">
        <f t="shared" si="0"/>
        <v>1</v>
      </c>
      <c r="F27" s="55">
        <f t="shared" si="4"/>
        <v>98.31</v>
      </c>
      <c r="G27" s="56">
        <f>IF(D27=D26,"",_xlfn.IFNA(VLOOKUP(D27,'인원 입력 기능(직탐)'!$F$5:$I$59,4,FALSE),0))</f>
        <v>1</v>
      </c>
      <c r="H27" s="57">
        <f t="shared" si="1"/>
        <v>2.2471910112359553E-3</v>
      </c>
      <c r="I27" s="67">
        <f>SUM($G$7:G27)</f>
        <v>8</v>
      </c>
      <c r="J27" s="59">
        <f t="shared" si="5"/>
        <v>1.7977528089887642E-2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73</v>
      </c>
      <c r="E28" s="68">
        <f t="shared" si="0"/>
        <v>1</v>
      </c>
      <c r="F28" s="55">
        <f t="shared" si="4"/>
        <v>98.2</v>
      </c>
      <c r="G28" s="56">
        <f>IF(D28=D27,"",_xlfn.IFNA(VLOOKUP(D28,'인원 입력 기능(직탐)'!$F$5:$I$59,4,FALSE),0))</f>
        <v>0</v>
      </c>
      <c r="H28" s="57">
        <f t="shared" si="1"/>
        <v>0</v>
      </c>
      <c r="I28" s="67">
        <f>SUM($G$7:G28)</f>
        <v>8</v>
      </c>
      <c r="J28" s="59">
        <f t="shared" si="5"/>
        <v>1.7977528089887642E-2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72</v>
      </c>
      <c r="E29" s="68">
        <f t="shared" si="0"/>
        <v>1</v>
      </c>
      <c r="F29" s="55">
        <f t="shared" si="4"/>
        <v>97.64</v>
      </c>
      <c r="G29" s="56">
        <f>IF(D29=D28,"",_xlfn.IFNA(VLOOKUP(D29,'인원 입력 기능(직탐)'!$F$5:$I$59,4,FALSE),0))</f>
        <v>5</v>
      </c>
      <c r="H29" s="57">
        <f t="shared" si="1"/>
        <v>1.1235955056179775E-2</v>
      </c>
      <c r="I29" s="67">
        <f>SUM($G$7:G29)</f>
        <v>13</v>
      </c>
      <c r="J29" s="59">
        <f t="shared" si="5"/>
        <v>2.9213483146067417E-2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70</v>
      </c>
      <c r="E30" s="68">
        <f t="shared" si="0"/>
        <v>1</v>
      </c>
      <c r="F30" s="55">
        <f t="shared" si="4"/>
        <v>96.63</v>
      </c>
      <c r="G30" s="56">
        <f>IF(D30=D29,"",_xlfn.IFNA(VLOOKUP(D30,'인원 입력 기능(직탐)'!$F$5:$I$59,4,FALSE),0))</f>
        <v>4</v>
      </c>
      <c r="H30" s="57">
        <f t="shared" si="1"/>
        <v>8.988764044943821E-3</v>
      </c>
      <c r="I30" s="67">
        <f>SUM($G$7:G30)</f>
        <v>17</v>
      </c>
      <c r="J30" s="59">
        <f t="shared" si="5"/>
        <v>3.8202247191011236E-2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69</v>
      </c>
      <c r="E31" s="68">
        <f t="shared" si="0"/>
        <v>1</v>
      </c>
      <c r="F31" s="55">
        <f t="shared" si="4"/>
        <v>95.73</v>
      </c>
      <c r="G31" s="56">
        <f>IF(D31=D30,"",_xlfn.IFNA(VLOOKUP(D31,'인원 입력 기능(직탐)'!$F$5:$I$59,4,FALSE),0))</f>
        <v>4</v>
      </c>
      <c r="H31" s="57">
        <f t="shared" si="1"/>
        <v>8.988764044943821E-3</v>
      </c>
      <c r="I31" s="67">
        <f>SUM($G$7:G31)</f>
        <v>21</v>
      </c>
      <c r="J31" s="59">
        <f t="shared" si="5"/>
        <v>4.7191011235955059E-2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67</v>
      </c>
      <c r="E32" s="68">
        <f t="shared" si="0"/>
        <v>2</v>
      </c>
      <c r="F32" s="55">
        <f t="shared" si="4"/>
        <v>94.72</v>
      </c>
      <c r="G32" s="56">
        <f>IF(D32=D31,"",_xlfn.IFNA(VLOOKUP(D32,'인원 입력 기능(직탐)'!$F$5:$I$59,4,FALSE),0))</f>
        <v>5</v>
      </c>
      <c r="H32" s="57">
        <f t="shared" si="1"/>
        <v>1.1235955056179775E-2</v>
      </c>
      <c r="I32" s="67">
        <f>SUM($G$7:G32)</f>
        <v>26</v>
      </c>
      <c r="J32" s="59">
        <f t="shared" si="5"/>
        <v>5.8426966292134834E-2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66</v>
      </c>
      <c r="E33" s="68">
        <f t="shared" si="0"/>
        <v>2</v>
      </c>
      <c r="F33" s="55">
        <f t="shared" si="4"/>
        <v>93.03</v>
      </c>
      <c r="G33" s="56">
        <f>IF(D33=D32,"",_xlfn.IFNA(VLOOKUP(D33,'인원 입력 기능(직탐)'!$F$5:$I$59,4,FALSE),0))</f>
        <v>10</v>
      </c>
      <c r="H33" s="57">
        <f t="shared" si="1"/>
        <v>2.247191011235955E-2</v>
      </c>
      <c r="I33" s="67">
        <f>SUM($G$7:G33)</f>
        <v>36</v>
      </c>
      <c r="J33" s="59">
        <f t="shared" si="5"/>
        <v>8.0898876404494377E-2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64</v>
      </c>
      <c r="E34" s="68">
        <f t="shared" si="0"/>
        <v>2</v>
      </c>
      <c r="F34" s="55">
        <f t="shared" si="4"/>
        <v>90.11</v>
      </c>
      <c r="G34" s="56">
        <f>IF(D34=D33,"",_xlfn.IFNA(VLOOKUP(D34,'인원 입력 기능(직탐)'!$F$5:$I$59,4,FALSE),0))</f>
        <v>16</v>
      </c>
      <c r="H34" s="57">
        <f t="shared" si="1"/>
        <v>3.5955056179775284E-2</v>
      </c>
      <c r="I34" s="67">
        <f>SUM($G$7:G34)</f>
        <v>52</v>
      </c>
      <c r="J34" s="59">
        <f t="shared" si="5"/>
        <v>0.11685393258426967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62</v>
      </c>
      <c r="E35" s="68">
        <f t="shared" si="0"/>
        <v>3</v>
      </c>
      <c r="F35" s="55">
        <f t="shared" si="4"/>
        <v>86.63</v>
      </c>
      <c r="G35" s="56">
        <f>IF(D35=D34,"",_xlfn.IFNA(VLOOKUP(D35,'인원 입력 기능(직탐)'!$F$5:$I$59,4,FALSE),0))</f>
        <v>15</v>
      </c>
      <c r="H35" s="57">
        <f t="shared" si="1"/>
        <v>3.3707865168539325E-2</v>
      </c>
      <c r="I35" s="67">
        <f>SUM($G$7:G35)</f>
        <v>67</v>
      </c>
      <c r="J35" s="59">
        <f t="shared" si="5"/>
        <v>0.15056179775280898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61</v>
      </c>
      <c r="E36" s="68">
        <f t="shared" si="0"/>
        <v>3</v>
      </c>
      <c r="F36" s="55">
        <f t="shared" si="4"/>
        <v>83.82</v>
      </c>
      <c r="G36" s="56">
        <f>IF(D36=D35,"",_xlfn.IFNA(VLOOKUP(D36,'인원 입력 기능(직탐)'!$F$5:$I$59,4,FALSE),0))</f>
        <v>10</v>
      </c>
      <c r="H36" s="57">
        <f t="shared" si="1"/>
        <v>2.247191011235955E-2</v>
      </c>
      <c r="I36" s="67">
        <f>SUM($G$7:G36)</f>
        <v>77</v>
      </c>
      <c r="J36" s="59">
        <f t="shared" si="5"/>
        <v>0.17303370786516853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59</v>
      </c>
      <c r="E37" s="68">
        <f t="shared" si="0"/>
        <v>3</v>
      </c>
      <c r="F37" s="55">
        <f t="shared" si="4"/>
        <v>82.02</v>
      </c>
      <c r="G37" s="56">
        <f>IF(D37=D36,"",_xlfn.IFNA(VLOOKUP(D37,'인원 입력 기능(직탐)'!$F$5:$I$59,4,FALSE),0))</f>
        <v>6</v>
      </c>
      <c r="H37" s="57">
        <f t="shared" si="1"/>
        <v>1.3483146067415731E-2</v>
      </c>
      <c r="I37" s="67">
        <f>SUM($G$7:G37)</f>
        <v>83</v>
      </c>
      <c r="J37" s="59">
        <f t="shared" si="5"/>
        <v>0.18651685393258427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58</v>
      </c>
      <c r="E38" s="68">
        <f t="shared" si="0"/>
        <v>3</v>
      </c>
      <c r="F38" s="55">
        <f t="shared" si="4"/>
        <v>78.430000000000007</v>
      </c>
      <c r="G38" s="56">
        <f>IF(D38=D37,"",_xlfn.IFNA(VLOOKUP(D38,'인원 입력 기능(직탐)'!$F$5:$I$59,4,FALSE),0))</f>
        <v>26</v>
      </c>
      <c r="H38" s="57">
        <f t="shared" si="1"/>
        <v>5.8426966292134834E-2</v>
      </c>
      <c r="I38" s="67">
        <f>SUM($G$7:G38)</f>
        <v>109</v>
      </c>
      <c r="J38" s="59">
        <f t="shared" si="5"/>
        <v>0.24494382022471911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56</v>
      </c>
      <c r="E39" s="68">
        <f t="shared" si="0"/>
        <v>4</v>
      </c>
      <c r="F39" s="55">
        <f t="shared" si="4"/>
        <v>73.819999999999993</v>
      </c>
      <c r="G39" s="56">
        <f>IF(D39=D38,"",_xlfn.IFNA(VLOOKUP(D39,'인원 입력 기능(직탐)'!$F$5:$I$59,4,FALSE),0))</f>
        <v>15</v>
      </c>
      <c r="H39" s="57">
        <f t="shared" si="1"/>
        <v>3.3707865168539325E-2</v>
      </c>
      <c r="I39" s="67">
        <f>SUM($G$7:G39)</f>
        <v>124</v>
      </c>
      <c r="J39" s="59">
        <f t="shared" si="5"/>
        <v>0.27865168539325841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55</v>
      </c>
      <c r="E40" s="68">
        <f t="shared" si="0"/>
        <v>4</v>
      </c>
      <c r="F40" s="55">
        <f t="shared" si="4"/>
        <v>71.239999999999995</v>
      </c>
      <c r="G40" s="56">
        <f>IF(D40=D39,"",_xlfn.IFNA(VLOOKUP(D40,'인원 입력 기능(직탐)'!$F$5:$I$59,4,FALSE),0))</f>
        <v>8</v>
      </c>
      <c r="H40" s="57">
        <f t="shared" si="1"/>
        <v>1.7977528089887642E-2</v>
      </c>
      <c r="I40" s="67">
        <f>SUM($G$7:G40)</f>
        <v>132</v>
      </c>
      <c r="J40" s="59">
        <f t="shared" si="5"/>
        <v>0.29662921348314608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53</v>
      </c>
      <c r="E41" s="68">
        <f t="shared" si="0"/>
        <v>4</v>
      </c>
      <c r="F41" s="55">
        <f t="shared" si="4"/>
        <v>68.430000000000007</v>
      </c>
      <c r="G41" s="56">
        <f>IF(D41=D40,"",_xlfn.IFNA(VLOOKUP(D41,'인원 입력 기능(직탐)'!$F$5:$I$59,4,FALSE),0))</f>
        <v>17</v>
      </c>
      <c r="H41" s="57">
        <f t="shared" si="1"/>
        <v>3.8202247191011236E-2</v>
      </c>
      <c r="I41" s="67">
        <f>SUM($G$7:G41)</f>
        <v>149</v>
      </c>
      <c r="J41" s="59">
        <f t="shared" si="5"/>
        <v>0.33483146067415731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52</v>
      </c>
      <c r="E42" s="68">
        <f t="shared" si="0"/>
        <v>4</v>
      </c>
      <c r="F42" s="55">
        <f t="shared" si="4"/>
        <v>65.28</v>
      </c>
      <c r="G42" s="56">
        <f>IF(D42=D41,"",_xlfn.IFNA(VLOOKUP(D42,'인원 입력 기능(직탐)'!$F$5:$I$59,4,FALSE),0))</f>
        <v>11</v>
      </c>
      <c r="H42" s="57">
        <f t="shared" si="1"/>
        <v>2.4719101123595506E-2</v>
      </c>
      <c r="I42" s="67">
        <f>SUM($G$7:G42)</f>
        <v>160</v>
      </c>
      <c r="J42" s="59">
        <f t="shared" si="5"/>
        <v>0.3595505617977528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50</v>
      </c>
      <c r="E43" s="68">
        <f t="shared" si="0"/>
        <v>4</v>
      </c>
      <c r="F43" s="55">
        <f t="shared" si="4"/>
        <v>61.24</v>
      </c>
      <c r="G43" s="56">
        <f>IF(D43=D42,"",_xlfn.IFNA(VLOOKUP(D43,'인원 입력 기능(직탐)'!$F$5:$I$59,4,FALSE),0))</f>
        <v>25</v>
      </c>
      <c r="H43" s="57">
        <f t="shared" si="1"/>
        <v>5.6179775280898875E-2</v>
      </c>
      <c r="I43" s="67">
        <f>SUM($G$7:G43)</f>
        <v>185</v>
      </c>
      <c r="J43" s="59">
        <f t="shared" si="5"/>
        <v>0.4157303370786517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48</v>
      </c>
      <c r="E44" s="68">
        <f t="shared" si="0"/>
        <v>5</v>
      </c>
      <c r="F44" s="55">
        <f t="shared" si="4"/>
        <v>51.24</v>
      </c>
      <c r="G44" s="56">
        <f>IF(D44=D43,"",_xlfn.IFNA(VLOOKUP(D44,'인원 입력 기능(직탐)'!$F$5:$I$59,4,FALSE),0))</f>
        <v>64</v>
      </c>
      <c r="H44" s="57">
        <f t="shared" si="1"/>
        <v>0.14382022471910114</v>
      </c>
      <c r="I44" s="67">
        <f>SUM($G$7:G44)</f>
        <v>249</v>
      </c>
      <c r="J44" s="59">
        <f t="shared" si="5"/>
        <v>0.55955056179775275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47</v>
      </c>
      <c r="E45" s="68">
        <f t="shared" si="0"/>
        <v>5</v>
      </c>
      <c r="F45" s="55">
        <f t="shared" si="4"/>
        <v>40.79</v>
      </c>
      <c r="G45" s="56">
        <f>IF(D45=D44,"",_xlfn.IFNA(VLOOKUP(D45,'인원 입력 기능(직탐)'!$F$5:$I$59,4,FALSE),0))</f>
        <v>29</v>
      </c>
      <c r="H45" s="57">
        <f t="shared" si="1"/>
        <v>6.5168539325842698E-2</v>
      </c>
      <c r="I45" s="67">
        <f>SUM($G$7:G45)</f>
        <v>278</v>
      </c>
      <c r="J45" s="59">
        <f t="shared" si="5"/>
        <v>0.62471910112359552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45</v>
      </c>
      <c r="E46" s="68">
        <f t="shared" si="0"/>
        <v>6</v>
      </c>
      <c r="F46" s="55">
        <f t="shared" si="4"/>
        <v>32.81</v>
      </c>
      <c r="G46" s="56">
        <f>IF(D46=D45,"",_xlfn.IFNA(VLOOKUP(D46,'인원 입력 기능(직탐)'!$F$5:$I$59,4,FALSE),0))</f>
        <v>42</v>
      </c>
      <c r="H46" s="57">
        <f t="shared" si="1"/>
        <v>9.4382022471910118E-2</v>
      </c>
      <c r="I46" s="67">
        <f>SUM($G$7:G46)</f>
        <v>320</v>
      </c>
      <c r="J46" s="59">
        <f t="shared" si="5"/>
        <v>0.7191011235955056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44</v>
      </c>
      <c r="E47" s="68">
        <f t="shared" si="0"/>
        <v>6</v>
      </c>
      <c r="F47" s="55">
        <f t="shared" si="4"/>
        <v>26.18</v>
      </c>
      <c r="G47" s="56">
        <f>IF(D47=D46,"",_xlfn.IFNA(VLOOKUP(D47,'인원 입력 기능(직탐)'!$F$5:$I$59,4,FALSE),0))</f>
        <v>17</v>
      </c>
      <c r="H47" s="57">
        <f t="shared" si="1"/>
        <v>3.8202247191011236E-2</v>
      </c>
      <c r="I47" s="67">
        <f>SUM($G$7:G47)</f>
        <v>337</v>
      </c>
      <c r="J47" s="59">
        <f t="shared" si="5"/>
        <v>0.75730337078651688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42</v>
      </c>
      <c r="E48" s="68">
        <f t="shared" si="0"/>
        <v>6</v>
      </c>
      <c r="F48" s="55">
        <f t="shared" si="4"/>
        <v>22.36</v>
      </c>
      <c r="G48" s="56">
        <f>IF(D48=D47,"",_xlfn.IFNA(VLOOKUP(D48,'인원 입력 기능(직탐)'!$F$5:$I$59,4,FALSE),0))</f>
        <v>17</v>
      </c>
      <c r="H48" s="57">
        <f t="shared" si="1"/>
        <v>3.8202247191011236E-2</v>
      </c>
      <c r="I48" s="67">
        <f>SUM($G$7:G48)</f>
        <v>354</v>
      </c>
      <c r="J48" s="59">
        <f t="shared" si="5"/>
        <v>0.79550561797752806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41</v>
      </c>
      <c r="E49" s="68">
        <f t="shared" si="0"/>
        <v>7</v>
      </c>
      <c r="F49" s="55">
        <f t="shared" si="4"/>
        <v>18.989999999999998</v>
      </c>
      <c r="G49" s="56">
        <f>IF(D49=D48,"",_xlfn.IFNA(VLOOKUP(D49,'인원 입력 기능(직탐)'!$F$5:$I$59,4,FALSE),0))</f>
        <v>13</v>
      </c>
      <c r="H49" s="57">
        <f t="shared" si="1"/>
        <v>2.9213483146067417E-2</v>
      </c>
      <c r="I49" s="67">
        <f>SUM($G$7:G49)</f>
        <v>367</v>
      </c>
      <c r="J49" s="59">
        <f t="shared" si="5"/>
        <v>0.82471910112359548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39</v>
      </c>
      <c r="E50" s="68">
        <f t="shared" si="0"/>
        <v>7</v>
      </c>
      <c r="F50" s="55">
        <f t="shared" si="4"/>
        <v>12.25</v>
      </c>
      <c r="G50" s="56">
        <f>IF(D50=D49,"",_xlfn.IFNA(VLOOKUP(D50,'인원 입력 기능(직탐)'!$F$5:$I$59,4,FALSE),0))</f>
        <v>47</v>
      </c>
      <c r="H50" s="57">
        <f t="shared" si="1"/>
        <v>0.10561797752808989</v>
      </c>
      <c r="I50" s="67">
        <f>SUM($G$7:G50)</f>
        <v>414</v>
      </c>
      <c r="J50" s="59">
        <f t="shared" si="5"/>
        <v>0.93033707865168536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37</v>
      </c>
      <c r="E51" s="68">
        <f t="shared" si="0"/>
        <v>8</v>
      </c>
      <c r="F51" s="55">
        <f t="shared" si="4"/>
        <v>5.73</v>
      </c>
      <c r="G51" s="56">
        <f>IF(D51=D50,"",_xlfn.IFNA(VLOOKUP(D51,'인원 입력 기능(직탐)'!$F$5:$I$59,4,FALSE),0))</f>
        <v>11</v>
      </c>
      <c r="H51" s="57">
        <f t="shared" si="1"/>
        <v>2.4719101123595506E-2</v>
      </c>
      <c r="I51" s="67">
        <f>SUM($G$7:G51)</f>
        <v>425</v>
      </c>
      <c r="J51" s="59">
        <f t="shared" si="5"/>
        <v>0.9550561797752809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36</v>
      </c>
      <c r="E52" s="68">
        <f t="shared" si="0"/>
        <v>8</v>
      </c>
      <c r="F52" s="55">
        <f t="shared" si="4"/>
        <v>3.82</v>
      </c>
      <c r="G52" s="56">
        <f>IF(D52=D51,"",_xlfn.IFNA(VLOOKUP(D52,'인원 입력 기능(직탐)'!$F$5:$I$59,4,FALSE),0))</f>
        <v>6</v>
      </c>
      <c r="H52" s="57">
        <f t="shared" si="1"/>
        <v>1.3483146067415731E-2</v>
      </c>
      <c r="I52" s="67">
        <f>SUM($G$7:G52)</f>
        <v>431</v>
      </c>
      <c r="J52" s="59">
        <f t="shared" si="5"/>
        <v>0.96853932584269664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34</v>
      </c>
      <c r="E53" s="54">
        <f t="shared" si="0"/>
        <v>9</v>
      </c>
      <c r="F53" s="55">
        <f t="shared" si="4"/>
        <v>2.58</v>
      </c>
      <c r="G53" s="56">
        <f>IF(D53=D52,"",_xlfn.IFNA(VLOOKUP(D53,'인원 입력 기능(직탐)'!$F$5:$I$59,4,FALSE),0))</f>
        <v>5</v>
      </c>
      <c r="H53" s="57">
        <f t="shared" si="1"/>
        <v>1.1235955056179775E-2</v>
      </c>
      <c r="I53" s="67">
        <f>SUM($G$7:G53)</f>
        <v>436</v>
      </c>
      <c r="J53" s="59">
        <f t="shared" si="5"/>
        <v>0.97977528089887644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33</v>
      </c>
      <c r="E54" s="54">
        <f t="shared" si="0"/>
        <v>9</v>
      </c>
      <c r="F54" s="55">
        <f t="shared" si="4"/>
        <v>1.57</v>
      </c>
      <c r="G54" s="56">
        <f>IF(D54=D53,"",_xlfn.IFNA(VLOOKUP(D54,'인원 입력 기능(직탐)'!$F$5:$I$59,4,FALSE),0))</f>
        <v>4</v>
      </c>
      <c r="H54" s="57">
        <f t="shared" si="1"/>
        <v>8.988764044943821E-3</v>
      </c>
      <c r="I54" s="67">
        <f>SUM($G$7:G54)</f>
        <v>440</v>
      </c>
      <c r="J54" s="59">
        <f t="shared" si="5"/>
        <v>0.9887640449438202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31</v>
      </c>
      <c r="E55" s="54">
        <f t="shared" si="0"/>
        <v>9</v>
      </c>
      <c r="F55" s="55">
        <f t="shared" si="4"/>
        <v>0.67</v>
      </c>
      <c r="G55" s="56">
        <f>IF(D55=D54,"",_xlfn.IFNA(VLOOKUP(D55,'인원 입력 기능(직탐)'!$F$5:$I$59,4,FALSE),0))</f>
        <v>4</v>
      </c>
      <c r="H55" s="57">
        <f t="shared" si="1"/>
        <v>8.988764044943821E-3</v>
      </c>
      <c r="I55" s="67">
        <f>SUM($G$7:G55)</f>
        <v>444</v>
      </c>
      <c r="J55" s="59">
        <f t="shared" si="5"/>
        <v>0.99775280898876406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28</v>
      </c>
      <c r="E57" s="109">
        <f t="shared" si="0"/>
        <v>9</v>
      </c>
      <c r="F57" s="74">
        <f>IF(I55=0,ROUND(100*(1-(I54+I57)/2/$J$3),2),ROUND(100*(1-(I55+I57)/2/$J$3),2))</f>
        <v>0.11</v>
      </c>
      <c r="G57" s="110">
        <f>_xlfn.IFNA(VLOOKUP(D57,'인원 입력 기능(직탐)'!$F$5:$I$59,4,FALSE),0)</f>
        <v>1</v>
      </c>
      <c r="H57" s="76">
        <f>G57/$J$3</f>
        <v>2.2471910112359553E-3</v>
      </c>
      <c r="I57" s="77">
        <f>SUM($G$7:G57)</f>
        <v>445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9">
    <mergeCell ref="D3:F3"/>
    <mergeCell ref="D4:F4"/>
    <mergeCell ref="J9:J11"/>
    <mergeCell ref="I9:I11"/>
    <mergeCell ref="H9:H11"/>
    <mergeCell ref="G9:G11"/>
    <mergeCell ref="F9:F11"/>
    <mergeCell ref="E9:E11"/>
    <mergeCell ref="D9:D11"/>
  </mergeCells>
  <phoneticPr fontId="1" type="noConversion"/>
  <conditionalFormatting sqref="D7:G9 I7:J9 I12:J57 D12:G57">
    <cfRule type="expression" dxfId="19" priority="4">
      <formula>OR($D7=$Q$7:$Q$14)</formula>
    </cfRule>
  </conditionalFormatting>
  <conditionalFormatting sqref="C7:C57">
    <cfRule type="expression" dxfId="18" priority="3">
      <formula>OR(AND($D7=0,OR($D6=$Q$7:$Q$14)),AND($D8&gt;0,OR($D7=$Q$7:$Q$14)))</formula>
    </cfRule>
  </conditionalFormatting>
  <conditionalFormatting sqref="D7:D9 D12:D57">
    <cfRule type="expression" dxfId="17" priority="2">
      <formula>$D7=$D8</formula>
    </cfRule>
  </conditionalFormatting>
  <conditionalFormatting sqref="H7:H9 H12:H57">
    <cfRule type="expression" dxfId="1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B09F8-225B-466D-86C3-AC1514CEDDB8}">
  <sheetPr codeName="Sheet25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기능'!D23</f>
        <v>18.58</v>
      </c>
      <c r="I3" s="21" t="s">
        <v>124</v>
      </c>
      <c r="J3" s="81">
        <f>'통계 및 응시자 수 입력 기능'!C23</f>
        <v>682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141</v>
      </c>
      <c r="E4" s="153"/>
      <c r="F4" s="154"/>
      <c r="G4" s="83" t="s">
        <v>127</v>
      </c>
      <c r="H4" s="84" t="str">
        <f>'통계 및 응시자 수 입력 기능'!E23</f>
        <v xml:space="preserve"> 9.31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84</v>
      </c>
      <c r="E7" s="54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100</v>
      </c>
      <c r="G7" s="56">
        <f>_xlfn.IFNA(VLOOKUP(D7,'인원 입력 기능(직탐)'!$K$5:$N$59,4,FALSE),0)</f>
        <v>0</v>
      </c>
      <c r="H7" s="57">
        <f>G7/$J$3</f>
        <v>0</v>
      </c>
      <c r="I7" s="58">
        <f>G7</f>
        <v>0</v>
      </c>
      <c r="J7" s="59">
        <f>I7/$J$3</f>
        <v>0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기능'!C175</f>
        <v>69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기능'!C176</f>
        <v>63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82</v>
      </c>
      <c r="E9" s="54">
        <f t="shared" si="0"/>
        <v>1</v>
      </c>
      <c r="F9" s="55">
        <f>IF(I8=0,ROUND(100*(1-(I7+I9)/2/$J$3),2),ROUND(100*(1-(I8+I9)/2/$J$3),2))</f>
        <v>99.85</v>
      </c>
      <c r="G9" s="56">
        <f>_xlfn.IFNA(VLOOKUP(D9,'인원 입력 기능(직탐)'!$K$5:$N$59,4,FALSE),0)</f>
        <v>2</v>
      </c>
      <c r="H9" s="57">
        <f t="shared" ref="H9:H55" si="1">G9/$J$3</f>
        <v>2.9325513196480938E-3</v>
      </c>
      <c r="I9" s="67">
        <f>SUM($G$7:G9)</f>
        <v>2</v>
      </c>
      <c r="J9" s="59">
        <f>I9/$J$3</f>
        <v>2.9325513196480938E-3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기능'!C177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81</v>
      </c>
      <c r="E10" s="54">
        <f t="shared" si="0"/>
        <v>1</v>
      </c>
      <c r="F10" s="55">
        <f t="shared" ref="F10:F55" si="4">IF(I9=0,ROUND(100*(1-(I8+I10)/2/$J$3),2),ROUND(100*(1-(I9+I10)/2/$J$3),2))</f>
        <v>99.56</v>
      </c>
      <c r="G10" s="56">
        <f>IF(D10=D9,"",_xlfn.IFNA(VLOOKUP(D10,'인원 입력 기능(직탐)'!$K$5:$N$59,4,FALSE),0))</f>
        <v>2</v>
      </c>
      <c r="H10" s="57">
        <f t="shared" si="1"/>
        <v>2.9325513196480938E-3</v>
      </c>
      <c r="I10" s="67">
        <f>SUM($G$7:G10)</f>
        <v>4</v>
      </c>
      <c r="J10" s="59">
        <f t="shared" ref="J10:J55" si="5">I10/$J$3</f>
        <v>5.8651026392961877E-3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기능'!C178</f>
        <v>52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79</v>
      </c>
      <c r="E11" s="54">
        <f t="shared" si="0"/>
        <v>1</v>
      </c>
      <c r="F11" s="55">
        <f t="shared" si="4"/>
        <v>99.34</v>
      </c>
      <c r="G11" s="56">
        <f>IF(D11=D10,"",_xlfn.IFNA(VLOOKUP(D11,'인원 입력 기능(직탐)'!$K$5:$N$59,4,FALSE),0))</f>
        <v>1</v>
      </c>
      <c r="H11" s="57">
        <f t="shared" si="1"/>
        <v>1.4662756598240469E-3</v>
      </c>
      <c r="I11" s="67">
        <f>SUM($G$7:G11)</f>
        <v>5</v>
      </c>
      <c r="J11" s="59">
        <f t="shared" si="5"/>
        <v>7.331378299120235E-3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기능'!C179</f>
        <v>45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78</v>
      </c>
      <c r="E12" s="54">
        <f t="shared" si="0"/>
        <v>1</v>
      </c>
      <c r="F12" s="55">
        <f t="shared" si="4"/>
        <v>99.19</v>
      </c>
      <c r="G12" s="56">
        <f>IF(D12=D11,"",_xlfn.IFNA(VLOOKUP(D12,'인원 입력 기능(직탐)'!$K$5:$N$59,4,FALSE),0))</f>
        <v>1</v>
      </c>
      <c r="H12" s="57">
        <f t="shared" si="1"/>
        <v>1.4662756598240469E-3</v>
      </c>
      <c r="I12" s="67">
        <f>SUM($G$7:G12)</f>
        <v>6</v>
      </c>
      <c r="J12" s="59">
        <f t="shared" si="5"/>
        <v>8.7976539589442824E-3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기능'!C180</f>
        <v>41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77</v>
      </c>
      <c r="E13" s="54">
        <f t="shared" si="0"/>
        <v>1</v>
      </c>
      <c r="F13" s="55">
        <f t="shared" si="4"/>
        <v>99.12</v>
      </c>
      <c r="G13" s="56">
        <f>IF(D13=D12,"",_xlfn.IFNA(VLOOKUP(D13,'인원 입력 기능(직탐)'!$K$5:$N$59,4,FALSE),0))</f>
        <v>0</v>
      </c>
      <c r="H13" s="57">
        <f t="shared" si="1"/>
        <v>0</v>
      </c>
      <c r="I13" s="67">
        <f>SUM($G$7:G13)</f>
        <v>6</v>
      </c>
      <c r="J13" s="59">
        <f t="shared" si="5"/>
        <v>8.7976539589442824E-3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기능'!C181</f>
        <v>40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76</v>
      </c>
      <c r="E14" s="54">
        <f t="shared" si="0"/>
        <v>1</v>
      </c>
      <c r="F14" s="55">
        <f t="shared" si="4"/>
        <v>99.05</v>
      </c>
      <c r="G14" s="56">
        <f>IF(D14=D13,"",_xlfn.IFNA(VLOOKUP(D14,'인원 입력 기능(직탐)'!$K$5:$N$59,4,FALSE),0))</f>
        <v>1</v>
      </c>
      <c r="H14" s="57">
        <f t="shared" si="1"/>
        <v>1.4662756598240469E-3</v>
      </c>
      <c r="I14" s="67">
        <f>SUM($G$7:G14)</f>
        <v>7</v>
      </c>
      <c r="J14" s="59">
        <f t="shared" si="5"/>
        <v>1.0263929618768328E-2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기능'!C182</f>
        <v>38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75</v>
      </c>
      <c r="E15" s="54">
        <f t="shared" si="0"/>
        <v>1</v>
      </c>
      <c r="F15" s="55">
        <f t="shared" si="4"/>
        <v>98.83</v>
      </c>
      <c r="G15" s="56">
        <f>IF(D15=D14,"",_xlfn.IFNA(VLOOKUP(D15,'인원 입력 기능(직탐)'!$K$5:$N$59,4,FALSE),0))</f>
        <v>2</v>
      </c>
      <c r="H15" s="57">
        <f t="shared" si="1"/>
        <v>2.9325513196480938E-3</v>
      </c>
      <c r="I15" s="67">
        <f>SUM($G$7:G15)</f>
        <v>9</v>
      </c>
      <c r="J15" s="59">
        <f t="shared" si="5"/>
        <v>1.3196480938416423E-2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74</v>
      </c>
      <c r="E16" s="54">
        <f t="shared" si="0"/>
        <v>1</v>
      </c>
      <c r="F16" s="55">
        <f t="shared" si="4"/>
        <v>98.61</v>
      </c>
      <c r="G16" s="56">
        <f>IF(D16=D15,"",_xlfn.IFNA(VLOOKUP(D16,'인원 입력 기능(직탐)'!$K$5:$N$59,4,FALSE),0))</f>
        <v>1</v>
      </c>
      <c r="H16" s="57">
        <f t="shared" si="1"/>
        <v>1.4662756598240469E-3</v>
      </c>
      <c r="I16" s="67">
        <f>SUM($G$7:G16)</f>
        <v>10</v>
      </c>
      <c r="J16" s="59">
        <f t="shared" si="5"/>
        <v>1.466275659824047E-2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73</v>
      </c>
      <c r="E17" s="54">
        <f t="shared" si="0"/>
        <v>1</v>
      </c>
      <c r="F17" s="55">
        <f t="shared" si="4"/>
        <v>98.09</v>
      </c>
      <c r="G17" s="56">
        <f>IF(D17=D16,"",_xlfn.IFNA(VLOOKUP(D17,'인원 입력 기능(직탐)'!$K$5:$N$59,4,FALSE),0))</f>
        <v>6</v>
      </c>
      <c r="H17" s="57">
        <f t="shared" si="1"/>
        <v>8.7976539589442824E-3</v>
      </c>
      <c r="I17" s="67">
        <f>SUM($G$7:G17)</f>
        <v>16</v>
      </c>
      <c r="J17" s="59">
        <f t="shared" si="5"/>
        <v>2.3460410557184751E-2</v>
      </c>
      <c r="K17" s="36"/>
      <c r="L17" s="20" t="str">
        <f t="shared" si="2"/>
        <v/>
      </c>
      <c r="N17" s="24"/>
      <c r="Q17" s="24">
        <f>Q7*H3*H4*J3*IFERROR(IF(J57=1, 1, 0), 0)</f>
        <v>8140083.4284000006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72</v>
      </c>
      <c r="E18" s="54">
        <f t="shared" si="0"/>
        <v>1</v>
      </c>
      <c r="F18" s="55">
        <f t="shared" si="4"/>
        <v>97.29</v>
      </c>
      <c r="G18" s="56">
        <f>IF(D18=D17,"",_xlfn.IFNA(VLOOKUP(D18,'인원 입력 기능(직탐)'!$K$5:$N$59,4,FALSE),0))</f>
        <v>5</v>
      </c>
      <c r="H18" s="57">
        <f t="shared" si="1"/>
        <v>7.331378299120235E-3</v>
      </c>
      <c r="I18" s="67">
        <f>SUM($G$7:G18)</f>
        <v>21</v>
      </c>
      <c r="J18" s="59">
        <f t="shared" si="5"/>
        <v>3.0791788856304986E-2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71</v>
      </c>
      <c r="E19" s="54">
        <f t="shared" si="0"/>
        <v>1</v>
      </c>
      <c r="F19" s="55">
        <f t="shared" si="4"/>
        <v>96.7</v>
      </c>
      <c r="G19" s="56">
        <f>IF(D19=D18,"",_xlfn.IFNA(VLOOKUP(D19,'인원 입력 기능(직탐)'!$K$5:$N$59,4,FALSE),0))</f>
        <v>3</v>
      </c>
      <c r="H19" s="57">
        <f t="shared" si="1"/>
        <v>4.3988269794721412E-3</v>
      </c>
      <c r="I19" s="67">
        <f>SUM($G$7:G19)</f>
        <v>24</v>
      </c>
      <c r="J19" s="59">
        <f t="shared" si="5"/>
        <v>3.519061583577713E-2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70</v>
      </c>
      <c r="E20" s="54">
        <f t="shared" si="0"/>
        <v>1</v>
      </c>
      <c r="F20" s="55">
        <f t="shared" si="4"/>
        <v>96.33</v>
      </c>
      <c r="G20" s="56">
        <f>IF(D20=D19,"",_xlfn.IFNA(VLOOKUP(D20,'인원 입력 기능(직탐)'!$K$5:$N$59,4,FALSE),0))</f>
        <v>2</v>
      </c>
      <c r="H20" s="57">
        <f t="shared" si="1"/>
        <v>2.9325513196480938E-3</v>
      </c>
      <c r="I20" s="67">
        <f>SUM($G$7:G20)</f>
        <v>26</v>
      </c>
      <c r="J20" s="59">
        <f t="shared" si="5"/>
        <v>3.8123167155425221E-2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69</v>
      </c>
      <c r="E21" s="68">
        <f t="shared" si="0"/>
        <v>1</v>
      </c>
      <c r="F21" s="55">
        <f t="shared" si="4"/>
        <v>95.67</v>
      </c>
      <c r="G21" s="56">
        <f>IF(D21=D20,"",_xlfn.IFNA(VLOOKUP(D21,'인원 입력 기능(직탐)'!$K$5:$N$59,4,FALSE),0))</f>
        <v>7</v>
      </c>
      <c r="H21" s="57">
        <f t="shared" si="1"/>
        <v>1.0263929618768328E-2</v>
      </c>
      <c r="I21" s="67">
        <f>SUM($G$7:G21)</f>
        <v>33</v>
      </c>
      <c r="J21" s="59">
        <f t="shared" si="5"/>
        <v>4.8387096774193547E-2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68</v>
      </c>
      <c r="E22" s="68">
        <f t="shared" si="0"/>
        <v>2</v>
      </c>
      <c r="F22" s="55">
        <f t="shared" si="4"/>
        <v>94.43</v>
      </c>
      <c r="G22" s="56">
        <f>IF(D22=D21,"",_xlfn.IFNA(VLOOKUP(D22,'인원 입력 기능(직탐)'!$K$5:$N$59,4,FALSE),0))</f>
        <v>10</v>
      </c>
      <c r="H22" s="57">
        <f t="shared" si="1"/>
        <v>1.466275659824047E-2</v>
      </c>
      <c r="I22" s="67">
        <f>SUM($G$7:G22)</f>
        <v>43</v>
      </c>
      <c r="J22" s="59">
        <f t="shared" si="5"/>
        <v>6.3049853372434017E-2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67</v>
      </c>
      <c r="E23" s="68">
        <f t="shared" si="0"/>
        <v>2</v>
      </c>
      <c r="F23" s="55">
        <f t="shared" si="4"/>
        <v>93.11</v>
      </c>
      <c r="G23" s="56">
        <f>IF(D23=D22,"",_xlfn.IFNA(VLOOKUP(D23,'인원 입력 기능(직탐)'!$K$5:$N$59,4,FALSE),0))</f>
        <v>8</v>
      </c>
      <c r="H23" s="57">
        <f t="shared" si="1"/>
        <v>1.1730205278592375E-2</v>
      </c>
      <c r="I23" s="67">
        <f>SUM($G$7:G23)</f>
        <v>51</v>
      </c>
      <c r="J23" s="59">
        <f t="shared" si="5"/>
        <v>7.4780058651026396E-2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65</v>
      </c>
      <c r="E24" s="68">
        <f t="shared" si="0"/>
        <v>2</v>
      </c>
      <c r="F24" s="55">
        <f t="shared" si="4"/>
        <v>91.72</v>
      </c>
      <c r="G24" s="56">
        <f>IF(D24=D23,"",_xlfn.IFNA(VLOOKUP(D24,'인원 입력 기능(직탐)'!$K$5:$N$59,4,FALSE),0))</f>
        <v>11</v>
      </c>
      <c r="H24" s="57">
        <f t="shared" si="1"/>
        <v>1.6129032258064516E-2</v>
      </c>
      <c r="I24" s="67">
        <f>SUM($G$7:G24)</f>
        <v>62</v>
      </c>
      <c r="J24" s="59">
        <f t="shared" si="5"/>
        <v>9.0909090909090912E-2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64</v>
      </c>
      <c r="E25" s="68">
        <f t="shared" si="0"/>
        <v>2</v>
      </c>
      <c r="F25" s="55">
        <f t="shared" si="4"/>
        <v>90.03</v>
      </c>
      <c r="G25" s="56">
        <f>IF(D25=D24,"",_xlfn.IFNA(VLOOKUP(D25,'인원 입력 기능(직탐)'!$K$5:$N$59,4,FALSE),0))</f>
        <v>12</v>
      </c>
      <c r="H25" s="57">
        <f t="shared" si="1"/>
        <v>1.7595307917888565E-2</v>
      </c>
      <c r="I25" s="67">
        <f>SUM($G$7:G25)</f>
        <v>74</v>
      </c>
      <c r="J25" s="59">
        <f t="shared" si="5"/>
        <v>0.10850439882697947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63</v>
      </c>
      <c r="E26" s="68">
        <f t="shared" si="0"/>
        <v>2</v>
      </c>
      <c r="F26" s="55">
        <f t="shared" si="4"/>
        <v>87.98</v>
      </c>
      <c r="G26" s="56">
        <f>IF(D26=D25,"",_xlfn.IFNA(VLOOKUP(D26,'인원 입력 기능(직탐)'!$K$5:$N$59,4,FALSE),0))</f>
        <v>16</v>
      </c>
      <c r="H26" s="57">
        <f t="shared" si="1"/>
        <v>2.3460410557184751E-2</v>
      </c>
      <c r="I26" s="67">
        <f>SUM($G$7:G26)</f>
        <v>90</v>
      </c>
      <c r="J26" s="59">
        <f t="shared" si="5"/>
        <v>0.13196480938416422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62</v>
      </c>
      <c r="E27" s="68">
        <f t="shared" si="0"/>
        <v>3</v>
      </c>
      <c r="F27" s="55">
        <f t="shared" si="4"/>
        <v>86.14</v>
      </c>
      <c r="G27" s="56">
        <f>IF(D27=D26,"",_xlfn.IFNA(VLOOKUP(D27,'인원 입력 기능(직탐)'!$K$5:$N$59,4,FALSE),0))</f>
        <v>9</v>
      </c>
      <c r="H27" s="57">
        <f t="shared" si="1"/>
        <v>1.3196480938416423E-2</v>
      </c>
      <c r="I27" s="67">
        <f>SUM($G$7:G27)</f>
        <v>99</v>
      </c>
      <c r="J27" s="59">
        <f t="shared" si="5"/>
        <v>0.14516129032258066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61</v>
      </c>
      <c r="E28" s="68">
        <f t="shared" si="0"/>
        <v>3</v>
      </c>
      <c r="F28" s="55">
        <f t="shared" si="4"/>
        <v>84.6</v>
      </c>
      <c r="G28" s="56">
        <f>IF(D28=D27,"",_xlfn.IFNA(VLOOKUP(D28,'인원 입력 기능(직탐)'!$K$5:$N$59,4,FALSE),0))</f>
        <v>12</v>
      </c>
      <c r="H28" s="57">
        <f t="shared" si="1"/>
        <v>1.7595307917888565E-2</v>
      </c>
      <c r="I28" s="67">
        <f>SUM($G$7:G28)</f>
        <v>111</v>
      </c>
      <c r="J28" s="59">
        <f t="shared" si="5"/>
        <v>0.1627565982404692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60</v>
      </c>
      <c r="E29" s="68">
        <f t="shared" si="0"/>
        <v>3</v>
      </c>
      <c r="F29" s="55">
        <f t="shared" si="4"/>
        <v>82.77</v>
      </c>
      <c r="G29" s="56">
        <f>IF(D29=D28,"",_xlfn.IFNA(VLOOKUP(D29,'인원 입력 기능(직탐)'!$K$5:$N$59,4,FALSE),0))</f>
        <v>13</v>
      </c>
      <c r="H29" s="57">
        <f t="shared" si="1"/>
        <v>1.906158357771261E-2</v>
      </c>
      <c r="I29" s="67">
        <f>SUM($G$7:G29)</f>
        <v>124</v>
      </c>
      <c r="J29" s="59">
        <f t="shared" si="5"/>
        <v>0.18181818181818182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59</v>
      </c>
      <c r="E30" s="68">
        <f t="shared" si="0"/>
        <v>3</v>
      </c>
      <c r="F30" s="55">
        <f t="shared" si="4"/>
        <v>80.430000000000007</v>
      </c>
      <c r="G30" s="56">
        <f>IF(D30=D29,"",_xlfn.IFNA(VLOOKUP(D30,'인원 입력 기능(직탐)'!$K$5:$N$59,4,FALSE),0))</f>
        <v>19</v>
      </c>
      <c r="H30" s="57">
        <f t="shared" si="1"/>
        <v>2.7859237536656891E-2</v>
      </c>
      <c r="I30" s="67">
        <f>SUM($G$7:G30)</f>
        <v>143</v>
      </c>
      <c r="J30" s="59">
        <f t="shared" si="5"/>
        <v>0.20967741935483872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58</v>
      </c>
      <c r="E31" s="68">
        <f t="shared" si="0"/>
        <v>3</v>
      </c>
      <c r="F31" s="55">
        <f t="shared" si="4"/>
        <v>78.010000000000005</v>
      </c>
      <c r="G31" s="56">
        <f>IF(D31=D30,"",_xlfn.IFNA(VLOOKUP(D31,'인원 입력 기능(직탐)'!$K$5:$N$59,4,FALSE),0))</f>
        <v>14</v>
      </c>
      <c r="H31" s="57">
        <f t="shared" si="1"/>
        <v>2.0527859237536656E-2</v>
      </c>
      <c r="I31" s="67">
        <f>SUM($G$7:G31)</f>
        <v>157</v>
      </c>
      <c r="J31" s="59">
        <f t="shared" si="5"/>
        <v>0.23020527859237536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57</v>
      </c>
      <c r="E32" s="68">
        <f t="shared" si="0"/>
        <v>4</v>
      </c>
      <c r="F32" s="55">
        <f t="shared" si="4"/>
        <v>75.22</v>
      </c>
      <c r="G32" s="56">
        <f>IF(D32=D31,"",_xlfn.IFNA(VLOOKUP(D32,'인원 입력 기능(직탐)'!$K$5:$N$59,4,FALSE),0))</f>
        <v>24</v>
      </c>
      <c r="H32" s="57">
        <f t="shared" si="1"/>
        <v>3.519061583577713E-2</v>
      </c>
      <c r="I32" s="67">
        <f>SUM($G$7:G32)</f>
        <v>181</v>
      </c>
      <c r="J32" s="59">
        <f t="shared" si="5"/>
        <v>0.26539589442815248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56</v>
      </c>
      <c r="E33" s="68">
        <f t="shared" si="0"/>
        <v>4</v>
      </c>
      <c r="F33" s="55">
        <f t="shared" si="4"/>
        <v>71.63</v>
      </c>
      <c r="G33" s="56">
        <f>IF(D33=D32,"",_xlfn.IFNA(VLOOKUP(D33,'인원 입력 기능(직탐)'!$K$5:$N$59,4,FALSE),0))</f>
        <v>25</v>
      </c>
      <c r="H33" s="57">
        <f t="shared" si="1"/>
        <v>3.6656891495601175E-2</v>
      </c>
      <c r="I33" s="67">
        <f>SUM($G$7:G33)</f>
        <v>206</v>
      </c>
      <c r="J33" s="59">
        <f t="shared" si="5"/>
        <v>0.30205278592375367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55</v>
      </c>
      <c r="E34" s="68">
        <f t="shared" si="0"/>
        <v>4</v>
      </c>
      <c r="F34" s="55">
        <f t="shared" si="4"/>
        <v>68.989999999999995</v>
      </c>
      <c r="G34" s="56">
        <f>IF(D34=D33,"",_xlfn.IFNA(VLOOKUP(D34,'인원 입력 기능(직탐)'!$K$5:$N$59,4,FALSE),0))</f>
        <v>11</v>
      </c>
      <c r="H34" s="57">
        <f t="shared" si="1"/>
        <v>1.6129032258064516E-2</v>
      </c>
      <c r="I34" s="67">
        <f>SUM($G$7:G34)</f>
        <v>217</v>
      </c>
      <c r="J34" s="59">
        <f t="shared" si="5"/>
        <v>0.31818181818181818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54</v>
      </c>
      <c r="E35" s="68">
        <f t="shared" si="0"/>
        <v>4</v>
      </c>
      <c r="F35" s="55">
        <f t="shared" si="4"/>
        <v>66.349999999999994</v>
      </c>
      <c r="G35" s="56">
        <f>IF(D35=D34,"",_xlfn.IFNA(VLOOKUP(D35,'인원 입력 기능(직탐)'!$K$5:$N$59,4,FALSE),0))</f>
        <v>25</v>
      </c>
      <c r="H35" s="57">
        <f t="shared" si="1"/>
        <v>3.6656891495601175E-2</v>
      </c>
      <c r="I35" s="67">
        <f>SUM($G$7:G35)</f>
        <v>242</v>
      </c>
      <c r="J35" s="59">
        <f t="shared" si="5"/>
        <v>0.35483870967741937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53</v>
      </c>
      <c r="E36" s="68">
        <f t="shared" si="0"/>
        <v>4</v>
      </c>
      <c r="F36" s="55">
        <f t="shared" si="4"/>
        <v>62.54</v>
      </c>
      <c r="G36" s="56">
        <f>IF(D36=D35,"",_xlfn.IFNA(VLOOKUP(D36,'인원 입력 기능(직탐)'!$K$5:$N$59,4,FALSE),0))</f>
        <v>27</v>
      </c>
      <c r="H36" s="57">
        <f t="shared" si="1"/>
        <v>3.9589442815249266E-2</v>
      </c>
      <c r="I36" s="67">
        <f>SUM($G$7:G36)</f>
        <v>269</v>
      </c>
      <c r="J36" s="59">
        <f t="shared" si="5"/>
        <v>0.3944281524926686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52</v>
      </c>
      <c r="E37" s="68">
        <f t="shared" si="0"/>
        <v>4</v>
      </c>
      <c r="F37" s="55">
        <f t="shared" si="4"/>
        <v>58.87</v>
      </c>
      <c r="G37" s="56">
        <f>IF(D37=D36,"",_xlfn.IFNA(VLOOKUP(D37,'인원 입력 기능(직탐)'!$K$5:$N$59,4,FALSE),0))</f>
        <v>23</v>
      </c>
      <c r="H37" s="57">
        <f t="shared" si="1"/>
        <v>3.3724340175953077E-2</v>
      </c>
      <c r="I37" s="67">
        <f>SUM($G$7:G37)</f>
        <v>292</v>
      </c>
      <c r="J37" s="59">
        <f t="shared" si="5"/>
        <v>0.42815249266862171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50</v>
      </c>
      <c r="E38" s="68">
        <f t="shared" si="0"/>
        <v>5</v>
      </c>
      <c r="F38" s="55">
        <f t="shared" si="4"/>
        <v>55.43</v>
      </c>
      <c r="G38" s="56">
        <f>IF(D38=D37,"",_xlfn.IFNA(VLOOKUP(D38,'인원 입력 기능(직탐)'!$K$5:$N$59,4,FALSE),0))</f>
        <v>24</v>
      </c>
      <c r="H38" s="57">
        <f t="shared" si="1"/>
        <v>3.519061583577713E-2</v>
      </c>
      <c r="I38" s="67">
        <f>SUM($G$7:G38)</f>
        <v>316</v>
      </c>
      <c r="J38" s="59">
        <f t="shared" si="5"/>
        <v>0.4633431085043988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49</v>
      </c>
      <c r="E39" s="68">
        <f t="shared" si="0"/>
        <v>5</v>
      </c>
      <c r="F39" s="55">
        <f t="shared" si="4"/>
        <v>52.42</v>
      </c>
      <c r="G39" s="56">
        <f>IF(D39=D38,"",_xlfn.IFNA(VLOOKUP(D39,'인원 입력 기능(직탐)'!$K$5:$N$59,4,FALSE),0))</f>
        <v>17</v>
      </c>
      <c r="H39" s="57">
        <f t="shared" si="1"/>
        <v>2.4926686217008796E-2</v>
      </c>
      <c r="I39" s="67">
        <f>SUM($G$7:G39)</f>
        <v>333</v>
      </c>
      <c r="J39" s="59">
        <f t="shared" si="5"/>
        <v>0.48826979472140764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48</v>
      </c>
      <c r="E40" s="68">
        <f t="shared" si="0"/>
        <v>5</v>
      </c>
      <c r="F40" s="55">
        <f t="shared" si="4"/>
        <v>49.49</v>
      </c>
      <c r="G40" s="56">
        <f>IF(D40=D39,"",_xlfn.IFNA(VLOOKUP(D40,'인원 입력 기능(직탐)'!$K$5:$N$59,4,FALSE),0))</f>
        <v>23</v>
      </c>
      <c r="H40" s="57">
        <f t="shared" si="1"/>
        <v>3.3724340175953077E-2</v>
      </c>
      <c r="I40" s="67">
        <f>SUM($G$7:G40)</f>
        <v>356</v>
      </c>
      <c r="J40" s="59">
        <f t="shared" si="5"/>
        <v>0.52199413489736068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47</v>
      </c>
      <c r="E41" s="68">
        <f t="shared" si="0"/>
        <v>5</v>
      </c>
      <c r="F41" s="55">
        <f t="shared" si="4"/>
        <v>46.77</v>
      </c>
      <c r="G41" s="56">
        <f>IF(D41=D40,"",_xlfn.IFNA(VLOOKUP(D41,'인원 입력 기능(직탐)'!$K$5:$N$59,4,FALSE),0))</f>
        <v>14</v>
      </c>
      <c r="H41" s="57">
        <f t="shared" si="1"/>
        <v>2.0527859237536656E-2</v>
      </c>
      <c r="I41" s="67">
        <f>SUM($G$7:G41)</f>
        <v>370</v>
      </c>
      <c r="J41" s="59">
        <f t="shared" si="5"/>
        <v>0.54252199413489732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46</v>
      </c>
      <c r="E42" s="68">
        <f t="shared" si="0"/>
        <v>5</v>
      </c>
      <c r="F42" s="55">
        <f t="shared" si="4"/>
        <v>43.99</v>
      </c>
      <c r="G42" s="56">
        <f>IF(D42=D41,"",_xlfn.IFNA(VLOOKUP(D42,'인원 입력 기능(직탐)'!$K$5:$N$59,4,FALSE),0))</f>
        <v>24</v>
      </c>
      <c r="H42" s="57">
        <f t="shared" si="1"/>
        <v>3.519061583577713E-2</v>
      </c>
      <c r="I42" s="67">
        <f>SUM($G$7:G42)</f>
        <v>394</v>
      </c>
      <c r="J42" s="59">
        <f t="shared" si="5"/>
        <v>0.57771260997067453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45</v>
      </c>
      <c r="E43" s="68">
        <f t="shared" si="0"/>
        <v>5</v>
      </c>
      <c r="F43" s="55">
        <f t="shared" si="4"/>
        <v>40.47</v>
      </c>
      <c r="G43" s="56">
        <f>IF(D43=D42,"",_xlfn.IFNA(VLOOKUP(D43,'인원 입력 기능(직탐)'!$K$5:$N$59,4,FALSE),0))</f>
        <v>24</v>
      </c>
      <c r="H43" s="57">
        <f t="shared" si="1"/>
        <v>3.519061583577713E-2</v>
      </c>
      <c r="I43" s="67">
        <f>SUM($G$7:G43)</f>
        <v>418</v>
      </c>
      <c r="J43" s="59">
        <f t="shared" si="5"/>
        <v>0.61290322580645162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44</v>
      </c>
      <c r="E44" s="68">
        <f t="shared" si="0"/>
        <v>6</v>
      </c>
      <c r="F44" s="55">
        <f t="shared" si="4"/>
        <v>36.07</v>
      </c>
      <c r="G44" s="56">
        <f>IF(D44=D43,"",_xlfn.IFNA(VLOOKUP(D44,'인원 입력 기능(직탐)'!$K$5:$N$59,4,FALSE),0))</f>
        <v>36</v>
      </c>
      <c r="H44" s="57">
        <f t="shared" si="1"/>
        <v>5.2785923753665691E-2</v>
      </c>
      <c r="I44" s="67">
        <f>SUM($G$7:G44)</f>
        <v>454</v>
      </c>
      <c r="J44" s="59">
        <f t="shared" si="5"/>
        <v>0.66568914956011727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43</v>
      </c>
      <c r="E45" s="68">
        <f t="shared" si="0"/>
        <v>6</v>
      </c>
      <c r="F45" s="55">
        <f t="shared" si="4"/>
        <v>31.89</v>
      </c>
      <c r="G45" s="56">
        <f>IF(D45=D44,"",_xlfn.IFNA(VLOOKUP(D45,'인원 입력 기능(직탐)'!$K$5:$N$59,4,FALSE),0))</f>
        <v>21</v>
      </c>
      <c r="H45" s="57">
        <f t="shared" si="1"/>
        <v>3.0791788856304986E-2</v>
      </c>
      <c r="I45" s="67">
        <f>SUM($G$7:G45)</f>
        <v>475</v>
      </c>
      <c r="J45" s="59">
        <f t="shared" si="5"/>
        <v>0.69648093841642233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42</v>
      </c>
      <c r="E46" s="68">
        <f t="shared" si="0"/>
        <v>6</v>
      </c>
      <c r="F46" s="55">
        <f t="shared" si="4"/>
        <v>29.47</v>
      </c>
      <c r="G46" s="56">
        <f>IF(D46=D45,"",_xlfn.IFNA(VLOOKUP(D46,'인원 입력 기능(직탐)'!$K$5:$N$59,4,FALSE),0))</f>
        <v>12</v>
      </c>
      <c r="H46" s="57">
        <f t="shared" si="1"/>
        <v>1.7595307917888565E-2</v>
      </c>
      <c r="I46" s="67">
        <f>SUM($G$7:G46)</f>
        <v>487</v>
      </c>
      <c r="J46" s="59">
        <f t="shared" si="5"/>
        <v>0.71407624633431088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41</v>
      </c>
      <c r="E47" s="68">
        <f t="shared" si="0"/>
        <v>6</v>
      </c>
      <c r="F47" s="55">
        <f t="shared" si="4"/>
        <v>25.37</v>
      </c>
      <c r="G47" s="56">
        <f>IF(D47=D46,"",_xlfn.IFNA(VLOOKUP(D47,'인원 입력 기능(직탐)'!$K$5:$N$59,4,FALSE),0))</f>
        <v>44</v>
      </c>
      <c r="H47" s="57">
        <f t="shared" si="1"/>
        <v>6.4516129032258063E-2</v>
      </c>
      <c r="I47" s="67">
        <f>SUM($G$7:G47)</f>
        <v>531</v>
      </c>
      <c r="J47" s="59">
        <f t="shared" si="5"/>
        <v>0.77859237536656889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40</v>
      </c>
      <c r="E48" s="68">
        <f t="shared" si="0"/>
        <v>7</v>
      </c>
      <c r="F48" s="55">
        <f t="shared" si="4"/>
        <v>14.81</v>
      </c>
      <c r="G48" s="56">
        <f>IF(D48=D47,"",_xlfn.IFNA(VLOOKUP(D48,'인원 입력 기능(직탐)'!$K$5:$N$59,4,FALSE),0))</f>
        <v>100</v>
      </c>
      <c r="H48" s="57">
        <f t="shared" si="1"/>
        <v>0.1466275659824047</v>
      </c>
      <c r="I48" s="67">
        <f>SUM($G$7:G48)</f>
        <v>631</v>
      </c>
      <c r="J48" s="59">
        <f t="shared" si="5"/>
        <v>0.92521994134897356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39</v>
      </c>
      <c r="E49" s="68">
        <f t="shared" si="0"/>
        <v>8</v>
      </c>
      <c r="F49" s="55">
        <f t="shared" si="4"/>
        <v>6.23</v>
      </c>
      <c r="G49" s="56">
        <f>IF(D49=D48,"",_xlfn.IFNA(VLOOKUP(D49,'인원 입력 기능(직탐)'!$K$5:$N$59,4,FALSE),0))</f>
        <v>17</v>
      </c>
      <c r="H49" s="57">
        <f t="shared" si="1"/>
        <v>2.4926686217008796E-2</v>
      </c>
      <c r="I49" s="67">
        <f>SUM($G$7:G49)</f>
        <v>648</v>
      </c>
      <c r="J49" s="59">
        <f t="shared" si="5"/>
        <v>0.95014662756598245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38</v>
      </c>
      <c r="E50" s="68">
        <f t="shared" si="0"/>
        <v>8</v>
      </c>
      <c r="F50" s="55">
        <f t="shared" si="4"/>
        <v>3.96</v>
      </c>
      <c r="G50" s="56">
        <f>IF(D50=D49,"",_xlfn.IFNA(VLOOKUP(D50,'인원 입력 기능(직탐)'!$K$5:$N$59,4,FALSE),0))</f>
        <v>14</v>
      </c>
      <c r="H50" s="57">
        <f t="shared" si="1"/>
        <v>2.0527859237536656E-2</v>
      </c>
      <c r="I50" s="67">
        <f>SUM($G$7:G50)</f>
        <v>662</v>
      </c>
      <c r="J50" s="59">
        <f t="shared" si="5"/>
        <v>0.97067448680351909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36</v>
      </c>
      <c r="E51" s="68">
        <f t="shared" si="0"/>
        <v>9</v>
      </c>
      <c r="F51" s="55">
        <f t="shared" si="4"/>
        <v>2.4900000000000002</v>
      </c>
      <c r="G51" s="56">
        <f>IF(D51=D50,"",_xlfn.IFNA(VLOOKUP(D51,'인원 입력 기능(직탐)'!$K$5:$N$59,4,FALSE),0))</f>
        <v>6</v>
      </c>
      <c r="H51" s="57">
        <f t="shared" si="1"/>
        <v>8.7976539589442824E-3</v>
      </c>
      <c r="I51" s="67">
        <f>SUM($G$7:G51)</f>
        <v>668</v>
      </c>
      <c r="J51" s="59">
        <f t="shared" si="5"/>
        <v>0.97947214076246336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35</v>
      </c>
      <c r="E52" s="68">
        <f t="shared" si="0"/>
        <v>9</v>
      </c>
      <c r="F52" s="55">
        <f t="shared" si="4"/>
        <v>1.47</v>
      </c>
      <c r="G52" s="56">
        <f>IF(D52=D51,"",_xlfn.IFNA(VLOOKUP(D52,'인원 입력 기능(직탐)'!$K$5:$N$59,4,FALSE),0))</f>
        <v>8</v>
      </c>
      <c r="H52" s="57">
        <f t="shared" si="1"/>
        <v>1.1730205278592375E-2</v>
      </c>
      <c r="I52" s="67">
        <f>SUM($G$7:G52)</f>
        <v>676</v>
      </c>
      <c r="J52" s="59">
        <f t="shared" si="5"/>
        <v>0.99120234604105573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34</v>
      </c>
      <c r="E53" s="54">
        <f t="shared" si="0"/>
        <v>9</v>
      </c>
      <c r="F53" s="55">
        <f t="shared" si="4"/>
        <v>0.59</v>
      </c>
      <c r="G53" s="56">
        <f>IF(D53=D52,"",_xlfn.IFNA(VLOOKUP(D53,'인원 입력 기능(직탐)'!$K$5:$N$59,4,FALSE),0))</f>
        <v>4</v>
      </c>
      <c r="H53" s="57">
        <f t="shared" si="1"/>
        <v>5.8651026392961877E-3</v>
      </c>
      <c r="I53" s="67">
        <f>SUM($G$7:G53)</f>
        <v>680</v>
      </c>
      <c r="J53" s="59">
        <f t="shared" si="5"/>
        <v>0.99706744868035191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33</v>
      </c>
      <c r="E54" s="54">
        <f t="shared" si="0"/>
        <v>9</v>
      </c>
      <c r="F54" s="55">
        <f t="shared" si="4"/>
        <v>0.28999999999999998</v>
      </c>
      <c r="G54" s="56">
        <f>IF(D54=D53,"",_xlfn.IFNA(VLOOKUP(D54,'인원 입력 기능(직탐)'!$K$5:$N$59,4,FALSE),0))</f>
        <v>0</v>
      </c>
      <c r="H54" s="57">
        <f t="shared" si="1"/>
        <v>0</v>
      </c>
      <c r="I54" s="67">
        <f>SUM($G$7:G54)</f>
        <v>680</v>
      </c>
      <c r="J54" s="59">
        <f t="shared" si="5"/>
        <v>0.99706744868035191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32</v>
      </c>
      <c r="E55" s="54">
        <f t="shared" si="0"/>
        <v>9</v>
      </c>
      <c r="F55" s="55">
        <f t="shared" si="4"/>
        <v>0.15</v>
      </c>
      <c r="G55" s="56">
        <f>IF(D55=D54,"",_xlfn.IFNA(VLOOKUP(D55,'인원 입력 기능(직탐)'!$K$5:$N$59,4,FALSE),0))</f>
        <v>2</v>
      </c>
      <c r="H55" s="57">
        <f t="shared" si="1"/>
        <v>2.9325513196480938E-3</v>
      </c>
      <c r="I55" s="67">
        <f>SUM($G$7:G55)</f>
        <v>682</v>
      </c>
      <c r="J55" s="59">
        <f t="shared" si="5"/>
        <v>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30</v>
      </c>
      <c r="E57" s="109">
        <f t="shared" si="0"/>
        <v>9</v>
      </c>
      <c r="F57" s="74">
        <f>IF(I55=0,ROUND(100*(1-(I54+I57)/2/$J$3),2),ROUND(100*(1-(I55+I57)/2/$J$3),2))</f>
        <v>0</v>
      </c>
      <c r="G57" s="110">
        <f>_xlfn.IFNA(VLOOKUP(D57,'인원 입력 기능(직탐)'!$K$5:$N$59,4,FALSE),0)</f>
        <v>0</v>
      </c>
      <c r="H57" s="76">
        <f>G57/$J$3</f>
        <v>0</v>
      </c>
      <c r="I57" s="77">
        <f>SUM($G$7:G57)</f>
        <v>682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">
    <mergeCell ref="D3:F3"/>
    <mergeCell ref="D4:F4"/>
  </mergeCells>
  <phoneticPr fontId="1" type="noConversion"/>
  <conditionalFormatting sqref="D7:G57 I7:J57">
    <cfRule type="expression" dxfId="15" priority="4">
      <formula>OR($D7=$Q$7:$Q$14)</formula>
    </cfRule>
  </conditionalFormatting>
  <conditionalFormatting sqref="C7:C57">
    <cfRule type="expression" dxfId="14" priority="3">
      <formula>OR(AND($D7=0,OR($D6=$Q$7:$Q$14)),AND($D8&gt;0,OR($D7=$Q$7:$Q$14)))</formula>
    </cfRule>
  </conditionalFormatting>
  <conditionalFormatting sqref="D7:D57">
    <cfRule type="expression" dxfId="13" priority="2">
      <formula>$D7=$D8</formula>
    </cfRule>
  </conditionalFormatting>
  <conditionalFormatting sqref="H7:H57">
    <cfRule type="expression" dxfId="1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F47E5-7A32-46B1-AA5E-14744E188CC7}">
  <sheetPr codeName="Sheet26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기능'!D24</f>
        <v>23.47</v>
      </c>
      <c r="I3" s="21" t="s">
        <v>124</v>
      </c>
      <c r="J3" s="81">
        <f>'통계 및 응시자 수 입력 기능'!C24</f>
        <v>902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140</v>
      </c>
      <c r="E4" s="153"/>
      <c r="F4" s="154"/>
      <c r="G4" s="83" t="s">
        <v>127</v>
      </c>
      <c r="H4" s="84" t="str">
        <f>'통계 및 응시자 수 입력 기능'!E24</f>
        <v>10.63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75</v>
      </c>
      <c r="E7" s="54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99.72</v>
      </c>
      <c r="G7" s="56">
        <f>_xlfn.IFNA(VLOOKUP(D7,'인원 입력 기능(직탐)'!$P$5:$S$59,4,FALSE),0)</f>
        <v>5</v>
      </c>
      <c r="H7" s="57">
        <f>G7/$J$3</f>
        <v>5.5432372505543242E-3</v>
      </c>
      <c r="I7" s="58">
        <f>G7</f>
        <v>5</v>
      </c>
      <c r="J7" s="59">
        <f>I7/$J$3</f>
        <v>5.5432372505543242E-3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기능'!C184</f>
        <v>67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기능'!C185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73</v>
      </c>
      <c r="E9" s="54">
        <f t="shared" si="0"/>
        <v>1</v>
      </c>
      <c r="F9" s="55">
        <f>IF(I8=0,ROUND(100*(1-(I7+I9)/2/$J$3),2),ROUND(100*(1-(I8+I9)/2/$J$3),2))</f>
        <v>99.22</v>
      </c>
      <c r="G9" s="56">
        <f>_xlfn.IFNA(VLOOKUP(D9,'인원 입력 기능(직탐)'!$P$5:$S$59,4,FALSE),0)</f>
        <v>4</v>
      </c>
      <c r="H9" s="57">
        <f t="shared" ref="H9:H55" si="1">G9/$J$3</f>
        <v>4.434589800443459E-3</v>
      </c>
      <c r="I9" s="67">
        <f>SUM($G$7:G9)</f>
        <v>9</v>
      </c>
      <c r="J9" s="59">
        <f>I9/$J$3</f>
        <v>9.9778270509977823E-3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기능'!C186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72</v>
      </c>
      <c r="E10" s="54">
        <f t="shared" si="0"/>
        <v>1</v>
      </c>
      <c r="F10" s="55">
        <f t="shared" ref="F10:F55" si="4">IF(I9=0,ROUND(100*(1-(I8+I10)/2/$J$3),2),ROUND(100*(1-(I9+I10)/2/$J$3),2))</f>
        <v>98.73</v>
      </c>
      <c r="G10" s="56">
        <f>IF(D10=D9,"",_xlfn.IFNA(VLOOKUP(D10,'인원 입력 기능(직탐)'!$P$5:$S$59,4,FALSE),0))</f>
        <v>5</v>
      </c>
      <c r="H10" s="57">
        <f t="shared" si="1"/>
        <v>5.5432372505543242E-3</v>
      </c>
      <c r="I10" s="67">
        <f>SUM($G$7:G10)</f>
        <v>14</v>
      </c>
      <c r="J10" s="59">
        <f t="shared" ref="J10:J55" si="5">I10/$J$3</f>
        <v>1.5521064301552107E-2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기능'!C187</f>
        <v>52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71</v>
      </c>
      <c r="E11" s="54">
        <f t="shared" si="0"/>
        <v>1</v>
      </c>
      <c r="F11" s="55">
        <f t="shared" si="4"/>
        <v>98.39</v>
      </c>
      <c r="G11" s="56">
        <f>IF(D11=D10,"",_xlfn.IFNA(VLOOKUP(D11,'인원 입력 기능(직탐)'!$P$5:$S$59,4,FALSE),0))</f>
        <v>1</v>
      </c>
      <c r="H11" s="57">
        <f t="shared" si="1"/>
        <v>1.1086474501108647E-3</v>
      </c>
      <c r="I11" s="67">
        <f>SUM($G$7:G11)</f>
        <v>15</v>
      </c>
      <c r="J11" s="59">
        <f t="shared" si="5"/>
        <v>1.662971175166297E-2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기능'!C188</f>
        <v>47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70</v>
      </c>
      <c r="E12" s="54">
        <f t="shared" si="0"/>
        <v>1</v>
      </c>
      <c r="F12" s="55">
        <f t="shared" si="4"/>
        <v>97.89</v>
      </c>
      <c r="G12" s="56">
        <f>IF(D12=D11,"",_xlfn.IFNA(VLOOKUP(D12,'인원 입력 기능(직탐)'!$P$5:$S$59,4,FALSE),0))</f>
        <v>8</v>
      </c>
      <c r="H12" s="57">
        <f t="shared" si="1"/>
        <v>8.869179600886918E-3</v>
      </c>
      <c r="I12" s="67">
        <f>SUM($G$7:G12)</f>
        <v>23</v>
      </c>
      <c r="J12" s="59">
        <f t="shared" si="5"/>
        <v>2.5498891352549888E-2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기능'!C189</f>
        <v>41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69</v>
      </c>
      <c r="E13" s="54">
        <f t="shared" si="0"/>
        <v>1</v>
      </c>
      <c r="F13" s="55">
        <f t="shared" si="4"/>
        <v>97.28</v>
      </c>
      <c r="G13" s="56">
        <f>IF(D13=D12,"",_xlfn.IFNA(VLOOKUP(D13,'인원 입력 기능(직탐)'!$P$5:$S$59,4,FALSE),0))</f>
        <v>3</v>
      </c>
      <c r="H13" s="57">
        <f t="shared" si="1"/>
        <v>3.3259423503325942E-3</v>
      </c>
      <c r="I13" s="67">
        <f>SUM($G$7:G13)</f>
        <v>26</v>
      </c>
      <c r="J13" s="59">
        <f t="shared" si="5"/>
        <v>2.8824833702882482E-2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기능'!C190</f>
        <v>38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68</v>
      </c>
      <c r="E14" s="54">
        <f t="shared" si="0"/>
        <v>1</v>
      </c>
      <c r="F14" s="55">
        <f t="shared" si="4"/>
        <v>96.78</v>
      </c>
      <c r="G14" s="56">
        <f>IF(D14=D13,"",_xlfn.IFNA(VLOOKUP(D14,'인원 입력 기능(직탐)'!$P$5:$S$59,4,FALSE),0))</f>
        <v>6</v>
      </c>
      <c r="H14" s="57">
        <f t="shared" si="1"/>
        <v>6.6518847006651885E-3</v>
      </c>
      <c r="I14" s="67">
        <f>SUM($G$7:G14)</f>
        <v>32</v>
      </c>
      <c r="J14" s="59">
        <f t="shared" si="5"/>
        <v>3.5476718403547672E-2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기능'!C191</f>
        <v>35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67</v>
      </c>
      <c r="E15" s="54">
        <f t="shared" si="0"/>
        <v>1</v>
      </c>
      <c r="F15" s="55">
        <f t="shared" si="4"/>
        <v>95.73</v>
      </c>
      <c r="G15" s="56">
        <f>IF(D15=D14,"",_xlfn.IFNA(VLOOKUP(D15,'인원 입력 기능(직탐)'!$P$5:$S$59,4,FALSE),0))</f>
        <v>13</v>
      </c>
      <c r="H15" s="57">
        <f t="shared" si="1"/>
        <v>1.4412416851441241E-2</v>
      </c>
      <c r="I15" s="67">
        <f>SUM($G$7:G15)</f>
        <v>45</v>
      </c>
      <c r="J15" s="59">
        <f t="shared" si="5"/>
        <v>4.9889135254988913E-2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202">
        <f t="shared" si="3"/>
        <v>66</v>
      </c>
      <c r="E16" s="202">
        <f t="shared" si="0"/>
        <v>2</v>
      </c>
      <c r="F16" s="199">
        <f t="shared" si="4"/>
        <v>93.35</v>
      </c>
      <c r="G16" s="196">
        <f>IF(D16=D15,"",_xlfn.IFNA(VLOOKUP(D16,'인원 입력 기능(직탐)'!$P$5:$S$59,4,FALSE),0))</f>
        <v>30</v>
      </c>
      <c r="H16" s="192">
        <f t="shared" si="1"/>
        <v>3.325942350332594E-2</v>
      </c>
      <c r="I16" s="189">
        <f>SUM($G$7:G16)</f>
        <v>75</v>
      </c>
      <c r="J16" s="162">
        <f t="shared" si="5"/>
        <v>8.3148558758314853E-2</v>
      </c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53">
        <v>40</v>
      </c>
      <c r="D17" s="201"/>
      <c r="E17" s="201"/>
      <c r="F17" s="198"/>
      <c r="G17" s="195"/>
      <c r="H17" s="194"/>
      <c r="I17" s="191"/>
      <c r="J17" s="188"/>
      <c r="K17" s="36"/>
      <c r="L17" s="20" t="str">
        <f t="shared" si="2"/>
        <v>경고</v>
      </c>
      <c r="N17" s="24"/>
      <c r="Q17" s="24">
        <f>Q7*H3*H4*J3*IFERROR(IF(J57=1, 1, 0), 0)</f>
        <v>15077442.967399999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65</v>
      </c>
      <c r="E18" s="54">
        <f t="shared" si="0"/>
        <v>2</v>
      </c>
      <c r="F18" s="55">
        <f t="shared" si="4"/>
        <v>90.8</v>
      </c>
      <c r="G18" s="56">
        <f>IF(D18=D17,"",_xlfn.IFNA(VLOOKUP(D18,'인원 입력 기능(직탐)'!$P$5:$S$59,4,FALSE),0))</f>
        <v>16</v>
      </c>
      <c r="H18" s="57">
        <f t="shared" si="1"/>
        <v>1.7738359201773836E-2</v>
      </c>
      <c r="I18" s="67">
        <f>SUM($G$7:G18)</f>
        <v>91</v>
      </c>
      <c r="J18" s="59">
        <f t="shared" si="5"/>
        <v>0.1008869179600887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64</v>
      </c>
      <c r="E19" s="54">
        <f t="shared" si="0"/>
        <v>2</v>
      </c>
      <c r="F19" s="55">
        <f t="shared" si="4"/>
        <v>89.02</v>
      </c>
      <c r="G19" s="56">
        <f>IF(D19=D18,"",_xlfn.IFNA(VLOOKUP(D19,'인원 입력 기능(직탐)'!$P$5:$S$59,4,FALSE),0))</f>
        <v>16</v>
      </c>
      <c r="H19" s="57">
        <f t="shared" si="1"/>
        <v>1.7738359201773836E-2</v>
      </c>
      <c r="I19" s="67">
        <f>SUM($G$7:G19)</f>
        <v>107</v>
      </c>
      <c r="J19" s="59">
        <f t="shared" si="5"/>
        <v>0.11862527716186252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63</v>
      </c>
      <c r="E20" s="54">
        <f t="shared" si="0"/>
        <v>3</v>
      </c>
      <c r="F20" s="55">
        <f t="shared" si="4"/>
        <v>86.81</v>
      </c>
      <c r="G20" s="56">
        <f>IF(D20=D19,"",_xlfn.IFNA(VLOOKUP(D20,'인원 입력 기능(직탐)'!$P$5:$S$59,4,FALSE),0))</f>
        <v>24</v>
      </c>
      <c r="H20" s="57">
        <f t="shared" si="1"/>
        <v>2.6607538802660754E-2</v>
      </c>
      <c r="I20" s="67">
        <f>SUM($G$7:G20)</f>
        <v>131</v>
      </c>
      <c r="J20" s="59">
        <f t="shared" si="5"/>
        <v>0.14523281596452328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62</v>
      </c>
      <c r="E21" s="68">
        <f t="shared" si="0"/>
        <v>3</v>
      </c>
      <c r="F21" s="55">
        <f t="shared" si="4"/>
        <v>84.92</v>
      </c>
      <c r="G21" s="56">
        <f>IF(D21=D20,"",_xlfn.IFNA(VLOOKUP(D21,'인원 입력 기능(직탐)'!$P$5:$S$59,4,FALSE),0))</f>
        <v>10</v>
      </c>
      <c r="H21" s="57">
        <f t="shared" si="1"/>
        <v>1.1086474501108648E-2</v>
      </c>
      <c r="I21" s="67">
        <f>SUM($G$7:G21)</f>
        <v>141</v>
      </c>
      <c r="J21" s="59">
        <f t="shared" si="5"/>
        <v>0.15631929046563192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61</v>
      </c>
      <c r="E22" s="68">
        <f t="shared" si="0"/>
        <v>3</v>
      </c>
      <c r="F22" s="55">
        <f t="shared" si="4"/>
        <v>83.43</v>
      </c>
      <c r="G22" s="56">
        <f>IF(D22=D21,"",_xlfn.IFNA(VLOOKUP(D22,'인원 입력 기능(직탐)'!$P$5:$S$59,4,FALSE),0))</f>
        <v>17</v>
      </c>
      <c r="H22" s="57">
        <f t="shared" si="1"/>
        <v>1.8847006651884702E-2</v>
      </c>
      <c r="I22" s="67">
        <f>SUM($G$7:G22)</f>
        <v>158</v>
      </c>
      <c r="J22" s="59">
        <f t="shared" si="5"/>
        <v>0.17516629711751663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60</v>
      </c>
      <c r="E23" s="68">
        <f t="shared" si="0"/>
        <v>3</v>
      </c>
      <c r="F23" s="55">
        <f t="shared" si="4"/>
        <v>81.709999999999994</v>
      </c>
      <c r="G23" s="56">
        <f>IF(D23=D22,"",_xlfn.IFNA(VLOOKUP(D23,'인원 입력 기능(직탐)'!$P$5:$S$59,4,FALSE),0))</f>
        <v>14</v>
      </c>
      <c r="H23" s="57">
        <f t="shared" si="1"/>
        <v>1.5521064301552107E-2</v>
      </c>
      <c r="I23" s="67">
        <f>SUM($G$7:G23)</f>
        <v>172</v>
      </c>
      <c r="J23" s="59">
        <f t="shared" si="5"/>
        <v>0.19068736141906872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59</v>
      </c>
      <c r="E24" s="68">
        <f t="shared" si="0"/>
        <v>3</v>
      </c>
      <c r="F24" s="55">
        <f t="shared" si="4"/>
        <v>79.819999999999993</v>
      </c>
      <c r="G24" s="56">
        <f>IF(D24=D23,"",_xlfn.IFNA(VLOOKUP(D24,'인원 입력 기능(직탐)'!$P$5:$S$59,4,FALSE),0))</f>
        <v>20</v>
      </c>
      <c r="H24" s="57">
        <f t="shared" si="1"/>
        <v>2.2172949002217297E-2</v>
      </c>
      <c r="I24" s="67">
        <f>SUM($G$7:G24)</f>
        <v>192</v>
      </c>
      <c r="J24" s="59">
        <f t="shared" si="5"/>
        <v>0.21286031042128603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58</v>
      </c>
      <c r="E25" s="68">
        <f t="shared" si="0"/>
        <v>3</v>
      </c>
      <c r="F25" s="55">
        <f t="shared" si="4"/>
        <v>77.27</v>
      </c>
      <c r="G25" s="56">
        <f>IF(D25=D24,"",_xlfn.IFNA(VLOOKUP(D25,'인원 입력 기능(직탐)'!$P$5:$S$59,4,FALSE),0))</f>
        <v>26</v>
      </c>
      <c r="H25" s="57">
        <f t="shared" si="1"/>
        <v>2.8824833702882482E-2</v>
      </c>
      <c r="I25" s="67">
        <f>SUM($G$7:G25)</f>
        <v>218</v>
      </c>
      <c r="J25" s="59">
        <f t="shared" si="5"/>
        <v>0.24168514412416853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57</v>
      </c>
      <c r="E26" s="68">
        <f t="shared" si="0"/>
        <v>4</v>
      </c>
      <c r="F26" s="55">
        <f t="shared" si="4"/>
        <v>74.45</v>
      </c>
      <c r="G26" s="56">
        <f>IF(D26=D25,"",_xlfn.IFNA(VLOOKUP(D26,'인원 입력 기능(직탐)'!$P$5:$S$59,4,FALSE),0))</f>
        <v>25</v>
      </c>
      <c r="H26" s="57">
        <f t="shared" si="1"/>
        <v>2.771618625277162E-2</v>
      </c>
      <c r="I26" s="67">
        <f>SUM($G$7:G26)</f>
        <v>243</v>
      </c>
      <c r="J26" s="59">
        <f t="shared" si="5"/>
        <v>0.26940133037694014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56</v>
      </c>
      <c r="E27" s="68">
        <f t="shared" si="0"/>
        <v>4</v>
      </c>
      <c r="F27" s="55">
        <f t="shared" si="4"/>
        <v>71.84</v>
      </c>
      <c r="G27" s="56">
        <f>IF(D27=D26,"",_xlfn.IFNA(VLOOKUP(D27,'인원 입력 기능(직탐)'!$P$5:$S$59,4,FALSE),0))</f>
        <v>22</v>
      </c>
      <c r="H27" s="57">
        <f t="shared" si="1"/>
        <v>2.4390243902439025E-2</v>
      </c>
      <c r="I27" s="67">
        <f>SUM($G$7:G27)</f>
        <v>265</v>
      </c>
      <c r="J27" s="59">
        <f t="shared" si="5"/>
        <v>0.29379157427937913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55</v>
      </c>
      <c r="E28" s="68">
        <f t="shared" si="0"/>
        <v>4</v>
      </c>
      <c r="F28" s="55">
        <f t="shared" si="4"/>
        <v>69.239999999999995</v>
      </c>
      <c r="G28" s="56">
        <f>IF(D28=D27,"",_xlfn.IFNA(VLOOKUP(D28,'인원 입력 기능(직탐)'!$P$5:$S$59,4,FALSE),0))</f>
        <v>25</v>
      </c>
      <c r="H28" s="57">
        <f t="shared" si="1"/>
        <v>2.771618625277162E-2</v>
      </c>
      <c r="I28" s="67">
        <f>SUM($G$7:G28)</f>
        <v>290</v>
      </c>
      <c r="J28" s="59">
        <f t="shared" si="5"/>
        <v>0.3215077605321508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54</v>
      </c>
      <c r="E29" s="68">
        <f t="shared" si="0"/>
        <v>4</v>
      </c>
      <c r="F29" s="55">
        <f t="shared" si="4"/>
        <v>66.459999999999994</v>
      </c>
      <c r="G29" s="56">
        <f>IF(D29=D28,"",_xlfn.IFNA(VLOOKUP(D29,'인원 입력 기능(직탐)'!$P$5:$S$59,4,FALSE),0))</f>
        <v>25</v>
      </c>
      <c r="H29" s="57">
        <f t="shared" si="1"/>
        <v>2.771618625277162E-2</v>
      </c>
      <c r="I29" s="67">
        <f>SUM($G$7:G29)</f>
        <v>315</v>
      </c>
      <c r="J29" s="59">
        <f t="shared" si="5"/>
        <v>0.34922394678492241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53</v>
      </c>
      <c r="E30" s="68">
        <f t="shared" si="0"/>
        <v>4</v>
      </c>
      <c r="F30" s="55">
        <f t="shared" si="4"/>
        <v>63.47</v>
      </c>
      <c r="G30" s="56">
        <f>IF(D30=D29,"",_xlfn.IFNA(VLOOKUP(D30,'인원 입력 기능(직탐)'!$P$5:$S$59,4,FALSE),0))</f>
        <v>29</v>
      </c>
      <c r="H30" s="57">
        <f t="shared" si="1"/>
        <v>3.2150776053215077E-2</v>
      </c>
      <c r="I30" s="67">
        <f>SUM($G$7:G30)</f>
        <v>344</v>
      </c>
      <c r="J30" s="59">
        <f t="shared" si="5"/>
        <v>0.38137472283813745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52</v>
      </c>
      <c r="E31" s="68">
        <f t="shared" si="0"/>
        <v>4</v>
      </c>
      <c r="F31" s="55">
        <f t="shared" si="4"/>
        <v>60.2</v>
      </c>
      <c r="G31" s="56">
        <f>IF(D31=D30,"",_xlfn.IFNA(VLOOKUP(D31,'인원 입력 기능(직탐)'!$P$5:$S$59,4,FALSE),0))</f>
        <v>30</v>
      </c>
      <c r="H31" s="57">
        <f t="shared" si="1"/>
        <v>3.325942350332594E-2</v>
      </c>
      <c r="I31" s="67">
        <f>SUM($G$7:G31)</f>
        <v>374</v>
      </c>
      <c r="J31" s="59">
        <f t="shared" si="5"/>
        <v>0.41463414634146339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51</v>
      </c>
      <c r="E32" s="68">
        <f t="shared" si="0"/>
        <v>5</v>
      </c>
      <c r="F32" s="55">
        <f t="shared" si="4"/>
        <v>54.93</v>
      </c>
      <c r="G32" s="56">
        <f>IF(D32=D31,"",_xlfn.IFNA(VLOOKUP(D32,'인원 입력 기능(직탐)'!$P$5:$S$59,4,FALSE),0))</f>
        <v>65</v>
      </c>
      <c r="H32" s="57">
        <f t="shared" si="1"/>
        <v>7.2062084257206213E-2</v>
      </c>
      <c r="I32" s="67">
        <f>SUM($G$7:G32)</f>
        <v>439</v>
      </c>
      <c r="J32" s="59">
        <f t="shared" si="5"/>
        <v>0.48669623059866962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212">
        <f t="shared" si="3"/>
        <v>50</v>
      </c>
      <c r="E33" s="212">
        <f t="shared" si="0"/>
        <v>5</v>
      </c>
      <c r="F33" s="199">
        <f t="shared" si="4"/>
        <v>49.67</v>
      </c>
      <c r="G33" s="196">
        <f>IF(D33=D32,"",_xlfn.IFNA(VLOOKUP(D33,'인원 입력 기능(직탐)'!$P$5:$S$59,4,FALSE),0))</f>
        <v>30</v>
      </c>
      <c r="H33" s="192">
        <f t="shared" si="1"/>
        <v>3.325942350332594E-2</v>
      </c>
      <c r="I33" s="189">
        <f>SUM($G$7:G33)</f>
        <v>469</v>
      </c>
      <c r="J33" s="162">
        <f t="shared" si="5"/>
        <v>0.51995565410199551</v>
      </c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69">
        <v>23</v>
      </c>
      <c r="D34" s="211"/>
      <c r="E34" s="211"/>
      <c r="F34" s="198"/>
      <c r="G34" s="195"/>
      <c r="H34" s="194"/>
      <c r="I34" s="191"/>
      <c r="J34" s="188"/>
      <c r="K34" s="36"/>
      <c r="L34" s="20" t="str">
        <f t="shared" si="2"/>
        <v>경고</v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49</v>
      </c>
      <c r="E35" s="68">
        <f t="shared" si="0"/>
        <v>5</v>
      </c>
      <c r="F35" s="55">
        <f t="shared" si="4"/>
        <v>46.73</v>
      </c>
      <c r="G35" s="56">
        <f>IF(D35=D34,"",_xlfn.IFNA(VLOOKUP(D35,'인원 입력 기능(직탐)'!$P$5:$S$59,4,FALSE),0))</f>
        <v>23</v>
      </c>
      <c r="H35" s="57">
        <f t="shared" si="1"/>
        <v>2.5498891352549888E-2</v>
      </c>
      <c r="I35" s="67">
        <f>SUM($G$7:G35)</f>
        <v>492</v>
      </c>
      <c r="J35" s="59">
        <f t="shared" si="5"/>
        <v>0.54545454545454541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48</v>
      </c>
      <c r="E36" s="68">
        <f t="shared" si="0"/>
        <v>5</v>
      </c>
      <c r="F36" s="55">
        <f t="shared" si="4"/>
        <v>44.12</v>
      </c>
      <c r="G36" s="56">
        <f>IF(D36=D35,"",_xlfn.IFNA(VLOOKUP(D36,'인원 입력 기능(직탐)'!$P$5:$S$59,4,FALSE),0))</f>
        <v>24</v>
      </c>
      <c r="H36" s="57">
        <f t="shared" si="1"/>
        <v>2.6607538802660754E-2</v>
      </c>
      <c r="I36" s="67">
        <f>SUM($G$7:G36)</f>
        <v>516</v>
      </c>
      <c r="J36" s="59">
        <f t="shared" si="5"/>
        <v>0.57206208425720617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47</v>
      </c>
      <c r="E37" s="68">
        <f t="shared" si="0"/>
        <v>5</v>
      </c>
      <c r="F37" s="55">
        <f t="shared" si="4"/>
        <v>41.35</v>
      </c>
      <c r="G37" s="56">
        <f>IF(D37=D36,"",_xlfn.IFNA(VLOOKUP(D37,'인원 입력 기능(직탐)'!$P$5:$S$59,4,FALSE),0))</f>
        <v>26</v>
      </c>
      <c r="H37" s="57">
        <f t="shared" si="1"/>
        <v>2.8824833702882482E-2</v>
      </c>
      <c r="I37" s="67">
        <f>SUM($G$7:G37)</f>
        <v>542</v>
      </c>
      <c r="J37" s="59">
        <f t="shared" si="5"/>
        <v>0.60088691796008864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46</v>
      </c>
      <c r="E38" s="68">
        <f t="shared" si="0"/>
        <v>6</v>
      </c>
      <c r="F38" s="55">
        <f t="shared" si="4"/>
        <v>37.86</v>
      </c>
      <c r="G38" s="56">
        <f>IF(D38=D37,"",_xlfn.IFNA(VLOOKUP(D38,'인원 입력 기능(직탐)'!$P$5:$S$59,4,FALSE),0))</f>
        <v>37</v>
      </c>
      <c r="H38" s="57">
        <f t="shared" si="1"/>
        <v>4.1019955654101999E-2</v>
      </c>
      <c r="I38" s="67">
        <f>SUM($G$7:G38)</f>
        <v>579</v>
      </c>
      <c r="J38" s="59">
        <f t="shared" si="5"/>
        <v>0.64190687361419074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45</v>
      </c>
      <c r="E39" s="68">
        <f t="shared" si="0"/>
        <v>6</v>
      </c>
      <c r="F39" s="55">
        <f t="shared" si="4"/>
        <v>34.42</v>
      </c>
      <c r="G39" s="56">
        <f>IF(D39=D38,"",_xlfn.IFNA(VLOOKUP(D39,'인원 입력 기능(직탐)'!$P$5:$S$59,4,FALSE),0))</f>
        <v>25</v>
      </c>
      <c r="H39" s="57">
        <f t="shared" si="1"/>
        <v>2.771618625277162E-2</v>
      </c>
      <c r="I39" s="67">
        <f>SUM($G$7:G39)</f>
        <v>604</v>
      </c>
      <c r="J39" s="59">
        <f t="shared" si="5"/>
        <v>0.66962305986696236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44</v>
      </c>
      <c r="E40" s="68">
        <f t="shared" si="0"/>
        <v>6</v>
      </c>
      <c r="F40" s="55">
        <f t="shared" si="4"/>
        <v>31.82</v>
      </c>
      <c r="G40" s="56">
        <f>IF(D40=D39,"",_xlfn.IFNA(VLOOKUP(D40,'인원 입력 기능(직탐)'!$P$5:$S$59,4,FALSE),0))</f>
        <v>22</v>
      </c>
      <c r="H40" s="57">
        <f t="shared" si="1"/>
        <v>2.4390243902439025E-2</v>
      </c>
      <c r="I40" s="67">
        <f>SUM($G$7:G40)</f>
        <v>626</v>
      </c>
      <c r="J40" s="59">
        <f t="shared" si="5"/>
        <v>0.69401330376940129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43</v>
      </c>
      <c r="E41" s="68">
        <f t="shared" si="0"/>
        <v>6</v>
      </c>
      <c r="F41" s="55">
        <f t="shared" si="4"/>
        <v>29.32</v>
      </c>
      <c r="G41" s="56">
        <f>IF(D41=D40,"",_xlfn.IFNA(VLOOKUP(D41,'인원 입력 기능(직탐)'!$P$5:$S$59,4,FALSE),0))</f>
        <v>23</v>
      </c>
      <c r="H41" s="57">
        <f t="shared" si="1"/>
        <v>2.5498891352549888E-2</v>
      </c>
      <c r="I41" s="67">
        <f>SUM($G$7:G41)</f>
        <v>649</v>
      </c>
      <c r="J41" s="59">
        <f t="shared" si="5"/>
        <v>0.71951219512195119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42</v>
      </c>
      <c r="E42" s="68">
        <f t="shared" si="0"/>
        <v>6</v>
      </c>
      <c r="F42" s="55">
        <f t="shared" si="4"/>
        <v>27.05</v>
      </c>
      <c r="G42" s="56">
        <f>IF(D42=D41,"",_xlfn.IFNA(VLOOKUP(D42,'인원 입력 기능(직탐)'!$P$5:$S$59,4,FALSE),0))</f>
        <v>18</v>
      </c>
      <c r="H42" s="57">
        <f t="shared" si="1"/>
        <v>1.9955654101995565E-2</v>
      </c>
      <c r="I42" s="67">
        <f>SUM($G$7:G42)</f>
        <v>667</v>
      </c>
      <c r="J42" s="59">
        <f t="shared" si="5"/>
        <v>0.73946784922394682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41</v>
      </c>
      <c r="E43" s="68">
        <f t="shared" si="0"/>
        <v>6</v>
      </c>
      <c r="F43" s="55">
        <f t="shared" si="4"/>
        <v>21.95</v>
      </c>
      <c r="G43" s="56">
        <f>IF(D43=D42,"",_xlfn.IFNA(VLOOKUP(D43,'인원 입력 기능(직탐)'!$P$5:$S$59,4,FALSE),0))</f>
        <v>74</v>
      </c>
      <c r="H43" s="57">
        <f t="shared" si="1"/>
        <v>8.2039911308203997E-2</v>
      </c>
      <c r="I43" s="67">
        <f>SUM($G$7:G43)</f>
        <v>741</v>
      </c>
      <c r="J43" s="59">
        <f t="shared" si="5"/>
        <v>0.8215077605321508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40</v>
      </c>
      <c r="E44" s="68">
        <f t="shared" si="0"/>
        <v>7</v>
      </c>
      <c r="F44" s="55">
        <f t="shared" si="4"/>
        <v>16.96</v>
      </c>
      <c r="G44" s="56">
        <f>IF(D44=D43,"",_xlfn.IFNA(VLOOKUP(D44,'인원 입력 기능(직탐)'!$P$5:$S$59,4,FALSE),0))</f>
        <v>16</v>
      </c>
      <c r="H44" s="57">
        <f t="shared" si="1"/>
        <v>1.7738359201773836E-2</v>
      </c>
      <c r="I44" s="67">
        <f>SUM($G$7:G44)</f>
        <v>757</v>
      </c>
      <c r="J44" s="59">
        <f t="shared" si="5"/>
        <v>0.8392461197339246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39</v>
      </c>
      <c r="E45" s="68">
        <f t="shared" si="0"/>
        <v>7</v>
      </c>
      <c r="F45" s="55">
        <f t="shared" si="4"/>
        <v>14.69</v>
      </c>
      <c r="G45" s="56">
        <f>IF(D45=D44,"",_xlfn.IFNA(VLOOKUP(D45,'인원 입력 기능(직탐)'!$P$5:$S$59,4,FALSE),0))</f>
        <v>25</v>
      </c>
      <c r="H45" s="57">
        <f t="shared" si="1"/>
        <v>2.771618625277162E-2</v>
      </c>
      <c r="I45" s="67">
        <f>SUM($G$7:G45)</f>
        <v>782</v>
      </c>
      <c r="J45" s="59">
        <f t="shared" si="5"/>
        <v>0.86696230598669621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38</v>
      </c>
      <c r="E46" s="68">
        <f t="shared" si="0"/>
        <v>7</v>
      </c>
      <c r="F46" s="55">
        <f t="shared" si="4"/>
        <v>12.14</v>
      </c>
      <c r="G46" s="56">
        <f>IF(D46=D45,"",_xlfn.IFNA(VLOOKUP(D46,'인원 입력 기능(직탐)'!$P$5:$S$59,4,FALSE),0))</f>
        <v>21</v>
      </c>
      <c r="H46" s="57">
        <f t="shared" si="1"/>
        <v>2.3281596452328159E-2</v>
      </c>
      <c r="I46" s="67">
        <f>SUM($G$7:G46)</f>
        <v>803</v>
      </c>
      <c r="J46" s="59">
        <f t="shared" si="5"/>
        <v>0.8902439024390244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37</v>
      </c>
      <c r="E47" s="68">
        <f t="shared" si="0"/>
        <v>8</v>
      </c>
      <c r="F47" s="55">
        <f t="shared" si="4"/>
        <v>9.98</v>
      </c>
      <c r="G47" s="56">
        <f>IF(D47=D46,"",_xlfn.IFNA(VLOOKUP(D47,'인원 입력 기능(직탐)'!$P$5:$S$59,4,FALSE),0))</f>
        <v>18</v>
      </c>
      <c r="H47" s="57">
        <f t="shared" si="1"/>
        <v>1.9955654101995565E-2</v>
      </c>
      <c r="I47" s="67">
        <f>SUM($G$7:G47)</f>
        <v>821</v>
      </c>
      <c r="J47" s="59">
        <f t="shared" si="5"/>
        <v>0.91019955654101992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36</v>
      </c>
      <c r="E48" s="68">
        <f t="shared" si="0"/>
        <v>8</v>
      </c>
      <c r="F48" s="55">
        <f t="shared" si="4"/>
        <v>7.98</v>
      </c>
      <c r="G48" s="56">
        <f>IF(D48=D47,"",_xlfn.IFNA(VLOOKUP(D48,'인원 입력 기능(직탐)'!$P$5:$S$59,4,FALSE),0))</f>
        <v>18</v>
      </c>
      <c r="H48" s="57">
        <f t="shared" si="1"/>
        <v>1.9955654101995565E-2</v>
      </c>
      <c r="I48" s="67">
        <f>SUM($G$7:G48)</f>
        <v>839</v>
      </c>
      <c r="J48" s="59">
        <f t="shared" si="5"/>
        <v>0.93015521064301554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212">
        <f t="shared" si="3"/>
        <v>35</v>
      </c>
      <c r="E49" s="212">
        <f t="shared" si="0"/>
        <v>8</v>
      </c>
      <c r="F49" s="199">
        <f t="shared" si="4"/>
        <v>5.32</v>
      </c>
      <c r="G49" s="196">
        <f>IF(D49=D48,"",_xlfn.IFNA(VLOOKUP(D49,'인원 입력 기능(직탐)'!$P$5:$S$59,4,FALSE),0))</f>
        <v>30</v>
      </c>
      <c r="H49" s="192">
        <f t="shared" si="1"/>
        <v>3.325942350332594E-2</v>
      </c>
      <c r="I49" s="189">
        <f>SUM($G$7:G49)</f>
        <v>869</v>
      </c>
      <c r="J49" s="162">
        <f t="shared" si="5"/>
        <v>0.96341463414634143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211"/>
      <c r="E50" s="211"/>
      <c r="F50" s="198"/>
      <c r="G50" s="195"/>
      <c r="H50" s="194"/>
      <c r="I50" s="191"/>
      <c r="J50" s="188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34</v>
      </c>
      <c r="E51" s="68">
        <f t="shared" si="0"/>
        <v>9</v>
      </c>
      <c r="F51" s="55">
        <f t="shared" si="4"/>
        <v>2.99</v>
      </c>
      <c r="G51" s="56">
        <f>IF(D51=D50,"",_xlfn.IFNA(VLOOKUP(D51,'인원 입력 기능(직탐)'!$P$5:$S$59,4,FALSE),0))</f>
        <v>12</v>
      </c>
      <c r="H51" s="57">
        <f t="shared" si="1"/>
        <v>1.3303769401330377E-2</v>
      </c>
      <c r="I51" s="67">
        <f>SUM($G$7:G51)</f>
        <v>881</v>
      </c>
      <c r="J51" s="59">
        <f t="shared" si="5"/>
        <v>0.97671840354767181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33</v>
      </c>
      <c r="E52" s="68">
        <f t="shared" si="0"/>
        <v>9</v>
      </c>
      <c r="F52" s="55">
        <f t="shared" si="4"/>
        <v>1.88</v>
      </c>
      <c r="G52" s="56">
        <f>IF(D52=D51,"",_xlfn.IFNA(VLOOKUP(D52,'인원 입력 기능(직탐)'!$P$5:$S$59,4,FALSE),0))</f>
        <v>8</v>
      </c>
      <c r="H52" s="57">
        <f t="shared" si="1"/>
        <v>8.869179600886918E-3</v>
      </c>
      <c r="I52" s="67">
        <f>SUM($G$7:G52)</f>
        <v>889</v>
      </c>
      <c r="J52" s="59">
        <f t="shared" si="5"/>
        <v>0.98558758314855877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32</v>
      </c>
      <c r="E53" s="54">
        <f t="shared" si="0"/>
        <v>9</v>
      </c>
      <c r="F53" s="55">
        <f t="shared" si="4"/>
        <v>1.22</v>
      </c>
      <c r="G53" s="56">
        <f>IF(D53=D52,"",_xlfn.IFNA(VLOOKUP(D53,'인원 입력 기능(직탐)'!$P$5:$S$59,4,FALSE),0))</f>
        <v>4</v>
      </c>
      <c r="H53" s="57">
        <f t="shared" si="1"/>
        <v>4.434589800443459E-3</v>
      </c>
      <c r="I53" s="67">
        <f>SUM($G$7:G53)</f>
        <v>893</v>
      </c>
      <c r="J53" s="59">
        <f t="shared" si="5"/>
        <v>0.99002217294900219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31</v>
      </c>
      <c r="E54" s="54">
        <f t="shared" si="0"/>
        <v>9</v>
      </c>
      <c r="F54" s="55">
        <f t="shared" si="4"/>
        <v>0.78</v>
      </c>
      <c r="G54" s="56">
        <f>IF(D54=D53,"",_xlfn.IFNA(VLOOKUP(D54,'인원 입력 기능(직탐)'!$P$5:$S$59,4,FALSE),0))</f>
        <v>4</v>
      </c>
      <c r="H54" s="57">
        <f t="shared" si="1"/>
        <v>4.434589800443459E-3</v>
      </c>
      <c r="I54" s="67">
        <f>SUM($G$7:G54)</f>
        <v>897</v>
      </c>
      <c r="J54" s="59">
        <f t="shared" si="5"/>
        <v>0.99445676274944572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30</v>
      </c>
      <c r="E55" s="54">
        <f t="shared" si="0"/>
        <v>9</v>
      </c>
      <c r="F55" s="55">
        <f t="shared" si="4"/>
        <v>0.44</v>
      </c>
      <c r="G55" s="56">
        <f>IF(D55=D54,"",_xlfn.IFNA(VLOOKUP(D55,'인원 입력 기능(직탐)'!$P$5:$S$59,4,FALSE),0))</f>
        <v>2</v>
      </c>
      <c r="H55" s="57">
        <f t="shared" si="1"/>
        <v>2.2172949002217295E-3</v>
      </c>
      <c r="I55" s="67">
        <f>SUM($G$7:G55)</f>
        <v>899</v>
      </c>
      <c r="J55" s="59">
        <f t="shared" si="5"/>
        <v>0.99667405764966743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28</v>
      </c>
      <c r="E57" s="109">
        <f t="shared" si="0"/>
        <v>9</v>
      </c>
      <c r="F57" s="74">
        <f>IF(I55=0,ROUND(100*(1-(I54+I57)/2/$J$3),2),ROUND(100*(1-(I55+I57)/2/$J$3),2))</f>
        <v>0.17</v>
      </c>
      <c r="G57" s="110">
        <f>_xlfn.IFNA(VLOOKUP(D57,'인원 입력 기능(직탐)'!$P$5:$S$59,4,FALSE),0)</f>
        <v>3</v>
      </c>
      <c r="H57" s="76">
        <f>G57/$J$3</f>
        <v>3.3259423503325942E-3</v>
      </c>
      <c r="I57" s="77">
        <f>SUM($G$7:G57)</f>
        <v>902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3">
    <mergeCell ref="I49:I50"/>
    <mergeCell ref="J49:J50"/>
    <mergeCell ref="D49:D50"/>
    <mergeCell ref="E49:E50"/>
    <mergeCell ref="F49:F50"/>
    <mergeCell ref="G49:G50"/>
    <mergeCell ref="H49:H50"/>
    <mergeCell ref="G16:G17"/>
    <mergeCell ref="H16:H17"/>
    <mergeCell ref="I16:I17"/>
    <mergeCell ref="J16:J17"/>
    <mergeCell ref="D33:D34"/>
    <mergeCell ref="E33:E34"/>
    <mergeCell ref="F33:F34"/>
    <mergeCell ref="G33:G34"/>
    <mergeCell ref="H33:H34"/>
    <mergeCell ref="I33:I34"/>
    <mergeCell ref="J33:J34"/>
    <mergeCell ref="D3:F3"/>
    <mergeCell ref="D4:F4"/>
    <mergeCell ref="D16:D17"/>
    <mergeCell ref="E16:E17"/>
    <mergeCell ref="F16:F17"/>
  </mergeCells>
  <phoneticPr fontId="1" type="noConversion"/>
  <conditionalFormatting sqref="D7:G16 I7:J16 D18:G33 I18:J33 D35:G49 I35:J49 D51:G57 I51:J57">
    <cfRule type="expression" dxfId="11" priority="4">
      <formula>OR($D7=$Q$7:$Q$14)</formula>
    </cfRule>
  </conditionalFormatting>
  <conditionalFormatting sqref="C7:C57">
    <cfRule type="expression" dxfId="10" priority="3">
      <formula>OR(AND($D7=0,OR($D6=$Q$7:$Q$14)),AND($D8&gt;0,OR($D7=$Q$7:$Q$14)))</formula>
    </cfRule>
  </conditionalFormatting>
  <conditionalFormatting sqref="D7:D16 D18:D33 D35:D49 D51:D57">
    <cfRule type="expression" dxfId="9" priority="2">
      <formula>$D7=$D8</formula>
    </cfRule>
  </conditionalFormatting>
  <conditionalFormatting sqref="H7:H16 H18:H33 H35:H49 H51:H57">
    <cfRule type="expression" dxfId="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3259F-F1DF-45C4-8AAF-68E84E1A3E35}">
  <sheetPr codeName="Sheet27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기능'!D25</f>
        <v>15.70</v>
      </c>
      <c r="I3" s="21" t="s">
        <v>124</v>
      </c>
      <c r="J3" s="81">
        <f>'통계 및 응시자 수 입력 기능'!C25</f>
        <v>82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139</v>
      </c>
      <c r="E4" s="153"/>
      <c r="F4" s="154"/>
      <c r="G4" s="83" t="s">
        <v>127</v>
      </c>
      <c r="H4" s="84" t="str">
        <f>'통계 및 응시자 수 입력 기능'!E25</f>
        <v xml:space="preserve"> 8.95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88</v>
      </c>
      <c r="E7" s="54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100</v>
      </c>
      <c r="G7" s="56">
        <f>_xlfn.IFNA(VLOOKUP(D7,'인원 입력 기능(직탐)'!$A$64:$D$116,4,FALSE),0)</f>
        <v>0</v>
      </c>
      <c r="H7" s="57">
        <f>G7/$J$3</f>
        <v>0</v>
      </c>
      <c r="I7" s="58">
        <f>G7</f>
        <v>0</v>
      </c>
      <c r="J7" s="59">
        <f>I7/$J$3</f>
        <v>0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기능'!C193</f>
        <v>69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기능'!C194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86</v>
      </c>
      <c r="E9" s="54">
        <f t="shared" si="0"/>
        <v>1</v>
      </c>
      <c r="F9" s="55">
        <f>IF(I8=0,ROUND(100*(1-(I7+I9)/2/$J$3),2),ROUND(100*(1-(I8+I9)/2/$J$3),2))</f>
        <v>100</v>
      </c>
      <c r="G9" s="56">
        <f>_xlfn.IFNA(VLOOKUP(D9,'인원 입력 기능(직탐)'!$A$64:$D$116,4,FALSE),0)</f>
        <v>0</v>
      </c>
      <c r="H9" s="57">
        <f t="shared" ref="H9:H55" si="1">G9/$J$3</f>
        <v>0</v>
      </c>
      <c r="I9" s="67">
        <f>SUM($G$7:G9)</f>
        <v>0</v>
      </c>
      <c r="J9" s="59">
        <f>I9/$J$3</f>
        <v>0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기능'!C195</f>
        <v>60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85</v>
      </c>
      <c r="E10" s="54">
        <f t="shared" si="0"/>
        <v>1</v>
      </c>
      <c r="F10" s="55">
        <f t="shared" ref="F10:F55" si="4">IF(I9=0,ROUND(100*(1-(I8+I10)/2/$J$3),2),ROUND(100*(1-(I9+I10)/2/$J$3),2))</f>
        <v>100</v>
      </c>
      <c r="G10" s="56">
        <f>IF(D10=D9,"",_xlfn.IFNA(VLOOKUP(D10,'인원 입력 기능(직탐)'!$A$64:$D$116,4,FALSE),0))</f>
        <v>0</v>
      </c>
      <c r="H10" s="57">
        <f t="shared" si="1"/>
        <v>0</v>
      </c>
      <c r="I10" s="67">
        <f>SUM($G$7:G10)</f>
        <v>0</v>
      </c>
      <c r="J10" s="59">
        <f t="shared" ref="J10:J55" si="5">I10/$J$3</f>
        <v>0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기능'!C196</f>
        <v>48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84</v>
      </c>
      <c r="E11" s="54">
        <f t="shared" si="0"/>
        <v>1</v>
      </c>
      <c r="F11" s="55">
        <f t="shared" si="4"/>
        <v>100</v>
      </c>
      <c r="G11" s="56">
        <f>IF(D11=D10,"",_xlfn.IFNA(VLOOKUP(D11,'인원 입력 기능(직탐)'!$A$64:$D$116,4,FALSE),0))</f>
        <v>0</v>
      </c>
      <c r="H11" s="57">
        <f t="shared" si="1"/>
        <v>0</v>
      </c>
      <c r="I11" s="67">
        <f>SUM($G$7:G11)</f>
        <v>0</v>
      </c>
      <c r="J11" s="59">
        <f t="shared" si="5"/>
        <v>0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기능'!C197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83</v>
      </c>
      <c r="E12" s="54">
        <f t="shared" si="0"/>
        <v>1</v>
      </c>
      <c r="F12" s="55">
        <f t="shared" si="4"/>
        <v>100</v>
      </c>
      <c r="G12" s="56">
        <f>IF(D12=D11,"",_xlfn.IFNA(VLOOKUP(D12,'인원 입력 기능(직탐)'!$A$64:$D$116,4,FALSE),0))</f>
        <v>0</v>
      </c>
      <c r="H12" s="57">
        <f t="shared" si="1"/>
        <v>0</v>
      </c>
      <c r="I12" s="67">
        <f>SUM($G$7:G12)</f>
        <v>0</v>
      </c>
      <c r="J12" s="59">
        <f t="shared" si="5"/>
        <v>0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기능'!C198</f>
        <v>43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82</v>
      </c>
      <c r="E13" s="54">
        <f t="shared" si="0"/>
        <v>1</v>
      </c>
      <c r="F13" s="55">
        <f t="shared" si="4"/>
        <v>100</v>
      </c>
      <c r="G13" s="56">
        <f>IF(D13=D12,"",_xlfn.IFNA(VLOOKUP(D13,'인원 입력 기능(직탐)'!$A$64:$D$116,4,FALSE),0))</f>
        <v>0</v>
      </c>
      <c r="H13" s="57">
        <f t="shared" si="1"/>
        <v>0</v>
      </c>
      <c r="I13" s="67">
        <f>SUM($G$7:G13)</f>
        <v>0</v>
      </c>
      <c r="J13" s="59">
        <f t="shared" si="5"/>
        <v>0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기능'!C199</f>
        <v>40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81</v>
      </c>
      <c r="E14" s="54">
        <f t="shared" si="0"/>
        <v>1</v>
      </c>
      <c r="F14" s="55">
        <f t="shared" si="4"/>
        <v>100</v>
      </c>
      <c r="G14" s="56">
        <f>IF(D14=D13,"",_xlfn.IFNA(VLOOKUP(D14,'인원 입력 기능(직탐)'!$A$64:$D$116,4,FALSE),0))</f>
        <v>0</v>
      </c>
      <c r="H14" s="57">
        <f t="shared" si="1"/>
        <v>0</v>
      </c>
      <c r="I14" s="67">
        <f>SUM($G$7:G14)</f>
        <v>0</v>
      </c>
      <c r="J14" s="59">
        <f t="shared" si="5"/>
        <v>0</v>
      </c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기능'!C200</f>
        <v>36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79</v>
      </c>
      <c r="E15" s="54">
        <f t="shared" si="0"/>
        <v>1</v>
      </c>
      <c r="F15" s="55">
        <f t="shared" si="4"/>
        <v>100</v>
      </c>
      <c r="G15" s="56">
        <f>IF(D15=D14,"",_xlfn.IFNA(VLOOKUP(D15,'인원 입력 기능(직탐)'!$A$64:$D$116,4,FALSE),0))</f>
        <v>0</v>
      </c>
      <c r="H15" s="57">
        <f t="shared" si="1"/>
        <v>0</v>
      </c>
      <c r="I15" s="67">
        <f>SUM($G$7:G15)</f>
        <v>0</v>
      </c>
      <c r="J15" s="59">
        <f t="shared" si="5"/>
        <v>0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78</v>
      </c>
      <c r="E16" s="54">
        <f t="shared" si="0"/>
        <v>1</v>
      </c>
      <c r="F16" s="55">
        <f t="shared" si="4"/>
        <v>100</v>
      </c>
      <c r="G16" s="56">
        <f>IF(D16=D15,"",_xlfn.IFNA(VLOOKUP(D16,'인원 입력 기능(직탐)'!$A$64:$D$116,4,FALSE),0))</f>
        <v>0</v>
      </c>
      <c r="H16" s="57">
        <f t="shared" si="1"/>
        <v>0</v>
      </c>
      <c r="I16" s="67">
        <f>SUM($G$7:G16)</f>
        <v>0</v>
      </c>
      <c r="J16" s="59">
        <f t="shared" si="5"/>
        <v>0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77</v>
      </c>
      <c r="E17" s="54">
        <f t="shared" si="0"/>
        <v>1</v>
      </c>
      <c r="F17" s="55">
        <f t="shared" si="4"/>
        <v>100</v>
      </c>
      <c r="G17" s="56">
        <f>IF(D17=D16,"",_xlfn.IFNA(VLOOKUP(D17,'인원 입력 기능(직탐)'!$A$64:$D$116,4,FALSE),0))</f>
        <v>0</v>
      </c>
      <c r="H17" s="57">
        <f t="shared" si="1"/>
        <v>0</v>
      </c>
      <c r="I17" s="67">
        <f>SUM($G$7:G17)</f>
        <v>0</v>
      </c>
      <c r="J17" s="59">
        <f t="shared" si="5"/>
        <v>0</v>
      </c>
      <c r="K17" s="36"/>
      <c r="L17" s="20" t="str">
        <f t="shared" si="2"/>
        <v/>
      </c>
      <c r="N17" s="24"/>
      <c r="Q17" s="24">
        <f>Q7*H3*H4*J3*IFERROR(IF(J57=1, 1, 0), 0)</f>
        <v>795033.86999999988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76</v>
      </c>
      <c r="E18" s="54">
        <f t="shared" si="0"/>
        <v>1</v>
      </c>
      <c r="F18" s="55">
        <f t="shared" si="4"/>
        <v>100</v>
      </c>
      <c r="G18" s="56">
        <f>IF(D18=D17,"",_xlfn.IFNA(VLOOKUP(D18,'인원 입력 기능(직탐)'!$A$64:$D$116,4,FALSE),0))</f>
        <v>0</v>
      </c>
      <c r="H18" s="57">
        <f t="shared" si="1"/>
        <v>0</v>
      </c>
      <c r="I18" s="67">
        <f>SUM($G$7:G18)</f>
        <v>0</v>
      </c>
      <c r="J18" s="59">
        <f t="shared" si="5"/>
        <v>0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75</v>
      </c>
      <c r="E19" s="54">
        <f t="shared" si="0"/>
        <v>1</v>
      </c>
      <c r="F19" s="55">
        <f t="shared" si="4"/>
        <v>100</v>
      </c>
      <c r="G19" s="56">
        <f>IF(D19=D18,"",_xlfn.IFNA(VLOOKUP(D19,'인원 입력 기능(직탐)'!$A$64:$D$116,4,FALSE),0))</f>
        <v>0</v>
      </c>
      <c r="H19" s="57">
        <f t="shared" si="1"/>
        <v>0</v>
      </c>
      <c r="I19" s="67">
        <f>SUM($G$7:G19)</f>
        <v>0</v>
      </c>
      <c r="J19" s="59">
        <f t="shared" si="5"/>
        <v>0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74</v>
      </c>
      <c r="E20" s="54">
        <f t="shared" si="0"/>
        <v>1</v>
      </c>
      <c r="F20" s="55">
        <f t="shared" si="4"/>
        <v>100</v>
      </c>
      <c r="G20" s="56">
        <f>IF(D20=D19,"",_xlfn.IFNA(VLOOKUP(D20,'인원 입력 기능(직탐)'!$A$64:$D$116,4,FALSE),0))</f>
        <v>0</v>
      </c>
      <c r="H20" s="57">
        <f t="shared" si="1"/>
        <v>0</v>
      </c>
      <c r="I20" s="67">
        <f>SUM($G$7:G20)</f>
        <v>0</v>
      </c>
      <c r="J20" s="59">
        <f t="shared" si="5"/>
        <v>0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73</v>
      </c>
      <c r="E21" s="68">
        <f t="shared" si="0"/>
        <v>1</v>
      </c>
      <c r="F21" s="55">
        <f t="shared" si="4"/>
        <v>100</v>
      </c>
      <c r="G21" s="56">
        <f>IF(D21=D20,"",_xlfn.IFNA(VLOOKUP(D21,'인원 입력 기능(직탐)'!$A$64:$D$116,4,FALSE),0))</f>
        <v>0</v>
      </c>
      <c r="H21" s="57">
        <f t="shared" si="1"/>
        <v>0</v>
      </c>
      <c r="I21" s="67">
        <f>SUM($G$7:G21)</f>
        <v>0</v>
      </c>
      <c r="J21" s="59">
        <f t="shared" si="5"/>
        <v>0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72</v>
      </c>
      <c r="E22" s="68">
        <f t="shared" si="0"/>
        <v>1</v>
      </c>
      <c r="F22" s="55">
        <f t="shared" si="4"/>
        <v>98.78</v>
      </c>
      <c r="G22" s="56">
        <f>IF(D22=D21,"",_xlfn.IFNA(VLOOKUP(D22,'인원 입력 기능(직탐)'!$A$64:$D$116,4,FALSE),0))</f>
        <v>2</v>
      </c>
      <c r="H22" s="57">
        <f t="shared" si="1"/>
        <v>2.4390243902439025E-2</v>
      </c>
      <c r="I22" s="67">
        <f>SUM($G$7:G22)</f>
        <v>2</v>
      </c>
      <c r="J22" s="59">
        <f t="shared" si="5"/>
        <v>2.4390243902439025E-2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70</v>
      </c>
      <c r="E23" s="68">
        <f t="shared" si="0"/>
        <v>1</v>
      </c>
      <c r="F23" s="55">
        <f t="shared" si="4"/>
        <v>97.56</v>
      </c>
      <c r="G23" s="56">
        <f>IF(D23=D22,"",_xlfn.IFNA(VLOOKUP(D23,'인원 입력 기능(직탐)'!$A$64:$D$116,4,FALSE),0))</f>
        <v>0</v>
      </c>
      <c r="H23" s="57">
        <f t="shared" si="1"/>
        <v>0</v>
      </c>
      <c r="I23" s="67">
        <f>SUM($G$7:G23)</f>
        <v>2</v>
      </c>
      <c r="J23" s="59">
        <f t="shared" si="5"/>
        <v>2.4390243902439025E-2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69</v>
      </c>
      <c r="E24" s="68">
        <f t="shared" si="0"/>
        <v>1</v>
      </c>
      <c r="F24" s="55">
        <f t="shared" si="4"/>
        <v>96.34</v>
      </c>
      <c r="G24" s="56">
        <f>IF(D24=D23,"",_xlfn.IFNA(VLOOKUP(D24,'인원 입력 기능(직탐)'!$A$64:$D$116,4,FALSE),0))</f>
        <v>2</v>
      </c>
      <c r="H24" s="57">
        <f t="shared" si="1"/>
        <v>2.4390243902439025E-2</v>
      </c>
      <c r="I24" s="67">
        <f>SUM($G$7:G24)</f>
        <v>4</v>
      </c>
      <c r="J24" s="59">
        <f t="shared" si="5"/>
        <v>4.878048780487805E-2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68</v>
      </c>
      <c r="E25" s="68">
        <f t="shared" si="0"/>
        <v>2</v>
      </c>
      <c r="F25" s="55">
        <f t="shared" si="4"/>
        <v>94.51</v>
      </c>
      <c r="G25" s="56">
        <f>IF(D25=D24,"",_xlfn.IFNA(VLOOKUP(D25,'인원 입력 기능(직탐)'!$A$64:$D$116,4,FALSE),0))</f>
        <v>1</v>
      </c>
      <c r="H25" s="57">
        <f t="shared" si="1"/>
        <v>1.2195121951219513E-2</v>
      </c>
      <c r="I25" s="67">
        <f>SUM($G$7:G25)</f>
        <v>5</v>
      </c>
      <c r="J25" s="59">
        <f t="shared" si="5"/>
        <v>6.097560975609756E-2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67</v>
      </c>
      <c r="E26" s="68">
        <f t="shared" si="0"/>
        <v>2</v>
      </c>
      <c r="F26" s="55">
        <f t="shared" si="4"/>
        <v>93.29</v>
      </c>
      <c r="G26" s="56">
        <f>IF(D26=D25,"",_xlfn.IFNA(VLOOKUP(D26,'인원 입력 기능(직탐)'!$A$64:$D$116,4,FALSE),0))</f>
        <v>1</v>
      </c>
      <c r="H26" s="57">
        <f t="shared" si="1"/>
        <v>1.2195121951219513E-2</v>
      </c>
      <c r="I26" s="67">
        <f>SUM($G$7:G26)</f>
        <v>6</v>
      </c>
      <c r="J26" s="59">
        <f t="shared" si="5"/>
        <v>7.3170731707317069E-2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66</v>
      </c>
      <c r="E27" s="68">
        <f t="shared" si="0"/>
        <v>2</v>
      </c>
      <c r="F27" s="55">
        <f t="shared" si="4"/>
        <v>91.46</v>
      </c>
      <c r="G27" s="56">
        <f>IF(D27=D26,"",_xlfn.IFNA(VLOOKUP(D27,'인원 입력 기능(직탐)'!$A$64:$D$116,4,FALSE),0))</f>
        <v>2</v>
      </c>
      <c r="H27" s="57">
        <f t="shared" si="1"/>
        <v>2.4390243902439025E-2</v>
      </c>
      <c r="I27" s="67">
        <f>SUM($G$7:G27)</f>
        <v>8</v>
      </c>
      <c r="J27" s="59">
        <f t="shared" si="5"/>
        <v>9.7560975609756101E-2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65</v>
      </c>
      <c r="E28" s="68">
        <f t="shared" si="0"/>
        <v>2</v>
      </c>
      <c r="F28" s="55">
        <f t="shared" si="4"/>
        <v>90.24</v>
      </c>
      <c r="G28" s="56">
        <f>IF(D28=D27,"",_xlfn.IFNA(VLOOKUP(D28,'인원 입력 기능(직탐)'!$A$64:$D$116,4,FALSE),0))</f>
        <v>0</v>
      </c>
      <c r="H28" s="57">
        <f t="shared" si="1"/>
        <v>0</v>
      </c>
      <c r="I28" s="67">
        <f>SUM($G$7:G28)</f>
        <v>8</v>
      </c>
      <c r="J28" s="59">
        <f t="shared" si="5"/>
        <v>9.7560975609756101E-2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64</v>
      </c>
      <c r="E29" s="68">
        <f t="shared" si="0"/>
        <v>2</v>
      </c>
      <c r="F29" s="55">
        <f t="shared" si="4"/>
        <v>86.59</v>
      </c>
      <c r="G29" s="56">
        <f>IF(D29=D28,"",_xlfn.IFNA(VLOOKUP(D29,'인원 입력 기능(직탐)'!$A$64:$D$116,4,FALSE),0))</f>
        <v>6</v>
      </c>
      <c r="H29" s="57">
        <f t="shared" si="1"/>
        <v>7.3170731707317069E-2</v>
      </c>
      <c r="I29" s="67">
        <f>SUM($G$7:G29)</f>
        <v>14</v>
      </c>
      <c r="J29" s="59">
        <f t="shared" si="5"/>
        <v>0.17073170731707318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63</v>
      </c>
      <c r="E30" s="68">
        <f t="shared" si="0"/>
        <v>3</v>
      </c>
      <c r="F30" s="55">
        <f t="shared" si="4"/>
        <v>81.709999999999994</v>
      </c>
      <c r="G30" s="56">
        <f>IF(D30=D29,"",_xlfn.IFNA(VLOOKUP(D30,'인원 입력 기능(직탐)'!$A$64:$D$116,4,FALSE),0))</f>
        <v>2</v>
      </c>
      <c r="H30" s="57">
        <f t="shared" si="1"/>
        <v>2.4390243902439025E-2</v>
      </c>
      <c r="I30" s="67">
        <f>SUM($G$7:G30)</f>
        <v>16</v>
      </c>
      <c r="J30" s="59">
        <f t="shared" si="5"/>
        <v>0.1951219512195122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62</v>
      </c>
      <c r="E31" s="68">
        <f t="shared" si="0"/>
        <v>3</v>
      </c>
      <c r="F31" s="55">
        <f t="shared" si="4"/>
        <v>79.27</v>
      </c>
      <c r="G31" s="56">
        <f>IF(D31=D30,"",_xlfn.IFNA(VLOOKUP(D31,'인원 입력 기능(직탐)'!$A$64:$D$116,4,FALSE),0))</f>
        <v>2</v>
      </c>
      <c r="H31" s="57">
        <f t="shared" si="1"/>
        <v>2.4390243902439025E-2</v>
      </c>
      <c r="I31" s="67">
        <f>SUM($G$7:G31)</f>
        <v>18</v>
      </c>
      <c r="J31" s="59">
        <f t="shared" si="5"/>
        <v>0.21951219512195122</v>
      </c>
      <c r="K31" s="36"/>
      <c r="L31" s="20" t="str">
        <f t="shared" si="2"/>
        <v>경고</v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60</v>
      </c>
      <c r="E32" s="68">
        <f t="shared" si="0"/>
        <v>3</v>
      </c>
      <c r="F32" s="55">
        <f t="shared" si="4"/>
        <v>77.44</v>
      </c>
      <c r="G32" s="56">
        <f>IF(D32=D31,"",_xlfn.IFNA(VLOOKUP(D32,'인원 입력 기능(직탐)'!$A$64:$D$116,4,FALSE),0))</f>
        <v>1</v>
      </c>
      <c r="H32" s="57">
        <f t="shared" si="1"/>
        <v>1.2195121951219513E-2</v>
      </c>
      <c r="I32" s="67">
        <f>SUM($G$7:G32)</f>
        <v>19</v>
      </c>
      <c r="J32" s="59">
        <f t="shared" si="5"/>
        <v>0.23170731707317074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59</v>
      </c>
      <c r="E33" s="68">
        <f t="shared" si="0"/>
        <v>4</v>
      </c>
      <c r="F33" s="55">
        <f t="shared" si="4"/>
        <v>76.83</v>
      </c>
      <c r="G33" s="56">
        <f>IF(D33=D32,"",_xlfn.IFNA(VLOOKUP(D33,'인원 입력 기능(직탐)'!$A$64:$D$116,4,FALSE),0))</f>
        <v>0</v>
      </c>
      <c r="H33" s="57">
        <f t="shared" si="1"/>
        <v>0</v>
      </c>
      <c r="I33" s="67">
        <f>SUM($G$7:G33)</f>
        <v>19</v>
      </c>
      <c r="J33" s="59">
        <f t="shared" si="5"/>
        <v>0.23170731707317074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58</v>
      </c>
      <c r="E34" s="68">
        <f t="shared" si="0"/>
        <v>4</v>
      </c>
      <c r="F34" s="55">
        <f t="shared" si="4"/>
        <v>75</v>
      </c>
      <c r="G34" s="56">
        <f>IF(D34=D33,"",_xlfn.IFNA(VLOOKUP(D34,'인원 입력 기능(직탐)'!$A$64:$D$116,4,FALSE),0))</f>
        <v>3</v>
      </c>
      <c r="H34" s="57">
        <f t="shared" si="1"/>
        <v>3.6585365853658534E-2</v>
      </c>
      <c r="I34" s="67">
        <f>SUM($G$7:G34)</f>
        <v>22</v>
      </c>
      <c r="J34" s="59">
        <f t="shared" si="5"/>
        <v>0.26829268292682928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57</v>
      </c>
      <c r="E35" s="68">
        <f t="shared" si="0"/>
        <v>4</v>
      </c>
      <c r="F35" s="55">
        <f t="shared" si="4"/>
        <v>72.56</v>
      </c>
      <c r="G35" s="56">
        <f>IF(D35=D34,"",_xlfn.IFNA(VLOOKUP(D35,'인원 입력 기능(직탐)'!$A$64:$D$116,4,FALSE),0))</f>
        <v>1</v>
      </c>
      <c r="H35" s="57">
        <f t="shared" si="1"/>
        <v>1.2195121951219513E-2</v>
      </c>
      <c r="I35" s="67">
        <f>SUM($G$7:G35)</f>
        <v>23</v>
      </c>
      <c r="J35" s="59">
        <f t="shared" si="5"/>
        <v>0.28048780487804881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56</v>
      </c>
      <c r="E36" s="68">
        <f t="shared" si="0"/>
        <v>4</v>
      </c>
      <c r="F36" s="55">
        <f t="shared" si="4"/>
        <v>70.12</v>
      </c>
      <c r="G36" s="56">
        <f>IF(D36=D35,"",_xlfn.IFNA(VLOOKUP(D36,'인원 입력 기능(직탐)'!$A$64:$D$116,4,FALSE),0))</f>
        <v>3</v>
      </c>
      <c r="H36" s="57">
        <f t="shared" si="1"/>
        <v>3.6585365853658534E-2</v>
      </c>
      <c r="I36" s="67">
        <f>SUM($G$7:G36)</f>
        <v>26</v>
      </c>
      <c r="J36" s="59">
        <f t="shared" si="5"/>
        <v>0.31707317073170732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55</v>
      </c>
      <c r="E37" s="68">
        <f t="shared" si="0"/>
        <v>4</v>
      </c>
      <c r="F37" s="55">
        <f t="shared" si="4"/>
        <v>67.069999999999993</v>
      </c>
      <c r="G37" s="56">
        <f>IF(D37=D36,"",_xlfn.IFNA(VLOOKUP(D37,'인원 입력 기능(직탐)'!$A$64:$D$116,4,FALSE),0))</f>
        <v>2</v>
      </c>
      <c r="H37" s="57">
        <f t="shared" si="1"/>
        <v>2.4390243902439025E-2</v>
      </c>
      <c r="I37" s="67">
        <f>SUM($G$7:G37)</f>
        <v>28</v>
      </c>
      <c r="J37" s="59">
        <f t="shared" si="5"/>
        <v>0.34146341463414637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54</v>
      </c>
      <c r="E38" s="68">
        <f t="shared" si="0"/>
        <v>4</v>
      </c>
      <c r="F38" s="55">
        <f t="shared" si="4"/>
        <v>64.63</v>
      </c>
      <c r="G38" s="56">
        <f>IF(D38=D37,"",_xlfn.IFNA(VLOOKUP(D38,'인원 입력 기능(직탐)'!$A$64:$D$116,4,FALSE),0))</f>
        <v>2</v>
      </c>
      <c r="H38" s="57">
        <f t="shared" si="1"/>
        <v>2.4390243902439025E-2</v>
      </c>
      <c r="I38" s="67">
        <f>SUM($G$7:G38)</f>
        <v>30</v>
      </c>
      <c r="J38" s="59">
        <f t="shared" si="5"/>
        <v>0.36585365853658536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53</v>
      </c>
      <c r="E39" s="68">
        <f t="shared" si="0"/>
        <v>4</v>
      </c>
      <c r="F39" s="55">
        <f t="shared" si="4"/>
        <v>63.41</v>
      </c>
      <c r="G39" s="56">
        <f>IF(D39=D38,"",_xlfn.IFNA(VLOOKUP(D39,'인원 입력 기능(직탐)'!$A$64:$D$116,4,FALSE),0))</f>
        <v>0</v>
      </c>
      <c r="H39" s="57">
        <f t="shared" si="1"/>
        <v>0</v>
      </c>
      <c r="I39" s="67">
        <f>SUM($G$7:G39)</f>
        <v>30</v>
      </c>
      <c r="J39" s="59">
        <f t="shared" si="5"/>
        <v>0.36585365853658536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51</v>
      </c>
      <c r="E40" s="68">
        <f t="shared" si="0"/>
        <v>4</v>
      </c>
      <c r="F40" s="55">
        <f t="shared" si="4"/>
        <v>63.41</v>
      </c>
      <c r="G40" s="56">
        <f>IF(D40=D39,"",_xlfn.IFNA(VLOOKUP(D40,'인원 입력 기능(직탐)'!$A$64:$D$116,4,FALSE),0))</f>
        <v>0</v>
      </c>
      <c r="H40" s="57">
        <f t="shared" si="1"/>
        <v>0</v>
      </c>
      <c r="I40" s="67">
        <f>SUM($G$7:G40)</f>
        <v>30</v>
      </c>
      <c r="J40" s="59">
        <f t="shared" si="5"/>
        <v>0.36585365853658536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50</v>
      </c>
      <c r="E41" s="68">
        <f t="shared" si="0"/>
        <v>4</v>
      </c>
      <c r="F41" s="55">
        <f t="shared" si="4"/>
        <v>63.41</v>
      </c>
      <c r="G41" s="56">
        <f>IF(D41=D40,"",_xlfn.IFNA(VLOOKUP(D41,'인원 입력 기능(직탐)'!$A$64:$D$116,4,FALSE),0))</f>
        <v>0</v>
      </c>
      <c r="H41" s="57">
        <f t="shared" si="1"/>
        <v>0</v>
      </c>
      <c r="I41" s="67">
        <f>SUM($G$7:G41)</f>
        <v>30</v>
      </c>
      <c r="J41" s="59">
        <f t="shared" si="5"/>
        <v>0.36585365853658536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49</v>
      </c>
      <c r="E42" s="68">
        <f t="shared" si="0"/>
        <v>4</v>
      </c>
      <c r="F42" s="55">
        <f t="shared" si="4"/>
        <v>62.2</v>
      </c>
      <c r="G42" s="56">
        <f>IF(D42=D41,"",_xlfn.IFNA(VLOOKUP(D42,'인원 입력 기능(직탐)'!$A$64:$D$116,4,FALSE),0))</f>
        <v>2</v>
      </c>
      <c r="H42" s="57">
        <f t="shared" si="1"/>
        <v>2.4390243902439025E-2</v>
      </c>
      <c r="I42" s="67">
        <f>SUM($G$7:G42)</f>
        <v>32</v>
      </c>
      <c r="J42" s="59">
        <f t="shared" si="5"/>
        <v>0.3902439024390244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48</v>
      </c>
      <c r="E43" s="68">
        <f t="shared" si="0"/>
        <v>4</v>
      </c>
      <c r="F43" s="55">
        <f t="shared" si="4"/>
        <v>59.76</v>
      </c>
      <c r="G43" s="56">
        <f>IF(D43=D42,"",_xlfn.IFNA(VLOOKUP(D43,'인원 입력 기능(직탐)'!$A$64:$D$116,4,FALSE),0))</f>
        <v>2</v>
      </c>
      <c r="H43" s="57">
        <f t="shared" si="1"/>
        <v>2.4390243902439025E-2</v>
      </c>
      <c r="I43" s="67">
        <f>SUM($G$7:G43)</f>
        <v>34</v>
      </c>
      <c r="J43" s="59">
        <f t="shared" si="5"/>
        <v>0.41463414634146339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47</v>
      </c>
      <c r="E44" s="68">
        <f t="shared" si="0"/>
        <v>5</v>
      </c>
      <c r="F44" s="55">
        <f t="shared" si="4"/>
        <v>57.93</v>
      </c>
      <c r="G44" s="56">
        <f>IF(D44=D43,"",_xlfn.IFNA(VLOOKUP(D44,'인원 입력 기능(직탐)'!$A$64:$D$116,4,FALSE),0))</f>
        <v>1</v>
      </c>
      <c r="H44" s="57">
        <f t="shared" si="1"/>
        <v>1.2195121951219513E-2</v>
      </c>
      <c r="I44" s="67">
        <f>SUM($G$7:G44)</f>
        <v>35</v>
      </c>
      <c r="J44" s="59">
        <f t="shared" si="5"/>
        <v>0.42682926829268292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46</v>
      </c>
      <c r="E45" s="68">
        <f t="shared" si="0"/>
        <v>5</v>
      </c>
      <c r="F45" s="55">
        <f t="shared" si="4"/>
        <v>48.17</v>
      </c>
      <c r="G45" s="56">
        <f>IF(D45=D44,"",_xlfn.IFNA(VLOOKUP(D45,'인원 입력 기능(직탐)'!$A$64:$D$116,4,FALSE),0))</f>
        <v>15</v>
      </c>
      <c r="H45" s="57">
        <f t="shared" si="1"/>
        <v>0.18292682926829268</v>
      </c>
      <c r="I45" s="67">
        <f>SUM($G$7:G45)</f>
        <v>50</v>
      </c>
      <c r="J45" s="59">
        <f t="shared" si="5"/>
        <v>0.6097560975609756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45</v>
      </c>
      <c r="E46" s="68">
        <f t="shared" si="0"/>
        <v>6</v>
      </c>
      <c r="F46" s="55">
        <f t="shared" si="4"/>
        <v>34.76</v>
      </c>
      <c r="G46" s="56">
        <f>IF(D46=D45,"",_xlfn.IFNA(VLOOKUP(D46,'인원 입력 기능(직탐)'!$A$64:$D$116,4,FALSE),0))</f>
        <v>7</v>
      </c>
      <c r="H46" s="57">
        <f t="shared" si="1"/>
        <v>8.5365853658536592E-2</v>
      </c>
      <c r="I46" s="67">
        <f>SUM($G$7:G46)</f>
        <v>57</v>
      </c>
      <c r="J46" s="59">
        <f t="shared" si="5"/>
        <v>0.69512195121951215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44</v>
      </c>
      <c r="E47" s="68">
        <f t="shared" si="0"/>
        <v>6</v>
      </c>
      <c r="F47" s="55">
        <f t="shared" si="4"/>
        <v>29.27</v>
      </c>
      <c r="G47" s="56">
        <f>IF(D47=D46,"",_xlfn.IFNA(VLOOKUP(D47,'인원 입력 기능(직탐)'!$A$64:$D$116,4,FALSE),0))</f>
        <v>2</v>
      </c>
      <c r="H47" s="57">
        <f t="shared" si="1"/>
        <v>2.4390243902439025E-2</v>
      </c>
      <c r="I47" s="67">
        <f>SUM($G$7:G47)</f>
        <v>59</v>
      </c>
      <c r="J47" s="59">
        <f t="shared" si="5"/>
        <v>0.71951219512195119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43</v>
      </c>
      <c r="E48" s="68">
        <f t="shared" si="0"/>
        <v>6</v>
      </c>
      <c r="F48" s="55">
        <f t="shared" si="4"/>
        <v>25</v>
      </c>
      <c r="G48" s="56">
        <f>IF(D48=D47,"",_xlfn.IFNA(VLOOKUP(D48,'인원 입력 기능(직탐)'!$A$64:$D$116,4,FALSE),0))</f>
        <v>5</v>
      </c>
      <c r="H48" s="57">
        <f t="shared" si="1"/>
        <v>6.097560975609756E-2</v>
      </c>
      <c r="I48" s="67">
        <f>SUM($G$7:G48)</f>
        <v>64</v>
      </c>
      <c r="J48" s="59">
        <f t="shared" si="5"/>
        <v>0.78048780487804881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41</v>
      </c>
      <c r="E49" s="68">
        <f t="shared" si="0"/>
        <v>7</v>
      </c>
      <c r="F49" s="55">
        <f t="shared" si="4"/>
        <v>20.12</v>
      </c>
      <c r="G49" s="56">
        <f>IF(D49=D48,"",_xlfn.IFNA(VLOOKUP(D49,'인원 입력 기능(직탐)'!$A$64:$D$116,4,FALSE),0))</f>
        <v>3</v>
      </c>
      <c r="H49" s="57">
        <f t="shared" si="1"/>
        <v>3.6585365853658534E-2</v>
      </c>
      <c r="I49" s="67">
        <f>SUM($G$7:G49)</f>
        <v>67</v>
      </c>
      <c r="J49" s="59">
        <f t="shared" si="5"/>
        <v>0.81707317073170727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40</v>
      </c>
      <c r="E50" s="68">
        <f t="shared" si="0"/>
        <v>7</v>
      </c>
      <c r="F50" s="55">
        <f t="shared" si="4"/>
        <v>14.02</v>
      </c>
      <c r="G50" s="56">
        <f>IF(D50=D49,"",_xlfn.IFNA(VLOOKUP(D50,'인원 입력 기능(직탐)'!$A$64:$D$116,4,FALSE),0))</f>
        <v>7</v>
      </c>
      <c r="H50" s="57">
        <f t="shared" si="1"/>
        <v>8.5365853658536592E-2</v>
      </c>
      <c r="I50" s="67">
        <f>SUM($G$7:G50)</f>
        <v>74</v>
      </c>
      <c r="J50" s="59">
        <f t="shared" si="5"/>
        <v>0.90243902439024393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39</v>
      </c>
      <c r="E51" s="68">
        <f t="shared" si="0"/>
        <v>8</v>
      </c>
      <c r="F51" s="55">
        <f t="shared" si="4"/>
        <v>8.5399999999999991</v>
      </c>
      <c r="G51" s="56">
        <f>IF(D51=D50,"",_xlfn.IFNA(VLOOKUP(D51,'인원 입력 기능(직탐)'!$A$64:$D$116,4,FALSE),0))</f>
        <v>2</v>
      </c>
      <c r="H51" s="57">
        <f t="shared" si="1"/>
        <v>2.4390243902439025E-2</v>
      </c>
      <c r="I51" s="67">
        <f>SUM($G$7:G51)</f>
        <v>76</v>
      </c>
      <c r="J51" s="59">
        <f t="shared" si="5"/>
        <v>0.92682926829268297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38</v>
      </c>
      <c r="E52" s="68">
        <f t="shared" si="0"/>
        <v>8</v>
      </c>
      <c r="F52" s="55">
        <f t="shared" si="4"/>
        <v>6.71</v>
      </c>
      <c r="G52" s="56">
        <f>IF(D52=D51,"",_xlfn.IFNA(VLOOKUP(D52,'인원 입력 기능(직탐)'!$A$64:$D$116,4,FALSE),0))</f>
        <v>1</v>
      </c>
      <c r="H52" s="57">
        <f t="shared" si="1"/>
        <v>1.2195121951219513E-2</v>
      </c>
      <c r="I52" s="67">
        <f>SUM($G$7:G52)</f>
        <v>77</v>
      </c>
      <c r="J52" s="59">
        <f t="shared" si="5"/>
        <v>0.93902439024390238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37</v>
      </c>
      <c r="E53" s="54">
        <f t="shared" si="0"/>
        <v>8</v>
      </c>
      <c r="F53" s="55">
        <f t="shared" si="4"/>
        <v>6.1</v>
      </c>
      <c r="G53" s="56">
        <f>IF(D53=D52,"",_xlfn.IFNA(VLOOKUP(D53,'인원 입력 기능(직탐)'!$A$64:$D$116,4,FALSE),0))</f>
        <v>0</v>
      </c>
      <c r="H53" s="57">
        <f t="shared" si="1"/>
        <v>0</v>
      </c>
      <c r="I53" s="67">
        <f>SUM($G$7:G53)</f>
        <v>77</v>
      </c>
      <c r="J53" s="59">
        <f t="shared" si="5"/>
        <v>0.93902439024390238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36</v>
      </c>
      <c r="E54" s="54">
        <f t="shared" si="0"/>
        <v>8</v>
      </c>
      <c r="F54" s="55">
        <f t="shared" si="4"/>
        <v>3.66</v>
      </c>
      <c r="G54" s="56">
        <f>IF(D54=D53,"",_xlfn.IFNA(VLOOKUP(D54,'인원 입력 기능(직탐)'!$A$64:$D$116,4,FALSE),0))</f>
        <v>4</v>
      </c>
      <c r="H54" s="57">
        <f t="shared" si="1"/>
        <v>4.878048780487805E-2</v>
      </c>
      <c r="I54" s="67">
        <f>SUM($G$7:G54)</f>
        <v>81</v>
      </c>
      <c r="J54" s="59">
        <f t="shared" si="5"/>
        <v>0.98780487804878048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35</v>
      </c>
      <c r="E55" s="54">
        <f t="shared" si="0"/>
        <v>9</v>
      </c>
      <c r="F55" s="55">
        <f t="shared" si="4"/>
        <v>0.61</v>
      </c>
      <c r="G55" s="56">
        <f>IF(D55=D54,"",_xlfn.IFNA(VLOOKUP(D55,'인원 입력 기능(직탐)'!$A$64:$D$116,4,FALSE),0))</f>
        <v>1</v>
      </c>
      <c r="H55" s="57">
        <f t="shared" si="1"/>
        <v>1.2195121951219513E-2</v>
      </c>
      <c r="I55" s="67">
        <f>SUM($G$7:G55)</f>
        <v>82</v>
      </c>
      <c r="J55" s="59">
        <f t="shared" si="5"/>
        <v>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32</v>
      </c>
      <c r="E57" s="109">
        <f t="shared" si="0"/>
        <v>9</v>
      </c>
      <c r="F57" s="74">
        <f>IF(I55=0,ROUND(100*(1-(I54+I57)/2/$J$3),2),ROUND(100*(1-(I55+I57)/2/$J$3),2))</f>
        <v>0</v>
      </c>
      <c r="G57" s="110">
        <f>_xlfn.IFNA(VLOOKUP(D57,'인원 입력 기능(직탐)'!$A$64:$D$116,4,FALSE),0)</f>
        <v>0</v>
      </c>
      <c r="H57" s="76">
        <f>G57/$J$3</f>
        <v>0</v>
      </c>
      <c r="I57" s="77">
        <f>SUM($G$7:G57)</f>
        <v>82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">
    <mergeCell ref="D3:F3"/>
    <mergeCell ref="D4:F4"/>
  </mergeCells>
  <phoneticPr fontId="1" type="noConversion"/>
  <conditionalFormatting sqref="D7:G57 I7:J57">
    <cfRule type="expression" dxfId="7" priority="4">
      <formula>OR($D7=$Q$7:$Q$14)</formula>
    </cfRule>
  </conditionalFormatting>
  <conditionalFormatting sqref="C7:C57">
    <cfRule type="expression" dxfId="6" priority="3">
      <formula>OR(AND($D7=0,OR($D6=$Q$7:$Q$14)),AND($D8&gt;0,OR($D7=$Q$7:$Q$14)))</formula>
    </cfRule>
  </conditionalFormatting>
  <conditionalFormatting sqref="D7:D57">
    <cfRule type="expression" dxfId="5" priority="2">
      <formula>$D7=$D8</formula>
    </cfRule>
  </conditionalFormatting>
  <conditionalFormatting sqref="H7:H57">
    <cfRule type="expression" dxfId="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93F9E-E852-45CA-BC6B-1933AFC9535B}">
  <sheetPr codeName="Sheet28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8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기능'!D26</f>
        <v>20.72</v>
      </c>
      <c r="I3" s="21" t="s">
        <v>124</v>
      </c>
      <c r="J3" s="81">
        <f>'통계 및 응시자 수 입력 기능'!C26</f>
        <v>476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125</v>
      </c>
      <c r="D4" s="152" t="s">
        <v>138</v>
      </c>
      <c r="E4" s="153"/>
      <c r="F4" s="154"/>
      <c r="G4" s="83" t="s">
        <v>127</v>
      </c>
      <c r="H4" s="84" t="str">
        <f>'통계 및 응시자 수 입력 기능'!E26</f>
        <v xml:space="preserve"> 9.26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82</v>
      </c>
      <c r="E7" s="54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100</v>
      </c>
      <c r="G7" s="56">
        <f>_xlfn.IFNA(VLOOKUP(D7,'인원 입력 기능(직탐)'!$F$64:$I$116,4,FALSE),0)</f>
        <v>0</v>
      </c>
      <c r="H7" s="57">
        <f>G7/$J$3</f>
        <v>0</v>
      </c>
      <c r="I7" s="58">
        <f>G7</f>
        <v>0</v>
      </c>
      <c r="J7" s="59">
        <f>I7/$J$3</f>
        <v>0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기능'!C202</f>
        <v>66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기능'!C203</f>
        <v>62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79</v>
      </c>
      <c r="E9" s="54">
        <f t="shared" si="0"/>
        <v>1</v>
      </c>
      <c r="F9" s="55">
        <f>IF(I8=0,ROUND(100*(1-(I7+I9)/2/$J$3),2),ROUND(100*(1-(I8+I9)/2/$J$3),2))</f>
        <v>100</v>
      </c>
      <c r="G9" s="56">
        <f>_xlfn.IFNA(VLOOKUP(D9,'인원 입력 기능(직탐)'!$F$64:$I$116,4,FALSE),0)</f>
        <v>0</v>
      </c>
      <c r="H9" s="57">
        <f t="shared" ref="H9:H55" si="1">G9/$J$3</f>
        <v>0</v>
      </c>
      <c r="I9" s="67">
        <f>SUM($G$7:G9)</f>
        <v>0</v>
      </c>
      <c r="J9" s="59">
        <f>I9/$J$3</f>
        <v>0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기능'!C204</f>
        <v>59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78</v>
      </c>
      <c r="E10" s="54">
        <f t="shared" si="0"/>
        <v>1</v>
      </c>
      <c r="F10" s="55">
        <f t="shared" ref="F10:F55" si="4">IF(I9=0,ROUND(100*(1-(I8+I10)/2/$J$3),2),ROUND(100*(1-(I9+I10)/2/$J$3),2))</f>
        <v>100</v>
      </c>
      <c r="G10" s="56">
        <f>IF(D10=D9,"",_xlfn.IFNA(VLOOKUP(D10,'인원 입력 기능(직탐)'!$F$64:$I$116,4,FALSE),0))</f>
        <v>0</v>
      </c>
      <c r="H10" s="57">
        <f t="shared" si="1"/>
        <v>0</v>
      </c>
      <c r="I10" s="67">
        <f>SUM($G$7:G10)</f>
        <v>0</v>
      </c>
      <c r="J10" s="59">
        <f t="shared" ref="J10:J55" si="5">I10/$J$3</f>
        <v>0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기능'!C205</f>
        <v>54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77</v>
      </c>
      <c r="E11" s="54">
        <f t="shared" si="0"/>
        <v>1</v>
      </c>
      <c r="F11" s="55">
        <f t="shared" si="4"/>
        <v>100</v>
      </c>
      <c r="G11" s="56">
        <f>IF(D11=D10,"",_xlfn.IFNA(VLOOKUP(D11,'인원 입력 기능(직탐)'!$F$64:$I$116,4,FALSE),0))</f>
        <v>0</v>
      </c>
      <c r="H11" s="57">
        <f t="shared" si="1"/>
        <v>0</v>
      </c>
      <c r="I11" s="67">
        <f>SUM($G$7:G11)</f>
        <v>0</v>
      </c>
      <c r="J11" s="59">
        <f t="shared" si="5"/>
        <v>0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기능'!C206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76</v>
      </c>
      <c r="E12" s="54">
        <f t="shared" si="0"/>
        <v>1</v>
      </c>
      <c r="F12" s="55">
        <f t="shared" si="4"/>
        <v>99.89</v>
      </c>
      <c r="G12" s="56">
        <f>IF(D12=D11,"",_xlfn.IFNA(VLOOKUP(D12,'인원 입력 기능(직탐)'!$F$64:$I$116,4,FALSE),0))</f>
        <v>1</v>
      </c>
      <c r="H12" s="57">
        <f t="shared" si="1"/>
        <v>2.1008403361344537E-3</v>
      </c>
      <c r="I12" s="67">
        <f>SUM($G$7:G12)</f>
        <v>1</v>
      </c>
      <c r="J12" s="59">
        <f t="shared" si="5"/>
        <v>2.1008403361344537E-3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기능'!C207</f>
        <v>41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75</v>
      </c>
      <c r="E13" s="54">
        <f t="shared" si="0"/>
        <v>1</v>
      </c>
      <c r="F13" s="55">
        <f t="shared" si="4"/>
        <v>99.68</v>
      </c>
      <c r="G13" s="56">
        <f>IF(D13=D12,"",_xlfn.IFNA(VLOOKUP(D13,'인원 입력 기능(직탐)'!$F$64:$I$116,4,FALSE),0))</f>
        <v>1</v>
      </c>
      <c r="H13" s="57">
        <f t="shared" si="1"/>
        <v>2.1008403361344537E-3</v>
      </c>
      <c r="I13" s="67">
        <f>SUM($G$7:G13)</f>
        <v>2</v>
      </c>
      <c r="J13" s="59">
        <f t="shared" si="5"/>
        <v>4.2016806722689074E-3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기능'!C208</f>
        <v>37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74</v>
      </c>
      <c r="E14" s="54">
        <f t="shared" si="0"/>
        <v>1</v>
      </c>
      <c r="F14" s="55">
        <f t="shared" si="4"/>
        <v>99.58</v>
      </c>
      <c r="G14" s="56">
        <f>IF(D14=D13,"",_xlfn.IFNA(VLOOKUP(D14,'인원 입력 기능(직탐)'!$F$64:$I$116,4,FALSE),0))</f>
        <v>0</v>
      </c>
      <c r="H14" s="57">
        <f t="shared" si="1"/>
        <v>0</v>
      </c>
      <c r="I14" s="67">
        <f>SUM($G$7:G14)</f>
        <v>2</v>
      </c>
      <c r="J14" s="59">
        <f t="shared" si="5"/>
        <v>4.2016806722689074E-3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기능'!C209</f>
        <v>35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73</v>
      </c>
      <c r="E15" s="54">
        <f t="shared" si="0"/>
        <v>1</v>
      </c>
      <c r="F15" s="55">
        <f t="shared" si="4"/>
        <v>99.58</v>
      </c>
      <c r="G15" s="56">
        <f>IF(D15=D14,"",_xlfn.IFNA(VLOOKUP(D15,'인원 입력 기능(직탐)'!$F$64:$I$116,4,FALSE),0))</f>
        <v>0</v>
      </c>
      <c r="H15" s="57">
        <f t="shared" si="1"/>
        <v>0</v>
      </c>
      <c r="I15" s="67">
        <f>SUM($G$7:G15)</f>
        <v>2</v>
      </c>
      <c r="J15" s="59">
        <f t="shared" si="5"/>
        <v>4.2016806722689074E-3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72</v>
      </c>
      <c r="E16" s="54">
        <f t="shared" si="0"/>
        <v>1</v>
      </c>
      <c r="F16" s="55">
        <f t="shared" si="4"/>
        <v>99.26</v>
      </c>
      <c r="G16" s="56">
        <f>IF(D16=D15,"",_xlfn.IFNA(VLOOKUP(D16,'인원 입력 기능(직탐)'!$F$64:$I$116,4,FALSE),0))</f>
        <v>3</v>
      </c>
      <c r="H16" s="57">
        <f t="shared" si="1"/>
        <v>6.3025210084033615E-3</v>
      </c>
      <c r="I16" s="67">
        <f>SUM($G$7:G16)</f>
        <v>5</v>
      </c>
      <c r="J16" s="59">
        <f t="shared" si="5"/>
        <v>1.050420168067227E-2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71</v>
      </c>
      <c r="E17" s="54">
        <f t="shared" si="0"/>
        <v>1</v>
      </c>
      <c r="F17" s="55">
        <f t="shared" si="4"/>
        <v>98.84</v>
      </c>
      <c r="G17" s="56">
        <f>IF(D17=D16,"",_xlfn.IFNA(VLOOKUP(D17,'인원 입력 기능(직탐)'!$F$64:$I$116,4,FALSE),0))</f>
        <v>1</v>
      </c>
      <c r="H17" s="57">
        <f t="shared" si="1"/>
        <v>2.1008403361344537E-3</v>
      </c>
      <c r="I17" s="67">
        <f>SUM($G$7:G17)</f>
        <v>6</v>
      </c>
      <c r="J17" s="59">
        <f t="shared" si="5"/>
        <v>1.2605042016806723E-2</v>
      </c>
      <c r="K17" s="36"/>
      <c r="L17" s="20" t="str">
        <f t="shared" si="2"/>
        <v/>
      </c>
      <c r="N17" s="24"/>
      <c r="Q17" s="24">
        <f>Q7*H3*H4*J3*IFERROR(IF(J57=1, 1, 0), 0)</f>
        <v>6027699.9551999997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70</v>
      </c>
      <c r="E18" s="54">
        <f t="shared" si="0"/>
        <v>1</v>
      </c>
      <c r="F18" s="55">
        <f t="shared" si="4"/>
        <v>98.63</v>
      </c>
      <c r="G18" s="56">
        <f>IF(D18=D17,"",_xlfn.IFNA(VLOOKUP(D18,'인원 입력 기능(직탐)'!$F$64:$I$116,4,FALSE),0))</f>
        <v>1</v>
      </c>
      <c r="H18" s="57">
        <f t="shared" si="1"/>
        <v>2.1008403361344537E-3</v>
      </c>
      <c r="I18" s="67">
        <f>SUM($G$7:G18)</f>
        <v>7</v>
      </c>
      <c r="J18" s="59">
        <f t="shared" si="5"/>
        <v>1.4705882352941176E-2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69</v>
      </c>
      <c r="E19" s="54">
        <f t="shared" si="0"/>
        <v>1</v>
      </c>
      <c r="F19" s="55">
        <f t="shared" si="4"/>
        <v>98.21</v>
      </c>
      <c r="G19" s="56">
        <f>IF(D19=D18,"",_xlfn.IFNA(VLOOKUP(D19,'인원 입력 기능(직탐)'!$F$64:$I$116,4,FALSE),0))</f>
        <v>3</v>
      </c>
      <c r="H19" s="57">
        <f t="shared" si="1"/>
        <v>6.3025210084033615E-3</v>
      </c>
      <c r="I19" s="67">
        <f>SUM($G$7:G19)</f>
        <v>10</v>
      </c>
      <c r="J19" s="59">
        <f t="shared" si="5"/>
        <v>2.100840336134454E-2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68</v>
      </c>
      <c r="E20" s="54">
        <f t="shared" si="0"/>
        <v>1</v>
      </c>
      <c r="F20" s="55">
        <f t="shared" si="4"/>
        <v>97.37</v>
      </c>
      <c r="G20" s="56">
        <f>IF(D20=D19,"",_xlfn.IFNA(VLOOKUP(D20,'인원 입력 기능(직탐)'!$F$64:$I$116,4,FALSE),0))</f>
        <v>5</v>
      </c>
      <c r="H20" s="57">
        <f t="shared" si="1"/>
        <v>1.050420168067227E-2</v>
      </c>
      <c r="I20" s="67">
        <f>SUM($G$7:G20)</f>
        <v>15</v>
      </c>
      <c r="J20" s="59">
        <f t="shared" si="5"/>
        <v>3.1512605042016806E-2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v>66</v>
      </c>
      <c r="E21" s="68">
        <f t="shared" si="0"/>
        <v>1</v>
      </c>
      <c r="F21" s="55">
        <f t="shared" si="4"/>
        <v>96.32</v>
      </c>
      <c r="G21" s="56">
        <f>IF(D21=D20,"",_xlfn.IFNA(VLOOKUP(D21,'인원 입력 기능(직탐)'!$F$64:$I$116,4,FALSE),0))</f>
        <v>5</v>
      </c>
      <c r="H21" s="57">
        <f t="shared" si="1"/>
        <v>1.050420168067227E-2</v>
      </c>
      <c r="I21" s="67">
        <f>SUM($G$7:G21)</f>
        <v>20</v>
      </c>
      <c r="J21" s="59">
        <f t="shared" si="5"/>
        <v>4.2016806722689079E-2</v>
      </c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65</v>
      </c>
      <c r="E22" s="68">
        <f t="shared" si="0"/>
        <v>2</v>
      </c>
      <c r="F22" s="55">
        <f t="shared" si="4"/>
        <v>94.64</v>
      </c>
      <c r="G22" s="56">
        <f>IF(D22=D21,"",_xlfn.IFNA(VLOOKUP(D22,'인원 입력 기능(직탐)'!$F$64:$I$116,4,FALSE),0))</f>
        <v>11</v>
      </c>
      <c r="H22" s="57">
        <f t="shared" si="1"/>
        <v>2.3109243697478993E-2</v>
      </c>
      <c r="I22" s="67">
        <f>SUM($G$7:G22)</f>
        <v>31</v>
      </c>
      <c r="J22" s="59">
        <f t="shared" si="5"/>
        <v>6.5126050420168072E-2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64</v>
      </c>
      <c r="E23" s="68">
        <f t="shared" si="0"/>
        <v>2</v>
      </c>
      <c r="F23" s="55">
        <f t="shared" si="4"/>
        <v>92.75</v>
      </c>
      <c r="G23" s="56">
        <f>IF(D23=D22,"",_xlfn.IFNA(VLOOKUP(D23,'인원 입력 기능(직탐)'!$F$64:$I$116,4,FALSE),0))</f>
        <v>7</v>
      </c>
      <c r="H23" s="57">
        <f t="shared" si="1"/>
        <v>1.4705882352941176E-2</v>
      </c>
      <c r="I23" s="67">
        <f>SUM($G$7:G23)</f>
        <v>38</v>
      </c>
      <c r="J23" s="59">
        <f t="shared" si="5"/>
        <v>7.9831932773109238E-2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63</v>
      </c>
      <c r="E24" s="68">
        <f t="shared" si="0"/>
        <v>2</v>
      </c>
      <c r="F24" s="55">
        <f t="shared" si="4"/>
        <v>90.86</v>
      </c>
      <c r="G24" s="56">
        <f>IF(D24=D23,"",_xlfn.IFNA(VLOOKUP(D24,'인원 입력 기능(직탐)'!$F$64:$I$116,4,FALSE),0))</f>
        <v>11</v>
      </c>
      <c r="H24" s="57">
        <f t="shared" si="1"/>
        <v>2.3109243697478993E-2</v>
      </c>
      <c r="I24" s="67">
        <f>SUM($G$7:G24)</f>
        <v>49</v>
      </c>
      <c r="J24" s="59">
        <f t="shared" si="5"/>
        <v>0.10294117647058823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62</v>
      </c>
      <c r="E25" s="68">
        <f t="shared" si="0"/>
        <v>2</v>
      </c>
      <c r="F25" s="55">
        <f t="shared" si="4"/>
        <v>88.24</v>
      </c>
      <c r="G25" s="56">
        <f>IF(D25=D24,"",_xlfn.IFNA(VLOOKUP(D25,'인원 입력 기능(직탐)'!$F$64:$I$116,4,FALSE),0))</f>
        <v>14</v>
      </c>
      <c r="H25" s="57">
        <f t="shared" si="1"/>
        <v>2.9411764705882353E-2</v>
      </c>
      <c r="I25" s="67">
        <f>SUM($G$7:G25)</f>
        <v>63</v>
      </c>
      <c r="J25" s="59">
        <f t="shared" si="5"/>
        <v>0.13235294117647059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61</v>
      </c>
      <c r="E26" s="68">
        <f t="shared" si="0"/>
        <v>3</v>
      </c>
      <c r="F26" s="55">
        <f t="shared" si="4"/>
        <v>85.4</v>
      </c>
      <c r="G26" s="56">
        <f>IF(D26=D25,"",_xlfn.IFNA(VLOOKUP(D26,'인원 입력 기능(직탐)'!$F$64:$I$116,4,FALSE),0))</f>
        <v>13</v>
      </c>
      <c r="H26" s="57">
        <f t="shared" si="1"/>
        <v>2.7310924369747899E-2</v>
      </c>
      <c r="I26" s="67">
        <f>SUM($G$7:G26)</f>
        <v>76</v>
      </c>
      <c r="J26" s="59">
        <f t="shared" si="5"/>
        <v>0.15966386554621848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60</v>
      </c>
      <c r="E27" s="68">
        <f t="shared" si="0"/>
        <v>3</v>
      </c>
      <c r="F27" s="55">
        <f t="shared" si="4"/>
        <v>81.83</v>
      </c>
      <c r="G27" s="56">
        <f>IF(D27=D26,"",_xlfn.IFNA(VLOOKUP(D27,'인원 입력 기능(직탐)'!$F$64:$I$116,4,FALSE),0))</f>
        <v>21</v>
      </c>
      <c r="H27" s="57">
        <f t="shared" si="1"/>
        <v>4.4117647058823532E-2</v>
      </c>
      <c r="I27" s="67">
        <f>SUM($G$7:G27)</f>
        <v>97</v>
      </c>
      <c r="J27" s="59">
        <f t="shared" si="5"/>
        <v>0.20378151260504201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59</v>
      </c>
      <c r="E28" s="68">
        <f t="shared" si="0"/>
        <v>3</v>
      </c>
      <c r="F28" s="55">
        <f t="shared" si="4"/>
        <v>77.209999999999994</v>
      </c>
      <c r="G28" s="56">
        <f>IF(D28=D27,"",_xlfn.IFNA(VLOOKUP(D28,'인원 입력 기능(직탐)'!$F$64:$I$116,4,FALSE),0))</f>
        <v>23</v>
      </c>
      <c r="H28" s="57">
        <f t="shared" si="1"/>
        <v>4.8319327731092439E-2</v>
      </c>
      <c r="I28" s="67">
        <f>SUM($G$7:G28)</f>
        <v>120</v>
      </c>
      <c r="J28" s="59">
        <f t="shared" si="5"/>
        <v>0.25210084033613445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58</v>
      </c>
      <c r="E29" s="68">
        <f t="shared" si="0"/>
        <v>4</v>
      </c>
      <c r="F29" s="55">
        <f t="shared" si="4"/>
        <v>72.900000000000006</v>
      </c>
      <c r="G29" s="56">
        <f>IF(D29=D28,"",_xlfn.IFNA(VLOOKUP(D29,'인원 입력 기능(직탐)'!$F$64:$I$116,4,FALSE),0))</f>
        <v>18</v>
      </c>
      <c r="H29" s="57">
        <f t="shared" si="1"/>
        <v>3.7815126050420166E-2</v>
      </c>
      <c r="I29" s="67">
        <f>SUM($G$7:G29)</f>
        <v>138</v>
      </c>
      <c r="J29" s="59">
        <f t="shared" si="5"/>
        <v>0.28991596638655465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57</v>
      </c>
      <c r="E30" s="68">
        <f t="shared" si="0"/>
        <v>4</v>
      </c>
      <c r="F30" s="55">
        <f t="shared" si="4"/>
        <v>69.010000000000005</v>
      </c>
      <c r="G30" s="56">
        <f>IF(D30=D29,"",_xlfn.IFNA(VLOOKUP(D30,'인원 입력 기능(직탐)'!$F$64:$I$116,4,FALSE),0))</f>
        <v>19</v>
      </c>
      <c r="H30" s="57">
        <f t="shared" si="1"/>
        <v>3.9915966386554619E-2</v>
      </c>
      <c r="I30" s="67">
        <f>SUM($G$7:G30)</f>
        <v>157</v>
      </c>
      <c r="J30" s="59">
        <f t="shared" si="5"/>
        <v>0.32983193277310924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56</v>
      </c>
      <c r="E31" s="68">
        <f t="shared" si="0"/>
        <v>4</v>
      </c>
      <c r="F31" s="55">
        <f t="shared" si="4"/>
        <v>65.55</v>
      </c>
      <c r="G31" s="56">
        <f>IF(D31=D30,"",_xlfn.IFNA(VLOOKUP(D31,'인원 입력 기능(직탐)'!$F$64:$I$116,4,FALSE),0))</f>
        <v>14</v>
      </c>
      <c r="H31" s="57">
        <f t="shared" si="1"/>
        <v>2.9411764705882353E-2</v>
      </c>
      <c r="I31" s="67">
        <f>SUM($G$7:G31)</f>
        <v>171</v>
      </c>
      <c r="J31" s="59">
        <f t="shared" si="5"/>
        <v>0.3592436974789916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55</v>
      </c>
      <c r="E32" s="68">
        <f t="shared" si="0"/>
        <v>4</v>
      </c>
      <c r="F32" s="55">
        <f t="shared" si="4"/>
        <v>62.29</v>
      </c>
      <c r="G32" s="56">
        <f>IF(D32=D31,"",_xlfn.IFNA(VLOOKUP(D32,'인원 입력 기능(직탐)'!$F$64:$I$116,4,FALSE),0))</f>
        <v>17</v>
      </c>
      <c r="H32" s="57">
        <f t="shared" si="1"/>
        <v>3.5714285714285712E-2</v>
      </c>
      <c r="I32" s="67">
        <f>SUM($G$7:G32)</f>
        <v>188</v>
      </c>
      <c r="J32" s="59">
        <f t="shared" si="5"/>
        <v>0.3949579831932773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54</v>
      </c>
      <c r="E33" s="68">
        <f t="shared" si="0"/>
        <v>4</v>
      </c>
      <c r="F33" s="55">
        <f t="shared" si="4"/>
        <v>58.93</v>
      </c>
      <c r="G33" s="56">
        <f>IF(D33=D32,"",_xlfn.IFNA(VLOOKUP(D33,'인원 입력 기능(직탐)'!$F$64:$I$116,4,FALSE),0))</f>
        <v>15</v>
      </c>
      <c r="H33" s="57">
        <f t="shared" si="1"/>
        <v>3.1512605042016806E-2</v>
      </c>
      <c r="I33" s="67">
        <f>SUM($G$7:G33)</f>
        <v>203</v>
      </c>
      <c r="J33" s="59">
        <f t="shared" si="5"/>
        <v>0.4264705882352941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52</v>
      </c>
      <c r="E34" s="68">
        <f t="shared" si="0"/>
        <v>5</v>
      </c>
      <c r="F34" s="55">
        <f t="shared" si="4"/>
        <v>55.78</v>
      </c>
      <c r="G34" s="56">
        <f>IF(D34=D33,"",_xlfn.IFNA(VLOOKUP(D34,'인원 입력 기능(직탐)'!$F$64:$I$116,4,FALSE),0))</f>
        <v>15</v>
      </c>
      <c r="H34" s="57">
        <f t="shared" si="1"/>
        <v>3.1512605042016806E-2</v>
      </c>
      <c r="I34" s="67">
        <f>SUM($G$7:G34)</f>
        <v>218</v>
      </c>
      <c r="J34" s="59">
        <f t="shared" si="5"/>
        <v>0.45798319327731091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51</v>
      </c>
      <c r="E35" s="68">
        <f t="shared" si="0"/>
        <v>5</v>
      </c>
      <c r="F35" s="55">
        <f t="shared" si="4"/>
        <v>52.52</v>
      </c>
      <c r="G35" s="56">
        <f>IF(D35=D34,"",_xlfn.IFNA(VLOOKUP(D35,'인원 입력 기능(직탐)'!$F$64:$I$116,4,FALSE),0))</f>
        <v>16</v>
      </c>
      <c r="H35" s="57">
        <f t="shared" si="1"/>
        <v>3.3613445378151259E-2</v>
      </c>
      <c r="I35" s="67">
        <f>SUM($G$7:G35)</f>
        <v>234</v>
      </c>
      <c r="J35" s="59">
        <f t="shared" si="5"/>
        <v>0.49159663865546216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50</v>
      </c>
      <c r="E36" s="68">
        <f t="shared" si="0"/>
        <v>5</v>
      </c>
      <c r="F36" s="55">
        <f t="shared" si="4"/>
        <v>49.79</v>
      </c>
      <c r="G36" s="56">
        <f>IF(D36=D35,"",_xlfn.IFNA(VLOOKUP(D36,'인원 입력 기능(직탐)'!$F$64:$I$116,4,FALSE),0))</f>
        <v>10</v>
      </c>
      <c r="H36" s="57">
        <f t="shared" si="1"/>
        <v>2.100840336134454E-2</v>
      </c>
      <c r="I36" s="67">
        <f>SUM($G$7:G36)</f>
        <v>244</v>
      </c>
      <c r="J36" s="59">
        <f t="shared" si="5"/>
        <v>0.51260504201680668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49</v>
      </c>
      <c r="E37" s="68">
        <f t="shared" si="0"/>
        <v>5</v>
      </c>
      <c r="F37" s="55">
        <f t="shared" si="4"/>
        <v>47.37</v>
      </c>
      <c r="G37" s="56">
        <f>IF(D37=D36,"",_xlfn.IFNA(VLOOKUP(D37,'인원 입력 기능(직탐)'!$F$64:$I$116,4,FALSE),0))</f>
        <v>13</v>
      </c>
      <c r="H37" s="57">
        <f t="shared" si="1"/>
        <v>2.7310924369747899E-2</v>
      </c>
      <c r="I37" s="67">
        <f>SUM($G$7:G37)</f>
        <v>257</v>
      </c>
      <c r="J37" s="59">
        <f t="shared" si="5"/>
        <v>0.53991596638655459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48</v>
      </c>
      <c r="E38" s="68">
        <f t="shared" si="0"/>
        <v>5</v>
      </c>
      <c r="F38" s="55">
        <f t="shared" si="4"/>
        <v>44.75</v>
      </c>
      <c r="G38" s="56">
        <f>IF(D38=D37,"",_xlfn.IFNA(VLOOKUP(D38,'인원 입력 기능(직탐)'!$F$64:$I$116,4,FALSE),0))</f>
        <v>12</v>
      </c>
      <c r="H38" s="57">
        <f t="shared" si="1"/>
        <v>2.5210084033613446E-2</v>
      </c>
      <c r="I38" s="67">
        <f>SUM($G$7:G38)</f>
        <v>269</v>
      </c>
      <c r="J38" s="59">
        <f t="shared" si="5"/>
        <v>0.56512605042016806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47</v>
      </c>
      <c r="E39" s="68">
        <f t="shared" si="0"/>
        <v>5</v>
      </c>
      <c r="F39" s="55">
        <f t="shared" si="4"/>
        <v>42.02</v>
      </c>
      <c r="G39" s="56">
        <f>IF(D39=D38,"",_xlfn.IFNA(VLOOKUP(D39,'인원 입력 기능(직탐)'!$F$64:$I$116,4,FALSE),0))</f>
        <v>14</v>
      </c>
      <c r="H39" s="57">
        <f t="shared" si="1"/>
        <v>2.9411764705882353E-2</v>
      </c>
      <c r="I39" s="67">
        <f>SUM($G$7:G39)</f>
        <v>283</v>
      </c>
      <c r="J39" s="59">
        <f t="shared" si="5"/>
        <v>0.59453781512605042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46</v>
      </c>
      <c r="E40" s="68">
        <f t="shared" si="0"/>
        <v>5</v>
      </c>
      <c r="F40" s="55">
        <f t="shared" si="4"/>
        <v>39.6</v>
      </c>
      <c r="G40" s="56">
        <f>IF(D40=D39,"",_xlfn.IFNA(VLOOKUP(D40,'인원 입력 기능(직탐)'!$F$64:$I$116,4,FALSE),0))</f>
        <v>9</v>
      </c>
      <c r="H40" s="57">
        <f t="shared" si="1"/>
        <v>1.8907563025210083E-2</v>
      </c>
      <c r="I40" s="67">
        <f>SUM($G$7:G40)</f>
        <v>292</v>
      </c>
      <c r="J40" s="59">
        <f t="shared" si="5"/>
        <v>0.61344537815126055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45</v>
      </c>
      <c r="E41" s="68">
        <f t="shared" si="0"/>
        <v>6</v>
      </c>
      <c r="F41" s="55">
        <f t="shared" si="4"/>
        <v>37.71</v>
      </c>
      <c r="G41" s="56">
        <f>IF(D41=D40,"",_xlfn.IFNA(VLOOKUP(D41,'인원 입력 기능(직탐)'!$F$64:$I$116,4,FALSE),0))</f>
        <v>9</v>
      </c>
      <c r="H41" s="57">
        <f t="shared" si="1"/>
        <v>1.8907563025210083E-2</v>
      </c>
      <c r="I41" s="67">
        <f>SUM($G$7:G41)</f>
        <v>301</v>
      </c>
      <c r="J41" s="59">
        <f t="shared" si="5"/>
        <v>0.63235294117647056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44</v>
      </c>
      <c r="E42" s="68">
        <f t="shared" si="0"/>
        <v>6</v>
      </c>
      <c r="F42" s="55">
        <f t="shared" si="4"/>
        <v>35.08</v>
      </c>
      <c r="G42" s="56">
        <f>IF(D42=D41,"",_xlfn.IFNA(VLOOKUP(D42,'인원 입력 기능(직탐)'!$F$64:$I$116,4,FALSE),0))</f>
        <v>16</v>
      </c>
      <c r="H42" s="57">
        <f t="shared" si="1"/>
        <v>3.3613445378151259E-2</v>
      </c>
      <c r="I42" s="67">
        <f>SUM($G$7:G42)</f>
        <v>317</v>
      </c>
      <c r="J42" s="59">
        <f t="shared" si="5"/>
        <v>0.66596638655462181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43</v>
      </c>
      <c r="E43" s="68">
        <f t="shared" si="0"/>
        <v>6</v>
      </c>
      <c r="F43" s="55">
        <f t="shared" si="4"/>
        <v>32.46</v>
      </c>
      <c r="G43" s="56">
        <f>IF(D43=D42,"",_xlfn.IFNA(VLOOKUP(D43,'인원 입력 기능(직탐)'!$F$64:$I$116,4,FALSE),0))</f>
        <v>9</v>
      </c>
      <c r="H43" s="57">
        <f t="shared" si="1"/>
        <v>1.8907563025210083E-2</v>
      </c>
      <c r="I43" s="67">
        <f>SUM($G$7:G43)</f>
        <v>326</v>
      </c>
      <c r="J43" s="59">
        <f t="shared" si="5"/>
        <v>0.68487394957983194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42</v>
      </c>
      <c r="E44" s="68">
        <f t="shared" si="0"/>
        <v>6</v>
      </c>
      <c r="F44" s="55">
        <f t="shared" si="4"/>
        <v>30.88</v>
      </c>
      <c r="G44" s="56">
        <f>IF(D44=D43,"",_xlfn.IFNA(VLOOKUP(D44,'인원 입력 기능(직탐)'!$F$64:$I$116,4,FALSE),0))</f>
        <v>6</v>
      </c>
      <c r="H44" s="57">
        <f t="shared" si="1"/>
        <v>1.2605042016806723E-2</v>
      </c>
      <c r="I44" s="67">
        <f>SUM($G$7:G44)</f>
        <v>332</v>
      </c>
      <c r="J44" s="59">
        <f t="shared" si="5"/>
        <v>0.69747899159663862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41</v>
      </c>
      <c r="E45" s="68">
        <f t="shared" si="0"/>
        <v>6</v>
      </c>
      <c r="F45" s="55">
        <f t="shared" si="4"/>
        <v>24.68</v>
      </c>
      <c r="G45" s="56">
        <f>IF(D45=D44,"",_xlfn.IFNA(VLOOKUP(D45,'인원 입력 기능(직탐)'!$F$64:$I$116,4,FALSE),0))</f>
        <v>53</v>
      </c>
      <c r="H45" s="57">
        <f t="shared" si="1"/>
        <v>0.11134453781512606</v>
      </c>
      <c r="I45" s="67">
        <f>SUM($G$7:G45)</f>
        <v>385</v>
      </c>
      <c r="J45" s="59">
        <f t="shared" si="5"/>
        <v>0.80882352941176472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40</v>
      </c>
      <c r="E46" s="68">
        <f t="shared" si="0"/>
        <v>7</v>
      </c>
      <c r="F46" s="55">
        <f t="shared" si="4"/>
        <v>16.28</v>
      </c>
      <c r="G46" s="56">
        <f>IF(D46=D45,"",_xlfn.IFNA(VLOOKUP(D46,'인원 입력 기능(직탐)'!$F$64:$I$116,4,FALSE),0))</f>
        <v>27</v>
      </c>
      <c r="H46" s="57">
        <f t="shared" si="1"/>
        <v>5.6722689075630252E-2</v>
      </c>
      <c r="I46" s="67">
        <f>SUM($G$7:G46)</f>
        <v>412</v>
      </c>
      <c r="J46" s="59">
        <f t="shared" si="5"/>
        <v>0.86554621848739499</v>
      </c>
      <c r="K46" s="36"/>
      <c r="L46" s="20" t="str">
        <f t="shared" si="2"/>
        <v>경고</v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38</v>
      </c>
      <c r="E47" s="68">
        <f t="shared" si="0"/>
        <v>7</v>
      </c>
      <c r="F47" s="55">
        <f t="shared" si="4"/>
        <v>12.71</v>
      </c>
      <c r="G47" s="56">
        <f>IF(D47=D46,"",_xlfn.IFNA(VLOOKUP(D47,'인원 입력 기능(직탐)'!$F$64:$I$116,4,FALSE),0))</f>
        <v>7</v>
      </c>
      <c r="H47" s="57">
        <f t="shared" si="1"/>
        <v>1.4705882352941176E-2</v>
      </c>
      <c r="I47" s="67">
        <f>SUM($G$7:G47)</f>
        <v>419</v>
      </c>
      <c r="J47" s="59">
        <f t="shared" si="5"/>
        <v>0.88025210084033612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37</v>
      </c>
      <c r="E48" s="68">
        <f t="shared" si="0"/>
        <v>7</v>
      </c>
      <c r="F48" s="55">
        <f t="shared" si="4"/>
        <v>11.13</v>
      </c>
      <c r="G48" s="56">
        <f>IF(D48=D47,"",_xlfn.IFNA(VLOOKUP(D48,'인원 입력 기능(직탐)'!$F$64:$I$116,4,FALSE),0))</f>
        <v>8</v>
      </c>
      <c r="H48" s="57">
        <f t="shared" si="1"/>
        <v>1.680672268907563E-2</v>
      </c>
      <c r="I48" s="67">
        <f>SUM($G$7:G48)</f>
        <v>427</v>
      </c>
      <c r="J48" s="59">
        <f t="shared" si="5"/>
        <v>0.8970588235294118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36</v>
      </c>
      <c r="E49" s="68">
        <f t="shared" si="0"/>
        <v>8</v>
      </c>
      <c r="F49" s="55">
        <f t="shared" si="4"/>
        <v>7.35</v>
      </c>
      <c r="G49" s="56">
        <f>IF(D49=D48,"",_xlfn.IFNA(VLOOKUP(D49,'인원 입력 기능(직탐)'!$F$64:$I$116,4,FALSE),0))</f>
        <v>28</v>
      </c>
      <c r="H49" s="57">
        <f t="shared" si="1"/>
        <v>5.8823529411764705E-2</v>
      </c>
      <c r="I49" s="67">
        <f>SUM($G$7:G49)</f>
        <v>455</v>
      </c>
      <c r="J49" s="59">
        <f t="shared" si="5"/>
        <v>0.95588235294117652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35</v>
      </c>
      <c r="E50" s="68">
        <f t="shared" si="0"/>
        <v>8</v>
      </c>
      <c r="F50" s="55">
        <f t="shared" si="4"/>
        <v>3.57</v>
      </c>
      <c r="G50" s="56">
        <f>IF(D50=D49,"",_xlfn.IFNA(VLOOKUP(D50,'인원 입력 기능(직탐)'!$F$64:$I$116,4,FALSE),0))</f>
        <v>8</v>
      </c>
      <c r="H50" s="57">
        <f t="shared" si="1"/>
        <v>1.680672268907563E-2</v>
      </c>
      <c r="I50" s="67">
        <f>SUM($G$7:G50)</f>
        <v>463</v>
      </c>
      <c r="J50" s="59">
        <f t="shared" si="5"/>
        <v>0.97268907563025209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34</v>
      </c>
      <c r="E51" s="68">
        <f t="shared" si="0"/>
        <v>9</v>
      </c>
      <c r="F51" s="55">
        <f t="shared" si="4"/>
        <v>2.63</v>
      </c>
      <c r="G51" s="56">
        <f>IF(D51=D50,"",_xlfn.IFNA(VLOOKUP(D51,'인원 입력 기능(직탐)'!$F$64:$I$116,4,FALSE),0))</f>
        <v>1</v>
      </c>
      <c r="H51" s="57">
        <f t="shared" si="1"/>
        <v>2.1008403361344537E-3</v>
      </c>
      <c r="I51" s="67">
        <f>SUM($G$7:G51)</f>
        <v>464</v>
      </c>
      <c r="J51" s="59">
        <f t="shared" si="5"/>
        <v>0.97478991596638653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33</v>
      </c>
      <c r="E52" s="68">
        <f t="shared" si="0"/>
        <v>9</v>
      </c>
      <c r="F52" s="55">
        <f t="shared" si="4"/>
        <v>1.89</v>
      </c>
      <c r="G52" s="56">
        <f>IF(D52=D51,"",_xlfn.IFNA(VLOOKUP(D52,'인원 입력 기능(직탐)'!$F$64:$I$116,4,FALSE),0))</f>
        <v>6</v>
      </c>
      <c r="H52" s="57">
        <f t="shared" si="1"/>
        <v>1.2605042016806723E-2</v>
      </c>
      <c r="I52" s="67">
        <f>SUM($G$7:G52)</f>
        <v>470</v>
      </c>
      <c r="J52" s="59">
        <f t="shared" si="5"/>
        <v>0.98739495798319332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32</v>
      </c>
      <c r="E53" s="54">
        <f t="shared" si="0"/>
        <v>9</v>
      </c>
      <c r="F53" s="55">
        <f t="shared" si="4"/>
        <v>1.26</v>
      </c>
      <c r="G53" s="56">
        <f>IF(D53=D52,"",_xlfn.IFNA(VLOOKUP(D53,'인원 입력 기능(직탐)'!$F$64:$I$116,4,FALSE),0))</f>
        <v>0</v>
      </c>
      <c r="H53" s="57">
        <f t="shared" si="1"/>
        <v>0</v>
      </c>
      <c r="I53" s="67">
        <f>SUM($G$7:G53)</f>
        <v>470</v>
      </c>
      <c r="J53" s="59">
        <f t="shared" si="5"/>
        <v>0.98739495798319332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31</v>
      </c>
      <c r="E54" s="54">
        <f t="shared" si="0"/>
        <v>9</v>
      </c>
      <c r="F54" s="55">
        <f t="shared" si="4"/>
        <v>0.95</v>
      </c>
      <c r="G54" s="56">
        <f>IF(D54=D53,"",_xlfn.IFNA(VLOOKUP(D54,'인원 입력 기능(직탐)'!$F$64:$I$116,4,FALSE),0))</f>
        <v>3</v>
      </c>
      <c r="H54" s="57">
        <f t="shared" si="1"/>
        <v>6.3025210084033615E-3</v>
      </c>
      <c r="I54" s="67">
        <f>SUM($G$7:G54)</f>
        <v>473</v>
      </c>
      <c r="J54" s="59">
        <f t="shared" si="5"/>
        <v>0.99369747899159666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30</v>
      </c>
      <c r="E55" s="54">
        <f t="shared" si="0"/>
        <v>9</v>
      </c>
      <c r="F55" s="55">
        <f t="shared" si="4"/>
        <v>0.42</v>
      </c>
      <c r="G55" s="56">
        <f>IF(D55=D54,"",_xlfn.IFNA(VLOOKUP(D55,'인원 입력 기능(직탐)'!$F$64:$I$116,4,FALSE),0))</f>
        <v>2</v>
      </c>
      <c r="H55" s="57">
        <f t="shared" si="1"/>
        <v>4.2016806722689074E-3</v>
      </c>
      <c r="I55" s="67">
        <f>SUM($G$7:G55)</f>
        <v>475</v>
      </c>
      <c r="J55" s="59">
        <f t="shared" si="5"/>
        <v>0.99789915966386555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28</v>
      </c>
      <c r="E57" s="109">
        <f t="shared" si="0"/>
        <v>9</v>
      </c>
      <c r="F57" s="74">
        <f>IF(I55=0,ROUND(100*(1-(I54+I57)/2/$J$3),2),ROUND(100*(1-(I55+I57)/2/$J$3),2))</f>
        <v>0.11</v>
      </c>
      <c r="G57" s="110">
        <f>_xlfn.IFNA(VLOOKUP(D57,'인원 입력 기능(직탐)'!$F$64:$I$116,4,FALSE),0)</f>
        <v>1</v>
      </c>
      <c r="H57" s="76">
        <f>G57/$J$3</f>
        <v>2.1008403361344537E-3</v>
      </c>
      <c r="I57" s="77">
        <f>SUM($G$7:G57)</f>
        <v>476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">
    <mergeCell ref="D3:F3"/>
    <mergeCell ref="D4:F4"/>
  </mergeCells>
  <phoneticPr fontId="1" type="noConversion"/>
  <conditionalFormatting sqref="D7:G57 I7:J57">
    <cfRule type="expression" dxfId="3" priority="4">
      <formula>OR($D7=$Q$7:$Q$14)</formula>
    </cfRule>
  </conditionalFormatting>
  <conditionalFormatting sqref="C7:C57">
    <cfRule type="expression" dxfId="2" priority="3">
      <formula>OR(AND($D7=0,OR($D6=$Q$7:$Q$14)),AND($D8&gt;0,OR($D7=$Q$7:$Q$14)))</formula>
    </cfRule>
  </conditionalFormatting>
  <conditionalFormatting sqref="D7:D57">
    <cfRule type="expression" dxfId="1" priority="2">
      <formula>$D7=$D8</formula>
    </cfRule>
  </conditionalFormatting>
  <conditionalFormatting sqref="H7:H57">
    <cfRule type="expression" dxfId="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53E8-AF8B-41CE-8FC2-7AB369CF160E}">
  <sheetPr codeName="Sheet29">
    <tabColor rgb="FF00B050"/>
    <pageSetUpPr fitToPage="1"/>
  </sheetPr>
  <dimension ref="A1:N51"/>
  <sheetViews>
    <sheetView zoomScale="85" zoomScaleNormal="85" workbookViewId="0">
      <selection activeCell="B3" sqref="B3:M50"/>
    </sheetView>
  </sheetViews>
  <sheetFormatPr defaultRowHeight="17" x14ac:dyDescent="0.45"/>
  <cols>
    <col min="1" max="1" width="8.6640625" style="5"/>
    <col min="2" max="2" width="1" customWidth="1"/>
    <col min="3" max="3" width="11.4140625" style="18" customWidth="1"/>
    <col min="4" max="11" width="12.4140625" style="1" customWidth="1"/>
    <col min="12" max="12" width="12.4140625" customWidth="1"/>
    <col min="13" max="13" width="1" customWidth="1"/>
  </cols>
  <sheetData>
    <row r="1" spans="1:13" s="5" customFormat="1" x14ac:dyDescent="0.45">
      <c r="A1" s="5" t="s">
        <v>89</v>
      </c>
      <c r="C1" s="17"/>
      <c r="D1" s="3"/>
      <c r="E1" s="3"/>
      <c r="F1" s="3"/>
      <c r="G1" s="3"/>
      <c r="H1" s="3"/>
      <c r="I1" s="3"/>
      <c r="J1" s="3"/>
      <c r="K1" s="3"/>
    </row>
    <row r="2" spans="1:13" x14ac:dyDescent="0.45">
      <c r="B2" s="5"/>
      <c r="C2" s="17"/>
      <c r="D2" s="3"/>
      <c r="E2" s="3"/>
      <c r="F2" s="3"/>
      <c r="G2" s="3"/>
      <c r="H2" s="3"/>
      <c r="I2" s="3"/>
      <c r="J2" s="3"/>
      <c r="K2" s="3"/>
      <c r="L2" s="5"/>
      <c r="M2" s="5"/>
    </row>
    <row r="3" spans="1:13" ht="6" customHeight="1" thickBot="1" x14ac:dyDescent="0.5">
      <c r="B3" s="27"/>
      <c r="C3" s="39"/>
      <c r="D3" s="40"/>
      <c r="E3" s="40"/>
      <c r="F3" s="40"/>
      <c r="G3" s="40"/>
      <c r="H3" s="40"/>
      <c r="I3" s="40"/>
      <c r="J3" s="40"/>
      <c r="K3" s="40"/>
      <c r="L3" s="28"/>
      <c r="M3" s="29"/>
    </row>
    <row r="4" spans="1:13" ht="25" customHeight="1" x14ac:dyDescent="0.45">
      <c r="B4" s="30"/>
      <c r="C4" s="79" t="s">
        <v>122</v>
      </c>
      <c r="D4" s="155" t="s">
        <v>121</v>
      </c>
      <c r="E4" s="155"/>
      <c r="F4" s="155"/>
      <c r="G4" s="156"/>
      <c r="H4" s="19"/>
      <c r="I4" s="19"/>
      <c r="J4" s="19"/>
      <c r="K4" s="19"/>
      <c r="L4" s="20"/>
      <c r="M4" s="31"/>
    </row>
    <row r="5" spans="1:13" ht="25" customHeight="1" thickBot="1" x14ac:dyDescent="0.5">
      <c r="B5" s="30"/>
      <c r="C5" s="82" t="s">
        <v>156</v>
      </c>
      <c r="D5" s="157" t="s">
        <v>157</v>
      </c>
      <c r="E5" s="157"/>
      <c r="F5" s="157"/>
      <c r="G5" s="158"/>
      <c r="H5" s="19"/>
      <c r="I5" s="19"/>
      <c r="J5" s="19"/>
      <c r="K5" s="19"/>
      <c r="L5" s="20"/>
      <c r="M5" s="31"/>
    </row>
    <row r="6" spans="1:13" ht="25" customHeight="1" x14ac:dyDescent="0.45">
      <c r="B6" s="30"/>
      <c r="C6" s="19"/>
      <c r="D6" s="19"/>
      <c r="E6" s="19"/>
      <c r="F6" s="19"/>
      <c r="G6" s="19"/>
      <c r="H6" s="19"/>
      <c r="I6" s="19"/>
      <c r="J6" s="19"/>
      <c r="K6" s="19"/>
      <c r="L6" s="20"/>
      <c r="M6" s="31"/>
    </row>
    <row r="7" spans="1:13" ht="25" customHeight="1" thickBot="1" x14ac:dyDescent="0.5">
      <c r="B7" s="30"/>
      <c r="C7" s="19"/>
      <c r="D7" s="19"/>
      <c r="E7" s="19"/>
      <c r="F7" s="19"/>
      <c r="G7" s="19"/>
      <c r="H7" s="19"/>
      <c r="I7" s="19"/>
      <c r="J7" s="19"/>
      <c r="K7" s="19"/>
      <c r="L7" s="20"/>
      <c r="M7" s="31"/>
    </row>
    <row r="8" spans="1:13" s="26" customFormat="1" ht="25" customHeight="1" thickBot="1" x14ac:dyDescent="0.5">
      <c r="A8" s="25"/>
      <c r="B8" s="41"/>
      <c r="C8" s="112" t="s">
        <v>158</v>
      </c>
      <c r="D8" s="113" t="s">
        <v>159</v>
      </c>
      <c r="E8" s="114" t="s">
        <v>160</v>
      </c>
      <c r="F8" s="37"/>
      <c r="G8" s="37"/>
      <c r="H8" s="37"/>
      <c r="I8" s="37"/>
      <c r="J8" s="37"/>
      <c r="K8" s="37"/>
      <c r="L8" s="38"/>
      <c r="M8" s="42"/>
    </row>
    <row r="9" spans="1:13" s="26" customFormat="1" ht="25" customHeight="1" x14ac:dyDescent="0.45">
      <c r="A9" s="25"/>
      <c r="B9" s="41"/>
      <c r="C9" s="115" t="s">
        <v>161</v>
      </c>
      <c r="D9" s="116">
        <f>ROUNDUP((국어!$Q7-0.5-100)/20*국어!$H$4+국어!$H$3, 0)</f>
        <v>85</v>
      </c>
      <c r="E9" s="117">
        <f>ROUNDUP((수학!$Q7-0.5-100)/20*수학!$H$4+수학!$H$3, 0)</f>
        <v>83</v>
      </c>
      <c r="F9" s="37"/>
      <c r="G9" s="37"/>
      <c r="H9" s="37"/>
      <c r="I9" s="37"/>
      <c r="J9" s="37"/>
      <c r="K9" s="37"/>
      <c r="L9" s="38"/>
      <c r="M9" s="42"/>
    </row>
    <row r="10" spans="1:13" s="26" customFormat="1" ht="25" customHeight="1" x14ac:dyDescent="0.45">
      <c r="A10" s="25"/>
      <c r="B10" s="41"/>
      <c r="C10" s="118" t="s">
        <v>162</v>
      </c>
      <c r="D10" s="106">
        <f>ROUNDUP((국어!$Q8-0.5-100)/20*국어!$H$4+국어!$H$3, 0)</f>
        <v>77</v>
      </c>
      <c r="E10" s="119">
        <f>ROUNDUP((수학!$Q8-0.5-100)/20*수학!$H$4+수학!$H$3, 0)</f>
        <v>73</v>
      </c>
      <c r="F10" s="37"/>
      <c r="G10" s="37"/>
      <c r="H10" s="37"/>
      <c r="I10" s="37"/>
      <c r="J10" s="37"/>
      <c r="K10" s="37"/>
      <c r="L10" s="38"/>
      <c r="M10" s="42"/>
    </row>
    <row r="11" spans="1:13" s="26" customFormat="1" ht="25" customHeight="1" x14ac:dyDescent="0.45">
      <c r="A11" s="25"/>
      <c r="B11" s="41"/>
      <c r="C11" s="118" t="s">
        <v>163</v>
      </c>
      <c r="D11" s="106">
        <f>ROUNDUP((국어!$Q9-0.5-100)/20*국어!$H$4+국어!$H$3, 0)</f>
        <v>67</v>
      </c>
      <c r="E11" s="119">
        <f>ROUNDUP((수학!$Q9-0.5-100)/20*수학!$H$4+수학!$H$3, 0)</f>
        <v>57</v>
      </c>
      <c r="F11" s="37"/>
      <c r="G11" s="37"/>
      <c r="H11" s="37"/>
      <c r="I11" s="37"/>
      <c r="J11" s="37"/>
      <c r="K11" s="37"/>
      <c r="L11" s="38"/>
      <c r="M11" s="42"/>
    </row>
    <row r="12" spans="1:13" s="26" customFormat="1" ht="25" customHeight="1" x14ac:dyDescent="0.45">
      <c r="A12" s="25"/>
      <c r="B12" s="41"/>
      <c r="C12" s="118" t="s">
        <v>164</v>
      </c>
      <c r="D12" s="106">
        <f>ROUNDUP((국어!$Q10-0.5-100)/20*국어!$H$4+국어!$H$3, 0)</f>
        <v>56</v>
      </c>
      <c r="E12" s="119">
        <f>ROUNDUP((수학!$Q10-0.5-100)/20*수학!$H$4+수학!$H$3, 0)</f>
        <v>40</v>
      </c>
      <c r="F12" s="37"/>
      <c r="G12" s="37"/>
      <c r="H12" s="37"/>
      <c r="I12" s="37"/>
      <c r="J12" s="37"/>
      <c r="K12" s="37"/>
      <c r="L12" s="38"/>
      <c r="M12" s="42"/>
    </row>
    <row r="13" spans="1:13" s="26" customFormat="1" ht="25" customHeight="1" x14ac:dyDescent="0.45">
      <c r="A13" s="25"/>
      <c r="B13" s="41"/>
      <c r="C13" s="118" t="s">
        <v>165</v>
      </c>
      <c r="D13" s="106">
        <f>ROUNDUP((국어!$Q11-0.5-100)/20*국어!$H$4+국어!$H$3, 0)</f>
        <v>43</v>
      </c>
      <c r="E13" s="119">
        <f>ROUNDUP((수학!$Q11-0.5-100)/20*수학!$H$4+수학!$H$3, 0)</f>
        <v>24</v>
      </c>
      <c r="F13" s="37"/>
      <c r="G13" s="37"/>
      <c r="H13" s="37"/>
      <c r="I13" s="37"/>
      <c r="J13" s="37"/>
      <c r="K13" s="37"/>
      <c r="L13" s="38"/>
      <c r="M13" s="42"/>
    </row>
    <row r="14" spans="1:13" s="26" customFormat="1" ht="25" customHeight="1" x14ac:dyDescent="0.45">
      <c r="A14" s="25"/>
      <c r="B14" s="41"/>
      <c r="C14" s="118" t="s">
        <v>166</v>
      </c>
      <c r="D14" s="106">
        <f>ROUNDUP((국어!$Q12-0.5-100)/20*국어!$H$4+국어!$H$3, 0)</f>
        <v>29</v>
      </c>
      <c r="E14" s="119">
        <f>ROUNDUP((수학!$Q12-0.5-100)/20*수학!$H$4+수학!$H$3, 0)</f>
        <v>17</v>
      </c>
      <c r="F14" s="37"/>
      <c r="G14" s="37"/>
      <c r="H14" s="37"/>
      <c r="I14" s="37"/>
      <c r="J14" s="37"/>
      <c r="K14" s="37"/>
      <c r="L14" s="38"/>
      <c r="M14" s="42"/>
    </row>
    <row r="15" spans="1:13" s="26" customFormat="1" ht="25" customHeight="1" x14ac:dyDescent="0.45">
      <c r="A15" s="25"/>
      <c r="B15" s="41"/>
      <c r="C15" s="118" t="s">
        <v>167</v>
      </c>
      <c r="D15" s="106">
        <f>ROUNDUP((국어!$Q13-0.5-100)/20*국어!$H$4+국어!$H$3, 0)</f>
        <v>20</v>
      </c>
      <c r="E15" s="119">
        <f>ROUNDUP((수학!$Q13-0.5-100)/20*수학!$H$4+수학!$H$3, 0)</f>
        <v>13</v>
      </c>
      <c r="F15" s="37"/>
      <c r="G15" s="37"/>
      <c r="H15" s="37"/>
      <c r="I15" s="37"/>
      <c r="J15" s="37"/>
      <c r="K15" s="37"/>
      <c r="L15" s="38"/>
      <c r="M15" s="42"/>
    </row>
    <row r="16" spans="1:13" s="26" customFormat="1" ht="25" customHeight="1" thickBot="1" x14ac:dyDescent="0.5">
      <c r="A16" s="25"/>
      <c r="B16" s="41"/>
      <c r="C16" s="120" t="s">
        <v>168</v>
      </c>
      <c r="D16" s="121">
        <f>ROUNDUP((국어!$Q14-0.5-100)/20*국어!$H$4+국어!$H$3, 0)</f>
        <v>16</v>
      </c>
      <c r="E16" s="122">
        <f>ROUNDUP((수학!$Q14-0.5-100)/20*수학!$H$4+수학!$H$3, 0)</f>
        <v>9</v>
      </c>
      <c r="F16" s="37"/>
      <c r="G16" s="37"/>
      <c r="H16" s="37"/>
      <c r="I16" s="37"/>
      <c r="J16" s="37"/>
      <c r="K16" s="37"/>
      <c r="L16" s="38"/>
      <c r="M16" s="42"/>
    </row>
    <row r="17" spans="1:13" s="26" customFormat="1" ht="25" customHeight="1" x14ac:dyDescent="0.45">
      <c r="A17" s="25"/>
      <c r="B17" s="41"/>
      <c r="C17" s="37"/>
      <c r="D17" s="37"/>
      <c r="E17" s="37"/>
      <c r="F17" s="37"/>
      <c r="G17" s="37"/>
      <c r="H17" s="37"/>
      <c r="I17" s="37"/>
      <c r="J17" s="37"/>
      <c r="K17" s="37"/>
      <c r="L17" s="38"/>
      <c r="M17" s="42"/>
    </row>
    <row r="18" spans="1:13" s="26" customFormat="1" ht="25" customHeight="1" thickBot="1" x14ac:dyDescent="0.5">
      <c r="A18" s="25"/>
      <c r="B18" s="41"/>
      <c r="C18" s="37"/>
      <c r="D18" s="37"/>
      <c r="E18" s="37"/>
      <c r="F18" s="37"/>
      <c r="G18" s="37"/>
      <c r="H18" s="37"/>
      <c r="I18" s="37"/>
      <c r="J18" s="37"/>
      <c r="K18" s="37"/>
      <c r="L18" s="38"/>
      <c r="M18" s="42"/>
    </row>
    <row r="19" spans="1:13" s="26" customFormat="1" ht="25" customHeight="1" thickBot="1" x14ac:dyDescent="0.5">
      <c r="A19" s="25"/>
      <c r="B19" s="41"/>
      <c r="C19" s="123" t="s">
        <v>169</v>
      </c>
      <c r="D19" s="124" t="s">
        <v>170</v>
      </c>
      <c r="E19" s="125" t="s">
        <v>171</v>
      </c>
      <c r="F19" s="125" t="s">
        <v>172</v>
      </c>
      <c r="G19" s="125" t="s">
        <v>173</v>
      </c>
      <c r="H19" s="125" t="s">
        <v>174</v>
      </c>
      <c r="I19" s="125" t="s">
        <v>175</v>
      </c>
      <c r="J19" s="125" t="s">
        <v>176</v>
      </c>
      <c r="K19" s="125" t="s">
        <v>177</v>
      </c>
      <c r="L19" s="114" t="s">
        <v>178</v>
      </c>
      <c r="M19" s="42"/>
    </row>
    <row r="20" spans="1:13" s="26" customFormat="1" ht="25" customHeight="1" x14ac:dyDescent="0.45">
      <c r="A20" s="25"/>
      <c r="B20" s="41"/>
      <c r="C20" s="126" t="s">
        <v>161</v>
      </c>
      <c r="D20" s="106">
        <f>ROUNDUP(('생활과 윤리'!$Q7-0.5-50)/10*'생활과 윤리'!$H$4+'생활과 윤리'!$H$3, 0)</f>
        <v>50</v>
      </c>
      <c r="E20" s="68">
        <f>ROUNDUP(('윤리와 사상'!$Q7-0.5-50)/10*'윤리와 사상'!$H$4+'윤리와 사상'!$H$3, 0)</f>
        <v>45</v>
      </c>
      <c r="F20" s="68">
        <f>ROUNDUP((한국지리!$Q7-0.5-50)/10*한국지리!$H$4+한국지리!$H$3, 0)</f>
        <v>46</v>
      </c>
      <c r="G20" s="68">
        <f>ROUNDUP((세계지리!$Q7-0.5-50)/10*세계지리!$H$4+세계지리!$H$3, 0)</f>
        <v>47</v>
      </c>
      <c r="H20" s="68">
        <f>ROUNDUP((동아시아사!$Q7-0.5-50)/10*동아시아사!$H$4+동아시아사!$H$3, 0)</f>
        <v>48</v>
      </c>
      <c r="I20" s="68">
        <f>ROUNDUP((세계사!$Q7-0.5-50)/10*세계사!$H$4+세계사!$H$3, 0)</f>
        <v>46</v>
      </c>
      <c r="J20" s="68">
        <f>ROUNDUP((경제!$Q7-0.5-50)/10*경제!$H$4+경제!$H$3, 0)</f>
        <v>44</v>
      </c>
      <c r="K20" s="68">
        <f>ROUNDUP(('정치와 법'!$Q7-0.5-50)/10*'정치와 법'!$H$4+'정치와 법'!$H$3, 0)</f>
        <v>45</v>
      </c>
      <c r="L20" s="127">
        <f>ROUNDUP((사회∙문화!$Q7-0.5-50)/10*사회∙문화!$H$4+사회∙문화!$H$3, 0)</f>
        <v>47</v>
      </c>
      <c r="M20" s="42"/>
    </row>
    <row r="21" spans="1:13" s="26" customFormat="1" ht="25" customHeight="1" x14ac:dyDescent="0.45">
      <c r="A21" s="25"/>
      <c r="B21" s="41"/>
      <c r="C21" s="128" t="s">
        <v>162</v>
      </c>
      <c r="D21" s="69">
        <f>ROUNDUP(('생활과 윤리'!$Q8-0.5-50)/10*'생활과 윤리'!$H$4+'생활과 윤리'!$H$3, 0)</f>
        <v>46</v>
      </c>
      <c r="E21" s="129">
        <f>ROUNDUP(('윤리와 사상'!$Q8-0.5-50)/10*'윤리와 사상'!$H$4+'윤리와 사상'!$H$3, 0)</f>
        <v>40</v>
      </c>
      <c r="F21" s="129">
        <f>ROUNDUP((한국지리!$Q8-0.5-50)/10*한국지리!$H$4+한국지리!$H$3, 0)</f>
        <v>43</v>
      </c>
      <c r="G21" s="129">
        <f>ROUNDUP((세계지리!$Q8-0.5-50)/10*세계지리!$H$4+세계지리!$H$3, 0)</f>
        <v>42</v>
      </c>
      <c r="H21" s="129">
        <f>ROUNDUP((동아시아사!$Q8-0.5-50)/10*동아시아사!$H$4+동아시아사!$H$3, 0)</f>
        <v>42</v>
      </c>
      <c r="I21" s="129">
        <f>ROUNDUP((세계사!$Q8-0.5-50)/10*세계사!$H$4+세계사!$H$3, 0)</f>
        <v>39</v>
      </c>
      <c r="J21" s="129">
        <f>ROUNDUP((경제!$Q8-0.5-50)/10*경제!$H$4+경제!$H$3, 0)</f>
        <v>37</v>
      </c>
      <c r="K21" s="129">
        <f>ROUNDUP(('정치와 법'!$Q8-0.5-50)/10*'정치와 법'!$H$4+'정치와 법'!$H$3, 0)</f>
        <v>41</v>
      </c>
      <c r="L21" s="130">
        <f>ROUNDUP((사회∙문화!$Q8-0.5-50)/10*사회∙문화!$H$4+사회∙문화!$H$3, 0)</f>
        <v>41</v>
      </c>
      <c r="M21" s="42"/>
    </row>
    <row r="22" spans="1:13" s="26" customFormat="1" ht="25" customHeight="1" x14ac:dyDescent="0.45">
      <c r="A22" s="25"/>
      <c r="B22" s="41"/>
      <c r="C22" s="128" t="s">
        <v>163</v>
      </c>
      <c r="D22" s="69">
        <f>ROUNDUP(('생활과 윤리'!$Q9-0.5-50)/10*'생활과 윤리'!$H$4+'생활과 윤리'!$H$3, 0)</f>
        <v>44</v>
      </c>
      <c r="E22" s="129">
        <f>ROUNDUP(('윤리와 사상'!$Q9-0.5-50)/10*'윤리와 사상'!$H$4+'윤리와 사상'!$H$3, 0)</f>
        <v>33</v>
      </c>
      <c r="F22" s="129">
        <f>ROUNDUP((한국지리!$Q9-0.5-50)/10*한국지리!$H$4+한국지리!$H$3, 0)</f>
        <v>37</v>
      </c>
      <c r="G22" s="129">
        <f>ROUNDUP((세계지리!$Q9-0.5-50)/10*세계지리!$H$4+세계지리!$H$3, 0)</f>
        <v>35</v>
      </c>
      <c r="H22" s="129">
        <f>ROUNDUP((동아시아사!$Q9-0.5-50)/10*동아시아사!$H$4+동아시아사!$H$3, 0)</f>
        <v>33</v>
      </c>
      <c r="I22" s="129">
        <f>ROUNDUP((세계사!$Q9-0.5-50)/10*세계사!$H$4+세계사!$H$3, 0)</f>
        <v>31</v>
      </c>
      <c r="J22" s="129">
        <f>ROUNDUP((경제!$Q9-0.5-50)/10*경제!$H$4+경제!$H$3, 0)</f>
        <v>28</v>
      </c>
      <c r="K22" s="129">
        <f>ROUNDUP(('정치와 법'!$Q9-0.5-50)/10*'정치와 법'!$H$4+'정치와 법'!$H$3, 0)</f>
        <v>34</v>
      </c>
      <c r="L22" s="130">
        <f>ROUNDUP((사회∙문화!$Q9-0.5-50)/10*사회∙문화!$H$4+사회∙문화!$H$3, 0)</f>
        <v>34</v>
      </c>
      <c r="M22" s="42"/>
    </row>
    <row r="23" spans="1:13" s="26" customFormat="1" ht="25" customHeight="1" x14ac:dyDescent="0.45">
      <c r="A23" s="25"/>
      <c r="B23" s="41"/>
      <c r="C23" s="128" t="s">
        <v>164</v>
      </c>
      <c r="D23" s="69">
        <f>ROUNDUP(('생활과 윤리'!$Q10-0.5-50)/10*'생활과 윤리'!$H$4+'생활과 윤리'!$H$3, 0)</f>
        <v>39</v>
      </c>
      <c r="E23" s="129">
        <f>ROUNDUP(('윤리와 사상'!$Q10-0.5-50)/10*'윤리와 사상'!$H$4+'윤리와 사상'!$H$3, 0)</f>
        <v>26</v>
      </c>
      <c r="F23" s="129">
        <f>ROUNDUP((한국지리!$Q10-0.5-50)/10*한국지리!$H$4+한국지리!$H$3, 0)</f>
        <v>31</v>
      </c>
      <c r="G23" s="129">
        <f>ROUNDUP((세계지리!$Q10-0.5-50)/10*세계지리!$H$4+세계지리!$H$3, 0)</f>
        <v>28</v>
      </c>
      <c r="H23" s="129">
        <f>ROUNDUP((동아시아사!$Q10-0.5-50)/10*동아시아사!$H$4+동아시아사!$H$3, 0)</f>
        <v>23</v>
      </c>
      <c r="I23" s="129">
        <f>ROUNDUP((세계사!$Q10-0.5-50)/10*세계사!$H$4+세계사!$H$3, 0)</f>
        <v>24</v>
      </c>
      <c r="J23" s="129">
        <f>ROUNDUP((경제!$Q10-0.5-50)/10*경제!$H$4+경제!$H$3, 0)</f>
        <v>20</v>
      </c>
      <c r="K23" s="129">
        <f>ROUNDUP(('정치와 법'!$Q10-0.5-50)/10*'정치와 법'!$H$4+'정치와 법'!$H$3, 0)</f>
        <v>26</v>
      </c>
      <c r="L23" s="130">
        <f>ROUNDUP((사회∙문화!$Q10-0.5-50)/10*사회∙문화!$H$4+사회∙문화!$H$3, 0)</f>
        <v>27</v>
      </c>
      <c r="M23" s="42"/>
    </row>
    <row r="24" spans="1:13" s="26" customFormat="1" ht="25" customHeight="1" x14ac:dyDescent="0.45">
      <c r="A24" s="25"/>
      <c r="B24" s="41"/>
      <c r="C24" s="128" t="s">
        <v>165</v>
      </c>
      <c r="D24" s="69">
        <f>ROUNDUP(('생활과 윤리'!$Q11-0.5-50)/10*'생활과 윤리'!$H$4+'생활과 윤리'!$H$3, 0)</f>
        <v>31</v>
      </c>
      <c r="E24" s="129">
        <f>ROUNDUP(('윤리와 사상'!$Q11-0.5-50)/10*'윤리와 사상'!$H$4+'윤리와 사상'!$H$3, 0)</f>
        <v>17</v>
      </c>
      <c r="F24" s="129">
        <f>ROUNDUP((한국지리!$Q11-0.5-50)/10*한국지리!$H$4+한국지리!$H$3, 0)</f>
        <v>24</v>
      </c>
      <c r="G24" s="129">
        <f>ROUNDUP((세계지리!$Q11-0.5-50)/10*세계지리!$H$4+세계지리!$H$3, 0)</f>
        <v>20</v>
      </c>
      <c r="H24" s="129">
        <f>ROUNDUP((동아시아사!$Q11-0.5-50)/10*동아시아사!$H$4+동아시아사!$H$3, 0)</f>
        <v>16</v>
      </c>
      <c r="I24" s="129">
        <f>ROUNDUP((세계사!$Q11-0.5-50)/10*세계사!$H$4+세계사!$H$3, 0)</f>
        <v>15</v>
      </c>
      <c r="J24" s="129">
        <f>ROUNDUP((경제!$Q11-0.5-50)/10*경제!$H$4+경제!$H$3, 0)</f>
        <v>13</v>
      </c>
      <c r="K24" s="129">
        <f>ROUNDUP(('정치와 법'!$Q11-0.5-50)/10*'정치와 법'!$H$4+'정치와 법'!$H$3, 0)</f>
        <v>19</v>
      </c>
      <c r="L24" s="130">
        <f>ROUNDUP((사회∙문화!$Q11-0.5-50)/10*사회∙문화!$H$4+사회∙문화!$H$3, 0)</f>
        <v>19</v>
      </c>
      <c r="M24" s="42"/>
    </row>
    <row r="25" spans="1:13" s="26" customFormat="1" ht="25" customHeight="1" x14ac:dyDescent="0.45">
      <c r="A25" s="25"/>
      <c r="B25" s="41"/>
      <c r="C25" s="128" t="s">
        <v>166</v>
      </c>
      <c r="D25" s="69">
        <f>ROUNDUP(('생활과 윤리'!$Q12-0.5-50)/10*'생활과 윤리'!$H$4+'생활과 윤리'!$H$3, 0)</f>
        <v>16</v>
      </c>
      <c r="E25" s="129">
        <f>ROUNDUP(('윤리와 사상'!$Q12-0.5-50)/10*'윤리와 사상'!$H$4+'윤리와 사상'!$H$3, 0)</f>
        <v>11</v>
      </c>
      <c r="F25" s="129">
        <f>ROUNDUP((한국지리!$Q12-0.5-50)/10*한국지리!$H$4+한국지리!$H$3, 0)</f>
        <v>16</v>
      </c>
      <c r="G25" s="129">
        <f>ROUNDUP((세계지리!$Q12-0.5-50)/10*세계지리!$H$4+세계지리!$H$3, 0)</f>
        <v>12</v>
      </c>
      <c r="H25" s="129">
        <f>ROUNDUP((동아시아사!$Q12-0.5-50)/10*동아시아사!$H$4+동아시아사!$H$3, 0)</f>
        <v>10</v>
      </c>
      <c r="I25" s="129">
        <f>ROUNDUP((세계사!$Q12-0.5-50)/10*세계사!$H$4+세계사!$H$3, 0)</f>
        <v>9</v>
      </c>
      <c r="J25" s="129">
        <f>ROUNDUP((경제!$Q12-0.5-50)/10*경제!$H$4+경제!$H$3, 0)</f>
        <v>10</v>
      </c>
      <c r="K25" s="129">
        <f>ROUNDUP(('정치와 법'!$Q12-0.5-50)/10*'정치와 법'!$H$4+'정치와 법'!$H$3, 0)</f>
        <v>13</v>
      </c>
      <c r="L25" s="130">
        <f>ROUNDUP((사회∙문화!$Q12-0.5-50)/10*사회∙문화!$H$4+사회∙문화!$H$3, 0)</f>
        <v>11</v>
      </c>
      <c r="M25" s="42"/>
    </row>
    <row r="26" spans="1:13" s="26" customFormat="1" ht="25" customHeight="1" x14ac:dyDescent="0.45">
      <c r="A26" s="25"/>
      <c r="B26" s="41"/>
      <c r="C26" s="128" t="s">
        <v>167</v>
      </c>
      <c r="D26" s="69">
        <f>ROUNDUP(('생활과 윤리'!$Q13-0.5-50)/10*'생활과 윤리'!$H$4+'생활과 윤리'!$H$3, 0)</f>
        <v>11</v>
      </c>
      <c r="E26" s="129">
        <f>ROUNDUP(('윤리와 사상'!$Q13-0.5-50)/10*'윤리와 사상'!$H$4+'윤리와 사상'!$H$3, 0)</f>
        <v>10</v>
      </c>
      <c r="F26" s="129">
        <f>ROUNDUP((한국지리!$Q13-0.5-50)/10*한국지리!$H$4+한국지리!$H$3, 0)</f>
        <v>11</v>
      </c>
      <c r="G26" s="129">
        <f>ROUNDUP((세계지리!$Q13-0.5-50)/10*세계지리!$H$4+세계지리!$H$3, 0)</f>
        <v>10</v>
      </c>
      <c r="H26" s="129">
        <f>ROUNDUP((동아시아사!$Q13-0.5-50)/10*동아시아사!$H$4+동아시아사!$H$3, 0)</f>
        <v>7</v>
      </c>
      <c r="I26" s="129">
        <f>ROUNDUP((세계사!$Q13-0.5-50)/10*세계사!$H$4+세계사!$H$3, 0)</f>
        <v>8</v>
      </c>
      <c r="J26" s="129">
        <f>ROUNDUP((경제!$Q13-0.5-50)/10*경제!$H$4+경제!$H$3, 0)</f>
        <v>8</v>
      </c>
      <c r="K26" s="129">
        <f>ROUNDUP(('정치와 법'!$Q13-0.5-50)/10*'정치와 법'!$H$4+'정치와 법'!$H$3, 0)</f>
        <v>9</v>
      </c>
      <c r="L26" s="130">
        <f>ROUNDUP((사회∙문화!$Q13-0.5-50)/10*사회∙문화!$H$4+사회∙문화!$H$3, 0)</f>
        <v>8</v>
      </c>
      <c r="M26" s="42"/>
    </row>
    <row r="27" spans="1:13" s="26" customFormat="1" ht="25" customHeight="1" thickBot="1" x14ac:dyDescent="0.5">
      <c r="A27" s="25"/>
      <c r="B27" s="41"/>
      <c r="C27" s="131" t="s">
        <v>168</v>
      </c>
      <c r="D27" s="132">
        <f>ROUNDUP(('생활과 윤리'!$Q14-0.5-50)/10*'생활과 윤리'!$H$4+'생활과 윤리'!$H$3, 0)</f>
        <v>7</v>
      </c>
      <c r="E27" s="133">
        <f>ROUNDUP(('윤리와 사상'!$Q14-0.5-50)/10*'윤리와 사상'!$H$4+'윤리와 사상'!$H$3, 0)</f>
        <v>7</v>
      </c>
      <c r="F27" s="133">
        <f>ROUNDUP((한국지리!$Q14-0.5-50)/10*한국지리!$H$4+한국지리!$H$3, 0)</f>
        <v>7</v>
      </c>
      <c r="G27" s="133">
        <f>ROUNDUP((세계지리!$Q14-0.5-50)/10*세계지리!$H$4+세계지리!$H$3, 0)</f>
        <v>8</v>
      </c>
      <c r="H27" s="133" t="s">
        <v>251</v>
      </c>
      <c r="I27" s="133">
        <f>ROUNDUP((세계사!$Q14-0.5-50)/10*세계사!$H$4+세계사!$H$3, 0)</f>
        <v>6</v>
      </c>
      <c r="J27" s="133">
        <f>ROUNDUP((경제!$Q14-0.5-50)/10*경제!$H$4+경제!$H$3, 0)</f>
        <v>6</v>
      </c>
      <c r="K27" s="133">
        <f>ROUNDUP(('정치와 법'!$Q14-0.5-50)/10*'정치와 법'!$H$4+'정치와 법'!$H$3, 0)</f>
        <v>7</v>
      </c>
      <c r="L27" s="134">
        <f>ROUNDUP((사회∙문화!$Q14-0.5-50)/10*사회∙문화!$H$4+사회∙문화!$H$3, 0)</f>
        <v>7</v>
      </c>
      <c r="M27" s="42"/>
    </row>
    <row r="28" spans="1:13" s="26" customFormat="1" ht="25" customHeight="1" x14ac:dyDescent="0.45">
      <c r="A28" s="25"/>
      <c r="B28" s="41"/>
      <c r="C28" s="37"/>
      <c r="D28" s="37"/>
      <c r="E28" s="37"/>
      <c r="F28" s="37"/>
      <c r="G28" s="37"/>
      <c r="H28" s="37"/>
      <c r="I28" s="37"/>
      <c r="J28" s="37"/>
      <c r="K28" s="37"/>
      <c r="L28" s="38"/>
      <c r="M28" s="42"/>
    </row>
    <row r="29" spans="1:13" s="26" customFormat="1" ht="25" customHeight="1" thickBot="1" x14ac:dyDescent="0.5">
      <c r="A29" s="25"/>
      <c r="B29" s="41"/>
      <c r="C29" s="37"/>
      <c r="D29" s="37"/>
      <c r="E29" s="37"/>
      <c r="F29" s="37"/>
      <c r="G29" s="37"/>
      <c r="H29" s="37"/>
      <c r="I29" s="37"/>
      <c r="J29" s="37"/>
      <c r="K29" s="37"/>
      <c r="L29" s="38"/>
      <c r="M29" s="42"/>
    </row>
    <row r="30" spans="1:13" s="26" customFormat="1" ht="25" customHeight="1" thickBot="1" x14ac:dyDescent="0.5">
      <c r="A30" s="25"/>
      <c r="B30" s="41"/>
      <c r="C30" s="112" t="s">
        <v>179</v>
      </c>
      <c r="D30" s="113" t="s">
        <v>180</v>
      </c>
      <c r="E30" s="125" t="s">
        <v>181</v>
      </c>
      <c r="F30" s="113" t="s">
        <v>182</v>
      </c>
      <c r="G30" s="114" t="s">
        <v>183</v>
      </c>
      <c r="H30" s="37"/>
      <c r="I30" s="37"/>
      <c r="J30" s="38"/>
      <c r="K30" s="38"/>
      <c r="L30" s="38"/>
      <c r="M30" s="42"/>
    </row>
    <row r="31" spans="1:13" s="26" customFormat="1" ht="25" customHeight="1" x14ac:dyDescent="0.45">
      <c r="A31" s="25"/>
      <c r="B31" s="41"/>
      <c r="C31" s="115" t="s">
        <v>161</v>
      </c>
      <c r="D31" s="135">
        <f>ROUNDUP((물리학Ⅰ!$Q7-0.5-50)/10*물리학Ⅰ!$H$4+물리학Ⅰ!$H$3, 0)</f>
        <v>47</v>
      </c>
      <c r="E31" s="135">
        <f>ROUNDUP((화학Ⅰ!$Q7-0.5-50)/10*화학Ⅰ!$H$4+화학Ⅰ!$H$3, 0)</f>
        <v>44</v>
      </c>
      <c r="F31" s="135">
        <f>ROUNDUP((생명과학Ⅰ!$Q7-0.5-50)/10*생명과학Ⅰ!$H$4+생명과학Ⅰ!$H$3, 0)</f>
        <v>47</v>
      </c>
      <c r="G31" s="117">
        <f>ROUNDUP((지구과학Ⅰ!$Q7-0.5-50)/10*지구과학Ⅰ!$H$4+지구과학Ⅰ!$H$3, 0)</f>
        <v>45</v>
      </c>
      <c r="H31" s="37"/>
      <c r="I31" s="37"/>
      <c r="J31" s="38"/>
      <c r="K31" s="38"/>
      <c r="L31" s="38"/>
      <c r="M31" s="42"/>
    </row>
    <row r="32" spans="1:13" s="26" customFormat="1" ht="25" customHeight="1" x14ac:dyDescent="0.45">
      <c r="A32" s="25"/>
      <c r="B32" s="41"/>
      <c r="C32" s="118" t="s">
        <v>162</v>
      </c>
      <c r="D32" s="136">
        <f>ROUNDUP((물리학Ⅰ!$Q8-0.5-50)/10*물리학Ⅰ!$H$4+물리학Ⅰ!$H$3, 0)</f>
        <v>42</v>
      </c>
      <c r="E32" s="136">
        <f>ROUNDUP((화학Ⅰ!$Q8-0.5-50)/10*화학Ⅰ!$H$4+화학Ⅰ!$H$3, 0)</f>
        <v>35</v>
      </c>
      <c r="F32" s="136">
        <f>ROUNDUP((생명과학Ⅰ!$Q8-0.5-50)/10*생명과학Ⅰ!$H$4+생명과학Ⅰ!$H$3, 0)</f>
        <v>40</v>
      </c>
      <c r="G32" s="119">
        <f>ROUNDUP((지구과학Ⅰ!$Q8-0.5-50)/10*지구과학Ⅰ!$H$4+지구과학Ⅰ!$H$3, 0)</f>
        <v>40</v>
      </c>
      <c r="H32" s="37"/>
      <c r="I32" s="37"/>
      <c r="J32" s="38"/>
      <c r="K32" s="38"/>
      <c r="L32" s="38"/>
      <c r="M32" s="42"/>
    </row>
    <row r="33" spans="1:14" s="26" customFormat="1" ht="25" customHeight="1" x14ac:dyDescent="0.45">
      <c r="A33" s="25"/>
      <c r="B33" s="41"/>
      <c r="C33" s="118" t="s">
        <v>163</v>
      </c>
      <c r="D33" s="136">
        <f>ROUNDUP((물리학Ⅰ!$Q9-0.5-50)/10*물리학Ⅰ!$H$4+물리학Ⅰ!$H$3, 0)</f>
        <v>36</v>
      </c>
      <c r="E33" s="136">
        <f>ROUNDUP((화학Ⅰ!$Q9-0.5-50)/10*화학Ⅰ!$H$4+화학Ⅰ!$H$3, 0)</f>
        <v>29</v>
      </c>
      <c r="F33" s="136">
        <f>ROUNDUP((생명과학Ⅰ!$Q9-0.5-50)/10*생명과학Ⅰ!$H$4+생명과학Ⅰ!$H$3, 0)</f>
        <v>33</v>
      </c>
      <c r="G33" s="119">
        <f>ROUNDUP((지구과학Ⅰ!$Q9-0.5-50)/10*지구과학Ⅰ!$H$4+지구과학Ⅰ!$H$3, 0)</f>
        <v>32</v>
      </c>
      <c r="H33" s="37"/>
      <c r="I33" s="37"/>
      <c r="J33" s="38"/>
      <c r="K33" s="38"/>
      <c r="L33" s="38"/>
      <c r="M33" s="42"/>
    </row>
    <row r="34" spans="1:14" s="26" customFormat="1" ht="25" customHeight="1" x14ac:dyDescent="0.45">
      <c r="A34" s="25"/>
      <c r="B34" s="41"/>
      <c r="C34" s="118" t="s">
        <v>164</v>
      </c>
      <c r="D34" s="136">
        <f>ROUNDUP((물리학Ⅰ!$Q10-0.5-50)/10*물리학Ⅰ!$H$4+물리학Ⅰ!$H$3, 0)</f>
        <v>29</v>
      </c>
      <c r="E34" s="136">
        <f>ROUNDUP((화학Ⅰ!$Q10-0.5-50)/10*화학Ⅰ!$H$4+화학Ⅰ!$H$3, 0)</f>
        <v>23</v>
      </c>
      <c r="F34" s="136">
        <f>ROUNDUP((생명과학Ⅰ!$Q10-0.5-50)/10*생명과학Ⅰ!$H$4+생명과학Ⅰ!$H$3, 0)</f>
        <v>26</v>
      </c>
      <c r="G34" s="119">
        <f>ROUNDUP((지구과학Ⅰ!$Q10-0.5-50)/10*지구과학Ⅰ!$H$4+지구과학Ⅰ!$H$3, 0)</f>
        <v>25</v>
      </c>
      <c r="H34" s="37"/>
      <c r="I34" s="37"/>
      <c r="J34" s="38"/>
      <c r="K34" s="38"/>
      <c r="L34" s="38"/>
      <c r="M34" s="42"/>
    </row>
    <row r="35" spans="1:14" s="26" customFormat="1" ht="25" customHeight="1" x14ac:dyDescent="0.45">
      <c r="A35" s="25"/>
      <c r="B35" s="41"/>
      <c r="C35" s="118" t="s">
        <v>165</v>
      </c>
      <c r="D35" s="136">
        <f>ROUNDUP((물리학Ⅰ!$Q11-0.5-50)/10*물리학Ⅰ!$H$4+물리학Ⅰ!$H$3, 0)</f>
        <v>20</v>
      </c>
      <c r="E35" s="136">
        <f>ROUNDUP((화학Ⅰ!$Q11-0.5-50)/10*화학Ⅰ!$H$4+화학Ⅰ!$H$3, 0)</f>
        <v>17</v>
      </c>
      <c r="F35" s="136">
        <f>ROUNDUP((생명과학Ⅰ!$Q11-0.5-50)/10*생명과학Ⅰ!$H$4+생명과학Ⅰ!$H$3, 0)</f>
        <v>19</v>
      </c>
      <c r="G35" s="119">
        <f>ROUNDUP((지구과학Ⅰ!$Q11-0.5-50)/10*지구과학Ⅰ!$H$4+지구과학Ⅰ!$H$3, 0)</f>
        <v>17</v>
      </c>
      <c r="H35" s="37"/>
      <c r="I35" s="37"/>
      <c r="J35" s="38"/>
      <c r="K35" s="38"/>
      <c r="L35" s="38"/>
      <c r="M35" s="42"/>
    </row>
    <row r="36" spans="1:14" s="26" customFormat="1" ht="25" customHeight="1" x14ac:dyDescent="0.45">
      <c r="A36" s="25"/>
      <c r="B36" s="41"/>
      <c r="C36" s="118" t="s">
        <v>166</v>
      </c>
      <c r="D36" s="136">
        <f>ROUNDUP((물리학Ⅰ!$Q12-0.5-50)/10*물리학Ⅰ!$H$4+물리학Ⅰ!$H$3, 0)</f>
        <v>14</v>
      </c>
      <c r="E36" s="136">
        <f>ROUNDUP((화학Ⅰ!$Q12-0.5-50)/10*화학Ⅰ!$H$4+화학Ⅰ!$H$3, 0)</f>
        <v>13</v>
      </c>
      <c r="F36" s="136">
        <f>ROUNDUP((생명과학Ⅰ!$Q12-0.5-50)/10*생명과학Ⅰ!$H$4+생명과학Ⅰ!$H$3, 0)</f>
        <v>15</v>
      </c>
      <c r="G36" s="119">
        <f>ROUNDUP((지구과학Ⅰ!$Q12-0.5-50)/10*지구과학Ⅰ!$H$4+지구과학Ⅰ!$H$3, 0)</f>
        <v>12</v>
      </c>
      <c r="H36" s="37"/>
      <c r="I36" s="37"/>
      <c r="J36" s="38"/>
      <c r="K36" s="38"/>
      <c r="L36" s="38"/>
      <c r="M36" s="42"/>
    </row>
    <row r="37" spans="1:14" s="26" customFormat="1" ht="25" customHeight="1" x14ac:dyDescent="0.45">
      <c r="A37" s="25"/>
      <c r="B37" s="41"/>
      <c r="C37" s="118" t="s">
        <v>167</v>
      </c>
      <c r="D37" s="136">
        <f>ROUNDUP((물리학Ⅰ!$Q13-0.5-50)/10*물리학Ⅰ!$H$4+물리학Ⅰ!$H$3, 0)</f>
        <v>9</v>
      </c>
      <c r="E37" s="136">
        <f>ROUNDUP((화학Ⅰ!$Q13-0.5-50)/10*화학Ⅰ!$H$4+화학Ⅰ!$H$3, 0)</f>
        <v>10</v>
      </c>
      <c r="F37" s="136">
        <f>ROUNDUP((생명과학Ⅰ!$Q13-0.5-50)/10*생명과학Ⅰ!$H$4+생명과학Ⅰ!$H$3, 0)</f>
        <v>11</v>
      </c>
      <c r="G37" s="119">
        <f>ROUNDUP((지구과학Ⅰ!$Q13-0.5-50)/10*지구과학Ⅰ!$H$4+지구과학Ⅰ!$H$3, 0)</f>
        <v>9</v>
      </c>
      <c r="H37" s="37"/>
      <c r="I37" s="37"/>
      <c r="J37" s="38"/>
      <c r="K37" s="38"/>
      <c r="L37" s="38"/>
      <c r="M37" s="42"/>
    </row>
    <row r="38" spans="1:14" s="26" customFormat="1" ht="25" customHeight="1" thickBot="1" x14ac:dyDescent="0.5">
      <c r="A38" s="25"/>
      <c r="B38" s="41"/>
      <c r="C38" s="120" t="s">
        <v>168</v>
      </c>
      <c r="D38" s="137">
        <f>ROUNDUP((물리학Ⅰ!$Q14-0.5-50)/10*물리학Ⅰ!$H$4+물리학Ⅰ!$H$3, 0)</f>
        <v>7</v>
      </c>
      <c r="E38" s="137">
        <f>ROUNDUP((화학Ⅰ!$Q14-0.5-50)/10*화학Ⅰ!$H$4+화학Ⅰ!$H$3, 0)</f>
        <v>7</v>
      </c>
      <c r="F38" s="137">
        <f>ROUNDUP((생명과학Ⅰ!$Q14-0.5-50)/10*생명과학Ⅰ!$H$4+생명과학Ⅰ!$H$3, 0)</f>
        <v>7</v>
      </c>
      <c r="G38" s="122">
        <f>ROUNDUP((지구과학Ⅰ!$Q14-0.5-50)/10*지구과학Ⅰ!$H$4+지구과학Ⅰ!$H$3, 0)</f>
        <v>7</v>
      </c>
      <c r="H38" s="37"/>
      <c r="I38" s="37"/>
      <c r="J38" s="38"/>
      <c r="K38" s="38"/>
      <c r="L38" s="38"/>
      <c r="M38" s="42"/>
    </row>
    <row r="39" spans="1:14" s="26" customFormat="1" ht="25" customHeight="1" x14ac:dyDescent="0.45">
      <c r="A39" s="25"/>
      <c r="B39" s="41"/>
      <c r="C39" s="37"/>
      <c r="D39" s="37"/>
      <c r="E39" s="37"/>
      <c r="F39" s="37"/>
      <c r="G39" s="37"/>
      <c r="H39" s="37"/>
      <c r="I39" s="37"/>
      <c r="J39" s="37"/>
      <c r="K39" s="37"/>
      <c r="L39" s="38"/>
      <c r="M39" s="42"/>
    </row>
    <row r="40" spans="1:14" s="26" customFormat="1" ht="25" customHeight="1" thickBot="1" x14ac:dyDescent="0.5">
      <c r="A40" s="25"/>
      <c r="B40" s="41"/>
      <c r="C40" s="37"/>
      <c r="D40" s="37"/>
      <c r="E40" s="37"/>
      <c r="F40" s="37"/>
      <c r="G40" s="37"/>
      <c r="H40" s="37"/>
      <c r="I40" s="37"/>
      <c r="J40" s="37"/>
      <c r="K40" s="37"/>
      <c r="L40" s="38"/>
      <c r="M40" s="42"/>
    </row>
    <row r="41" spans="1:14" s="26" customFormat="1" ht="40" customHeight="1" thickBot="1" x14ac:dyDescent="0.5">
      <c r="A41" s="25"/>
      <c r="B41" s="41"/>
      <c r="C41" s="112" t="s">
        <v>184</v>
      </c>
      <c r="D41" s="138" t="s">
        <v>185</v>
      </c>
      <c r="E41" s="139" t="s">
        <v>186</v>
      </c>
      <c r="F41" s="139" t="s">
        <v>187</v>
      </c>
      <c r="G41" s="139" t="s">
        <v>188</v>
      </c>
      <c r="H41" s="140" t="s">
        <v>189</v>
      </c>
      <c r="I41" s="141" t="s">
        <v>190</v>
      </c>
      <c r="J41" s="37"/>
      <c r="K41" s="37"/>
      <c r="L41" s="38"/>
      <c r="M41" s="42"/>
      <c r="N41" s="25"/>
    </row>
    <row r="42" spans="1:14" s="26" customFormat="1" ht="25" customHeight="1" x14ac:dyDescent="0.45">
      <c r="A42" s="25"/>
      <c r="B42" s="41"/>
      <c r="C42" s="126" t="s">
        <v>161</v>
      </c>
      <c r="D42" s="106">
        <f>ROUNDUP(('성공적인 직업생활'!$Q7-0.5-50)/10*'성공적인 직업생활'!$H$4+'성공적인 직업생활'!$H$3, 0)</f>
        <v>45</v>
      </c>
      <c r="E42" s="68">
        <f>ROUNDUP(('농업 기초 기술'!$Q7-0.5-50)/10*'농업 기초 기술'!$H$4+'농업 기초 기술'!$H$3, 0)</f>
        <v>26</v>
      </c>
      <c r="F42" s="68">
        <f>ROUNDUP(('공업 일반'!$Q7-0.5-50)/10*'공업 일반'!$H$4+'공업 일반'!$H$3, 0)</f>
        <v>36</v>
      </c>
      <c r="G42" s="68">
        <f>ROUNDUP(('상업 경제'!$Q7-0.5-50)/10*'상업 경제'!$H$4+'상업 경제'!$H$3, 0)</f>
        <v>42</v>
      </c>
      <c r="H42" s="68">
        <f>ROUNDUP(('수산∙해운 산업 기초'!$Q7-0.5-50)/10*'수산∙해운 산업 기초'!$H$4+'수산∙해운 산업 기초'!$H$3, 0)</f>
        <v>33</v>
      </c>
      <c r="I42" s="127">
        <f>ROUNDUP(('인간 발달'!$Q7-0.5-50)/10*'인간 발달'!$H$4+'인간 발달'!$H$3, 0)</f>
        <v>36</v>
      </c>
      <c r="J42" s="37"/>
      <c r="K42" s="37"/>
      <c r="L42" s="38"/>
      <c r="M42" s="42"/>
    </row>
    <row r="43" spans="1:14" s="26" customFormat="1" ht="25" customHeight="1" x14ac:dyDescent="0.45">
      <c r="A43" s="25"/>
      <c r="B43" s="41"/>
      <c r="C43" s="128" t="s">
        <v>162</v>
      </c>
      <c r="D43" s="69">
        <f>ROUNDUP(('성공적인 직업생활'!$Q8-0.5-50)/10*'성공적인 직업생활'!$H$4+'성공적인 직업생활'!$H$3, 0)</f>
        <v>39</v>
      </c>
      <c r="E43" s="129">
        <f>ROUNDUP(('농업 기초 기술'!$Q8-0.5-50)/10*'농업 기초 기술'!$H$4+'농업 기초 기술'!$H$3, 0)</f>
        <v>23</v>
      </c>
      <c r="F43" s="129">
        <f>ROUNDUP(('공업 일반'!$Q8-0.5-50)/10*'공업 일반'!$H$4+'공업 일반'!$H$3, 0)</f>
        <v>31</v>
      </c>
      <c r="G43" s="129">
        <f>ROUNDUP(('상업 경제'!$Q8-0.5-50)/10*'상업 경제'!$H$4+'상업 경제'!$H$3, 0)</f>
        <v>38</v>
      </c>
      <c r="H43" s="129">
        <f>ROUNDUP(('수산∙해운 산업 기초'!$Q8-0.5-50)/10*'수산∙해운 산업 기초'!$H$4+'수산∙해운 산업 기초'!$H$3, 0)</f>
        <v>28</v>
      </c>
      <c r="I43" s="130">
        <f>ROUNDUP(('인간 발달'!$Q8-0.5-50)/10*'인간 발달'!$H$4+'인간 발달'!$H$3, 0)</f>
        <v>32</v>
      </c>
      <c r="J43" s="37"/>
      <c r="K43" s="37"/>
      <c r="L43" s="38"/>
      <c r="M43" s="42"/>
    </row>
    <row r="44" spans="1:14" s="26" customFormat="1" ht="25" customHeight="1" x14ac:dyDescent="0.45">
      <c r="A44" s="25"/>
      <c r="B44" s="41"/>
      <c r="C44" s="128" t="s">
        <v>163</v>
      </c>
      <c r="D44" s="69">
        <f>ROUNDUP(('성공적인 직업생활'!$Q9-0.5-50)/10*'성공적인 직업생활'!$H$4+'성공적인 직업생활'!$H$3, 0)</f>
        <v>35</v>
      </c>
      <c r="E44" s="129">
        <f>ROUNDUP(('농업 기초 기술'!$Q9-0.5-50)/10*'농업 기초 기술'!$H$4+'농업 기초 기술'!$H$3, 0)</f>
        <v>19</v>
      </c>
      <c r="F44" s="129">
        <f>ROUNDUP(('공업 일반'!$Q9-0.5-50)/10*'공업 일반'!$H$4+'공업 일반'!$H$3, 0)</f>
        <v>26</v>
      </c>
      <c r="G44" s="129">
        <f>ROUNDUP(('상업 경제'!$Q9-0.5-50)/10*'상업 경제'!$H$4+'상업 경제'!$H$3, 0)</f>
        <v>32</v>
      </c>
      <c r="H44" s="129">
        <f>ROUNDUP(('수산∙해운 산업 기초'!$Q9-0.5-50)/10*'수산∙해운 산업 기초'!$H$4+'수산∙해운 산업 기초'!$H$3, 0)</f>
        <v>25</v>
      </c>
      <c r="I44" s="130">
        <f>ROUNDUP(('인간 발달'!$Q9-0.5-50)/10*'인간 발달'!$H$4+'인간 발달'!$H$3, 0)</f>
        <v>29</v>
      </c>
      <c r="J44" s="37"/>
      <c r="K44" s="37"/>
      <c r="L44" s="38"/>
      <c r="M44" s="42"/>
    </row>
    <row r="45" spans="1:14" s="26" customFormat="1" ht="25" customHeight="1" x14ac:dyDescent="0.45">
      <c r="A45" s="25"/>
      <c r="B45" s="41"/>
      <c r="C45" s="128" t="s">
        <v>164</v>
      </c>
      <c r="D45" s="69">
        <f>ROUNDUP(('성공적인 직업생활'!$Q10-0.5-50)/10*'성공적인 직업생활'!$H$4+'성공적인 직업생활'!$H$3, 0)</f>
        <v>29</v>
      </c>
      <c r="E45" s="129">
        <f>ROUNDUP(('농업 기초 기술'!$Q10-0.5-50)/10*'농업 기초 기술'!$H$4+'농업 기초 기술'!$H$3, 0)</f>
        <v>14</v>
      </c>
      <c r="F45" s="129">
        <f>ROUNDUP(('공업 일반'!$Q10-0.5-50)/10*'공업 일반'!$H$4+'공업 일반'!$H$3, 0)</f>
        <v>20</v>
      </c>
      <c r="G45" s="129">
        <f>ROUNDUP(('상업 경제'!$Q10-0.5-50)/10*'상업 경제'!$H$4+'상업 경제'!$H$3, 0)</f>
        <v>26</v>
      </c>
      <c r="H45" s="129">
        <f>ROUNDUP(('수산∙해운 산업 기초'!$Q10-0.5-50)/10*'수산∙해운 산업 기초'!$H$4+'수산∙해운 산업 기초'!$H$3, 0)</f>
        <v>14</v>
      </c>
      <c r="I45" s="130">
        <f>ROUNDUP(('인간 발달'!$Q10-0.5-50)/10*'인간 발달'!$H$4+'인간 발달'!$H$3, 0)</f>
        <v>24</v>
      </c>
      <c r="J45" s="37"/>
      <c r="K45" s="37"/>
      <c r="L45" s="38"/>
      <c r="M45" s="42"/>
    </row>
    <row r="46" spans="1:14" s="26" customFormat="1" ht="25" customHeight="1" x14ac:dyDescent="0.45">
      <c r="A46" s="25"/>
      <c r="B46" s="41"/>
      <c r="C46" s="128" t="s">
        <v>165</v>
      </c>
      <c r="D46" s="69">
        <f>ROUNDUP(('성공적인 직업생활'!$Q11-0.5-50)/10*'성공적인 직업생활'!$H$4+'성공적인 직업생활'!$H$3, 0)</f>
        <v>21</v>
      </c>
      <c r="E46" s="129">
        <f>ROUNDUP(('농업 기초 기술'!$Q11-0.5-50)/10*'농업 기초 기술'!$H$4+'농업 기초 기술'!$H$3, 0)</f>
        <v>12</v>
      </c>
      <c r="F46" s="129">
        <f>ROUNDUP(('공업 일반'!$Q11-0.5-50)/10*'공업 일반'!$H$4+'공업 일반'!$H$3, 0)</f>
        <v>14</v>
      </c>
      <c r="G46" s="129">
        <f>ROUNDUP(('상업 경제'!$Q11-0.5-50)/10*'상업 경제'!$H$4+'상업 경제'!$H$3, 0)</f>
        <v>20</v>
      </c>
      <c r="H46" s="129">
        <f>ROUNDUP(('수산∙해운 산업 기초'!$Q11-0.5-50)/10*'수산∙해운 산업 기초'!$H$4+'수산∙해운 산업 기초'!$H$3, 0)</f>
        <v>12</v>
      </c>
      <c r="I46" s="130">
        <f>ROUNDUP(('인간 발달'!$Q11-0.5-50)/10*'인간 발달'!$H$4+'인간 발달'!$H$3, 0)</f>
        <v>17</v>
      </c>
      <c r="J46" s="37"/>
      <c r="K46" s="37"/>
      <c r="L46" s="38"/>
      <c r="M46" s="42"/>
    </row>
    <row r="47" spans="1:14" s="26" customFormat="1" ht="25" customHeight="1" x14ac:dyDescent="0.45">
      <c r="A47" s="25"/>
      <c r="B47" s="41"/>
      <c r="C47" s="128" t="s">
        <v>166</v>
      </c>
      <c r="D47" s="69">
        <f>ROUNDUP(('성공적인 직업생활'!$Q12-0.5-50)/10*'성공적인 직업생활'!$H$4+'성공적인 직업생활'!$H$3, 0)</f>
        <v>16</v>
      </c>
      <c r="E47" s="129">
        <f>ROUNDUP(('농업 기초 기술'!$Q12-0.5-50)/10*'농업 기초 기술'!$H$4+'농업 기초 기술'!$H$3, 0)</f>
        <v>9</v>
      </c>
      <c r="F47" s="129">
        <f>ROUNDUP(('공업 일반'!$Q12-0.5-50)/10*'공업 일반'!$H$4+'공업 일반'!$H$3, 0)</f>
        <v>10</v>
      </c>
      <c r="G47" s="129">
        <f>ROUNDUP(('상업 경제'!$Q12-0.5-50)/10*'상업 경제'!$H$4+'상업 경제'!$H$3, 0)</f>
        <v>14</v>
      </c>
      <c r="H47" s="129">
        <f>ROUNDUP(('수산∙해운 산업 기초'!$Q12-0.5-50)/10*'수산∙해운 산업 기초'!$H$4+'수산∙해운 산업 기초'!$H$3, 0)</f>
        <v>9</v>
      </c>
      <c r="I47" s="130">
        <f>ROUNDUP(('인간 발달'!$Q12-0.5-50)/10*'인간 발달'!$H$4+'인간 발달'!$H$3, 0)</f>
        <v>12</v>
      </c>
      <c r="J47" s="37"/>
      <c r="K47" s="37"/>
      <c r="L47" s="38"/>
      <c r="M47" s="42"/>
    </row>
    <row r="48" spans="1:14" s="26" customFormat="1" ht="25" customHeight="1" x14ac:dyDescent="0.45">
      <c r="A48" s="25"/>
      <c r="B48" s="41"/>
      <c r="C48" s="128" t="s">
        <v>167</v>
      </c>
      <c r="D48" s="69">
        <f>ROUNDUP(('성공적인 직업생활'!$Q13-0.5-50)/10*'성공적인 직업생활'!$H$4+'성공적인 직업생활'!$H$3, 0)</f>
        <v>10</v>
      </c>
      <c r="E48" s="129">
        <f>ROUNDUP(('농업 기초 기술'!$Q13-0.5-50)/10*'농업 기초 기술'!$H$4+'농업 기초 기술'!$H$3, 0)</f>
        <v>7</v>
      </c>
      <c r="F48" s="129">
        <f>ROUNDUP(('공업 일반'!$Q13-0.5-50)/10*'공업 일반'!$H$4+'공업 일반'!$H$3, 0)</f>
        <v>9</v>
      </c>
      <c r="G48" s="129">
        <f>ROUNDUP(('상업 경제'!$Q13-0.5-50)/10*'상업 경제'!$H$4+'상업 경제'!$H$3, 0)</f>
        <v>11</v>
      </c>
      <c r="H48" s="129">
        <f>ROUNDUP(('수산∙해운 산업 기초'!$Q13-0.5-50)/10*'수산∙해운 산업 기초'!$H$4+'수산∙해운 산업 기초'!$H$3, 0)</f>
        <v>7</v>
      </c>
      <c r="I48" s="130">
        <f>ROUNDUP(('인간 발달'!$Q13-0.5-50)/10*'인간 발달'!$H$4+'인간 발달'!$H$3, 0)</f>
        <v>9</v>
      </c>
      <c r="J48" s="37"/>
      <c r="K48" s="37"/>
      <c r="L48" s="38"/>
      <c r="M48" s="42"/>
    </row>
    <row r="49" spans="1:13" s="26" customFormat="1" ht="25" customHeight="1" thickBot="1" x14ac:dyDescent="0.5">
      <c r="A49" s="25"/>
      <c r="B49" s="41"/>
      <c r="C49" s="131" t="s">
        <v>168</v>
      </c>
      <c r="D49" s="132">
        <f>ROUNDUP(('성공적인 직업생활'!$Q14-0.5-50)/10*'성공적인 직업생활'!$H$4+'성공적인 직업생활'!$H$3, 0)</f>
        <v>7</v>
      </c>
      <c r="E49" s="133">
        <f>ROUNDUP(('농업 기초 기술'!$Q14-0.5-50)/10*'농업 기초 기술'!$H$4+'농업 기초 기술'!$H$3, 0)</f>
        <v>5</v>
      </c>
      <c r="F49" s="133">
        <f>ROUNDUP(('공업 일반'!$Q14-0.5-50)/10*'공업 일반'!$H$4+'공업 일반'!$H$3, 0)</f>
        <v>7</v>
      </c>
      <c r="G49" s="133">
        <f>ROUNDUP(('상업 경제'!$Q14-0.5-50)/10*'상업 경제'!$H$4+'상업 경제'!$H$3, 0)</f>
        <v>7</v>
      </c>
      <c r="H49" s="133">
        <f>ROUNDUP(('수산∙해운 산업 기초'!$Q14-0.5-50)/10*'수산∙해운 산업 기초'!$H$4+'수산∙해운 산업 기초'!$H$3, 0)</f>
        <v>3</v>
      </c>
      <c r="I49" s="134">
        <f>ROUNDUP(('인간 발달'!$Q14-0.5-50)/10*'인간 발달'!$H$4+'인간 발달'!$H$3, 0)</f>
        <v>7</v>
      </c>
      <c r="J49" s="37"/>
      <c r="K49" s="37"/>
      <c r="L49" s="38"/>
      <c r="M49" s="42"/>
    </row>
    <row r="50" spans="1:13" ht="6" customHeight="1" x14ac:dyDescent="0.45">
      <c r="B50" s="32"/>
      <c r="C50" s="43"/>
      <c r="D50" s="44"/>
      <c r="E50" s="44"/>
      <c r="F50" s="44"/>
      <c r="G50" s="44"/>
      <c r="H50" s="44"/>
      <c r="I50" s="44"/>
      <c r="J50" s="44"/>
      <c r="K50" s="44"/>
      <c r="L50" s="33"/>
      <c r="M50" s="34"/>
    </row>
    <row r="51" spans="1:13" x14ac:dyDescent="0.45">
      <c r="B51" s="5"/>
      <c r="C51" s="17"/>
      <c r="D51" s="3"/>
      <c r="E51" s="3"/>
      <c r="F51" s="3"/>
      <c r="G51" s="3"/>
      <c r="H51" s="3"/>
      <c r="I51" s="3"/>
      <c r="J51" s="3"/>
      <c r="K51" s="3"/>
      <c r="L51" s="5"/>
      <c r="M51" s="5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D216C-9AAB-456B-86CB-4EB399850395}">
  <sheetPr codeName="Sheet30"/>
  <dimension ref="A1:L16"/>
  <sheetViews>
    <sheetView zoomScaleNormal="100" workbookViewId="0">
      <selection activeCell="H4" sqref="H4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기능'!D27</f>
        <v>28.79</v>
      </c>
      <c r="I3" s="21" t="s">
        <v>124</v>
      </c>
      <c r="J3" s="81">
        <f>'통계 및 응시자 수 입력 기능'!C27</f>
        <v>208</v>
      </c>
      <c r="K3" s="31"/>
    </row>
    <row r="4" spans="1:12" ht="25" customHeight="1" thickBot="1" x14ac:dyDescent="0.5">
      <c r="A4" s="5"/>
      <c r="B4" s="30"/>
      <c r="C4" s="82" t="s">
        <v>125</v>
      </c>
      <c r="D4" s="159" t="s">
        <v>105</v>
      </c>
      <c r="E4" s="153"/>
      <c r="F4" s="154"/>
      <c r="G4" s="83" t="s">
        <v>127</v>
      </c>
      <c r="H4" s="84" t="str">
        <f>'통계 및 응시자 수 입력 기능'!E27</f>
        <v>11.51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49" t="s">
        <v>131</v>
      </c>
      <c r="D6" s="85" t="s">
        <v>132</v>
      </c>
      <c r="E6" s="86" t="s">
        <v>133</v>
      </c>
      <c r="F6" s="50" t="s">
        <v>134</v>
      </c>
      <c r="G6" s="50" t="s">
        <v>135</v>
      </c>
      <c r="H6" s="52" t="s">
        <v>136</v>
      </c>
      <c r="I6" s="20"/>
      <c r="J6" s="20"/>
      <c r="K6" s="31"/>
      <c r="L6" s="5"/>
    </row>
    <row r="7" spans="1:12" ht="25" customHeight="1" x14ac:dyDescent="0.45">
      <c r="A7" s="5"/>
      <c r="B7" s="30"/>
      <c r="C7" s="142">
        <v>1</v>
      </c>
      <c r="D7" s="143">
        <v>45</v>
      </c>
      <c r="E7" s="89">
        <f>'표점등급&amp;절평인원 입력 기능'!D211</f>
        <v>16</v>
      </c>
      <c r="F7" s="90">
        <f>E7/$J$3</f>
        <v>7.6923076923076927E-2</v>
      </c>
      <c r="G7" s="91">
        <f>SUM($E$7:E7)</f>
        <v>16</v>
      </c>
      <c r="H7" s="92">
        <f>G7/$J$3</f>
        <v>7.6923076923076927E-2</v>
      </c>
      <c r="I7" s="20"/>
      <c r="J7" s="20"/>
      <c r="K7" s="31"/>
      <c r="L7" s="5"/>
    </row>
    <row r="8" spans="1:12" ht="25" customHeight="1" x14ac:dyDescent="0.45">
      <c r="A8" s="5"/>
      <c r="B8" s="30"/>
      <c r="C8" s="144">
        <v>2</v>
      </c>
      <c r="D8" s="145">
        <v>40</v>
      </c>
      <c r="E8" s="95">
        <f>'표점등급&amp;절평인원 입력 기능'!D212</f>
        <v>28</v>
      </c>
      <c r="F8" s="96">
        <f t="shared" ref="F8:F15" si="0">E8/$J$3</f>
        <v>0.13461538461538461</v>
      </c>
      <c r="G8" s="97">
        <f>SUM($E$7:E8)</f>
        <v>44</v>
      </c>
      <c r="H8" s="98">
        <f t="shared" ref="H8:H15" si="1">G8/$J$3</f>
        <v>0.21153846153846154</v>
      </c>
      <c r="I8" s="20"/>
      <c r="J8" s="20"/>
      <c r="K8" s="31"/>
      <c r="L8" s="5"/>
    </row>
    <row r="9" spans="1:12" ht="25" customHeight="1" x14ac:dyDescent="0.45">
      <c r="A9" s="5"/>
      <c r="B9" s="30"/>
      <c r="C9" s="144">
        <v>3</v>
      </c>
      <c r="D9" s="145">
        <v>35</v>
      </c>
      <c r="E9" s="95">
        <f>'표점등급&amp;절평인원 입력 기능'!D213</f>
        <v>34</v>
      </c>
      <c r="F9" s="96">
        <f t="shared" si="0"/>
        <v>0.16346153846153846</v>
      </c>
      <c r="G9" s="97">
        <f>SUM($E$7:E9)</f>
        <v>78</v>
      </c>
      <c r="H9" s="98">
        <f t="shared" si="1"/>
        <v>0.375</v>
      </c>
      <c r="I9" s="20"/>
      <c r="J9" s="20"/>
      <c r="K9" s="31"/>
      <c r="L9" s="5"/>
    </row>
    <row r="10" spans="1:12" ht="25" customHeight="1" x14ac:dyDescent="0.45">
      <c r="A10" s="5"/>
      <c r="B10" s="30"/>
      <c r="C10" s="144">
        <v>4</v>
      </c>
      <c r="D10" s="145">
        <v>30</v>
      </c>
      <c r="E10" s="95">
        <f>'표점등급&amp;절평인원 입력 기능'!D214</f>
        <v>29</v>
      </c>
      <c r="F10" s="96">
        <f t="shared" si="0"/>
        <v>0.13942307692307693</v>
      </c>
      <c r="G10" s="97">
        <f>SUM($E$7:E10)</f>
        <v>107</v>
      </c>
      <c r="H10" s="98">
        <f t="shared" si="1"/>
        <v>0.51442307692307687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4">
        <v>5</v>
      </c>
      <c r="D11" s="145">
        <v>25</v>
      </c>
      <c r="E11" s="95">
        <f>'표점등급&amp;절평인원 입력 기능'!D215</f>
        <v>30</v>
      </c>
      <c r="F11" s="96">
        <f t="shared" si="0"/>
        <v>0.14423076923076922</v>
      </c>
      <c r="G11" s="97">
        <f>SUM($E$7:E11)</f>
        <v>137</v>
      </c>
      <c r="H11" s="98">
        <f t="shared" si="1"/>
        <v>0.65865384615384615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4">
        <v>6</v>
      </c>
      <c r="D12" s="145">
        <v>20</v>
      </c>
      <c r="E12" s="95">
        <f>'표점등급&amp;절평인원 입력 기능'!D216</f>
        <v>17</v>
      </c>
      <c r="F12" s="96">
        <f t="shared" si="0"/>
        <v>8.1730769230769232E-2</v>
      </c>
      <c r="G12" s="97">
        <f>SUM($E$7:E12)</f>
        <v>154</v>
      </c>
      <c r="H12" s="98">
        <f t="shared" si="1"/>
        <v>0.74038461538461542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4">
        <v>7</v>
      </c>
      <c r="D13" s="145">
        <v>15</v>
      </c>
      <c r="E13" s="95">
        <f>'표점등급&amp;절평인원 입력 기능'!D217</f>
        <v>22</v>
      </c>
      <c r="F13" s="96">
        <f t="shared" si="0"/>
        <v>0.10576923076923077</v>
      </c>
      <c r="G13" s="97">
        <f>SUM($E$7:E13)</f>
        <v>176</v>
      </c>
      <c r="H13" s="98">
        <f t="shared" si="1"/>
        <v>0.84615384615384615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4">
        <v>8</v>
      </c>
      <c r="D14" s="145">
        <v>10</v>
      </c>
      <c r="E14" s="95">
        <f>'표점등급&amp;절평인원 입력 기능'!D218</f>
        <v>20</v>
      </c>
      <c r="F14" s="96">
        <f t="shared" si="0"/>
        <v>9.6153846153846159E-2</v>
      </c>
      <c r="G14" s="97">
        <f>SUM($E$7:E14)</f>
        <v>196</v>
      </c>
      <c r="H14" s="98">
        <f t="shared" si="1"/>
        <v>0.94230769230769229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6">
        <v>9</v>
      </c>
      <c r="D15" s="147">
        <v>0</v>
      </c>
      <c r="E15" s="101">
        <f>'표점등급&amp;절평인원 입력 기능'!D219</f>
        <v>12</v>
      </c>
      <c r="F15" s="102">
        <f t="shared" si="0"/>
        <v>5.7692307692307696E-2</v>
      </c>
      <c r="G15" s="103">
        <f>SUM($E$7:E15)</f>
        <v>208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4DDAA-EBC2-4A73-845E-EE4171B2E1E7}">
  <sheetPr codeName="Sheet31"/>
  <dimension ref="A1:L16"/>
  <sheetViews>
    <sheetView zoomScaleNormal="100" workbookViewId="0">
      <selection activeCell="J3" sqref="J3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기능'!D28</f>
        <v>33.37</v>
      </c>
      <c r="I3" s="21" t="s">
        <v>124</v>
      </c>
      <c r="J3" s="81">
        <f>'통계 및 응시자 수 입력 기능'!C28</f>
        <v>365</v>
      </c>
      <c r="K3" s="31"/>
    </row>
    <row r="4" spans="1:12" ht="25" customHeight="1" thickBot="1" x14ac:dyDescent="0.5">
      <c r="A4" s="5"/>
      <c r="B4" s="30"/>
      <c r="C4" s="82" t="s">
        <v>125</v>
      </c>
      <c r="D4" s="159" t="s">
        <v>106</v>
      </c>
      <c r="E4" s="153"/>
      <c r="F4" s="154"/>
      <c r="G4" s="83" t="s">
        <v>127</v>
      </c>
      <c r="H4" s="84" t="str">
        <f>'통계 및 응시자 수 입력 기능'!E28</f>
        <v xml:space="preserve"> 8.92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49" t="s">
        <v>131</v>
      </c>
      <c r="D6" s="85" t="s">
        <v>132</v>
      </c>
      <c r="E6" s="86" t="s">
        <v>133</v>
      </c>
      <c r="F6" s="50" t="s">
        <v>134</v>
      </c>
      <c r="G6" s="50" t="s">
        <v>135</v>
      </c>
      <c r="H6" s="52" t="s">
        <v>136</v>
      </c>
      <c r="I6" s="20"/>
      <c r="J6" s="20"/>
      <c r="K6" s="31"/>
      <c r="L6" s="5"/>
    </row>
    <row r="7" spans="1:12" ht="25" customHeight="1" x14ac:dyDescent="0.45">
      <c r="A7" s="5"/>
      <c r="B7" s="30"/>
      <c r="C7" s="87">
        <v>1</v>
      </c>
      <c r="D7" s="88">
        <v>45</v>
      </c>
      <c r="E7" s="89">
        <f>'표점등급&amp;절평인원 입력 기능'!D220</f>
        <v>24</v>
      </c>
      <c r="F7" s="90">
        <f>E7/$J$3</f>
        <v>6.575342465753424E-2</v>
      </c>
      <c r="G7" s="91">
        <f>SUM($E$7:E7)</f>
        <v>24</v>
      </c>
      <c r="H7" s="92">
        <f>G7/$J$3</f>
        <v>6.575342465753424E-2</v>
      </c>
      <c r="I7" s="20"/>
      <c r="J7" s="20"/>
      <c r="K7" s="31"/>
      <c r="L7" s="5"/>
    </row>
    <row r="8" spans="1:12" ht="25" customHeight="1" x14ac:dyDescent="0.45">
      <c r="A8" s="5"/>
      <c r="B8" s="30"/>
      <c r="C8" s="93">
        <v>2</v>
      </c>
      <c r="D8" s="94">
        <v>40</v>
      </c>
      <c r="E8" s="95">
        <f>'표점등급&amp;절평인원 입력 기능'!D221</f>
        <v>70</v>
      </c>
      <c r="F8" s="96">
        <f t="shared" ref="F8:F15" si="0">E8/$J$3</f>
        <v>0.19178082191780821</v>
      </c>
      <c r="G8" s="97">
        <f>SUM($E$7:E8)</f>
        <v>94</v>
      </c>
      <c r="H8" s="98">
        <f t="shared" ref="H8:H15" si="1">G8/$J$3</f>
        <v>0.25753424657534246</v>
      </c>
      <c r="I8" s="20"/>
      <c r="J8" s="20"/>
      <c r="K8" s="31"/>
      <c r="L8" s="5"/>
    </row>
    <row r="9" spans="1:12" ht="25" customHeight="1" x14ac:dyDescent="0.45">
      <c r="A9" s="5"/>
      <c r="B9" s="30"/>
      <c r="C9" s="93">
        <v>3</v>
      </c>
      <c r="D9" s="94">
        <v>35</v>
      </c>
      <c r="E9" s="95">
        <f>'표점등급&amp;절평인원 입력 기능'!D222</f>
        <v>100</v>
      </c>
      <c r="F9" s="96">
        <f t="shared" si="0"/>
        <v>0.27397260273972601</v>
      </c>
      <c r="G9" s="97">
        <f>SUM($E$7:E9)</f>
        <v>194</v>
      </c>
      <c r="H9" s="98">
        <f t="shared" si="1"/>
        <v>0.53150684931506853</v>
      </c>
      <c r="I9" s="20"/>
      <c r="J9" s="20"/>
      <c r="K9" s="31"/>
      <c r="L9" s="5"/>
    </row>
    <row r="10" spans="1:12" ht="25" customHeight="1" x14ac:dyDescent="0.45">
      <c r="A10" s="5"/>
      <c r="B10" s="30"/>
      <c r="C10" s="93">
        <v>4</v>
      </c>
      <c r="D10" s="94">
        <v>30</v>
      </c>
      <c r="E10" s="95">
        <f>'표점등급&amp;절평인원 입력 기능'!D223</f>
        <v>67</v>
      </c>
      <c r="F10" s="96">
        <f t="shared" si="0"/>
        <v>0.18356164383561643</v>
      </c>
      <c r="G10" s="97">
        <f>SUM($E$7:E10)</f>
        <v>261</v>
      </c>
      <c r="H10" s="98">
        <f t="shared" si="1"/>
        <v>0.71506849315068488</v>
      </c>
      <c r="I10" s="20"/>
      <c r="J10" s="20"/>
      <c r="K10" s="31"/>
      <c r="L10" s="5"/>
    </row>
    <row r="11" spans="1:12" ht="25" customHeight="1" x14ac:dyDescent="0.45">
      <c r="A11" s="5"/>
      <c r="B11" s="30"/>
      <c r="C11" s="93">
        <v>5</v>
      </c>
      <c r="D11" s="94">
        <v>25</v>
      </c>
      <c r="E11" s="95">
        <f>'표점등급&amp;절평인원 입력 기능'!D224</f>
        <v>42</v>
      </c>
      <c r="F11" s="96">
        <f t="shared" si="0"/>
        <v>0.11506849315068493</v>
      </c>
      <c r="G11" s="97">
        <f>SUM($E$7:E11)</f>
        <v>303</v>
      </c>
      <c r="H11" s="98">
        <f t="shared" si="1"/>
        <v>0.83013698630136989</v>
      </c>
      <c r="I11" s="20"/>
      <c r="J11" s="20"/>
      <c r="K11" s="31"/>
      <c r="L11" s="5"/>
    </row>
    <row r="12" spans="1:12" ht="25" customHeight="1" x14ac:dyDescent="0.45">
      <c r="A12" s="5"/>
      <c r="B12" s="30"/>
      <c r="C12" s="93">
        <v>6</v>
      </c>
      <c r="D12" s="94">
        <v>20</v>
      </c>
      <c r="E12" s="95">
        <f>'표점등급&amp;절평인원 입력 기능'!D225</f>
        <v>32</v>
      </c>
      <c r="F12" s="96">
        <f t="shared" si="0"/>
        <v>8.7671232876712329E-2</v>
      </c>
      <c r="G12" s="97">
        <f>SUM($E$7:E12)</f>
        <v>335</v>
      </c>
      <c r="H12" s="98">
        <f t="shared" si="1"/>
        <v>0.9178082191780822</v>
      </c>
      <c r="I12" s="20"/>
      <c r="J12" s="20"/>
      <c r="K12" s="31"/>
      <c r="L12" s="5"/>
    </row>
    <row r="13" spans="1:12" ht="25" customHeight="1" x14ac:dyDescent="0.45">
      <c r="A13" s="5"/>
      <c r="B13" s="30"/>
      <c r="C13" s="93">
        <v>7</v>
      </c>
      <c r="D13" s="94">
        <v>15</v>
      </c>
      <c r="E13" s="95">
        <f>'표점등급&amp;절평인원 입력 기능'!D226</f>
        <v>14</v>
      </c>
      <c r="F13" s="96">
        <f t="shared" si="0"/>
        <v>3.8356164383561646E-2</v>
      </c>
      <c r="G13" s="97">
        <f>SUM($E$7:E13)</f>
        <v>349</v>
      </c>
      <c r="H13" s="98">
        <f t="shared" si="1"/>
        <v>0.95616438356164379</v>
      </c>
      <c r="I13" s="20"/>
      <c r="J13" s="20"/>
      <c r="K13" s="31"/>
      <c r="L13" s="5"/>
    </row>
    <row r="14" spans="1:12" ht="25" customHeight="1" x14ac:dyDescent="0.45">
      <c r="A14" s="5"/>
      <c r="B14" s="30"/>
      <c r="C14" s="93">
        <v>8</v>
      </c>
      <c r="D14" s="94">
        <v>10</v>
      </c>
      <c r="E14" s="95">
        <f>'표점등급&amp;절평인원 입력 기능'!D227</f>
        <v>10</v>
      </c>
      <c r="F14" s="96">
        <f t="shared" si="0"/>
        <v>2.7397260273972601E-2</v>
      </c>
      <c r="G14" s="97">
        <f>SUM($E$7:E14)</f>
        <v>359</v>
      </c>
      <c r="H14" s="98">
        <f t="shared" si="1"/>
        <v>0.98356164383561639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99">
        <v>9</v>
      </c>
      <c r="D15" s="100">
        <v>0</v>
      </c>
      <c r="E15" s="101">
        <f>'표점등급&amp;절평인원 입력 기능'!D228</f>
        <v>6</v>
      </c>
      <c r="F15" s="102">
        <f t="shared" si="0"/>
        <v>1.643835616438356E-2</v>
      </c>
      <c r="G15" s="103">
        <f>SUM($E$7:E15)</f>
        <v>365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E8AA0-FEB9-4477-BA30-0657D1291FBB}">
  <sheetPr codeName="Sheet32"/>
  <dimension ref="A1:L16"/>
  <sheetViews>
    <sheetView zoomScaleNormal="100" workbookViewId="0">
      <selection activeCell="E7" sqref="E7:E15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기능'!D29</f>
        <v>33.21</v>
      </c>
      <c r="I3" s="21" t="s">
        <v>124</v>
      </c>
      <c r="J3" s="81">
        <f>'통계 및 응시자 수 입력 기능'!C29</f>
        <v>366</v>
      </c>
      <c r="K3" s="31"/>
    </row>
    <row r="4" spans="1:12" ht="25" customHeight="1" thickBot="1" x14ac:dyDescent="0.5">
      <c r="A4" s="5"/>
      <c r="B4" s="30"/>
      <c r="C4" s="82" t="s">
        <v>125</v>
      </c>
      <c r="D4" s="159" t="s">
        <v>107</v>
      </c>
      <c r="E4" s="153"/>
      <c r="F4" s="154"/>
      <c r="G4" s="83" t="s">
        <v>127</v>
      </c>
      <c r="H4" s="84" t="str">
        <f>'통계 및 응시자 수 입력 기능'!E29</f>
        <v>11.35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49" t="s">
        <v>131</v>
      </c>
      <c r="D6" s="85" t="s">
        <v>132</v>
      </c>
      <c r="E6" s="86" t="s">
        <v>133</v>
      </c>
      <c r="F6" s="50" t="s">
        <v>134</v>
      </c>
      <c r="G6" s="50" t="s">
        <v>135</v>
      </c>
      <c r="H6" s="52" t="s">
        <v>136</v>
      </c>
      <c r="I6" s="20"/>
      <c r="J6" s="20"/>
      <c r="K6" s="31"/>
      <c r="L6" s="5"/>
    </row>
    <row r="7" spans="1:12" ht="25" customHeight="1" x14ac:dyDescent="0.45">
      <c r="A7" s="5"/>
      <c r="B7" s="30"/>
      <c r="C7" s="142">
        <v>1</v>
      </c>
      <c r="D7" s="143">
        <v>45</v>
      </c>
      <c r="E7" s="89">
        <f>'표점등급&amp;절평인원 입력 기능'!D229</f>
        <v>63</v>
      </c>
      <c r="F7" s="90">
        <f>E7/$J$3</f>
        <v>0.1721311475409836</v>
      </c>
      <c r="G7" s="91">
        <f>SUM($E$7:E7)</f>
        <v>63</v>
      </c>
      <c r="H7" s="92">
        <f>G7/$J$3</f>
        <v>0.1721311475409836</v>
      </c>
      <c r="I7" s="20"/>
      <c r="J7" s="20"/>
      <c r="K7" s="31"/>
      <c r="L7" s="5"/>
    </row>
    <row r="8" spans="1:12" ht="25" customHeight="1" x14ac:dyDescent="0.45">
      <c r="A8" s="5"/>
      <c r="B8" s="30"/>
      <c r="C8" s="144">
        <v>2</v>
      </c>
      <c r="D8" s="145">
        <v>40</v>
      </c>
      <c r="E8" s="95">
        <f>'표점등급&amp;절평인원 입력 기능'!D230</f>
        <v>73</v>
      </c>
      <c r="F8" s="96">
        <f t="shared" ref="F8:F15" si="0">E8/$J$3</f>
        <v>0.19945355191256831</v>
      </c>
      <c r="G8" s="97">
        <f>SUM($E$7:E8)</f>
        <v>136</v>
      </c>
      <c r="H8" s="98">
        <f t="shared" ref="H8:H15" si="1">G8/$J$3</f>
        <v>0.37158469945355194</v>
      </c>
      <c r="I8" s="20"/>
      <c r="J8" s="20"/>
      <c r="K8" s="31"/>
      <c r="L8" s="5"/>
    </row>
    <row r="9" spans="1:12" ht="25" customHeight="1" x14ac:dyDescent="0.45">
      <c r="A9" s="5"/>
      <c r="B9" s="30"/>
      <c r="C9" s="144">
        <v>3</v>
      </c>
      <c r="D9" s="145">
        <v>35</v>
      </c>
      <c r="E9" s="95">
        <f>'표점등급&amp;절평인원 입력 기능'!D231</f>
        <v>55</v>
      </c>
      <c r="F9" s="96">
        <f t="shared" si="0"/>
        <v>0.15027322404371585</v>
      </c>
      <c r="G9" s="97">
        <f>SUM($E$7:E9)</f>
        <v>191</v>
      </c>
      <c r="H9" s="98">
        <f t="shared" si="1"/>
        <v>0.52185792349726778</v>
      </c>
      <c r="I9" s="20"/>
      <c r="J9" s="20"/>
      <c r="K9" s="31"/>
      <c r="L9" s="5"/>
    </row>
    <row r="10" spans="1:12" ht="25" customHeight="1" x14ac:dyDescent="0.45">
      <c r="A10" s="5"/>
      <c r="B10" s="30"/>
      <c r="C10" s="144">
        <v>4</v>
      </c>
      <c r="D10" s="145">
        <v>30</v>
      </c>
      <c r="E10" s="95">
        <f>'표점등급&amp;절평인원 입력 기능'!D232</f>
        <v>50</v>
      </c>
      <c r="F10" s="96">
        <f t="shared" si="0"/>
        <v>0.13661202185792351</v>
      </c>
      <c r="G10" s="97">
        <f>SUM($E$7:E10)</f>
        <v>241</v>
      </c>
      <c r="H10" s="98">
        <f t="shared" si="1"/>
        <v>0.65846994535519121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4">
        <v>5</v>
      </c>
      <c r="D11" s="145">
        <v>25</v>
      </c>
      <c r="E11" s="95">
        <f>'표점등급&amp;절평인원 입력 기능'!D233</f>
        <v>33</v>
      </c>
      <c r="F11" s="96">
        <f t="shared" si="0"/>
        <v>9.0163934426229511E-2</v>
      </c>
      <c r="G11" s="97">
        <f>SUM($E$7:E11)</f>
        <v>274</v>
      </c>
      <c r="H11" s="98">
        <f t="shared" si="1"/>
        <v>0.74863387978142082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4">
        <v>6</v>
      </c>
      <c r="D12" s="145">
        <v>20</v>
      </c>
      <c r="E12" s="95">
        <f>'표점등급&amp;절평인원 입력 기능'!D234</f>
        <v>34</v>
      </c>
      <c r="F12" s="96">
        <f t="shared" si="0"/>
        <v>9.2896174863387984E-2</v>
      </c>
      <c r="G12" s="97">
        <f>SUM($E$7:E12)</f>
        <v>308</v>
      </c>
      <c r="H12" s="98">
        <f t="shared" si="1"/>
        <v>0.84153005464480879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4">
        <v>7</v>
      </c>
      <c r="D13" s="145">
        <v>15</v>
      </c>
      <c r="E13" s="95">
        <f>'표점등급&amp;절평인원 입력 기능'!D235</f>
        <v>26</v>
      </c>
      <c r="F13" s="96">
        <f t="shared" si="0"/>
        <v>7.1038251366120214E-2</v>
      </c>
      <c r="G13" s="97">
        <f>SUM($E$7:E13)</f>
        <v>334</v>
      </c>
      <c r="H13" s="98">
        <f t="shared" si="1"/>
        <v>0.91256830601092898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4">
        <v>8</v>
      </c>
      <c r="D14" s="145">
        <v>10</v>
      </c>
      <c r="E14" s="95">
        <f>'표점등급&amp;절평인원 입력 기능'!D236</f>
        <v>28</v>
      </c>
      <c r="F14" s="96">
        <f t="shared" si="0"/>
        <v>7.650273224043716E-2</v>
      </c>
      <c r="G14" s="97">
        <f>SUM($E$7:E14)</f>
        <v>362</v>
      </c>
      <c r="H14" s="98">
        <f t="shared" si="1"/>
        <v>0.98907103825136611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6">
        <v>9</v>
      </c>
      <c r="D15" s="147">
        <v>0</v>
      </c>
      <c r="E15" s="101">
        <f>'표점등급&amp;절평인원 입력 기능'!D237</f>
        <v>4</v>
      </c>
      <c r="F15" s="102">
        <f t="shared" si="0"/>
        <v>1.092896174863388E-2</v>
      </c>
      <c r="G15" s="103">
        <f>SUM($E$7:E15)</f>
        <v>366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6AA01-2400-473B-A1E4-51FC3A2400A3}">
  <sheetPr codeName="Sheet33"/>
  <dimension ref="A1:L16"/>
  <sheetViews>
    <sheetView zoomScaleNormal="100" workbookViewId="0">
      <selection activeCell="E7" sqref="E7:E15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기능'!D30</f>
        <v>32.23</v>
      </c>
      <c r="I3" s="21" t="s">
        <v>124</v>
      </c>
      <c r="J3" s="81">
        <f>'통계 및 응시자 수 입력 기능'!C30</f>
        <v>718</v>
      </c>
      <c r="K3" s="31"/>
    </row>
    <row r="4" spans="1:12" ht="25" customHeight="1" thickBot="1" x14ac:dyDescent="0.5">
      <c r="A4" s="5"/>
      <c r="B4" s="30"/>
      <c r="C4" s="82" t="s">
        <v>125</v>
      </c>
      <c r="D4" s="159" t="s">
        <v>109</v>
      </c>
      <c r="E4" s="153"/>
      <c r="F4" s="154"/>
      <c r="G4" s="83" t="s">
        <v>127</v>
      </c>
      <c r="H4" s="84" t="str">
        <f>'통계 및 응시자 수 입력 기능'!E30</f>
        <v>12.52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49" t="s">
        <v>131</v>
      </c>
      <c r="D6" s="85" t="s">
        <v>132</v>
      </c>
      <c r="E6" s="86" t="s">
        <v>133</v>
      </c>
      <c r="F6" s="50" t="s">
        <v>134</v>
      </c>
      <c r="G6" s="50" t="s">
        <v>135</v>
      </c>
      <c r="H6" s="52" t="s">
        <v>136</v>
      </c>
      <c r="I6" s="20"/>
      <c r="J6" s="20"/>
      <c r="K6" s="31"/>
      <c r="L6" s="5"/>
    </row>
    <row r="7" spans="1:12" ht="25" customHeight="1" x14ac:dyDescent="0.45">
      <c r="A7" s="5"/>
      <c r="B7" s="30"/>
      <c r="C7" s="142">
        <v>1</v>
      </c>
      <c r="D7" s="143">
        <v>45</v>
      </c>
      <c r="E7" s="89">
        <f>'표점등급&amp;절평인원 입력 기능'!D238</f>
        <v>142</v>
      </c>
      <c r="F7" s="90">
        <f>E7/$J$3</f>
        <v>0.1977715877437326</v>
      </c>
      <c r="G7" s="91">
        <f>SUM($E$7:E7)</f>
        <v>142</v>
      </c>
      <c r="H7" s="92">
        <f>G7/$J$3</f>
        <v>0.1977715877437326</v>
      </c>
      <c r="I7" s="20"/>
      <c r="J7" s="20"/>
      <c r="K7" s="31"/>
      <c r="L7" s="5"/>
    </row>
    <row r="8" spans="1:12" ht="25" customHeight="1" x14ac:dyDescent="0.45">
      <c r="A8" s="5"/>
      <c r="B8" s="30"/>
      <c r="C8" s="144">
        <v>2</v>
      </c>
      <c r="D8" s="145">
        <v>40</v>
      </c>
      <c r="E8" s="95">
        <f>'표점등급&amp;절평인원 입력 기능'!D239</f>
        <v>132</v>
      </c>
      <c r="F8" s="96">
        <f t="shared" ref="F8:F15" si="0">E8/$J$3</f>
        <v>0.18384401114206128</v>
      </c>
      <c r="G8" s="97">
        <f>SUM($E$7:E8)</f>
        <v>274</v>
      </c>
      <c r="H8" s="98">
        <f t="shared" ref="H8:H15" si="1">G8/$J$3</f>
        <v>0.38161559888579388</v>
      </c>
      <c r="I8" s="20"/>
      <c r="J8" s="20"/>
      <c r="K8" s="31"/>
      <c r="L8" s="5"/>
    </row>
    <row r="9" spans="1:12" ht="25" customHeight="1" x14ac:dyDescent="0.45">
      <c r="A9" s="5"/>
      <c r="B9" s="30"/>
      <c r="C9" s="144">
        <v>3</v>
      </c>
      <c r="D9" s="145">
        <v>35</v>
      </c>
      <c r="E9" s="95">
        <f>'표점등급&amp;절평인원 입력 기능'!D240</f>
        <v>101</v>
      </c>
      <c r="F9" s="96">
        <f t="shared" si="0"/>
        <v>0.14066852367688024</v>
      </c>
      <c r="G9" s="97">
        <f>SUM($E$7:E9)</f>
        <v>375</v>
      </c>
      <c r="H9" s="98">
        <f t="shared" si="1"/>
        <v>0.52228412256267409</v>
      </c>
      <c r="I9" s="20"/>
      <c r="J9" s="20"/>
      <c r="K9" s="31"/>
      <c r="L9" s="5"/>
    </row>
    <row r="10" spans="1:12" ht="25" customHeight="1" x14ac:dyDescent="0.45">
      <c r="A10" s="5"/>
      <c r="B10" s="30"/>
      <c r="C10" s="144">
        <v>4</v>
      </c>
      <c r="D10" s="145">
        <v>30</v>
      </c>
      <c r="E10" s="95">
        <f>'표점등급&amp;절평인원 입력 기능'!D241</f>
        <v>64</v>
      </c>
      <c r="F10" s="96">
        <f t="shared" si="0"/>
        <v>8.9136490250696379E-2</v>
      </c>
      <c r="G10" s="97">
        <f>SUM($E$7:E10)</f>
        <v>439</v>
      </c>
      <c r="H10" s="98">
        <f t="shared" si="1"/>
        <v>0.61142061281337046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4">
        <v>5</v>
      </c>
      <c r="D11" s="145">
        <v>25</v>
      </c>
      <c r="E11" s="95">
        <f>'표점등급&amp;절평인원 입력 기능'!D242</f>
        <v>52</v>
      </c>
      <c r="F11" s="96">
        <f t="shared" si="0"/>
        <v>7.2423398328690811E-2</v>
      </c>
      <c r="G11" s="97">
        <f>SUM($E$7:E11)</f>
        <v>491</v>
      </c>
      <c r="H11" s="98">
        <f t="shared" si="1"/>
        <v>0.68384401114206128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4">
        <v>6</v>
      </c>
      <c r="D12" s="145">
        <v>20</v>
      </c>
      <c r="E12" s="95">
        <f>'표점등급&amp;절평인원 입력 기능'!D243</f>
        <v>67</v>
      </c>
      <c r="F12" s="96">
        <f t="shared" si="0"/>
        <v>9.3314763231197778E-2</v>
      </c>
      <c r="G12" s="97">
        <f>SUM($E$7:E12)</f>
        <v>558</v>
      </c>
      <c r="H12" s="98">
        <f t="shared" si="1"/>
        <v>0.77715877437325909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4">
        <v>7</v>
      </c>
      <c r="D13" s="145">
        <v>15</v>
      </c>
      <c r="E13" s="95">
        <f>'표점등급&amp;절평인원 입력 기능'!D244</f>
        <v>80</v>
      </c>
      <c r="F13" s="96">
        <f t="shared" si="0"/>
        <v>0.11142061281337047</v>
      </c>
      <c r="G13" s="97">
        <f>SUM($E$7:E13)</f>
        <v>638</v>
      </c>
      <c r="H13" s="98">
        <f t="shared" si="1"/>
        <v>0.88857938718662954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4">
        <v>8</v>
      </c>
      <c r="D14" s="145">
        <v>10</v>
      </c>
      <c r="E14" s="95">
        <f>'표점등급&amp;절평인원 입력 기능'!D245</f>
        <v>55</v>
      </c>
      <c r="F14" s="96">
        <f t="shared" si="0"/>
        <v>7.6601671309192196E-2</v>
      </c>
      <c r="G14" s="97">
        <f>SUM($E$7:E14)</f>
        <v>693</v>
      </c>
      <c r="H14" s="98">
        <f t="shared" si="1"/>
        <v>0.9651810584958217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6">
        <v>9</v>
      </c>
      <c r="D15" s="147">
        <v>0</v>
      </c>
      <c r="E15" s="101">
        <f>'표점등급&amp;절평인원 입력 기능'!D246</f>
        <v>25</v>
      </c>
      <c r="F15" s="102">
        <f t="shared" si="0"/>
        <v>3.4818941504178275E-2</v>
      </c>
      <c r="G15" s="103">
        <f>SUM($E$7:E15)</f>
        <v>718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5102-27E8-48EF-A367-B3DDC8D8FE89}">
  <sheetPr codeName="Sheet34"/>
  <dimension ref="A1:L16"/>
  <sheetViews>
    <sheetView zoomScaleNormal="100" workbookViewId="0">
      <selection activeCell="J4" sqref="J4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기능'!D31</f>
        <v>28.48</v>
      </c>
      <c r="I3" s="21" t="s">
        <v>124</v>
      </c>
      <c r="J3" s="81">
        <f>'통계 및 응시자 수 입력 기능'!C31</f>
        <v>569</v>
      </c>
      <c r="K3" s="31"/>
    </row>
    <row r="4" spans="1:12" ht="25" customHeight="1" thickBot="1" x14ac:dyDescent="0.5">
      <c r="A4" s="5"/>
      <c r="B4" s="30"/>
      <c r="C4" s="82" t="s">
        <v>125</v>
      </c>
      <c r="D4" s="159" t="s">
        <v>108</v>
      </c>
      <c r="E4" s="153"/>
      <c r="F4" s="154"/>
      <c r="G4" s="83" t="s">
        <v>127</v>
      </c>
      <c r="H4" s="84" t="str">
        <f>'통계 및 응시자 수 입력 기능'!E31</f>
        <v>12.29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49" t="s">
        <v>131</v>
      </c>
      <c r="D6" s="85" t="s">
        <v>132</v>
      </c>
      <c r="E6" s="86" t="s">
        <v>133</v>
      </c>
      <c r="F6" s="50" t="s">
        <v>134</v>
      </c>
      <c r="G6" s="50" t="s">
        <v>135</v>
      </c>
      <c r="H6" s="52" t="s">
        <v>136</v>
      </c>
      <c r="I6" s="20"/>
      <c r="J6" s="20"/>
      <c r="K6" s="31"/>
      <c r="L6" s="5"/>
    </row>
    <row r="7" spans="1:12" ht="25" customHeight="1" x14ac:dyDescent="0.45">
      <c r="A7" s="5"/>
      <c r="B7" s="30"/>
      <c r="C7" s="142">
        <v>1</v>
      </c>
      <c r="D7" s="143">
        <v>45</v>
      </c>
      <c r="E7" s="89">
        <f>'표점등급&amp;절평인원 입력 기능'!D247</f>
        <v>68</v>
      </c>
      <c r="F7" s="90">
        <f>E7/$J$3</f>
        <v>0.1195079086115993</v>
      </c>
      <c r="G7" s="91">
        <f>SUM($E$7:E7)</f>
        <v>68</v>
      </c>
      <c r="H7" s="92">
        <f>G7/$J$3</f>
        <v>0.1195079086115993</v>
      </c>
      <c r="I7" s="20"/>
      <c r="J7" s="20"/>
      <c r="K7" s="31"/>
      <c r="L7" s="5"/>
    </row>
    <row r="8" spans="1:12" ht="25" customHeight="1" x14ac:dyDescent="0.45">
      <c r="A8" s="5"/>
      <c r="B8" s="30"/>
      <c r="C8" s="144">
        <v>2</v>
      </c>
      <c r="D8" s="145">
        <v>40</v>
      </c>
      <c r="E8" s="95">
        <f>'표점등급&amp;절평인원 입력 기능'!D248</f>
        <v>65</v>
      </c>
      <c r="F8" s="96">
        <f t="shared" ref="F8:F15" si="0">E8/$J$3</f>
        <v>0.11423550087873462</v>
      </c>
      <c r="G8" s="97">
        <f>SUM($E$7:E8)</f>
        <v>133</v>
      </c>
      <c r="H8" s="98">
        <f t="shared" ref="H8:H15" si="1">G8/$J$3</f>
        <v>0.23374340949033393</v>
      </c>
      <c r="I8" s="20"/>
      <c r="J8" s="20"/>
      <c r="K8" s="31"/>
      <c r="L8" s="5"/>
    </row>
    <row r="9" spans="1:12" ht="25" customHeight="1" x14ac:dyDescent="0.45">
      <c r="A9" s="5"/>
      <c r="B9" s="30"/>
      <c r="C9" s="144">
        <v>3</v>
      </c>
      <c r="D9" s="145">
        <v>35</v>
      </c>
      <c r="E9" s="95">
        <f>'표점등급&amp;절평인원 입력 기능'!D249</f>
        <v>81</v>
      </c>
      <c r="F9" s="96">
        <f t="shared" si="0"/>
        <v>0.14235500878734622</v>
      </c>
      <c r="G9" s="97">
        <f>SUM($E$7:E9)</f>
        <v>214</v>
      </c>
      <c r="H9" s="98">
        <f t="shared" si="1"/>
        <v>0.37609841827768015</v>
      </c>
      <c r="I9" s="20"/>
      <c r="J9" s="20"/>
      <c r="K9" s="31"/>
      <c r="L9" s="5"/>
    </row>
    <row r="10" spans="1:12" ht="25" customHeight="1" x14ac:dyDescent="0.45">
      <c r="A10" s="5"/>
      <c r="B10" s="30"/>
      <c r="C10" s="144">
        <v>4</v>
      </c>
      <c r="D10" s="145">
        <v>30</v>
      </c>
      <c r="E10" s="95">
        <f>'표점등급&amp;절평인원 입력 기능'!D250</f>
        <v>55</v>
      </c>
      <c r="F10" s="96">
        <f t="shared" si="0"/>
        <v>9.6660808435852369E-2</v>
      </c>
      <c r="G10" s="97">
        <f>SUM($E$7:E10)</f>
        <v>269</v>
      </c>
      <c r="H10" s="98">
        <f t="shared" si="1"/>
        <v>0.47275922671353249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4">
        <v>5</v>
      </c>
      <c r="D11" s="145">
        <v>25</v>
      </c>
      <c r="E11" s="95">
        <f>'표점등급&amp;절평인원 입력 기능'!D251</f>
        <v>74</v>
      </c>
      <c r="F11" s="96">
        <f t="shared" si="0"/>
        <v>0.13005272407732865</v>
      </c>
      <c r="G11" s="97">
        <f>SUM($E$7:E11)</f>
        <v>343</v>
      </c>
      <c r="H11" s="98">
        <f t="shared" si="1"/>
        <v>0.60281195079086114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4">
        <v>6</v>
      </c>
      <c r="D12" s="145">
        <v>20</v>
      </c>
      <c r="E12" s="95">
        <f>'표점등급&amp;절평인원 입력 기능'!D252</f>
        <v>62</v>
      </c>
      <c r="F12" s="96">
        <f t="shared" si="0"/>
        <v>0.10896309314586995</v>
      </c>
      <c r="G12" s="97">
        <f>SUM($E$7:E12)</f>
        <v>405</v>
      </c>
      <c r="H12" s="98">
        <f t="shared" si="1"/>
        <v>0.71177504393673108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4">
        <v>7</v>
      </c>
      <c r="D13" s="145">
        <v>15</v>
      </c>
      <c r="E13" s="95">
        <f>'표점등급&amp;절평인원 입력 기능'!D253</f>
        <v>66</v>
      </c>
      <c r="F13" s="96">
        <f t="shared" si="0"/>
        <v>0.11599297012302284</v>
      </c>
      <c r="G13" s="97">
        <f>SUM($E$7:E13)</f>
        <v>471</v>
      </c>
      <c r="H13" s="98">
        <f t="shared" si="1"/>
        <v>0.82776801405975398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4">
        <v>8</v>
      </c>
      <c r="D14" s="145">
        <v>10</v>
      </c>
      <c r="E14" s="95">
        <f>'표점등급&amp;절평인원 입력 기능'!D254</f>
        <v>65</v>
      </c>
      <c r="F14" s="96">
        <f t="shared" si="0"/>
        <v>0.11423550087873462</v>
      </c>
      <c r="G14" s="97">
        <f>SUM($E$7:E14)</f>
        <v>536</v>
      </c>
      <c r="H14" s="98">
        <f t="shared" si="1"/>
        <v>0.94200351493848855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6">
        <v>9</v>
      </c>
      <c r="D15" s="147">
        <v>0</v>
      </c>
      <c r="E15" s="101">
        <f>'표점등급&amp;절평인원 입력 기능'!D255</f>
        <v>33</v>
      </c>
      <c r="F15" s="102">
        <f t="shared" si="0"/>
        <v>5.7996485061511421E-2</v>
      </c>
      <c r="G15" s="103">
        <f>SUM($E$7:E15)</f>
        <v>569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2F0A8-C55F-47D0-B0B6-D643EA30905F}">
  <sheetPr codeName="Sheet35"/>
  <dimension ref="A1:L16"/>
  <sheetViews>
    <sheetView zoomScaleNormal="100" workbookViewId="0">
      <selection activeCell="E7" sqref="E7:E15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기능'!D32</f>
        <v>30.14</v>
      </c>
      <c r="I3" s="21" t="s">
        <v>124</v>
      </c>
      <c r="J3" s="81">
        <f>'통계 및 응시자 수 입력 기능'!C32</f>
        <v>118</v>
      </c>
      <c r="K3" s="31"/>
    </row>
    <row r="4" spans="1:12" ht="25" customHeight="1" thickBot="1" x14ac:dyDescent="0.5">
      <c r="A4" s="5"/>
      <c r="B4" s="30"/>
      <c r="C4" s="82" t="s">
        <v>125</v>
      </c>
      <c r="D4" s="159" t="s">
        <v>110</v>
      </c>
      <c r="E4" s="153"/>
      <c r="F4" s="154"/>
      <c r="G4" s="83" t="s">
        <v>127</v>
      </c>
      <c r="H4" s="84" t="str">
        <f>'통계 및 응시자 수 입력 기능'!E32</f>
        <v>14.33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49" t="s">
        <v>131</v>
      </c>
      <c r="D6" s="85" t="s">
        <v>132</v>
      </c>
      <c r="E6" s="86" t="s">
        <v>133</v>
      </c>
      <c r="F6" s="50" t="s">
        <v>134</v>
      </c>
      <c r="G6" s="50" t="s">
        <v>135</v>
      </c>
      <c r="H6" s="52" t="s">
        <v>136</v>
      </c>
      <c r="I6" s="20"/>
      <c r="J6" s="20"/>
      <c r="K6" s="31"/>
      <c r="L6" s="5"/>
    </row>
    <row r="7" spans="1:12" ht="25" customHeight="1" x14ac:dyDescent="0.45">
      <c r="A7" s="5"/>
      <c r="B7" s="30"/>
      <c r="C7" s="142">
        <v>1</v>
      </c>
      <c r="D7" s="143">
        <v>45</v>
      </c>
      <c r="E7" s="89">
        <f>'표점등급&amp;절평인원 입력 기능'!D256</f>
        <v>24</v>
      </c>
      <c r="F7" s="90">
        <f>E7/$J$3</f>
        <v>0.20338983050847459</v>
      </c>
      <c r="G7" s="91">
        <f>SUM($E$7:E7)</f>
        <v>24</v>
      </c>
      <c r="H7" s="92">
        <f>G7/$J$3</f>
        <v>0.20338983050847459</v>
      </c>
      <c r="I7" s="20"/>
      <c r="J7" s="20"/>
      <c r="K7" s="31"/>
      <c r="L7" s="5"/>
    </row>
    <row r="8" spans="1:12" ht="25" customHeight="1" x14ac:dyDescent="0.45">
      <c r="A8" s="5"/>
      <c r="B8" s="30"/>
      <c r="C8" s="144">
        <v>2</v>
      </c>
      <c r="D8" s="145">
        <v>40</v>
      </c>
      <c r="E8" s="95">
        <f>'표점등급&amp;절평인원 입력 기능'!D257</f>
        <v>17</v>
      </c>
      <c r="F8" s="96">
        <f t="shared" ref="F8:F15" si="0">E8/$J$3</f>
        <v>0.1440677966101695</v>
      </c>
      <c r="G8" s="97">
        <f>SUM($E$7:E8)</f>
        <v>41</v>
      </c>
      <c r="H8" s="98">
        <f t="shared" ref="H8:H15" si="1">G8/$J$3</f>
        <v>0.34745762711864409</v>
      </c>
      <c r="I8" s="20"/>
      <c r="J8" s="20"/>
      <c r="K8" s="31"/>
      <c r="L8" s="5"/>
    </row>
    <row r="9" spans="1:12" ht="25" customHeight="1" x14ac:dyDescent="0.45">
      <c r="A9" s="5"/>
      <c r="B9" s="30"/>
      <c r="C9" s="144">
        <v>3</v>
      </c>
      <c r="D9" s="145">
        <v>35</v>
      </c>
      <c r="E9" s="95">
        <f>'표점등급&amp;절평인원 입력 기능'!D258</f>
        <v>19</v>
      </c>
      <c r="F9" s="96">
        <f t="shared" si="0"/>
        <v>0.16101694915254236</v>
      </c>
      <c r="G9" s="97">
        <f>SUM($E$7:E9)</f>
        <v>60</v>
      </c>
      <c r="H9" s="98">
        <f t="shared" si="1"/>
        <v>0.50847457627118642</v>
      </c>
      <c r="I9" s="20"/>
      <c r="J9" s="20"/>
      <c r="K9" s="31"/>
      <c r="L9" s="5"/>
    </row>
    <row r="10" spans="1:12" ht="25" customHeight="1" x14ac:dyDescent="0.45">
      <c r="A10" s="5"/>
      <c r="B10" s="30"/>
      <c r="C10" s="144">
        <v>4</v>
      </c>
      <c r="D10" s="145">
        <v>30</v>
      </c>
      <c r="E10" s="95">
        <f>'표점등급&amp;절평인원 입력 기능'!D259</f>
        <v>10</v>
      </c>
      <c r="F10" s="96">
        <f t="shared" si="0"/>
        <v>8.4745762711864403E-2</v>
      </c>
      <c r="G10" s="97">
        <f>SUM($E$7:E10)</f>
        <v>70</v>
      </c>
      <c r="H10" s="98">
        <f t="shared" si="1"/>
        <v>0.59322033898305082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4">
        <v>5</v>
      </c>
      <c r="D11" s="145">
        <v>25</v>
      </c>
      <c r="E11" s="95">
        <f>'표점등급&amp;절평인원 입력 기능'!D260</f>
        <v>7</v>
      </c>
      <c r="F11" s="96">
        <f t="shared" si="0"/>
        <v>5.9322033898305086E-2</v>
      </c>
      <c r="G11" s="97">
        <f>SUM($E$7:E11)</f>
        <v>77</v>
      </c>
      <c r="H11" s="98">
        <f t="shared" si="1"/>
        <v>0.65254237288135597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4">
        <v>6</v>
      </c>
      <c r="D12" s="145">
        <v>20</v>
      </c>
      <c r="E12" s="95">
        <f>'표점등급&amp;절평인원 입력 기능'!D261</f>
        <v>4</v>
      </c>
      <c r="F12" s="96">
        <f t="shared" si="0"/>
        <v>3.3898305084745763E-2</v>
      </c>
      <c r="G12" s="97">
        <f>SUM($E$7:E12)</f>
        <v>81</v>
      </c>
      <c r="H12" s="98">
        <f t="shared" si="1"/>
        <v>0.68644067796610164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4">
        <v>7</v>
      </c>
      <c r="D13" s="145">
        <v>15</v>
      </c>
      <c r="E13" s="95">
        <f>'표점등급&amp;절평인원 입력 기능'!D262</f>
        <v>8</v>
      </c>
      <c r="F13" s="96">
        <f t="shared" si="0"/>
        <v>6.7796610169491525E-2</v>
      </c>
      <c r="G13" s="97">
        <f>SUM($E$7:E13)</f>
        <v>89</v>
      </c>
      <c r="H13" s="98">
        <f t="shared" si="1"/>
        <v>0.75423728813559321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4">
        <v>8</v>
      </c>
      <c r="D14" s="145">
        <v>10</v>
      </c>
      <c r="E14" s="95">
        <f>'표점등급&amp;절평인원 입력 기능'!D263</f>
        <v>20</v>
      </c>
      <c r="F14" s="96">
        <f t="shared" si="0"/>
        <v>0.16949152542372881</v>
      </c>
      <c r="G14" s="97">
        <f>SUM($E$7:E14)</f>
        <v>109</v>
      </c>
      <c r="H14" s="98">
        <f t="shared" si="1"/>
        <v>0.92372881355932202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6">
        <v>9</v>
      </c>
      <c r="D15" s="147">
        <v>0</v>
      </c>
      <c r="E15" s="101">
        <f>'표점등급&amp;절평인원 입력 기능'!D264</f>
        <v>9</v>
      </c>
      <c r="F15" s="102">
        <f t="shared" si="0"/>
        <v>7.6271186440677971E-2</v>
      </c>
      <c r="G15" s="103">
        <f>SUM($E$7:E15)</f>
        <v>118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72BD6-599F-4171-8780-18DBDF84382B}">
  <sheetPr codeName="Sheet36"/>
  <dimension ref="A1:L16"/>
  <sheetViews>
    <sheetView tabSelected="1" topLeftCell="A10" zoomScaleNormal="100" workbookViewId="0">
      <selection activeCell="J4" sqref="J4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122</v>
      </c>
      <c r="D3" s="149" t="s">
        <v>121</v>
      </c>
      <c r="E3" s="150"/>
      <c r="F3" s="151"/>
      <c r="G3" s="79" t="s">
        <v>123</v>
      </c>
      <c r="H3" s="80" t="str">
        <f>'통계 및 응시자 수 입력 기능'!D33</f>
        <v>31.55</v>
      </c>
      <c r="I3" s="21" t="s">
        <v>124</v>
      </c>
      <c r="J3" s="81">
        <f>'통계 및 응시자 수 입력 기능'!C33</f>
        <v>105</v>
      </c>
      <c r="K3" s="31"/>
    </row>
    <row r="4" spans="1:12" ht="25" customHeight="1" thickBot="1" x14ac:dyDescent="0.5">
      <c r="A4" s="5"/>
      <c r="B4" s="30"/>
      <c r="C4" s="82" t="s">
        <v>125</v>
      </c>
      <c r="D4" s="159" t="s">
        <v>111</v>
      </c>
      <c r="E4" s="153"/>
      <c r="F4" s="154"/>
      <c r="G4" s="83" t="s">
        <v>127</v>
      </c>
      <c r="H4" s="84" t="str">
        <f>'통계 및 응시자 수 입력 기능'!E33</f>
        <v xml:space="preserve"> 8.73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49" t="s">
        <v>131</v>
      </c>
      <c r="D6" s="85" t="s">
        <v>132</v>
      </c>
      <c r="E6" s="86" t="s">
        <v>133</v>
      </c>
      <c r="F6" s="50" t="s">
        <v>134</v>
      </c>
      <c r="G6" s="50" t="s">
        <v>135</v>
      </c>
      <c r="H6" s="52" t="s">
        <v>136</v>
      </c>
      <c r="I6" s="20"/>
      <c r="J6" s="20"/>
      <c r="K6" s="31"/>
      <c r="L6" s="5"/>
    </row>
    <row r="7" spans="1:12" ht="25" customHeight="1" x14ac:dyDescent="0.45">
      <c r="A7" s="5"/>
      <c r="B7" s="30"/>
      <c r="C7" s="142">
        <v>1</v>
      </c>
      <c r="D7" s="143">
        <v>45</v>
      </c>
      <c r="E7" s="89">
        <f>'표점등급&amp;절평인원 입력 기능'!D265</f>
        <v>7</v>
      </c>
      <c r="F7" s="90">
        <f>E7/$J$3</f>
        <v>6.6666666666666666E-2</v>
      </c>
      <c r="G7" s="91">
        <f>SUM($E$7:E7)</f>
        <v>7</v>
      </c>
      <c r="H7" s="92">
        <f>G7/$J$3</f>
        <v>6.6666666666666666E-2</v>
      </c>
      <c r="I7" s="20"/>
      <c r="J7" s="20"/>
      <c r="K7" s="31"/>
      <c r="L7" s="5"/>
    </row>
    <row r="8" spans="1:12" ht="25" customHeight="1" x14ac:dyDescent="0.45">
      <c r="A8" s="5"/>
      <c r="B8" s="30"/>
      <c r="C8" s="144">
        <v>2</v>
      </c>
      <c r="D8" s="145">
        <v>40</v>
      </c>
      <c r="E8" s="95">
        <f>'표점등급&amp;절평인원 입력 기능'!D266</f>
        <v>17</v>
      </c>
      <c r="F8" s="96">
        <f t="shared" ref="F8:F15" si="0">E8/$J$3</f>
        <v>0.16190476190476191</v>
      </c>
      <c r="G8" s="97">
        <f>SUM($E$7:E8)</f>
        <v>24</v>
      </c>
      <c r="H8" s="98">
        <f t="shared" ref="H8:H15" si="1">G8/$J$3</f>
        <v>0.22857142857142856</v>
      </c>
      <c r="I8" s="20"/>
      <c r="J8" s="20"/>
      <c r="K8" s="31"/>
      <c r="L8" s="5"/>
    </row>
    <row r="9" spans="1:12" ht="25" customHeight="1" x14ac:dyDescent="0.45">
      <c r="A9" s="5"/>
      <c r="B9" s="30"/>
      <c r="C9" s="144">
        <v>3</v>
      </c>
      <c r="D9" s="145">
        <v>35</v>
      </c>
      <c r="E9" s="95">
        <f>'표점등급&amp;절평인원 입력 기능'!D267</f>
        <v>16</v>
      </c>
      <c r="F9" s="96">
        <f t="shared" si="0"/>
        <v>0.15238095238095239</v>
      </c>
      <c r="G9" s="97">
        <f>SUM($E$7:E9)</f>
        <v>40</v>
      </c>
      <c r="H9" s="98">
        <f t="shared" si="1"/>
        <v>0.38095238095238093</v>
      </c>
      <c r="I9" s="20"/>
      <c r="J9" s="20"/>
      <c r="K9" s="31"/>
      <c r="L9" s="5"/>
    </row>
    <row r="10" spans="1:12" ht="25" customHeight="1" x14ac:dyDescent="0.45">
      <c r="A10" s="5"/>
      <c r="B10" s="30"/>
      <c r="C10" s="144">
        <v>4</v>
      </c>
      <c r="D10" s="145">
        <v>30</v>
      </c>
      <c r="E10" s="95">
        <f>'표점등급&amp;절평인원 입력 기능'!D268</f>
        <v>24</v>
      </c>
      <c r="F10" s="96">
        <f t="shared" si="0"/>
        <v>0.22857142857142856</v>
      </c>
      <c r="G10" s="97">
        <f>SUM($E$7:E10)</f>
        <v>64</v>
      </c>
      <c r="H10" s="98">
        <f t="shared" si="1"/>
        <v>0.60952380952380958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4">
        <v>5</v>
      </c>
      <c r="D11" s="145">
        <v>25</v>
      </c>
      <c r="E11" s="95">
        <f>'표점등급&amp;절평인원 입력 기능'!D269</f>
        <v>16</v>
      </c>
      <c r="F11" s="96">
        <f t="shared" si="0"/>
        <v>0.15238095238095239</v>
      </c>
      <c r="G11" s="97">
        <f>SUM($E$7:E11)</f>
        <v>80</v>
      </c>
      <c r="H11" s="98">
        <f t="shared" si="1"/>
        <v>0.76190476190476186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4">
        <v>6</v>
      </c>
      <c r="D12" s="145">
        <v>20</v>
      </c>
      <c r="E12" s="95">
        <f>'표점등급&amp;절평인원 입력 기능'!D270</f>
        <v>13</v>
      </c>
      <c r="F12" s="96">
        <f t="shared" si="0"/>
        <v>0.12380952380952381</v>
      </c>
      <c r="G12" s="97">
        <f>SUM($E$7:E12)</f>
        <v>93</v>
      </c>
      <c r="H12" s="98">
        <f t="shared" si="1"/>
        <v>0.88571428571428568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4">
        <v>7</v>
      </c>
      <c r="D13" s="145">
        <v>15</v>
      </c>
      <c r="E13" s="95">
        <f>'표점등급&amp;절평인원 입력 기능'!D271</f>
        <v>8</v>
      </c>
      <c r="F13" s="96">
        <f t="shared" si="0"/>
        <v>7.6190476190476197E-2</v>
      </c>
      <c r="G13" s="97">
        <f>SUM($E$7:E13)</f>
        <v>101</v>
      </c>
      <c r="H13" s="98">
        <f t="shared" si="1"/>
        <v>0.96190476190476193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4">
        <v>8</v>
      </c>
      <c r="D14" s="145">
        <v>10</v>
      </c>
      <c r="E14" s="95">
        <f>'표점등급&amp;절평인원 입력 기능'!D272</f>
        <v>4</v>
      </c>
      <c r="F14" s="96">
        <f t="shared" si="0"/>
        <v>3.8095238095238099E-2</v>
      </c>
      <c r="G14" s="97">
        <f>SUM($E$7:E14)</f>
        <v>105</v>
      </c>
      <c r="H14" s="98">
        <f t="shared" si="1"/>
        <v>1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6">
        <v>9</v>
      </c>
      <c r="D15" s="147">
        <v>0</v>
      </c>
      <c r="E15" s="101">
        <v>0</v>
      </c>
      <c r="F15" s="102">
        <f t="shared" si="0"/>
        <v>0</v>
      </c>
      <c r="G15" s="103">
        <f>SUM($E$7:E15)</f>
        <v>105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36</vt:i4>
      </vt:variant>
    </vt:vector>
  </HeadingPairs>
  <TitlesOfParts>
    <vt:vector size="36" baseType="lpstr">
      <vt:lpstr>통계 및 응시자 수 입력 기능</vt:lpstr>
      <vt:lpstr>표점등급&amp;절평인원 입력 기능</vt:lpstr>
      <vt:lpstr>인원 입력 기능(국수)</vt:lpstr>
      <vt:lpstr>인원 입력 기능(사과탐)</vt:lpstr>
      <vt:lpstr>인원 입력 기능(직탐)</vt:lpstr>
      <vt:lpstr>국어</vt:lpstr>
      <vt:lpstr>수학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성공적인 직업생활</vt:lpstr>
      <vt:lpstr>농업 기초 기술</vt:lpstr>
      <vt:lpstr>공업 일반</vt:lpstr>
      <vt:lpstr>상업 경제</vt:lpstr>
      <vt:lpstr>수산∙해운 산업 기초</vt:lpstr>
      <vt:lpstr>인간 발달</vt:lpstr>
      <vt:lpstr>등급컷 모아보기</vt:lpstr>
      <vt:lpstr>독일어Ⅰ</vt:lpstr>
      <vt:lpstr>프랑스어Ⅰ</vt:lpstr>
      <vt:lpstr>스페인어Ⅰ</vt:lpstr>
      <vt:lpstr>중국어Ⅰ</vt:lpstr>
      <vt:lpstr>일본어Ⅰ</vt:lpstr>
      <vt:lpstr>러시아어Ⅰ</vt:lpstr>
      <vt:lpstr>한문Ⅰ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dcterms:created xsi:type="dcterms:W3CDTF">2018-04-21T04:34:05Z</dcterms:created>
  <dcterms:modified xsi:type="dcterms:W3CDTF">2024-02-07T01:20:21Z</dcterms:modified>
</cp:coreProperties>
</file>