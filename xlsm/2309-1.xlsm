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827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hongik-my.sharepoint.com/personal/edc9566_mail_hongik_ac_kr/Documents/바탕 화면/모의고사&amp;수능 관련/2023/고1/"/>
    </mc:Choice>
  </mc:AlternateContent>
  <xr:revisionPtr revIDLastSave="106" documentId="13_ncr:1_{EEEC42F2-47EA-42B4-A392-2331ACD5A4E0}" xr6:coauthVersionLast="47" xr6:coauthVersionMax="47" xr10:uidLastSave="{8E849AA3-4718-424A-B6CF-847F02FBC4C6}"/>
  <bookViews>
    <workbookView xWindow="-110" yWindow="-110" windowWidth="19420" windowHeight="11620" firstSheet="1" activeTab="8" xr2:uid="{AB9EE284-95EA-49B1-8133-EE4E7651E7F1}"/>
  </bookViews>
  <sheets>
    <sheet name="통계 및 응시자 수 입력 기능" sheetId="67" r:id="rId1"/>
    <sheet name="표점등급&amp;절평인원 입력기능" sheetId="66" r:id="rId2"/>
    <sheet name="인원 입력 기능" sheetId="64" r:id="rId3"/>
    <sheet name="국어" sheetId="2" r:id="rId4"/>
    <sheet name="수학" sheetId="5" r:id="rId5"/>
    <sheet name="영어" sheetId="6" r:id="rId6"/>
    <sheet name="한국사" sheetId="25" r:id="rId7"/>
    <sheet name="사회" sheetId="69" r:id="rId8"/>
    <sheet name="과학" sheetId="68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68" l="1"/>
  <c r="H4" i="68"/>
  <c r="H3" i="68"/>
  <c r="J3" i="69"/>
  <c r="H4" i="69"/>
  <c r="H3" i="69"/>
  <c r="E15" i="68" l="1"/>
  <c r="F15" i="68" s="1"/>
  <c r="E9" i="68"/>
  <c r="F9" i="68" s="1"/>
  <c r="E10" i="68"/>
  <c r="F10" i="68" s="1"/>
  <c r="E11" i="68"/>
  <c r="F11" i="68" s="1"/>
  <c r="E12" i="68"/>
  <c r="F12" i="68" s="1"/>
  <c r="E13" i="68"/>
  <c r="F13" i="68" s="1"/>
  <c r="E14" i="68"/>
  <c r="F14" i="68" s="1"/>
  <c r="E8" i="68"/>
  <c r="F8" i="68" s="1"/>
  <c r="E7" i="68"/>
  <c r="F7" i="68" s="1"/>
  <c r="E15" i="69"/>
  <c r="F15" i="69" s="1"/>
  <c r="E14" i="69"/>
  <c r="F14" i="69" s="1"/>
  <c r="E9" i="69"/>
  <c r="F9" i="69" s="1"/>
  <c r="E10" i="69"/>
  <c r="F10" i="69" s="1"/>
  <c r="E11" i="69"/>
  <c r="F11" i="69" s="1"/>
  <c r="E12" i="69"/>
  <c r="F12" i="69" s="1"/>
  <c r="E13" i="69"/>
  <c r="F13" i="69" s="1"/>
  <c r="E8" i="69"/>
  <c r="F8" i="69" s="1"/>
  <c r="E7" i="69"/>
  <c r="F7" i="69" s="1"/>
  <c r="E15" i="25"/>
  <c r="E9" i="25"/>
  <c r="E10" i="25"/>
  <c r="E11" i="25"/>
  <c r="E12" i="25"/>
  <c r="E13" i="25"/>
  <c r="E14" i="25"/>
  <c r="E8" i="25"/>
  <c r="E7" i="25"/>
  <c r="E15" i="6"/>
  <c r="E14" i="6"/>
  <c r="E9" i="6"/>
  <c r="E10" i="6"/>
  <c r="E11" i="6"/>
  <c r="E12" i="6"/>
  <c r="E13" i="6"/>
  <c r="E8" i="6"/>
  <c r="E7" i="6"/>
  <c r="G13" i="68" l="1"/>
  <c r="H13" i="68" s="1"/>
  <c r="G7" i="68"/>
  <c r="H7" i="68" s="1"/>
  <c r="G11" i="68"/>
  <c r="H11" i="68" s="1"/>
  <c r="G15" i="68"/>
  <c r="H15" i="68" s="1"/>
  <c r="G10" i="68"/>
  <c r="H10" i="68" s="1"/>
  <c r="G14" i="68"/>
  <c r="H14" i="68" s="1"/>
  <c r="G8" i="68"/>
  <c r="H8" i="68" s="1"/>
  <c r="G12" i="68"/>
  <c r="H12" i="68" s="1"/>
  <c r="G9" i="68"/>
  <c r="H9" i="68" s="1"/>
  <c r="G13" i="69"/>
  <c r="H13" i="69" s="1"/>
  <c r="G11" i="69"/>
  <c r="H11" i="69" s="1"/>
  <c r="G7" i="69"/>
  <c r="H7" i="69" s="1"/>
  <c r="G10" i="69"/>
  <c r="H10" i="69" s="1"/>
  <c r="G14" i="69"/>
  <c r="H14" i="69" s="1"/>
  <c r="G8" i="69"/>
  <c r="H8" i="69" s="1"/>
  <c r="G12" i="69"/>
  <c r="H12" i="69" s="1"/>
  <c r="G9" i="69"/>
  <c r="H9" i="69" s="1"/>
  <c r="G15" i="69"/>
  <c r="H15" i="69" s="1"/>
  <c r="J3" i="2"/>
  <c r="J3" i="5"/>
  <c r="Q8" i="5" l="1"/>
  <c r="Q9" i="5"/>
  <c r="Q10" i="5"/>
  <c r="Q11" i="5"/>
  <c r="Q12" i="5"/>
  <c r="Q13" i="5"/>
  <c r="Q14" i="5"/>
  <c r="Q7" i="5"/>
  <c r="Q8" i="2"/>
  <c r="Q9" i="2"/>
  <c r="Q10" i="2"/>
  <c r="Q11" i="2"/>
  <c r="Q12" i="2"/>
  <c r="Q13" i="2"/>
  <c r="Q14" i="2"/>
  <c r="Q7" i="2"/>
  <c r="J3" i="25"/>
  <c r="J3" i="6"/>
  <c r="H4" i="25"/>
  <c r="H4" i="6"/>
  <c r="H4" i="5"/>
  <c r="H4" i="2"/>
  <c r="H3" i="25"/>
  <c r="H3" i="6"/>
  <c r="H3" i="5"/>
  <c r="H3" i="2"/>
  <c r="D107" i="2" l="1"/>
  <c r="G107" i="2" s="1"/>
  <c r="H107" i="2" s="1"/>
  <c r="Q17" i="2"/>
  <c r="Q17" i="5"/>
  <c r="F9" i="6"/>
  <c r="F13" i="6"/>
  <c r="F10" i="6"/>
  <c r="F14" i="6"/>
  <c r="F8" i="6"/>
  <c r="F15" i="6"/>
  <c r="F11" i="6"/>
  <c r="F7" i="6"/>
  <c r="F12" i="6"/>
  <c r="F9" i="25"/>
  <c r="F13" i="25"/>
  <c r="F10" i="25"/>
  <c r="F14" i="25"/>
  <c r="F8" i="25"/>
  <c r="F7" i="25"/>
  <c r="F11" i="25"/>
  <c r="F15" i="25"/>
  <c r="F12" i="25"/>
  <c r="D102" i="5"/>
  <c r="D102" i="2"/>
  <c r="L102" i="2" s="1"/>
  <c r="L107" i="2" l="1"/>
  <c r="E102" i="5"/>
  <c r="L102" i="5"/>
  <c r="E102" i="2"/>
  <c r="G15" i="25"/>
  <c r="H15" i="25" s="1"/>
  <c r="G14" i="25"/>
  <c r="H14" i="25" s="1"/>
  <c r="G13" i="25"/>
  <c r="H13" i="25" s="1"/>
  <c r="G12" i="25"/>
  <c r="H12" i="25" s="1"/>
  <c r="G11" i="25"/>
  <c r="H11" i="25" s="1"/>
  <c r="G10" i="25"/>
  <c r="H10" i="25" s="1"/>
  <c r="G9" i="25"/>
  <c r="H9" i="25" s="1"/>
  <c r="G8" i="25"/>
  <c r="H8" i="25" s="1"/>
  <c r="G7" i="25"/>
  <c r="H7" i="25" s="1"/>
  <c r="D107" i="5" l="1"/>
  <c r="D10" i="5"/>
  <c r="L10" i="5" s="1"/>
  <c r="D11" i="5"/>
  <c r="D12" i="5"/>
  <c r="D13" i="5"/>
  <c r="L13" i="5" s="1"/>
  <c r="D14" i="5"/>
  <c r="L14" i="5" s="1"/>
  <c r="D15" i="5"/>
  <c r="D16" i="5"/>
  <c r="L16" i="5" s="1"/>
  <c r="D17" i="5"/>
  <c r="L17" i="5" s="1"/>
  <c r="D18" i="5"/>
  <c r="L18" i="5" s="1"/>
  <c r="D19" i="5"/>
  <c r="L20" i="5"/>
  <c r="D21" i="5"/>
  <c r="L21" i="5" s="1"/>
  <c r="D22" i="5"/>
  <c r="L22" i="5" s="1"/>
  <c r="D23" i="5"/>
  <c r="D24" i="5"/>
  <c r="L24" i="5" s="1"/>
  <c r="D25" i="5"/>
  <c r="L25" i="5" s="1"/>
  <c r="D26" i="5"/>
  <c r="L26" i="5" s="1"/>
  <c r="D27" i="5"/>
  <c r="D28" i="5"/>
  <c r="L28" i="5" s="1"/>
  <c r="D29" i="5"/>
  <c r="L29" i="5" s="1"/>
  <c r="D30" i="5"/>
  <c r="L30" i="5" s="1"/>
  <c r="D31" i="5"/>
  <c r="L32" i="5"/>
  <c r="D33" i="5"/>
  <c r="L33" i="5" s="1"/>
  <c r="D34" i="5"/>
  <c r="L34" i="5" s="1"/>
  <c r="D35" i="5"/>
  <c r="D36" i="5"/>
  <c r="L36" i="5" s="1"/>
  <c r="D37" i="5"/>
  <c r="L37" i="5" s="1"/>
  <c r="D38" i="5"/>
  <c r="L38" i="5" s="1"/>
  <c r="D39" i="5"/>
  <c r="D40" i="5"/>
  <c r="L40" i="5" s="1"/>
  <c r="D41" i="5"/>
  <c r="L41" i="5" s="1"/>
  <c r="D42" i="5"/>
  <c r="L42" i="5" s="1"/>
  <c r="D43" i="5"/>
  <c r="D44" i="5"/>
  <c r="L44" i="5" s="1"/>
  <c r="L45" i="5"/>
  <c r="D46" i="5"/>
  <c r="L46" i="5" s="1"/>
  <c r="D47" i="5"/>
  <c r="D48" i="5"/>
  <c r="L48" i="5" s="1"/>
  <c r="D49" i="5"/>
  <c r="L49" i="5" s="1"/>
  <c r="D50" i="5"/>
  <c r="L50" i="5" s="1"/>
  <c r="D51" i="5"/>
  <c r="D52" i="5"/>
  <c r="L52" i="5" s="1"/>
  <c r="D53" i="5"/>
  <c r="L53" i="5" s="1"/>
  <c r="D54" i="5"/>
  <c r="L54" i="5" s="1"/>
  <c r="D55" i="5"/>
  <c r="D56" i="5"/>
  <c r="L56" i="5" s="1"/>
  <c r="D57" i="5"/>
  <c r="L57" i="5" s="1"/>
  <c r="L58" i="5"/>
  <c r="D59" i="5"/>
  <c r="D60" i="5"/>
  <c r="L60" i="5" s="1"/>
  <c r="D61" i="5"/>
  <c r="L61" i="5" s="1"/>
  <c r="D62" i="5"/>
  <c r="L62" i="5" s="1"/>
  <c r="D63" i="5"/>
  <c r="D64" i="5"/>
  <c r="L64" i="5" s="1"/>
  <c r="D65" i="5"/>
  <c r="L65" i="5" s="1"/>
  <c r="D66" i="5"/>
  <c r="L66" i="5" s="1"/>
  <c r="D67" i="5"/>
  <c r="D68" i="5"/>
  <c r="L68" i="5" s="1"/>
  <c r="D69" i="5"/>
  <c r="L69" i="5" s="1"/>
  <c r="L70" i="5"/>
  <c r="D71" i="5"/>
  <c r="D72" i="5"/>
  <c r="L72" i="5" s="1"/>
  <c r="D73" i="5"/>
  <c r="L73" i="5" s="1"/>
  <c r="D74" i="5"/>
  <c r="L74" i="5" s="1"/>
  <c r="D75" i="5"/>
  <c r="D76" i="5"/>
  <c r="L76" i="5" s="1"/>
  <c r="D77" i="5"/>
  <c r="L77" i="5" s="1"/>
  <c r="D78" i="5"/>
  <c r="L78" i="5" s="1"/>
  <c r="D79" i="5"/>
  <c r="D80" i="5"/>
  <c r="L80" i="5" s="1"/>
  <c r="D81" i="5"/>
  <c r="L81" i="5" s="1"/>
  <c r="D82" i="5"/>
  <c r="L82" i="5" s="1"/>
  <c r="D84" i="5"/>
  <c r="L84" i="5" s="1"/>
  <c r="D85" i="5"/>
  <c r="L85" i="5" s="1"/>
  <c r="D86" i="5"/>
  <c r="L86" i="5" s="1"/>
  <c r="D87" i="5"/>
  <c r="D88" i="5"/>
  <c r="L88" i="5" s="1"/>
  <c r="D89" i="5"/>
  <c r="L89" i="5" s="1"/>
  <c r="D90" i="5"/>
  <c r="L90" i="5" s="1"/>
  <c r="D91" i="5"/>
  <c r="D92" i="5"/>
  <c r="L92" i="5" s="1"/>
  <c r="D93" i="5"/>
  <c r="L93" i="5" s="1"/>
  <c r="D94" i="5"/>
  <c r="L94" i="5" s="1"/>
  <c r="D95" i="5"/>
  <c r="L96" i="5"/>
  <c r="D97" i="5"/>
  <c r="L97" i="5" s="1"/>
  <c r="D98" i="5"/>
  <c r="L98" i="5" s="1"/>
  <c r="D99" i="5"/>
  <c r="D100" i="5"/>
  <c r="L100" i="5" s="1"/>
  <c r="D101" i="5"/>
  <c r="L101" i="5" s="1"/>
  <c r="D103" i="5"/>
  <c r="D104" i="5"/>
  <c r="D105" i="5"/>
  <c r="L105" i="5" s="1"/>
  <c r="D9" i="5"/>
  <c r="D7" i="5"/>
  <c r="G12" i="5" l="1"/>
  <c r="H12" i="5" s="1"/>
  <c r="L12" i="5"/>
  <c r="G104" i="5"/>
  <c r="H104" i="5" s="1"/>
  <c r="L104" i="5"/>
  <c r="G99" i="5"/>
  <c r="H99" i="5" s="1"/>
  <c r="L99" i="5"/>
  <c r="G95" i="5"/>
  <c r="H95" i="5" s="1"/>
  <c r="L95" i="5"/>
  <c r="G91" i="5"/>
  <c r="H91" i="5" s="1"/>
  <c r="L91" i="5"/>
  <c r="G87" i="5"/>
  <c r="H87" i="5" s="1"/>
  <c r="L87" i="5"/>
  <c r="L83" i="5"/>
  <c r="G79" i="5"/>
  <c r="H79" i="5" s="1"/>
  <c r="L79" i="5"/>
  <c r="G75" i="5"/>
  <c r="H75" i="5" s="1"/>
  <c r="L75" i="5"/>
  <c r="G71" i="5"/>
  <c r="H71" i="5" s="1"/>
  <c r="L71" i="5"/>
  <c r="G67" i="5"/>
  <c r="H67" i="5" s="1"/>
  <c r="L67" i="5"/>
  <c r="G63" i="5"/>
  <c r="H63" i="5" s="1"/>
  <c r="L63" i="5"/>
  <c r="G59" i="5"/>
  <c r="H59" i="5" s="1"/>
  <c r="L59" i="5"/>
  <c r="G55" i="5"/>
  <c r="H55" i="5" s="1"/>
  <c r="L55" i="5"/>
  <c r="G51" i="5"/>
  <c r="H51" i="5" s="1"/>
  <c r="L51" i="5"/>
  <c r="G47" i="5"/>
  <c r="H47" i="5" s="1"/>
  <c r="L47" i="5"/>
  <c r="G43" i="5"/>
  <c r="H43" i="5" s="1"/>
  <c r="L43" i="5"/>
  <c r="G39" i="5"/>
  <c r="H39" i="5" s="1"/>
  <c r="L39" i="5"/>
  <c r="G35" i="5"/>
  <c r="H35" i="5" s="1"/>
  <c r="L35" i="5"/>
  <c r="G31" i="5"/>
  <c r="H31" i="5" s="1"/>
  <c r="L31" i="5"/>
  <c r="G27" i="5"/>
  <c r="H27" i="5" s="1"/>
  <c r="L27" i="5"/>
  <c r="G23" i="5"/>
  <c r="H23" i="5" s="1"/>
  <c r="L23" i="5"/>
  <c r="G19" i="5"/>
  <c r="H19" i="5" s="1"/>
  <c r="L19" i="5"/>
  <c r="G15" i="5"/>
  <c r="H15" i="5" s="1"/>
  <c r="L15" i="5"/>
  <c r="G11" i="5"/>
  <c r="H11" i="5" s="1"/>
  <c r="L11" i="5"/>
  <c r="G7" i="5"/>
  <c r="H7" i="5" s="1"/>
  <c r="L7" i="5"/>
  <c r="G103" i="5"/>
  <c r="H103" i="5" s="1"/>
  <c r="L103" i="5"/>
  <c r="G9" i="5"/>
  <c r="H9" i="5" s="1"/>
  <c r="L9" i="5"/>
  <c r="G107" i="5"/>
  <c r="H107" i="5" s="1"/>
  <c r="L107" i="5"/>
  <c r="G80" i="5"/>
  <c r="H80" i="5" s="1"/>
  <c r="G76" i="5"/>
  <c r="H76" i="5" s="1"/>
  <c r="G72" i="5"/>
  <c r="H72" i="5" s="1"/>
  <c r="G68" i="5"/>
  <c r="H68" i="5" s="1"/>
  <c r="G64" i="5"/>
  <c r="H64" i="5" s="1"/>
  <c r="G60" i="5"/>
  <c r="H60" i="5" s="1"/>
  <c r="G56" i="5"/>
  <c r="H56" i="5" s="1"/>
  <c r="G52" i="5"/>
  <c r="H52" i="5" s="1"/>
  <c r="G48" i="5"/>
  <c r="H48" i="5" s="1"/>
  <c r="G44" i="5"/>
  <c r="H44" i="5" s="1"/>
  <c r="G40" i="5"/>
  <c r="H40" i="5" s="1"/>
  <c r="G36" i="5"/>
  <c r="H36" i="5" s="1"/>
  <c r="G28" i="5"/>
  <c r="H28" i="5" s="1"/>
  <c r="G24" i="5"/>
  <c r="H24" i="5" s="1"/>
  <c r="G16" i="5"/>
  <c r="H16" i="5" s="1"/>
  <c r="G105" i="5"/>
  <c r="H105" i="5" s="1"/>
  <c r="G100" i="5"/>
  <c r="H100" i="5" s="1"/>
  <c r="G92" i="5"/>
  <c r="H92" i="5" s="1"/>
  <c r="G88" i="5"/>
  <c r="H88" i="5" s="1"/>
  <c r="G84" i="5"/>
  <c r="H84" i="5" s="1"/>
  <c r="G98" i="5"/>
  <c r="H98" i="5" s="1"/>
  <c r="G94" i="5"/>
  <c r="H94" i="5" s="1"/>
  <c r="G90" i="5"/>
  <c r="H90" i="5" s="1"/>
  <c r="G86" i="5"/>
  <c r="H86" i="5" s="1"/>
  <c r="G82" i="5"/>
  <c r="H82" i="5" s="1"/>
  <c r="G78" i="5"/>
  <c r="H78" i="5" s="1"/>
  <c r="G74" i="5"/>
  <c r="H74" i="5" s="1"/>
  <c r="G66" i="5"/>
  <c r="H66" i="5" s="1"/>
  <c r="G62" i="5"/>
  <c r="H62" i="5" s="1"/>
  <c r="G54" i="5"/>
  <c r="H54" i="5" s="1"/>
  <c r="G50" i="5"/>
  <c r="H50" i="5" s="1"/>
  <c r="G46" i="5"/>
  <c r="H46" i="5" s="1"/>
  <c r="G42" i="5"/>
  <c r="H42" i="5" s="1"/>
  <c r="G38" i="5"/>
  <c r="H38" i="5" s="1"/>
  <c r="G34" i="5"/>
  <c r="H34" i="5" s="1"/>
  <c r="G30" i="5"/>
  <c r="H30" i="5" s="1"/>
  <c r="G26" i="5"/>
  <c r="H26" i="5" s="1"/>
  <c r="G22" i="5"/>
  <c r="H22" i="5" s="1"/>
  <c r="G18" i="5"/>
  <c r="H18" i="5" s="1"/>
  <c r="G14" i="5"/>
  <c r="H14" i="5" s="1"/>
  <c r="G10" i="5"/>
  <c r="H10" i="5" s="1"/>
  <c r="G101" i="5"/>
  <c r="H101" i="5" s="1"/>
  <c r="G102" i="5"/>
  <c r="H102" i="5" s="1"/>
  <c r="G97" i="5"/>
  <c r="H97" i="5" s="1"/>
  <c r="G93" i="5"/>
  <c r="H93" i="5" s="1"/>
  <c r="G89" i="5"/>
  <c r="H89" i="5" s="1"/>
  <c r="G85" i="5"/>
  <c r="H85" i="5" s="1"/>
  <c r="G81" i="5"/>
  <c r="H81" i="5" s="1"/>
  <c r="G77" i="5"/>
  <c r="H77" i="5" s="1"/>
  <c r="G73" i="5"/>
  <c r="H73" i="5" s="1"/>
  <c r="G69" i="5"/>
  <c r="H69" i="5" s="1"/>
  <c r="G65" i="5"/>
  <c r="H65" i="5" s="1"/>
  <c r="G61" i="5"/>
  <c r="H61" i="5" s="1"/>
  <c r="G57" i="5"/>
  <c r="H57" i="5" s="1"/>
  <c r="G53" i="5"/>
  <c r="H53" i="5" s="1"/>
  <c r="G49" i="5"/>
  <c r="H49" i="5" s="1"/>
  <c r="G41" i="5"/>
  <c r="H41" i="5" s="1"/>
  <c r="G37" i="5"/>
  <c r="H37" i="5" s="1"/>
  <c r="G33" i="5"/>
  <c r="H33" i="5" s="1"/>
  <c r="G29" i="5"/>
  <c r="H29" i="5" s="1"/>
  <c r="G25" i="5"/>
  <c r="H25" i="5" s="1"/>
  <c r="G21" i="5"/>
  <c r="H21" i="5" s="1"/>
  <c r="G17" i="5"/>
  <c r="H17" i="5" s="1"/>
  <c r="G13" i="5"/>
  <c r="H13" i="5" s="1"/>
  <c r="E84" i="5"/>
  <c r="E72" i="5"/>
  <c r="E60" i="5"/>
  <c r="E48" i="5"/>
  <c r="E36" i="5"/>
  <c r="E24" i="5"/>
  <c r="E12" i="5"/>
  <c r="E7" i="5"/>
  <c r="E103" i="5"/>
  <c r="E99" i="5"/>
  <c r="E95" i="5"/>
  <c r="E91" i="5"/>
  <c r="E87" i="5"/>
  <c r="E79" i="5"/>
  <c r="E75" i="5"/>
  <c r="E71" i="5"/>
  <c r="E67" i="5"/>
  <c r="E63" i="5"/>
  <c r="E59" i="5"/>
  <c r="E55" i="5"/>
  <c r="E51" i="5"/>
  <c r="E47" i="5"/>
  <c r="E43" i="5"/>
  <c r="E39" i="5"/>
  <c r="E35" i="5"/>
  <c r="E31" i="5"/>
  <c r="E27" i="5"/>
  <c r="E23" i="5"/>
  <c r="E19" i="5"/>
  <c r="E15" i="5"/>
  <c r="E11" i="5"/>
  <c r="E104" i="5"/>
  <c r="E92" i="5"/>
  <c r="E76" i="5"/>
  <c r="E64" i="5"/>
  <c r="E52" i="5"/>
  <c r="E40" i="5"/>
  <c r="E28" i="5"/>
  <c r="E16" i="5"/>
  <c r="E9" i="5"/>
  <c r="E98" i="5"/>
  <c r="E94" i="5"/>
  <c r="E90" i="5"/>
  <c r="E86" i="5"/>
  <c r="E82" i="5"/>
  <c r="E78" i="5"/>
  <c r="E74" i="5"/>
  <c r="E66" i="5"/>
  <c r="E62" i="5"/>
  <c r="E54" i="5"/>
  <c r="E50" i="5"/>
  <c r="E46" i="5"/>
  <c r="E42" i="5"/>
  <c r="E38" i="5"/>
  <c r="E34" i="5"/>
  <c r="E30" i="5"/>
  <c r="E26" i="5"/>
  <c r="E22" i="5"/>
  <c r="E18" i="5"/>
  <c r="E14" i="5"/>
  <c r="E10" i="5"/>
  <c r="E100" i="5"/>
  <c r="E88" i="5"/>
  <c r="E80" i="5"/>
  <c r="E68" i="5"/>
  <c r="E56" i="5"/>
  <c r="E44" i="5"/>
  <c r="E105" i="5"/>
  <c r="E101" i="5"/>
  <c r="E97" i="5"/>
  <c r="E93" i="5"/>
  <c r="E89" i="5"/>
  <c r="E85" i="5"/>
  <c r="E81" i="5"/>
  <c r="E77" i="5"/>
  <c r="E73" i="5"/>
  <c r="E69" i="5"/>
  <c r="E65" i="5"/>
  <c r="E61" i="5"/>
  <c r="E57" i="5"/>
  <c r="E53" i="5"/>
  <c r="E49" i="5"/>
  <c r="E41" i="5"/>
  <c r="E37" i="5"/>
  <c r="E33" i="5"/>
  <c r="E29" i="5"/>
  <c r="E25" i="5"/>
  <c r="E21" i="5"/>
  <c r="E17" i="5"/>
  <c r="E13" i="5"/>
  <c r="E107" i="5"/>
  <c r="D10" i="2"/>
  <c r="L10" i="2" s="1"/>
  <c r="D11" i="2"/>
  <c r="L11" i="2" s="1"/>
  <c r="D12" i="2"/>
  <c r="L12" i="2" s="1"/>
  <c r="D13" i="2"/>
  <c r="L13" i="2" s="1"/>
  <c r="D14" i="2"/>
  <c r="L14" i="2" s="1"/>
  <c r="D15" i="2"/>
  <c r="L15" i="2" s="1"/>
  <c r="D16" i="2"/>
  <c r="L16" i="2" s="1"/>
  <c r="D17" i="2"/>
  <c r="L17" i="2" s="1"/>
  <c r="D18" i="2"/>
  <c r="L18" i="2" s="1"/>
  <c r="D19" i="2"/>
  <c r="L19" i="2" s="1"/>
  <c r="D20" i="2"/>
  <c r="L20" i="2" s="1"/>
  <c r="D21" i="2"/>
  <c r="L21" i="2" s="1"/>
  <c r="L22" i="2"/>
  <c r="L23" i="2"/>
  <c r="D24" i="2"/>
  <c r="L24" i="2" s="1"/>
  <c r="D25" i="2"/>
  <c r="L25" i="2" s="1"/>
  <c r="D26" i="2"/>
  <c r="L26" i="2" s="1"/>
  <c r="D27" i="2"/>
  <c r="L27" i="2" s="1"/>
  <c r="D28" i="2"/>
  <c r="L28" i="2" s="1"/>
  <c r="D29" i="2"/>
  <c r="L29" i="2" s="1"/>
  <c r="D30" i="2"/>
  <c r="L30" i="2" s="1"/>
  <c r="D31" i="2"/>
  <c r="L31" i="2" s="1"/>
  <c r="D32" i="2"/>
  <c r="L32" i="2" s="1"/>
  <c r="D33" i="2"/>
  <c r="L33" i="2" s="1"/>
  <c r="D34" i="2"/>
  <c r="L34" i="2" s="1"/>
  <c r="D35" i="2"/>
  <c r="L35" i="2" s="1"/>
  <c r="D36" i="2"/>
  <c r="L36" i="2" s="1"/>
  <c r="D37" i="2"/>
  <c r="L37" i="2" s="1"/>
  <c r="D38" i="2"/>
  <c r="L38" i="2" s="1"/>
  <c r="D39" i="2"/>
  <c r="L39" i="2" s="1"/>
  <c r="D40" i="2"/>
  <c r="L40" i="2" s="1"/>
  <c r="D41" i="2"/>
  <c r="L41" i="2" s="1"/>
  <c r="D42" i="2"/>
  <c r="L42" i="2" s="1"/>
  <c r="D43" i="2"/>
  <c r="L43" i="2" s="1"/>
  <c r="D44" i="2"/>
  <c r="L44" i="2" s="1"/>
  <c r="D45" i="2"/>
  <c r="L45" i="2" s="1"/>
  <c r="D46" i="2"/>
  <c r="L46" i="2" s="1"/>
  <c r="D47" i="2"/>
  <c r="L47" i="2" s="1"/>
  <c r="D48" i="2"/>
  <c r="L48" i="2" s="1"/>
  <c r="D49" i="2"/>
  <c r="L49" i="2" s="1"/>
  <c r="D50" i="2"/>
  <c r="L50" i="2" s="1"/>
  <c r="D51" i="2"/>
  <c r="L51" i="2" s="1"/>
  <c r="D52" i="2"/>
  <c r="L52" i="2" s="1"/>
  <c r="D53" i="2"/>
  <c r="L53" i="2" s="1"/>
  <c r="D54" i="2"/>
  <c r="L54" i="2" s="1"/>
  <c r="D55" i="2"/>
  <c r="L55" i="2" s="1"/>
  <c r="D56" i="2"/>
  <c r="L56" i="2" s="1"/>
  <c r="D57" i="2"/>
  <c r="L57" i="2" s="1"/>
  <c r="D58" i="2"/>
  <c r="L58" i="2" s="1"/>
  <c r="L59" i="2"/>
  <c r="D60" i="2"/>
  <c r="L60" i="2" s="1"/>
  <c r="D61" i="2"/>
  <c r="L61" i="2" s="1"/>
  <c r="D62" i="2"/>
  <c r="L62" i="2" s="1"/>
  <c r="D63" i="2"/>
  <c r="L63" i="2" s="1"/>
  <c r="D64" i="2"/>
  <c r="L64" i="2" s="1"/>
  <c r="D65" i="2"/>
  <c r="L65" i="2" s="1"/>
  <c r="D66" i="2"/>
  <c r="L66" i="2" s="1"/>
  <c r="D67" i="2"/>
  <c r="L67" i="2" s="1"/>
  <c r="D68" i="2"/>
  <c r="L68" i="2" s="1"/>
  <c r="D69" i="2"/>
  <c r="L69" i="2" s="1"/>
  <c r="D70" i="2"/>
  <c r="L70" i="2" s="1"/>
  <c r="D71" i="2"/>
  <c r="L71" i="2" s="1"/>
  <c r="D72" i="2"/>
  <c r="L72" i="2" s="1"/>
  <c r="D73" i="2"/>
  <c r="L73" i="2" s="1"/>
  <c r="D74" i="2"/>
  <c r="L74" i="2" s="1"/>
  <c r="D75" i="2"/>
  <c r="L75" i="2" s="1"/>
  <c r="D76" i="2"/>
  <c r="L76" i="2" s="1"/>
  <c r="D77" i="2"/>
  <c r="L77" i="2" s="1"/>
  <c r="D78" i="2"/>
  <c r="L78" i="2" s="1"/>
  <c r="D79" i="2"/>
  <c r="L79" i="2" s="1"/>
  <c r="D80" i="2"/>
  <c r="L80" i="2" s="1"/>
  <c r="D81" i="2"/>
  <c r="L81" i="2" s="1"/>
  <c r="D82" i="2"/>
  <c r="L82" i="2" s="1"/>
  <c r="D83" i="2"/>
  <c r="L83" i="2" s="1"/>
  <c r="D84" i="2"/>
  <c r="L84" i="2" s="1"/>
  <c r="D85" i="2"/>
  <c r="L85" i="2" s="1"/>
  <c r="D86" i="2"/>
  <c r="L86" i="2" s="1"/>
  <c r="D87" i="2"/>
  <c r="L87" i="2" s="1"/>
  <c r="D88" i="2"/>
  <c r="L88" i="2" s="1"/>
  <c r="D89" i="2"/>
  <c r="L89" i="2" s="1"/>
  <c r="D90" i="2"/>
  <c r="L90" i="2" s="1"/>
  <c r="D91" i="2"/>
  <c r="L91" i="2" s="1"/>
  <c r="D92" i="2"/>
  <c r="L92" i="2" s="1"/>
  <c r="D93" i="2"/>
  <c r="L93" i="2" s="1"/>
  <c r="D94" i="2"/>
  <c r="L94" i="2" s="1"/>
  <c r="D95" i="2"/>
  <c r="L95" i="2" s="1"/>
  <c r="L96" i="2"/>
  <c r="D97" i="2"/>
  <c r="L97" i="2" s="1"/>
  <c r="D98" i="2"/>
  <c r="L98" i="2" s="1"/>
  <c r="D99" i="2"/>
  <c r="L99" i="2" s="1"/>
  <c r="D100" i="2"/>
  <c r="L100" i="2" s="1"/>
  <c r="D101" i="2"/>
  <c r="L101" i="2" s="1"/>
  <c r="D103" i="2"/>
  <c r="D104" i="2"/>
  <c r="L104" i="2" s="1"/>
  <c r="D105" i="2"/>
  <c r="L105" i="2" s="1"/>
  <c r="D9" i="2"/>
  <c r="D7" i="2"/>
  <c r="G7" i="2" l="1"/>
  <c r="H7" i="2" s="1"/>
  <c r="L7" i="2"/>
  <c r="G103" i="2"/>
  <c r="H103" i="2" s="1"/>
  <c r="L103" i="2"/>
  <c r="G9" i="2"/>
  <c r="H9" i="2" s="1"/>
  <c r="L9" i="2"/>
  <c r="G104" i="2"/>
  <c r="H104" i="2" s="1"/>
  <c r="G99" i="2"/>
  <c r="H99" i="2" s="1"/>
  <c r="G95" i="2"/>
  <c r="H95" i="2" s="1"/>
  <c r="G91" i="2"/>
  <c r="H91" i="2" s="1"/>
  <c r="G87" i="2"/>
  <c r="H87" i="2" s="1"/>
  <c r="G83" i="2"/>
  <c r="H83" i="2" s="1"/>
  <c r="G79" i="2"/>
  <c r="H79" i="2" s="1"/>
  <c r="G75" i="2"/>
  <c r="H75" i="2" s="1"/>
  <c r="G71" i="2"/>
  <c r="H71" i="2" s="1"/>
  <c r="G67" i="2"/>
  <c r="H67" i="2" s="1"/>
  <c r="G63" i="2"/>
  <c r="H63" i="2" s="1"/>
  <c r="G55" i="2"/>
  <c r="H55" i="2" s="1"/>
  <c r="G51" i="2"/>
  <c r="H51" i="2" s="1"/>
  <c r="G47" i="2"/>
  <c r="H47" i="2" s="1"/>
  <c r="G43" i="2"/>
  <c r="H43" i="2" s="1"/>
  <c r="G39" i="2"/>
  <c r="H39" i="2" s="1"/>
  <c r="G35" i="2"/>
  <c r="H35" i="2" s="1"/>
  <c r="G31" i="2"/>
  <c r="H31" i="2" s="1"/>
  <c r="G27" i="2"/>
  <c r="H27" i="2" s="1"/>
  <c r="G19" i="2"/>
  <c r="H19" i="2" s="1"/>
  <c r="G15" i="2"/>
  <c r="H15" i="2" s="1"/>
  <c r="G11" i="2"/>
  <c r="H11" i="2" s="1"/>
  <c r="G97" i="2"/>
  <c r="H97" i="2" s="1"/>
  <c r="G93" i="2"/>
  <c r="H93" i="2" s="1"/>
  <c r="G89" i="2"/>
  <c r="H89" i="2" s="1"/>
  <c r="G85" i="2"/>
  <c r="H85" i="2" s="1"/>
  <c r="G81" i="2"/>
  <c r="H81" i="2" s="1"/>
  <c r="G77" i="2"/>
  <c r="H77" i="2" s="1"/>
  <c r="G69" i="2"/>
  <c r="H69" i="2" s="1"/>
  <c r="G65" i="2"/>
  <c r="H65" i="2" s="1"/>
  <c r="G61" i="2"/>
  <c r="H61" i="2" s="1"/>
  <c r="G57" i="2"/>
  <c r="H57" i="2" s="1"/>
  <c r="G53" i="2"/>
  <c r="H53" i="2" s="1"/>
  <c r="G49" i="2"/>
  <c r="H49" i="2" s="1"/>
  <c r="G45" i="2"/>
  <c r="H45" i="2" s="1"/>
  <c r="G41" i="2"/>
  <c r="H41" i="2" s="1"/>
  <c r="G37" i="2"/>
  <c r="H37" i="2" s="1"/>
  <c r="G33" i="2"/>
  <c r="H33" i="2" s="1"/>
  <c r="G29" i="2"/>
  <c r="H29" i="2" s="1"/>
  <c r="G25" i="2"/>
  <c r="H25" i="2" s="1"/>
  <c r="G21" i="2"/>
  <c r="H21" i="2" s="1"/>
  <c r="G17" i="2"/>
  <c r="H17" i="2" s="1"/>
  <c r="G13" i="2"/>
  <c r="H13" i="2" s="1"/>
  <c r="G73" i="2"/>
  <c r="H73" i="2" s="1"/>
  <c r="G98" i="2"/>
  <c r="H98" i="2" s="1"/>
  <c r="G94" i="2"/>
  <c r="H94" i="2" s="1"/>
  <c r="G90" i="2"/>
  <c r="H90" i="2" s="1"/>
  <c r="G86" i="2"/>
  <c r="H86" i="2" s="1"/>
  <c r="G82" i="2"/>
  <c r="H82" i="2" s="1"/>
  <c r="G78" i="2"/>
  <c r="H78" i="2" s="1"/>
  <c r="G74" i="2"/>
  <c r="H74" i="2" s="1"/>
  <c r="G70" i="2"/>
  <c r="H70" i="2" s="1"/>
  <c r="G66" i="2"/>
  <c r="H66" i="2" s="1"/>
  <c r="G62" i="2"/>
  <c r="H62" i="2" s="1"/>
  <c r="G58" i="2"/>
  <c r="H58" i="2" s="1"/>
  <c r="G54" i="2"/>
  <c r="H54" i="2" s="1"/>
  <c r="G50" i="2"/>
  <c r="H50" i="2" s="1"/>
  <c r="G46" i="2"/>
  <c r="H46" i="2" s="1"/>
  <c r="G42" i="2"/>
  <c r="H42" i="2" s="1"/>
  <c r="G38" i="2"/>
  <c r="H38" i="2" s="1"/>
  <c r="G34" i="2"/>
  <c r="H34" i="2" s="1"/>
  <c r="G30" i="2"/>
  <c r="H30" i="2" s="1"/>
  <c r="G26" i="2"/>
  <c r="H26" i="2" s="1"/>
  <c r="G22" i="2"/>
  <c r="H22" i="2" s="1"/>
  <c r="G18" i="2"/>
  <c r="H18" i="2" s="1"/>
  <c r="G14" i="2"/>
  <c r="H14" i="2" s="1"/>
  <c r="G10" i="2"/>
  <c r="H10" i="2" s="1"/>
  <c r="G101" i="2"/>
  <c r="H101" i="2" s="1"/>
  <c r="G102" i="2"/>
  <c r="H102" i="2" s="1"/>
  <c r="G105" i="2"/>
  <c r="H105" i="2" s="1"/>
  <c r="G100" i="2"/>
  <c r="H100" i="2" s="1"/>
  <c r="G92" i="2"/>
  <c r="H92" i="2" s="1"/>
  <c r="G88" i="2"/>
  <c r="H88" i="2" s="1"/>
  <c r="G84" i="2"/>
  <c r="H84" i="2" s="1"/>
  <c r="G80" i="2"/>
  <c r="H80" i="2" s="1"/>
  <c r="G76" i="2"/>
  <c r="H76" i="2" s="1"/>
  <c r="G72" i="2"/>
  <c r="H72" i="2" s="1"/>
  <c r="G68" i="2"/>
  <c r="H68" i="2" s="1"/>
  <c r="G64" i="2"/>
  <c r="H64" i="2" s="1"/>
  <c r="G60" i="2"/>
  <c r="H60" i="2" s="1"/>
  <c r="G56" i="2"/>
  <c r="H56" i="2" s="1"/>
  <c r="G52" i="2"/>
  <c r="H52" i="2" s="1"/>
  <c r="G48" i="2"/>
  <c r="H48" i="2" s="1"/>
  <c r="G44" i="2"/>
  <c r="H44" i="2" s="1"/>
  <c r="G40" i="2"/>
  <c r="H40" i="2" s="1"/>
  <c r="G36" i="2"/>
  <c r="H36" i="2" s="1"/>
  <c r="G32" i="2"/>
  <c r="H32" i="2" s="1"/>
  <c r="G28" i="2"/>
  <c r="H28" i="2" s="1"/>
  <c r="G24" i="2"/>
  <c r="H24" i="2" s="1"/>
  <c r="G20" i="2"/>
  <c r="H20" i="2" s="1"/>
  <c r="G16" i="2"/>
  <c r="H16" i="2" s="1"/>
  <c r="G12" i="2"/>
  <c r="H12" i="2" s="1"/>
  <c r="I102" i="5"/>
  <c r="J102" i="5" s="1"/>
  <c r="G15" i="6"/>
  <c r="H15" i="6" s="1"/>
  <c r="G14" i="6"/>
  <c r="H14" i="6" s="1"/>
  <c r="G13" i="6"/>
  <c r="H13" i="6" s="1"/>
  <c r="G12" i="6"/>
  <c r="H12" i="6" s="1"/>
  <c r="G11" i="6"/>
  <c r="H11" i="6" s="1"/>
  <c r="G10" i="6"/>
  <c r="H10" i="6" s="1"/>
  <c r="G9" i="6"/>
  <c r="H9" i="6" s="1"/>
  <c r="G8" i="6"/>
  <c r="H8" i="6" s="1"/>
  <c r="G7" i="6"/>
  <c r="H7" i="6" s="1"/>
  <c r="I102" i="2" l="1"/>
  <c r="J102" i="2" s="1"/>
  <c r="I14" i="2"/>
  <c r="J14" i="2" s="1"/>
  <c r="I27" i="2"/>
  <c r="J27" i="2" s="1"/>
  <c r="I107" i="5"/>
  <c r="J107" i="5" s="1"/>
  <c r="I105" i="5"/>
  <c r="J105" i="5" s="1"/>
  <c r="I104" i="5"/>
  <c r="J104" i="5" s="1"/>
  <c r="I103" i="5"/>
  <c r="J103" i="5" s="1"/>
  <c r="I101" i="5"/>
  <c r="J101" i="5" s="1"/>
  <c r="I100" i="5"/>
  <c r="J100" i="5" s="1"/>
  <c r="I99" i="5"/>
  <c r="J99" i="5" s="1"/>
  <c r="I98" i="5"/>
  <c r="J98" i="5" s="1"/>
  <c r="I97" i="5"/>
  <c r="J97" i="5" s="1"/>
  <c r="I95" i="5"/>
  <c r="J95" i="5" s="1"/>
  <c r="I94" i="5"/>
  <c r="J94" i="5" s="1"/>
  <c r="I93" i="5"/>
  <c r="J93" i="5" s="1"/>
  <c r="I92" i="5"/>
  <c r="J92" i="5" s="1"/>
  <c r="I91" i="5"/>
  <c r="J91" i="5" s="1"/>
  <c r="I90" i="5"/>
  <c r="J90" i="5" s="1"/>
  <c r="I89" i="5"/>
  <c r="J89" i="5" s="1"/>
  <c r="I88" i="5"/>
  <c r="J88" i="5" s="1"/>
  <c r="I87" i="5"/>
  <c r="J87" i="5" s="1"/>
  <c r="I86" i="5"/>
  <c r="J86" i="5" s="1"/>
  <c r="I85" i="5"/>
  <c r="J85" i="5" s="1"/>
  <c r="I84" i="5"/>
  <c r="J84" i="5" s="1"/>
  <c r="I82" i="5"/>
  <c r="J82" i="5" s="1"/>
  <c r="I81" i="5"/>
  <c r="J81" i="5" s="1"/>
  <c r="I80" i="5"/>
  <c r="J80" i="5" s="1"/>
  <c r="I79" i="5"/>
  <c r="J79" i="5" s="1"/>
  <c r="I78" i="5"/>
  <c r="J78" i="5" s="1"/>
  <c r="I77" i="5"/>
  <c r="J77" i="5" s="1"/>
  <c r="I76" i="5"/>
  <c r="J76" i="5" s="1"/>
  <c r="I75" i="5"/>
  <c r="J75" i="5" s="1"/>
  <c r="I74" i="5"/>
  <c r="J74" i="5" s="1"/>
  <c r="I73" i="5"/>
  <c r="J73" i="5" s="1"/>
  <c r="I72" i="5"/>
  <c r="J72" i="5" s="1"/>
  <c r="I71" i="5"/>
  <c r="J71" i="5" s="1"/>
  <c r="I69" i="5"/>
  <c r="J69" i="5" s="1"/>
  <c r="I68" i="5"/>
  <c r="J68" i="5" s="1"/>
  <c r="I67" i="5"/>
  <c r="J67" i="5" s="1"/>
  <c r="I66" i="5"/>
  <c r="J66" i="5" s="1"/>
  <c r="I65" i="5"/>
  <c r="J65" i="5" s="1"/>
  <c r="I64" i="5"/>
  <c r="J64" i="5" s="1"/>
  <c r="I63" i="5"/>
  <c r="J63" i="5" s="1"/>
  <c r="I62" i="5"/>
  <c r="J62" i="5" s="1"/>
  <c r="I61" i="5"/>
  <c r="J61" i="5" s="1"/>
  <c r="I60" i="5"/>
  <c r="J60" i="5" s="1"/>
  <c r="I59" i="5"/>
  <c r="J59" i="5" s="1"/>
  <c r="I57" i="5"/>
  <c r="J57" i="5" s="1"/>
  <c r="I56" i="5"/>
  <c r="J56" i="5" s="1"/>
  <c r="I55" i="5"/>
  <c r="J55" i="5" s="1"/>
  <c r="I54" i="5"/>
  <c r="J54" i="5" s="1"/>
  <c r="I53" i="5"/>
  <c r="J53" i="5" s="1"/>
  <c r="I52" i="5"/>
  <c r="J52" i="5" s="1"/>
  <c r="I51" i="5"/>
  <c r="J51" i="5" s="1"/>
  <c r="I50" i="5"/>
  <c r="J50" i="5" s="1"/>
  <c r="I49" i="5"/>
  <c r="J49" i="5" s="1"/>
  <c r="I48" i="5"/>
  <c r="J48" i="5" s="1"/>
  <c r="I47" i="5"/>
  <c r="J47" i="5" s="1"/>
  <c r="I46" i="5"/>
  <c r="J46" i="5" s="1"/>
  <c r="I44" i="5"/>
  <c r="J44" i="5" s="1"/>
  <c r="I43" i="5"/>
  <c r="J43" i="5" s="1"/>
  <c r="I42" i="5"/>
  <c r="J42" i="5" s="1"/>
  <c r="I41" i="5"/>
  <c r="J41" i="5" s="1"/>
  <c r="I40" i="5"/>
  <c r="J40" i="5" s="1"/>
  <c r="I39" i="5"/>
  <c r="J39" i="5" s="1"/>
  <c r="I38" i="5"/>
  <c r="J38" i="5" s="1"/>
  <c r="I37" i="5"/>
  <c r="J37" i="5" s="1"/>
  <c r="I36" i="5"/>
  <c r="J36" i="5" s="1"/>
  <c r="I35" i="5"/>
  <c r="J35" i="5" s="1"/>
  <c r="I34" i="5"/>
  <c r="J34" i="5" s="1"/>
  <c r="I33" i="5"/>
  <c r="J33" i="5" s="1"/>
  <c r="I31" i="5"/>
  <c r="J31" i="5" s="1"/>
  <c r="I30" i="5"/>
  <c r="J30" i="5" s="1"/>
  <c r="I29" i="5"/>
  <c r="J29" i="5" s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19" i="5"/>
  <c r="J19" i="5" s="1"/>
  <c r="I18" i="5"/>
  <c r="J18" i="5" s="1"/>
  <c r="I17" i="5"/>
  <c r="J17" i="5" s="1"/>
  <c r="I16" i="5"/>
  <c r="J16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7" i="5"/>
  <c r="E7" i="2"/>
  <c r="I7" i="2"/>
  <c r="E9" i="2"/>
  <c r="I9" i="2"/>
  <c r="J9" i="2" s="1"/>
  <c r="E10" i="2"/>
  <c r="I10" i="2"/>
  <c r="J10" i="2" s="1"/>
  <c r="E11" i="2"/>
  <c r="I11" i="2"/>
  <c r="J11" i="2" s="1"/>
  <c r="E12" i="2"/>
  <c r="I12" i="2"/>
  <c r="J12" i="2" s="1"/>
  <c r="E13" i="2"/>
  <c r="I13" i="2"/>
  <c r="J13" i="2" s="1"/>
  <c r="E14" i="2"/>
  <c r="E15" i="2"/>
  <c r="I15" i="2"/>
  <c r="J15" i="2" s="1"/>
  <c r="E16" i="2"/>
  <c r="I16" i="2"/>
  <c r="J16" i="2" s="1"/>
  <c r="E17" i="2"/>
  <c r="I17" i="2"/>
  <c r="J17" i="2" s="1"/>
  <c r="E18" i="2"/>
  <c r="I18" i="2"/>
  <c r="J18" i="2" s="1"/>
  <c r="E19" i="2"/>
  <c r="I19" i="2"/>
  <c r="J19" i="2" s="1"/>
  <c r="E20" i="2"/>
  <c r="I20" i="2"/>
  <c r="J20" i="2" s="1"/>
  <c r="E21" i="2"/>
  <c r="I21" i="2"/>
  <c r="J21" i="2" s="1"/>
  <c r="E22" i="2"/>
  <c r="I22" i="2"/>
  <c r="J22" i="2" s="1"/>
  <c r="E24" i="2"/>
  <c r="I24" i="2"/>
  <c r="J24" i="2" s="1"/>
  <c r="E25" i="2"/>
  <c r="I25" i="2"/>
  <c r="J25" i="2" s="1"/>
  <c r="E26" i="2"/>
  <c r="I26" i="2"/>
  <c r="J26" i="2" s="1"/>
  <c r="E27" i="2"/>
  <c r="E28" i="2"/>
  <c r="I28" i="2"/>
  <c r="J28" i="2" s="1"/>
  <c r="E29" i="2"/>
  <c r="I29" i="2"/>
  <c r="J29" i="2" s="1"/>
  <c r="E30" i="2"/>
  <c r="I30" i="2"/>
  <c r="J30" i="2" s="1"/>
  <c r="E31" i="2"/>
  <c r="I31" i="2"/>
  <c r="J31" i="2" s="1"/>
  <c r="E32" i="2"/>
  <c r="I32" i="2"/>
  <c r="J32" i="2" s="1"/>
  <c r="E33" i="2"/>
  <c r="I33" i="2"/>
  <c r="J33" i="2" s="1"/>
  <c r="E34" i="2"/>
  <c r="I34" i="2"/>
  <c r="J34" i="2" s="1"/>
  <c r="E35" i="2"/>
  <c r="I35" i="2"/>
  <c r="J35" i="2" s="1"/>
  <c r="E36" i="2"/>
  <c r="I36" i="2"/>
  <c r="J36" i="2" s="1"/>
  <c r="E37" i="2"/>
  <c r="I37" i="2"/>
  <c r="J37" i="2" s="1"/>
  <c r="E38" i="2"/>
  <c r="I38" i="2"/>
  <c r="J38" i="2" s="1"/>
  <c r="E39" i="2"/>
  <c r="I39" i="2"/>
  <c r="J39" i="2" s="1"/>
  <c r="E40" i="2"/>
  <c r="I40" i="2"/>
  <c r="J40" i="2" s="1"/>
  <c r="E41" i="2"/>
  <c r="I41" i="2"/>
  <c r="J41" i="2" s="1"/>
  <c r="E42" i="2"/>
  <c r="I42" i="2"/>
  <c r="J42" i="2" s="1"/>
  <c r="E43" i="2"/>
  <c r="I43" i="2"/>
  <c r="J43" i="2" s="1"/>
  <c r="E44" i="2"/>
  <c r="I44" i="2"/>
  <c r="J44" i="2" s="1"/>
  <c r="E45" i="2"/>
  <c r="I45" i="2"/>
  <c r="J45" i="2" s="1"/>
  <c r="E46" i="2"/>
  <c r="I46" i="2"/>
  <c r="J46" i="2" s="1"/>
  <c r="E47" i="2"/>
  <c r="I47" i="2"/>
  <c r="J47" i="2" s="1"/>
  <c r="E48" i="2"/>
  <c r="I48" i="2"/>
  <c r="J48" i="2" s="1"/>
  <c r="E49" i="2"/>
  <c r="I49" i="2"/>
  <c r="J49" i="2" s="1"/>
  <c r="E50" i="2"/>
  <c r="I50" i="2"/>
  <c r="J50" i="2" s="1"/>
  <c r="E51" i="2"/>
  <c r="I51" i="2"/>
  <c r="J51" i="2" s="1"/>
  <c r="E52" i="2"/>
  <c r="I52" i="2"/>
  <c r="J52" i="2" s="1"/>
  <c r="E53" i="2"/>
  <c r="I53" i="2"/>
  <c r="J53" i="2" s="1"/>
  <c r="E54" i="2"/>
  <c r="I54" i="2"/>
  <c r="J54" i="2" s="1"/>
  <c r="E55" i="2"/>
  <c r="I55" i="2"/>
  <c r="J55" i="2" s="1"/>
  <c r="E56" i="2"/>
  <c r="I56" i="2"/>
  <c r="J56" i="2" s="1"/>
  <c r="E57" i="2"/>
  <c r="I57" i="2"/>
  <c r="J57" i="2" s="1"/>
  <c r="E58" i="2"/>
  <c r="I58" i="2"/>
  <c r="J58" i="2" s="1"/>
  <c r="E60" i="2"/>
  <c r="I60" i="2"/>
  <c r="J60" i="2" s="1"/>
  <c r="E61" i="2"/>
  <c r="I61" i="2"/>
  <c r="J61" i="2" s="1"/>
  <c r="E62" i="2"/>
  <c r="I62" i="2"/>
  <c r="J62" i="2" s="1"/>
  <c r="E63" i="2"/>
  <c r="I63" i="2"/>
  <c r="J63" i="2" s="1"/>
  <c r="E64" i="2"/>
  <c r="I64" i="2"/>
  <c r="J64" i="2" s="1"/>
  <c r="E65" i="2"/>
  <c r="I65" i="2"/>
  <c r="J65" i="2" s="1"/>
  <c r="E66" i="2"/>
  <c r="I66" i="2"/>
  <c r="J66" i="2" s="1"/>
  <c r="E67" i="2"/>
  <c r="I67" i="2"/>
  <c r="J67" i="2" s="1"/>
  <c r="E68" i="2"/>
  <c r="I68" i="2"/>
  <c r="J68" i="2" s="1"/>
  <c r="E69" i="2"/>
  <c r="I69" i="2"/>
  <c r="J69" i="2" s="1"/>
  <c r="E70" i="2"/>
  <c r="I70" i="2"/>
  <c r="J70" i="2" s="1"/>
  <c r="E71" i="2"/>
  <c r="I71" i="2"/>
  <c r="J71" i="2" s="1"/>
  <c r="E72" i="2"/>
  <c r="I72" i="2"/>
  <c r="J72" i="2" s="1"/>
  <c r="E73" i="2"/>
  <c r="I73" i="2"/>
  <c r="J73" i="2" s="1"/>
  <c r="E74" i="2"/>
  <c r="I74" i="2"/>
  <c r="J74" i="2" s="1"/>
  <c r="E75" i="2"/>
  <c r="I75" i="2"/>
  <c r="J75" i="2" s="1"/>
  <c r="E76" i="2"/>
  <c r="I76" i="2"/>
  <c r="J76" i="2" s="1"/>
  <c r="E77" i="2"/>
  <c r="I77" i="2"/>
  <c r="J77" i="2" s="1"/>
  <c r="E78" i="2"/>
  <c r="I78" i="2"/>
  <c r="J78" i="2" s="1"/>
  <c r="E79" i="2"/>
  <c r="I79" i="2"/>
  <c r="J79" i="2" s="1"/>
  <c r="E80" i="2"/>
  <c r="I80" i="2"/>
  <c r="J80" i="2" s="1"/>
  <c r="E81" i="2"/>
  <c r="I81" i="2"/>
  <c r="J81" i="2" s="1"/>
  <c r="E82" i="2"/>
  <c r="I82" i="2"/>
  <c r="J82" i="2" s="1"/>
  <c r="E83" i="2"/>
  <c r="I83" i="2"/>
  <c r="J83" i="2" s="1"/>
  <c r="E84" i="2"/>
  <c r="I84" i="2"/>
  <c r="J84" i="2" s="1"/>
  <c r="E85" i="2"/>
  <c r="I85" i="2"/>
  <c r="J85" i="2" s="1"/>
  <c r="E86" i="2"/>
  <c r="I86" i="2"/>
  <c r="J86" i="2" s="1"/>
  <c r="E87" i="2"/>
  <c r="I87" i="2"/>
  <c r="J87" i="2" s="1"/>
  <c r="E88" i="2"/>
  <c r="I88" i="2"/>
  <c r="J88" i="2" s="1"/>
  <c r="E89" i="2"/>
  <c r="I89" i="2"/>
  <c r="J89" i="2" s="1"/>
  <c r="E90" i="2"/>
  <c r="I90" i="2"/>
  <c r="J90" i="2" s="1"/>
  <c r="E91" i="2"/>
  <c r="I91" i="2"/>
  <c r="J91" i="2" s="1"/>
  <c r="E92" i="2"/>
  <c r="I92" i="2"/>
  <c r="J92" i="2" s="1"/>
  <c r="E93" i="2"/>
  <c r="I93" i="2"/>
  <c r="J93" i="2" s="1"/>
  <c r="E94" i="2"/>
  <c r="I94" i="2"/>
  <c r="J94" i="2" s="1"/>
  <c r="E95" i="2"/>
  <c r="I95" i="2"/>
  <c r="J95" i="2" s="1"/>
  <c r="E97" i="2"/>
  <c r="I97" i="2"/>
  <c r="J97" i="2" s="1"/>
  <c r="E98" i="2"/>
  <c r="I98" i="2"/>
  <c r="J98" i="2" s="1"/>
  <c r="E99" i="2"/>
  <c r="I99" i="2"/>
  <c r="J99" i="2" s="1"/>
  <c r="E100" i="2"/>
  <c r="I100" i="2"/>
  <c r="J100" i="2" s="1"/>
  <c r="E101" i="2"/>
  <c r="I101" i="2"/>
  <c r="J101" i="2" s="1"/>
  <c r="E103" i="2"/>
  <c r="I103" i="2"/>
  <c r="J103" i="2" s="1"/>
  <c r="E104" i="2"/>
  <c r="I104" i="2"/>
  <c r="J104" i="2" s="1"/>
  <c r="E105" i="2"/>
  <c r="I105" i="2"/>
  <c r="J105" i="2" s="1"/>
  <c r="E107" i="2"/>
  <c r="I107" i="2"/>
  <c r="J107" i="2" s="1"/>
  <c r="F7" i="2" l="1"/>
  <c r="J7" i="2"/>
  <c r="F7" i="5"/>
  <c r="J7" i="5"/>
  <c r="F103" i="2"/>
  <c r="F25" i="2"/>
  <c r="F21" i="2"/>
  <c r="F19" i="2"/>
  <c r="F18" i="5"/>
  <c r="F22" i="5"/>
  <c r="F30" i="5"/>
  <c r="F38" i="5"/>
  <c r="F46" i="5"/>
  <c r="F54" i="5"/>
  <c r="F62" i="5"/>
  <c r="F74" i="5"/>
  <c r="F78" i="5"/>
  <c r="F82" i="5"/>
  <c r="F86" i="5"/>
  <c r="F90" i="5"/>
  <c r="F94" i="5"/>
  <c r="F98" i="5"/>
  <c r="F14" i="5"/>
  <c r="F26" i="5"/>
  <c r="F34" i="5"/>
  <c r="F42" i="5"/>
  <c r="F50" i="5"/>
  <c r="F66" i="5"/>
  <c r="F107" i="2"/>
  <c r="F104" i="2"/>
  <c r="F101" i="2"/>
  <c r="F99" i="2"/>
  <c r="F97" i="2"/>
  <c r="F95" i="2"/>
  <c r="F93" i="2"/>
  <c r="F91" i="2"/>
  <c r="F89" i="2"/>
  <c r="F87" i="2"/>
  <c r="F85" i="2"/>
  <c r="F83" i="2"/>
  <c r="F81" i="2"/>
  <c r="F79" i="2"/>
  <c r="F77" i="2"/>
  <c r="F75" i="2"/>
  <c r="F73" i="2"/>
  <c r="F71" i="2"/>
  <c r="F69" i="2"/>
  <c r="F67" i="2"/>
  <c r="F65" i="2"/>
  <c r="F63" i="2"/>
  <c r="F61" i="2"/>
  <c r="F57" i="2"/>
  <c r="F55" i="2"/>
  <c r="F53" i="2"/>
  <c r="F51" i="2"/>
  <c r="F49" i="2"/>
  <c r="F47" i="2"/>
  <c r="F45" i="2"/>
  <c r="F43" i="2"/>
  <c r="F41" i="2"/>
  <c r="F39" i="2"/>
  <c r="F37" i="2"/>
  <c r="F35" i="2"/>
  <c r="F33" i="2"/>
  <c r="F31" i="2"/>
  <c r="F29" i="2"/>
  <c r="F12" i="2"/>
  <c r="F10" i="2"/>
  <c r="F104" i="5"/>
  <c r="F27" i="2"/>
  <c r="F14" i="2"/>
  <c r="F19" i="5"/>
  <c r="F23" i="5"/>
  <c r="F27" i="5"/>
  <c r="F31" i="5"/>
  <c r="F35" i="5"/>
  <c r="F39" i="5"/>
  <c r="F43" i="5"/>
  <c r="F47" i="5"/>
  <c r="F51" i="5"/>
  <c r="F55" i="5"/>
  <c r="F59" i="5"/>
  <c r="F63" i="5"/>
  <c r="F67" i="5"/>
  <c r="F71" i="5"/>
  <c r="F75" i="5"/>
  <c r="F79" i="5"/>
  <c r="F87" i="5"/>
  <c r="F91" i="5"/>
  <c r="F95" i="5"/>
  <c r="F99" i="5"/>
  <c r="F102" i="5"/>
  <c r="F103" i="5"/>
  <c r="F26" i="2"/>
  <c r="F24" i="2"/>
  <c r="F22" i="2"/>
  <c r="F20" i="2"/>
  <c r="F18" i="2"/>
  <c r="F16" i="2"/>
  <c r="F12" i="5"/>
  <c r="F16" i="5"/>
  <c r="F24" i="5"/>
  <c r="F28" i="5"/>
  <c r="F36" i="5"/>
  <c r="F40" i="5"/>
  <c r="F44" i="5"/>
  <c r="F48" i="5"/>
  <c r="F52" i="5"/>
  <c r="F56" i="5"/>
  <c r="F60" i="5"/>
  <c r="F64" i="5"/>
  <c r="F68" i="5"/>
  <c r="F72" i="5"/>
  <c r="F76" i="5"/>
  <c r="F80" i="5"/>
  <c r="F84" i="5"/>
  <c r="F88" i="5"/>
  <c r="F92" i="5"/>
  <c r="F100" i="5"/>
  <c r="F105" i="5"/>
  <c r="F105" i="2"/>
  <c r="F102" i="2"/>
  <c r="F100" i="2"/>
  <c r="F98" i="2"/>
  <c r="F94" i="2"/>
  <c r="F92" i="2"/>
  <c r="F90" i="2"/>
  <c r="F88" i="2"/>
  <c r="F86" i="2"/>
  <c r="F84" i="2"/>
  <c r="F82" i="2"/>
  <c r="F80" i="2"/>
  <c r="F78" i="2"/>
  <c r="F76" i="2"/>
  <c r="F74" i="2"/>
  <c r="F72" i="2"/>
  <c r="F70" i="2"/>
  <c r="F68" i="2"/>
  <c r="F66" i="2"/>
  <c r="F64" i="2"/>
  <c r="F62" i="2"/>
  <c r="F60" i="2"/>
  <c r="F58" i="2"/>
  <c r="F56" i="2"/>
  <c r="F54" i="2"/>
  <c r="F52" i="2"/>
  <c r="F50" i="2"/>
  <c r="F48" i="2"/>
  <c r="F46" i="2"/>
  <c r="F44" i="2"/>
  <c r="F42" i="2"/>
  <c r="F40" i="2"/>
  <c r="F38" i="2"/>
  <c r="F36" i="2"/>
  <c r="F34" i="2"/>
  <c r="F32" i="2"/>
  <c r="F30" i="2"/>
  <c r="F13" i="5"/>
  <c r="F17" i="5"/>
  <c r="F21" i="5"/>
  <c r="F25" i="5"/>
  <c r="F29" i="5"/>
  <c r="F33" i="5"/>
  <c r="F37" i="5"/>
  <c r="F41" i="5"/>
  <c r="F49" i="5"/>
  <c r="F53" i="5"/>
  <c r="F57" i="5"/>
  <c r="F61" i="5"/>
  <c r="F65" i="5"/>
  <c r="F69" i="5"/>
  <c r="F73" i="5"/>
  <c r="F77" i="5"/>
  <c r="F81" i="5"/>
  <c r="F85" i="5"/>
  <c r="F89" i="5"/>
  <c r="F93" i="5"/>
  <c r="F97" i="5"/>
  <c r="F101" i="5"/>
  <c r="F107" i="5"/>
  <c r="F28" i="2"/>
  <c r="F9" i="5"/>
  <c r="F15" i="2"/>
  <c r="F17" i="2"/>
  <c r="F15" i="5"/>
  <c r="F13" i="2"/>
  <c r="F11" i="2"/>
  <c r="F10" i="5"/>
  <c r="F11" i="5"/>
  <c r="F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윤승혁</author>
  </authors>
  <commentList>
    <comment ref="B8" authorId="0" shapeId="0" xr:uid="{3485AEE5-E2B0-4118-B66D-8CE95F27DC0B}">
      <text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모의고사에서만</t>
        </r>
        <r>
          <rPr>
            <b/>
            <sz val="9"/>
            <color indexed="81"/>
            <rFont val="Tahoma"/>
            <family val="2"/>
          </rPr>
          <t xml:space="preserve"> '</t>
        </r>
        <r>
          <rPr>
            <b/>
            <sz val="9"/>
            <color indexed="81"/>
            <rFont val="돋움"/>
            <family val="3"/>
            <charset val="129"/>
          </rPr>
          <t>통합</t>
        </r>
        <r>
          <rPr>
            <b/>
            <sz val="9"/>
            <color indexed="81"/>
            <rFont val="Tahoma"/>
            <family val="2"/>
          </rPr>
          <t xml:space="preserve">' </t>
        </r>
        <r>
          <rPr>
            <b/>
            <sz val="9"/>
            <color indexed="81"/>
            <rFont val="돋움"/>
            <family val="3"/>
            <charset val="129"/>
          </rPr>
          <t>단어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빼기
</t>
        </r>
        <r>
          <rPr>
            <b/>
            <sz val="9"/>
            <color indexed="81"/>
            <rFont val="Tahoma"/>
            <family val="2"/>
          </rPr>
          <t>6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모의고사부터는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붙일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것</t>
        </r>
      </text>
    </comment>
  </commentList>
</comments>
</file>

<file path=xl/sharedStrings.xml><?xml version="1.0" encoding="utf-8"?>
<sst xmlns="http://schemas.openxmlformats.org/spreadsheetml/2006/main" count="182" uniqueCount="84">
  <si>
    <t>표준편차</t>
    <phoneticPr fontId="1" type="noConversion"/>
  </si>
  <si>
    <t>응시자 수</t>
    <phoneticPr fontId="1" type="noConversion"/>
  </si>
  <si>
    <t>평균</t>
    <phoneticPr fontId="1" type="noConversion"/>
  </si>
  <si>
    <t>국어</t>
    <phoneticPr fontId="1" type="noConversion"/>
  </si>
  <si>
    <t>영어</t>
    <phoneticPr fontId="1" type="noConversion"/>
  </si>
  <si>
    <t>한국사</t>
    <phoneticPr fontId="1" type="noConversion"/>
  </si>
  <si>
    <t>표준점수</t>
    <phoneticPr fontId="1" type="noConversion"/>
  </si>
  <si>
    <t>인원</t>
    <phoneticPr fontId="1" type="noConversion"/>
  </si>
  <si>
    <t>국어</t>
    <phoneticPr fontId="1" type="noConversion"/>
  </si>
  <si>
    <t>1등급</t>
    <phoneticPr fontId="1" type="noConversion"/>
  </si>
  <si>
    <t>2등급</t>
    <phoneticPr fontId="1" type="noConversion"/>
  </si>
  <si>
    <t>3등급</t>
    <phoneticPr fontId="1" type="noConversion"/>
  </si>
  <si>
    <t>4등급</t>
    <phoneticPr fontId="1" type="noConversion"/>
  </si>
  <si>
    <t>5등급</t>
    <phoneticPr fontId="1" type="noConversion"/>
  </si>
  <si>
    <t>6등급</t>
    <phoneticPr fontId="1" type="noConversion"/>
  </si>
  <si>
    <t>7등급</t>
    <phoneticPr fontId="1" type="noConversion"/>
  </si>
  <si>
    <t>8등급</t>
    <phoneticPr fontId="1" type="noConversion"/>
  </si>
  <si>
    <t>수학</t>
    <phoneticPr fontId="1" type="noConversion"/>
  </si>
  <si>
    <t>통합 사회</t>
    <phoneticPr fontId="1" type="noConversion"/>
  </si>
  <si>
    <t>통합 과학</t>
    <phoneticPr fontId="1" type="noConversion"/>
  </si>
  <si>
    <t>국</t>
    <phoneticPr fontId="1" type="noConversion"/>
  </si>
  <si>
    <t>수</t>
    <phoneticPr fontId="1" type="noConversion"/>
  </si>
  <si>
    <t>9등급</t>
  </si>
  <si>
    <t>9등급</t>
    <phoneticPr fontId="1" type="noConversion"/>
  </si>
  <si>
    <t>1등급</t>
    <phoneticPr fontId="1" type="noConversion"/>
  </si>
  <si>
    <t>2등급</t>
  </si>
  <si>
    <t>3등급</t>
  </si>
  <si>
    <t>4등급</t>
  </si>
  <si>
    <t>5등급</t>
  </si>
  <si>
    <t>6등급</t>
  </si>
  <si>
    <t>7등급</t>
  </si>
  <si>
    <t>8등급</t>
  </si>
  <si>
    <t>이 아래로 붙여넣기</t>
    <phoneticPr fontId="1" type="noConversion"/>
  </si>
  <si>
    <t>영</t>
    <phoneticPr fontId="1" type="noConversion"/>
  </si>
  <si>
    <t>한</t>
    <phoneticPr fontId="1" type="noConversion"/>
  </si>
  <si>
    <t>사</t>
    <phoneticPr fontId="1" type="noConversion"/>
  </si>
  <si>
    <t>과</t>
    <phoneticPr fontId="1" type="noConversion"/>
  </si>
  <si>
    <t>-</t>
    <phoneticPr fontId="1" type="noConversion"/>
  </si>
  <si>
    <r>
      <rPr>
        <sz val="12"/>
        <color theme="1"/>
        <rFont val="돋움"/>
        <family val="3"/>
        <charset val="129"/>
      </rPr>
      <t>오차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돋움"/>
        <family val="3"/>
        <charset val="129"/>
      </rPr>
      <t>경고</t>
    </r>
    <phoneticPr fontId="1" type="noConversion"/>
  </si>
  <si>
    <t>B2:K108</t>
    <phoneticPr fontId="1" type="noConversion"/>
  </si>
  <si>
    <t>B2:K16</t>
    <phoneticPr fontId="1" type="noConversion"/>
  </si>
  <si>
    <r>
      <rPr>
        <sz val="12"/>
        <color theme="1"/>
        <rFont val="맑은 고딕"/>
        <family val="3"/>
        <charset val="129"/>
      </rPr>
      <t>시험명</t>
    </r>
  </si>
  <si>
    <r>
      <rPr>
        <sz val="12"/>
        <color theme="1"/>
        <rFont val="맑은 고딕"/>
        <family val="3"/>
        <charset val="129"/>
      </rPr>
      <t>평균</t>
    </r>
    <phoneticPr fontId="1" type="noConversion"/>
  </si>
  <si>
    <r>
      <rPr>
        <sz val="12"/>
        <color theme="1"/>
        <rFont val="맑은 고딕"/>
        <family val="3"/>
        <charset val="129"/>
      </rPr>
      <t>응시자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3"/>
        <charset val="129"/>
      </rPr>
      <t>수</t>
    </r>
    <phoneticPr fontId="1" type="noConversion"/>
  </si>
  <si>
    <r>
      <rPr>
        <sz val="12"/>
        <color theme="1"/>
        <rFont val="맑은 고딕"/>
        <family val="3"/>
        <charset val="129"/>
      </rPr>
      <t>과목</t>
    </r>
    <phoneticPr fontId="1" type="noConversion"/>
  </si>
  <si>
    <r>
      <rPr>
        <sz val="12"/>
        <color theme="1"/>
        <rFont val="맑은 고딕"/>
        <family val="3"/>
        <charset val="129"/>
      </rPr>
      <t>국어</t>
    </r>
    <phoneticPr fontId="1" type="noConversion"/>
  </si>
  <si>
    <r>
      <rPr>
        <sz val="12"/>
        <color theme="1"/>
        <rFont val="맑은 고딕"/>
        <family val="3"/>
        <charset val="129"/>
      </rPr>
      <t>표준편차</t>
    </r>
    <phoneticPr fontId="1" type="noConversion"/>
  </si>
  <si>
    <r>
      <rPr>
        <sz val="12"/>
        <color theme="1"/>
        <rFont val="맑은 고딕"/>
        <family val="3"/>
        <charset val="129"/>
      </rPr>
      <t>수학</t>
    </r>
    <phoneticPr fontId="1" type="noConversion"/>
  </si>
  <si>
    <r>
      <rPr>
        <sz val="13"/>
        <color theme="1"/>
        <rFont val="맑은 고딕"/>
        <family val="3"/>
        <charset val="129"/>
      </rPr>
      <t>원점수</t>
    </r>
    <phoneticPr fontId="1" type="noConversion"/>
  </si>
  <si>
    <r>
      <rPr>
        <sz val="13"/>
        <color theme="1"/>
        <rFont val="맑은 고딕"/>
        <family val="3"/>
        <charset val="129"/>
      </rPr>
      <t>표준점수</t>
    </r>
    <phoneticPr fontId="1" type="noConversion"/>
  </si>
  <si>
    <r>
      <rPr>
        <sz val="13"/>
        <color theme="1"/>
        <rFont val="맑은 고딕"/>
        <family val="3"/>
        <charset val="129"/>
      </rPr>
      <t>등급</t>
    </r>
    <phoneticPr fontId="1" type="noConversion"/>
  </si>
  <si>
    <r>
      <rPr>
        <sz val="13"/>
        <color theme="1"/>
        <rFont val="맑은 고딕"/>
        <family val="3"/>
        <charset val="129"/>
      </rPr>
      <t>백분위</t>
    </r>
    <phoneticPr fontId="1" type="noConversion"/>
  </si>
  <si>
    <r>
      <rPr>
        <sz val="13"/>
        <color theme="1"/>
        <rFont val="맑은 고딕"/>
        <family val="3"/>
        <charset val="129"/>
      </rPr>
      <t>인원</t>
    </r>
    <phoneticPr fontId="1" type="noConversion"/>
  </si>
  <si>
    <r>
      <rPr>
        <sz val="13"/>
        <color theme="1"/>
        <rFont val="맑은 고딕"/>
        <family val="3"/>
        <charset val="129"/>
      </rPr>
      <t>비율</t>
    </r>
    <phoneticPr fontId="1" type="noConversion"/>
  </si>
  <si>
    <r>
      <rPr>
        <sz val="13"/>
        <color theme="1"/>
        <rFont val="맑은 고딕"/>
        <family val="3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3"/>
        <charset val="129"/>
      </rPr>
      <t>인원</t>
    </r>
    <phoneticPr fontId="1" type="noConversion"/>
  </si>
  <si>
    <r>
      <rPr>
        <sz val="13"/>
        <color theme="1"/>
        <rFont val="맑은 고딕"/>
        <family val="3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3"/>
        <charset val="129"/>
      </rPr>
      <t>비율</t>
    </r>
    <phoneticPr fontId="1" type="noConversion"/>
  </si>
  <si>
    <r>
      <rPr>
        <sz val="12"/>
        <color theme="1"/>
        <rFont val="맑은 고딕"/>
        <family val="2"/>
        <charset val="129"/>
      </rPr>
      <t>시험명</t>
    </r>
  </si>
  <si>
    <r>
      <rPr>
        <sz val="12"/>
        <color theme="1"/>
        <rFont val="맑은 고딕"/>
        <family val="2"/>
        <charset val="129"/>
      </rPr>
      <t>평균</t>
    </r>
    <phoneticPr fontId="1" type="noConversion"/>
  </si>
  <si>
    <r>
      <rPr>
        <sz val="12"/>
        <color theme="1"/>
        <rFont val="맑은 고딕"/>
        <family val="2"/>
        <charset val="129"/>
      </rPr>
      <t>응시자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수</t>
    </r>
    <phoneticPr fontId="1" type="noConversion"/>
  </si>
  <si>
    <r>
      <rPr>
        <sz val="12"/>
        <color theme="1"/>
        <rFont val="맑은 고딕"/>
        <family val="2"/>
        <charset val="129"/>
      </rPr>
      <t>과목</t>
    </r>
    <phoneticPr fontId="1" type="noConversion"/>
  </si>
  <si>
    <r>
      <rPr>
        <sz val="12"/>
        <color theme="1"/>
        <rFont val="맑은 고딕"/>
        <family val="2"/>
        <charset val="129"/>
      </rPr>
      <t>영어</t>
    </r>
    <phoneticPr fontId="1" type="noConversion"/>
  </si>
  <si>
    <r>
      <rPr>
        <sz val="12"/>
        <color theme="1"/>
        <rFont val="맑은 고딕"/>
        <family val="2"/>
        <charset val="129"/>
      </rPr>
      <t>표준편차</t>
    </r>
    <phoneticPr fontId="1" type="noConversion"/>
  </si>
  <si>
    <r>
      <rPr>
        <sz val="12"/>
        <color theme="1"/>
        <rFont val="맑은 고딕"/>
        <family val="2"/>
        <charset val="129"/>
      </rPr>
      <t>한국사</t>
    </r>
    <phoneticPr fontId="1" type="noConversion"/>
  </si>
  <si>
    <r>
      <rPr>
        <sz val="13"/>
        <color theme="1"/>
        <rFont val="맑은 고딕"/>
        <family val="2"/>
        <charset val="129"/>
      </rPr>
      <t>등급</t>
    </r>
    <phoneticPr fontId="1" type="noConversion"/>
  </si>
  <si>
    <r>
      <rPr>
        <sz val="13"/>
        <color theme="1"/>
        <rFont val="맑은 고딕"/>
        <family val="2"/>
        <charset val="129"/>
      </rPr>
      <t>원점수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등급컷</t>
    </r>
    <phoneticPr fontId="1" type="noConversion"/>
  </si>
  <si>
    <r>
      <rPr>
        <sz val="13"/>
        <color theme="1"/>
        <rFont val="맑은 고딕"/>
        <family val="2"/>
        <charset val="129"/>
      </rPr>
      <t>인원</t>
    </r>
    <phoneticPr fontId="1" type="noConversion"/>
  </si>
  <si>
    <r>
      <rPr>
        <sz val="13"/>
        <color theme="1"/>
        <rFont val="맑은 고딕"/>
        <family val="2"/>
        <charset val="129"/>
      </rPr>
      <t>비율</t>
    </r>
    <phoneticPr fontId="1" type="noConversion"/>
  </si>
  <si>
    <r>
      <rPr>
        <sz val="13"/>
        <color theme="1"/>
        <rFont val="맑은 고딕"/>
        <family val="2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인원</t>
    </r>
    <phoneticPr fontId="1" type="noConversion"/>
  </si>
  <si>
    <r>
      <rPr>
        <sz val="13"/>
        <color theme="1"/>
        <rFont val="맑은 고딕"/>
        <family val="2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비율</t>
    </r>
    <phoneticPr fontId="1" type="noConversion"/>
  </si>
  <si>
    <r>
      <rPr>
        <sz val="12"/>
        <color theme="1"/>
        <rFont val="맑은 고딕"/>
        <family val="2"/>
        <charset val="129"/>
      </rPr>
      <t>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통합 사회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</si>
  <si>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통합 과학</t>
    </r>
    <r>
      <rPr>
        <sz val="12"/>
        <color theme="1"/>
        <rFont val="Microsoft Sans Serif"/>
        <family val="2"/>
      </rPr>
      <t>)</t>
    </r>
    <phoneticPr fontId="1" type="noConversion"/>
  </si>
  <si>
    <t>2023학년도 9월 고1 전국연합학력평가</t>
  </si>
  <si>
    <t>48.50</t>
  </si>
  <si>
    <t>20.56</t>
  </si>
  <si>
    <t>41.88</t>
  </si>
  <si>
    <t>21.71</t>
  </si>
  <si>
    <t>56.57</t>
  </si>
  <si>
    <t>21.98</t>
  </si>
  <si>
    <t>29.95</t>
  </si>
  <si>
    <t>12.45</t>
  </si>
  <si>
    <t>34.60</t>
  </si>
  <si>
    <t>11.45</t>
  </si>
  <si>
    <t>23.66</t>
  </si>
  <si>
    <t>11.63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</si>
</sst>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#,##0.00_ "/>
    <numFmt numFmtId="177" formatCode="#,##0_ "/>
    <numFmt numFmtId="178" formatCode="0.00_);[Red]\(0.00\)"/>
    <numFmt numFmtId="179" formatCode="#,##0_);[Red]\(#,##0\)"/>
  </numFmts>
  <fonts count="4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name val="Arial"/>
      <family val="2"/>
    </font>
    <font>
      <b/>
      <sz val="18"/>
      <color theme="3"/>
      <name val="맑은 고딕"/>
      <family val="2"/>
      <charset val="129"/>
      <scheme val="major"/>
    </font>
    <font>
      <sz val="11"/>
      <color rgb="FF9C6500"/>
      <name val="맑은 고딕"/>
      <family val="2"/>
      <charset val="129"/>
      <scheme val="minor"/>
    </font>
    <font>
      <u/>
      <sz val="11"/>
      <color rgb="FF0000FF"/>
      <name val="맑은 고딕"/>
      <family val="2"/>
      <charset val="129"/>
      <scheme val="minor"/>
    </font>
    <font>
      <u/>
      <sz val="11"/>
      <color rgb="FF800080"/>
      <name val="맑은 고딕"/>
      <family val="2"/>
      <charset val="129"/>
      <scheme val="minor"/>
    </font>
    <font>
      <sz val="12"/>
      <color theme="1"/>
      <name val="맑은 고딕"/>
      <family val="3"/>
      <charset val="129"/>
    </font>
    <font>
      <sz val="12"/>
      <color theme="1"/>
      <name val="Microsoft Sans Serif"/>
      <family val="2"/>
    </font>
    <font>
      <sz val="12"/>
      <name val="Microsoft Sans Serif"/>
      <family val="2"/>
    </font>
    <font>
      <sz val="11"/>
      <color theme="1"/>
      <name val="Microsoft Sans Serif"/>
      <family val="2"/>
    </font>
    <font>
      <sz val="12"/>
      <color theme="1"/>
      <name val="맑은 고딕"/>
      <family val="2"/>
      <charset val="129"/>
    </font>
    <font>
      <sz val="11"/>
      <color rgb="FF000000"/>
      <name val="맑은 고딕"/>
      <family val="3"/>
      <charset val="129"/>
    </font>
    <font>
      <sz val="12"/>
      <color theme="1"/>
      <name val="돋움"/>
      <family val="3"/>
      <charset val="129"/>
    </font>
    <font>
      <sz val="12"/>
      <color theme="1"/>
      <name val="Microsoft Sans Serif"/>
      <family val="3"/>
      <charset val="129"/>
    </font>
    <font>
      <sz val="13"/>
      <color theme="1"/>
      <name val="Microsoft Sans Serif"/>
      <family val="2"/>
    </font>
    <font>
      <sz val="13"/>
      <color theme="1"/>
      <name val="맑은 고딕"/>
      <family val="3"/>
      <charset val="129"/>
    </font>
    <font>
      <sz val="13"/>
      <name val="Microsoft Sans Serif"/>
      <family val="2"/>
    </font>
    <font>
      <sz val="13"/>
      <color theme="1"/>
      <name val="맑은 고딕"/>
      <family val="2"/>
      <charset val="129"/>
    </font>
    <font>
      <b/>
      <sz val="13"/>
      <color theme="1"/>
      <name val="Microsoft Sans Serif"/>
      <family val="2"/>
    </font>
    <font>
      <b/>
      <sz val="13"/>
      <color indexed="8"/>
      <name val="Microsoft Sans Serif"/>
      <family val="2"/>
    </font>
    <font>
      <b/>
      <sz val="12"/>
      <color theme="1"/>
      <name val="Microsoft Sans Serif"/>
      <family val="2"/>
    </font>
    <font>
      <b/>
      <sz val="12"/>
      <color indexed="8"/>
      <name val="Microsoft Sans Serif"/>
      <family val="2"/>
    </font>
    <font>
      <sz val="12"/>
      <color theme="1"/>
      <name val="Arial Unicode MS"/>
      <family val="2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2"/>
      <color theme="1"/>
      <name val="Microsoft Sans Serif"/>
      <family val="2"/>
      <charset val="129"/>
    </font>
    <font>
      <sz val="10"/>
      <color theme="1"/>
      <name val="맑은 고딕"/>
      <family val="3"/>
      <charset val="129"/>
      <scheme val="minor"/>
    </font>
    <font>
      <sz val="10"/>
      <name val="돋움"/>
      <family val="3"/>
      <charset val="129"/>
    </font>
    <font>
      <sz val="9"/>
      <name val="돋움"/>
      <family val="3"/>
      <charset val="129"/>
    </font>
  </fonts>
  <fills count="40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65">
    <border>
      <left/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4D4D4"/>
      </left>
      <right/>
      <top style="thin">
        <color rgb="FFD4D4D4"/>
      </top>
      <bottom/>
      <diagonal/>
    </border>
    <border>
      <left/>
      <right/>
      <top style="thin">
        <color rgb="FFD4D4D4"/>
      </top>
      <bottom/>
      <diagonal/>
    </border>
    <border>
      <left/>
      <right style="thin">
        <color rgb="FFD4D4D4"/>
      </right>
      <top style="thin">
        <color rgb="FFD4D4D4"/>
      </top>
      <bottom/>
      <diagonal/>
    </border>
    <border>
      <left style="thin">
        <color rgb="FFD4D4D4"/>
      </left>
      <right/>
      <top/>
      <bottom/>
      <diagonal/>
    </border>
    <border>
      <left/>
      <right style="thin">
        <color rgb="FFD4D4D4"/>
      </right>
      <top/>
      <bottom/>
      <diagonal/>
    </border>
    <border>
      <left style="thin">
        <color rgb="FFD4D4D4"/>
      </left>
      <right/>
      <top/>
      <bottom style="thin">
        <color rgb="FFD4D4D4"/>
      </bottom>
      <diagonal/>
    </border>
    <border>
      <left/>
      <right/>
      <top/>
      <bottom style="thin">
        <color rgb="FFD4D4D4"/>
      </bottom>
      <diagonal/>
    </border>
    <border>
      <left/>
      <right style="thin">
        <color rgb="FFD4D4D4"/>
      </right>
      <top/>
      <bottom style="thin">
        <color rgb="FFD4D4D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54">
    <xf numFmtId="0" fontId="0" fillId="0" borderId="0">
      <alignment vertical="center"/>
    </xf>
    <xf numFmtId="0" fontId="2" fillId="0" borderId="0"/>
    <xf numFmtId="0" fontId="4" fillId="0" borderId="25" applyNumberFormat="0" applyFill="0" applyAlignment="0" applyProtection="0">
      <alignment vertical="center"/>
    </xf>
    <xf numFmtId="0" fontId="5" fillId="0" borderId="26" applyNumberFormat="0" applyFill="0" applyAlignment="0" applyProtection="0">
      <alignment vertical="center"/>
    </xf>
    <xf numFmtId="0" fontId="6" fillId="0" borderId="27" applyNumberFormat="0" applyFill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9" fillId="10" borderId="28" applyNumberFormat="0" applyAlignment="0" applyProtection="0">
      <alignment vertical="center"/>
    </xf>
    <xf numFmtId="0" fontId="10" fillId="11" borderId="29" applyNumberFormat="0" applyAlignment="0" applyProtection="0">
      <alignment vertical="center"/>
    </xf>
    <xf numFmtId="0" fontId="11" fillId="11" borderId="28" applyNumberFormat="0" applyAlignment="0" applyProtection="0">
      <alignment vertical="center"/>
    </xf>
    <xf numFmtId="0" fontId="12" fillId="0" borderId="30" applyNumberFormat="0" applyFill="0" applyAlignment="0" applyProtection="0">
      <alignment vertical="center"/>
    </xf>
    <xf numFmtId="0" fontId="13" fillId="12" borderId="31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33" applyNumberFormat="0" applyFill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17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17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17" fillId="34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6" borderId="0" applyNumberFormat="0" applyBorder="0" applyAlignment="0" applyProtection="0">
      <alignment vertical="center"/>
    </xf>
    <xf numFmtId="0" fontId="18" fillId="0" borderId="0"/>
    <xf numFmtId="0" fontId="19" fillId="0" borderId="0" applyNumberFormat="0" applyFill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17" fillId="37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13" borderId="32" applyNumberFormat="0" applyFont="0" applyAlignment="0" applyProtection="0">
      <alignment vertical="center"/>
    </xf>
    <xf numFmtId="0" fontId="2" fillId="0" borderId="0"/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3" fillId="0" borderId="0">
      <alignment vertical="center"/>
    </xf>
    <xf numFmtId="0" fontId="18" fillId="0" borderId="0"/>
    <xf numFmtId="9" fontId="3" fillId="0" borderId="0" applyFont="0" applyFill="0" applyBorder="0" applyAlignment="0" applyProtection="0">
      <alignment vertical="center"/>
    </xf>
    <xf numFmtId="0" fontId="18" fillId="0" borderId="0"/>
    <xf numFmtId="0" fontId="18" fillId="0" borderId="0"/>
    <xf numFmtId="0" fontId="18" fillId="0" borderId="0"/>
  </cellStyleXfs>
  <cellXfs count="15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6" borderId="0" xfId="0" applyFill="1">
      <alignment vertical="center"/>
    </xf>
    <xf numFmtId="0" fontId="0" fillId="0" borderId="37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7" xfId="0" applyBorder="1">
      <alignment vertical="center"/>
    </xf>
    <xf numFmtId="0" fontId="0" fillId="0" borderId="34" xfId="0" applyBorder="1">
      <alignment vertical="center"/>
    </xf>
    <xf numFmtId="0" fontId="0" fillId="0" borderId="38" xfId="0" applyBorder="1">
      <alignment vertical="center"/>
    </xf>
    <xf numFmtId="0" fontId="0" fillId="0" borderId="16" xfId="0" applyBorder="1">
      <alignment vertical="center"/>
    </xf>
    <xf numFmtId="0" fontId="0" fillId="0" borderId="40" xfId="0" applyBorder="1">
      <alignment vertical="center"/>
    </xf>
    <xf numFmtId="0" fontId="0" fillId="38" borderId="0" xfId="0" applyFill="1" applyAlignment="1">
      <alignment horizontal="center" vertical="center"/>
    </xf>
    <xf numFmtId="0" fontId="0" fillId="0" borderId="41" xfId="0" applyBorder="1">
      <alignment vertical="center"/>
    </xf>
    <xf numFmtId="3" fontId="0" fillId="0" borderId="0" xfId="0" applyNumberFormat="1">
      <alignment vertical="center"/>
    </xf>
    <xf numFmtId="0" fontId="24" fillId="6" borderId="0" xfId="0" applyFont="1" applyFill="1">
      <alignment vertical="center"/>
    </xf>
    <xf numFmtId="0" fontId="24" fillId="5" borderId="15" xfId="0" applyFont="1" applyFill="1" applyBorder="1" applyAlignment="1">
      <alignment horizontal="center" vertical="center"/>
    </xf>
    <xf numFmtId="0" fontId="24" fillId="0" borderId="0" xfId="0" applyFont="1">
      <alignment vertical="center"/>
    </xf>
    <xf numFmtId="0" fontId="24" fillId="6" borderId="0" xfId="0" applyFont="1" applyFill="1" applyAlignment="1">
      <alignment horizontal="center" vertical="center"/>
    </xf>
    <xf numFmtId="0" fontId="24" fillId="6" borderId="0" xfId="0" quotePrefix="1" applyFont="1" applyFill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6" fillId="6" borderId="0" xfId="0" applyFont="1" applyFill="1">
      <alignment vertical="center"/>
    </xf>
    <xf numFmtId="0" fontId="26" fillId="0" borderId="0" xfId="0" applyFont="1">
      <alignment vertical="center"/>
    </xf>
    <xf numFmtId="0" fontId="0" fillId="6" borderId="0" xfId="0" applyFill="1" applyAlignment="1">
      <alignment horizontal="center" vertical="center"/>
    </xf>
    <xf numFmtId="0" fontId="30" fillId="6" borderId="0" xfId="0" applyFont="1" applyFill="1" applyAlignment="1">
      <alignment horizontal="center" vertical="center"/>
    </xf>
    <xf numFmtId="0" fontId="0" fillId="6" borderId="49" xfId="0" applyFill="1" applyBorder="1">
      <alignment vertical="center"/>
    </xf>
    <xf numFmtId="0" fontId="0" fillId="6" borderId="50" xfId="0" applyFill="1" applyBorder="1">
      <alignment vertical="center"/>
    </xf>
    <xf numFmtId="0" fontId="0" fillId="6" borderId="51" xfId="0" applyFill="1" applyBorder="1">
      <alignment vertical="center"/>
    </xf>
    <xf numFmtId="0" fontId="24" fillId="6" borderId="52" xfId="0" applyFont="1" applyFill="1" applyBorder="1">
      <alignment vertical="center"/>
    </xf>
    <xf numFmtId="3" fontId="26" fillId="6" borderId="53" xfId="0" applyNumberFormat="1" applyFont="1" applyFill="1" applyBorder="1" applyAlignment="1">
      <alignment horizontal="center" vertical="center"/>
    </xf>
    <xf numFmtId="0" fontId="26" fillId="6" borderId="53" xfId="0" applyFont="1" applyFill="1" applyBorder="1">
      <alignment vertical="center"/>
    </xf>
    <xf numFmtId="0" fontId="24" fillId="6" borderId="53" xfId="0" applyFont="1" applyFill="1" applyBorder="1">
      <alignment vertical="center"/>
    </xf>
    <xf numFmtId="0" fontId="24" fillId="6" borderId="53" xfId="0" applyFont="1" applyFill="1" applyBorder="1" applyAlignment="1">
      <alignment horizontal="center" vertical="center"/>
    </xf>
    <xf numFmtId="10" fontId="25" fillId="6" borderId="53" xfId="1" applyNumberFormat="1" applyFont="1" applyFill="1" applyBorder="1" applyAlignment="1">
      <alignment horizontal="center" vertical="center"/>
    </xf>
    <xf numFmtId="176" fontId="25" fillId="6" borderId="53" xfId="1" applyNumberFormat="1" applyFont="1" applyFill="1" applyBorder="1" applyAlignment="1">
      <alignment horizontal="center" vertical="center"/>
    </xf>
    <xf numFmtId="0" fontId="0" fillId="6" borderId="54" xfId="0" applyFill="1" applyBorder="1">
      <alignment vertical="center"/>
    </xf>
    <xf numFmtId="0" fontId="0" fillId="6" borderId="55" xfId="0" applyFill="1" applyBorder="1">
      <alignment vertical="center"/>
    </xf>
    <xf numFmtId="0" fontId="0" fillId="6" borderId="56" xfId="0" applyFill="1" applyBorder="1">
      <alignment vertical="center"/>
    </xf>
    <xf numFmtId="10" fontId="25" fillId="6" borderId="53" xfId="50" applyNumberFormat="1" applyFont="1" applyFill="1" applyBorder="1" applyAlignment="1">
      <alignment horizontal="center" vertical="center"/>
    </xf>
    <xf numFmtId="0" fontId="26" fillId="6" borderId="52" xfId="0" applyFont="1" applyFill="1" applyBorder="1">
      <alignment vertical="center"/>
    </xf>
    <xf numFmtId="0" fontId="0" fillId="0" borderId="35" xfId="0" applyBorder="1">
      <alignment vertical="center"/>
    </xf>
    <xf numFmtId="0" fontId="0" fillId="0" borderId="39" xfId="0" applyBorder="1">
      <alignment vertical="center"/>
    </xf>
    <xf numFmtId="0" fontId="0" fillId="0" borderId="36" xfId="0" applyBorder="1">
      <alignment vertical="center"/>
    </xf>
    <xf numFmtId="0" fontId="24" fillId="5" borderId="21" xfId="0" applyFont="1" applyFill="1" applyBorder="1" applyAlignment="1">
      <alignment horizontal="center" vertical="center"/>
    </xf>
    <xf numFmtId="2" fontId="24" fillId="0" borderId="20" xfId="0" applyNumberFormat="1" applyFont="1" applyBorder="1" applyAlignment="1">
      <alignment horizontal="center" vertical="center"/>
    </xf>
    <xf numFmtId="3" fontId="24" fillId="0" borderId="19" xfId="0" applyNumberFormat="1" applyFont="1" applyBorder="1" applyAlignment="1">
      <alignment horizontal="center" vertical="center"/>
    </xf>
    <xf numFmtId="0" fontId="24" fillId="5" borderId="4" xfId="0" applyFont="1" applyFill="1" applyBorder="1" applyAlignment="1">
      <alignment horizontal="center" vertical="center"/>
    </xf>
    <xf numFmtId="0" fontId="24" fillId="5" borderId="17" xfId="0" applyFont="1" applyFill="1" applyBorder="1" applyAlignment="1">
      <alignment horizontal="center" vertical="center"/>
    </xf>
    <xf numFmtId="2" fontId="24" fillId="0" borderId="16" xfId="0" applyNumberFormat="1" applyFont="1" applyBorder="1" applyAlignment="1">
      <alignment horizontal="center" vertical="center"/>
    </xf>
    <xf numFmtId="0" fontId="31" fillId="5" borderId="15" xfId="0" applyFont="1" applyFill="1" applyBorder="1" applyAlignment="1">
      <alignment horizontal="center" vertical="center"/>
    </xf>
    <xf numFmtId="0" fontId="31" fillId="5" borderId="14" xfId="0" applyFont="1" applyFill="1" applyBorder="1" applyAlignment="1">
      <alignment horizontal="center" vertical="center"/>
    </xf>
    <xf numFmtId="0" fontId="31" fillId="5" borderId="13" xfId="0" applyFont="1" applyFill="1" applyBorder="1" applyAlignment="1">
      <alignment horizontal="center" vertical="center"/>
    </xf>
    <xf numFmtId="0" fontId="31" fillId="5" borderId="12" xfId="0" applyFont="1" applyFill="1" applyBorder="1" applyAlignment="1">
      <alignment horizontal="center" vertical="center"/>
    </xf>
    <xf numFmtId="0" fontId="31" fillId="0" borderId="11" xfId="0" applyFont="1" applyBorder="1" applyAlignment="1">
      <alignment horizontal="center" vertical="center"/>
    </xf>
    <xf numFmtId="0" fontId="31" fillId="0" borderId="8" xfId="0" applyFont="1" applyBorder="1" applyAlignment="1">
      <alignment horizontal="center" vertical="center"/>
    </xf>
    <xf numFmtId="178" fontId="31" fillId="0" borderId="8" xfId="0" applyNumberFormat="1" applyFont="1" applyBorder="1" applyAlignment="1">
      <alignment horizontal="center" vertical="center"/>
    </xf>
    <xf numFmtId="177" fontId="33" fillId="0" borderId="8" xfId="1" applyNumberFormat="1" applyFont="1" applyBorder="1" applyAlignment="1">
      <alignment horizontal="center" vertical="center"/>
    </xf>
    <xf numFmtId="10" fontId="33" fillId="0" borderId="7" xfId="1" applyNumberFormat="1" applyFont="1" applyBorder="1" applyAlignment="1">
      <alignment horizontal="center" vertical="center"/>
    </xf>
    <xf numFmtId="177" fontId="31" fillId="0" borderId="10" xfId="0" applyNumberFormat="1" applyFont="1" applyBorder="1" applyAlignment="1">
      <alignment horizontal="center" vertical="center"/>
    </xf>
    <xf numFmtId="10" fontId="33" fillId="0" borderId="5" xfId="1" applyNumberFormat="1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0" fontId="31" fillId="4" borderId="8" xfId="0" applyFont="1" applyFill="1" applyBorder="1" applyAlignment="1">
      <alignment horizontal="center" vertical="center"/>
    </xf>
    <xf numFmtId="178" fontId="31" fillId="4" borderId="8" xfId="0" applyNumberFormat="1" applyFont="1" applyFill="1" applyBorder="1" applyAlignment="1">
      <alignment horizontal="center" vertical="center"/>
    </xf>
    <xf numFmtId="0" fontId="31" fillId="4" borderId="6" xfId="0" applyFont="1" applyFill="1" applyBorder="1">
      <alignment vertical="center"/>
    </xf>
    <xf numFmtId="176" fontId="33" fillId="4" borderId="7" xfId="1" applyNumberFormat="1" applyFont="1" applyFill="1" applyBorder="1" applyAlignment="1">
      <alignment horizontal="center" vertical="center"/>
    </xf>
    <xf numFmtId="177" fontId="31" fillId="4" borderId="8" xfId="0" applyNumberFormat="1" applyFont="1" applyFill="1" applyBorder="1" applyAlignment="1">
      <alignment horizontal="center" vertical="center"/>
    </xf>
    <xf numFmtId="176" fontId="33" fillId="4" borderId="5" xfId="1" applyNumberFormat="1" applyFont="1" applyFill="1" applyBorder="1" applyAlignment="1">
      <alignment horizontal="center" vertical="center"/>
    </xf>
    <xf numFmtId="177" fontId="31" fillId="0" borderId="6" xfId="0" applyNumberFormat="1" applyFont="1" applyBorder="1" applyAlignment="1">
      <alignment horizontal="center" vertical="center"/>
    </xf>
    <xf numFmtId="0" fontId="31" fillId="6" borderId="9" xfId="0" applyFont="1" applyFill="1" applyBorder="1" applyAlignment="1">
      <alignment horizontal="center" vertical="center"/>
    </xf>
    <xf numFmtId="0" fontId="31" fillId="6" borderId="8" xfId="0" applyFont="1" applyFill="1" applyBorder="1" applyAlignment="1">
      <alignment horizontal="center" vertical="center"/>
    </xf>
    <xf numFmtId="177" fontId="31" fillId="6" borderId="6" xfId="0" applyNumberFormat="1" applyFont="1" applyFill="1" applyBorder="1" applyAlignment="1">
      <alignment horizontal="center" vertical="center"/>
    </xf>
    <xf numFmtId="177" fontId="31" fillId="4" borderId="6" xfId="0" applyNumberFormat="1" applyFont="1" applyFill="1" applyBorder="1" applyAlignment="1">
      <alignment horizontal="center" vertical="center"/>
    </xf>
    <xf numFmtId="0" fontId="31" fillId="3" borderId="4" xfId="0" applyFont="1" applyFill="1" applyBorder="1" applyAlignment="1">
      <alignment horizontal="center" vertical="center"/>
    </xf>
    <xf numFmtId="0" fontId="31" fillId="2" borderId="2" xfId="0" applyFont="1" applyFill="1" applyBorder="1" applyAlignment="1">
      <alignment horizontal="center" vertical="center"/>
    </xf>
    <xf numFmtId="178" fontId="31" fillId="2" borderId="2" xfId="0" applyNumberFormat="1" applyFont="1" applyFill="1" applyBorder="1" applyAlignment="1">
      <alignment horizontal="center" vertical="center"/>
    </xf>
    <xf numFmtId="177" fontId="33" fillId="2" borderId="2" xfId="1" applyNumberFormat="1" applyFont="1" applyFill="1" applyBorder="1" applyAlignment="1">
      <alignment horizontal="center" vertical="center"/>
    </xf>
    <xf numFmtId="10" fontId="33" fillId="2" borderId="2" xfId="1" applyNumberFormat="1" applyFont="1" applyFill="1" applyBorder="1" applyAlignment="1">
      <alignment horizontal="center" vertical="center"/>
    </xf>
    <xf numFmtId="177" fontId="31" fillId="2" borderId="2" xfId="0" applyNumberFormat="1" applyFont="1" applyFill="1" applyBorder="1" applyAlignment="1">
      <alignment horizontal="center" vertical="center"/>
    </xf>
    <xf numFmtId="10" fontId="33" fillId="2" borderId="1" xfId="50" applyNumberFormat="1" applyFont="1" applyFill="1" applyBorder="1" applyAlignment="1">
      <alignment horizontal="center" vertical="center"/>
    </xf>
    <xf numFmtId="10" fontId="33" fillId="2" borderId="1" xfId="1" applyNumberFormat="1" applyFont="1" applyFill="1" applyBorder="1" applyAlignment="1">
      <alignment horizontal="center" vertical="center"/>
    </xf>
    <xf numFmtId="0" fontId="31" fillId="5" borderId="19" xfId="0" applyFont="1" applyFill="1" applyBorder="1" applyAlignment="1">
      <alignment horizontal="center" vertical="center"/>
    </xf>
    <xf numFmtId="0" fontId="31" fillId="5" borderId="44" xfId="0" applyFont="1" applyFill="1" applyBorder="1" applyAlignment="1">
      <alignment horizontal="center" vertical="center"/>
    </xf>
    <xf numFmtId="0" fontId="35" fillId="39" borderId="21" xfId="0" applyFont="1" applyFill="1" applyBorder="1" applyAlignment="1">
      <alignment horizontal="center" vertical="center"/>
    </xf>
    <xf numFmtId="0" fontId="35" fillId="39" borderId="22" xfId="0" applyFont="1" applyFill="1" applyBorder="1" applyAlignment="1">
      <alignment horizontal="center" vertical="center"/>
    </xf>
    <xf numFmtId="3" fontId="31" fillId="0" borderId="45" xfId="0" applyNumberFormat="1" applyFont="1" applyBorder="1" applyAlignment="1">
      <alignment horizontal="center" vertical="center"/>
    </xf>
    <xf numFmtId="10" fontId="31" fillId="0" borderId="8" xfId="50" applyNumberFormat="1" applyFont="1" applyBorder="1" applyAlignment="1">
      <alignment horizontal="center" vertical="center"/>
    </xf>
    <xf numFmtId="3" fontId="31" fillId="0" borderId="10" xfId="0" applyNumberFormat="1" applyFont="1" applyBorder="1" applyAlignment="1">
      <alignment horizontal="center" vertical="center"/>
    </xf>
    <xf numFmtId="10" fontId="31" fillId="0" borderId="24" xfId="50" applyNumberFormat="1" applyFont="1" applyBorder="1" applyAlignment="1">
      <alignment horizontal="center" vertical="center"/>
    </xf>
    <xf numFmtId="0" fontId="35" fillId="39" borderId="9" xfId="0" applyFont="1" applyFill="1" applyBorder="1" applyAlignment="1">
      <alignment horizontal="center" vertical="center"/>
    </xf>
    <xf numFmtId="0" fontId="35" fillId="39" borderId="48" xfId="0" applyFont="1" applyFill="1" applyBorder="1" applyAlignment="1">
      <alignment horizontal="center" vertical="center"/>
    </xf>
    <xf numFmtId="3" fontId="31" fillId="0" borderId="46" xfId="0" applyNumberFormat="1" applyFont="1" applyBorder="1" applyAlignment="1">
      <alignment horizontal="center" vertical="center"/>
    </xf>
    <xf numFmtId="3" fontId="31" fillId="0" borderId="6" xfId="0" applyNumberFormat="1" applyFont="1" applyBorder="1" applyAlignment="1">
      <alignment horizontal="center" vertical="center"/>
    </xf>
    <xf numFmtId="0" fontId="35" fillId="39" borderId="4" xfId="0" applyFont="1" applyFill="1" applyBorder="1" applyAlignment="1">
      <alignment horizontal="center" vertical="center"/>
    </xf>
    <xf numFmtId="0" fontId="35" fillId="39" borderId="1" xfId="0" applyFont="1" applyFill="1" applyBorder="1" applyAlignment="1">
      <alignment horizontal="center" vertical="center"/>
    </xf>
    <xf numFmtId="3" fontId="31" fillId="0" borderId="47" xfId="0" applyNumberFormat="1" applyFont="1" applyBorder="1" applyAlignment="1">
      <alignment horizontal="center" vertical="center"/>
    </xf>
    <xf numFmtId="10" fontId="31" fillId="0" borderId="42" xfId="5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10" fontId="31" fillId="0" borderId="43" xfId="50" applyNumberFormat="1" applyFont="1" applyBorder="1" applyAlignment="1">
      <alignment horizontal="center" vertical="center"/>
    </xf>
    <xf numFmtId="0" fontId="36" fillId="39" borderId="21" xfId="0" applyFont="1" applyFill="1" applyBorder="1" applyAlignment="1">
      <alignment horizontal="center" vertical="center"/>
    </xf>
    <xf numFmtId="0" fontId="36" fillId="39" borderId="22" xfId="0" applyFont="1" applyFill="1" applyBorder="1" applyAlignment="1">
      <alignment horizontal="center" vertical="center"/>
    </xf>
    <xf numFmtId="0" fontId="36" fillId="39" borderId="9" xfId="0" applyFont="1" applyFill="1" applyBorder="1" applyAlignment="1">
      <alignment horizontal="center" vertical="center"/>
    </xf>
    <xf numFmtId="0" fontId="36" fillId="39" borderId="48" xfId="0" applyFont="1" applyFill="1" applyBorder="1" applyAlignment="1">
      <alignment horizontal="center" vertical="center"/>
    </xf>
    <xf numFmtId="0" fontId="36" fillId="39" borderId="4" xfId="0" applyFont="1" applyFill="1" applyBorder="1" applyAlignment="1">
      <alignment horizontal="center" vertical="center"/>
    </xf>
    <xf numFmtId="0" fontId="36" fillId="39" borderId="1" xfId="0" applyFont="1" applyFill="1" applyBorder="1" applyAlignment="1">
      <alignment horizontal="center" vertical="center"/>
    </xf>
    <xf numFmtId="0" fontId="37" fillId="6" borderId="0" xfId="0" applyFont="1" applyFill="1" applyAlignment="1">
      <alignment horizontal="center" vertical="center"/>
    </xf>
    <xf numFmtId="0" fontId="38" fillId="6" borderId="0" xfId="0" applyFont="1" applyFill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0" fillId="38" borderId="0" xfId="0" applyFill="1" applyAlignment="1">
      <alignment horizontal="center" vertical="center"/>
    </xf>
    <xf numFmtId="0" fontId="24" fillId="6" borderId="23" xfId="0" applyFont="1" applyFill="1" applyBorder="1" applyAlignment="1">
      <alignment horizontal="center" vertical="center"/>
    </xf>
    <xf numFmtId="0" fontId="24" fillId="6" borderId="20" xfId="0" applyFont="1" applyFill="1" applyBorder="1" applyAlignment="1">
      <alignment horizontal="center" vertical="center"/>
    </xf>
    <xf numFmtId="0" fontId="24" fillId="6" borderId="22" xfId="0" applyFont="1" applyFill="1" applyBorder="1" applyAlignment="1">
      <alignment horizontal="center" vertical="center"/>
    </xf>
    <xf numFmtId="0" fontId="24" fillId="6" borderId="3" xfId="0" applyFont="1" applyFill="1" applyBorder="1" applyAlignment="1">
      <alignment horizontal="center" vertical="center"/>
    </xf>
    <xf numFmtId="0" fontId="24" fillId="6" borderId="18" xfId="0" applyFont="1" applyFill="1" applyBorder="1" applyAlignment="1">
      <alignment horizontal="center" vertical="center"/>
    </xf>
    <xf numFmtId="0" fontId="24" fillId="6" borderId="1" xfId="0" applyFont="1" applyFill="1" applyBorder="1" applyAlignment="1">
      <alignment horizontal="center" vertical="center"/>
    </xf>
    <xf numFmtId="0" fontId="43" fillId="6" borderId="39" xfId="0" applyFont="1" applyFill="1" applyBorder="1" applyAlignment="1">
      <alignment horizontal="center" vertical="center" wrapText="1"/>
    </xf>
    <xf numFmtId="0" fontId="43" fillId="6" borderId="39" xfId="0" applyFont="1" applyFill="1" applyBorder="1" applyAlignment="1">
      <alignment horizontal="center" vertical="center"/>
    </xf>
    <xf numFmtId="0" fontId="43" fillId="6" borderId="40" xfId="0" applyFont="1" applyFill="1" applyBorder="1" applyAlignment="1">
      <alignment horizontal="center" vertical="center"/>
    </xf>
    <xf numFmtId="0" fontId="43" fillId="6" borderId="0" xfId="0" applyFont="1" applyFill="1" applyAlignment="1">
      <alignment horizontal="center" vertical="center"/>
    </xf>
    <xf numFmtId="0" fontId="42" fillId="6" borderId="3" xfId="0" applyFont="1" applyFill="1" applyBorder="1" applyAlignment="1">
      <alignment horizontal="center" vertical="center"/>
    </xf>
    <xf numFmtId="177" fontId="44" fillId="0" borderId="57" xfId="0" applyNumberFormat="1" applyFont="1" applyBorder="1" applyAlignment="1">
      <alignment horizontal="center" vertical="center"/>
    </xf>
    <xf numFmtId="0" fontId="44" fillId="0" borderId="57" xfId="0" applyFont="1" applyBorder="1" applyAlignment="1">
      <alignment horizontal="center" vertical="center"/>
    </xf>
    <xf numFmtId="0" fontId="44" fillId="0" borderId="58" xfId="0" applyFont="1" applyBorder="1" applyAlignment="1">
      <alignment horizontal="center" vertical="center"/>
    </xf>
    <xf numFmtId="177" fontId="44" fillId="0" borderId="6" xfId="0" applyNumberFormat="1" applyFont="1" applyBorder="1" applyAlignment="1">
      <alignment horizontal="center" vertical="center"/>
    </xf>
    <xf numFmtId="0" fontId="44" fillId="0" borderId="6" xfId="0" applyFont="1" applyBorder="1" applyAlignment="1">
      <alignment horizontal="center" vertical="center"/>
    </xf>
    <xf numFmtId="0" fontId="44" fillId="0" borderId="59" xfId="0" applyFont="1" applyBorder="1" applyAlignment="1">
      <alignment horizontal="center" vertical="center"/>
    </xf>
    <xf numFmtId="177" fontId="44" fillId="0" borderId="2" xfId="0" applyNumberFormat="1" applyFont="1" applyBorder="1" applyAlignment="1">
      <alignment horizontal="center" vertical="center"/>
    </xf>
    <xf numFmtId="0" fontId="44" fillId="0" borderId="2" xfId="0" applyFont="1" applyBorder="1" applyAlignment="1">
      <alignment horizontal="center" vertical="center"/>
    </xf>
    <xf numFmtId="0" fontId="44" fillId="0" borderId="60" xfId="0" applyFont="1" applyBorder="1" applyAlignment="1">
      <alignment horizontal="center" vertical="center"/>
    </xf>
    <xf numFmtId="179" fontId="44" fillId="0" borderId="57" xfId="0" applyNumberFormat="1" applyFont="1" applyBorder="1" applyAlignment="1">
      <alignment horizontal="center" vertical="center"/>
    </xf>
    <xf numFmtId="179" fontId="44" fillId="0" borderId="6" xfId="0" applyNumberFormat="1" applyFont="1" applyBorder="1" applyAlignment="1">
      <alignment horizontal="center" vertical="center"/>
    </xf>
    <xf numFmtId="179" fontId="44" fillId="0" borderId="2" xfId="0" applyNumberFormat="1" applyFont="1" applyBorder="1" applyAlignment="1">
      <alignment horizontal="center" vertical="center"/>
    </xf>
    <xf numFmtId="0" fontId="44" fillId="0" borderId="8" xfId="0" applyFont="1" applyBorder="1" applyAlignment="1">
      <alignment horizontal="center" vertical="center"/>
    </xf>
    <xf numFmtId="179" fontId="44" fillId="0" borderId="8" xfId="0" applyNumberFormat="1" applyFont="1" applyBorder="1" applyAlignment="1">
      <alignment horizontal="center" vertical="center"/>
    </xf>
    <xf numFmtId="0" fontId="44" fillId="0" borderId="61" xfId="0" applyFont="1" applyBorder="1" applyAlignment="1">
      <alignment horizontal="center" vertical="center"/>
    </xf>
    <xf numFmtId="179" fontId="44" fillId="0" borderId="58" xfId="0" applyNumberFormat="1" applyFont="1" applyBorder="1" applyAlignment="1">
      <alignment horizontal="center" vertical="center"/>
    </xf>
    <xf numFmtId="0" fontId="45" fillId="0" borderId="61" xfId="0" applyFont="1" applyBorder="1" applyAlignment="1">
      <alignment horizontal="center" vertical="center"/>
    </xf>
    <xf numFmtId="179" fontId="45" fillId="0" borderId="57" xfId="0" applyNumberFormat="1" applyFont="1" applyBorder="1" applyAlignment="1">
      <alignment horizontal="center" vertical="center"/>
    </xf>
    <xf numFmtId="0" fontId="44" fillId="0" borderId="9" xfId="0" applyFont="1" applyBorder="1" applyAlignment="1">
      <alignment horizontal="center" vertical="center"/>
    </xf>
    <xf numFmtId="179" fontId="44" fillId="0" borderId="59" xfId="0" applyNumberFormat="1" applyFont="1" applyBorder="1" applyAlignment="1">
      <alignment horizontal="center" vertical="center"/>
    </xf>
    <xf numFmtId="0" fontId="45" fillId="0" borderId="9" xfId="0" applyFont="1" applyBorder="1" applyAlignment="1">
      <alignment horizontal="center" vertical="center"/>
    </xf>
    <xf numFmtId="179" fontId="45" fillId="0" borderId="6" xfId="0" applyNumberFormat="1" applyFont="1" applyBorder="1" applyAlignment="1">
      <alignment horizontal="center" vertical="center"/>
    </xf>
    <xf numFmtId="0" fontId="44" fillId="0" borderId="9" xfId="34" applyFont="1" applyBorder="1" applyAlignment="1">
      <alignment horizontal="center" vertical="center"/>
    </xf>
    <xf numFmtId="179" fontId="44" fillId="0" borderId="6" xfId="34" applyNumberFormat="1" applyFont="1" applyBorder="1" applyAlignment="1">
      <alignment horizontal="center" vertical="center"/>
    </xf>
    <xf numFmtId="179" fontId="44" fillId="0" borderId="62" xfId="34" applyNumberFormat="1" applyFont="1" applyBorder="1" applyAlignment="1">
      <alignment horizontal="center" vertical="center"/>
    </xf>
    <xf numFmtId="179" fontId="44" fillId="0" borderId="59" xfId="34" applyNumberFormat="1" applyFont="1" applyBorder="1" applyAlignment="1">
      <alignment horizontal="center" vertical="center"/>
    </xf>
    <xf numFmtId="0" fontId="31" fillId="0" borderId="8" xfId="0" applyFont="1" applyBorder="1" applyAlignment="1">
      <alignment horizontal="center" vertical="center"/>
    </xf>
    <xf numFmtId="0" fontId="31" fillId="0" borderId="63" xfId="0" applyFont="1" applyBorder="1" applyAlignment="1">
      <alignment horizontal="center" vertical="center"/>
    </xf>
    <xf numFmtId="0" fontId="31" fillId="6" borderId="8" xfId="0" applyFont="1" applyFill="1" applyBorder="1" applyAlignment="1">
      <alignment horizontal="center" vertical="center"/>
    </xf>
    <xf numFmtId="0" fontId="31" fillId="6" borderId="63" xfId="0" applyFont="1" applyFill="1" applyBorder="1" applyAlignment="1">
      <alignment horizontal="center" vertical="center"/>
    </xf>
    <xf numFmtId="178" fontId="31" fillId="0" borderId="8" xfId="0" applyNumberFormat="1" applyFont="1" applyBorder="1" applyAlignment="1">
      <alignment horizontal="center" vertical="center"/>
    </xf>
    <xf numFmtId="178" fontId="31" fillId="0" borderId="63" xfId="0" applyNumberFormat="1" applyFont="1" applyBorder="1" applyAlignment="1">
      <alignment horizontal="center" vertical="center"/>
    </xf>
    <xf numFmtId="177" fontId="33" fillId="0" borderId="8" xfId="1" applyNumberFormat="1" applyFont="1" applyBorder="1" applyAlignment="1">
      <alignment horizontal="center" vertical="center"/>
    </xf>
    <xf numFmtId="177" fontId="33" fillId="0" borderId="63" xfId="1" applyNumberFormat="1" applyFont="1" applyBorder="1" applyAlignment="1">
      <alignment horizontal="center" vertical="center"/>
    </xf>
    <xf numFmtId="10" fontId="33" fillId="0" borderId="63" xfId="1" applyNumberFormat="1" applyFont="1" applyBorder="1" applyAlignment="1">
      <alignment horizontal="center" vertical="center"/>
    </xf>
    <xf numFmtId="10" fontId="33" fillId="0" borderId="8" xfId="1" applyNumberFormat="1" applyFont="1" applyBorder="1" applyAlignment="1">
      <alignment horizontal="center" vertical="center"/>
    </xf>
    <xf numFmtId="177" fontId="31" fillId="6" borderId="63" xfId="0" applyNumberFormat="1" applyFont="1" applyFill="1" applyBorder="1" applyAlignment="1">
      <alignment horizontal="center" vertical="center"/>
    </xf>
    <xf numFmtId="177" fontId="31" fillId="6" borderId="8" xfId="0" applyNumberFormat="1" applyFont="1" applyFill="1" applyBorder="1" applyAlignment="1">
      <alignment horizontal="center" vertical="center"/>
    </xf>
    <xf numFmtId="10" fontId="33" fillId="0" borderId="64" xfId="1" applyNumberFormat="1" applyFont="1" applyBorder="1" applyAlignment="1">
      <alignment horizontal="center" vertical="center"/>
    </xf>
    <xf numFmtId="10" fontId="33" fillId="0" borderId="24" xfId="1" applyNumberFormat="1" applyFont="1" applyBorder="1" applyAlignment="1">
      <alignment horizontal="center" vertical="center"/>
    </xf>
    <xf numFmtId="177" fontId="31" fillId="0" borderId="63" xfId="0" applyNumberFormat="1" applyFont="1" applyBorder="1" applyAlignment="1">
      <alignment horizontal="center" vertical="center"/>
    </xf>
    <xf numFmtId="177" fontId="31" fillId="0" borderId="8" xfId="0" applyNumberFormat="1" applyFont="1" applyBorder="1" applyAlignment="1">
      <alignment horizontal="center" vertical="center"/>
    </xf>
  </cellXfs>
  <cellStyles count="54">
    <cellStyle name="20% - 강조색1" xfId="17" builtinId="30" customBuiltin="1"/>
    <cellStyle name="20% - 강조색2" xfId="20" builtinId="34" customBuiltin="1"/>
    <cellStyle name="20% - 강조색3" xfId="23" builtinId="38" customBuiltin="1"/>
    <cellStyle name="20% - 강조색4" xfId="26" builtinId="42" customBuiltin="1"/>
    <cellStyle name="20% - 강조색5" xfId="29" builtinId="46" customBuiltin="1"/>
    <cellStyle name="20% - 강조색6" xfId="32" builtinId="50" customBuiltin="1"/>
    <cellStyle name="40% - 강조색1" xfId="18" builtinId="31" customBuiltin="1"/>
    <cellStyle name="40% - 강조색2" xfId="21" builtinId="35" customBuiltin="1"/>
    <cellStyle name="40% - 강조색3" xfId="24" builtinId="39" customBuiltin="1"/>
    <cellStyle name="40% - 강조색4" xfId="27" builtinId="43" customBuiltin="1"/>
    <cellStyle name="40% - 강조색5" xfId="30" builtinId="47" customBuiltin="1"/>
    <cellStyle name="40% - 강조색6" xfId="33" builtinId="51" customBuiltin="1"/>
    <cellStyle name="60% - 강조색1 2" xfId="37" xr:uid="{00000000-0005-0000-0000-000032000000}"/>
    <cellStyle name="60% - 강조색2 2" xfId="38" xr:uid="{00000000-0005-0000-0000-000033000000}"/>
    <cellStyle name="60% - 강조색3 2" xfId="39" xr:uid="{00000000-0005-0000-0000-000034000000}"/>
    <cellStyle name="60% - 강조색4 2" xfId="40" xr:uid="{00000000-0005-0000-0000-000035000000}"/>
    <cellStyle name="60% - 강조색5 2" xfId="41" xr:uid="{00000000-0005-0000-0000-000036000000}"/>
    <cellStyle name="60% - 강조색6 2" xfId="42" xr:uid="{00000000-0005-0000-0000-000037000000}"/>
    <cellStyle name="강조색1" xfId="16" builtinId="29" customBuiltin="1"/>
    <cellStyle name="강조색2" xfId="19" builtinId="33" customBuiltin="1"/>
    <cellStyle name="강조색3" xfId="22" builtinId="37" customBuiltin="1"/>
    <cellStyle name="강조색4" xfId="25" builtinId="41" customBuiltin="1"/>
    <cellStyle name="강조색5" xfId="28" builtinId="45" customBuiltin="1"/>
    <cellStyle name="강조색6" xfId="31" builtinId="49" customBuiltin="1"/>
    <cellStyle name="경고문" xfId="13" builtinId="11" customBuiltin="1"/>
    <cellStyle name="계산" xfId="10" builtinId="22" customBuiltin="1"/>
    <cellStyle name="나쁨" xfId="7" builtinId="27" customBuiltin="1"/>
    <cellStyle name="메모 2" xfId="44" xr:uid="{00000000-0005-0000-0000-00001B000000}"/>
    <cellStyle name="백분율" xfId="50" builtinId="5"/>
    <cellStyle name="보통 2" xfId="36" xr:uid="{00000000-0005-0000-0000-000039000000}"/>
    <cellStyle name="설명 텍스트" xfId="14" builtinId="53" customBuiltin="1"/>
    <cellStyle name="셀 확인" xfId="12" builtinId="23" customBuiltin="1"/>
    <cellStyle name="연결된 셀" xfId="11" builtinId="24" customBuiltin="1"/>
    <cellStyle name="열어 본 하이퍼링크 2" xfId="47" xr:uid="{00000000-0005-0000-0000-000020000000}"/>
    <cellStyle name="요약" xfId="15" builtinId="25" customBuiltin="1"/>
    <cellStyle name="입력" xfId="8" builtinId="20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제목 5" xfId="35" xr:uid="{00000000-0005-0000-0000-00003B000000}"/>
    <cellStyle name="좋음" xfId="6" builtinId="26" customBuiltin="1"/>
    <cellStyle name="출력" xfId="9" builtinId="21" customBuiltin="1"/>
    <cellStyle name="표준" xfId="0" builtinId="0"/>
    <cellStyle name="표준 2" xfId="34" xr:uid="{00000000-0005-0000-0000-00002B000000}"/>
    <cellStyle name="표준 3" xfId="45" xr:uid="{00000000-0005-0000-0000-00002C000000}"/>
    <cellStyle name="표준 3 2" xfId="49" xr:uid="{00000000-0005-0000-0000-00002D000000}"/>
    <cellStyle name="표준 4" xfId="1" xr:uid="{2FF9B68B-8794-4F1F-9B6D-29886EAF3713}"/>
    <cellStyle name="표준 4 2" xfId="43" xr:uid="{00000000-0005-0000-0000-00002E000000}"/>
    <cellStyle name="표준 4 2 2" xfId="52" xr:uid="{A318B459-CA23-42E2-8ECC-411DF5A1766C}"/>
    <cellStyle name="표준 4 3" xfId="51" xr:uid="{B5FB9756-37D5-4E35-A31F-6F633157E1B2}"/>
    <cellStyle name="표준 5" xfId="48" xr:uid="{00000000-0005-0000-0000-00002F000000}"/>
    <cellStyle name="표준 5 2" xfId="53" xr:uid="{BD8C11C9-B385-4C7C-B99C-9E87BFEF6523}"/>
    <cellStyle name="하이퍼링크 2" xfId="46" xr:uid="{00000000-0005-0000-0000-000030000000}"/>
  </cellStyles>
  <dxfs count="6"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</dxfs>
  <tableStyles count="0" defaultTableStyle="TableStyleMedium2" defaultPivotStyle="PivotStyleLight16"/>
  <colors>
    <mruColors>
      <color rgb="FFFF99FF"/>
      <color rgb="FFCCFFCC"/>
      <color rgb="FF00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8</xdr:col>
          <xdr:colOff>6350</xdr:colOff>
          <xdr:row>6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자동 병합 기능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54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746125" y="1681162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34</xdr:row>
      <xdr:rowOff>0</xdr:rowOff>
    </xdr:from>
    <xdr:ext cx="8647200" cy="1602362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732118" y="10570882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74</xdr:row>
      <xdr:rowOff>0</xdr:rowOff>
    </xdr:from>
    <xdr:ext cx="8647200" cy="1602362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734786" y="2315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94</xdr:row>
      <xdr:rowOff>0</xdr:rowOff>
    </xdr:from>
    <xdr:ext cx="8647200" cy="1602362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734786" y="295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54</xdr:row>
      <xdr:rowOff>0</xdr:rowOff>
    </xdr:from>
    <xdr:ext cx="8647200" cy="1602362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736600" y="168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738909" y="417945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34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738909" y="10644909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74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738909" y="23575818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94</xdr:row>
      <xdr:rowOff>0</xdr:rowOff>
    </xdr:from>
    <xdr:ext cx="8647200" cy="1602362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738909" y="30041273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15290</xdr:colOff>
      <xdr:row>8</xdr:row>
      <xdr:rowOff>0</xdr:rowOff>
    </xdr:from>
    <xdr:ext cx="6476651" cy="162111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747408" y="2218765"/>
          <a:ext cx="6476651" cy="1621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7</xdr:row>
      <xdr:rowOff>311150</xdr:rowOff>
    </xdr:from>
    <xdr:ext cx="6476651" cy="162111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736600" y="2190750"/>
          <a:ext cx="6476651" cy="1621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76651" cy="162111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732118" y="2218765"/>
          <a:ext cx="6476651" cy="1621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76651" cy="162111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736600" y="2197100"/>
          <a:ext cx="6476651" cy="1621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F596D-1499-418A-8860-3C8EB1877B25}">
  <sheetPr codeName="Sheet1"/>
  <dimension ref="B3:E9"/>
  <sheetViews>
    <sheetView workbookViewId="0">
      <selection activeCell="C4" sqref="C4:E9"/>
    </sheetView>
  </sheetViews>
  <sheetFormatPr defaultRowHeight="17"/>
  <cols>
    <col min="2" max="5" width="12.58203125" style="1" customWidth="1"/>
  </cols>
  <sheetData>
    <row r="3" spans="2:5" ht="17.5" thickBot="1">
      <c r="C3" s="1" t="s">
        <v>1</v>
      </c>
      <c r="D3" s="1" t="s">
        <v>2</v>
      </c>
      <c r="E3" s="1" t="s">
        <v>0</v>
      </c>
    </row>
    <row r="4" spans="2:5" ht="17.5" thickTop="1">
      <c r="B4" s="1" t="s">
        <v>3</v>
      </c>
      <c r="C4" s="117">
        <v>377796</v>
      </c>
      <c r="D4" s="118" t="s">
        <v>72</v>
      </c>
      <c r="E4" s="119" t="s">
        <v>73</v>
      </c>
    </row>
    <row r="5" spans="2:5">
      <c r="B5" s="1" t="s">
        <v>17</v>
      </c>
      <c r="C5" s="120">
        <v>376665</v>
      </c>
      <c r="D5" s="121" t="s">
        <v>74</v>
      </c>
      <c r="E5" s="122" t="s">
        <v>75</v>
      </c>
    </row>
    <row r="6" spans="2:5">
      <c r="B6" s="1" t="s">
        <v>4</v>
      </c>
      <c r="C6" s="120">
        <v>374531</v>
      </c>
      <c r="D6" s="121" t="s">
        <v>76</v>
      </c>
      <c r="E6" s="122" t="s">
        <v>77</v>
      </c>
    </row>
    <row r="7" spans="2:5">
      <c r="B7" s="1" t="s">
        <v>5</v>
      </c>
      <c r="C7" s="120">
        <v>371115</v>
      </c>
      <c r="D7" s="121" t="s">
        <v>78</v>
      </c>
      <c r="E7" s="122" t="s">
        <v>79</v>
      </c>
    </row>
    <row r="8" spans="2:5">
      <c r="B8" s="1" t="s">
        <v>18</v>
      </c>
      <c r="C8" s="120">
        <v>370856</v>
      </c>
      <c r="D8" s="121" t="s">
        <v>80</v>
      </c>
      <c r="E8" s="122" t="s">
        <v>81</v>
      </c>
    </row>
    <row r="9" spans="2:5" ht="17.5" thickBot="1">
      <c r="B9" s="1" t="s">
        <v>19</v>
      </c>
      <c r="C9" s="123">
        <v>370376</v>
      </c>
      <c r="D9" s="124" t="s">
        <v>82</v>
      </c>
      <c r="E9" s="125" t="s">
        <v>83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표점증발병합_및_복사영역선택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8</xdr:col>
                    <xdr:colOff>6350</xdr:colOff>
                    <xdr:row>6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BFFD9-ECD1-4F20-92E4-14F247EF20FA}">
  <sheetPr codeName="Sheet2"/>
  <dimension ref="A3:F57"/>
  <sheetViews>
    <sheetView workbookViewId="0">
      <selection activeCell="C4" sqref="C4:D57"/>
    </sheetView>
  </sheetViews>
  <sheetFormatPr defaultRowHeight="17"/>
  <cols>
    <col min="2" max="2" width="12.58203125" customWidth="1"/>
    <col min="3" max="3" width="17.58203125" customWidth="1"/>
    <col min="4" max="4" width="18.08203125" customWidth="1"/>
    <col min="5" max="6" width="12.58203125" customWidth="1"/>
  </cols>
  <sheetData>
    <row r="3" spans="1:6" ht="17.5" thickBot="1">
      <c r="C3" s="105" t="s">
        <v>32</v>
      </c>
      <c r="D3" s="105"/>
      <c r="E3" s="1"/>
      <c r="F3" s="1"/>
    </row>
    <row r="4" spans="1:6" ht="17.5" thickTop="1">
      <c r="A4" t="s">
        <v>20</v>
      </c>
      <c r="B4" s="1" t="s">
        <v>9</v>
      </c>
      <c r="C4" s="118">
        <v>135</v>
      </c>
      <c r="D4" s="126">
        <v>19002</v>
      </c>
      <c r="E4" s="1"/>
      <c r="F4" s="1"/>
    </row>
    <row r="5" spans="1:6">
      <c r="B5" s="1" t="s">
        <v>10</v>
      </c>
      <c r="C5" s="121">
        <v>127</v>
      </c>
      <c r="D5" s="127">
        <v>24162</v>
      </c>
      <c r="E5" s="1"/>
      <c r="F5" s="1"/>
    </row>
    <row r="6" spans="1:6">
      <c r="B6" s="1" t="s">
        <v>11</v>
      </c>
      <c r="C6" s="121">
        <v>116</v>
      </c>
      <c r="D6" s="127">
        <v>48669</v>
      </c>
      <c r="E6" s="1"/>
      <c r="F6" s="1"/>
    </row>
    <row r="7" spans="1:6">
      <c r="B7" s="1" t="s">
        <v>12</v>
      </c>
      <c r="C7" s="121">
        <v>105</v>
      </c>
      <c r="D7" s="127">
        <v>62268</v>
      </c>
      <c r="E7" s="1"/>
      <c r="F7" s="1"/>
    </row>
    <row r="8" spans="1:6">
      <c r="B8" s="1" t="s">
        <v>13</v>
      </c>
      <c r="C8" s="121">
        <v>93</v>
      </c>
      <c r="D8" s="127">
        <v>77534</v>
      </c>
      <c r="E8" s="1"/>
      <c r="F8" s="1"/>
    </row>
    <row r="9" spans="1:6">
      <c r="B9" s="1" t="s">
        <v>14</v>
      </c>
      <c r="C9" s="121">
        <v>82</v>
      </c>
      <c r="D9" s="127">
        <v>62730</v>
      </c>
      <c r="E9" s="1"/>
      <c r="F9" s="1"/>
    </row>
    <row r="10" spans="1:6">
      <c r="B10" s="1" t="s">
        <v>15</v>
      </c>
      <c r="C10" s="121">
        <v>74</v>
      </c>
      <c r="D10" s="127">
        <v>44569</v>
      </c>
      <c r="E10" s="1"/>
      <c r="F10" s="1"/>
    </row>
    <row r="11" spans="1:6">
      <c r="B11" s="1" t="s">
        <v>16</v>
      </c>
      <c r="C11" s="121">
        <v>70</v>
      </c>
      <c r="D11" s="127">
        <v>25080</v>
      </c>
      <c r="E11" s="1"/>
      <c r="F11" s="1"/>
    </row>
    <row r="12" spans="1:6" ht="17.5" thickBot="1">
      <c r="B12" s="1" t="s">
        <v>23</v>
      </c>
      <c r="C12" s="124">
        <v>53</v>
      </c>
      <c r="D12" s="128">
        <v>13782</v>
      </c>
    </row>
    <row r="13" spans="1:6">
      <c r="A13" t="s">
        <v>21</v>
      </c>
      <c r="B13" s="1" t="s">
        <v>24</v>
      </c>
      <c r="C13" s="129">
        <v>135</v>
      </c>
      <c r="D13" s="130">
        <v>20388</v>
      </c>
    </row>
    <row r="14" spans="1:6">
      <c r="B14" s="1" t="s">
        <v>25</v>
      </c>
      <c r="C14" s="121">
        <v>128</v>
      </c>
      <c r="D14" s="127">
        <v>22775</v>
      </c>
    </row>
    <row r="15" spans="1:6">
      <c r="B15" s="1" t="s">
        <v>26</v>
      </c>
      <c r="C15" s="121">
        <v>118</v>
      </c>
      <c r="D15" s="127">
        <v>43798</v>
      </c>
    </row>
    <row r="16" spans="1:6">
      <c r="B16" s="1" t="s">
        <v>27</v>
      </c>
      <c r="C16" s="121">
        <v>105</v>
      </c>
      <c r="D16" s="127">
        <v>70049</v>
      </c>
    </row>
    <row r="17" spans="1:4">
      <c r="B17" s="1" t="s">
        <v>28</v>
      </c>
      <c r="C17" s="121">
        <v>92</v>
      </c>
      <c r="D17" s="127">
        <v>71248</v>
      </c>
    </row>
    <row r="18" spans="1:4">
      <c r="B18" s="1" t="s">
        <v>29</v>
      </c>
      <c r="C18" s="121">
        <v>82</v>
      </c>
      <c r="D18" s="127">
        <v>61976</v>
      </c>
    </row>
    <row r="19" spans="1:4">
      <c r="B19" s="1" t="s">
        <v>30</v>
      </c>
      <c r="C19" s="121">
        <v>76</v>
      </c>
      <c r="D19" s="127">
        <v>46067</v>
      </c>
    </row>
    <row r="20" spans="1:4">
      <c r="B20" s="1" t="s">
        <v>31</v>
      </c>
      <c r="C20" s="121">
        <v>72</v>
      </c>
      <c r="D20" s="127">
        <v>26925</v>
      </c>
    </row>
    <row r="21" spans="1:4" ht="17.5" thickBot="1">
      <c r="B21" s="1" t="s">
        <v>22</v>
      </c>
      <c r="C21" s="124">
        <v>61</v>
      </c>
      <c r="D21" s="128">
        <v>13439</v>
      </c>
    </row>
    <row r="22" spans="1:4">
      <c r="A22" t="s">
        <v>33</v>
      </c>
      <c r="B22" s="1" t="s">
        <v>9</v>
      </c>
      <c r="C22" s="129">
        <v>90</v>
      </c>
      <c r="D22" s="130">
        <v>24940</v>
      </c>
    </row>
    <row r="23" spans="1:4">
      <c r="B23" s="1" t="s">
        <v>10</v>
      </c>
      <c r="C23" s="121">
        <v>80</v>
      </c>
      <c r="D23" s="127">
        <v>37686</v>
      </c>
    </row>
    <row r="24" spans="1:4">
      <c r="B24" s="1" t="s">
        <v>11</v>
      </c>
      <c r="C24" s="121">
        <v>70</v>
      </c>
      <c r="D24" s="127">
        <v>56238</v>
      </c>
    </row>
    <row r="25" spans="1:4">
      <c r="B25" s="1" t="s">
        <v>12</v>
      </c>
      <c r="C25" s="121">
        <v>60</v>
      </c>
      <c r="D25" s="127">
        <v>59695</v>
      </c>
    </row>
    <row r="26" spans="1:4">
      <c r="B26" s="1" t="s">
        <v>13</v>
      </c>
      <c r="C26" s="121">
        <v>50</v>
      </c>
      <c r="D26" s="127">
        <v>52314</v>
      </c>
    </row>
    <row r="27" spans="1:4">
      <c r="B27" s="1" t="s">
        <v>14</v>
      </c>
      <c r="C27" s="121">
        <v>40</v>
      </c>
      <c r="D27" s="127">
        <v>46670</v>
      </c>
    </row>
    <row r="28" spans="1:4">
      <c r="B28" s="1" t="s">
        <v>15</v>
      </c>
      <c r="C28" s="121">
        <v>30</v>
      </c>
      <c r="D28" s="127">
        <v>43875</v>
      </c>
    </row>
    <row r="29" spans="1:4">
      <c r="B29" s="1" t="s">
        <v>16</v>
      </c>
      <c r="C29" s="121">
        <v>20</v>
      </c>
      <c r="D29" s="127">
        <v>40956</v>
      </c>
    </row>
    <row r="30" spans="1:4" ht="17.5" thickBot="1">
      <c r="B30" s="1" t="s">
        <v>23</v>
      </c>
      <c r="C30" s="124">
        <v>0</v>
      </c>
      <c r="D30" s="128">
        <v>12157</v>
      </c>
    </row>
    <row r="31" spans="1:4">
      <c r="A31" t="s">
        <v>34</v>
      </c>
      <c r="B31" s="1" t="s">
        <v>9</v>
      </c>
      <c r="C31" s="129">
        <v>40</v>
      </c>
      <c r="D31" s="130">
        <v>104025</v>
      </c>
    </row>
    <row r="32" spans="1:4">
      <c r="B32" s="1" t="s">
        <v>25</v>
      </c>
      <c r="C32" s="121">
        <v>35</v>
      </c>
      <c r="D32" s="127">
        <v>49707</v>
      </c>
    </row>
    <row r="33" spans="1:4">
      <c r="B33" s="1" t="s">
        <v>26</v>
      </c>
      <c r="C33" s="121">
        <v>30</v>
      </c>
      <c r="D33" s="127">
        <v>46922</v>
      </c>
    </row>
    <row r="34" spans="1:4">
      <c r="B34" s="1" t="s">
        <v>27</v>
      </c>
      <c r="C34" s="121">
        <v>25</v>
      </c>
      <c r="D34" s="127">
        <v>41819</v>
      </c>
    </row>
    <row r="35" spans="1:4">
      <c r="B35" s="1" t="s">
        <v>28</v>
      </c>
      <c r="C35" s="121">
        <v>20</v>
      </c>
      <c r="D35" s="127">
        <v>37115</v>
      </c>
    </row>
    <row r="36" spans="1:4">
      <c r="B36" s="1" t="s">
        <v>29</v>
      </c>
      <c r="C36" s="121">
        <v>15</v>
      </c>
      <c r="D36" s="127">
        <v>34718</v>
      </c>
    </row>
    <row r="37" spans="1:4">
      <c r="B37" s="1" t="s">
        <v>30</v>
      </c>
      <c r="C37" s="121">
        <v>10</v>
      </c>
      <c r="D37" s="127">
        <v>41245</v>
      </c>
    </row>
    <row r="38" spans="1:4">
      <c r="B38" s="1" t="s">
        <v>31</v>
      </c>
      <c r="C38" s="121">
        <v>5</v>
      </c>
      <c r="D38" s="127">
        <v>12993</v>
      </c>
    </row>
    <row r="39" spans="1:4" ht="17.5" thickBot="1">
      <c r="B39" s="1" t="s">
        <v>22</v>
      </c>
      <c r="C39" s="124">
        <v>0</v>
      </c>
      <c r="D39" s="128">
        <v>2571</v>
      </c>
    </row>
    <row r="40" spans="1:4">
      <c r="A40" t="s">
        <v>35</v>
      </c>
      <c r="B40" s="1" t="s">
        <v>9</v>
      </c>
      <c r="C40" s="129">
        <v>40</v>
      </c>
      <c r="D40" s="130">
        <v>152392</v>
      </c>
    </row>
    <row r="41" spans="1:4">
      <c r="B41" s="1" t="s">
        <v>10</v>
      </c>
      <c r="C41" s="121">
        <v>35</v>
      </c>
      <c r="D41" s="127">
        <v>81584</v>
      </c>
    </row>
    <row r="42" spans="1:4">
      <c r="B42" s="1" t="s">
        <v>11</v>
      </c>
      <c r="C42" s="121">
        <v>30</v>
      </c>
      <c r="D42" s="127">
        <v>46677</v>
      </c>
    </row>
    <row r="43" spans="1:4">
      <c r="B43" s="1" t="s">
        <v>12</v>
      </c>
      <c r="C43" s="121">
        <v>25</v>
      </c>
      <c r="D43" s="127">
        <v>24844</v>
      </c>
    </row>
    <row r="44" spans="1:4">
      <c r="B44" s="1" t="s">
        <v>13</v>
      </c>
      <c r="C44" s="121">
        <v>20</v>
      </c>
      <c r="D44" s="127">
        <v>14545</v>
      </c>
    </row>
    <row r="45" spans="1:4">
      <c r="B45" s="1" t="s">
        <v>14</v>
      </c>
      <c r="C45" s="121">
        <v>15</v>
      </c>
      <c r="D45" s="127">
        <v>12008</v>
      </c>
    </row>
    <row r="46" spans="1:4">
      <c r="B46" s="1" t="s">
        <v>15</v>
      </c>
      <c r="C46" s="121">
        <v>10</v>
      </c>
      <c r="D46" s="127">
        <v>20616</v>
      </c>
    </row>
    <row r="47" spans="1:4">
      <c r="B47" s="1" t="s">
        <v>16</v>
      </c>
      <c r="C47" s="121">
        <v>5</v>
      </c>
      <c r="D47" s="127">
        <v>16217</v>
      </c>
    </row>
    <row r="48" spans="1:4" ht="17.5" thickBot="1">
      <c r="B48" s="1" t="s">
        <v>23</v>
      </c>
      <c r="C48" s="124">
        <v>0</v>
      </c>
      <c r="D48" s="128">
        <v>1973</v>
      </c>
    </row>
    <row r="49" spans="1:4">
      <c r="A49" t="s">
        <v>36</v>
      </c>
      <c r="B49" s="1" t="s">
        <v>9</v>
      </c>
      <c r="C49" s="129">
        <v>40</v>
      </c>
      <c r="D49" s="130">
        <v>42113</v>
      </c>
    </row>
    <row r="50" spans="1:4">
      <c r="B50" s="1" t="s">
        <v>25</v>
      </c>
      <c r="C50" s="121">
        <v>35</v>
      </c>
      <c r="D50" s="127">
        <v>31493</v>
      </c>
    </row>
    <row r="51" spans="1:4">
      <c r="B51" s="1" t="s">
        <v>26</v>
      </c>
      <c r="C51" s="121">
        <v>30</v>
      </c>
      <c r="D51" s="127">
        <v>40716</v>
      </c>
    </row>
    <row r="52" spans="1:4">
      <c r="B52" s="1" t="s">
        <v>27</v>
      </c>
      <c r="C52" s="121">
        <v>25</v>
      </c>
      <c r="D52" s="127">
        <v>49194</v>
      </c>
    </row>
    <row r="53" spans="1:4">
      <c r="B53" s="1" t="s">
        <v>28</v>
      </c>
      <c r="C53" s="121">
        <v>20</v>
      </c>
      <c r="D53" s="127">
        <v>53489</v>
      </c>
    </row>
    <row r="54" spans="1:4">
      <c r="B54" s="1" t="s">
        <v>29</v>
      </c>
      <c r="C54" s="121">
        <v>15</v>
      </c>
      <c r="D54" s="127">
        <v>51713</v>
      </c>
    </row>
    <row r="55" spans="1:4">
      <c r="B55" s="1" t="s">
        <v>30</v>
      </c>
      <c r="C55" s="121">
        <v>10</v>
      </c>
      <c r="D55" s="127">
        <v>72623</v>
      </c>
    </row>
    <row r="56" spans="1:4">
      <c r="B56" s="1" t="s">
        <v>31</v>
      </c>
      <c r="C56" s="121">
        <v>5</v>
      </c>
      <c r="D56" s="127">
        <v>24472</v>
      </c>
    </row>
    <row r="57" spans="1:4" ht="17.5" thickBot="1">
      <c r="B57" s="1" t="s">
        <v>22</v>
      </c>
      <c r="C57" s="124">
        <v>0</v>
      </c>
      <c r="D57" s="128">
        <v>4563</v>
      </c>
    </row>
  </sheetData>
  <mergeCells count="1">
    <mergeCell ref="C3:D3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3C3CE-17EB-47DF-B598-C7487F2B56E7}">
  <sheetPr codeName="Sheet3"/>
  <dimension ref="A1:P102"/>
  <sheetViews>
    <sheetView workbookViewId="0">
      <selection activeCell="A5" sqref="A5:I100"/>
    </sheetView>
  </sheetViews>
  <sheetFormatPr defaultRowHeight="17"/>
  <sheetData>
    <row r="1" spans="1:16">
      <c r="A1" s="10"/>
    </row>
    <row r="2" spans="1:16" ht="17.5" thickBot="1"/>
    <row r="3" spans="1:16">
      <c r="A3" s="38" t="s">
        <v>8</v>
      </c>
      <c r="B3" s="39"/>
      <c r="C3" s="39"/>
      <c r="D3" s="40"/>
      <c r="F3" s="38" t="s">
        <v>17</v>
      </c>
      <c r="G3" s="39"/>
      <c r="H3" s="39"/>
      <c r="I3" s="40"/>
    </row>
    <row r="4" spans="1:16" ht="17.5" thickBot="1">
      <c r="A4" s="3" t="s">
        <v>6</v>
      </c>
      <c r="B4" s="1"/>
      <c r="C4" s="1"/>
      <c r="D4" s="4" t="s">
        <v>7</v>
      </c>
      <c r="E4" s="11"/>
      <c r="F4" s="1" t="s">
        <v>6</v>
      </c>
      <c r="G4" s="1"/>
      <c r="H4" s="1"/>
      <c r="I4" s="4" t="s">
        <v>7</v>
      </c>
      <c r="L4" s="1"/>
      <c r="M4" s="1"/>
      <c r="O4" s="1"/>
      <c r="P4" s="1"/>
    </row>
    <row r="5" spans="1:16" ht="17.5" thickTop="1">
      <c r="A5" s="131">
        <v>150</v>
      </c>
      <c r="B5" s="126">
        <v>156</v>
      </c>
      <c r="C5" s="126">
        <v>150</v>
      </c>
      <c r="D5" s="126">
        <v>316</v>
      </c>
      <c r="E5" s="132">
        <v>316</v>
      </c>
      <c r="F5" s="133">
        <v>154</v>
      </c>
      <c r="G5" s="134">
        <v>558</v>
      </c>
      <c r="H5" s="134">
        <v>168</v>
      </c>
      <c r="I5" s="134">
        <v>743</v>
      </c>
      <c r="J5" s="12"/>
      <c r="L5" s="1"/>
      <c r="M5" s="1"/>
      <c r="O5" s="1"/>
      <c r="P5" s="1"/>
    </row>
    <row r="6" spans="1:16">
      <c r="A6" s="135">
        <v>148</v>
      </c>
      <c r="B6" s="127">
        <v>229</v>
      </c>
      <c r="C6" s="127">
        <v>250</v>
      </c>
      <c r="D6" s="127">
        <v>494</v>
      </c>
      <c r="E6" s="136">
        <v>810</v>
      </c>
      <c r="F6" s="137">
        <v>152</v>
      </c>
      <c r="G6" s="138">
        <v>1</v>
      </c>
      <c r="H6" s="138">
        <v>1</v>
      </c>
      <c r="I6" s="138">
        <v>2</v>
      </c>
      <c r="J6" s="12"/>
      <c r="L6" s="1"/>
      <c r="M6" s="1"/>
      <c r="O6" s="1"/>
      <c r="P6" s="1"/>
    </row>
    <row r="7" spans="1:16">
      <c r="A7" s="135">
        <v>147</v>
      </c>
      <c r="B7" s="127">
        <v>120</v>
      </c>
      <c r="C7" s="127">
        <v>163</v>
      </c>
      <c r="D7" s="127">
        <v>289</v>
      </c>
      <c r="E7" s="136">
        <v>1099</v>
      </c>
      <c r="F7" s="137">
        <v>151</v>
      </c>
      <c r="G7" s="138">
        <v>69</v>
      </c>
      <c r="H7" s="138">
        <v>20</v>
      </c>
      <c r="I7" s="138">
        <v>91</v>
      </c>
      <c r="J7" s="12"/>
      <c r="L7" s="1"/>
      <c r="M7" s="1"/>
      <c r="O7" s="1"/>
      <c r="P7" s="1"/>
    </row>
    <row r="8" spans="1:16">
      <c r="A8" s="135">
        <v>146</v>
      </c>
      <c r="B8" s="127">
        <v>277</v>
      </c>
      <c r="C8" s="127">
        <v>325</v>
      </c>
      <c r="D8" s="127">
        <v>615</v>
      </c>
      <c r="E8" s="136">
        <v>1714</v>
      </c>
      <c r="F8" s="137">
        <v>150</v>
      </c>
      <c r="G8" s="138">
        <v>728</v>
      </c>
      <c r="H8" s="138">
        <v>344</v>
      </c>
      <c r="I8" s="138">
        <v>1105</v>
      </c>
      <c r="J8" s="12"/>
      <c r="L8" s="1"/>
      <c r="M8" s="1"/>
      <c r="O8" s="1"/>
      <c r="P8" s="1"/>
    </row>
    <row r="9" spans="1:16">
      <c r="A9" s="135">
        <v>145</v>
      </c>
      <c r="B9" s="127">
        <v>338</v>
      </c>
      <c r="C9" s="127">
        <v>412</v>
      </c>
      <c r="D9" s="127">
        <v>765</v>
      </c>
      <c r="E9" s="136">
        <v>2479</v>
      </c>
      <c r="F9" s="137">
        <v>148</v>
      </c>
      <c r="G9" s="138">
        <v>2</v>
      </c>
      <c r="H9" s="138">
        <v>1</v>
      </c>
      <c r="I9" s="138">
        <v>3</v>
      </c>
      <c r="J9" s="12"/>
      <c r="L9" s="1"/>
      <c r="M9" s="1"/>
      <c r="O9" s="1"/>
      <c r="P9" s="1"/>
    </row>
    <row r="10" spans="1:16">
      <c r="A10" s="135">
        <v>144</v>
      </c>
      <c r="B10" s="127">
        <v>286</v>
      </c>
      <c r="C10" s="127">
        <v>335</v>
      </c>
      <c r="D10" s="127">
        <v>638</v>
      </c>
      <c r="E10" s="136">
        <v>3117</v>
      </c>
      <c r="F10" s="137">
        <v>147</v>
      </c>
      <c r="G10" s="138">
        <v>145</v>
      </c>
      <c r="H10" s="138">
        <v>55</v>
      </c>
      <c r="I10" s="138">
        <v>204</v>
      </c>
      <c r="J10" s="12"/>
      <c r="L10" s="1"/>
      <c r="M10" s="1"/>
      <c r="O10" s="1"/>
      <c r="P10" s="1"/>
    </row>
    <row r="11" spans="1:16">
      <c r="A11" s="135">
        <v>143</v>
      </c>
      <c r="B11" s="127">
        <v>432</v>
      </c>
      <c r="C11" s="127">
        <v>572</v>
      </c>
      <c r="D11" s="127">
        <v>1033</v>
      </c>
      <c r="E11" s="136">
        <v>4150</v>
      </c>
      <c r="F11" s="137">
        <v>146</v>
      </c>
      <c r="G11" s="138">
        <v>1265</v>
      </c>
      <c r="H11" s="138">
        <v>619</v>
      </c>
      <c r="I11" s="138">
        <v>1925</v>
      </c>
      <c r="J11" s="12"/>
      <c r="L11" s="1"/>
      <c r="M11" s="1"/>
      <c r="O11" s="1"/>
      <c r="P11" s="1"/>
    </row>
    <row r="12" spans="1:16">
      <c r="A12" s="135">
        <v>142</v>
      </c>
      <c r="B12" s="127">
        <v>369</v>
      </c>
      <c r="C12" s="127">
        <v>483</v>
      </c>
      <c r="D12" s="127">
        <v>885</v>
      </c>
      <c r="E12" s="136">
        <v>5035</v>
      </c>
      <c r="F12" s="137">
        <v>145</v>
      </c>
      <c r="G12" s="138">
        <v>4</v>
      </c>
      <c r="H12" s="138">
        <v>0</v>
      </c>
      <c r="I12" s="138">
        <v>4</v>
      </c>
      <c r="J12" s="12"/>
      <c r="L12" s="1"/>
      <c r="M12" s="1"/>
      <c r="O12" s="1"/>
      <c r="P12" s="1"/>
    </row>
    <row r="13" spans="1:16">
      <c r="A13" s="135">
        <v>141</v>
      </c>
      <c r="B13" s="127">
        <v>543</v>
      </c>
      <c r="C13" s="127">
        <v>731</v>
      </c>
      <c r="D13" s="127">
        <v>1304</v>
      </c>
      <c r="E13" s="136">
        <v>6339</v>
      </c>
      <c r="F13" s="137">
        <v>144</v>
      </c>
      <c r="G13" s="138">
        <v>29</v>
      </c>
      <c r="H13" s="138">
        <v>7</v>
      </c>
      <c r="I13" s="138">
        <v>37</v>
      </c>
      <c r="J13" s="12"/>
      <c r="L13" s="1"/>
      <c r="M13" s="1"/>
      <c r="O13" s="1"/>
      <c r="P13" s="1"/>
    </row>
    <row r="14" spans="1:16">
      <c r="A14" s="135">
        <v>140</v>
      </c>
      <c r="B14" s="127">
        <v>563</v>
      </c>
      <c r="C14" s="127">
        <v>773</v>
      </c>
      <c r="D14" s="127">
        <v>1379</v>
      </c>
      <c r="E14" s="136">
        <v>7718</v>
      </c>
      <c r="F14" s="137">
        <v>143</v>
      </c>
      <c r="G14" s="138">
        <v>268</v>
      </c>
      <c r="H14" s="138">
        <v>122</v>
      </c>
      <c r="I14" s="138">
        <v>405</v>
      </c>
      <c r="J14" s="12"/>
      <c r="L14" s="1"/>
      <c r="M14" s="1"/>
      <c r="O14" s="1"/>
      <c r="P14" s="1"/>
    </row>
    <row r="15" spans="1:16">
      <c r="A15" s="135">
        <v>139</v>
      </c>
      <c r="B15" s="127">
        <v>655</v>
      </c>
      <c r="C15" s="127">
        <v>834</v>
      </c>
      <c r="D15" s="127">
        <v>1523</v>
      </c>
      <c r="E15" s="136">
        <v>9241</v>
      </c>
      <c r="F15" s="137">
        <v>142</v>
      </c>
      <c r="G15" s="138">
        <v>1710</v>
      </c>
      <c r="H15" s="138">
        <v>1051</v>
      </c>
      <c r="I15" s="138">
        <v>2833</v>
      </c>
      <c r="J15" s="12"/>
      <c r="L15" s="1"/>
      <c r="M15" s="1"/>
      <c r="O15" s="1"/>
      <c r="P15" s="1"/>
    </row>
    <row r="16" spans="1:16">
      <c r="A16" s="135">
        <v>138</v>
      </c>
      <c r="B16" s="127">
        <v>732</v>
      </c>
      <c r="C16" s="127">
        <v>930</v>
      </c>
      <c r="D16" s="127">
        <v>1704</v>
      </c>
      <c r="E16" s="136">
        <v>10945</v>
      </c>
      <c r="F16" s="137">
        <v>141</v>
      </c>
      <c r="G16" s="138">
        <v>72</v>
      </c>
      <c r="H16" s="138">
        <v>25</v>
      </c>
      <c r="I16" s="138">
        <v>100</v>
      </c>
      <c r="J16" s="12"/>
      <c r="L16" s="1"/>
      <c r="M16" s="1"/>
      <c r="O16" s="1"/>
      <c r="P16" s="1"/>
    </row>
    <row r="17" spans="1:16">
      <c r="A17" s="135">
        <v>137</v>
      </c>
      <c r="B17" s="127">
        <v>688</v>
      </c>
      <c r="C17" s="127">
        <v>926</v>
      </c>
      <c r="D17" s="127">
        <v>1660</v>
      </c>
      <c r="E17" s="136">
        <v>12605</v>
      </c>
      <c r="F17" s="137">
        <v>140</v>
      </c>
      <c r="G17" s="138">
        <v>617</v>
      </c>
      <c r="H17" s="138">
        <v>342</v>
      </c>
      <c r="I17" s="138">
        <v>986</v>
      </c>
      <c r="J17" s="12"/>
      <c r="L17" s="1"/>
      <c r="M17" s="1"/>
      <c r="O17" s="1"/>
      <c r="P17" s="1"/>
    </row>
    <row r="18" spans="1:16">
      <c r="A18" s="135">
        <v>136</v>
      </c>
      <c r="B18" s="127">
        <v>846</v>
      </c>
      <c r="C18" s="127">
        <v>1084</v>
      </c>
      <c r="D18" s="127">
        <v>1979</v>
      </c>
      <c r="E18" s="136">
        <v>14584</v>
      </c>
      <c r="F18" s="137">
        <v>139</v>
      </c>
      <c r="G18" s="138">
        <v>2570</v>
      </c>
      <c r="H18" s="138">
        <v>1560</v>
      </c>
      <c r="I18" s="138">
        <v>4228</v>
      </c>
      <c r="J18" s="12"/>
      <c r="L18" s="1"/>
      <c r="M18" s="1"/>
      <c r="O18" s="1"/>
      <c r="P18" s="1"/>
    </row>
    <row r="19" spans="1:16">
      <c r="A19" s="135">
        <v>135</v>
      </c>
      <c r="B19" s="127">
        <v>1843</v>
      </c>
      <c r="C19" s="127">
        <v>2456</v>
      </c>
      <c r="D19" s="127">
        <v>4418</v>
      </c>
      <c r="E19" s="136">
        <v>19002</v>
      </c>
      <c r="F19" s="137">
        <v>138</v>
      </c>
      <c r="G19" s="138">
        <v>15</v>
      </c>
      <c r="H19" s="138">
        <v>4</v>
      </c>
      <c r="I19" s="138">
        <v>19</v>
      </c>
      <c r="J19" s="12"/>
      <c r="L19" s="1"/>
      <c r="M19" s="1"/>
      <c r="O19" s="1"/>
      <c r="P19" s="1"/>
    </row>
    <row r="20" spans="1:16">
      <c r="A20" s="135">
        <v>134</v>
      </c>
      <c r="B20" s="127">
        <v>999</v>
      </c>
      <c r="C20" s="127">
        <v>1410</v>
      </c>
      <c r="D20" s="127">
        <v>2472</v>
      </c>
      <c r="E20" s="136">
        <v>21474</v>
      </c>
      <c r="F20" s="137">
        <v>137</v>
      </c>
      <c r="G20" s="138">
        <v>128</v>
      </c>
      <c r="H20" s="138">
        <v>61</v>
      </c>
      <c r="I20" s="138">
        <v>193</v>
      </c>
      <c r="J20" s="12"/>
      <c r="L20" s="1"/>
      <c r="M20" s="1"/>
      <c r="O20" s="1"/>
      <c r="P20" s="1"/>
    </row>
    <row r="21" spans="1:16">
      <c r="A21" s="135">
        <v>133</v>
      </c>
      <c r="B21" s="127">
        <v>1091</v>
      </c>
      <c r="C21" s="127">
        <v>1479</v>
      </c>
      <c r="D21" s="127">
        <v>2632</v>
      </c>
      <c r="E21" s="136">
        <v>24106</v>
      </c>
      <c r="F21" s="137">
        <v>136</v>
      </c>
      <c r="G21" s="138">
        <v>1069</v>
      </c>
      <c r="H21" s="138">
        <v>596</v>
      </c>
      <c r="I21" s="138">
        <v>1711</v>
      </c>
      <c r="J21" s="12"/>
      <c r="L21" s="1"/>
      <c r="M21" s="1"/>
      <c r="O21" s="1"/>
      <c r="P21" s="1"/>
    </row>
    <row r="22" spans="1:16">
      <c r="A22" s="135">
        <v>132</v>
      </c>
      <c r="B22" s="127">
        <v>1178</v>
      </c>
      <c r="C22" s="127">
        <v>1617</v>
      </c>
      <c r="D22" s="127">
        <v>2850</v>
      </c>
      <c r="E22" s="136">
        <v>26956</v>
      </c>
      <c r="F22" s="137">
        <v>135</v>
      </c>
      <c r="G22" s="138">
        <v>3370</v>
      </c>
      <c r="H22" s="138">
        <v>2269</v>
      </c>
      <c r="I22" s="138">
        <v>5799</v>
      </c>
      <c r="J22" s="12"/>
      <c r="L22" s="1"/>
      <c r="M22" s="1"/>
      <c r="O22" s="1"/>
      <c r="P22" s="1"/>
    </row>
    <row r="23" spans="1:16">
      <c r="A23" s="135">
        <v>131</v>
      </c>
      <c r="B23" s="127">
        <v>1210</v>
      </c>
      <c r="C23" s="127">
        <v>1649</v>
      </c>
      <c r="D23" s="127">
        <v>2927</v>
      </c>
      <c r="E23" s="136">
        <v>29883</v>
      </c>
      <c r="F23" s="137">
        <v>134</v>
      </c>
      <c r="G23" s="138">
        <v>24</v>
      </c>
      <c r="H23" s="138">
        <v>10</v>
      </c>
      <c r="I23" s="138">
        <v>34</v>
      </c>
      <c r="J23" s="12"/>
      <c r="L23" s="1"/>
      <c r="M23" s="1"/>
      <c r="O23" s="1"/>
      <c r="P23" s="1"/>
    </row>
    <row r="24" spans="1:16">
      <c r="A24" s="135">
        <v>130</v>
      </c>
      <c r="B24" s="127">
        <v>1342</v>
      </c>
      <c r="C24" s="127">
        <v>1719</v>
      </c>
      <c r="D24" s="127">
        <v>3161</v>
      </c>
      <c r="E24" s="136">
        <v>33044</v>
      </c>
      <c r="F24" s="137">
        <v>133</v>
      </c>
      <c r="G24" s="138">
        <v>270</v>
      </c>
      <c r="H24" s="138">
        <v>144</v>
      </c>
      <c r="I24" s="138">
        <v>425</v>
      </c>
      <c r="J24" s="12"/>
      <c r="L24" s="1"/>
      <c r="M24" s="1"/>
      <c r="O24" s="1"/>
      <c r="P24" s="1"/>
    </row>
    <row r="25" spans="1:16">
      <c r="A25" s="135">
        <v>129</v>
      </c>
      <c r="B25" s="127">
        <v>1314</v>
      </c>
      <c r="C25" s="127">
        <v>1778</v>
      </c>
      <c r="D25" s="127">
        <v>3189</v>
      </c>
      <c r="E25" s="136">
        <v>36233</v>
      </c>
      <c r="F25" s="137">
        <v>132</v>
      </c>
      <c r="G25" s="138">
        <v>1634</v>
      </c>
      <c r="H25" s="138">
        <v>1086</v>
      </c>
      <c r="I25" s="138">
        <v>2801</v>
      </c>
      <c r="J25" s="12"/>
      <c r="L25" s="1"/>
      <c r="M25" s="1"/>
      <c r="O25" s="1"/>
      <c r="P25" s="1"/>
    </row>
    <row r="26" spans="1:16">
      <c r="A26" s="135">
        <v>128</v>
      </c>
      <c r="B26" s="127">
        <v>1429</v>
      </c>
      <c r="C26" s="127">
        <v>1846</v>
      </c>
      <c r="D26" s="127">
        <v>3370</v>
      </c>
      <c r="E26" s="136">
        <v>39603</v>
      </c>
      <c r="F26" s="137">
        <v>131</v>
      </c>
      <c r="G26" s="138">
        <v>3947</v>
      </c>
      <c r="H26" s="138">
        <v>2991</v>
      </c>
      <c r="I26" s="138">
        <v>7106</v>
      </c>
      <c r="J26" s="12"/>
      <c r="L26" s="1"/>
      <c r="M26" s="1"/>
      <c r="O26" s="1"/>
      <c r="P26" s="1"/>
    </row>
    <row r="27" spans="1:16">
      <c r="A27" s="135">
        <v>127</v>
      </c>
      <c r="B27" s="127">
        <v>1455</v>
      </c>
      <c r="C27" s="127">
        <v>2011</v>
      </c>
      <c r="D27" s="127">
        <v>3561</v>
      </c>
      <c r="E27" s="136">
        <v>43164</v>
      </c>
      <c r="F27" s="137">
        <v>130</v>
      </c>
      <c r="G27" s="138">
        <v>527</v>
      </c>
      <c r="H27" s="138">
        <v>301</v>
      </c>
      <c r="I27" s="138">
        <v>859</v>
      </c>
      <c r="J27" s="12"/>
      <c r="L27" s="1"/>
      <c r="M27" s="1"/>
      <c r="O27" s="1"/>
      <c r="P27" s="1"/>
    </row>
    <row r="28" spans="1:16">
      <c r="A28" s="135">
        <v>126</v>
      </c>
      <c r="B28" s="127">
        <v>1536</v>
      </c>
      <c r="C28" s="127">
        <v>1994</v>
      </c>
      <c r="D28" s="127">
        <v>3625</v>
      </c>
      <c r="E28" s="136">
        <v>46789</v>
      </c>
      <c r="F28" s="137">
        <v>129</v>
      </c>
      <c r="G28" s="138">
        <v>2350</v>
      </c>
      <c r="H28" s="138">
        <v>1810</v>
      </c>
      <c r="I28" s="138">
        <v>4276</v>
      </c>
      <c r="J28" s="12"/>
      <c r="L28" s="1"/>
      <c r="M28" s="1"/>
      <c r="O28" s="1"/>
      <c r="P28" s="1"/>
    </row>
    <row r="29" spans="1:16">
      <c r="A29" s="135">
        <v>125</v>
      </c>
      <c r="B29" s="127">
        <v>1567</v>
      </c>
      <c r="C29" s="127">
        <v>2156</v>
      </c>
      <c r="D29" s="127">
        <v>3810</v>
      </c>
      <c r="E29" s="136">
        <v>50599</v>
      </c>
      <c r="F29" s="137">
        <v>128</v>
      </c>
      <c r="G29" s="138">
        <v>3853</v>
      </c>
      <c r="H29" s="138">
        <v>3242</v>
      </c>
      <c r="I29" s="138">
        <v>7274</v>
      </c>
      <c r="J29" s="12"/>
      <c r="L29" s="1"/>
      <c r="M29" s="1"/>
      <c r="O29" s="1"/>
      <c r="P29" s="1"/>
    </row>
    <row r="30" spans="1:16">
      <c r="A30" s="135">
        <v>124</v>
      </c>
      <c r="B30" s="127">
        <v>1630</v>
      </c>
      <c r="C30" s="127">
        <v>2261</v>
      </c>
      <c r="D30" s="127">
        <v>3996</v>
      </c>
      <c r="E30" s="136">
        <v>54595</v>
      </c>
      <c r="F30" s="137">
        <v>127</v>
      </c>
      <c r="G30" s="138">
        <v>129</v>
      </c>
      <c r="H30" s="138">
        <v>85</v>
      </c>
      <c r="I30" s="138">
        <v>223</v>
      </c>
      <c r="J30" s="12"/>
      <c r="L30" s="1"/>
      <c r="M30" s="1"/>
      <c r="O30" s="1"/>
      <c r="P30" s="1"/>
    </row>
    <row r="31" spans="1:16">
      <c r="A31" s="135">
        <v>123</v>
      </c>
      <c r="B31" s="127">
        <v>1834</v>
      </c>
      <c r="C31" s="127">
        <v>2303</v>
      </c>
      <c r="D31" s="127">
        <v>4254</v>
      </c>
      <c r="E31" s="136">
        <v>58849</v>
      </c>
      <c r="F31" s="137">
        <v>126</v>
      </c>
      <c r="G31" s="138">
        <v>897</v>
      </c>
      <c r="H31" s="138">
        <v>685</v>
      </c>
      <c r="I31" s="138">
        <v>1622</v>
      </c>
      <c r="J31" s="12"/>
      <c r="L31" s="1"/>
      <c r="M31" s="1"/>
      <c r="O31" s="1"/>
      <c r="P31" s="1"/>
    </row>
    <row r="32" spans="1:16">
      <c r="A32" s="135">
        <v>122</v>
      </c>
      <c r="B32" s="127">
        <v>1830</v>
      </c>
      <c r="C32" s="127">
        <v>2375</v>
      </c>
      <c r="D32" s="127">
        <v>4334</v>
      </c>
      <c r="E32" s="136">
        <v>63183</v>
      </c>
      <c r="F32" s="137">
        <v>125</v>
      </c>
      <c r="G32" s="138">
        <v>2883</v>
      </c>
      <c r="H32" s="138">
        <v>2610</v>
      </c>
      <c r="I32" s="138">
        <v>5635</v>
      </c>
      <c r="J32" s="12"/>
      <c r="L32" s="1"/>
      <c r="M32" s="1"/>
      <c r="O32" s="1"/>
      <c r="P32" s="1"/>
    </row>
    <row r="33" spans="1:16">
      <c r="A33" s="135">
        <v>121</v>
      </c>
      <c r="B33" s="127">
        <v>1864</v>
      </c>
      <c r="C33" s="127">
        <v>2525</v>
      </c>
      <c r="D33" s="127">
        <v>4517</v>
      </c>
      <c r="E33" s="136">
        <v>67700</v>
      </c>
      <c r="F33" s="137">
        <v>124</v>
      </c>
      <c r="G33" s="138">
        <v>3472</v>
      </c>
      <c r="H33" s="138">
        <v>3238</v>
      </c>
      <c r="I33" s="138">
        <v>6877</v>
      </c>
      <c r="J33" s="12"/>
      <c r="L33" s="1"/>
      <c r="M33" s="1"/>
      <c r="O33" s="1"/>
      <c r="P33" s="1"/>
    </row>
    <row r="34" spans="1:16">
      <c r="A34" s="135">
        <v>120</v>
      </c>
      <c r="B34" s="127">
        <v>1928</v>
      </c>
      <c r="C34" s="127">
        <v>2490</v>
      </c>
      <c r="D34" s="127">
        <v>4559</v>
      </c>
      <c r="E34" s="136">
        <v>72259</v>
      </c>
      <c r="F34" s="137">
        <v>123</v>
      </c>
      <c r="G34" s="138">
        <v>291</v>
      </c>
      <c r="H34" s="138">
        <v>193</v>
      </c>
      <c r="I34" s="138">
        <v>499</v>
      </c>
      <c r="J34" s="12"/>
      <c r="L34" s="1"/>
      <c r="M34" s="1"/>
      <c r="O34" s="1"/>
      <c r="P34" s="1"/>
    </row>
    <row r="35" spans="1:16">
      <c r="A35" s="135">
        <v>119</v>
      </c>
      <c r="B35" s="127">
        <v>1985</v>
      </c>
      <c r="C35" s="127">
        <v>2624</v>
      </c>
      <c r="D35" s="127">
        <v>4723</v>
      </c>
      <c r="E35" s="136">
        <v>76982</v>
      </c>
      <c r="F35" s="137">
        <v>122</v>
      </c>
      <c r="G35" s="138">
        <v>1446</v>
      </c>
      <c r="H35" s="138">
        <v>1231</v>
      </c>
      <c r="I35" s="138">
        <v>2755</v>
      </c>
      <c r="J35" s="12"/>
      <c r="L35" s="1"/>
      <c r="M35" s="1"/>
      <c r="O35" s="1"/>
      <c r="P35" s="1"/>
    </row>
    <row r="36" spans="1:16">
      <c r="A36" s="135">
        <v>118</v>
      </c>
      <c r="B36" s="127">
        <v>2034</v>
      </c>
      <c r="C36" s="127">
        <v>2673</v>
      </c>
      <c r="D36" s="127">
        <v>4816</v>
      </c>
      <c r="E36" s="136">
        <v>81798</v>
      </c>
      <c r="F36" s="137">
        <v>121</v>
      </c>
      <c r="G36" s="138">
        <v>3452</v>
      </c>
      <c r="H36" s="138">
        <v>3453</v>
      </c>
      <c r="I36" s="138">
        <v>7091</v>
      </c>
      <c r="J36" s="12"/>
      <c r="L36" s="1"/>
      <c r="M36" s="1"/>
      <c r="O36" s="1"/>
      <c r="P36" s="1"/>
    </row>
    <row r="37" spans="1:16">
      <c r="A37" s="135">
        <v>117</v>
      </c>
      <c r="B37" s="127">
        <v>2068</v>
      </c>
      <c r="C37" s="127">
        <v>2762</v>
      </c>
      <c r="D37" s="127">
        <v>4960</v>
      </c>
      <c r="E37" s="136">
        <v>86758</v>
      </c>
      <c r="F37" s="137">
        <v>120</v>
      </c>
      <c r="G37" s="138">
        <v>2687</v>
      </c>
      <c r="H37" s="138">
        <v>2890</v>
      </c>
      <c r="I37" s="138">
        <v>5714</v>
      </c>
      <c r="J37" s="12"/>
      <c r="L37" s="1"/>
      <c r="M37" s="1"/>
      <c r="O37" s="1"/>
      <c r="P37" s="1"/>
    </row>
    <row r="38" spans="1:16">
      <c r="A38" s="135">
        <v>116</v>
      </c>
      <c r="B38" s="127">
        <v>2155</v>
      </c>
      <c r="C38" s="127">
        <v>2790</v>
      </c>
      <c r="D38" s="127">
        <v>5075</v>
      </c>
      <c r="E38" s="136">
        <v>91833</v>
      </c>
      <c r="F38" s="137">
        <v>119</v>
      </c>
      <c r="G38" s="138">
        <v>2874</v>
      </c>
      <c r="H38" s="138">
        <v>2716</v>
      </c>
      <c r="I38" s="138">
        <v>5723</v>
      </c>
      <c r="J38" s="12"/>
      <c r="L38" s="1"/>
      <c r="M38" s="1"/>
      <c r="O38" s="1"/>
      <c r="P38" s="1"/>
    </row>
    <row r="39" spans="1:16">
      <c r="A39" s="135">
        <v>115</v>
      </c>
      <c r="B39" s="127">
        <v>2253</v>
      </c>
      <c r="C39" s="127">
        <v>2934</v>
      </c>
      <c r="D39" s="127">
        <v>5298</v>
      </c>
      <c r="E39" s="136">
        <v>97131</v>
      </c>
      <c r="F39" s="137">
        <v>118</v>
      </c>
      <c r="G39" s="138">
        <v>3557</v>
      </c>
      <c r="H39" s="138">
        <v>3911</v>
      </c>
      <c r="I39" s="138">
        <v>7659</v>
      </c>
      <c r="J39" s="12"/>
      <c r="L39" s="1"/>
      <c r="M39" s="1"/>
      <c r="O39" s="1"/>
      <c r="P39" s="1"/>
    </row>
    <row r="40" spans="1:16">
      <c r="A40" s="135">
        <v>114</v>
      </c>
      <c r="B40" s="127">
        <v>2266</v>
      </c>
      <c r="C40" s="127">
        <v>2921</v>
      </c>
      <c r="D40" s="127">
        <v>5312</v>
      </c>
      <c r="E40" s="136">
        <v>102443</v>
      </c>
      <c r="F40" s="137">
        <v>117</v>
      </c>
      <c r="G40" s="138">
        <v>1812</v>
      </c>
      <c r="H40" s="138">
        <v>1912</v>
      </c>
      <c r="I40" s="138">
        <v>3809</v>
      </c>
      <c r="J40" s="12"/>
      <c r="L40" s="1"/>
      <c r="M40" s="1"/>
      <c r="O40" s="1"/>
      <c r="P40" s="1"/>
    </row>
    <row r="41" spans="1:16">
      <c r="A41" s="135">
        <v>113</v>
      </c>
      <c r="B41" s="127">
        <v>2378</v>
      </c>
      <c r="C41" s="127">
        <v>3032</v>
      </c>
      <c r="D41" s="127">
        <v>5543</v>
      </c>
      <c r="E41" s="136">
        <v>107986</v>
      </c>
      <c r="F41" s="137">
        <v>116</v>
      </c>
      <c r="G41" s="138">
        <v>1122</v>
      </c>
      <c r="H41" s="138">
        <v>1114</v>
      </c>
      <c r="I41" s="138">
        <v>2293</v>
      </c>
      <c r="J41" s="12"/>
      <c r="L41" s="1"/>
      <c r="M41" s="1"/>
      <c r="O41" s="1"/>
      <c r="P41" s="1"/>
    </row>
    <row r="42" spans="1:16">
      <c r="A42" s="135">
        <v>112</v>
      </c>
      <c r="B42" s="127">
        <v>2345</v>
      </c>
      <c r="C42" s="127">
        <v>3092</v>
      </c>
      <c r="D42" s="127">
        <v>5603</v>
      </c>
      <c r="E42" s="136">
        <v>113589</v>
      </c>
      <c r="F42" s="137">
        <v>115</v>
      </c>
      <c r="G42" s="138">
        <v>2967</v>
      </c>
      <c r="H42" s="138">
        <v>3221</v>
      </c>
      <c r="I42" s="138">
        <v>6338</v>
      </c>
      <c r="J42" s="12"/>
      <c r="L42" s="1"/>
      <c r="M42" s="1"/>
      <c r="O42" s="1"/>
      <c r="P42" s="1"/>
    </row>
    <row r="43" spans="1:16">
      <c r="A43" s="135">
        <v>111</v>
      </c>
      <c r="B43" s="127">
        <v>2432</v>
      </c>
      <c r="C43" s="127">
        <v>3106</v>
      </c>
      <c r="D43" s="127">
        <v>5700</v>
      </c>
      <c r="E43" s="136">
        <v>119289</v>
      </c>
      <c r="F43" s="137">
        <v>114</v>
      </c>
      <c r="G43" s="138">
        <v>3138</v>
      </c>
      <c r="H43" s="138">
        <v>3589</v>
      </c>
      <c r="I43" s="138">
        <v>6901</v>
      </c>
      <c r="J43" s="12"/>
      <c r="L43" s="1"/>
      <c r="M43" s="1"/>
      <c r="O43" s="1"/>
      <c r="P43" s="1"/>
    </row>
    <row r="44" spans="1:16">
      <c r="A44" s="135">
        <v>110</v>
      </c>
      <c r="B44" s="127">
        <v>2507</v>
      </c>
      <c r="C44" s="127">
        <v>3086</v>
      </c>
      <c r="D44" s="127">
        <v>5750</v>
      </c>
      <c r="E44" s="136">
        <v>125039</v>
      </c>
      <c r="F44" s="137">
        <v>113</v>
      </c>
      <c r="G44" s="138">
        <v>1386</v>
      </c>
      <c r="H44" s="138">
        <v>1455</v>
      </c>
      <c r="I44" s="138">
        <v>2908</v>
      </c>
      <c r="J44" s="12"/>
      <c r="L44" s="1"/>
      <c r="M44" s="1"/>
      <c r="O44" s="1"/>
      <c r="P44" s="1"/>
    </row>
    <row r="45" spans="1:16">
      <c r="A45" s="135">
        <v>109</v>
      </c>
      <c r="B45" s="127">
        <v>2455</v>
      </c>
      <c r="C45" s="127">
        <v>3169</v>
      </c>
      <c r="D45" s="127">
        <v>5771</v>
      </c>
      <c r="E45" s="136">
        <v>130810</v>
      </c>
      <c r="F45" s="137">
        <v>112</v>
      </c>
      <c r="G45" s="138">
        <v>1959</v>
      </c>
      <c r="H45" s="138">
        <v>2199</v>
      </c>
      <c r="I45" s="138">
        <v>4259</v>
      </c>
      <c r="J45" s="12"/>
      <c r="L45" s="1"/>
      <c r="M45" s="1"/>
      <c r="O45" s="1"/>
      <c r="P45" s="1"/>
    </row>
    <row r="46" spans="1:16">
      <c r="A46" s="135">
        <v>108</v>
      </c>
      <c r="B46" s="127">
        <v>2581</v>
      </c>
      <c r="C46" s="127">
        <v>3086</v>
      </c>
      <c r="D46" s="127">
        <v>5794</v>
      </c>
      <c r="E46" s="136">
        <v>136604</v>
      </c>
      <c r="F46" s="137">
        <v>111</v>
      </c>
      <c r="G46" s="138">
        <v>3339</v>
      </c>
      <c r="H46" s="138">
        <v>3914</v>
      </c>
      <c r="I46" s="138">
        <v>7448</v>
      </c>
      <c r="J46" s="12"/>
      <c r="L46" s="1"/>
      <c r="M46" s="1"/>
      <c r="O46" s="1"/>
      <c r="P46" s="1"/>
    </row>
    <row r="47" spans="1:16">
      <c r="A47" s="135">
        <v>107</v>
      </c>
      <c r="B47" s="127">
        <v>2488</v>
      </c>
      <c r="C47" s="127">
        <v>3194</v>
      </c>
      <c r="D47" s="127">
        <v>5835</v>
      </c>
      <c r="E47" s="136">
        <v>142439</v>
      </c>
      <c r="F47" s="137">
        <v>110</v>
      </c>
      <c r="G47" s="138">
        <v>2181</v>
      </c>
      <c r="H47" s="138">
        <v>2612</v>
      </c>
      <c r="I47" s="138">
        <v>4888</v>
      </c>
      <c r="J47" s="12"/>
      <c r="L47" s="1"/>
      <c r="M47" s="1"/>
      <c r="O47" s="1"/>
      <c r="P47" s="1"/>
    </row>
    <row r="48" spans="1:16">
      <c r="A48" s="135">
        <v>106</v>
      </c>
      <c r="B48" s="127">
        <v>2516</v>
      </c>
      <c r="C48" s="127">
        <v>3097</v>
      </c>
      <c r="D48" s="127">
        <v>5773</v>
      </c>
      <c r="E48" s="136">
        <v>148212</v>
      </c>
      <c r="F48" s="137">
        <v>109</v>
      </c>
      <c r="G48" s="138">
        <v>1392</v>
      </c>
      <c r="H48" s="138">
        <v>1594</v>
      </c>
      <c r="I48" s="138">
        <v>3064</v>
      </c>
      <c r="J48" s="12"/>
      <c r="L48" s="1"/>
      <c r="M48" s="1"/>
      <c r="O48" s="1"/>
      <c r="P48" s="1"/>
    </row>
    <row r="49" spans="1:16">
      <c r="A49" s="135">
        <v>105</v>
      </c>
      <c r="B49" s="127">
        <v>2556</v>
      </c>
      <c r="C49" s="127">
        <v>3204</v>
      </c>
      <c r="D49" s="127">
        <v>5889</v>
      </c>
      <c r="E49" s="136">
        <v>154101</v>
      </c>
      <c r="F49" s="137">
        <v>108</v>
      </c>
      <c r="G49" s="138">
        <v>2779</v>
      </c>
      <c r="H49" s="138">
        <v>3293</v>
      </c>
      <c r="I49" s="138">
        <v>6231</v>
      </c>
      <c r="J49" s="12"/>
      <c r="L49" s="1"/>
      <c r="M49" s="1"/>
      <c r="O49" s="1"/>
      <c r="P49" s="1"/>
    </row>
    <row r="50" spans="1:16">
      <c r="A50" s="135">
        <v>104</v>
      </c>
      <c r="B50" s="127">
        <v>2603</v>
      </c>
      <c r="C50" s="127">
        <v>3281</v>
      </c>
      <c r="D50" s="127">
        <v>6043</v>
      </c>
      <c r="E50" s="136">
        <v>160144</v>
      </c>
      <c r="F50" s="137">
        <v>107</v>
      </c>
      <c r="G50" s="138">
        <v>4544</v>
      </c>
      <c r="H50" s="138">
        <v>5260</v>
      </c>
      <c r="I50" s="138">
        <v>10042</v>
      </c>
      <c r="J50" s="12"/>
      <c r="L50" s="1"/>
      <c r="M50" s="1"/>
      <c r="O50" s="1"/>
      <c r="P50" s="1"/>
    </row>
    <row r="51" spans="1:16">
      <c r="A51" s="135">
        <v>103</v>
      </c>
      <c r="B51" s="127">
        <v>2644</v>
      </c>
      <c r="C51" s="127">
        <v>3203</v>
      </c>
      <c r="D51" s="127">
        <v>6015</v>
      </c>
      <c r="E51" s="136">
        <v>166159</v>
      </c>
      <c r="F51" s="137">
        <v>106</v>
      </c>
      <c r="G51" s="138">
        <v>2250</v>
      </c>
      <c r="H51" s="138">
        <v>2575</v>
      </c>
      <c r="I51" s="138">
        <v>4962</v>
      </c>
      <c r="J51" s="12"/>
      <c r="L51" s="1"/>
      <c r="M51" s="1"/>
      <c r="O51" s="1"/>
      <c r="P51" s="1"/>
    </row>
    <row r="52" spans="1:16">
      <c r="A52" s="135">
        <v>102</v>
      </c>
      <c r="B52" s="127">
        <v>2601</v>
      </c>
      <c r="C52" s="127">
        <v>3222</v>
      </c>
      <c r="D52" s="127">
        <v>5981</v>
      </c>
      <c r="E52" s="136">
        <v>172140</v>
      </c>
      <c r="F52" s="137">
        <v>105</v>
      </c>
      <c r="G52" s="138">
        <v>3004</v>
      </c>
      <c r="H52" s="138">
        <v>3719</v>
      </c>
      <c r="I52" s="138">
        <v>6906</v>
      </c>
      <c r="J52" s="12"/>
      <c r="L52" s="1"/>
      <c r="M52" s="1"/>
      <c r="O52" s="1"/>
      <c r="P52" s="1"/>
    </row>
    <row r="53" spans="1:16">
      <c r="A53" s="135">
        <v>101</v>
      </c>
      <c r="B53" s="127">
        <v>2633</v>
      </c>
      <c r="C53" s="127">
        <v>3338</v>
      </c>
      <c r="D53" s="127">
        <v>6126</v>
      </c>
      <c r="E53" s="136">
        <v>178266</v>
      </c>
      <c r="F53" s="137">
        <v>104</v>
      </c>
      <c r="G53" s="138">
        <v>1958</v>
      </c>
      <c r="H53" s="138">
        <v>2339</v>
      </c>
      <c r="I53" s="138">
        <v>4402</v>
      </c>
      <c r="J53" s="12"/>
    </row>
    <row r="54" spans="1:16">
      <c r="A54" s="135">
        <v>100</v>
      </c>
      <c r="B54" s="127">
        <v>5312</v>
      </c>
      <c r="C54" s="127">
        <v>6323</v>
      </c>
      <c r="D54" s="127">
        <v>11975</v>
      </c>
      <c r="E54" s="136">
        <v>190241</v>
      </c>
      <c r="F54" s="137">
        <v>103</v>
      </c>
      <c r="G54" s="138">
        <v>1829</v>
      </c>
      <c r="H54" s="138">
        <v>2149</v>
      </c>
      <c r="I54" s="138">
        <v>4083</v>
      </c>
      <c r="J54" s="12"/>
    </row>
    <row r="55" spans="1:16">
      <c r="A55" s="135">
        <v>99</v>
      </c>
      <c r="B55" s="127">
        <v>2681</v>
      </c>
      <c r="C55" s="127">
        <v>3112</v>
      </c>
      <c r="D55" s="127">
        <v>5948</v>
      </c>
      <c r="E55" s="136">
        <v>196189</v>
      </c>
      <c r="F55" s="137">
        <v>102</v>
      </c>
      <c r="G55" s="138">
        <v>2821</v>
      </c>
      <c r="H55" s="138">
        <v>3519</v>
      </c>
      <c r="I55" s="138">
        <v>6503</v>
      </c>
      <c r="J55" s="12"/>
    </row>
    <row r="56" spans="1:16">
      <c r="A56" s="135">
        <v>98</v>
      </c>
      <c r="B56" s="127">
        <v>2705</v>
      </c>
      <c r="C56" s="127">
        <v>3011</v>
      </c>
      <c r="D56" s="127">
        <v>5881</v>
      </c>
      <c r="E56" s="136">
        <v>202070</v>
      </c>
      <c r="F56" s="137">
        <v>101</v>
      </c>
      <c r="G56" s="138">
        <v>2378</v>
      </c>
      <c r="H56" s="138">
        <v>2907</v>
      </c>
      <c r="I56" s="138">
        <v>5422</v>
      </c>
      <c r="J56" s="12"/>
    </row>
    <row r="57" spans="1:16">
      <c r="A57" s="135">
        <v>97</v>
      </c>
      <c r="B57" s="127">
        <v>2708</v>
      </c>
      <c r="C57" s="127">
        <v>3084</v>
      </c>
      <c r="D57" s="127">
        <v>5955</v>
      </c>
      <c r="E57" s="136">
        <v>208025</v>
      </c>
      <c r="F57" s="137">
        <v>100</v>
      </c>
      <c r="G57" s="138">
        <v>1678</v>
      </c>
      <c r="H57" s="138">
        <v>2078</v>
      </c>
      <c r="I57" s="138">
        <v>3849</v>
      </c>
      <c r="J57" s="12"/>
    </row>
    <row r="58" spans="1:16">
      <c r="A58" s="135">
        <v>96</v>
      </c>
      <c r="B58" s="127">
        <v>2670</v>
      </c>
      <c r="C58" s="127">
        <v>3050</v>
      </c>
      <c r="D58" s="127">
        <v>5867</v>
      </c>
      <c r="E58" s="136">
        <v>213892</v>
      </c>
      <c r="F58" s="137">
        <v>99</v>
      </c>
      <c r="G58" s="138">
        <v>2590</v>
      </c>
      <c r="H58" s="138">
        <v>3145</v>
      </c>
      <c r="I58" s="138">
        <v>5885</v>
      </c>
      <c r="J58" s="12"/>
    </row>
    <row r="59" spans="1:16">
      <c r="A59" s="135">
        <v>95</v>
      </c>
      <c r="B59" s="127">
        <v>2719</v>
      </c>
      <c r="C59" s="127">
        <v>3037</v>
      </c>
      <c r="D59" s="127">
        <v>5945</v>
      </c>
      <c r="E59" s="136">
        <v>219837</v>
      </c>
      <c r="F59" s="137">
        <v>98</v>
      </c>
      <c r="G59" s="138">
        <v>2540</v>
      </c>
      <c r="H59" s="138">
        <v>3052</v>
      </c>
      <c r="I59" s="138">
        <v>5734</v>
      </c>
      <c r="J59" s="12"/>
    </row>
    <row r="60" spans="1:16">
      <c r="A60" s="135">
        <v>94</v>
      </c>
      <c r="B60" s="127">
        <v>2685</v>
      </c>
      <c r="C60" s="127">
        <v>2987</v>
      </c>
      <c r="D60" s="127">
        <v>5856</v>
      </c>
      <c r="E60" s="136">
        <v>225693</v>
      </c>
      <c r="F60" s="137">
        <v>97</v>
      </c>
      <c r="G60" s="138">
        <v>1819</v>
      </c>
      <c r="H60" s="138">
        <v>2141</v>
      </c>
      <c r="I60" s="138">
        <v>4063</v>
      </c>
      <c r="J60" s="12"/>
    </row>
    <row r="61" spans="1:16">
      <c r="A61" s="135">
        <v>93</v>
      </c>
      <c r="B61" s="127">
        <v>2787</v>
      </c>
      <c r="C61" s="127">
        <v>2983</v>
      </c>
      <c r="D61" s="127">
        <v>5942</v>
      </c>
      <c r="E61" s="136">
        <v>231635</v>
      </c>
      <c r="F61" s="137">
        <v>96</v>
      </c>
      <c r="G61" s="138">
        <v>4989</v>
      </c>
      <c r="H61" s="138">
        <v>5881</v>
      </c>
      <c r="I61" s="138">
        <v>11151</v>
      </c>
      <c r="J61" s="12"/>
    </row>
    <row r="62" spans="1:16">
      <c r="A62" s="135">
        <v>92</v>
      </c>
      <c r="B62" s="127">
        <v>2770</v>
      </c>
      <c r="C62" s="127">
        <v>2915</v>
      </c>
      <c r="D62" s="127">
        <v>5851</v>
      </c>
      <c r="E62" s="136">
        <v>237486</v>
      </c>
      <c r="F62" s="137">
        <v>95</v>
      </c>
      <c r="G62" s="138">
        <v>1956</v>
      </c>
      <c r="H62" s="138">
        <v>2317</v>
      </c>
      <c r="I62" s="138">
        <v>4391</v>
      </c>
      <c r="J62" s="12"/>
    </row>
    <row r="63" spans="1:16">
      <c r="A63" s="135">
        <v>91</v>
      </c>
      <c r="B63" s="127">
        <v>2823</v>
      </c>
      <c r="C63" s="127">
        <v>2888</v>
      </c>
      <c r="D63" s="127">
        <v>5906</v>
      </c>
      <c r="E63" s="136">
        <v>243392</v>
      </c>
      <c r="F63" s="137">
        <v>94</v>
      </c>
      <c r="G63" s="138">
        <v>2234</v>
      </c>
      <c r="H63" s="138">
        <v>2714</v>
      </c>
      <c r="I63" s="138">
        <v>5077</v>
      </c>
      <c r="J63" s="12"/>
    </row>
    <row r="64" spans="1:16">
      <c r="A64" s="135">
        <v>90</v>
      </c>
      <c r="B64" s="127">
        <v>2698</v>
      </c>
      <c r="C64" s="127">
        <v>2788</v>
      </c>
      <c r="D64" s="127">
        <v>5647</v>
      </c>
      <c r="E64" s="136">
        <v>249039</v>
      </c>
      <c r="F64" s="137">
        <v>93</v>
      </c>
      <c r="G64" s="138">
        <v>2588</v>
      </c>
      <c r="H64" s="138">
        <v>3033</v>
      </c>
      <c r="I64" s="138">
        <v>5796</v>
      </c>
      <c r="J64" s="12"/>
    </row>
    <row r="65" spans="1:10">
      <c r="A65" s="135">
        <v>89</v>
      </c>
      <c r="B65" s="127">
        <v>2792</v>
      </c>
      <c r="C65" s="127">
        <v>2791</v>
      </c>
      <c r="D65" s="127">
        <v>5761</v>
      </c>
      <c r="E65" s="136">
        <v>254800</v>
      </c>
      <c r="F65" s="137">
        <v>92</v>
      </c>
      <c r="G65" s="138">
        <v>2220</v>
      </c>
      <c r="H65" s="138">
        <v>2533</v>
      </c>
      <c r="I65" s="138">
        <v>4892</v>
      </c>
      <c r="J65" s="12"/>
    </row>
    <row r="66" spans="1:10">
      <c r="A66" s="135">
        <v>88</v>
      </c>
      <c r="B66" s="127">
        <v>2782</v>
      </c>
      <c r="C66" s="127">
        <v>2748</v>
      </c>
      <c r="D66" s="127">
        <v>5711</v>
      </c>
      <c r="E66" s="136">
        <v>260511</v>
      </c>
      <c r="F66" s="137">
        <v>91</v>
      </c>
      <c r="G66" s="138">
        <v>2210</v>
      </c>
      <c r="H66" s="138">
        <v>2597</v>
      </c>
      <c r="I66" s="138">
        <v>4937</v>
      </c>
      <c r="J66" s="12"/>
    </row>
    <row r="67" spans="1:10">
      <c r="A67" s="135">
        <v>87</v>
      </c>
      <c r="B67" s="127">
        <v>2798</v>
      </c>
      <c r="C67" s="127">
        <v>2581</v>
      </c>
      <c r="D67" s="127">
        <v>5556</v>
      </c>
      <c r="E67" s="136">
        <v>266067</v>
      </c>
      <c r="F67" s="137">
        <v>90</v>
      </c>
      <c r="G67" s="138">
        <v>2584</v>
      </c>
      <c r="H67" s="138">
        <v>3133</v>
      </c>
      <c r="I67" s="138">
        <v>5883</v>
      </c>
      <c r="J67" s="12"/>
    </row>
    <row r="68" spans="1:10">
      <c r="A68" s="135">
        <v>86</v>
      </c>
      <c r="B68" s="127">
        <v>2820</v>
      </c>
      <c r="C68" s="127">
        <v>2596</v>
      </c>
      <c r="D68" s="127">
        <v>5594</v>
      </c>
      <c r="E68" s="136">
        <v>271661</v>
      </c>
      <c r="F68" s="137">
        <v>89</v>
      </c>
      <c r="G68" s="138">
        <v>2217</v>
      </c>
      <c r="H68" s="138">
        <v>2809</v>
      </c>
      <c r="I68" s="138">
        <v>5191</v>
      </c>
      <c r="J68" s="12"/>
    </row>
    <row r="69" spans="1:10">
      <c r="A69" s="135">
        <v>85</v>
      </c>
      <c r="B69" s="127">
        <v>2986</v>
      </c>
      <c r="C69" s="127">
        <v>2658</v>
      </c>
      <c r="D69" s="127">
        <v>5816</v>
      </c>
      <c r="E69" s="136">
        <v>277477</v>
      </c>
      <c r="F69" s="137">
        <v>88</v>
      </c>
      <c r="G69" s="138">
        <v>2354</v>
      </c>
      <c r="H69" s="138">
        <v>2692</v>
      </c>
      <c r="I69" s="138">
        <v>5171</v>
      </c>
      <c r="J69" s="12"/>
    </row>
    <row r="70" spans="1:10">
      <c r="A70" s="135">
        <v>84</v>
      </c>
      <c r="B70" s="127">
        <v>2912</v>
      </c>
      <c r="C70" s="127">
        <v>2551</v>
      </c>
      <c r="D70" s="127">
        <v>5642</v>
      </c>
      <c r="E70" s="136">
        <v>283119</v>
      </c>
      <c r="F70" s="137">
        <v>87</v>
      </c>
      <c r="G70" s="138">
        <v>2605</v>
      </c>
      <c r="H70" s="138">
        <v>2897</v>
      </c>
      <c r="I70" s="138">
        <v>5661</v>
      </c>
      <c r="J70" s="12"/>
    </row>
    <row r="71" spans="1:10">
      <c r="A71" s="135">
        <v>83</v>
      </c>
      <c r="B71" s="127">
        <v>3092</v>
      </c>
      <c r="C71" s="127">
        <v>2555</v>
      </c>
      <c r="D71" s="127">
        <v>5841</v>
      </c>
      <c r="E71" s="136">
        <v>288960</v>
      </c>
      <c r="F71" s="137">
        <v>86</v>
      </c>
      <c r="G71" s="138">
        <v>2569</v>
      </c>
      <c r="H71" s="138">
        <v>2876</v>
      </c>
      <c r="I71" s="138">
        <v>5595</v>
      </c>
      <c r="J71" s="12"/>
    </row>
    <row r="72" spans="1:10">
      <c r="A72" s="135">
        <v>82</v>
      </c>
      <c r="B72" s="127">
        <v>2920</v>
      </c>
      <c r="C72" s="127">
        <v>2286</v>
      </c>
      <c r="D72" s="127">
        <v>5405</v>
      </c>
      <c r="E72" s="136">
        <v>294365</v>
      </c>
      <c r="F72" s="137">
        <v>85</v>
      </c>
      <c r="G72" s="138">
        <v>2523</v>
      </c>
      <c r="H72" s="138">
        <v>2896</v>
      </c>
      <c r="I72" s="138">
        <v>5574</v>
      </c>
      <c r="J72" s="12"/>
    </row>
    <row r="73" spans="1:10">
      <c r="A73" s="135">
        <v>81</v>
      </c>
      <c r="B73" s="127">
        <v>3143</v>
      </c>
      <c r="C73" s="127">
        <v>2356</v>
      </c>
      <c r="D73" s="127">
        <v>5728</v>
      </c>
      <c r="E73" s="136">
        <v>300093</v>
      </c>
      <c r="F73" s="137">
        <v>84</v>
      </c>
      <c r="G73" s="138">
        <v>5435</v>
      </c>
      <c r="H73" s="138">
        <v>6179</v>
      </c>
      <c r="I73" s="138">
        <v>11966</v>
      </c>
      <c r="J73" s="12"/>
    </row>
    <row r="74" spans="1:10">
      <c r="A74" s="135">
        <v>80</v>
      </c>
      <c r="B74" s="127">
        <v>3055</v>
      </c>
      <c r="C74" s="127">
        <v>2316</v>
      </c>
      <c r="D74" s="127">
        <v>5586</v>
      </c>
      <c r="E74" s="136">
        <v>305679</v>
      </c>
      <c r="F74" s="137">
        <v>83</v>
      </c>
      <c r="G74" s="138">
        <v>2691</v>
      </c>
      <c r="H74" s="138">
        <v>3168</v>
      </c>
      <c r="I74" s="138">
        <v>6043</v>
      </c>
      <c r="J74" s="12"/>
    </row>
    <row r="75" spans="1:10">
      <c r="A75" s="135">
        <v>79</v>
      </c>
      <c r="B75" s="127">
        <v>3122</v>
      </c>
      <c r="C75" s="127">
        <v>2192</v>
      </c>
      <c r="D75" s="127">
        <v>5566</v>
      </c>
      <c r="E75" s="136">
        <v>311245</v>
      </c>
      <c r="F75" s="137">
        <v>82</v>
      </c>
      <c r="G75" s="138">
        <v>2746</v>
      </c>
      <c r="H75" s="138">
        <v>3001</v>
      </c>
      <c r="I75" s="138">
        <v>5955</v>
      </c>
      <c r="J75" s="12"/>
    </row>
    <row r="76" spans="1:10">
      <c r="A76" s="135">
        <v>78</v>
      </c>
      <c r="B76" s="127">
        <v>3365</v>
      </c>
      <c r="C76" s="127">
        <v>2316</v>
      </c>
      <c r="D76" s="127">
        <v>5925</v>
      </c>
      <c r="E76" s="136">
        <v>317170</v>
      </c>
      <c r="F76" s="137">
        <v>81</v>
      </c>
      <c r="G76" s="138">
        <v>3097</v>
      </c>
      <c r="H76" s="138">
        <v>3285</v>
      </c>
      <c r="I76" s="138">
        <v>6599</v>
      </c>
      <c r="J76" s="12"/>
    </row>
    <row r="77" spans="1:10">
      <c r="A77" s="135">
        <v>77</v>
      </c>
      <c r="B77" s="127">
        <v>3084</v>
      </c>
      <c r="C77" s="127">
        <v>2201</v>
      </c>
      <c r="D77" s="127">
        <v>5531</v>
      </c>
      <c r="E77" s="136">
        <v>322701</v>
      </c>
      <c r="F77" s="137">
        <v>80</v>
      </c>
      <c r="G77" s="138">
        <v>2996</v>
      </c>
      <c r="H77" s="138">
        <v>3239</v>
      </c>
      <c r="I77" s="138">
        <v>6450</v>
      </c>
      <c r="J77" s="12"/>
    </row>
    <row r="78" spans="1:10">
      <c r="A78" s="135">
        <v>76</v>
      </c>
      <c r="B78" s="127">
        <v>3412</v>
      </c>
      <c r="C78" s="127">
        <v>2064</v>
      </c>
      <c r="D78" s="127">
        <v>5740</v>
      </c>
      <c r="E78" s="136">
        <v>328441</v>
      </c>
      <c r="F78" s="137">
        <v>79</v>
      </c>
      <c r="G78" s="138">
        <v>3158</v>
      </c>
      <c r="H78" s="138">
        <v>3116</v>
      </c>
      <c r="I78" s="138">
        <v>6528</v>
      </c>
      <c r="J78" s="12"/>
    </row>
    <row r="79" spans="1:10">
      <c r="A79" s="135">
        <v>75</v>
      </c>
      <c r="B79" s="127">
        <v>3106</v>
      </c>
      <c r="C79" s="127">
        <v>1847</v>
      </c>
      <c r="D79" s="127">
        <v>5205</v>
      </c>
      <c r="E79" s="136">
        <v>333646</v>
      </c>
      <c r="F79" s="137">
        <v>78</v>
      </c>
      <c r="G79" s="138">
        <v>4260</v>
      </c>
      <c r="H79" s="138">
        <v>3955</v>
      </c>
      <c r="I79" s="138">
        <v>8557</v>
      </c>
      <c r="J79" s="12"/>
    </row>
    <row r="80" spans="1:10">
      <c r="A80" s="135">
        <v>74</v>
      </c>
      <c r="B80" s="127">
        <v>3214</v>
      </c>
      <c r="C80" s="127">
        <v>1803</v>
      </c>
      <c r="D80" s="127">
        <v>5288</v>
      </c>
      <c r="E80" s="136">
        <v>338934</v>
      </c>
      <c r="F80" s="137">
        <v>77</v>
      </c>
      <c r="G80" s="138">
        <v>2920</v>
      </c>
      <c r="H80" s="138">
        <v>3055</v>
      </c>
      <c r="I80" s="138">
        <v>6200</v>
      </c>
      <c r="J80" s="12"/>
    </row>
    <row r="81" spans="1:10">
      <c r="A81" s="135">
        <v>73</v>
      </c>
      <c r="B81" s="127">
        <v>4873</v>
      </c>
      <c r="C81" s="127">
        <v>2340</v>
      </c>
      <c r="D81" s="127">
        <v>7738</v>
      </c>
      <c r="E81" s="136">
        <v>346672</v>
      </c>
      <c r="F81" s="137">
        <v>76</v>
      </c>
      <c r="G81" s="138">
        <v>6394</v>
      </c>
      <c r="H81" s="138">
        <v>4685</v>
      </c>
      <c r="I81" s="138">
        <v>11733</v>
      </c>
      <c r="J81" s="12"/>
    </row>
    <row r="82" spans="1:10">
      <c r="A82" s="135">
        <v>72</v>
      </c>
      <c r="B82" s="127">
        <v>6194</v>
      </c>
      <c r="C82" s="127">
        <v>2537</v>
      </c>
      <c r="D82" s="127">
        <v>9433</v>
      </c>
      <c r="E82" s="136">
        <v>356105</v>
      </c>
      <c r="F82" s="137">
        <v>75</v>
      </c>
      <c r="G82" s="138">
        <v>5177</v>
      </c>
      <c r="H82" s="138">
        <v>4343</v>
      </c>
      <c r="I82" s="138">
        <v>10007</v>
      </c>
      <c r="J82" s="12"/>
    </row>
    <row r="83" spans="1:10">
      <c r="A83" s="135">
        <v>71</v>
      </c>
      <c r="B83" s="127">
        <v>2451</v>
      </c>
      <c r="C83" s="127">
        <v>1217</v>
      </c>
      <c r="D83" s="127">
        <v>3873</v>
      </c>
      <c r="E83" s="136">
        <v>359978</v>
      </c>
      <c r="F83" s="137">
        <v>74</v>
      </c>
      <c r="G83" s="138">
        <v>2310</v>
      </c>
      <c r="H83" s="138">
        <v>2320</v>
      </c>
      <c r="I83" s="138">
        <v>4802</v>
      </c>
      <c r="J83" s="12"/>
    </row>
    <row r="84" spans="1:10">
      <c r="A84" s="135">
        <v>70</v>
      </c>
      <c r="B84" s="127">
        <v>2566</v>
      </c>
      <c r="C84" s="127">
        <v>1229</v>
      </c>
      <c r="D84" s="127">
        <v>4036</v>
      </c>
      <c r="E84" s="136">
        <v>364014</v>
      </c>
      <c r="F84" s="137">
        <v>73</v>
      </c>
      <c r="G84" s="138">
        <v>2333</v>
      </c>
      <c r="H84" s="138">
        <v>2169</v>
      </c>
      <c r="I84" s="138">
        <v>4668</v>
      </c>
      <c r="J84" s="12"/>
    </row>
    <row r="85" spans="1:10">
      <c r="A85" s="135">
        <v>69</v>
      </c>
      <c r="B85" s="127">
        <v>1688</v>
      </c>
      <c r="C85" s="127">
        <v>814</v>
      </c>
      <c r="D85" s="127">
        <v>2640</v>
      </c>
      <c r="E85" s="136">
        <v>366654</v>
      </c>
      <c r="F85" s="137">
        <v>72</v>
      </c>
      <c r="G85" s="138">
        <v>3811</v>
      </c>
      <c r="H85" s="138">
        <v>3296</v>
      </c>
      <c r="I85" s="138">
        <v>7448</v>
      </c>
      <c r="J85" s="12"/>
    </row>
    <row r="86" spans="1:10">
      <c r="A86" s="135">
        <v>68</v>
      </c>
      <c r="B86" s="127">
        <v>1393</v>
      </c>
      <c r="C86" s="127">
        <v>738</v>
      </c>
      <c r="D86" s="127">
        <v>2277</v>
      </c>
      <c r="E86" s="136">
        <v>368931</v>
      </c>
      <c r="F86" s="137">
        <v>71</v>
      </c>
      <c r="G86" s="138">
        <v>1512</v>
      </c>
      <c r="H86" s="138">
        <v>1341</v>
      </c>
      <c r="I86" s="138">
        <v>2989</v>
      </c>
      <c r="J86" s="12"/>
    </row>
    <row r="87" spans="1:10">
      <c r="A87" s="135">
        <v>67</v>
      </c>
      <c r="B87" s="127">
        <v>1186</v>
      </c>
      <c r="C87" s="127">
        <v>582</v>
      </c>
      <c r="D87" s="127">
        <v>1867</v>
      </c>
      <c r="E87" s="136">
        <v>370798</v>
      </c>
      <c r="F87" s="137">
        <v>70</v>
      </c>
      <c r="G87" s="138">
        <v>1021</v>
      </c>
      <c r="H87" s="138">
        <v>814</v>
      </c>
      <c r="I87" s="138">
        <v>1910</v>
      </c>
      <c r="J87" s="12"/>
    </row>
    <row r="88" spans="1:10">
      <c r="A88" s="135">
        <v>66</v>
      </c>
      <c r="B88" s="127">
        <v>941</v>
      </c>
      <c r="C88" s="127">
        <v>415</v>
      </c>
      <c r="D88" s="127">
        <v>1441</v>
      </c>
      <c r="E88" s="136">
        <v>372239</v>
      </c>
      <c r="F88" s="137">
        <v>69</v>
      </c>
      <c r="G88" s="138">
        <v>1708</v>
      </c>
      <c r="H88" s="138">
        <v>1272</v>
      </c>
      <c r="I88" s="138">
        <v>3154</v>
      </c>
      <c r="J88" s="12"/>
    </row>
    <row r="89" spans="1:10">
      <c r="A89" s="135">
        <v>65</v>
      </c>
      <c r="B89" s="127">
        <v>764</v>
      </c>
      <c r="C89" s="127">
        <v>335</v>
      </c>
      <c r="D89" s="127">
        <v>1189</v>
      </c>
      <c r="E89" s="136">
        <v>373428</v>
      </c>
      <c r="F89" s="137">
        <v>68</v>
      </c>
      <c r="G89" s="138">
        <v>709</v>
      </c>
      <c r="H89" s="138">
        <v>599</v>
      </c>
      <c r="I89" s="138">
        <v>1358</v>
      </c>
      <c r="J89" s="12"/>
    </row>
    <row r="90" spans="1:10">
      <c r="A90" s="135">
        <v>64</v>
      </c>
      <c r="B90" s="127">
        <v>1012</v>
      </c>
      <c r="C90" s="127">
        <v>454</v>
      </c>
      <c r="D90" s="127">
        <v>1569</v>
      </c>
      <c r="E90" s="136">
        <v>374997</v>
      </c>
      <c r="F90" s="137">
        <v>67</v>
      </c>
      <c r="G90" s="138">
        <v>492</v>
      </c>
      <c r="H90" s="138">
        <v>412</v>
      </c>
      <c r="I90" s="138">
        <v>943</v>
      </c>
    </row>
    <row r="91" spans="1:10">
      <c r="A91" s="135">
        <v>63</v>
      </c>
      <c r="B91" s="127">
        <v>337</v>
      </c>
      <c r="C91" s="127">
        <v>143</v>
      </c>
      <c r="D91" s="127">
        <v>515</v>
      </c>
      <c r="E91" s="136">
        <v>375512</v>
      </c>
      <c r="F91" s="137">
        <v>66</v>
      </c>
      <c r="G91" s="138">
        <v>348</v>
      </c>
      <c r="H91" s="138">
        <v>297</v>
      </c>
      <c r="I91" s="138">
        <v>675</v>
      </c>
    </row>
    <row r="92" spans="1:10">
      <c r="A92" s="135">
        <v>62</v>
      </c>
      <c r="B92" s="127">
        <v>206</v>
      </c>
      <c r="C92" s="127">
        <v>89</v>
      </c>
      <c r="D92" s="127">
        <v>318</v>
      </c>
      <c r="E92" s="136">
        <v>375830</v>
      </c>
      <c r="F92" s="137">
        <v>65</v>
      </c>
      <c r="G92" s="138">
        <v>262</v>
      </c>
      <c r="H92" s="138">
        <v>186</v>
      </c>
      <c r="I92" s="138">
        <v>468</v>
      </c>
    </row>
    <row r="93" spans="1:10">
      <c r="A93" s="135">
        <v>61</v>
      </c>
      <c r="B93" s="127">
        <v>188</v>
      </c>
      <c r="C93" s="127">
        <v>89</v>
      </c>
      <c r="D93" s="127">
        <v>292</v>
      </c>
      <c r="E93" s="136">
        <v>376122</v>
      </c>
      <c r="F93" s="137">
        <v>64</v>
      </c>
      <c r="G93" s="138">
        <v>301</v>
      </c>
      <c r="H93" s="138">
        <v>175</v>
      </c>
      <c r="I93" s="138">
        <v>503</v>
      </c>
    </row>
    <row r="94" spans="1:10">
      <c r="A94" s="135">
        <v>60</v>
      </c>
      <c r="B94" s="127">
        <v>69</v>
      </c>
      <c r="C94" s="127">
        <v>31</v>
      </c>
      <c r="D94" s="127">
        <v>113</v>
      </c>
      <c r="E94" s="136">
        <v>376235</v>
      </c>
      <c r="F94" s="137">
        <v>63</v>
      </c>
      <c r="G94" s="138">
        <v>169</v>
      </c>
      <c r="H94" s="138">
        <v>106</v>
      </c>
      <c r="I94" s="138">
        <v>289</v>
      </c>
    </row>
    <row r="95" spans="1:10">
      <c r="A95" s="135">
        <v>59</v>
      </c>
      <c r="B95" s="127">
        <v>133</v>
      </c>
      <c r="C95" s="127">
        <v>44</v>
      </c>
      <c r="D95" s="127">
        <v>192</v>
      </c>
      <c r="E95" s="136">
        <v>376427</v>
      </c>
      <c r="F95" s="137">
        <v>61</v>
      </c>
      <c r="G95" s="138">
        <v>711</v>
      </c>
      <c r="H95" s="138">
        <v>329</v>
      </c>
      <c r="I95" s="138">
        <v>1150</v>
      </c>
    </row>
    <row r="96" spans="1:10">
      <c r="A96" s="135">
        <v>58</v>
      </c>
      <c r="B96" s="127">
        <v>25</v>
      </c>
      <c r="C96" s="127">
        <v>16</v>
      </c>
      <c r="D96" s="127">
        <v>44</v>
      </c>
      <c r="E96" s="136">
        <v>376471</v>
      </c>
      <c r="F96" s="137"/>
      <c r="G96" s="138"/>
      <c r="H96" s="138"/>
      <c r="I96" s="138"/>
    </row>
    <row r="97" spans="1:9">
      <c r="A97" s="139">
        <v>57</v>
      </c>
      <c r="B97" s="140">
        <v>92</v>
      </c>
      <c r="C97" s="140">
        <v>35</v>
      </c>
      <c r="D97" s="140">
        <v>138</v>
      </c>
      <c r="E97" s="141">
        <v>376609</v>
      </c>
      <c r="F97" s="137"/>
      <c r="G97" s="138"/>
      <c r="H97" s="138"/>
      <c r="I97" s="138"/>
    </row>
    <row r="98" spans="1:9">
      <c r="A98" s="139">
        <v>56</v>
      </c>
      <c r="B98" s="140">
        <v>7</v>
      </c>
      <c r="C98" s="140">
        <v>3</v>
      </c>
      <c r="D98" s="140">
        <v>12</v>
      </c>
      <c r="E98" s="142">
        <v>376621</v>
      </c>
      <c r="F98" s="135"/>
      <c r="G98" s="127"/>
      <c r="H98" s="127"/>
      <c r="I98" s="127"/>
    </row>
    <row r="99" spans="1:9">
      <c r="A99" s="139">
        <v>55</v>
      </c>
      <c r="B99" s="140">
        <v>64</v>
      </c>
      <c r="C99" s="140">
        <v>30</v>
      </c>
      <c r="D99" s="140">
        <v>102</v>
      </c>
      <c r="E99" s="142">
        <v>376723</v>
      </c>
      <c r="F99" s="135"/>
      <c r="G99" s="127"/>
      <c r="H99" s="127"/>
      <c r="I99" s="127"/>
    </row>
    <row r="100" spans="1:9">
      <c r="A100" s="139">
        <v>53</v>
      </c>
      <c r="B100" s="140">
        <v>694</v>
      </c>
      <c r="C100" s="140">
        <v>264</v>
      </c>
      <c r="D100" s="140">
        <v>1073</v>
      </c>
      <c r="E100" s="142">
        <v>377796</v>
      </c>
      <c r="F100" s="135"/>
      <c r="G100" s="127"/>
      <c r="H100" s="127"/>
      <c r="I100" s="127"/>
    </row>
    <row r="101" spans="1:9">
      <c r="A101" s="5"/>
      <c r="D101" s="6"/>
      <c r="F101" s="5"/>
      <c r="I101" s="6"/>
    </row>
    <row r="102" spans="1:9" ht="17.5" thickBot="1">
      <c r="A102" s="7"/>
      <c r="B102" s="9"/>
      <c r="C102" s="9"/>
      <c r="D102" s="8"/>
      <c r="F102" s="7"/>
      <c r="G102" s="9"/>
      <c r="H102" s="9"/>
      <c r="I102" s="8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4B5DD-2734-4EE0-BFFB-E8EF25ED5316}">
  <sheetPr codeName="Sheet4"/>
  <dimension ref="A1:Q109"/>
  <sheetViews>
    <sheetView zoomScaleNormal="100" workbookViewId="0">
      <selection activeCell="B2" sqref="B2:K108"/>
    </sheetView>
  </sheetViews>
  <sheetFormatPr defaultRowHeight="17"/>
  <cols>
    <col min="1" max="1" width="8.6640625" customWidth="1"/>
    <col min="2" max="2" width="1" customWidth="1"/>
    <col min="3" max="10" width="14.1640625" customWidth="1"/>
    <col min="11" max="11" width="1" style="2" customWidth="1"/>
    <col min="12" max="12" width="14.1640625" style="1" customWidth="1"/>
    <col min="13" max="13" width="13.75" customWidth="1"/>
    <col min="14" max="14" width="12.1640625" customWidth="1"/>
  </cols>
  <sheetData>
    <row r="1" spans="1:17">
      <c r="A1" s="2" t="s">
        <v>39</v>
      </c>
      <c r="B1" s="2"/>
      <c r="C1" s="2"/>
      <c r="D1" s="2"/>
      <c r="E1" s="2"/>
      <c r="F1" s="2"/>
      <c r="G1" s="2"/>
      <c r="H1" s="2"/>
      <c r="I1" s="2"/>
      <c r="J1" s="2"/>
      <c r="L1" s="21"/>
    </row>
    <row r="2" spans="1:17" ht="6" customHeight="1" thickBot="1">
      <c r="A2" s="2"/>
      <c r="B2" s="23"/>
      <c r="C2" s="24"/>
      <c r="D2" s="24"/>
      <c r="E2" s="24"/>
      <c r="F2" s="24"/>
      <c r="G2" s="24"/>
      <c r="H2" s="24"/>
      <c r="I2" s="24"/>
      <c r="J2" s="24"/>
      <c r="K2" s="25"/>
      <c r="L2" s="21"/>
    </row>
    <row r="3" spans="1:17" s="15" customFormat="1" ht="25" customHeight="1" thickBot="1">
      <c r="A3" s="13"/>
      <c r="B3" s="26"/>
      <c r="C3" s="41" t="s">
        <v>41</v>
      </c>
      <c r="D3" s="106" t="s">
        <v>71</v>
      </c>
      <c r="E3" s="107"/>
      <c r="F3" s="108"/>
      <c r="G3" s="41" t="s">
        <v>42</v>
      </c>
      <c r="H3" s="42" t="str">
        <f>'통계 및 응시자 수 입력 기능'!D4</f>
        <v>48.50</v>
      </c>
      <c r="I3" s="14" t="s">
        <v>43</v>
      </c>
      <c r="J3" s="43">
        <f>'통계 및 응시자 수 입력 기능'!C4</f>
        <v>377796</v>
      </c>
      <c r="K3" s="27"/>
      <c r="L3" s="16"/>
    </row>
    <row r="4" spans="1:17" s="15" customFormat="1" ht="25" customHeight="1" thickBot="1">
      <c r="A4" s="13"/>
      <c r="B4" s="26"/>
      <c r="C4" s="44" t="s">
        <v>44</v>
      </c>
      <c r="D4" s="109" t="s">
        <v>45</v>
      </c>
      <c r="E4" s="110"/>
      <c r="F4" s="111"/>
      <c r="G4" s="45" t="s">
        <v>46</v>
      </c>
      <c r="H4" s="46" t="str">
        <f>'통계 및 응시자 수 입력 기능'!E4</f>
        <v>20.56</v>
      </c>
      <c r="I4" s="112"/>
      <c r="J4" s="113"/>
      <c r="K4" s="28"/>
      <c r="L4" s="18"/>
    </row>
    <row r="5" spans="1:17" s="15" customFormat="1" ht="25" customHeight="1" thickBot="1">
      <c r="A5" s="13"/>
      <c r="B5" s="26"/>
      <c r="C5" s="16"/>
      <c r="D5" s="16"/>
      <c r="E5" s="16"/>
      <c r="F5" s="103"/>
      <c r="G5" s="16"/>
      <c r="H5" s="13"/>
      <c r="I5" s="114"/>
      <c r="J5" s="114"/>
      <c r="K5" s="29"/>
      <c r="L5" s="16"/>
    </row>
    <row r="6" spans="1:17" s="15" customFormat="1" ht="25" customHeight="1" thickBot="1">
      <c r="A6" s="13"/>
      <c r="B6" s="26"/>
      <c r="C6" s="47" t="s">
        <v>48</v>
      </c>
      <c r="D6" s="48" t="s">
        <v>49</v>
      </c>
      <c r="E6" s="48" t="s">
        <v>50</v>
      </c>
      <c r="F6" s="48" t="s">
        <v>51</v>
      </c>
      <c r="G6" s="48" t="s">
        <v>52</v>
      </c>
      <c r="H6" s="49" t="s">
        <v>53</v>
      </c>
      <c r="I6" s="49" t="s">
        <v>54</v>
      </c>
      <c r="J6" s="50" t="s">
        <v>55</v>
      </c>
      <c r="K6" s="30"/>
      <c r="L6" s="22" t="s">
        <v>38</v>
      </c>
      <c r="M6" s="16"/>
      <c r="N6" s="17"/>
    </row>
    <row r="7" spans="1:17" s="15" customFormat="1" ht="25" customHeight="1">
      <c r="A7" s="13"/>
      <c r="B7" s="26"/>
      <c r="C7" s="51">
        <v>100</v>
      </c>
      <c r="D7" s="52">
        <f>ROUND(20*(C7-$H$3)/$H$4+100,0)</f>
        <v>150</v>
      </c>
      <c r="E7" s="52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3">
        <f>ROUND(100*(1-(0+I7)/2/$J$3),2)</f>
        <v>99.96</v>
      </c>
      <c r="G7" s="54">
        <f>_xlfn.IFNA(VLOOKUP(D7,'인원 입력 기능'!$A$5:$D$103,4,FALSE),0)</f>
        <v>316</v>
      </c>
      <c r="H7" s="55">
        <f>G7/$J$3</f>
        <v>8.3643024277652489E-4</v>
      </c>
      <c r="I7" s="56">
        <f>G7</f>
        <v>316</v>
      </c>
      <c r="J7" s="57">
        <f>I7/$J$3</f>
        <v>8.3643024277652489E-4</v>
      </c>
      <c r="K7" s="31"/>
      <c r="L7" s="19" t="str">
        <f>IF(ABS((C7-$H$3)/$H$4*20+100-D7)&gt;0.49, "경고", "")</f>
        <v/>
      </c>
      <c r="N7" s="18"/>
      <c r="P7" s="18">
        <v>1</v>
      </c>
      <c r="Q7" s="18">
        <f>'표점등급&amp;절평인원 입력기능'!C4</f>
        <v>135</v>
      </c>
    </row>
    <row r="8" spans="1:17" s="15" customFormat="1" ht="25" customHeight="1">
      <c r="A8" s="13"/>
      <c r="B8" s="26"/>
      <c r="C8" s="58">
        <v>99</v>
      </c>
      <c r="D8" s="59" t="s">
        <v>37</v>
      </c>
      <c r="E8" s="59"/>
      <c r="F8" s="60"/>
      <c r="G8" s="61"/>
      <c r="H8" s="62"/>
      <c r="I8" s="63"/>
      <c r="J8" s="64"/>
      <c r="K8" s="32"/>
      <c r="L8" s="16"/>
      <c r="N8" s="18"/>
      <c r="P8" s="18">
        <v>2</v>
      </c>
      <c r="Q8" s="18">
        <f>'표점등급&amp;절평인원 입력기능'!C5</f>
        <v>127</v>
      </c>
    </row>
    <row r="9" spans="1:17" s="15" customFormat="1" ht="25" customHeight="1">
      <c r="A9" s="13"/>
      <c r="B9" s="26"/>
      <c r="C9" s="58">
        <v>98</v>
      </c>
      <c r="D9" s="52">
        <f>ROUND(20*(C9-$H$3)/$H$4+100,0)</f>
        <v>148</v>
      </c>
      <c r="E9" s="52">
        <f t="shared" si="0"/>
        <v>1</v>
      </c>
      <c r="F9" s="53">
        <f>IF(I8=0,ROUND(100*(1-(I7+I9)/2/$J$3),2),ROUND(100*(1-(I8+I9)/2/$J$3),2))</f>
        <v>99.85</v>
      </c>
      <c r="G9" s="54">
        <f>_xlfn.IFNA(VLOOKUP(D9,'인원 입력 기능'!$A$5:$D$103,4,FALSE),0)</f>
        <v>494</v>
      </c>
      <c r="H9" s="55">
        <f>G9/$J$3</f>
        <v>1.307583987125327E-3</v>
      </c>
      <c r="I9" s="65">
        <f>SUM($G$7:G9)</f>
        <v>810</v>
      </c>
      <c r="J9" s="57">
        <f>I9/$J$3</f>
        <v>2.144014229901852E-3</v>
      </c>
      <c r="K9" s="31"/>
      <c r="L9" s="19" t="str">
        <f t="shared" ref="L9:L40" si="1">IF(ABS((C9-$H$3)/$H$4*20+100-D9)&gt;0.49, "경고", "")</f>
        <v/>
      </c>
      <c r="N9" s="18"/>
      <c r="P9" s="18">
        <v>3</v>
      </c>
      <c r="Q9" s="18">
        <f>'표점등급&amp;절평인원 입력기능'!C6</f>
        <v>116</v>
      </c>
    </row>
    <row r="10" spans="1:17" s="15" customFormat="1" ht="25" customHeight="1">
      <c r="A10" s="13"/>
      <c r="B10" s="26"/>
      <c r="C10" s="58">
        <v>97</v>
      </c>
      <c r="D10" s="52">
        <f t="shared" ref="D10:D73" si="2">ROUND(20*(C10-$H$3)/$H$4+100,0)</f>
        <v>147</v>
      </c>
      <c r="E10" s="52">
        <f t="shared" si="0"/>
        <v>1</v>
      </c>
      <c r="F10" s="53">
        <f t="shared" ref="F10:F73" si="3">IF(I9=0,ROUND(100*(1-(I8+I10)/2/$J$3),2),ROUND(100*(1-(I9+I10)/2/$J$3),2))</f>
        <v>99.75</v>
      </c>
      <c r="G10" s="54">
        <f>IF(D10=D9,"",_xlfn.IFNA(VLOOKUP(D10,'인원 입력 기능'!$A$5:$D$103,4,FALSE),0))</f>
        <v>289</v>
      </c>
      <c r="H10" s="55">
        <f t="shared" ref="H10:H73" si="4">G10/$J$3</f>
        <v>7.6496310177979652E-4</v>
      </c>
      <c r="I10" s="65">
        <f>SUM($G$7:G10)</f>
        <v>1099</v>
      </c>
      <c r="J10" s="57">
        <f t="shared" ref="J10:J73" si="5">I10/$J$3</f>
        <v>2.9089773316816484E-3</v>
      </c>
      <c r="K10" s="31"/>
      <c r="L10" s="19" t="str">
        <f t="shared" si="1"/>
        <v/>
      </c>
      <c r="N10" s="18"/>
      <c r="P10" s="18">
        <v>4</v>
      </c>
      <c r="Q10" s="18">
        <f>'표점등급&amp;절평인원 입력기능'!C7</f>
        <v>105</v>
      </c>
    </row>
    <row r="11" spans="1:17" s="15" customFormat="1" ht="25" customHeight="1">
      <c r="A11" s="13"/>
      <c r="B11" s="26"/>
      <c r="C11" s="58">
        <v>96</v>
      </c>
      <c r="D11" s="52">
        <f t="shared" si="2"/>
        <v>146</v>
      </c>
      <c r="E11" s="52">
        <f t="shared" si="0"/>
        <v>1</v>
      </c>
      <c r="F11" s="53">
        <f t="shared" si="3"/>
        <v>99.63</v>
      </c>
      <c r="G11" s="54">
        <f>IF(D11=D10,"",_xlfn.IFNA(VLOOKUP(D11,'인원 입력 기능'!$A$5:$D$103,4,FALSE),0))</f>
        <v>615</v>
      </c>
      <c r="H11" s="55">
        <f t="shared" si="4"/>
        <v>1.6278626560365913E-3</v>
      </c>
      <c r="I11" s="65">
        <f>SUM($G$7:G11)</f>
        <v>1714</v>
      </c>
      <c r="J11" s="57">
        <f t="shared" si="5"/>
        <v>4.5368399877182396E-3</v>
      </c>
      <c r="K11" s="31"/>
      <c r="L11" s="19" t="str">
        <f t="shared" si="1"/>
        <v/>
      </c>
      <c r="N11" s="18"/>
      <c r="P11" s="18">
        <v>5</v>
      </c>
      <c r="Q11" s="18">
        <f>'표점등급&amp;절평인원 입력기능'!C8</f>
        <v>93</v>
      </c>
    </row>
    <row r="12" spans="1:17" s="15" customFormat="1" ht="25" customHeight="1">
      <c r="A12" s="13"/>
      <c r="B12" s="26"/>
      <c r="C12" s="58">
        <v>95</v>
      </c>
      <c r="D12" s="52">
        <f t="shared" si="2"/>
        <v>145</v>
      </c>
      <c r="E12" s="52">
        <f t="shared" si="0"/>
        <v>1</v>
      </c>
      <c r="F12" s="53">
        <f t="shared" si="3"/>
        <v>99.45</v>
      </c>
      <c r="G12" s="54">
        <f>IF(D12=D11,"",_xlfn.IFNA(VLOOKUP(D12,'인원 입력 기능'!$A$5:$D$103,4,FALSE),0))</f>
        <v>765</v>
      </c>
      <c r="H12" s="55">
        <f t="shared" si="4"/>
        <v>2.0249023282406377E-3</v>
      </c>
      <c r="I12" s="65">
        <f>SUM($G$7:G12)</f>
        <v>2479</v>
      </c>
      <c r="J12" s="57">
        <f t="shared" si="5"/>
        <v>6.5617423159588769E-3</v>
      </c>
      <c r="K12" s="31"/>
      <c r="L12" s="19" t="str">
        <f t="shared" si="1"/>
        <v/>
      </c>
      <c r="N12" s="18"/>
      <c r="P12" s="18">
        <v>6</v>
      </c>
      <c r="Q12" s="18">
        <f>'표점등급&amp;절평인원 입력기능'!C9</f>
        <v>82</v>
      </c>
    </row>
    <row r="13" spans="1:17" s="15" customFormat="1" ht="25" customHeight="1">
      <c r="A13" s="13"/>
      <c r="B13" s="26"/>
      <c r="C13" s="58">
        <v>94</v>
      </c>
      <c r="D13" s="52">
        <f t="shared" si="2"/>
        <v>144</v>
      </c>
      <c r="E13" s="52">
        <f t="shared" si="0"/>
        <v>1</v>
      </c>
      <c r="F13" s="53">
        <f t="shared" si="3"/>
        <v>99.26</v>
      </c>
      <c r="G13" s="54">
        <f>IF(D13=D12,"",_xlfn.IFNA(VLOOKUP(D13,'인원 입력 기능'!$A$5:$D$103,4,FALSE),0))</f>
        <v>638</v>
      </c>
      <c r="H13" s="55">
        <f t="shared" si="4"/>
        <v>1.6887420724412117E-3</v>
      </c>
      <c r="I13" s="65">
        <f>SUM($G$7:G13)</f>
        <v>3117</v>
      </c>
      <c r="J13" s="57">
        <f t="shared" si="5"/>
        <v>8.2504843884000888E-3</v>
      </c>
      <c r="K13" s="31"/>
      <c r="L13" s="19" t="str">
        <f t="shared" si="1"/>
        <v/>
      </c>
      <c r="N13" s="18"/>
      <c r="P13" s="18">
        <v>7</v>
      </c>
      <c r="Q13" s="18">
        <f>'표점등급&amp;절평인원 입력기능'!C10</f>
        <v>74</v>
      </c>
    </row>
    <row r="14" spans="1:17" s="15" customFormat="1" ht="25" customHeight="1">
      <c r="A14" s="13"/>
      <c r="B14" s="26"/>
      <c r="C14" s="58">
        <v>93</v>
      </c>
      <c r="D14" s="52">
        <f t="shared" si="2"/>
        <v>143</v>
      </c>
      <c r="E14" s="52">
        <f t="shared" si="0"/>
        <v>1</v>
      </c>
      <c r="F14" s="53">
        <f t="shared" si="3"/>
        <v>99.04</v>
      </c>
      <c r="G14" s="54">
        <f>IF(D14=D13,"",_xlfn.IFNA(VLOOKUP(D14,'인원 입력 기능'!$A$5:$D$103,4,FALSE),0))</f>
        <v>1033</v>
      </c>
      <c r="H14" s="55">
        <f t="shared" si="4"/>
        <v>2.7342798759118678E-3</v>
      </c>
      <c r="I14" s="65">
        <f>SUM($G$7:G14)</f>
        <v>4150</v>
      </c>
      <c r="J14" s="57">
        <f t="shared" si="5"/>
        <v>1.0984764264311957E-2</v>
      </c>
      <c r="K14" s="31"/>
      <c r="L14" s="19" t="str">
        <f t="shared" si="1"/>
        <v/>
      </c>
      <c r="N14" s="18"/>
      <c r="P14" s="18">
        <v>8</v>
      </c>
      <c r="Q14" s="18">
        <f>'표점등급&amp;절평인원 입력기능'!C11</f>
        <v>70</v>
      </c>
    </row>
    <row r="15" spans="1:17" s="15" customFormat="1" ht="25" customHeight="1">
      <c r="A15" s="13"/>
      <c r="B15" s="26"/>
      <c r="C15" s="58">
        <v>92</v>
      </c>
      <c r="D15" s="52">
        <f t="shared" si="2"/>
        <v>142</v>
      </c>
      <c r="E15" s="52">
        <f t="shared" si="0"/>
        <v>1</v>
      </c>
      <c r="F15" s="53">
        <f t="shared" si="3"/>
        <v>98.78</v>
      </c>
      <c r="G15" s="54">
        <f>IF(D15=D14,"",_xlfn.IFNA(VLOOKUP(D15,'인원 입력 기능'!$A$5:$D$103,4,FALSE),0))</f>
        <v>885</v>
      </c>
      <c r="H15" s="55">
        <f t="shared" si="4"/>
        <v>2.342534066003875E-3</v>
      </c>
      <c r="I15" s="65">
        <f>SUM($G$7:G15)</f>
        <v>5035</v>
      </c>
      <c r="J15" s="57">
        <f t="shared" si="5"/>
        <v>1.3327298330315832E-2</v>
      </c>
      <c r="K15" s="31"/>
      <c r="L15" s="19" t="str">
        <f t="shared" si="1"/>
        <v/>
      </c>
      <c r="N15" s="18"/>
      <c r="P15" s="18">
        <v>9</v>
      </c>
      <c r="Q15" s="18"/>
    </row>
    <row r="16" spans="1:17" s="15" customFormat="1" ht="25" customHeight="1">
      <c r="A16" s="13"/>
      <c r="B16" s="26"/>
      <c r="C16" s="66">
        <v>91</v>
      </c>
      <c r="D16" s="52">
        <f t="shared" si="2"/>
        <v>141</v>
      </c>
      <c r="E16" s="67">
        <f t="shared" si="0"/>
        <v>1</v>
      </c>
      <c r="F16" s="53">
        <f t="shared" si="3"/>
        <v>98.49</v>
      </c>
      <c r="G16" s="54">
        <f>IF(D16=D15,"",_xlfn.IFNA(VLOOKUP(D16,'인원 입력 기능'!$A$5:$D$103,4,FALSE),0))</f>
        <v>1304</v>
      </c>
      <c r="H16" s="55">
        <f t="shared" si="4"/>
        <v>3.4515982170271785E-3</v>
      </c>
      <c r="I16" s="68">
        <f>SUM($G$7:G16)</f>
        <v>6339</v>
      </c>
      <c r="J16" s="57">
        <f t="shared" si="5"/>
        <v>1.6778896547343009E-2</v>
      </c>
      <c r="K16" s="31"/>
      <c r="L16" s="19" t="str">
        <f t="shared" si="1"/>
        <v/>
      </c>
      <c r="N16" s="18"/>
    </row>
    <row r="17" spans="1:17" s="15" customFormat="1" ht="25" customHeight="1">
      <c r="A17" s="13"/>
      <c r="B17" s="26"/>
      <c r="C17" s="66">
        <v>90</v>
      </c>
      <c r="D17" s="52">
        <f t="shared" si="2"/>
        <v>140</v>
      </c>
      <c r="E17" s="67">
        <f t="shared" si="0"/>
        <v>1</v>
      </c>
      <c r="F17" s="53">
        <f t="shared" si="3"/>
        <v>98.14</v>
      </c>
      <c r="G17" s="54">
        <f>IF(D17=D16,"",_xlfn.IFNA(VLOOKUP(D17,'인원 입력 기능'!$A$5:$D$103,4,FALSE),0))</f>
        <v>1379</v>
      </c>
      <c r="H17" s="55">
        <f t="shared" si="4"/>
        <v>3.6501180531292019E-3</v>
      </c>
      <c r="I17" s="68">
        <f>SUM($G$7:G17)</f>
        <v>7718</v>
      </c>
      <c r="J17" s="57">
        <f t="shared" si="5"/>
        <v>2.0429014600472212E-2</v>
      </c>
      <c r="K17" s="31"/>
      <c r="L17" s="19" t="str">
        <f t="shared" si="1"/>
        <v/>
      </c>
      <c r="N17" s="18"/>
      <c r="Q17" s="15">
        <f>IF(H3*H4*J3*Q7=0, 0, 1)</f>
        <v>1</v>
      </c>
    </row>
    <row r="18" spans="1:17" s="15" customFormat="1" ht="25" customHeight="1">
      <c r="A18" s="13"/>
      <c r="B18" s="26"/>
      <c r="C18" s="66">
        <v>89</v>
      </c>
      <c r="D18" s="52">
        <f t="shared" si="2"/>
        <v>139</v>
      </c>
      <c r="E18" s="67">
        <f t="shared" si="0"/>
        <v>1</v>
      </c>
      <c r="F18" s="53">
        <f t="shared" si="3"/>
        <v>97.76</v>
      </c>
      <c r="G18" s="54">
        <f>IF(D18=D17,"",_xlfn.IFNA(VLOOKUP(D18,'인원 입력 기능'!$A$5:$D$103,4,FALSE),0))</f>
        <v>1523</v>
      </c>
      <c r="H18" s="55">
        <f t="shared" si="4"/>
        <v>4.0312761384450864E-3</v>
      </c>
      <c r="I18" s="68">
        <f>SUM($G$7:G18)</f>
        <v>9241</v>
      </c>
      <c r="J18" s="57">
        <f t="shared" si="5"/>
        <v>2.4460290738917298E-2</v>
      </c>
      <c r="K18" s="31"/>
      <c r="L18" s="19" t="str">
        <f t="shared" si="1"/>
        <v/>
      </c>
      <c r="N18" s="18"/>
    </row>
    <row r="19" spans="1:17" s="15" customFormat="1" ht="25" customHeight="1">
      <c r="A19" s="13"/>
      <c r="B19" s="26"/>
      <c r="C19" s="66">
        <v>88</v>
      </c>
      <c r="D19" s="52">
        <f t="shared" si="2"/>
        <v>138</v>
      </c>
      <c r="E19" s="67">
        <f t="shared" si="0"/>
        <v>1</v>
      </c>
      <c r="F19" s="53">
        <f t="shared" si="3"/>
        <v>97.33</v>
      </c>
      <c r="G19" s="54">
        <f>IF(D19=D18,"",_xlfn.IFNA(VLOOKUP(D19,'인원 입력 기능'!$A$5:$D$103,4,FALSE),0))</f>
        <v>1704</v>
      </c>
      <c r="H19" s="55">
        <f t="shared" si="4"/>
        <v>4.5103706762379698E-3</v>
      </c>
      <c r="I19" s="68">
        <f>SUM($G$7:G19)</f>
        <v>10945</v>
      </c>
      <c r="J19" s="57">
        <f t="shared" si="5"/>
        <v>2.897066141515527E-2</v>
      </c>
      <c r="K19" s="31"/>
      <c r="L19" s="19" t="str">
        <f t="shared" si="1"/>
        <v/>
      </c>
      <c r="N19" s="104"/>
    </row>
    <row r="20" spans="1:17" s="15" customFormat="1" ht="25" customHeight="1">
      <c r="A20" s="13"/>
      <c r="B20" s="26"/>
      <c r="C20" s="66">
        <v>87</v>
      </c>
      <c r="D20" s="52">
        <f t="shared" si="2"/>
        <v>137</v>
      </c>
      <c r="E20" s="67">
        <f t="shared" si="0"/>
        <v>1</v>
      </c>
      <c r="F20" s="53">
        <f t="shared" si="3"/>
        <v>96.88</v>
      </c>
      <c r="G20" s="54">
        <f>IF(D20=D19,"",_xlfn.IFNA(VLOOKUP(D20,'인원 입력 기능'!$A$5:$D$103,4,FALSE),0))</f>
        <v>1660</v>
      </c>
      <c r="H20" s="55">
        <f t="shared" si="4"/>
        <v>4.3939057057247825E-3</v>
      </c>
      <c r="I20" s="68">
        <f>SUM($G$7:G20)</f>
        <v>12605</v>
      </c>
      <c r="J20" s="57">
        <f t="shared" si="5"/>
        <v>3.3364567120880054E-2</v>
      </c>
      <c r="K20" s="31"/>
      <c r="L20" s="19" t="str">
        <f t="shared" si="1"/>
        <v/>
      </c>
      <c r="N20" s="104"/>
    </row>
    <row r="21" spans="1:17" s="15" customFormat="1" ht="25" customHeight="1">
      <c r="A21" s="13"/>
      <c r="B21" s="26"/>
      <c r="C21" s="66">
        <v>86</v>
      </c>
      <c r="D21" s="52">
        <f t="shared" si="2"/>
        <v>136</v>
      </c>
      <c r="E21" s="67">
        <f t="shared" si="0"/>
        <v>1</v>
      </c>
      <c r="F21" s="53">
        <f t="shared" si="3"/>
        <v>96.4</v>
      </c>
      <c r="G21" s="54">
        <f>IF(D21=D20,"",_xlfn.IFNA(VLOOKUP(D21,'인원 입력 기능'!$A$5:$D$103,4,FALSE),0))</f>
        <v>1979</v>
      </c>
      <c r="H21" s="55">
        <f t="shared" si="4"/>
        <v>5.2382767419453889E-3</v>
      </c>
      <c r="I21" s="68">
        <f>SUM($G$7:G21)</f>
        <v>14584</v>
      </c>
      <c r="J21" s="57">
        <f t="shared" si="5"/>
        <v>3.8602843862825441E-2</v>
      </c>
      <c r="K21" s="31"/>
      <c r="L21" s="19" t="str">
        <f t="shared" si="1"/>
        <v/>
      </c>
      <c r="N21" s="18"/>
    </row>
    <row r="22" spans="1:17" s="15" customFormat="1" ht="25" customHeight="1">
      <c r="A22" s="13"/>
      <c r="B22" s="26"/>
      <c r="C22" s="66">
        <v>85</v>
      </c>
      <c r="D22" s="144">
        <v>135</v>
      </c>
      <c r="E22" s="146">
        <f t="shared" si="0"/>
        <v>1</v>
      </c>
      <c r="F22" s="148">
        <f t="shared" si="3"/>
        <v>95.56</v>
      </c>
      <c r="G22" s="150">
        <f>IF(D22=D21,"",_xlfn.IFNA(VLOOKUP(D22,'인원 입력 기능'!$A$5:$D$103,4,FALSE),0))</f>
        <v>4418</v>
      </c>
      <c r="H22" s="151">
        <f t="shared" si="4"/>
        <v>1.1694141811983187E-2</v>
      </c>
      <c r="I22" s="153">
        <f>SUM($G$7:G22)</f>
        <v>19002</v>
      </c>
      <c r="J22" s="155">
        <f t="shared" si="5"/>
        <v>5.0296985674808628E-2</v>
      </c>
      <c r="K22" s="31"/>
      <c r="L22" s="19" t="str">
        <f t="shared" si="1"/>
        <v>경고</v>
      </c>
      <c r="N22" s="18"/>
    </row>
    <row r="23" spans="1:17" s="15" customFormat="1" ht="25" customHeight="1">
      <c r="A23" s="13"/>
      <c r="B23" s="26"/>
      <c r="C23" s="66">
        <v>84</v>
      </c>
      <c r="D23" s="143"/>
      <c r="E23" s="145"/>
      <c r="F23" s="147"/>
      <c r="G23" s="149"/>
      <c r="H23" s="152"/>
      <c r="I23" s="154"/>
      <c r="J23" s="156"/>
      <c r="K23" s="31"/>
      <c r="L23" s="19" t="str">
        <f t="shared" si="1"/>
        <v>경고</v>
      </c>
      <c r="N23" s="18"/>
    </row>
    <row r="24" spans="1:17" s="15" customFormat="1" ht="25" customHeight="1">
      <c r="A24" s="13"/>
      <c r="B24" s="26"/>
      <c r="C24" s="66">
        <v>83</v>
      </c>
      <c r="D24" s="52">
        <f t="shared" si="2"/>
        <v>134</v>
      </c>
      <c r="E24" s="67">
        <f t="shared" si="0"/>
        <v>2</v>
      </c>
      <c r="F24" s="53">
        <f t="shared" si="3"/>
        <v>94.64</v>
      </c>
      <c r="G24" s="54">
        <f>IF(D24=D23,"",_xlfn.IFNA(VLOOKUP(D24,'인원 입력 기능'!$A$5:$D$103,4,FALSE),0))</f>
        <v>2472</v>
      </c>
      <c r="H24" s="55">
        <f t="shared" si="4"/>
        <v>6.5432137979226888E-3</v>
      </c>
      <c r="I24" s="68">
        <f>SUM($G$7:G24)</f>
        <v>21474</v>
      </c>
      <c r="J24" s="57">
        <f t="shared" si="5"/>
        <v>5.6840199472731313E-2</v>
      </c>
      <c r="K24" s="31"/>
      <c r="L24" s="19" t="str">
        <f t="shared" si="1"/>
        <v/>
      </c>
      <c r="N24" s="18"/>
    </row>
    <row r="25" spans="1:17" s="15" customFormat="1" ht="25" customHeight="1">
      <c r="A25" s="13"/>
      <c r="B25" s="26"/>
      <c r="C25" s="66">
        <v>82</v>
      </c>
      <c r="D25" s="52">
        <f t="shared" si="2"/>
        <v>133</v>
      </c>
      <c r="E25" s="67">
        <f t="shared" si="0"/>
        <v>2</v>
      </c>
      <c r="F25" s="53">
        <f t="shared" si="3"/>
        <v>93.97</v>
      </c>
      <c r="G25" s="54">
        <f>IF(D25=D24,"",_xlfn.IFNA(VLOOKUP(D25,'인원 입력 기능'!$A$5:$D$103,4,FALSE),0))</f>
        <v>2632</v>
      </c>
      <c r="H25" s="55">
        <f t="shared" si="4"/>
        <v>6.9667227816070047E-3</v>
      </c>
      <c r="I25" s="68">
        <f>SUM($G$7:G25)</f>
        <v>24106</v>
      </c>
      <c r="J25" s="57">
        <f t="shared" si="5"/>
        <v>6.3806922254338316E-2</v>
      </c>
      <c r="K25" s="31"/>
      <c r="L25" s="19" t="str">
        <f t="shared" si="1"/>
        <v/>
      </c>
      <c r="N25" s="18"/>
    </row>
    <row r="26" spans="1:17" s="15" customFormat="1" ht="25" customHeight="1">
      <c r="A26" s="13"/>
      <c r="B26" s="26"/>
      <c r="C26" s="66">
        <v>81</v>
      </c>
      <c r="D26" s="52">
        <f t="shared" si="2"/>
        <v>132</v>
      </c>
      <c r="E26" s="67">
        <f t="shared" si="0"/>
        <v>2</v>
      </c>
      <c r="F26" s="53">
        <f t="shared" si="3"/>
        <v>93.24</v>
      </c>
      <c r="G26" s="54">
        <f>IF(D26=D25,"",_xlfn.IFNA(VLOOKUP(D26,'인원 입력 기능'!$A$5:$D$103,4,FALSE),0))</f>
        <v>2850</v>
      </c>
      <c r="H26" s="55">
        <f t="shared" si="4"/>
        <v>7.5437537718768856E-3</v>
      </c>
      <c r="I26" s="68">
        <f>SUM($G$7:G26)</f>
        <v>26956</v>
      </c>
      <c r="J26" s="57">
        <f t="shared" si="5"/>
        <v>7.1350676026215212E-2</v>
      </c>
      <c r="K26" s="31"/>
      <c r="L26" s="19" t="str">
        <f t="shared" si="1"/>
        <v/>
      </c>
      <c r="N26" s="18"/>
    </row>
    <row r="27" spans="1:17" s="15" customFormat="1" ht="25" customHeight="1">
      <c r="A27" s="13"/>
      <c r="B27" s="26"/>
      <c r="C27" s="66">
        <v>80</v>
      </c>
      <c r="D27" s="52">
        <f t="shared" si="2"/>
        <v>131</v>
      </c>
      <c r="E27" s="67">
        <f t="shared" si="0"/>
        <v>2</v>
      </c>
      <c r="F27" s="53">
        <f t="shared" si="3"/>
        <v>92.48</v>
      </c>
      <c r="G27" s="54">
        <f>IF(D27=D26,"",_xlfn.IFNA(VLOOKUP(D27,'인원 입력 기능'!$A$5:$D$103,4,FALSE),0))</f>
        <v>2927</v>
      </c>
      <c r="H27" s="55">
        <f t="shared" si="4"/>
        <v>7.7475674702749634E-3</v>
      </c>
      <c r="I27" s="68">
        <f>SUM($G$7:G27)</f>
        <v>29883</v>
      </c>
      <c r="J27" s="57">
        <f t="shared" si="5"/>
        <v>7.9098243496490167E-2</v>
      </c>
      <c r="K27" s="31"/>
      <c r="L27" s="19" t="str">
        <f t="shared" si="1"/>
        <v/>
      </c>
      <c r="N27" s="18"/>
    </row>
    <row r="28" spans="1:17" s="15" customFormat="1" ht="25" customHeight="1">
      <c r="A28" s="13"/>
      <c r="B28" s="26"/>
      <c r="C28" s="66">
        <v>79</v>
      </c>
      <c r="D28" s="52">
        <f t="shared" si="2"/>
        <v>130</v>
      </c>
      <c r="E28" s="67">
        <f t="shared" si="0"/>
        <v>2</v>
      </c>
      <c r="F28" s="53">
        <f t="shared" si="3"/>
        <v>91.67</v>
      </c>
      <c r="G28" s="54">
        <f>IF(D28=D27,"",_xlfn.IFNA(VLOOKUP(D28,'인원 입력 기능'!$A$5:$D$103,4,FALSE),0))</f>
        <v>3161</v>
      </c>
      <c r="H28" s="55">
        <f t="shared" si="4"/>
        <v>8.3669493589132761E-3</v>
      </c>
      <c r="I28" s="68">
        <f>SUM($G$7:G28)</f>
        <v>33044</v>
      </c>
      <c r="J28" s="57">
        <f t="shared" si="5"/>
        <v>8.746519285540344E-2</v>
      </c>
      <c r="K28" s="31"/>
      <c r="L28" s="19" t="str">
        <f t="shared" si="1"/>
        <v/>
      </c>
      <c r="N28" s="18"/>
    </row>
    <row r="29" spans="1:17" s="15" customFormat="1" ht="25" customHeight="1">
      <c r="A29" s="13"/>
      <c r="B29" s="26"/>
      <c r="C29" s="66">
        <v>78</v>
      </c>
      <c r="D29" s="52">
        <f t="shared" si="2"/>
        <v>129</v>
      </c>
      <c r="E29" s="67">
        <f t="shared" si="0"/>
        <v>2</v>
      </c>
      <c r="F29" s="53">
        <f t="shared" si="3"/>
        <v>90.83</v>
      </c>
      <c r="G29" s="54">
        <f>IF(D29=D28,"",_xlfn.IFNA(VLOOKUP(D29,'인원 입력 기능'!$A$5:$D$103,4,FALSE),0))</f>
        <v>3189</v>
      </c>
      <c r="H29" s="55">
        <f t="shared" si="4"/>
        <v>8.4410634310580317E-3</v>
      </c>
      <c r="I29" s="68">
        <f>SUM($G$7:G29)</f>
        <v>36233</v>
      </c>
      <c r="J29" s="57">
        <f t="shared" si="5"/>
        <v>9.5906256286461475E-2</v>
      </c>
      <c r="K29" s="31"/>
      <c r="L29" s="19" t="str">
        <f t="shared" si="1"/>
        <v/>
      </c>
      <c r="N29" s="18"/>
    </row>
    <row r="30" spans="1:17" s="15" customFormat="1" ht="25" customHeight="1">
      <c r="A30" s="13"/>
      <c r="B30" s="26"/>
      <c r="C30" s="66">
        <v>77</v>
      </c>
      <c r="D30" s="52">
        <f t="shared" si="2"/>
        <v>128</v>
      </c>
      <c r="E30" s="67">
        <f t="shared" si="0"/>
        <v>2</v>
      </c>
      <c r="F30" s="53">
        <f t="shared" si="3"/>
        <v>89.96</v>
      </c>
      <c r="G30" s="54">
        <f>IF(D30=D29,"",_xlfn.IFNA(VLOOKUP(D30,'인원 입력 기능'!$A$5:$D$103,4,FALSE),0))</f>
        <v>3370</v>
      </c>
      <c r="H30" s="55">
        <f t="shared" si="4"/>
        <v>8.9201579688509142E-3</v>
      </c>
      <c r="I30" s="68">
        <f>SUM($G$7:G30)</f>
        <v>39603</v>
      </c>
      <c r="J30" s="57">
        <f t="shared" si="5"/>
        <v>0.10482641425531239</v>
      </c>
      <c r="K30" s="31"/>
      <c r="L30" s="19" t="str">
        <f t="shared" si="1"/>
        <v/>
      </c>
      <c r="N30" s="18"/>
    </row>
    <row r="31" spans="1:17" s="15" customFormat="1" ht="25" customHeight="1">
      <c r="A31" s="13"/>
      <c r="B31" s="26"/>
      <c r="C31" s="66">
        <v>76</v>
      </c>
      <c r="D31" s="52">
        <f t="shared" si="2"/>
        <v>127</v>
      </c>
      <c r="E31" s="67">
        <f t="shared" si="0"/>
        <v>2</v>
      </c>
      <c r="F31" s="53">
        <f t="shared" si="3"/>
        <v>89.05</v>
      </c>
      <c r="G31" s="54">
        <f>IF(D31=D30,"",_xlfn.IFNA(VLOOKUP(D31,'인원 입력 기능'!$A$5:$D$103,4,FALSE),0))</f>
        <v>3561</v>
      </c>
      <c r="H31" s="55">
        <f t="shared" si="4"/>
        <v>9.4257218181240665E-3</v>
      </c>
      <c r="I31" s="68">
        <f>SUM($G$7:G31)</f>
        <v>43164</v>
      </c>
      <c r="J31" s="57">
        <f t="shared" si="5"/>
        <v>0.11425213607343646</v>
      </c>
      <c r="K31" s="31"/>
      <c r="L31" s="19" t="str">
        <f t="shared" si="1"/>
        <v/>
      </c>
      <c r="N31" s="18"/>
    </row>
    <row r="32" spans="1:17" s="15" customFormat="1" ht="25" customHeight="1">
      <c r="A32" s="13"/>
      <c r="B32" s="26"/>
      <c r="C32" s="66">
        <v>75</v>
      </c>
      <c r="D32" s="52">
        <f t="shared" si="2"/>
        <v>126</v>
      </c>
      <c r="E32" s="67">
        <f t="shared" si="0"/>
        <v>3</v>
      </c>
      <c r="F32" s="53">
        <f t="shared" si="3"/>
        <v>88.1</v>
      </c>
      <c r="G32" s="54">
        <f>IF(D32=D31,"",_xlfn.IFNA(VLOOKUP(D32,'인원 입력 기능'!$A$5:$D$103,4,FALSE),0))</f>
        <v>3625</v>
      </c>
      <c r="H32" s="55">
        <f t="shared" si="4"/>
        <v>9.5951254115977935E-3</v>
      </c>
      <c r="I32" s="68">
        <f>SUM($G$7:G32)</f>
        <v>46789</v>
      </c>
      <c r="J32" s="57">
        <f t="shared" si="5"/>
        <v>0.12384726148503425</v>
      </c>
      <c r="K32" s="31"/>
      <c r="L32" s="19" t="str">
        <f t="shared" si="1"/>
        <v/>
      </c>
      <c r="N32" s="18"/>
    </row>
    <row r="33" spans="1:14" s="15" customFormat="1" ht="25" customHeight="1">
      <c r="A33" s="13"/>
      <c r="B33" s="26"/>
      <c r="C33" s="66">
        <v>74</v>
      </c>
      <c r="D33" s="52">
        <f t="shared" si="2"/>
        <v>125</v>
      </c>
      <c r="E33" s="67">
        <f t="shared" si="0"/>
        <v>3</v>
      </c>
      <c r="F33" s="53">
        <f t="shared" si="3"/>
        <v>87.11</v>
      </c>
      <c r="G33" s="54">
        <f>IF(D33=D32,"",_xlfn.IFNA(VLOOKUP(D33,'인원 입력 기능'!$A$5:$D$103,4,FALSE),0))</f>
        <v>3810</v>
      </c>
      <c r="H33" s="55">
        <f t="shared" si="4"/>
        <v>1.0084807673982784E-2</v>
      </c>
      <c r="I33" s="68">
        <f>SUM($G$7:G33)</f>
        <v>50599</v>
      </c>
      <c r="J33" s="57">
        <f t="shared" si="5"/>
        <v>0.13393206915901704</v>
      </c>
      <c r="K33" s="31"/>
      <c r="L33" s="19" t="str">
        <f t="shared" si="1"/>
        <v/>
      </c>
      <c r="N33" s="18"/>
    </row>
    <row r="34" spans="1:14" s="15" customFormat="1" ht="25" customHeight="1">
      <c r="A34" s="13"/>
      <c r="B34" s="26"/>
      <c r="C34" s="66">
        <v>73</v>
      </c>
      <c r="D34" s="52">
        <f t="shared" si="2"/>
        <v>124</v>
      </c>
      <c r="E34" s="67">
        <f t="shared" si="0"/>
        <v>3</v>
      </c>
      <c r="F34" s="53">
        <f t="shared" si="3"/>
        <v>86.08</v>
      </c>
      <c r="G34" s="54">
        <f>IF(D34=D33,"",_xlfn.IFNA(VLOOKUP(D34,'인원 입력 기능'!$A$5:$D$103,4,FALSE),0))</f>
        <v>3996</v>
      </c>
      <c r="H34" s="55">
        <f t="shared" si="4"/>
        <v>1.0577136867515801E-2</v>
      </c>
      <c r="I34" s="68">
        <f>SUM($G$7:G34)</f>
        <v>54595</v>
      </c>
      <c r="J34" s="57">
        <f t="shared" si="5"/>
        <v>0.14450920602653283</v>
      </c>
      <c r="K34" s="31"/>
      <c r="L34" s="19" t="str">
        <f t="shared" si="1"/>
        <v/>
      </c>
      <c r="N34" s="18"/>
    </row>
    <row r="35" spans="1:14" s="15" customFormat="1" ht="25" customHeight="1">
      <c r="A35" s="13"/>
      <c r="B35" s="26"/>
      <c r="C35" s="66">
        <v>72</v>
      </c>
      <c r="D35" s="52">
        <f t="shared" si="2"/>
        <v>123</v>
      </c>
      <c r="E35" s="67">
        <f t="shared" si="0"/>
        <v>3</v>
      </c>
      <c r="F35" s="53">
        <f t="shared" si="3"/>
        <v>84.99</v>
      </c>
      <c r="G35" s="54">
        <f>IF(D35=D34,"",_xlfn.IFNA(VLOOKUP(D35,'인원 입력 기능'!$A$5:$D$103,4,FALSE),0))</f>
        <v>4254</v>
      </c>
      <c r="H35" s="55">
        <f t="shared" si="4"/>
        <v>1.1260045103706762E-2</v>
      </c>
      <c r="I35" s="68">
        <f>SUM($G$7:G35)</f>
        <v>58849</v>
      </c>
      <c r="J35" s="57">
        <f t="shared" si="5"/>
        <v>0.15576925113023959</v>
      </c>
      <c r="K35" s="31"/>
      <c r="L35" s="19" t="str">
        <f t="shared" si="1"/>
        <v/>
      </c>
      <c r="N35" s="18"/>
    </row>
    <row r="36" spans="1:14" s="15" customFormat="1" ht="25" customHeight="1">
      <c r="A36" s="13"/>
      <c r="B36" s="26"/>
      <c r="C36" s="66">
        <v>71</v>
      </c>
      <c r="D36" s="52">
        <f t="shared" si="2"/>
        <v>122</v>
      </c>
      <c r="E36" s="67">
        <f t="shared" si="0"/>
        <v>3</v>
      </c>
      <c r="F36" s="53">
        <f t="shared" si="3"/>
        <v>83.85</v>
      </c>
      <c r="G36" s="54">
        <f>IF(D36=D35,"",_xlfn.IFNA(VLOOKUP(D36,'인원 입력 기능'!$A$5:$D$103,4,FALSE),0))</f>
        <v>4334</v>
      </c>
      <c r="H36" s="55">
        <f t="shared" si="4"/>
        <v>1.147179959554892E-2</v>
      </c>
      <c r="I36" s="68">
        <f>SUM($G$7:G36)</f>
        <v>63183</v>
      </c>
      <c r="J36" s="57">
        <f t="shared" si="5"/>
        <v>0.16724105072578851</v>
      </c>
      <c r="K36" s="31"/>
      <c r="L36" s="19" t="str">
        <f t="shared" si="1"/>
        <v/>
      </c>
      <c r="N36" s="18"/>
    </row>
    <row r="37" spans="1:14" s="15" customFormat="1" ht="25" customHeight="1">
      <c r="A37" s="13"/>
      <c r="B37" s="26"/>
      <c r="C37" s="66">
        <v>70</v>
      </c>
      <c r="D37" s="52">
        <f t="shared" si="2"/>
        <v>121</v>
      </c>
      <c r="E37" s="67">
        <f t="shared" si="0"/>
        <v>3</v>
      </c>
      <c r="F37" s="53">
        <f t="shared" si="3"/>
        <v>82.68</v>
      </c>
      <c r="G37" s="54">
        <f>IF(D37=D36,"",_xlfn.IFNA(VLOOKUP(D37,'인원 입력 기능'!$A$5:$D$103,4,FALSE),0))</f>
        <v>4517</v>
      </c>
      <c r="H37" s="55">
        <f t="shared" si="4"/>
        <v>1.1956187995637857E-2</v>
      </c>
      <c r="I37" s="68">
        <f>SUM($G$7:G37)</f>
        <v>67700</v>
      </c>
      <c r="J37" s="57">
        <f t="shared" si="5"/>
        <v>0.17919723872142637</v>
      </c>
      <c r="K37" s="31"/>
      <c r="L37" s="19" t="str">
        <f t="shared" si="1"/>
        <v/>
      </c>
      <c r="N37" s="18"/>
    </row>
    <row r="38" spans="1:14" s="15" customFormat="1" ht="25" customHeight="1">
      <c r="A38" s="13"/>
      <c r="B38" s="26"/>
      <c r="C38" s="66">
        <v>69</v>
      </c>
      <c r="D38" s="52">
        <f t="shared" si="2"/>
        <v>120</v>
      </c>
      <c r="E38" s="67">
        <f t="shared" si="0"/>
        <v>3</v>
      </c>
      <c r="F38" s="53">
        <f t="shared" si="3"/>
        <v>81.48</v>
      </c>
      <c r="G38" s="54">
        <f>IF(D38=D37,"",_xlfn.IFNA(VLOOKUP(D38,'인원 입력 기능'!$A$5:$D$103,4,FALSE),0))</f>
        <v>4559</v>
      </c>
      <c r="H38" s="55">
        <f t="shared" si="4"/>
        <v>1.206735910385499E-2</v>
      </c>
      <c r="I38" s="68">
        <f>SUM($G$7:G38)</f>
        <v>72259</v>
      </c>
      <c r="J38" s="57">
        <f t="shared" si="5"/>
        <v>0.19126459782528138</v>
      </c>
      <c r="K38" s="31"/>
      <c r="L38" s="19" t="str">
        <f t="shared" si="1"/>
        <v/>
      </c>
      <c r="N38" s="18"/>
    </row>
    <row r="39" spans="1:14" s="15" customFormat="1" ht="25" customHeight="1">
      <c r="A39" s="13"/>
      <c r="B39" s="26"/>
      <c r="C39" s="66">
        <v>68</v>
      </c>
      <c r="D39" s="52">
        <f t="shared" si="2"/>
        <v>119</v>
      </c>
      <c r="E39" s="67">
        <f t="shared" ref="E39:E70" si="6">IF(ROUND(D39,0)&gt;=$Q$7,1,IF(ROUND(D39,0)&gt;=$Q$8,2,IF(ROUND(D39,0)&gt;=$Q$9,3,IF(ROUND(D39,0)&gt;=$Q$10,4,IF(ROUND(D39,0)&gt;=$Q$11,5,IF(ROUND(D39,0)&gt;=$Q$12,6,IF(ROUND(D39,0)&gt;=$Q$13,7,IF(ROUND(D39,0)&gt;=$Q$14,8,9))))))))</f>
        <v>3</v>
      </c>
      <c r="F39" s="53">
        <f t="shared" si="3"/>
        <v>80.25</v>
      </c>
      <c r="G39" s="54">
        <f>IF(D39=D38,"",_xlfn.IFNA(VLOOKUP(D39,'인원 입력 기능'!$A$5:$D$103,4,FALSE),0))</f>
        <v>4723</v>
      </c>
      <c r="H39" s="55">
        <f t="shared" si="4"/>
        <v>1.2501455812131414E-2</v>
      </c>
      <c r="I39" s="68">
        <f>SUM($G$7:G39)</f>
        <v>76982</v>
      </c>
      <c r="J39" s="57">
        <f t="shared" si="5"/>
        <v>0.20376605363741279</v>
      </c>
      <c r="K39" s="31"/>
      <c r="L39" s="19" t="str">
        <f t="shared" si="1"/>
        <v/>
      </c>
      <c r="N39" s="18"/>
    </row>
    <row r="40" spans="1:14" s="15" customFormat="1" ht="25" customHeight="1">
      <c r="A40" s="13"/>
      <c r="B40" s="26"/>
      <c r="C40" s="66">
        <v>67</v>
      </c>
      <c r="D40" s="52">
        <f t="shared" si="2"/>
        <v>118</v>
      </c>
      <c r="E40" s="67">
        <f t="shared" si="6"/>
        <v>3</v>
      </c>
      <c r="F40" s="53">
        <f t="shared" si="3"/>
        <v>78.989999999999995</v>
      </c>
      <c r="G40" s="54">
        <f>IF(D40=D39,"",_xlfn.IFNA(VLOOKUP(D40,'인원 입력 기능'!$A$5:$D$103,4,FALSE),0))</f>
        <v>4816</v>
      </c>
      <c r="H40" s="55">
        <f t="shared" si="4"/>
        <v>1.2747620408897924E-2</v>
      </c>
      <c r="I40" s="68">
        <f>SUM($G$7:G40)</f>
        <v>81798</v>
      </c>
      <c r="J40" s="57">
        <f t="shared" si="5"/>
        <v>0.21651367404631069</v>
      </c>
      <c r="K40" s="31"/>
      <c r="L40" s="19" t="str">
        <f t="shared" si="1"/>
        <v/>
      </c>
      <c r="N40" s="18"/>
    </row>
    <row r="41" spans="1:14" s="15" customFormat="1" ht="25" customHeight="1">
      <c r="A41" s="13"/>
      <c r="B41" s="26"/>
      <c r="C41" s="66">
        <v>66</v>
      </c>
      <c r="D41" s="52">
        <f t="shared" si="2"/>
        <v>117</v>
      </c>
      <c r="E41" s="67">
        <f t="shared" si="6"/>
        <v>3</v>
      </c>
      <c r="F41" s="53">
        <f t="shared" si="3"/>
        <v>77.69</v>
      </c>
      <c r="G41" s="54">
        <f>IF(D41=D40,"",_xlfn.IFNA(VLOOKUP(D41,'인원 입력 기능'!$A$5:$D$103,4,FALSE),0))</f>
        <v>4960</v>
      </c>
      <c r="H41" s="55">
        <f t="shared" si="4"/>
        <v>1.3128778494213808E-2</v>
      </c>
      <c r="I41" s="68">
        <f>SUM($G$7:G41)</f>
        <v>86758</v>
      </c>
      <c r="J41" s="57">
        <f t="shared" si="5"/>
        <v>0.22964245254052451</v>
      </c>
      <c r="K41" s="31"/>
      <c r="L41" s="19" t="str">
        <f t="shared" ref="L41:L72" si="7">IF(ABS((C41-$H$3)/$H$4*20+100-D41)&gt;0.49, "경고", "")</f>
        <v/>
      </c>
      <c r="N41" s="18"/>
    </row>
    <row r="42" spans="1:14" s="15" customFormat="1" ht="25" customHeight="1">
      <c r="A42" s="13"/>
      <c r="B42" s="26"/>
      <c r="C42" s="66">
        <v>65</v>
      </c>
      <c r="D42" s="52">
        <f t="shared" si="2"/>
        <v>116</v>
      </c>
      <c r="E42" s="67">
        <f t="shared" si="6"/>
        <v>3</v>
      </c>
      <c r="F42" s="53">
        <f t="shared" si="3"/>
        <v>76.36</v>
      </c>
      <c r="G42" s="54">
        <f>IF(D42=D41,"",_xlfn.IFNA(VLOOKUP(D42,'인원 입력 기능'!$A$5:$D$103,4,FALSE),0))</f>
        <v>5075</v>
      </c>
      <c r="H42" s="55">
        <f t="shared" si="4"/>
        <v>1.3433175576236911E-2</v>
      </c>
      <c r="I42" s="68">
        <f>SUM($G$7:G42)</f>
        <v>91833</v>
      </c>
      <c r="J42" s="57">
        <f t="shared" si="5"/>
        <v>0.24307562811676142</v>
      </c>
      <c r="K42" s="31"/>
      <c r="L42" s="19" t="str">
        <f t="shared" si="7"/>
        <v/>
      </c>
      <c r="N42" s="18"/>
    </row>
    <row r="43" spans="1:14" s="15" customFormat="1" ht="25" customHeight="1">
      <c r="A43" s="13"/>
      <c r="B43" s="26"/>
      <c r="C43" s="66">
        <v>64</v>
      </c>
      <c r="D43" s="52">
        <f t="shared" si="2"/>
        <v>115</v>
      </c>
      <c r="E43" s="67">
        <f t="shared" si="6"/>
        <v>4</v>
      </c>
      <c r="F43" s="53">
        <f t="shared" si="3"/>
        <v>74.989999999999995</v>
      </c>
      <c r="G43" s="54">
        <f>IF(D43=D42,"",_xlfn.IFNA(VLOOKUP(D43,'인원 입력 기능'!$A$5:$D$103,4,FALSE),0))</f>
        <v>5298</v>
      </c>
      <c r="H43" s="55">
        <f t="shared" si="4"/>
        <v>1.4023441222246927E-2</v>
      </c>
      <c r="I43" s="68">
        <f>SUM($G$7:G43)</f>
        <v>97131</v>
      </c>
      <c r="J43" s="57">
        <f t="shared" si="5"/>
        <v>0.25709906933900833</v>
      </c>
      <c r="K43" s="31"/>
      <c r="L43" s="19" t="str">
        <f t="shared" si="7"/>
        <v/>
      </c>
      <c r="N43" s="18"/>
    </row>
    <row r="44" spans="1:14" s="15" customFormat="1" ht="25" customHeight="1">
      <c r="A44" s="13"/>
      <c r="B44" s="26"/>
      <c r="C44" s="66">
        <v>63</v>
      </c>
      <c r="D44" s="52">
        <f t="shared" si="2"/>
        <v>114</v>
      </c>
      <c r="E44" s="67">
        <f t="shared" si="6"/>
        <v>4</v>
      </c>
      <c r="F44" s="53">
        <f t="shared" si="3"/>
        <v>73.59</v>
      </c>
      <c r="G44" s="54">
        <f>IF(D44=D43,"",_xlfn.IFNA(VLOOKUP(D44,'인원 입력 기능'!$A$5:$D$103,4,FALSE),0))</f>
        <v>5312</v>
      </c>
      <c r="H44" s="55">
        <f t="shared" si="4"/>
        <v>1.4060498258319305E-2</v>
      </c>
      <c r="I44" s="68">
        <f>SUM($G$7:G44)</f>
        <v>102443</v>
      </c>
      <c r="J44" s="57">
        <f t="shared" si="5"/>
        <v>0.27115956759732768</v>
      </c>
      <c r="K44" s="31"/>
      <c r="L44" s="19" t="str">
        <f t="shared" si="7"/>
        <v/>
      </c>
      <c r="N44" s="18"/>
    </row>
    <row r="45" spans="1:14" s="15" customFormat="1" ht="25" customHeight="1">
      <c r="A45" s="13"/>
      <c r="B45" s="26"/>
      <c r="C45" s="66">
        <v>62</v>
      </c>
      <c r="D45" s="52">
        <f t="shared" si="2"/>
        <v>113</v>
      </c>
      <c r="E45" s="67">
        <f t="shared" si="6"/>
        <v>4</v>
      </c>
      <c r="F45" s="53">
        <f t="shared" si="3"/>
        <v>72.150000000000006</v>
      </c>
      <c r="G45" s="54">
        <f>IF(D45=D44,"",_xlfn.IFNA(VLOOKUP(D45,'인원 입력 기능'!$A$5:$D$103,4,FALSE),0))</f>
        <v>5543</v>
      </c>
      <c r="H45" s="55">
        <f t="shared" si="4"/>
        <v>1.4671939353513536E-2</v>
      </c>
      <c r="I45" s="68">
        <f>SUM($G$7:G45)</f>
        <v>107986</v>
      </c>
      <c r="J45" s="57">
        <f t="shared" si="5"/>
        <v>0.2858315069508412</v>
      </c>
      <c r="K45" s="31"/>
      <c r="L45" s="19" t="str">
        <f t="shared" si="7"/>
        <v/>
      </c>
      <c r="N45" s="18"/>
    </row>
    <row r="46" spans="1:14" s="15" customFormat="1" ht="25" customHeight="1">
      <c r="A46" s="13"/>
      <c r="B46" s="26"/>
      <c r="C46" s="66">
        <v>61</v>
      </c>
      <c r="D46" s="52">
        <f t="shared" si="2"/>
        <v>112</v>
      </c>
      <c r="E46" s="67">
        <f t="shared" si="6"/>
        <v>4</v>
      </c>
      <c r="F46" s="53">
        <f t="shared" si="3"/>
        <v>70.680000000000007</v>
      </c>
      <c r="G46" s="54">
        <f>IF(D46=D45,"",_xlfn.IFNA(VLOOKUP(D46,'인원 입력 기능'!$A$5:$D$103,4,FALSE),0))</f>
        <v>5603</v>
      </c>
      <c r="H46" s="55">
        <f t="shared" si="4"/>
        <v>1.4830755222395155E-2</v>
      </c>
      <c r="I46" s="68">
        <f>SUM($G$7:G46)</f>
        <v>113589</v>
      </c>
      <c r="J46" s="57">
        <f t="shared" si="5"/>
        <v>0.30066226217323633</v>
      </c>
      <c r="K46" s="31"/>
      <c r="L46" s="19" t="str">
        <f t="shared" si="7"/>
        <v/>
      </c>
      <c r="N46" s="18"/>
    </row>
    <row r="47" spans="1:14" s="15" customFormat="1" ht="25" customHeight="1">
      <c r="A47" s="13"/>
      <c r="B47" s="26"/>
      <c r="C47" s="66">
        <v>60</v>
      </c>
      <c r="D47" s="52">
        <f t="shared" si="2"/>
        <v>111</v>
      </c>
      <c r="E47" s="67">
        <f t="shared" si="6"/>
        <v>4</v>
      </c>
      <c r="F47" s="53">
        <f t="shared" si="3"/>
        <v>69.180000000000007</v>
      </c>
      <c r="G47" s="54">
        <f>IF(D47=D46,"",_xlfn.IFNA(VLOOKUP(D47,'인원 입력 기능'!$A$5:$D$103,4,FALSE),0))</f>
        <v>5700</v>
      </c>
      <c r="H47" s="55">
        <f t="shared" si="4"/>
        <v>1.5087507543753771E-2</v>
      </c>
      <c r="I47" s="68">
        <f>SUM($G$7:G47)</f>
        <v>119289</v>
      </c>
      <c r="J47" s="57">
        <f t="shared" si="5"/>
        <v>0.31574976971699015</v>
      </c>
      <c r="K47" s="31"/>
      <c r="L47" s="19" t="str">
        <f t="shared" si="7"/>
        <v/>
      </c>
      <c r="N47" s="18"/>
    </row>
    <row r="48" spans="1:14" s="15" customFormat="1" ht="25" customHeight="1">
      <c r="A48" s="13"/>
      <c r="B48" s="26"/>
      <c r="C48" s="66">
        <v>59</v>
      </c>
      <c r="D48" s="52">
        <f t="shared" si="2"/>
        <v>110</v>
      </c>
      <c r="E48" s="67">
        <f t="shared" si="6"/>
        <v>4</v>
      </c>
      <c r="F48" s="53">
        <f t="shared" si="3"/>
        <v>67.66</v>
      </c>
      <c r="G48" s="54">
        <f>IF(D48=D47,"",_xlfn.IFNA(VLOOKUP(D48,'인원 입력 기능'!$A$5:$D$103,4,FALSE),0))</f>
        <v>5750</v>
      </c>
      <c r="H48" s="55">
        <f t="shared" si="4"/>
        <v>1.521985410115512E-2</v>
      </c>
      <c r="I48" s="68">
        <f>SUM($G$7:G48)</f>
        <v>125039</v>
      </c>
      <c r="J48" s="57">
        <f t="shared" si="5"/>
        <v>0.33096962381814526</v>
      </c>
      <c r="K48" s="31"/>
      <c r="L48" s="19" t="str">
        <f t="shared" si="7"/>
        <v/>
      </c>
      <c r="N48" s="18"/>
    </row>
    <row r="49" spans="1:14" s="15" customFormat="1" ht="25" customHeight="1">
      <c r="A49" s="13"/>
      <c r="B49" s="26"/>
      <c r="C49" s="66">
        <v>58</v>
      </c>
      <c r="D49" s="52">
        <f t="shared" si="2"/>
        <v>109</v>
      </c>
      <c r="E49" s="67">
        <f t="shared" si="6"/>
        <v>4</v>
      </c>
      <c r="F49" s="53">
        <f t="shared" si="3"/>
        <v>66.14</v>
      </c>
      <c r="G49" s="54">
        <f>IF(D49=D48,"",_xlfn.IFNA(VLOOKUP(D49,'인원 입력 기능'!$A$5:$D$103,4,FALSE),0))</f>
        <v>5771</v>
      </c>
      <c r="H49" s="55">
        <f t="shared" si="4"/>
        <v>1.5275439655263687E-2</v>
      </c>
      <c r="I49" s="68">
        <f>SUM($G$7:G49)</f>
        <v>130810</v>
      </c>
      <c r="J49" s="57">
        <f t="shared" si="5"/>
        <v>0.34624506347340894</v>
      </c>
      <c r="K49" s="31"/>
      <c r="L49" s="19" t="str">
        <f t="shared" si="7"/>
        <v/>
      </c>
      <c r="N49" s="18"/>
    </row>
    <row r="50" spans="1:14" s="15" customFormat="1" ht="25" customHeight="1">
      <c r="A50" s="13"/>
      <c r="B50" s="26"/>
      <c r="C50" s="66">
        <v>57</v>
      </c>
      <c r="D50" s="52">
        <f t="shared" si="2"/>
        <v>108</v>
      </c>
      <c r="E50" s="67">
        <f t="shared" si="6"/>
        <v>4</v>
      </c>
      <c r="F50" s="53">
        <f t="shared" si="3"/>
        <v>64.61</v>
      </c>
      <c r="G50" s="54">
        <f>IF(D50=D49,"",_xlfn.IFNA(VLOOKUP(D50,'인원 입력 기능'!$A$5:$D$103,4,FALSE),0))</f>
        <v>5794</v>
      </c>
      <c r="H50" s="55">
        <f t="shared" si="4"/>
        <v>1.5336319071668308E-2</v>
      </c>
      <c r="I50" s="68">
        <f>SUM($G$7:G50)</f>
        <v>136604</v>
      </c>
      <c r="J50" s="57">
        <f t="shared" si="5"/>
        <v>0.36158138254507721</v>
      </c>
      <c r="K50" s="31"/>
      <c r="L50" s="19" t="str">
        <f t="shared" si="7"/>
        <v/>
      </c>
      <c r="N50" s="18"/>
    </row>
    <row r="51" spans="1:14" s="15" customFormat="1" ht="25" customHeight="1">
      <c r="A51" s="13"/>
      <c r="B51" s="26"/>
      <c r="C51" s="66">
        <v>56</v>
      </c>
      <c r="D51" s="52">
        <f t="shared" si="2"/>
        <v>107</v>
      </c>
      <c r="E51" s="67">
        <f t="shared" si="6"/>
        <v>4</v>
      </c>
      <c r="F51" s="53">
        <f t="shared" si="3"/>
        <v>63.07</v>
      </c>
      <c r="G51" s="54">
        <f>IF(D51=D50,"",_xlfn.IFNA(VLOOKUP(D51,'인원 입력 기능'!$A$5:$D$103,4,FALSE),0))</f>
        <v>5835</v>
      </c>
      <c r="H51" s="55">
        <f t="shared" si="4"/>
        <v>1.5444843248737414E-2</v>
      </c>
      <c r="I51" s="68">
        <f>SUM($G$7:G51)</f>
        <v>142439</v>
      </c>
      <c r="J51" s="57">
        <f t="shared" si="5"/>
        <v>0.37702622579381467</v>
      </c>
      <c r="K51" s="31"/>
      <c r="L51" s="19" t="str">
        <f t="shared" si="7"/>
        <v/>
      </c>
      <c r="N51" s="18"/>
    </row>
    <row r="52" spans="1:14" s="15" customFormat="1" ht="25" customHeight="1">
      <c r="A52" s="13"/>
      <c r="B52" s="26"/>
      <c r="C52" s="66">
        <v>55</v>
      </c>
      <c r="D52" s="52">
        <f t="shared" si="2"/>
        <v>106</v>
      </c>
      <c r="E52" s="67">
        <f t="shared" si="6"/>
        <v>4</v>
      </c>
      <c r="F52" s="53">
        <f t="shared" si="3"/>
        <v>61.53</v>
      </c>
      <c r="G52" s="54">
        <f>IF(D52=D51,"",_xlfn.IFNA(VLOOKUP(D52,'인원 입력 기능'!$A$5:$D$103,4,FALSE),0))</f>
        <v>5773</v>
      </c>
      <c r="H52" s="55">
        <f t="shared" si="4"/>
        <v>1.5280733517559741E-2</v>
      </c>
      <c r="I52" s="68">
        <f>SUM($G$7:G52)</f>
        <v>148212</v>
      </c>
      <c r="J52" s="57">
        <f t="shared" si="5"/>
        <v>0.39230695931137438</v>
      </c>
      <c r="K52" s="31"/>
      <c r="L52" s="19" t="str">
        <f t="shared" si="7"/>
        <v/>
      </c>
      <c r="N52" s="18"/>
    </row>
    <row r="53" spans="1:14" s="15" customFormat="1" ht="25" customHeight="1">
      <c r="A53" s="13"/>
      <c r="B53" s="26"/>
      <c r="C53" s="66">
        <v>54</v>
      </c>
      <c r="D53" s="52">
        <f t="shared" si="2"/>
        <v>105</v>
      </c>
      <c r="E53" s="67">
        <f t="shared" si="6"/>
        <v>4</v>
      </c>
      <c r="F53" s="53">
        <f t="shared" si="3"/>
        <v>59.99</v>
      </c>
      <c r="G53" s="54">
        <f>IF(D53=D52,"",_xlfn.IFNA(VLOOKUP(D53,'인원 입력 기능'!$A$5:$D$103,4,FALSE),0))</f>
        <v>5889</v>
      </c>
      <c r="H53" s="55">
        <f t="shared" si="4"/>
        <v>1.5587777530730871E-2</v>
      </c>
      <c r="I53" s="68">
        <f>SUM($G$7:G53)</f>
        <v>154101</v>
      </c>
      <c r="J53" s="57">
        <f t="shared" si="5"/>
        <v>0.40789473684210525</v>
      </c>
      <c r="K53" s="31"/>
      <c r="L53" s="19" t="str">
        <f t="shared" si="7"/>
        <v/>
      </c>
      <c r="N53" s="18"/>
    </row>
    <row r="54" spans="1:14" s="15" customFormat="1" ht="25" customHeight="1">
      <c r="A54" s="13"/>
      <c r="B54" s="26"/>
      <c r="C54" s="66">
        <v>53</v>
      </c>
      <c r="D54" s="52">
        <f t="shared" si="2"/>
        <v>104</v>
      </c>
      <c r="E54" s="67">
        <f t="shared" si="6"/>
        <v>5</v>
      </c>
      <c r="F54" s="53">
        <f t="shared" si="3"/>
        <v>58.41</v>
      </c>
      <c r="G54" s="54">
        <f>IF(D54=D53,"",_xlfn.IFNA(VLOOKUP(D54,'인원 입력 기능'!$A$5:$D$103,4,FALSE),0))</f>
        <v>6043</v>
      </c>
      <c r="H54" s="55">
        <f t="shared" si="4"/>
        <v>1.5995404927527025E-2</v>
      </c>
      <c r="I54" s="68">
        <f>SUM($G$7:G54)</f>
        <v>160144</v>
      </c>
      <c r="J54" s="57">
        <f t="shared" si="5"/>
        <v>0.4238901417696323</v>
      </c>
      <c r="K54" s="31"/>
      <c r="L54" s="19" t="str">
        <f t="shared" si="7"/>
        <v/>
      </c>
      <c r="N54" s="18"/>
    </row>
    <row r="55" spans="1:14" s="15" customFormat="1" ht="25" customHeight="1">
      <c r="A55" s="13"/>
      <c r="B55" s="26"/>
      <c r="C55" s="66">
        <v>52</v>
      </c>
      <c r="D55" s="52">
        <f t="shared" si="2"/>
        <v>103</v>
      </c>
      <c r="E55" s="67">
        <f t="shared" si="6"/>
        <v>5</v>
      </c>
      <c r="F55" s="53">
        <f t="shared" si="3"/>
        <v>56.81</v>
      </c>
      <c r="G55" s="54">
        <f>IF(D55=D54,"",_xlfn.IFNA(VLOOKUP(D55,'인원 입력 기능'!$A$5:$D$103,4,FALSE),0))</f>
        <v>6015</v>
      </c>
      <c r="H55" s="55">
        <f t="shared" si="4"/>
        <v>1.592129085538227E-2</v>
      </c>
      <c r="I55" s="68">
        <f>SUM($G$7:G55)</f>
        <v>166159</v>
      </c>
      <c r="J55" s="57">
        <f t="shared" si="5"/>
        <v>0.43981143262501454</v>
      </c>
      <c r="K55" s="31"/>
      <c r="L55" s="19" t="str">
        <f t="shared" si="7"/>
        <v/>
      </c>
      <c r="N55" s="18"/>
    </row>
    <row r="56" spans="1:14" s="15" customFormat="1" ht="25" customHeight="1">
      <c r="A56" s="13"/>
      <c r="B56" s="26"/>
      <c r="C56" s="66">
        <v>51</v>
      </c>
      <c r="D56" s="52">
        <f t="shared" si="2"/>
        <v>102</v>
      </c>
      <c r="E56" s="67">
        <f t="shared" si="6"/>
        <v>5</v>
      </c>
      <c r="F56" s="53">
        <f t="shared" si="3"/>
        <v>55.23</v>
      </c>
      <c r="G56" s="54">
        <f>IF(D56=D55,"",_xlfn.IFNA(VLOOKUP(D56,'인원 입력 기능'!$A$5:$D$103,4,FALSE),0))</f>
        <v>5981</v>
      </c>
      <c r="H56" s="55">
        <f t="shared" si="4"/>
        <v>1.5831295196349352E-2</v>
      </c>
      <c r="I56" s="68">
        <f>SUM($G$7:G56)</f>
        <v>172140</v>
      </c>
      <c r="J56" s="57">
        <f t="shared" si="5"/>
        <v>0.45564272782136389</v>
      </c>
      <c r="K56" s="31"/>
      <c r="L56" s="19" t="str">
        <f t="shared" si="7"/>
        <v/>
      </c>
      <c r="N56" s="18"/>
    </row>
    <row r="57" spans="1:14" s="15" customFormat="1" ht="25" customHeight="1">
      <c r="A57" s="13"/>
      <c r="B57" s="26"/>
      <c r="C57" s="66">
        <v>50</v>
      </c>
      <c r="D57" s="52">
        <f t="shared" si="2"/>
        <v>101</v>
      </c>
      <c r="E57" s="67">
        <f t="shared" si="6"/>
        <v>5</v>
      </c>
      <c r="F57" s="53">
        <f t="shared" si="3"/>
        <v>53.62</v>
      </c>
      <c r="G57" s="54">
        <f>IF(D57=D56,"",_xlfn.IFNA(VLOOKUP(D57,'인원 입력 기능'!$A$5:$D$103,4,FALSE),0))</f>
        <v>6126</v>
      </c>
      <c r="H57" s="55">
        <f t="shared" si="4"/>
        <v>1.6215100212813263E-2</v>
      </c>
      <c r="I57" s="68">
        <f>SUM($G$7:G57)</f>
        <v>178266</v>
      </c>
      <c r="J57" s="57">
        <f t="shared" si="5"/>
        <v>0.4718578280341772</v>
      </c>
      <c r="K57" s="31"/>
      <c r="L57" s="19" t="str">
        <f t="shared" si="7"/>
        <v/>
      </c>
      <c r="N57" s="18"/>
    </row>
    <row r="58" spans="1:14" s="15" customFormat="1" ht="25" customHeight="1">
      <c r="A58" s="13"/>
      <c r="B58" s="26"/>
      <c r="C58" s="66">
        <v>49</v>
      </c>
      <c r="D58" s="144">
        <f t="shared" si="2"/>
        <v>100</v>
      </c>
      <c r="E58" s="146">
        <f t="shared" si="6"/>
        <v>5</v>
      </c>
      <c r="F58" s="148">
        <f t="shared" si="3"/>
        <v>51.23</v>
      </c>
      <c r="G58" s="150">
        <f>IF(D58=D57,"",_xlfn.IFNA(VLOOKUP(D58,'인원 입력 기능'!$A$5:$D$103,4,FALSE),0))</f>
        <v>11975</v>
      </c>
      <c r="H58" s="151">
        <f t="shared" si="4"/>
        <v>3.1697000497623057E-2</v>
      </c>
      <c r="I58" s="153">
        <f>SUM($G$7:G58)</f>
        <v>190241</v>
      </c>
      <c r="J58" s="155">
        <f t="shared" si="5"/>
        <v>0.50355482853180022</v>
      </c>
      <c r="K58" s="31"/>
      <c r="L58" s="19" t="str">
        <f t="shared" si="7"/>
        <v/>
      </c>
      <c r="N58" s="18"/>
    </row>
    <row r="59" spans="1:14" s="15" customFormat="1" ht="25" customHeight="1">
      <c r="A59" s="13"/>
      <c r="B59" s="26"/>
      <c r="C59" s="66">
        <v>48</v>
      </c>
      <c r="D59" s="143"/>
      <c r="E59" s="145"/>
      <c r="F59" s="147"/>
      <c r="G59" s="149"/>
      <c r="H59" s="152"/>
      <c r="I59" s="154"/>
      <c r="J59" s="156"/>
      <c r="K59" s="31"/>
      <c r="L59" s="19" t="str">
        <f t="shared" si="7"/>
        <v>경고</v>
      </c>
      <c r="N59" s="18"/>
    </row>
    <row r="60" spans="1:14" s="15" customFormat="1" ht="25" customHeight="1">
      <c r="A60" s="13"/>
      <c r="B60" s="26"/>
      <c r="C60" s="66">
        <v>47</v>
      </c>
      <c r="D60" s="52">
        <f t="shared" si="2"/>
        <v>99</v>
      </c>
      <c r="E60" s="67">
        <f t="shared" si="6"/>
        <v>5</v>
      </c>
      <c r="F60" s="53">
        <f t="shared" si="3"/>
        <v>48.86</v>
      </c>
      <c r="G60" s="54">
        <f>IF(D60=D59,"",_xlfn.IFNA(VLOOKUP(D60,'인원 입력 기능'!$A$5:$D$103,4,FALSE),0))</f>
        <v>5948</v>
      </c>
      <c r="H60" s="55">
        <f t="shared" si="4"/>
        <v>1.5743946468464463E-2</v>
      </c>
      <c r="I60" s="68">
        <f>SUM($G$7:G60)</f>
        <v>196189</v>
      </c>
      <c r="J60" s="57">
        <f t="shared" si="5"/>
        <v>0.51929877500026467</v>
      </c>
      <c r="K60" s="31"/>
      <c r="L60" s="19" t="str">
        <f t="shared" si="7"/>
        <v/>
      </c>
      <c r="N60" s="18"/>
    </row>
    <row r="61" spans="1:14" s="15" customFormat="1" ht="25" customHeight="1">
      <c r="A61" s="13"/>
      <c r="B61" s="26"/>
      <c r="C61" s="66">
        <v>46</v>
      </c>
      <c r="D61" s="52">
        <f t="shared" si="2"/>
        <v>98</v>
      </c>
      <c r="E61" s="67">
        <f t="shared" si="6"/>
        <v>5</v>
      </c>
      <c r="F61" s="53">
        <f t="shared" si="3"/>
        <v>47.29</v>
      </c>
      <c r="G61" s="54">
        <f>IF(D61=D60,"",_xlfn.IFNA(VLOOKUP(D61,'인원 입력 기능'!$A$5:$D$103,4,FALSE),0))</f>
        <v>5881</v>
      </c>
      <c r="H61" s="55">
        <f t="shared" si="4"/>
        <v>1.5566602081546655E-2</v>
      </c>
      <c r="I61" s="68">
        <f>SUM($G$7:G61)</f>
        <v>202070</v>
      </c>
      <c r="J61" s="57">
        <f t="shared" si="5"/>
        <v>0.53486537708181137</v>
      </c>
      <c r="K61" s="31"/>
      <c r="L61" s="19" t="str">
        <f t="shared" si="7"/>
        <v/>
      </c>
      <c r="N61" s="18"/>
    </row>
    <row r="62" spans="1:14" s="15" customFormat="1" ht="25" customHeight="1">
      <c r="A62" s="13"/>
      <c r="B62" s="26"/>
      <c r="C62" s="66">
        <v>45</v>
      </c>
      <c r="D62" s="52">
        <f t="shared" si="2"/>
        <v>97</v>
      </c>
      <c r="E62" s="67">
        <f t="shared" si="6"/>
        <v>5</v>
      </c>
      <c r="F62" s="53">
        <f t="shared" si="3"/>
        <v>45.73</v>
      </c>
      <c r="G62" s="54">
        <f>IF(D62=D61,"",_xlfn.IFNA(VLOOKUP(D62,'인원 입력 기능'!$A$5:$D$103,4,FALSE),0))</f>
        <v>5955</v>
      </c>
      <c r="H62" s="55">
        <f t="shared" si="4"/>
        <v>1.5762474986500651E-2</v>
      </c>
      <c r="I62" s="68">
        <f>SUM($G$7:G62)</f>
        <v>208025</v>
      </c>
      <c r="J62" s="57">
        <f t="shared" si="5"/>
        <v>0.550627852068312</v>
      </c>
      <c r="K62" s="31"/>
      <c r="L62" s="19" t="str">
        <f t="shared" si="7"/>
        <v/>
      </c>
      <c r="N62" s="18"/>
    </row>
    <row r="63" spans="1:14" s="15" customFormat="1" ht="25" customHeight="1">
      <c r="A63" s="13"/>
      <c r="B63" s="26"/>
      <c r="C63" s="66">
        <v>44</v>
      </c>
      <c r="D63" s="52">
        <f t="shared" si="2"/>
        <v>96</v>
      </c>
      <c r="E63" s="67">
        <f t="shared" si="6"/>
        <v>5</v>
      </c>
      <c r="F63" s="53">
        <f t="shared" si="3"/>
        <v>44.16</v>
      </c>
      <c r="G63" s="54">
        <f>IF(D63=D62,"",_xlfn.IFNA(VLOOKUP(D63,'인원 입력 기능'!$A$5:$D$103,4,FALSE),0))</f>
        <v>5867</v>
      </c>
      <c r="H63" s="55">
        <f t="shared" si="4"/>
        <v>1.5529545045474278E-2</v>
      </c>
      <c r="I63" s="68">
        <f>SUM($G$7:G63)</f>
        <v>213892</v>
      </c>
      <c r="J63" s="57">
        <f t="shared" si="5"/>
        <v>0.56615739711378632</v>
      </c>
      <c r="K63" s="31"/>
      <c r="L63" s="19" t="str">
        <f t="shared" si="7"/>
        <v/>
      </c>
      <c r="N63" s="18"/>
    </row>
    <row r="64" spans="1:14" s="15" customFormat="1" ht="25" customHeight="1">
      <c r="A64" s="13"/>
      <c r="B64" s="26"/>
      <c r="C64" s="66">
        <v>43</v>
      </c>
      <c r="D64" s="52">
        <f t="shared" si="2"/>
        <v>95</v>
      </c>
      <c r="E64" s="67">
        <f t="shared" si="6"/>
        <v>5</v>
      </c>
      <c r="F64" s="53">
        <f t="shared" si="3"/>
        <v>42.6</v>
      </c>
      <c r="G64" s="54">
        <f>IF(D64=D63,"",_xlfn.IFNA(VLOOKUP(D64,'인원 입력 기능'!$A$5:$D$103,4,FALSE),0))</f>
        <v>5945</v>
      </c>
      <c r="H64" s="55">
        <f t="shared" si="4"/>
        <v>1.5736005675020381E-2</v>
      </c>
      <c r="I64" s="68">
        <f>SUM($G$7:G64)</f>
        <v>219837</v>
      </c>
      <c r="J64" s="57">
        <f t="shared" si="5"/>
        <v>0.58189340278880664</v>
      </c>
      <c r="K64" s="31"/>
      <c r="L64" s="19" t="str">
        <f t="shared" si="7"/>
        <v/>
      </c>
      <c r="N64" s="18"/>
    </row>
    <row r="65" spans="1:14" s="15" customFormat="1" ht="25" customHeight="1">
      <c r="A65" s="13"/>
      <c r="B65" s="26"/>
      <c r="C65" s="66">
        <v>42</v>
      </c>
      <c r="D65" s="52">
        <f t="shared" si="2"/>
        <v>94</v>
      </c>
      <c r="E65" s="67">
        <f t="shared" si="6"/>
        <v>5</v>
      </c>
      <c r="F65" s="53">
        <f t="shared" si="3"/>
        <v>41.04</v>
      </c>
      <c r="G65" s="54">
        <f>IF(D65=D64,"",_xlfn.IFNA(VLOOKUP(D65,'인원 입력 기능'!$A$5:$D$103,4,FALSE),0))</f>
        <v>5856</v>
      </c>
      <c r="H65" s="55">
        <f t="shared" si="4"/>
        <v>1.5500428802845981E-2</v>
      </c>
      <c r="I65" s="68">
        <f>SUM($G$7:G65)</f>
        <v>225693</v>
      </c>
      <c r="J65" s="57">
        <f t="shared" si="5"/>
        <v>0.5973938315916526</v>
      </c>
      <c r="K65" s="31"/>
      <c r="L65" s="19" t="str">
        <f t="shared" si="7"/>
        <v/>
      </c>
      <c r="N65" s="18"/>
    </row>
    <row r="66" spans="1:14" s="15" customFormat="1" ht="25" customHeight="1">
      <c r="A66" s="13"/>
      <c r="B66" s="26"/>
      <c r="C66" s="66">
        <v>41</v>
      </c>
      <c r="D66" s="52">
        <f t="shared" si="2"/>
        <v>93</v>
      </c>
      <c r="E66" s="67">
        <f t="shared" si="6"/>
        <v>5</v>
      </c>
      <c r="F66" s="53">
        <f t="shared" si="3"/>
        <v>39.47</v>
      </c>
      <c r="G66" s="54">
        <f>IF(D66=D65,"",_xlfn.IFNA(VLOOKUP(D66,'인원 입력 기능'!$A$5:$D$103,4,FALSE),0))</f>
        <v>5942</v>
      </c>
      <c r="H66" s="55">
        <f t="shared" si="4"/>
        <v>1.5728064881576301E-2</v>
      </c>
      <c r="I66" s="68">
        <f>SUM($G$7:G66)</f>
        <v>231635</v>
      </c>
      <c r="J66" s="57">
        <f t="shared" si="5"/>
        <v>0.6131218964732289</v>
      </c>
      <c r="K66" s="31"/>
      <c r="L66" s="19" t="str">
        <f t="shared" si="7"/>
        <v/>
      </c>
      <c r="N66" s="18"/>
    </row>
    <row r="67" spans="1:14" s="15" customFormat="1" ht="25" customHeight="1">
      <c r="A67" s="13"/>
      <c r="B67" s="26"/>
      <c r="C67" s="66">
        <v>40</v>
      </c>
      <c r="D67" s="52">
        <f t="shared" si="2"/>
        <v>92</v>
      </c>
      <c r="E67" s="67">
        <f t="shared" si="6"/>
        <v>6</v>
      </c>
      <c r="F67" s="53">
        <f t="shared" si="3"/>
        <v>37.909999999999997</v>
      </c>
      <c r="G67" s="54">
        <f>IF(D67=D66,"",_xlfn.IFNA(VLOOKUP(D67,'인원 입력 기능'!$A$5:$D$103,4,FALSE),0))</f>
        <v>5851</v>
      </c>
      <c r="H67" s="55">
        <f t="shared" si="4"/>
        <v>1.5487194147105846E-2</v>
      </c>
      <c r="I67" s="68">
        <f>SUM($G$7:G67)</f>
        <v>237486</v>
      </c>
      <c r="J67" s="57">
        <f t="shared" si="5"/>
        <v>0.62860909062033477</v>
      </c>
      <c r="K67" s="31"/>
      <c r="L67" s="19" t="str">
        <f t="shared" si="7"/>
        <v/>
      </c>
      <c r="N67" s="18"/>
    </row>
    <row r="68" spans="1:14" s="15" customFormat="1" ht="25" customHeight="1">
      <c r="A68" s="13"/>
      <c r="B68" s="26"/>
      <c r="C68" s="66">
        <v>39</v>
      </c>
      <c r="D68" s="52">
        <f t="shared" si="2"/>
        <v>91</v>
      </c>
      <c r="E68" s="67">
        <f t="shared" si="6"/>
        <v>6</v>
      </c>
      <c r="F68" s="53">
        <f t="shared" si="3"/>
        <v>36.36</v>
      </c>
      <c r="G68" s="54">
        <f>IF(D68=D67,"",_xlfn.IFNA(VLOOKUP(D68,'인원 입력 기능'!$A$5:$D$103,4,FALSE),0))</f>
        <v>5906</v>
      </c>
      <c r="H68" s="55">
        <f t="shared" si="4"/>
        <v>1.563277536024733E-2</v>
      </c>
      <c r="I68" s="68">
        <f>SUM($G$7:G68)</f>
        <v>243392</v>
      </c>
      <c r="J68" s="57">
        <f t="shared" si="5"/>
        <v>0.64424186598058208</v>
      </c>
      <c r="K68" s="31"/>
      <c r="L68" s="19" t="str">
        <f t="shared" si="7"/>
        <v/>
      </c>
      <c r="N68" s="18"/>
    </row>
    <row r="69" spans="1:14" s="15" customFormat="1" ht="25" customHeight="1">
      <c r="A69" s="13"/>
      <c r="B69" s="26"/>
      <c r="C69" s="66">
        <v>38</v>
      </c>
      <c r="D69" s="52">
        <f t="shared" si="2"/>
        <v>90</v>
      </c>
      <c r="E69" s="67">
        <f t="shared" si="6"/>
        <v>6</v>
      </c>
      <c r="F69" s="53">
        <f t="shared" si="3"/>
        <v>34.83</v>
      </c>
      <c r="G69" s="54">
        <f>IF(D69=D68,"",_xlfn.IFNA(VLOOKUP(D69,'인원 입력 기능'!$A$5:$D$103,4,FALSE),0))</f>
        <v>5647</v>
      </c>
      <c r="H69" s="55">
        <f t="shared" si="4"/>
        <v>1.4947220192908343E-2</v>
      </c>
      <c r="I69" s="68">
        <f>SUM($G$7:G69)</f>
        <v>249039</v>
      </c>
      <c r="J69" s="57">
        <f t="shared" si="5"/>
        <v>0.65918908617349048</v>
      </c>
      <c r="K69" s="31"/>
      <c r="L69" s="19" t="str">
        <f t="shared" si="7"/>
        <v/>
      </c>
      <c r="N69" s="18"/>
    </row>
    <row r="70" spans="1:14" s="15" customFormat="1" ht="25" customHeight="1">
      <c r="A70" s="13"/>
      <c r="B70" s="26"/>
      <c r="C70" s="66">
        <v>37</v>
      </c>
      <c r="D70" s="52">
        <f t="shared" si="2"/>
        <v>89</v>
      </c>
      <c r="E70" s="67">
        <f t="shared" si="6"/>
        <v>6</v>
      </c>
      <c r="F70" s="53">
        <f t="shared" si="3"/>
        <v>33.32</v>
      </c>
      <c r="G70" s="54">
        <f>IF(D70=D69,"",_xlfn.IFNA(VLOOKUP(D70,'인원 입력 기능'!$A$5:$D$103,4,FALSE),0))</f>
        <v>5761</v>
      </c>
      <c r="H70" s="55">
        <f t="shared" si="4"/>
        <v>1.5248970343783417E-2</v>
      </c>
      <c r="I70" s="68">
        <f>SUM($G$7:G70)</f>
        <v>254800</v>
      </c>
      <c r="J70" s="57">
        <f t="shared" si="5"/>
        <v>0.67443805651727384</v>
      </c>
      <c r="K70" s="31"/>
      <c r="L70" s="19" t="str">
        <f t="shared" si="7"/>
        <v/>
      </c>
      <c r="N70" s="18"/>
    </row>
    <row r="71" spans="1:14" s="15" customFormat="1" ht="25" customHeight="1">
      <c r="A71" s="13"/>
      <c r="B71" s="26"/>
      <c r="C71" s="66">
        <v>36</v>
      </c>
      <c r="D71" s="52">
        <f t="shared" si="2"/>
        <v>88</v>
      </c>
      <c r="E71" s="67">
        <f t="shared" ref="E71:E102" si="8">IF(ROUND(D71,0)&gt;=$Q$7,1,IF(ROUND(D71,0)&gt;=$Q$8,2,IF(ROUND(D71,0)&gt;=$Q$9,3,IF(ROUND(D71,0)&gt;=$Q$10,4,IF(ROUND(D71,0)&gt;=$Q$11,5,IF(ROUND(D71,0)&gt;=$Q$12,6,IF(ROUND(D71,0)&gt;=$Q$13,7,IF(ROUND(D71,0)&gt;=$Q$14,8,9))))))))</f>
        <v>6</v>
      </c>
      <c r="F71" s="53">
        <f t="shared" si="3"/>
        <v>31.8</v>
      </c>
      <c r="G71" s="54">
        <f>IF(D71=D70,"",_xlfn.IFNA(VLOOKUP(D71,'인원 입력 기능'!$A$5:$D$103,4,FALSE),0))</f>
        <v>5711</v>
      </c>
      <c r="H71" s="55">
        <f t="shared" si="4"/>
        <v>1.5116623786382068E-2</v>
      </c>
      <c r="I71" s="68">
        <f>SUM($G$7:G71)</f>
        <v>260511</v>
      </c>
      <c r="J71" s="57">
        <f t="shared" si="5"/>
        <v>0.68955468030365596</v>
      </c>
      <c r="K71" s="31"/>
      <c r="L71" s="19" t="str">
        <f t="shared" si="7"/>
        <v/>
      </c>
      <c r="N71" s="18"/>
    </row>
    <row r="72" spans="1:14" s="15" customFormat="1" ht="25" customHeight="1">
      <c r="A72" s="13"/>
      <c r="B72" s="26"/>
      <c r="C72" s="66">
        <v>35</v>
      </c>
      <c r="D72" s="52">
        <f t="shared" si="2"/>
        <v>87</v>
      </c>
      <c r="E72" s="67">
        <f t="shared" si="8"/>
        <v>6</v>
      </c>
      <c r="F72" s="53">
        <f t="shared" si="3"/>
        <v>30.31</v>
      </c>
      <c r="G72" s="54">
        <f>IF(D72=D71,"",_xlfn.IFNA(VLOOKUP(D72,'인원 입력 기능'!$A$5:$D$103,4,FALSE),0))</f>
        <v>5556</v>
      </c>
      <c r="H72" s="55">
        <f t="shared" si="4"/>
        <v>1.4706349458437887E-2</v>
      </c>
      <c r="I72" s="68">
        <f>SUM($G$7:G72)</f>
        <v>266067</v>
      </c>
      <c r="J72" s="57">
        <f t="shared" si="5"/>
        <v>0.70426102976209382</v>
      </c>
      <c r="K72" s="31"/>
      <c r="L72" s="19" t="str">
        <f t="shared" si="7"/>
        <v/>
      </c>
      <c r="N72" s="18"/>
    </row>
    <row r="73" spans="1:14" s="15" customFormat="1" ht="25" customHeight="1">
      <c r="A73" s="13"/>
      <c r="B73" s="26"/>
      <c r="C73" s="66">
        <v>34</v>
      </c>
      <c r="D73" s="52">
        <f t="shared" si="2"/>
        <v>86</v>
      </c>
      <c r="E73" s="67">
        <f t="shared" si="8"/>
        <v>6</v>
      </c>
      <c r="F73" s="53">
        <f t="shared" si="3"/>
        <v>28.83</v>
      </c>
      <c r="G73" s="54">
        <f>IF(D73=D72,"",_xlfn.IFNA(VLOOKUP(D73,'인원 입력 기능'!$A$5:$D$103,4,FALSE),0))</f>
        <v>5594</v>
      </c>
      <c r="H73" s="55">
        <f t="shared" si="4"/>
        <v>1.4806932842062913E-2</v>
      </c>
      <c r="I73" s="68">
        <f>SUM($G$7:G73)</f>
        <v>271661</v>
      </c>
      <c r="J73" s="57">
        <f t="shared" si="5"/>
        <v>0.71906796260415673</v>
      </c>
      <c r="K73" s="31"/>
      <c r="L73" s="19" t="str">
        <f t="shared" ref="L73:L105" si="9">IF(ABS((C73-$H$3)/$H$4*20+100-D73)&gt;0.49, "경고", "")</f>
        <v/>
      </c>
      <c r="N73" s="18"/>
    </row>
    <row r="74" spans="1:14" s="15" customFormat="1" ht="25" customHeight="1">
      <c r="A74" s="13"/>
      <c r="B74" s="26"/>
      <c r="C74" s="66">
        <v>33</v>
      </c>
      <c r="D74" s="52">
        <f t="shared" ref="D74:D105" si="10">ROUND(20*(C74-$H$3)/$H$4+100,0)</f>
        <v>85</v>
      </c>
      <c r="E74" s="67">
        <f t="shared" si="8"/>
        <v>6</v>
      </c>
      <c r="F74" s="53">
        <f t="shared" ref="F74:F105" si="11">IF(I73=0,ROUND(100*(1-(I72+I74)/2/$J$3),2),ROUND(100*(1-(I73+I74)/2/$J$3),2))</f>
        <v>27.32</v>
      </c>
      <c r="G74" s="54">
        <f>IF(D74=D73,"",_xlfn.IFNA(VLOOKUP(D74,'인원 입력 기능'!$A$5:$D$103,4,FALSE),0))</f>
        <v>5816</v>
      </c>
      <c r="H74" s="55">
        <f t="shared" ref="H74:H105" si="12">G74/$J$3</f>
        <v>1.5394551556924901E-2</v>
      </c>
      <c r="I74" s="68">
        <f>SUM($G$7:G74)</f>
        <v>277477</v>
      </c>
      <c r="J74" s="57">
        <f t="shared" ref="J74:J105" si="13">I74/$J$3</f>
        <v>0.73446251416108166</v>
      </c>
      <c r="K74" s="31"/>
      <c r="L74" s="19" t="str">
        <f t="shared" si="9"/>
        <v/>
      </c>
      <c r="N74" s="18"/>
    </row>
    <row r="75" spans="1:14" s="15" customFormat="1" ht="25" customHeight="1">
      <c r="A75" s="13"/>
      <c r="B75" s="26"/>
      <c r="C75" s="66">
        <v>32</v>
      </c>
      <c r="D75" s="52">
        <f t="shared" si="10"/>
        <v>84</v>
      </c>
      <c r="E75" s="67">
        <f t="shared" si="8"/>
        <v>6</v>
      </c>
      <c r="F75" s="53">
        <f t="shared" si="11"/>
        <v>25.81</v>
      </c>
      <c r="G75" s="54">
        <f>IF(D75=D74,"",_xlfn.IFNA(VLOOKUP(D75,'인원 입력 기능'!$A$5:$D$103,4,FALSE),0))</f>
        <v>5642</v>
      </c>
      <c r="H75" s="55">
        <f t="shared" si="12"/>
        <v>1.4933985537168208E-2</v>
      </c>
      <c r="I75" s="68">
        <f>SUM($G$7:G75)</f>
        <v>283119</v>
      </c>
      <c r="J75" s="57">
        <f t="shared" si="13"/>
        <v>0.74939649969824984</v>
      </c>
      <c r="K75" s="31"/>
      <c r="L75" s="19" t="str">
        <f t="shared" si="9"/>
        <v/>
      </c>
      <c r="N75" s="18"/>
    </row>
    <row r="76" spans="1:14" s="15" customFormat="1" ht="25" customHeight="1">
      <c r="A76" s="13"/>
      <c r="B76" s="26"/>
      <c r="C76" s="66">
        <v>31</v>
      </c>
      <c r="D76" s="52">
        <f t="shared" si="10"/>
        <v>83</v>
      </c>
      <c r="E76" s="67">
        <f t="shared" si="8"/>
        <v>6</v>
      </c>
      <c r="F76" s="53">
        <f t="shared" si="11"/>
        <v>24.29</v>
      </c>
      <c r="G76" s="54">
        <f>IF(D76=D75,"",_xlfn.IFNA(VLOOKUP(D76,'인원 입력 기능'!$A$5:$D$103,4,FALSE),0))</f>
        <v>5841</v>
      </c>
      <c r="H76" s="55">
        <f t="shared" si="12"/>
        <v>1.5460724835625576E-2</v>
      </c>
      <c r="I76" s="68">
        <f>SUM($G$7:G76)</f>
        <v>288960</v>
      </c>
      <c r="J76" s="57">
        <f t="shared" si="13"/>
        <v>0.76485722453387539</v>
      </c>
      <c r="K76" s="31"/>
      <c r="L76" s="19" t="str">
        <f t="shared" si="9"/>
        <v/>
      </c>
      <c r="N76" s="18"/>
    </row>
    <row r="77" spans="1:14" s="15" customFormat="1" ht="25" customHeight="1">
      <c r="A77" s="13"/>
      <c r="B77" s="26"/>
      <c r="C77" s="66">
        <v>30</v>
      </c>
      <c r="D77" s="52">
        <f t="shared" si="10"/>
        <v>82</v>
      </c>
      <c r="E77" s="67">
        <f t="shared" si="8"/>
        <v>6</v>
      </c>
      <c r="F77" s="53">
        <f t="shared" si="11"/>
        <v>22.8</v>
      </c>
      <c r="G77" s="54">
        <f>IF(D77=D76,"",_xlfn.IFNA(VLOOKUP(D77,'인원 입력 기능'!$A$5:$D$103,4,FALSE),0))</f>
        <v>5405</v>
      </c>
      <c r="H77" s="55">
        <f t="shared" si="12"/>
        <v>1.4306662855085814E-2</v>
      </c>
      <c r="I77" s="68">
        <f>SUM($G$7:G77)</f>
        <v>294365</v>
      </c>
      <c r="J77" s="57">
        <f t="shared" si="13"/>
        <v>0.77916388738896125</v>
      </c>
      <c r="K77" s="31"/>
      <c r="L77" s="19" t="str">
        <f t="shared" si="9"/>
        <v/>
      </c>
      <c r="N77" s="18"/>
    </row>
    <row r="78" spans="1:14" s="15" customFormat="1" ht="25" customHeight="1">
      <c r="A78" s="13"/>
      <c r="B78" s="26"/>
      <c r="C78" s="66">
        <v>29</v>
      </c>
      <c r="D78" s="52">
        <f t="shared" si="10"/>
        <v>81</v>
      </c>
      <c r="E78" s="67">
        <f t="shared" si="8"/>
        <v>7</v>
      </c>
      <c r="F78" s="53">
        <f t="shared" si="11"/>
        <v>21.33</v>
      </c>
      <c r="G78" s="54">
        <f>IF(D78=D77,"",_xlfn.IFNA(VLOOKUP(D78,'인원 입력 기능'!$A$5:$D$103,4,FALSE),0))</f>
        <v>5728</v>
      </c>
      <c r="H78" s="55">
        <f t="shared" si="12"/>
        <v>1.5161621615898527E-2</v>
      </c>
      <c r="I78" s="68">
        <f>SUM($G$7:G78)</f>
        <v>300093</v>
      </c>
      <c r="J78" s="57">
        <f t="shared" si="13"/>
        <v>0.79432550900485976</v>
      </c>
      <c r="K78" s="31"/>
      <c r="L78" s="19" t="str">
        <f t="shared" si="9"/>
        <v/>
      </c>
      <c r="N78" s="18"/>
    </row>
    <row r="79" spans="1:14" s="15" customFormat="1" ht="25" customHeight="1">
      <c r="A79" s="13"/>
      <c r="B79" s="26"/>
      <c r="C79" s="66">
        <v>28</v>
      </c>
      <c r="D79" s="52">
        <f t="shared" si="10"/>
        <v>80</v>
      </c>
      <c r="E79" s="67">
        <f t="shared" si="8"/>
        <v>7</v>
      </c>
      <c r="F79" s="53">
        <f t="shared" si="11"/>
        <v>19.829999999999998</v>
      </c>
      <c r="G79" s="54">
        <f>IF(D79=D78,"",_xlfn.IFNA(VLOOKUP(D79,'인원 입력 기능'!$A$5:$D$103,4,FALSE),0))</f>
        <v>5586</v>
      </c>
      <c r="H79" s="55">
        <f t="shared" si="12"/>
        <v>1.4785757392878697E-2</v>
      </c>
      <c r="I79" s="68">
        <f>SUM($G$7:G79)</f>
        <v>305679</v>
      </c>
      <c r="J79" s="57">
        <f t="shared" si="13"/>
        <v>0.80911126639773845</v>
      </c>
      <c r="K79" s="31"/>
      <c r="L79" s="19" t="str">
        <f t="shared" si="9"/>
        <v/>
      </c>
      <c r="N79" s="18"/>
    </row>
    <row r="80" spans="1:14" s="15" customFormat="1" ht="25" customHeight="1">
      <c r="A80" s="13"/>
      <c r="B80" s="26"/>
      <c r="C80" s="66">
        <v>27</v>
      </c>
      <c r="D80" s="52">
        <f t="shared" si="10"/>
        <v>79</v>
      </c>
      <c r="E80" s="67">
        <f t="shared" si="8"/>
        <v>7</v>
      </c>
      <c r="F80" s="53">
        <f t="shared" si="11"/>
        <v>18.350000000000001</v>
      </c>
      <c r="G80" s="54">
        <f>IF(D80=D79,"",_xlfn.IFNA(VLOOKUP(D80,'인원 입력 기능'!$A$5:$D$103,4,FALSE),0))</f>
        <v>5566</v>
      </c>
      <c r="H80" s="55">
        <f t="shared" si="12"/>
        <v>1.4732818769918157E-2</v>
      </c>
      <c r="I80" s="68">
        <f>SUM($G$7:G80)</f>
        <v>311245</v>
      </c>
      <c r="J80" s="57">
        <f t="shared" si="13"/>
        <v>0.82384408516765661</v>
      </c>
      <c r="K80" s="31"/>
      <c r="L80" s="19" t="str">
        <f t="shared" si="9"/>
        <v/>
      </c>
      <c r="N80" s="18"/>
    </row>
    <row r="81" spans="1:14" s="15" customFormat="1" ht="25" customHeight="1">
      <c r="A81" s="13"/>
      <c r="B81" s="26"/>
      <c r="C81" s="66">
        <v>26</v>
      </c>
      <c r="D81" s="52">
        <f t="shared" si="10"/>
        <v>78</v>
      </c>
      <c r="E81" s="67">
        <f t="shared" si="8"/>
        <v>7</v>
      </c>
      <c r="F81" s="53">
        <f t="shared" si="11"/>
        <v>16.829999999999998</v>
      </c>
      <c r="G81" s="54">
        <f>IF(D81=D80,"",_xlfn.IFNA(VLOOKUP(D81,'인원 입력 기능'!$A$5:$D$103,4,FALSE),0))</f>
        <v>5925</v>
      </c>
      <c r="H81" s="55">
        <f t="shared" si="12"/>
        <v>1.5683067052059841E-2</v>
      </c>
      <c r="I81" s="68">
        <f>SUM($G$7:G81)</f>
        <v>317170</v>
      </c>
      <c r="J81" s="57">
        <f t="shared" si="13"/>
        <v>0.83952715221971641</v>
      </c>
      <c r="K81" s="31"/>
      <c r="L81" s="19" t="str">
        <f t="shared" si="9"/>
        <v/>
      </c>
      <c r="N81" s="18"/>
    </row>
    <row r="82" spans="1:14" s="15" customFormat="1" ht="25" customHeight="1">
      <c r="A82" s="13"/>
      <c r="B82" s="26"/>
      <c r="C82" s="66">
        <v>25</v>
      </c>
      <c r="D82" s="52">
        <f t="shared" si="10"/>
        <v>77</v>
      </c>
      <c r="E82" s="67">
        <f t="shared" si="8"/>
        <v>7</v>
      </c>
      <c r="F82" s="53">
        <f t="shared" si="11"/>
        <v>15.32</v>
      </c>
      <c r="G82" s="54">
        <f>IF(D82=D81,"",_xlfn.IFNA(VLOOKUP(D82,'인원 입력 기능'!$A$5:$D$103,4,FALSE),0))</f>
        <v>5531</v>
      </c>
      <c r="H82" s="55">
        <f t="shared" si="12"/>
        <v>1.4640176179737212E-2</v>
      </c>
      <c r="I82" s="68">
        <f>SUM($G$7:G82)</f>
        <v>322701</v>
      </c>
      <c r="J82" s="57">
        <f t="shared" si="13"/>
        <v>0.85416732839945364</v>
      </c>
      <c r="K82" s="31"/>
      <c r="L82" s="19" t="str">
        <f t="shared" si="9"/>
        <v/>
      </c>
      <c r="N82" s="18"/>
    </row>
    <row r="83" spans="1:14" s="15" customFormat="1" ht="25" customHeight="1">
      <c r="A83" s="13"/>
      <c r="B83" s="26"/>
      <c r="C83" s="66">
        <v>24</v>
      </c>
      <c r="D83" s="52">
        <f t="shared" si="10"/>
        <v>76</v>
      </c>
      <c r="E83" s="67">
        <f t="shared" si="8"/>
        <v>7</v>
      </c>
      <c r="F83" s="53">
        <f t="shared" si="11"/>
        <v>13.82</v>
      </c>
      <c r="G83" s="54">
        <f>IF(D83=D82,"",_xlfn.IFNA(VLOOKUP(D83,'인원 입력 기능'!$A$5:$D$103,4,FALSE),0))</f>
        <v>5740</v>
      </c>
      <c r="H83" s="55">
        <f t="shared" si="12"/>
        <v>1.5193384789674851E-2</v>
      </c>
      <c r="I83" s="68">
        <f>SUM($G$7:G83)</f>
        <v>328441</v>
      </c>
      <c r="J83" s="57">
        <f t="shared" si="13"/>
        <v>0.86936071318912855</v>
      </c>
      <c r="K83" s="31"/>
      <c r="L83" s="19" t="str">
        <f t="shared" si="9"/>
        <v/>
      </c>
      <c r="N83" s="18"/>
    </row>
    <row r="84" spans="1:14" s="15" customFormat="1" ht="25" customHeight="1">
      <c r="A84" s="13"/>
      <c r="B84" s="26"/>
      <c r="C84" s="66">
        <v>23</v>
      </c>
      <c r="D84" s="52">
        <f t="shared" si="10"/>
        <v>75</v>
      </c>
      <c r="E84" s="67">
        <f t="shared" si="8"/>
        <v>7</v>
      </c>
      <c r="F84" s="53">
        <f t="shared" si="11"/>
        <v>12.38</v>
      </c>
      <c r="G84" s="54">
        <f>IF(D84=D83,"",_xlfn.IFNA(VLOOKUP(D84,'인원 입력 기능'!$A$5:$D$103,4,FALSE),0))</f>
        <v>5205</v>
      </c>
      <c r="H84" s="55">
        <f t="shared" si="12"/>
        <v>1.3777276625480417E-2</v>
      </c>
      <c r="I84" s="68">
        <f>SUM($G$7:G84)</f>
        <v>333646</v>
      </c>
      <c r="J84" s="57">
        <f t="shared" si="13"/>
        <v>0.88313798981460889</v>
      </c>
      <c r="K84" s="31"/>
      <c r="L84" s="19" t="str">
        <f t="shared" si="9"/>
        <v/>
      </c>
      <c r="N84" s="18"/>
    </row>
    <row r="85" spans="1:14" s="15" customFormat="1" ht="25" customHeight="1">
      <c r="A85" s="13"/>
      <c r="B85" s="26"/>
      <c r="C85" s="66">
        <v>22</v>
      </c>
      <c r="D85" s="52">
        <f t="shared" si="10"/>
        <v>74</v>
      </c>
      <c r="E85" s="67">
        <f t="shared" si="8"/>
        <v>7</v>
      </c>
      <c r="F85" s="53">
        <f t="shared" si="11"/>
        <v>10.99</v>
      </c>
      <c r="G85" s="54">
        <f>IF(D85=D84,"",_xlfn.IFNA(VLOOKUP(D85,'인원 입력 기능'!$A$5:$D$103,4,FALSE),0))</f>
        <v>5288</v>
      </c>
      <c r="H85" s="55">
        <f t="shared" si="12"/>
        <v>1.3996971910766657E-2</v>
      </c>
      <c r="I85" s="68">
        <f>SUM($G$7:G85)</f>
        <v>338934</v>
      </c>
      <c r="J85" s="57">
        <f t="shared" si="13"/>
        <v>0.89713496172537555</v>
      </c>
      <c r="K85" s="31"/>
      <c r="L85" s="19" t="str">
        <f t="shared" si="9"/>
        <v/>
      </c>
      <c r="N85" s="18"/>
    </row>
    <row r="86" spans="1:14" s="15" customFormat="1" ht="25" customHeight="1">
      <c r="A86" s="13"/>
      <c r="B86" s="26"/>
      <c r="C86" s="66">
        <v>21</v>
      </c>
      <c r="D86" s="52">
        <f t="shared" si="10"/>
        <v>73</v>
      </c>
      <c r="E86" s="67">
        <f t="shared" si="8"/>
        <v>8</v>
      </c>
      <c r="F86" s="53">
        <f t="shared" si="11"/>
        <v>9.26</v>
      </c>
      <c r="G86" s="54">
        <f>IF(D86=D85,"",_xlfn.IFNA(VLOOKUP(D86,'인원 입력 기능'!$A$5:$D$103,4,FALSE),0))</f>
        <v>7738</v>
      </c>
      <c r="H86" s="55">
        <f t="shared" si="12"/>
        <v>2.0481953223432752E-2</v>
      </c>
      <c r="I86" s="68">
        <f>SUM($G$7:G86)</f>
        <v>346672</v>
      </c>
      <c r="J86" s="57">
        <f t="shared" si="13"/>
        <v>0.91761691494880837</v>
      </c>
      <c r="K86" s="31"/>
      <c r="L86" s="19" t="str">
        <f t="shared" si="9"/>
        <v/>
      </c>
      <c r="N86" s="18"/>
    </row>
    <row r="87" spans="1:14" s="15" customFormat="1" ht="25" customHeight="1">
      <c r="A87" s="13"/>
      <c r="B87" s="26"/>
      <c r="C87" s="66">
        <v>20</v>
      </c>
      <c r="D87" s="52">
        <f t="shared" si="10"/>
        <v>72</v>
      </c>
      <c r="E87" s="67">
        <f t="shared" si="8"/>
        <v>8</v>
      </c>
      <c r="F87" s="53">
        <f t="shared" si="11"/>
        <v>6.99</v>
      </c>
      <c r="G87" s="54">
        <f>IF(D87=D86,"",_xlfn.IFNA(VLOOKUP(D87,'인원 입력 기능'!$A$5:$D$103,4,FALSE),0))</f>
        <v>9433</v>
      </c>
      <c r="H87" s="55">
        <f t="shared" si="12"/>
        <v>2.4968501519338479E-2</v>
      </c>
      <c r="I87" s="68">
        <f>SUM($G$7:G87)</f>
        <v>356105</v>
      </c>
      <c r="J87" s="57">
        <f t="shared" si="13"/>
        <v>0.94258541646814686</v>
      </c>
      <c r="K87" s="31"/>
      <c r="L87" s="19" t="str">
        <f t="shared" si="9"/>
        <v/>
      </c>
      <c r="N87" s="18"/>
    </row>
    <row r="88" spans="1:14" s="15" customFormat="1" ht="25" customHeight="1">
      <c r="A88" s="13"/>
      <c r="B88" s="26"/>
      <c r="C88" s="66">
        <v>19</v>
      </c>
      <c r="D88" s="52">
        <f t="shared" si="10"/>
        <v>71</v>
      </c>
      <c r="E88" s="67">
        <f t="shared" si="8"/>
        <v>8</v>
      </c>
      <c r="F88" s="53">
        <f t="shared" si="11"/>
        <v>5.23</v>
      </c>
      <c r="G88" s="54">
        <f>IF(D88=D87,"",_xlfn.IFNA(VLOOKUP(D88,'인원 입력 기능'!$A$5:$D$103,4,FALSE),0))</f>
        <v>3873</v>
      </c>
      <c r="H88" s="55">
        <f t="shared" si="12"/>
        <v>1.0251564336308484E-2</v>
      </c>
      <c r="I88" s="68">
        <f>SUM($G$7:G88)</f>
        <v>359978</v>
      </c>
      <c r="J88" s="57">
        <f t="shared" si="13"/>
        <v>0.95283698080445534</v>
      </c>
      <c r="K88" s="31"/>
      <c r="L88" s="19" t="str">
        <f t="shared" si="9"/>
        <v/>
      </c>
      <c r="N88" s="18"/>
    </row>
    <row r="89" spans="1:14" s="15" customFormat="1" ht="25" customHeight="1">
      <c r="A89" s="13"/>
      <c r="B89" s="26"/>
      <c r="C89" s="66">
        <v>18</v>
      </c>
      <c r="D89" s="52">
        <f t="shared" si="10"/>
        <v>70</v>
      </c>
      <c r="E89" s="67">
        <f t="shared" si="8"/>
        <v>8</v>
      </c>
      <c r="F89" s="53">
        <f t="shared" si="11"/>
        <v>4.18</v>
      </c>
      <c r="G89" s="54">
        <f>IF(D89=D88,"",_xlfn.IFNA(VLOOKUP(D89,'인원 입력 기능'!$A$5:$D$103,4,FALSE),0))</f>
        <v>4036</v>
      </c>
      <c r="H89" s="55">
        <f t="shared" si="12"/>
        <v>1.0683014113436881E-2</v>
      </c>
      <c r="I89" s="68">
        <f>SUM($G$7:G89)</f>
        <v>364014</v>
      </c>
      <c r="J89" s="57">
        <f t="shared" si="13"/>
        <v>0.9635199949178922</v>
      </c>
      <c r="K89" s="31"/>
      <c r="L89" s="19" t="str">
        <f t="shared" si="9"/>
        <v/>
      </c>
      <c r="N89" s="18"/>
    </row>
    <row r="90" spans="1:14" s="15" customFormat="1" ht="25" customHeight="1">
      <c r="A90" s="13"/>
      <c r="B90" s="26"/>
      <c r="C90" s="66">
        <v>17</v>
      </c>
      <c r="D90" s="52">
        <f t="shared" si="10"/>
        <v>69</v>
      </c>
      <c r="E90" s="67">
        <f t="shared" si="8"/>
        <v>9</v>
      </c>
      <c r="F90" s="53">
        <f t="shared" si="11"/>
        <v>3.3</v>
      </c>
      <c r="G90" s="54">
        <f>IF(D90=D89,"",_xlfn.IFNA(VLOOKUP(D90,'인원 입력 기능'!$A$5:$D$103,4,FALSE),0))</f>
        <v>2640</v>
      </c>
      <c r="H90" s="55">
        <f t="shared" si="12"/>
        <v>6.9878982307912205E-3</v>
      </c>
      <c r="I90" s="68">
        <f>SUM($G$7:G90)</f>
        <v>366654</v>
      </c>
      <c r="J90" s="57">
        <f t="shared" si="13"/>
        <v>0.97050789314868346</v>
      </c>
      <c r="K90" s="31"/>
      <c r="L90" s="19" t="str">
        <f t="shared" si="9"/>
        <v/>
      </c>
      <c r="N90" s="18"/>
    </row>
    <row r="91" spans="1:14" s="15" customFormat="1" ht="25" customHeight="1">
      <c r="A91" s="13"/>
      <c r="B91" s="26"/>
      <c r="C91" s="66">
        <v>16</v>
      </c>
      <c r="D91" s="52">
        <f t="shared" si="10"/>
        <v>68</v>
      </c>
      <c r="E91" s="67">
        <f t="shared" si="8"/>
        <v>9</v>
      </c>
      <c r="F91" s="53">
        <f t="shared" si="11"/>
        <v>2.65</v>
      </c>
      <c r="G91" s="54">
        <f>IF(D91=D90,"",_xlfn.IFNA(VLOOKUP(D91,'인원 입력 기능'!$A$5:$D$103,4,FALSE),0))</f>
        <v>2277</v>
      </c>
      <c r="H91" s="55">
        <f t="shared" si="12"/>
        <v>6.0270622240574277E-3</v>
      </c>
      <c r="I91" s="68">
        <f>SUM($G$7:G91)</f>
        <v>368931</v>
      </c>
      <c r="J91" s="57">
        <f t="shared" si="13"/>
        <v>0.97653495537274082</v>
      </c>
      <c r="K91" s="31"/>
      <c r="L91" s="19" t="str">
        <f t="shared" si="9"/>
        <v/>
      </c>
      <c r="N91" s="18"/>
    </row>
    <row r="92" spans="1:14" s="15" customFormat="1" ht="25" customHeight="1">
      <c r="A92" s="13"/>
      <c r="B92" s="26"/>
      <c r="C92" s="66">
        <v>15</v>
      </c>
      <c r="D92" s="52">
        <f t="shared" si="10"/>
        <v>67</v>
      </c>
      <c r="E92" s="67">
        <f t="shared" si="8"/>
        <v>9</v>
      </c>
      <c r="F92" s="53">
        <f t="shared" si="11"/>
        <v>2.1</v>
      </c>
      <c r="G92" s="54">
        <f>IF(D92=D91,"",_xlfn.IFNA(VLOOKUP(D92,'인원 입력 기능'!$A$5:$D$103,4,FALSE),0))</f>
        <v>1867</v>
      </c>
      <c r="H92" s="55">
        <f t="shared" si="12"/>
        <v>4.9418204533663674E-3</v>
      </c>
      <c r="I92" s="68">
        <f>SUM($G$7:G92)</f>
        <v>370798</v>
      </c>
      <c r="J92" s="57">
        <f t="shared" si="13"/>
        <v>0.98147677582610726</v>
      </c>
      <c r="K92" s="31"/>
      <c r="L92" s="19" t="str">
        <f t="shared" si="9"/>
        <v/>
      </c>
      <c r="N92" s="18"/>
    </row>
    <row r="93" spans="1:14" s="15" customFormat="1" ht="25" customHeight="1">
      <c r="A93" s="13"/>
      <c r="B93" s="26"/>
      <c r="C93" s="66">
        <v>14</v>
      </c>
      <c r="D93" s="52">
        <f t="shared" si="10"/>
        <v>66</v>
      </c>
      <c r="E93" s="67">
        <f t="shared" si="8"/>
        <v>9</v>
      </c>
      <c r="F93" s="53">
        <f t="shared" si="11"/>
        <v>1.66</v>
      </c>
      <c r="G93" s="54">
        <f>IF(D93=D92,"",_xlfn.IFNA(VLOOKUP(D93,'인원 입력 기능'!$A$5:$D$103,4,FALSE),0))</f>
        <v>1441</v>
      </c>
      <c r="H93" s="55">
        <f t="shared" si="12"/>
        <v>3.8142277843068745E-3</v>
      </c>
      <c r="I93" s="68">
        <f>SUM($G$7:G93)</f>
        <v>372239</v>
      </c>
      <c r="J93" s="57">
        <f t="shared" si="13"/>
        <v>0.98529100361041411</v>
      </c>
      <c r="K93" s="31"/>
      <c r="L93" s="19" t="str">
        <f t="shared" si="9"/>
        <v/>
      </c>
      <c r="N93" s="18"/>
    </row>
    <row r="94" spans="1:14" s="15" customFormat="1" ht="25" customHeight="1">
      <c r="A94" s="13"/>
      <c r="B94" s="26"/>
      <c r="C94" s="66">
        <v>13</v>
      </c>
      <c r="D94" s="52">
        <f t="shared" si="10"/>
        <v>65</v>
      </c>
      <c r="E94" s="67">
        <f t="shared" si="8"/>
        <v>9</v>
      </c>
      <c r="F94" s="53">
        <f t="shared" si="11"/>
        <v>1.31</v>
      </c>
      <c r="G94" s="54">
        <f>IF(D94=D93,"",_xlfn.IFNA(VLOOKUP(D94,'인원 입력 기능'!$A$5:$D$103,4,FALSE),0))</f>
        <v>1189</v>
      </c>
      <c r="H94" s="55">
        <f t="shared" si="12"/>
        <v>3.1472011350040761E-3</v>
      </c>
      <c r="I94" s="68">
        <f>SUM($G$7:G94)</f>
        <v>373428</v>
      </c>
      <c r="J94" s="57">
        <f t="shared" si="13"/>
        <v>0.98843820474541821</v>
      </c>
      <c r="K94" s="31"/>
      <c r="L94" s="19" t="str">
        <f t="shared" si="9"/>
        <v/>
      </c>
      <c r="N94" s="18"/>
    </row>
    <row r="95" spans="1:14" s="15" customFormat="1" ht="25" customHeight="1">
      <c r="A95" s="13"/>
      <c r="B95" s="26"/>
      <c r="C95" s="66">
        <v>12</v>
      </c>
      <c r="D95" s="144">
        <f t="shared" si="10"/>
        <v>64</v>
      </c>
      <c r="E95" s="146">
        <f t="shared" si="8"/>
        <v>9</v>
      </c>
      <c r="F95" s="148">
        <f t="shared" si="11"/>
        <v>0.95</v>
      </c>
      <c r="G95" s="150">
        <f>IF(D95=D94,"",_xlfn.IFNA(VLOOKUP(D95,'인원 입력 기능'!$A$5:$D$103,4,FALSE),0))</f>
        <v>1569</v>
      </c>
      <c r="H95" s="151">
        <f t="shared" si="12"/>
        <v>4.1530349712543277E-3</v>
      </c>
      <c r="I95" s="153">
        <f>SUM($G$7:G95)</f>
        <v>374997</v>
      </c>
      <c r="J95" s="155">
        <f t="shared" si="13"/>
        <v>0.99259123971667251</v>
      </c>
      <c r="K95" s="31"/>
      <c r="L95" s="19" t="str">
        <f t="shared" si="9"/>
        <v>경고</v>
      </c>
      <c r="N95" s="18"/>
    </row>
    <row r="96" spans="1:14" s="15" customFormat="1" ht="25" customHeight="1">
      <c r="A96" s="13"/>
      <c r="B96" s="26"/>
      <c r="C96" s="66">
        <v>11</v>
      </c>
      <c r="D96" s="143"/>
      <c r="E96" s="145"/>
      <c r="F96" s="147"/>
      <c r="G96" s="149"/>
      <c r="H96" s="152"/>
      <c r="I96" s="154"/>
      <c r="J96" s="156"/>
      <c r="K96" s="31"/>
      <c r="L96" s="19" t="str">
        <f t="shared" si="9"/>
        <v>경고</v>
      </c>
      <c r="N96" s="18"/>
    </row>
    <row r="97" spans="1:14" s="15" customFormat="1" ht="25" customHeight="1">
      <c r="A97" s="13"/>
      <c r="B97" s="26"/>
      <c r="C97" s="66">
        <v>10</v>
      </c>
      <c r="D97" s="52">
        <f t="shared" si="10"/>
        <v>63</v>
      </c>
      <c r="E97" s="67">
        <f t="shared" si="8"/>
        <v>9</v>
      </c>
      <c r="F97" s="53">
        <f t="shared" si="11"/>
        <v>0.67</v>
      </c>
      <c r="G97" s="54">
        <f>IF(D97=D96,"",_xlfn.IFNA(VLOOKUP(D97,'인원 입력 기능'!$A$5:$D$103,4,FALSE),0))</f>
        <v>515</v>
      </c>
      <c r="H97" s="55">
        <f t="shared" si="12"/>
        <v>1.3631695412338934E-3</v>
      </c>
      <c r="I97" s="68">
        <f>SUM($G$7:G97)</f>
        <v>375512</v>
      </c>
      <c r="J97" s="57">
        <f t="shared" si="13"/>
        <v>0.99395440925790635</v>
      </c>
      <c r="K97" s="31"/>
      <c r="L97" s="19" t="str">
        <f t="shared" si="9"/>
        <v/>
      </c>
      <c r="N97" s="18"/>
    </row>
    <row r="98" spans="1:14" s="15" customFormat="1" ht="25" customHeight="1">
      <c r="A98" s="13"/>
      <c r="B98" s="26"/>
      <c r="C98" s="66">
        <v>9</v>
      </c>
      <c r="D98" s="52">
        <f t="shared" si="10"/>
        <v>62</v>
      </c>
      <c r="E98" s="67">
        <f t="shared" si="8"/>
        <v>9</v>
      </c>
      <c r="F98" s="53">
        <f t="shared" si="11"/>
        <v>0.56000000000000005</v>
      </c>
      <c r="G98" s="54">
        <f>IF(D98=D97,"",_xlfn.IFNA(VLOOKUP(D98,'인원 입력 기능'!$A$5:$D$103,4,FALSE),0))</f>
        <v>318</v>
      </c>
      <c r="H98" s="55">
        <f t="shared" si="12"/>
        <v>8.4172410507257886E-4</v>
      </c>
      <c r="I98" s="68">
        <f>SUM($G$7:G98)</f>
        <v>375830</v>
      </c>
      <c r="J98" s="57">
        <f t="shared" si="13"/>
        <v>0.99479613336297901</v>
      </c>
      <c r="K98" s="31"/>
      <c r="L98" s="19" t="str">
        <f t="shared" si="9"/>
        <v/>
      </c>
      <c r="N98" s="18"/>
    </row>
    <row r="99" spans="1:14" s="15" customFormat="1" ht="25" customHeight="1">
      <c r="A99" s="13"/>
      <c r="B99" s="26"/>
      <c r="C99" s="66">
        <v>8</v>
      </c>
      <c r="D99" s="52">
        <f t="shared" si="10"/>
        <v>61</v>
      </c>
      <c r="E99" s="67">
        <f t="shared" si="8"/>
        <v>9</v>
      </c>
      <c r="F99" s="53">
        <f t="shared" si="11"/>
        <v>0.48</v>
      </c>
      <c r="G99" s="54">
        <f>IF(D99=D98,"",_xlfn.IFNA(VLOOKUP(D99,'인원 입력 기능'!$A$5:$D$103,4,FALSE),0))</f>
        <v>292</v>
      </c>
      <c r="H99" s="55">
        <f t="shared" si="12"/>
        <v>7.7290389522387747E-4</v>
      </c>
      <c r="I99" s="68">
        <f>SUM($G$7:G99)</f>
        <v>376122</v>
      </c>
      <c r="J99" s="57">
        <f t="shared" si="13"/>
        <v>0.99556903725820289</v>
      </c>
      <c r="K99" s="31"/>
      <c r="L99" s="19" t="str">
        <f t="shared" si="9"/>
        <v/>
      </c>
      <c r="N99" s="18"/>
    </row>
    <row r="100" spans="1:14" s="15" customFormat="1" ht="25" customHeight="1">
      <c r="A100" s="13"/>
      <c r="B100" s="26"/>
      <c r="C100" s="66">
        <v>7</v>
      </c>
      <c r="D100" s="52">
        <f t="shared" si="10"/>
        <v>60</v>
      </c>
      <c r="E100" s="67">
        <f t="shared" si="8"/>
        <v>9</v>
      </c>
      <c r="F100" s="53">
        <f t="shared" si="11"/>
        <v>0.43</v>
      </c>
      <c r="G100" s="54">
        <f>IF(D100=D99,"",_xlfn.IFNA(VLOOKUP(D100,'인원 입력 기능'!$A$5:$D$103,4,FALSE),0))</f>
        <v>113</v>
      </c>
      <c r="H100" s="55">
        <f t="shared" si="12"/>
        <v>2.9910321972704846E-4</v>
      </c>
      <c r="I100" s="68">
        <f>SUM($G$7:G100)</f>
        <v>376235</v>
      </c>
      <c r="J100" s="57">
        <f t="shared" si="13"/>
        <v>0.99586814047792993</v>
      </c>
      <c r="K100" s="31"/>
      <c r="L100" s="19" t="str">
        <f t="shared" si="9"/>
        <v/>
      </c>
      <c r="N100" s="18"/>
    </row>
    <row r="101" spans="1:14" s="15" customFormat="1" ht="25" customHeight="1">
      <c r="A101" s="13"/>
      <c r="B101" s="26"/>
      <c r="C101" s="58">
        <v>6</v>
      </c>
      <c r="D101" s="52">
        <f t="shared" si="10"/>
        <v>59</v>
      </c>
      <c r="E101" s="52">
        <f t="shared" si="8"/>
        <v>9</v>
      </c>
      <c r="F101" s="53">
        <f t="shared" si="11"/>
        <v>0.39</v>
      </c>
      <c r="G101" s="54">
        <f>IF(D101=D100,"",_xlfn.IFNA(VLOOKUP(D101,'인원 입력 기능'!$A$5:$D$103,4,FALSE),0))</f>
        <v>192</v>
      </c>
      <c r="H101" s="55">
        <f t="shared" si="12"/>
        <v>5.0821078042117965E-4</v>
      </c>
      <c r="I101" s="65">
        <f>SUM($G$7:G101)</f>
        <v>376427</v>
      </c>
      <c r="J101" s="57">
        <f t="shared" si="13"/>
        <v>0.99637635125835111</v>
      </c>
      <c r="K101" s="31"/>
      <c r="L101" s="19" t="str">
        <f t="shared" si="9"/>
        <v/>
      </c>
      <c r="N101" s="18"/>
    </row>
    <row r="102" spans="1:14" s="15" customFormat="1" ht="25" customHeight="1">
      <c r="A102" s="13"/>
      <c r="B102" s="26"/>
      <c r="C102" s="58">
        <v>5</v>
      </c>
      <c r="D102" s="52">
        <f t="shared" si="10"/>
        <v>58</v>
      </c>
      <c r="E102" s="52">
        <f t="shared" si="8"/>
        <v>9</v>
      </c>
      <c r="F102" s="53">
        <f t="shared" si="11"/>
        <v>0.36</v>
      </c>
      <c r="G102" s="54">
        <f>IF(D102=D101,"",_xlfn.IFNA(VLOOKUP(D102,'인원 입력 기능'!$A$5:$D$103,4,FALSE),0))</f>
        <v>44</v>
      </c>
      <c r="H102" s="55">
        <f t="shared" si="12"/>
        <v>1.1646497051318702E-4</v>
      </c>
      <c r="I102" s="65">
        <f>SUM($G$7:G102)</f>
        <v>376471</v>
      </c>
      <c r="J102" s="57">
        <f t="shared" si="13"/>
        <v>0.99649281622886421</v>
      </c>
      <c r="K102" s="31"/>
      <c r="L102" s="19" t="str">
        <f t="shared" si="9"/>
        <v/>
      </c>
      <c r="N102" s="18"/>
    </row>
    <row r="103" spans="1:14" s="15" customFormat="1" ht="25" customHeight="1">
      <c r="A103" s="13"/>
      <c r="B103" s="26"/>
      <c r="C103" s="58">
        <v>4</v>
      </c>
      <c r="D103" s="52">
        <f t="shared" si="10"/>
        <v>57</v>
      </c>
      <c r="E103" s="52">
        <f t="shared" ref="E103:E105" si="14">IF(ROUND(D103,0)&gt;=$Q$7,1,IF(ROUND(D103,0)&gt;=$Q$8,2,IF(ROUND(D103,0)&gt;=$Q$9,3,IF(ROUND(D103,0)&gt;=$Q$10,4,IF(ROUND(D103,0)&gt;=$Q$11,5,IF(ROUND(D103,0)&gt;=$Q$12,6,IF(ROUND(D103,0)&gt;=$Q$13,7,IF(ROUND(D103,0)&gt;=$Q$14,8,9))))))))</f>
        <v>9</v>
      </c>
      <c r="F103" s="53">
        <f t="shared" si="11"/>
        <v>0.33</v>
      </c>
      <c r="G103" s="54">
        <f>IF(D103=D102,"",_xlfn.IFNA(VLOOKUP(D103,'인원 입력 기능'!$A$5:$D$103,4,FALSE),0))</f>
        <v>138</v>
      </c>
      <c r="H103" s="55">
        <f t="shared" si="12"/>
        <v>3.6527649842772291E-4</v>
      </c>
      <c r="I103" s="65">
        <f>SUM($G$7:G103)</f>
        <v>376609</v>
      </c>
      <c r="J103" s="57">
        <f t="shared" si="13"/>
        <v>0.99685809272729198</v>
      </c>
      <c r="K103" s="31"/>
      <c r="L103" s="19" t="str">
        <f t="shared" si="9"/>
        <v/>
      </c>
      <c r="N103" s="18"/>
    </row>
    <row r="104" spans="1:14" s="15" customFormat="1" ht="25" customHeight="1">
      <c r="A104" s="13"/>
      <c r="B104" s="26"/>
      <c r="C104" s="58">
        <v>3</v>
      </c>
      <c r="D104" s="52">
        <f t="shared" si="10"/>
        <v>56</v>
      </c>
      <c r="E104" s="52">
        <f t="shared" si="14"/>
        <v>9</v>
      </c>
      <c r="F104" s="53">
        <f t="shared" si="11"/>
        <v>0.31</v>
      </c>
      <c r="G104" s="54">
        <f>IF(D104=D103,"",_xlfn.IFNA(VLOOKUP(D104,'인원 입력 기능'!$A$5:$D$103,4,FALSE),0))</f>
        <v>12</v>
      </c>
      <c r="H104" s="55">
        <f t="shared" si="12"/>
        <v>3.1763173776323728E-5</v>
      </c>
      <c r="I104" s="65">
        <f>SUM($G$7:G104)</f>
        <v>376621</v>
      </c>
      <c r="J104" s="57">
        <f t="shared" si="13"/>
        <v>0.99688985590106827</v>
      </c>
      <c r="K104" s="31"/>
      <c r="L104" s="19" t="str">
        <f t="shared" si="9"/>
        <v/>
      </c>
      <c r="N104" s="18"/>
    </row>
    <row r="105" spans="1:14" s="15" customFormat="1" ht="25" customHeight="1">
      <c r="A105" s="13"/>
      <c r="B105" s="26"/>
      <c r="C105" s="58">
        <v>2</v>
      </c>
      <c r="D105" s="52">
        <f t="shared" si="10"/>
        <v>55</v>
      </c>
      <c r="E105" s="52">
        <f t="shared" si="14"/>
        <v>9</v>
      </c>
      <c r="F105" s="53">
        <f t="shared" si="11"/>
        <v>0.3</v>
      </c>
      <c r="G105" s="54">
        <f>IF(D105=D104,"",_xlfn.IFNA(VLOOKUP(D105,'인원 입력 기능'!$A$5:$D$103,4,FALSE),0))</f>
        <v>102</v>
      </c>
      <c r="H105" s="55">
        <f t="shared" si="12"/>
        <v>2.6998697709875168E-4</v>
      </c>
      <c r="I105" s="65">
        <f>SUM($G$7:G105)</f>
        <v>376723</v>
      </c>
      <c r="J105" s="57">
        <f t="shared" si="13"/>
        <v>0.99715984287816706</v>
      </c>
      <c r="K105" s="31"/>
      <c r="L105" s="19" t="str">
        <f t="shared" si="9"/>
        <v/>
      </c>
      <c r="N105" s="18"/>
    </row>
    <row r="106" spans="1:14" s="15" customFormat="1" ht="25" customHeight="1">
      <c r="A106" s="13"/>
      <c r="B106" s="26"/>
      <c r="C106" s="58">
        <v>1</v>
      </c>
      <c r="D106" s="59" t="s">
        <v>37</v>
      </c>
      <c r="E106" s="59"/>
      <c r="F106" s="60"/>
      <c r="G106" s="61"/>
      <c r="H106" s="62"/>
      <c r="I106" s="69"/>
      <c r="J106" s="64"/>
      <c r="K106" s="32"/>
      <c r="L106" s="19"/>
    </row>
    <row r="107" spans="1:14" s="15" customFormat="1" ht="25" customHeight="1" thickBot="1">
      <c r="A107" s="13"/>
      <c r="B107" s="26"/>
      <c r="C107" s="70">
        <v>0</v>
      </c>
      <c r="D107" s="71">
        <f>ROUND(20*(C107-$H$3)/$H$4+100,0)</f>
        <v>53</v>
      </c>
      <c r="E107" s="71">
        <f>IF(ROUND(D107,0)&gt;=$Q$7,1,IF(ROUND(D107,0)&gt;=$Q$8,2,IF(ROUND(D107,0)&gt;=$Q$9,3,IF(ROUND(D107,0)&gt;=$Q$10,4,IF(ROUND(D107,0)&gt;=$Q$11,5,IF(ROUND(D107,0)&gt;=$Q$12,6,IF(ROUND(D107,0)&gt;=$Q$13,7,IF(ROUND(D107,0)&gt;=$Q$14,8,9))))))))</f>
        <v>9</v>
      </c>
      <c r="F107" s="72">
        <f>IF(I105=0,ROUND(100*(1-(I104+I107)/2/$J$3),2),ROUND(100*(1-(I105+I107)/2/$J$3),2))</f>
        <v>0.14000000000000001</v>
      </c>
      <c r="G107" s="73">
        <f>_xlfn.IFNA(VLOOKUP(D107,'인원 입력 기능'!$A$5:$D$103,4,FALSE),0)</f>
        <v>1073</v>
      </c>
      <c r="H107" s="74">
        <f>G107/$J$3</f>
        <v>2.8401571218329468E-3</v>
      </c>
      <c r="I107" s="75">
        <f>SUM($G$7:G107)</f>
        <v>377796</v>
      </c>
      <c r="J107" s="76">
        <f>I107/$J$3</f>
        <v>1</v>
      </c>
      <c r="K107" s="36"/>
      <c r="L107" s="19" t="str">
        <f>IF(ABS((C107-$H$3)/$H$4*20+100-D107)&gt;0.49, "경고", "")</f>
        <v/>
      </c>
    </row>
    <row r="108" spans="1:14" s="2" customFormat="1" ht="6" customHeight="1">
      <c r="B108" s="33"/>
      <c r="C108" s="34"/>
      <c r="D108" s="34"/>
      <c r="E108" s="34"/>
      <c r="F108" s="34"/>
      <c r="G108" s="34"/>
      <c r="H108" s="34"/>
      <c r="I108" s="34"/>
      <c r="J108" s="34"/>
      <c r="K108" s="35"/>
      <c r="L108" s="21"/>
    </row>
    <row r="109" spans="1:14">
      <c r="A109" s="2"/>
      <c r="B109" s="2"/>
      <c r="C109" s="2"/>
      <c r="D109" s="2"/>
      <c r="E109" s="2"/>
      <c r="F109" s="2"/>
      <c r="G109" s="2"/>
      <c r="H109" s="2"/>
      <c r="I109" s="2"/>
      <c r="J109" s="2"/>
      <c r="L109" s="21"/>
    </row>
  </sheetData>
  <mergeCells count="24">
    <mergeCell ref="I58:I59"/>
    <mergeCell ref="J58:J59"/>
    <mergeCell ref="D95:D96"/>
    <mergeCell ref="E95:E96"/>
    <mergeCell ref="F95:F96"/>
    <mergeCell ref="G95:G96"/>
    <mergeCell ref="H95:H96"/>
    <mergeCell ref="I95:I96"/>
    <mergeCell ref="J95:J96"/>
    <mergeCell ref="D58:D59"/>
    <mergeCell ref="E58:E59"/>
    <mergeCell ref="F58:F59"/>
    <mergeCell ref="G58:G59"/>
    <mergeCell ref="H58:H59"/>
    <mergeCell ref="D3:F3"/>
    <mergeCell ref="D4:F4"/>
    <mergeCell ref="I4:J5"/>
    <mergeCell ref="D22:D23"/>
    <mergeCell ref="E22:E23"/>
    <mergeCell ref="F22:F23"/>
    <mergeCell ref="G22:G23"/>
    <mergeCell ref="H22:H23"/>
    <mergeCell ref="I22:I23"/>
    <mergeCell ref="J22:J23"/>
  </mergeCells>
  <phoneticPr fontId="1" type="noConversion"/>
  <conditionalFormatting sqref="D7:J22 D24:J58 D60:J95 D97:J107">
    <cfRule type="expression" dxfId="5" priority="3">
      <formula>OR($D7=$Q$7:$Q$14)</formula>
    </cfRule>
  </conditionalFormatting>
  <conditionalFormatting sqref="C7:C107">
    <cfRule type="expression" dxfId="4" priority="2">
      <formula>OR(AND($D7=0,OR($D6=$Q$7:$Q$14)),AND($D8&gt;0,OR($D7=$Q$7:$Q$14)))</formula>
    </cfRule>
  </conditionalFormatting>
  <conditionalFormatting sqref="D7:D22 D24:D58 D60:D95 D97:D107">
    <cfRule type="expression" dxfId="3" priority="1">
      <formula>$D7=$D8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749FE-5941-4A60-840C-DC2EFCC49008}">
  <sheetPr codeName="Sheet5"/>
  <dimension ref="A1:Q108"/>
  <sheetViews>
    <sheetView topLeftCell="A44" zoomScale="85" zoomScaleNormal="85" workbookViewId="0">
      <selection activeCell="B2" sqref="B2:K108"/>
    </sheetView>
  </sheetViews>
  <sheetFormatPr defaultRowHeight="17"/>
  <cols>
    <col min="2" max="2" width="1" style="2" customWidth="1"/>
    <col min="3" max="10" width="14.1640625" customWidth="1"/>
    <col min="11" max="11" width="1" style="2" customWidth="1"/>
    <col min="12" max="12" width="14.1640625" customWidth="1"/>
    <col min="13" max="14" width="12.4140625" customWidth="1"/>
  </cols>
  <sheetData>
    <row r="1" spans="1:17">
      <c r="A1" s="2" t="s">
        <v>39</v>
      </c>
      <c r="C1" s="2"/>
      <c r="D1" s="2"/>
      <c r="E1" s="2"/>
      <c r="F1" s="2"/>
      <c r="G1" s="2"/>
      <c r="H1" s="2"/>
      <c r="I1" s="2"/>
      <c r="J1" s="2"/>
      <c r="L1" s="2"/>
    </row>
    <row r="2" spans="1:17" s="2" customFormat="1" ht="6" customHeight="1" thickBot="1">
      <c r="B2" s="23"/>
      <c r="C2" s="24"/>
      <c r="D2" s="24"/>
      <c r="E2" s="24"/>
      <c r="F2" s="24"/>
      <c r="G2" s="24"/>
      <c r="H2" s="24"/>
      <c r="I2" s="24"/>
      <c r="J2" s="24"/>
      <c r="K2" s="25"/>
    </row>
    <row r="3" spans="1:17" s="15" customFormat="1" ht="25" customHeight="1" thickBot="1">
      <c r="A3" s="13"/>
      <c r="B3" s="26"/>
      <c r="C3" s="41" t="s">
        <v>41</v>
      </c>
      <c r="D3" s="106" t="s">
        <v>71</v>
      </c>
      <c r="E3" s="107"/>
      <c r="F3" s="108"/>
      <c r="G3" s="41" t="s">
        <v>42</v>
      </c>
      <c r="H3" s="42" t="str">
        <f>'통계 및 응시자 수 입력 기능'!D5</f>
        <v>41.88</v>
      </c>
      <c r="I3" s="14" t="s">
        <v>43</v>
      </c>
      <c r="J3" s="43">
        <f>'통계 및 응시자 수 입력 기능'!C5</f>
        <v>376665</v>
      </c>
      <c r="K3" s="27"/>
      <c r="L3" s="13"/>
    </row>
    <row r="4" spans="1:17" s="15" customFormat="1" ht="25" customHeight="1" thickBot="1">
      <c r="A4" s="13"/>
      <c r="B4" s="26"/>
      <c r="C4" s="44" t="s">
        <v>44</v>
      </c>
      <c r="D4" s="109" t="s">
        <v>47</v>
      </c>
      <c r="E4" s="110"/>
      <c r="F4" s="111"/>
      <c r="G4" s="45" t="s">
        <v>46</v>
      </c>
      <c r="H4" s="46" t="str">
        <f>'통계 및 응시자 수 입력 기능'!E5</f>
        <v>21.71</v>
      </c>
      <c r="I4" s="112"/>
      <c r="J4" s="113"/>
      <c r="K4" s="28"/>
      <c r="L4" s="13"/>
    </row>
    <row r="5" spans="1:17" s="15" customFormat="1" ht="25" customHeight="1" thickBot="1">
      <c r="A5" s="13"/>
      <c r="B5" s="26"/>
      <c r="C5" s="16"/>
      <c r="D5" s="16"/>
      <c r="E5" s="16"/>
      <c r="F5" s="102"/>
      <c r="G5" s="16"/>
      <c r="H5" s="13"/>
      <c r="I5" s="114"/>
      <c r="J5" s="114"/>
      <c r="K5" s="29"/>
      <c r="L5" s="13"/>
    </row>
    <row r="6" spans="1:17" s="15" customFormat="1" ht="25" customHeight="1" thickBot="1">
      <c r="A6" s="13"/>
      <c r="B6" s="26"/>
      <c r="C6" s="47" t="s">
        <v>48</v>
      </c>
      <c r="D6" s="48" t="s">
        <v>49</v>
      </c>
      <c r="E6" s="48" t="s">
        <v>50</v>
      </c>
      <c r="F6" s="48" t="s">
        <v>51</v>
      </c>
      <c r="G6" s="48" t="s">
        <v>52</v>
      </c>
      <c r="H6" s="49" t="s">
        <v>53</v>
      </c>
      <c r="I6" s="49" t="s">
        <v>54</v>
      </c>
      <c r="J6" s="50" t="s">
        <v>55</v>
      </c>
      <c r="K6" s="30"/>
      <c r="L6" s="22" t="s">
        <v>38</v>
      </c>
      <c r="M6" s="16"/>
      <c r="N6" s="17"/>
    </row>
    <row r="7" spans="1:17" s="15" customFormat="1" ht="25" customHeight="1">
      <c r="A7" s="13"/>
      <c r="B7" s="26"/>
      <c r="C7" s="51">
        <v>100</v>
      </c>
      <c r="D7" s="52">
        <f>ROUND(20*(C7-$H$3)/$H$4+100,0)</f>
        <v>154</v>
      </c>
      <c r="E7" s="52">
        <f t="shared" ref="E7:E70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3">
        <f>ROUND(100*(1-(0+I7)/2/$J$3),2)</f>
        <v>99.9</v>
      </c>
      <c r="G7" s="54">
        <f>_xlfn.IFNA(VLOOKUP(D7,'인원 입력 기능'!$F$5:$I$103,4,FALSE),0)</f>
        <v>743</v>
      </c>
      <c r="H7" s="55">
        <f>G7/$J$3</f>
        <v>1.9725750998898224E-3</v>
      </c>
      <c r="I7" s="56">
        <f>G7</f>
        <v>743</v>
      </c>
      <c r="J7" s="57">
        <f>I7/$J$3</f>
        <v>1.9725750998898224E-3</v>
      </c>
      <c r="K7" s="31"/>
      <c r="L7" s="19" t="str">
        <f>IF(ABS((C7-$H$3)/$H$4*20+100-D7)&gt;0.49, "경고", "")</f>
        <v/>
      </c>
      <c r="N7" s="18"/>
      <c r="P7" s="18">
        <v>1</v>
      </c>
      <c r="Q7" s="18">
        <f>'표점등급&amp;절평인원 입력기능'!C13</f>
        <v>135</v>
      </c>
    </row>
    <row r="8" spans="1:17" s="15" customFormat="1" ht="25" customHeight="1">
      <c r="A8" s="13"/>
      <c r="B8" s="26"/>
      <c r="C8" s="58">
        <v>99</v>
      </c>
      <c r="D8" s="59" t="s">
        <v>37</v>
      </c>
      <c r="E8" s="59"/>
      <c r="F8" s="60"/>
      <c r="G8" s="61"/>
      <c r="H8" s="62"/>
      <c r="I8" s="63"/>
      <c r="J8" s="64"/>
      <c r="K8" s="32"/>
      <c r="L8" s="19"/>
      <c r="N8" s="18"/>
      <c r="P8" s="18">
        <v>2</v>
      </c>
      <c r="Q8" s="18">
        <f>'표점등급&amp;절평인원 입력기능'!C14</f>
        <v>128</v>
      </c>
    </row>
    <row r="9" spans="1:17" s="15" customFormat="1" ht="25" customHeight="1">
      <c r="A9" s="13"/>
      <c r="B9" s="26"/>
      <c r="C9" s="58">
        <v>98</v>
      </c>
      <c r="D9" s="52">
        <f t="shared" ref="D9:D40" si="1">ROUND(20*(C9-$H$3)/$H$4+100,0)</f>
        <v>152</v>
      </c>
      <c r="E9" s="52">
        <f t="shared" si="0"/>
        <v>1</v>
      </c>
      <c r="F9" s="53">
        <f>IF(I8=0,ROUND(100*(1-(I7+I9)/2/$J$3),2),ROUND(100*(1-(I8+I9)/2/$J$3),2))</f>
        <v>99.8</v>
      </c>
      <c r="G9" s="54">
        <f>_xlfn.IFNA(VLOOKUP(D9,'인원 입력 기능'!$F$5:$I$103,4,FALSE),0)</f>
        <v>2</v>
      </c>
      <c r="H9" s="55">
        <f>G9/$J$3</f>
        <v>5.3097580077787953E-6</v>
      </c>
      <c r="I9" s="65">
        <f>SUM($G$7:G9)</f>
        <v>745</v>
      </c>
      <c r="J9" s="57">
        <f>I9/$J$3</f>
        <v>1.9778848578976011E-3</v>
      </c>
      <c r="K9" s="31"/>
      <c r="L9" s="19" t="str">
        <f t="shared" ref="L9:L40" si="2">IF(ABS((C9-$H$3)/$H$4*20+100-D9)&gt;0.49, "경고", "")</f>
        <v/>
      </c>
      <c r="N9" s="18"/>
      <c r="P9" s="18">
        <v>3</v>
      </c>
      <c r="Q9" s="18">
        <f>'표점등급&amp;절평인원 입력기능'!C15</f>
        <v>118</v>
      </c>
    </row>
    <row r="10" spans="1:17" s="15" customFormat="1" ht="25" customHeight="1">
      <c r="A10" s="13"/>
      <c r="B10" s="26"/>
      <c r="C10" s="58">
        <v>97</v>
      </c>
      <c r="D10" s="52">
        <f t="shared" si="1"/>
        <v>151</v>
      </c>
      <c r="E10" s="52">
        <f t="shared" si="0"/>
        <v>1</v>
      </c>
      <c r="F10" s="53">
        <f t="shared" ref="F10:F73" si="3">IF(I9=0,ROUND(100*(1-(I8+I10)/2/$J$3),2),ROUND(100*(1-(I9+I10)/2/$J$3),2))</f>
        <v>99.79</v>
      </c>
      <c r="G10" s="54">
        <f>IF(D10=D9,"",_xlfn.IFNA(VLOOKUP(D10,'인원 입력 기능'!$F$5:$I$103,4,FALSE),0))</f>
        <v>91</v>
      </c>
      <c r="H10" s="55">
        <f t="shared" ref="H10:H73" si="4">G10/$J$3</f>
        <v>2.4159398935393519E-4</v>
      </c>
      <c r="I10" s="65">
        <f>SUM($G$7:G10)</f>
        <v>836</v>
      </c>
      <c r="J10" s="57">
        <f t="shared" ref="J10:J73" si="5">I10/$J$3</f>
        <v>2.2194788472515367E-3</v>
      </c>
      <c r="K10" s="31"/>
      <c r="L10" s="19" t="str">
        <f t="shared" si="2"/>
        <v/>
      </c>
      <c r="N10" s="18"/>
      <c r="P10" s="18">
        <v>4</v>
      </c>
      <c r="Q10" s="18">
        <f>'표점등급&amp;절평인원 입력기능'!C16</f>
        <v>105</v>
      </c>
    </row>
    <row r="11" spans="1:17" s="15" customFormat="1" ht="25" customHeight="1">
      <c r="A11" s="13"/>
      <c r="B11" s="26"/>
      <c r="C11" s="58">
        <v>96</v>
      </c>
      <c r="D11" s="52">
        <f t="shared" si="1"/>
        <v>150</v>
      </c>
      <c r="E11" s="52">
        <f t="shared" si="0"/>
        <v>1</v>
      </c>
      <c r="F11" s="53">
        <f t="shared" si="3"/>
        <v>99.63</v>
      </c>
      <c r="G11" s="54">
        <f>IF(D11=D10,"",_xlfn.IFNA(VLOOKUP(D11,'인원 입력 기능'!$F$5:$I$103,4,FALSE),0))</f>
        <v>1105</v>
      </c>
      <c r="H11" s="55">
        <f t="shared" si="4"/>
        <v>2.9336412992977843E-3</v>
      </c>
      <c r="I11" s="65">
        <f>SUM($G$7:G11)</f>
        <v>1941</v>
      </c>
      <c r="J11" s="57">
        <f t="shared" si="5"/>
        <v>5.153120146549321E-3</v>
      </c>
      <c r="K11" s="31"/>
      <c r="L11" s="19" t="str">
        <f t="shared" si="2"/>
        <v/>
      </c>
      <c r="N11" s="18"/>
      <c r="P11" s="18">
        <v>5</v>
      </c>
      <c r="Q11" s="18">
        <f>'표점등급&amp;절평인원 입력기능'!C17</f>
        <v>92</v>
      </c>
    </row>
    <row r="12" spans="1:17" s="15" customFormat="1" ht="25" customHeight="1">
      <c r="A12" s="13"/>
      <c r="B12" s="26"/>
      <c r="C12" s="58">
        <v>95</v>
      </c>
      <c r="D12" s="52">
        <f t="shared" si="1"/>
        <v>149</v>
      </c>
      <c r="E12" s="52">
        <f t="shared" si="0"/>
        <v>1</v>
      </c>
      <c r="F12" s="53">
        <f t="shared" si="3"/>
        <v>99.48</v>
      </c>
      <c r="G12" s="54">
        <f>IF(D12=D11,"",_xlfn.IFNA(VLOOKUP(D12,'인원 입력 기능'!$F$5:$I$103,4,FALSE),0))</f>
        <v>0</v>
      </c>
      <c r="H12" s="55">
        <f t="shared" si="4"/>
        <v>0</v>
      </c>
      <c r="I12" s="65">
        <f>SUM($G$7:G12)</f>
        <v>1941</v>
      </c>
      <c r="J12" s="57">
        <f t="shared" si="5"/>
        <v>5.153120146549321E-3</v>
      </c>
      <c r="K12" s="31"/>
      <c r="L12" s="19" t="str">
        <f t="shared" si="2"/>
        <v/>
      </c>
      <c r="N12" s="18"/>
      <c r="P12" s="18">
        <v>6</v>
      </c>
      <c r="Q12" s="18">
        <f>'표점등급&amp;절평인원 입력기능'!C18</f>
        <v>82</v>
      </c>
    </row>
    <row r="13" spans="1:17" s="15" customFormat="1" ht="25" customHeight="1">
      <c r="A13" s="13"/>
      <c r="B13" s="26"/>
      <c r="C13" s="58">
        <v>94</v>
      </c>
      <c r="D13" s="52">
        <f t="shared" si="1"/>
        <v>148</v>
      </c>
      <c r="E13" s="52">
        <f t="shared" si="0"/>
        <v>1</v>
      </c>
      <c r="F13" s="53">
        <f t="shared" si="3"/>
        <v>99.48</v>
      </c>
      <c r="G13" s="54">
        <f>IF(D13=D12,"",_xlfn.IFNA(VLOOKUP(D13,'인원 입력 기능'!$F$5:$I$103,4,FALSE),0))</f>
        <v>3</v>
      </c>
      <c r="H13" s="55">
        <f t="shared" si="4"/>
        <v>7.9646370116681934E-6</v>
      </c>
      <c r="I13" s="65">
        <f>SUM($G$7:G13)</f>
        <v>1944</v>
      </c>
      <c r="J13" s="57">
        <f t="shared" si="5"/>
        <v>5.1610847835609893E-3</v>
      </c>
      <c r="K13" s="31"/>
      <c r="L13" s="19" t="str">
        <f t="shared" si="2"/>
        <v/>
      </c>
      <c r="N13" s="18"/>
      <c r="P13" s="18">
        <v>7</v>
      </c>
      <c r="Q13" s="18">
        <f>'표점등급&amp;절평인원 입력기능'!C19</f>
        <v>76</v>
      </c>
    </row>
    <row r="14" spans="1:17" s="15" customFormat="1" ht="25" customHeight="1">
      <c r="A14" s="13"/>
      <c r="B14" s="26"/>
      <c r="C14" s="58">
        <v>93</v>
      </c>
      <c r="D14" s="52">
        <f t="shared" si="1"/>
        <v>147</v>
      </c>
      <c r="E14" s="52">
        <f t="shared" si="0"/>
        <v>1</v>
      </c>
      <c r="F14" s="53">
        <f t="shared" si="3"/>
        <v>99.46</v>
      </c>
      <c r="G14" s="54">
        <f>IF(D14=D13,"",_xlfn.IFNA(VLOOKUP(D14,'인원 입력 기능'!$F$5:$I$103,4,FALSE),0))</f>
        <v>204</v>
      </c>
      <c r="H14" s="55">
        <f t="shared" si="4"/>
        <v>5.4159531679343715E-4</v>
      </c>
      <c r="I14" s="65">
        <f>SUM($G$7:G14)</f>
        <v>2148</v>
      </c>
      <c r="J14" s="57">
        <f t="shared" si="5"/>
        <v>5.7026801003544261E-3</v>
      </c>
      <c r="K14" s="31"/>
      <c r="L14" s="19" t="str">
        <f t="shared" si="2"/>
        <v/>
      </c>
      <c r="N14" s="18"/>
      <c r="P14" s="18">
        <v>8</v>
      </c>
      <c r="Q14" s="18">
        <f>'표점등급&amp;절평인원 입력기능'!C20</f>
        <v>72</v>
      </c>
    </row>
    <row r="15" spans="1:17" s="15" customFormat="1" ht="25" customHeight="1">
      <c r="A15" s="13"/>
      <c r="B15" s="26"/>
      <c r="C15" s="58">
        <v>92</v>
      </c>
      <c r="D15" s="52">
        <f t="shared" si="1"/>
        <v>146</v>
      </c>
      <c r="E15" s="52">
        <f t="shared" si="0"/>
        <v>1</v>
      </c>
      <c r="F15" s="53">
        <f t="shared" si="3"/>
        <v>99.17</v>
      </c>
      <c r="G15" s="54">
        <f>IF(D15=D14,"",_xlfn.IFNA(VLOOKUP(D15,'인원 입력 기능'!$F$5:$I$103,4,FALSE),0))</f>
        <v>1925</v>
      </c>
      <c r="H15" s="55">
        <f t="shared" si="4"/>
        <v>5.1106420824870904E-3</v>
      </c>
      <c r="I15" s="65">
        <f>SUM($G$7:G15)</f>
        <v>4073</v>
      </c>
      <c r="J15" s="57">
        <f t="shared" si="5"/>
        <v>1.0813322182841516E-2</v>
      </c>
      <c r="K15" s="31"/>
      <c r="L15" s="19" t="str">
        <f t="shared" si="2"/>
        <v/>
      </c>
      <c r="N15" s="18"/>
      <c r="P15" s="18">
        <v>9</v>
      </c>
    </row>
    <row r="16" spans="1:17" s="15" customFormat="1" ht="25" customHeight="1">
      <c r="A16" s="13"/>
      <c r="B16" s="26"/>
      <c r="C16" s="58">
        <v>91</v>
      </c>
      <c r="D16" s="52">
        <f t="shared" si="1"/>
        <v>145</v>
      </c>
      <c r="E16" s="52">
        <f t="shared" si="0"/>
        <v>1</v>
      </c>
      <c r="F16" s="53">
        <f t="shared" si="3"/>
        <v>98.92</v>
      </c>
      <c r="G16" s="54">
        <f>IF(D16=D15,"",_xlfn.IFNA(VLOOKUP(D16,'인원 입력 기능'!$F$5:$I$103,4,FALSE),0))</f>
        <v>4</v>
      </c>
      <c r="H16" s="55">
        <f t="shared" si="4"/>
        <v>1.0619516015557591E-5</v>
      </c>
      <c r="I16" s="65">
        <f>SUM($G$7:G16)</f>
        <v>4077</v>
      </c>
      <c r="J16" s="57">
        <f t="shared" si="5"/>
        <v>1.0823941698857075E-2</v>
      </c>
      <c r="K16" s="31"/>
      <c r="L16" s="19" t="str">
        <f t="shared" si="2"/>
        <v/>
      </c>
      <c r="N16" s="18"/>
    </row>
    <row r="17" spans="1:17" s="15" customFormat="1" ht="25" customHeight="1">
      <c r="A17" s="13"/>
      <c r="B17" s="26"/>
      <c r="C17" s="58">
        <v>90</v>
      </c>
      <c r="D17" s="52">
        <f t="shared" si="1"/>
        <v>144</v>
      </c>
      <c r="E17" s="52">
        <f t="shared" si="0"/>
        <v>1</v>
      </c>
      <c r="F17" s="53">
        <f t="shared" si="3"/>
        <v>98.91</v>
      </c>
      <c r="G17" s="54">
        <f>IF(D17=D16,"",_xlfn.IFNA(VLOOKUP(D17,'인원 입력 기능'!$F$5:$I$103,4,FALSE),0))</f>
        <v>37</v>
      </c>
      <c r="H17" s="55">
        <f t="shared" si="4"/>
        <v>9.823052314390771E-5</v>
      </c>
      <c r="I17" s="65">
        <f>SUM($G$7:G17)</f>
        <v>4114</v>
      </c>
      <c r="J17" s="57">
        <f t="shared" si="5"/>
        <v>1.0922172222000983E-2</v>
      </c>
      <c r="K17" s="31"/>
      <c r="L17" s="19" t="str">
        <f t="shared" si="2"/>
        <v/>
      </c>
      <c r="N17" s="18"/>
      <c r="Q17" s="15">
        <f>IF(H3*H4*J3*Q7=0, 0, 1)</f>
        <v>1</v>
      </c>
    </row>
    <row r="18" spans="1:17" s="15" customFormat="1" ht="25" customHeight="1">
      <c r="A18" s="13"/>
      <c r="B18" s="26"/>
      <c r="C18" s="58">
        <v>89</v>
      </c>
      <c r="D18" s="52">
        <f t="shared" si="1"/>
        <v>143</v>
      </c>
      <c r="E18" s="52">
        <f t="shared" si="0"/>
        <v>1</v>
      </c>
      <c r="F18" s="53">
        <f t="shared" si="3"/>
        <v>98.85</v>
      </c>
      <c r="G18" s="54">
        <f>IF(D18=D17,"",_xlfn.IFNA(VLOOKUP(D18,'인원 입력 기능'!$F$5:$I$103,4,FALSE),0))</f>
        <v>405</v>
      </c>
      <c r="H18" s="55">
        <f t="shared" si="4"/>
        <v>1.075225996575206E-3</v>
      </c>
      <c r="I18" s="65">
        <f>SUM($G$7:G18)</f>
        <v>4519</v>
      </c>
      <c r="J18" s="57">
        <f t="shared" si="5"/>
        <v>1.1997398218576188E-2</v>
      </c>
      <c r="K18" s="31"/>
      <c r="L18" s="19" t="str">
        <f t="shared" si="2"/>
        <v/>
      </c>
      <c r="N18" s="18"/>
    </row>
    <row r="19" spans="1:17" s="15" customFormat="1" ht="25" customHeight="1">
      <c r="A19" s="13"/>
      <c r="B19" s="26"/>
      <c r="C19" s="58">
        <v>88</v>
      </c>
      <c r="D19" s="144">
        <f t="shared" si="1"/>
        <v>142</v>
      </c>
      <c r="E19" s="146">
        <f t="shared" si="0"/>
        <v>1</v>
      </c>
      <c r="F19" s="148">
        <f t="shared" si="3"/>
        <v>98.42</v>
      </c>
      <c r="G19" s="150">
        <f>IF(D19=D18,"",_xlfn.IFNA(VLOOKUP(D19,'인원 입력 기능'!$F$5:$I$103,4,FALSE),0))</f>
        <v>2833</v>
      </c>
      <c r="H19" s="151">
        <f t="shared" si="4"/>
        <v>7.5212722180186637E-3</v>
      </c>
      <c r="I19" s="157">
        <f>SUM($G$7:G19)</f>
        <v>7352</v>
      </c>
      <c r="J19" s="155">
        <f t="shared" si="5"/>
        <v>1.9518670436594852E-2</v>
      </c>
      <c r="K19" s="31"/>
      <c r="L19" s="19" t="str">
        <f t="shared" si="2"/>
        <v/>
      </c>
      <c r="N19" s="18"/>
    </row>
    <row r="20" spans="1:17" s="15" customFormat="1" ht="25" customHeight="1">
      <c r="A20" s="13"/>
      <c r="B20" s="26"/>
      <c r="C20" s="58">
        <v>87</v>
      </c>
      <c r="D20" s="143"/>
      <c r="E20" s="145"/>
      <c r="F20" s="147"/>
      <c r="G20" s="149"/>
      <c r="H20" s="152"/>
      <c r="I20" s="158"/>
      <c r="J20" s="156"/>
      <c r="K20" s="31"/>
      <c r="L20" s="19" t="str">
        <f t="shared" si="2"/>
        <v>경고</v>
      </c>
      <c r="N20" s="18"/>
    </row>
    <row r="21" spans="1:17" s="15" customFormat="1" ht="25" customHeight="1">
      <c r="A21" s="13"/>
      <c r="B21" s="26"/>
      <c r="C21" s="58">
        <v>86</v>
      </c>
      <c r="D21" s="52">
        <f t="shared" si="1"/>
        <v>141</v>
      </c>
      <c r="E21" s="67">
        <f t="shared" si="0"/>
        <v>1</v>
      </c>
      <c r="F21" s="53">
        <f t="shared" si="3"/>
        <v>98.03</v>
      </c>
      <c r="G21" s="54">
        <f>IF(D21=D20,"",_xlfn.IFNA(VLOOKUP(D21,'인원 입력 기능'!$F$5:$I$103,4,FALSE),0))</f>
        <v>100</v>
      </c>
      <c r="H21" s="55">
        <f t="shared" si="4"/>
        <v>2.654879003889398E-4</v>
      </c>
      <c r="I21" s="65">
        <f>SUM($G$7:G21)</f>
        <v>7452</v>
      </c>
      <c r="J21" s="57">
        <f t="shared" si="5"/>
        <v>1.9784158336983791E-2</v>
      </c>
      <c r="K21" s="31"/>
      <c r="L21" s="19" t="str">
        <f t="shared" si="2"/>
        <v/>
      </c>
      <c r="N21" s="18"/>
    </row>
    <row r="22" spans="1:17" s="15" customFormat="1" ht="25" customHeight="1">
      <c r="A22" s="13"/>
      <c r="B22" s="26"/>
      <c r="C22" s="58">
        <v>85</v>
      </c>
      <c r="D22" s="52">
        <f t="shared" si="1"/>
        <v>140</v>
      </c>
      <c r="E22" s="67">
        <f t="shared" si="0"/>
        <v>1</v>
      </c>
      <c r="F22" s="53">
        <f t="shared" si="3"/>
        <v>97.89</v>
      </c>
      <c r="G22" s="54">
        <f>IF(D22=D21,"",_xlfn.IFNA(VLOOKUP(D22,'인원 입력 기능'!$F$5:$I$103,4,FALSE),0))</f>
        <v>986</v>
      </c>
      <c r="H22" s="55">
        <f t="shared" si="4"/>
        <v>2.6177106978349462E-3</v>
      </c>
      <c r="I22" s="65">
        <f>SUM($G$7:G22)</f>
        <v>8438</v>
      </c>
      <c r="J22" s="57">
        <f t="shared" si="5"/>
        <v>2.240186903481874E-2</v>
      </c>
      <c r="K22" s="31"/>
      <c r="L22" s="19" t="str">
        <f t="shared" si="2"/>
        <v/>
      </c>
      <c r="N22" s="18"/>
    </row>
    <row r="23" spans="1:17" s="15" customFormat="1" ht="25" customHeight="1">
      <c r="A23" s="13"/>
      <c r="B23" s="26"/>
      <c r="C23" s="58">
        <v>84</v>
      </c>
      <c r="D23" s="52">
        <f t="shared" si="1"/>
        <v>139</v>
      </c>
      <c r="E23" s="67">
        <f t="shared" si="0"/>
        <v>1</v>
      </c>
      <c r="F23" s="53">
        <f t="shared" si="3"/>
        <v>97.2</v>
      </c>
      <c r="G23" s="54">
        <f>IF(D23=D22,"",_xlfn.IFNA(VLOOKUP(D23,'인원 입력 기능'!$F$5:$I$103,4,FALSE),0))</f>
        <v>4228</v>
      </c>
      <c r="H23" s="55">
        <f t="shared" si="4"/>
        <v>1.1224828428444373E-2</v>
      </c>
      <c r="I23" s="65">
        <f>SUM($G$7:G23)</f>
        <v>12666</v>
      </c>
      <c r="J23" s="57">
        <f t="shared" si="5"/>
        <v>3.3626697463263112E-2</v>
      </c>
      <c r="K23" s="31"/>
      <c r="L23" s="19" t="str">
        <f t="shared" si="2"/>
        <v/>
      </c>
      <c r="N23" s="18"/>
    </row>
    <row r="24" spans="1:17" s="15" customFormat="1" ht="25" customHeight="1">
      <c r="A24" s="13"/>
      <c r="B24" s="26"/>
      <c r="C24" s="66">
        <v>83</v>
      </c>
      <c r="D24" s="67">
        <f t="shared" si="1"/>
        <v>138</v>
      </c>
      <c r="E24" s="67">
        <f t="shared" si="0"/>
        <v>1</v>
      </c>
      <c r="F24" s="53">
        <f t="shared" si="3"/>
        <v>96.63</v>
      </c>
      <c r="G24" s="54">
        <f>IF(D24=D23,"",_xlfn.IFNA(VLOOKUP(D24,'인원 입력 기능'!$F$5:$I$103,4,FALSE),0))</f>
        <v>19</v>
      </c>
      <c r="H24" s="55">
        <f t="shared" si="4"/>
        <v>5.0442701073898556E-5</v>
      </c>
      <c r="I24" s="68">
        <f>SUM($G$7:G24)</f>
        <v>12685</v>
      </c>
      <c r="J24" s="57">
        <f t="shared" si="5"/>
        <v>3.3677140164337011E-2</v>
      </c>
      <c r="K24" s="31"/>
      <c r="L24" s="19" t="str">
        <f t="shared" si="2"/>
        <v/>
      </c>
      <c r="N24" s="18"/>
    </row>
    <row r="25" spans="1:17" s="15" customFormat="1" ht="25" customHeight="1">
      <c r="A25" s="13"/>
      <c r="B25" s="26"/>
      <c r="C25" s="66">
        <v>82</v>
      </c>
      <c r="D25" s="67">
        <f t="shared" si="1"/>
        <v>137</v>
      </c>
      <c r="E25" s="67">
        <f t="shared" si="0"/>
        <v>1</v>
      </c>
      <c r="F25" s="53">
        <f t="shared" si="3"/>
        <v>96.61</v>
      </c>
      <c r="G25" s="54">
        <f>IF(D25=D24,"",_xlfn.IFNA(VLOOKUP(D25,'인원 입력 기능'!$F$5:$I$103,4,FALSE),0))</f>
        <v>193</v>
      </c>
      <c r="H25" s="55">
        <f t="shared" si="4"/>
        <v>5.1239164775065374E-4</v>
      </c>
      <c r="I25" s="68">
        <f>SUM($G$7:G25)</f>
        <v>12878</v>
      </c>
      <c r="J25" s="57">
        <f t="shared" si="5"/>
        <v>3.4189531812087663E-2</v>
      </c>
      <c r="K25" s="31"/>
      <c r="L25" s="19" t="str">
        <f t="shared" si="2"/>
        <v/>
      </c>
      <c r="N25" s="18"/>
    </row>
    <row r="26" spans="1:17" s="15" customFormat="1" ht="25" customHeight="1">
      <c r="A26" s="13"/>
      <c r="B26" s="26"/>
      <c r="C26" s="66">
        <v>81</v>
      </c>
      <c r="D26" s="67">
        <f t="shared" si="1"/>
        <v>136</v>
      </c>
      <c r="E26" s="67">
        <f t="shared" si="0"/>
        <v>1</v>
      </c>
      <c r="F26" s="53">
        <f t="shared" si="3"/>
        <v>96.35</v>
      </c>
      <c r="G26" s="54">
        <f>IF(D26=D25,"",_xlfn.IFNA(VLOOKUP(D26,'인원 입력 기능'!$F$5:$I$103,4,FALSE),0))</f>
        <v>1711</v>
      </c>
      <c r="H26" s="55">
        <f t="shared" si="4"/>
        <v>4.5424979756547596E-3</v>
      </c>
      <c r="I26" s="68">
        <f>SUM($G$7:G26)</f>
        <v>14589</v>
      </c>
      <c r="J26" s="57">
        <f t="shared" si="5"/>
        <v>3.8732029787742421E-2</v>
      </c>
      <c r="K26" s="31"/>
      <c r="L26" s="19" t="str">
        <f t="shared" si="2"/>
        <v/>
      </c>
      <c r="N26" s="18"/>
    </row>
    <row r="27" spans="1:17" s="15" customFormat="1" ht="25" customHeight="1">
      <c r="A27" s="13"/>
      <c r="B27" s="26"/>
      <c r="C27" s="66">
        <v>80</v>
      </c>
      <c r="D27" s="67">
        <f t="shared" si="1"/>
        <v>135</v>
      </c>
      <c r="E27" s="67">
        <f t="shared" si="0"/>
        <v>1</v>
      </c>
      <c r="F27" s="53">
        <f t="shared" si="3"/>
        <v>95.36</v>
      </c>
      <c r="G27" s="54">
        <f>IF(D27=D26,"",_xlfn.IFNA(VLOOKUP(D27,'인원 입력 기능'!$F$5:$I$103,4,FALSE),0))</f>
        <v>5799</v>
      </c>
      <c r="H27" s="55">
        <f t="shared" si="4"/>
        <v>1.5395643343554618E-2</v>
      </c>
      <c r="I27" s="68">
        <f>SUM($G$7:G27)</f>
        <v>20388</v>
      </c>
      <c r="J27" s="57">
        <f t="shared" si="5"/>
        <v>5.4127673131297044E-2</v>
      </c>
      <c r="K27" s="31"/>
      <c r="L27" s="19" t="str">
        <f t="shared" si="2"/>
        <v/>
      </c>
      <c r="N27" s="18"/>
    </row>
    <row r="28" spans="1:17" s="15" customFormat="1" ht="25" customHeight="1">
      <c r="A28" s="13"/>
      <c r="B28" s="26"/>
      <c r="C28" s="66">
        <v>79</v>
      </c>
      <c r="D28" s="67">
        <f t="shared" si="1"/>
        <v>134</v>
      </c>
      <c r="E28" s="67">
        <f t="shared" si="0"/>
        <v>2</v>
      </c>
      <c r="F28" s="53">
        <f t="shared" si="3"/>
        <v>94.58</v>
      </c>
      <c r="G28" s="54">
        <f>IF(D28=D27,"",_xlfn.IFNA(VLOOKUP(D28,'인원 입력 기능'!$F$5:$I$103,4,FALSE),0))</f>
        <v>34</v>
      </c>
      <c r="H28" s="55">
        <f t="shared" si="4"/>
        <v>9.0265886132239516E-5</v>
      </c>
      <c r="I28" s="68">
        <f>SUM($G$7:G28)</f>
        <v>20422</v>
      </c>
      <c r="J28" s="57">
        <f t="shared" si="5"/>
        <v>5.421793901742928E-2</v>
      </c>
      <c r="K28" s="31"/>
      <c r="L28" s="19" t="str">
        <f t="shared" si="2"/>
        <v/>
      </c>
      <c r="N28" s="18"/>
    </row>
    <row r="29" spans="1:17" s="15" customFormat="1" ht="25" customHeight="1">
      <c r="A29" s="13"/>
      <c r="B29" s="26"/>
      <c r="C29" s="66">
        <v>78</v>
      </c>
      <c r="D29" s="67">
        <f t="shared" si="1"/>
        <v>133</v>
      </c>
      <c r="E29" s="67">
        <f t="shared" si="0"/>
        <v>2</v>
      </c>
      <c r="F29" s="53">
        <f t="shared" si="3"/>
        <v>94.52</v>
      </c>
      <c r="G29" s="54">
        <f>IF(D29=D28,"",_xlfn.IFNA(VLOOKUP(D29,'인원 입력 기능'!$F$5:$I$103,4,FALSE),0))</f>
        <v>425</v>
      </c>
      <c r="H29" s="55">
        <f t="shared" si="4"/>
        <v>1.1283235766529941E-3</v>
      </c>
      <c r="I29" s="68">
        <f>SUM($G$7:G29)</f>
        <v>20847</v>
      </c>
      <c r="J29" s="57">
        <f t="shared" si="5"/>
        <v>5.5346262594082277E-2</v>
      </c>
      <c r="K29" s="31"/>
      <c r="L29" s="19" t="str">
        <f t="shared" si="2"/>
        <v/>
      </c>
      <c r="N29" s="18"/>
    </row>
    <row r="30" spans="1:17" s="15" customFormat="1" ht="25" customHeight="1">
      <c r="A30" s="13"/>
      <c r="B30" s="26"/>
      <c r="C30" s="66">
        <v>77</v>
      </c>
      <c r="D30" s="67">
        <f t="shared" si="1"/>
        <v>132</v>
      </c>
      <c r="E30" s="67">
        <f t="shared" si="0"/>
        <v>2</v>
      </c>
      <c r="F30" s="53">
        <f t="shared" si="3"/>
        <v>94.09</v>
      </c>
      <c r="G30" s="54">
        <f>IF(D30=D29,"",_xlfn.IFNA(VLOOKUP(D30,'인원 입력 기능'!$F$5:$I$103,4,FALSE),0))</f>
        <v>2801</v>
      </c>
      <c r="H30" s="55">
        <f t="shared" si="4"/>
        <v>7.4363160898942033E-3</v>
      </c>
      <c r="I30" s="68">
        <f>SUM($G$7:G30)</f>
        <v>23648</v>
      </c>
      <c r="J30" s="57">
        <f t="shared" si="5"/>
        <v>6.2782578683976478E-2</v>
      </c>
      <c r="K30" s="31"/>
      <c r="L30" s="19" t="str">
        <f t="shared" si="2"/>
        <v/>
      </c>
      <c r="N30" s="18"/>
    </row>
    <row r="31" spans="1:17" s="15" customFormat="1" ht="25" customHeight="1">
      <c r="A31" s="13"/>
      <c r="B31" s="26"/>
      <c r="C31" s="66">
        <v>76</v>
      </c>
      <c r="D31" s="146">
        <f t="shared" si="1"/>
        <v>131</v>
      </c>
      <c r="E31" s="146">
        <f t="shared" si="0"/>
        <v>2</v>
      </c>
      <c r="F31" s="148">
        <f t="shared" si="3"/>
        <v>92.78</v>
      </c>
      <c r="G31" s="150">
        <f>IF(D31=D30,"",_xlfn.IFNA(VLOOKUP(D31,'인원 입력 기능'!$F$5:$I$103,4,FALSE),0))</f>
        <v>7106</v>
      </c>
      <c r="H31" s="151">
        <f t="shared" si="4"/>
        <v>1.8865570201638062E-2</v>
      </c>
      <c r="I31" s="153">
        <f>SUM($G$7:G31)</f>
        <v>30754</v>
      </c>
      <c r="J31" s="155">
        <f t="shared" si="5"/>
        <v>8.1648148885614544E-2</v>
      </c>
      <c r="K31" s="31"/>
      <c r="L31" s="19" t="str">
        <f t="shared" si="2"/>
        <v/>
      </c>
      <c r="N31" s="18"/>
    </row>
    <row r="32" spans="1:17" s="15" customFormat="1" ht="25" customHeight="1">
      <c r="A32" s="13"/>
      <c r="B32" s="26"/>
      <c r="C32" s="66">
        <v>75</v>
      </c>
      <c r="D32" s="145"/>
      <c r="E32" s="145"/>
      <c r="F32" s="147"/>
      <c r="G32" s="149"/>
      <c r="H32" s="152"/>
      <c r="I32" s="154"/>
      <c r="J32" s="156"/>
      <c r="K32" s="31"/>
      <c r="L32" s="19" t="str">
        <f t="shared" si="2"/>
        <v>경고</v>
      </c>
      <c r="N32" s="18"/>
    </row>
    <row r="33" spans="1:14" s="15" customFormat="1" ht="25" customHeight="1">
      <c r="A33" s="13"/>
      <c r="B33" s="26"/>
      <c r="C33" s="66">
        <v>74</v>
      </c>
      <c r="D33" s="67">
        <f t="shared" si="1"/>
        <v>130</v>
      </c>
      <c r="E33" s="67">
        <f t="shared" si="0"/>
        <v>2</v>
      </c>
      <c r="F33" s="53">
        <f t="shared" si="3"/>
        <v>91.72</v>
      </c>
      <c r="G33" s="54">
        <f>IF(D33=D32,"",_xlfn.IFNA(VLOOKUP(D33,'인원 입력 기능'!$F$5:$I$103,4,FALSE),0))</f>
        <v>859</v>
      </c>
      <c r="H33" s="55">
        <f t="shared" si="4"/>
        <v>2.2805410643409927E-3</v>
      </c>
      <c r="I33" s="68">
        <f>SUM($G$7:G33)</f>
        <v>31613</v>
      </c>
      <c r="J33" s="57">
        <f t="shared" si="5"/>
        <v>8.3928689949955532E-2</v>
      </c>
      <c r="K33" s="31"/>
      <c r="L33" s="19" t="str">
        <f t="shared" si="2"/>
        <v/>
      </c>
      <c r="N33" s="18"/>
    </row>
    <row r="34" spans="1:14" s="15" customFormat="1" ht="25" customHeight="1">
      <c r="A34" s="13"/>
      <c r="B34" s="26"/>
      <c r="C34" s="66">
        <v>73</v>
      </c>
      <c r="D34" s="67">
        <f t="shared" si="1"/>
        <v>129</v>
      </c>
      <c r="E34" s="67">
        <f t="shared" si="0"/>
        <v>2</v>
      </c>
      <c r="F34" s="53">
        <f t="shared" si="3"/>
        <v>91.04</v>
      </c>
      <c r="G34" s="54">
        <f>IF(D34=D33,"",_xlfn.IFNA(VLOOKUP(D34,'인원 입력 기능'!$F$5:$I$103,4,FALSE),0))</f>
        <v>4276</v>
      </c>
      <c r="H34" s="55">
        <f t="shared" si="4"/>
        <v>1.1352262620631064E-2</v>
      </c>
      <c r="I34" s="68">
        <f>SUM($G$7:G34)</f>
        <v>35889</v>
      </c>
      <c r="J34" s="57">
        <f t="shared" si="5"/>
        <v>9.5280952570586594E-2</v>
      </c>
      <c r="K34" s="31"/>
      <c r="L34" s="19" t="str">
        <f t="shared" si="2"/>
        <v/>
      </c>
      <c r="N34" s="18"/>
    </row>
    <row r="35" spans="1:14" s="15" customFormat="1" ht="25" customHeight="1">
      <c r="A35" s="13"/>
      <c r="B35" s="26"/>
      <c r="C35" s="66">
        <v>72</v>
      </c>
      <c r="D35" s="67">
        <f t="shared" si="1"/>
        <v>128</v>
      </c>
      <c r="E35" s="67">
        <f t="shared" si="0"/>
        <v>2</v>
      </c>
      <c r="F35" s="53">
        <f t="shared" si="3"/>
        <v>89.51</v>
      </c>
      <c r="G35" s="54">
        <f>IF(D35=D34,"",_xlfn.IFNA(VLOOKUP(D35,'인원 입력 기능'!$F$5:$I$103,4,FALSE),0))</f>
        <v>7274</v>
      </c>
      <c r="H35" s="55">
        <f t="shared" si="4"/>
        <v>1.931158987429148E-2</v>
      </c>
      <c r="I35" s="68">
        <f>SUM($G$7:G35)</f>
        <v>43163</v>
      </c>
      <c r="J35" s="57">
        <f t="shared" si="5"/>
        <v>0.11459254244487807</v>
      </c>
      <c r="K35" s="31"/>
      <c r="L35" s="19" t="str">
        <f t="shared" si="2"/>
        <v/>
      </c>
      <c r="N35" s="18"/>
    </row>
    <row r="36" spans="1:14" s="15" customFormat="1" ht="25" customHeight="1">
      <c r="A36" s="13"/>
      <c r="B36" s="26"/>
      <c r="C36" s="66">
        <v>71</v>
      </c>
      <c r="D36" s="67">
        <f t="shared" si="1"/>
        <v>127</v>
      </c>
      <c r="E36" s="67">
        <f t="shared" si="0"/>
        <v>3</v>
      </c>
      <c r="F36" s="53">
        <f t="shared" si="3"/>
        <v>88.51</v>
      </c>
      <c r="G36" s="54">
        <f>IF(D36=D35,"",_xlfn.IFNA(VLOOKUP(D36,'인원 입력 기능'!$F$5:$I$103,4,FALSE),0))</f>
        <v>223</v>
      </c>
      <c r="H36" s="55">
        <f t="shared" si="4"/>
        <v>5.9203801786733568E-4</v>
      </c>
      <c r="I36" s="68">
        <f>SUM($G$7:G36)</f>
        <v>43386</v>
      </c>
      <c r="J36" s="57">
        <f t="shared" si="5"/>
        <v>0.11518458046274541</v>
      </c>
      <c r="K36" s="31"/>
      <c r="L36" s="19" t="str">
        <f t="shared" si="2"/>
        <v/>
      </c>
      <c r="N36" s="18"/>
    </row>
    <row r="37" spans="1:14" s="15" customFormat="1" ht="25" customHeight="1">
      <c r="A37" s="13"/>
      <c r="B37" s="26"/>
      <c r="C37" s="66">
        <v>70</v>
      </c>
      <c r="D37" s="67">
        <f t="shared" si="1"/>
        <v>126</v>
      </c>
      <c r="E37" s="67">
        <f t="shared" si="0"/>
        <v>3</v>
      </c>
      <c r="F37" s="53">
        <f t="shared" si="3"/>
        <v>88.27</v>
      </c>
      <c r="G37" s="54">
        <f>IF(D37=D36,"",_xlfn.IFNA(VLOOKUP(D37,'인원 입력 기능'!$F$5:$I$103,4,FALSE),0))</f>
        <v>1622</v>
      </c>
      <c r="H37" s="55">
        <f t="shared" si="4"/>
        <v>4.3062137443086032E-3</v>
      </c>
      <c r="I37" s="68">
        <f>SUM($G$7:G37)</f>
        <v>45008</v>
      </c>
      <c r="J37" s="57">
        <f t="shared" si="5"/>
        <v>0.11949079420705401</v>
      </c>
      <c r="K37" s="31"/>
      <c r="L37" s="19" t="str">
        <f t="shared" si="2"/>
        <v/>
      </c>
      <c r="N37" s="18"/>
    </row>
    <row r="38" spans="1:14" s="15" customFormat="1" ht="25" customHeight="1">
      <c r="A38" s="13"/>
      <c r="B38" s="26"/>
      <c r="C38" s="66">
        <v>69</v>
      </c>
      <c r="D38" s="67">
        <f t="shared" si="1"/>
        <v>125</v>
      </c>
      <c r="E38" s="67">
        <f t="shared" si="0"/>
        <v>3</v>
      </c>
      <c r="F38" s="53">
        <f t="shared" si="3"/>
        <v>87.3</v>
      </c>
      <c r="G38" s="54">
        <f>IF(D38=D37,"",_xlfn.IFNA(VLOOKUP(D38,'인원 입력 기능'!$F$5:$I$103,4,FALSE),0))</f>
        <v>5635</v>
      </c>
      <c r="H38" s="55">
        <f t="shared" si="4"/>
        <v>1.4960243186916756E-2</v>
      </c>
      <c r="I38" s="68">
        <f>SUM($G$7:G38)</f>
        <v>50643</v>
      </c>
      <c r="J38" s="57">
        <f t="shared" si="5"/>
        <v>0.13445103739397077</v>
      </c>
      <c r="K38" s="31"/>
      <c r="L38" s="19" t="str">
        <f t="shared" si="2"/>
        <v/>
      </c>
      <c r="N38" s="18"/>
    </row>
    <row r="39" spans="1:14" s="15" customFormat="1" ht="25" customHeight="1">
      <c r="A39" s="13"/>
      <c r="B39" s="26"/>
      <c r="C39" s="66">
        <v>68</v>
      </c>
      <c r="D39" s="67">
        <f t="shared" si="1"/>
        <v>124</v>
      </c>
      <c r="E39" s="67">
        <f t="shared" si="0"/>
        <v>3</v>
      </c>
      <c r="F39" s="53">
        <f t="shared" si="3"/>
        <v>85.64</v>
      </c>
      <c r="G39" s="54">
        <f>IF(D39=D38,"",_xlfn.IFNA(VLOOKUP(D39,'인원 입력 기능'!$F$5:$I$103,4,FALSE),0))</f>
        <v>6877</v>
      </c>
      <c r="H39" s="55">
        <f t="shared" si="4"/>
        <v>1.825760290974739E-2</v>
      </c>
      <c r="I39" s="68">
        <f>SUM($G$7:G39)</f>
        <v>57520</v>
      </c>
      <c r="J39" s="57">
        <f t="shared" si="5"/>
        <v>0.15270864030371817</v>
      </c>
      <c r="K39" s="31"/>
      <c r="L39" s="19" t="str">
        <f t="shared" si="2"/>
        <v/>
      </c>
      <c r="N39" s="18"/>
    </row>
    <row r="40" spans="1:14" s="15" customFormat="1" ht="25" customHeight="1">
      <c r="A40" s="13"/>
      <c r="B40" s="26"/>
      <c r="C40" s="66">
        <v>67</v>
      </c>
      <c r="D40" s="67">
        <f t="shared" si="1"/>
        <v>123</v>
      </c>
      <c r="E40" s="67">
        <f t="shared" si="0"/>
        <v>3</v>
      </c>
      <c r="F40" s="53">
        <f t="shared" si="3"/>
        <v>84.66</v>
      </c>
      <c r="G40" s="54">
        <f>IF(D40=D39,"",_xlfn.IFNA(VLOOKUP(D40,'인원 입력 기능'!$F$5:$I$103,4,FALSE),0))</f>
        <v>499</v>
      </c>
      <c r="H40" s="55">
        <f t="shared" si="4"/>
        <v>1.3247846229408095E-3</v>
      </c>
      <c r="I40" s="68">
        <f>SUM($G$7:G40)</f>
        <v>58019</v>
      </c>
      <c r="J40" s="57">
        <f t="shared" si="5"/>
        <v>0.15403342492665897</v>
      </c>
      <c r="K40" s="31"/>
      <c r="L40" s="19" t="str">
        <f t="shared" si="2"/>
        <v/>
      </c>
      <c r="N40" s="18"/>
    </row>
    <row r="41" spans="1:14" s="15" customFormat="1" ht="25" customHeight="1">
      <c r="A41" s="13"/>
      <c r="B41" s="26"/>
      <c r="C41" s="66">
        <v>66</v>
      </c>
      <c r="D41" s="67">
        <f t="shared" ref="D41:D72" si="6">ROUND(20*(C41-$H$3)/$H$4+100,0)</f>
        <v>122</v>
      </c>
      <c r="E41" s="67">
        <f t="shared" si="0"/>
        <v>3</v>
      </c>
      <c r="F41" s="53">
        <f t="shared" si="3"/>
        <v>84.23</v>
      </c>
      <c r="G41" s="54">
        <f>IF(D41=D40,"",_xlfn.IFNA(VLOOKUP(D41,'인원 입력 기능'!$F$5:$I$103,4,FALSE),0))</f>
        <v>2755</v>
      </c>
      <c r="H41" s="55">
        <f t="shared" si="4"/>
        <v>7.3141916557152905E-3</v>
      </c>
      <c r="I41" s="68">
        <f>SUM($G$7:G41)</f>
        <v>60774</v>
      </c>
      <c r="J41" s="57">
        <f t="shared" si="5"/>
        <v>0.16134761658237426</v>
      </c>
      <c r="K41" s="31"/>
      <c r="L41" s="19" t="str">
        <f t="shared" ref="L41:L72" si="7">IF(ABS((C41-$H$3)/$H$4*20+100-D41)&gt;0.49, "경고", "")</f>
        <v/>
      </c>
      <c r="N41" s="18"/>
    </row>
    <row r="42" spans="1:14" s="15" customFormat="1" ht="25" customHeight="1">
      <c r="A42" s="13"/>
      <c r="B42" s="26"/>
      <c r="C42" s="66">
        <v>65</v>
      </c>
      <c r="D42" s="67">
        <f t="shared" si="6"/>
        <v>121</v>
      </c>
      <c r="E42" s="67">
        <f t="shared" si="0"/>
        <v>3</v>
      </c>
      <c r="F42" s="53">
        <f t="shared" si="3"/>
        <v>82.92</v>
      </c>
      <c r="G42" s="54">
        <f>IF(D42=D41,"",_xlfn.IFNA(VLOOKUP(D42,'인원 입력 기능'!$F$5:$I$103,4,FALSE),0))</f>
        <v>7091</v>
      </c>
      <c r="H42" s="55">
        <f t="shared" si="4"/>
        <v>1.8825747016579721E-2</v>
      </c>
      <c r="I42" s="68">
        <f>SUM($G$7:G42)</f>
        <v>67865</v>
      </c>
      <c r="J42" s="57">
        <f t="shared" si="5"/>
        <v>0.18017336359895397</v>
      </c>
      <c r="K42" s="31"/>
      <c r="L42" s="19" t="str">
        <f t="shared" si="7"/>
        <v/>
      </c>
      <c r="N42" s="18"/>
    </row>
    <row r="43" spans="1:14" s="15" customFormat="1" ht="25" customHeight="1">
      <c r="A43" s="13"/>
      <c r="B43" s="26"/>
      <c r="C43" s="66">
        <v>64</v>
      </c>
      <c r="D43" s="67">
        <f t="shared" si="6"/>
        <v>120</v>
      </c>
      <c r="E43" s="67">
        <f t="shared" si="0"/>
        <v>3</v>
      </c>
      <c r="F43" s="53">
        <f t="shared" si="3"/>
        <v>81.22</v>
      </c>
      <c r="G43" s="54">
        <f>IF(D43=D42,"",_xlfn.IFNA(VLOOKUP(D43,'인원 입력 기능'!$F$5:$I$103,4,FALSE),0))</f>
        <v>5714</v>
      </c>
      <c r="H43" s="55">
        <f t="shared" si="4"/>
        <v>1.5169978628224019E-2</v>
      </c>
      <c r="I43" s="68">
        <f>SUM($G$7:G43)</f>
        <v>73579</v>
      </c>
      <c r="J43" s="57">
        <f t="shared" si="5"/>
        <v>0.195343342227178</v>
      </c>
      <c r="K43" s="31"/>
      <c r="L43" s="19" t="str">
        <f t="shared" si="7"/>
        <v/>
      </c>
      <c r="N43" s="18"/>
    </row>
    <row r="44" spans="1:14" s="15" customFormat="1" ht="25" customHeight="1">
      <c r="A44" s="13"/>
      <c r="B44" s="26"/>
      <c r="C44" s="66">
        <v>63</v>
      </c>
      <c r="D44" s="146">
        <f t="shared" si="6"/>
        <v>119</v>
      </c>
      <c r="E44" s="146">
        <f t="shared" si="0"/>
        <v>3</v>
      </c>
      <c r="F44" s="148">
        <f t="shared" si="3"/>
        <v>79.709999999999994</v>
      </c>
      <c r="G44" s="150">
        <f>IF(D44=D43,"",_xlfn.IFNA(VLOOKUP(D44,'인원 입력 기능'!$F$5:$I$103,4,FALSE),0))</f>
        <v>5723</v>
      </c>
      <c r="H44" s="151">
        <f t="shared" si="4"/>
        <v>1.5193872539259023E-2</v>
      </c>
      <c r="I44" s="153">
        <f>SUM($G$7:G44)</f>
        <v>79302</v>
      </c>
      <c r="J44" s="155">
        <f t="shared" si="5"/>
        <v>0.21053721476643703</v>
      </c>
      <c r="K44" s="31"/>
      <c r="L44" s="19" t="str">
        <f t="shared" si="7"/>
        <v/>
      </c>
      <c r="N44" s="18"/>
    </row>
    <row r="45" spans="1:14" s="15" customFormat="1" ht="25" customHeight="1">
      <c r="A45" s="13"/>
      <c r="B45" s="26"/>
      <c r="C45" s="66">
        <v>62</v>
      </c>
      <c r="D45" s="145"/>
      <c r="E45" s="145"/>
      <c r="F45" s="147"/>
      <c r="G45" s="149"/>
      <c r="H45" s="152"/>
      <c r="I45" s="154"/>
      <c r="J45" s="156"/>
      <c r="K45" s="31"/>
      <c r="L45" s="19" t="str">
        <f t="shared" si="7"/>
        <v>경고</v>
      </c>
      <c r="N45" s="18"/>
    </row>
    <row r="46" spans="1:14" s="15" customFormat="1" ht="25" customHeight="1">
      <c r="A46" s="13"/>
      <c r="B46" s="26"/>
      <c r="C46" s="66">
        <v>61</v>
      </c>
      <c r="D46" s="67">
        <f t="shared" si="6"/>
        <v>118</v>
      </c>
      <c r="E46" s="67">
        <f t="shared" si="0"/>
        <v>3</v>
      </c>
      <c r="F46" s="53">
        <f t="shared" si="3"/>
        <v>77.930000000000007</v>
      </c>
      <c r="G46" s="54">
        <f>IF(D46=D45,"",_xlfn.IFNA(VLOOKUP(D46,'인원 입력 기능'!$F$5:$I$103,4,FALSE),0))</f>
        <v>7659</v>
      </c>
      <c r="H46" s="55">
        <f t="shared" si="4"/>
        <v>2.0333718290788897E-2</v>
      </c>
      <c r="I46" s="68">
        <f>SUM($G$7:G46)</f>
        <v>86961</v>
      </c>
      <c r="J46" s="57">
        <f t="shared" si="5"/>
        <v>0.23087093305722592</v>
      </c>
      <c r="K46" s="31"/>
      <c r="L46" s="19" t="str">
        <f t="shared" si="7"/>
        <v/>
      </c>
      <c r="N46" s="18"/>
    </row>
    <row r="47" spans="1:14" s="15" customFormat="1" ht="25" customHeight="1">
      <c r="A47" s="13"/>
      <c r="B47" s="26"/>
      <c r="C47" s="66">
        <v>60</v>
      </c>
      <c r="D47" s="67">
        <f t="shared" si="6"/>
        <v>117</v>
      </c>
      <c r="E47" s="67">
        <f t="shared" si="0"/>
        <v>4</v>
      </c>
      <c r="F47" s="53">
        <f t="shared" si="3"/>
        <v>76.41</v>
      </c>
      <c r="G47" s="54">
        <f>IF(D47=D46,"",_xlfn.IFNA(VLOOKUP(D47,'인원 입력 기능'!$F$5:$I$103,4,FALSE),0))</f>
        <v>3809</v>
      </c>
      <c r="H47" s="55">
        <f t="shared" si="4"/>
        <v>1.0112434125814716E-2</v>
      </c>
      <c r="I47" s="68">
        <f>SUM($G$7:G47)</f>
        <v>90770</v>
      </c>
      <c r="J47" s="57">
        <f t="shared" si="5"/>
        <v>0.24098336718304064</v>
      </c>
      <c r="K47" s="31"/>
      <c r="L47" s="19" t="str">
        <f t="shared" si="7"/>
        <v/>
      </c>
      <c r="N47" s="18"/>
    </row>
    <row r="48" spans="1:14" s="15" customFormat="1" ht="25" customHeight="1">
      <c r="A48" s="13"/>
      <c r="B48" s="26"/>
      <c r="C48" s="66">
        <v>59</v>
      </c>
      <c r="D48" s="67">
        <f t="shared" si="6"/>
        <v>116</v>
      </c>
      <c r="E48" s="67">
        <f t="shared" si="0"/>
        <v>4</v>
      </c>
      <c r="F48" s="53">
        <f t="shared" si="3"/>
        <v>75.599999999999994</v>
      </c>
      <c r="G48" s="54">
        <f>IF(D48=D47,"",_xlfn.IFNA(VLOOKUP(D48,'인원 입력 기능'!$F$5:$I$103,4,FALSE),0))</f>
        <v>2293</v>
      </c>
      <c r="H48" s="55">
        <f t="shared" si="4"/>
        <v>6.0876375559183894E-3</v>
      </c>
      <c r="I48" s="68">
        <f>SUM($G$7:G48)</f>
        <v>93063</v>
      </c>
      <c r="J48" s="57">
        <f t="shared" si="5"/>
        <v>0.24707100473895902</v>
      </c>
      <c r="K48" s="31"/>
      <c r="L48" s="19" t="str">
        <f t="shared" si="7"/>
        <v/>
      </c>
      <c r="N48" s="18"/>
    </row>
    <row r="49" spans="1:14" s="15" customFormat="1" ht="25" customHeight="1">
      <c r="A49" s="13"/>
      <c r="B49" s="26"/>
      <c r="C49" s="66">
        <v>58</v>
      </c>
      <c r="D49" s="67">
        <f t="shared" si="6"/>
        <v>115</v>
      </c>
      <c r="E49" s="67">
        <f t="shared" si="0"/>
        <v>4</v>
      </c>
      <c r="F49" s="53">
        <f t="shared" si="3"/>
        <v>74.45</v>
      </c>
      <c r="G49" s="54">
        <f>IF(D49=D48,"",_xlfn.IFNA(VLOOKUP(D49,'인원 입력 기능'!$F$5:$I$103,4,FALSE),0))</f>
        <v>6338</v>
      </c>
      <c r="H49" s="55">
        <f t="shared" si="4"/>
        <v>1.6826623126651005E-2</v>
      </c>
      <c r="I49" s="68">
        <f>SUM($G$7:G49)</f>
        <v>99401</v>
      </c>
      <c r="J49" s="57">
        <f t="shared" si="5"/>
        <v>0.26389762786561005</v>
      </c>
      <c r="K49" s="31"/>
      <c r="L49" s="19" t="str">
        <f t="shared" si="7"/>
        <v/>
      </c>
      <c r="N49" s="18"/>
    </row>
    <row r="50" spans="1:14" s="15" customFormat="1" ht="25" customHeight="1">
      <c r="A50" s="13"/>
      <c r="B50" s="26"/>
      <c r="C50" s="66">
        <v>57</v>
      </c>
      <c r="D50" s="67">
        <f t="shared" si="6"/>
        <v>114</v>
      </c>
      <c r="E50" s="67">
        <f t="shared" si="0"/>
        <v>4</v>
      </c>
      <c r="F50" s="53">
        <f t="shared" si="3"/>
        <v>72.69</v>
      </c>
      <c r="G50" s="54">
        <f>IF(D50=D49,"",_xlfn.IFNA(VLOOKUP(D50,'인원 입력 기능'!$F$5:$I$103,4,FALSE),0))</f>
        <v>6901</v>
      </c>
      <c r="H50" s="55">
        <f t="shared" si="4"/>
        <v>1.8321320005840733E-2</v>
      </c>
      <c r="I50" s="68">
        <f>SUM($G$7:G50)</f>
        <v>106302</v>
      </c>
      <c r="J50" s="57">
        <f t="shared" si="5"/>
        <v>0.28221894787145074</v>
      </c>
      <c r="K50" s="31"/>
      <c r="L50" s="19" t="str">
        <f t="shared" si="7"/>
        <v/>
      </c>
      <c r="N50" s="18"/>
    </row>
    <row r="51" spans="1:14" s="15" customFormat="1" ht="25" customHeight="1">
      <c r="A51" s="13"/>
      <c r="B51" s="26"/>
      <c r="C51" s="66">
        <v>56</v>
      </c>
      <c r="D51" s="67">
        <f t="shared" si="6"/>
        <v>113</v>
      </c>
      <c r="E51" s="67">
        <f t="shared" si="0"/>
        <v>4</v>
      </c>
      <c r="F51" s="53">
        <f t="shared" si="3"/>
        <v>71.39</v>
      </c>
      <c r="G51" s="54">
        <f>IF(D51=D50,"",_xlfn.IFNA(VLOOKUP(D51,'인원 입력 기능'!$F$5:$I$103,4,FALSE),0))</f>
        <v>2908</v>
      </c>
      <c r="H51" s="55">
        <f t="shared" si="4"/>
        <v>7.7203881433103687E-3</v>
      </c>
      <c r="I51" s="68">
        <f>SUM($G$7:G51)</f>
        <v>109210</v>
      </c>
      <c r="J51" s="57">
        <f t="shared" si="5"/>
        <v>0.28993933601476113</v>
      </c>
      <c r="K51" s="31"/>
      <c r="L51" s="19" t="str">
        <f t="shared" si="7"/>
        <v/>
      </c>
      <c r="N51" s="18"/>
    </row>
    <row r="52" spans="1:14" s="15" customFormat="1" ht="25" customHeight="1">
      <c r="A52" s="13"/>
      <c r="B52" s="26"/>
      <c r="C52" s="66">
        <v>55</v>
      </c>
      <c r="D52" s="67">
        <f t="shared" si="6"/>
        <v>112</v>
      </c>
      <c r="E52" s="67">
        <f t="shared" si="0"/>
        <v>4</v>
      </c>
      <c r="F52" s="53">
        <f t="shared" si="3"/>
        <v>70.44</v>
      </c>
      <c r="G52" s="54">
        <f>IF(D52=D51,"",_xlfn.IFNA(VLOOKUP(D52,'인원 입력 기능'!$F$5:$I$103,4,FALSE),0))</f>
        <v>4259</v>
      </c>
      <c r="H52" s="55">
        <f t="shared" si="4"/>
        <v>1.1307129677564944E-2</v>
      </c>
      <c r="I52" s="68">
        <f>SUM($G$7:G52)</f>
        <v>113469</v>
      </c>
      <c r="J52" s="57">
        <f t="shared" si="5"/>
        <v>0.30124646569232605</v>
      </c>
      <c r="K52" s="31"/>
      <c r="L52" s="19" t="str">
        <f t="shared" si="7"/>
        <v/>
      </c>
      <c r="N52" s="18"/>
    </row>
    <row r="53" spans="1:14" s="15" customFormat="1" ht="25" customHeight="1">
      <c r="A53" s="13"/>
      <c r="B53" s="26"/>
      <c r="C53" s="66">
        <v>54</v>
      </c>
      <c r="D53" s="67">
        <f t="shared" si="6"/>
        <v>111</v>
      </c>
      <c r="E53" s="67">
        <f t="shared" si="0"/>
        <v>4</v>
      </c>
      <c r="F53" s="53">
        <f t="shared" si="3"/>
        <v>68.89</v>
      </c>
      <c r="G53" s="54">
        <f>IF(D53=D52,"",_xlfn.IFNA(VLOOKUP(D53,'인원 입력 기능'!$F$5:$I$103,4,FALSE),0))</f>
        <v>7448</v>
      </c>
      <c r="H53" s="55">
        <f t="shared" si="4"/>
        <v>1.9773538820968235E-2</v>
      </c>
      <c r="I53" s="68">
        <f>SUM($G$7:G53)</f>
        <v>120917</v>
      </c>
      <c r="J53" s="57">
        <f t="shared" si="5"/>
        <v>0.32102000451329432</v>
      </c>
      <c r="K53" s="31"/>
      <c r="L53" s="19" t="str">
        <f t="shared" si="7"/>
        <v/>
      </c>
      <c r="N53" s="18"/>
    </row>
    <row r="54" spans="1:14" s="15" customFormat="1" ht="25" customHeight="1">
      <c r="A54" s="13"/>
      <c r="B54" s="26"/>
      <c r="C54" s="66">
        <v>53</v>
      </c>
      <c r="D54" s="67">
        <f t="shared" si="6"/>
        <v>110</v>
      </c>
      <c r="E54" s="67">
        <f t="shared" si="0"/>
        <v>4</v>
      </c>
      <c r="F54" s="53">
        <f t="shared" si="3"/>
        <v>67.25</v>
      </c>
      <c r="G54" s="54">
        <f>IF(D54=D53,"",_xlfn.IFNA(VLOOKUP(D54,'인원 입력 기능'!$F$5:$I$103,4,FALSE),0))</f>
        <v>4888</v>
      </c>
      <c r="H54" s="55">
        <f t="shared" si="4"/>
        <v>1.2977048571011377E-2</v>
      </c>
      <c r="I54" s="68">
        <f>SUM($G$7:G54)</f>
        <v>125805</v>
      </c>
      <c r="J54" s="57">
        <f t="shared" si="5"/>
        <v>0.33399705308430566</v>
      </c>
      <c r="K54" s="31"/>
      <c r="L54" s="19" t="str">
        <f t="shared" si="7"/>
        <v/>
      </c>
      <c r="N54" s="18"/>
    </row>
    <row r="55" spans="1:14" s="15" customFormat="1" ht="25" customHeight="1">
      <c r="A55" s="13"/>
      <c r="B55" s="26"/>
      <c r="C55" s="66">
        <v>52</v>
      </c>
      <c r="D55" s="67">
        <f t="shared" si="6"/>
        <v>109</v>
      </c>
      <c r="E55" s="67">
        <f t="shared" si="0"/>
        <v>4</v>
      </c>
      <c r="F55" s="53">
        <f t="shared" si="3"/>
        <v>66.19</v>
      </c>
      <c r="G55" s="54">
        <f>IF(D55=D54,"",_xlfn.IFNA(VLOOKUP(D55,'인원 입력 기능'!$F$5:$I$103,4,FALSE),0))</f>
        <v>3064</v>
      </c>
      <c r="H55" s="55">
        <f t="shared" si="4"/>
        <v>8.1345492679171152E-3</v>
      </c>
      <c r="I55" s="68">
        <f>SUM($G$7:G55)</f>
        <v>128869</v>
      </c>
      <c r="J55" s="57">
        <f t="shared" si="5"/>
        <v>0.34213160235222279</v>
      </c>
      <c r="K55" s="31"/>
      <c r="L55" s="19" t="str">
        <f t="shared" si="7"/>
        <v/>
      </c>
      <c r="N55" s="18"/>
    </row>
    <row r="56" spans="1:14" s="15" customFormat="1" ht="25" customHeight="1">
      <c r="A56" s="13"/>
      <c r="B56" s="26"/>
      <c r="C56" s="66">
        <v>51</v>
      </c>
      <c r="D56" s="67">
        <f t="shared" si="6"/>
        <v>108</v>
      </c>
      <c r="E56" s="67">
        <f t="shared" si="0"/>
        <v>4</v>
      </c>
      <c r="F56" s="53">
        <f t="shared" si="3"/>
        <v>64.959999999999994</v>
      </c>
      <c r="G56" s="54">
        <f>IF(D56=D55,"",_xlfn.IFNA(VLOOKUP(D56,'인원 입력 기능'!$F$5:$I$103,4,FALSE),0))</f>
        <v>6231</v>
      </c>
      <c r="H56" s="55">
        <f t="shared" si="4"/>
        <v>1.6542551073234837E-2</v>
      </c>
      <c r="I56" s="68">
        <f>SUM($G$7:G56)</f>
        <v>135100</v>
      </c>
      <c r="J56" s="57">
        <f t="shared" si="5"/>
        <v>0.35867415342545761</v>
      </c>
      <c r="K56" s="31"/>
      <c r="L56" s="19" t="str">
        <f t="shared" si="7"/>
        <v/>
      </c>
      <c r="N56" s="18"/>
    </row>
    <row r="57" spans="1:14" s="15" customFormat="1" ht="25" customHeight="1">
      <c r="A57" s="13"/>
      <c r="B57" s="26"/>
      <c r="C57" s="66">
        <v>50</v>
      </c>
      <c r="D57" s="146">
        <f t="shared" si="6"/>
        <v>107</v>
      </c>
      <c r="E57" s="146">
        <f t="shared" si="0"/>
        <v>4</v>
      </c>
      <c r="F57" s="148">
        <f t="shared" si="3"/>
        <v>62.8</v>
      </c>
      <c r="G57" s="150">
        <f>IF(D57=D56,"",_xlfn.IFNA(VLOOKUP(D57,'인원 입력 기능'!$F$5:$I$103,4,FALSE),0))</f>
        <v>10042</v>
      </c>
      <c r="H57" s="151">
        <f t="shared" si="4"/>
        <v>2.6660294957057334E-2</v>
      </c>
      <c r="I57" s="153">
        <f>SUM($G$7:G57)</f>
        <v>145142</v>
      </c>
      <c r="J57" s="155">
        <f t="shared" si="5"/>
        <v>0.38533444838251496</v>
      </c>
      <c r="K57" s="31"/>
      <c r="L57" s="19" t="str">
        <f t="shared" si="7"/>
        <v/>
      </c>
      <c r="N57" s="18"/>
    </row>
    <row r="58" spans="1:14" s="15" customFormat="1" ht="25" customHeight="1">
      <c r="A58" s="13"/>
      <c r="B58" s="26"/>
      <c r="C58" s="66">
        <v>49</v>
      </c>
      <c r="D58" s="145"/>
      <c r="E58" s="145"/>
      <c r="F58" s="147"/>
      <c r="G58" s="149"/>
      <c r="H58" s="152"/>
      <c r="I58" s="154"/>
      <c r="J58" s="156"/>
      <c r="K58" s="31"/>
      <c r="L58" s="19" t="str">
        <f t="shared" si="7"/>
        <v>경고</v>
      </c>
      <c r="N58" s="18"/>
    </row>
    <row r="59" spans="1:14" s="15" customFormat="1" ht="25" customHeight="1">
      <c r="A59" s="13"/>
      <c r="B59" s="26"/>
      <c r="C59" s="66">
        <v>48</v>
      </c>
      <c r="D59" s="67">
        <f t="shared" si="6"/>
        <v>106</v>
      </c>
      <c r="E59" s="67">
        <f t="shared" si="0"/>
        <v>4</v>
      </c>
      <c r="F59" s="53">
        <f t="shared" si="3"/>
        <v>60.81</v>
      </c>
      <c r="G59" s="54">
        <f>IF(D59=D58,"",_xlfn.IFNA(VLOOKUP(D59,'인원 입력 기능'!$F$5:$I$103,4,FALSE),0))</f>
        <v>4962</v>
      </c>
      <c r="H59" s="55">
        <f t="shared" si="4"/>
        <v>1.3173509617299191E-2</v>
      </c>
      <c r="I59" s="68">
        <f>SUM($G$7:G59)</f>
        <v>150104</v>
      </c>
      <c r="J59" s="57">
        <f t="shared" si="5"/>
        <v>0.39850795799981414</v>
      </c>
      <c r="K59" s="31"/>
      <c r="L59" s="19" t="str">
        <f t="shared" si="7"/>
        <v/>
      </c>
      <c r="N59" s="18"/>
    </row>
    <row r="60" spans="1:14" s="15" customFormat="1" ht="25" customHeight="1">
      <c r="A60" s="13"/>
      <c r="B60" s="26"/>
      <c r="C60" s="66">
        <v>47</v>
      </c>
      <c r="D60" s="67">
        <f t="shared" si="6"/>
        <v>105</v>
      </c>
      <c r="E60" s="67">
        <f t="shared" si="0"/>
        <v>4</v>
      </c>
      <c r="F60" s="53">
        <f t="shared" si="3"/>
        <v>59.23</v>
      </c>
      <c r="G60" s="54">
        <f>IF(D60=D59,"",_xlfn.IFNA(VLOOKUP(D60,'인원 입력 기능'!$F$5:$I$103,4,FALSE),0))</f>
        <v>6906</v>
      </c>
      <c r="H60" s="55">
        <f t="shared" si="4"/>
        <v>1.8334594400860181E-2</v>
      </c>
      <c r="I60" s="68">
        <f>SUM($G$7:G60)</f>
        <v>157010</v>
      </c>
      <c r="J60" s="57">
        <f t="shared" si="5"/>
        <v>0.41684255240067436</v>
      </c>
      <c r="K60" s="31"/>
      <c r="L60" s="19" t="str">
        <f t="shared" si="7"/>
        <v/>
      </c>
      <c r="N60" s="18"/>
    </row>
    <row r="61" spans="1:14" s="15" customFormat="1" ht="25" customHeight="1">
      <c r="A61" s="13"/>
      <c r="B61" s="26"/>
      <c r="C61" s="66">
        <v>46</v>
      </c>
      <c r="D61" s="67">
        <f t="shared" si="6"/>
        <v>104</v>
      </c>
      <c r="E61" s="67">
        <f t="shared" si="0"/>
        <v>5</v>
      </c>
      <c r="F61" s="53">
        <f t="shared" si="3"/>
        <v>57.73</v>
      </c>
      <c r="G61" s="54">
        <f>IF(D61=D60,"",_xlfn.IFNA(VLOOKUP(D61,'인원 입력 기능'!$F$5:$I$103,4,FALSE),0))</f>
        <v>4402</v>
      </c>
      <c r="H61" s="55">
        <f t="shared" si="4"/>
        <v>1.1686777375121129E-2</v>
      </c>
      <c r="I61" s="68">
        <f>SUM($G$7:G61)</f>
        <v>161412</v>
      </c>
      <c r="J61" s="57">
        <f t="shared" si="5"/>
        <v>0.42852932977579544</v>
      </c>
      <c r="K61" s="31"/>
      <c r="L61" s="19" t="str">
        <f t="shared" si="7"/>
        <v/>
      </c>
      <c r="N61" s="18"/>
    </row>
    <row r="62" spans="1:14" s="15" customFormat="1" ht="25" customHeight="1">
      <c r="A62" s="13"/>
      <c r="B62" s="26"/>
      <c r="C62" s="66">
        <v>45</v>
      </c>
      <c r="D62" s="67">
        <f t="shared" si="6"/>
        <v>103</v>
      </c>
      <c r="E62" s="67">
        <f t="shared" si="0"/>
        <v>5</v>
      </c>
      <c r="F62" s="53">
        <f t="shared" si="3"/>
        <v>56.61</v>
      </c>
      <c r="G62" s="54">
        <f>IF(D62=D61,"",_xlfn.IFNA(VLOOKUP(D62,'인원 입력 기능'!$F$5:$I$103,4,FALSE),0))</f>
        <v>4083</v>
      </c>
      <c r="H62" s="55">
        <f t="shared" si="4"/>
        <v>1.0839870972880411E-2</v>
      </c>
      <c r="I62" s="68">
        <f>SUM($G$7:G62)</f>
        <v>165495</v>
      </c>
      <c r="J62" s="57">
        <f t="shared" si="5"/>
        <v>0.43936920074867586</v>
      </c>
      <c r="K62" s="31"/>
      <c r="L62" s="19" t="str">
        <f t="shared" si="7"/>
        <v/>
      </c>
      <c r="N62" s="18"/>
    </row>
    <row r="63" spans="1:14" s="15" customFormat="1" ht="25" customHeight="1">
      <c r="A63" s="13"/>
      <c r="B63" s="26"/>
      <c r="C63" s="66">
        <v>44</v>
      </c>
      <c r="D63" s="67">
        <f t="shared" si="6"/>
        <v>102</v>
      </c>
      <c r="E63" s="67">
        <f t="shared" si="0"/>
        <v>5</v>
      </c>
      <c r="F63" s="53">
        <f t="shared" si="3"/>
        <v>55.2</v>
      </c>
      <c r="G63" s="54">
        <f>IF(D63=D62,"",_xlfn.IFNA(VLOOKUP(D63,'인원 입력 기능'!$F$5:$I$103,4,FALSE),0))</f>
        <v>6503</v>
      </c>
      <c r="H63" s="55">
        <f t="shared" si="4"/>
        <v>1.7264678162292754E-2</v>
      </c>
      <c r="I63" s="68">
        <f>SUM($G$7:G63)</f>
        <v>171998</v>
      </c>
      <c r="J63" s="57">
        <f t="shared" si="5"/>
        <v>0.45663387891096863</v>
      </c>
      <c r="K63" s="31"/>
      <c r="L63" s="19" t="str">
        <f t="shared" si="7"/>
        <v/>
      </c>
      <c r="N63" s="18"/>
    </row>
    <row r="64" spans="1:14" s="15" customFormat="1" ht="25" customHeight="1">
      <c r="A64" s="13"/>
      <c r="B64" s="26"/>
      <c r="C64" s="66">
        <v>43</v>
      </c>
      <c r="D64" s="67">
        <f t="shared" si="6"/>
        <v>101</v>
      </c>
      <c r="E64" s="67">
        <f t="shared" si="0"/>
        <v>5</v>
      </c>
      <c r="F64" s="53">
        <f t="shared" si="3"/>
        <v>53.62</v>
      </c>
      <c r="G64" s="54">
        <f>IF(D64=D63,"",_xlfn.IFNA(VLOOKUP(D64,'인원 입력 기능'!$F$5:$I$103,4,FALSE),0))</f>
        <v>5422</v>
      </c>
      <c r="H64" s="55">
        <f t="shared" si="4"/>
        <v>1.4394753959088314E-2</v>
      </c>
      <c r="I64" s="68">
        <f>SUM($G$7:G64)</f>
        <v>177420</v>
      </c>
      <c r="J64" s="57">
        <f t="shared" si="5"/>
        <v>0.47102863287005697</v>
      </c>
      <c r="K64" s="31"/>
      <c r="L64" s="19" t="str">
        <f t="shared" si="7"/>
        <v/>
      </c>
      <c r="N64" s="18"/>
    </row>
    <row r="65" spans="1:14" s="15" customFormat="1" ht="25" customHeight="1">
      <c r="A65" s="13"/>
      <c r="B65" s="26"/>
      <c r="C65" s="66">
        <v>42</v>
      </c>
      <c r="D65" s="67">
        <f t="shared" si="6"/>
        <v>100</v>
      </c>
      <c r="E65" s="67">
        <f t="shared" si="0"/>
        <v>5</v>
      </c>
      <c r="F65" s="53">
        <f t="shared" si="3"/>
        <v>52.39</v>
      </c>
      <c r="G65" s="54">
        <f>IF(D65=D64,"",_xlfn.IFNA(VLOOKUP(D65,'인원 입력 기능'!$F$5:$I$103,4,FALSE),0))</f>
        <v>3849</v>
      </c>
      <c r="H65" s="55">
        <f t="shared" si="4"/>
        <v>1.0218629285970292E-2</v>
      </c>
      <c r="I65" s="68">
        <f>SUM($G$7:G65)</f>
        <v>181269</v>
      </c>
      <c r="J65" s="57">
        <f t="shared" si="5"/>
        <v>0.48124726215602726</v>
      </c>
      <c r="K65" s="31"/>
      <c r="L65" s="19" t="str">
        <f t="shared" si="7"/>
        <v/>
      </c>
      <c r="N65" s="18"/>
    </row>
    <row r="66" spans="1:14" s="15" customFormat="1" ht="25" customHeight="1">
      <c r="A66" s="13"/>
      <c r="B66" s="26"/>
      <c r="C66" s="66">
        <v>41</v>
      </c>
      <c r="D66" s="67">
        <f t="shared" si="6"/>
        <v>99</v>
      </c>
      <c r="E66" s="67">
        <f t="shared" si="0"/>
        <v>5</v>
      </c>
      <c r="F66" s="53">
        <f t="shared" si="3"/>
        <v>51.09</v>
      </c>
      <c r="G66" s="54">
        <f>IF(D66=D65,"",_xlfn.IFNA(VLOOKUP(D66,'인원 입력 기능'!$F$5:$I$103,4,FALSE),0))</f>
        <v>5885</v>
      </c>
      <c r="H66" s="55">
        <f t="shared" si="4"/>
        <v>1.5623962937889105E-2</v>
      </c>
      <c r="I66" s="68">
        <f>SUM($G$7:G66)</f>
        <v>187154</v>
      </c>
      <c r="J66" s="57">
        <f t="shared" si="5"/>
        <v>0.49687122509391635</v>
      </c>
      <c r="K66" s="31"/>
      <c r="L66" s="19" t="str">
        <f t="shared" si="7"/>
        <v/>
      </c>
      <c r="N66" s="18"/>
    </row>
    <row r="67" spans="1:14" s="15" customFormat="1" ht="25" customHeight="1">
      <c r="A67" s="13"/>
      <c r="B67" s="26"/>
      <c r="C67" s="66">
        <v>40</v>
      </c>
      <c r="D67" s="67">
        <f t="shared" si="6"/>
        <v>98</v>
      </c>
      <c r="E67" s="67">
        <f t="shared" si="0"/>
        <v>5</v>
      </c>
      <c r="F67" s="53">
        <f t="shared" si="3"/>
        <v>49.55</v>
      </c>
      <c r="G67" s="54">
        <f>IF(D67=D66,"",_xlfn.IFNA(VLOOKUP(D67,'인원 입력 기능'!$F$5:$I$103,4,FALSE),0))</f>
        <v>5734</v>
      </c>
      <c r="H67" s="55">
        <f t="shared" si="4"/>
        <v>1.5223076208301807E-2</v>
      </c>
      <c r="I67" s="68">
        <f>SUM($G$7:G67)</f>
        <v>192888</v>
      </c>
      <c r="J67" s="57">
        <f t="shared" si="5"/>
        <v>0.51209430130221811</v>
      </c>
      <c r="K67" s="31"/>
      <c r="L67" s="19" t="str">
        <f t="shared" si="7"/>
        <v/>
      </c>
      <c r="N67" s="18"/>
    </row>
    <row r="68" spans="1:14" s="15" customFormat="1" ht="25" customHeight="1">
      <c r="A68" s="13"/>
      <c r="B68" s="26"/>
      <c r="C68" s="66">
        <v>39</v>
      </c>
      <c r="D68" s="67">
        <f t="shared" si="6"/>
        <v>97</v>
      </c>
      <c r="E68" s="67">
        <f t="shared" si="0"/>
        <v>5</v>
      </c>
      <c r="F68" s="53">
        <f t="shared" si="3"/>
        <v>48.25</v>
      </c>
      <c r="G68" s="54">
        <f>IF(D68=D67,"",_xlfn.IFNA(VLOOKUP(D68,'인원 입력 기능'!$F$5:$I$103,4,FALSE),0))</f>
        <v>4063</v>
      </c>
      <c r="H68" s="55">
        <f t="shared" si="4"/>
        <v>1.0786773392802623E-2</v>
      </c>
      <c r="I68" s="68">
        <f>SUM($G$7:G68)</f>
        <v>196951</v>
      </c>
      <c r="J68" s="57">
        <f t="shared" si="5"/>
        <v>0.52288107469502076</v>
      </c>
      <c r="K68" s="31"/>
      <c r="L68" s="19" t="str">
        <f t="shared" si="7"/>
        <v/>
      </c>
      <c r="N68" s="18"/>
    </row>
    <row r="69" spans="1:14" s="15" customFormat="1" ht="25" customHeight="1">
      <c r="A69" s="13"/>
      <c r="B69" s="26"/>
      <c r="C69" s="66">
        <v>38</v>
      </c>
      <c r="D69" s="146">
        <f t="shared" si="6"/>
        <v>96</v>
      </c>
      <c r="E69" s="146">
        <f t="shared" si="0"/>
        <v>5</v>
      </c>
      <c r="F69" s="148">
        <f t="shared" si="3"/>
        <v>46.23</v>
      </c>
      <c r="G69" s="150">
        <f>IF(D69=D68,"",_xlfn.IFNA(VLOOKUP(D69,'인원 입력 기능'!$F$5:$I$103,4,FALSE),0))</f>
        <v>11151</v>
      </c>
      <c r="H69" s="151">
        <f t="shared" si="4"/>
        <v>2.9604555772370676E-2</v>
      </c>
      <c r="I69" s="153">
        <f>SUM($G$7:G69)</f>
        <v>208102</v>
      </c>
      <c r="J69" s="155">
        <f t="shared" si="5"/>
        <v>0.55248563046739141</v>
      </c>
      <c r="K69" s="31"/>
      <c r="L69" s="19" t="str">
        <f t="shared" si="7"/>
        <v/>
      </c>
      <c r="N69" s="18"/>
    </row>
    <row r="70" spans="1:14" s="15" customFormat="1" ht="25" customHeight="1">
      <c r="A70" s="13"/>
      <c r="B70" s="26"/>
      <c r="C70" s="66">
        <v>37</v>
      </c>
      <c r="D70" s="145"/>
      <c r="E70" s="145"/>
      <c r="F70" s="147"/>
      <c r="G70" s="149"/>
      <c r="H70" s="152"/>
      <c r="I70" s="154"/>
      <c r="J70" s="156"/>
      <c r="K70" s="31"/>
      <c r="L70" s="19" t="str">
        <f t="shared" si="7"/>
        <v>경고</v>
      </c>
      <c r="N70" s="18"/>
    </row>
    <row r="71" spans="1:14" s="15" customFormat="1" ht="25" customHeight="1">
      <c r="A71" s="13"/>
      <c r="B71" s="26"/>
      <c r="C71" s="66">
        <v>36</v>
      </c>
      <c r="D71" s="67">
        <f t="shared" si="6"/>
        <v>95</v>
      </c>
      <c r="E71" s="67">
        <f t="shared" ref="E71:E105" si="8">IF(ROUND(D71,0)&gt;=$Q$7,1,IF(ROUND(D71,0)&gt;=$Q$8,2,IF(ROUND(D71,0)&gt;=$Q$9,3,IF(ROUND(D71,0)&gt;=$Q$10,4,IF(ROUND(D71,0)&gt;=$Q$11,5,IF(ROUND(D71,0)&gt;=$Q$12,6,IF(ROUND(D71,0)&gt;=$Q$13,7,IF(ROUND(D71,0)&gt;=$Q$14,8,9))))))))</f>
        <v>5</v>
      </c>
      <c r="F71" s="53">
        <f t="shared" si="3"/>
        <v>44.17</v>
      </c>
      <c r="G71" s="54">
        <f>IF(D71=D70,"",_xlfn.IFNA(VLOOKUP(D71,'인원 입력 기능'!$F$5:$I$103,4,FALSE),0))</f>
        <v>4391</v>
      </c>
      <c r="H71" s="55">
        <f t="shared" si="4"/>
        <v>1.1657573706078346E-2</v>
      </c>
      <c r="I71" s="68">
        <f>SUM($G$7:G71)</f>
        <v>212493</v>
      </c>
      <c r="J71" s="57">
        <f t="shared" si="5"/>
        <v>0.56414320417346975</v>
      </c>
      <c r="K71" s="31"/>
      <c r="L71" s="19" t="str">
        <f t="shared" si="7"/>
        <v/>
      </c>
      <c r="N71" s="18"/>
    </row>
    <row r="72" spans="1:14" s="15" customFormat="1" ht="25" customHeight="1">
      <c r="A72" s="13"/>
      <c r="B72" s="26"/>
      <c r="C72" s="66">
        <v>35</v>
      </c>
      <c r="D72" s="67">
        <f t="shared" si="6"/>
        <v>94</v>
      </c>
      <c r="E72" s="67">
        <f t="shared" si="8"/>
        <v>5</v>
      </c>
      <c r="F72" s="53">
        <f t="shared" si="3"/>
        <v>42.91</v>
      </c>
      <c r="G72" s="54">
        <f>IF(D72=D71,"",_xlfn.IFNA(VLOOKUP(D72,'인원 입력 기능'!$F$5:$I$103,4,FALSE),0))</f>
        <v>5077</v>
      </c>
      <c r="H72" s="55">
        <f t="shared" si="4"/>
        <v>1.3478820702746473E-2</v>
      </c>
      <c r="I72" s="68">
        <f>SUM($G$7:G72)</f>
        <v>217570</v>
      </c>
      <c r="J72" s="57">
        <f t="shared" si="5"/>
        <v>0.57762202487621628</v>
      </c>
      <c r="K72" s="31"/>
      <c r="L72" s="19" t="str">
        <f t="shared" si="7"/>
        <v/>
      </c>
      <c r="N72" s="18"/>
    </row>
    <row r="73" spans="1:14" s="15" customFormat="1" ht="25" customHeight="1">
      <c r="A73" s="13"/>
      <c r="B73" s="26"/>
      <c r="C73" s="66">
        <v>34</v>
      </c>
      <c r="D73" s="67">
        <f t="shared" ref="D73:D104" si="9">ROUND(20*(C73-$H$3)/$H$4+100,0)</f>
        <v>93</v>
      </c>
      <c r="E73" s="67">
        <f t="shared" si="8"/>
        <v>5</v>
      </c>
      <c r="F73" s="53">
        <f t="shared" si="3"/>
        <v>41.47</v>
      </c>
      <c r="G73" s="54">
        <f>IF(D73=D72,"",_xlfn.IFNA(VLOOKUP(D73,'인원 입력 기능'!$F$5:$I$103,4,FALSE),0))</f>
        <v>5796</v>
      </c>
      <c r="H73" s="55">
        <f t="shared" si="4"/>
        <v>1.5387678706542949E-2</v>
      </c>
      <c r="I73" s="68">
        <f>SUM($G$7:G73)</f>
        <v>223366</v>
      </c>
      <c r="J73" s="57">
        <f t="shared" si="5"/>
        <v>0.59300970358275917</v>
      </c>
      <c r="K73" s="31"/>
      <c r="L73" s="19" t="str">
        <f t="shared" ref="L73:L105" si="10">IF(ABS((C73-$H$3)/$H$4*20+100-D73)&gt;0.49, "경고", "")</f>
        <v/>
      </c>
      <c r="N73" s="18"/>
    </row>
    <row r="74" spans="1:14" s="15" customFormat="1" ht="25" customHeight="1">
      <c r="A74" s="13"/>
      <c r="B74" s="26"/>
      <c r="C74" s="66">
        <v>33</v>
      </c>
      <c r="D74" s="67">
        <f t="shared" si="9"/>
        <v>92</v>
      </c>
      <c r="E74" s="67">
        <f t="shared" si="8"/>
        <v>5</v>
      </c>
      <c r="F74" s="53">
        <f t="shared" ref="F74:F105" si="11">IF(I73=0,ROUND(100*(1-(I72+I74)/2/$J$3),2),ROUND(100*(1-(I73+I74)/2/$J$3),2))</f>
        <v>40.049999999999997</v>
      </c>
      <c r="G74" s="54">
        <f>IF(D74=D73,"",_xlfn.IFNA(VLOOKUP(D74,'인원 입력 기능'!$F$5:$I$103,4,FALSE),0))</f>
        <v>4892</v>
      </c>
      <c r="H74" s="55">
        <f t="shared" ref="H74:H105" si="12">G74/$J$3</f>
        <v>1.2987668087026933E-2</v>
      </c>
      <c r="I74" s="68">
        <f>SUM($G$7:G74)</f>
        <v>228258</v>
      </c>
      <c r="J74" s="57">
        <f t="shared" ref="J74:J105" si="13">I74/$J$3</f>
        <v>0.60599737166978618</v>
      </c>
      <c r="K74" s="31"/>
      <c r="L74" s="19" t="str">
        <f t="shared" si="10"/>
        <v/>
      </c>
      <c r="N74" s="18"/>
    </row>
    <row r="75" spans="1:14" s="15" customFormat="1" ht="25" customHeight="1">
      <c r="A75" s="13"/>
      <c r="B75" s="26"/>
      <c r="C75" s="66">
        <v>32</v>
      </c>
      <c r="D75" s="67">
        <f t="shared" si="9"/>
        <v>91</v>
      </c>
      <c r="E75" s="67">
        <f t="shared" si="8"/>
        <v>6</v>
      </c>
      <c r="F75" s="53">
        <f t="shared" si="11"/>
        <v>38.74</v>
      </c>
      <c r="G75" s="54">
        <f>IF(D75=D74,"",_xlfn.IFNA(VLOOKUP(D75,'인원 입력 기능'!$F$5:$I$103,4,FALSE),0))</f>
        <v>4937</v>
      </c>
      <c r="H75" s="55">
        <f t="shared" si="12"/>
        <v>1.3107137642201956E-2</v>
      </c>
      <c r="I75" s="68">
        <f>SUM($G$7:G75)</f>
        <v>233195</v>
      </c>
      <c r="J75" s="57">
        <f t="shared" si="13"/>
        <v>0.61910450931198813</v>
      </c>
      <c r="K75" s="31"/>
      <c r="L75" s="19" t="str">
        <f t="shared" si="10"/>
        <v/>
      </c>
      <c r="N75" s="18"/>
    </row>
    <row r="76" spans="1:14" s="15" customFormat="1" ht="25" customHeight="1">
      <c r="A76" s="13"/>
      <c r="B76" s="26"/>
      <c r="C76" s="66">
        <v>31</v>
      </c>
      <c r="D76" s="67">
        <f t="shared" si="9"/>
        <v>90</v>
      </c>
      <c r="E76" s="67">
        <f t="shared" si="8"/>
        <v>6</v>
      </c>
      <c r="F76" s="53">
        <f t="shared" si="11"/>
        <v>37.31</v>
      </c>
      <c r="G76" s="54">
        <f>IF(D76=D75,"",_xlfn.IFNA(VLOOKUP(D76,'인원 입력 기능'!$F$5:$I$103,4,FALSE),0))</f>
        <v>5883</v>
      </c>
      <c r="H76" s="55">
        <f t="shared" si="12"/>
        <v>1.5618653179881327E-2</v>
      </c>
      <c r="I76" s="68">
        <f>SUM($G$7:G76)</f>
        <v>239078</v>
      </c>
      <c r="J76" s="57">
        <f t="shared" si="13"/>
        <v>0.63472316249186944</v>
      </c>
      <c r="K76" s="31"/>
      <c r="L76" s="19" t="str">
        <f t="shared" si="10"/>
        <v/>
      </c>
      <c r="N76" s="18"/>
    </row>
    <row r="77" spans="1:14" s="15" customFormat="1" ht="25" customHeight="1">
      <c r="A77" s="13"/>
      <c r="B77" s="26"/>
      <c r="C77" s="66">
        <v>30</v>
      </c>
      <c r="D77" s="67">
        <f t="shared" si="9"/>
        <v>89</v>
      </c>
      <c r="E77" s="67">
        <f t="shared" si="8"/>
        <v>6</v>
      </c>
      <c r="F77" s="53">
        <f t="shared" si="11"/>
        <v>35.840000000000003</v>
      </c>
      <c r="G77" s="54">
        <f>IF(D77=D76,"",_xlfn.IFNA(VLOOKUP(D77,'인원 입력 기능'!$F$5:$I$103,4,FALSE),0))</f>
        <v>5191</v>
      </c>
      <c r="H77" s="55">
        <f t="shared" si="12"/>
        <v>1.3781476909189863E-2</v>
      </c>
      <c r="I77" s="68">
        <f>SUM($G$7:G77)</f>
        <v>244269</v>
      </c>
      <c r="J77" s="57">
        <f t="shared" si="13"/>
        <v>0.64850463940105929</v>
      </c>
      <c r="K77" s="31"/>
      <c r="L77" s="19" t="str">
        <f t="shared" si="10"/>
        <v/>
      </c>
      <c r="N77" s="18"/>
    </row>
    <row r="78" spans="1:14" s="15" customFormat="1" ht="25" customHeight="1">
      <c r="A78" s="13"/>
      <c r="B78" s="26"/>
      <c r="C78" s="66">
        <v>29</v>
      </c>
      <c r="D78" s="67">
        <f t="shared" si="9"/>
        <v>88</v>
      </c>
      <c r="E78" s="67">
        <f t="shared" si="8"/>
        <v>6</v>
      </c>
      <c r="F78" s="53">
        <f t="shared" si="11"/>
        <v>34.46</v>
      </c>
      <c r="G78" s="54">
        <f>IF(D78=D77,"",_xlfn.IFNA(VLOOKUP(D78,'인원 입력 기능'!$F$5:$I$103,4,FALSE),0))</f>
        <v>5171</v>
      </c>
      <c r="H78" s="55">
        <f t="shared" si="12"/>
        <v>1.3728379329112075E-2</v>
      </c>
      <c r="I78" s="68">
        <f>SUM($G$7:G78)</f>
        <v>249440</v>
      </c>
      <c r="J78" s="57">
        <f t="shared" si="13"/>
        <v>0.66223301873017137</v>
      </c>
      <c r="K78" s="31"/>
      <c r="L78" s="19" t="str">
        <f t="shared" si="10"/>
        <v/>
      </c>
      <c r="N78" s="18"/>
    </row>
    <row r="79" spans="1:14" s="15" customFormat="1" ht="25" customHeight="1">
      <c r="A79" s="13"/>
      <c r="B79" s="26"/>
      <c r="C79" s="66">
        <v>28</v>
      </c>
      <c r="D79" s="67">
        <f t="shared" si="9"/>
        <v>87</v>
      </c>
      <c r="E79" s="67">
        <f t="shared" si="8"/>
        <v>6</v>
      </c>
      <c r="F79" s="53">
        <f t="shared" si="11"/>
        <v>33.03</v>
      </c>
      <c r="G79" s="54">
        <f>IF(D79=D78,"",_xlfn.IFNA(VLOOKUP(D79,'인원 입력 기능'!$F$5:$I$103,4,FALSE),0))</f>
        <v>5661</v>
      </c>
      <c r="H79" s="55">
        <f t="shared" si="12"/>
        <v>1.5029270041017881E-2</v>
      </c>
      <c r="I79" s="68">
        <f>SUM($G$7:G79)</f>
        <v>255101</v>
      </c>
      <c r="J79" s="57">
        <f t="shared" si="13"/>
        <v>0.67726228877118921</v>
      </c>
      <c r="K79" s="31"/>
      <c r="L79" s="19" t="str">
        <f t="shared" si="10"/>
        <v/>
      </c>
      <c r="N79" s="18"/>
    </row>
    <row r="80" spans="1:14" s="15" customFormat="1" ht="25" customHeight="1">
      <c r="A80" s="13"/>
      <c r="B80" s="26"/>
      <c r="C80" s="66">
        <v>27</v>
      </c>
      <c r="D80" s="67">
        <f t="shared" si="9"/>
        <v>86</v>
      </c>
      <c r="E80" s="67">
        <f t="shared" si="8"/>
        <v>6</v>
      </c>
      <c r="F80" s="53">
        <f t="shared" si="11"/>
        <v>31.53</v>
      </c>
      <c r="G80" s="54">
        <f>IF(D80=D79,"",_xlfn.IFNA(VLOOKUP(D80,'인원 입력 기능'!$F$5:$I$103,4,FALSE),0))</f>
        <v>5595</v>
      </c>
      <c r="H80" s="55">
        <f t="shared" si="12"/>
        <v>1.485404802676118E-2</v>
      </c>
      <c r="I80" s="68">
        <f>SUM($G$7:G80)</f>
        <v>260696</v>
      </c>
      <c r="J80" s="57">
        <f t="shared" si="13"/>
        <v>0.69211633679795048</v>
      </c>
      <c r="K80" s="31"/>
      <c r="L80" s="19" t="str">
        <f t="shared" si="10"/>
        <v/>
      </c>
      <c r="N80" s="18"/>
    </row>
    <row r="81" spans="1:14" s="15" customFormat="1" ht="25" customHeight="1">
      <c r="A81" s="13"/>
      <c r="B81" s="26"/>
      <c r="C81" s="66">
        <v>26</v>
      </c>
      <c r="D81" s="67">
        <f t="shared" si="9"/>
        <v>85</v>
      </c>
      <c r="E81" s="67">
        <f t="shared" si="8"/>
        <v>6</v>
      </c>
      <c r="F81" s="53">
        <f t="shared" si="11"/>
        <v>30.05</v>
      </c>
      <c r="G81" s="54">
        <f>IF(D81=D80,"",_xlfn.IFNA(VLOOKUP(D81,'인원 입력 기능'!$F$5:$I$103,4,FALSE),0))</f>
        <v>5574</v>
      </c>
      <c r="H81" s="55">
        <f t="shared" si="12"/>
        <v>1.4798295567679504E-2</v>
      </c>
      <c r="I81" s="68">
        <f>SUM($G$7:G81)</f>
        <v>266270</v>
      </c>
      <c r="J81" s="57">
        <f t="shared" si="13"/>
        <v>0.7069146323656299</v>
      </c>
      <c r="K81" s="31"/>
      <c r="L81" s="19" t="str">
        <f t="shared" si="10"/>
        <v/>
      </c>
      <c r="N81" s="18"/>
    </row>
    <row r="82" spans="1:14" s="15" customFormat="1" ht="25" customHeight="1">
      <c r="A82" s="13"/>
      <c r="B82" s="26"/>
      <c r="C82" s="66">
        <v>25</v>
      </c>
      <c r="D82" s="146">
        <f t="shared" si="9"/>
        <v>84</v>
      </c>
      <c r="E82" s="146">
        <f t="shared" si="8"/>
        <v>6</v>
      </c>
      <c r="F82" s="148">
        <f t="shared" si="11"/>
        <v>27.72</v>
      </c>
      <c r="G82" s="150">
        <f>IF(D82=D81,"",_xlfn.IFNA(VLOOKUP(D82,'인원 입력 기능'!$F$5:$I$103,4,FALSE),0))</f>
        <v>11966</v>
      </c>
      <c r="H82" s="151">
        <f t="shared" si="12"/>
        <v>3.1768282160540534E-2</v>
      </c>
      <c r="I82" s="153">
        <f>SUM($G$7:G82)</f>
        <v>278236</v>
      </c>
      <c r="J82" s="155">
        <f t="shared" si="13"/>
        <v>0.73868291452617052</v>
      </c>
      <c r="K82" s="31"/>
      <c r="L82" s="19" t="str">
        <f t="shared" si="10"/>
        <v/>
      </c>
      <c r="N82" s="18"/>
    </row>
    <row r="83" spans="1:14" s="15" customFormat="1" ht="25" customHeight="1">
      <c r="A83" s="13"/>
      <c r="B83" s="26"/>
      <c r="C83" s="66">
        <v>24</v>
      </c>
      <c r="D83" s="145"/>
      <c r="E83" s="145"/>
      <c r="F83" s="147"/>
      <c r="G83" s="149"/>
      <c r="H83" s="152"/>
      <c r="I83" s="154"/>
      <c r="J83" s="156"/>
      <c r="K83" s="31"/>
      <c r="L83" s="19" t="str">
        <f t="shared" si="10"/>
        <v>경고</v>
      </c>
      <c r="N83" s="18"/>
    </row>
    <row r="84" spans="1:14" s="15" customFormat="1" ht="25" customHeight="1">
      <c r="A84" s="13"/>
      <c r="B84" s="26"/>
      <c r="C84" s="66">
        <v>23</v>
      </c>
      <c r="D84" s="67">
        <f t="shared" si="9"/>
        <v>83</v>
      </c>
      <c r="E84" s="67">
        <f t="shared" si="8"/>
        <v>6</v>
      </c>
      <c r="F84" s="53">
        <f t="shared" si="11"/>
        <v>25.33</v>
      </c>
      <c r="G84" s="54">
        <f>IF(D84=D83,"",_xlfn.IFNA(VLOOKUP(D84,'인원 입력 기능'!$F$5:$I$103,4,FALSE),0))</f>
        <v>6043</v>
      </c>
      <c r="H84" s="55">
        <f t="shared" si="12"/>
        <v>1.604343382050363E-2</v>
      </c>
      <c r="I84" s="68">
        <f>SUM($G$7:G84)</f>
        <v>284279</v>
      </c>
      <c r="J84" s="57">
        <f t="shared" si="13"/>
        <v>0.75472634834667407</v>
      </c>
      <c r="K84" s="31"/>
      <c r="L84" s="19" t="str">
        <f t="shared" si="10"/>
        <v/>
      </c>
      <c r="N84" s="18"/>
    </row>
    <row r="85" spans="1:14" s="15" customFormat="1" ht="25" customHeight="1">
      <c r="A85" s="13"/>
      <c r="B85" s="26"/>
      <c r="C85" s="66">
        <v>22</v>
      </c>
      <c r="D85" s="67">
        <f t="shared" si="9"/>
        <v>82</v>
      </c>
      <c r="E85" s="67">
        <f t="shared" si="8"/>
        <v>6</v>
      </c>
      <c r="F85" s="53">
        <f t="shared" si="11"/>
        <v>23.74</v>
      </c>
      <c r="G85" s="54">
        <f>IF(D85=D84,"",_xlfn.IFNA(VLOOKUP(D85,'인원 입력 기능'!$F$5:$I$103,4,FALSE),0))</f>
        <v>5955</v>
      </c>
      <c r="H85" s="55">
        <f t="shared" si="12"/>
        <v>1.5809804468161364E-2</v>
      </c>
      <c r="I85" s="68">
        <f>SUM($G$7:G85)</f>
        <v>290234</v>
      </c>
      <c r="J85" s="57">
        <f t="shared" si="13"/>
        <v>0.77053615281483545</v>
      </c>
      <c r="K85" s="31"/>
      <c r="L85" s="19" t="str">
        <f t="shared" si="10"/>
        <v/>
      </c>
      <c r="N85" s="18"/>
    </row>
    <row r="86" spans="1:14" s="15" customFormat="1" ht="25" customHeight="1">
      <c r="A86" s="13"/>
      <c r="B86" s="26"/>
      <c r="C86" s="66">
        <v>21</v>
      </c>
      <c r="D86" s="67">
        <f t="shared" si="9"/>
        <v>81</v>
      </c>
      <c r="E86" s="67">
        <f t="shared" si="8"/>
        <v>7</v>
      </c>
      <c r="F86" s="53">
        <f t="shared" si="11"/>
        <v>22.07</v>
      </c>
      <c r="G86" s="54">
        <f>IF(D86=D85,"",_xlfn.IFNA(VLOOKUP(D86,'인원 입력 기능'!$F$5:$I$103,4,FALSE),0))</f>
        <v>6599</v>
      </c>
      <c r="H86" s="55">
        <f t="shared" si="12"/>
        <v>1.7519546546666136E-2</v>
      </c>
      <c r="I86" s="68">
        <f>SUM($G$7:G86)</f>
        <v>296833</v>
      </c>
      <c r="J86" s="57">
        <f t="shared" si="13"/>
        <v>0.78805569936150155</v>
      </c>
      <c r="K86" s="31"/>
      <c r="L86" s="19" t="str">
        <f t="shared" si="10"/>
        <v/>
      </c>
      <c r="N86" s="18"/>
    </row>
    <row r="87" spans="1:14" s="15" customFormat="1" ht="25" customHeight="1">
      <c r="A87" s="13"/>
      <c r="B87" s="26"/>
      <c r="C87" s="66">
        <v>20</v>
      </c>
      <c r="D87" s="67">
        <f t="shared" si="9"/>
        <v>80</v>
      </c>
      <c r="E87" s="67">
        <f t="shared" si="8"/>
        <v>7</v>
      </c>
      <c r="F87" s="53">
        <f t="shared" si="11"/>
        <v>20.34</v>
      </c>
      <c r="G87" s="54">
        <f>IF(D87=D86,"",_xlfn.IFNA(VLOOKUP(D87,'인원 입력 기능'!$F$5:$I$103,4,FALSE),0))</f>
        <v>6450</v>
      </c>
      <c r="H87" s="55">
        <f t="shared" si="12"/>
        <v>1.7123969575086617E-2</v>
      </c>
      <c r="I87" s="68">
        <f>SUM($G$7:G87)</f>
        <v>303283</v>
      </c>
      <c r="J87" s="57">
        <f t="shared" si="13"/>
        <v>0.80517966893658821</v>
      </c>
      <c r="K87" s="31"/>
      <c r="L87" s="19" t="str">
        <f t="shared" si="10"/>
        <v/>
      </c>
      <c r="N87" s="18"/>
    </row>
    <row r="88" spans="1:14" s="15" customFormat="1" ht="25" customHeight="1">
      <c r="A88" s="13"/>
      <c r="B88" s="26"/>
      <c r="C88" s="66">
        <v>19</v>
      </c>
      <c r="D88" s="67">
        <f t="shared" si="9"/>
        <v>79</v>
      </c>
      <c r="E88" s="67">
        <f t="shared" si="8"/>
        <v>7</v>
      </c>
      <c r="F88" s="53">
        <f t="shared" si="11"/>
        <v>18.62</v>
      </c>
      <c r="G88" s="54">
        <f>IF(D88=D87,"",_xlfn.IFNA(VLOOKUP(D88,'인원 입력 기능'!$F$5:$I$103,4,FALSE),0))</f>
        <v>6528</v>
      </c>
      <c r="H88" s="55">
        <f t="shared" si="12"/>
        <v>1.7331050137389989E-2</v>
      </c>
      <c r="I88" s="68">
        <f>SUM($G$7:G88)</f>
        <v>309811</v>
      </c>
      <c r="J88" s="57">
        <f t="shared" si="13"/>
        <v>0.82251071907397821</v>
      </c>
      <c r="K88" s="31"/>
      <c r="L88" s="19" t="str">
        <f t="shared" si="10"/>
        <v/>
      </c>
      <c r="N88" s="18"/>
    </row>
    <row r="89" spans="1:14" s="15" customFormat="1" ht="25" customHeight="1">
      <c r="A89" s="13"/>
      <c r="B89" s="26"/>
      <c r="C89" s="66">
        <v>18</v>
      </c>
      <c r="D89" s="67">
        <f t="shared" si="9"/>
        <v>78</v>
      </c>
      <c r="E89" s="67">
        <f t="shared" si="8"/>
        <v>7</v>
      </c>
      <c r="F89" s="53">
        <f t="shared" si="11"/>
        <v>16.61</v>
      </c>
      <c r="G89" s="54">
        <f>IF(D89=D88,"",_xlfn.IFNA(VLOOKUP(D89,'인원 입력 기능'!$F$5:$I$103,4,FALSE),0))</f>
        <v>8557</v>
      </c>
      <c r="H89" s="55">
        <f t="shared" si="12"/>
        <v>2.2717799636281576E-2</v>
      </c>
      <c r="I89" s="68">
        <f>SUM($G$7:G89)</f>
        <v>318368</v>
      </c>
      <c r="J89" s="57">
        <f t="shared" si="13"/>
        <v>0.84522851871025984</v>
      </c>
      <c r="K89" s="31"/>
      <c r="L89" s="19" t="str">
        <f t="shared" si="10"/>
        <v/>
      </c>
      <c r="N89" s="18"/>
    </row>
    <row r="90" spans="1:14" s="15" customFormat="1" ht="25" customHeight="1">
      <c r="A90" s="13"/>
      <c r="B90" s="26"/>
      <c r="C90" s="66">
        <v>17</v>
      </c>
      <c r="D90" s="67">
        <f t="shared" si="9"/>
        <v>77</v>
      </c>
      <c r="E90" s="67">
        <f t="shared" si="8"/>
        <v>7</v>
      </c>
      <c r="F90" s="53">
        <f t="shared" si="11"/>
        <v>14.65</v>
      </c>
      <c r="G90" s="54">
        <f>IF(D90=D89,"",_xlfn.IFNA(VLOOKUP(D90,'인원 입력 기능'!$F$5:$I$103,4,FALSE),0))</f>
        <v>6200</v>
      </c>
      <c r="H90" s="55">
        <f t="shared" si="12"/>
        <v>1.6460249824114266E-2</v>
      </c>
      <c r="I90" s="68">
        <f>SUM($G$7:G90)</f>
        <v>324568</v>
      </c>
      <c r="J90" s="57">
        <f t="shared" si="13"/>
        <v>0.86168876853437404</v>
      </c>
      <c r="K90" s="31"/>
      <c r="L90" s="19" t="str">
        <f t="shared" si="10"/>
        <v/>
      </c>
      <c r="N90" s="18"/>
    </row>
    <row r="91" spans="1:14" s="15" customFormat="1" ht="25" customHeight="1">
      <c r="A91" s="13"/>
      <c r="B91" s="26"/>
      <c r="C91" s="66">
        <v>16</v>
      </c>
      <c r="D91" s="67">
        <f t="shared" si="9"/>
        <v>76</v>
      </c>
      <c r="E91" s="67">
        <f t="shared" si="8"/>
        <v>7</v>
      </c>
      <c r="F91" s="53">
        <f t="shared" si="11"/>
        <v>12.27</v>
      </c>
      <c r="G91" s="54">
        <f>IF(D91=D90,"",_xlfn.IFNA(VLOOKUP(D91,'인원 입력 기능'!$F$5:$I$103,4,FALSE),0))</f>
        <v>11733</v>
      </c>
      <c r="H91" s="55">
        <f t="shared" si="12"/>
        <v>3.1149695352634305E-2</v>
      </c>
      <c r="I91" s="68">
        <f>SUM($G$7:G91)</f>
        <v>336301</v>
      </c>
      <c r="J91" s="57">
        <f t="shared" si="13"/>
        <v>0.89283846388700838</v>
      </c>
      <c r="K91" s="31"/>
      <c r="L91" s="19" t="str">
        <f t="shared" si="10"/>
        <v/>
      </c>
      <c r="N91" s="18"/>
    </row>
    <row r="92" spans="1:14" s="15" customFormat="1" ht="25" customHeight="1">
      <c r="A92" s="13"/>
      <c r="B92" s="26"/>
      <c r="C92" s="66">
        <v>15</v>
      </c>
      <c r="D92" s="67">
        <f t="shared" si="9"/>
        <v>75</v>
      </c>
      <c r="E92" s="67">
        <f t="shared" si="8"/>
        <v>8</v>
      </c>
      <c r="F92" s="53">
        <f t="shared" si="11"/>
        <v>9.39</v>
      </c>
      <c r="G92" s="54">
        <f>IF(D92=D91,"",_xlfn.IFNA(VLOOKUP(D92,'인원 입력 기능'!$F$5:$I$103,4,FALSE),0))</f>
        <v>10007</v>
      </c>
      <c r="H92" s="55">
        <f t="shared" si="12"/>
        <v>2.6567374191921202E-2</v>
      </c>
      <c r="I92" s="68">
        <f>SUM($G$7:G92)</f>
        <v>346308</v>
      </c>
      <c r="J92" s="57">
        <f t="shared" si="13"/>
        <v>0.9194058380789295</v>
      </c>
      <c r="K92" s="31"/>
      <c r="L92" s="19" t="str">
        <f t="shared" si="10"/>
        <v/>
      </c>
      <c r="N92" s="18"/>
    </row>
    <row r="93" spans="1:14" s="15" customFormat="1" ht="25" customHeight="1">
      <c r="A93" s="13"/>
      <c r="B93" s="26"/>
      <c r="C93" s="66">
        <v>14</v>
      </c>
      <c r="D93" s="67">
        <f t="shared" si="9"/>
        <v>74</v>
      </c>
      <c r="E93" s="67">
        <f t="shared" si="8"/>
        <v>8</v>
      </c>
      <c r="F93" s="53">
        <f t="shared" si="11"/>
        <v>7.42</v>
      </c>
      <c r="G93" s="54">
        <f>IF(D93=D92,"",_xlfn.IFNA(VLOOKUP(D93,'인원 입력 기능'!$F$5:$I$103,4,FALSE),0))</f>
        <v>4802</v>
      </c>
      <c r="H93" s="55">
        <f t="shared" si="12"/>
        <v>1.2748728976676888E-2</v>
      </c>
      <c r="I93" s="68">
        <f>SUM($G$7:G93)</f>
        <v>351110</v>
      </c>
      <c r="J93" s="57">
        <f t="shared" si="13"/>
        <v>0.9321545670556064</v>
      </c>
      <c r="K93" s="31"/>
      <c r="L93" s="19" t="str">
        <f t="shared" si="10"/>
        <v/>
      </c>
      <c r="N93" s="18"/>
    </row>
    <row r="94" spans="1:14" s="15" customFormat="1" ht="25" customHeight="1">
      <c r="A94" s="13"/>
      <c r="B94" s="26"/>
      <c r="C94" s="66">
        <v>13</v>
      </c>
      <c r="D94" s="67">
        <f t="shared" si="9"/>
        <v>73</v>
      </c>
      <c r="E94" s="67">
        <f t="shared" si="8"/>
        <v>8</v>
      </c>
      <c r="F94" s="53">
        <f t="shared" si="11"/>
        <v>6.16</v>
      </c>
      <c r="G94" s="54">
        <f>IF(D94=D93,"",_xlfn.IFNA(VLOOKUP(D94,'인원 입력 기능'!$F$5:$I$103,4,FALSE),0))</f>
        <v>4668</v>
      </c>
      <c r="H94" s="55">
        <f t="shared" si="12"/>
        <v>1.2392975190155709E-2</v>
      </c>
      <c r="I94" s="68">
        <f>SUM($G$7:G94)</f>
        <v>355778</v>
      </c>
      <c r="J94" s="57">
        <f t="shared" si="13"/>
        <v>0.9445475422457621</v>
      </c>
      <c r="K94" s="31"/>
      <c r="L94" s="19" t="str">
        <f t="shared" si="10"/>
        <v/>
      </c>
      <c r="N94" s="18"/>
    </row>
    <row r="95" spans="1:14" s="15" customFormat="1" ht="25" customHeight="1">
      <c r="A95" s="13"/>
      <c r="B95" s="26"/>
      <c r="C95" s="66">
        <v>12</v>
      </c>
      <c r="D95" s="146">
        <f t="shared" si="9"/>
        <v>72</v>
      </c>
      <c r="E95" s="146">
        <f t="shared" si="8"/>
        <v>8</v>
      </c>
      <c r="F95" s="148">
        <f t="shared" si="11"/>
        <v>4.5599999999999996</v>
      </c>
      <c r="G95" s="150">
        <f>IF(D95=D94,"",_xlfn.IFNA(VLOOKUP(D95,'인원 입력 기능'!$F$5:$I$103,4,FALSE),0))</f>
        <v>7448</v>
      </c>
      <c r="H95" s="151">
        <f t="shared" si="12"/>
        <v>1.9773538820968235E-2</v>
      </c>
      <c r="I95" s="153">
        <f>SUM($G$7:G95)</f>
        <v>363226</v>
      </c>
      <c r="J95" s="155">
        <f t="shared" si="13"/>
        <v>0.96432108106673042</v>
      </c>
      <c r="K95" s="31"/>
      <c r="L95" s="19" t="str">
        <f t="shared" si="10"/>
        <v/>
      </c>
      <c r="N95" s="18"/>
    </row>
    <row r="96" spans="1:14" s="15" customFormat="1" ht="25" customHeight="1">
      <c r="A96" s="13"/>
      <c r="B96" s="26"/>
      <c r="C96" s="66">
        <v>11</v>
      </c>
      <c r="D96" s="145"/>
      <c r="E96" s="145"/>
      <c r="F96" s="147"/>
      <c r="G96" s="149"/>
      <c r="H96" s="152"/>
      <c r="I96" s="154"/>
      <c r="J96" s="156"/>
      <c r="K96" s="31"/>
      <c r="L96" s="19" t="str">
        <f t="shared" si="10"/>
        <v>경고</v>
      </c>
      <c r="N96" s="18"/>
    </row>
    <row r="97" spans="1:14" s="15" customFormat="1" ht="25" customHeight="1">
      <c r="A97" s="13"/>
      <c r="B97" s="26"/>
      <c r="C97" s="66">
        <v>10</v>
      </c>
      <c r="D97" s="67">
        <f t="shared" si="9"/>
        <v>71</v>
      </c>
      <c r="E97" s="67">
        <f t="shared" si="8"/>
        <v>9</v>
      </c>
      <c r="F97" s="53">
        <f t="shared" si="11"/>
        <v>3.17</v>
      </c>
      <c r="G97" s="54">
        <f>IF(D97=D96,"",_xlfn.IFNA(VLOOKUP(D97,'인원 입력 기능'!$F$5:$I$103,4,FALSE),0))</f>
        <v>2989</v>
      </c>
      <c r="H97" s="55">
        <f t="shared" si="12"/>
        <v>7.9354333426254094E-3</v>
      </c>
      <c r="I97" s="68">
        <f>SUM($G$7:G97)</f>
        <v>366215</v>
      </c>
      <c r="J97" s="57">
        <f t="shared" si="13"/>
        <v>0.97225651440935579</v>
      </c>
      <c r="K97" s="31"/>
      <c r="L97" s="19" t="str">
        <f t="shared" si="10"/>
        <v/>
      </c>
      <c r="N97" s="18"/>
    </row>
    <row r="98" spans="1:14" s="15" customFormat="1" ht="25" customHeight="1">
      <c r="A98" s="13"/>
      <c r="B98" s="26"/>
      <c r="C98" s="66">
        <v>9</v>
      </c>
      <c r="D98" s="67">
        <f t="shared" si="9"/>
        <v>70</v>
      </c>
      <c r="E98" s="67">
        <f t="shared" si="8"/>
        <v>9</v>
      </c>
      <c r="F98" s="53">
        <f t="shared" si="11"/>
        <v>2.52</v>
      </c>
      <c r="G98" s="54">
        <f>IF(D98=D97,"",_xlfn.IFNA(VLOOKUP(D98,'인원 입력 기능'!$F$5:$I$103,4,FALSE),0))</f>
        <v>1910</v>
      </c>
      <c r="H98" s="55">
        <f t="shared" si="12"/>
        <v>5.0708188974287497E-3</v>
      </c>
      <c r="I98" s="68">
        <f>SUM($G$7:G98)</f>
        <v>368125</v>
      </c>
      <c r="J98" s="57">
        <f t="shared" si="13"/>
        <v>0.97732733330678456</v>
      </c>
      <c r="K98" s="31"/>
      <c r="L98" s="19" t="str">
        <f t="shared" si="10"/>
        <v/>
      </c>
      <c r="N98" s="18"/>
    </row>
    <row r="99" spans="1:14" s="15" customFormat="1" ht="25" customHeight="1">
      <c r="A99" s="13"/>
      <c r="B99" s="26"/>
      <c r="C99" s="66">
        <v>8</v>
      </c>
      <c r="D99" s="67">
        <f t="shared" si="9"/>
        <v>69</v>
      </c>
      <c r="E99" s="67">
        <f t="shared" si="8"/>
        <v>9</v>
      </c>
      <c r="F99" s="53">
        <f t="shared" si="11"/>
        <v>1.85</v>
      </c>
      <c r="G99" s="54">
        <f>IF(D99=D98,"",_xlfn.IFNA(VLOOKUP(D99,'인원 입력 기능'!$F$5:$I$103,4,FALSE),0))</f>
        <v>3154</v>
      </c>
      <c r="H99" s="55">
        <f t="shared" si="12"/>
        <v>8.3734883782671608E-3</v>
      </c>
      <c r="I99" s="68">
        <f>SUM($G$7:G99)</f>
        <v>371279</v>
      </c>
      <c r="J99" s="57">
        <f t="shared" si="13"/>
        <v>0.98570082168505169</v>
      </c>
      <c r="K99" s="31"/>
      <c r="L99" s="19" t="str">
        <f t="shared" si="10"/>
        <v/>
      </c>
      <c r="N99" s="18"/>
    </row>
    <row r="100" spans="1:14" s="15" customFormat="1" ht="25" customHeight="1">
      <c r="A100" s="13"/>
      <c r="B100" s="26"/>
      <c r="C100" s="66">
        <v>7</v>
      </c>
      <c r="D100" s="67">
        <f t="shared" si="9"/>
        <v>68</v>
      </c>
      <c r="E100" s="67">
        <f t="shared" si="8"/>
        <v>9</v>
      </c>
      <c r="F100" s="53">
        <f t="shared" si="11"/>
        <v>1.25</v>
      </c>
      <c r="G100" s="54">
        <f>IF(D100=D99,"",_xlfn.IFNA(VLOOKUP(D100,'인원 입력 기능'!$F$5:$I$103,4,FALSE),0))</f>
        <v>1358</v>
      </c>
      <c r="H100" s="55">
        <f t="shared" si="12"/>
        <v>3.6053256872818022E-3</v>
      </c>
      <c r="I100" s="68">
        <f>SUM($G$7:G100)</f>
        <v>372637</v>
      </c>
      <c r="J100" s="57">
        <f t="shared" si="13"/>
        <v>0.98930614737233347</v>
      </c>
      <c r="K100" s="31"/>
      <c r="L100" s="19" t="str">
        <f t="shared" si="10"/>
        <v/>
      </c>
      <c r="N100" s="18"/>
    </row>
    <row r="101" spans="1:14" s="15" customFormat="1" ht="25" customHeight="1">
      <c r="A101" s="13"/>
      <c r="B101" s="26"/>
      <c r="C101" s="58">
        <v>6</v>
      </c>
      <c r="D101" s="52">
        <f t="shared" si="9"/>
        <v>67</v>
      </c>
      <c r="E101" s="67">
        <f t="shared" si="8"/>
        <v>9</v>
      </c>
      <c r="F101" s="53">
        <f t="shared" si="11"/>
        <v>0.94</v>
      </c>
      <c r="G101" s="54">
        <f>IF(D101=D100,"",_xlfn.IFNA(VLOOKUP(D101,'인원 입력 기능'!$F$5:$I$103,4,FALSE),0))</f>
        <v>943</v>
      </c>
      <c r="H101" s="55">
        <f t="shared" si="12"/>
        <v>2.5035509006677021E-3</v>
      </c>
      <c r="I101" s="65">
        <f>SUM($G$7:G101)</f>
        <v>373580</v>
      </c>
      <c r="J101" s="57">
        <f t="shared" si="13"/>
        <v>0.99180969827300125</v>
      </c>
      <c r="K101" s="31"/>
      <c r="L101" s="19" t="str">
        <f t="shared" si="10"/>
        <v/>
      </c>
      <c r="N101" s="18"/>
    </row>
    <row r="102" spans="1:14" s="15" customFormat="1" ht="25" customHeight="1">
      <c r="A102" s="13"/>
      <c r="B102" s="26"/>
      <c r="C102" s="58">
        <v>5</v>
      </c>
      <c r="D102" s="52">
        <f t="shared" si="9"/>
        <v>66</v>
      </c>
      <c r="E102" s="67">
        <f t="shared" si="8"/>
        <v>9</v>
      </c>
      <c r="F102" s="53">
        <f t="shared" si="11"/>
        <v>0.73</v>
      </c>
      <c r="G102" s="54">
        <f>IF(D102=D101,"",_xlfn.IFNA(VLOOKUP(D102,'인원 입력 기능'!$F$5:$I$103,4,FALSE),0))</f>
        <v>675</v>
      </c>
      <c r="H102" s="55">
        <f t="shared" si="12"/>
        <v>1.7920433276253434E-3</v>
      </c>
      <c r="I102" s="65">
        <f>SUM($G$7:G102)</f>
        <v>374255</v>
      </c>
      <c r="J102" s="57">
        <f t="shared" si="13"/>
        <v>0.99360174160062653</v>
      </c>
      <c r="K102" s="31"/>
      <c r="L102" s="19" t="str">
        <f t="shared" si="10"/>
        <v/>
      </c>
      <c r="N102" s="18"/>
    </row>
    <row r="103" spans="1:14" s="15" customFormat="1" ht="25" customHeight="1">
      <c r="A103" s="13"/>
      <c r="B103" s="26"/>
      <c r="C103" s="58">
        <v>4</v>
      </c>
      <c r="D103" s="52">
        <f t="shared" si="9"/>
        <v>65</v>
      </c>
      <c r="E103" s="67">
        <f t="shared" si="8"/>
        <v>9</v>
      </c>
      <c r="F103" s="53">
        <f t="shared" si="11"/>
        <v>0.57999999999999996</v>
      </c>
      <c r="G103" s="54">
        <f>IF(D103=D102,"",_xlfn.IFNA(VLOOKUP(D103,'인원 입력 기능'!$F$5:$I$103,4,FALSE),0))</f>
        <v>468</v>
      </c>
      <c r="H103" s="55">
        <f t="shared" si="12"/>
        <v>1.2424833738202382E-3</v>
      </c>
      <c r="I103" s="65">
        <f>SUM($G$7:G103)</f>
        <v>374723</v>
      </c>
      <c r="J103" s="57">
        <f t="shared" si="13"/>
        <v>0.9948442249744468</v>
      </c>
      <c r="K103" s="31"/>
      <c r="L103" s="19" t="str">
        <f t="shared" si="10"/>
        <v/>
      </c>
      <c r="N103" s="18"/>
    </row>
    <row r="104" spans="1:14" s="15" customFormat="1" ht="25" customHeight="1">
      <c r="A104" s="13"/>
      <c r="B104" s="26"/>
      <c r="C104" s="58">
        <v>3</v>
      </c>
      <c r="D104" s="52">
        <f t="shared" si="9"/>
        <v>64</v>
      </c>
      <c r="E104" s="52">
        <f t="shared" si="8"/>
        <v>9</v>
      </c>
      <c r="F104" s="53">
        <f t="shared" si="11"/>
        <v>0.45</v>
      </c>
      <c r="G104" s="54">
        <f>IF(D104=D103,"",_xlfn.IFNA(VLOOKUP(D104,'인원 입력 기능'!$F$5:$I$103,4,FALSE),0))</f>
        <v>503</v>
      </c>
      <c r="H104" s="55">
        <f t="shared" si="12"/>
        <v>1.3354041389563671E-3</v>
      </c>
      <c r="I104" s="65">
        <f>SUM($G$7:G104)</f>
        <v>375226</v>
      </c>
      <c r="J104" s="57">
        <f t="shared" si="13"/>
        <v>0.99617962911340319</v>
      </c>
      <c r="K104" s="31"/>
      <c r="L104" s="19" t="str">
        <f t="shared" si="10"/>
        <v/>
      </c>
      <c r="N104" s="18"/>
    </row>
    <row r="105" spans="1:14" s="15" customFormat="1" ht="25" customHeight="1">
      <c r="A105" s="13"/>
      <c r="B105" s="26"/>
      <c r="C105" s="58">
        <v>2</v>
      </c>
      <c r="D105" s="52">
        <f t="shared" ref="D105" si="14">ROUND(20*(C105-$H$3)/$H$4+100,0)</f>
        <v>63</v>
      </c>
      <c r="E105" s="52">
        <f t="shared" si="8"/>
        <v>9</v>
      </c>
      <c r="F105" s="53">
        <f t="shared" si="11"/>
        <v>0.34</v>
      </c>
      <c r="G105" s="54">
        <f>IF(D105=D104,"",_xlfn.IFNA(VLOOKUP(D105,'인원 입력 기능'!$F$5:$I$103,4,FALSE),0))</f>
        <v>289</v>
      </c>
      <c r="H105" s="55">
        <f t="shared" si="12"/>
        <v>7.6726003212403593E-4</v>
      </c>
      <c r="I105" s="65">
        <f>SUM($G$7:G105)</f>
        <v>375515</v>
      </c>
      <c r="J105" s="57">
        <f t="shared" si="13"/>
        <v>0.9969468891455272</v>
      </c>
      <c r="K105" s="31"/>
      <c r="L105" s="19" t="str">
        <f t="shared" si="10"/>
        <v/>
      </c>
      <c r="N105" s="18"/>
    </row>
    <row r="106" spans="1:14" s="15" customFormat="1" ht="25" customHeight="1">
      <c r="A106" s="13"/>
      <c r="B106" s="26"/>
      <c r="C106" s="58">
        <v>1</v>
      </c>
      <c r="D106" s="59" t="s">
        <v>37</v>
      </c>
      <c r="E106" s="59"/>
      <c r="F106" s="60"/>
      <c r="G106" s="61"/>
      <c r="H106" s="62"/>
      <c r="I106" s="69"/>
      <c r="J106" s="64"/>
      <c r="K106" s="32"/>
      <c r="L106" s="19"/>
    </row>
    <row r="107" spans="1:14" s="15" customFormat="1" ht="25" customHeight="1" thickBot="1">
      <c r="A107" s="13"/>
      <c r="B107" s="26"/>
      <c r="C107" s="70">
        <v>0</v>
      </c>
      <c r="D107" s="71">
        <f>ROUND(20*(C107-$H$3)/$H$4+100,0)</f>
        <v>61</v>
      </c>
      <c r="E107" s="71">
        <f>IF(ROUND(D107,0)&gt;=$Q$7,1,IF(ROUND(D107,0)&gt;=$Q$8,2,IF(ROUND(D107,0)&gt;=$Q$9,3,IF(ROUND(D107,0)&gt;=$Q$10,4,IF(ROUND(D107,0)&gt;=$Q$11,5,IF(ROUND(D107,0)&gt;=$Q$12,6,IF(ROUND(D107,0)&gt;=$Q$13,7,IF(ROUND(D107,0)&gt;=$Q$14,8,9))))))))</f>
        <v>9</v>
      </c>
      <c r="F107" s="72">
        <f>IF(I105=0,ROUND(100*(1-(I104+I107)/2/$J$3),2),ROUND(100*(1-(I105+I107)/2/$J$3),2))</f>
        <v>0.15</v>
      </c>
      <c r="G107" s="73">
        <f>_xlfn.IFNA(VLOOKUP(D107,'인원 입력 기능'!$F$5:$I$103,4,FALSE),0)</f>
        <v>1150</v>
      </c>
      <c r="H107" s="74">
        <f>G107/$J$3</f>
        <v>3.0531108544728076E-3</v>
      </c>
      <c r="I107" s="75">
        <f>SUM($G$7:G107)</f>
        <v>376665</v>
      </c>
      <c r="J107" s="77">
        <f>I107/$J$3</f>
        <v>1</v>
      </c>
      <c r="K107" s="31"/>
      <c r="L107" s="19" t="str">
        <f>IF(ABS((C107-$H$3)/$H$4*20+100-D107)&gt;0.49, "경고", "")</f>
        <v/>
      </c>
    </row>
    <row r="108" spans="1:14" ht="6" customHeight="1">
      <c r="A108" s="2"/>
      <c r="B108" s="33"/>
      <c r="C108" s="34"/>
      <c r="D108" s="34"/>
      <c r="E108" s="34"/>
      <c r="F108" s="34"/>
      <c r="G108" s="34"/>
      <c r="H108" s="34"/>
      <c r="I108" s="34"/>
      <c r="J108" s="34"/>
      <c r="K108" s="35"/>
      <c r="L108" s="2"/>
    </row>
  </sheetData>
  <mergeCells count="52">
    <mergeCell ref="I82:I83"/>
    <mergeCell ref="J82:J83"/>
    <mergeCell ref="D95:D96"/>
    <mergeCell ref="E95:E96"/>
    <mergeCell ref="F95:F96"/>
    <mergeCell ref="G95:G96"/>
    <mergeCell ref="H95:H96"/>
    <mergeCell ref="I95:I96"/>
    <mergeCell ref="J95:J96"/>
    <mergeCell ref="D82:D83"/>
    <mergeCell ref="E82:E83"/>
    <mergeCell ref="F82:F83"/>
    <mergeCell ref="G82:G83"/>
    <mergeCell ref="H82:H83"/>
    <mergeCell ref="I57:I58"/>
    <mergeCell ref="J57:J58"/>
    <mergeCell ref="D69:D70"/>
    <mergeCell ref="E69:E70"/>
    <mergeCell ref="F69:F70"/>
    <mergeCell ref="G69:G70"/>
    <mergeCell ref="H69:H70"/>
    <mergeCell ref="I69:I70"/>
    <mergeCell ref="J69:J70"/>
    <mergeCell ref="D57:D58"/>
    <mergeCell ref="E57:E58"/>
    <mergeCell ref="F57:F58"/>
    <mergeCell ref="G57:G58"/>
    <mergeCell ref="H57:H58"/>
    <mergeCell ref="I31:I32"/>
    <mergeCell ref="J31:J32"/>
    <mergeCell ref="D44:D45"/>
    <mergeCell ref="E44:E45"/>
    <mergeCell ref="F44:F45"/>
    <mergeCell ref="G44:G45"/>
    <mergeCell ref="H44:H45"/>
    <mergeCell ref="I44:I45"/>
    <mergeCell ref="J44:J45"/>
    <mergeCell ref="D31:D32"/>
    <mergeCell ref="E31:E32"/>
    <mergeCell ref="F31:F32"/>
    <mergeCell ref="G31:G32"/>
    <mergeCell ref="H31:H32"/>
    <mergeCell ref="D3:F3"/>
    <mergeCell ref="D4:F4"/>
    <mergeCell ref="I4:J5"/>
    <mergeCell ref="D19:D20"/>
    <mergeCell ref="E19:E20"/>
    <mergeCell ref="F19:F20"/>
    <mergeCell ref="G19:G20"/>
    <mergeCell ref="H19:H20"/>
    <mergeCell ref="I19:I20"/>
    <mergeCell ref="J19:J20"/>
  </mergeCells>
  <phoneticPr fontId="1" type="noConversion"/>
  <conditionalFormatting sqref="C7:C107">
    <cfRule type="expression" dxfId="2" priority="3">
      <formula>OR(AND($D7=0,OR($D6=$Q$7:$Q$14)),AND($D8&gt;0,OR($D7=$Q$7:$Q$14)))</formula>
    </cfRule>
  </conditionalFormatting>
  <conditionalFormatting sqref="D7:J19 D21:J31 D33:J44 D46:J57 D59:J69 D71:J82 D84:J95 D97:J107">
    <cfRule type="expression" dxfId="1" priority="2">
      <formula>OR($D7=$Q$7:$Q$14)</formula>
    </cfRule>
  </conditionalFormatting>
  <conditionalFormatting sqref="D7:D19 D21:D31 D33:D44 D46:D57 D59:D69 D71:D82 D84:D95 D97:D107">
    <cfRule type="expression" dxfId="0" priority="1">
      <formula>$D7=$D8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C9F68-5CFB-48ED-A130-AE73DC06040C}">
  <sheetPr codeName="Sheet6"/>
  <dimension ref="A1:L16"/>
  <sheetViews>
    <sheetView zoomScale="85" zoomScaleNormal="85" workbookViewId="0">
      <selection activeCell="B2" sqref="B2:K16"/>
    </sheetView>
  </sheetViews>
  <sheetFormatPr defaultRowHeight="17"/>
  <cols>
    <col min="2" max="2" width="1" style="2" customWidth="1"/>
    <col min="3" max="10" width="14.1640625" customWidth="1"/>
    <col min="11" max="11" width="1" customWidth="1"/>
  </cols>
  <sheetData>
    <row r="1" spans="1:12">
      <c r="A1" s="2" t="s">
        <v>40</v>
      </c>
      <c r="C1" s="2"/>
      <c r="D1" s="2"/>
      <c r="E1" s="2"/>
      <c r="F1" s="2"/>
      <c r="G1" s="2"/>
      <c r="H1" s="2"/>
      <c r="I1" s="2"/>
      <c r="J1" s="2"/>
      <c r="K1" s="2"/>
    </row>
    <row r="2" spans="1:12" s="2" customFormat="1" ht="6" customHeight="1" thickBot="1">
      <c r="B2" s="23"/>
      <c r="C2" s="24"/>
      <c r="D2" s="24"/>
      <c r="E2" s="24"/>
      <c r="F2" s="24"/>
      <c r="G2" s="24"/>
      <c r="H2" s="24"/>
      <c r="I2" s="24"/>
      <c r="J2" s="24"/>
      <c r="K2" s="25"/>
    </row>
    <row r="3" spans="1:12" s="20" customFormat="1" ht="25" customHeight="1" thickBot="1">
      <c r="A3" s="19"/>
      <c r="B3" s="37"/>
      <c r="C3" s="41" t="s">
        <v>56</v>
      </c>
      <c r="D3" s="106" t="s">
        <v>71</v>
      </c>
      <c r="E3" s="107"/>
      <c r="F3" s="108"/>
      <c r="G3" s="41" t="s">
        <v>57</v>
      </c>
      <c r="H3" s="42" t="str">
        <f>'통계 및 응시자 수 입력 기능'!D6</f>
        <v>56.57</v>
      </c>
      <c r="I3" s="14" t="s">
        <v>58</v>
      </c>
      <c r="J3" s="43">
        <f>'통계 및 응시자 수 입력 기능'!C6</f>
        <v>374531</v>
      </c>
      <c r="K3" s="28"/>
    </row>
    <row r="4" spans="1:12" s="20" customFormat="1" ht="25" customHeight="1" thickBot="1">
      <c r="A4" s="19"/>
      <c r="B4" s="37"/>
      <c r="C4" s="44" t="s">
        <v>59</v>
      </c>
      <c r="D4" s="109" t="s">
        <v>60</v>
      </c>
      <c r="E4" s="110"/>
      <c r="F4" s="111"/>
      <c r="G4" s="45" t="s">
        <v>61</v>
      </c>
      <c r="H4" s="46" t="str">
        <f>'통계 및 응시자 수 입력 기능'!E6</f>
        <v>21.98</v>
      </c>
      <c r="I4" s="112"/>
      <c r="J4" s="113"/>
      <c r="K4" s="28"/>
    </row>
    <row r="5" spans="1:12" s="20" customFormat="1" ht="25" customHeight="1" thickBot="1">
      <c r="A5" s="19"/>
      <c r="B5" s="37"/>
      <c r="C5" s="13"/>
      <c r="D5" s="13"/>
      <c r="E5" s="13"/>
      <c r="F5" s="13"/>
      <c r="G5" s="13"/>
      <c r="H5" s="13"/>
      <c r="I5" s="115"/>
      <c r="J5" s="115"/>
      <c r="K5" s="28"/>
    </row>
    <row r="6" spans="1:12" s="20" customFormat="1" ht="25" customHeight="1" thickBot="1">
      <c r="A6" s="19"/>
      <c r="B6" s="37"/>
      <c r="C6" s="47" t="s">
        <v>63</v>
      </c>
      <c r="D6" s="78" t="s">
        <v>64</v>
      </c>
      <c r="E6" s="79" t="s">
        <v>65</v>
      </c>
      <c r="F6" s="48" t="s">
        <v>66</v>
      </c>
      <c r="G6" s="48" t="s">
        <v>67</v>
      </c>
      <c r="H6" s="50" t="s">
        <v>68</v>
      </c>
      <c r="I6" s="13"/>
      <c r="J6" s="13"/>
      <c r="K6" s="28"/>
      <c r="L6" s="19"/>
    </row>
    <row r="7" spans="1:12" s="20" customFormat="1" ht="25" customHeight="1">
      <c r="A7" s="19"/>
      <c r="B7" s="37"/>
      <c r="C7" s="80">
        <v>1</v>
      </c>
      <c r="D7" s="81">
        <v>90</v>
      </c>
      <c r="E7" s="82">
        <f>'표점등급&amp;절평인원 입력기능'!D22</f>
        <v>24940</v>
      </c>
      <c r="F7" s="83">
        <f>E7/$J$3</f>
        <v>6.6589948495585138E-2</v>
      </c>
      <c r="G7" s="84">
        <f>SUM($E$7:E7)</f>
        <v>24940</v>
      </c>
      <c r="H7" s="85">
        <f>G7/$J$3</f>
        <v>6.6589948495585138E-2</v>
      </c>
      <c r="I7" s="13"/>
      <c r="J7" s="13"/>
      <c r="K7" s="28"/>
      <c r="L7" s="19"/>
    </row>
    <row r="8" spans="1:12" s="20" customFormat="1" ht="25" customHeight="1">
      <c r="A8" s="19"/>
      <c r="B8" s="37"/>
      <c r="C8" s="86">
        <v>2</v>
      </c>
      <c r="D8" s="87">
        <v>80</v>
      </c>
      <c r="E8" s="88">
        <f>'표점등급&amp;절평인원 입력기능'!D23</f>
        <v>37686</v>
      </c>
      <c r="F8" s="83">
        <f t="shared" ref="F8:F15" si="0">E8/$J$3</f>
        <v>0.10062184438671298</v>
      </c>
      <c r="G8" s="89">
        <f>SUM($E$7:E8)</f>
        <v>62626</v>
      </c>
      <c r="H8" s="85">
        <f t="shared" ref="H8:H15" si="1">G8/$J$3</f>
        <v>0.16721179288229812</v>
      </c>
      <c r="I8" s="13"/>
      <c r="J8" s="13"/>
      <c r="K8" s="28"/>
      <c r="L8" s="19"/>
    </row>
    <row r="9" spans="1:12" s="20" customFormat="1" ht="25" customHeight="1">
      <c r="A9" s="19"/>
      <c r="B9" s="37"/>
      <c r="C9" s="86">
        <v>3</v>
      </c>
      <c r="D9" s="87">
        <v>70</v>
      </c>
      <c r="E9" s="88">
        <f>'표점등급&amp;절평인원 입력기능'!D24</f>
        <v>56238</v>
      </c>
      <c r="F9" s="83">
        <f t="shared" si="0"/>
        <v>0.1501557948474225</v>
      </c>
      <c r="G9" s="89">
        <f>SUM($E$7:E9)</f>
        <v>118864</v>
      </c>
      <c r="H9" s="85">
        <f t="shared" si="1"/>
        <v>0.31736758772972062</v>
      </c>
      <c r="I9" s="13"/>
      <c r="J9" s="13"/>
      <c r="K9" s="28"/>
      <c r="L9" s="19"/>
    </row>
    <row r="10" spans="1:12" s="20" customFormat="1" ht="25" customHeight="1">
      <c r="A10" s="19"/>
      <c r="B10" s="37"/>
      <c r="C10" s="86">
        <v>4</v>
      </c>
      <c r="D10" s="87">
        <v>60</v>
      </c>
      <c r="E10" s="88">
        <f>'표점등급&amp;절평인원 입력기능'!D25</f>
        <v>59695</v>
      </c>
      <c r="F10" s="83">
        <f t="shared" si="0"/>
        <v>0.15938600543079212</v>
      </c>
      <c r="G10" s="89">
        <f>SUM($E$7:E10)</f>
        <v>178559</v>
      </c>
      <c r="H10" s="85">
        <f t="shared" si="1"/>
        <v>0.47675359316051275</v>
      </c>
      <c r="I10" s="13"/>
      <c r="J10" s="13"/>
      <c r="K10" s="28"/>
      <c r="L10" s="19"/>
    </row>
    <row r="11" spans="1:12" s="20" customFormat="1" ht="25" customHeight="1">
      <c r="A11" s="19"/>
      <c r="B11" s="37"/>
      <c r="C11" s="86">
        <v>5</v>
      </c>
      <c r="D11" s="87">
        <v>50</v>
      </c>
      <c r="E11" s="88">
        <f>'표점등급&amp;절평인원 입력기능'!D26</f>
        <v>52314</v>
      </c>
      <c r="F11" s="83">
        <f t="shared" si="0"/>
        <v>0.139678691483482</v>
      </c>
      <c r="G11" s="89">
        <f>SUM($E$7:E11)</f>
        <v>230873</v>
      </c>
      <c r="H11" s="85">
        <f t="shared" si="1"/>
        <v>0.6164322846439948</v>
      </c>
      <c r="I11" s="13"/>
      <c r="J11" s="13"/>
      <c r="K11" s="28"/>
      <c r="L11" s="19"/>
    </row>
    <row r="12" spans="1:12" s="20" customFormat="1" ht="25" customHeight="1">
      <c r="A12" s="19"/>
      <c r="B12" s="37"/>
      <c r="C12" s="86">
        <v>6</v>
      </c>
      <c r="D12" s="87">
        <v>40</v>
      </c>
      <c r="E12" s="88">
        <f>'표점등급&amp;절평인원 입력기능'!D27</f>
        <v>46670</v>
      </c>
      <c r="F12" s="83">
        <f t="shared" si="0"/>
        <v>0.12460917787846666</v>
      </c>
      <c r="G12" s="89">
        <f>SUM($E$7:E12)</f>
        <v>277543</v>
      </c>
      <c r="H12" s="85">
        <f t="shared" si="1"/>
        <v>0.74104146252246139</v>
      </c>
      <c r="I12" s="13"/>
      <c r="J12" s="13"/>
      <c r="K12" s="28"/>
      <c r="L12" s="19"/>
    </row>
    <row r="13" spans="1:12" s="20" customFormat="1" ht="25" customHeight="1">
      <c r="A13" s="19"/>
      <c r="B13" s="37"/>
      <c r="C13" s="86">
        <v>7</v>
      </c>
      <c r="D13" s="87">
        <v>30</v>
      </c>
      <c r="E13" s="88">
        <f>'표점등급&amp;절평인원 입력기능'!D28</f>
        <v>43875</v>
      </c>
      <c r="F13" s="83">
        <f t="shared" si="0"/>
        <v>0.11714651123672006</v>
      </c>
      <c r="G13" s="89">
        <f>SUM($E$7:E13)</f>
        <v>321418</v>
      </c>
      <c r="H13" s="85">
        <f t="shared" si="1"/>
        <v>0.85818797375918143</v>
      </c>
      <c r="I13" s="13"/>
      <c r="J13" s="13"/>
      <c r="K13" s="28"/>
      <c r="L13" s="19"/>
    </row>
    <row r="14" spans="1:12" s="20" customFormat="1" ht="25" customHeight="1">
      <c r="A14" s="19"/>
      <c r="B14" s="37"/>
      <c r="C14" s="86">
        <v>8</v>
      </c>
      <c r="D14" s="87">
        <v>20</v>
      </c>
      <c r="E14" s="88">
        <f>'표점등급&amp;절평인원 입력기능'!D29</f>
        <v>40956</v>
      </c>
      <c r="F14" s="83">
        <f t="shared" si="0"/>
        <v>0.1093527638566634</v>
      </c>
      <c r="G14" s="89">
        <f>SUM($E$7:E14)</f>
        <v>362374</v>
      </c>
      <c r="H14" s="85">
        <f t="shared" si="1"/>
        <v>0.96754073761584491</v>
      </c>
      <c r="I14" s="13"/>
      <c r="J14" s="13"/>
      <c r="K14" s="28"/>
      <c r="L14" s="19"/>
    </row>
    <row r="15" spans="1:12" s="20" customFormat="1" ht="25" customHeight="1" thickBot="1">
      <c r="A15" s="19"/>
      <c r="B15" s="37"/>
      <c r="C15" s="90">
        <v>9</v>
      </c>
      <c r="D15" s="91">
        <v>0</v>
      </c>
      <c r="E15" s="92">
        <f>'표점등급&amp;절평인원 입력기능'!D30</f>
        <v>12157</v>
      </c>
      <c r="F15" s="93">
        <f t="shared" si="0"/>
        <v>3.245926238415512E-2</v>
      </c>
      <c r="G15" s="94">
        <f>SUM($E$7:E15)</f>
        <v>374531</v>
      </c>
      <c r="H15" s="95">
        <f t="shared" si="1"/>
        <v>1</v>
      </c>
      <c r="I15" s="13"/>
      <c r="J15" s="13"/>
      <c r="K15" s="28"/>
      <c r="L15" s="19"/>
    </row>
    <row r="16" spans="1:12" ht="6" customHeight="1">
      <c r="A16" s="2"/>
      <c r="B16" s="33"/>
      <c r="C16" s="34"/>
      <c r="D16" s="34"/>
      <c r="E16" s="34"/>
      <c r="F16" s="34"/>
      <c r="G16" s="34"/>
      <c r="H16" s="34"/>
      <c r="I16" s="34"/>
      <c r="J16" s="34"/>
      <c r="K16" s="35"/>
    </row>
  </sheetData>
  <mergeCells count="3">
    <mergeCell ref="D3:F3"/>
    <mergeCell ref="D4:F4"/>
    <mergeCell ref="I4:J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AB635-F5A9-449C-B5D9-16CA419300D1}">
  <sheetPr codeName="Sheet7"/>
  <dimension ref="A1:L16"/>
  <sheetViews>
    <sheetView zoomScale="85" zoomScaleNormal="85" workbookViewId="0">
      <selection activeCell="B2" sqref="B2:K16"/>
    </sheetView>
  </sheetViews>
  <sheetFormatPr defaultRowHeight="17"/>
  <cols>
    <col min="2" max="2" width="1" style="2" customWidth="1"/>
    <col min="3" max="10" width="14.1640625" customWidth="1"/>
    <col min="11" max="11" width="1" customWidth="1"/>
  </cols>
  <sheetData>
    <row r="1" spans="1:12">
      <c r="A1" s="2" t="s">
        <v>40</v>
      </c>
      <c r="C1" s="2"/>
      <c r="D1" s="2"/>
      <c r="E1" s="2"/>
      <c r="F1" s="2"/>
      <c r="G1" s="2"/>
      <c r="H1" s="2"/>
      <c r="I1" s="2"/>
      <c r="J1" s="2"/>
      <c r="K1" s="2"/>
    </row>
    <row r="2" spans="1:12" s="2" customFormat="1" ht="6" customHeight="1" thickBot="1">
      <c r="B2" s="23"/>
      <c r="C2" s="24"/>
      <c r="D2" s="24"/>
      <c r="E2" s="24"/>
      <c r="F2" s="24"/>
      <c r="G2" s="24"/>
      <c r="H2" s="24"/>
      <c r="I2" s="24"/>
      <c r="J2" s="24"/>
      <c r="K2" s="25"/>
    </row>
    <row r="3" spans="1:12" s="20" customFormat="1" ht="25" customHeight="1" thickBot="1">
      <c r="A3" s="19"/>
      <c r="B3" s="37"/>
      <c r="C3" s="41" t="s">
        <v>56</v>
      </c>
      <c r="D3" s="106" t="s">
        <v>71</v>
      </c>
      <c r="E3" s="107"/>
      <c r="F3" s="108"/>
      <c r="G3" s="41" t="s">
        <v>57</v>
      </c>
      <c r="H3" s="42" t="str">
        <f>'통계 및 응시자 수 입력 기능'!D7</f>
        <v>29.95</v>
      </c>
      <c r="I3" s="14" t="s">
        <v>58</v>
      </c>
      <c r="J3" s="43">
        <f>'통계 및 응시자 수 입력 기능'!C7</f>
        <v>371115</v>
      </c>
      <c r="K3" s="28"/>
    </row>
    <row r="4" spans="1:12" s="20" customFormat="1" ht="25" customHeight="1" thickBot="1">
      <c r="A4" s="19"/>
      <c r="B4" s="37"/>
      <c r="C4" s="44" t="s">
        <v>59</v>
      </c>
      <c r="D4" s="109" t="s">
        <v>62</v>
      </c>
      <c r="E4" s="110"/>
      <c r="F4" s="111"/>
      <c r="G4" s="45" t="s">
        <v>61</v>
      </c>
      <c r="H4" s="46" t="str">
        <f>'통계 및 응시자 수 입력 기능'!E7</f>
        <v>12.45</v>
      </c>
      <c r="I4" s="112"/>
      <c r="J4" s="113"/>
      <c r="K4" s="28"/>
    </row>
    <row r="5" spans="1:12" s="20" customFormat="1" ht="25" customHeight="1" thickBot="1">
      <c r="A5" s="19"/>
      <c r="B5" s="37"/>
      <c r="C5" s="13"/>
      <c r="D5" s="13"/>
      <c r="E5" s="13"/>
      <c r="F5" s="13"/>
      <c r="G5" s="13"/>
      <c r="H5" s="13"/>
      <c r="I5" s="115"/>
      <c r="J5" s="115"/>
      <c r="K5" s="28"/>
    </row>
    <row r="6" spans="1:12" s="20" customFormat="1" ht="25" customHeight="1" thickBot="1">
      <c r="A6" s="19"/>
      <c r="B6" s="37"/>
      <c r="C6" s="47" t="s">
        <v>63</v>
      </c>
      <c r="D6" s="78" t="s">
        <v>64</v>
      </c>
      <c r="E6" s="79" t="s">
        <v>65</v>
      </c>
      <c r="F6" s="48" t="s">
        <v>66</v>
      </c>
      <c r="G6" s="48" t="s">
        <v>67</v>
      </c>
      <c r="H6" s="50" t="s">
        <v>68</v>
      </c>
      <c r="I6" s="13"/>
      <c r="J6" s="13"/>
      <c r="K6" s="28"/>
      <c r="L6" s="19"/>
    </row>
    <row r="7" spans="1:12" s="20" customFormat="1" ht="25" customHeight="1">
      <c r="A7" s="19"/>
      <c r="B7" s="37"/>
      <c r="C7" s="96">
        <v>1</v>
      </c>
      <c r="D7" s="97">
        <v>40</v>
      </c>
      <c r="E7" s="82">
        <f>'표점등급&amp;절평인원 입력기능'!D31</f>
        <v>104025</v>
      </c>
      <c r="F7" s="83">
        <f>E7/$J$3</f>
        <v>0.28030394891071503</v>
      </c>
      <c r="G7" s="84">
        <f>SUM($E$7:E7)</f>
        <v>104025</v>
      </c>
      <c r="H7" s="85">
        <f>G7/$J$3</f>
        <v>0.28030394891071503</v>
      </c>
      <c r="I7" s="13"/>
      <c r="J7" s="13"/>
      <c r="K7" s="28"/>
      <c r="L7" s="19"/>
    </row>
    <row r="8" spans="1:12" s="20" customFormat="1" ht="25" customHeight="1">
      <c r="A8" s="19"/>
      <c r="B8" s="37"/>
      <c r="C8" s="98">
        <v>2</v>
      </c>
      <c r="D8" s="99">
        <v>35</v>
      </c>
      <c r="E8" s="88">
        <f>'표점등급&amp;절평인원 입력기능'!D32</f>
        <v>49707</v>
      </c>
      <c r="F8" s="83">
        <f t="shared" ref="F8:F15" si="0">E8/$J$3</f>
        <v>0.13393961440523827</v>
      </c>
      <c r="G8" s="89">
        <f>SUM($E$7:E8)</f>
        <v>153732</v>
      </c>
      <c r="H8" s="85">
        <f t="shared" ref="H8:H15" si="1">G8/$J$3</f>
        <v>0.4142435633159533</v>
      </c>
      <c r="I8" s="13"/>
      <c r="J8" s="13"/>
      <c r="K8" s="28"/>
      <c r="L8" s="19"/>
    </row>
    <row r="9" spans="1:12" s="20" customFormat="1" ht="25" customHeight="1">
      <c r="A9" s="19"/>
      <c r="B9" s="37"/>
      <c r="C9" s="98">
        <v>3</v>
      </c>
      <c r="D9" s="99">
        <v>30</v>
      </c>
      <c r="E9" s="88">
        <f>'표점등급&amp;절평인원 입력기능'!D33</f>
        <v>46922</v>
      </c>
      <c r="F9" s="83">
        <f t="shared" si="0"/>
        <v>0.12643520202632608</v>
      </c>
      <c r="G9" s="89">
        <f>SUM($E$7:E9)</f>
        <v>200654</v>
      </c>
      <c r="H9" s="85">
        <f t="shared" si="1"/>
        <v>0.54067876534227932</v>
      </c>
      <c r="I9" s="13"/>
      <c r="J9" s="13"/>
      <c r="K9" s="28"/>
      <c r="L9" s="19"/>
    </row>
    <row r="10" spans="1:12" s="20" customFormat="1" ht="25" customHeight="1">
      <c r="A10" s="19"/>
      <c r="B10" s="37"/>
      <c r="C10" s="98">
        <v>4</v>
      </c>
      <c r="D10" s="99">
        <v>25</v>
      </c>
      <c r="E10" s="88">
        <f>'표점등급&amp;절평인원 입력기능'!D34</f>
        <v>41819</v>
      </c>
      <c r="F10" s="83">
        <f t="shared" si="0"/>
        <v>0.11268474731552214</v>
      </c>
      <c r="G10" s="89">
        <f>SUM($E$7:E10)</f>
        <v>242473</v>
      </c>
      <c r="H10" s="85">
        <f t="shared" si="1"/>
        <v>0.65336351265780146</v>
      </c>
      <c r="I10" s="13"/>
      <c r="J10" s="13"/>
      <c r="K10" s="28"/>
      <c r="L10" s="19"/>
    </row>
    <row r="11" spans="1:12" s="20" customFormat="1" ht="25" customHeight="1">
      <c r="A11" s="19"/>
      <c r="B11" s="37"/>
      <c r="C11" s="98">
        <v>5</v>
      </c>
      <c r="D11" s="99">
        <v>20</v>
      </c>
      <c r="E11" s="88">
        <f>'표점등급&amp;절평인원 입력기능'!D35</f>
        <v>37115</v>
      </c>
      <c r="F11" s="83">
        <f t="shared" si="0"/>
        <v>0.1000094310388963</v>
      </c>
      <c r="G11" s="89">
        <f>SUM($E$7:E11)</f>
        <v>279588</v>
      </c>
      <c r="H11" s="85">
        <f t="shared" si="1"/>
        <v>0.75337294369669783</v>
      </c>
      <c r="I11" s="13"/>
      <c r="J11" s="13"/>
      <c r="K11" s="28"/>
      <c r="L11" s="19"/>
    </row>
    <row r="12" spans="1:12" s="20" customFormat="1" ht="25" customHeight="1">
      <c r="A12" s="19"/>
      <c r="B12" s="37"/>
      <c r="C12" s="98">
        <v>6</v>
      </c>
      <c r="D12" s="99">
        <v>15</v>
      </c>
      <c r="E12" s="88">
        <f>'표점등급&amp;절평인원 입력기능'!D36</f>
        <v>34718</v>
      </c>
      <c r="F12" s="83">
        <f t="shared" si="0"/>
        <v>9.3550516686202387E-2</v>
      </c>
      <c r="G12" s="89">
        <f>SUM($E$7:E12)</f>
        <v>314306</v>
      </c>
      <c r="H12" s="85">
        <f t="shared" si="1"/>
        <v>0.84692346038290023</v>
      </c>
      <c r="I12" s="13"/>
      <c r="J12" s="13"/>
      <c r="K12" s="28"/>
      <c r="L12" s="19"/>
    </row>
    <row r="13" spans="1:12" s="20" customFormat="1" ht="25" customHeight="1">
      <c r="A13" s="19"/>
      <c r="B13" s="37"/>
      <c r="C13" s="98">
        <v>7</v>
      </c>
      <c r="D13" s="99">
        <v>10</v>
      </c>
      <c r="E13" s="88">
        <f>'표점등급&amp;절평인원 입력기능'!D37</f>
        <v>41245</v>
      </c>
      <c r="F13" s="83">
        <f t="shared" si="0"/>
        <v>0.1111380569365291</v>
      </c>
      <c r="G13" s="89">
        <f>SUM($E$7:E13)</f>
        <v>355551</v>
      </c>
      <c r="H13" s="85">
        <f t="shared" si="1"/>
        <v>0.95806151731942923</v>
      </c>
      <c r="I13" s="13"/>
      <c r="J13" s="13"/>
      <c r="K13" s="28"/>
      <c r="L13" s="19"/>
    </row>
    <row r="14" spans="1:12" s="20" customFormat="1" ht="25" customHeight="1">
      <c r="A14" s="19"/>
      <c r="B14" s="37"/>
      <c r="C14" s="98">
        <v>8</v>
      </c>
      <c r="D14" s="99">
        <v>5</v>
      </c>
      <c r="E14" s="88">
        <f>'표점등급&amp;절평인원 입력기능'!D38</f>
        <v>12993</v>
      </c>
      <c r="F14" s="83">
        <f t="shared" si="0"/>
        <v>3.5010710965603653E-2</v>
      </c>
      <c r="G14" s="89">
        <f>SUM($E$7:E14)</f>
        <v>368544</v>
      </c>
      <c r="H14" s="85">
        <f t="shared" si="1"/>
        <v>0.99307222828503294</v>
      </c>
      <c r="I14" s="13"/>
      <c r="J14" s="13"/>
      <c r="K14" s="28"/>
      <c r="L14" s="19"/>
    </row>
    <row r="15" spans="1:12" s="20" customFormat="1" ht="25" customHeight="1" thickBot="1">
      <c r="A15" s="19"/>
      <c r="B15" s="37"/>
      <c r="C15" s="100">
        <v>9</v>
      </c>
      <c r="D15" s="101">
        <v>0</v>
      </c>
      <c r="E15" s="92">
        <f>'표점등급&amp;절평인원 입력기능'!D39</f>
        <v>2571</v>
      </c>
      <c r="F15" s="93">
        <f t="shared" si="0"/>
        <v>6.9277717149670587E-3</v>
      </c>
      <c r="G15" s="94">
        <f>SUM($E$7:E15)</f>
        <v>371115</v>
      </c>
      <c r="H15" s="95">
        <f t="shared" si="1"/>
        <v>1</v>
      </c>
      <c r="I15" s="13"/>
      <c r="J15" s="13"/>
      <c r="K15" s="28"/>
      <c r="L15" s="19"/>
    </row>
    <row r="16" spans="1:12" ht="6" customHeight="1">
      <c r="A16" s="2"/>
      <c r="B16" s="33"/>
      <c r="C16" s="34"/>
      <c r="D16" s="34"/>
      <c r="E16" s="34"/>
      <c r="F16" s="34"/>
      <c r="G16" s="34"/>
      <c r="H16" s="34"/>
      <c r="I16" s="34"/>
      <c r="J16" s="34"/>
      <c r="K16" s="35"/>
    </row>
  </sheetData>
  <mergeCells count="3">
    <mergeCell ref="D3:F3"/>
    <mergeCell ref="D4:F4"/>
    <mergeCell ref="I4:J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5C796-3132-4C04-AFE6-AEEFC657C7D6}">
  <sheetPr codeName="Sheet8"/>
  <dimension ref="A1:L16"/>
  <sheetViews>
    <sheetView zoomScale="85" zoomScaleNormal="85" workbookViewId="0">
      <selection activeCell="B2" sqref="B2:K16"/>
    </sheetView>
  </sheetViews>
  <sheetFormatPr defaultRowHeight="17"/>
  <cols>
    <col min="2" max="2" width="1" style="2" customWidth="1"/>
    <col min="3" max="10" width="14.1640625" customWidth="1"/>
    <col min="11" max="11" width="1" customWidth="1"/>
  </cols>
  <sheetData>
    <row r="1" spans="1:12">
      <c r="A1" s="2" t="s">
        <v>40</v>
      </c>
      <c r="C1" s="2"/>
      <c r="D1" s="2"/>
      <c r="E1" s="2"/>
      <c r="F1" s="2"/>
      <c r="G1" s="2"/>
      <c r="H1" s="2"/>
      <c r="I1" s="2"/>
      <c r="J1" s="2"/>
      <c r="K1" s="2"/>
    </row>
    <row r="2" spans="1:12" s="2" customFormat="1" ht="6" customHeight="1" thickBot="1">
      <c r="B2" s="23"/>
      <c r="C2" s="24"/>
      <c r="D2" s="24"/>
      <c r="E2" s="24"/>
      <c r="F2" s="24"/>
      <c r="G2" s="24"/>
      <c r="H2" s="24"/>
      <c r="I2" s="24"/>
      <c r="J2" s="24"/>
      <c r="K2" s="25"/>
    </row>
    <row r="3" spans="1:12" s="20" customFormat="1" ht="25" customHeight="1" thickBot="1">
      <c r="A3" s="19"/>
      <c r="B3" s="37"/>
      <c r="C3" s="41" t="s">
        <v>56</v>
      </c>
      <c r="D3" s="106" t="s">
        <v>71</v>
      </c>
      <c r="E3" s="107"/>
      <c r="F3" s="108"/>
      <c r="G3" s="41" t="s">
        <v>57</v>
      </c>
      <c r="H3" s="42" t="str">
        <f>'통계 및 응시자 수 입력 기능'!D8</f>
        <v>34.60</v>
      </c>
      <c r="I3" s="14" t="s">
        <v>58</v>
      </c>
      <c r="J3" s="43">
        <f>'통계 및 응시자 수 입력 기능'!C8</f>
        <v>370856</v>
      </c>
      <c r="K3" s="28"/>
    </row>
    <row r="4" spans="1:12" s="20" customFormat="1" ht="25" customHeight="1" thickBot="1">
      <c r="A4" s="19"/>
      <c r="B4" s="37"/>
      <c r="C4" s="44" t="s">
        <v>59</v>
      </c>
      <c r="D4" s="116" t="s">
        <v>69</v>
      </c>
      <c r="E4" s="110"/>
      <c r="F4" s="111"/>
      <c r="G4" s="45" t="s">
        <v>61</v>
      </c>
      <c r="H4" s="46" t="str">
        <f>'통계 및 응시자 수 입력 기능'!E8</f>
        <v>11.45</v>
      </c>
      <c r="I4" s="112"/>
      <c r="J4" s="113"/>
      <c r="K4" s="28"/>
    </row>
    <row r="5" spans="1:12" s="20" customFormat="1" ht="25" customHeight="1" thickBot="1">
      <c r="A5" s="19"/>
      <c r="B5" s="37"/>
      <c r="C5" s="13"/>
      <c r="D5" s="13"/>
      <c r="E5" s="13"/>
      <c r="F5" s="13"/>
      <c r="G5" s="13"/>
      <c r="H5" s="13"/>
      <c r="I5" s="115"/>
      <c r="J5" s="115"/>
      <c r="K5" s="28"/>
    </row>
    <row r="6" spans="1:12" s="20" customFormat="1" ht="25" customHeight="1" thickBot="1">
      <c r="A6" s="19"/>
      <c r="B6" s="37"/>
      <c r="C6" s="47" t="s">
        <v>63</v>
      </c>
      <c r="D6" s="78" t="s">
        <v>64</v>
      </c>
      <c r="E6" s="79" t="s">
        <v>65</v>
      </c>
      <c r="F6" s="48" t="s">
        <v>66</v>
      </c>
      <c r="G6" s="48" t="s">
        <v>67</v>
      </c>
      <c r="H6" s="50" t="s">
        <v>68</v>
      </c>
      <c r="I6" s="13"/>
      <c r="J6" s="13"/>
      <c r="K6" s="28"/>
      <c r="L6" s="19"/>
    </row>
    <row r="7" spans="1:12" s="20" customFormat="1" ht="25" customHeight="1">
      <c r="A7" s="19"/>
      <c r="B7" s="37"/>
      <c r="C7" s="96">
        <v>1</v>
      </c>
      <c r="D7" s="97">
        <v>40</v>
      </c>
      <c r="E7" s="82">
        <f>'표점등급&amp;절평인원 입력기능'!D40</f>
        <v>152392</v>
      </c>
      <c r="F7" s="83">
        <f>E7/$J$3</f>
        <v>0.41091960221757234</v>
      </c>
      <c r="G7" s="84">
        <f>SUM($E$7:E7)</f>
        <v>152392</v>
      </c>
      <c r="H7" s="85">
        <f>G7/$J$3</f>
        <v>0.41091960221757234</v>
      </c>
      <c r="I7" s="13"/>
      <c r="J7" s="13"/>
      <c r="K7" s="28"/>
      <c r="L7" s="19"/>
    </row>
    <row r="8" spans="1:12" s="20" customFormat="1" ht="25" customHeight="1">
      <c r="A8" s="19"/>
      <c r="B8" s="37"/>
      <c r="C8" s="98">
        <v>2</v>
      </c>
      <c r="D8" s="99">
        <v>35</v>
      </c>
      <c r="E8" s="88">
        <f>'표점등급&amp;절평인원 입력기능'!D41</f>
        <v>81584</v>
      </c>
      <c r="F8" s="83">
        <f t="shared" ref="F8:F15" si="0">E8/$J$3</f>
        <v>0.21998835127380978</v>
      </c>
      <c r="G8" s="89">
        <f>SUM($E$7:E8)</f>
        <v>233976</v>
      </c>
      <c r="H8" s="85">
        <f t="shared" ref="H8:H15" si="1">G8/$J$3</f>
        <v>0.63090795349138207</v>
      </c>
      <c r="I8" s="13"/>
      <c r="J8" s="13"/>
      <c r="K8" s="28"/>
      <c r="L8" s="19"/>
    </row>
    <row r="9" spans="1:12" s="20" customFormat="1" ht="25" customHeight="1">
      <c r="A9" s="19"/>
      <c r="B9" s="37"/>
      <c r="C9" s="98">
        <v>3</v>
      </c>
      <c r="D9" s="99">
        <v>30</v>
      </c>
      <c r="E9" s="88">
        <f>'표점등급&amp;절평인원 입력기능'!D42</f>
        <v>46677</v>
      </c>
      <c r="F9" s="83">
        <f t="shared" si="0"/>
        <v>0.12586286860668291</v>
      </c>
      <c r="G9" s="89">
        <f>SUM($E$7:E9)</f>
        <v>280653</v>
      </c>
      <c r="H9" s="85">
        <f t="shared" si="1"/>
        <v>0.75677082209806501</v>
      </c>
      <c r="I9" s="13"/>
      <c r="J9" s="13"/>
      <c r="K9" s="28"/>
      <c r="L9" s="19"/>
    </row>
    <row r="10" spans="1:12" s="20" customFormat="1" ht="25" customHeight="1">
      <c r="A10" s="19"/>
      <c r="B10" s="37"/>
      <c r="C10" s="98">
        <v>4</v>
      </c>
      <c r="D10" s="99">
        <v>25</v>
      </c>
      <c r="E10" s="88">
        <f>'표점등급&amp;절평인원 입력기능'!D43</f>
        <v>24844</v>
      </c>
      <c r="F10" s="83">
        <f t="shared" si="0"/>
        <v>6.6990961451344991E-2</v>
      </c>
      <c r="G10" s="89">
        <f>SUM($E$7:E10)</f>
        <v>305497</v>
      </c>
      <c r="H10" s="85">
        <f t="shared" si="1"/>
        <v>0.82376178354940999</v>
      </c>
      <c r="I10" s="13"/>
      <c r="J10" s="13"/>
      <c r="K10" s="28"/>
      <c r="L10" s="19"/>
    </row>
    <row r="11" spans="1:12" s="20" customFormat="1" ht="25" customHeight="1">
      <c r="A11" s="19"/>
      <c r="B11" s="37"/>
      <c r="C11" s="98">
        <v>5</v>
      </c>
      <c r="D11" s="99">
        <v>20</v>
      </c>
      <c r="E11" s="88">
        <f>'표점등급&amp;절평인원 입력기능'!D44</f>
        <v>14545</v>
      </c>
      <c r="F11" s="83">
        <f t="shared" si="0"/>
        <v>3.9220074638134476E-2</v>
      </c>
      <c r="G11" s="89">
        <f>SUM($E$7:E11)</f>
        <v>320042</v>
      </c>
      <c r="H11" s="85">
        <f t="shared" si="1"/>
        <v>0.86298185818754447</v>
      </c>
      <c r="I11" s="13"/>
      <c r="J11" s="13"/>
      <c r="K11" s="28"/>
      <c r="L11" s="19"/>
    </row>
    <row r="12" spans="1:12" s="20" customFormat="1" ht="25" customHeight="1">
      <c r="A12" s="19"/>
      <c r="B12" s="37"/>
      <c r="C12" s="98">
        <v>6</v>
      </c>
      <c r="D12" s="99">
        <v>15</v>
      </c>
      <c r="E12" s="88">
        <f>'표점등급&amp;절평인원 입력기능'!D45</f>
        <v>12008</v>
      </c>
      <c r="F12" s="83">
        <f t="shared" si="0"/>
        <v>3.2379144465776472E-2</v>
      </c>
      <c r="G12" s="89">
        <f>SUM($E$7:E12)</f>
        <v>332050</v>
      </c>
      <c r="H12" s="85">
        <f t="shared" si="1"/>
        <v>0.89536100265332097</v>
      </c>
      <c r="I12" s="13"/>
      <c r="J12" s="13"/>
      <c r="K12" s="28"/>
      <c r="L12" s="19"/>
    </row>
    <row r="13" spans="1:12" s="20" customFormat="1" ht="25" customHeight="1">
      <c r="A13" s="19"/>
      <c r="B13" s="37"/>
      <c r="C13" s="98">
        <v>7</v>
      </c>
      <c r="D13" s="99">
        <v>10</v>
      </c>
      <c r="E13" s="88">
        <f>'표점등급&amp;절평인원 입력기능'!D46</f>
        <v>20616</v>
      </c>
      <c r="F13" s="83">
        <f t="shared" si="0"/>
        <v>5.5590309985546954E-2</v>
      </c>
      <c r="G13" s="89">
        <f>SUM($E$7:E13)</f>
        <v>352666</v>
      </c>
      <c r="H13" s="85">
        <f t="shared" si="1"/>
        <v>0.9509513126388679</v>
      </c>
      <c r="I13" s="13"/>
      <c r="J13" s="13"/>
      <c r="K13" s="28"/>
      <c r="L13" s="19"/>
    </row>
    <row r="14" spans="1:12" s="20" customFormat="1" ht="25" customHeight="1">
      <c r="A14" s="19"/>
      <c r="B14" s="37"/>
      <c r="C14" s="98">
        <v>8</v>
      </c>
      <c r="D14" s="99">
        <v>5</v>
      </c>
      <c r="E14" s="88">
        <f>'표점등급&amp;절평인원 입력기능'!D47</f>
        <v>16217</v>
      </c>
      <c r="F14" s="83">
        <f t="shared" si="0"/>
        <v>4.3728563108052725E-2</v>
      </c>
      <c r="G14" s="89">
        <f>SUM($E$7:E14)</f>
        <v>368883</v>
      </c>
      <c r="H14" s="85">
        <f t="shared" si="1"/>
        <v>0.99467987574692063</v>
      </c>
      <c r="I14" s="13"/>
      <c r="J14" s="13"/>
      <c r="K14" s="28"/>
      <c r="L14" s="19"/>
    </row>
    <row r="15" spans="1:12" s="20" customFormat="1" ht="25" customHeight="1" thickBot="1">
      <c r="A15" s="19"/>
      <c r="B15" s="37"/>
      <c r="C15" s="100">
        <v>9</v>
      </c>
      <c r="D15" s="101">
        <v>0</v>
      </c>
      <c r="E15" s="92">
        <f>'표점등급&amp;절평인원 입력기능'!D48</f>
        <v>1973</v>
      </c>
      <c r="F15" s="93">
        <f t="shared" si="0"/>
        <v>5.320124253079362E-3</v>
      </c>
      <c r="G15" s="94">
        <f>SUM($E$7:E15)</f>
        <v>370856</v>
      </c>
      <c r="H15" s="95">
        <f t="shared" si="1"/>
        <v>1</v>
      </c>
      <c r="I15" s="13"/>
      <c r="J15" s="13"/>
      <c r="K15" s="28"/>
      <c r="L15" s="19"/>
    </row>
    <row r="16" spans="1:12" ht="6" customHeight="1">
      <c r="A16" s="2"/>
      <c r="B16" s="33"/>
      <c r="C16" s="34"/>
      <c r="D16" s="34"/>
      <c r="E16" s="34"/>
      <c r="F16" s="34"/>
      <c r="G16" s="34"/>
      <c r="H16" s="34"/>
      <c r="I16" s="34"/>
      <c r="J16" s="34"/>
      <c r="K16" s="35"/>
    </row>
  </sheetData>
  <mergeCells count="3">
    <mergeCell ref="D3:F3"/>
    <mergeCell ref="D4:F4"/>
    <mergeCell ref="I4:J5"/>
  </mergeCells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FAE8D-03E5-4BB1-A552-691C1EE8C097}">
  <sheetPr codeName="Sheet9"/>
  <dimension ref="A1:L16"/>
  <sheetViews>
    <sheetView tabSelected="1" workbookViewId="0">
      <selection activeCell="B2" sqref="B2:K16"/>
    </sheetView>
  </sheetViews>
  <sheetFormatPr defaultRowHeight="17"/>
  <cols>
    <col min="2" max="2" width="1" style="2" customWidth="1"/>
    <col min="3" max="10" width="14.1640625" customWidth="1"/>
    <col min="11" max="11" width="1" customWidth="1"/>
  </cols>
  <sheetData>
    <row r="1" spans="1:12">
      <c r="A1" s="2" t="s">
        <v>40</v>
      </c>
      <c r="C1" s="2"/>
      <c r="D1" s="2"/>
      <c r="E1" s="2"/>
      <c r="F1" s="2"/>
      <c r="G1" s="2"/>
      <c r="H1" s="2"/>
      <c r="I1" s="2"/>
      <c r="J1" s="2"/>
      <c r="K1" s="2"/>
    </row>
    <row r="2" spans="1:12" s="2" customFormat="1" ht="6" customHeight="1" thickBot="1">
      <c r="B2" s="23"/>
      <c r="C2" s="24"/>
      <c r="D2" s="24"/>
      <c r="E2" s="24"/>
      <c r="F2" s="24"/>
      <c r="G2" s="24"/>
      <c r="H2" s="24"/>
      <c r="I2" s="24"/>
      <c r="J2" s="24"/>
      <c r="K2" s="25"/>
    </row>
    <row r="3" spans="1:12" s="20" customFormat="1" ht="25" customHeight="1" thickBot="1">
      <c r="A3" s="19"/>
      <c r="B3" s="37"/>
      <c r="C3" s="41" t="s">
        <v>56</v>
      </c>
      <c r="D3" s="106" t="s">
        <v>71</v>
      </c>
      <c r="E3" s="107"/>
      <c r="F3" s="108"/>
      <c r="G3" s="41" t="s">
        <v>57</v>
      </c>
      <c r="H3" s="42" t="str">
        <f>'통계 및 응시자 수 입력 기능'!D9</f>
        <v>23.66</v>
      </c>
      <c r="I3" s="14" t="s">
        <v>58</v>
      </c>
      <c r="J3" s="43">
        <f>'통계 및 응시자 수 입력 기능'!C9</f>
        <v>370376</v>
      </c>
      <c r="K3" s="28"/>
    </row>
    <row r="4" spans="1:12" s="20" customFormat="1" ht="25" customHeight="1" thickBot="1">
      <c r="A4" s="19"/>
      <c r="B4" s="37"/>
      <c r="C4" s="44" t="s">
        <v>59</v>
      </c>
      <c r="D4" s="116" t="s">
        <v>70</v>
      </c>
      <c r="E4" s="110"/>
      <c r="F4" s="111"/>
      <c r="G4" s="45" t="s">
        <v>61</v>
      </c>
      <c r="H4" s="46" t="str">
        <f>'통계 및 응시자 수 입력 기능'!E9</f>
        <v>11.63</v>
      </c>
      <c r="I4" s="112"/>
      <c r="J4" s="113"/>
      <c r="K4" s="28"/>
    </row>
    <row r="5" spans="1:12" s="20" customFormat="1" ht="25" customHeight="1" thickBot="1">
      <c r="A5" s="19"/>
      <c r="B5" s="37"/>
      <c r="C5" s="13"/>
      <c r="D5" s="13"/>
      <c r="E5" s="13"/>
      <c r="F5" s="13"/>
      <c r="G5" s="13"/>
      <c r="H5" s="13"/>
      <c r="I5" s="115"/>
      <c r="J5" s="115"/>
      <c r="K5" s="28"/>
    </row>
    <row r="6" spans="1:12" s="20" customFormat="1" ht="25" customHeight="1" thickBot="1">
      <c r="A6" s="19"/>
      <c r="B6" s="37"/>
      <c r="C6" s="47" t="s">
        <v>63</v>
      </c>
      <c r="D6" s="78" t="s">
        <v>64</v>
      </c>
      <c r="E6" s="79" t="s">
        <v>65</v>
      </c>
      <c r="F6" s="48" t="s">
        <v>66</v>
      </c>
      <c r="G6" s="48" t="s">
        <v>67</v>
      </c>
      <c r="H6" s="50" t="s">
        <v>68</v>
      </c>
      <c r="I6" s="13"/>
      <c r="J6" s="13"/>
      <c r="K6" s="28"/>
      <c r="L6" s="19"/>
    </row>
    <row r="7" spans="1:12" s="20" customFormat="1" ht="25" customHeight="1">
      <c r="A7" s="19"/>
      <c r="B7" s="37"/>
      <c r="C7" s="96">
        <v>1</v>
      </c>
      <c r="D7" s="97">
        <v>40</v>
      </c>
      <c r="E7" s="82">
        <f>'표점등급&amp;절평인원 입력기능'!D49</f>
        <v>42113</v>
      </c>
      <c r="F7" s="83">
        <f>E7/$J$3</f>
        <v>0.11370337170875003</v>
      </c>
      <c r="G7" s="84">
        <f>SUM($E$7:E7)</f>
        <v>42113</v>
      </c>
      <c r="H7" s="85">
        <f>G7/$J$3</f>
        <v>0.11370337170875003</v>
      </c>
      <c r="I7" s="13"/>
      <c r="J7" s="13"/>
      <c r="K7" s="28"/>
      <c r="L7" s="19"/>
    </row>
    <row r="8" spans="1:12" s="20" customFormat="1" ht="25" customHeight="1">
      <c r="A8" s="19"/>
      <c r="B8" s="37"/>
      <c r="C8" s="98">
        <v>2</v>
      </c>
      <c r="D8" s="99">
        <v>35</v>
      </c>
      <c r="E8" s="88">
        <f>'표점등급&amp;절평인원 입력기능'!D50</f>
        <v>31493</v>
      </c>
      <c r="F8" s="83">
        <f t="shared" ref="F8:F15" si="0">E8/$J$3</f>
        <v>8.5029807546925282E-2</v>
      </c>
      <c r="G8" s="89">
        <f>SUM($E$7:E8)</f>
        <v>73606</v>
      </c>
      <c r="H8" s="85">
        <f t="shared" ref="H8:H15" si="1">G8/$J$3</f>
        <v>0.19873317925567532</v>
      </c>
      <c r="I8" s="13"/>
      <c r="J8" s="13"/>
      <c r="K8" s="28"/>
      <c r="L8" s="19"/>
    </row>
    <row r="9" spans="1:12" s="20" customFormat="1" ht="25" customHeight="1">
      <c r="A9" s="19"/>
      <c r="B9" s="37"/>
      <c r="C9" s="98">
        <v>3</v>
      </c>
      <c r="D9" s="99">
        <v>30</v>
      </c>
      <c r="E9" s="88">
        <f>'표점등급&amp;절평인원 입력기능'!D51</f>
        <v>40716</v>
      </c>
      <c r="F9" s="83">
        <f t="shared" si="0"/>
        <v>0.10993152904075858</v>
      </c>
      <c r="G9" s="89">
        <f>SUM($E$7:E9)</f>
        <v>114322</v>
      </c>
      <c r="H9" s="85">
        <f t="shared" si="1"/>
        <v>0.30866470829643389</v>
      </c>
      <c r="I9" s="13"/>
      <c r="J9" s="13"/>
      <c r="K9" s="28"/>
      <c r="L9" s="19"/>
    </row>
    <row r="10" spans="1:12" s="20" customFormat="1" ht="25" customHeight="1">
      <c r="A10" s="19"/>
      <c r="B10" s="37"/>
      <c r="C10" s="98">
        <v>4</v>
      </c>
      <c r="D10" s="99">
        <v>25</v>
      </c>
      <c r="E10" s="88">
        <f>'표점등급&amp;절평인원 입력기능'!D52</f>
        <v>49194</v>
      </c>
      <c r="F10" s="83">
        <f t="shared" si="0"/>
        <v>0.13282178110892714</v>
      </c>
      <c r="G10" s="89">
        <f>SUM($E$7:E10)</f>
        <v>163516</v>
      </c>
      <c r="H10" s="85">
        <f t="shared" si="1"/>
        <v>0.44148648940536106</v>
      </c>
      <c r="I10" s="13"/>
      <c r="J10" s="13"/>
      <c r="K10" s="28"/>
      <c r="L10" s="19"/>
    </row>
    <row r="11" spans="1:12" s="20" customFormat="1" ht="25" customHeight="1">
      <c r="A11" s="19"/>
      <c r="B11" s="37"/>
      <c r="C11" s="98">
        <v>5</v>
      </c>
      <c r="D11" s="99">
        <v>20</v>
      </c>
      <c r="E11" s="88">
        <f>'표점등급&amp;절평인원 입력기능'!D53</f>
        <v>53489</v>
      </c>
      <c r="F11" s="83">
        <f t="shared" si="0"/>
        <v>0.14441810484480636</v>
      </c>
      <c r="G11" s="89">
        <f>SUM($E$7:E11)</f>
        <v>217005</v>
      </c>
      <c r="H11" s="85">
        <f t="shared" si="1"/>
        <v>0.58590459425016739</v>
      </c>
      <c r="I11" s="13"/>
      <c r="J11" s="13"/>
      <c r="K11" s="28"/>
      <c r="L11" s="19"/>
    </row>
    <row r="12" spans="1:12" s="20" customFormat="1" ht="25" customHeight="1">
      <c r="A12" s="19"/>
      <c r="B12" s="37"/>
      <c r="C12" s="98">
        <v>6</v>
      </c>
      <c r="D12" s="99">
        <v>15</v>
      </c>
      <c r="E12" s="88">
        <f>'표점등급&amp;절평인원 입력기능'!D54</f>
        <v>51713</v>
      </c>
      <c r="F12" s="83">
        <f t="shared" si="0"/>
        <v>0.13962297773073848</v>
      </c>
      <c r="G12" s="89">
        <f>SUM($E$7:E12)</f>
        <v>268718</v>
      </c>
      <c r="H12" s="85">
        <f t="shared" si="1"/>
        <v>0.72552757198090589</v>
      </c>
      <c r="I12" s="13"/>
      <c r="J12" s="13"/>
      <c r="K12" s="28"/>
      <c r="L12" s="19"/>
    </row>
    <row r="13" spans="1:12" s="20" customFormat="1" ht="25" customHeight="1">
      <c r="A13" s="19"/>
      <c r="B13" s="37"/>
      <c r="C13" s="98">
        <v>7</v>
      </c>
      <c r="D13" s="99">
        <v>10</v>
      </c>
      <c r="E13" s="88">
        <f>'표점등급&amp;절평인원 입력기능'!D55</f>
        <v>72623</v>
      </c>
      <c r="F13" s="83">
        <f t="shared" si="0"/>
        <v>0.19607911959738211</v>
      </c>
      <c r="G13" s="89">
        <f>SUM($E$7:E13)</f>
        <v>341341</v>
      </c>
      <c r="H13" s="85">
        <f t="shared" si="1"/>
        <v>0.92160669157828801</v>
      </c>
      <c r="I13" s="13"/>
      <c r="J13" s="13"/>
      <c r="K13" s="28"/>
      <c r="L13" s="19"/>
    </row>
    <row r="14" spans="1:12" s="20" customFormat="1" ht="25" customHeight="1">
      <c r="A14" s="19"/>
      <c r="B14" s="37"/>
      <c r="C14" s="98">
        <v>8</v>
      </c>
      <c r="D14" s="99">
        <v>5</v>
      </c>
      <c r="E14" s="88">
        <f>'표점등급&amp;절평인원 입력기능'!D56</f>
        <v>24472</v>
      </c>
      <c r="F14" s="83">
        <f t="shared" si="0"/>
        <v>6.6073395684385597E-2</v>
      </c>
      <c r="G14" s="89">
        <f>SUM($E$7:E14)</f>
        <v>365813</v>
      </c>
      <c r="H14" s="85">
        <f t="shared" si="1"/>
        <v>0.98768008726267364</v>
      </c>
      <c r="I14" s="13"/>
      <c r="J14" s="13"/>
      <c r="K14" s="28"/>
      <c r="L14" s="19"/>
    </row>
    <row r="15" spans="1:12" s="20" customFormat="1" ht="25" customHeight="1" thickBot="1">
      <c r="A15" s="19"/>
      <c r="B15" s="37"/>
      <c r="C15" s="100">
        <v>9</v>
      </c>
      <c r="D15" s="101">
        <v>0</v>
      </c>
      <c r="E15" s="92">
        <f>'표점등급&amp;절평인원 입력기능'!D57</f>
        <v>4563</v>
      </c>
      <c r="F15" s="93">
        <f t="shared" si="0"/>
        <v>1.2319912737326393E-2</v>
      </c>
      <c r="G15" s="94">
        <f>SUM($E$7:E15)</f>
        <v>370376</v>
      </c>
      <c r="H15" s="95">
        <f t="shared" si="1"/>
        <v>1</v>
      </c>
      <c r="I15" s="13"/>
      <c r="J15" s="13"/>
      <c r="K15" s="28"/>
      <c r="L15" s="19"/>
    </row>
    <row r="16" spans="1:12" ht="6" customHeight="1">
      <c r="A16" s="2"/>
      <c r="B16" s="33"/>
      <c r="C16" s="34"/>
      <c r="D16" s="34"/>
      <c r="E16" s="34"/>
      <c r="F16" s="34"/>
      <c r="G16" s="34"/>
      <c r="H16" s="34"/>
      <c r="I16" s="34"/>
      <c r="J16" s="34"/>
      <c r="K16" s="35"/>
    </row>
  </sheetData>
  <mergeCells count="3">
    <mergeCell ref="D3:F3"/>
    <mergeCell ref="D4:F4"/>
    <mergeCell ref="I4:J5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통계 및 응시자 수 입력 기능</vt:lpstr>
      <vt:lpstr>표점등급&amp;절평인원 입력기능</vt:lpstr>
      <vt:lpstr>인원 입력 기능</vt:lpstr>
      <vt:lpstr>국어</vt:lpstr>
      <vt:lpstr>수학</vt:lpstr>
      <vt:lpstr>영어</vt:lpstr>
      <vt:lpstr>한국사</vt:lpstr>
      <vt:lpstr>사회</vt:lpstr>
      <vt:lpstr>과학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윤승혁</dc:creator>
  <cp:lastModifiedBy>윤승혁</cp:lastModifiedBy>
  <cp:lastPrinted>2022-05-21T13:19:13Z</cp:lastPrinted>
  <dcterms:created xsi:type="dcterms:W3CDTF">2018-04-21T04:34:05Z</dcterms:created>
  <dcterms:modified xsi:type="dcterms:W3CDTF">2023-10-04T05:56:31Z</dcterms:modified>
</cp:coreProperties>
</file>