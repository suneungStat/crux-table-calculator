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hongik-my.sharepoint.com/personal/edc9566_mail_hongik_ac_kr/Documents/바탕 화면/대학/프로그래밍/개인프로젝트/계산기/xlsm/"/>
    </mc:Choice>
  </mc:AlternateContent>
  <xr:revisionPtr revIDLastSave="62" documentId="13_ncr:1_{FD7C6D18-BC91-45FE-89C1-0B6E11C58AFE}" xr6:coauthVersionLast="47" xr6:coauthVersionMax="47" xr10:uidLastSave="{C7406BA2-E801-4410-A17C-2A7D9ED24F85}"/>
  <bookViews>
    <workbookView xWindow="-110" yWindow="-110" windowWidth="19420" windowHeight="11620" firstSheet="22" activeTab="26" xr2:uid="{AB9EE284-95EA-49B1-8133-EE4E7651E7F1}"/>
  </bookViews>
  <sheets>
    <sheet name="통계 및 응시자 수 입력 기능" sheetId="67" r:id="rId1"/>
    <sheet name="표점등급&amp;절평인원 입력 기능" sheetId="66" r:id="rId2"/>
    <sheet name="인원 입력 기능(국수)" sheetId="64" r:id="rId3"/>
    <sheet name="인원 입력 기능(사과탐)" sheetId="68" r:id="rId4"/>
    <sheet name="인원 입력 기능(직탐)" sheetId="70" r:id="rId5"/>
    <sheet name="국어" sheetId="2" r:id="rId6"/>
    <sheet name="수학" sheetId="5" r:id="rId7"/>
    <sheet name="영어" sheetId="6" r:id="rId8"/>
    <sheet name="한국사" sheetId="25" r:id="rId9"/>
    <sheet name="생활과 윤리" sheetId="3" r:id="rId10"/>
    <sheet name="윤리와 사상" sheetId="26" r:id="rId11"/>
    <sheet name="한국지리" sheetId="27" r:id="rId12"/>
    <sheet name="세계지리" sheetId="28" r:id="rId13"/>
    <sheet name="동아시아사" sheetId="29" r:id="rId14"/>
    <sheet name="세계사" sheetId="30" r:id="rId15"/>
    <sheet name="경제" sheetId="31" r:id="rId16"/>
    <sheet name="정치와 법" sheetId="32" r:id="rId17"/>
    <sheet name="사회∙문화" sheetId="33" r:id="rId18"/>
    <sheet name="물리학Ⅰ" sheetId="34" r:id="rId19"/>
    <sheet name="화학Ⅰ" sheetId="35" r:id="rId20"/>
    <sheet name="생명과학Ⅰ" sheetId="36" r:id="rId21"/>
    <sheet name="지구과학Ⅰ" sheetId="37" r:id="rId22"/>
    <sheet name="성공적인 직업생활" sheetId="72" r:id="rId23"/>
    <sheet name="농업 기초 기술" sheetId="73" r:id="rId24"/>
    <sheet name="공업 일반" sheetId="74" r:id="rId25"/>
    <sheet name="상업 경제" sheetId="75" r:id="rId26"/>
    <sheet name="수산∙해운 산업 기초" sheetId="76" r:id="rId27"/>
    <sheet name="인간 발달" sheetId="77" r:id="rId28"/>
    <sheet name="등급컷 모아보기" sheetId="79" r:id="rId29"/>
    <sheet name="독일어Ⅰ" sheetId="82" r:id="rId30"/>
    <sheet name="프랑스어Ⅰ" sheetId="83" r:id="rId31"/>
    <sheet name="스페인어Ⅰ" sheetId="84" r:id="rId32"/>
    <sheet name="중국어Ⅰ" sheetId="85" r:id="rId33"/>
    <sheet name="일본어Ⅰ" sheetId="86" r:id="rId34"/>
    <sheet name="러시아어Ⅰ" sheetId="87" r:id="rId35"/>
    <sheet name="한문Ⅰ" sheetId="88" r:id="rId3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" i="2" l="1"/>
  <c r="E9" i="76"/>
  <c r="G9" i="76"/>
  <c r="I9" i="76"/>
  <c r="F9" i="76" s="1"/>
  <c r="J3" i="88"/>
  <c r="H4" i="88"/>
  <c r="H3" i="88"/>
  <c r="E8" i="88"/>
  <c r="E9" i="88"/>
  <c r="E10" i="88"/>
  <c r="E11" i="88"/>
  <c r="E12" i="88"/>
  <c r="E13" i="88"/>
  <c r="E14" i="88"/>
  <c r="E15" i="88"/>
  <c r="E7" i="88"/>
  <c r="E8" i="87"/>
  <c r="E9" i="87"/>
  <c r="E10" i="87"/>
  <c r="E11" i="87"/>
  <c r="E12" i="87"/>
  <c r="E13" i="87"/>
  <c r="E14" i="87"/>
  <c r="E15" i="87"/>
  <c r="J3" i="87"/>
  <c r="H4" i="87"/>
  <c r="H3" i="87"/>
  <c r="E7" i="87"/>
  <c r="E8" i="86"/>
  <c r="E9" i="86"/>
  <c r="E10" i="86"/>
  <c r="E11" i="86"/>
  <c r="E12" i="86"/>
  <c r="E13" i="86"/>
  <c r="E14" i="86"/>
  <c r="E15" i="86"/>
  <c r="E7" i="86"/>
  <c r="H4" i="86"/>
  <c r="J3" i="86"/>
  <c r="H3" i="86"/>
  <c r="H4" i="85"/>
  <c r="J3" i="85"/>
  <c r="H3" i="85"/>
  <c r="E8" i="85"/>
  <c r="E9" i="85"/>
  <c r="E10" i="85"/>
  <c r="E11" i="85"/>
  <c r="E12" i="85"/>
  <c r="E13" i="85"/>
  <c r="E14" i="85"/>
  <c r="E15" i="85"/>
  <c r="E7" i="85"/>
  <c r="E8" i="84"/>
  <c r="E9" i="84"/>
  <c r="E10" i="84"/>
  <c r="E11" i="84"/>
  <c r="E12" i="84"/>
  <c r="E13" i="84"/>
  <c r="E14" i="84"/>
  <c r="E15" i="84"/>
  <c r="E7" i="84"/>
  <c r="H4" i="84"/>
  <c r="J3" i="84"/>
  <c r="H3" i="84"/>
  <c r="H4" i="83"/>
  <c r="J3" i="83"/>
  <c r="H3" i="83"/>
  <c r="E8" i="83"/>
  <c r="E9" i="83"/>
  <c r="E10" i="83"/>
  <c r="E11" i="83"/>
  <c r="E12" i="83"/>
  <c r="E13" i="83"/>
  <c r="E14" i="83"/>
  <c r="E15" i="83"/>
  <c r="E7" i="83"/>
  <c r="H4" i="82"/>
  <c r="H3" i="82"/>
  <c r="J3" i="82"/>
  <c r="E15" i="82"/>
  <c r="E9" i="82"/>
  <c r="E10" i="82"/>
  <c r="E11" i="82"/>
  <c r="E12" i="82"/>
  <c r="E13" i="82"/>
  <c r="E14" i="82"/>
  <c r="E8" i="82"/>
  <c r="E7" i="82"/>
  <c r="H9" i="76" l="1"/>
  <c r="J9" i="76"/>
  <c r="F12" i="88" l="1"/>
  <c r="F9" i="88"/>
  <c r="G7" i="86"/>
  <c r="G10" i="85"/>
  <c r="H10" i="85" s="1"/>
  <c r="G14" i="85"/>
  <c r="F15" i="84"/>
  <c r="F10" i="84"/>
  <c r="F14" i="84"/>
  <c r="G12" i="83"/>
  <c r="F15" i="82"/>
  <c r="F11" i="82"/>
  <c r="F8" i="82"/>
  <c r="F7" i="82"/>
  <c r="H3" i="3"/>
  <c r="H3" i="26"/>
  <c r="H4" i="3"/>
  <c r="G10" i="86" l="1"/>
  <c r="H10" i="86" s="1"/>
  <c r="G15" i="83"/>
  <c r="H15" i="83" s="1"/>
  <c r="G13" i="82"/>
  <c r="H13" i="82" s="1"/>
  <c r="G7" i="85"/>
  <c r="H7" i="85" s="1"/>
  <c r="G14" i="86"/>
  <c r="H14" i="86" s="1"/>
  <c r="G12" i="86"/>
  <c r="H12" i="86" s="1"/>
  <c r="G9" i="82"/>
  <c r="H9" i="82" s="1"/>
  <c r="G8" i="86"/>
  <c r="H8" i="86" s="1"/>
  <c r="F8" i="87"/>
  <c r="F8" i="84"/>
  <c r="F15" i="83"/>
  <c r="F9" i="85"/>
  <c r="F12" i="84"/>
  <c r="H12" i="83"/>
  <c r="F7" i="84"/>
  <c r="F13" i="84"/>
  <c r="F13" i="85"/>
  <c r="F11" i="84"/>
  <c r="F12" i="85"/>
  <c r="F12" i="82"/>
  <c r="F9" i="84"/>
  <c r="F8" i="85"/>
  <c r="H14" i="85"/>
  <c r="F13" i="87"/>
  <c r="F10" i="82"/>
  <c r="F14" i="82"/>
  <c r="G7" i="83"/>
  <c r="H7" i="83" s="1"/>
  <c r="G15" i="85"/>
  <c r="H15" i="85" s="1"/>
  <c r="F11" i="85"/>
  <c r="F15" i="85"/>
  <c r="F9" i="86"/>
  <c r="F13" i="86"/>
  <c r="F14" i="87"/>
  <c r="F10" i="88"/>
  <c r="G10" i="82"/>
  <c r="H10" i="82" s="1"/>
  <c r="G14" i="82"/>
  <c r="H14" i="82" s="1"/>
  <c r="G10" i="83"/>
  <c r="H10" i="83" s="1"/>
  <c r="G11" i="85"/>
  <c r="H11" i="85" s="1"/>
  <c r="G9" i="86"/>
  <c r="H9" i="86" s="1"/>
  <c r="G13" i="86"/>
  <c r="H13" i="86" s="1"/>
  <c r="G15" i="87"/>
  <c r="H15" i="87" s="1"/>
  <c r="F15" i="87"/>
  <c r="F11" i="88"/>
  <c r="F14" i="86"/>
  <c r="G7" i="82"/>
  <c r="H7" i="82" s="1"/>
  <c r="G11" i="82"/>
  <c r="H11" i="82" s="1"/>
  <c r="G15" i="82"/>
  <c r="H15" i="82" s="1"/>
  <c r="G8" i="83"/>
  <c r="H8" i="83" s="1"/>
  <c r="G15" i="84"/>
  <c r="H15" i="84" s="1"/>
  <c r="G8" i="85"/>
  <c r="H8" i="85" s="1"/>
  <c r="G12" i="85"/>
  <c r="H12" i="85" s="1"/>
  <c r="F9" i="87"/>
  <c r="F13" i="88"/>
  <c r="G11" i="83"/>
  <c r="H11" i="83" s="1"/>
  <c r="F7" i="86"/>
  <c r="F11" i="86"/>
  <c r="F15" i="86"/>
  <c r="F10" i="87"/>
  <c r="F14" i="88"/>
  <c r="F10" i="86"/>
  <c r="G8" i="82"/>
  <c r="H8" i="82" s="1"/>
  <c r="G12" i="82"/>
  <c r="H12" i="82" s="1"/>
  <c r="F14" i="83"/>
  <c r="G14" i="83"/>
  <c r="H14" i="83" s="1"/>
  <c r="G9" i="85"/>
  <c r="H9" i="85" s="1"/>
  <c r="G13" i="85"/>
  <c r="H13" i="85" s="1"/>
  <c r="H7" i="86"/>
  <c r="G11" i="86"/>
  <c r="H11" i="86" s="1"/>
  <c r="G15" i="86"/>
  <c r="H15" i="86" s="1"/>
  <c r="F11" i="87"/>
  <c r="G15" i="88"/>
  <c r="H15" i="88" s="1"/>
  <c r="F15" i="88"/>
  <c r="G13" i="83"/>
  <c r="H13" i="83" s="1"/>
  <c r="F9" i="82"/>
  <c r="F13" i="82"/>
  <c r="G9" i="83"/>
  <c r="H9" i="83" s="1"/>
  <c r="F10" i="85"/>
  <c r="F14" i="85"/>
  <c r="F8" i="86"/>
  <c r="F12" i="86"/>
  <c r="F12" i="87"/>
  <c r="F8" i="88"/>
  <c r="F7" i="88"/>
  <c r="F7" i="87"/>
  <c r="G7" i="88"/>
  <c r="H7" i="88" s="1"/>
  <c r="G8" i="88"/>
  <c r="H8" i="88" s="1"/>
  <c r="G9" i="88"/>
  <c r="H9" i="88" s="1"/>
  <c r="G10" i="88"/>
  <c r="H10" i="88" s="1"/>
  <c r="G11" i="88"/>
  <c r="H11" i="88" s="1"/>
  <c r="G12" i="88"/>
  <c r="H12" i="88" s="1"/>
  <c r="G13" i="88"/>
  <c r="H13" i="88" s="1"/>
  <c r="G14" i="88"/>
  <c r="H14" i="88" s="1"/>
  <c r="G7" i="87"/>
  <c r="H7" i="87" s="1"/>
  <c r="G8" i="87"/>
  <c r="H8" i="87" s="1"/>
  <c r="G9" i="87"/>
  <c r="H9" i="87" s="1"/>
  <c r="G10" i="87"/>
  <c r="H10" i="87" s="1"/>
  <c r="G11" i="87"/>
  <c r="H11" i="87" s="1"/>
  <c r="G12" i="87"/>
  <c r="H12" i="87" s="1"/>
  <c r="G13" i="87"/>
  <c r="H13" i="87" s="1"/>
  <c r="G14" i="87"/>
  <c r="H14" i="87" s="1"/>
  <c r="F7" i="85"/>
  <c r="G7" i="84"/>
  <c r="H7" i="84" s="1"/>
  <c r="G8" i="84"/>
  <c r="H8" i="84" s="1"/>
  <c r="G9" i="84"/>
  <c r="H9" i="84" s="1"/>
  <c r="G10" i="84"/>
  <c r="H10" i="84" s="1"/>
  <c r="G11" i="84"/>
  <c r="H11" i="84" s="1"/>
  <c r="G12" i="84"/>
  <c r="H12" i="84" s="1"/>
  <c r="G13" i="84"/>
  <c r="H13" i="84" s="1"/>
  <c r="G14" i="84"/>
  <c r="H14" i="84" s="1"/>
  <c r="F7" i="83"/>
  <c r="F8" i="83"/>
  <c r="F9" i="83"/>
  <c r="F10" i="83"/>
  <c r="F11" i="83"/>
  <c r="F12" i="83"/>
  <c r="F13" i="83"/>
  <c r="Q8" i="72"/>
  <c r="Q9" i="72"/>
  <c r="Q10" i="72"/>
  <c r="Q11" i="72"/>
  <c r="Q12" i="72"/>
  <c r="Q13" i="72"/>
  <c r="Q14" i="72"/>
  <c r="Q8" i="73"/>
  <c r="Q9" i="73"/>
  <c r="Q10" i="73"/>
  <c r="Q11" i="73"/>
  <c r="Q12" i="73"/>
  <c r="Q13" i="73"/>
  <c r="Q14" i="73"/>
  <c r="Q8" i="74"/>
  <c r="Q9" i="74"/>
  <c r="Q10" i="74"/>
  <c r="Q11" i="74"/>
  <c r="Q12" i="74"/>
  <c r="Q13" i="74"/>
  <c r="Q14" i="74"/>
  <c r="Q8" i="75"/>
  <c r="Q9" i="75"/>
  <c r="Q10" i="75"/>
  <c r="Q11" i="75"/>
  <c r="Q12" i="75"/>
  <c r="Q13" i="75"/>
  <c r="Q14" i="75"/>
  <c r="Q8" i="76"/>
  <c r="Q9" i="76"/>
  <c r="Q10" i="76"/>
  <c r="Q11" i="76"/>
  <c r="Q12" i="76"/>
  <c r="Q13" i="76"/>
  <c r="Q14" i="76"/>
  <c r="Q8" i="77"/>
  <c r="Q9" i="77"/>
  <c r="Q10" i="77"/>
  <c r="Q11" i="77"/>
  <c r="Q12" i="77"/>
  <c r="Q13" i="77"/>
  <c r="Q14" i="77"/>
  <c r="Q7" i="77"/>
  <c r="Q7" i="76"/>
  <c r="Q7" i="75"/>
  <c r="Q7" i="74"/>
  <c r="J3" i="74"/>
  <c r="Q7" i="73"/>
  <c r="Q7" i="72"/>
  <c r="J3" i="77"/>
  <c r="H4" i="77"/>
  <c r="H3" i="77"/>
  <c r="D41" i="77" s="1"/>
  <c r="J3" i="76"/>
  <c r="H4" i="76"/>
  <c r="H3" i="76"/>
  <c r="J3" i="75"/>
  <c r="H4" i="75"/>
  <c r="D25" i="75" s="1"/>
  <c r="H3" i="75"/>
  <c r="H4" i="74"/>
  <c r="H3" i="74"/>
  <c r="D38" i="74" s="1"/>
  <c r="J3" i="73"/>
  <c r="H4" i="73"/>
  <c r="H3" i="73"/>
  <c r="D22" i="73" s="1"/>
  <c r="J3" i="72"/>
  <c r="H4" i="72"/>
  <c r="D19" i="72" s="1"/>
  <c r="H3" i="72"/>
  <c r="J3" i="2"/>
  <c r="J3" i="5"/>
  <c r="D24" i="74" l="1"/>
  <c r="D26" i="74"/>
  <c r="L26" i="74" s="1"/>
  <c r="D19" i="74"/>
  <c r="D55" i="74"/>
  <c r="D53" i="77"/>
  <c r="D48" i="72"/>
  <c r="D54" i="73"/>
  <c r="L54" i="73" s="1"/>
  <c r="I45" i="79"/>
  <c r="D46" i="74"/>
  <c r="D35" i="73"/>
  <c r="D20" i="75"/>
  <c r="E20" i="75" s="1"/>
  <c r="D25" i="73"/>
  <c r="L25" i="73" s="1"/>
  <c r="D12" i="74"/>
  <c r="D20" i="74"/>
  <c r="D29" i="72"/>
  <c r="L29" i="72" s="1"/>
  <c r="D52" i="75"/>
  <c r="E52" i="75" s="1"/>
  <c r="I49" i="79"/>
  <c r="F42" i="79"/>
  <c r="H44" i="79"/>
  <c r="G43" i="79"/>
  <c r="E49" i="79"/>
  <c r="D48" i="79"/>
  <c r="D10" i="73"/>
  <c r="E10" i="73" s="1"/>
  <c r="D14" i="74"/>
  <c r="L14" i="74" s="1"/>
  <c r="D22" i="74"/>
  <c r="E22" i="74" s="1"/>
  <c r="D32" i="74"/>
  <c r="L32" i="74" s="1"/>
  <c r="D50" i="74"/>
  <c r="D42" i="79"/>
  <c r="G42" i="79"/>
  <c r="I48" i="79"/>
  <c r="I44" i="79"/>
  <c r="H43" i="79"/>
  <c r="G46" i="79"/>
  <c r="F49" i="79"/>
  <c r="F45" i="79"/>
  <c r="E48" i="79"/>
  <c r="E44" i="79"/>
  <c r="D47" i="79"/>
  <c r="D43" i="79"/>
  <c r="L19" i="72"/>
  <c r="L48" i="72"/>
  <c r="L20" i="75"/>
  <c r="L25" i="75"/>
  <c r="L52" i="75"/>
  <c r="H48" i="79"/>
  <c r="G47" i="79"/>
  <c r="F46" i="79"/>
  <c r="E45" i="79"/>
  <c r="D44" i="79"/>
  <c r="D45" i="72"/>
  <c r="L45" i="72" s="1"/>
  <c r="D16" i="74"/>
  <c r="D23" i="74"/>
  <c r="G23" i="74" s="1"/>
  <c r="H23" i="74" s="1"/>
  <c r="D35" i="74"/>
  <c r="D49" i="77"/>
  <c r="L22" i="74"/>
  <c r="L38" i="74"/>
  <c r="L46" i="74"/>
  <c r="L50" i="74"/>
  <c r="L19" i="74"/>
  <c r="L35" i="74"/>
  <c r="L55" i="74"/>
  <c r="L12" i="74"/>
  <c r="L16" i="74"/>
  <c r="L20" i="74"/>
  <c r="L24" i="74"/>
  <c r="L21" i="77"/>
  <c r="L41" i="77"/>
  <c r="L49" i="77"/>
  <c r="L53" i="77"/>
  <c r="E42" i="79"/>
  <c r="H42" i="79"/>
  <c r="I47" i="79"/>
  <c r="I43" i="79"/>
  <c r="H46" i="79"/>
  <c r="G49" i="79"/>
  <c r="G45" i="79"/>
  <c r="F48" i="79"/>
  <c r="F44" i="79"/>
  <c r="E47" i="79"/>
  <c r="E43" i="79"/>
  <c r="D46" i="79"/>
  <c r="L10" i="73"/>
  <c r="L22" i="73"/>
  <c r="L35" i="73"/>
  <c r="I42" i="79"/>
  <c r="I46" i="79"/>
  <c r="H45" i="79"/>
  <c r="G48" i="79"/>
  <c r="G44" i="79"/>
  <c r="F47" i="79"/>
  <c r="F43" i="79"/>
  <c r="E46" i="79"/>
  <c r="D49" i="79"/>
  <c r="D45" i="79"/>
  <c r="D21" i="77"/>
  <c r="D25" i="77"/>
  <c r="L25" i="77" s="1"/>
  <c r="G20" i="74"/>
  <c r="H20" i="74" s="1"/>
  <c r="D19" i="73"/>
  <c r="L19" i="73" s="1"/>
  <c r="D38" i="73"/>
  <c r="L38" i="73" s="1"/>
  <c r="D41" i="73"/>
  <c r="E41" i="73" s="1"/>
  <c r="D14" i="73"/>
  <c r="E14" i="73" s="1"/>
  <c r="D35" i="72"/>
  <c r="L35" i="72" s="1"/>
  <c r="D7" i="72"/>
  <c r="G7" i="72" s="1"/>
  <c r="D32" i="72"/>
  <c r="L32" i="72" s="1"/>
  <c r="D51" i="72"/>
  <c r="L51" i="72" s="1"/>
  <c r="D16" i="72"/>
  <c r="L16" i="72" s="1"/>
  <c r="E54" i="73"/>
  <c r="E19" i="72"/>
  <c r="E38" i="74"/>
  <c r="D54" i="72"/>
  <c r="L54" i="72" s="1"/>
  <c r="D50" i="72"/>
  <c r="L50" i="72" s="1"/>
  <c r="D46" i="72"/>
  <c r="D42" i="72"/>
  <c r="L42" i="72" s="1"/>
  <c r="D38" i="72"/>
  <c r="L38" i="72" s="1"/>
  <c r="D34" i="72"/>
  <c r="G35" i="72" s="1"/>
  <c r="D30" i="72"/>
  <c r="G30" i="72" s="1"/>
  <c r="D26" i="72"/>
  <c r="L26" i="72" s="1"/>
  <c r="D22" i="72"/>
  <c r="L22" i="72" s="1"/>
  <c r="D18" i="72"/>
  <c r="G19" i="72" s="1"/>
  <c r="D10" i="72"/>
  <c r="L10" i="72" s="1"/>
  <c r="D12" i="72"/>
  <c r="L12" i="72" s="1"/>
  <c r="D14" i="72"/>
  <c r="L14" i="72" s="1"/>
  <c r="D17" i="72"/>
  <c r="D20" i="72"/>
  <c r="G20" i="72" s="1"/>
  <c r="D23" i="72"/>
  <c r="L23" i="72" s="1"/>
  <c r="E29" i="72"/>
  <c r="D33" i="72"/>
  <c r="L33" i="72" s="1"/>
  <c r="D36" i="72"/>
  <c r="D39" i="72"/>
  <c r="L39" i="72" s="1"/>
  <c r="E45" i="72"/>
  <c r="E48" i="72"/>
  <c r="D49" i="72"/>
  <c r="G49" i="72" s="1"/>
  <c r="D52" i="72"/>
  <c r="G52" i="72" s="1"/>
  <c r="D55" i="72"/>
  <c r="L55" i="72" s="1"/>
  <c r="D9" i="73"/>
  <c r="G9" i="73" s="1"/>
  <c r="H9" i="73" s="1"/>
  <c r="D13" i="73"/>
  <c r="L13" i="73" s="1"/>
  <c r="E19" i="73"/>
  <c r="E22" i="73"/>
  <c r="D23" i="73"/>
  <c r="G23" i="73" s="1"/>
  <c r="D26" i="73"/>
  <c r="G26" i="73" s="1"/>
  <c r="D29" i="73"/>
  <c r="L29" i="73" s="1"/>
  <c r="E35" i="73"/>
  <c r="D39" i="73"/>
  <c r="G39" i="73" s="1"/>
  <c r="D42" i="73"/>
  <c r="L42" i="73" s="1"/>
  <c r="D45" i="73"/>
  <c r="L45" i="73" s="1"/>
  <c r="E12" i="74"/>
  <c r="E24" i="74"/>
  <c r="E26" i="74"/>
  <c r="E35" i="74"/>
  <c r="E46" i="74"/>
  <c r="E50" i="74"/>
  <c r="E55" i="74"/>
  <c r="E25" i="75"/>
  <c r="D53" i="76"/>
  <c r="D49" i="76"/>
  <c r="L49" i="76" s="1"/>
  <c r="D45" i="76"/>
  <c r="L45" i="76" s="1"/>
  <c r="D41" i="76"/>
  <c r="L41" i="76" s="1"/>
  <c r="D37" i="76"/>
  <c r="L37" i="76" s="1"/>
  <c r="D33" i="76"/>
  <c r="L33" i="76" s="1"/>
  <c r="D29" i="76"/>
  <c r="L29" i="76" s="1"/>
  <c r="D25" i="76"/>
  <c r="L25" i="76" s="1"/>
  <c r="D21" i="76"/>
  <c r="D54" i="76"/>
  <c r="L54" i="76" s="1"/>
  <c r="D50" i="76"/>
  <c r="L50" i="76" s="1"/>
  <c r="D46" i="76"/>
  <c r="G46" i="76" s="1"/>
  <c r="D42" i="76"/>
  <c r="D38" i="76"/>
  <c r="L38" i="76" s="1"/>
  <c r="D34" i="76"/>
  <c r="L34" i="76" s="1"/>
  <c r="D30" i="76"/>
  <c r="D26" i="76"/>
  <c r="D22" i="76"/>
  <c r="L22" i="76" s="1"/>
  <c r="D52" i="76"/>
  <c r="L52" i="76" s="1"/>
  <c r="D44" i="76"/>
  <c r="L44" i="76" s="1"/>
  <c r="D36" i="76"/>
  <c r="L36" i="76" s="1"/>
  <c r="D28" i="76"/>
  <c r="L28" i="76" s="1"/>
  <c r="L16" i="76"/>
  <c r="G7" i="76"/>
  <c r="D55" i="76"/>
  <c r="D47" i="76"/>
  <c r="L47" i="76" s="1"/>
  <c r="D39" i="76"/>
  <c r="L39" i="76" s="1"/>
  <c r="D31" i="76"/>
  <c r="D23" i="76"/>
  <c r="L23" i="76" s="1"/>
  <c r="L17" i="76"/>
  <c r="D48" i="76"/>
  <c r="D32" i="76"/>
  <c r="L14" i="76"/>
  <c r="L10" i="76"/>
  <c r="D43" i="76"/>
  <c r="L43" i="76" s="1"/>
  <c r="D27" i="76"/>
  <c r="G27" i="76" s="1"/>
  <c r="D19" i="76"/>
  <c r="L19" i="76" s="1"/>
  <c r="L13" i="76"/>
  <c r="D57" i="76"/>
  <c r="G57" i="76" s="1"/>
  <c r="D24" i="76"/>
  <c r="L24" i="76" s="1"/>
  <c r="D20" i="76"/>
  <c r="L20" i="76" s="1"/>
  <c r="D51" i="76"/>
  <c r="G51" i="76" s="1"/>
  <c r="L11" i="76"/>
  <c r="D21" i="72"/>
  <c r="L21" i="72" s="1"/>
  <c r="D24" i="72"/>
  <c r="D27" i="72"/>
  <c r="L27" i="72" s="1"/>
  <c r="D37" i="72"/>
  <c r="G37" i="72" s="1"/>
  <c r="D40" i="72"/>
  <c r="L40" i="72" s="1"/>
  <c r="D43" i="72"/>
  <c r="L43" i="72" s="1"/>
  <c r="D53" i="72"/>
  <c r="L53" i="72" s="1"/>
  <c r="D57" i="72"/>
  <c r="G57" i="72" s="1"/>
  <c r="D12" i="73"/>
  <c r="L12" i="73" s="1"/>
  <c r="D17" i="73"/>
  <c r="L17" i="73" s="1"/>
  <c r="D27" i="73"/>
  <c r="L27" i="73" s="1"/>
  <c r="D30" i="73"/>
  <c r="L30" i="73" s="1"/>
  <c r="D33" i="73"/>
  <c r="L33" i="73" s="1"/>
  <c r="D43" i="73"/>
  <c r="L43" i="73" s="1"/>
  <c r="D46" i="73"/>
  <c r="G46" i="73" s="1"/>
  <c r="D57" i="74"/>
  <c r="G57" i="74" s="1"/>
  <c r="D52" i="74"/>
  <c r="L52" i="74" s="1"/>
  <c r="D48" i="74"/>
  <c r="L48" i="74" s="1"/>
  <c r="D45" i="74"/>
  <c r="L45" i="74" s="1"/>
  <c r="D41" i="74"/>
  <c r="L41" i="74" s="1"/>
  <c r="D37" i="74"/>
  <c r="L37" i="74" s="1"/>
  <c r="D33" i="74"/>
  <c r="G33" i="74" s="1"/>
  <c r="D29" i="74"/>
  <c r="L29" i="74" s="1"/>
  <c r="D25" i="74"/>
  <c r="G25" i="74" s="1"/>
  <c r="D21" i="74"/>
  <c r="G21" i="74" s="1"/>
  <c r="D17" i="74"/>
  <c r="G17" i="74" s="1"/>
  <c r="D54" i="74"/>
  <c r="L54" i="74" s="1"/>
  <c r="D44" i="74"/>
  <c r="L44" i="74" s="1"/>
  <c r="D34" i="74"/>
  <c r="D31" i="74"/>
  <c r="L31" i="74" s="1"/>
  <c r="D28" i="74"/>
  <c r="L28" i="74" s="1"/>
  <c r="D18" i="74"/>
  <c r="G19" i="74" s="1"/>
  <c r="H19" i="74" s="1"/>
  <c r="D15" i="74"/>
  <c r="G15" i="74" s="1"/>
  <c r="D13" i="74"/>
  <c r="G13" i="74" s="1"/>
  <c r="D11" i="74"/>
  <c r="L11" i="74" s="1"/>
  <c r="D9" i="74"/>
  <c r="G9" i="74" s="1"/>
  <c r="H9" i="74" s="1"/>
  <c r="D7" i="74"/>
  <c r="G7" i="74" s="1"/>
  <c r="D43" i="74"/>
  <c r="L43" i="74" s="1"/>
  <c r="D40" i="74"/>
  <c r="L40" i="74" s="1"/>
  <c r="D30" i="74"/>
  <c r="L30" i="74" s="1"/>
  <c r="D27" i="74"/>
  <c r="G27" i="74" s="1"/>
  <c r="E14" i="74"/>
  <c r="E16" i="74"/>
  <c r="E19" i="74"/>
  <c r="E20" i="74"/>
  <c r="D47" i="74"/>
  <c r="G47" i="74" s="1"/>
  <c r="D49" i="74"/>
  <c r="G50" i="74" s="1"/>
  <c r="D51" i="74"/>
  <c r="G51" i="74" s="1"/>
  <c r="D53" i="74"/>
  <c r="G53" i="74" s="1"/>
  <c r="D53" i="75"/>
  <c r="G53" i="75" s="1"/>
  <c r="D45" i="75"/>
  <c r="L45" i="75" s="1"/>
  <c r="D37" i="75"/>
  <c r="L37" i="75" s="1"/>
  <c r="D29" i="75"/>
  <c r="L29" i="75" s="1"/>
  <c r="D21" i="75"/>
  <c r="G21" i="75" s="1"/>
  <c r="D57" i="75"/>
  <c r="G57" i="75" s="1"/>
  <c r="D48" i="75"/>
  <c r="L48" i="75" s="1"/>
  <c r="D40" i="75"/>
  <c r="L40" i="75" s="1"/>
  <c r="L32" i="75"/>
  <c r="D24" i="75"/>
  <c r="L24" i="75" s="1"/>
  <c r="D16" i="75"/>
  <c r="L16" i="75" s="1"/>
  <c r="D7" i="75"/>
  <c r="G7" i="75" s="1"/>
  <c r="D49" i="75"/>
  <c r="G49" i="75" s="1"/>
  <c r="D33" i="75"/>
  <c r="L33" i="75" s="1"/>
  <c r="D17" i="75"/>
  <c r="G17" i="75" s="1"/>
  <c r="D44" i="75"/>
  <c r="L44" i="75" s="1"/>
  <c r="D28" i="75"/>
  <c r="L28" i="75" s="1"/>
  <c r="D36" i="75"/>
  <c r="L36" i="75" s="1"/>
  <c r="L12" i="76"/>
  <c r="D40" i="76"/>
  <c r="G40" i="76" s="1"/>
  <c r="D9" i="72"/>
  <c r="G9" i="72" s="1"/>
  <c r="H9" i="72" s="1"/>
  <c r="D11" i="72"/>
  <c r="G11" i="72" s="1"/>
  <c r="D13" i="72"/>
  <c r="L13" i="72" s="1"/>
  <c r="D15" i="72"/>
  <c r="L15" i="72" s="1"/>
  <c r="D25" i="72"/>
  <c r="L25" i="72" s="1"/>
  <c r="D28" i="72"/>
  <c r="G29" i="72" s="1"/>
  <c r="D31" i="72"/>
  <c r="L31" i="72" s="1"/>
  <c r="D41" i="72"/>
  <c r="L41" i="72" s="1"/>
  <c r="D44" i="72"/>
  <c r="L44" i="72" s="1"/>
  <c r="D47" i="72"/>
  <c r="G47" i="72" s="1"/>
  <c r="D55" i="73"/>
  <c r="G55" i="73" s="1"/>
  <c r="D51" i="73"/>
  <c r="L51" i="73" s="1"/>
  <c r="D47" i="73"/>
  <c r="D57" i="73"/>
  <c r="G57" i="73" s="1"/>
  <c r="D53" i="73"/>
  <c r="G54" i="73" s="1"/>
  <c r="D50" i="73"/>
  <c r="L50" i="73" s="1"/>
  <c r="D44" i="73"/>
  <c r="L44" i="73" s="1"/>
  <c r="D40" i="73"/>
  <c r="G40" i="73" s="1"/>
  <c r="D36" i="73"/>
  <c r="G36" i="73" s="1"/>
  <c r="D32" i="73"/>
  <c r="L32" i="73" s="1"/>
  <c r="D28" i="73"/>
  <c r="D24" i="73"/>
  <c r="G24" i="73" s="1"/>
  <c r="D20" i="73"/>
  <c r="G20" i="73" s="1"/>
  <c r="D16" i="73"/>
  <c r="L16" i="73" s="1"/>
  <c r="D7" i="73"/>
  <c r="G7" i="73" s="1"/>
  <c r="D11" i="73"/>
  <c r="G11" i="73" s="1"/>
  <c r="D15" i="73"/>
  <c r="L15" i="73" s="1"/>
  <c r="D18" i="73"/>
  <c r="G18" i="73" s="1"/>
  <c r="D21" i="73"/>
  <c r="G22" i="73" s="1"/>
  <c r="H22" i="73" s="1"/>
  <c r="D31" i="73"/>
  <c r="G31" i="73" s="1"/>
  <c r="D34" i="73"/>
  <c r="G34" i="73" s="1"/>
  <c r="D37" i="73"/>
  <c r="G38" i="73" s="1"/>
  <c r="H38" i="73" s="1"/>
  <c r="D48" i="73"/>
  <c r="G48" i="73" s="1"/>
  <c r="D49" i="73"/>
  <c r="L49" i="73" s="1"/>
  <c r="D52" i="73"/>
  <c r="L52" i="73" s="1"/>
  <c r="D10" i="74"/>
  <c r="L10" i="74" s="1"/>
  <c r="D36" i="74"/>
  <c r="G36" i="74" s="1"/>
  <c r="D39" i="74"/>
  <c r="G39" i="74" s="1"/>
  <c r="D42" i="74"/>
  <c r="L42" i="74" s="1"/>
  <c r="D41" i="75"/>
  <c r="D35" i="76"/>
  <c r="G35" i="76" s="1"/>
  <c r="E41" i="77"/>
  <c r="D54" i="75"/>
  <c r="L54" i="75" s="1"/>
  <c r="E21" i="77"/>
  <c r="E49" i="77"/>
  <c r="E53" i="77"/>
  <c r="D9" i="75"/>
  <c r="G9" i="75" s="1"/>
  <c r="H9" i="75" s="1"/>
  <c r="D10" i="75"/>
  <c r="L10" i="75" s="1"/>
  <c r="D11" i="75"/>
  <c r="D12" i="75"/>
  <c r="L12" i="75" s="1"/>
  <c r="D13" i="75"/>
  <c r="L13" i="75" s="1"/>
  <c r="D14" i="75"/>
  <c r="L14" i="75" s="1"/>
  <c r="D15" i="75"/>
  <c r="D19" i="75"/>
  <c r="L19" i="75" s="1"/>
  <c r="D23" i="75"/>
  <c r="L23" i="75" s="1"/>
  <c r="D27" i="75"/>
  <c r="L27" i="75" s="1"/>
  <c r="D31" i="75"/>
  <c r="L31" i="75" s="1"/>
  <c r="D35" i="75"/>
  <c r="L35" i="75" s="1"/>
  <c r="D39" i="75"/>
  <c r="L39" i="75" s="1"/>
  <c r="D43" i="75"/>
  <c r="L43" i="75" s="1"/>
  <c r="D47" i="75"/>
  <c r="L47" i="75" s="1"/>
  <c r="D51" i="75"/>
  <c r="L51" i="75" s="1"/>
  <c r="D55" i="75"/>
  <c r="G55" i="75" s="1"/>
  <c r="D18" i="75"/>
  <c r="D22" i="75"/>
  <c r="L22" i="75" s="1"/>
  <c r="D26" i="75"/>
  <c r="G26" i="75" s="1"/>
  <c r="D30" i="75"/>
  <c r="G30" i="75" s="1"/>
  <c r="D34" i="75"/>
  <c r="L34" i="75" s="1"/>
  <c r="D38" i="75"/>
  <c r="D42" i="75"/>
  <c r="L42" i="75" s="1"/>
  <c r="D46" i="75"/>
  <c r="D50" i="75"/>
  <c r="L50" i="75" s="1"/>
  <c r="D10" i="77"/>
  <c r="L10" i="77" s="1"/>
  <c r="D7" i="77"/>
  <c r="G7" i="77" s="1"/>
  <c r="D37" i="77"/>
  <c r="L37" i="77" s="1"/>
  <c r="D17" i="77"/>
  <c r="L17" i="77" s="1"/>
  <c r="D33" i="77"/>
  <c r="L33" i="77" s="1"/>
  <c r="D54" i="77"/>
  <c r="G54" i="77" s="1"/>
  <c r="D50" i="77"/>
  <c r="G50" i="77" s="1"/>
  <c r="D46" i="77"/>
  <c r="L46" i="77" s="1"/>
  <c r="D42" i="77"/>
  <c r="G42" i="77" s="1"/>
  <c r="D38" i="77"/>
  <c r="L38" i="77" s="1"/>
  <c r="D34" i="77"/>
  <c r="L34" i="77" s="1"/>
  <c r="D30" i="77"/>
  <c r="L30" i="77" s="1"/>
  <c r="D26" i="77"/>
  <c r="D22" i="77"/>
  <c r="G22" i="77" s="1"/>
  <c r="D18" i="77"/>
  <c r="L18" i="77" s="1"/>
  <c r="D55" i="77"/>
  <c r="L55" i="77" s="1"/>
  <c r="D51" i="77"/>
  <c r="G51" i="77" s="1"/>
  <c r="D47" i="77"/>
  <c r="L47" i="77" s="1"/>
  <c r="D43" i="77"/>
  <c r="L43" i="77" s="1"/>
  <c r="D39" i="77"/>
  <c r="L39" i="77" s="1"/>
  <c r="D35" i="77"/>
  <c r="D31" i="77"/>
  <c r="L31" i="77" s="1"/>
  <c r="D27" i="77"/>
  <c r="L27" i="77" s="1"/>
  <c r="D23" i="77"/>
  <c r="L23" i="77" s="1"/>
  <c r="D19" i="77"/>
  <c r="G19" i="77" s="1"/>
  <c r="D15" i="77"/>
  <c r="L15" i="77" s="1"/>
  <c r="D14" i="77"/>
  <c r="D13" i="77"/>
  <c r="L13" i="77" s="1"/>
  <c r="D12" i="77"/>
  <c r="L12" i="77" s="1"/>
  <c r="D11" i="77"/>
  <c r="D57" i="77"/>
  <c r="G57" i="77" s="1"/>
  <c r="D52" i="77"/>
  <c r="G53" i="77" s="1"/>
  <c r="D48" i="77"/>
  <c r="D44" i="77"/>
  <c r="D40" i="77"/>
  <c r="L40" i="77" s="1"/>
  <c r="D36" i="77"/>
  <c r="L36" i="77" s="1"/>
  <c r="D32" i="77"/>
  <c r="D28" i="77"/>
  <c r="D24" i="77"/>
  <c r="L24" i="77" s="1"/>
  <c r="D20" i="77"/>
  <c r="L20" i="77" s="1"/>
  <c r="D16" i="77"/>
  <c r="D9" i="77"/>
  <c r="G9" i="77" s="1"/>
  <c r="H9" i="77" s="1"/>
  <c r="D29" i="77"/>
  <c r="L29" i="77" s="1"/>
  <c r="D45" i="77"/>
  <c r="L45" i="77" s="1"/>
  <c r="E15" i="25"/>
  <c r="E14" i="25"/>
  <c r="E9" i="25"/>
  <c r="E10" i="25"/>
  <c r="E11" i="25"/>
  <c r="E12" i="25"/>
  <c r="E13" i="25"/>
  <c r="E8" i="25"/>
  <c r="E7" i="25"/>
  <c r="E15" i="6"/>
  <c r="E9" i="6"/>
  <c r="E10" i="6"/>
  <c r="E11" i="6"/>
  <c r="E12" i="6"/>
  <c r="E13" i="6"/>
  <c r="E14" i="6"/>
  <c r="E8" i="6"/>
  <c r="E7" i="6"/>
  <c r="G42" i="76" l="1"/>
  <c r="E16" i="72"/>
  <c r="G48" i="77"/>
  <c r="L9" i="73"/>
  <c r="G16" i="77"/>
  <c r="G18" i="75"/>
  <c r="E32" i="74"/>
  <c r="E38" i="73"/>
  <c r="G36" i="72"/>
  <c r="G46" i="72"/>
  <c r="G32" i="77"/>
  <c r="G38" i="75"/>
  <c r="H38" i="75" s="1"/>
  <c r="G15" i="75"/>
  <c r="G28" i="73"/>
  <c r="G47" i="73"/>
  <c r="H47" i="73" s="1"/>
  <c r="G32" i="76"/>
  <c r="G30" i="76"/>
  <c r="E35" i="72"/>
  <c r="L18" i="72"/>
  <c r="E25" i="77"/>
  <c r="G26" i="76"/>
  <c r="G21" i="76"/>
  <c r="G53" i="76"/>
  <c r="G24" i="74"/>
  <c r="H24" i="74" s="1"/>
  <c r="L15" i="74"/>
  <c r="G44" i="77"/>
  <c r="G11" i="75"/>
  <c r="E25" i="73"/>
  <c r="L40" i="76"/>
  <c r="G41" i="75"/>
  <c r="E23" i="74"/>
  <c r="G31" i="76"/>
  <c r="H31" i="76" s="1"/>
  <c r="L32" i="76"/>
  <c r="L13" i="74"/>
  <c r="G28" i="77"/>
  <c r="L53" i="76"/>
  <c r="G35" i="77"/>
  <c r="G26" i="77"/>
  <c r="L7" i="76"/>
  <c r="L30" i="76"/>
  <c r="L42" i="76"/>
  <c r="L21" i="76"/>
  <c r="L27" i="76"/>
  <c r="L28" i="73"/>
  <c r="L11" i="73"/>
  <c r="L26" i="73"/>
  <c r="L57" i="77"/>
  <c r="L54" i="77"/>
  <c r="L22" i="77"/>
  <c r="L7" i="77"/>
  <c r="L9" i="77"/>
  <c r="L47" i="74"/>
  <c r="L57" i="75"/>
  <c r="L53" i="75"/>
  <c r="L21" i="75"/>
  <c r="L11" i="75"/>
  <c r="L26" i="75"/>
  <c r="L36" i="72"/>
  <c r="L47" i="72"/>
  <c r="G27" i="73"/>
  <c r="G55" i="76"/>
  <c r="L57" i="76"/>
  <c r="L55" i="76"/>
  <c r="L7" i="73"/>
  <c r="L41" i="73"/>
  <c r="L57" i="73"/>
  <c r="L40" i="73"/>
  <c r="L24" i="73"/>
  <c r="L55" i="73"/>
  <c r="L39" i="73"/>
  <c r="L23" i="73"/>
  <c r="L52" i="77"/>
  <c r="L51" i="77"/>
  <c r="L35" i="77"/>
  <c r="L19" i="77"/>
  <c r="L50" i="77"/>
  <c r="L7" i="74"/>
  <c r="L25" i="74"/>
  <c r="L9" i="74"/>
  <c r="L27" i="74"/>
  <c r="L49" i="75"/>
  <c r="L17" i="75"/>
  <c r="L55" i="75"/>
  <c r="L38" i="75"/>
  <c r="L7" i="72"/>
  <c r="L46" i="72"/>
  <c r="L28" i="72"/>
  <c r="L9" i="72"/>
  <c r="L11" i="72"/>
  <c r="G27" i="72"/>
  <c r="H27" i="72" s="1"/>
  <c r="G24" i="77"/>
  <c r="G40" i="77"/>
  <c r="G14" i="77"/>
  <c r="G18" i="77"/>
  <c r="G46" i="75"/>
  <c r="H46" i="75" s="1"/>
  <c r="G43" i="72"/>
  <c r="H43" i="72" s="1"/>
  <c r="G24" i="72"/>
  <c r="H24" i="72" s="1"/>
  <c r="G17" i="72"/>
  <c r="E7" i="72"/>
  <c r="L51" i="76"/>
  <c r="L26" i="76"/>
  <c r="L35" i="76"/>
  <c r="L53" i="73"/>
  <c r="L37" i="73"/>
  <c r="L21" i="73"/>
  <c r="L36" i="73"/>
  <c r="L20" i="73"/>
  <c r="L34" i="73"/>
  <c r="L18" i="73"/>
  <c r="L48" i="77"/>
  <c r="L32" i="77"/>
  <c r="L16" i="77"/>
  <c r="L14" i="77"/>
  <c r="L53" i="74"/>
  <c r="L21" i="74"/>
  <c r="L57" i="74"/>
  <c r="L39" i="74"/>
  <c r="L23" i="74"/>
  <c r="L7" i="75"/>
  <c r="L18" i="75"/>
  <c r="L57" i="72"/>
  <c r="L24" i="72"/>
  <c r="L52" i="72"/>
  <c r="L20" i="72"/>
  <c r="L34" i="72"/>
  <c r="L37" i="72"/>
  <c r="G23" i="76"/>
  <c r="G11" i="77"/>
  <c r="H11" i="77" s="1"/>
  <c r="G15" i="77"/>
  <c r="G31" i="77"/>
  <c r="G47" i="77"/>
  <c r="G38" i="77"/>
  <c r="G31" i="72"/>
  <c r="G13" i="72"/>
  <c r="H13" i="72" s="1"/>
  <c r="G34" i="74"/>
  <c r="H34" i="74" s="1"/>
  <c r="G40" i="72"/>
  <c r="G21" i="72"/>
  <c r="H21" i="72" s="1"/>
  <c r="G48" i="76"/>
  <c r="G39" i="76"/>
  <c r="G34" i="76"/>
  <c r="G50" i="76"/>
  <c r="H50" i="76" s="1"/>
  <c r="G42" i="73"/>
  <c r="H42" i="73" s="1"/>
  <c r="G29" i="73"/>
  <c r="H29" i="73" s="1"/>
  <c r="G38" i="72"/>
  <c r="L48" i="76"/>
  <c r="L18" i="76"/>
  <c r="L46" i="76"/>
  <c r="L9" i="76"/>
  <c r="L31" i="76"/>
  <c r="L15" i="76"/>
  <c r="L48" i="73"/>
  <c r="L47" i="73"/>
  <c r="L31" i="73"/>
  <c r="L46" i="73"/>
  <c r="L14" i="73"/>
  <c r="L44" i="77"/>
  <c r="L28" i="77"/>
  <c r="L11" i="77"/>
  <c r="L42" i="77"/>
  <c r="L26" i="77"/>
  <c r="L49" i="74"/>
  <c r="L33" i="74"/>
  <c r="L17" i="74"/>
  <c r="L36" i="74"/>
  <c r="L51" i="74"/>
  <c r="L34" i="74"/>
  <c r="L18" i="74"/>
  <c r="L46" i="75"/>
  <c r="L41" i="75"/>
  <c r="L9" i="75"/>
  <c r="L15" i="75"/>
  <c r="L30" i="75"/>
  <c r="L30" i="72"/>
  <c r="L49" i="72"/>
  <c r="L17" i="72"/>
  <c r="G27" i="77"/>
  <c r="G43" i="77"/>
  <c r="G34" i="77"/>
  <c r="H34" i="77" s="1"/>
  <c r="G37" i="77"/>
  <c r="H37" i="77" s="1"/>
  <c r="G12" i="77"/>
  <c r="G33" i="77"/>
  <c r="H33" i="77" s="1"/>
  <c r="G10" i="77"/>
  <c r="G25" i="77"/>
  <c r="H25" i="77" s="1"/>
  <c r="G45" i="77"/>
  <c r="G20" i="77"/>
  <c r="H20" i="77" s="1"/>
  <c r="G36" i="77"/>
  <c r="H36" i="77" s="1"/>
  <c r="G52" i="77"/>
  <c r="H52" i="77" s="1"/>
  <c r="G13" i="77"/>
  <c r="G23" i="77"/>
  <c r="H23" i="77" s="1"/>
  <c r="G39" i="77"/>
  <c r="G55" i="77"/>
  <c r="G30" i="77"/>
  <c r="G46" i="77"/>
  <c r="H46" i="77" s="1"/>
  <c r="G17" i="77"/>
  <c r="H17" i="77" s="1"/>
  <c r="G49" i="77"/>
  <c r="H49" i="77" s="1"/>
  <c r="G29" i="77"/>
  <c r="G21" i="77"/>
  <c r="H21" i="77" s="1"/>
  <c r="G41" i="77"/>
  <c r="H41" i="77" s="1"/>
  <c r="G25" i="76"/>
  <c r="G36" i="76"/>
  <c r="H36" i="76" s="1"/>
  <c r="G37" i="76"/>
  <c r="G44" i="76"/>
  <c r="H44" i="76" s="1"/>
  <c r="G41" i="76"/>
  <c r="G20" i="76"/>
  <c r="G52" i="76"/>
  <c r="H52" i="76" s="1"/>
  <c r="G29" i="76"/>
  <c r="G45" i="76"/>
  <c r="H45" i="76" s="1"/>
  <c r="G43" i="76"/>
  <c r="H43" i="76" s="1"/>
  <c r="G24" i="76"/>
  <c r="G19" i="76"/>
  <c r="G47" i="76"/>
  <c r="H47" i="76" s="1"/>
  <c r="G28" i="76"/>
  <c r="H28" i="76" s="1"/>
  <c r="G22" i="76"/>
  <c r="H22" i="76" s="1"/>
  <c r="G38" i="76"/>
  <c r="G54" i="76"/>
  <c r="G33" i="76"/>
  <c r="H33" i="76" s="1"/>
  <c r="G49" i="76"/>
  <c r="G22" i="75"/>
  <c r="G54" i="75"/>
  <c r="G44" i="75"/>
  <c r="H44" i="75" s="1"/>
  <c r="G50" i="75"/>
  <c r="H50" i="75" s="1"/>
  <c r="G39" i="75"/>
  <c r="G23" i="75"/>
  <c r="H23" i="75" s="1"/>
  <c r="G13" i="75"/>
  <c r="G36" i="75"/>
  <c r="H36" i="75" s="1"/>
  <c r="G33" i="75"/>
  <c r="H33" i="75" s="1"/>
  <c r="G45" i="75"/>
  <c r="H45" i="75" s="1"/>
  <c r="G42" i="75"/>
  <c r="H42" i="75" s="1"/>
  <c r="G51" i="75"/>
  <c r="H51" i="75" s="1"/>
  <c r="G35" i="75"/>
  <c r="G19" i="75"/>
  <c r="H19" i="75" s="1"/>
  <c r="G12" i="75"/>
  <c r="H12" i="75" s="1"/>
  <c r="G28" i="75"/>
  <c r="H28" i="75" s="1"/>
  <c r="G52" i="75"/>
  <c r="G31" i="75"/>
  <c r="H31" i="75" s="1"/>
  <c r="G40" i="75"/>
  <c r="H40" i="75" s="1"/>
  <c r="G29" i="75"/>
  <c r="G20" i="75"/>
  <c r="H20" i="75" s="1"/>
  <c r="G24" i="75"/>
  <c r="G47" i="75"/>
  <c r="H47" i="75" s="1"/>
  <c r="G34" i="75"/>
  <c r="H34" i="75" s="1"/>
  <c r="G43" i="75"/>
  <c r="G27" i="75"/>
  <c r="H27" i="75" s="1"/>
  <c r="G14" i="75"/>
  <c r="H14" i="75" s="1"/>
  <c r="G10" i="75"/>
  <c r="G16" i="75"/>
  <c r="H16" i="75" s="1"/>
  <c r="G48" i="75"/>
  <c r="G37" i="75"/>
  <c r="H37" i="75" s="1"/>
  <c r="G25" i="75"/>
  <c r="G40" i="74"/>
  <c r="H40" i="74" s="1"/>
  <c r="G45" i="74"/>
  <c r="H45" i="74" s="1"/>
  <c r="G26" i="74"/>
  <c r="H26" i="74" s="1"/>
  <c r="G10" i="74"/>
  <c r="H10" i="74" s="1"/>
  <c r="G31" i="74"/>
  <c r="H31" i="74" s="1"/>
  <c r="G42" i="74"/>
  <c r="H42" i="74" s="1"/>
  <c r="G37" i="74"/>
  <c r="H37" i="74" s="1"/>
  <c r="G52" i="74"/>
  <c r="H52" i="74" s="1"/>
  <c r="G22" i="74"/>
  <c r="G35" i="74"/>
  <c r="H35" i="74" s="1"/>
  <c r="G49" i="74"/>
  <c r="H49" i="74" s="1"/>
  <c r="G30" i="74"/>
  <c r="H30" i="74" s="1"/>
  <c r="G18" i="74"/>
  <c r="H18" i="74" s="1"/>
  <c r="G44" i="74"/>
  <c r="H44" i="74" s="1"/>
  <c r="G41" i="74"/>
  <c r="G38" i="74"/>
  <c r="H38" i="74" s="1"/>
  <c r="G16" i="74"/>
  <c r="H16" i="74" s="1"/>
  <c r="G32" i="74"/>
  <c r="H32" i="74" s="1"/>
  <c r="G11" i="74"/>
  <c r="H11" i="74" s="1"/>
  <c r="G28" i="74"/>
  <c r="H28" i="74" s="1"/>
  <c r="G54" i="74"/>
  <c r="G29" i="74"/>
  <c r="H29" i="74" s="1"/>
  <c r="G46" i="74"/>
  <c r="G12" i="74"/>
  <c r="H12" i="74" s="1"/>
  <c r="G43" i="74"/>
  <c r="G48" i="74"/>
  <c r="H48" i="74" s="1"/>
  <c r="G55" i="74"/>
  <c r="H55" i="74" s="1"/>
  <c r="G14" i="74"/>
  <c r="H14" i="74" s="1"/>
  <c r="G52" i="73"/>
  <c r="H52" i="73" s="1"/>
  <c r="G15" i="73"/>
  <c r="H15" i="73" s="1"/>
  <c r="G14" i="73"/>
  <c r="G44" i="73"/>
  <c r="G25" i="73"/>
  <c r="H25" i="73" s="1"/>
  <c r="G49" i="73"/>
  <c r="H49" i="73" s="1"/>
  <c r="G33" i="73"/>
  <c r="H33" i="73" s="1"/>
  <c r="G17" i="73"/>
  <c r="H17" i="73" s="1"/>
  <c r="G35" i="73"/>
  <c r="H35" i="73" s="1"/>
  <c r="G30" i="73"/>
  <c r="H30" i="73" s="1"/>
  <c r="G12" i="73"/>
  <c r="G13" i="73"/>
  <c r="H13" i="73" s="1"/>
  <c r="G53" i="73"/>
  <c r="H53" i="73" s="1"/>
  <c r="G21" i="73"/>
  <c r="H21" i="73" s="1"/>
  <c r="G37" i="73"/>
  <c r="H37" i="73" s="1"/>
  <c r="G16" i="73"/>
  <c r="G32" i="73"/>
  <c r="H32" i="73" s="1"/>
  <c r="G50" i="73"/>
  <c r="H50" i="73" s="1"/>
  <c r="G51" i="73"/>
  <c r="G43" i="73"/>
  <c r="H43" i="73" s="1"/>
  <c r="G45" i="73"/>
  <c r="H45" i="73" s="1"/>
  <c r="G41" i="73"/>
  <c r="H41" i="73" s="1"/>
  <c r="G10" i="73"/>
  <c r="H10" i="73" s="1"/>
  <c r="G19" i="73"/>
  <c r="H19" i="73" s="1"/>
  <c r="G14" i="72"/>
  <c r="H14" i="72" s="1"/>
  <c r="G44" i="72"/>
  <c r="H44" i="72" s="1"/>
  <c r="G25" i="72"/>
  <c r="G39" i="72"/>
  <c r="H39" i="72" s="1"/>
  <c r="G28" i="72"/>
  <c r="G54" i="72"/>
  <c r="H54" i="72" s="1"/>
  <c r="G32" i="72"/>
  <c r="H32" i="72" s="1"/>
  <c r="G41" i="72"/>
  <c r="H41" i="72" s="1"/>
  <c r="G15" i="72"/>
  <c r="H15" i="72" s="1"/>
  <c r="G23" i="72"/>
  <c r="G12" i="72"/>
  <c r="G26" i="72"/>
  <c r="H26" i="72" s="1"/>
  <c r="G42" i="72"/>
  <c r="G22" i="72"/>
  <c r="H22" i="72" s="1"/>
  <c r="G53" i="72"/>
  <c r="H53" i="72" s="1"/>
  <c r="G33" i="72"/>
  <c r="H33" i="72" s="1"/>
  <c r="G10" i="72"/>
  <c r="I47" i="72" s="1"/>
  <c r="G16" i="72"/>
  <c r="H16" i="72" s="1"/>
  <c r="G48" i="72"/>
  <c r="H48" i="72" s="1"/>
  <c r="G55" i="72"/>
  <c r="H55" i="72" s="1"/>
  <c r="E32" i="72"/>
  <c r="G18" i="72"/>
  <c r="H18" i="72" s="1"/>
  <c r="G34" i="72"/>
  <c r="H34" i="72" s="1"/>
  <c r="G50" i="72"/>
  <c r="H50" i="72" s="1"/>
  <c r="E51" i="72"/>
  <c r="G51" i="72"/>
  <c r="H51" i="72" s="1"/>
  <c r="G45" i="72"/>
  <c r="H45" i="72" s="1"/>
  <c r="H45" i="77"/>
  <c r="E45" i="77"/>
  <c r="E20" i="77"/>
  <c r="E36" i="77"/>
  <c r="E52" i="77"/>
  <c r="E13" i="77"/>
  <c r="H13" i="77"/>
  <c r="E23" i="77"/>
  <c r="E39" i="77"/>
  <c r="H39" i="77"/>
  <c r="E55" i="77"/>
  <c r="H55" i="77"/>
  <c r="H30" i="77"/>
  <c r="E30" i="77"/>
  <c r="E46" i="77"/>
  <c r="E17" i="77"/>
  <c r="E50" i="75"/>
  <c r="E34" i="75"/>
  <c r="H18" i="75"/>
  <c r="E18" i="75"/>
  <c r="E43" i="75"/>
  <c r="H43" i="75"/>
  <c r="E27" i="75"/>
  <c r="E14" i="75"/>
  <c r="E10" i="75"/>
  <c r="H10" i="75"/>
  <c r="H39" i="74"/>
  <c r="E39" i="74"/>
  <c r="E52" i="73"/>
  <c r="H34" i="73"/>
  <c r="E34" i="73"/>
  <c r="E15" i="73"/>
  <c r="E20" i="73"/>
  <c r="H20" i="73"/>
  <c r="E36" i="73"/>
  <c r="H36" i="73"/>
  <c r="E53" i="73"/>
  <c r="E55" i="73"/>
  <c r="H55" i="73"/>
  <c r="E31" i="72"/>
  <c r="H31" i="72"/>
  <c r="E13" i="72"/>
  <c r="H17" i="75"/>
  <c r="E17" i="75"/>
  <c r="E16" i="75"/>
  <c r="E48" i="75"/>
  <c r="H48" i="75"/>
  <c r="E37" i="75"/>
  <c r="H51" i="74"/>
  <c r="E51" i="74"/>
  <c r="E27" i="74"/>
  <c r="H27" i="74"/>
  <c r="E7" i="74"/>
  <c r="H15" i="74"/>
  <c r="E15" i="74"/>
  <c r="E34" i="74"/>
  <c r="E21" i="74"/>
  <c r="H21" i="74"/>
  <c r="E37" i="74"/>
  <c r="E52" i="74"/>
  <c r="E53" i="72"/>
  <c r="H37" i="72"/>
  <c r="E37" i="72"/>
  <c r="E21" i="72"/>
  <c r="H20" i="76"/>
  <c r="E20" i="76"/>
  <c r="H48" i="76"/>
  <c r="E48" i="76"/>
  <c r="E39" i="76"/>
  <c r="H39" i="76"/>
  <c r="E52" i="76"/>
  <c r="E34" i="76"/>
  <c r="H34" i="76"/>
  <c r="E50" i="76"/>
  <c r="H29" i="76"/>
  <c r="E29" i="76"/>
  <c r="E45" i="76"/>
  <c r="H39" i="73"/>
  <c r="E39" i="73"/>
  <c r="H26" i="73"/>
  <c r="E26" i="73"/>
  <c r="E55" i="72"/>
  <c r="H17" i="72"/>
  <c r="E17" i="72"/>
  <c r="E18" i="72"/>
  <c r="E34" i="72"/>
  <c r="E50" i="72"/>
  <c r="I23" i="72"/>
  <c r="I9" i="72"/>
  <c r="H7" i="72"/>
  <c r="I20" i="72"/>
  <c r="I7" i="72"/>
  <c r="H29" i="77"/>
  <c r="E29" i="77"/>
  <c r="E24" i="77"/>
  <c r="H24" i="77"/>
  <c r="E40" i="77"/>
  <c r="H40" i="77"/>
  <c r="E57" i="77"/>
  <c r="H57" i="77"/>
  <c r="E14" i="77"/>
  <c r="H14" i="77"/>
  <c r="E27" i="77"/>
  <c r="H27" i="77"/>
  <c r="E43" i="77"/>
  <c r="H43" i="77"/>
  <c r="H18" i="77"/>
  <c r="E18" i="77"/>
  <c r="E34" i="77"/>
  <c r="H50" i="77"/>
  <c r="E50" i="77"/>
  <c r="E37" i="77"/>
  <c r="E46" i="75"/>
  <c r="H30" i="75"/>
  <c r="E30" i="75"/>
  <c r="E55" i="75"/>
  <c r="H55" i="75"/>
  <c r="E39" i="75"/>
  <c r="H39" i="75"/>
  <c r="E23" i="75"/>
  <c r="E13" i="75"/>
  <c r="H13" i="75"/>
  <c r="E9" i="75"/>
  <c r="E35" i="76"/>
  <c r="H35" i="76"/>
  <c r="H36" i="74"/>
  <c r="E36" i="74"/>
  <c r="E49" i="73"/>
  <c r="H31" i="73"/>
  <c r="E31" i="73"/>
  <c r="H11" i="73"/>
  <c r="E11" i="73"/>
  <c r="E24" i="73"/>
  <c r="H24" i="73"/>
  <c r="E40" i="73"/>
  <c r="H40" i="73"/>
  <c r="E57" i="73"/>
  <c r="H57" i="73"/>
  <c r="E47" i="72"/>
  <c r="H47" i="72"/>
  <c r="H28" i="72"/>
  <c r="E28" i="72"/>
  <c r="E11" i="72"/>
  <c r="H11" i="72"/>
  <c r="E36" i="75"/>
  <c r="E33" i="75"/>
  <c r="E24" i="75"/>
  <c r="H24" i="75"/>
  <c r="E57" i="75"/>
  <c r="H57" i="75"/>
  <c r="E45" i="75"/>
  <c r="E49" i="74"/>
  <c r="E30" i="74"/>
  <c r="E9" i="74"/>
  <c r="E18" i="74"/>
  <c r="E44" i="74"/>
  <c r="H25" i="74"/>
  <c r="E25" i="74"/>
  <c r="H41" i="74"/>
  <c r="E41" i="74"/>
  <c r="H57" i="74"/>
  <c r="E57" i="74"/>
  <c r="E33" i="73"/>
  <c r="E17" i="73"/>
  <c r="H35" i="72"/>
  <c r="H24" i="76"/>
  <c r="E24" i="76"/>
  <c r="H19" i="76"/>
  <c r="E19" i="76"/>
  <c r="E47" i="76"/>
  <c r="E28" i="76"/>
  <c r="E22" i="76"/>
  <c r="E38" i="76"/>
  <c r="H38" i="76"/>
  <c r="E54" i="76"/>
  <c r="H54" i="76"/>
  <c r="E33" i="76"/>
  <c r="H49" i="76"/>
  <c r="E49" i="76"/>
  <c r="H25" i="75"/>
  <c r="H23" i="73"/>
  <c r="E23" i="73"/>
  <c r="E13" i="73"/>
  <c r="H52" i="72"/>
  <c r="E52" i="72"/>
  <c r="E39" i="72"/>
  <c r="E14" i="72"/>
  <c r="E22" i="72"/>
  <c r="H38" i="72"/>
  <c r="E38" i="72"/>
  <c r="E54" i="72"/>
  <c r="H19" i="72"/>
  <c r="E9" i="77"/>
  <c r="E28" i="77"/>
  <c r="H28" i="77"/>
  <c r="E44" i="77"/>
  <c r="H44" i="77"/>
  <c r="E11" i="77"/>
  <c r="E15" i="77"/>
  <c r="H15" i="77"/>
  <c r="E31" i="77"/>
  <c r="H31" i="77"/>
  <c r="E47" i="77"/>
  <c r="H47" i="77"/>
  <c r="H22" i="77"/>
  <c r="E22" i="77"/>
  <c r="H38" i="77"/>
  <c r="E38" i="77"/>
  <c r="H54" i="77"/>
  <c r="E54" i="77"/>
  <c r="E7" i="77"/>
  <c r="E42" i="75"/>
  <c r="H26" i="75"/>
  <c r="E26" i="75"/>
  <c r="E51" i="75"/>
  <c r="E35" i="75"/>
  <c r="H35" i="75"/>
  <c r="E19" i="75"/>
  <c r="E12" i="75"/>
  <c r="H54" i="75"/>
  <c r="E54" i="75"/>
  <c r="H41" i="75"/>
  <c r="E41" i="75"/>
  <c r="H22" i="74"/>
  <c r="E48" i="73"/>
  <c r="H48" i="73"/>
  <c r="E21" i="73"/>
  <c r="E7" i="73"/>
  <c r="H28" i="73"/>
  <c r="E28" i="73"/>
  <c r="H44" i="73"/>
  <c r="E44" i="73"/>
  <c r="E47" i="73"/>
  <c r="E44" i="72"/>
  <c r="H25" i="72"/>
  <c r="E25" i="72"/>
  <c r="E9" i="72"/>
  <c r="E28" i="75"/>
  <c r="H49" i="75"/>
  <c r="E49" i="75"/>
  <c r="H21" i="75"/>
  <c r="E21" i="75"/>
  <c r="H53" i="75"/>
  <c r="E53" i="75"/>
  <c r="H47" i="74"/>
  <c r="E47" i="74"/>
  <c r="E40" i="74"/>
  <c r="E11" i="74"/>
  <c r="E28" i="74"/>
  <c r="E54" i="74"/>
  <c r="H54" i="74"/>
  <c r="E29" i="74"/>
  <c r="E45" i="74"/>
  <c r="E46" i="73"/>
  <c r="H46" i="73"/>
  <c r="E30" i="73"/>
  <c r="H12" i="73"/>
  <c r="E12" i="73"/>
  <c r="E43" i="72"/>
  <c r="E27" i="72"/>
  <c r="H57" i="76"/>
  <c r="E57" i="76"/>
  <c r="E27" i="76"/>
  <c r="H27" i="76"/>
  <c r="E23" i="76"/>
  <c r="H23" i="76"/>
  <c r="E55" i="76"/>
  <c r="H55" i="76"/>
  <c r="E36" i="76"/>
  <c r="E26" i="76"/>
  <c r="H26" i="76"/>
  <c r="E42" i="76"/>
  <c r="H42" i="76"/>
  <c r="H21" i="76"/>
  <c r="E21" i="76"/>
  <c r="H37" i="76"/>
  <c r="E37" i="76"/>
  <c r="H53" i="76"/>
  <c r="E53" i="76"/>
  <c r="E45" i="73"/>
  <c r="H49" i="72"/>
  <c r="E49" i="72"/>
  <c r="H36" i="72"/>
  <c r="E36" i="72"/>
  <c r="E23" i="72"/>
  <c r="H23" i="72"/>
  <c r="E12" i="72"/>
  <c r="H12" i="72"/>
  <c r="E26" i="72"/>
  <c r="H42" i="72"/>
  <c r="E42" i="72"/>
  <c r="H50" i="74"/>
  <c r="H29" i="72"/>
  <c r="E16" i="77"/>
  <c r="H16" i="77"/>
  <c r="E32" i="77"/>
  <c r="H32" i="77"/>
  <c r="E48" i="77"/>
  <c r="H48" i="77"/>
  <c r="E12" i="77"/>
  <c r="H12" i="77"/>
  <c r="E19" i="77"/>
  <c r="H19" i="77"/>
  <c r="E35" i="77"/>
  <c r="H35" i="77"/>
  <c r="E51" i="77"/>
  <c r="H51" i="77"/>
  <c r="H26" i="77"/>
  <c r="E26" i="77"/>
  <c r="H42" i="77"/>
  <c r="E42" i="77"/>
  <c r="E33" i="77"/>
  <c r="E10" i="77"/>
  <c r="H10" i="77"/>
  <c r="E38" i="75"/>
  <c r="H22" i="75"/>
  <c r="E22" i="75"/>
  <c r="E47" i="75"/>
  <c r="E31" i="75"/>
  <c r="E15" i="75"/>
  <c r="H15" i="75"/>
  <c r="E11" i="75"/>
  <c r="H11" i="75"/>
  <c r="H53" i="77"/>
  <c r="E42" i="74"/>
  <c r="E10" i="74"/>
  <c r="E37" i="73"/>
  <c r="H18" i="73"/>
  <c r="E18" i="73"/>
  <c r="H16" i="73"/>
  <c r="E16" i="73"/>
  <c r="E32" i="73"/>
  <c r="E50" i="73"/>
  <c r="H51" i="73"/>
  <c r="E51" i="73"/>
  <c r="E41" i="72"/>
  <c r="E15" i="72"/>
  <c r="H40" i="76"/>
  <c r="E40" i="76"/>
  <c r="E44" i="75"/>
  <c r="E7" i="75"/>
  <c r="E40" i="75"/>
  <c r="H29" i="75"/>
  <c r="E29" i="75"/>
  <c r="E53" i="74"/>
  <c r="H53" i="74"/>
  <c r="E43" i="74"/>
  <c r="H43" i="74"/>
  <c r="H13" i="74"/>
  <c r="E13" i="74"/>
  <c r="E31" i="74"/>
  <c r="H17" i="74"/>
  <c r="E17" i="74"/>
  <c r="E33" i="74"/>
  <c r="H33" i="74"/>
  <c r="E48" i="74"/>
  <c r="E43" i="73"/>
  <c r="H27" i="73"/>
  <c r="E27" i="73"/>
  <c r="E57" i="72"/>
  <c r="H57" i="72"/>
  <c r="E40" i="72"/>
  <c r="H40" i="72"/>
  <c r="E24" i="72"/>
  <c r="E51" i="76"/>
  <c r="H51" i="76"/>
  <c r="E43" i="76"/>
  <c r="H32" i="76"/>
  <c r="E32" i="76"/>
  <c r="E31" i="76"/>
  <c r="E7" i="76"/>
  <c r="E44" i="76"/>
  <c r="E30" i="76"/>
  <c r="H30" i="76"/>
  <c r="E46" i="76"/>
  <c r="H46" i="76"/>
  <c r="H25" i="76"/>
  <c r="E25" i="76"/>
  <c r="H41" i="76"/>
  <c r="E41" i="76"/>
  <c r="H52" i="75"/>
  <c r="E42" i="73"/>
  <c r="E29" i="73"/>
  <c r="E9" i="73"/>
  <c r="E33" i="72"/>
  <c r="H20" i="72"/>
  <c r="E20" i="72"/>
  <c r="E10" i="72"/>
  <c r="E30" i="72"/>
  <c r="H30" i="72"/>
  <c r="E46" i="72"/>
  <c r="H46" i="72"/>
  <c r="H46" i="74"/>
  <c r="H14" i="73"/>
  <c r="H54" i="73"/>
  <c r="Q8" i="26"/>
  <c r="E21" i="79" s="1"/>
  <c r="Q9" i="26"/>
  <c r="Q10" i="26"/>
  <c r="Q11" i="26"/>
  <c r="Q12" i="26"/>
  <c r="Q13" i="26"/>
  <c r="Q14" i="26"/>
  <c r="Q8" i="27"/>
  <c r="Q9" i="27"/>
  <c r="Q10" i="27"/>
  <c r="Q11" i="27"/>
  <c r="Q12" i="27"/>
  <c r="Q13" i="27"/>
  <c r="Q14" i="27"/>
  <c r="Q8" i="28"/>
  <c r="Q9" i="28"/>
  <c r="Q10" i="28"/>
  <c r="Q11" i="28"/>
  <c r="Q12" i="28"/>
  <c r="Q13" i="28"/>
  <c r="Q14" i="28"/>
  <c r="Q8" i="29"/>
  <c r="Q9" i="29"/>
  <c r="Q10" i="29"/>
  <c r="Q11" i="29"/>
  <c r="Q12" i="29"/>
  <c r="Q13" i="29"/>
  <c r="Q14" i="29"/>
  <c r="Q8" i="30"/>
  <c r="Q9" i="30"/>
  <c r="Q10" i="30"/>
  <c r="Q11" i="30"/>
  <c r="Q12" i="30"/>
  <c r="I25" i="79" s="1"/>
  <c r="Q13" i="30"/>
  <c r="Q14" i="30"/>
  <c r="Q8" i="31"/>
  <c r="Q9" i="31"/>
  <c r="Q10" i="31"/>
  <c r="Q11" i="31"/>
  <c r="Q12" i="31"/>
  <c r="Q13" i="31"/>
  <c r="J26" i="79" s="1"/>
  <c r="Q14" i="31"/>
  <c r="Q8" i="32"/>
  <c r="Q9" i="32"/>
  <c r="Q10" i="32"/>
  <c r="Q11" i="32"/>
  <c r="Q12" i="32"/>
  <c r="Q13" i="32"/>
  <c r="Q14" i="32"/>
  <c r="Q8" i="33"/>
  <c r="Q9" i="33"/>
  <c r="Q10" i="33"/>
  <c r="Q11" i="33"/>
  <c r="Q12" i="33"/>
  <c r="Q13" i="33"/>
  <c r="Q14" i="33"/>
  <c r="Q8" i="34"/>
  <c r="D32" i="79" s="1"/>
  <c r="Q9" i="34"/>
  <c r="Q10" i="34"/>
  <c r="Q11" i="34"/>
  <c r="Q12" i="34"/>
  <c r="Q13" i="34"/>
  <c r="Q14" i="34"/>
  <c r="Q8" i="35"/>
  <c r="Q9" i="35"/>
  <c r="Q10" i="35"/>
  <c r="Q11" i="35"/>
  <c r="Q12" i="35"/>
  <c r="Q13" i="35"/>
  <c r="Q14" i="35"/>
  <c r="Q8" i="36"/>
  <c r="Q9" i="36"/>
  <c r="Q10" i="36"/>
  <c r="Q11" i="36"/>
  <c r="Q12" i="36"/>
  <c r="Q13" i="36"/>
  <c r="Q14" i="36"/>
  <c r="Q8" i="37"/>
  <c r="Q9" i="37"/>
  <c r="Q10" i="37"/>
  <c r="Q11" i="37"/>
  <c r="G35" i="79" s="1"/>
  <c r="Q12" i="37"/>
  <c r="Q13" i="37"/>
  <c r="Q14" i="37"/>
  <c r="Q8" i="3"/>
  <c r="D21" i="79" s="1"/>
  <c r="Q9" i="3"/>
  <c r="D22" i="79" s="1"/>
  <c r="Q10" i="3"/>
  <c r="D23" i="79" s="1"/>
  <c r="Q11" i="3"/>
  <c r="D24" i="79" s="1"/>
  <c r="Q12" i="3"/>
  <c r="D25" i="79" s="1"/>
  <c r="Q13" i="3"/>
  <c r="D26" i="79" s="1"/>
  <c r="Q14" i="3"/>
  <c r="D27" i="79" s="1"/>
  <c r="Q7" i="37"/>
  <c r="Q7" i="36"/>
  <c r="Q7" i="35"/>
  <c r="Q7" i="34"/>
  <c r="Q7" i="33"/>
  <c r="Q7" i="32"/>
  <c r="Q7" i="31"/>
  <c r="Q7" i="30"/>
  <c r="Q7" i="29"/>
  <c r="Q7" i="28"/>
  <c r="Q7" i="27"/>
  <c r="Q7" i="26"/>
  <c r="Q7" i="3"/>
  <c r="Q8" i="5"/>
  <c r="Q9" i="5"/>
  <c r="Q10" i="5"/>
  <c r="Q11" i="5"/>
  <c r="Q12" i="5"/>
  <c r="Q13" i="5"/>
  <c r="Q14" i="5"/>
  <c r="Q7" i="5"/>
  <c r="Q8" i="2"/>
  <c r="Q9" i="2"/>
  <c r="Q10" i="2"/>
  <c r="Q11" i="2"/>
  <c r="Q12" i="2"/>
  <c r="Q13" i="2"/>
  <c r="Q14" i="2"/>
  <c r="Q7" i="2"/>
  <c r="J3" i="37"/>
  <c r="J3" i="36"/>
  <c r="J3" i="35"/>
  <c r="J3" i="34"/>
  <c r="J3" i="33"/>
  <c r="J3" i="32"/>
  <c r="J3" i="31"/>
  <c r="J3" i="30"/>
  <c r="J3" i="29"/>
  <c r="J3" i="28"/>
  <c r="J3" i="27"/>
  <c r="J3" i="26"/>
  <c r="J3" i="3"/>
  <c r="J3" i="25"/>
  <c r="F7" i="25" s="1"/>
  <c r="J3" i="6"/>
  <c r="F8" i="6" s="1"/>
  <c r="H4" i="37"/>
  <c r="H4" i="36"/>
  <c r="H4" i="35"/>
  <c r="H4" i="34"/>
  <c r="H4" i="33"/>
  <c r="H4" i="32"/>
  <c r="H4" i="31"/>
  <c r="H4" i="30"/>
  <c r="H4" i="29"/>
  <c r="H4" i="28"/>
  <c r="H4" i="27"/>
  <c r="H4" i="26"/>
  <c r="H4" i="25"/>
  <c r="H4" i="6"/>
  <c r="H4" i="5"/>
  <c r="H4" i="2"/>
  <c r="H3" i="37"/>
  <c r="H3" i="36"/>
  <c r="H3" i="35"/>
  <c r="H3" i="34"/>
  <c r="H3" i="33"/>
  <c r="H3" i="32"/>
  <c r="H3" i="31"/>
  <c r="H3" i="30"/>
  <c r="H3" i="29"/>
  <c r="H3" i="28"/>
  <c r="H3" i="27"/>
  <c r="H3" i="25"/>
  <c r="H3" i="6"/>
  <c r="H3" i="5"/>
  <c r="H3" i="2"/>
  <c r="I35" i="72" l="1"/>
  <c r="I36" i="72"/>
  <c r="I28" i="72"/>
  <c r="J28" i="72" s="1"/>
  <c r="I49" i="72"/>
  <c r="F49" i="72" s="1"/>
  <c r="I41" i="72"/>
  <c r="F42" i="72" s="1"/>
  <c r="I43" i="72"/>
  <c r="I18" i="72"/>
  <c r="I51" i="72"/>
  <c r="I21" i="72"/>
  <c r="H10" i="72"/>
  <c r="I32" i="72"/>
  <c r="J32" i="72" s="1"/>
  <c r="I37" i="72"/>
  <c r="F37" i="72" s="1"/>
  <c r="I12" i="72"/>
  <c r="F12" i="72" s="1"/>
  <c r="I54" i="72"/>
  <c r="I16" i="72"/>
  <c r="I55" i="72"/>
  <c r="F57" i="72" s="1"/>
  <c r="I45" i="72"/>
  <c r="I50" i="72"/>
  <c r="I14" i="72"/>
  <c r="F14" i="72" s="1"/>
  <c r="I17" i="72"/>
  <c r="J17" i="72" s="1"/>
  <c r="I57" i="72"/>
  <c r="J57" i="72" s="1"/>
  <c r="Q17" i="72" s="1"/>
  <c r="I19" i="72"/>
  <c r="I26" i="72"/>
  <c r="I30" i="72"/>
  <c r="F31" i="72" s="1"/>
  <c r="I24" i="72"/>
  <c r="I22" i="72"/>
  <c r="I10" i="72"/>
  <c r="J10" i="72" s="1"/>
  <c r="I27" i="72"/>
  <c r="F27" i="72" s="1"/>
  <c r="I29" i="72"/>
  <c r="F30" i="72" s="1"/>
  <c r="I33" i="72"/>
  <c r="J33" i="72" s="1"/>
  <c r="I34" i="72"/>
  <c r="F35" i="72" s="1"/>
  <c r="I25" i="72"/>
  <c r="J25" i="72" s="1"/>
  <c r="I11" i="72"/>
  <c r="I31" i="72"/>
  <c r="I42" i="72"/>
  <c r="J42" i="72" s="1"/>
  <c r="I46" i="72"/>
  <c r="F46" i="72" s="1"/>
  <c r="I40" i="72"/>
  <c r="F41" i="72" s="1"/>
  <c r="I38" i="72"/>
  <c r="I13" i="72"/>
  <c r="I39" i="72"/>
  <c r="F39" i="72" s="1"/>
  <c r="I48" i="72"/>
  <c r="I52" i="72"/>
  <c r="I53" i="72"/>
  <c r="F54" i="72" s="1"/>
  <c r="I44" i="72"/>
  <c r="F44" i="72" s="1"/>
  <c r="I15" i="72"/>
  <c r="F16" i="72" s="1"/>
  <c r="F10" i="6"/>
  <c r="E33" i="79"/>
  <c r="E32" i="79"/>
  <c r="J25" i="79"/>
  <c r="I24" i="79"/>
  <c r="F21" i="79"/>
  <c r="F22" i="79"/>
  <c r="F15" i="6"/>
  <c r="E37" i="79"/>
  <c r="D36" i="79"/>
  <c r="L24" i="79"/>
  <c r="J22" i="79"/>
  <c r="I21" i="79"/>
  <c r="F26" i="79"/>
  <c r="E25" i="79"/>
  <c r="F14" i="6"/>
  <c r="E36" i="79"/>
  <c r="D35" i="79"/>
  <c r="J21" i="79"/>
  <c r="F25" i="79"/>
  <c r="E24" i="79"/>
  <c r="F13" i="25"/>
  <c r="F38" i="79"/>
  <c r="K27" i="79"/>
  <c r="H24" i="79"/>
  <c r="G27" i="79"/>
  <c r="G23" i="79"/>
  <c r="K20" i="79"/>
  <c r="F31" i="79"/>
  <c r="H20" i="79"/>
  <c r="G38" i="79"/>
  <c r="H23" i="79"/>
  <c r="G20" i="79"/>
  <c r="L20" i="79"/>
  <c r="G31" i="79"/>
  <c r="G34" i="79"/>
  <c r="F33" i="79"/>
  <c r="L23" i="79"/>
  <c r="K22" i="79"/>
  <c r="G26" i="79"/>
  <c r="E20" i="79"/>
  <c r="I20" i="79"/>
  <c r="D31" i="79"/>
  <c r="G37" i="79"/>
  <c r="G33" i="79"/>
  <c r="F36" i="79"/>
  <c r="F32" i="79"/>
  <c r="E35" i="79"/>
  <c r="D38" i="79"/>
  <c r="D34" i="79"/>
  <c r="L26" i="79"/>
  <c r="L22" i="79"/>
  <c r="K25" i="79"/>
  <c r="K21" i="79"/>
  <c r="J24" i="79"/>
  <c r="I27" i="79"/>
  <c r="I23" i="79"/>
  <c r="H26" i="79"/>
  <c r="H22" i="79"/>
  <c r="G25" i="79"/>
  <c r="G21" i="79"/>
  <c r="F24" i="79"/>
  <c r="E27" i="79"/>
  <c r="E23" i="79"/>
  <c r="F34" i="79"/>
  <c r="K23" i="79"/>
  <c r="F37" i="79"/>
  <c r="L27" i="79"/>
  <c r="K26" i="79"/>
  <c r="H27" i="79"/>
  <c r="G22" i="79"/>
  <c r="F20" i="79"/>
  <c r="J20" i="79"/>
  <c r="E31" i="79"/>
  <c r="G36" i="79"/>
  <c r="G32" i="79"/>
  <c r="F35" i="79"/>
  <c r="E38" i="79"/>
  <c r="E34" i="79"/>
  <c r="D37" i="79"/>
  <c r="D33" i="79"/>
  <c r="L25" i="79"/>
  <c r="L21" i="79"/>
  <c r="K24" i="79"/>
  <c r="J27" i="79"/>
  <c r="J23" i="79"/>
  <c r="I26" i="79"/>
  <c r="I22" i="79"/>
  <c r="H25" i="79"/>
  <c r="H21" i="79"/>
  <c r="G24" i="79"/>
  <c r="F27" i="79"/>
  <c r="F23" i="79"/>
  <c r="E26" i="79"/>
  <c r="E22" i="79"/>
  <c r="D20" i="79"/>
  <c r="E16" i="79"/>
  <c r="E12" i="79"/>
  <c r="D16" i="79"/>
  <c r="D12" i="79"/>
  <c r="D15" i="79"/>
  <c r="D11" i="79"/>
  <c r="E15" i="79"/>
  <c r="E11" i="79"/>
  <c r="D14" i="79"/>
  <c r="D10" i="79"/>
  <c r="E14" i="79"/>
  <c r="E10" i="79"/>
  <c r="D9" i="79"/>
  <c r="D13" i="79"/>
  <c r="E9" i="79"/>
  <c r="E13" i="79"/>
  <c r="F12" i="6"/>
  <c r="F11" i="25"/>
  <c r="F9" i="6"/>
  <c r="F15" i="25"/>
  <c r="F14" i="25"/>
  <c r="F7" i="6"/>
  <c r="F11" i="6"/>
  <c r="F13" i="6"/>
  <c r="F12" i="25"/>
  <c r="F10" i="25"/>
  <c r="F9" i="25"/>
  <c r="F8" i="25"/>
  <c r="F34" i="72"/>
  <c r="J34" i="72"/>
  <c r="J11" i="72"/>
  <c r="J31" i="72"/>
  <c r="J7" i="72"/>
  <c r="F7" i="72"/>
  <c r="F9" i="72"/>
  <c r="J54" i="72"/>
  <c r="F20" i="72"/>
  <c r="J19" i="72"/>
  <c r="F52" i="72"/>
  <c r="J51" i="72"/>
  <c r="J16" i="72"/>
  <c r="F43" i="72"/>
  <c r="J20" i="72"/>
  <c r="F21" i="72"/>
  <c r="J46" i="72"/>
  <c r="F47" i="72"/>
  <c r="J21" i="72"/>
  <c r="F22" i="72"/>
  <c r="J38" i="72"/>
  <c r="J9" i="72"/>
  <c r="F10" i="72"/>
  <c r="J13" i="72"/>
  <c r="F24" i="72"/>
  <c r="J23" i="72"/>
  <c r="J55" i="72"/>
  <c r="I54" i="76"/>
  <c r="I50" i="76"/>
  <c r="I46" i="76"/>
  <c r="I42" i="76"/>
  <c r="I38" i="76"/>
  <c r="I34" i="76"/>
  <c r="I30" i="76"/>
  <c r="I26" i="76"/>
  <c r="I22" i="76"/>
  <c r="I55" i="76"/>
  <c r="I51" i="76"/>
  <c r="I47" i="76"/>
  <c r="I43" i="76"/>
  <c r="I39" i="76"/>
  <c r="I35" i="76"/>
  <c r="I31" i="76"/>
  <c r="I27" i="76"/>
  <c r="I23" i="76"/>
  <c r="I49" i="76"/>
  <c r="I41" i="76"/>
  <c r="I33" i="76"/>
  <c r="I25" i="76"/>
  <c r="H7" i="76"/>
  <c r="I52" i="76"/>
  <c r="I44" i="76"/>
  <c r="I36" i="76"/>
  <c r="I28" i="76"/>
  <c r="I45" i="76"/>
  <c r="I29" i="76"/>
  <c r="I20" i="76"/>
  <c r="I57" i="76"/>
  <c r="J57" i="76" s="1"/>
  <c r="Q17" i="76" s="1"/>
  <c r="I40" i="76"/>
  <c r="I24" i="76"/>
  <c r="I7" i="76"/>
  <c r="I37" i="76"/>
  <c r="I32" i="76"/>
  <c r="I19" i="76"/>
  <c r="I21" i="76"/>
  <c r="I48" i="76"/>
  <c r="I53" i="76"/>
  <c r="I55" i="77"/>
  <c r="I51" i="77"/>
  <c r="I47" i="77"/>
  <c r="I43" i="77"/>
  <c r="I39" i="77"/>
  <c r="I35" i="77"/>
  <c r="I31" i="77"/>
  <c r="I27" i="77"/>
  <c r="I23" i="77"/>
  <c r="I19" i="77"/>
  <c r="I15" i="77"/>
  <c r="I14" i="77"/>
  <c r="I13" i="77"/>
  <c r="I12" i="77"/>
  <c r="I11" i="77"/>
  <c r="I10" i="77"/>
  <c r="I9" i="77"/>
  <c r="I57" i="77"/>
  <c r="J57" i="77" s="1"/>
  <c r="Q17" i="77" s="1"/>
  <c r="I52" i="77"/>
  <c r="I48" i="77"/>
  <c r="I44" i="77"/>
  <c r="I40" i="77"/>
  <c r="I36" i="77"/>
  <c r="I32" i="77"/>
  <c r="I28" i="77"/>
  <c r="I24" i="77"/>
  <c r="I20" i="77"/>
  <c r="I16" i="77"/>
  <c r="I53" i="77"/>
  <c r="I49" i="77"/>
  <c r="I45" i="77"/>
  <c r="I41" i="77"/>
  <c r="I37" i="77"/>
  <c r="I33" i="77"/>
  <c r="I29" i="77"/>
  <c r="I25" i="77"/>
  <c r="I21" i="77"/>
  <c r="I17" i="77"/>
  <c r="I42" i="77"/>
  <c r="I26" i="77"/>
  <c r="I7" i="77"/>
  <c r="I46" i="77"/>
  <c r="I30" i="77"/>
  <c r="H7" i="77"/>
  <c r="I50" i="77"/>
  <c r="I18" i="77"/>
  <c r="I54" i="77"/>
  <c r="I22" i="77"/>
  <c r="I34" i="77"/>
  <c r="I38" i="77"/>
  <c r="J48" i="72"/>
  <c r="J52" i="72"/>
  <c r="F53" i="72"/>
  <c r="J53" i="72"/>
  <c r="F48" i="72"/>
  <c r="J47" i="72"/>
  <c r="I57" i="73"/>
  <c r="J57" i="73" s="1"/>
  <c r="Q17" i="73" s="1"/>
  <c r="I52" i="73"/>
  <c r="I48" i="73"/>
  <c r="I53" i="73"/>
  <c r="I50" i="73"/>
  <c r="I47" i="73"/>
  <c r="I45" i="73"/>
  <c r="I41" i="73"/>
  <c r="I37" i="73"/>
  <c r="I33" i="73"/>
  <c r="I29" i="73"/>
  <c r="I25" i="73"/>
  <c r="I21" i="73"/>
  <c r="I17" i="73"/>
  <c r="H7" i="73"/>
  <c r="I44" i="73"/>
  <c r="I34" i="73"/>
  <c r="I31" i="73"/>
  <c r="I28" i="73"/>
  <c r="I18" i="73"/>
  <c r="I15" i="73"/>
  <c r="I11" i="73"/>
  <c r="I49" i="73"/>
  <c r="I46" i="73"/>
  <c r="I43" i="73"/>
  <c r="I40" i="73"/>
  <c r="I30" i="73"/>
  <c r="I27" i="73"/>
  <c r="I24" i="73"/>
  <c r="I12" i="73"/>
  <c r="I55" i="73"/>
  <c r="I54" i="73"/>
  <c r="I51" i="73"/>
  <c r="I42" i="73"/>
  <c r="I39" i="73"/>
  <c r="I36" i="73"/>
  <c r="I26" i="73"/>
  <c r="I23" i="73"/>
  <c r="I20" i="73"/>
  <c r="I13" i="73"/>
  <c r="I9" i="73"/>
  <c r="I7" i="73"/>
  <c r="I38" i="73"/>
  <c r="I35" i="73"/>
  <c r="I32" i="73"/>
  <c r="I22" i="73"/>
  <c r="I19" i="73"/>
  <c r="I16" i="73"/>
  <c r="I14" i="73"/>
  <c r="I10" i="73"/>
  <c r="F33" i="72"/>
  <c r="J36" i="72"/>
  <c r="J18" i="72"/>
  <c r="F19" i="72"/>
  <c r="J37" i="72"/>
  <c r="F36" i="72"/>
  <c r="J35" i="72"/>
  <c r="I53" i="74"/>
  <c r="I49" i="74"/>
  <c r="I45" i="74"/>
  <c r="I54" i="74"/>
  <c r="I55" i="74"/>
  <c r="I52" i="74"/>
  <c r="I42" i="74"/>
  <c r="I38" i="74"/>
  <c r="I34" i="74"/>
  <c r="I30" i="74"/>
  <c r="I26" i="74"/>
  <c r="I22" i="74"/>
  <c r="I18" i="74"/>
  <c r="I51" i="74"/>
  <c r="I50" i="74"/>
  <c r="I48" i="74"/>
  <c r="I47" i="74"/>
  <c r="I46" i="74"/>
  <c r="I44" i="74"/>
  <c r="I41" i="74"/>
  <c r="I31" i="74"/>
  <c r="I28" i="74"/>
  <c r="I25" i="74"/>
  <c r="I15" i="74"/>
  <c r="I13" i="74"/>
  <c r="I11" i="74"/>
  <c r="I9" i="74"/>
  <c r="I7" i="74"/>
  <c r="I57" i="74"/>
  <c r="J57" i="74" s="1"/>
  <c r="Q17" i="74" s="1"/>
  <c r="I43" i="74"/>
  <c r="I40" i="74"/>
  <c r="I37" i="74"/>
  <c r="I27" i="74"/>
  <c r="I12" i="74"/>
  <c r="H7" i="74"/>
  <c r="I35" i="74"/>
  <c r="I32" i="74"/>
  <c r="I29" i="74"/>
  <c r="I10" i="74"/>
  <c r="I39" i="74"/>
  <c r="I36" i="74"/>
  <c r="I33" i="74"/>
  <c r="I24" i="74"/>
  <c r="I23" i="74"/>
  <c r="I21" i="74"/>
  <c r="I20" i="74"/>
  <c r="I19" i="74"/>
  <c r="I17" i="74"/>
  <c r="I16" i="74"/>
  <c r="I14" i="74"/>
  <c r="I55" i="75"/>
  <c r="I51" i="75"/>
  <c r="I47" i="75"/>
  <c r="I43" i="75"/>
  <c r="I39" i="75"/>
  <c r="I35" i="75"/>
  <c r="I31" i="75"/>
  <c r="I27" i="75"/>
  <c r="I23" i="75"/>
  <c r="I19" i="75"/>
  <c r="I15" i="75"/>
  <c r="I14" i="75"/>
  <c r="I13" i="75"/>
  <c r="I12" i="75"/>
  <c r="I11" i="75"/>
  <c r="I10" i="75"/>
  <c r="I9" i="75"/>
  <c r="I57" i="75"/>
  <c r="J57" i="75" s="1"/>
  <c r="Q17" i="75" s="1"/>
  <c r="I52" i="75"/>
  <c r="I48" i="75"/>
  <c r="I44" i="75"/>
  <c r="I40" i="75"/>
  <c r="I36" i="75"/>
  <c r="I28" i="75"/>
  <c r="I24" i="75"/>
  <c r="I20" i="75"/>
  <c r="I16" i="75"/>
  <c r="I7" i="75"/>
  <c r="I50" i="75"/>
  <c r="I42" i="75"/>
  <c r="I34" i="75"/>
  <c r="I26" i="75"/>
  <c r="I18" i="75"/>
  <c r="I53" i="75"/>
  <c r="I45" i="75"/>
  <c r="I37" i="75"/>
  <c r="I29" i="75"/>
  <c r="I21" i="75"/>
  <c r="I46" i="75"/>
  <c r="I30" i="75"/>
  <c r="H7" i="75"/>
  <c r="I41" i="75"/>
  <c r="I25" i="75"/>
  <c r="I54" i="75"/>
  <c r="I22" i="75"/>
  <c r="I49" i="75"/>
  <c r="I17" i="75"/>
  <c r="I38" i="75"/>
  <c r="I33" i="75"/>
  <c r="J26" i="72"/>
  <c r="J45" i="72"/>
  <c r="J30" i="72"/>
  <c r="J24" i="72"/>
  <c r="J50" i="72"/>
  <c r="F51" i="72"/>
  <c r="F23" i="72"/>
  <c r="J22" i="72"/>
  <c r="F11" i="72"/>
  <c r="J14" i="72"/>
  <c r="F28" i="72"/>
  <c r="J43" i="72"/>
  <c r="D107" i="2"/>
  <c r="G107" i="2" s="1"/>
  <c r="H107" i="2" s="1"/>
  <c r="D102" i="2"/>
  <c r="L102" i="2" s="1"/>
  <c r="D102" i="5"/>
  <c r="L102" i="5" s="1"/>
  <c r="F55" i="72" l="1"/>
  <c r="J41" i="72"/>
  <c r="F29" i="72"/>
  <c r="F45" i="72"/>
  <c r="J44" i="72"/>
  <c r="F17" i="72"/>
  <c r="F18" i="72"/>
  <c r="F26" i="72"/>
  <c r="F15" i="72"/>
  <c r="F50" i="72"/>
  <c r="J40" i="72"/>
  <c r="J49" i="72"/>
  <c r="J27" i="72"/>
  <c r="F38" i="72"/>
  <c r="J29" i="72"/>
  <c r="F13" i="72"/>
  <c r="J15" i="72"/>
  <c r="J39" i="72"/>
  <c r="F32" i="72"/>
  <c r="F25" i="72"/>
  <c r="J12" i="72"/>
  <c r="F40" i="72"/>
  <c r="L107" i="2"/>
  <c r="J41" i="75"/>
  <c r="F42" i="75"/>
  <c r="J53" i="75"/>
  <c r="F54" i="75"/>
  <c r="J20" i="75"/>
  <c r="F21" i="75"/>
  <c r="J52" i="75"/>
  <c r="F53" i="75"/>
  <c r="F16" i="75"/>
  <c r="J15" i="75"/>
  <c r="F48" i="75"/>
  <c r="J47" i="75"/>
  <c r="J21" i="74"/>
  <c r="F22" i="74"/>
  <c r="J31" i="74"/>
  <c r="F32" i="74"/>
  <c r="F19" i="74"/>
  <c r="J18" i="74"/>
  <c r="F35" i="74"/>
  <c r="J34" i="74"/>
  <c r="F54" i="74"/>
  <c r="J53" i="74"/>
  <c r="F15" i="73"/>
  <c r="J14" i="73"/>
  <c r="F10" i="73"/>
  <c r="J9" i="73"/>
  <c r="F52" i="73"/>
  <c r="J51" i="73"/>
  <c r="J43" i="73"/>
  <c r="F44" i="73"/>
  <c r="J34" i="73"/>
  <c r="F35" i="73"/>
  <c r="F38" i="73"/>
  <c r="J37" i="73"/>
  <c r="J50" i="73"/>
  <c r="F51" i="73"/>
  <c r="J30" i="77"/>
  <c r="F31" i="77"/>
  <c r="J29" i="77"/>
  <c r="F30" i="77"/>
  <c r="J20" i="77"/>
  <c r="F21" i="77"/>
  <c r="J52" i="77"/>
  <c r="F53" i="77"/>
  <c r="F48" i="77"/>
  <c r="J47" i="77"/>
  <c r="J24" i="76"/>
  <c r="F25" i="76"/>
  <c r="F19" i="76"/>
  <c r="F34" i="76"/>
  <c r="J33" i="76"/>
  <c r="J43" i="76"/>
  <c r="F44" i="76"/>
  <c r="F39" i="76"/>
  <c r="J38" i="76"/>
  <c r="J33" i="75"/>
  <c r="F34" i="75"/>
  <c r="F19" i="75"/>
  <c r="J18" i="75"/>
  <c r="F20" i="75"/>
  <c r="J19" i="75"/>
  <c r="F18" i="74"/>
  <c r="J17" i="74"/>
  <c r="J39" i="74"/>
  <c r="F40" i="74"/>
  <c r="J37" i="74"/>
  <c r="F38" i="74"/>
  <c r="J15" i="74"/>
  <c r="F16" i="74"/>
  <c r="J48" i="74"/>
  <c r="F49" i="74"/>
  <c r="F39" i="74"/>
  <c r="J38" i="74"/>
  <c r="F17" i="73"/>
  <c r="J16" i="73"/>
  <c r="F14" i="73"/>
  <c r="J13" i="73"/>
  <c r="F55" i="73"/>
  <c r="J54" i="73"/>
  <c r="J46" i="73"/>
  <c r="F47" i="73"/>
  <c r="F45" i="73"/>
  <c r="J44" i="73"/>
  <c r="F42" i="73"/>
  <c r="J41" i="73"/>
  <c r="J18" i="77"/>
  <c r="F19" i="77"/>
  <c r="J33" i="77"/>
  <c r="F34" i="77"/>
  <c r="F20" i="77"/>
  <c r="J19" i="77"/>
  <c r="F36" i="77"/>
  <c r="J35" i="77"/>
  <c r="J20" i="76"/>
  <c r="F21" i="76"/>
  <c r="F42" i="76"/>
  <c r="J41" i="76"/>
  <c r="J47" i="76"/>
  <c r="F48" i="76"/>
  <c r="F43" i="76"/>
  <c r="J42" i="76"/>
  <c r="F39" i="75"/>
  <c r="J38" i="75"/>
  <c r="F55" i="75"/>
  <c r="J54" i="75"/>
  <c r="F31" i="75"/>
  <c r="J30" i="75"/>
  <c r="J37" i="75"/>
  <c r="F38" i="75"/>
  <c r="F27" i="75"/>
  <c r="J26" i="75"/>
  <c r="J7" i="75"/>
  <c r="F7" i="75"/>
  <c r="F9" i="75"/>
  <c r="J28" i="75"/>
  <c r="F29" i="75"/>
  <c r="J44" i="75"/>
  <c r="F45" i="75"/>
  <c r="F10" i="75"/>
  <c r="J9" i="75"/>
  <c r="F14" i="75"/>
  <c r="J13" i="75"/>
  <c r="F24" i="75"/>
  <c r="J23" i="75"/>
  <c r="F40" i="75"/>
  <c r="J39" i="75"/>
  <c r="F57" i="75"/>
  <c r="J55" i="75"/>
  <c r="J19" i="74"/>
  <c r="F20" i="74"/>
  <c r="J24" i="74"/>
  <c r="F25" i="74"/>
  <c r="F11" i="74"/>
  <c r="J10" i="74"/>
  <c r="J40" i="74"/>
  <c r="F41" i="74"/>
  <c r="F10" i="74"/>
  <c r="J9" i="74"/>
  <c r="F26" i="74"/>
  <c r="J25" i="74"/>
  <c r="F45" i="74"/>
  <c r="J44" i="74"/>
  <c r="J50" i="74"/>
  <c r="F51" i="74"/>
  <c r="F27" i="74"/>
  <c r="J26" i="74"/>
  <c r="F43" i="74"/>
  <c r="J42" i="74"/>
  <c r="F46" i="74"/>
  <c r="J45" i="74"/>
  <c r="F20" i="73"/>
  <c r="J19" i="73"/>
  <c r="J38" i="73"/>
  <c r="F39" i="73"/>
  <c r="J20" i="73"/>
  <c r="F21" i="73"/>
  <c r="J39" i="73"/>
  <c r="F40" i="73"/>
  <c r="F57" i="73"/>
  <c r="J55" i="73"/>
  <c r="J30" i="73"/>
  <c r="F31" i="73"/>
  <c r="J49" i="73"/>
  <c r="F50" i="73"/>
  <c r="F29" i="73"/>
  <c r="J28" i="73"/>
  <c r="F30" i="73"/>
  <c r="J29" i="73"/>
  <c r="F46" i="73"/>
  <c r="J45" i="73"/>
  <c r="F49" i="73"/>
  <c r="J48" i="73"/>
  <c r="J34" i="77"/>
  <c r="F35" i="77"/>
  <c r="J50" i="77"/>
  <c r="F51" i="77"/>
  <c r="F9" i="77"/>
  <c r="J7" i="77"/>
  <c r="F7" i="77"/>
  <c r="J21" i="77"/>
  <c r="F22" i="77"/>
  <c r="J37" i="77"/>
  <c r="F38" i="77"/>
  <c r="J53" i="77"/>
  <c r="F54" i="77"/>
  <c r="J28" i="77"/>
  <c r="F29" i="77"/>
  <c r="J44" i="77"/>
  <c r="F45" i="77"/>
  <c r="F10" i="77"/>
  <c r="J9" i="77"/>
  <c r="F14" i="77"/>
  <c r="J13" i="77"/>
  <c r="F24" i="77"/>
  <c r="J23" i="77"/>
  <c r="F40" i="77"/>
  <c r="J39" i="77"/>
  <c r="F57" i="77"/>
  <c r="J55" i="77"/>
  <c r="J48" i="76"/>
  <c r="F49" i="76"/>
  <c r="J32" i="76"/>
  <c r="F33" i="76"/>
  <c r="F30" i="76"/>
  <c r="J29" i="76"/>
  <c r="J36" i="76"/>
  <c r="F37" i="76"/>
  <c r="F50" i="76"/>
  <c r="J49" i="76"/>
  <c r="J35" i="76"/>
  <c r="F36" i="76"/>
  <c r="J51" i="76"/>
  <c r="F52" i="76"/>
  <c r="F31" i="76"/>
  <c r="J30" i="76"/>
  <c r="F47" i="76"/>
  <c r="J46" i="76"/>
  <c r="J49" i="75"/>
  <c r="F50" i="75"/>
  <c r="J21" i="75"/>
  <c r="F22" i="75"/>
  <c r="F43" i="75"/>
  <c r="J42" i="75"/>
  <c r="J36" i="75"/>
  <c r="F37" i="75"/>
  <c r="F12" i="75"/>
  <c r="J11" i="75"/>
  <c r="J31" i="75"/>
  <c r="F17" i="74"/>
  <c r="J16" i="74"/>
  <c r="J36" i="74"/>
  <c r="F37" i="74"/>
  <c r="F33" i="74"/>
  <c r="J32" i="74"/>
  <c r="J27" i="74"/>
  <c r="F28" i="74"/>
  <c r="F14" i="74"/>
  <c r="J13" i="74"/>
  <c r="F48" i="74"/>
  <c r="J47" i="74"/>
  <c r="J55" i="74"/>
  <c r="F57" i="74"/>
  <c r="F33" i="73"/>
  <c r="J32" i="73"/>
  <c r="J26" i="73"/>
  <c r="F27" i="73"/>
  <c r="J24" i="73"/>
  <c r="F25" i="73"/>
  <c r="F16" i="73"/>
  <c r="J15" i="73"/>
  <c r="F22" i="73"/>
  <c r="J21" i="73"/>
  <c r="J54" i="77"/>
  <c r="F55" i="77"/>
  <c r="J42" i="77"/>
  <c r="F43" i="77"/>
  <c r="J45" i="77"/>
  <c r="F46" i="77"/>
  <c r="J36" i="77"/>
  <c r="F37" i="77"/>
  <c r="F12" i="77"/>
  <c r="J11" i="77"/>
  <c r="F16" i="77"/>
  <c r="J15" i="77"/>
  <c r="F32" i="77"/>
  <c r="J31" i="77"/>
  <c r="J7" i="76"/>
  <c r="F7" i="76"/>
  <c r="J52" i="76"/>
  <c r="F53" i="76"/>
  <c r="J27" i="76"/>
  <c r="F28" i="76"/>
  <c r="F23" i="76"/>
  <c r="J22" i="76"/>
  <c r="F55" i="76"/>
  <c r="J54" i="76"/>
  <c r="F23" i="75"/>
  <c r="J22" i="75"/>
  <c r="J29" i="75"/>
  <c r="F30" i="75"/>
  <c r="F51" i="75"/>
  <c r="J50" i="75"/>
  <c r="J24" i="75"/>
  <c r="F25" i="75"/>
  <c r="J40" i="75"/>
  <c r="F41" i="75"/>
  <c r="F13" i="75"/>
  <c r="J12" i="75"/>
  <c r="F36" i="75"/>
  <c r="J35" i="75"/>
  <c r="F52" i="75"/>
  <c r="J51" i="75"/>
  <c r="J23" i="74"/>
  <c r="F24" i="74"/>
  <c r="J35" i="74"/>
  <c r="F36" i="74"/>
  <c r="F9" i="74"/>
  <c r="F7" i="74"/>
  <c r="J7" i="74"/>
  <c r="F42" i="74"/>
  <c r="J41" i="74"/>
  <c r="F23" i="74"/>
  <c r="J22" i="74"/>
  <c r="J54" i="74"/>
  <c r="F55" i="74"/>
  <c r="F36" i="73"/>
  <c r="J35" i="73"/>
  <c r="J36" i="73"/>
  <c r="F37" i="73"/>
  <c r="J27" i="73"/>
  <c r="F28" i="73"/>
  <c r="J18" i="73"/>
  <c r="F19" i="73"/>
  <c r="F26" i="73"/>
  <c r="J25" i="73"/>
  <c r="J53" i="73"/>
  <c r="F54" i="73"/>
  <c r="J38" i="77"/>
  <c r="F39" i="77"/>
  <c r="J46" i="77"/>
  <c r="F47" i="77"/>
  <c r="J17" i="77"/>
  <c r="F18" i="77"/>
  <c r="J49" i="77"/>
  <c r="F50" i="77"/>
  <c r="J24" i="77"/>
  <c r="F25" i="77"/>
  <c r="J40" i="77"/>
  <c r="F41" i="77"/>
  <c r="F13" i="77"/>
  <c r="J12" i="77"/>
  <c r="F52" i="77"/>
  <c r="J51" i="77"/>
  <c r="J19" i="76"/>
  <c r="F20" i="76"/>
  <c r="J40" i="76"/>
  <c r="F41" i="76"/>
  <c r="J28" i="76"/>
  <c r="F29" i="76"/>
  <c r="J31" i="76"/>
  <c r="F32" i="76"/>
  <c r="F27" i="76"/>
  <c r="J26" i="76"/>
  <c r="J17" i="75"/>
  <c r="F18" i="75"/>
  <c r="J25" i="75"/>
  <c r="F26" i="75"/>
  <c r="F47" i="75"/>
  <c r="J46" i="75"/>
  <c r="J45" i="75"/>
  <c r="F46" i="75"/>
  <c r="F35" i="75"/>
  <c r="J34" i="75"/>
  <c r="J16" i="75"/>
  <c r="F17" i="75"/>
  <c r="F33" i="75"/>
  <c r="J48" i="75"/>
  <c r="F49" i="75"/>
  <c r="F11" i="75"/>
  <c r="J10" i="75"/>
  <c r="F15" i="75"/>
  <c r="J14" i="75"/>
  <c r="F28" i="75"/>
  <c r="J27" i="75"/>
  <c r="F44" i="75"/>
  <c r="J43" i="75"/>
  <c r="F15" i="74"/>
  <c r="J14" i="74"/>
  <c r="F21" i="74"/>
  <c r="J20" i="74"/>
  <c r="J33" i="74"/>
  <c r="F34" i="74"/>
  <c r="F30" i="74"/>
  <c r="J29" i="74"/>
  <c r="F13" i="74"/>
  <c r="J12" i="74"/>
  <c r="J43" i="74"/>
  <c r="F44" i="74"/>
  <c r="F12" i="74"/>
  <c r="J11" i="74"/>
  <c r="F29" i="74"/>
  <c r="J28" i="74"/>
  <c r="J46" i="74"/>
  <c r="F47" i="74"/>
  <c r="J51" i="74"/>
  <c r="F52" i="74"/>
  <c r="F31" i="74"/>
  <c r="J30" i="74"/>
  <c r="J52" i="74"/>
  <c r="F53" i="74"/>
  <c r="F50" i="74"/>
  <c r="J49" i="74"/>
  <c r="F11" i="73"/>
  <c r="J10" i="73"/>
  <c r="J22" i="73"/>
  <c r="F23" i="73"/>
  <c r="F9" i="73"/>
  <c r="F7" i="73"/>
  <c r="J7" i="73"/>
  <c r="J23" i="73"/>
  <c r="F24" i="73"/>
  <c r="J42" i="73"/>
  <c r="F43" i="73"/>
  <c r="F13" i="73"/>
  <c r="J12" i="73"/>
  <c r="J40" i="73"/>
  <c r="F41" i="73"/>
  <c r="F12" i="73"/>
  <c r="J11" i="73"/>
  <c r="F32" i="73"/>
  <c r="J31" i="73"/>
  <c r="F18" i="73"/>
  <c r="J17" i="73"/>
  <c r="F34" i="73"/>
  <c r="J33" i="73"/>
  <c r="J47" i="73"/>
  <c r="F48" i="73"/>
  <c r="F53" i="73"/>
  <c r="J52" i="73"/>
  <c r="J22" i="77"/>
  <c r="F23" i="77"/>
  <c r="J26" i="77"/>
  <c r="F27" i="77"/>
  <c r="J25" i="77"/>
  <c r="F26" i="77"/>
  <c r="J41" i="77"/>
  <c r="F42" i="77"/>
  <c r="J16" i="77"/>
  <c r="F17" i="77"/>
  <c r="J32" i="77"/>
  <c r="F33" i="77"/>
  <c r="J48" i="77"/>
  <c r="F49" i="77"/>
  <c r="F11" i="77"/>
  <c r="J10" i="77"/>
  <c r="F15" i="77"/>
  <c r="J14" i="77"/>
  <c r="F28" i="77"/>
  <c r="J27" i="77"/>
  <c r="F44" i="77"/>
  <c r="J43" i="77"/>
  <c r="F54" i="76"/>
  <c r="J53" i="76"/>
  <c r="F22" i="76"/>
  <c r="J21" i="76"/>
  <c r="F38" i="76"/>
  <c r="J37" i="76"/>
  <c r="F46" i="76"/>
  <c r="J45" i="76"/>
  <c r="J44" i="76"/>
  <c r="F45" i="76"/>
  <c r="J25" i="76"/>
  <c r="F26" i="76"/>
  <c r="J23" i="76"/>
  <c r="F24" i="76"/>
  <c r="J39" i="76"/>
  <c r="F40" i="76"/>
  <c r="J55" i="76"/>
  <c r="F57" i="76"/>
  <c r="F35" i="76"/>
  <c r="J34" i="76"/>
  <c r="F51" i="76"/>
  <c r="J50" i="76"/>
  <c r="E102" i="2"/>
  <c r="E102" i="5"/>
  <c r="D15" i="34"/>
  <c r="L15" i="34" s="1"/>
  <c r="E15" i="34" l="1"/>
  <c r="D13" i="28" l="1"/>
  <c r="L13" i="28" s="1"/>
  <c r="D14" i="28"/>
  <c r="L14" i="28" s="1"/>
  <c r="D15" i="28"/>
  <c r="L15" i="28" s="1"/>
  <c r="D16" i="28"/>
  <c r="L16" i="28" s="1"/>
  <c r="L17" i="28"/>
  <c r="D18" i="28"/>
  <c r="L18" i="28" s="1"/>
  <c r="D19" i="28"/>
  <c r="L19" i="28" s="1"/>
  <c r="D20" i="28"/>
  <c r="L20" i="28" s="1"/>
  <c r="D21" i="28"/>
  <c r="L21" i="28" s="1"/>
  <c r="D22" i="28"/>
  <c r="L22" i="28" s="1"/>
  <c r="L23" i="28"/>
  <c r="D24" i="28"/>
  <c r="L24" i="28" s="1"/>
  <c r="D25" i="28"/>
  <c r="L25" i="28" s="1"/>
  <c r="D26" i="28"/>
  <c r="L26" i="28" s="1"/>
  <c r="D27" i="28"/>
  <c r="L27" i="28" s="1"/>
  <c r="D28" i="28"/>
  <c r="L28" i="28" s="1"/>
  <c r="D29" i="28"/>
  <c r="L29" i="28" s="1"/>
  <c r="L30" i="28"/>
  <c r="D31" i="28"/>
  <c r="L31" i="28" s="1"/>
  <c r="D32" i="28"/>
  <c r="L32" i="28" s="1"/>
  <c r="D33" i="28"/>
  <c r="L33" i="28" s="1"/>
  <c r="D34" i="28"/>
  <c r="L34" i="28" s="1"/>
  <c r="D35" i="28"/>
  <c r="L35" i="28" s="1"/>
  <c r="L36" i="28"/>
  <c r="D37" i="28"/>
  <c r="L37" i="28" s="1"/>
  <c r="D38" i="28"/>
  <c r="L38" i="28" s="1"/>
  <c r="D39" i="28"/>
  <c r="L39" i="28" s="1"/>
  <c r="D40" i="28"/>
  <c r="L40" i="28" s="1"/>
  <c r="D41" i="28"/>
  <c r="L41" i="28" s="1"/>
  <c r="D42" i="28"/>
  <c r="L42" i="28" s="1"/>
  <c r="L43" i="28"/>
  <c r="D44" i="28"/>
  <c r="L44" i="28" s="1"/>
  <c r="D45" i="28"/>
  <c r="L45" i="28" s="1"/>
  <c r="D46" i="28"/>
  <c r="L46" i="28" s="1"/>
  <c r="D47" i="28"/>
  <c r="L47" i="28" s="1"/>
  <c r="D48" i="28"/>
  <c r="L48" i="28" s="1"/>
  <c r="L49" i="28"/>
  <c r="D50" i="28"/>
  <c r="D51" i="28"/>
  <c r="L51" i="28" s="1"/>
  <c r="D52" i="28"/>
  <c r="L52" i="28" s="1"/>
  <c r="D53" i="28"/>
  <c r="L53" i="28" s="1"/>
  <c r="D54" i="28"/>
  <c r="L55" i="28"/>
  <c r="D57" i="28"/>
  <c r="G57" i="28" l="1"/>
  <c r="H57" i="28" s="1"/>
  <c r="L57" i="28"/>
  <c r="G54" i="28"/>
  <c r="H54" i="28" s="1"/>
  <c r="L54" i="28"/>
  <c r="G50" i="28"/>
  <c r="H50" i="28" s="1"/>
  <c r="L50" i="28"/>
  <c r="G51" i="28"/>
  <c r="H51" i="28" s="1"/>
  <c r="G47" i="28"/>
  <c r="H47" i="28" s="1"/>
  <c r="G39" i="28"/>
  <c r="H39" i="28" s="1"/>
  <c r="G35" i="28"/>
  <c r="H35" i="28" s="1"/>
  <c r="G31" i="28"/>
  <c r="H31" i="28" s="1"/>
  <c r="G27" i="28"/>
  <c r="H27" i="28" s="1"/>
  <c r="G19" i="28"/>
  <c r="H19" i="28" s="1"/>
  <c r="G15" i="28"/>
  <c r="H15" i="28" s="1"/>
  <c r="G52" i="28"/>
  <c r="H52" i="28" s="1"/>
  <c r="G48" i="28"/>
  <c r="H48" i="28" s="1"/>
  <c r="G44" i="28"/>
  <c r="H44" i="28" s="1"/>
  <c r="G40" i="28"/>
  <c r="H40" i="28" s="1"/>
  <c r="G32" i="28"/>
  <c r="H32" i="28" s="1"/>
  <c r="G28" i="28"/>
  <c r="H28" i="28" s="1"/>
  <c r="G24" i="28"/>
  <c r="H24" i="28" s="1"/>
  <c r="G20" i="28"/>
  <c r="H20" i="28" s="1"/>
  <c r="G16" i="28"/>
  <c r="H16" i="28" s="1"/>
  <c r="G46" i="28"/>
  <c r="H46" i="28" s="1"/>
  <c r="G42" i="28"/>
  <c r="H42" i="28" s="1"/>
  <c r="G38" i="28"/>
  <c r="H38" i="28" s="1"/>
  <c r="G34" i="28"/>
  <c r="H34" i="28" s="1"/>
  <c r="G26" i="28"/>
  <c r="H26" i="28" s="1"/>
  <c r="G22" i="28"/>
  <c r="H22" i="28" s="1"/>
  <c r="G18" i="28"/>
  <c r="H18" i="28" s="1"/>
  <c r="G14" i="28"/>
  <c r="H14" i="28" s="1"/>
  <c r="G53" i="28"/>
  <c r="H53" i="28" s="1"/>
  <c r="G45" i="28"/>
  <c r="H45" i="28" s="1"/>
  <c r="G41" i="28"/>
  <c r="H41" i="28" s="1"/>
  <c r="G37" i="28"/>
  <c r="H37" i="28" s="1"/>
  <c r="G33" i="28"/>
  <c r="H33" i="28" s="1"/>
  <c r="G29" i="28"/>
  <c r="H29" i="28" s="1"/>
  <c r="G25" i="28"/>
  <c r="H25" i="28" s="1"/>
  <c r="G21" i="28"/>
  <c r="H21" i="28" s="1"/>
  <c r="D57" i="37"/>
  <c r="D55" i="37"/>
  <c r="L55" i="37" s="1"/>
  <c r="D54" i="37"/>
  <c r="L54" i="37" s="1"/>
  <c r="D53" i="37"/>
  <c r="L53" i="37" s="1"/>
  <c r="D52" i="37"/>
  <c r="L52" i="37" s="1"/>
  <c r="D51" i="37"/>
  <c r="L51" i="37" s="1"/>
  <c r="D50" i="37"/>
  <c r="L50" i="37" s="1"/>
  <c r="L49" i="37"/>
  <c r="D48" i="37"/>
  <c r="D47" i="37"/>
  <c r="L47" i="37" s="1"/>
  <c r="D46" i="37"/>
  <c r="L46" i="37" s="1"/>
  <c r="D45" i="37"/>
  <c r="L45" i="37" s="1"/>
  <c r="D44" i="37"/>
  <c r="D43" i="37"/>
  <c r="L43" i="37" s="1"/>
  <c r="L42" i="37"/>
  <c r="D41" i="37"/>
  <c r="L41" i="37" s="1"/>
  <c r="D40" i="37"/>
  <c r="L40" i="37" s="1"/>
  <c r="D39" i="37"/>
  <c r="L39" i="37" s="1"/>
  <c r="D38" i="37"/>
  <c r="L38" i="37" s="1"/>
  <c r="D37" i="37"/>
  <c r="L37" i="37" s="1"/>
  <c r="D36" i="37"/>
  <c r="L36" i="37" s="1"/>
  <c r="L35" i="37"/>
  <c r="D34" i="37"/>
  <c r="L34" i="37" s="1"/>
  <c r="D33" i="37"/>
  <c r="L33" i="37" s="1"/>
  <c r="D32" i="37"/>
  <c r="L32" i="37" s="1"/>
  <c r="D31" i="37"/>
  <c r="L31" i="37" s="1"/>
  <c r="D30" i="37"/>
  <c r="L30" i="37" s="1"/>
  <c r="D29" i="37"/>
  <c r="L29" i="37" s="1"/>
  <c r="L28" i="37"/>
  <c r="D27" i="37"/>
  <c r="L27" i="37" s="1"/>
  <c r="D26" i="37"/>
  <c r="L26" i="37" s="1"/>
  <c r="D25" i="37"/>
  <c r="L25" i="37" s="1"/>
  <c r="D24" i="37"/>
  <c r="L24" i="37" s="1"/>
  <c r="D23" i="37"/>
  <c r="L23" i="37" s="1"/>
  <c r="D22" i="37"/>
  <c r="L22" i="37" s="1"/>
  <c r="L21" i="37"/>
  <c r="D20" i="37"/>
  <c r="L20" i="37" s="1"/>
  <c r="D19" i="37"/>
  <c r="L19" i="37" s="1"/>
  <c r="D18" i="37"/>
  <c r="L18" i="37" s="1"/>
  <c r="D17" i="37"/>
  <c r="L17" i="37" s="1"/>
  <c r="D16" i="37"/>
  <c r="L16" i="37" s="1"/>
  <c r="D15" i="37"/>
  <c r="L15" i="37" s="1"/>
  <c r="L14" i="37"/>
  <c r="D13" i="37"/>
  <c r="L13" i="37" s="1"/>
  <c r="D12" i="37"/>
  <c r="L12" i="37" s="1"/>
  <c r="D11" i="37"/>
  <c r="L11" i="37" s="1"/>
  <c r="D10" i="37"/>
  <c r="L10" i="37" s="1"/>
  <c r="D9" i="37"/>
  <c r="D7" i="37"/>
  <c r="D57" i="36"/>
  <c r="D55" i="36"/>
  <c r="L55" i="36" s="1"/>
  <c r="D54" i="36"/>
  <c r="L54" i="36" s="1"/>
  <c r="D53" i="36"/>
  <c r="L53" i="36" s="1"/>
  <c r="D52" i="36"/>
  <c r="L52" i="36" s="1"/>
  <c r="L51" i="36"/>
  <c r="D50" i="36"/>
  <c r="L50" i="36" s="1"/>
  <c r="D49" i="36"/>
  <c r="L49" i="36" s="1"/>
  <c r="D48" i="36"/>
  <c r="L48" i="36" s="1"/>
  <c r="D47" i="36"/>
  <c r="L47" i="36" s="1"/>
  <c r="D46" i="36"/>
  <c r="L46" i="36" s="1"/>
  <c r="D45" i="36"/>
  <c r="L45" i="36" s="1"/>
  <c r="D44" i="36"/>
  <c r="L44" i="36" s="1"/>
  <c r="D43" i="36"/>
  <c r="L43" i="36" s="1"/>
  <c r="D42" i="36"/>
  <c r="L42" i="36" s="1"/>
  <c r="D41" i="36"/>
  <c r="L41" i="36" s="1"/>
  <c r="L40" i="36"/>
  <c r="D39" i="36"/>
  <c r="L39" i="36" s="1"/>
  <c r="D38" i="36"/>
  <c r="L38" i="36" s="1"/>
  <c r="D37" i="36"/>
  <c r="L37" i="36" s="1"/>
  <c r="D36" i="36"/>
  <c r="L36" i="36" s="1"/>
  <c r="D35" i="36"/>
  <c r="L35" i="36" s="1"/>
  <c r="D34" i="36"/>
  <c r="L34" i="36" s="1"/>
  <c r="D33" i="36"/>
  <c r="L33" i="36" s="1"/>
  <c r="D32" i="36"/>
  <c r="L32" i="36" s="1"/>
  <c r="D31" i="36"/>
  <c r="L31" i="36" s="1"/>
  <c r="L30" i="36"/>
  <c r="D29" i="36"/>
  <c r="L29" i="36" s="1"/>
  <c r="D28" i="36"/>
  <c r="L28" i="36" s="1"/>
  <c r="D27" i="36"/>
  <c r="L27" i="36" s="1"/>
  <c r="D26" i="36"/>
  <c r="L26" i="36" s="1"/>
  <c r="D25" i="36"/>
  <c r="L25" i="36" s="1"/>
  <c r="D24" i="36"/>
  <c r="L24" i="36" s="1"/>
  <c r="D23" i="36"/>
  <c r="L23" i="36" s="1"/>
  <c r="D22" i="36"/>
  <c r="L22" i="36" s="1"/>
  <c r="D21" i="36"/>
  <c r="L21" i="36" s="1"/>
  <c r="D20" i="36"/>
  <c r="L20" i="36" s="1"/>
  <c r="L19" i="36"/>
  <c r="D18" i="36"/>
  <c r="L18" i="36" s="1"/>
  <c r="D17" i="36"/>
  <c r="L17" i="36" s="1"/>
  <c r="D16" i="36"/>
  <c r="L16" i="36" s="1"/>
  <c r="D15" i="36"/>
  <c r="L15" i="36" s="1"/>
  <c r="D14" i="36"/>
  <c r="L14" i="36" s="1"/>
  <c r="D13" i="36"/>
  <c r="L13" i="36" s="1"/>
  <c r="D12" i="36"/>
  <c r="L12" i="36" s="1"/>
  <c r="D11" i="36"/>
  <c r="L11" i="36" s="1"/>
  <c r="D10" i="36"/>
  <c r="L10" i="36" s="1"/>
  <c r="D9" i="36"/>
  <c r="D7" i="36"/>
  <c r="D57" i="35"/>
  <c r="D55" i="35"/>
  <c r="L55" i="35" s="1"/>
  <c r="D54" i="35"/>
  <c r="L54" i="35" s="1"/>
  <c r="D53" i="35"/>
  <c r="L53" i="35" s="1"/>
  <c r="L52" i="35"/>
  <c r="D51" i="35"/>
  <c r="L51" i="35" s="1"/>
  <c r="D50" i="35"/>
  <c r="L50" i="35" s="1"/>
  <c r="D49" i="35"/>
  <c r="L49" i="35" s="1"/>
  <c r="D48" i="35"/>
  <c r="L48" i="35" s="1"/>
  <c r="D47" i="35"/>
  <c r="L47" i="35" s="1"/>
  <c r="D46" i="35"/>
  <c r="L46" i="35" s="1"/>
  <c r="D45" i="35"/>
  <c r="L45" i="35" s="1"/>
  <c r="D44" i="35"/>
  <c r="L44" i="35" s="1"/>
  <c r="D43" i="35"/>
  <c r="L43" i="35" s="1"/>
  <c r="D42" i="35"/>
  <c r="L42" i="35" s="1"/>
  <c r="D41" i="35"/>
  <c r="L41" i="35" s="1"/>
  <c r="D40" i="35"/>
  <c r="L40" i="35" s="1"/>
  <c r="D39" i="35"/>
  <c r="L39" i="35" s="1"/>
  <c r="D38" i="35"/>
  <c r="L38" i="35" s="1"/>
  <c r="D37" i="35"/>
  <c r="L37" i="35" s="1"/>
  <c r="D36" i="35"/>
  <c r="L36" i="35" s="1"/>
  <c r="D35" i="35"/>
  <c r="L35" i="35" s="1"/>
  <c r="D34" i="35"/>
  <c r="L34" i="35" s="1"/>
  <c r="D33" i="35"/>
  <c r="L33" i="35" s="1"/>
  <c r="D32" i="35"/>
  <c r="L32" i="35" s="1"/>
  <c r="D31" i="35"/>
  <c r="L31" i="35" s="1"/>
  <c r="D30" i="35"/>
  <c r="L30" i="35" s="1"/>
  <c r="L29" i="35"/>
  <c r="D28" i="35"/>
  <c r="L28" i="35" s="1"/>
  <c r="D27" i="35"/>
  <c r="L27" i="35" s="1"/>
  <c r="D26" i="35"/>
  <c r="L26" i="35" s="1"/>
  <c r="D25" i="35"/>
  <c r="L25" i="35" s="1"/>
  <c r="D24" i="35"/>
  <c r="L24" i="35" s="1"/>
  <c r="D23" i="35"/>
  <c r="L23" i="35" s="1"/>
  <c r="D22" i="35"/>
  <c r="L22" i="35" s="1"/>
  <c r="D21" i="35"/>
  <c r="L21" i="35" s="1"/>
  <c r="D20" i="35"/>
  <c r="L20" i="35" s="1"/>
  <c r="D19" i="35"/>
  <c r="L19" i="35" s="1"/>
  <c r="D18" i="35"/>
  <c r="L18" i="35" s="1"/>
  <c r="D17" i="35"/>
  <c r="L17" i="35" s="1"/>
  <c r="D16" i="35"/>
  <c r="L16" i="35" s="1"/>
  <c r="D15" i="35"/>
  <c r="L15" i="35" s="1"/>
  <c r="D14" i="35"/>
  <c r="L14" i="35" s="1"/>
  <c r="D13" i="35"/>
  <c r="L13" i="35" s="1"/>
  <c r="D12" i="35"/>
  <c r="L12" i="35" s="1"/>
  <c r="D11" i="35"/>
  <c r="L11" i="35" s="1"/>
  <c r="D10" i="35"/>
  <c r="L10" i="35" s="1"/>
  <c r="D9" i="35"/>
  <c r="D7" i="35"/>
  <c r="D57" i="34"/>
  <c r="D55" i="34"/>
  <c r="L55" i="34" s="1"/>
  <c r="L54" i="34"/>
  <c r="D53" i="34"/>
  <c r="L53" i="34" s="1"/>
  <c r="D52" i="34"/>
  <c r="L52" i="34" s="1"/>
  <c r="D51" i="34"/>
  <c r="L51" i="34" s="1"/>
  <c r="D50" i="34"/>
  <c r="L50" i="34" s="1"/>
  <c r="D49" i="34"/>
  <c r="L49" i="34" s="1"/>
  <c r="L48" i="34"/>
  <c r="D47" i="34"/>
  <c r="L47" i="34" s="1"/>
  <c r="D46" i="34"/>
  <c r="L46" i="34" s="1"/>
  <c r="D45" i="34"/>
  <c r="L45" i="34" s="1"/>
  <c r="D44" i="34"/>
  <c r="L44" i="34" s="1"/>
  <c r="D43" i="34"/>
  <c r="L43" i="34" s="1"/>
  <c r="L42" i="34"/>
  <c r="D41" i="34"/>
  <c r="L41" i="34" s="1"/>
  <c r="D40" i="34"/>
  <c r="L40" i="34" s="1"/>
  <c r="D39" i="34"/>
  <c r="L39" i="34" s="1"/>
  <c r="D38" i="34"/>
  <c r="L38" i="34" s="1"/>
  <c r="D37" i="34"/>
  <c r="L37" i="34" s="1"/>
  <c r="D36" i="34"/>
  <c r="L36" i="34" s="1"/>
  <c r="L35" i="34"/>
  <c r="D34" i="34"/>
  <c r="L34" i="34" s="1"/>
  <c r="D33" i="34"/>
  <c r="L33" i="34" s="1"/>
  <c r="D32" i="34"/>
  <c r="L32" i="34" s="1"/>
  <c r="D31" i="34"/>
  <c r="L31" i="34" s="1"/>
  <c r="D30" i="34"/>
  <c r="L30" i="34" s="1"/>
  <c r="L29" i="34"/>
  <c r="D28" i="34"/>
  <c r="L28" i="34" s="1"/>
  <c r="D27" i="34"/>
  <c r="L27" i="34" s="1"/>
  <c r="D26" i="34"/>
  <c r="L26" i="34" s="1"/>
  <c r="D25" i="34"/>
  <c r="L25" i="34" s="1"/>
  <c r="D24" i="34"/>
  <c r="L24" i="34" s="1"/>
  <c r="D23" i="34"/>
  <c r="L23" i="34" s="1"/>
  <c r="L22" i="34"/>
  <c r="D21" i="34"/>
  <c r="L21" i="34" s="1"/>
  <c r="D20" i="34"/>
  <c r="L20" i="34" s="1"/>
  <c r="D19" i="34"/>
  <c r="L19" i="34" s="1"/>
  <c r="D18" i="34"/>
  <c r="L18" i="34" s="1"/>
  <c r="D17" i="34"/>
  <c r="L17" i="34" s="1"/>
  <c r="D14" i="34"/>
  <c r="L14" i="34" s="1"/>
  <c r="D13" i="34"/>
  <c r="L13" i="34" s="1"/>
  <c r="D12" i="34"/>
  <c r="L12" i="34" s="1"/>
  <c r="D11" i="34"/>
  <c r="L11" i="34" s="1"/>
  <c r="D10" i="34"/>
  <c r="L10" i="34" s="1"/>
  <c r="D9" i="34"/>
  <c r="D7" i="34"/>
  <c r="D57" i="33"/>
  <c r="D55" i="33"/>
  <c r="L55" i="33" s="1"/>
  <c r="L54" i="33"/>
  <c r="D53" i="33"/>
  <c r="L53" i="33" s="1"/>
  <c r="D52" i="33"/>
  <c r="L52" i="33" s="1"/>
  <c r="D51" i="33"/>
  <c r="L51" i="33" s="1"/>
  <c r="D50" i="33"/>
  <c r="L50" i="33" s="1"/>
  <c r="D49" i="33"/>
  <c r="L49" i="33" s="1"/>
  <c r="L48" i="33"/>
  <c r="D47" i="33"/>
  <c r="L47" i="33" s="1"/>
  <c r="D46" i="33"/>
  <c r="L46" i="33" s="1"/>
  <c r="D45" i="33"/>
  <c r="L45" i="33" s="1"/>
  <c r="D44" i="33"/>
  <c r="L44" i="33" s="1"/>
  <c r="D43" i="33"/>
  <c r="L43" i="33" s="1"/>
  <c r="L42" i="33"/>
  <c r="D41" i="33"/>
  <c r="L41" i="33" s="1"/>
  <c r="D40" i="33"/>
  <c r="L40" i="33" s="1"/>
  <c r="D39" i="33"/>
  <c r="L39" i="33" s="1"/>
  <c r="D38" i="33"/>
  <c r="L38" i="33" s="1"/>
  <c r="L37" i="33"/>
  <c r="D36" i="33"/>
  <c r="L36" i="33" s="1"/>
  <c r="D35" i="33"/>
  <c r="L35" i="33" s="1"/>
  <c r="D34" i="33"/>
  <c r="L34" i="33" s="1"/>
  <c r="D33" i="33"/>
  <c r="L33" i="33" s="1"/>
  <c r="D32" i="33"/>
  <c r="L32" i="33" s="1"/>
  <c r="L31" i="33"/>
  <c r="D30" i="33"/>
  <c r="L30" i="33" s="1"/>
  <c r="D29" i="33"/>
  <c r="L29" i="33" s="1"/>
  <c r="D28" i="33"/>
  <c r="L28" i="33" s="1"/>
  <c r="D27" i="33"/>
  <c r="L27" i="33" s="1"/>
  <c r="D26" i="33"/>
  <c r="L26" i="33" s="1"/>
  <c r="L25" i="33"/>
  <c r="D24" i="33"/>
  <c r="L24" i="33" s="1"/>
  <c r="D23" i="33"/>
  <c r="L23" i="33" s="1"/>
  <c r="D22" i="33"/>
  <c r="L22" i="33" s="1"/>
  <c r="D21" i="33"/>
  <c r="L21" i="33" s="1"/>
  <c r="D20" i="33"/>
  <c r="L20" i="33" s="1"/>
  <c r="L19" i="33"/>
  <c r="D18" i="33"/>
  <c r="L18" i="33" s="1"/>
  <c r="D17" i="33"/>
  <c r="L17" i="33" s="1"/>
  <c r="D16" i="33"/>
  <c r="L16" i="33" s="1"/>
  <c r="D15" i="33"/>
  <c r="L15" i="33" s="1"/>
  <c r="D14" i="33"/>
  <c r="L14" i="33" s="1"/>
  <c r="L13" i="33"/>
  <c r="D12" i="33"/>
  <c r="L12" i="33" s="1"/>
  <c r="D11" i="33"/>
  <c r="L11" i="33" s="1"/>
  <c r="D10" i="33"/>
  <c r="L10" i="33" s="1"/>
  <c r="D9" i="33"/>
  <c r="D7" i="33"/>
  <c r="D57" i="32"/>
  <c r="D55" i="32"/>
  <c r="L55" i="32" s="1"/>
  <c r="L54" i="32"/>
  <c r="D53" i="32"/>
  <c r="L53" i="32" s="1"/>
  <c r="D52" i="32"/>
  <c r="L52" i="32" s="1"/>
  <c r="D51" i="32"/>
  <c r="L51" i="32" s="1"/>
  <c r="D50" i="32"/>
  <c r="L50" i="32" s="1"/>
  <c r="D49" i="32"/>
  <c r="L49" i="32" s="1"/>
  <c r="L48" i="32"/>
  <c r="D47" i="32"/>
  <c r="L47" i="32" s="1"/>
  <c r="D46" i="32"/>
  <c r="L46" i="32" s="1"/>
  <c r="D45" i="32"/>
  <c r="L45" i="32" s="1"/>
  <c r="D44" i="32"/>
  <c r="L44" i="32" s="1"/>
  <c r="D43" i="32"/>
  <c r="L43" i="32" s="1"/>
  <c r="L42" i="32"/>
  <c r="D41" i="32"/>
  <c r="L41" i="32" s="1"/>
  <c r="D40" i="32"/>
  <c r="L40" i="32" s="1"/>
  <c r="D39" i="32"/>
  <c r="L39" i="32" s="1"/>
  <c r="D38" i="32"/>
  <c r="L38" i="32" s="1"/>
  <c r="D37" i="32"/>
  <c r="L37" i="32" s="1"/>
  <c r="L36" i="32"/>
  <c r="D35" i="32"/>
  <c r="L35" i="32" s="1"/>
  <c r="D34" i="32"/>
  <c r="L34" i="32" s="1"/>
  <c r="D33" i="32"/>
  <c r="L33" i="32" s="1"/>
  <c r="D32" i="32"/>
  <c r="L32" i="32" s="1"/>
  <c r="D31" i="32"/>
  <c r="L31" i="32" s="1"/>
  <c r="L30" i="32"/>
  <c r="D29" i="32"/>
  <c r="L29" i="32" s="1"/>
  <c r="D28" i="32"/>
  <c r="L28" i="32" s="1"/>
  <c r="D27" i="32"/>
  <c r="L27" i="32" s="1"/>
  <c r="D26" i="32"/>
  <c r="L26" i="32" s="1"/>
  <c r="D25" i="32"/>
  <c r="L25" i="32" s="1"/>
  <c r="L24" i="32"/>
  <c r="D23" i="32"/>
  <c r="L23" i="32" s="1"/>
  <c r="D22" i="32"/>
  <c r="L22" i="32" s="1"/>
  <c r="D21" i="32"/>
  <c r="L21" i="32" s="1"/>
  <c r="D20" i="32"/>
  <c r="L20" i="32" s="1"/>
  <c r="D19" i="32"/>
  <c r="L19" i="32" s="1"/>
  <c r="L18" i="32"/>
  <c r="D17" i="32"/>
  <c r="L17" i="32" s="1"/>
  <c r="D16" i="32"/>
  <c r="L16" i="32" s="1"/>
  <c r="D15" i="32"/>
  <c r="L15" i="32" s="1"/>
  <c r="D14" i="32"/>
  <c r="L14" i="32" s="1"/>
  <c r="D13" i="32"/>
  <c r="L13" i="32" s="1"/>
  <c r="L12" i="32"/>
  <c r="D11" i="32"/>
  <c r="L11" i="32" s="1"/>
  <c r="D10" i="32"/>
  <c r="L10" i="32" s="1"/>
  <c r="D9" i="32"/>
  <c r="D7" i="32"/>
  <c r="D57" i="31"/>
  <c r="D55" i="31"/>
  <c r="L55" i="31" s="1"/>
  <c r="D54" i="31"/>
  <c r="L54" i="31" s="1"/>
  <c r="D53" i="31"/>
  <c r="L53" i="31" s="1"/>
  <c r="D52" i="31"/>
  <c r="L52" i="31" s="1"/>
  <c r="D51" i="31"/>
  <c r="L51" i="31" s="1"/>
  <c r="D50" i="31"/>
  <c r="L50" i="31" s="1"/>
  <c r="D49" i="31"/>
  <c r="L49" i="31" s="1"/>
  <c r="D48" i="31"/>
  <c r="L48" i="31" s="1"/>
  <c r="D47" i="31"/>
  <c r="L47" i="31" s="1"/>
  <c r="D46" i="31"/>
  <c r="L46" i="31" s="1"/>
  <c r="D45" i="31"/>
  <c r="L45" i="31" s="1"/>
  <c r="D44" i="31"/>
  <c r="L44" i="31" s="1"/>
  <c r="D43" i="31"/>
  <c r="L43" i="31" s="1"/>
  <c r="D42" i="31"/>
  <c r="L42" i="31" s="1"/>
  <c r="D41" i="31"/>
  <c r="L41" i="31" s="1"/>
  <c r="D40" i="31"/>
  <c r="L40" i="31" s="1"/>
  <c r="D39" i="31"/>
  <c r="L39" i="31" s="1"/>
  <c r="D38" i="31"/>
  <c r="L38" i="31" s="1"/>
  <c r="D37" i="31"/>
  <c r="L37" i="31" s="1"/>
  <c r="D36" i="31"/>
  <c r="L36" i="31" s="1"/>
  <c r="D35" i="31"/>
  <c r="L35" i="31" s="1"/>
  <c r="D34" i="31"/>
  <c r="L34" i="31" s="1"/>
  <c r="D33" i="31"/>
  <c r="L33" i="31" s="1"/>
  <c r="D32" i="31"/>
  <c r="L32" i="31" s="1"/>
  <c r="D31" i="31"/>
  <c r="L31" i="31" s="1"/>
  <c r="D30" i="31"/>
  <c r="L30" i="31" s="1"/>
  <c r="D29" i="31"/>
  <c r="L29" i="31" s="1"/>
  <c r="D28" i="31"/>
  <c r="L28" i="31" s="1"/>
  <c r="D27" i="31"/>
  <c r="L27" i="31" s="1"/>
  <c r="D26" i="31"/>
  <c r="L26" i="31" s="1"/>
  <c r="D25" i="31"/>
  <c r="L25" i="31" s="1"/>
  <c r="D24" i="31"/>
  <c r="L24" i="31" s="1"/>
  <c r="D23" i="31"/>
  <c r="L23" i="31" s="1"/>
  <c r="D22" i="31"/>
  <c r="L22" i="31" s="1"/>
  <c r="D21" i="31"/>
  <c r="L21" i="31" s="1"/>
  <c r="D20" i="31"/>
  <c r="L20" i="31" s="1"/>
  <c r="D19" i="31"/>
  <c r="L19" i="31" s="1"/>
  <c r="D18" i="31"/>
  <c r="L18" i="31" s="1"/>
  <c r="D17" i="31"/>
  <c r="L17" i="31" s="1"/>
  <c r="D16" i="31"/>
  <c r="L16" i="31" s="1"/>
  <c r="D15" i="31"/>
  <c r="L15" i="31" s="1"/>
  <c r="D14" i="31"/>
  <c r="L14" i="31" s="1"/>
  <c r="D13" i="31"/>
  <c r="L13" i="31" s="1"/>
  <c r="D12" i="31"/>
  <c r="L12" i="31" s="1"/>
  <c r="D11" i="31"/>
  <c r="L11" i="31" s="1"/>
  <c r="D10" i="31"/>
  <c r="L10" i="31" s="1"/>
  <c r="D9" i="31"/>
  <c r="D7" i="31"/>
  <c r="D57" i="30"/>
  <c r="D55" i="30"/>
  <c r="L55" i="30" s="1"/>
  <c r="D54" i="30"/>
  <c r="L54" i="30" s="1"/>
  <c r="D53" i="30"/>
  <c r="L53" i="30" s="1"/>
  <c r="D52" i="30"/>
  <c r="L52" i="30" s="1"/>
  <c r="D51" i="30"/>
  <c r="L51" i="30" s="1"/>
  <c r="D50" i="30"/>
  <c r="L50" i="30" s="1"/>
  <c r="D49" i="30"/>
  <c r="L49" i="30" s="1"/>
  <c r="D48" i="30"/>
  <c r="L48" i="30" s="1"/>
  <c r="D47" i="30"/>
  <c r="L47" i="30" s="1"/>
  <c r="D46" i="30"/>
  <c r="L46" i="30" s="1"/>
  <c r="D45" i="30"/>
  <c r="L45" i="30" s="1"/>
  <c r="L44" i="30"/>
  <c r="D43" i="30"/>
  <c r="L43" i="30" s="1"/>
  <c r="D42" i="30"/>
  <c r="L42" i="30" s="1"/>
  <c r="D41" i="30"/>
  <c r="L41" i="30" s="1"/>
  <c r="D40" i="30"/>
  <c r="L40" i="30" s="1"/>
  <c r="D39" i="30"/>
  <c r="L39" i="30" s="1"/>
  <c r="D38" i="30"/>
  <c r="L38" i="30" s="1"/>
  <c r="D37" i="30"/>
  <c r="L37" i="30" s="1"/>
  <c r="D36" i="30"/>
  <c r="L36" i="30" s="1"/>
  <c r="D35" i="30"/>
  <c r="L35" i="30" s="1"/>
  <c r="D34" i="30"/>
  <c r="L34" i="30" s="1"/>
  <c r="D33" i="30"/>
  <c r="L33" i="30" s="1"/>
  <c r="D32" i="30"/>
  <c r="L32" i="30" s="1"/>
  <c r="D31" i="30"/>
  <c r="L31" i="30" s="1"/>
  <c r="D30" i="30"/>
  <c r="L30" i="30" s="1"/>
  <c r="L29" i="30"/>
  <c r="D28" i="30"/>
  <c r="L28" i="30" s="1"/>
  <c r="D27" i="30"/>
  <c r="L27" i="30" s="1"/>
  <c r="D26" i="30"/>
  <c r="L26" i="30" s="1"/>
  <c r="D25" i="30"/>
  <c r="L25" i="30" s="1"/>
  <c r="D24" i="30"/>
  <c r="L24" i="30" s="1"/>
  <c r="D23" i="30"/>
  <c r="L23" i="30" s="1"/>
  <c r="D22" i="30"/>
  <c r="L22" i="30" s="1"/>
  <c r="D21" i="30"/>
  <c r="L21" i="30" s="1"/>
  <c r="D20" i="30"/>
  <c r="L20" i="30" s="1"/>
  <c r="D19" i="30"/>
  <c r="L19" i="30" s="1"/>
  <c r="D18" i="30"/>
  <c r="L18" i="30" s="1"/>
  <c r="D17" i="30"/>
  <c r="L17" i="30" s="1"/>
  <c r="D16" i="30"/>
  <c r="L16" i="30" s="1"/>
  <c r="L15" i="30"/>
  <c r="D14" i="30"/>
  <c r="L14" i="30" s="1"/>
  <c r="D13" i="30"/>
  <c r="L13" i="30" s="1"/>
  <c r="D12" i="30"/>
  <c r="L12" i="30" s="1"/>
  <c r="D11" i="30"/>
  <c r="L11" i="30" s="1"/>
  <c r="D10" i="30"/>
  <c r="L10" i="30" s="1"/>
  <c r="D9" i="30"/>
  <c r="D7" i="30"/>
  <c r="D57" i="29"/>
  <c r="L55" i="29"/>
  <c r="D54" i="29"/>
  <c r="L54" i="29" s="1"/>
  <c r="D53" i="29"/>
  <c r="L53" i="29" s="1"/>
  <c r="D52" i="29"/>
  <c r="L52" i="29" s="1"/>
  <c r="D51" i="29"/>
  <c r="L51" i="29" s="1"/>
  <c r="L50" i="29"/>
  <c r="D49" i="29"/>
  <c r="L49" i="29" s="1"/>
  <c r="D48" i="29"/>
  <c r="L48" i="29" s="1"/>
  <c r="D47" i="29"/>
  <c r="L47" i="29" s="1"/>
  <c r="D46" i="29"/>
  <c r="L46" i="29" s="1"/>
  <c r="L45" i="29"/>
  <c r="D44" i="29"/>
  <c r="L44" i="29" s="1"/>
  <c r="D43" i="29"/>
  <c r="L43" i="29" s="1"/>
  <c r="D42" i="29"/>
  <c r="L42" i="29" s="1"/>
  <c r="D41" i="29"/>
  <c r="L41" i="29" s="1"/>
  <c r="L40" i="29"/>
  <c r="D39" i="29"/>
  <c r="L39" i="29" s="1"/>
  <c r="D38" i="29"/>
  <c r="L38" i="29" s="1"/>
  <c r="D37" i="29"/>
  <c r="L37" i="29" s="1"/>
  <c r="L36" i="29"/>
  <c r="D35" i="29"/>
  <c r="L35" i="29" s="1"/>
  <c r="D34" i="29"/>
  <c r="L34" i="29" s="1"/>
  <c r="D33" i="29"/>
  <c r="L33" i="29" s="1"/>
  <c r="D32" i="29"/>
  <c r="L32" i="29" s="1"/>
  <c r="L31" i="29"/>
  <c r="D30" i="29"/>
  <c r="L30" i="29" s="1"/>
  <c r="D29" i="29"/>
  <c r="L29" i="29" s="1"/>
  <c r="D28" i="29"/>
  <c r="L28" i="29" s="1"/>
  <c r="D27" i="29"/>
  <c r="L27" i="29" s="1"/>
  <c r="L26" i="29"/>
  <c r="D25" i="29"/>
  <c r="L25" i="29" s="1"/>
  <c r="D24" i="29"/>
  <c r="L24" i="29" s="1"/>
  <c r="D23" i="29"/>
  <c r="L23" i="29" s="1"/>
  <c r="D22" i="29"/>
  <c r="L22" i="29" s="1"/>
  <c r="L21" i="29"/>
  <c r="D20" i="29"/>
  <c r="L20" i="29" s="1"/>
  <c r="D19" i="29"/>
  <c r="L19" i="29" s="1"/>
  <c r="D18" i="29"/>
  <c r="L18" i="29" s="1"/>
  <c r="D17" i="29"/>
  <c r="L17" i="29" s="1"/>
  <c r="L16" i="29"/>
  <c r="D15" i="29"/>
  <c r="L15" i="29" s="1"/>
  <c r="D14" i="29"/>
  <c r="L14" i="29" s="1"/>
  <c r="D13" i="29"/>
  <c r="L13" i="29" s="1"/>
  <c r="L12" i="29"/>
  <c r="D11" i="29"/>
  <c r="L11" i="29" s="1"/>
  <c r="D10" i="29"/>
  <c r="L10" i="29" s="1"/>
  <c r="D9" i="29"/>
  <c r="D7" i="29"/>
  <c r="E57" i="28"/>
  <c r="E54" i="28"/>
  <c r="E53" i="28"/>
  <c r="E52" i="28"/>
  <c r="E51" i="28"/>
  <c r="E50" i="28"/>
  <c r="E48" i="28"/>
  <c r="E47" i="28"/>
  <c r="E46" i="28"/>
  <c r="E45" i="28"/>
  <c r="E44" i="28"/>
  <c r="E42" i="28"/>
  <c r="E41" i="28"/>
  <c r="E40" i="28"/>
  <c r="E39" i="28"/>
  <c r="E38" i="28"/>
  <c r="E37" i="28"/>
  <c r="E35" i="28"/>
  <c r="E34" i="28"/>
  <c r="E33" i="28"/>
  <c r="E32" i="28"/>
  <c r="E31" i="28"/>
  <c r="E29" i="28"/>
  <c r="E28" i="28"/>
  <c r="E27" i="28"/>
  <c r="E26" i="28"/>
  <c r="E25" i="28"/>
  <c r="E24" i="28"/>
  <c r="E22" i="28"/>
  <c r="E21" i="28"/>
  <c r="E20" i="28"/>
  <c r="E19" i="28"/>
  <c r="E18" i="28"/>
  <c r="E16" i="28"/>
  <c r="E15" i="28"/>
  <c r="E14" i="28"/>
  <c r="E13" i="28"/>
  <c r="D12" i="28"/>
  <c r="L12" i="28" s="1"/>
  <c r="L11" i="28"/>
  <c r="D10" i="28"/>
  <c r="L10" i="28" s="1"/>
  <c r="D9" i="28"/>
  <c r="D7" i="28"/>
  <c r="D57" i="27"/>
  <c r="D55" i="27"/>
  <c r="L55" i="27" s="1"/>
  <c r="D54" i="27"/>
  <c r="L54" i="27" s="1"/>
  <c r="D53" i="27"/>
  <c r="L53" i="27" s="1"/>
  <c r="L52" i="27"/>
  <c r="D51" i="27"/>
  <c r="L51" i="27" s="1"/>
  <c r="D50" i="27"/>
  <c r="L50" i="27" s="1"/>
  <c r="D49" i="27"/>
  <c r="L49" i="27" s="1"/>
  <c r="D48" i="27"/>
  <c r="L48" i="27" s="1"/>
  <c r="D47" i="27"/>
  <c r="L47" i="27" s="1"/>
  <c r="D46" i="27"/>
  <c r="L46" i="27" s="1"/>
  <c r="D45" i="27"/>
  <c r="L45" i="27" s="1"/>
  <c r="D44" i="27"/>
  <c r="L44" i="27" s="1"/>
  <c r="D43" i="27"/>
  <c r="L43" i="27" s="1"/>
  <c r="L42" i="27"/>
  <c r="D41" i="27"/>
  <c r="L41" i="27" s="1"/>
  <c r="D40" i="27"/>
  <c r="L40" i="27" s="1"/>
  <c r="D39" i="27"/>
  <c r="L39" i="27" s="1"/>
  <c r="D38" i="27"/>
  <c r="L38" i="27" s="1"/>
  <c r="D37" i="27"/>
  <c r="L37" i="27" s="1"/>
  <c r="D36" i="27"/>
  <c r="L36" i="27" s="1"/>
  <c r="D35" i="27"/>
  <c r="L35" i="27" s="1"/>
  <c r="D34" i="27"/>
  <c r="L34" i="27" s="1"/>
  <c r="D33" i="27"/>
  <c r="L33" i="27" s="1"/>
  <c r="L32" i="27"/>
  <c r="D31" i="27"/>
  <c r="L31" i="27" s="1"/>
  <c r="D30" i="27"/>
  <c r="L30" i="27" s="1"/>
  <c r="D29" i="27"/>
  <c r="L29" i="27" s="1"/>
  <c r="D28" i="27"/>
  <c r="L28" i="27" s="1"/>
  <c r="D27" i="27"/>
  <c r="L27" i="27" s="1"/>
  <c r="D26" i="27"/>
  <c r="L26" i="27" s="1"/>
  <c r="D25" i="27"/>
  <c r="L25" i="27" s="1"/>
  <c r="D24" i="27"/>
  <c r="L24" i="27" s="1"/>
  <c r="D23" i="27"/>
  <c r="L23" i="27" s="1"/>
  <c r="L22" i="27"/>
  <c r="D21" i="27"/>
  <c r="L21" i="27" s="1"/>
  <c r="D20" i="27"/>
  <c r="L20" i="27" s="1"/>
  <c r="D19" i="27"/>
  <c r="L19" i="27" s="1"/>
  <c r="D18" i="27"/>
  <c r="L18" i="27" s="1"/>
  <c r="D17" i="27"/>
  <c r="L17" i="27" s="1"/>
  <c r="D16" i="27"/>
  <c r="L16" i="27" s="1"/>
  <c r="D15" i="27"/>
  <c r="L15" i="27" s="1"/>
  <c r="D14" i="27"/>
  <c r="L14" i="27" s="1"/>
  <c r="D13" i="27"/>
  <c r="L13" i="27" s="1"/>
  <c r="L12" i="27"/>
  <c r="D11" i="27"/>
  <c r="L11" i="27" s="1"/>
  <c r="D10" i="27"/>
  <c r="L10" i="27" s="1"/>
  <c r="D9" i="27"/>
  <c r="D7" i="27"/>
  <c r="D57" i="26"/>
  <c r="L55" i="26"/>
  <c r="D54" i="26"/>
  <c r="L54" i="26" s="1"/>
  <c r="D53" i="26"/>
  <c r="L53" i="26" s="1"/>
  <c r="D52" i="26"/>
  <c r="L52" i="26" s="1"/>
  <c r="D51" i="26"/>
  <c r="L51" i="26" s="1"/>
  <c r="D50" i="26"/>
  <c r="L50" i="26" s="1"/>
  <c r="D49" i="26"/>
  <c r="L49" i="26" s="1"/>
  <c r="D48" i="26"/>
  <c r="L48" i="26" s="1"/>
  <c r="D47" i="26"/>
  <c r="L47" i="26" s="1"/>
  <c r="L46" i="26"/>
  <c r="D45" i="26"/>
  <c r="L45" i="26" s="1"/>
  <c r="D44" i="26"/>
  <c r="L44" i="26" s="1"/>
  <c r="D43" i="26"/>
  <c r="L43" i="26" s="1"/>
  <c r="D42" i="26"/>
  <c r="L42" i="26" s="1"/>
  <c r="D41" i="26"/>
  <c r="L41" i="26" s="1"/>
  <c r="D40" i="26"/>
  <c r="L40" i="26" s="1"/>
  <c r="D39" i="26"/>
  <c r="L39" i="26" s="1"/>
  <c r="D38" i="26"/>
  <c r="L38" i="26" s="1"/>
  <c r="L37" i="26"/>
  <c r="D36" i="26"/>
  <c r="L36" i="26" s="1"/>
  <c r="D35" i="26"/>
  <c r="L35" i="26" s="1"/>
  <c r="D34" i="26"/>
  <c r="L34" i="26" s="1"/>
  <c r="D33" i="26"/>
  <c r="L33" i="26" s="1"/>
  <c r="D32" i="26"/>
  <c r="L32" i="26" s="1"/>
  <c r="D31" i="26"/>
  <c r="L31" i="26" s="1"/>
  <c r="D30" i="26"/>
  <c r="L30" i="26" s="1"/>
  <c r="D29" i="26"/>
  <c r="L29" i="26" s="1"/>
  <c r="L28" i="26"/>
  <c r="D27" i="26"/>
  <c r="L27" i="26" s="1"/>
  <c r="D26" i="26"/>
  <c r="L26" i="26" s="1"/>
  <c r="D25" i="26"/>
  <c r="L25" i="26" s="1"/>
  <c r="D24" i="26"/>
  <c r="L24" i="26" s="1"/>
  <c r="D23" i="26"/>
  <c r="L23" i="26" s="1"/>
  <c r="D22" i="26"/>
  <c r="L22" i="26" s="1"/>
  <c r="D21" i="26"/>
  <c r="L21" i="26" s="1"/>
  <c r="D20" i="26"/>
  <c r="L20" i="26" s="1"/>
  <c r="L19" i="26"/>
  <c r="D18" i="26"/>
  <c r="L18" i="26" s="1"/>
  <c r="D17" i="26"/>
  <c r="L17" i="26" s="1"/>
  <c r="D16" i="26"/>
  <c r="L16" i="26" s="1"/>
  <c r="D15" i="26"/>
  <c r="L15" i="26" s="1"/>
  <c r="D14" i="26"/>
  <c r="L14" i="26" s="1"/>
  <c r="D13" i="26"/>
  <c r="L13" i="26" s="1"/>
  <c r="D12" i="26"/>
  <c r="L12" i="26" s="1"/>
  <c r="L11" i="26"/>
  <c r="D10" i="26"/>
  <c r="L10" i="26" s="1"/>
  <c r="D9" i="26"/>
  <c r="D7" i="26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7" i="31" l="1"/>
  <c r="H7" i="31" s="1"/>
  <c r="L7" i="31"/>
  <c r="G9" i="34"/>
  <c r="H9" i="34" s="1"/>
  <c r="L9" i="34"/>
  <c r="G9" i="35"/>
  <c r="H9" i="35" s="1"/>
  <c r="L9" i="35"/>
  <c r="G7" i="36"/>
  <c r="H7" i="36" s="1"/>
  <c r="L7" i="36"/>
  <c r="G57" i="36"/>
  <c r="H57" i="36" s="1"/>
  <c r="L57" i="36"/>
  <c r="G7" i="27"/>
  <c r="H7" i="27" s="1"/>
  <c r="L7" i="27"/>
  <c r="G57" i="31"/>
  <c r="H57" i="31" s="1"/>
  <c r="L57" i="31"/>
  <c r="G9" i="27"/>
  <c r="H9" i="27" s="1"/>
  <c r="L9" i="27"/>
  <c r="G7" i="28"/>
  <c r="H7" i="28" s="1"/>
  <c r="L7" i="28"/>
  <c r="G9" i="31"/>
  <c r="H9" i="31" s="1"/>
  <c r="L9" i="31"/>
  <c r="G7" i="32"/>
  <c r="H7" i="32" s="1"/>
  <c r="L7" i="32"/>
  <c r="G57" i="32"/>
  <c r="H57" i="32" s="1"/>
  <c r="L57" i="32"/>
  <c r="G9" i="36"/>
  <c r="H9" i="36" s="1"/>
  <c r="L9" i="36"/>
  <c r="G7" i="37"/>
  <c r="H7" i="37" s="1"/>
  <c r="L7" i="37"/>
  <c r="G44" i="37"/>
  <c r="H44" i="37" s="1"/>
  <c r="L44" i="37"/>
  <c r="G48" i="37"/>
  <c r="H48" i="37" s="1"/>
  <c r="L48" i="37"/>
  <c r="G57" i="37"/>
  <c r="H57" i="37" s="1"/>
  <c r="L57" i="37"/>
  <c r="G57" i="27"/>
  <c r="H57" i="27" s="1"/>
  <c r="L57" i="27"/>
  <c r="G9" i="30"/>
  <c r="H9" i="30" s="1"/>
  <c r="L9" i="30"/>
  <c r="G7" i="29"/>
  <c r="H7" i="29" s="1"/>
  <c r="L7" i="29"/>
  <c r="G57" i="29"/>
  <c r="H57" i="29" s="1"/>
  <c r="L57" i="29"/>
  <c r="G9" i="32"/>
  <c r="H9" i="32" s="1"/>
  <c r="L9" i="32"/>
  <c r="G7" i="33"/>
  <c r="H7" i="33" s="1"/>
  <c r="L7" i="33"/>
  <c r="G57" i="33"/>
  <c r="H57" i="33" s="1"/>
  <c r="L57" i="33"/>
  <c r="L16" i="34"/>
  <c r="G57" i="34"/>
  <c r="H57" i="34" s="1"/>
  <c r="L57" i="34"/>
  <c r="G9" i="37"/>
  <c r="H9" i="37" s="1"/>
  <c r="L9" i="37"/>
  <c r="G9" i="28"/>
  <c r="H9" i="28" s="1"/>
  <c r="L9" i="28"/>
  <c r="G9" i="29"/>
  <c r="H9" i="29" s="1"/>
  <c r="L9" i="29"/>
  <c r="G7" i="30"/>
  <c r="H7" i="30" s="1"/>
  <c r="L7" i="30"/>
  <c r="G57" i="30"/>
  <c r="H57" i="30" s="1"/>
  <c r="L57" i="30"/>
  <c r="G9" i="33"/>
  <c r="H9" i="33" s="1"/>
  <c r="L9" i="33"/>
  <c r="G7" i="34"/>
  <c r="H7" i="34" s="1"/>
  <c r="L7" i="34"/>
  <c r="G7" i="35"/>
  <c r="H7" i="35" s="1"/>
  <c r="L7" i="35"/>
  <c r="G57" i="35"/>
  <c r="H57" i="35" s="1"/>
  <c r="L57" i="35"/>
  <c r="G57" i="26"/>
  <c r="H57" i="26" s="1"/>
  <c r="L57" i="26"/>
  <c r="G9" i="26"/>
  <c r="H9" i="26" s="1"/>
  <c r="L9" i="26"/>
  <c r="G7" i="26"/>
  <c r="H7" i="26" s="1"/>
  <c r="L7" i="26"/>
  <c r="G12" i="26"/>
  <c r="H12" i="26" s="1"/>
  <c r="G16" i="26"/>
  <c r="H16" i="26" s="1"/>
  <c r="G20" i="26"/>
  <c r="H20" i="26" s="1"/>
  <c r="G24" i="26"/>
  <c r="H24" i="26" s="1"/>
  <c r="G32" i="26"/>
  <c r="H32" i="26" s="1"/>
  <c r="G36" i="26"/>
  <c r="H36" i="26" s="1"/>
  <c r="G40" i="26"/>
  <c r="H40" i="26" s="1"/>
  <c r="G44" i="26"/>
  <c r="H44" i="26" s="1"/>
  <c r="G48" i="26"/>
  <c r="H48" i="26" s="1"/>
  <c r="G52" i="26"/>
  <c r="H52" i="26" s="1"/>
  <c r="G11" i="27"/>
  <c r="H11" i="27" s="1"/>
  <c r="G15" i="27"/>
  <c r="H15" i="27" s="1"/>
  <c r="G19" i="27"/>
  <c r="H19" i="27" s="1"/>
  <c r="G23" i="27"/>
  <c r="H23" i="27" s="1"/>
  <c r="G27" i="27"/>
  <c r="H27" i="27" s="1"/>
  <c r="G31" i="27"/>
  <c r="H31" i="27" s="1"/>
  <c r="G35" i="27"/>
  <c r="H35" i="27" s="1"/>
  <c r="G39" i="27"/>
  <c r="H39" i="27" s="1"/>
  <c r="G43" i="27"/>
  <c r="H43" i="27" s="1"/>
  <c r="G47" i="27"/>
  <c r="H47" i="27" s="1"/>
  <c r="G51" i="27"/>
  <c r="H51" i="27" s="1"/>
  <c r="G55" i="27"/>
  <c r="H55" i="27" s="1"/>
  <c r="G10" i="28"/>
  <c r="H10" i="28" s="1"/>
  <c r="G13" i="29"/>
  <c r="H13" i="29" s="1"/>
  <c r="G17" i="29"/>
  <c r="H17" i="29" s="1"/>
  <c r="G25" i="29"/>
  <c r="H25" i="29" s="1"/>
  <c r="G29" i="29"/>
  <c r="H29" i="29" s="1"/>
  <c r="G33" i="29"/>
  <c r="H33" i="29" s="1"/>
  <c r="G37" i="29"/>
  <c r="H37" i="29" s="1"/>
  <c r="G41" i="29"/>
  <c r="H41" i="29" s="1"/>
  <c r="G49" i="29"/>
  <c r="H49" i="29" s="1"/>
  <c r="G53" i="29"/>
  <c r="H53" i="29" s="1"/>
  <c r="G12" i="30"/>
  <c r="H12" i="30" s="1"/>
  <c r="G16" i="30"/>
  <c r="H16" i="30" s="1"/>
  <c r="G20" i="30"/>
  <c r="H20" i="30" s="1"/>
  <c r="G24" i="30"/>
  <c r="H24" i="30" s="1"/>
  <c r="G28" i="30"/>
  <c r="H28" i="30" s="1"/>
  <c r="G32" i="30"/>
  <c r="H32" i="30" s="1"/>
  <c r="G36" i="30"/>
  <c r="H36" i="30" s="1"/>
  <c r="G40" i="30"/>
  <c r="H40" i="30" s="1"/>
  <c r="G48" i="30"/>
  <c r="H48" i="30" s="1"/>
  <c r="G52" i="30"/>
  <c r="H52" i="30" s="1"/>
  <c r="G12" i="35"/>
  <c r="H12" i="35" s="1"/>
  <c r="G16" i="35"/>
  <c r="H16" i="35" s="1"/>
  <c r="G20" i="35"/>
  <c r="H20" i="35" s="1"/>
  <c r="G24" i="35"/>
  <c r="H24" i="35" s="1"/>
  <c r="G28" i="35"/>
  <c r="H28" i="35" s="1"/>
  <c r="G32" i="35"/>
  <c r="H32" i="35" s="1"/>
  <c r="G36" i="35"/>
  <c r="H36" i="35" s="1"/>
  <c r="G40" i="35"/>
  <c r="H40" i="35" s="1"/>
  <c r="G44" i="35"/>
  <c r="H44" i="35" s="1"/>
  <c r="G48" i="35"/>
  <c r="H48" i="35" s="1"/>
  <c r="G54" i="37"/>
  <c r="H54" i="37" s="1"/>
  <c r="G44" i="36"/>
  <c r="H44" i="36" s="1"/>
  <c r="G48" i="36"/>
  <c r="H48" i="36" s="1"/>
  <c r="G52" i="36"/>
  <c r="H52" i="36" s="1"/>
  <c r="G11" i="37"/>
  <c r="H11" i="37" s="1"/>
  <c r="G50" i="35"/>
  <c r="H50" i="35" s="1"/>
  <c r="G54" i="35"/>
  <c r="H54" i="35" s="1"/>
  <c r="G13" i="36"/>
  <c r="H13" i="36" s="1"/>
  <c r="G17" i="36"/>
  <c r="H17" i="36" s="1"/>
  <c r="G21" i="36"/>
  <c r="H21" i="36" s="1"/>
  <c r="G25" i="36"/>
  <c r="H25" i="36" s="1"/>
  <c r="G29" i="36"/>
  <c r="H29" i="36" s="1"/>
  <c r="G33" i="36"/>
  <c r="H33" i="36" s="1"/>
  <c r="G37" i="36"/>
  <c r="H37" i="36" s="1"/>
  <c r="G41" i="36"/>
  <c r="H41" i="36" s="1"/>
  <c r="G45" i="36"/>
  <c r="H45" i="36" s="1"/>
  <c r="G49" i="36"/>
  <c r="H49" i="36" s="1"/>
  <c r="G53" i="36"/>
  <c r="H53" i="36" s="1"/>
  <c r="G12" i="37"/>
  <c r="H12" i="37" s="1"/>
  <c r="G16" i="37"/>
  <c r="H16" i="37" s="1"/>
  <c r="G20" i="37"/>
  <c r="H20" i="37" s="1"/>
  <c r="G24" i="37"/>
  <c r="H24" i="37" s="1"/>
  <c r="G32" i="37"/>
  <c r="H32" i="37" s="1"/>
  <c r="G36" i="37"/>
  <c r="H36" i="37" s="1"/>
  <c r="G40" i="37"/>
  <c r="H40" i="37" s="1"/>
  <c r="G52" i="37"/>
  <c r="H52" i="37" s="1"/>
  <c r="G16" i="27"/>
  <c r="H16" i="27" s="1"/>
  <c r="G20" i="27"/>
  <c r="H20" i="27" s="1"/>
  <c r="G24" i="27"/>
  <c r="H24" i="27" s="1"/>
  <c r="G28" i="27"/>
  <c r="H28" i="27" s="1"/>
  <c r="G36" i="27"/>
  <c r="H36" i="27" s="1"/>
  <c r="G40" i="27"/>
  <c r="H40" i="27" s="1"/>
  <c r="G44" i="27"/>
  <c r="H44" i="27" s="1"/>
  <c r="G48" i="27"/>
  <c r="H48" i="27" s="1"/>
  <c r="G10" i="29"/>
  <c r="H10" i="29" s="1"/>
  <c r="G14" i="29"/>
  <c r="H14" i="29" s="1"/>
  <c r="G18" i="29"/>
  <c r="H18" i="29" s="1"/>
  <c r="G22" i="29"/>
  <c r="H22" i="29" s="1"/>
  <c r="G30" i="29"/>
  <c r="H30" i="29" s="1"/>
  <c r="G34" i="29"/>
  <c r="H34" i="29" s="1"/>
  <c r="G38" i="29"/>
  <c r="H38" i="29" s="1"/>
  <c r="G42" i="29"/>
  <c r="H42" i="29" s="1"/>
  <c r="G46" i="29"/>
  <c r="H46" i="29" s="1"/>
  <c r="G54" i="29"/>
  <c r="H54" i="29" s="1"/>
  <c r="G13" i="30"/>
  <c r="H13" i="30" s="1"/>
  <c r="G17" i="26"/>
  <c r="H17" i="26" s="1"/>
  <c r="G25" i="26"/>
  <c r="H25" i="26" s="1"/>
  <c r="G33" i="26"/>
  <c r="H33" i="26" s="1"/>
  <c r="G41" i="26"/>
  <c r="H41" i="26" s="1"/>
  <c r="G49" i="26"/>
  <c r="H49" i="26" s="1"/>
  <c r="G13" i="26"/>
  <c r="H13" i="26" s="1"/>
  <c r="G21" i="26"/>
  <c r="H21" i="26" s="1"/>
  <c r="G29" i="26"/>
  <c r="H29" i="26" s="1"/>
  <c r="G45" i="26"/>
  <c r="H45" i="26" s="1"/>
  <c r="G53" i="26"/>
  <c r="H53" i="26" s="1"/>
  <c r="G17" i="30"/>
  <c r="H17" i="30" s="1"/>
  <c r="G21" i="30"/>
  <c r="H21" i="30" s="1"/>
  <c r="G25" i="30"/>
  <c r="H25" i="30" s="1"/>
  <c r="G33" i="30"/>
  <c r="H33" i="30" s="1"/>
  <c r="G37" i="30"/>
  <c r="H37" i="30" s="1"/>
  <c r="G41" i="30"/>
  <c r="H41" i="30" s="1"/>
  <c r="G45" i="30"/>
  <c r="H45" i="30" s="1"/>
  <c r="G49" i="30"/>
  <c r="H49" i="30" s="1"/>
  <c r="G53" i="30"/>
  <c r="H53" i="30" s="1"/>
  <c r="G12" i="31"/>
  <c r="H12" i="31" s="1"/>
  <c r="G16" i="31"/>
  <c r="H16" i="31" s="1"/>
  <c r="G20" i="31"/>
  <c r="H20" i="31" s="1"/>
  <c r="G24" i="31"/>
  <c r="H24" i="31" s="1"/>
  <c r="G28" i="31"/>
  <c r="H28" i="31" s="1"/>
  <c r="G32" i="31"/>
  <c r="H32" i="31" s="1"/>
  <c r="G36" i="31"/>
  <c r="H36" i="31" s="1"/>
  <c r="G40" i="31"/>
  <c r="H40" i="31" s="1"/>
  <c r="G44" i="31"/>
  <c r="H44" i="31" s="1"/>
  <c r="G48" i="31"/>
  <c r="H48" i="31" s="1"/>
  <c r="G52" i="31"/>
  <c r="H52" i="31" s="1"/>
  <c r="G11" i="32"/>
  <c r="H11" i="32" s="1"/>
  <c r="G15" i="32"/>
  <c r="H15" i="32" s="1"/>
  <c r="G19" i="32"/>
  <c r="H19" i="32" s="1"/>
  <c r="G23" i="32"/>
  <c r="H23" i="32" s="1"/>
  <c r="G27" i="32"/>
  <c r="H27" i="32" s="1"/>
  <c r="G31" i="32"/>
  <c r="H31" i="32" s="1"/>
  <c r="G35" i="32"/>
  <c r="H35" i="32" s="1"/>
  <c r="G39" i="32"/>
  <c r="H39" i="32" s="1"/>
  <c r="G43" i="32"/>
  <c r="H43" i="32" s="1"/>
  <c r="G47" i="32"/>
  <c r="H47" i="32" s="1"/>
  <c r="G51" i="32"/>
  <c r="H51" i="32" s="1"/>
  <c r="G55" i="32"/>
  <c r="H55" i="32" s="1"/>
  <c r="G10" i="33"/>
  <c r="H10" i="33" s="1"/>
  <c r="G14" i="33"/>
  <c r="H14" i="33" s="1"/>
  <c r="G18" i="33"/>
  <c r="H18" i="33" s="1"/>
  <c r="G22" i="33"/>
  <c r="H22" i="33" s="1"/>
  <c r="G26" i="33"/>
  <c r="H26" i="33" s="1"/>
  <c r="G30" i="33"/>
  <c r="H30" i="33" s="1"/>
  <c r="G34" i="33"/>
  <c r="H34" i="33" s="1"/>
  <c r="G38" i="33"/>
  <c r="H38" i="33" s="1"/>
  <c r="G46" i="33"/>
  <c r="H46" i="33" s="1"/>
  <c r="G50" i="33"/>
  <c r="H50" i="33" s="1"/>
  <c r="G13" i="34"/>
  <c r="H13" i="34" s="1"/>
  <c r="G18" i="34"/>
  <c r="H18" i="34" s="1"/>
  <c r="G26" i="34"/>
  <c r="H26" i="34" s="1"/>
  <c r="G30" i="34"/>
  <c r="H30" i="34" s="1"/>
  <c r="G34" i="34"/>
  <c r="H34" i="34" s="1"/>
  <c r="G38" i="34"/>
  <c r="H38" i="34" s="1"/>
  <c r="G46" i="34"/>
  <c r="H46" i="34" s="1"/>
  <c r="G50" i="34"/>
  <c r="H50" i="34" s="1"/>
  <c r="G13" i="35"/>
  <c r="H13" i="35" s="1"/>
  <c r="G17" i="35"/>
  <c r="H17" i="35" s="1"/>
  <c r="G21" i="35"/>
  <c r="H21" i="35" s="1"/>
  <c r="G25" i="35"/>
  <c r="H25" i="35" s="1"/>
  <c r="G33" i="35"/>
  <c r="H33" i="35" s="1"/>
  <c r="G37" i="35"/>
  <c r="H37" i="35" s="1"/>
  <c r="G41" i="35"/>
  <c r="H41" i="35" s="1"/>
  <c r="G45" i="35"/>
  <c r="H45" i="35" s="1"/>
  <c r="G49" i="35"/>
  <c r="H49" i="35" s="1"/>
  <c r="G53" i="35"/>
  <c r="H53" i="35" s="1"/>
  <c r="G12" i="36"/>
  <c r="H12" i="36" s="1"/>
  <c r="G16" i="36"/>
  <c r="H16" i="36" s="1"/>
  <c r="G20" i="36"/>
  <c r="H20" i="36" s="1"/>
  <c r="G24" i="36"/>
  <c r="H24" i="36" s="1"/>
  <c r="G28" i="36"/>
  <c r="H28" i="36" s="1"/>
  <c r="G32" i="36"/>
  <c r="H32" i="36" s="1"/>
  <c r="G36" i="36"/>
  <c r="H36" i="36" s="1"/>
  <c r="G15" i="37"/>
  <c r="H15" i="37" s="1"/>
  <c r="G19" i="37"/>
  <c r="H19" i="37" s="1"/>
  <c r="G23" i="37"/>
  <c r="H23" i="37" s="1"/>
  <c r="G27" i="37"/>
  <c r="H27" i="37" s="1"/>
  <c r="G31" i="37"/>
  <c r="H31" i="37" s="1"/>
  <c r="G39" i="37"/>
  <c r="H39" i="37" s="1"/>
  <c r="G43" i="37"/>
  <c r="H43" i="37" s="1"/>
  <c r="G47" i="37"/>
  <c r="H47" i="37" s="1"/>
  <c r="G51" i="37"/>
  <c r="H51" i="37" s="1"/>
  <c r="G55" i="37"/>
  <c r="H55" i="37" s="1"/>
  <c r="G10" i="26"/>
  <c r="H10" i="26" s="1"/>
  <c r="G14" i="26"/>
  <c r="H14" i="26" s="1"/>
  <c r="G18" i="26"/>
  <c r="H18" i="26" s="1"/>
  <c r="G22" i="26"/>
  <c r="H22" i="26" s="1"/>
  <c r="G26" i="26"/>
  <c r="H26" i="26" s="1"/>
  <c r="G30" i="26"/>
  <c r="H30" i="26" s="1"/>
  <c r="G34" i="26"/>
  <c r="H34" i="26" s="1"/>
  <c r="G38" i="26"/>
  <c r="H38" i="26" s="1"/>
  <c r="G42" i="26"/>
  <c r="H42" i="26" s="1"/>
  <c r="G50" i="26"/>
  <c r="H50" i="26" s="1"/>
  <c r="G54" i="26"/>
  <c r="H54" i="26" s="1"/>
  <c r="G13" i="27"/>
  <c r="H13" i="27" s="1"/>
  <c r="G17" i="27"/>
  <c r="H17" i="27" s="1"/>
  <c r="G21" i="27"/>
  <c r="H21" i="27" s="1"/>
  <c r="G25" i="27"/>
  <c r="H25" i="27" s="1"/>
  <c r="G29" i="27"/>
  <c r="H29" i="27" s="1"/>
  <c r="G33" i="27"/>
  <c r="H33" i="27" s="1"/>
  <c r="G37" i="27"/>
  <c r="H37" i="27" s="1"/>
  <c r="G41" i="27"/>
  <c r="H41" i="27" s="1"/>
  <c r="G45" i="27"/>
  <c r="H45" i="27" s="1"/>
  <c r="G49" i="27"/>
  <c r="H49" i="27" s="1"/>
  <c r="G53" i="27"/>
  <c r="H53" i="27" s="1"/>
  <c r="G12" i="28"/>
  <c r="H12" i="28" s="1"/>
  <c r="G11" i="29"/>
  <c r="H11" i="29" s="1"/>
  <c r="G15" i="29"/>
  <c r="H15" i="29" s="1"/>
  <c r="G19" i="29"/>
  <c r="H19" i="29" s="1"/>
  <c r="G23" i="29"/>
  <c r="H23" i="29" s="1"/>
  <c r="G27" i="29"/>
  <c r="H27" i="29" s="1"/>
  <c r="G35" i="29"/>
  <c r="H35" i="29" s="1"/>
  <c r="G39" i="29"/>
  <c r="H39" i="29" s="1"/>
  <c r="G43" i="29"/>
  <c r="H43" i="29" s="1"/>
  <c r="G47" i="29"/>
  <c r="H47" i="29" s="1"/>
  <c r="G51" i="29"/>
  <c r="H51" i="29" s="1"/>
  <c r="G10" i="30"/>
  <c r="H10" i="30" s="1"/>
  <c r="G14" i="30"/>
  <c r="H14" i="30" s="1"/>
  <c r="G18" i="30"/>
  <c r="H18" i="30" s="1"/>
  <c r="G22" i="30"/>
  <c r="H22" i="30" s="1"/>
  <c r="G26" i="30"/>
  <c r="H26" i="30" s="1"/>
  <c r="G30" i="30"/>
  <c r="H30" i="30" s="1"/>
  <c r="G34" i="30"/>
  <c r="H34" i="30" s="1"/>
  <c r="G38" i="30"/>
  <c r="H38" i="30" s="1"/>
  <c r="G42" i="30"/>
  <c r="H42" i="30" s="1"/>
  <c r="G46" i="30"/>
  <c r="H46" i="30" s="1"/>
  <c r="G50" i="30"/>
  <c r="H50" i="30" s="1"/>
  <c r="G54" i="30"/>
  <c r="H54" i="30" s="1"/>
  <c r="G13" i="31"/>
  <c r="H13" i="31" s="1"/>
  <c r="G17" i="31"/>
  <c r="H17" i="31" s="1"/>
  <c r="G21" i="31"/>
  <c r="H21" i="31" s="1"/>
  <c r="G25" i="31"/>
  <c r="H25" i="31" s="1"/>
  <c r="G29" i="31"/>
  <c r="H29" i="31" s="1"/>
  <c r="G33" i="31"/>
  <c r="H33" i="31" s="1"/>
  <c r="G37" i="31"/>
  <c r="H37" i="31" s="1"/>
  <c r="G41" i="31"/>
  <c r="H41" i="31" s="1"/>
  <c r="G45" i="31"/>
  <c r="H45" i="31" s="1"/>
  <c r="G49" i="31"/>
  <c r="H49" i="31" s="1"/>
  <c r="G53" i="31"/>
  <c r="H53" i="31" s="1"/>
  <c r="G16" i="32"/>
  <c r="H16" i="32" s="1"/>
  <c r="G20" i="32"/>
  <c r="H20" i="32" s="1"/>
  <c r="G28" i="32"/>
  <c r="H28" i="32" s="1"/>
  <c r="G32" i="32"/>
  <c r="H32" i="32" s="1"/>
  <c r="G40" i="32"/>
  <c r="H40" i="32" s="1"/>
  <c r="G44" i="32"/>
  <c r="H44" i="32" s="1"/>
  <c r="G52" i="32"/>
  <c r="H52" i="32" s="1"/>
  <c r="G11" i="33"/>
  <c r="H11" i="33" s="1"/>
  <c r="G15" i="33"/>
  <c r="H15" i="33" s="1"/>
  <c r="G23" i="33"/>
  <c r="H23" i="33" s="1"/>
  <c r="G27" i="33"/>
  <c r="H27" i="33" s="1"/>
  <c r="G35" i="33"/>
  <c r="H35" i="33" s="1"/>
  <c r="G39" i="33"/>
  <c r="H39" i="33" s="1"/>
  <c r="G43" i="33"/>
  <c r="H43" i="33" s="1"/>
  <c r="G47" i="33"/>
  <c r="H47" i="33" s="1"/>
  <c r="G51" i="33"/>
  <c r="H51" i="33" s="1"/>
  <c r="G55" i="33"/>
  <c r="H55" i="33" s="1"/>
  <c r="G10" i="34"/>
  <c r="H10" i="34" s="1"/>
  <c r="G14" i="34"/>
  <c r="H14" i="34" s="1"/>
  <c r="G15" i="34"/>
  <c r="H15" i="34" s="1"/>
  <c r="G19" i="34"/>
  <c r="H19" i="34" s="1"/>
  <c r="G23" i="34"/>
  <c r="H23" i="34" s="1"/>
  <c r="G27" i="34"/>
  <c r="H27" i="34" s="1"/>
  <c r="G31" i="34"/>
  <c r="H31" i="34" s="1"/>
  <c r="G39" i="34"/>
  <c r="H39" i="34" s="1"/>
  <c r="G43" i="34"/>
  <c r="H43" i="34" s="1"/>
  <c r="G47" i="34"/>
  <c r="H47" i="34" s="1"/>
  <c r="G51" i="34"/>
  <c r="H51" i="34" s="1"/>
  <c r="G55" i="34"/>
  <c r="H55" i="34" s="1"/>
  <c r="G10" i="35"/>
  <c r="H10" i="35" s="1"/>
  <c r="G14" i="35"/>
  <c r="H14" i="35" s="1"/>
  <c r="G18" i="35"/>
  <c r="H18" i="35" s="1"/>
  <c r="G22" i="35"/>
  <c r="H22" i="35" s="1"/>
  <c r="G26" i="35"/>
  <c r="H26" i="35" s="1"/>
  <c r="G30" i="35"/>
  <c r="H30" i="35" s="1"/>
  <c r="G34" i="35"/>
  <c r="H34" i="35" s="1"/>
  <c r="G38" i="35"/>
  <c r="H38" i="35" s="1"/>
  <c r="G42" i="35"/>
  <c r="H42" i="35" s="1"/>
  <c r="G46" i="35"/>
  <c r="H46" i="35" s="1"/>
  <c r="G13" i="28"/>
  <c r="H13" i="28" s="1"/>
  <c r="G15" i="26"/>
  <c r="H15" i="26" s="1"/>
  <c r="G23" i="26"/>
  <c r="H23" i="26" s="1"/>
  <c r="G27" i="26"/>
  <c r="H27" i="26" s="1"/>
  <c r="G31" i="26"/>
  <c r="H31" i="26" s="1"/>
  <c r="G35" i="26"/>
  <c r="H35" i="26" s="1"/>
  <c r="G39" i="26"/>
  <c r="H39" i="26" s="1"/>
  <c r="G43" i="26"/>
  <c r="H43" i="26" s="1"/>
  <c r="G47" i="26"/>
  <c r="H47" i="26" s="1"/>
  <c r="G51" i="26"/>
  <c r="H51" i="26" s="1"/>
  <c r="G10" i="27"/>
  <c r="H10" i="27" s="1"/>
  <c r="G14" i="27"/>
  <c r="H14" i="27" s="1"/>
  <c r="G18" i="27"/>
  <c r="H18" i="27" s="1"/>
  <c r="G26" i="27"/>
  <c r="H26" i="27" s="1"/>
  <c r="G30" i="27"/>
  <c r="H30" i="27" s="1"/>
  <c r="G34" i="27"/>
  <c r="H34" i="27" s="1"/>
  <c r="G38" i="27"/>
  <c r="H38" i="27" s="1"/>
  <c r="G46" i="27"/>
  <c r="H46" i="27" s="1"/>
  <c r="G50" i="27"/>
  <c r="H50" i="27" s="1"/>
  <c r="G54" i="27"/>
  <c r="H54" i="27" s="1"/>
  <c r="G20" i="29"/>
  <c r="H20" i="29" s="1"/>
  <c r="G24" i="29"/>
  <c r="H24" i="29" s="1"/>
  <c r="G28" i="29"/>
  <c r="H28" i="29" s="1"/>
  <c r="G32" i="29"/>
  <c r="H32" i="29" s="1"/>
  <c r="G44" i="29"/>
  <c r="H44" i="29" s="1"/>
  <c r="G48" i="29"/>
  <c r="H48" i="29" s="1"/>
  <c r="G52" i="29"/>
  <c r="H52" i="29" s="1"/>
  <c r="G11" i="30"/>
  <c r="H11" i="30" s="1"/>
  <c r="G19" i="30"/>
  <c r="H19" i="30" s="1"/>
  <c r="G23" i="30"/>
  <c r="H23" i="30" s="1"/>
  <c r="G27" i="30"/>
  <c r="H27" i="30" s="1"/>
  <c r="G31" i="30"/>
  <c r="H31" i="30" s="1"/>
  <c r="G35" i="30"/>
  <c r="H35" i="30" s="1"/>
  <c r="G39" i="30"/>
  <c r="H39" i="30" s="1"/>
  <c r="G43" i="30"/>
  <c r="H43" i="30" s="1"/>
  <c r="G47" i="30"/>
  <c r="H47" i="30" s="1"/>
  <c r="G51" i="30"/>
  <c r="H51" i="30" s="1"/>
  <c r="G55" i="30"/>
  <c r="H55" i="30" s="1"/>
  <c r="G10" i="31"/>
  <c r="H10" i="31" s="1"/>
  <c r="G14" i="31"/>
  <c r="H14" i="31" s="1"/>
  <c r="G18" i="31"/>
  <c r="H18" i="31" s="1"/>
  <c r="G22" i="31"/>
  <c r="H22" i="31" s="1"/>
  <c r="G26" i="31"/>
  <c r="H26" i="31" s="1"/>
  <c r="G30" i="31"/>
  <c r="H30" i="31" s="1"/>
  <c r="G34" i="31"/>
  <c r="H34" i="31" s="1"/>
  <c r="G38" i="31"/>
  <c r="H38" i="31" s="1"/>
  <c r="G42" i="31"/>
  <c r="H42" i="31" s="1"/>
  <c r="G46" i="31"/>
  <c r="H46" i="31" s="1"/>
  <c r="G50" i="31"/>
  <c r="H50" i="31" s="1"/>
  <c r="G54" i="31"/>
  <c r="H54" i="31" s="1"/>
  <c r="G13" i="32"/>
  <c r="H13" i="32" s="1"/>
  <c r="G17" i="32"/>
  <c r="H17" i="32" s="1"/>
  <c r="G21" i="32"/>
  <c r="H21" i="32" s="1"/>
  <c r="G25" i="32"/>
  <c r="H25" i="32" s="1"/>
  <c r="G29" i="32"/>
  <c r="H29" i="32" s="1"/>
  <c r="G33" i="32"/>
  <c r="H33" i="32" s="1"/>
  <c r="G37" i="32"/>
  <c r="H37" i="32" s="1"/>
  <c r="G41" i="32"/>
  <c r="H41" i="32" s="1"/>
  <c r="G45" i="32"/>
  <c r="H45" i="32" s="1"/>
  <c r="G49" i="32"/>
  <c r="H49" i="32" s="1"/>
  <c r="G53" i="32"/>
  <c r="H53" i="32" s="1"/>
  <c r="G12" i="33"/>
  <c r="H12" i="33" s="1"/>
  <c r="G16" i="33"/>
  <c r="H16" i="33" s="1"/>
  <c r="G20" i="33"/>
  <c r="H20" i="33" s="1"/>
  <c r="G24" i="33"/>
  <c r="H24" i="33" s="1"/>
  <c r="G28" i="33"/>
  <c r="H28" i="33" s="1"/>
  <c r="G32" i="33"/>
  <c r="H32" i="33" s="1"/>
  <c r="G36" i="33"/>
  <c r="H36" i="33" s="1"/>
  <c r="G40" i="33"/>
  <c r="H40" i="33" s="1"/>
  <c r="G44" i="33"/>
  <c r="H44" i="33" s="1"/>
  <c r="G52" i="33"/>
  <c r="H52" i="33" s="1"/>
  <c r="G11" i="34"/>
  <c r="H11" i="34" s="1"/>
  <c r="G20" i="34"/>
  <c r="H20" i="34" s="1"/>
  <c r="G24" i="34"/>
  <c r="H24" i="34" s="1"/>
  <c r="G28" i="34"/>
  <c r="H28" i="34" s="1"/>
  <c r="G32" i="34"/>
  <c r="H32" i="34" s="1"/>
  <c r="G36" i="34"/>
  <c r="H36" i="34" s="1"/>
  <c r="G40" i="34"/>
  <c r="H40" i="34" s="1"/>
  <c r="G44" i="34"/>
  <c r="H44" i="34" s="1"/>
  <c r="G52" i="34"/>
  <c r="H52" i="34" s="1"/>
  <c r="G11" i="35"/>
  <c r="H11" i="35" s="1"/>
  <c r="G15" i="35"/>
  <c r="H15" i="35" s="1"/>
  <c r="G19" i="35"/>
  <c r="H19" i="35" s="1"/>
  <c r="G23" i="35"/>
  <c r="H23" i="35" s="1"/>
  <c r="G27" i="35"/>
  <c r="H27" i="35" s="1"/>
  <c r="G31" i="35"/>
  <c r="H31" i="35" s="1"/>
  <c r="G35" i="35"/>
  <c r="H35" i="35" s="1"/>
  <c r="G39" i="35"/>
  <c r="H39" i="35" s="1"/>
  <c r="G43" i="35"/>
  <c r="H43" i="35" s="1"/>
  <c r="G47" i="35"/>
  <c r="H47" i="35" s="1"/>
  <c r="G51" i="35"/>
  <c r="H51" i="35" s="1"/>
  <c r="G55" i="35"/>
  <c r="H55" i="35" s="1"/>
  <c r="G10" i="36"/>
  <c r="H10" i="36" s="1"/>
  <c r="G14" i="36"/>
  <c r="H14" i="36" s="1"/>
  <c r="G18" i="36"/>
  <c r="H18" i="36" s="1"/>
  <c r="G22" i="36"/>
  <c r="H22" i="36" s="1"/>
  <c r="G26" i="36"/>
  <c r="H26" i="36" s="1"/>
  <c r="G34" i="36"/>
  <c r="H34" i="36" s="1"/>
  <c r="G38" i="36"/>
  <c r="H38" i="36" s="1"/>
  <c r="G42" i="36"/>
  <c r="H42" i="36" s="1"/>
  <c r="G46" i="36"/>
  <c r="H46" i="36" s="1"/>
  <c r="G50" i="36"/>
  <c r="H50" i="36" s="1"/>
  <c r="G54" i="36"/>
  <c r="H54" i="36" s="1"/>
  <c r="G13" i="37"/>
  <c r="H13" i="37" s="1"/>
  <c r="G17" i="37"/>
  <c r="H17" i="37" s="1"/>
  <c r="G25" i="37"/>
  <c r="H25" i="37" s="1"/>
  <c r="G29" i="37"/>
  <c r="H29" i="37" s="1"/>
  <c r="G33" i="37"/>
  <c r="H33" i="37" s="1"/>
  <c r="G37" i="37"/>
  <c r="H37" i="37" s="1"/>
  <c r="G41" i="37"/>
  <c r="H41" i="37" s="1"/>
  <c r="G45" i="37"/>
  <c r="H45" i="37" s="1"/>
  <c r="G53" i="37"/>
  <c r="H53" i="37" s="1"/>
  <c r="G11" i="31"/>
  <c r="H11" i="31" s="1"/>
  <c r="G15" i="31"/>
  <c r="H15" i="31" s="1"/>
  <c r="G19" i="31"/>
  <c r="H19" i="31" s="1"/>
  <c r="G23" i="31"/>
  <c r="H23" i="31" s="1"/>
  <c r="G27" i="31"/>
  <c r="H27" i="31" s="1"/>
  <c r="G31" i="31"/>
  <c r="H31" i="31" s="1"/>
  <c r="G35" i="31"/>
  <c r="H35" i="31" s="1"/>
  <c r="G39" i="31"/>
  <c r="H39" i="31" s="1"/>
  <c r="G43" i="31"/>
  <c r="H43" i="31" s="1"/>
  <c r="G47" i="31"/>
  <c r="H47" i="31" s="1"/>
  <c r="G51" i="31"/>
  <c r="H51" i="31" s="1"/>
  <c r="G55" i="31"/>
  <c r="H55" i="31" s="1"/>
  <c r="G10" i="32"/>
  <c r="H10" i="32" s="1"/>
  <c r="G14" i="32"/>
  <c r="H14" i="32" s="1"/>
  <c r="G22" i="32"/>
  <c r="H22" i="32" s="1"/>
  <c r="G26" i="32"/>
  <c r="H26" i="32" s="1"/>
  <c r="G34" i="32"/>
  <c r="H34" i="32" s="1"/>
  <c r="G38" i="32"/>
  <c r="H38" i="32" s="1"/>
  <c r="G46" i="32"/>
  <c r="H46" i="32" s="1"/>
  <c r="G50" i="32"/>
  <c r="H50" i="32" s="1"/>
  <c r="G17" i="33"/>
  <c r="H17" i="33" s="1"/>
  <c r="G21" i="33"/>
  <c r="H21" i="33" s="1"/>
  <c r="G29" i="33"/>
  <c r="H29" i="33" s="1"/>
  <c r="G33" i="33"/>
  <c r="H33" i="33" s="1"/>
  <c r="G41" i="33"/>
  <c r="H41" i="33" s="1"/>
  <c r="G45" i="33"/>
  <c r="H45" i="33" s="1"/>
  <c r="G49" i="33"/>
  <c r="H49" i="33" s="1"/>
  <c r="G53" i="33"/>
  <c r="H53" i="33" s="1"/>
  <c r="G12" i="34"/>
  <c r="H12" i="34" s="1"/>
  <c r="G17" i="34"/>
  <c r="H17" i="34" s="1"/>
  <c r="G21" i="34"/>
  <c r="H21" i="34" s="1"/>
  <c r="G25" i="34"/>
  <c r="H25" i="34" s="1"/>
  <c r="G33" i="34"/>
  <c r="H33" i="34" s="1"/>
  <c r="G37" i="34"/>
  <c r="H37" i="34" s="1"/>
  <c r="G41" i="34"/>
  <c r="H41" i="34" s="1"/>
  <c r="G45" i="34"/>
  <c r="H45" i="34" s="1"/>
  <c r="G49" i="34"/>
  <c r="H49" i="34" s="1"/>
  <c r="G53" i="34"/>
  <c r="H53" i="34" s="1"/>
  <c r="G11" i="36"/>
  <c r="H11" i="36" s="1"/>
  <c r="G15" i="36"/>
  <c r="H15" i="36" s="1"/>
  <c r="G23" i="36"/>
  <c r="H23" i="36" s="1"/>
  <c r="G27" i="36"/>
  <c r="H27" i="36" s="1"/>
  <c r="G31" i="36"/>
  <c r="H31" i="36" s="1"/>
  <c r="G35" i="36"/>
  <c r="H35" i="36" s="1"/>
  <c r="G39" i="36"/>
  <c r="H39" i="36" s="1"/>
  <c r="G43" i="36"/>
  <c r="H43" i="36" s="1"/>
  <c r="G47" i="36"/>
  <c r="H47" i="36" s="1"/>
  <c r="G55" i="36"/>
  <c r="H55" i="36" s="1"/>
  <c r="G10" i="37"/>
  <c r="H10" i="37" s="1"/>
  <c r="G18" i="37"/>
  <c r="H18" i="37" s="1"/>
  <c r="G22" i="37"/>
  <c r="H22" i="37" s="1"/>
  <c r="G26" i="37"/>
  <c r="H26" i="37" s="1"/>
  <c r="G30" i="37"/>
  <c r="H30" i="37" s="1"/>
  <c r="G34" i="37"/>
  <c r="H34" i="37" s="1"/>
  <c r="G38" i="37"/>
  <c r="H38" i="37" s="1"/>
  <c r="G46" i="37"/>
  <c r="H46" i="37" s="1"/>
  <c r="G50" i="37"/>
  <c r="H50" i="37" s="1"/>
  <c r="E25" i="26"/>
  <c r="E41" i="26"/>
  <c r="E55" i="32"/>
  <c r="E17" i="27"/>
  <c r="E21" i="27"/>
  <c r="E33" i="27"/>
  <c r="E37" i="27"/>
  <c r="E49" i="27"/>
  <c r="E43" i="29"/>
  <c r="E16" i="32"/>
  <c r="E23" i="32"/>
  <c r="E39" i="32"/>
  <c r="E13" i="32"/>
  <c r="E16" i="33"/>
  <c r="E32" i="33"/>
  <c r="E19" i="35"/>
  <c r="E51" i="35"/>
  <c r="E37" i="37"/>
  <c r="E53" i="37"/>
  <c r="E21" i="26"/>
  <c r="E53" i="26"/>
  <c r="E35" i="36"/>
  <c r="E31" i="31"/>
  <c r="E35" i="31"/>
  <c r="E39" i="31"/>
  <c r="E43" i="31"/>
  <c r="E47" i="31"/>
  <c r="E51" i="31"/>
  <c r="E7" i="32"/>
  <c r="E10" i="32"/>
  <c r="E15" i="32"/>
  <c r="E41" i="32"/>
  <c r="E45" i="32"/>
  <c r="E10" i="33"/>
  <c r="E34" i="33"/>
  <c r="E50" i="33"/>
  <c r="E16" i="36"/>
  <c r="E25" i="36"/>
  <c r="E53" i="36"/>
  <c r="E7" i="31"/>
  <c r="E10" i="31"/>
  <c r="E14" i="31"/>
  <c r="E18" i="31"/>
  <c r="E22" i="31"/>
  <c r="E26" i="31"/>
  <c r="E30" i="31"/>
  <c r="E34" i="31"/>
  <c r="E38" i="31"/>
  <c r="E42" i="31"/>
  <c r="E46" i="31"/>
  <c r="E50" i="31"/>
  <c r="E54" i="31"/>
  <c r="E57" i="31"/>
  <c r="E9" i="32"/>
  <c r="E14" i="32"/>
  <c r="E20" i="32"/>
  <c r="E32" i="32"/>
  <c r="E34" i="32"/>
  <c r="E38" i="32"/>
  <c r="E47" i="32"/>
  <c r="E49" i="32"/>
  <c r="E51" i="32"/>
  <c r="E53" i="32"/>
  <c r="E9" i="33"/>
  <c r="E14" i="33"/>
  <c r="E23" i="33"/>
  <c r="E24" i="33"/>
  <c r="E28" i="33"/>
  <c r="E33" i="33"/>
  <c r="E36" i="33"/>
  <c r="E40" i="33"/>
  <c r="E46" i="33"/>
  <c r="E53" i="33"/>
  <c r="E21" i="34"/>
  <c r="E37" i="34"/>
  <c r="E46" i="34"/>
  <c r="E9" i="35"/>
  <c r="E14" i="35"/>
  <c r="E28" i="35"/>
  <c r="E37" i="35"/>
  <c r="E11" i="36"/>
  <c r="E34" i="36"/>
  <c r="E39" i="36"/>
  <c r="E48" i="36"/>
  <c r="E15" i="37"/>
  <c r="E20" i="37"/>
  <c r="E25" i="37"/>
  <c r="E27" i="31"/>
  <c r="E28" i="32"/>
  <c r="E43" i="32"/>
  <c r="E7" i="33"/>
  <c r="E15" i="33"/>
  <c r="E20" i="33"/>
  <c r="E44" i="33"/>
  <c r="E10" i="34"/>
  <c r="E33" i="34"/>
  <c r="E44" i="36"/>
  <c r="E9" i="37"/>
  <c r="E9" i="31"/>
  <c r="E13" i="31"/>
  <c r="E17" i="31"/>
  <c r="E21" i="31"/>
  <c r="E25" i="31"/>
  <c r="E29" i="31"/>
  <c r="E33" i="31"/>
  <c r="E37" i="31"/>
  <c r="E41" i="31"/>
  <c r="E45" i="31"/>
  <c r="E49" i="31"/>
  <c r="E53" i="31"/>
  <c r="E19" i="32"/>
  <c r="E25" i="32"/>
  <c r="E27" i="32"/>
  <c r="E29" i="32"/>
  <c r="E40" i="32"/>
  <c r="E44" i="32"/>
  <c r="E46" i="32"/>
  <c r="E57" i="32"/>
  <c r="E18" i="33"/>
  <c r="E22" i="33"/>
  <c r="E27" i="33"/>
  <c r="E39" i="33"/>
  <c r="E45" i="33"/>
  <c r="E49" i="33"/>
  <c r="E55" i="33"/>
  <c r="E7" i="34"/>
  <c r="E11" i="34"/>
  <c r="E14" i="34"/>
  <c r="E25" i="34"/>
  <c r="E41" i="34"/>
  <c r="E50" i="34"/>
  <c r="E57" i="34"/>
  <c r="E18" i="35"/>
  <c r="E23" i="35"/>
  <c r="E32" i="35"/>
  <c r="E41" i="35"/>
  <c r="E46" i="35"/>
  <c r="E43" i="36"/>
  <c r="E10" i="37"/>
  <c r="E31" i="37"/>
  <c r="E36" i="37"/>
  <c r="E41" i="37"/>
  <c r="E11" i="31"/>
  <c r="E15" i="31"/>
  <c r="E19" i="31"/>
  <c r="E23" i="31"/>
  <c r="E55" i="31"/>
  <c r="E21" i="32"/>
  <c r="E26" i="32"/>
  <c r="E29" i="33"/>
  <c r="E12" i="31"/>
  <c r="E16" i="31"/>
  <c r="E20" i="31"/>
  <c r="E24" i="31"/>
  <c r="E28" i="31"/>
  <c r="E32" i="31"/>
  <c r="E36" i="31"/>
  <c r="E40" i="31"/>
  <c r="E44" i="31"/>
  <c r="E48" i="31"/>
  <c r="E52" i="31"/>
  <c r="E11" i="32"/>
  <c r="E17" i="32"/>
  <c r="E22" i="32"/>
  <c r="E31" i="32"/>
  <c r="E33" i="32"/>
  <c r="E35" i="32"/>
  <c r="E37" i="32"/>
  <c r="E50" i="32"/>
  <c r="E52" i="32"/>
  <c r="E11" i="33"/>
  <c r="E12" i="33"/>
  <c r="E17" i="33"/>
  <c r="E21" i="33"/>
  <c r="E26" i="33"/>
  <c r="E30" i="33"/>
  <c r="E35" i="33"/>
  <c r="E41" i="33"/>
  <c r="E51" i="33"/>
  <c r="E17" i="34"/>
  <c r="E27" i="35"/>
  <c r="E50" i="35"/>
  <c r="E55" i="35"/>
  <c r="E12" i="36"/>
  <c r="E21" i="36"/>
  <c r="E26" i="37"/>
  <c r="E47" i="37"/>
  <c r="E52" i="37"/>
  <c r="E20" i="34"/>
  <c r="E24" i="34"/>
  <c r="E28" i="34"/>
  <c r="E32" i="34"/>
  <c r="E36" i="34"/>
  <c r="E40" i="34"/>
  <c r="E45" i="34"/>
  <c r="E49" i="34"/>
  <c r="E53" i="34"/>
  <c r="E13" i="35"/>
  <c r="E17" i="35"/>
  <c r="E22" i="35"/>
  <c r="E26" i="35"/>
  <c r="E31" i="35"/>
  <c r="E36" i="35"/>
  <c r="E40" i="35"/>
  <c r="E45" i="35"/>
  <c r="E49" i="35"/>
  <c r="E54" i="35"/>
  <c r="E7" i="36"/>
  <c r="E10" i="36"/>
  <c r="E15" i="36"/>
  <c r="E20" i="36"/>
  <c r="E24" i="36"/>
  <c r="E29" i="36"/>
  <c r="E33" i="36"/>
  <c r="E38" i="36"/>
  <c r="E42" i="36"/>
  <c r="E47" i="36"/>
  <c r="E52" i="36"/>
  <c r="E19" i="37"/>
  <c r="E24" i="37"/>
  <c r="E30" i="37"/>
  <c r="E40" i="37"/>
  <c r="E46" i="37"/>
  <c r="E51" i="37"/>
  <c r="E57" i="33"/>
  <c r="E9" i="34"/>
  <c r="E13" i="34"/>
  <c r="E19" i="34"/>
  <c r="E23" i="34"/>
  <c r="E27" i="34"/>
  <c r="E31" i="34"/>
  <c r="E39" i="34"/>
  <c r="E44" i="34"/>
  <c r="E52" i="34"/>
  <c r="E12" i="35"/>
  <c r="E16" i="35"/>
  <c r="E21" i="35"/>
  <c r="E25" i="35"/>
  <c r="E30" i="35"/>
  <c r="E34" i="35"/>
  <c r="E35" i="35"/>
  <c r="E39" i="35"/>
  <c r="E44" i="35"/>
  <c r="E48" i="35"/>
  <c r="E53" i="35"/>
  <c r="E57" i="35"/>
  <c r="E9" i="36"/>
  <c r="E14" i="36"/>
  <c r="E18" i="36"/>
  <c r="E23" i="36"/>
  <c r="E28" i="36"/>
  <c r="E32" i="36"/>
  <c r="E37" i="36"/>
  <c r="E41" i="36"/>
  <c r="E46" i="36"/>
  <c r="E50" i="36"/>
  <c r="E55" i="36"/>
  <c r="E7" i="37"/>
  <c r="E12" i="37"/>
  <c r="E13" i="37"/>
  <c r="E18" i="37"/>
  <c r="E23" i="37"/>
  <c r="E29" i="37"/>
  <c r="E34" i="37"/>
  <c r="E39" i="37"/>
  <c r="E44" i="37"/>
  <c r="E45" i="37"/>
  <c r="E50" i="37"/>
  <c r="E55" i="37"/>
  <c r="E38" i="33"/>
  <c r="E43" i="33"/>
  <c r="E47" i="33"/>
  <c r="E52" i="33"/>
  <c r="E12" i="34"/>
  <c r="E18" i="34"/>
  <c r="E26" i="34"/>
  <c r="E30" i="34"/>
  <c r="E34" i="34"/>
  <c r="E38" i="34"/>
  <c r="E43" i="34"/>
  <c r="E47" i="34"/>
  <c r="E51" i="34"/>
  <c r="E55" i="34"/>
  <c r="E7" i="35"/>
  <c r="E10" i="35"/>
  <c r="E11" i="35"/>
  <c r="E15" i="35"/>
  <c r="E20" i="35"/>
  <c r="E24" i="35"/>
  <c r="E33" i="35"/>
  <c r="E38" i="35"/>
  <c r="E42" i="35"/>
  <c r="E43" i="35"/>
  <c r="E47" i="35"/>
  <c r="E13" i="36"/>
  <c r="E17" i="36"/>
  <c r="E22" i="36"/>
  <c r="E26" i="36"/>
  <c r="E27" i="36"/>
  <c r="E31" i="36"/>
  <c r="E36" i="36"/>
  <c r="E45" i="36"/>
  <c r="E49" i="36"/>
  <c r="E54" i="36"/>
  <c r="E57" i="36"/>
  <c r="E11" i="37"/>
  <c r="E16" i="37"/>
  <c r="E17" i="37"/>
  <c r="E22" i="37"/>
  <c r="E27" i="37"/>
  <c r="E32" i="37"/>
  <c r="E33" i="37"/>
  <c r="E38" i="37"/>
  <c r="E43" i="37"/>
  <c r="E48" i="37"/>
  <c r="E54" i="37"/>
  <c r="E57" i="37"/>
  <c r="E15" i="27"/>
  <c r="E14" i="29"/>
  <c r="E22" i="29"/>
  <c r="E30" i="29"/>
  <c r="E38" i="29"/>
  <c r="E42" i="29"/>
  <c r="E47" i="29"/>
  <c r="E7" i="30"/>
  <c r="E14" i="30"/>
  <c r="E18" i="30"/>
  <c r="E50" i="30"/>
  <c r="E54" i="30"/>
  <c r="E19" i="27"/>
  <c r="E24" i="27"/>
  <c r="E35" i="27"/>
  <c r="E40" i="27"/>
  <c r="E46" i="27"/>
  <c r="E51" i="27"/>
  <c r="E13" i="29"/>
  <c r="E17" i="29"/>
  <c r="E25" i="29"/>
  <c r="E29" i="29"/>
  <c r="E33" i="29"/>
  <c r="E37" i="29"/>
  <c r="E41" i="29"/>
  <c r="E46" i="29"/>
  <c r="E54" i="29"/>
  <c r="E57" i="29"/>
  <c r="E9" i="30"/>
  <c r="E17" i="30"/>
  <c r="E25" i="30"/>
  <c r="E33" i="30"/>
  <c r="E41" i="30"/>
  <c r="E45" i="30"/>
  <c r="E49" i="30"/>
  <c r="E53" i="30"/>
  <c r="E7" i="27"/>
  <c r="E13" i="27"/>
  <c r="E18" i="27"/>
  <c r="E23" i="27"/>
  <c r="E28" i="27"/>
  <c r="E29" i="27"/>
  <c r="E34" i="27"/>
  <c r="E39" i="27"/>
  <c r="E44" i="27"/>
  <c r="E45" i="27"/>
  <c r="E50" i="27"/>
  <c r="E54" i="27"/>
  <c r="E57" i="27"/>
  <c r="E9" i="28"/>
  <c r="E10" i="28"/>
  <c r="E20" i="29"/>
  <c r="E24" i="29"/>
  <c r="E28" i="29"/>
  <c r="E32" i="29"/>
  <c r="E49" i="29"/>
  <c r="E53" i="29"/>
  <c r="E12" i="30"/>
  <c r="E16" i="30"/>
  <c r="E20" i="30"/>
  <c r="E24" i="30"/>
  <c r="E28" i="30"/>
  <c r="E32" i="30"/>
  <c r="E36" i="30"/>
  <c r="E40" i="30"/>
  <c r="E48" i="30"/>
  <c r="E52" i="30"/>
  <c r="E10" i="27"/>
  <c r="E20" i="27"/>
  <c r="E26" i="27"/>
  <c r="E31" i="27"/>
  <c r="E36" i="27"/>
  <c r="E47" i="27"/>
  <c r="E12" i="28"/>
  <c r="E9" i="29"/>
  <c r="E18" i="29"/>
  <c r="E34" i="29"/>
  <c r="E51" i="29"/>
  <c r="E10" i="30"/>
  <c r="E22" i="30"/>
  <c r="E26" i="30"/>
  <c r="E30" i="30"/>
  <c r="E34" i="30"/>
  <c r="E38" i="30"/>
  <c r="E42" i="30"/>
  <c r="E46" i="30"/>
  <c r="E57" i="30"/>
  <c r="E9" i="27"/>
  <c r="E14" i="27"/>
  <c r="E25" i="27"/>
  <c r="E30" i="27"/>
  <c r="E41" i="27"/>
  <c r="E55" i="27"/>
  <c r="E7" i="28"/>
  <c r="E13" i="30"/>
  <c r="E21" i="30"/>
  <c r="E37" i="30"/>
  <c r="E11" i="27"/>
  <c r="E16" i="27"/>
  <c r="E27" i="27"/>
  <c r="E38" i="27"/>
  <c r="E43" i="27"/>
  <c r="E48" i="27"/>
  <c r="E53" i="27"/>
  <c r="E7" i="29"/>
  <c r="E10" i="29"/>
  <c r="E11" i="29"/>
  <c r="E15" i="29"/>
  <c r="E19" i="29"/>
  <c r="E23" i="29"/>
  <c r="E27" i="29"/>
  <c r="E35" i="29"/>
  <c r="E39" i="29"/>
  <c r="E44" i="29"/>
  <c r="E48" i="29"/>
  <c r="E52" i="29"/>
  <c r="E11" i="30"/>
  <c r="E19" i="30"/>
  <c r="E23" i="30"/>
  <c r="E27" i="30"/>
  <c r="E31" i="30"/>
  <c r="E35" i="30"/>
  <c r="E39" i="30"/>
  <c r="E43" i="30"/>
  <c r="E47" i="30"/>
  <c r="E51" i="30"/>
  <c r="E55" i="30"/>
  <c r="E9" i="26"/>
  <c r="E30" i="26"/>
  <c r="E35" i="26"/>
  <c r="E40" i="26"/>
  <c r="E7" i="26"/>
  <c r="E12" i="26"/>
  <c r="E13" i="26"/>
  <c r="E18" i="26"/>
  <c r="E23" i="26"/>
  <c r="E29" i="26"/>
  <c r="E34" i="26"/>
  <c r="E39" i="26"/>
  <c r="E44" i="26"/>
  <c r="E45" i="26"/>
  <c r="E50" i="26"/>
  <c r="E16" i="26"/>
  <c r="E17" i="26"/>
  <c r="E22" i="26"/>
  <c r="E27" i="26"/>
  <c r="E32" i="26"/>
  <c r="E33" i="26"/>
  <c r="E38" i="26"/>
  <c r="E43" i="26"/>
  <c r="E48" i="26"/>
  <c r="E49" i="26"/>
  <c r="E54" i="26"/>
  <c r="E57" i="26"/>
  <c r="E14" i="26"/>
  <c r="E24" i="26"/>
  <c r="E51" i="26"/>
  <c r="E10" i="26"/>
  <c r="E15" i="26"/>
  <c r="E20" i="26"/>
  <c r="E26" i="26"/>
  <c r="E31" i="26"/>
  <c r="E36" i="26"/>
  <c r="E42" i="26"/>
  <c r="E47" i="26"/>
  <c r="E52" i="26"/>
  <c r="I38" i="29" l="1"/>
  <c r="J38" i="29" s="1"/>
  <c r="I35" i="29"/>
  <c r="I48" i="29"/>
  <c r="I54" i="29"/>
  <c r="I13" i="29"/>
  <c r="I39" i="29"/>
  <c r="I9" i="29"/>
  <c r="I18" i="29"/>
  <c r="I20" i="29"/>
  <c r="I7" i="29"/>
  <c r="J7" i="29" s="1"/>
  <c r="I32" i="29"/>
  <c r="I24" i="29"/>
  <c r="I33" i="29"/>
  <c r="I25" i="29"/>
  <c r="I51" i="29"/>
  <c r="I47" i="29"/>
  <c r="I37" i="29"/>
  <c r="I43" i="29"/>
  <c r="I44" i="29"/>
  <c r="I28" i="29"/>
  <c r="I34" i="29"/>
  <c r="I27" i="29"/>
  <c r="I22" i="29"/>
  <c r="I49" i="29"/>
  <c r="I57" i="29"/>
  <c r="J57" i="29" s="1"/>
  <c r="Q17" i="29" s="1"/>
  <c r="I41" i="29"/>
  <c r="I15" i="29"/>
  <c r="I11" i="29"/>
  <c r="I53" i="29"/>
  <c r="I46" i="29"/>
  <c r="I29" i="29"/>
  <c r="I17" i="29"/>
  <c r="I23" i="29"/>
  <c r="I42" i="29"/>
  <c r="I10" i="29"/>
  <c r="I52" i="29"/>
  <c r="I19" i="29"/>
  <c r="I30" i="29"/>
  <c r="I14" i="29"/>
  <c r="J14" i="29" s="1"/>
  <c r="I57" i="35"/>
  <c r="J57" i="35" s="1"/>
  <c r="Q17" i="35" s="1"/>
  <c r="I53" i="35"/>
  <c r="I48" i="35"/>
  <c r="I44" i="35"/>
  <c r="I39" i="35"/>
  <c r="I35" i="35"/>
  <c r="I34" i="35"/>
  <c r="I30" i="35"/>
  <c r="I25" i="35"/>
  <c r="I21" i="35"/>
  <c r="I16" i="35"/>
  <c r="I12" i="35"/>
  <c r="I54" i="35"/>
  <c r="I49" i="35"/>
  <c r="I45" i="35"/>
  <c r="I40" i="35"/>
  <c r="I36" i="35"/>
  <c r="I31" i="35"/>
  <c r="I27" i="35"/>
  <c r="I26" i="35"/>
  <c r="I22" i="35"/>
  <c r="I17" i="35"/>
  <c r="I13" i="35"/>
  <c r="I55" i="35"/>
  <c r="I51" i="35"/>
  <c r="I50" i="35"/>
  <c r="I46" i="35"/>
  <c r="I41" i="35"/>
  <c r="I37" i="35"/>
  <c r="I32" i="35"/>
  <c r="I28" i="35"/>
  <c r="I23" i="35"/>
  <c r="I19" i="35"/>
  <c r="I18" i="35"/>
  <c r="I14" i="35"/>
  <c r="I9" i="35"/>
  <c r="I11" i="35"/>
  <c r="I47" i="35"/>
  <c r="I42" i="35"/>
  <c r="I33" i="35"/>
  <c r="I24" i="35"/>
  <c r="I7" i="35"/>
  <c r="J7" i="35" s="1"/>
  <c r="I43" i="35"/>
  <c r="I38" i="35"/>
  <c r="I20" i="35"/>
  <c r="I15" i="35"/>
  <c r="I10" i="35"/>
  <c r="I55" i="37"/>
  <c r="I50" i="37"/>
  <c r="I45" i="37"/>
  <c r="I44" i="37"/>
  <c r="I39" i="37"/>
  <c r="I34" i="37"/>
  <c r="I29" i="37"/>
  <c r="I23" i="37"/>
  <c r="I18" i="37"/>
  <c r="I13" i="37"/>
  <c r="I12" i="37"/>
  <c r="I7" i="37"/>
  <c r="J7" i="37" s="1"/>
  <c r="I51" i="37"/>
  <c r="I46" i="37"/>
  <c r="I41" i="37"/>
  <c r="I40" i="37"/>
  <c r="I30" i="37"/>
  <c r="I25" i="37"/>
  <c r="I24" i="37"/>
  <c r="I19" i="37"/>
  <c r="I9" i="37"/>
  <c r="I53" i="37"/>
  <c r="I52" i="37"/>
  <c r="I47" i="37"/>
  <c r="I37" i="37"/>
  <c r="I36" i="37"/>
  <c r="I31" i="37"/>
  <c r="I26" i="37"/>
  <c r="I20" i="37"/>
  <c r="I15" i="37"/>
  <c r="I10" i="37"/>
  <c r="I43" i="37"/>
  <c r="I22" i="37"/>
  <c r="I17" i="37"/>
  <c r="I48" i="37"/>
  <c r="I27" i="37"/>
  <c r="I57" i="37"/>
  <c r="J57" i="37" s="1"/>
  <c r="Q17" i="37" s="1"/>
  <c r="I38" i="37"/>
  <c r="I33" i="37"/>
  <c r="I16" i="37"/>
  <c r="I54" i="37"/>
  <c r="I32" i="37"/>
  <c r="I11" i="37"/>
  <c r="I53" i="31"/>
  <c r="I49" i="31"/>
  <c r="I45" i="31"/>
  <c r="I41" i="31"/>
  <c r="I37" i="31"/>
  <c r="I33" i="31"/>
  <c r="I29" i="31"/>
  <c r="I25" i="31"/>
  <c r="I21" i="31"/>
  <c r="I17" i="31"/>
  <c r="I13" i="31"/>
  <c r="I9" i="31"/>
  <c r="I24" i="31"/>
  <c r="I20" i="31"/>
  <c r="I16" i="31"/>
  <c r="I12" i="31"/>
  <c r="I57" i="31"/>
  <c r="J57" i="31" s="1"/>
  <c r="Q17" i="31" s="1"/>
  <c r="I54" i="31"/>
  <c r="I50" i="31"/>
  <c r="I46" i="31"/>
  <c r="I42" i="31"/>
  <c r="I38" i="31"/>
  <c r="I34" i="31"/>
  <c r="I30" i="31"/>
  <c r="I26" i="31"/>
  <c r="I22" i="31"/>
  <c r="I18" i="31"/>
  <c r="I14" i="31"/>
  <c r="I10" i="31"/>
  <c r="I7" i="31"/>
  <c r="J7" i="31" s="1"/>
  <c r="I28" i="31"/>
  <c r="I55" i="31"/>
  <c r="I51" i="31"/>
  <c r="I47" i="31"/>
  <c r="I43" i="31"/>
  <c r="I39" i="31"/>
  <c r="I35" i="31"/>
  <c r="I31" i="31"/>
  <c r="I27" i="31"/>
  <c r="I23" i="31"/>
  <c r="I19" i="31"/>
  <c r="I15" i="31"/>
  <c r="I11" i="31"/>
  <c r="I52" i="31"/>
  <c r="I48" i="31"/>
  <c r="I44" i="31"/>
  <c r="I40" i="31"/>
  <c r="I36" i="31"/>
  <c r="I32" i="31"/>
  <c r="I55" i="36"/>
  <c r="I50" i="36"/>
  <c r="I46" i="36"/>
  <c r="I41" i="36"/>
  <c r="I37" i="36"/>
  <c r="I32" i="36"/>
  <c r="I28" i="36"/>
  <c r="I23" i="36"/>
  <c r="I18" i="36"/>
  <c r="I14" i="36"/>
  <c r="I9" i="36"/>
  <c r="I52" i="36"/>
  <c r="I47" i="36"/>
  <c r="I43" i="36"/>
  <c r="I42" i="36"/>
  <c r="I38" i="36"/>
  <c r="I33" i="36"/>
  <c r="I29" i="36"/>
  <c r="I24" i="36"/>
  <c r="I20" i="36"/>
  <c r="I15" i="36"/>
  <c r="I11" i="36"/>
  <c r="I10" i="36"/>
  <c r="I7" i="36"/>
  <c r="J7" i="36" s="1"/>
  <c r="I53" i="36"/>
  <c r="I48" i="36"/>
  <c r="I44" i="36"/>
  <c r="I39" i="36"/>
  <c r="I35" i="36"/>
  <c r="I34" i="36"/>
  <c r="I25" i="36"/>
  <c r="I21" i="36"/>
  <c r="I16" i="36"/>
  <c r="I12" i="36"/>
  <c r="I54" i="36"/>
  <c r="I45" i="36"/>
  <c r="I36" i="36"/>
  <c r="I31" i="36"/>
  <c r="I26" i="36"/>
  <c r="I17" i="36"/>
  <c r="I57" i="36"/>
  <c r="J57" i="36" s="1"/>
  <c r="Q17" i="36" s="1"/>
  <c r="I27" i="36"/>
  <c r="I22" i="36"/>
  <c r="I13" i="36"/>
  <c r="I49" i="36"/>
  <c r="I19" i="32"/>
  <c r="I13" i="32"/>
  <c r="I17" i="32"/>
  <c r="I20" i="32"/>
  <c r="I14" i="32"/>
  <c r="I9" i="32"/>
  <c r="I16" i="32"/>
  <c r="I15" i="32"/>
  <c r="I10" i="32"/>
  <c r="I7" i="32"/>
  <c r="J7" i="32" s="1"/>
  <c r="I11" i="32"/>
  <c r="I15" i="34"/>
  <c r="I52" i="34"/>
  <c r="I44" i="34"/>
  <c r="I39" i="34"/>
  <c r="I31" i="34"/>
  <c r="I27" i="34"/>
  <c r="I23" i="34"/>
  <c r="I19" i="34"/>
  <c r="I13" i="34"/>
  <c r="I9" i="34"/>
  <c r="I53" i="34"/>
  <c r="I49" i="34"/>
  <c r="I45" i="34"/>
  <c r="I41" i="34"/>
  <c r="I40" i="34"/>
  <c r="I36" i="34"/>
  <c r="I32" i="34"/>
  <c r="I28" i="34"/>
  <c r="I24" i="34"/>
  <c r="I20" i="34"/>
  <c r="I14" i="34"/>
  <c r="I10" i="34"/>
  <c r="I7" i="34"/>
  <c r="J7" i="34" s="1"/>
  <c r="I57" i="34"/>
  <c r="J57" i="34" s="1"/>
  <c r="Q17" i="34" s="1"/>
  <c r="I50" i="34"/>
  <c r="I46" i="34"/>
  <c r="I37" i="34"/>
  <c r="I33" i="34"/>
  <c r="I25" i="34"/>
  <c r="I21" i="34"/>
  <c r="I43" i="34"/>
  <c r="I34" i="34"/>
  <c r="I18" i="34"/>
  <c r="I11" i="34"/>
  <c r="I17" i="34"/>
  <c r="I55" i="34"/>
  <c r="I30" i="34"/>
  <c r="I12" i="34"/>
  <c r="I47" i="34"/>
  <c r="I38" i="34"/>
  <c r="I51" i="34"/>
  <c r="I26" i="34"/>
  <c r="I57" i="33"/>
  <c r="J57" i="33" s="1"/>
  <c r="Q17" i="33" s="1"/>
  <c r="I53" i="33"/>
  <c r="I49" i="33"/>
  <c r="I44" i="33"/>
  <c r="I40" i="33"/>
  <c r="I39" i="33"/>
  <c r="I35" i="33"/>
  <c r="I55" i="33"/>
  <c r="I52" i="33"/>
  <c r="I45" i="33"/>
  <c r="I32" i="33"/>
  <c r="I27" i="33"/>
  <c r="I22" i="33"/>
  <c r="I18" i="33"/>
  <c r="I41" i="33"/>
  <c r="I38" i="33"/>
  <c r="I30" i="33"/>
  <c r="I46" i="33"/>
  <c r="I43" i="33"/>
  <c r="I36" i="33"/>
  <c r="I33" i="33"/>
  <c r="I28" i="33"/>
  <c r="I24" i="33"/>
  <c r="I23" i="33"/>
  <c r="I14" i="33"/>
  <c r="I9" i="33"/>
  <c r="I21" i="33"/>
  <c r="I17" i="33"/>
  <c r="I12" i="33"/>
  <c r="I11" i="33"/>
  <c r="I50" i="33"/>
  <c r="I47" i="33"/>
  <c r="I34" i="33"/>
  <c r="I29" i="33"/>
  <c r="I20" i="33"/>
  <c r="I16" i="33"/>
  <c r="I15" i="33"/>
  <c r="I10" i="33"/>
  <c r="I7" i="33"/>
  <c r="J7" i="33" s="1"/>
  <c r="I51" i="33"/>
  <c r="I26" i="33"/>
  <c r="I52" i="30"/>
  <c r="I48" i="30"/>
  <c r="I40" i="30"/>
  <c r="I36" i="30"/>
  <c r="I32" i="30"/>
  <c r="I28" i="30"/>
  <c r="I24" i="30"/>
  <c r="I20" i="30"/>
  <c r="I16" i="30"/>
  <c r="I12" i="30"/>
  <c r="I46" i="30"/>
  <c r="I38" i="30"/>
  <c r="I30" i="30"/>
  <c r="I22" i="30"/>
  <c r="I14" i="30"/>
  <c r="I47" i="30"/>
  <c r="I43" i="30"/>
  <c r="I39" i="30"/>
  <c r="I35" i="30"/>
  <c r="I31" i="30"/>
  <c r="I27" i="30"/>
  <c r="I23" i="30"/>
  <c r="I11" i="30"/>
  <c r="I53" i="30"/>
  <c r="I49" i="30"/>
  <c r="I45" i="30"/>
  <c r="I41" i="30"/>
  <c r="I37" i="30"/>
  <c r="I33" i="30"/>
  <c r="I25" i="30"/>
  <c r="I21" i="30"/>
  <c r="I17" i="30"/>
  <c r="I13" i="30"/>
  <c r="I9" i="30"/>
  <c r="I57" i="30"/>
  <c r="J57" i="30" s="1"/>
  <c r="Q17" i="30" s="1"/>
  <c r="I54" i="30"/>
  <c r="I50" i="30"/>
  <c r="I42" i="30"/>
  <c r="I34" i="30"/>
  <c r="I26" i="30"/>
  <c r="I18" i="30"/>
  <c r="I10" i="30"/>
  <c r="I7" i="30"/>
  <c r="J7" i="30" s="1"/>
  <c r="I55" i="30"/>
  <c r="I51" i="30"/>
  <c r="I19" i="30"/>
  <c r="I50" i="28"/>
  <c r="I46" i="28"/>
  <c r="I42" i="28"/>
  <c r="I38" i="28"/>
  <c r="I34" i="28"/>
  <c r="I26" i="28"/>
  <c r="I22" i="28"/>
  <c r="I18" i="28"/>
  <c r="I14" i="28"/>
  <c r="I10" i="28"/>
  <c r="I9" i="28"/>
  <c r="I24" i="28"/>
  <c r="I20" i="28"/>
  <c r="I12" i="28"/>
  <c r="I45" i="28"/>
  <c r="I37" i="28"/>
  <c r="I29" i="28"/>
  <c r="I21" i="28"/>
  <c r="I13" i="28"/>
  <c r="I52" i="28"/>
  <c r="I51" i="28"/>
  <c r="I47" i="28"/>
  <c r="I39" i="28"/>
  <c r="I35" i="28"/>
  <c r="I31" i="28"/>
  <c r="I27" i="28"/>
  <c r="I19" i="28"/>
  <c r="I15" i="28"/>
  <c r="I7" i="28"/>
  <c r="J7" i="28" s="1"/>
  <c r="I53" i="28"/>
  <c r="I48" i="28"/>
  <c r="I44" i="28"/>
  <c r="I40" i="28"/>
  <c r="I32" i="28"/>
  <c r="I28" i="28"/>
  <c r="I16" i="28"/>
  <c r="I57" i="28"/>
  <c r="J57" i="28" s="1"/>
  <c r="Q17" i="28" s="1"/>
  <c r="I54" i="28"/>
  <c r="I41" i="28"/>
  <c r="I33" i="28"/>
  <c r="I25" i="28"/>
  <c r="I57" i="27"/>
  <c r="J57" i="27" s="1"/>
  <c r="Q17" i="27" s="1"/>
  <c r="I54" i="27"/>
  <c r="I50" i="27"/>
  <c r="I45" i="27"/>
  <c r="I44" i="27"/>
  <c r="I39" i="27"/>
  <c r="I34" i="27"/>
  <c r="I29" i="27"/>
  <c r="I28" i="27"/>
  <c r="I23" i="27"/>
  <c r="I18" i="27"/>
  <c r="I13" i="27"/>
  <c r="I7" i="27"/>
  <c r="J7" i="27" s="1"/>
  <c r="I31" i="27"/>
  <c r="I15" i="27"/>
  <c r="I10" i="27"/>
  <c r="I53" i="27"/>
  <c r="I49" i="27"/>
  <c r="I48" i="27"/>
  <c r="I43" i="27"/>
  <c r="I38" i="27"/>
  <c r="I33" i="27"/>
  <c r="I27" i="27"/>
  <c r="I11" i="27"/>
  <c r="I55" i="27"/>
  <c r="I51" i="27"/>
  <c r="I46" i="27"/>
  <c r="I41" i="27"/>
  <c r="I40" i="27"/>
  <c r="I35" i="27"/>
  <c r="I30" i="27"/>
  <c r="I25" i="27"/>
  <c r="I24" i="27"/>
  <c r="I19" i="27"/>
  <c r="I14" i="27"/>
  <c r="I9" i="27"/>
  <c r="I47" i="27"/>
  <c r="I37" i="27"/>
  <c r="I36" i="27"/>
  <c r="I26" i="27"/>
  <c r="I21" i="27"/>
  <c r="I20" i="27"/>
  <c r="I17" i="27"/>
  <c r="I16" i="27"/>
  <c r="I57" i="26"/>
  <c r="J57" i="26" s="1"/>
  <c r="Q17" i="26" s="1"/>
  <c r="I54" i="26"/>
  <c r="I49" i="26"/>
  <c r="I48" i="26"/>
  <c r="I43" i="26"/>
  <c r="I38" i="26"/>
  <c r="I33" i="26"/>
  <c r="I32" i="26"/>
  <c r="I27" i="26"/>
  <c r="I22" i="26"/>
  <c r="I17" i="26"/>
  <c r="I16" i="26"/>
  <c r="I53" i="26"/>
  <c r="I52" i="26"/>
  <c r="I47" i="26"/>
  <c r="I42" i="26"/>
  <c r="I26" i="26"/>
  <c r="I21" i="26"/>
  <c r="I20" i="26"/>
  <c r="I15" i="26"/>
  <c r="I50" i="26"/>
  <c r="I45" i="26"/>
  <c r="I44" i="26"/>
  <c r="I39" i="26"/>
  <c r="I34" i="26"/>
  <c r="I29" i="26"/>
  <c r="I23" i="26"/>
  <c r="I18" i="26"/>
  <c r="I13" i="26"/>
  <c r="I12" i="26"/>
  <c r="I7" i="26"/>
  <c r="J7" i="26" s="1"/>
  <c r="I51" i="26"/>
  <c r="I41" i="26"/>
  <c r="I40" i="26"/>
  <c r="I35" i="26"/>
  <c r="I30" i="26"/>
  <c r="I25" i="26"/>
  <c r="I24" i="26"/>
  <c r="I14" i="26"/>
  <c r="I9" i="26"/>
  <c r="I36" i="26"/>
  <c r="I31" i="26"/>
  <c r="I10" i="26"/>
  <c r="F39" i="29" l="1"/>
  <c r="F20" i="26"/>
  <c r="F35" i="26"/>
  <c r="J34" i="26"/>
  <c r="F53" i="26"/>
  <c r="J52" i="26"/>
  <c r="F50" i="26"/>
  <c r="J49" i="26"/>
  <c r="F10" i="27"/>
  <c r="J9" i="27"/>
  <c r="F40" i="26"/>
  <c r="J39" i="26"/>
  <c r="F54" i="26"/>
  <c r="J53" i="26"/>
  <c r="F39" i="26"/>
  <c r="J38" i="26"/>
  <c r="F21" i="27"/>
  <c r="J20" i="27"/>
  <c r="F31" i="27"/>
  <c r="J30" i="27"/>
  <c r="F23" i="27"/>
  <c r="F54" i="27"/>
  <c r="J53" i="27"/>
  <c r="F35" i="27"/>
  <c r="J34" i="27"/>
  <c r="J54" i="28"/>
  <c r="F48" i="28"/>
  <c r="J47" i="28"/>
  <c r="F32" i="26"/>
  <c r="J31" i="26"/>
  <c r="F15" i="26"/>
  <c r="J14" i="26"/>
  <c r="F31" i="26"/>
  <c r="J30" i="26"/>
  <c r="F47" i="26"/>
  <c r="F14" i="26"/>
  <c r="J13" i="26"/>
  <c r="F30" i="26"/>
  <c r="J29" i="26"/>
  <c r="J45" i="26"/>
  <c r="F21" i="26"/>
  <c r="J20" i="26"/>
  <c r="F48" i="26"/>
  <c r="J47" i="26"/>
  <c r="F17" i="26"/>
  <c r="J16" i="26"/>
  <c r="F33" i="26"/>
  <c r="J32" i="26"/>
  <c r="F49" i="26"/>
  <c r="J48" i="26"/>
  <c r="F17" i="27"/>
  <c r="J16" i="27"/>
  <c r="F27" i="27"/>
  <c r="J26" i="27"/>
  <c r="F53" i="27"/>
  <c r="F25" i="27"/>
  <c r="J24" i="27"/>
  <c r="F41" i="27"/>
  <c r="J40" i="27"/>
  <c r="F57" i="27"/>
  <c r="J55" i="27"/>
  <c r="F33" i="27"/>
  <c r="F49" i="27"/>
  <c r="J48" i="27"/>
  <c r="F16" i="27"/>
  <c r="J15" i="27"/>
  <c r="F13" i="27"/>
  <c r="F29" i="27"/>
  <c r="J28" i="27"/>
  <c r="F45" i="27"/>
  <c r="J44" i="27"/>
  <c r="F42" i="28"/>
  <c r="J41" i="28"/>
  <c r="J16" i="28"/>
  <c r="F41" i="28"/>
  <c r="J40" i="28"/>
  <c r="F24" i="28"/>
  <c r="F40" i="28"/>
  <c r="J39" i="28"/>
  <c r="F53" i="28"/>
  <c r="J52" i="28"/>
  <c r="F38" i="28"/>
  <c r="J37" i="28"/>
  <c r="F25" i="28"/>
  <c r="J24" i="28"/>
  <c r="F19" i="28"/>
  <c r="J18" i="28"/>
  <c r="F35" i="28"/>
  <c r="J34" i="28"/>
  <c r="F51" i="28"/>
  <c r="J50" i="28"/>
  <c r="F52" i="30"/>
  <c r="J51" i="30"/>
  <c r="F19" i="30"/>
  <c r="J18" i="30"/>
  <c r="F51" i="30"/>
  <c r="J50" i="30"/>
  <c r="F14" i="30"/>
  <c r="J13" i="30"/>
  <c r="F30" i="30"/>
  <c r="F46" i="30"/>
  <c r="J45" i="30"/>
  <c r="F24" i="30"/>
  <c r="J23" i="30"/>
  <c r="F40" i="30"/>
  <c r="J39" i="30"/>
  <c r="F23" i="30"/>
  <c r="J22" i="30"/>
  <c r="F13" i="30"/>
  <c r="J12" i="30"/>
  <c r="J28" i="30"/>
  <c r="F45" i="30"/>
  <c r="F52" i="33"/>
  <c r="J51" i="33"/>
  <c r="F17" i="33"/>
  <c r="J16" i="33"/>
  <c r="F35" i="33"/>
  <c r="J34" i="33"/>
  <c r="F12" i="33"/>
  <c r="J11" i="33"/>
  <c r="F49" i="33"/>
  <c r="F24" i="33"/>
  <c r="J23" i="33"/>
  <c r="J36" i="33"/>
  <c r="F39" i="33"/>
  <c r="J38" i="33"/>
  <c r="J18" i="33"/>
  <c r="F33" i="33"/>
  <c r="J32" i="33"/>
  <c r="F57" i="33"/>
  <c r="J55" i="33"/>
  <c r="F45" i="33"/>
  <c r="J44" i="33"/>
  <c r="F27" i="34"/>
  <c r="J26" i="34"/>
  <c r="J47" i="34"/>
  <c r="F18" i="34"/>
  <c r="J17" i="34"/>
  <c r="F44" i="34"/>
  <c r="J43" i="34"/>
  <c r="F34" i="34"/>
  <c r="J33" i="34"/>
  <c r="F51" i="34"/>
  <c r="J50" i="34"/>
  <c r="F11" i="34"/>
  <c r="J10" i="34"/>
  <c r="F25" i="34"/>
  <c r="J24" i="34"/>
  <c r="F41" i="34"/>
  <c r="J40" i="34"/>
  <c r="J53" i="34"/>
  <c r="F24" i="34"/>
  <c r="J23" i="34"/>
  <c r="F40" i="34"/>
  <c r="J39" i="34"/>
  <c r="J15" i="34"/>
  <c r="F16" i="32"/>
  <c r="J15" i="32"/>
  <c r="J20" i="32"/>
  <c r="F14" i="32"/>
  <c r="J13" i="32"/>
  <c r="F14" i="36"/>
  <c r="J13" i="36"/>
  <c r="F18" i="36"/>
  <c r="J17" i="36"/>
  <c r="F46" i="36"/>
  <c r="J45" i="36"/>
  <c r="F22" i="36"/>
  <c r="J21" i="36"/>
  <c r="F36" i="36"/>
  <c r="J35" i="36"/>
  <c r="F54" i="36"/>
  <c r="J53" i="36"/>
  <c r="F16" i="36"/>
  <c r="J15" i="36"/>
  <c r="F34" i="36"/>
  <c r="J33" i="36"/>
  <c r="F48" i="36"/>
  <c r="J47" i="36"/>
  <c r="J18" i="36"/>
  <c r="F33" i="36"/>
  <c r="J32" i="36"/>
  <c r="J50" i="36"/>
  <c r="F37" i="31"/>
  <c r="J36" i="31"/>
  <c r="F53" i="31"/>
  <c r="J52" i="31"/>
  <c r="F24" i="31"/>
  <c r="J23" i="31"/>
  <c r="F40" i="31"/>
  <c r="J39" i="31"/>
  <c r="F57" i="31"/>
  <c r="J55" i="31"/>
  <c r="F15" i="31"/>
  <c r="J14" i="31"/>
  <c r="F31" i="31"/>
  <c r="J30" i="31"/>
  <c r="F47" i="31"/>
  <c r="J46" i="31"/>
  <c r="F13" i="31"/>
  <c r="J12" i="31"/>
  <c r="F10" i="31"/>
  <c r="J9" i="31"/>
  <c r="F26" i="31"/>
  <c r="J25" i="31"/>
  <c r="F42" i="31"/>
  <c r="J41" i="31"/>
  <c r="F12" i="37"/>
  <c r="J11" i="37"/>
  <c r="F17" i="37"/>
  <c r="J16" i="37"/>
  <c r="J27" i="37"/>
  <c r="F44" i="37"/>
  <c r="J43" i="37"/>
  <c r="F22" i="37"/>
  <c r="F38" i="37"/>
  <c r="J37" i="37"/>
  <c r="F54" i="37"/>
  <c r="J53" i="37"/>
  <c r="F25" i="37"/>
  <c r="J24" i="37"/>
  <c r="F41" i="37"/>
  <c r="J40" i="37"/>
  <c r="F24" i="37"/>
  <c r="J23" i="37"/>
  <c r="F40" i="37"/>
  <c r="J39" i="37"/>
  <c r="F57" i="37"/>
  <c r="J55" i="37"/>
  <c r="F30" i="35"/>
  <c r="F25" i="35"/>
  <c r="J24" i="35"/>
  <c r="F53" i="35"/>
  <c r="F19" i="35"/>
  <c r="J18" i="35"/>
  <c r="F33" i="35"/>
  <c r="J32" i="35"/>
  <c r="F51" i="35"/>
  <c r="J50" i="35"/>
  <c r="F18" i="35"/>
  <c r="J17" i="35"/>
  <c r="F32" i="35"/>
  <c r="J31" i="35"/>
  <c r="F50" i="35"/>
  <c r="J49" i="35"/>
  <c r="F22" i="35"/>
  <c r="J21" i="35"/>
  <c r="F36" i="35"/>
  <c r="J35" i="35"/>
  <c r="F54" i="35"/>
  <c r="J53" i="35"/>
  <c r="F20" i="29"/>
  <c r="J19" i="29"/>
  <c r="F24" i="29"/>
  <c r="J23" i="29"/>
  <c r="F41" i="29"/>
  <c r="F35" i="29"/>
  <c r="J34" i="29"/>
  <c r="F29" i="29"/>
  <c r="J28" i="29"/>
  <c r="F44" i="29"/>
  <c r="J43" i="29"/>
  <c r="J25" i="29"/>
  <c r="F10" i="29"/>
  <c r="J9" i="29"/>
  <c r="F49" i="29"/>
  <c r="J48" i="29"/>
  <c r="F52" i="26"/>
  <c r="J51" i="26"/>
  <c r="F18" i="26"/>
  <c r="J17" i="26"/>
  <c r="F18" i="27"/>
  <c r="J17" i="27"/>
  <c r="F37" i="27"/>
  <c r="J36" i="27"/>
  <c r="J41" i="27"/>
  <c r="J11" i="27"/>
  <c r="F34" i="27"/>
  <c r="J33" i="27"/>
  <c r="F50" i="27"/>
  <c r="J49" i="27"/>
  <c r="J31" i="27"/>
  <c r="F14" i="27"/>
  <c r="J13" i="27"/>
  <c r="F30" i="27"/>
  <c r="J29" i="27"/>
  <c r="F46" i="27"/>
  <c r="J45" i="27"/>
  <c r="F18" i="28"/>
  <c r="F50" i="28"/>
  <c r="F29" i="28"/>
  <c r="J28" i="28"/>
  <c r="F45" i="28"/>
  <c r="J44" i="28"/>
  <c r="F12" i="28"/>
  <c r="F28" i="28"/>
  <c r="J27" i="28"/>
  <c r="F44" i="28"/>
  <c r="F14" i="28"/>
  <c r="J13" i="28"/>
  <c r="F46" i="28"/>
  <c r="J45" i="28"/>
  <c r="F10" i="28"/>
  <c r="J9" i="28"/>
  <c r="J22" i="28"/>
  <c r="F39" i="28"/>
  <c r="J38" i="28"/>
  <c r="F57" i="28"/>
  <c r="F57" i="30"/>
  <c r="J55" i="30"/>
  <c r="F27" i="30"/>
  <c r="J26" i="30"/>
  <c r="F55" i="30"/>
  <c r="J54" i="30"/>
  <c r="F18" i="30"/>
  <c r="J17" i="30"/>
  <c r="F34" i="30"/>
  <c r="J33" i="30"/>
  <c r="F50" i="30"/>
  <c r="J49" i="30"/>
  <c r="F28" i="30"/>
  <c r="J27" i="30"/>
  <c r="J43" i="30"/>
  <c r="F31" i="30"/>
  <c r="J30" i="30"/>
  <c r="F17" i="30"/>
  <c r="J16" i="30"/>
  <c r="F33" i="30"/>
  <c r="J32" i="30"/>
  <c r="F49" i="30"/>
  <c r="J48" i="30"/>
  <c r="F21" i="33"/>
  <c r="J20" i="33"/>
  <c r="F38" i="33"/>
  <c r="J12" i="33"/>
  <c r="F10" i="33"/>
  <c r="J9" i="33"/>
  <c r="J24" i="33"/>
  <c r="F44" i="33"/>
  <c r="J43" i="33"/>
  <c r="J41" i="33"/>
  <c r="F23" i="33"/>
  <c r="J22" i="33"/>
  <c r="F43" i="33"/>
  <c r="F36" i="33"/>
  <c r="J35" i="33"/>
  <c r="F50" i="33"/>
  <c r="J49" i="33"/>
  <c r="F52" i="34"/>
  <c r="J51" i="34"/>
  <c r="F13" i="34"/>
  <c r="J12" i="34"/>
  <c r="F12" i="34"/>
  <c r="J11" i="34"/>
  <c r="J21" i="34"/>
  <c r="F38" i="34"/>
  <c r="J37" i="34"/>
  <c r="F55" i="34"/>
  <c r="F15" i="34"/>
  <c r="J14" i="34"/>
  <c r="J28" i="34"/>
  <c r="J41" i="34"/>
  <c r="F10" i="34"/>
  <c r="J9" i="34"/>
  <c r="F28" i="34"/>
  <c r="J27" i="34"/>
  <c r="F45" i="34"/>
  <c r="J44" i="34"/>
  <c r="J11" i="32"/>
  <c r="F17" i="32"/>
  <c r="J16" i="32"/>
  <c r="J17" i="32"/>
  <c r="F20" i="32"/>
  <c r="J19" i="32"/>
  <c r="F23" i="36"/>
  <c r="J22" i="36"/>
  <c r="F27" i="36"/>
  <c r="J26" i="36"/>
  <c r="F55" i="36"/>
  <c r="J54" i="36"/>
  <c r="F26" i="36"/>
  <c r="J25" i="36"/>
  <c r="J39" i="36"/>
  <c r="F21" i="36"/>
  <c r="J20" i="36"/>
  <c r="F39" i="36"/>
  <c r="J38" i="36"/>
  <c r="F53" i="36"/>
  <c r="J52" i="36"/>
  <c r="F20" i="36"/>
  <c r="F38" i="36"/>
  <c r="J37" i="36"/>
  <c r="F52" i="36"/>
  <c r="F41" i="31"/>
  <c r="J40" i="31"/>
  <c r="F12" i="31"/>
  <c r="J11" i="31"/>
  <c r="F28" i="31"/>
  <c r="J27" i="31"/>
  <c r="F44" i="31"/>
  <c r="J43" i="31"/>
  <c r="F29" i="31"/>
  <c r="J28" i="31"/>
  <c r="F19" i="31"/>
  <c r="J18" i="31"/>
  <c r="F35" i="31"/>
  <c r="J34" i="31"/>
  <c r="F51" i="31"/>
  <c r="J50" i="31"/>
  <c r="F17" i="31"/>
  <c r="J16" i="31"/>
  <c r="F14" i="31"/>
  <c r="J13" i="31"/>
  <c r="F30" i="31"/>
  <c r="J29" i="31"/>
  <c r="F46" i="31"/>
  <c r="J45" i="31"/>
  <c r="F33" i="37"/>
  <c r="J32" i="37"/>
  <c r="F34" i="37"/>
  <c r="J33" i="37"/>
  <c r="J48" i="37"/>
  <c r="F11" i="37"/>
  <c r="J10" i="37"/>
  <c r="F27" i="37"/>
  <c r="J26" i="37"/>
  <c r="F43" i="37"/>
  <c r="F10" i="37"/>
  <c r="J9" i="37"/>
  <c r="F26" i="37"/>
  <c r="J25" i="37"/>
  <c r="J41" i="37"/>
  <c r="F13" i="37"/>
  <c r="J12" i="37"/>
  <c r="F29" i="37"/>
  <c r="F45" i="37"/>
  <c r="J44" i="37"/>
  <c r="F11" i="35"/>
  <c r="J10" i="35"/>
  <c r="F39" i="35"/>
  <c r="J38" i="35"/>
  <c r="F34" i="35"/>
  <c r="J33" i="35"/>
  <c r="F12" i="35"/>
  <c r="J11" i="35"/>
  <c r="F20" i="35"/>
  <c r="J19" i="35"/>
  <c r="F38" i="35"/>
  <c r="J37" i="35"/>
  <c r="J51" i="35"/>
  <c r="F23" i="35"/>
  <c r="J22" i="35"/>
  <c r="F37" i="35"/>
  <c r="J36" i="35"/>
  <c r="F55" i="35"/>
  <c r="J54" i="35"/>
  <c r="F26" i="35"/>
  <c r="J25" i="35"/>
  <c r="F40" i="35"/>
  <c r="J39" i="35"/>
  <c r="F53" i="29"/>
  <c r="J52" i="29"/>
  <c r="F18" i="29"/>
  <c r="J17" i="29"/>
  <c r="F54" i="29"/>
  <c r="J53" i="29"/>
  <c r="J15" i="29"/>
  <c r="J49" i="29"/>
  <c r="F32" i="29"/>
  <c r="F37" i="29"/>
  <c r="F38" i="29"/>
  <c r="J37" i="29"/>
  <c r="F34" i="29"/>
  <c r="J33" i="29"/>
  <c r="J20" i="29"/>
  <c r="J39" i="29"/>
  <c r="J35" i="29"/>
  <c r="F36" i="26"/>
  <c r="J35" i="26"/>
  <c r="F51" i="26"/>
  <c r="J50" i="26"/>
  <c r="F38" i="26"/>
  <c r="F27" i="26"/>
  <c r="J26" i="26"/>
  <c r="F15" i="27"/>
  <c r="J14" i="27"/>
  <c r="F19" i="27"/>
  <c r="J18" i="27"/>
  <c r="F26" i="28"/>
  <c r="J25" i="28"/>
  <c r="J48" i="28"/>
  <c r="F32" i="28"/>
  <c r="J31" i="28"/>
  <c r="F22" i="28"/>
  <c r="J21" i="28"/>
  <c r="F13" i="28"/>
  <c r="J12" i="28"/>
  <c r="J10" i="28"/>
  <c r="F27" i="28"/>
  <c r="J26" i="28"/>
  <c r="J42" i="28"/>
  <c r="F16" i="30"/>
  <c r="F35" i="30"/>
  <c r="J34" i="30"/>
  <c r="F22" i="30"/>
  <c r="J21" i="30"/>
  <c r="F38" i="30"/>
  <c r="J37" i="30"/>
  <c r="F54" i="30"/>
  <c r="J53" i="30"/>
  <c r="F32" i="30"/>
  <c r="J31" i="30"/>
  <c r="F48" i="30"/>
  <c r="J47" i="30"/>
  <c r="F39" i="30"/>
  <c r="J38" i="30"/>
  <c r="F21" i="30"/>
  <c r="J20" i="30"/>
  <c r="F37" i="30"/>
  <c r="J36" i="30"/>
  <c r="F53" i="30"/>
  <c r="J52" i="30"/>
  <c r="F11" i="33"/>
  <c r="J10" i="33"/>
  <c r="F26" i="33"/>
  <c r="J47" i="33"/>
  <c r="F18" i="33"/>
  <c r="J17" i="33"/>
  <c r="F15" i="33"/>
  <c r="J14" i="33"/>
  <c r="F29" i="33"/>
  <c r="J28" i="33"/>
  <c r="F47" i="33"/>
  <c r="J46" i="33"/>
  <c r="F55" i="33"/>
  <c r="F28" i="33"/>
  <c r="J27" i="33"/>
  <c r="F46" i="33"/>
  <c r="J45" i="33"/>
  <c r="F40" i="33"/>
  <c r="J39" i="33"/>
  <c r="J53" i="33"/>
  <c r="F23" i="34"/>
  <c r="F31" i="34"/>
  <c r="J30" i="34"/>
  <c r="F19" i="34"/>
  <c r="J18" i="34"/>
  <c r="F26" i="34"/>
  <c r="J25" i="34"/>
  <c r="F43" i="34"/>
  <c r="F17" i="34"/>
  <c r="F33" i="34"/>
  <c r="J32" i="34"/>
  <c r="F46" i="34"/>
  <c r="J45" i="34"/>
  <c r="F14" i="34"/>
  <c r="J13" i="34"/>
  <c r="F32" i="34"/>
  <c r="J31" i="34"/>
  <c r="F49" i="34"/>
  <c r="F10" i="32"/>
  <c r="J9" i="32"/>
  <c r="F19" i="32"/>
  <c r="F41" i="36"/>
  <c r="F28" i="36"/>
  <c r="J27" i="36"/>
  <c r="F32" i="36"/>
  <c r="J31" i="36"/>
  <c r="F13" i="36"/>
  <c r="J12" i="36"/>
  <c r="F31" i="36"/>
  <c r="F45" i="36"/>
  <c r="J44" i="36"/>
  <c r="F11" i="36"/>
  <c r="J10" i="36"/>
  <c r="F25" i="36"/>
  <c r="J24" i="36"/>
  <c r="F43" i="36"/>
  <c r="J42" i="36"/>
  <c r="F10" i="36"/>
  <c r="J9" i="36"/>
  <c r="F24" i="36"/>
  <c r="J23" i="36"/>
  <c r="F42" i="36"/>
  <c r="J41" i="36"/>
  <c r="F57" i="36"/>
  <c r="J55" i="36"/>
  <c r="F45" i="31"/>
  <c r="J44" i="31"/>
  <c r="F16" i="31"/>
  <c r="J15" i="31"/>
  <c r="F32" i="31"/>
  <c r="J31" i="31"/>
  <c r="F48" i="31"/>
  <c r="J47" i="31"/>
  <c r="F23" i="31"/>
  <c r="J22" i="31"/>
  <c r="F39" i="31"/>
  <c r="J38" i="31"/>
  <c r="F55" i="31"/>
  <c r="J54" i="31"/>
  <c r="F21" i="31"/>
  <c r="J20" i="31"/>
  <c r="F18" i="31"/>
  <c r="J17" i="31"/>
  <c r="F34" i="31"/>
  <c r="J33" i="31"/>
  <c r="F50" i="31"/>
  <c r="J49" i="31"/>
  <c r="F50" i="37"/>
  <c r="F39" i="37"/>
  <c r="J38" i="37"/>
  <c r="F18" i="37"/>
  <c r="J17" i="37"/>
  <c r="F16" i="37"/>
  <c r="J15" i="37"/>
  <c r="F32" i="37"/>
  <c r="J31" i="37"/>
  <c r="F48" i="37"/>
  <c r="J47" i="37"/>
  <c r="F15" i="37"/>
  <c r="F31" i="37"/>
  <c r="J30" i="37"/>
  <c r="F47" i="37"/>
  <c r="J46" i="37"/>
  <c r="J13" i="37"/>
  <c r="F30" i="37"/>
  <c r="J29" i="37"/>
  <c r="F46" i="37"/>
  <c r="J45" i="37"/>
  <c r="F16" i="35"/>
  <c r="J15" i="35"/>
  <c r="F44" i="35"/>
  <c r="J43" i="35"/>
  <c r="F43" i="35"/>
  <c r="J42" i="35"/>
  <c r="F10" i="35"/>
  <c r="J9" i="35"/>
  <c r="F24" i="35"/>
  <c r="J23" i="35"/>
  <c r="F42" i="35"/>
  <c r="J41" i="35"/>
  <c r="F57" i="35"/>
  <c r="J55" i="35"/>
  <c r="F27" i="35"/>
  <c r="J26" i="35"/>
  <c r="F41" i="35"/>
  <c r="J40" i="35"/>
  <c r="F13" i="35"/>
  <c r="J12" i="35"/>
  <c r="F31" i="35"/>
  <c r="J30" i="35"/>
  <c r="F45" i="35"/>
  <c r="J44" i="35"/>
  <c r="F11" i="29"/>
  <c r="J10" i="29"/>
  <c r="F30" i="29"/>
  <c r="J29" i="29"/>
  <c r="F22" i="29"/>
  <c r="F23" i="29"/>
  <c r="J22" i="29"/>
  <c r="F51" i="29"/>
  <c r="F46" i="29"/>
  <c r="F48" i="29"/>
  <c r="J47" i="29"/>
  <c r="F25" i="29"/>
  <c r="J24" i="29"/>
  <c r="F19" i="29"/>
  <c r="J18" i="29"/>
  <c r="F14" i="29"/>
  <c r="J13" i="29"/>
  <c r="J36" i="26"/>
  <c r="J18" i="26"/>
  <c r="F22" i="26"/>
  <c r="J21" i="26"/>
  <c r="F34" i="26"/>
  <c r="J33" i="26"/>
  <c r="F26" i="27"/>
  <c r="J25" i="27"/>
  <c r="F25" i="26"/>
  <c r="J24" i="26"/>
  <c r="F41" i="26"/>
  <c r="J40" i="26"/>
  <c r="F24" i="26"/>
  <c r="J23" i="26"/>
  <c r="F57" i="26"/>
  <c r="F23" i="26"/>
  <c r="J22" i="26"/>
  <c r="J54" i="26"/>
  <c r="F38" i="27"/>
  <c r="J37" i="27"/>
  <c r="F47" i="27"/>
  <c r="J46" i="27"/>
  <c r="F39" i="27"/>
  <c r="J38" i="27"/>
  <c r="F43" i="27"/>
  <c r="F51" i="27"/>
  <c r="J50" i="27"/>
  <c r="F33" i="28"/>
  <c r="J32" i="28"/>
  <c r="F16" i="28"/>
  <c r="J15" i="28"/>
  <c r="J10" i="26"/>
  <c r="F10" i="26"/>
  <c r="J9" i="26"/>
  <c r="F26" i="26"/>
  <c r="J25" i="26"/>
  <c r="F42" i="26"/>
  <c r="J41" i="26"/>
  <c r="F13" i="26"/>
  <c r="J12" i="26"/>
  <c r="F29" i="26"/>
  <c r="F45" i="26"/>
  <c r="J44" i="26"/>
  <c r="F16" i="26"/>
  <c r="J15" i="26"/>
  <c r="F43" i="26"/>
  <c r="J42" i="26"/>
  <c r="F12" i="26"/>
  <c r="J27" i="26"/>
  <c r="F44" i="26"/>
  <c r="J43" i="26"/>
  <c r="J21" i="27"/>
  <c r="F48" i="27"/>
  <c r="J47" i="27"/>
  <c r="F20" i="27"/>
  <c r="J19" i="27"/>
  <c r="F36" i="27"/>
  <c r="J35" i="27"/>
  <c r="J51" i="27"/>
  <c r="F28" i="27"/>
  <c r="J27" i="27"/>
  <c r="F44" i="27"/>
  <c r="J43" i="27"/>
  <c r="F11" i="27"/>
  <c r="J10" i="27"/>
  <c r="F24" i="27"/>
  <c r="J23" i="27"/>
  <c r="F40" i="27"/>
  <c r="J39" i="27"/>
  <c r="F55" i="27"/>
  <c r="J54" i="27"/>
  <c r="F34" i="28"/>
  <c r="J33" i="28"/>
  <c r="F37" i="28"/>
  <c r="F54" i="28"/>
  <c r="J53" i="28"/>
  <c r="F20" i="28"/>
  <c r="J19" i="28"/>
  <c r="J35" i="28"/>
  <c r="F52" i="28"/>
  <c r="J51" i="28"/>
  <c r="J29" i="28"/>
  <c r="F21" i="28"/>
  <c r="J20" i="28"/>
  <c r="F15" i="28"/>
  <c r="J14" i="28"/>
  <c r="F31" i="28"/>
  <c r="F47" i="28"/>
  <c r="J46" i="28"/>
  <c r="F20" i="30"/>
  <c r="J19" i="30"/>
  <c r="F11" i="30"/>
  <c r="J10" i="30"/>
  <c r="F43" i="30"/>
  <c r="J42" i="30"/>
  <c r="F10" i="30"/>
  <c r="J9" i="30"/>
  <c r="F26" i="30"/>
  <c r="J25" i="30"/>
  <c r="F42" i="30"/>
  <c r="J41" i="30"/>
  <c r="F12" i="30"/>
  <c r="J11" i="30"/>
  <c r="F36" i="30"/>
  <c r="J35" i="30"/>
  <c r="J14" i="30"/>
  <c r="F47" i="30"/>
  <c r="J46" i="30"/>
  <c r="F25" i="30"/>
  <c r="J24" i="30"/>
  <c r="F41" i="30"/>
  <c r="J40" i="30"/>
  <c r="F27" i="33"/>
  <c r="J26" i="33"/>
  <c r="F16" i="33"/>
  <c r="J15" i="33"/>
  <c r="F30" i="33"/>
  <c r="J29" i="33"/>
  <c r="F51" i="33"/>
  <c r="J50" i="33"/>
  <c r="F22" i="33"/>
  <c r="J21" i="33"/>
  <c r="F20" i="33"/>
  <c r="F34" i="33"/>
  <c r="J33" i="33"/>
  <c r="J30" i="33"/>
  <c r="F14" i="33"/>
  <c r="F32" i="33"/>
  <c r="F53" i="33"/>
  <c r="J52" i="33"/>
  <c r="F41" i="33"/>
  <c r="J40" i="33"/>
  <c r="F39" i="34"/>
  <c r="J38" i="34"/>
  <c r="F57" i="34"/>
  <c r="J55" i="34"/>
  <c r="J34" i="34"/>
  <c r="F30" i="34"/>
  <c r="F47" i="34"/>
  <c r="J46" i="34"/>
  <c r="F21" i="34"/>
  <c r="J20" i="34"/>
  <c r="F37" i="34"/>
  <c r="J36" i="34"/>
  <c r="F50" i="34"/>
  <c r="J49" i="34"/>
  <c r="F20" i="34"/>
  <c r="J19" i="34"/>
  <c r="F36" i="34"/>
  <c r="F53" i="34"/>
  <c r="J52" i="34"/>
  <c r="F11" i="32"/>
  <c r="J10" i="32"/>
  <c r="F15" i="32"/>
  <c r="J14" i="32"/>
  <c r="F13" i="32"/>
  <c r="F50" i="36"/>
  <c r="J49" i="36"/>
  <c r="F37" i="36"/>
  <c r="J36" i="36"/>
  <c r="F17" i="36"/>
  <c r="J16" i="36"/>
  <c r="F35" i="36"/>
  <c r="J34" i="36"/>
  <c r="F49" i="36"/>
  <c r="J48" i="36"/>
  <c r="F12" i="36"/>
  <c r="J11" i="36"/>
  <c r="J29" i="36"/>
  <c r="F44" i="36"/>
  <c r="J43" i="36"/>
  <c r="F15" i="36"/>
  <c r="J14" i="36"/>
  <c r="F29" i="36"/>
  <c r="J28" i="36"/>
  <c r="F47" i="36"/>
  <c r="J46" i="36"/>
  <c r="F33" i="31"/>
  <c r="J32" i="31"/>
  <c r="F49" i="31"/>
  <c r="J48" i="31"/>
  <c r="F20" i="31"/>
  <c r="J19" i="31"/>
  <c r="F36" i="31"/>
  <c r="J35" i="31"/>
  <c r="F52" i="31"/>
  <c r="J51" i="31"/>
  <c r="F11" i="31"/>
  <c r="J10" i="31"/>
  <c r="F27" i="31"/>
  <c r="J26" i="31"/>
  <c r="F43" i="31"/>
  <c r="J42" i="31"/>
  <c r="F25" i="31"/>
  <c r="J24" i="31"/>
  <c r="F22" i="31"/>
  <c r="J21" i="31"/>
  <c r="F38" i="31"/>
  <c r="J37" i="31"/>
  <c r="F54" i="31"/>
  <c r="J53" i="31"/>
  <c r="F55" i="37"/>
  <c r="J54" i="37"/>
  <c r="F23" i="37"/>
  <c r="J22" i="37"/>
  <c r="J20" i="37"/>
  <c r="F37" i="37"/>
  <c r="J36" i="37"/>
  <c r="F53" i="37"/>
  <c r="J52" i="37"/>
  <c r="F20" i="37"/>
  <c r="J19" i="37"/>
  <c r="F36" i="37"/>
  <c r="F52" i="37"/>
  <c r="J51" i="37"/>
  <c r="F19" i="37"/>
  <c r="J18" i="37"/>
  <c r="J34" i="37"/>
  <c r="F51" i="37"/>
  <c r="J50" i="37"/>
  <c r="F21" i="35"/>
  <c r="J20" i="35"/>
  <c r="F48" i="35"/>
  <c r="J47" i="35"/>
  <c r="F15" i="35"/>
  <c r="J14" i="35"/>
  <c r="J28" i="35"/>
  <c r="F47" i="35"/>
  <c r="J46" i="35"/>
  <c r="F14" i="35"/>
  <c r="J13" i="35"/>
  <c r="F28" i="35"/>
  <c r="J27" i="35"/>
  <c r="F46" i="35"/>
  <c r="J45" i="35"/>
  <c r="F17" i="35"/>
  <c r="J16" i="35"/>
  <c r="F35" i="35"/>
  <c r="J34" i="35"/>
  <c r="F49" i="35"/>
  <c r="J48" i="35"/>
  <c r="J30" i="29"/>
  <c r="F43" i="29"/>
  <c r="J42" i="29"/>
  <c r="F47" i="29"/>
  <c r="J46" i="29"/>
  <c r="J11" i="29"/>
  <c r="F42" i="29"/>
  <c r="J41" i="29"/>
  <c r="F28" i="29"/>
  <c r="J27" i="29"/>
  <c r="F17" i="29"/>
  <c r="J44" i="29"/>
  <c r="F52" i="29"/>
  <c r="J51" i="29"/>
  <c r="F33" i="29"/>
  <c r="J32" i="29"/>
  <c r="F13" i="29"/>
  <c r="J54" i="29"/>
  <c r="F9" i="29"/>
  <c r="F7" i="29"/>
  <c r="F27" i="29"/>
  <c r="F15" i="29"/>
  <c r="F57" i="29"/>
  <c r="F9" i="33"/>
  <c r="F7" i="33"/>
  <c r="F9" i="37"/>
  <c r="F7" i="37"/>
  <c r="F9" i="27"/>
  <c r="F7" i="27"/>
  <c r="F9" i="28"/>
  <c r="F7" i="28"/>
  <c r="F9" i="32"/>
  <c r="F7" i="32"/>
  <c r="F7" i="36"/>
  <c r="F9" i="36"/>
  <c r="F9" i="31"/>
  <c r="F7" i="31"/>
  <c r="F7" i="26"/>
  <c r="F9" i="26"/>
  <c r="F7" i="34"/>
  <c r="F9" i="34"/>
  <c r="F7" i="30"/>
  <c r="F9" i="30"/>
  <c r="F9" i="35"/>
  <c r="F7" i="35"/>
  <c r="D57" i="3" l="1"/>
  <c r="D10" i="3"/>
  <c r="L10" i="3" s="1"/>
  <c r="D11" i="3"/>
  <c r="L12" i="3"/>
  <c r="D13" i="3"/>
  <c r="L13" i="3" s="1"/>
  <c r="D14" i="3"/>
  <c r="L14" i="3" s="1"/>
  <c r="D15" i="3"/>
  <c r="D16" i="3"/>
  <c r="L16" i="3" s="1"/>
  <c r="D17" i="3"/>
  <c r="L17" i="3" s="1"/>
  <c r="D18" i="3"/>
  <c r="L18" i="3" s="1"/>
  <c r="D20" i="3"/>
  <c r="L20" i="3" s="1"/>
  <c r="D21" i="3"/>
  <c r="L21" i="3" s="1"/>
  <c r="D22" i="3"/>
  <c r="L22" i="3" s="1"/>
  <c r="D23" i="3"/>
  <c r="D24" i="3"/>
  <c r="L24" i="3" s="1"/>
  <c r="L25" i="3"/>
  <c r="D26" i="3"/>
  <c r="L26" i="3" s="1"/>
  <c r="D27" i="3"/>
  <c r="D28" i="3"/>
  <c r="L28" i="3" s="1"/>
  <c r="D29" i="3"/>
  <c r="L29" i="3" s="1"/>
  <c r="D30" i="3"/>
  <c r="L30" i="3" s="1"/>
  <c r="D31" i="3"/>
  <c r="L32" i="3"/>
  <c r="D33" i="3"/>
  <c r="L33" i="3" s="1"/>
  <c r="D34" i="3"/>
  <c r="L34" i="3" s="1"/>
  <c r="D35" i="3"/>
  <c r="D36" i="3"/>
  <c r="L36" i="3" s="1"/>
  <c r="D37" i="3"/>
  <c r="L37" i="3" s="1"/>
  <c r="L38" i="3"/>
  <c r="D39" i="3"/>
  <c r="D40" i="3"/>
  <c r="L40" i="3" s="1"/>
  <c r="D41" i="3"/>
  <c r="L41" i="3" s="1"/>
  <c r="D42" i="3"/>
  <c r="L42" i="3" s="1"/>
  <c r="D43" i="3"/>
  <c r="D44" i="3"/>
  <c r="L44" i="3" s="1"/>
  <c r="L45" i="3"/>
  <c r="D46" i="3"/>
  <c r="L46" i="3" s="1"/>
  <c r="D47" i="3"/>
  <c r="D48" i="3"/>
  <c r="L48" i="3" s="1"/>
  <c r="D49" i="3"/>
  <c r="L49" i="3" s="1"/>
  <c r="D50" i="3"/>
  <c r="L50" i="3" s="1"/>
  <c r="D52" i="3"/>
  <c r="L52" i="3" s="1"/>
  <c r="D53" i="3"/>
  <c r="L53" i="3" s="1"/>
  <c r="D54" i="3"/>
  <c r="L54" i="3" s="1"/>
  <c r="D55" i="3"/>
  <c r="D9" i="3"/>
  <c r="D7" i="3"/>
  <c r="D107" i="5"/>
  <c r="D10" i="5"/>
  <c r="L10" i="5" s="1"/>
  <c r="D11" i="5"/>
  <c r="L11" i="5" s="1"/>
  <c r="D12" i="5"/>
  <c r="L12" i="5" s="1"/>
  <c r="D13" i="5"/>
  <c r="L13" i="5" s="1"/>
  <c r="D14" i="5"/>
  <c r="L14" i="5" s="1"/>
  <c r="D15" i="5"/>
  <c r="L15" i="5" s="1"/>
  <c r="L16" i="5"/>
  <c r="D17" i="5"/>
  <c r="L17" i="5" s="1"/>
  <c r="D18" i="5"/>
  <c r="L18" i="5" s="1"/>
  <c r="D19" i="5"/>
  <c r="L19" i="5" s="1"/>
  <c r="D20" i="5"/>
  <c r="L20" i="5" s="1"/>
  <c r="D21" i="5"/>
  <c r="L21" i="5" s="1"/>
  <c r="L22" i="5"/>
  <c r="D23" i="5"/>
  <c r="L23" i="5" s="1"/>
  <c r="D24" i="5"/>
  <c r="L24" i="5" s="1"/>
  <c r="D25" i="5"/>
  <c r="L25" i="5" s="1"/>
  <c r="D26" i="5"/>
  <c r="L26" i="5" s="1"/>
  <c r="D27" i="5"/>
  <c r="L27" i="5" s="1"/>
  <c r="L28" i="5"/>
  <c r="D29" i="5"/>
  <c r="L29" i="5" s="1"/>
  <c r="D30" i="5"/>
  <c r="L30" i="5" s="1"/>
  <c r="D31" i="5"/>
  <c r="L31" i="5" s="1"/>
  <c r="D32" i="5"/>
  <c r="L32" i="5" s="1"/>
  <c r="D33" i="5"/>
  <c r="L33" i="5" s="1"/>
  <c r="L34" i="5"/>
  <c r="D35" i="5"/>
  <c r="L35" i="5" s="1"/>
  <c r="D36" i="5"/>
  <c r="L36" i="5" s="1"/>
  <c r="D37" i="5"/>
  <c r="L37" i="5" s="1"/>
  <c r="D38" i="5"/>
  <c r="L38" i="5" s="1"/>
  <c r="D39" i="5"/>
  <c r="L39" i="5" s="1"/>
  <c r="D40" i="5"/>
  <c r="L40" i="5" s="1"/>
  <c r="L41" i="5"/>
  <c r="D42" i="5"/>
  <c r="L42" i="5" s="1"/>
  <c r="D43" i="5"/>
  <c r="L43" i="5" s="1"/>
  <c r="D44" i="5"/>
  <c r="L44" i="5" s="1"/>
  <c r="D45" i="5"/>
  <c r="L45" i="5" s="1"/>
  <c r="D46" i="5"/>
  <c r="L46" i="5" s="1"/>
  <c r="L47" i="5"/>
  <c r="D48" i="5"/>
  <c r="L48" i="5" s="1"/>
  <c r="D49" i="5"/>
  <c r="L49" i="5" s="1"/>
  <c r="D50" i="5"/>
  <c r="L50" i="5" s="1"/>
  <c r="D51" i="5"/>
  <c r="L51" i="5" s="1"/>
  <c r="D52" i="5"/>
  <c r="L52" i="5" s="1"/>
  <c r="L53" i="5"/>
  <c r="D54" i="5"/>
  <c r="L54" i="5" s="1"/>
  <c r="D55" i="5"/>
  <c r="L55" i="5" s="1"/>
  <c r="D56" i="5"/>
  <c r="L56" i="5" s="1"/>
  <c r="D57" i="5"/>
  <c r="L57" i="5" s="1"/>
  <c r="D58" i="5"/>
  <c r="L58" i="5" s="1"/>
  <c r="D59" i="5"/>
  <c r="L59" i="5" s="1"/>
  <c r="L60" i="5"/>
  <c r="D61" i="5"/>
  <c r="L61" i="5" s="1"/>
  <c r="D62" i="5"/>
  <c r="L62" i="5" s="1"/>
  <c r="D63" i="5"/>
  <c r="L63" i="5" s="1"/>
  <c r="D64" i="5"/>
  <c r="L64" i="5" s="1"/>
  <c r="D65" i="5"/>
  <c r="L65" i="5" s="1"/>
  <c r="L66" i="5"/>
  <c r="D67" i="5"/>
  <c r="L67" i="5" s="1"/>
  <c r="D68" i="5"/>
  <c r="L68" i="5" s="1"/>
  <c r="D69" i="5"/>
  <c r="L69" i="5" s="1"/>
  <c r="D70" i="5"/>
  <c r="L70" i="5" s="1"/>
  <c r="D71" i="5"/>
  <c r="L71" i="5" s="1"/>
  <c r="L72" i="5"/>
  <c r="D73" i="5"/>
  <c r="L73" i="5" s="1"/>
  <c r="D74" i="5"/>
  <c r="L74" i="5" s="1"/>
  <c r="D75" i="5"/>
  <c r="L75" i="5" s="1"/>
  <c r="D76" i="5"/>
  <c r="L76" i="5" s="1"/>
  <c r="D77" i="5"/>
  <c r="L77" i="5" s="1"/>
  <c r="D78" i="5"/>
  <c r="L78" i="5" s="1"/>
  <c r="L79" i="5"/>
  <c r="D80" i="5"/>
  <c r="L80" i="5" s="1"/>
  <c r="D81" i="5"/>
  <c r="L81" i="5" s="1"/>
  <c r="D82" i="5"/>
  <c r="L82" i="5" s="1"/>
  <c r="D83" i="5"/>
  <c r="L83" i="5" s="1"/>
  <c r="D84" i="5"/>
  <c r="L84" i="5" s="1"/>
  <c r="L85" i="5"/>
  <c r="D86" i="5"/>
  <c r="L86" i="5" s="1"/>
  <c r="D87" i="5"/>
  <c r="L87" i="5" s="1"/>
  <c r="D88" i="5"/>
  <c r="L88" i="5" s="1"/>
  <c r="D89" i="5"/>
  <c r="L89" i="5" s="1"/>
  <c r="D90" i="5"/>
  <c r="L90" i="5" s="1"/>
  <c r="L91" i="5"/>
  <c r="D92" i="5"/>
  <c r="L92" i="5" s="1"/>
  <c r="D93" i="5"/>
  <c r="L93" i="5" s="1"/>
  <c r="D94" i="5"/>
  <c r="L94" i="5" s="1"/>
  <c r="D95" i="5"/>
  <c r="L95" i="5" s="1"/>
  <c r="D96" i="5"/>
  <c r="L96" i="5" s="1"/>
  <c r="L97" i="5"/>
  <c r="D98" i="5"/>
  <c r="L98" i="5" s="1"/>
  <c r="D99" i="5"/>
  <c r="L99" i="5" s="1"/>
  <c r="D100" i="5"/>
  <c r="L100" i="5" s="1"/>
  <c r="D101" i="5"/>
  <c r="L101" i="5" s="1"/>
  <c r="D103" i="5"/>
  <c r="L104" i="5"/>
  <c r="D105" i="5"/>
  <c r="L105" i="5" s="1"/>
  <c r="D9" i="5"/>
  <c r="D7" i="5"/>
  <c r="G7" i="5" l="1"/>
  <c r="H7" i="5" s="1"/>
  <c r="L7" i="5"/>
  <c r="G103" i="5"/>
  <c r="H103" i="5" s="1"/>
  <c r="L103" i="5"/>
  <c r="G9" i="5"/>
  <c r="H9" i="5" s="1"/>
  <c r="L9" i="5"/>
  <c r="G107" i="5"/>
  <c r="H107" i="5" s="1"/>
  <c r="L107" i="5"/>
  <c r="G55" i="3"/>
  <c r="H55" i="3" s="1"/>
  <c r="L55" i="3"/>
  <c r="L51" i="3"/>
  <c r="G47" i="3"/>
  <c r="H47" i="3" s="1"/>
  <c r="L47" i="3"/>
  <c r="G43" i="3"/>
  <c r="H43" i="3" s="1"/>
  <c r="L43" i="3"/>
  <c r="G39" i="3"/>
  <c r="H39" i="3" s="1"/>
  <c r="L39" i="3"/>
  <c r="G35" i="3"/>
  <c r="H35" i="3" s="1"/>
  <c r="L35" i="3"/>
  <c r="G31" i="3"/>
  <c r="H31" i="3" s="1"/>
  <c r="L31" i="3"/>
  <c r="G27" i="3"/>
  <c r="H27" i="3" s="1"/>
  <c r="L27" i="3"/>
  <c r="G23" i="3"/>
  <c r="H23" i="3" s="1"/>
  <c r="L23" i="3"/>
  <c r="L19" i="3"/>
  <c r="G15" i="3"/>
  <c r="H15" i="3" s="1"/>
  <c r="L15" i="3"/>
  <c r="G11" i="3"/>
  <c r="H11" i="3" s="1"/>
  <c r="L11" i="3"/>
  <c r="G9" i="3"/>
  <c r="H9" i="3" s="1"/>
  <c r="L9" i="3"/>
  <c r="G7" i="3"/>
  <c r="H7" i="3" s="1"/>
  <c r="L7" i="3"/>
  <c r="G57" i="3"/>
  <c r="H57" i="3" s="1"/>
  <c r="L57" i="3"/>
  <c r="G105" i="5"/>
  <c r="H105" i="5" s="1"/>
  <c r="G100" i="5"/>
  <c r="H100" i="5" s="1"/>
  <c r="G96" i="5"/>
  <c r="H96" i="5" s="1"/>
  <c r="G92" i="5"/>
  <c r="H92" i="5" s="1"/>
  <c r="G88" i="5"/>
  <c r="H88" i="5" s="1"/>
  <c r="G84" i="5"/>
  <c r="H84" i="5" s="1"/>
  <c r="G80" i="5"/>
  <c r="H80" i="5" s="1"/>
  <c r="G76" i="5"/>
  <c r="H76" i="5" s="1"/>
  <c r="G68" i="5"/>
  <c r="H68" i="5" s="1"/>
  <c r="G64" i="5"/>
  <c r="H64" i="5" s="1"/>
  <c r="G56" i="5"/>
  <c r="H56" i="5" s="1"/>
  <c r="G52" i="5"/>
  <c r="H52" i="5" s="1"/>
  <c r="G48" i="5"/>
  <c r="H48" i="5" s="1"/>
  <c r="G44" i="5"/>
  <c r="H44" i="5" s="1"/>
  <c r="G40" i="5"/>
  <c r="H40" i="5" s="1"/>
  <c r="G36" i="5"/>
  <c r="H36" i="5" s="1"/>
  <c r="G32" i="5"/>
  <c r="H32" i="5" s="1"/>
  <c r="G24" i="5"/>
  <c r="H24" i="5" s="1"/>
  <c r="G20" i="5"/>
  <c r="H20" i="5" s="1"/>
  <c r="G12" i="5"/>
  <c r="H12" i="5" s="1"/>
  <c r="G98" i="5"/>
  <c r="H98" i="5" s="1"/>
  <c r="G94" i="5"/>
  <c r="H94" i="5" s="1"/>
  <c r="G86" i="5"/>
  <c r="H86" i="5" s="1"/>
  <c r="G82" i="5"/>
  <c r="H82" i="5" s="1"/>
  <c r="G78" i="5"/>
  <c r="H78" i="5" s="1"/>
  <c r="G74" i="5"/>
  <c r="H74" i="5" s="1"/>
  <c r="G70" i="5"/>
  <c r="H70" i="5" s="1"/>
  <c r="G62" i="5"/>
  <c r="H62" i="5" s="1"/>
  <c r="G58" i="5"/>
  <c r="H58" i="5" s="1"/>
  <c r="G54" i="5"/>
  <c r="H54" i="5" s="1"/>
  <c r="G50" i="5"/>
  <c r="H50" i="5" s="1"/>
  <c r="G46" i="5"/>
  <c r="H46" i="5" s="1"/>
  <c r="G42" i="5"/>
  <c r="H42" i="5" s="1"/>
  <c r="G38" i="5"/>
  <c r="H38" i="5" s="1"/>
  <c r="G30" i="5"/>
  <c r="H30" i="5" s="1"/>
  <c r="G26" i="5"/>
  <c r="H26" i="5" s="1"/>
  <c r="G18" i="5"/>
  <c r="H18" i="5" s="1"/>
  <c r="G14" i="5"/>
  <c r="H14" i="5" s="1"/>
  <c r="G53" i="3"/>
  <c r="H53" i="3" s="1"/>
  <c r="G49" i="3"/>
  <c r="H49" i="3" s="1"/>
  <c r="G93" i="5"/>
  <c r="H93" i="5" s="1"/>
  <c r="G89" i="5"/>
  <c r="H89" i="5" s="1"/>
  <c r="G81" i="5"/>
  <c r="H81" i="5" s="1"/>
  <c r="G77" i="5"/>
  <c r="H77" i="5" s="1"/>
  <c r="G73" i="5"/>
  <c r="H73" i="5" s="1"/>
  <c r="G69" i="5"/>
  <c r="H69" i="5" s="1"/>
  <c r="G65" i="5"/>
  <c r="H65" i="5" s="1"/>
  <c r="G61" i="5"/>
  <c r="H61" i="5" s="1"/>
  <c r="G57" i="5"/>
  <c r="H57" i="5" s="1"/>
  <c r="G49" i="5"/>
  <c r="H49" i="5" s="1"/>
  <c r="G45" i="5"/>
  <c r="H45" i="5" s="1"/>
  <c r="G37" i="5"/>
  <c r="H37" i="5" s="1"/>
  <c r="G33" i="5"/>
  <c r="H33" i="5" s="1"/>
  <c r="G29" i="5"/>
  <c r="H29" i="5" s="1"/>
  <c r="G25" i="5"/>
  <c r="H25" i="5" s="1"/>
  <c r="G41" i="3"/>
  <c r="H41" i="3" s="1"/>
  <c r="G37" i="3"/>
  <c r="H37" i="3" s="1"/>
  <c r="G33" i="3"/>
  <c r="H33" i="3" s="1"/>
  <c r="G29" i="3"/>
  <c r="H29" i="3" s="1"/>
  <c r="G21" i="3"/>
  <c r="H21" i="3" s="1"/>
  <c r="G17" i="3"/>
  <c r="H17" i="3" s="1"/>
  <c r="G13" i="3"/>
  <c r="H13" i="3" s="1"/>
  <c r="G21" i="5"/>
  <c r="H21" i="5" s="1"/>
  <c r="G17" i="5"/>
  <c r="H17" i="5" s="1"/>
  <c r="G13" i="5"/>
  <c r="H13" i="5" s="1"/>
  <c r="G52" i="3"/>
  <c r="H52" i="3" s="1"/>
  <c r="G48" i="3"/>
  <c r="H48" i="3" s="1"/>
  <c r="G44" i="3"/>
  <c r="H44" i="3" s="1"/>
  <c r="G40" i="3"/>
  <c r="H40" i="3" s="1"/>
  <c r="G36" i="3"/>
  <c r="H36" i="3" s="1"/>
  <c r="G28" i="3"/>
  <c r="H28" i="3" s="1"/>
  <c r="G24" i="3"/>
  <c r="H24" i="3" s="1"/>
  <c r="G20" i="3"/>
  <c r="H20" i="3" s="1"/>
  <c r="G16" i="3"/>
  <c r="H16" i="3" s="1"/>
  <c r="G101" i="5"/>
  <c r="H101" i="5" s="1"/>
  <c r="G102" i="5"/>
  <c r="H102" i="5" s="1"/>
  <c r="G99" i="5"/>
  <c r="H99" i="5" s="1"/>
  <c r="G95" i="5"/>
  <c r="H95" i="5" s="1"/>
  <c r="G87" i="5"/>
  <c r="H87" i="5" s="1"/>
  <c r="G83" i="5"/>
  <c r="H83" i="5" s="1"/>
  <c r="G75" i="5"/>
  <c r="H75" i="5" s="1"/>
  <c r="G71" i="5"/>
  <c r="H71" i="5" s="1"/>
  <c r="G67" i="5"/>
  <c r="H67" i="5" s="1"/>
  <c r="G63" i="5"/>
  <c r="H63" i="5" s="1"/>
  <c r="G59" i="5"/>
  <c r="H59" i="5" s="1"/>
  <c r="G55" i="5"/>
  <c r="H55" i="5" s="1"/>
  <c r="G51" i="5"/>
  <c r="H51" i="5" s="1"/>
  <c r="G43" i="5"/>
  <c r="H43" i="5" s="1"/>
  <c r="G39" i="5"/>
  <c r="H39" i="5" s="1"/>
  <c r="G35" i="5"/>
  <c r="H35" i="5" s="1"/>
  <c r="G31" i="5"/>
  <c r="H31" i="5" s="1"/>
  <c r="G27" i="5"/>
  <c r="H27" i="5" s="1"/>
  <c r="G23" i="5"/>
  <c r="H23" i="5" s="1"/>
  <c r="G19" i="5"/>
  <c r="H19" i="5" s="1"/>
  <c r="G15" i="5"/>
  <c r="H15" i="5" s="1"/>
  <c r="G11" i="5"/>
  <c r="H11" i="5" s="1"/>
  <c r="G54" i="3"/>
  <c r="H54" i="3" s="1"/>
  <c r="G50" i="3"/>
  <c r="H50" i="3" s="1"/>
  <c r="G46" i="3"/>
  <c r="H46" i="3" s="1"/>
  <c r="G42" i="3"/>
  <c r="H42" i="3" s="1"/>
  <c r="G34" i="3"/>
  <c r="H34" i="3" s="1"/>
  <c r="G30" i="3"/>
  <c r="H30" i="3" s="1"/>
  <c r="G26" i="3"/>
  <c r="H26" i="3" s="1"/>
  <c r="G22" i="3"/>
  <c r="H22" i="3" s="1"/>
  <c r="G18" i="3"/>
  <c r="H18" i="3" s="1"/>
  <c r="G14" i="3"/>
  <c r="H14" i="3" s="1"/>
  <c r="G10" i="3"/>
  <c r="H10" i="3" s="1"/>
  <c r="G90" i="5"/>
  <c r="H90" i="5" s="1"/>
  <c r="G10" i="5"/>
  <c r="H10" i="5" s="1"/>
  <c r="I7" i="3"/>
  <c r="J7" i="3" s="1"/>
  <c r="E96" i="5"/>
  <c r="E84" i="5"/>
  <c r="E48" i="5"/>
  <c r="E36" i="5"/>
  <c r="E24" i="5"/>
  <c r="E12" i="5"/>
  <c r="E7" i="5"/>
  <c r="E103" i="5"/>
  <c r="E99" i="5"/>
  <c r="E95" i="5"/>
  <c r="E87" i="5"/>
  <c r="E83" i="5"/>
  <c r="E75" i="5"/>
  <c r="E71" i="5"/>
  <c r="E67" i="5"/>
  <c r="E63" i="5"/>
  <c r="E59" i="5"/>
  <c r="E55" i="5"/>
  <c r="E51" i="5"/>
  <c r="E43" i="5"/>
  <c r="E39" i="5"/>
  <c r="E35" i="5"/>
  <c r="E31" i="5"/>
  <c r="E27" i="5"/>
  <c r="E23" i="5"/>
  <c r="E19" i="5"/>
  <c r="E15" i="5"/>
  <c r="E11" i="5"/>
  <c r="E92" i="5"/>
  <c r="E76" i="5"/>
  <c r="E64" i="5"/>
  <c r="E52" i="5"/>
  <c r="E40" i="5"/>
  <c r="E9" i="5"/>
  <c r="E98" i="5"/>
  <c r="E94" i="5"/>
  <c r="E90" i="5"/>
  <c r="E86" i="5"/>
  <c r="E82" i="5"/>
  <c r="E78" i="5"/>
  <c r="E74" i="5"/>
  <c r="E70" i="5"/>
  <c r="E62" i="5"/>
  <c r="E58" i="5"/>
  <c r="E54" i="5"/>
  <c r="E50" i="5"/>
  <c r="E46" i="5"/>
  <c r="E42" i="5"/>
  <c r="E38" i="5"/>
  <c r="E30" i="5"/>
  <c r="E26" i="5"/>
  <c r="E18" i="5"/>
  <c r="E14" i="5"/>
  <c r="E10" i="5"/>
  <c r="E100" i="5"/>
  <c r="E88" i="5"/>
  <c r="E80" i="5"/>
  <c r="E68" i="5"/>
  <c r="E56" i="5"/>
  <c r="E44" i="5"/>
  <c r="E32" i="5"/>
  <c r="E20" i="5"/>
  <c r="E105" i="5"/>
  <c r="E101" i="5"/>
  <c r="E93" i="5"/>
  <c r="E89" i="5"/>
  <c r="E81" i="5"/>
  <c r="E77" i="5"/>
  <c r="E73" i="5"/>
  <c r="E69" i="5"/>
  <c r="E65" i="5"/>
  <c r="E61" i="5"/>
  <c r="E57" i="5"/>
  <c r="E49" i="5"/>
  <c r="E45" i="5"/>
  <c r="E37" i="5"/>
  <c r="E33" i="5"/>
  <c r="E29" i="5"/>
  <c r="E25" i="5"/>
  <c r="E21" i="5"/>
  <c r="E17" i="5"/>
  <c r="E13" i="5"/>
  <c r="E107" i="5"/>
  <c r="D10" i="2"/>
  <c r="L10" i="2" s="1"/>
  <c r="D11" i="2"/>
  <c r="L11" i="2" s="1"/>
  <c r="D12" i="2"/>
  <c r="L12" i="2" s="1"/>
  <c r="D13" i="2"/>
  <c r="L13" i="2" s="1"/>
  <c r="D14" i="2"/>
  <c r="L14" i="2" s="1"/>
  <c r="D15" i="2"/>
  <c r="L15" i="2" s="1"/>
  <c r="D16" i="2"/>
  <c r="L16" i="2" s="1"/>
  <c r="L17" i="2"/>
  <c r="D18" i="2"/>
  <c r="L18" i="2" s="1"/>
  <c r="D19" i="2"/>
  <c r="L19" i="2" s="1"/>
  <c r="D20" i="2"/>
  <c r="L20" i="2" s="1"/>
  <c r="D21" i="2"/>
  <c r="L21" i="2" s="1"/>
  <c r="D22" i="2"/>
  <c r="L22" i="2" s="1"/>
  <c r="D23" i="2"/>
  <c r="L23" i="2" s="1"/>
  <c r="D24" i="2"/>
  <c r="L24" i="2" s="1"/>
  <c r="D25" i="2"/>
  <c r="L25" i="2" s="1"/>
  <c r="D26" i="2"/>
  <c r="L26" i="2" s="1"/>
  <c r="L27" i="2"/>
  <c r="D28" i="2"/>
  <c r="L28" i="2" s="1"/>
  <c r="D29" i="2"/>
  <c r="L29" i="2" s="1"/>
  <c r="D30" i="2"/>
  <c r="L30" i="2" s="1"/>
  <c r="D31" i="2"/>
  <c r="L31" i="2" s="1"/>
  <c r="D32" i="2"/>
  <c r="L32" i="2" s="1"/>
  <c r="D33" i="2"/>
  <c r="L33" i="2" s="1"/>
  <c r="D34" i="2"/>
  <c r="L34" i="2" s="1"/>
  <c r="D35" i="2"/>
  <c r="L35" i="2" s="1"/>
  <c r="L36" i="2"/>
  <c r="D37" i="2"/>
  <c r="L37" i="2" s="1"/>
  <c r="D38" i="2"/>
  <c r="L38" i="2" s="1"/>
  <c r="D39" i="2"/>
  <c r="L39" i="2" s="1"/>
  <c r="D40" i="2"/>
  <c r="L40" i="2" s="1"/>
  <c r="D41" i="2"/>
  <c r="L41" i="2" s="1"/>
  <c r="D42" i="2"/>
  <c r="L42" i="2" s="1"/>
  <c r="D43" i="2"/>
  <c r="L43" i="2" s="1"/>
  <c r="D44" i="2"/>
  <c r="L44" i="2" s="1"/>
  <c r="L45" i="2"/>
  <c r="D46" i="2"/>
  <c r="L46" i="2" s="1"/>
  <c r="D47" i="2"/>
  <c r="L47" i="2" s="1"/>
  <c r="D48" i="2"/>
  <c r="L48" i="2" s="1"/>
  <c r="D49" i="2"/>
  <c r="L49" i="2" s="1"/>
  <c r="D50" i="2"/>
  <c r="L50" i="2" s="1"/>
  <c r="D51" i="2"/>
  <c r="L51" i="2" s="1"/>
  <c r="D52" i="2"/>
  <c r="L52" i="2" s="1"/>
  <c r="D53" i="2"/>
  <c r="L53" i="2" s="1"/>
  <c r="D54" i="2"/>
  <c r="L54" i="2" s="1"/>
  <c r="L55" i="2"/>
  <c r="D56" i="2"/>
  <c r="L56" i="2" s="1"/>
  <c r="D57" i="2"/>
  <c r="L57" i="2" s="1"/>
  <c r="D58" i="2"/>
  <c r="L58" i="2" s="1"/>
  <c r="D59" i="2"/>
  <c r="L59" i="2" s="1"/>
  <c r="D60" i="2"/>
  <c r="L60" i="2" s="1"/>
  <c r="D61" i="2"/>
  <c r="L61" i="2" s="1"/>
  <c r="D62" i="2"/>
  <c r="L62" i="2" s="1"/>
  <c r="D63" i="2"/>
  <c r="L63" i="2" s="1"/>
  <c r="L64" i="2"/>
  <c r="D65" i="2"/>
  <c r="L65" i="2" s="1"/>
  <c r="D66" i="2"/>
  <c r="L66" i="2" s="1"/>
  <c r="D67" i="2"/>
  <c r="L67" i="2" s="1"/>
  <c r="D68" i="2"/>
  <c r="L68" i="2" s="1"/>
  <c r="D69" i="2"/>
  <c r="L69" i="2" s="1"/>
  <c r="D70" i="2"/>
  <c r="L70" i="2" s="1"/>
  <c r="D71" i="2"/>
  <c r="L71" i="2" s="1"/>
  <c r="D72" i="2"/>
  <c r="L72" i="2" s="1"/>
  <c r="L73" i="2"/>
  <c r="D74" i="2"/>
  <c r="L74" i="2" s="1"/>
  <c r="D75" i="2"/>
  <c r="L75" i="2" s="1"/>
  <c r="D76" i="2"/>
  <c r="L76" i="2" s="1"/>
  <c r="D77" i="2"/>
  <c r="L77" i="2" s="1"/>
  <c r="D78" i="2"/>
  <c r="L78" i="2" s="1"/>
  <c r="D79" i="2"/>
  <c r="L79" i="2" s="1"/>
  <c r="D80" i="2"/>
  <c r="L80" i="2" s="1"/>
  <c r="D81" i="2"/>
  <c r="L81" i="2" s="1"/>
  <c r="D82" i="2"/>
  <c r="L82" i="2" s="1"/>
  <c r="L83" i="2"/>
  <c r="D84" i="2"/>
  <c r="L84" i="2" s="1"/>
  <c r="D85" i="2"/>
  <c r="L85" i="2" s="1"/>
  <c r="D86" i="2"/>
  <c r="L86" i="2" s="1"/>
  <c r="D87" i="2"/>
  <c r="L87" i="2" s="1"/>
  <c r="D88" i="2"/>
  <c r="L88" i="2" s="1"/>
  <c r="D89" i="2"/>
  <c r="L89" i="2" s="1"/>
  <c r="D90" i="2"/>
  <c r="L90" i="2" s="1"/>
  <c r="D91" i="2"/>
  <c r="L91" i="2" s="1"/>
  <c r="L92" i="2"/>
  <c r="D93" i="2"/>
  <c r="L93" i="2" s="1"/>
  <c r="D94" i="2"/>
  <c r="L94" i="2" s="1"/>
  <c r="D95" i="2"/>
  <c r="L95" i="2" s="1"/>
  <c r="D96" i="2"/>
  <c r="L96" i="2" s="1"/>
  <c r="D97" i="2"/>
  <c r="L97" i="2" s="1"/>
  <c r="D98" i="2"/>
  <c r="L98" i="2" s="1"/>
  <c r="D99" i="2"/>
  <c r="L99" i="2" s="1"/>
  <c r="D100" i="2"/>
  <c r="L100" i="2" s="1"/>
  <c r="L101" i="2"/>
  <c r="D103" i="2"/>
  <c r="D104" i="2"/>
  <c r="L104" i="2" s="1"/>
  <c r="D105" i="2"/>
  <c r="L105" i="2" s="1"/>
  <c r="D9" i="2"/>
  <c r="D7" i="2"/>
  <c r="I29" i="3" l="1"/>
  <c r="J29" i="3" s="1"/>
  <c r="I48" i="3"/>
  <c r="I36" i="3"/>
  <c r="J36" i="3" s="1"/>
  <c r="I16" i="3"/>
  <c r="I49" i="3"/>
  <c r="J49" i="3" s="1"/>
  <c r="I43" i="3"/>
  <c r="J43" i="3" s="1"/>
  <c r="I102" i="5"/>
  <c r="J102" i="5" s="1"/>
  <c r="I21" i="3"/>
  <c r="J21" i="3" s="1"/>
  <c r="I47" i="3"/>
  <c r="J47" i="3" s="1"/>
  <c r="I54" i="3"/>
  <c r="I39" i="3"/>
  <c r="I15" i="3"/>
  <c r="I9" i="3"/>
  <c r="F33" i="3"/>
  <c r="I35" i="3"/>
  <c r="J35" i="3" s="1"/>
  <c r="I22" i="3"/>
  <c r="J22" i="3" s="1"/>
  <c r="I17" i="3"/>
  <c r="J17" i="3" s="1"/>
  <c r="I53" i="3"/>
  <c r="J53" i="3" s="1"/>
  <c r="I52" i="3"/>
  <c r="J52" i="3" s="1"/>
  <c r="I20" i="3"/>
  <c r="J20" i="3" s="1"/>
  <c r="I11" i="3"/>
  <c r="I10" i="3"/>
  <c r="G7" i="2"/>
  <c r="H7" i="2" s="1"/>
  <c r="L7" i="2"/>
  <c r="G103" i="2"/>
  <c r="H103" i="2" s="1"/>
  <c r="L103" i="2"/>
  <c r="G9" i="2"/>
  <c r="H9" i="2" s="1"/>
  <c r="L9" i="2"/>
  <c r="I57" i="3"/>
  <c r="J57" i="3" s="1"/>
  <c r="Q17" i="3" s="1"/>
  <c r="I44" i="3"/>
  <c r="I27" i="3"/>
  <c r="I50" i="3"/>
  <c r="I18" i="3"/>
  <c r="F18" i="3" s="1"/>
  <c r="I41" i="3"/>
  <c r="I31" i="3"/>
  <c r="J31" i="3" s="1"/>
  <c r="I13" i="3"/>
  <c r="I28" i="3"/>
  <c r="F30" i="3" s="1"/>
  <c r="I34" i="3"/>
  <c r="J34" i="3" s="1"/>
  <c r="I33" i="3"/>
  <c r="I55" i="3"/>
  <c r="J55" i="3" s="1"/>
  <c r="I23" i="3"/>
  <c r="J23" i="3" s="1"/>
  <c r="I37" i="3"/>
  <c r="J37" i="3" s="1"/>
  <c r="I40" i="3"/>
  <c r="I24" i="3"/>
  <c r="F52" i="3"/>
  <c r="F20" i="3"/>
  <c r="I46" i="3"/>
  <c r="I30" i="3"/>
  <c r="I14" i="3"/>
  <c r="J14" i="3" s="1"/>
  <c r="I42" i="3"/>
  <c r="I26" i="3"/>
  <c r="J33" i="3"/>
  <c r="J9" i="3"/>
  <c r="F16" i="3"/>
  <c r="J15" i="3"/>
  <c r="J11" i="3"/>
  <c r="J10" i="3"/>
  <c r="J16" i="3"/>
  <c r="F39" i="3"/>
  <c r="J18" i="3"/>
  <c r="G97" i="2"/>
  <c r="H97" i="2" s="1"/>
  <c r="G93" i="2"/>
  <c r="H93" i="2" s="1"/>
  <c r="G89" i="2"/>
  <c r="H89" i="2" s="1"/>
  <c r="G85" i="2"/>
  <c r="H85" i="2" s="1"/>
  <c r="G81" i="2"/>
  <c r="H81" i="2" s="1"/>
  <c r="G77" i="2"/>
  <c r="H77" i="2" s="1"/>
  <c r="G69" i="2"/>
  <c r="H69" i="2" s="1"/>
  <c r="G65" i="2"/>
  <c r="H65" i="2" s="1"/>
  <c r="G61" i="2"/>
  <c r="H61" i="2" s="1"/>
  <c r="G57" i="2"/>
  <c r="H57" i="2" s="1"/>
  <c r="G53" i="2"/>
  <c r="H53" i="2" s="1"/>
  <c r="G49" i="2"/>
  <c r="H49" i="2" s="1"/>
  <c r="G41" i="2"/>
  <c r="H41" i="2" s="1"/>
  <c r="G37" i="2"/>
  <c r="H37" i="2" s="1"/>
  <c r="G33" i="2"/>
  <c r="H33" i="2" s="1"/>
  <c r="G29" i="2"/>
  <c r="H29" i="2" s="1"/>
  <c r="G25" i="2"/>
  <c r="H25" i="2" s="1"/>
  <c r="G21" i="2"/>
  <c r="H21" i="2" s="1"/>
  <c r="G13" i="2"/>
  <c r="H13" i="2" s="1"/>
  <c r="G105" i="2"/>
  <c r="H105" i="2" s="1"/>
  <c r="G100" i="2"/>
  <c r="H100" i="2" s="1"/>
  <c r="G96" i="2"/>
  <c r="H96" i="2" s="1"/>
  <c r="G88" i="2"/>
  <c r="H88" i="2" s="1"/>
  <c r="G84" i="2"/>
  <c r="H84" i="2" s="1"/>
  <c r="G80" i="2"/>
  <c r="H80" i="2" s="1"/>
  <c r="G76" i="2"/>
  <c r="H76" i="2" s="1"/>
  <c r="G72" i="2"/>
  <c r="H72" i="2" s="1"/>
  <c r="G68" i="2"/>
  <c r="H68" i="2" s="1"/>
  <c r="G60" i="2"/>
  <c r="H60" i="2" s="1"/>
  <c r="G56" i="2"/>
  <c r="H56" i="2" s="1"/>
  <c r="G52" i="2"/>
  <c r="H52" i="2" s="1"/>
  <c r="G48" i="2"/>
  <c r="H48" i="2" s="1"/>
  <c r="G44" i="2"/>
  <c r="H44" i="2" s="1"/>
  <c r="G40" i="2"/>
  <c r="H40" i="2" s="1"/>
  <c r="G32" i="2"/>
  <c r="H32" i="2" s="1"/>
  <c r="G28" i="2"/>
  <c r="H28" i="2" s="1"/>
  <c r="G24" i="2"/>
  <c r="H24" i="2" s="1"/>
  <c r="G16" i="2"/>
  <c r="H16" i="2" s="1"/>
  <c r="G12" i="2"/>
  <c r="H12" i="2" s="1"/>
  <c r="G104" i="2"/>
  <c r="H104" i="2" s="1"/>
  <c r="G99" i="2"/>
  <c r="H99" i="2" s="1"/>
  <c r="G95" i="2"/>
  <c r="H95" i="2" s="1"/>
  <c r="G91" i="2"/>
  <c r="H91" i="2" s="1"/>
  <c r="G11" i="2"/>
  <c r="H11" i="2" s="1"/>
  <c r="G20" i="2"/>
  <c r="H20" i="2" s="1"/>
  <c r="G102" i="2"/>
  <c r="H102" i="2" s="1"/>
  <c r="G87" i="2"/>
  <c r="H87" i="2" s="1"/>
  <c r="G79" i="2"/>
  <c r="H79" i="2" s="1"/>
  <c r="G75" i="2"/>
  <c r="H75" i="2" s="1"/>
  <c r="G71" i="2"/>
  <c r="H71" i="2" s="1"/>
  <c r="G67" i="2"/>
  <c r="H67" i="2" s="1"/>
  <c r="G63" i="2"/>
  <c r="H63" i="2" s="1"/>
  <c r="G59" i="2"/>
  <c r="H59" i="2" s="1"/>
  <c r="G51" i="2"/>
  <c r="H51" i="2" s="1"/>
  <c r="G47" i="2"/>
  <c r="H47" i="2" s="1"/>
  <c r="G43" i="2"/>
  <c r="H43" i="2" s="1"/>
  <c r="G39" i="2"/>
  <c r="H39" i="2" s="1"/>
  <c r="G35" i="2"/>
  <c r="H35" i="2" s="1"/>
  <c r="G31" i="2"/>
  <c r="H31" i="2" s="1"/>
  <c r="G23" i="2"/>
  <c r="H23" i="2" s="1"/>
  <c r="G19" i="2"/>
  <c r="H19" i="2" s="1"/>
  <c r="G15" i="2"/>
  <c r="H15" i="2" s="1"/>
  <c r="G98" i="2"/>
  <c r="H98" i="2" s="1"/>
  <c r="G94" i="2"/>
  <c r="H94" i="2" s="1"/>
  <c r="G90" i="2"/>
  <c r="H90" i="2" s="1"/>
  <c r="G86" i="2"/>
  <c r="H86" i="2" s="1"/>
  <c r="G82" i="2"/>
  <c r="H82" i="2" s="1"/>
  <c r="G78" i="2"/>
  <c r="H78" i="2" s="1"/>
  <c r="G74" i="2"/>
  <c r="H74" i="2" s="1"/>
  <c r="G70" i="2"/>
  <c r="H70" i="2" s="1"/>
  <c r="G66" i="2"/>
  <c r="H66" i="2" s="1"/>
  <c r="G62" i="2"/>
  <c r="H62" i="2" s="1"/>
  <c r="G58" i="2"/>
  <c r="H58" i="2" s="1"/>
  <c r="G54" i="2"/>
  <c r="H54" i="2" s="1"/>
  <c r="G50" i="2"/>
  <c r="H50" i="2" s="1"/>
  <c r="G46" i="2"/>
  <c r="H46" i="2" s="1"/>
  <c r="G42" i="2"/>
  <c r="H42" i="2" s="1"/>
  <c r="G38" i="2"/>
  <c r="H38" i="2" s="1"/>
  <c r="G34" i="2"/>
  <c r="H34" i="2" s="1"/>
  <c r="G30" i="2"/>
  <c r="H30" i="2" s="1"/>
  <c r="G26" i="2"/>
  <c r="H26" i="2" s="1"/>
  <c r="G22" i="2"/>
  <c r="H22" i="2" s="1"/>
  <c r="G18" i="2"/>
  <c r="H18" i="2" s="1"/>
  <c r="G14" i="2"/>
  <c r="H14" i="2" s="1"/>
  <c r="G10" i="2"/>
  <c r="H10" i="2" s="1"/>
  <c r="F9" i="3"/>
  <c r="F7" i="3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F54" i="3" l="1"/>
  <c r="F15" i="3"/>
  <c r="F21" i="3"/>
  <c r="J28" i="3"/>
  <c r="J44" i="3"/>
  <c r="F31" i="3"/>
  <c r="F47" i="3"/>
  <c r="F28" i="3"/>
  <c r="F40" i="3"/>
  <c r="F13" i="3"/>
  <c r="F24" i="3"/>
  <c r="F57" i="3"/>
  <c r="F49" i="3"/>
  <c r="F50" i="3"/>
  <c r="F48" i="3"/>
  <c r="J48" i="3"/>
  <c r="F46" i="3"/>
  <c r="F55" i="3"/>
  <c r="F11" i="3"/>
  <c r="F53" i="3"/>
  <c r="F26" i="3"/>
  <c r="F41" i="3"/>
  <c r="F29" i="3"/>
  <c r="F23" i="3"/>
  <c r="F22" i="3"/>
  <c r="F14" i="3"/>
  <c r="I102" i="2"/>
  <c r="J102" i="2" s="1"/>
  <c r="J39" i="3"/>
  <c r="F10" i="3"/>
  <c r="F44" i="3"/>
  <c r="F42" i="3"/>
  <c r="F17" i="3"/>
  <c r="J54" i="3"/>
  <c r="J27" i="3"/>
  <c r="F27" i="3"/>
  <c r="J30" i="3"/>
  <c r="J46" i="3"/>
  <c r="J24" i="3"/>
  <c r="J50" i="3"/>
  <c r="J13" i="3"/>
  <c r="J26" i="3"/>
  <c r="J40" i="3"/>
  <c r="F35" i="3"/>
  <c r="J41" i="3"/>
  <c r="J42" i="3"/>
  <c r="F43" i="3"/>
  <c r="F37" i="3"/>
  <c r="F34" i="3"/>
  <c r="F36" i="3"/>
  <c r="I14" i="2"/>
  <c r="I107" i="5"/>
  <c r="J107" i="5" s="1"/>
  <c r="Q17" i="5" s="1"/>
  <c r="I105" i="5"/>
  <c r="I103" i="5"/>
  <c r="I101" i="5"/>
  <c r="I100" i="5"/>
  <c r="I99" i="5"/>
  <c r="I98" i="5"/>
  <c r="I96" i="5"/>
  <c r="I95" i="5"/>
  <c r="I94" i="5"/>
  <c r="I93" i="5"/>
  <c r="I92" i="5"/>
  <c r="I90" i="5"/>
  <c r="I89" i="5"/>
  <c r="I88" i="5"/>
  <c r="I87" i="5"/>
  <c r="I86" i="5"/>
  <c r="I84" i="5"/>
  <c r="I83" i="5"/>
  <c r="I82" i="5"/>
  <c r="I81" i="5"/>
  <c r="I80" i="5"/>
  <c r="I78" i="5"/>
  <c r="I77" i="5"/>
  <c r="I76" i="5"/>
  <c r="I75" i="5"/>
  <c r="I74" i="5"/>
  <c r="I73" i="5"/>
  <c r="I71" i="5"/>
  <c r="I70" i="5"/>
  <c r="I69" i="5"/>
  <c r="I68" i="5"/>
  <c r="I67" i="5"/>
  <c r="I65" i="5"/>
  <c r="I64" i="5"/>
  <c r="I63" i="5"/>
  <c r="I62" i="5"/>
  <c r="I61" i="5"/>
  <c r="I59" i="5"/>
  <c r="I58" i="5"/>
  <c r="I57" i="5"/>
  <c r="I56" i="5"/>
  <c r="I55" i="5"/>
  <c r="I54" i="5"/>
  <c r="I52" i="5"/>
  <c r="I51" i="5"/>
  <c r="I50" i="5"/>
  <c r="I49" i="5"/>
  <c r="I48" i="5"/>
  <c r="I46" i="5"/>
  <c r="I45" i="5"/>
  <c r="I44" i="5"/>
  <c r="I43" i="5"/>
  <c r="I42" i="5"/>
  <c r="I40" i="5"/>
  <c r="I39" i="5"/>
  <c r="I38" i="5"/>
  <c r="I37" i="5"/>
  <c r="I36" i="5"/>
  <c r="I35" i="5"/>
  <c r="I33" i="5"/>
  <c r="I32" i="5"/>
  <c r="I31" i="5"/>
  <c r="I30" i="5"/>
  <c r="I29" i="5"/>
  <c r="I27" i="5"/>
  <c r="I26" i="5"/>
  <c r="I25" i="5"/>
  <c r="I24" i="5"/>
  <c r="I23" i="5"/>
  <c r="I21" i="5"/>
  <c r="I20" i="5"/>
  <c r="I19" i="5"/>
  <c r="I18" i="5"/>
  <c r="I17" i="5"/>
  <c r="I15" i="5"/>
  <c r="I14" i="5"/>
  <c r="I13" i="5"/>
  <c r="I12" i="5"/>
  <c r="I11" i="5"/>
  <c r="I10" i="5"/>
  <c r="I9" i="5"/>
  <c r="I7" i="5"/>
  <c r="E7" i="3"/>
  <c r="E9" i="3"/>
  <c r="E10" i="3"/>
  <c r="E11" i="3"/>
  <c r="E13" i="3"/>
  <c r="E14" i="3"/>
  <c r="E15" i="3"/>
  <c r="E16" i="3"/>
  <c r="E17" i="3"/>
  <c r="E18" i="3"/>
  <c r="E20" i="3"/>
  <c r="E21" i="3"/>
  <c r="E22" i="3"/>
  <c r="E23" i="3"/>
  <c r="E24" i="3"/>
  <c r="E26" i="3"/>
  <c r="E27" i="3"/>
  <c r="E28" i="3"/>
  <c r="E29" i="3"/>
  <c r="E30" i="3"/>
  <c r="E31" i="3"/>
  <c r="E33" i="3"/>
  <c r="E34" i="3"/>
  <c r="E35" i="3"/>
  <c r="E36" i="3"/>
  <c r="E37" i="3"/>
  <c r="E39" i="3"/>
  <c r="E40" i="3"/>
  <c r="E41" i="3"/>
  <c r="E42" i="3"/>
  <c r="E43" i="3"/>
  <c r="E44" i="3"/>
  <c r="E46" i="3"/>
  <c r="E47" i="3"/>
  <c r="E48" i="3"/>
  <c r="E49" i="3"/>
  <c r="E50" i="3"/>
  <c r="E52" i="3"/>
  <c r="E53" i="3"/>
  <c r="E54" i="3"/>
  <c r="E55" i="3"/>
  <c r="E57" i="3"/>
  <c r="E7" i="2"/>
  <c r="I7" i="2"/>
  <c r="E9" i="2"/>
  <c r="I9" i="2"/>
  <c r="E10" i="2"/>
  <c r="I10" i="2"/>
  <c r="E11" i="2"/>
  <c r="I11" i="2"/>
  <c r="E12" i="2"/>
  <c r="I12" i="2"/>
  <c r="E13" i="2"/>
  <c r="I13" i="2"/>
  <c r="E14" i="2"/>
  <c r="E15" i="2"/>
  <c r="I15" i="2"/>
  <c r="E16" i="2"/>
  <c r="I16" i="2"/>
  <c r="E18" i="2"/>
  <c r="I18" i="2"/>
  <c r="E19" i="2"/>
  <c r="I19" i="2"/>
  <c r="E20" i="2"/>
  <c r="I20" i="2"/>
  <c r="E21" i="2"/>
  <c r="I21" i="2"/>
  <c r="E22" i="2"/>
  <c r="I22" i="2"/>
  <c r="E23" i="2"/>
  <c r="I23" i="2"/>
  <c r="E24" i="2"/>
  <c r="I24" i="2"/>
  <c r="E25" i="2"/>
  <c r="I25" i="2"/>
  <c r="E26" i="2"/>
  <c r="I26" i="2"/>
  <c r="E28" i="2"/>
  <c r="I28" i="2"/>
  <c r="E29" i="2"/>
  <c r="I29" i="2"/>
  <c r="E30" i="2"/>
  <c r="I30" i="2"/>
  <c r="E31" i="2"/>
  <c r="I31" i="2"/>
  <c r="E32" i="2"/>
  <c r="I32" i="2"/>
  <c r="E33" i="2"/>
  <c r="I33" i="2"/>
  <c r="E34" i="2"/>
  <c r="I34" i="2"/>
  <c r="E35" i="2"/>
  <c r="I35" i="2"/>
  <c r="E37" i="2"/>
  <c r="I37" i="2"/>
  <c r="E38" i="2"/>
  <c r="I38" i="2"/>
  <c r="E39" i="2"/>
  <c r="I39" i="2"/>
  <c r="E40" i="2"/>
  <c r="I40" i="2"/>
  <c r="E41" i="2"/>
  <c r="I41" i="2"/>
  <c r="E42" i="2"/>
  <c r="I42" i="2"/>
  <c r="E43" i="2"/>
  <c r="I43" i="2"/>
  <c r="E44" i="2"/>
  <c r="I44" i="2"/>
  <c r="E46" i="2"/>
  <c r="I46" i="2"/>
  <c r="E47" i="2"/>
  <c r="I47" i="2"/>
  <c r="E48" i="2"/>
  <c r="I48" i="2"/>
  <c r="E49" i="2"/>
  <c r="I49" i="2"/>
  <c r="E50" i="2"/>
  <c r="I50" i="2"/>
  <c r="E51" i="2"/>
  <c r="I51" i="2"/>
  <c r="E52" i="2"/>
  <c r="I52" i="2"/>
  <c r="E53" i="2"/>
  <c r="I53" i="2"/>
  <c r="E54" i="2"/>
  <c r="I54" i="2"/>
  <c r="E56" i="2"/>
  <c r="I56" i="2"/>
  <c r="E57" i="2"/>
  <c r="I57" i="2"/>
  <c r="E58" i="2"/>
  <c r="I58" i="2"/>
  <c r="E59" i="2"/>
  <c r="I59" i="2"/>
  <c r="E60" i="2"/>
  <c r="I60" i="2"/>
  <c r="E61" i="2"/>
  <c r="I61" i="2"/>
  <c r="E62" i="2"/>
  <c r="I62" i="2"/>
  <c r="E63" i="2"/>
  <c r="I63" i="2"/>
  <c r="E65" i="2"/>
  <c r="I65" i="2"/>
  <c r="E66" i="2"/>
  <c r="I66" i="2"/>
  <c r="E67" i="2"/>
  <c r="I67" i="2"/>
  <c r="E68" i="2"/>
  <c r="I68" i="2"/>
  <c r="E69" i="2"/>
  <c r="I69" i="2"/>
  <c r="E70" i="2"/>
  <c r="I70" i="2"/>
  <c r="E71" i="2"/>
  <c r="I71" i="2"/>
  <c r="E72" i="2"/>
  <c r="I72" i="2"/>
  <c r="E74" i="2"/>
  <c r="I74" i="2"/>
  <c r="E75" i="2"/>
  <c r="I75" i="2"/>
  <c r="E76" i="2"/>
  <c r="I76" i="2"/>
  <c r="E77" i="2"/>
  <c r="I77" i="2"/>
  <c r="E78" i="2"/>
  <c r="I78" i="2"/>
  <c r="E79" i="2"/>
  <c r="I79" i="2"/>
  <c r="E80" i="2"/>
  <c r="I80" i="2"/>
  <c r="E81" i="2"/>
  <c r="I81" i="2"/>
  <c r="E82" i="2"/>
  <c r="I82" i="2"/>
  <c r="E84" i="2"/>
  <c r="I84" i="2"/>
  <c r="E85" i="2"/>
  <c r="I85" i="2"/>
  <c r="E86" i="2"/>
  <c r="I86" i="2"/>
  <c r="E87" i="2"/>
  <c r="I87" i="2"/>
  <c r="E88" i="2"/>
  <c r="I88" i="2"/>
  <c r="E89" i="2"/>
  <c r="I89" i="2"/>
  <c r="E90" i="2"/>
  <c r="I90" i="2"/>
  <c r="E91" i="2"/>
  <c r="I91" i="2"/>
  <c r="E93" i="2"/>
  <c r="I93" i="2"/>
  <c r="E94" i="2"/>
  <c r="I94" i="2"/>
  <c r="E95" i="2"/>
  <c r="I95" i="2"/>
  <c r="E96" i="2"/>
  <c r="I96" i="2"/>
  <c r="E97" i="2"/>
  <c r="I97" i="2"/>
  <c r="E98" i="2"/>
  <c r="I98" i="2"/>
  <c r="E99" i="2"/>
  <c r="I99" i="2"/>
  <c r="E100" i="2"/>
  <c r="I100" i="2"/>
  <c r="E103" i="2"/>
  <c r="I103" i="2"/>
  <c r="F103" i="2" s="1"/>
  <c r="E104" i="2"/>
  <c r="I104" i="2"/>
  <c r="E105" i="2"/>
  <c r="I105" i="2"/>
  <c r="E107" i="2"/>
  <c r="I107" i="2"/>
  <c r="J107" i="2" s="1"/>
  <c r="Q17" i="2" s="1"/>
  <c r="F103" i="5" l="1"/>
  <c r="F105" i="2"/>
  <c r="J104" i="2"/>
  <c r="F98" i="2"/>
  <c r="J97" i="2"/>
  <c r="J91" i="2"/>
  <c r="F88" i="2"/>
  <c r="J87" i="2"/>
  <c r="F82" i="2"/>
  <c r="J81" i="2"/>
  <c r="F78" i="2"/>
  <c r="J77" i="2"/>
  <c r="F72" i="2"/>
  <c r="J71" i="2"/>
  <c r="F68" i="2"/>
  <c r="J67" i="2"/>
  <c r="J63" i="2"/>
  <c r="F58" i="2"/>
  <c r="J57" i="2"/>
  <c r="F54" i="2"/>
  <c r="J53" i="2"/>
  <c r="F50" i="2"/>
  <c r="J49" i="2"/>
  <c r="F44" i="2"/>
  <c r="J43" i="2"/>
  <c r="F40" i="2"/>
  <c r="J39" i="2"/>
  <c r="J35" i="2"/>
  <c r="F32" i="2"/>
  <c r="J31" i="2"/>
  <c r="F13" i="2"/>
  <c r="J12" i="2"/>
  <c r="F7" i="2"/>
  <c r="J7" i="2"/>
  <c r="F14" i="5"/>
  <c r="J13" i="5"/>
  <c r="J21" i="5"/>
  <c r="F30" i="5"/>
  <c r="J29" i="5"/>
  <c r="F38" i="5"/>
  <c r="J37" i="5"/>
  <c r="F46" i="5"/>
  <c r="J45" i="5"/>
  <c r="F54" i="5"/>
  <c r="F58" i="5"/>
  <c r="J57" i="5"/>
  <c r="J65" i="5"/>
  <c r="F74" i="5"/>
  <c r="J73" i="5"/>
  <c r="F78" i="5"/>
  <c r="J77" i="5"/>
  <c r="F82" i="5"/>
  <c r="J81" i="5"/>
  <c r="F86" i="5"/>
  <c r="F90" i="5"/>
  <c r="J89" i="5"/>
  <c r="F94" i="5"/>
  <c r="J93" i="5"/>
  <c r="F98" i="5"/>
  <c r="F102" i="5"/>
  <c r="J101" i="5"/>
  <c r="J26" i="2"/>
  <c r="F25" i="2"/>
  <c r="J24" i="2"/>
  <c r="F23" i="2"/>
  <c r="J22" i="2"/>
  <c r="F21" i="2"/>
  <c r="J20" i="2"/>
  <c r="F19" i="2"/>
  <c r="J18" i="2"/>
  <c r="J16" i="2"/>
  <c r="F11" i="5"/>
  <c r="J10" i="5"/>
  <c r="F15" i="5"/>
  <c r="J14" i="5"/>
  <c r="F19" i="5"/>
  <c r="J18" i="5"/>
  <c r="F23" i="5"/>
  <c r="F27" i="5"/>
  <c r="J26" i="5"/>
  <c r="F31" i="5"/>
  <c r="J30" i="5"/>
  <c r="F35" i="5"/>
  <c r="F39" i="5"/>
  <c r="J38" i="5"/>
  <c r="F43" i="5"/>
  <c r="J42" i="5"/>
  <c r="J46" i="5"/>
  <c r="F51" i="5"/>
  <c r="J50" i="5"/>
  <c r="F55" i="5"/>
  <c r="J54" i="5"/>
  <c r="F59" i="5"/>
  <c r="J58" i="5"/>
  <c r="F63" i="5"/>
  <c r="J62" i="5"/>
  <c r="F67" i="5"/>
  <c r="F71" i="5"/>
  <c r="J70" i="5"/>
  <c r="F75" i="5"/>
  <c r="J74" i="5"/>
  <c r="J78" i="5"/>
  <c r="F83" i="5"/>
  <c r="J82" i="5"/>
  <c r="F87" i="5"/>
  <c r="J86" i="5"/>
  <c r="J90" i="5"/>
  <c r="F95" i="5"/>
  <c r="J94" i="5"/>
  <c r="F99" i="5"/>
  <c r="J98" i="5"/>
  <c r="J103" i="5"/>
  <c r="F28" i="2"/>
  <c r="F100" i="2"/>
  <c r="J99" i="2"/>
  <c r="F96" i="2"/>
  <c r="J95" i="2"/>
  <c r="F90" i="2"/>
  <c r="J89" i="2"/>
  <c r="F86" i="2"/>
  <c r="J85" i="2"/>
  <c r="F80" i="2"/>
  <c r="J79" i="2"/>
  <c r="F76" i="2"/>
  <c r="J75" i="2"/>
  <c r="F70" i="2"/>
  <c r="J69" i="2"/>
  <c r="F66" i="2"/>
  <c r="J65" i="2"/>
  <c r="F60" i="2"/>
  <c r="J59" i="2"/>
  <c r="F56" i="2"/>
  <c r="F52" i="2"/>
  <c r="J51" i="2"/>
  <c r="F48" i="2"/>
  <c r="J47" i="2"/>
  <c r="F42" i="2"/>
  <c r="J41" i="2"/>
  <c r="F38" i="2"/>
  <c r="J37" i="2"/>
  <c r="F34" i="2"/>
  <c r="J33" i="2"/>
  <c r="F30" i="2"/>
  <c r="J29" i="2"/>
  <c r="F11" i="2"/>
  <c r="J10" i="2"/>
  <c r="F10" i="5"/>
  <c r="J9" i="5"/>
  <c r="F18" i="5"/>
  <c r="J17" i="5"/>
  <c r="F26" i="5"/>
  <c r="J25" i="5"/>
  <c r="J33" i="5"/>
  <c r="F42" i="5"/>
  <c r="F50" i="5"/>
  <c r="J49" i="5"/>
  <c r="F62" i="5"/>
  <c r="J61" i="5"/>
  <c r="F70" i="5"/>
  <c r="J69" i="5"/>
  <c r="F107" i="2"/>
  <c r="J105" i="2"/>
  <c r="F104" i="2"/>
  <c r="J103" i="2"/>
  <c r="J100" i="2"/>
  <c r="F99" i="2"/>
  <c r="J98" i="2"/>
  <c r="F97" i="2"/>
  <c r="J96" i="2"/>
  <c r="F95" i="2"/>
  <c r="J94" i="2"/>
  <c r="F93" i="2"/>
  <c r="F91" i="2"/>
  <c r="J90" i="2"/>
  <c r="F89" i="2"/>
  <c r="J88" i="2"/>
  <c r="F87" i="2"/>
  <c r="J86" i="2"/>
  <c r="F85" i="2"/>
  <c r="J84" i="2"/>
  <c r="J82" i="2"/>
  <c r="F81" i="2"/>
  <c r="J80" i="2"/>
  <c r="F79" i="2"/>
  <c r="J78" i="2"/>
  <c r="F77" i="2"/>
  <c r="J76" i="2"/>
  <c r="F75" i="2"/>
  <c r="J74" i="2"/>
  <c r="J72" i="2"/>
  <c r="F71" i="2"/>
  <c r="J70" i="2"/>
  <c r="F69" i="2"/>
  <c r="J68" i="2"/>
  <c r="F67" i="2"/>
  <c r="J66" i="2"/>
  <c r="F65" i="2"/>
  <c r="F63" i="2"/>
  <c r="J62" i="2"/>
  <c r="F61" i="2"/>
  <c r="J60" i="2"/>
  <c r="F59" i="2"/>
  <c r="J58" i="2"/>
  <c r="F57" i="2"/>
  <c r="J56" i="2"/>
  <c r="J54" i="2"/>
  <c r="F53" i="2"/>
  <c r="J52" i="2"/>
  <c r="F51" i="2"/>
  <c r="J50" i="2"/>
  <c r="F49" i="2"/>
  <c r="J48" i="2"/>
  <c r="F47" i="2"/>
  <c r="J46" i="2"/>
  <c r="J44" i="2"/>
  <c r="F43" i="2"/>
  <c r="J42" i="2"/>
  <c r="F41" i="2"/>
  <c r="J40" i="2"/>
  <c r="F39" i="2"/>
  <c r="J38" i="2"/>
  <c r="F37" i="2"/>
  <c r="F35" i="2"/>
  <c r="J34" i="2"/>
  <c r="F33" i="2"/>
  <c r="J32" i="2"/>
  <c r="F31" i="2"/>
  <c r="J30" i="2"/>
  <c r="F29" i="2"/>
  <c r="J28" i="2"/>
  <c r="F14" i="2"/>
  <c r="J13" i="2"/>
  <c r="F12" i="2"/>
  <c r="J11" i="2"/>
  <c r="F10" i="2"/>
  <c r="J9" i="2"/>
  <c r="F12" i="5"/>
  <c r="J11" i="5"/>
  <c r="J15" i="5"/>
  <c r="F20" i="5"/>
  <c r="J19" i="5"/>
  <c r="F24" i="5"/>
  <c r="J23" i="5"/>
  <c r="J27" i="5"/>
  <c r="F32" i="5"/>
  <c r="J31" i="5"/>
  <c r="F36" i="5"/>
  <c r="J35" i="5"/>
  <c r="F40" i="5"/>
  <c r="J39" i="5"/>
  <c r="F44" i="5"/>
  <c r="J43" i="5"/>
  <c r="F48" i="5"/>
  <c r="F52" i="5"/>
  <c r="J51" i="5"/>
  <c r="F56" i="5"/>
  <c r="J55" i="5"/>
  <c r="J59" i="5"/>
  <c r="F64" i="5"/>
  <c r="J63" i="5"/>
  <c r="F68" i="5"/>
  <c r="J67" i="5"/>
  <c r="J71" i="5"/>
  <c r="F76" i="5"/>
  <c r="J75" i="5"/>
  <c r="F80" i="5"/>
  <c r="F84" i="5"/>
  <c r="J83" i="5"/>
  <c r="F88" i="5"/>
  <c r="J87" i="5"/>
  <c r="F92" i="5"/>
  <c r="F96" i="5"/>
  <c r="J95" i="5"/>
  <c r="F100" i="5"/>
  <c r="J99" i="5"/>
  <c r="F105" i="5"/>
  <c r="F15" i="2"/>
  <c r="J14" i="2"/>
  <c r="F102" i="2"/>
  <c r="F94" i="2"/>
  <c r="J93" i="2"/>
  <c r="F84" i="2"/>
  <c r="F74" i="2"/>
  <c r="F62" i="2"/>
  <c r="J61" i="2"/>
  <c r="F46" i="2"/>
  <c r="F26" i="2"/>
  <c r="J25" i="2"/>
  <c r="F24" i="2"/>
  <c r="J23" i="2"/>
  <c r="F22" i="2"/>
  <c r="J21" i="2"/>
  <c r="F20" i="2"/>
  <c r="J19" i="2"/>
  <c r="F18" i="2"/>
  <c r="F16" i="2"/>
  <c r="J15" i="2"/>
  <c r="F7" i="5"/>
  <c r="J7" i="5"/>
  <c r="F13" i="5"/>
  <c r="J12" i="5"/>
  <c r="F17" i="5"/>
  <c r="F21" i="5"/>
  <c r="J20" i="5"/>
  <c r="F25" i="5"/>
  <c r="J24" i="5"/>
  <c r="F29" i="5"/>
  <c r="F33" i="5"/>
  <c r="J32" i="5"/>
  <c r="F37" i="5"/>
  <c r="J36" i="5"/>
  <c r="J40" i="5"/>
  <c r="F45" i="5"/>
  <c r="J44" i="5"/>
  <c r="F49" i="5"/>
  <c r="J48" i="5"/>
  <c r="J52" i="5"/>
  <c r="F57" i="5"/>
  <c r="J56" i="5"/>
  <c r="F61" i="5"/>
  <c r="F65" i="5"/>
  <c r="J64" i="5"/>
  <c r="F69" i="5"/>
  <c r="J68" i="5"/>
  <c r="F73" i="5"/>
  <c r="F77" i="5"/>
  <c r="J76" i="5"/>
  <c r="F81" i="5"/>
  <c r="J80" i="5"/>
  <c r="J84" i="5"/>
  <c r="F89" i="5"/>
  <c r="J88" i="5"/>
  <c r="F93" i="5"/>
  <c r="J92" i="5"/>
  <c r="J96" i="5"/>
  <c r="F101" i="5"/>
  <c r="J100" i="5"/>
  <c r="F107" i="5"/>
  <c r="J105" i="5"/>
  <c r="F9" i="2"/>
  <c r="F9" i="5"/>
  <c r="I52" i="32"/>
  <c r="I46" i="32"/>
  <c r="I38" i="32"/>
  <c r="I34" i="32"/>
  <c r="I26" i="32"/>
  <c r="I22" i="32"/>
  <c r="I43" i="32"/>
  <c r="I33" i="32"/>
  <c r="I29" i="32"/>
  <c r="I51" i="32"/>
  <c r="I39" i="32"/>
  <c r="I50" i="32"/>
  <c r="I44" i="32"/>
  <c r="I40" i="32"/>
  <c r="I32" i="32"/>
  <c r="I28" i="32"/>
  <c r="I57" i="32"/>
  <c r="J57" i="32" s="1"/>
  <c r="Q17" i="32" s="1"/>
  <c r="I41" i="32"/>
  <c r="I31" i="32"/>
  <c r="I27" i="32"/>
  <c r="I55" i="32"/>
  <c r="I49" i="32"/>
  <c r="I37" i="32"/>
  <c r="I23" i="32"/>
  <c r="I45" i="32"/>
  <c r="I25" i="32"/>
  <c r="I53" i="32"/>
  <c r="I47" i="32"/>
  <c r="I21" i="32"/>
  <c r="F21" i="32" s="1"/>
  <c r="I35" i="32"/>
  <c r="F28" i="32" l="1"/>
  <c r="J27" i="32"/>
  <c r="F25" i="32"/>
  <c r="F41" i="32"/>
  <c r="J40" i="32"/>
  <c r="F51" i="32"/>
  <c r="J50" i="32"/>
  <c r="F34" i="32"/>
  <c r="J33" i="32"/>
  <c r="F31" i="32"/>
  <c r="F47" i="32"/>
  <c r="J46" i="32"/>
  <c r="J47" i="32"/>
  <c r="F38" i="32"/>
  <c r="J37" i="32"/>
  <c r="F45" i="32"/>
  <c r="J44" i="32"/>
  <c r="F40" i="32"/>
  <c r="J39" i="32"/>
  <c r="F44" i="32"/>
  <c r="J43" i="32"/>
  <c r="F35" i="32"/>
  <c r="J34" i="32"/>
  <c r="F53" i="32"/>
  <c r="J52" i="32"/>
  <c r="J23" i="32"/>
  <c r="F32" i="32"/>
  <c r="J31" i="32"/>
  <c r="F50" i="32"/>
  <c r="J49" i="32"/>
  <c r="F33" i="32"/>
  <c r="J32" i="32"/>
  <c r="F52" i="32"/>
  <c r="J51" i="32"/>
  <c r="F23" i="32"/>
  <c r="J22" i="32"/>
  <c r="F39" i="32"/>
  <c r="J38" i="32"/>
  <c r="J53" i="32"/>
  <c r="F29" i="32"/>
  <c r="J28" i="32"/>
  <c r="J35" i="32"/>
  <c r="F26" i="32"/>
  <c r="J25" i="32"/>
  <c r="J41" i="32"/>
  <c r="F49" i="32"/>
  <c r="F22" i="32"/>
  <c r="J21" i="32"/>
  <c r="F46" i="32"/>
  <c r="J45" i="32"/>
  <c r="F57" i="32"/>
  <c r="J55" i="32"/>
  <c r="F37" i="32"/>
  <c r="F55" i="32"/>
  <c r="J29" i="32"/>
  <c r="F27" i="32"/>
  <c r="J26" i="32"/>
  <c r="F43" i="32"/>
</calcChain>
</file>

<file path=xl/sharedStrings.xml><?xml version="1.0" encoding="utf-8"?>
<sst xmlns="http://schemas.openxmlformats.org/spreadsheetml/2006/main" count="989" uniqueCount="193">
  <si>
    <t>인원</t>
    <phoneticPr fontId="1" type="noConversion"/>
  </si>
  <si>
    <t>표준점수</t>
    <phoneticPr fontId="1" type="noConversion"/>
  </si>
  <si>
    <t>표준편차</t>
    <phoneticPr fontId="1" type="noConversion"/>
  </si>
  <si>
    <t>응시자 수</t>
    <phoneticPr fontId="1" type="noConversion"/>
  </si>
  <si>
    <t>평균</t>
    <phoneticPr fontId="1" type="noConversion"/>
  </si>
  <si>
    <t>국어</t>
    <phoneticPr fontId="1" type="noConversion"/>
  </si>
  <si>
    <t>영어</t>
    <phoneticPr fontId="1" type="noConversion"/>
  </si>
  <si>
    <t>한국사</t>
    <phoneticPr fontId="1" type="noConversion"/>
  </si>
  <si>
    <t>B2:J57</t>
    <phoneticPr fontId="1" type="noConversion"/>
  </si>
  <si>
    <t>표준점수</t>
    <phoneticPr fontId="1" type="noConversion"/>
  </si>
  <si>
    <t>인원</t>
    <phoneticPr fontId="1" type="noConversion"/>
  </si>
  <si>
    <t>국어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</si>
  <si>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</si>
  <si>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</si>
  <si>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</si>
  <si>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</si>
  <si>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</si>
  <si>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</si>
  <si>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</si>
  <si>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사회∙문화</t>
    <phoneticPr fontId="1" type="noConversion"/>
  </si>
  <si>
    <t>화학Ⅰ</t>
    <phoneticPr fontId="1" type="noConversion"/>
  </si>
  <si>
    <t>생명과학Ⅰ</t>
    <phoneticPr fontId="1" type="noConversion"/>
  </si>
  <si>
    <t>지구과학Ⅰ</t>
    <phoneticPr fontId="1" type="noConversion"/>
  </si>
  <si>
    <t>화학Ⅱ</t>
    <phoneticPr fontId="1" type="noConversion"/>
  </si>
  <si>
    <t>생명과학Ⅱ</t>
    <phoneticPr fontId="1" type="noConversion"/>
  </si>
  <si>
    <t>지구과학Ⅱ</t>
    <phoneticPr fontId="1" type="noConversion"/>
  </si>
  <si>
    <t>물리Ⅰ</t>
  </si>
  <si>
    <t>물리Ⅱ</t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</si>
  <si>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</si>
  <si>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</si>
  <si>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</si>
  <si>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</si>
  <si>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</si>
  <si>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</si>
  <si>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</si>
  <si>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</si>
  <si>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</si>
  <si>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</si>
  <si>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</si>
  <si>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</si>
  <si>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</si>
  <si>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</si>
  <si>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</si>
  <si>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</si>
  <si>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</si>
  <si>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</si>
  <si>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국</t>
    <phoneticPr fontId="1" type="noConversion"/>
  </si>
  <si>
    <t>생</t>
    <phoneticPr fontId="1" type="noConversion"/>
  </si>
  <si>
    <t>윤</t>
    <phoneticPr fontId="1" type="noConversion"/>
  </si>
  <si>
    <t>한</t>
    <phoneticPr fontId="1" type="noConversion"/>
  </si>
  <si>
    <t>세</t>
    <phoneticPr fontId="1" type="noConversion"/>
  </si>
  <si>
    <t>동</t>
    <phoneticPr fontId="1" type="noConversion"/>
  </si>
  <si>
    <t>경</t>
    <phoneticPr fontId="1" type="noConversion"/>
  </si>
  <si>
    <t>사</t>
    <phoneticPr fontId="1" type="noConversion"/>
  </si>
  <si>
    <t>물1</t>
    <phoneticPr fontId="1" type="noConversion"/>
  </si>
  <si>
    <t>화1</t>
    <phoneticPr fontId="1" type="noConversion"/>
  </si>
  <si>
    <t>생1</t>
    <phoneticPr fontId="1" type="noConversion"/>
  </si>
  <si>
    <t>지1</t>
    <phoneticPr fontId="1" type="noConversion"/>
  </si>
  <si>
    <t>이 아래로 붙여넣기</t>
    <phoneticPr fontId="1" type="noConversion"/>
  </si>
  <si>
    <t>.</t>
    <phoneticPr fontId="1" type="noConversion"/>
  </si>
  <si>
    <t>물리학Ⅰ</t>
    <phoneticPr fontId="1" type="noConversion"/>
  </si>
  <si>
    <t>정치와 법</t>
    <phoneticPr fontId="1" type="noConversion"/>
  </si>
  <si>
    <t>수학</t>
    <phoneticPr fontId="1" type="noConversion"/>
  </si>
  <si>
    <t>정</t>
    <phoneticPr fontId="1" type="noConversion"/>
  </si>
  <si>
    <t>수</t>
    <phoneticPr fontId="1" type="noConversion"/>
  </si>
  <si>
    <t>영</t>
    <phoneticPr fontId="1" type="noConversion"/>
  </si>
  <si>
    <t>한</t>
    <phoneticPr fontId="1" type="noConversion"/>
  </si>
  <si>
    <t>성공적인 직업생활</t>
    <phoneticPr fontId="1" type="noConversion"/>
  </si>
  <si>
    <t>농업 기초 기술</t>
    <phoneticPr fontId="1" type="noConversion"/>
  </si>
  <si>
    <t>공업 일반</t>
    <phoneticPr fontId="1" type="noConversion"/>
  </si>
  <si>
    <t>상업 경제</t>
    <phoneticPr fontId="1" type="noConversion"/>
  </si>
  <si>
    <t>인간 발달</t>
    <phoneticPr fontId="1" type="noConversion"/>
  </si>
  <si>
    <t>수산∙해운 산업 기초</t>
    <phoneticPr fontId="1" type="noConversion"/>
  </si>
  <si>
    <t>성공적인 직업생활</t>
    <phoneticPr fontId="1" type="noConversion"/>
  </si>
  <si>
    <t>농업 기초 기술</t>
    <phoneticPr fontId="1" type="noConversion"/>
  </si>
  <si>
    <t>공업 일반</t>
    <phoneticPr fontId="1" type="noConversion"/>
  </si>
  <si>
    <t>상업 경제</t>
    <phoneticPr fontId="1" type="noConversion"/>
  </si>
  <si>
    <t>수산∙해운 산업 기초</t>
    <phoneticPr fontId="1" type="noConversion"/>
  </si>
  <si>
    <t>인간 발달</t>
    <phoneticPr fontId="1" type="noConversion"/>
  </si>
  <si>
    <t>성</t>
    <phoneticPr fontId="1" type="noConversion"/>
  </si>
  <si>
    <t>농</t>
    <phoneticPr fontId="1" type="noConversion"/>
  </si>
  <si>
    <t>공</t>
    <phoneticPr fontId="1" type="noConversion"/>
  </si>
  <si>
    <t>상</t>
    <phoneticPr fontId="1" type="noConversion"/>
  </si>
  <si>
    <t>수</t>
    <phoneticPr fontId="1" type="noConversion"/>
  </si>
  <si>
    <t>인</t>
    <phoneticPr fontId="1" type="noConversion"/>
  </si>
  <si>
    <r>
      <rPr>
        <sz val="11"/>
        <color theme="1"/>
        <rFont val="맑은 고딕"/>
        <family val="2"/>
        <charset val="129"/>
      </rPr>
      <t>오차</t>
    </r>
    <r>
      <rPr>
        <sz val="11"/>
        <color theme="1"/>
        <rFont val="Microsoft Sans Serif"/>
        <family val="2"/>
      </rPr>
      <t xml:space="preserve"> </t>
    </r>
    <r>
      <rPr>
        <sz val="11"/>
        <color theme="1"/>
        <rFont val="맑은 고딕"/>
        <family val="2"/>
        <charset val="129"/>
      </rPr>
      <t>경고</t>
    </r>
    <phoneticPr fontId="1" type="noConversion"/>
  </si>
  <si>
    <t>오차 경고</t>
    <phoneticPr fontId="1" type="noConversion"/>
  </si>
  <si>
    <t>B2:K108</t>
    <phoneticPr fontId="1" type="noConversion"/>
  </si>
  <si>
    <t>B2:K16</t>
    <phoneticPr fontId="1" type="noConversion"/>
  </si>
  <si>
    <t>B3:M50</t>
    <phoneticPr fontId="1" type="noConversion"/>
  </si>
  <si>
    <t>독일어Ⅰ</t>
    <phoneticPr fontId="1" type="noConversion"/>
  </si>
  <si>
    <t>프랑스어Ⅰ</t>
    <phoneticPr fontId="1" type="noConversion"/>
  </si>
  <si>
    <t>스페인어Ⅰ</t>
    <phoneticPr fontId="1" type="noConversion"/>
  </si>
  <si>
    <t>일본어Ⅰ</t>
    <phoneticPr fontId="1" type="noConversion"/>
  </si>
  <si>
    <t>중국어Ⅰ</t>
    <phoneticPr fontId="1" type="noConversion"/>
  </si>
  <si>
    <t>러시아어Ⅰ</t>
    <phoneticPr fontId="1" type="noConversion"/>
  </si>
  <si>
    <t>한문Ⅰ</t>
    <phoneticPr fontId="1" type="noConversion"/>
  </si>
  <si>
    <t>독</t>
    <phoneticPr fontId="1" type="noConversion"/>
  </si>
  <si>
    <t>프</t>
    <phoneticPr fontId="1" type="noConversion"/>
  </si>
  <si>
    <t>스</t>
    <phoneticPr fontId="1" type="noConversion"/>
  </si>
  <si>
    <t>중</t>
    <phoneticPr fontId="1" type="noConversion"/>
  </si>
  <si>
    <t>일</t>
    <phoneticPr fontId="1" type="noConversion"/>
  </si>
  <si>
    <t>러</t>
    <phoneticPr fontId="1" type="noConversion"/>
  </si>
  <si>
    <t>한문</t>
    <phoneticPr fontId="1" type="noConversion"/>
  </si>
  <si>
    <t>1등급</t>
    <phoneticPr fontId="1" type="noConversion"/>
  </si>
  <si>
    <t>제2외국어/한문 (독일어Ⅰ)</t>
    <phoneticPr fontId="1" type="noConversion"/>
  </si>
  <si>
    <t>제2외국어/한문 (프랑스어Ⅰ)</t>
    <phoneticPr fontId="1" type="noConversion"/>
  </si>
  <si>
    <t>2022학년도 11월 고2 전국연합학력평가</t>
  </si>
  <si>
    <t>제2외국어/한문 (스페인어Ⅰ)</t>
    <phoneticPr fontId="1" type="noConversion"/>
  </si>
  <si>
    <t>제2외국어/한문 (일본어Ⅰ)</t>
    <phoneticPr fontId="1" type="noConversion"/>
  </si>
  <si>
    <t>제2외국어/한문 (중국어Ⅰ)</t>
    <phoneticPr fontId="1" type="noConversion"/>
  </si>
  <si>
    <t>제2외국어/한문 (러시아어Ⅰ)</t>
    <phoneticPr fontId="1" type="noConversion"/>
  </si>
  <si>
    <t>제2외국어/한문 (한문Ⅰ)</t>
    <phoneticPr fontId="1" type="noConversion"/>
  </si>
  <si>
    <t>B2:K58</t>
    <phoneticPr fontId="1" type="noConversion"/>
  </si>
  <si>
    <t>-</t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</si>
  <si>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</si>
  <si>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</si>
  <si>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</si>
  <si>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</si>
  <si>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국어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</si>
  <si>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</si>
  <si>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</si>
  <si>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</si>
  <si>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</si>
  <si>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</si>
  <si>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</si>
  <si>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</si>
  <si>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</si>
  <si>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</si>
  <si>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수학</t>
    </r>
    <phoneticPr fontId="1" type="noConversion"/>
  </si>
  <si>
    <r>
      <rPr>
        <sz val="12"/>
        <color theme="1"/>
        <rFont val="맑은 고딕"/>
        <family val="2"/>
        <charset val="129"/>
      </rPr>
      <t>영어</t>
    </r>
    <phoneticPr fontId="1" type="noConversion"/>
  </si>
  <si>
    <r>
      <rPr>
        <sz val="12"/>
        <color theme="1"/>
        <rFont val="맑은 고딕"/>
        <family val="2"/>
        <charset val="129"/>
      </rPr>
      <t>한국사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</si>
  <si>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생활과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윤리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</si>
  <si>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인간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발달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</si>
  <si>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수산∙해운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산업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기초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</si>
  <si>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상업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</si>
  <si>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공업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일반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</si>
  <si>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농업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기초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기술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</si>
  <si>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성공적인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직업생활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</si>
  <si>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</si>
  <si>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</si>
  <si>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</si>
  <si>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</si>
  <si>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사회</t>
    </r>
    <r>
      <rPr>
        <sz val="12"/>
        <color theme="1"/>
        <rFont val="맑은 고딕"/>
        <family val="3"/>
        <charset val="129"/>
      </rPr>
      <t>∙</t>
    </r>
    <r>
      <rPr>
        <sz val="12"/>
        <color theme="1"/>
        <rFont val="맑은 고딕"/>
        <family val="2"/>
        <charset val="129"/>
      </rPr>
      <t>문화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</si>
  <si>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정치와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법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</si>
  <si>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</si>
  <si>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</si>
  <si>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동아시아사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</si>
  <si>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</si>
  <si>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한국지리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</si>
  <si>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윤리와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사상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</si>
  <si>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</si>
  <si>
    <r>
      <rPr>
        <sz val="12"/>
        <color theme="1"/>
        <rFont val="맑은 고딕"/>
        <family val="2"/>
        <charset val="129"/>
      </rPr>
      <t>전과목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등급컷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모아보기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</si>
  <si>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r>
      <rPr>
        <b/>
        <sz val="13"/>
        <color theme="1"/>
        <rFont val="Microsoft Sans Serif"/>
        <family val="2"/>
      </rPr>
      <t>/</t>
    </r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</si>
  <si>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phoneticPr fontId="1" type="noConversion"/>
  </si>
  <si>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</si>
  <si>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t>1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</si>
  <si>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2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</si>
  <si>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3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</si>
  <si>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4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</si>
  <si>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5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</si>
  <si>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6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</si>
  <si>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7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</si>
  <si>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8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</si>
  <si>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</si>
  <si>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생활과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윤리</t>
    </r>
    <phoneticPr fontId="1" type="noConversion"/>
  </si>
  <si>
    <r>
      <rPr>
        <b/>
        <sz val="13"/>
        <color theme="1"/>
        <rFont val="맑은 고딕"/>
        <family val="3"/>
        <charset val="129"/>
      </rPr>
      <t>윤리와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사상</t>
    </r>
    <phoneticPr fontId="1" type="noConversion"/>
  </si>
  <si>
    <r>
      <rPr>
        <b/>
        <sz val="13"/>
        <color theme="1"/>
        <rFont val="맑은 고딕"/>
        <family val="3"/>
        <charset val="129"/>
      </rPr>
      <t>한국지리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</si>
  <si>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</si>
  <si>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동아시아사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</si>
  <si>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세계사</t>
    </r>
    <phoneticPr fontId="1" type="noConversion"/>
  </si>
  <si>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</si>
  <si>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정치와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법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</si>
  <si>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사회∙문화</t>
    </r>
    <phoneticPr fontId="1" type="noConversion"/>
  </si>
  <si>
    <r>
      <rPr>
        <b/>
        <sz val="13"/>
        <color theme="1"/>
        <rFont val="맑은 고딕"/>
        <family val="3"/>
        <charset val="129"/>
      </rPr>
      <t>과학탐구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</si>
  <si>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</si>
  <si>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</si>
  <si>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</si>
  <si>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</si>
  <si>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직업탐구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</si>
  <si>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성공적인</t>
    </r>
    <r>
      <rPr>
        <b/>
        <sz val="13"/>
        <color theme="1"/>
        <rFont val="Microsoft Sans Serif"/>
        <family val="2"/>
      </rPr>
      <t xml:space="preserve">    </t>
    </r>
    <r>
      <rPr>
        <b/>
        <sz val="13"/>
        <color theme="1"/>
        <rFont val="맑은 고딕"/>
        <family val="3"/>
        <charset val="129"/>
      </rPr>
      <t>직업생활</t>
    </r>
    <phoneticPr fontId="1" type="noConversion"/>
  </si>
  <si>
    <r>
      <rPr>
        <b/>
        <sz val="13"/>
        <color theme="1"/>
        <rFont val="맑은 고딕"/>
        <family val="3"/>
        <charset val="129"/>
      </rPr>
      <t>농업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기초</t>
    </r>
    <r>
      <rPr>
        <b/>
        <sz val="13"/>
        <color theme="1"/>
        <rFont val="Microsoft Sans Serif"/>
        <family val="2"/>
      </rPr>
      <t xml:space="preserve">   </t>
    </r>
    <r>
      <rPr>
        <b/>
        <sz val="13"/>
        <color theme="1"/>
        <rFont val="맑은 고딕"/>
        <family val="3"/>
        <charset val="129"/>
      </rPr>
      <t>기술</t>
    </r>
    <phoneticPr fontId="1" type="noConversion"/>
  </si>
  <si>
    <r>
      <rPr>
        <b/>
        <sz val="13"/>
        <color theme="1"/>
        <rFont val="맑은 고딕"/>
        <family val="3"/>
        <charset val="129"/>
      </rPr>
      <t>공업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일반</t>
    </r>
    <phoneticPr fontId="1" type="noConversion"/>
  </si>
  <si>
    <r>
      <rPr>
        <b/>
        <sz val="13"/>
        <color theme="1"/>
        <rFont val="맑은 고딕"/>
        <family val="3"/>
        <charset val="129"/>
      </rPr>
      <t>상업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</si>
  <si>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수산∙해운</t>
    </r>
    <r>
      <rPr>
        <b/>
        <sz val="13"/>
        <color theme="1"/>
        <rFont val="Microsoft Sans Serif"/>
        <family val="2"/>
      </rPr>
      <t xml:space="preserve">   </t>
    </r>
    <r>
      <rPr>
        <b/>
        <sz val="13"/>
        <color theme="1"/>
        <rFont val="맑은 고딕"/>
        <family val="3"/>
        <charset val="129"/>
      </rPr>
      <t>산업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기초</t>
    </r>
    <phoneticPr fontId="1" type="noConversion"/>
  </si>
  <si>
    <r>
      <rPr>
        <b/>
        <sz val="13"/>
        <color theme="1"/>
        <rFont val="맑은 고딕"/>
        <family val="3"/>
        <charset val="129"/>
      </rPr>
      <t>인간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발달</t>
    </r>
    <phoneticPr fontId="1" type="noConversion"/>
  </si>
  <si>
    <r>
      <rPr>
        <sz val="13"/>
        <color theme="1"/>
        <rFont val="맑은 고딕"/>
        <family val="2"/>
        <charset val="129"/>
      </rPr>
      <t>등급</t>
    </r>
    <phoneticPr fontId="1" type="noConversion"/>
  </si>
  <si>
    <r>
      <rPr>
        <sz val="13"/>
        <color theme="1"/>
        <rFont val="맑은 고딕"/>
        <family val="2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등급컷</t>
    </r>
    <phoneticPr fontId="1" type="noConversion"/>
  </si>
  <si>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</si>
  <si>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</si>
  <si>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</si>
  <si>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비율</t>
    </r>
    <phoneticPr fontId="1" type="noConversion"/>
  </si>
  <si>
    <t>-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</si>
</sst>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.00_ "/>
    <numFmt numFmtId="177" formatCode="#,##0_ "/>
    <numFmt numFmtId="178" formatCode="0.00_);[Red]\(0.00\)"/>
    <numFmt numFmtId="179" formatCode="0.00_ "/>
  </numFmts>
  <fonts count="4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  <font>
      <sz val="11"/>
      <color theme="1"/>
      <name val="Microsoft Sans Serif"/>
      <family val="2"/>
    </font>
    <font>
      <sz val="12"/>
      <color theme="1"/>
      <name val="Microsoft Sans Serif"/>
      <family val="2"/>
    </font>
    <font>
      <sz val="12"/>
      <color theme="1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돋움"/>
      <family val="3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sz val="13"/>
      <name val="Microsoft Sans Serif"/>
      <family val="2"/>
    </font>
    <font>
      <sz val="13"/>
      <color theme="1"/>
      <name val="맑은 고딕"/>
      <family val="2"/>
      <charset val="129"/>
    </font>
    <font>
      <b/>
      <sz val="13"/>
      <color theme="1"/>
      <name val="Microsoft Sans Serif"/>
      <family val="2"/>
    </font>
    <font>
      <b/>
      <sz val="13"/>
      <color theme="1"/>
      <name val="맑은 고딕"/>
      <family val="3"/>
      <charset val="129"/>
    </font>
    <font>
      <b/>
      <sz val="13"/>
      <color theme="1"/>
      <name val="MS PGothic"/>
      <family val="2"/>
      <charset val="128"/>
    </font>
    <font>
      <b/>
      <sz val="13"/>
      <color indexed="8"/>
      <name val="Microsoft Sans Serif"/>
      <family val="2"/>
    </font>
  </fonts>
  <fills count="41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FF"/>
        <bgColor indexed="64"/>
      </patternFill>
    </fill>
  </fills>
  <borders count="75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rgb="FFD4D4D4"/>
      </bottom>
      <diagonal/>
    </border>
  </borders>
  <cellStyleXfs count="51">
    <xf numFmtId="0" fontId="0" fillId="0" borderId="0">
      <alignment vertical="center"/>
    </xf>
    <xf numFmtId="0" fontId="2" fillId="0" borderId="0"/>
    <xf numFmtId="0" fontId="5" fillId="0" borderId="26" applyNumberFormat="0" applyFill="0" applyAlignment="0" applyProtection="0">
      <alignment vertical="center"/>
    </xf>
    <xf numFmtId="0" fontId="6" fillId="0" borderId="27" applyNumberFormat="0" applyFill="0" applyAlignment="0" applyProtection="0">
      <alignment vertical="center"/>
    </xf>
    <xf numFmtId="0" fontId="7" fillId="0" borderId="28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10" borderId="29" applyNumberFormat="0" applyAlignment="0" applyProtection="0">
      <alignment vertical="center"/>
    </xf>
    <xf numFmtId="0" fontId="11" fillId="11" borderId="30" applyNumberFormat="0" applyAlignment="0" applyProtection="0">
      <alignment vertical="center"/>
    </xf>
    <xf numFmtId="0" fontId="12" fillId="11" borderId="29" applyNumberFormat="0" applyAlignment="0" applyProtection="0">
      <alignment vertical="center"/>
    </xf>
    <xf numFmtId="0" fontId="13" fillId="0" borderId="31" applyNumberFormat="0" applyFill="0" applyAlignment="0" applyProtection="0">
      <alignment vertical="center"/>
    </xf>
    <xf numFmtId="0" fontId="14" fillId="12" borderId="32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34" applyNumberFormat="0" applyFill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13" borderId="33" applyNumberFormat="0" applyFont="0" applyAlignment="0" applyProtection="0">
      <alignment vertical="center"/>
    </xf>
    <xf numFmtId="0" fontId="2" fillId="0" borderId="0"/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19" fillId="0" borderId="0"/>
    <xf numFmtId="0" fontId="19" fillId="0" borderId="0"/>
  </cellStyleXfs>
  <cellXfs count="21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quotePrefix="1" applyFill="1" applyAlignment="1">
      <alignment horizontal="center" vertical="center"/>
    </xf>
    <xf numFmtId="0" fontId="0" fillId="6" borderId="0" xfId="0" applyFill="1">
      <alignment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8" xfId="0" applyBorder="1">
      <alignment vertical="center"/>
    </xf>
    <xf numFmtId="0" fontId="0" fillId="0" borderId="35" xfId="0" applyBorder="1">
      <alignment vertical="center"/>
    </xf>
    <xf numFmtId="0" fontId="0" fillId="0" borderId="39" xfId="0" applyBorder="1">
      <alignment vertical="center"/>
    </xf>
    <xf numFmtId="0" fontId="0" fillId="0" borderId="16" xfId="0" applyBorder="1">
      <alignment vertical="center"/>
    </xf>
    <xf numFmtId="0" fontId="0" fillId="0" borderId="41" xfId="0" applyBorder="1">
      <alignment vertical="center"/>
    </xf>
    <xf numFmtId="0" fontId="0" fillId="0" borderId="41" xfId="0" applyBorder="1" applyAlignment="1">
      <alignment horizontal="center" vertical="center"/>
    </xf>
    <xf numFmtId="0" fontId="0" fillId="38" borderId="0" xfId="0" applyFill="1">
      <alignment vertical="center"/>
    </xf>
    <xf numFmtId="0" fontId="24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28" fillId="6" borderId="0" xfId="0" applyFont="1" applyFill="1">
      <alignment vertical="center"/>
    </xf>
    <xf numFmtId="0" fontId="29" fillId="5" borderId="15" xfId="0" applyFon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8" fillId="6" borderId="0" xfId="0" quotePrefix="1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5" fillId="6" borderId="0" xfId="0" applyFont="1" applyFill="1">
      <alignment vertical="center"/>
    </xf>
    <xf numFmtId="0" fontId="25" fillId="0" borderId="0" xfId="0" applyFont="1">
      <alignment vertical="center"/>
    </xf>
    <xf numFmtId="0" fontId="0" fillId="6" borderId="61" xfId="0" applyFill="1" applyBorder="1">
      <alignment vertical="center"/>
    </xf>
    <xf numFmtId="0" fontId="0" fillId="6" borderId="62" xfId="0" applyFill="1" applyBorder="1">
      <alignment vertical="center"/>
    </xf>
    <xf numFmtId="0" fontId="0" fillId="6" borderId="63" xfId="0" applyFill="1" applyBorder="1">
      <alignment vertical="center"/>
    </xf>
    <xf numFmtId="0" fontId="0" fillId="6" borderId="64" xfId="0" applyFill="1" applyBorder="1">
      <alignment vertical="center"/>
    </xf>
    <xf numFmtId="0" fontId="0" fillId="6" borderId="65" xfId="0" applyFill="1" applyBorder="1">
      <alignment vertical="center"/>
    </xf>
    <xf numFmtId="0" fontId="0" fillId="6" borderId="66" xfId="0" applyFill="1" applyBorder="1">
      <alignment vertical="center"/>
    </xf>
    <xf numFmtId="0" fontId="0" fillId="6" borderId="67" xfId="0" applyFill="1" applyBorder="1">
      <alignment vertical="center"/>
    </xf>
    <xf numFmtId="0" fontId="0" fillId="6" borderId="68" xfId="0" applyFill="1" applyBorder="1">
      <alignment vertical="center"/>
    </xf>
    <xf numFmtId="0" fontId="28" fillId="6" borderId="64" xfId="0" applyFont="1" applyFill="1" applyBorder="1">
      <alignment vertical="center"/>
    </xf>
    <xf numFmtId="0" fontId="28" fillId="6" borderId="65" xfId="0" applyFont="1" applyFill="1" applyBorder="1">
      <alignment vertical="center"/>
    </xf>
    <xf numFmtId="0" fontId="29" fillId="6" borderId="0" xfId="0" applyFont="1" applyFill="1" applyAlignment="1">
      <alignment horizontal="center" vertical="center"/>
    </xf>
    <xf numFmtId="0" fontId="29" fillId="6" borderId="0" xfId="0" applyFont="1" applyFill="1">
      <alignment vertical="center"/>
    </xf>
    <xf numFmtId="0" fontId="3" fillId="6" borderId="62" xfId="0" applyFont="1" applyFill="1" applyBorder="1" applyAlignment="1">
      <alignment horizontal="center" vertical="center"/>
    </xf>
    <xf numFmtId="0" fontId="0" fillId="6" borderId="62" xfId="0" applyFill="1" applyBorder="1" applyAlignment="1">
      <alignment horizontal="center" vertical="center"/>
    </xf>
    <xf numFmtId="0" fontId="25" fillId="6" borderId="64" xfId="0" applyFont="1" applyFill="1" applyBorder="1">
      <alignment vertical="center"/>
    </xf>
    <xf numFmtId="0" fontId="25" fillId="6" borderId="65" xfId="0" applyFont="1" applyFill="1" applyBorder="1">
      <alignment vertical="center"/>
    </xf>
    <xf numFmtId="0" fontId="3" fillId="6" borderId="67" xfId="0" applyFont="1" applyFill="1" applyBorder="1" applyAlignment="1">
      <alignment horizontal="center" vertical="center"/>
    </xf>
    <xf numFmtId="0" fontId="0" fillId="6" borderId="67" xfId="0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0" fillId="0" borderId="36" xfId="0" applyBorder="1">
      <alignment vertical="center"/>
    </xf>
    <xf numFmtId="0" fontId="0" fillId="0" borderId="40" xfId="0" applyBorder="1">
      <alignment vertical="center"/>
    </xf>
    <xf numFmtId="0" fontId="0" fillId="0" borderId="37" xfId="0" applyBorder="1">
      <alignment vertical="center"/>
    </xf>
    <xf numFmtId="0" fontId="29" fillId="5" borderId="21" xfId="0" applyFont="1" applyFill="1" applyBorder="1" applyAlignment="1">
      <alignment horizontal="center" vertical="center"/>
    </xf>
    <xf numFmtId="38" fontId="33" fillId="0" borderId="6" xfId="34" applyNumberFormat="1" applyFont="1" applyBorder="1" applyAlignment="1">
      <alignment horizontal="center" vertical="center"/>
    </xf>
    <xf numFmtId="179" fontId="33" fillId="0" borderId="6" xfId="34" applyNumberFormat="1" applyFont="1" applyBorder="1" applyAlignment="1">
      <alignment horizontal="center" vertical="center"/>
    </xf>
    <xf numFmtId="0" fontId="33" fillId="0" borderId="6" xfId="34" applyFont="1" applyBorder="1" applyAlignment="1">
      <alignment horizontal="center" vertical="center"/>
    </xf>
    <xf numFmtId="0" fontId="33" fillId="0" borderId="69" xfId="45" applyFont="1" applyBorder="1" applyAlignment="1">
      <alignment horizontal="center" vertical="center"/>
    </xf>
    <xf numFmtId="38" fontId="33" fillId="0" borderId="69" xfId="45" applyNumberFormat="1" applyFont="1" applyBorder="1" applyAlignment="1">
      <alignment horizontal="center" vertical="center"/>
    </xf>
    <xf numFmtId="0" fontId="33" fillId="0" borderId="69" xfId="34" applyFont="1" applyBorder="1" applyAlignment="1">
      <alignment horizontal="center" vertical="center"/>
    </xf>
    <xf numFmtId="38" fontId="33" fillId="0" borderId="69" xfId="34" applyNumberFormat="1" applyFont="1" applyBorder="1" applyAlignment="1">
      <alignment horizontal="center" vertical="center"/>
    </xf>
    <xf numFmtId="2" fontId="29" fillId="0" borderId="20" xfId="0" applyNumberFormat="1" applyFont="1" applyBorder="1" applyAlignment="1">
      <alignment horizontal="center" vertical="center"/>
    </xf>
    <xf numFmtId="3" fontId="29" fillId="0" borderId="19" xfId="0" applyNumberFormat="1" applyFont="1" applyBorder="1" applyAlignment="1">
      <alignment horizontal="center" vertical="center"/>
    </xf>
    <xf numFmtId="0" fontId="29" fillId="5" borderId="4" xfId="0" applyFont="1" applyFill="1" applyBorder="1" applyAlignment="1">
      <alignment horizontal="center" vertical="center"/>
    </xf>
    <xf numFmtId="0" fontId="29" fillId="5" borderId="17" xfId="0" applyFont="1" applyFill="1" applyBorder="1" applyAlignment="1">
      <alignment horizontal="center" vertical="center"/>
    </xf>
    <xf numFmtId="2" fontId="29" fillId="0" borderId="16" xfId="0" applyNumberFormat="1" applyFont="1" applyBorder="1" applyAlignment="1">
      <alignment horizontal="center" vertical="center"/>
    </xf>
    <xf numFmtId="0" fontId="34" fillId="5" borderId="15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4" fillId="5" borderId="13" xfId="0" applyFont="1" applyFill="1" applyBorder="1" applyAlignment="1">
      <alignment horizontal="center" vertical="center"/>
    </xf>
    <xf numFmtId="0" fontId="34" fillId="5" borderId="12" xfId="0" applyFont="1" applyFill="1" applyBorder="1" applyAlignment="1">
      <alignment horizontal="center" vertical="center"/>
    </xf>
    <xf numFmtId="0" fontId="34" fillId="0" borderId="11" xfId="0" applyFont="1" applyBorder="1" applyAlignment="1">
      <alignment horizontal="center" vertical="center"/>
    </xf>
    <xf numFmtId="0" fontId="34" fillId="0" borderId="8" xfId="0" applyFont="1" applyBorder="1" applyAlignment="1">
      <alignment horizontal="center" vertical="center"/>
    </xf>
    <xf numFmtId="178" fontId="34" fillId="0" borderId="8" xfId="0" applyNumberFormat="1" applyFont="1" applyBorder="1" applyAlignment="1">
      <alignment horizontal="center" vertical="center"/>
    </xf>
    <xf numFmtId="177" fontId="36" fillId="0" borderId="8" xfId="1" applyNumberFormat="1" applyFont="1" applyBorder="1" applyAlignment="1">
      <alignment horizontal="center" vertical="center"/>
    </xf>
    <xf numFmtId="10" fontId="36" fillId="0" borderId="7" xfId="1" applyNumberFormat="1" applyFont="1" applyBorder="1" applyAlignment="1">
      <alignment horizontal="center" vertical="center"/>
    </xf>
    <xf numFmtId="177" fontId="34" fillId="0" borderId="10" xfId="0" applyNumberFormat="1" applyFont="1" applyBorder="1" applyAlignment="1">
      <alignment horizontal="center" vertical="center"/>
    </xf>
    <xf numFmtId="10" fontId="36" fillId="0" borderId="5" xfId="1" applyNumberFormat="1" applyFont="1" applyBorder="1" applyAlignment="1">
      <alignment horizontal="center" vertical="center"/>
    </xf>
    <xf numFmtId="0" fontId="34" fillId="0" borderId="9" xfId="0" applyFont="1" applyBorder="1" applyAlignment="1">
      <alignment horizontal="center" vertical="center"/>
    </xf>
    <xf numFmtId="0" fontId="34" fillId="4" borderId="8" xfId="0" applyFont="1" applyFill="1" applyBorder="1" applyAlignment="1">
      <alignment horizontal="center" vertical="center"/>
    </xf>
    <xf numFmtId="178" fontId="34" fillId="4" borderId="8" xfId="0" applyNumberFormat="1" applyFont="1" applyFill="1" applyBorder="1" applyAlignment="1">
      <alignment horizontal="center" vertical="center"/>
    </xf>
    <xf numFmtId="0" fontId="34" fillId="4" borderId="6" xfId="0" applyFont="1" applyFill="1" applyBorder="1">
      <alignment vertical="center"/>
    </xf>
    <xf numFmtId="0" fontId="36" fillId="4" borderId="7" xfId="1" applyFont="1" applyFill="1" applyBorder="1" applyAlignment="1">
      <alignment horizontal="center" vertical="center"/>
    </xf>
    <xf numFmtId="177" fontId="34" fillId="4" borderId="8" xfId="0" applyNumberFormat="1" applyFont="1" applyFill="1" applyBorder="1" applyAlignment="1">
      <alignment horizontal="center" vertical="center"/>
    </xf>
    <xf numFmtId="176" fontId="36" fillId="4" borderId="5" xfId="1" applyNumberFormat="1" applyFont="1" applyFill="1" applyBorder="1" applyAlignment="1">
      <alignment horizontal="center" vertical="center"/>
    </xf>
    <xf numFmtId="177" fontId="34" fillId="0" borderId="6" xfId="0" applyNumberFormat="1" applyFont="1" applyBorder="1" applyAlignment="1">
      <alignment horizontal="center" vertical="center"/>
    </xf>
    <xf numFmtId="0" fontId="34" fillId="6" borderId="9" xfId="0" applyFont="1" applyFill="1" applyBorder="1" applyAlignment="1">
      <alignment horizontal="center" vertical="center"/>
    </xf>
    <xf numFmtId="0" fontId="34" fillId="6" borderId="8" xfId="0" applyFont="1" applyFill="1" applyBorder="1" applyAlignment="1">
      <alignment horizontal="center" vertical="center"/>
    </xf>
    <xf numFmtId="177" fontId="34" fillId="6" borderId="6" xfId="0" applyNumberFormat="1" applyFont="1" applyFill="1" applyBorder="1" applyAlignment="1">
      <alignment horizontal="center" vertical="center"/>
    </xf>
    <xf numFmtId="177" fontId="34" fillId="4" borderId="6" xfId="0" applyNumberFormat="1" applyFont="1" applyFill="1" applyBorder="1" applyAlignment="1">
      <alignment horizontal="center" vertical="center"/>
    </xf>
    <xf numFmtId="0" fontId="34" fillId="3" borderId="4" xfId="0" applyFont="1" applyFill="1" applyBorder="1" applyAlignment="1">
      <alignment horizontal="center" vertical="center"/>
    </xf>
    <xf numFmtId="0" fontId="34" fillId="2" borderId="2" xfId="0" applyFont="1" applyFill="1" applyBorder="1" applyAlignment="1">
      <alignment horizontal="center" vertical="center"/>
    </xf>
    <xf numFmtId="178" fontId="34" fillId="2" borderId="2" xfId="0" applyNumberFormat="1" applyFont="1" applyFill="1" applyBorder="1" applyAlignment="1">
      <alignment horizontal="center" vertical="center"/>
    </xf>
    <xf numFmtId="177" fontId="36" fillId="2" borderId="2" xfId="1" applyNumberFormat="1" applyFont="1" applyFill="1" applyBorder="1" applyAlignment="1">
      <alignment horizontal="center" vertical="center"/>
    </xf>
    <xf numFmtId="10" fontId="36" fillId="2" borderId="2" xfId="1" applyNumberFormat="1" applyFont="1" applyFill="1" applyBorder="1" applyAlignment="1">
      <alignment horizontal="center" vertical="center"/>
    </xf>
    <xf numFmtId="177" fontId="34" fillId="2" borderId="2" xfId="0" applyNumberFormat="1" applyFont="1" applyFill="1" applyBorder="1" applyAlignment="1">
      <alignment horizontal="center" vertical="center"/>
    </xf>
    <xf numFmtId="10" fontId="36" fillId="2" borderId="1" xfId="1" applyNumberFormat="1" applyFont="1" applyFill="1" applyBorder="1" applyAlignment="1">
      <alignment horizontal="center" vertical="center"/>
    </xf>
    <xf numFmtId="0" fontId="34" fillId="6" borderId="0" xfId="0" applyFont="1" applyFill="1" applyAlignment="1">
      <alignment horizontal="center" vertical="center"/>
    </xf>
    <xf numFmtId="0" fontId="34" fillId="6" borderId="0" xfId="0" applyFont="1" applyFill="1">
      <alignment vertical="center"/>
    </xf>
    <xf numFmtId="176" fontId="36" fillId="4" borderId="7" xfId="1" applyNumberFormat="1" applyFont="1" applyFill="1" applyBorder="1" applyAlignment="1">
      <alignment horizontal="center" vertical="center"/>
    </xf>
    <xf numFmtId="0" fontId="34" fillId="6" borderId="11" xfId="0" applyFont="1" applyFill="1" applyBorder="1" applyAlignment="1">
      <alignment horizontal="center" vertical="center"/>
    </xf>
    <xf numFmtId="0" fontId="34" fillId="4" borderId="6" xfId="0" applyFont="1" applyFill="1" applyBorder="1" applyAlignment="1">
      <alignment horizontal="center" vertical="center"/>
    </xf>
    <xf numFmtId="0" fontId="34" fillId="2" borderId="17" xfId="0" applyFont="1" applyFill="1" applyBorder="1" applyAlignment="1">
      <alignment horizontal="center" vertical="center"/>
    </xf>
    <xf numFmtId="0" fontId="34" fillId="2" borderId="24" xfId="0" applyFont="1" applyFill="1" applyBorder="1" applyAlignment="1">
      <alignment horizontal="center" vertical="center"/>
    </xf>
    <xf numFmtId="177" fontId="36" fillId="2" borderId="24" xfId="1" applyNumberFormat="1" applyFont="1" applyFill="1" applyBorder="1" applyAlignment="1">
      <alignment horizontal="center" vertical="center"/>
    </xf>
    <xf numFmtId="10" fontId="36" fillId="2" borderId="16" xfId="1" applyNumberFormat="1" applyFont="1" applyFill="1" applyBorder="1" applyAlignment="1">
      <alignment horizontal="center" vertical="center"/>
    </xf>
    <xf numFmtId="0" fontId="34" fillId="0" borderId="6" xfId="0" applyFont="1" applyBorder="1" applyAlignment="1">
      <alignment horizontal="center" vertical="center"/>
    </xf>
    <xf numFmtId="0" fontId="38" fillId="39" borderId="45" xfId="0" applyFont="1" applyFill="1" applyBorder="1" applyAlignment="1">
      <alignment horizontal="center" vertical="center"/>
    </xf>
    <xf numFmtId="0" fontId="38" fillId="39" borderId="46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center" vertical="center"/>
    </xf>
    <xf numFmtId="0" fontId="38" fillId="39" borderId="47" xfId="0" applyFont="1" applyFill="1" applyBorder="1" applyAlignment="1">
      <alignment horizontal="center" vertical="center"/>
    </xf>
    <xf numFmtId="0" fontId="34" fillId="6" borderId="21" xfId="0" applyFont="1" applyFill="1" applyBorder="1" applyAlignment="1">
      <alignment horizontal="center" vertical="center"/>
    </xf>
    <xf numFmtId="0" fontId="34" fillId="6" borderId="22" xfId="0" applyFont="1" applyFill="1" applyBorder="1" applyAlignment="1">
      <alignment horizontal="center" vertical="center"/>
    </xf>
    <xf numFmtId="0" fontId="38" fillId="39" borderId="49" xfId="0" applyFont="1" applyFill="1" applyBorder="1" applyAlignment="1">
      <alignment horizontal="center" vertical="center"/>
    </xf>
    <xf numFmtId="0" fontId="34" fillId="6" borderId="5" xfId="0" applyFont="1" applyFill="1" applyBorder="1" applyAlignment="1">
      <alignment horizontal="center" vertical="center"/>
    </xf>
    <xf numFmtId="0" fontId="38" fillId="39" borderId="51" xfId="0" applyFont="1" applyFill="1" applyBorder="1" applyAlignment="1">
      <alignment horizontal="center" vertical="center"/>
    </xf>
    <xf numFmtId="0" fontId="34" fillId="6" borderId="17" xfId="0" applyFont="1" applyFill="1" applyBorder="1" applyAlignment="1">
      <alignment horizontal="center" vertical="center"/>
    </xf>
    <xf numFmtId="0" fontId="34" fillId="6" borderId="16" xfId="0" applyFont="1" applyFill="1" applyBorder="1" applyAlignment="1">
      <alignment horizontal="center" vertical="center"/>
    </xf>
    <xf numFmtId="0" fontId="38" fillId="39" borderId="60" xfId="0" applyFont="1" applyFill="1" applyBorder="1" applyAlignment="1">
      <alignment horizontal="center" vertical="center"/>
    </xf>
    <xf numFmtId="0" fontId="38" fillId="39" borderId="15" xfId="0" applyFont="1" applyFill="1" applyBorder="1" applyAlignment="1">
      <alignment horizontal="center" vertical="center"/>
    </xf>
    <xf numFmtId="0" fontId="38" fillId="39" borderId="14" xfId="0" applyFont="1" applyFill="1" applyBorder="1" applyAlignment="1">
      <alignment horizontal="center" vertical="center"/>
    </xf>
    <xf numFmtId="0" fontId="38" fillId="39" borderId="53" xfId="0" applyFont="1" applyFill="1" applyBorder="1" applyAlignment="1">
      <alignment horizontal="center" vertical="center"/>
    </xf>
    <xf numFmtId="0" fontId="34" fillId="6" borderId="25" xfId="0" applyFont="1" applyFill="1" applyBorder="1" applyAlignment="1">
      <alignment horizontal="center" vertical="center"/>
    </xf>
    <xf numFmtId="0" fontId="38" fillId="39" borderId="54" xfId="0" applyFont="1" applyFill="1" applyBorder="1" applyAlignment="1">
      <alignment horizontal="center" vertical="center"/>
    </xf>
    <xf numFmtId="0" fontId="34" fillId="6" borderId="6" xfId="0" applyFont="1" applyFill="1" applyBorder="1" applyAlignment="1">
      <alignment horizontal="center" vertical="center"/>
    </xf>
    <xf numFmtId="0" fontId="34" fillId="6" borderId="55" xfId="0" applyFont="1" applyFill="1" applyBorder="1" applyAlignment="1">
      <alignment horizontal="center" vertical="center"/>
    </xf>
    <xf numFmtId="0" fontId="38" fillId="39" borderId="56" xfId="0" applyFont="1" applyFill="1" applyBorder="1" applyAlignment="1">
      <alignment horizontal="center" vertical="center"/>
    </xf>
    <xf numFmtId="0" fontId="34" fillId="6" borderId="4" xfId="0" applyFont="1" applyFill="1" applyBorder="1" applyAlignment="1">
      <alignment horizontal="center" vertical="center"/>
    </xf>
    <xf numFmtId="0" fontId="34" fillId="6" borderId="2" xfId="0" applyFont="1" applyFill="1" applyBorder="1" applyAlignment="1">
      <alignment horizontal="center" vertical="center"/>
    </xf>
    <xf numFmtId="0" fontId="34" fillId="6" borderId="44" xfId="0" applyFont="1" applyFill="1" applyBorder="1" applyAlignment="1">
      <alignment horizontal="center" vertical="center"/>
    </xf>
    <xf numFmtId="0" fontId="34" fillId="6" borderId="48" xfId="0" applyFont="1" applyFill="1" applyBorder="1" applyAlignment="1">
      <alignment horizontal="center" vertical="center"/>
    </xf>
    <xf numFmtId="0" fontId="34" fillId="6" borderId="50" xfId="0" applyFont="1" applyFill="1" applyBorder="1" applyAlignment="1">
      <alignment horizontal="center" vertical="center"/>
    </xf>
    <xf numFmtId="0" fontId="34" fillId="6" borderId="52" xfId="0" applyFont="1" applyFill="1" applyBorder="1" applyAlignment="1">
      <alignment horizontal="center" vertical="center"/>
    </xf>
    <xf numFmtId="0" fontId="38" fillId="39" borderId="15" xfId="0" applyFont="1" applyFill="1" applyBorder="1" applyAlignment="1">
      <alignment horizontal="center" vertical="center" wrapText="1"/>
    </xf>
    <xf numFmtId="0" fontId="38" fillId="39" borderId="14" xfId="0" applyFont="1" applyFill="1" applyBorder="1" applyAlignment="1">
      <alignment horizontal="center" vertical="center" wrapText="1"/>
    </xf>
    <xf numFmtId="0" fontId="38" fillId="39" borderId="13" xfId="0" applyFont="1" applyFill="1" applyBorder="1" applyAlignment="1">
      <alignment horizontal="center" vertical="center" wrapText="1"/>
    </xf>
    <xf numFmtId="0" fontId="38" fillId="39" borderId="12" xfId="0" applyFont="1" applyFill="1" applyBorder="1" applyAlignment="1">
      <alignment horizontal="center" vertical="center" wrapText="1"/>
    </xf>
    <xf numFmtId="0" fontId="34" fillId="5" borderId="19" xfId="0" applyFont="1" applyFill="1" applyBorder="1" applyAlignment="1">
      <alignment horizontal="center" vertical="center"/>
    </xf>
    <xf numFmtId="0" fontId="34" fillId="5" borderId="46" xfId="0" applyFont="1" applyFill="1" applyBorder="1" applyAlignment="1">
      <alignment horizontal="center" vertical="center"/>
    </xf>
    <xf numFmtId="0" fontId="41" fillId="39" borderId="21" xfId="0" applyFont="1" applyFill="1" applyBorder="1" applyAlignment="1">
      <alignment horizontal="center" vertical="center"/>
    </xf>
    <xf numFmtId="0" fontId="41" fillId="39" borderId="22" xfId="0" applyFont="1" applyFill="1" applyBorder="1" applyAlignment="1">
      <alignment horizontal="center" vertical="center"/>
    </xf>
    <xf numFmtId="3" fontId="34" fillId="0" borderId="48" xfId="0" applyNumberFormat="1" applyFont="1" applyBorder="1" applyAlignment="1">
      <alignment horizontal="center" vertical="center"/>
    </xf>
    <xf numFmtId="10" fontId="34" fillId="0" borderId="10" xfId="0" applyNumberFormat="1" applyFont="1" applyBorder="1" applyAlignment="1">
      <alignment horizontal="center" vertical="center"/>
    </xf>
    <xf numFmtId="3" fontId="34" fillId="0" borderId="10" xfId="0" applyNumberFormat="1" applyFont="1" applyBorder="1" applyAlignment="1">
      <alignment horizontal="center" vertical="center"/>
    </xf>
    <xf numFmtId="10" fontId="34" fillId="0" borderId="42" xfId="0" applyNumberFormat="1" applyFont="1" applyBorder="1" applyAlignment="1">
      <alignment horizontal="center" vertical="center"/>
    </xf>
    <xf numFmtId="0" fontId="41" fillId="39" borderId="9" xfId="0" applyFont="1" applyFill="1" applyBorder="1" applyAlignment="1">
      <alignment horizontal="center" vertical="center"/>
    </xf>
    <xf numFmtId="0" fontId="41" fillId="39" borderId="59" xfId="0" applyFont="1" applyFill="1" applyBorder="1" applyAlignment="1">
      <alignment horizontal="center" vertical="center"/>
    </xf>
    <xf numFmtId="3" fontId="34" fillId="0" borderId="57" xfId="0" applyNumberFormat="1" applyFont="1" applyBorder="1" applyAlignment="1">
      <alignment horizontal="center" vertical="center"/>
    </xf>
    <xf numFmtId="10" fontId="34" fillId="0" borderId="8" xfId="0" applyNumberFormat="1" applyFont="1" applyBorder="1" applyAlignment="1">
      <alignment horizontal="center" vertical="center"/>
    </xf>
    <xf numFmtId="3" fontId="34" fillId="0" borderId="6" xfId="0" applyNumberFormat="1" applyFont="1" applyBorder="1" applyAlignment="1">
      <alignment horizontal="center" vertical="center"/>
    </xf>
    <xf numFmtId="10" fontId="34" fillId="0" borderId="25" xfId="0" applyNumberFormat="1" applyFont="1" applyBorder="1" applyAlignment="1">
      <alignment horizontal="center" vertical="center"/>
    </xf>
    <xf numFmtId="0" fontId="41" fillId="39" borderId="4" xfId="0" applyFont="1" applyFill="1" applyBorder="1" applyAlignment="1">
      <alignment horizontal="center" vertical="center"/>
    </xf>
    <xf numFmtId="0" fontId="41" fillId="39" borderId="1" xfId="0" applyFont="1" applyFill="1" applyBorder="1" applyAlignment="1">
      <alignment horizontal="center" vertical="center"/>
    </xf>
    <xf numFmtId="3" fontId="34" fillId="0" borderId="58" xfId="0" applyNumberFormat="1" applyFont="1" applyBorder="1" applyAlignment="1">
      <alignment horizontal="center" vertical="center"/>
    </xf>
    <xf numFmtId="10" fontId="34" fillId="0" borderId="24" xfId="0" applyNumberFormat="1" applyFont="1" applyBorder="1" applyAlignment="1">
      <alignment horizontal="center" vertical="center"/>
    </xf>
    <xf numFmtId="3" fontId="34" fillId="0" borderId="2" xfId="0" applyNumberFormat="1" applyFont="1" applyBorder="1" applyAlignment="1">
      <alignment horizontal="center" vertical="center"/>
    </xf>
    <xf numFmtId="10" fontId="34" fillId="0" borderId="43" xfId="0" applyNumberFormat="1" applyFont="1" applyBorder="1" applyAlignment="1">
      <alignment horizontal="center" vertical="center"/>
    </xf>
    <xf numFmtId="0" fontId="38" fillId="39" borderId="21" xfId="0" applyFont="1" applyFill="1" applyBorder="1" applyAlignment="1">
      <alignment horizontal="center" vertical="center"/>
    </xf>
    <xf numFmtId="0" fontId="38" fillId="39" borderId="22" xfId="0" applyFont="1" applyFill="1" applyBorder="1" applyAlignment="1">
      <alignment horizontal="center" vertical="center"/>
    </xf>
    <xf numFmtId="0" fontId="38" fillId="39" borderId="9" xfId="0" applyFont="1" applyFill="1" applyBorder="1" applyAlignment="1">
      <alignment horizontal="center" vertical="center"/>
    </xf>
    <xf numFmtId="0" fontId="38" fillId="39" borderId="59" xfId="0" applyFont="1" applyFill="1" applyBorder="1" applyAlignment="1">
      <alignment horizontal="center" vertical="center"/>
    </xf>
    <xf numFmtId="0" fontId="38" fillId="39" borderId="4" xfId="0" applyFont="1" applyFill="1" applyBorder="1" applyAlignment="1">
      <alignment horizontal="center" vertical="center"/>
    </xf>
    <xf numFmtId="0" fontId="38" fillId="39" borderId="1" xfId="0" applyFont="1" applyFill="1" applyBorder="1" applyAlignment="1">
      <alignment horizontal="center" vertical="center"/>
    </xf>
    <xf numFmtId="0" fontId="34" fillId="40" borderId="9" xfId="0" applyFont="1" applyFill="1" applyBorder="1" applyAlignment="1">
      <alignment horizontal="center" vertical="center"/>
    </xf>
    <xf numFmtId="0" fontId="34" fillId="40" borderId="8" xfId="0" applyFont="1" applyFill="1" applyBorder="1" applyAlignment="1">
      <alignment horizontal="center" vertical="center"/>
    </xf>
    <xf numFmtId="178" fontId="34" fillId="40" borderId="8" xfId="0" applyNumberFormat="1" applyFont="1" applyFill="1" applyBorder="1" applyAlignment="1">
      <alignment horizontal="center" vertical="center"/>
    </xf>
    <xf numFmtId="177" fontId="36" fillId="40" borderId="8" xfId="1" applyNumberFormat="1" applyFont="1" applyFill="1" applyBorder="1" applyAlignment="1">
      <alignment horizontal="center" vertical="center"/>
    </xf>
    <xf numFmtId="10" fontId="36" fillId="40" borderId="7" xfId="1" applyNumberFormat="1" applyFont="1" applyFill="1" applyBorder="1" applyAlignment="1">
      <alignment horizontal="center" vertical="center"/>
    </xf>
    <xf numFmtId="177" fontId="34" fillId="40" borderId="6" xfId="0" applyNumberFormat="1" applyFont="1" applyFill="1" applyBorder="1" applyAlignment="1">
      <alignment horizontal="center" vertical="center"/>
    </xf>
    <xf numFmtId="10" fontId="36" fillId="40" borderId="5" xfId="1" applyNumberFormat="1" applyFont="1" applyFill="1" applyBorder="1" applyAlignment="1">
      <alignment horizontal="center" vertical="center"/>
    </xf>
    <xf numFmtId="0" fontId="34" fillId="40" borderId="17" xfId="0" applyFont="1" applyFill="1" applyBorder="1" applyAlignment="1">
      <alignment horizontal="center" vertical="center"/>
    </xf>
    <xf numFmtId="0" fontId="34" fillId="40" borderId="2" xfId="0" applyFont="1" applyFill="1" applyBorder="1" applyAlignment="1">
      <alignment horizontal="center" vertical="center"/>
    </xf>
    <xf numFmtId="0" fontId="34" fillId="40" borderId="24" xfId="0" applyFont="1" applyFill="1" applyBorder="1" applyAlignment="1">
      <alignment horizontal="center" vertical="center"/>
    </xf>
    <xf numFmtId="178" fontId="34" fillId="40" borderId="2" xfId="0" applyNumberFormat="1" applyFont="1" applyFill="1" applyBorder="1" applyAlignment="1">
      <alignment horizontal="center" vertical="center"/>
    </xf>
    <xf numFmtId="177" fontId="36" fillId="40" borderId="24" xfId="1" applyNumberFormat="1" applyFont="1" applyFill="1" applyBorder="1" applyAlignment="1">
      <alignment horizontal="center" vertical="center"/>
    </xf>
    <xf numFmtId="10" fontId="36" fillId="40" borderId="2" xfId="1" applyNumberFormat="1" applyFont="1" applyFill="1" applyBorder="1" applyAlignment="1">
      <alignment horizontal="center" vertical="center"/>
    </xf>
    <xf numFmtId="177" fontId="34" fillId="40" borderId="2" xfId="0" applyNumberFormat="1" applyFont="1" applyFill="1" applyBorder="1" applyAlignment="1">
      <alignment horizontal="center" vertical="center"/>
    </xf>
    <xf numFmtId="10" fontId="36" fillId="40" borderId="16" xfId="1" applyNumberFormat="1" applyFont="1" applyFill="1" applyBorder="1" applyAlignment="1">
      <alignment horizontal="center" vertical="center"/>
    </xf>
    <xf numFmtId="0" fontId="0" fillId="38" borderId="0" xfId="0" applyFill="1" applyAlignment="1">
      <alignment horizontal="center" vertical="center"/>
    </xf>
    <xf numFmtId="177" fontId="34" fillId="6" borderId="70" xfId="0" applyNumberFormat="1" applyFont="1" applyFill="1" applyBorder="1" applyAlignment="1">
      <alignment horizontal="center" vertical="center"/>
    </xf>
    <xf numFmtId="177" fontId="34" fillId="6" borderId="8" xfId="0" applyNumberFormat="1" applyFont="1" applyFill="1" applyBorder="1" applyAlignment="1">
      <alignment horizontal="center" vertical="center"/>
    </xf>
    <xf numFmtId="10" fontId="36" fillId="0" borderId="71" xfId="1" applyNumberFormat="1" applyFont="1" applyBorder="1" applyAlignment="1">
      <alignment horizontal="center" vertical="center"/>
    </xf>
    <xf numFmtId="10" fontId="36" fillId="0" borderId="25" xfId="1" applyNumberFormat="1" applyFont="1" applyBorder="1" applyAlignment="1">
      <alignment horizontal="center" vertical="center"/>
    </xf>
    <xf numFmtId="0" fontId="34" fillId="0" borderId="70" xfId="0" applyFont="1" applyBorder="1" applyAlignment="1">
      <alignment horizontal="center" vertical="center"/>
    </xf>
    <xf numFmtId="0" fontId="34" fillId="0" borderId="8" xfId="0" applyFont="1" applyBorder="1" applyAlignment="1">
      <alignment horizontal="center" vertical="center"/>
    </xf>
    <xf numFmtId="0" fontId="34" fillId="6" borderId="70" xfId="0" applyFont="1" applyFill="1" applyBorder="1" applyAlignment="1">
      <alignment horizontal="center" vertical="center"/>
    </xf>
    <xf numFmtId="0" fontId="34" fillId="6" borderId="8" xfId="0" applyFont="1" applyFill="1" applyBorder="1" applyAlignment="1">
      <alignment horizontal="center" vertical="center"/>
    </xf>
    <xf numFmtId="178" fontId="34" fillId="0" borderId="70" xfId="0" applyNumberFormat="1" applyFont="1" applyBorder="1" applyAlignment="1">
      <alignment horizontal="center" vertical="center"/>
    </xf>
    <xf numFmtId="178" fontId="34" fillId="0" borderId="8" xfId="0" applyNumberFormat="1" applyFont="1" applyBorder="1" applyAlignment="1">
      <alignment horizontal="center" vertical="center"/>
    </xf>
    <xf numFmtId="177" fontId="36" fillId="0" borderId="70" xfId="1" applyNumberFormat="1" applyFont="1" applyBorder="1" applyAlignment="1">
      <alignment horizontal="center" vertical="center"/>
    </xf>
    <xf numFmtId="177" fontId="36" fillId="0" borderId="8" xfId="1" applyNumberFormat="1" applyFont="1" applyBorder="1" applyAlignment="1">
      <alignment horizontal="center" vertical="center"/>
    </xf>
    <xf numFmtId="10" fontId="36" fillId="0" borderId="70" xfId="1" applyNumberFormat="1" applyFont="1" applyBorder="1" applyAlignment="1">
      <alignment horizontal="center" vertical="center"/>
    </xf>
    <xf numFmtId="10" fontId="36" fillId="0" borderId="8" xfId="1" applyNumberFormat="1" applyFont="1" applyBorder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29" fillId="6" borderId="20" xfId="0" applyFont="1" applyFill="1" applyBorder="1" applyAlignment="1">
      <alignment horizontal="center" vertical="center"/>
    </xf>
    <xf numFmtId="0" fontId="29" fillId="6" borderId="22" xfId="0" applyFont="1" applyFill="1" applyBorder="1" applyAlignment="1">
      <alignment horizontal="center" vertical="center"/>
    </xf>
    <xf numFmtId="0" fontId="29" fillId="6" borderId="3" xfId="0" applyFont="1" applyFill="1" applyBorder="1" applyAlignment="1">
      <alignment horizontal="center" vertical="center"/>
    </xf>
    <xf numFmtId="0" fontId="29" fillId="6" borderId="18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177" fontId="34" fillId="0" borderId="70" xfId="0" applyNumberFormat="1" applyFont="1" applyBorder="1" applyAlignment="1">
      <alignment horizontal="center" vertical="center"/>
    </xf>
    <xf numFmtId="177" fontId="34" fillId="0" borderId="8" xfId="0" applyNumberFormat="1" applyFont="1" applyBorder="1" applyAlignment="1">
      <alignment horizontal="center" vertical="center"/>
    </xf>
    <xf numFmtId="177" fontId="36" fillId="0" borderId="72" xfId="1" applyNumberFormat="1" applyFont="1" applyBorder="1" applyAlignment="1">
      <alignment horizontal="center" vertical="center"/>
    </xf>
    <xf numFmtId="10" fontId="36" fillId="0" borderId="72" xfId="1" applyNumberFormat="1" applyFont="1" applyBorder="1" applyAlignment="1">
      <alignment horizontal="center" vertical="center"/>
    </xf>
    <xf numFmtId="177" fontId="34" fillId="0" borderId="72" xfId="0" applyNumberFormat="1" applyFont="1" applyBorder="1" applyAlignment="1">
      <alignment horizontal="center" vertical="center"/>
    </xf>
    <xf numFmtId="10" fontId="36" fillId="0" borderId="73" xfId="1" applyNumberFormat="1" applyFont="1" applyBorder="1" applyAlignment="1">
      <alignment horizontal="center" vertical="center"/>
    </xf>
    <xf numFmtId="0" fontId="34" fillId="0" borderId="72" xfId="0" applyFont="1" applyBorder="1" applyAlignment="1">
      <alignment horizontal="center" vertical="center"/>
    </xf>
    <xf numFmtId="178" fontId="34" fillId="0" borderId="72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29" fillId="6" borderId="42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29" fillId="6" borderId="44" xfId="0" applyFont="1" applyFill="1" applyBorder="1" applyAlignment="1">
      <alignment horizontal="center" vertical="center"/>
    </xf>
    <xf numFmtId="0" fontId="30" fillId="6" borderId="3" xfId="0" applyFont="1" applyFill="1" applyBorder="1" applyAlignment="1">
      <alignment horizontal="center" vertical="center"/>
    </xf>
    <xf numFmtId="0" fontId="0" fillId="6" borderId="0" xfId="0" applyFill="1" applyBorder="1" applyAlignment="1">
      <alignment vertical="center"/>
    </xf>
    <xf numFmtId="0" fontId="29" fillId="6" borderId="0" xfId="0" applyFont="1" applyFill="1" applyBorder="1" applyAlignment="1">
      <alignment horizontal="center" vertical="center"/>
    </xf>
    <xf numFmtId="0" fontId="29" fillId="6" borderId="0" xfId="0" applyFont="1" applyFill="1" applyBorder="1">
      <alignment vertical="center"/>
    </xf>
    <xf numFmtId="0" fontId="28" fillId="6" borderId="0" xfId="0" applyFont="1" applyFill="1" applyBorder="1" applyAlignment="1">
      <alignment horizontal="center" vertical="center"/>
    </xf>
    <xf numFmtId="0" fontId="28" fillId="6" borderId="0" xfId="0" applyFont="1" applyFill="1" applyBorder="1">
      <alignment vertical="center"/>
    </xf>
    <xf numFmtId="0" fontId="0" fillId="6" borderId="74" xfId="0" applyFill="1" applyBorder="1" applyAlignment="1">
      <alignment vertical="center"/>
    </xf>
  </cellXfs>
  <cellStyles count="51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보통 2" xfId="36" xr:uid="{00000000-0005-0000-0000-000039000000}"/>
    <cellStyle name="설명 텍스트" xfId="14" builtinId="53" customBuiltin="1"/>
    <cellStyle name="셀 확인" xfId="12" builtinId="23" customBuiltin="1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4 3" xfId="50" xr:uid="{4BF94EE0-46AE-47C4-BEA7-23D076C2D470}"/>
    <cellStyle name="표준 5" xfId="48" xr:uid="{00000000-0005-0000-0000-00002F000000}"/>
    <cellStyle name="하이퍼링크 2" xfId="46" xr:uid="{00000000-0005-0000-0000-000030000000}"/>
  </cellStyles>
  <dxfs count="85"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D4D4D4"/>
      <color rgb="FFFF99FF"/>
      <color rgb="FFFFCCFF"/>
      <color rgb="FFCCFFCC"/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4</xdr:row>
          <xdr:rowOff>107950</xdr:rowOff>
        </xdr:from>
        <xdr:to>
          <xdr:col>9</xdr:col>
          <xdr:colOff>88900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33"/>
  <sheetViews>
    <sheetView zoomScale="115" zoomScaleNormal="115" workbookViewId="0">
      <selection activeCell="H8" sqref="H8"/>
    </sheetView>
  </sheetViews>
  <sheetFormatPr defaultRowHeight="17" x14ac:dyDescent="0.45"/>
  <cols>
    <col min="2" max="2" width="15.75" style="1" customWidth="1"/>
    <col min="3" max="5" width="12.58203125" style="1" customWidth="1"/>
  </cols>
  <sheetData>
    <row r="3" spans="2:5" x14ac:dyDescent="0.45">
      <c r="C3" s="1" t="s">
        <v>3</v>
      </c>
      <c r="D3" s="1" t="s">
        <v>4</v>
      </c>
      <c r="E3" s="1" t="s">
        <v>2</v>
      </c>
    </row>
    <row r="4" spans="2:5" x14ac:dyDescent="0.45">
      <c r="B4" s="16" t="s">
        <v>5</v>
      </c>
      <c r="C4" s="50">
        <v>301097</v>
      </c>
      <c r="D4" s="51">
        <v>52.467148460462901</v>
      </c>
      <c r="E4" s="51">
        <v>22.396522903471901</v>
      </c>
    </row>
    <row r="5" spans="2:5" x14ac:dyDescent="0.45">
      <c r="B5" s="16" t="s">
        <v>62</v>
      </c>
      <c r="C5" s="50">
        <v>298307</v>
      </c>
      <c r="D5" s="51">
        <v>36.738078556654699</v>
      </c>
      <c r="E5" s="51">
        <v>23.773254657374601</v>
      </c>
    </row>
    <row r="6" spans="2:5" x14ac:dyDescent="0.45">
      <c r="B6" s="16" t="s">
        <v>6</v>
      </c>
      <c r="C6" s="50">
        <v>295065</v>
      </c>
      <c r="D6" s="51">
        <v>55.291176520427697</v>
      </c>
      <c r="E6" s="51">
        <v>20.885314483302398</v>
      </c>
    </row>
    <row r="7" spans="2:5" x14ac:dyDescent="0.45">
      <c r="B7" s="16" t="s">
        <v>7</v>
      </c>
      <c r="C7" s="50">
        <v>293466</v>
      </c>
      <c r="D7" s="51">
        <v>25.638199995910899</v>
      </c>
      <c r="E7" s="51">
        <v>11.5366918930469</v>
      </c>
    </row>
    <row r="8" spans="2:5" x14ac:dyDescent="0.45">
      <c r="B8" s="16" t="s">
        <v>12</v>
      </c>
      <c r="C8" s="50">
        <v>70083</v>
      </c>
      <c r="D8" s="51">
        <v>26.647375255054701</v>
      </c>
      <c r="E8" s="51">
        <v>11.830553506546</v>
      </c>
    </row>
    <row r="9" spans="2:5" x14ac:dyDescent="0.45">
      <c r="B9" s="16" t="s">
        <v>13</v>
      </c>
      <c r="C9" s="50">
        <v>37303</v>
      </c>
      <c r="D9" s="51">
        <v>20.511915931694499</v>
      </c>
      <c r="E9" s="51">
        <v>11.2731967563116</v>
      </c>
    </row>
    <row r="10" spans="2:5" x14ac:dyDescent="0.45">
      <c r="B10" s="16" t="s">
        <v>14</v>
      </c>
      <c r="C10" s="50">
        <v>28500</v>
      </c>
      <c r="D10" s="51">
        <v>24.351684210526301</v>
      </c>
      <c r="E10" s="51">
        <v>11.1043694089512</v>
      </c>
    </row>
    <row r="11" spans="2:5" x14ac:dyDescent="0.45">
      <c r="B11" s="16" t="s">
        <v>15</v>
      </c>
      <c r="C11" s="50">
        <v>21005</v>
      </c>
      <c r="D11" s="51">
        <v>25.100690311830501</v>
      </c>
      <c r="E11" s="51">
        <v>11.8637388680017</v>
      </c>
    </row>
    <row r="12" spans="2:5" x14ac:dyDescent="0.45">
      <c r="B12" s="16" t="s">
        <v>16</v>
      </c>
      <c r="C12" s="50">
        <v>11042</v>
      </c>
      <c r="D12" s="51">
        <v>21.4126064118819</v>
      </c>
      <c r="E12" s="51">
        <v>12.6235899454402</v>
      </c>
    </row>
    <row r="13" spans="2:5" x14ac:dyDescent="0.45">
      <c r="B13" s="16" t="s">
        <v>17</v>
      </c>
      <c r="C13" s="50">
        <v>18678</v>
      </c>
      <c r="D13" s="51">
        <v>21.008459149801901</v>
      </c>
      <c r="E13" s="51">
        <v>10.742936240082599</v>
      </c>
    </row>
    <row r="14" spans="2:5" x14ac:dyDescent="0.45">
      <c r="B14" s="16" t="s">
        <v>61</v>
      </c>
      <c r="C14" s="50">
        <v>12037</v>
      </c>
      <c r="D14" s="51">
        <v>19.764808507103002</v>
      </c>
      <c r="E14" s="51">
        <v>9.7195071316441499</v>
      </c>
    </row>
    <row r="15" spans="2:5" x14ac:dyDescent="0.45">
      <c r="B15" s="16" t="s">
        <v>18</v>
      </c>
      <c r="C15" s="50">
        <v>33967</v>
      </c>
      <c r="D15" s="51">
        <v>23.887184620366799</v>
      </c>
      <c r="E15" s="51">
        <v>11.9536002623871</v>
      </c>
    </row>
    <row r="16" spans="2:5" x14ac:dyDescent="0.45">
      <c r="B16" s="16" t="s">
        <v>19</v>
      </c>
      <c r="C16" s="50">
        <v>55399</v>
      </c>
      <c r="D16" s="51">
        <v>26.439520568963299</v>
      </c>
      <c r="E16" s="51">
        <v>12.0577165715773</v>
      </c>
    </row>
    <row r="17" spans="2:5" x14ac:dyDescent="0.45">
      <c r="B17" s="16" t="s">
        <v>60</v>
      </c>
      <c r="C17" s="50">
        <v>48344</v>
      </c>
      <c r="D17" s="51">
        <v>22.523498262452399</v>
      </c>
      <c r="E17" s="51">
        <v>11.836831000573801</v>
      </c>
    </row>
    <row r="18" spans="2:5" x14ac:dyDescent="0.45">
      <c r="B18" s="16" t="s">
        <v>20</v>
      </c>
      <c r="C18" s="50">
        <v>64817</v>
      </c>
      <c r="D18" s="51">
        <v>22.235246925960698</v>
      </c>
      <c r="E18" s="51">
        <v>10.4628177307982</v>
      </c>
    </row>
    <row r="19" spans="2:5" x14ac:dyDescent="0.45">
      <c r="B19" s="16" t="s">
        <v>21</v>
      </c>
      <c r="C19" s="50">
        <v>99547</v>
      </c>
      <c r="D19" s="51">
        <v>24.149115493184102</v>
      </c>
      <c r="E19" s="51">
        <v>11.040531786832901</v>
      </c>
    </row>
    <row r="20" spans="2:5" x14ac:dyDescent="0.45">
      <c r="B20" s="16" t="s">
        <v>22</v>
      </c>
      <c r="C20" s="50">
        <v>75590</v>
      </c>
      <c r="D20" s="51">
        <v>21.362958063235801</v>
      </c>
      <c r="E20" s="51">
        <v>11.6728308162223</v>
      </c>
    </row>
    <row r="21" spans="2:5" x14ac:dyDescent="0.45">
      <c r="B21" s="16" t="s">
        <v>73</v>
      </c>
      <c r="C21" s="50">
        <v>3276</v>
      </c>
      <c r="D21" s="51">
        <v>19.398656898656899</v>
      </c>
      <c r="E21" s="51">
        <v>8.4695344659015799</v>
      </c>
    </row>
    <row r="22" spans="2:5" x14ac:dyDescent="0.45">
      <c r="B22" s="16" t="s">
        <v>74</v>
      </c>
      <c r="C22" s="50">
        <v>394</v>
      </c>
      <c r="D22" s="51">
        <v>13.7664974619289</v>
      </c>
      <c r="E22" s="51">
        <v>7.4643854515140902</v>
      </c>
    </row>
    <row r="23" spans="2:5" x14ac:dyDescent="0.45">
      <c r="B23" s="16" t="s">
        <v>75</v>
      </c>
      <c r="C23" s="50">
        <v>705</v>
      </c>
      <c r="D23" s="51">
        <v>18.331914893617</v>
      </c>
      <c r="E23" s="51">
        <v>9.1854287873207703</v>
      </c>
    </row>
    <row r="24" spans="2:5" x14ac:dyDescent="0.45">
      <c r="B24" s="16" t="s">
        <v>76</v>
      </c>
      <c r="C24" s="50">
        <v>1569</v>
      </c>
      <c r="D24" s="51">
        <v>18.1931166347992</v>
      </c>
      <c r="E24" s="51">
        <v>10.436810549305701</v>
      </c>
    </row>
    <row r="25" spans="2:5" x14ac:dyDescent="0.45">
      <c r="B25" s="16" t="s">
        <v>77</v>
      </c>
      <c r="C25" s="50">
        <v>89</v>
      </c>
      <c r="D25" s="51">
        <v>10.4157303370786</v>
      </c>
      <c r="E25" s="51">
        <v>5.7255763436188403</v>
      </c>
    </row>
    <row r="26" spans="2:5" x14ac:dyDescent="0.45">
      <c r="B26" s="16" t="s">
        <v>78</v>
      </c>
      <c r="C26" s="50">
        <v>697</v>
      </c>
      <c r="D26" s="51">
        <v>21.0559540889526</v>
      </c>
      <c r="E26" s="51">
        <v>9.56986076145248</v>
      </c>
    </row>
    <row r="27" spans="2:5" x14ac:dyDescent="0.45">
      <c r="B27" s="16" t="s">
        <v>90</v>
      </c>
      <c r="C27" s="50">
        <v>365</v>
      </c>
      <c r="D27" s="51">
        <v>32.117808219178002</v>
      </c>
      <c r="E27" s="51">
        <v>12.346363698108</v>
      </c>
    </row>
    <row r="28" spans="2:5" x14ac:dyDescent="0.45">
      <c r="B28" s="45" t="s">
        <v>91</v>
      </c>
      <c r="C28" s="50">
        <v>442</v>
      </c>
      <c r="D28" s="51">
        <v>34.027149321266897</v>
      </c>
      <c r="E28" s="51">
        <v>9.4356206538043494</v>
      </c>
    </row>
    <row r="29" spans="2:5" x14ac:dyDescent="0.45">
      <c r="B29" s="45" t="s">
        <v>92</v>
      </c>
      <c r="C29" s="50">
        <v>466</v>
      </c>
      <c r="D29" s="51">
        <v>34.345493562231702</v>
      </c>
      <c r="E29" s="51">
        <v>10.9743532014361</v>
      </c>
    </row>
    <row r="30" spans="2:5" x14ac:dyDescent="0.45">
      <c r="B30" s="45" t="s">
        <v>94</v>
      </c>
      <c r="C30" s="50">
        <v>1133</v>
      </c>
      <c r="D30" s="51">
        <v>32.5216240070609</v>
      </c>
      <c r="E30" s="51">
        <v>10.858583883939099</v>
      </c>
    </row>
    <row r="31" spans="2:5" x14ac:dyDescent="0.45">
      <c r="B31" s="45" t="s">
        <v>93</v>
      </c>
      <c r="C31" s="50">
        <v>846</v>
      </c>
      <c r="D31" s="51">
        <v>28.560283687943201</v>
      </c>
      <c r="E31" s="51">
        <v>13.3669976406165</v>
      </c>
    </row>
    <row r="32" spans="2:5" x14ac:dyDescent="0.45">
      <c r="B32" s="45" t="s">
        <v>95</v>
      </c>
      <c r="C32" s="50">
        <v>230</v>
      </c>
      <c r="D32" s="51">
        <v>27.352173913043401</v>
      </c>
      <c r="E32" s="51">
        <v>13.944684808361</v>
      </c>
    </row>
    <row r="33" spans="2:5" x14ac:dyDescent="0.45">
      <c r="B33" s="45" t="s">
        <v>96</v>
      </c>
      <c r="C33" s="50">
        <v>122</v>
      </c>
      <c r="D33" s="51">
        <v>28.475409836065499</v>
      </c>
      <c r="E33" s="51">
        <v>11.3283433271133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표점증발병합_및_복사영역선택">
                <anchor moveWithCells="1" sizeWithCells="1">
                  <from>
                    <xdr:col>6</xdr:col>
                    <xdr:colOff>323850</xdr:colOff>
                    <xdr:row>4</xdr:row>
                    <xdr:rowOff>107950</xdr:rowOff>
                  </from>
                  <to>
                    <xdr:col>9</xdr:col>
                    <xdr:colOff>88900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2"/>
  <dimension ref="A3:V273"/>
  <sheetViews>
    <sheetView topLeftCell="A214" workbookViewId="0">
      <selection activeCell="C4" sqref="C4:D273"/>
    </sheetView>
  </sheetViews>
  <sheetFormatPr defaultRowHeight="17" x14ac:dyDescent="0.45"/>
  <cols>
    <col min="2" max="2" width="12.58203125" customWidth="1"/>
    <col min="3" max="3" width="18" customWidth="1"/>
    <col min="4" max="4" width="15.6640625" customWidth="1"/>
    <col min="5" max="22" width="12.58203125" customWidth="1"/>
  </cols>
  <sheetData>
    <row r="3" spans="1:22" x14ac:dyDescent="0.45">
      <c r="C3" s="173" t="s">
        <v>58</v>
      </c>
      <c r="D3" s="173"/>
      <c r="E3" s="1"/>
      <c r="F3" s="1"/>
      <c r="G3" s="1"/>
      <c r="H3" s="1"/>
      <c r="I3" s="1"/>
      <c r="J3" s="1"/>
      <c r="K3" s="1"/>
      <c r="L3" s="1"/>
      <c r="M3" s="1"/>
      <c r="N3" s="1"/>
      <c r="O3" s="1" t="s">
        <v>26</v>
      </c>
      <c r="P3" s="1" t="s">
        <v>20</v>
      </c>
      <c r="Q3" s="1" t="s">
        <v>21</v>
      </c>
      <c r="R3" s="1" t="s">
        <v>22</v>
      </c>
      <c r="S3" s="1" t="s">
        <v>27</v>
      </c>
      <c r="T3" s="1" t="s">
        <v>23</v>
      </c>
      <c r="U3" s="1" t="s">
        <v>24</v>
      </c>
      <c r="V3" s="1" t="s">
        <v>25</v>
      </c>
    </row>
    <row r="4" spans="1:22" x14ac:dyDescent="0.45">
      <c r="A4" t="s">
        <v>46</v>
      </c>
      <c r="B4" s="1" t="s">
        <v>28</v>
      </c>
      <c r="C4" s="52">
        <v>134</v>
      </c>
      <c r="D4" s="50">
        <v>12864</v>
      </c>
    </row>
    <row r="5" spans="1:22" x14ac:dyDescent="0.45">
      <c r="B5" s="1" t="s">
        <v>29</v>
      </c>
      <c r="C5" s="52">
        <v>126</v>
      </c>
      <c r="D5" s="50">
        <v>21318</v>
      </c>
    </row>
    <row r="6" spans="1:22" x14ac:dyDescent="0.45">
      <c r="B6" s="1" t="s">
        <v>30</v>
      </c>
      <c r="C6" s="52">
        <v>117</v>
      </c>
      <c r="D6" s="50">
        <v>40120</v>
      </c>
    </row>
    <row r="7" spans="1:22" x14ac:dyDescent="0.45">
      <c r="B7" s="1" t="s">
        <v>31</v>
      </c>
      <c r="C7" s="52">
        <v>107</v>
      </c>
      <c r="D7" s="50">
        <v>47326</v>
      </c>
    </row>
    <row r="8" spans="1:22" x14ac:dyDescent="0.45">
      <c r="B8" s="1" t="s">
        <v>32</v>
      </c>
      <c r="C8" s="52">
        <v>94</v>
      </c>
      <c r="D8" s="50">
        <v>60123</v>
      </c>
    </row>
    <row r="9" spans="1:22" x14ac:dyDescent="0.45">
      <c r="B9" s="1" t="s">
        <v>33</v>
      </c>
      <c r="C9" s="52">
        <v>82</v>
      </c>
      <c r="D9" s="50">
        <v>50648</v>
      </c>
    </row>
    <row r="10" spans="1:22" x14ac:dyDescent="0.45">
      <c r="B10" s="1" t="s">
        <v>34</v>
      </c>
      <c r="C10" s="52">
        <v>75</v>
      </c>
      <c r="D10" s="50">
        <v>40888</v>
      </c>
    </row>
    <row r="11" spans="1:22" x14ac:dyDescent="0.45">
      <c r="B11" s="1" t="s">
        <v>35</v>
      </c>
      <c r="C11" s="52">
        <v>68</v>
      </c>
      <c r="D11" s="50">
        <v>16635</v>
      </c>
    </row>
    <row r="12" spans="1:22" x14ac:dyDescent="0.45">
      <c r="B12" s="1" t="s">
        <v>37</v>
      </c>
      <c r="C12" s="52">
        <v>53</v>
      </c>
      <c r="D12" s="50">
        <v>11175</v>
      </c>
    </row>
    <row r="13" spans="1:22" x14ac:dyDescent="0.45">
      <c r="A13" t="s">
        <v>64</v>
      </c>
      <c r="B13" s="1" t="s">
        <v>38</v>
      </c>
      <c r="C13" s="52">
        <v>140</v>
      </c>
      <c r="D13" s="50">
        <v>15188</v>
      </c>
    </row>
    <row r="14" spans="1:22" x14ac:dyDescent="0.45">
      <c r="B14" s="1" t="s">
        <v>39</v>
      </c>
      <c r="C14" s="52">
        <v>131</v>
      </c>
      <c r="D14" s="50">
        <v>17969</v>
      </c>
    </row>
    <row r="15" spans="1:22" x14ac:dyDescent="0.45">
      <c r="B15" s="1" t="s">
        <v>40</v>
      </c>
      <c r="C15" s="52">
        <v>117</v>
      </c>
      <c r="D15" s="50">
        <v>35708</v>
      </c>
    </row>
    <row r="16" spans="1:22" x14ac:dyDescent="0.45">
      <c r="B16" s="1" t="s">
        <v>41</v>
      </c>
      <c r="C16" s="52">
        <v>101</v>
      </c>
      <c r="D16" s="50">
        <v>53246</v>
      </c>
    </row>
    <row r="17" spans="1:4" x14ac:dyDescent="0.45">
      <c r="B17" s="1" t="s">
        <v>42</v>
      </c>
      <c r="C17" s="52">
        <v>88</v>
      </c>
      <c r="D17" s="50">
        <v>66293</v>
      </c>
    </row>
    <row r="18" spans="1:4" x14ac:dyDescent="0.45">
      <c r="B18" s="1" t="s">
        <v>43</v>
      </c>
      <c r="C18" s="52">
        <v>82</v>
      </c>
      <c r="D18" s="50">
        <v>49684</v>
      </c>
    </row>
    <row r="19" spans="1:4" x14ac:dyDescent="0.45">
      <c r="B19" s="1" t="s">
        <v>44</v>
      </c>
      <c r="C19" s="52">
        <v>79</v>
      </c>
      <c r="D19" s="50">
        <v>40403</v>
      </c>
    </row>
    <row r="20" spans="1:4" x14ac:dyDescent="0.45">
      <c r="B20" s="1" t="s">
        <v>45</v>
      </c>
      <c r="C20" s="52">
        <v>77</v>
      </c>
      <c r="D20" s="50">
        <v>10047</v>
      </c>
    </row>
    <row r="21" spans="1:4" x14ac:dyDescent="0.45">
      <c r="B21" s="1" t="s">
        <v>36</v>
      </c>
      <c r="C21" s="52">
        <v>69</v>
      </c>
      <c r="D21" s="50">
        <v>9769</v>
      </c>
    </row>
    <row r="22" spans="1:4" x14ac:dyDescent="0.45">
      <c r="A22" t="s">
        <v>65</v>
      </c>
      <c r="B22" s="1" t="s">
        <v>28</v>
      </c>
      <c r="C22" s="52">
        <v>90</v>
      </c>
      <c r="D22" s="50">
        <v>10949</v>
      </c>
    </row>
    <row r="23" spans="1:4" x14ac:dyDescent="0.45">
      <c r="B23" s="1" t="s">
        <v>29</v>
      </c>
      <c r="C23" s="52">
        <v>80</v>
      </c>
      <c r="D23" s="50">
        <v>26067</v>
      </c>
    </row>
    <row r="24" spans="1:4" x14ac:dyDescent="0.45">
      <c r="B24" s="1" t="s">
        <v>30</v>
      </c>
      <c r="C24" s="52">
        <v>70</v>
      </c>
      <c r="D24" s="50">
        <v>46080</v>
      </c>
    </row>
    <row r="25" spans="1:4" x14ac:dyDescent="0.45">
      <c r="B25" s="1" t="s">
        <v>31</v>
      </c>
      <c r="C25" s="52">
        <v>60</v>
      </c>
      <c r="D25" s="50">
        <v>53290</v>
      </c>
    </row>
    <row r="26" spans="1:4" x14ac:dyDescent="0.45">
      <c r="B26" s="1" t="s">
        <v>32</v>
      </c>
      <c r="C26" s="52">
        <v>50</v>
      </c>
      <c r="D26" s="50">
        <v>46203</v>
      </c>
    </row>
    <row r="27" spans="1:4" x14ac:dyDescent="0.45">
      <c r="B27" s="1" t="s">
        <v>33</v>
      </c>
      <c r="C27" s="52">
        <v>40</v>
      </c>
      <c r="D27" s="50">
        <v>37248</v>
      </c>
    </row>
    <row r="28" spans="1:4" x14ac:dyDescent="0.45">
      <c r="B28" s="1" t="s">
        <v>34</v>
      </c>
      <c r="C28" s="52">
        <v>30</v>
      </c>
      <c r="D28" s="50">
        <v>31274</v>
      </c>
    </row>
    <row r="29" spans="1:4" x14ac:dyDescent="0.45">
      <c r="B29" s="1" t="s">
        <v>35</v>
      </c>
      <c r="C29" s="52">
        <v>20</v>
      </c>
      <c r="D29" s="50">
        <v>33585</v>
      </c>
    </row>
    <row r="30" spans="1:4" x14ac:dyDescent="0.45">
      <c r="B30" s="1" t="s">
        <v>37</v>
      </c>
      <c r="C30" s="52">
        <v>0</v>
      </c>
      <c r="D30" s="50">
        <v>10369</v>
      </c>
    </row>
    <row r="31" spans="1:4" x14ac:dyDescent="0.45">
      <c r="A31" t="s">
        <v>66</v>
      </c>
      <c r="B31" s="1" t="s">
        <v>28</v>
      </c>
      <c r="C31" s="52">
        <v>40</v>
      </c>
      <c r="D31" s="50">
        <v>34306</v>
      </c>
    </row>
    <row r="32" spans="1:4" x14ac:dyDescent="0.45">
      <c r="B32" s="1" t="s">
        <v>29</v>
      </c>
      <c r="C32" s="52">
        <v>35</v>
      </c>
      <c r="D32" s="50">
        <v>37549</v>
      </c>
    </row>
    <row r="33" spans="1:4" x14ac:dyDescent="0.45">
      <c r="B33" s="1" t="s">
        <v>30</v>
      </c>
      <c r="C33" s="52">
        <v>30</v>
      </c>
      <c r="D33" s="50">
        <v>47520</v>
      </c>
    </row>
    <row r="34" spans="1:4" x14ac:dyDescent="0.45">
      <c r="B34" s="1" t="s">
        <v>31</v>
      </c>
      <c r="C34" s="52">
        <v>25</v>
      </c>
      <c r="D34" s="50">
        <v>45996</v>
      </c>
    </row>
    <row r="35" spans="1:4" x14ac:dyDescent="0.45">
      <c r="B35" s="1" t="s">
        <v>32</v>
      </c>
      <c r="C35" s="52">
        <v>20</v>
      </c>
      <c r="D35" s="50">
        <v>34737</v>
      </c>
    </row>
    <row r="36" spans="1:4" x14ac:dyDescent="0.45">
      <c r="B36" s="1" t="s">
        <v>33</v>
      </c>
      <c r="C36" s="52">
        <v>15</v>
      </c>
      <c r="D36" s="50">
        <v>25812</v>
      </c>
    </row>
    <row r="37" spans="1:4" x14ac:dyDescent="0.45">
      <c r="B37" s="1" t="s">
        <v>34</v>
      </c>
      <c r="C37" s="52">
        <v>10</v>
      </c>
      <c r="D37" s="50">
        <v>39765</v>
      </c>
    </row>
    <row r="38" spans="1:4" x14ac:dyDescent="0.45">
      <c r="B38" s="1" t="s">
        <v>35</v>
      </c>
      <c r="C38" s="52">
        <v>5</v>
      </c>
      <c r="D38" s="50">
        <v>23202</v>
      </c>
    </row>
    <row r="39" spans="1:4" x14ac:dyDescent="0.45">
      <c r="B39" s="1" t="s">
        <v>37</v>
      </c>
      <c r="C39" s="52">
        <v>0</v>
      </c>
      <c r="D39" s="50">
        <v>4579</v>
      </c>
    </row>
    <row r="40" spans="1:4" x14ac:dyDescent="0.45">
      <c r="A40" t="s">
        <v>47</v>
      </c>
      <c r="B40" s="1" t="s">
        <v>38</v>
      </c>
      <c r="C40" s="52">
        <v>67</v>
      </c>
      <c r="D40" s="50">
        <v>2959</v>
      </c>
    </row>
    <row r="41" spans="1:4" x14ac:dyDescent="0.45">
      <c r="B41" s="1" t="s">
        <v>39</v>
      </c>
      <c r="C41" s="52">
        <v>62</v>
      </c>
      <c r="D41" s="50">
        <v>6662</v>
      </c>
    </row>
    <row r="42" spans="1:4" x14ac:dyDescent="0.45">
      <c r="B42" s="1" t="s">
        <v>40</v>
      </c>
      <c r="C42" s="52">
        <v>58</v>
      </c>
      <c r="D42" s="50">
        <v>8776</v>
      </c>
    </row>
    <row r="43" spans="1:4" x14ac:dyDescent="0.45">
      <c r="B43" s="1" t="s">
        <v>41</v>
      </c>
      <c r="C43" s="52">
        <v>54</v>
      </c>
      <c r="D43" s="50">
        <v>10854</v>
      </c>
    </row>
    <row r="44" spans="1:4" x14ac:dyDescent="0.45">
      <c r="B44" s="1" t="s">
        <v>42</v>
      </c>
      <c r="C44" s="52">
        <v>48</v>
      </c>
      <c r="D44" s="50">
        <v>14173</v>
      </c>
    </row>
    <row r="45" spans="1:4" x14ac:dyDescent="0.45">
      <c r="B45" s="1" t="s">
        <v>43</v>
      </c>
      <c r="C45" s="52">
        <v>40</v>
      </c>
      <c r="D45" s="50">
        <v>11064</v>
      </c>
    </row>
    <row r="46" spans="1:4" x14ac:dyDescent="0.45">
      <c r="B46" s="1" t="s">
        <v>44</v>
      </c>
      <c r="C46" s="52">
        <v>36</v>
      </c>
      <c r="D46" s="50">
        <v>10817</v>
      </c>
    </row>
    <row r="47" spans="1:4" x14ac:dyDescent="0.45">
      <c r="B47" s="1" t="s">
        <v>45</v>
      </c>
      <c r="C47" s="52">
        <v>34</v>
      </c>
      <c r="D47" s="50">
        <v>2098</v>
      </c>
    </row>
    <row r="48" spans="1:4" x14ac:dyDescent="0.45">
      <c r="B48" s="1" t="s">
        <v>36</v>
      </c>
      <c r="C48" s="52">
        <v>27</v>
      </c>
      <c r="D48" s="50">
        <v>2680</v>
      </c>
    </row>
    <row r="49" spans="1:4" x14ac:dyDescent="0.45">
      <c r="A49" t="s">
        <v>48</v>
      </c>
      <c r="B49" s="1" t="s">
        <v>28</v>
      </c>
      <c r="C49" s="52">
        <v>69</v>
      </c>
      <c r="D49" s="50">
        <v>1800</v>
      </c>
    </row>
    <row r="50" spans="1:4" x14ac:dyDescent="0.45">
      <c r="B50" s="1" t="s">
        <v>29</v>
      </c>
      <c r="C50" s="52">
        <v>64</v>
      </c>
      <c r="D50" s="50">
        <v>2724</v>
      </c>
    </row>
    <row r="51" spans="1:4" x14ac:dyDescent="0.45">
      <c r="B51" s="1" t="s">
        <v>30</v>
      </c>
      <c r="C51" s="52">
        <v>58</v>
      </c>
      <c r="D51" s="50">
        <v>4994</v>
      </c>
    </row>
    <row r="52" spans="1:4" x14ac:dyDescent="0.45">
      <c r="B52" s="1" t="s">
        <v>31</v>
      </c>
      <c r="C52" s="52">
        <v>51</v>
      </c>
      <c r="D52" s="50">
        <v>6350</v>
      </c>
    </row>
    <row r="53" spans="1:4" x14ac:dyDescent="0.45">
      <c r="B53" s="1" t="s">
        <v>32</v>
      </c>
      <c r="C53" s="52">
        <v>45</v>
      </c>
      <c r="D53" s="50">
        <v>7242</v>
      </c>
    </row>
    <row r="54" spans="1:4" x14ac:dyDescent="0.45">
      <c r="B54" s="1" t="s">
        <v>33</v>
      </c>
      <c r="C54" s="52">
        <v>42</v>
      </c>
      <c r="D54" s="50">
        <v>6011</v>
      </c>
    </row>
    <row r="55" spans="1:4" x14ac:dyDescent="0.45">
      <c r="B55" s="1" t="s">
        <v>34</v>
      </c>
      <c r="C55" s="52">
        <v>38</v>
      </c>
      <c r="D55" s="50">
        <v>6332</v>
      </c>
    </row>
    <row r="56" spans="1:4" x14ac:dyDescent="0.45">
      <c r="B56" s="1" t="s">
        <v>35</v>
      </c>
      <c r="C56" s="52">
        <v>37</v>
      </c>
      <c r="D56" s="50">
        <v>418</v>
      </c>
    </row>
    <row r="57" spans="1:4" x14ac:dyDescent="0.45">
      <c r="B57" s="1" t="s">
        <v>37</v>
      </c>
      <c r="C57" s="52">
        <v>32</v>
      </c>
      <c r="D57" s="50">
        <v>1432</v>
      </c>
    </row>
    <row r="58" spans="1:4" x14ac:dyDescent="0.45">
      <c r="A58" t="s">
        <v>49</v>
      </c>
      <c r="B58" s="1" t="s">
        <v>38</v>
      </c>
      <c r="C58" s="52">
        <v>69</v>
      </c>
      <c r="D58" s="50">
        <v>1236</v>
      </c>
    </row>
    <row r="59" spans="1:4" x14ac:dyDescent="0.45">
      <c r="B59" s="1" t="s">
        <v>39</v>
      </c>
      <c r="C59" s="52">
        <v>63</v>
      </c>
      <c r="D59" s="50">
        <v>2235</v>
      </c>
    </row>
    <row r="60" spans="1:4" x14ac:dyDescent="0.45">
      <c r="B60" s="1" t="s">
        <v>40</v>
      </c>
      <c r="C60" s="52">
        <v>58</v>
      </c>
      <c r="D60" s="50">
        <v>3756</v>
      </c>
    </row>
    <row r="61" spans="1:4" x14ac:dyDescent="0.45">
      <c r="B61" s="1" t="s">
        <v>41</v>
      </c>
      <c r="C61" s="52">
        <v>52</v>
      </c>
      <c r="D61" s="50">
        <v>4731</v>
      </c>
    </row>
    <row r="62" spans="1:4" x14ac:dyDescent="0.45">
      <c r="B62" s="1" t="s">
        <v>42</v>
      </c>
      <c r="C62" s="52">
        <v>46</v>
      </c>
      <c r="D62" s="50">
        <v>5929</v>
      </c>
    </row>
    <row r="63" spans="1:4" x14ac:dyDescent="0.45">
      <c r="B63" s="1" t="s">
        <v>43</v>
      </c>
      <c r="C63" s="52">
        <v>41</v>
      </c>
      <c r="D63" s="50">
        <v>4488</v>
      </c>
    </row>
    <row r="64" spans="1:4" x14ac:dyDescent="0.45">
      <c r="B64" s="1" t="s">
        <v>44</v>
      </c>
      <c r="C64" s="52">
        <v>37</v>
      </c>
      <c r="D64" s="50">
        <v>4326</v>
      </c>
    </row>
    <row r="65" spans="1:4" x14ac:dyDescent="0.45">
      <c r="B65" s="1" t="s">
        <v>45</v>
      </c>
      <c r="C65" s="52">
        <v>35</v>
      </c>
      <c r="D65" s="50">
        <v>811</v>
      </c>
    </row>
    <row r="66" spans="1:4" x14ac:dyDescent="0.45">
      <c r="B66" s="1" t="s">
        <v>36</v>
      </c>
      <c r="C66" s="52">
        <v>28</v>
      </c>
      <c r="D66" s="50">
        <v>988</v>
      </c>
    </row>
    <row r="67" spans="1:4" x14ac:dyDescent="0.45">
      <c r="A67" t="s">
        <v>50</v>
      </c>
      <c r="B67" s="1" t="s">
        <v>28</v>
      </c>
      <c r="C67" s="52">
        <v>67</v>
      </c>
      <c r="D67" s="50">
        <v>990</v>
      </c>
    </row>
    <row r="68" spans="1:4" x14ac:dyDescent="0.45">
      <c r="B68" s="1" t="s">
        <v>29</v>
      </c>
      <c r="C68" s="52">
        <v>63</v>
      </c>
      <c r="D68" s="50">
        <v>1677</v>
      </c>
    </row>
    <row r="69" spans="1:4" x14ac:dyDescent="0.45">
      <c r="B69" s="1" t="s">
        <v>30</v>
      </c>
      <c r="C69" s="52">
        <v>58</v>
      </c>
      <c r="D69" s="50">
        <v>2951</v>
      </c>
    </row>
    <row r="70" spans="1:4" x14ac:dyDescent="0.45">
      <c r="B70" s="1" t="s">
        <v>31</v>
      </c>
      <c r="C70" s="52">
        <v>53</v>
      </c>
      <c r="D70" s="50">
        <v>3015</v>
      </c>
    </row>
    <row r="71" spans="1:4" x14ac:dyDescent="0.45">
      <c r="B71" s="1" t="s">
        <v>32</v>
      </c>
      <c r="C71" s="52">
        <v>47</v>
      </c>
      <c r="D71" s="50">
        <v>4565</v>
      </c>
    </row>
    <row r="72" spans="1:4" x14ac:dyDescent="0.45">
      <c r="B72" s="1" t="s">
        <v>33</v>
      </c>
      <c r="C72" s="52">
        <v>41</v>
      </c>
      <c r="D72" s="50">
        <v>3132</v>
      </c>
    </row>
    <row r="73" spans="1:4" x14ac:dyDescent="0.45">
      <c r="B73" s="1" t="s">
        <v>34</v>
      </c>
      <c r="C73" s="52">
        <v>37</v>
      </c>
      <c r="D73" s="50">
        <v>2694</v>
      </c>
    </row>
    <row r="74" spans="1:4" x14ac:dyDescent="0.45">
      <c r="B74" s="1" t="s">
        <v>35</v>
      </c>
      <c r="C74" s="52">
        <v>35</v>
      </c>
      <c r="D74" s="50">
        <v>1402</v>
      </c>
    </row>
    <row r="75" spans="1:4" x14ac:dyDescent="0.45">
      <c r="B75" s="1" t="s">
        <v>37</v>
      </c>
      <c r="C75" s="52">
        <v>29</v>
      </c>
      <c r="D75" s="50">
        <v>579</v>
      </c>
    </row>
    <row r="76" spans="1:4" x14ac:dyDescent="0.45">
      <c r="A76" t="s">
        <v>51</v>
      </c>
      <c r="B76" s="1" t="s">
        <v>38</v>
      </c>
      <c r="C76" s="52">
        <v>69</v>
      </c>
      <c r="D76" s="50">
        <v>661</v>
      </c>
    </row>
    <row r="77" spans="1:4" x14ac:dyDescent="0.45">
      <c r="B77" s="1" t="s">
        <v>39</v>
      </c>
      <c r="C77" s="52">
        <v>65</v>
      </c>
      <c r="D77" s="50">
        <v>649</v>
      </c>
    </row>
    <row r="78" spans="1:4" x14ac:dyDescent="0.45">
      <c r="B78" s="1" t="s">
        <v>40</v>
      </c>
      <c r="C78" s="52">
        <v>58</v>
      </c>
      <c r="D78" s="50">
        <v>1437</v>
      </c>
    </row>
    <row r="79" spans="1:4" x14ac:dyDescent="0.45">
      <c r="B79" s="1" t="s">
        <v>41</v>
      </c>
      <c r="C79" s="52">
        <v>51</v>
      </c>
      <c r="D79" s="50">
        <v>1798</v>
      </c>
    </row>
    <row r="80" spans="1:4" x14ac:dyDescent="0.45">
      <c r="B80" s="1" t="s">
        <v>42</v>
      </c>
      <c r="C80" s="52">
        <v>45</v>
      </c>
      <c r="D80" s="50">
        <v>2393</v>
      </c>
    </row>
    <row r="81" spans="1:4" x14ac:dyDescent="0.45">
      <c r="B81" s="1" t="s">
        <v>43</v>
      </c>
      <c r="C81" s="52">
        <v>42</v>
      </c>
      <c r="D81" s="50">
        <v>1864</v>
      </c>
    </row>
    <row r="82" spans="1:4" x14ac:dyDescent="0.45">
      <c r="B82" s="1" t="s">
        <v>44</v>
      </c>
      <c r="C82" s="52">
        <v>39</v>
      </c>
      <c r="D82" s="50">
        <v>1068</v>
      </c>
    </row>
    <row r="83" spans="1:4" x14ac:dyDescent="0.45">
      <c r="B83" s="1" t="s">
        <v>45</v>
      </c>
      <c r="C83" s="52">
        <v>36</v>
      </c>
      <c r="D83" s="50">
        <v>1010</v>
      </c>
    </row>
    <row r="84" spans="1:4" x14ac:dyDescent="0.45">
      <c r="B84" s="1" t="s">
        <v>36</v>
      </c>
      <c r="C84" s="52">
        <v>33</v>
      </c>
      <c r="D84" s="50">
        <v>162</v>
      </c>
    </row>
    <row r="85" spans="1:4" x14ac:dyDescent="0.45">
      <c r="A85" t="s">
        <v>50</v>
      </c>
      <c r="B85" s="1" t="s">
        <v>28</v>
      </c>
      <c r="C85" s="52">
        <v>71</v>
      </c>
      <c r="D85" s="50">
        <v>835</v>
      </c>
    </row>
    <row r="86" spans="1:4" x14ac:dyDescent="0.45">
      <c r="B86" s="1" t="s">
        <v>29</v>
      </c>
      <c r="C86" s="52">
        <v>64</v>
      </c>
      <c r="D86" s="50">
        <v>1316</v>
      </c>
    </row>
    <row r="87" spans="1:4" x14ac:dyDescent="0.45">
      <c r="B87" s="1" t="s">
        <v>30</v>
      </c>
      <c r="C87" s="52">
        <v>57</v>
      </c>
      <c r="D87" s="50">
        <v>2550</v>
      </c>
    </row>
    <row r="88" spans="1:4" x14ac:dyDescent="0.45">
      <c r="B88" s="1" t="s">
        <v>31</v>
      </c>
      <c r="C88" s="52">
        <v>51</v>
      </c>
      <c r="D88" s="50">
        <v>3172</v>
      </c>
    </row>
    <row r="89" spans="1:4" x14ac:dyDescent="0.45">
      <c r="B89" s="1" t="s">
        <v>32</v>
      </c>
      <c r="C89" s="52">
        <v>45</v>
      </c>
      <c r="D89" s="50">
        <v>3735</v>
      </c>
    </row>
    <row r="90" spans="1:4" x14ac:dyDescent="0.45">
      <c r="B90" s="1" t="s">
        <v>33</v>
      </c>
      <c r="C90" s="52">
        <v>42</v>
      </c>
      <c r="D90" s="50">
        <v>3207</v>
      </c>
    </row>
    <row r="91" spans="1:4" x14ac:dyDescent="0.45">
      <c r="B91" s="1" t="s">
        <v>34</v>
      </c>
      <c r="C91" s="52">
        <v>40</v>
      </c>
      <c r="D91" s="50">
        <v>2028</v>
      </c>
    </row>
    <row r="92" spans="1:4" x14ac:dyDescent="0.45">
      <c r="B92" s="1" t="s">
        <v>35</v>
      </c>
      <c r="C92" s="52">
        <v>37</v>
      </c>
      <c r="D92" s="50">
        <v>1156</v>
      </c>
    </row>
    <row r="93" spans="1:4" x14ac:dyDescent="0.45">
      <c r="B93" s="1" t="s">
        <v>37</v>
      </c>
      <c r="C93" s="52">
        <v>30</v>
      </c>
      <c r="D93" s="50">
        <v>679</v>
      </c>
    </row>
    <row r="94" spans="1:4" x14ac:dyDescent="0.45">
      <c r="A94" t="s">
        <v>63</v>
      </c>
      <c r="B94" s="1" t="s">
        <v>38</v>
      </c>
      <c r="C94" s="52">
        <v>71</v>
      </c>
      <c r="D94" s="50">
        <v>520</v>
      </c>
    </row>
    <row r="95" spans="1:4" x14ac:dyDescent="0.45">
      <c r="B95" s="1" t="s">
        <v>39</v>
      </c>
      <c r="C95" s="52">
        <v>64</v>
      </c>
      <c r="D95" s="50">
        <v>902</v>
      </c>
    </row>
    <row r="96" spans="1:4" x14ac:dyDescent="0.45">
      <c r="B96" s="1" t="s">
        <v>40</v>
      </c>
      <c r="C96" s="52">
        <v>57</v>
      </c>
      <c r="D96" s="50">
        <v>1425</v>
      </c>
    </row>
    <row r="97" spans="1:4" x14ac:dyDescent="0.45">
      <c r="B97" s="1" t="s">
        <v>41</v>
      </c>
      <c r="C97" s="52">
        <v>51</v>
      </c>
      <c r="D97" s="50">
        <v>2044</v>
      </c>
    </row>
    <row r="98" spans="1:4" x14ac:dyDescent="0.45">
      <c r="B98" s="1" t="s">
        <v>42</v>
      </c>
      <c r="C98" s="52">
        <v>45</v>
      </c>
      <c r="D98" s="50">
        <v>2546</v>
      </c>
    </row>
    <row r="99" spans="1:4" x14ac:dyDescent="0.45">
      <c r="B99" s="1" t="s">
        <v>43</v>
      </c>
      <c r="C99" s="52">
        <v>42</v>
      </c>
      <c r="D99" s="50">
        <v>2480</v>
      </c>
    </row>
    <row r="100" spans="1:4" x14ac:dyDescent="0.45">
      <c r="B100" s="1" t="s">
        <v>44</v>
      </c>
      <c r="C100" s="52">
        <v>40</v>
      </c>
      <c r="D100" s="50">
        <v>993</v>
      </c>
    </row>
    <row r="101" spans="1:4" x14ac:dyDescent="0.45">
      <c r="B101" s="1" t="s">
        <v>45</v>
      </c>
      <c r="C101" s="52">
        <v>36</v>
      </c>
      <c r="D101" s="50">
        <v>749</v>
      </c>
    </row>
    <row r="102" spans="1:4" x14ac:dyDescent="0.45">
      <c r="B102" s="1" t="s">
        <v>36</v>
      </c>
      <c r="C102" s="52">
        <v>30</v>
      </c>
      <c r="D102" s="50">
        <v>378</v>
      </c>
    </row>
    <row r="103" spans="1:4" x14ac:dyDescent="0.45">
      <c r="A103" t="s">
        <v>52</v>
      </c>
      <c r="B103" s="1" t="s">
        <v>28</v>
      </c>
      <c r="C103" s="52">
        <v>68</v>
      </c>
      <c r="D103" s="50">
        <v>1456</v>
      </c>
    </row>
    <row r="104" spans="1:4" x14ac:dyDescent="0.45">
      <c r="B104" s="1" t="s">
        <v>29</v>
      </c>
      <c r="C104" s="52">
        <v>63</v>
      </c>
      <c r="D104" s="50">
        <v>2938</v>
      </c>
    </row>
    <row r="105" spans="1:4" x14ac:dyDescent="0.45">
      <c r="B105" s="1" t="s">
        <v>30</v>
      </c>
      <c r="C105" s="52">
        <v>58</v>
      </c>
      <c r="D105" s="50">
        <v>4694</v>
      </c>
    </row>
    <row r="106" spans="1:4" x14ac:dyDescent="0.45">
      <c r="B106" s="1" t="s">
        <v>31</v>
      </c>
      <c r="C106" s="52">
        <v>53</v>
      </c>
      <c r="D106" s="50">
        <v>5373</v>
      </c>
    </row>
    <row r="107" spans="1:4" x14ac:dyDescent="0.45">
      <c r="B107" s="1" t="s">
        <v>32</v>
      </c>
      <c r="C107" s="52">
        <v>47</v>
      </c>
      <c r="D107" s="50">
        <v>6301</v>
      </c>
    </row>
    <row r="108" spans="1:4" x14ac:dyDescent="0.45">
      <c r="B108" s="1" t="s">
        <v>33</v>
      </c>
      <c r="C108" s="52">
        <v>41</v>
      </c>
      <c r="D108" s="50">
        <v>5510</v>
      </c>
    </row>
    <row r="109" spans="1:4" x14ac:dyDescent="0.45">
      <c r="B109" s="1" t="s">
        <v>34</v>
      </c>
      <c r="C109" s="52">
        <v>37</v>
      </c>
      <c r="D109" s="50">
        <v>4461</v>
      </c>
    </row>
    <row r="110" spans="1:4" x14ac:dyDescent="0.45">
      <c r="B110" s="1" t="s">
        <v>35</v>
      </c>
      <c r="C110" s="52">
        <v>34</v>
      </c>
      <c r="D110" s="50">
        <v>2724</v>
      </c>
    </row>
    <row r="111" spans="1:4" x14ac:dyDescent="0.45">
      <c r="B111" s="1" t="s">
        <v>37</v>
      </c>
      <c r="C111" s="52">
        <v>30</v>
      </c>
      <c r="D111" s="50">
        <v>510</v>
      </c>
    </row>
    <row r="112" spans="1:4" x14ac:dyDescent="0.45">
      <c r="A112" t="s">
        <v>53</v>
      </c>
      <c r="B112" s="1" t="s">
        <v>38</v>
      </c>
      <c r="C112" s="52">
        <v>67</v>
      </c>
      <c r="D112" s="50">
        <v>2847</v>
      </c>
    </row>
    <row r="113" spans="1:4" x14ac:dyDescent="0.45">
      <c r="B113" s="1" t="s">
        <v>39</v>
      </c>
      <c r="C113" s="52">
        <v>63</v>
      </c>
      <c r="D113" s="50">
        <v>4678</v>
      </c>
    </row>
    <row r="114" spans="1:4" x14ac:dyDescent="0.45">
      <c r="B114" s="1" t="s">
        <v>40</v>
      </c>
      <c r="C114" s="52">
        <v>59</v>
      </c>
      <c r="D114" s="50">
        <v>5904</v>
      </c>
    </row>
    <row r="115" spans="1:4" x14ac:dyDescent="0.45">
      <c r="B115" s="1" t="s">
        <v>41</v>
      </c>
      <c r="C115" s="52">
        <v>53</v>
      </c>
      <c r="D115" s="50">
        <v>9757</v>
      </c>
    </row>
    <row r="116" spans="1:4" x14ac:dyDescent="0.45">
      <c r="B116" s="1" t="s">
        <v>42</v>
      </c>
      <c r="C116" s="52">
        <v>46</v>
      </c>
      <c r="D116" s="50">
        <v>11090</v>
      </c>
    </row>
    <row r="117" spans="1:4" x14ac:dyDescent="0.45">
      <c r="B117" s="1" t="s">
        <v>43</v>
      </c>
      <c r="C117" s="52">
        <v>40</v>
      </c>
      <c r="D117" s="50">
        <v>11795</v>
      </c>
    </row>
    <row r="118" spans="1:4" x14ac:dyDescent="0.45">
      <c r="B118" s="1" t="s">
        <v>44</v>
      </c>
      <c r="C118" s="52">
        <v>38</v>
      </c>
      <c r="D118" s="50">
        <v>3676</v>
      </c>
    </row>
    <row r="119" spans="1:4" x14ac:dyDescent="0.45">
      <c r="B119" s="1" t="s">
        <v>45</v>
      </c>
      <c r="C119" s="52">
        <v>35</v>
      </c>
      <c r="D119" s="50">
        <v>3616</v>
      </c>
    </row>
    <row r="120" spans="1:4" x14ac:dyDescent="0.45">
      <c r="B120" s="1" t="s">
        <v>36</v>
      </c>
      <c r="C120" s="52">
        <v>28</v>
      </c>
      <c r="D120" s="50">
        <v>2036</v>
      </c>
    </row>
    <row r="121" spans="1:4" x14ac:dyDescent="0.45">
      <c r="A121" t="s">
        <v>54</v>
      </c>
      <c r="B121" s="1" t="s">
        <v>28</v>
      </c>
      <c r="C121" s="52">
        <v>70</v>
      </c>
      <c r="D121" s="50">
        <v>2034</v>
      </c>
    </row>
    <row r="122" spans="1:4" x14ac:dyDescent="0.45">
      <c r="B122" s="1" t="s">
        <v>29</v>
      </c>
      <c r="C122" s="52">
        <v>65</v>
      </c>
      <c r="D122" s="50">
        <v>3342</v>
      </c>
    </row>
    <row r="123" spans="1:4" x14ac:dyDescent="0.45">
      <c r="B123" s="1" t="s">
        <v>30</v>
      </c>
      <c r="C123" s="52">
        <v>58</v>
      </c>
      <c r="D123" s="50">
        <v>6138</v>
      </c>
    </row>
    <row r="124" spans="1:4" x14ac:dyDescent="0.45">
      <c r="B124" s="1" t="s">
        <v>31</v>
      </c>
      <c r="C124" s="52">
        <v>51</v>
      </c>
      <c r="D124" s="50">
        <v>8779</v>
      </c>
    </row>
    <row r="125" spans="1:4" x14ac:dyDescent="0.45">
      <c r="B125" s="1" t="s">
        <v>32</v>
      </c>
      <c r="C125" s="52">
        <v>45</v>
      </c>
      <c r="D125" s="50">
        <v>10204</v>
      </c>
    </row>
    <row r="126" spans="1:4" x14ac:dyDescent="0.45">
      <c r="B126" s="1" t="s">
        <v>33</v>
      </c>
      <c r="C126" s="52">
        <v>41</v>
      </c>
      <c r="D126" s="50">
        <v>7536</v>
      </c>
    </row>
    <row r="127" spans="1:4" x14ac:dyDescent="0.45">
      <c r="B127" s="1" t="s">
        <v>34</v>
      </c>
      <c r="C127" s="52">
        <v>38</v>
      </c>
      <c r="D127" s="50">
        <v>7677</v>
      </c>
    </row>
    <row r="128" spans="1:4" x14ac:dyDescent="0.45">
      <c r="B128" s="1" t="s">
        <v>35</v>
      </c>
      <c r="C128" s="52">
        <v>37</v>
      </c>
      <c r="D128" s="50">
        <v>789</v>
      </c>
    </row>
    <row r="129" spans="1:4" x14ac:dyDescent="0.45">
      <c r="B129" s="1" t="s">
        <v>37</v>
      </c>
      <c r="C129" s="52">
        <v>31</v>
      </c>
      <c r="D129" s="50">
        <v>1845</v>
      </c>
    </row>
    <row r="130" spans="1:4" x14ac:dyDescent="0.45">
      <c r="A130" t="s">
        <v>55</v>
      </c>
      <c r="B130" s="1" t="s">
        <v>38</v>
      </c>
      <c r="C130" s="52">
        <v>71</v>
      </c>
      <c r="D130" s="50">
        <v>3066</v>
      </c>
    </row>
    <row r="131" spans="1:4" x14ac:dyDescent="0.45">
      <c r="B131" s="1" t="s">
        <v>39</v>
      </c>
      <c r="C131" s="52">
        <v>64</v>
      </c>
      <c r="D131" s="50">
        <v>4364</v>
      </c>
    </row>
    <row r="132" spans="1:4" x14ac:dyDescent="0.45">
      <c r="B132" s="1" t="s">
        <v>40</v>
      </c>
      <c r="C132" s="52">
        <v>57</v>
      </c>
      <c r="D132" s="50">
        <v>7513</v>
      </c>
    </row>
    <row r="133" spans="1:4" x14ac:dyDescent="0.45">
      <c r="B133" s="1" t="s">
        <v>41</v>
      </c>
      <c r="C133" s="52">
        <v>51</v>
      </c>
      <c r="D133" s="50">
        <v>12428</v>
      </c>
    </row>
    <row r="134" spans="1:4" x14ac:dyDescent="0.45">
      <c r="B134" s="1" t="s">
        <v>42</v>
      </c>
      <c r="C134" s="52">
        <v>46</v>
      </c>
      <c r="D134" s="50">
        <v>12318</v>
      </c>
    </row>
    <row r="135" spans="1:4" x14ac:dyDescent="0.45">
      <c r="B135" s="1" t="s">
        <v>43</v>
      </c>
      <c r="C135" s="52">
        <v>42</v>
      </c>
      <c r="D135" s="50">
        <v>11610</v>
      </c>
    </row>
    <row r="136" spans="1:4" x14ac:dyDescent="0.45">
      <c r="B136" s="1" t="s">
        <v>44</v>
      </c>
      <c r="C136" s="52">
        <v>39</v>
      </c>
      <c r="D136" s="50">
        <v>6971</v>
      </c>
    </row>
    <row r="137" spans="1:4" x14ac:dyDescent="0.45">
      <c r="B137" s="1" t="s">
        <v>45</v>
      </c>
      <c r="C137" s="52">
        <v>36</v>
      </c>
      <c r="D137" s="50">
        <v>4182</v>
      </c>
    </row>
    <row r="138" spans="1:4" x14ac:dyDescent="0.45">
      <c r="B138" s="1" t="s">
        <v>36</v>
      </c>
      <c r="C138" s="52">
        <v>29</v>
      </c>
      <c r="D138" s="50">
        <v>2365</v>
      </c>
    </row>
    <row r="139" spans="1:4" x14ac:dyDescent="0.45">
      <c r="A139" t="s">
        <v>56</v>
      </c>
      <c r="B139" s="1" t="s">
        <v>104</v>
      </c>
      <c r="C139" s="52">
        <v>69</v>
      </c>
      <c r="D139" s="50">
        <v>5193</v>
      </c>
    </row>
    <row r="140" spans="1:4" x14ac:dyDescent="0.45">
      <c r="B140" s="1" t="s">
        <v>29</v>
      </c>
      <c r="C140" s="52">
        <v>64</v>
      </c>
      <c r="D140" s="50">
        <v>5772</v>
      </c>
    </row>
    <row r="141" spans="1:4" x14ac:dyDescent="0.45">
      <c r="B141" s="1" t="s">
        <v>30</v>
      </c>
      <c r="C141" s="52">
        <v>58</v>
      </c>
      <c r="D141" s="50">
        <v>12098</v>
      </c>
    </row>
    <row r="142" spans="1:4" x14ac:dyDescent="0.45">
      <c r="B142" s="1" t="s">
        <v>31</v>
      </c>
      <c r="C142" s="52">
        <v>52</v>
      </c>
      <c r="D142" s="50">
        <v>18187</v>
      </c>
    </row>
    <row r="143" spans="1:4" x14ac:dyDescent="0.45">
      <c r="B143" s="1" t="s">
        <v>32</v>
      </c>
      <c r="C143" s="52">
        <v>46</v>
      </c>
      <c r="D143" s="50">
        <v>20366</v>
      </c>
    </row>
    <row r="144" spans="1:4" x14ac:dyDescent="0.45">
      <c r="B144" s="1" t="s">
        <v>33</v>
      </c>
      <c r="C144" s="52">
        <v>42</v>
      </c>
      <c r="D144" s="50">
        <v>16757</v>
      </c>
    </row>
    <row r="145" spans="1:4" x14ac:dyDescent="0.45">
      <c r="B145" s="1" t="s">
        <v>34</v>
      </c>
      <c r="C145" s="52">
        <v>38</v>
      </c>
      <c r="D145" s="50">
        <v>10544</v>
      </c>
    </row>
    <row r="146" spans="1:4" x14ac:dyDescent="0.45">
      <c r="B146" s="1" t="s">
        <v>35</v>
      </c>
      <c r="C146" s="52">
        <v>35</v>
      </c>
      <c r="D146" s="50">
        <v>7672</v>
      </c>
    </row>
    <row r="147" spans="1:4" x14ac:dyDescent="0.45">
      <c r="B147" s="1" t="s">
        <v>37</v>
      </c>
      <c r="C147" s="52">
        <v>28</v>
      </c>
      <c r="D147" s="50">
        <v>2958</v>
      </c>
    </row>
    <row r="148" spans="1:4" x14ac:dyDescent="0.45">
      <c r="A148" t="s">
        <v>57</v>
      </c>
      <c r="B148" s="1" t="s">
        <v>38</v>
      </c>
      <c r="C148" s="52">
        <v>70</v>
      </c>
      <c r="D148" s="50">
        <v>3140</v>
      </c>
    </row>
    <row r="149" spans="1:4" x14ac:dyDescent="0.45">
      <c r="B149" s="1" t="s">
        <v>39</v>
      </c>
      <c r="C149" s="52">
        <v>64</v>
      </c>
      <c r="D149" s="50">
        <v>6030</v>
      </c>
    </row>
    <row r="150" spans="1:4" x14ac:dyDescent="0.45">
      <c r="B150" s="1" t="s">
        <v>40</v>
      </c>
      <c r="C150" s="52">
        <v>58</v>
      </c>
      <c r="D150" s="50">
        <v>8720</v>
      </c>
    </row>
    <row r="151" spans="1:4" x14ac:dyDescent="0.45">
      <c r="B151" s="1" t="s">
        <v>41</v>
      </c>
      <c r="C151" s="52">
        <v>51</v>
      </c>
      <c r="D151" s="50">
        <v>14695</v>
      </c>
    </row>
    <row r="152" spans="1:4" x14ac:dyDescent="0.45">
      <c r="B152" s="1" t="s">
        <v>42</v>
      </c>
      <c r="C152" s="52">
        <v>45</v>
      </c>
      <c r="D152" s="50">
        <v>15363</v>
      </c>
    </row>
    <row r="153" spans="1:4" x14ac:dyDescent="0.45">
      <c r="B153" s="1" t="s">
        <v>43</v>
      </c>
      <c r="C153" s="52">
        <v>41</v>
      </c>
      <c r="D153" s="50">
        <v>13747</v>
      </c>
    </row>
    <row r="154" spans="1:4" x14ac:dyDescent="0.45">
      <c r="B154" s="1" t="s">
        <v>44</v>
      </c>
      <c r="C154" s="52">
        <v>39</v>
      </c>
      <c r="D154" s="50">
        <v>8600</v>
      </c>
    </row>
    <row r="155" spans="1:4" x14ac:dyDescent="0.45">
      <c r="B155" s="1" t="s">
        <v>45</v>
      </c>
      <c r="C155" s="52">
        <v>37</v>
      </c>
      <c r="D155" s="50">
        <v>2667</v>
      </c>
    </row>
    <row r="156" spans="1:4" x14ac:dyDescent="0.45">
      <c r="B156" s="1" t="s">
        <v>36</v>
      </c>
      <c r="C156" s="52">
        <v>32</v>
      </c>
      <c r="D156" s="50">
        <v>2628</v>
      </c>
    </row>
    <row r="157" spans="1:4" x14ac:dyDescent="0.45">
      <c r="A157" t="s">
        <v>79</v>
      </c>
      <c r="B157" s="1" t="s">
        <v>28</v>
      </c>
      <c r="C157" s="52">
        <v>68</v>
      </c>
      <c r="D157" s="50">
        <v>135</v>
      </c>
    </row>
    <row r="158" spans="1:4" x14ac:dyDescent="0.45">
      <c r="B158" s="1" t="s">
        <v>39</v>
      </c>
      <c r="C158" s="52">
        <v>63</v>
      </c>
      <c r="D158" s="50">
        <v>263</v>
      </c>
    </row>
    <row r="159" spans="1:4" x14ac:dyDescent="0.45">
      <c r="B159" s="1" t="s">
        <v>40</v>
      </c>
      <c r="C159" s="52">
        <v>58</v>
      </c>
      <c r="D159" s="50">
        <v>394</v>
      </c>
    </row>
    <row r="160" spans="1:4" x14ac:dyDescent="0.45">
      <c r="B160" s="1" t="s">
        <v>41</v>
      </c>
      <c r="C160" s="52">
        <v>53</v>
      </c>
      <c r="D160" s="50">
        <v>535</v>
      </c>
    </row>
    <row r="161" spans="1:4" x14ac:dyDescent="0.45">
      <c r="B161" s="1" t="s">
        <v>42</v>
      </c>
      <c r="C161" s="52">
        <v>46</v>
      </c>
      <c r="D161" s="50">
        <v>664</v>
      </c>
    </row>
    <row r="162" spans="1:4" x14ac:dyDescent="0.45">
      <c r="B162" s="1" t="s">
        <v>43</v>
      </c>
      <c r="C162" s="52">
        <v>41</v>
      </c>
      <c r="D162" s="50">
        <v>608</v>
      </c>
    </row>
    <row r="163" spans="1:4" x14ac:dyDescent="0.45">
      <c r="B163" s="1" t="s">
        <v>44</v>
      </c>
      <c r="C163" s="52">
        <v>39</v>
      </c>
      <c r="D163" s="50">
        <v>318</v>
      </c>
    </row>
    <row r="164" spans="1:4" x14ac:dyDescent="0.45">
      <c r="B164" s="1" t="s">
        <v>45</v>
      </c>
      <c r="C164" s="52">
        <v>35</v>
      </c>
      <c r="D164" s="50">
        <v>244</v>
      </c>
    </row>
    <row r="165" spans="1:4" x14ac:dyDescent="0.45">
      <c r="B165" s="1" t="s">
        <v>36</v>
      </c>
      <c r="C165" s="52">
        <v>27</v>
      </c>
      <c r="D165" s="50">
        <v>115</v>
      </c>
    </row>
    <row r="166" spans="1:4" x14ac:dyDescent="0.45">
      <c r="A166" t="s">
        <v>80</v>
      </c>
      <c r="B166" s="1" t="s">
        <v>28</v>
      </c>
      <c r="C166" s="52">
        <v>70</v>
      </c>
      <c r="D166" s="50">
        <v>17</v>
      </c>
    </row>
    <row r="167" spans="1:4" x14ac:dyDescent="0.45">
      <c r="B167" s="1" t="s">
        <v>39</v>
      </c>
      <c r="C167" s="52">
        <v>62</v>
      </c>
      <c r="D167" s="50">
        <v>34</v>
      </c>
    </row>
    <row r="168" spans="1:4" x14ac:dyDescent="0.45">
      <c r="B168" s="1" t="s">
        <v>40</v>
      </c>
      <c r="C168" s="52">
        <v>56</v>
      </c>
      <c r="D168" s="50">
        <v>42</v>
      </c>
    </row>
    <row r="169" spans="1:4" x14ac:dyDescent="0.45">
      <c r="B169" s="1" t="s">
        <v>41</v>
      </c>
      <c r="C169" s="52">
        <v>49</v>
      </c>
      <c r="D169" s="50">
        <v>115</v>
      </c>
    </row>
    <row r="170" spans="1:4" x14ac:dyDescent="0.45">
      <c r="B170" s="1" t="s">
        <v>42</v>
      </c>
      <c r="C170" s="52">
        <v>45</v>
      </c>
      <c r="D170" s="50">
        <v>43</v>
      </c>
    </row>
    <row r="171" spans="1:4" x14ac:dyDescent="0.45">
      <c r="B171" s="1" t="s">
        <v>43</v>
      </c>
      <c r="C171" s="52">
        <v>44</v>
      </c>
      <c r="D171" s="50">
        <v>62</v>
      </c>
    </row>
    <row r="172" spans="1:4" x14ac:dyDescent="0.45">
      <c r="B172" s="1" t="s">
        <v>44</v>
      </c>
      <c r="C172" s="52">
        <v>41</v>
      </c>
      <c r="D172" s="50">
        <v>41</v>
      </c>
    </row>
    <row r="173" spans="1:4" x14ac:dyDescent="0.45">
      <c r="B173" s="1" t="s">
        <v>45</v>
      </c>
      <c r="C173" s="52">
        <v>37</v>
      </c>
      <c r="D173" s="50">
        <v>26</v>
      </c>
    </row>
    <row r="174" spans="1:4" x14ac:dyDescent="0.45">
      <c r="B174" s="1" t="s">
        <v>36</v>
      </c>
      <c r="C174" s="52">
        <v>32</v>
      </c>
      <c r="D174" s="50">
        <v>14</v>
      </c>
    </row>
    <row r="175" spans="1:4" x14ac:dyDescent="0.45">
      <c r="A175" t="s">
        <v>81</v>
      </c>
      <c r="B175" s="1" t="s">
        <v>28</v>
      </c>
      <c r="C175" s="52">
        <v>68</v>
      </c>
      <c r="D175" s="50">
        <v>29</v>
      </c>
    </row>
    <row r="176" spans="1:4" x14ac:dyDescent="0.45">
      <c r="B176" s="1" t="s">
        <v>39</v>
      </c>
      <c r="C176" s="52">
        <v>64</v>
      </c>
      <c r="D176" s="50">
        <v>56</v>
      </c>
    </row>
    <row r="177" spans="1:4" x14ac:dyDescent="0.45">
      <c r="B177" s="1" t="s">
        <v>40</v>
      </c>
      <c r="C177" s="52">
        <v>58</v>
      </c>
      <c r="D177" s="50">
        <v>99</v>
      </c>
    </row>
    <row r="178" spans="1:4" x14ac:dyDescent="0.45">
      <c r="B178" s="1" t="s">
        <v>41</v>
      </c>
      <c r="C178" s="52">
        <v>52</v>
      </c>
      <c r="D178" s="50">
        <v>112</v>
      </c>
    </row>
    <row r="179" spans="1:4" x14ac:dyDescent="0.45">
      <c r="B179" s="1" t="s">
        <v>42</v>
      </c>
      <c r="C179" s="52">
        <v>44</v>
      </c>
      <c r="D179" s="50">
        <v>143</v>
      </c>
    </row>
    <row r="180" spans="1:4" x14ac:dyDescent="0.45">
      <c r="B180" s="1" t="s">
        <v>43</v>
      </c>
      <c r="C180" s="52">
        <v>42</v>
      </c>
      <c r="D180" s="50">
        <v>104</v>
      </c>
    </row>
    <row r="181" spans="1:4" x14ac:dyDescent="0.45">
      <c r="B181" s="1" t="s">
        <v>44</v>
      </c>
      <c r="C181" s="52">
        <v>39</v>
      </c>
      <c r="D181" s="50">
        <v>99</v>
      </c>
    </row>
    <row r="182" spans="1:4" x14ac:dyDescent="0.45">
      <c r="B182" s="1" t="s">
        <v>45</v>
      </c>
      <c r="C182" s="52">
        <v>35</v>
      </c>
      <c r="D182" s="50">
        <v>47</v>
      </c>
    </row>
    <row r="183" spans="1:4" x14ac:dyDescent="0.45">
      <c r="B183" s="1" t="s">
        <v>36</v>
      </c>
      <c r="C183" s="52">
        <v>30</v>
      </c>
      <c r="D183" s="50">
        <v>16</v>
      </c>
    </row>
    <row r="184" spans="1:4" x14ac:dyDescent="0.45">
      <c r="A184" t="s">
        <v>82</v>
      </c>
      <c r="B184" s="1" t="s">
        <v>28</v>
      </c>
      <c r="C184" s="52">
        <v>71</v>
      </c>
      <c r="D184" s="50">
        <v>67</v>
      </c>
    </row>
    <row r="185" spans="1:4" x14ac:dyDescent="0.45">
      <c r="B185" s="1" t="s">
        <v>39</v>
      </c>
      <c r="C185" s="52">
        <v>64</v>
      </c>
      <c r="D185" s="50">
        <v>109</v>
      </c>
    </row>
    <row r="186" spans="1:4" x14ac:dyDescent="0.45">
      <c r="B186" s="1" t="s">
        <v>40</v>
      </c>
      <c r="C186" s="52">
        <v>57</v>
      </c>
      <c r="D186" s="50">
        <v>223</v>
      </c>
    </row>
    <row r="187" spans="1:4" x14ac:dyDescent="0.45">
      <c r="B187" s="1" t="s">
        <v>41</v>
      </c>
      <c r="C187" s="52">
        <v>51</v>
      </c>
      <c r="D187" s="50">
        <v>242</v>
      </c>
    </row>
    <row r="188" spans="1:4" x14ac:dyDescent="0.45">
      <c r="B188" s="1" t="s">
        <v>42</v>
      </c>
      <c r="C188" s="52">
        <v>45</v>
      </c>
      <c r="D188" s="50">
        <v>338</v>
      </c>
    </row>
    <row r="189" spans="1:4" x14ac:dyDescent="0.45">
      <c r="B189" s="1" t="s">
        <v>43</v>
      </c>
      <c r="C189" s="52">
        <v>42</v>
      </c>
      <c r="D189" s="50">
        <v>245</v>
      </c>
    </row>
    <row r="190" spans="1:4" x14ac:dyDescent="0.45">
      <c r="B190" s="1" t="s">
        <v>44</v>
      </c>
      <c r="C190" s="52">
        <v>39</v>
      </c>
      <c r="D190" s="50">
        <v>248</v>
      </c>
    </row>
    <row r="191" spans="1:4" x14ac:dyDescent="0.45">
      <c r="B191" s="1" t="s">
        <v>45</v>
      </c>
      <c r="C191" s="52">
        <v>37</v>
      </c>
      <c r="D191" s="50">
        <v>52</v>
      </c>
    </row>
    <row r="192" spans="1:4" x14ac:dyDescent="0.45">
      <c r="B192" s="1" t="s">
        <v>36</v>
      </c>
      <c r="C192" s="52">
        <v>33</v>
      </c>
      <c r="D192" s="50">
        <v>45</v>
      </c>
    </row>
    <row r="193" spans="1:4" x14ac:dyDescent="0.45">
      <c r="A193" t="s">
        <v>83</v>
      </c>
      <c r="B193" s="1" t="s">
        <v>28</v>
      </c>
      <c r="C193" s="52">
        <v>74</v>
      </c>
      <c r="D193" s="50">
        <v>4</v>
      </c>
    </row>
    <row r="194" spans="1:4" x14ac:dyDescent="0.45">
      <c r="B194" s="1" t="s">
        <v>39</v>
      </c>
      <c r="C194" s="52">
        <v>63</v>
      </c>
      <c r="D194" s="50">
        <v>6</v>
      </c>
    </row>
    <row r="195" spans="1:4" x14ac:dyDescent="0.45">
      <c r="B195" s="1" t="s">
        <v>40</v>
      </c>
      <c r="C195" s="52">
        <v>56</v>
      </c>
      <c r="D195" s="50">
        <v>14</v>
      </c>
    </row>
    <row r="196" spans="1:4" x14ac:dyDescent="0.45">
      <c r="B196" s="1" t="s">
        <v>41</v>
      </c>
      <c r="C196" s="52">
        <v>49</v>
      </c>
      <c r="D196" s="50">
        <v>15</v>
      </c>
    </row>
    <row r="197" spans="1:4" x14ac:dyDescent="0.45">
      <c r="B197" s="1" t="s">
        <v>42</v>
      </c>
      <c r="C197" s="52">
        <v>44</v>
      </c>
      <c r="D197" s="50">
        <v>37</v>
      </c>
    </row>
    <row r="198" spans="1:4" x14ac:dyDescent="0.45">
      <c r="B198" s="1" t="s">
        <v>43</v>
      </c>
      <c r="C198" s="52" t="s">
        <v>114</v>
      </c>
      <c r="D198" s="50">
        <v>0</v>
      </c>
    </row>
    <row r="199" spans="1:4" x14ac:dyDescent="0.45">
      <c r="B199" s="1" t="s">
        <v>44</v>
      </c>
      <c r="C199" s="52">
        <v>41</v>
      </c>
      <c r="D199" s="50">
        <v>5</v>
      </c>
    </row>
    <row r="200" spans="1:4" x14ac:dyDescent="0.45">
      <c r="B200" s="1" t="s">
        <v>45</v>
      </c>
      <c r="C200" s="52">
        <v>32</v>
      </c>
      <c r="D200" s="50">
        <v>8</v>
      </c>
    </row>
    <row r="201" spans="1:4" x14ac:dyDescent="0.45">
      <c r="B201" s="1" t="s">
        <v>36</v>
      </c>
      <c r="C201" s="52" t="s">
        <v>114</v>
      </c>
      <c r="D201" s="50">
        <v>0</v>
      </c>
    </row>
    <row r="202" spans="1:4" x14ac:dyDescent="0.45">
      <c r="A202" t="s">
        <v>84</v>
      </c>
      <c r="B202" s="1" t="s">
        <v>28</v>
      </c>
      <c r="C202" s="52">
        <v>67</v>
      </c>
      <c r="D202" s="50">
        <v>29</v>
      </c>
    </row>
    <row r="203" spans="1:4" x14ac:dyDescent="0.45">
      <c r="B203" s="1" t="s">
        <v>39</v>
      </c>
      <c r="C203" s="52">
        <v>62</v>
      </c>
      <c r="D203" s="50">
        <v>55</v>
      </c>
    </row>
    <row r="204" spans="1:4" x14ac:dyDescent="0.45">
      <c r="B204" s="1" t="s">
        <v>40</v>
      </c>
      <c r="C204" s="52">
        <v>58</v>
      </c>
      <c r="D204" s="50">
        <v>94</v>
      </c>
    </row>
    <row r="205" spans="1:4" x14ac:dyDescent="0.45">
      <c r="B205" s="1" t="s">
        <v>41</v>
      </c>
      <c r="C205" s="52">
        <v>54</v>
      </c>
      <c r="D205" s="50">
        <v>101</v>
      </c>
    </row>
    <row r="206" spans="1:4" x14ac:dyDescent="0.45">
      <c r="B206" s="1" t="s">
        <v>42</v>
      </c>
      <c r="C206" s="52">
        <v>47</v>
      </c>
      <c r="D206" s="50">
        <v>152</v>
      </c>
    </row>
    <row r="207" spans="1:4" x14ac:dyDescent="0.45">
      <c r="B207" s="1" t="s">
        <v>43</v>
      </c>
      <c r="C207" s="52">
        <v>42</v>
      </c>
      <c r="D207" s="50">
        <v>108</v>
      </c>
    </row>
    <row r="208" spans="1:4" x14ac:dyDescent="0.45">
      <c r="B208" s="1" t="s">
        <v>44</v>
      </c>
      <c r="C208" s="52">
        <v>37</v>
      </c>
      <c r="D208" s="50">
        <v>95</v>
      </c>
    </row>
    <row r="209" spans="1:4" x14ac:dyDescent="0.45">
      <c r="B209" s="1" t="s">
        <v>45</v>
      </c>
      <c r="C209" s="52">
        <v>33</v>
      </c>
      <c r="D209" s="50">
        <v>42</v>
      </c>
    </row>
    <row r="210" spans="1:4" x14ac:dyDescent="0.45">
      <c r="B210" s="1" t="s">
        <v>36</v>
      </c>
      <c r="C210" s="52">
        <v>28</v>
      </c>
      <c r="D210" s="50">
        <v>21</v>
      </c>
    </row>
    <row r="211" spans="1:4" x14ac:dyDescent="0.45">
      <c r="A211" t="s">
        <v>97</v>
      </c>
      <c r="B211" s="1" t="s">
        <v>28</v>
      </c>
      <c r="C211" s="52">
        <v>45</v>
      </c>
      <c r="D211" s="50">
        <v>63</v>
      </c>
    </row>
    <row r="212" spans="1:4" x14ac:dyDescent="0.45">
      <c r="B212" s="1" t="s">
        <v>39</v>
      </c>
      <c r="C212" s="52">
        <v>40</v>
      </c>
      <c r="D212" s="50">
        <v>73</v>
      </c>
    </row>
    <row r="213" spans="1:4" x14ac:dyDescent="0.45">
      <c r="B213" s="1" t="s">
        <v>40</v>
      </c>
      <c r="C213" s="52">
        <v>35</v>
      </c>
      <c r="D213" s="50">
        <v>52</v>
      </c>
    </row>
    <row r="214" spans="1:4" x14ac:dyDescent="0.45">
      <c r="B214" s="1" t="s">
        <v>41</v>
      </c>
      <c r="C214" s="52">
        <v>30</v>
      </c>
      <c r="D214" s="50">
        <v>34</v>
      </c>
    </row>
    <row r="215" spans="1:4" x14ac:dyDescent="0.45">
      <c r="B215" s="1" t="s">
        <v>42</v>
      </c>
      <c r="C215" s="52">
        <v>25</v>
      </c>
      <c r="D215" s="50">
        <v>34</v>
      </c>
    </row>
    <row r="216" spans="1:4" x14ac:dyDescent="0.45">
      <c r="B216" s="1" t="s">
        <v>43</v>
      </c>
      <c r="C216" s="52">
        <v>20</v>
      </c>
      <c r="D216" s="50">
        <v>44</v>
      </c>
    </row>
    <row r="217" spans="1:4" x14ac:dyDescent="0.45">
      <c r="B217" s="1" t="s">
        <v>44</v>
      </c>
      <c r="C217" s="52">
        <v>15</v>
      </c>
      <c r="D217" s="50">
        <v>17</v>
      </c>
    </row>
    <row r="218" spans="1:4" x14ac:dyDescent="0.45">
      <c r="B218" s="1" t="s">
        <v>45</v>
      </c>
      <c r="C218" s="52">
        <v>10</v>
      </c>
      <c r="D218" s="50">
        <v>31</v>
      </c>
    </row>
    <row r="219" spans="1:4" x14ac:dyDescent="0.45">
      <c r="B219" s="1" t="s">
        <v>36</v>
      </c>
      <c r="C219" s="52">
        <v>0</v>
      </c>
      <c r="D219" s="50">
        <v>17</v>
      </c>
    </row>
    <row r="220" spans="1:4" x14ac:dyDescent="0.45">
      <c r="A220" t="s">
        <v>98</v>
      </c>
      <c r="B220" s="1" t="s">
        <v>28</v>
      </c>
      <c r="C220" s="52">
        <v>45</v>
      </c>
      <c r="D220" s="50">
        <v>43</v>
      </c>
    </row>
    <row r="221" spans="1:4" x14ac:dyDescent="0.45">
      <c r="B221" s="1" t="s">
        <v>39</v>
      </c>
      <c r="C221" s="52">
        <v>40</v>
      </c>
      <c r="D221" s="50">
        <v>99</v>
      </c>
    </row>
    <row r="222" spans="1:4" x14ac:dyDescent="0.45">
      <c r="B222" s="1" t="s">
        <v>40</v>
      </c>
      <c r="C222" s="52">
        <v>35</v>
      </c>
      <c r="D222" s="50">
        <v>111</v>
      </c>
    </row>
    <row r="223" spans="1:4" x14ac:dyDescent="0.45">
      <c r="B223" s="1" t="s">
        <v>41</v>
      </c>
      <c r="C223" s="52">
        <v>30</v>
      </c>
      <c r="D223" s="50">
        <v>63</v>
      </c>
    </row>
    <row r="224" spans="1:4" x14ac:dyDescent="0.45">
      <c r="B224" s="1" t="s">
        <v>42</v>
      </c>
      <c r="C224" s="52">
        <v>25</v>
      </c>
      <c r="D224" s="50">
        <v>54</v>
      </c>
    </row>
    <row r="225" spans="1:4" x14ac:dyDescent="0.45">
      <c r="B225" s="1" t="s">
        <v>43</v>
      </c>
      <c r="C225" s="52">
        <v>20</v>
      </c>
      <c r="D225" s="50">
        <v>31</v>
      </c>
    </row>
    <row r="226" spans="1:4" x14ac:dyDescent="0.45">
      <c r="B226" s="1" t="s">
        <v>44</v>
      </c>
      <c r="C226" s="52">
        <v>15</v>
      </c>
      <c r="D226" s="50">
        <v>21</v>
      </c>
    </row>
    <row r="227" spans="1:4" x14ac:dyDescent="0.45">
      <c r="B227" s="1" t="s">
        <v>45</v>
      </c>
      <c r="C227" s="52">
        <v>10</v>
      </c>
      <c r="D227" s="50">
        <v>13</v>
      </c>
    </row>
    <row r="228" spans="1:4" x14ac:dyDescent="0.45">
      <c r="B228" s="1" t="s">
        <v>36</v>
      </c>
      <c r="C228" s="52">
        <v>0</v>
      </c>
      <c r="D228" s="50">
        <v>7</v>
      </c>
    </row>
    <row r="229" spans="1:4" x14ac:dyDescent="0.45">
      <c r="A229" t="s">
        <v>99</v>
      </c>
      <c r="B229" s="1" t="s">
        <v>28</v>
      </c>
      <c r="C229" s="52">
        <v>45</v>
      </c>
      <c r="D229" s="50">
        <v>90</v>
      </c>
    </row>
    <row r="230" spans="1:4" x14ac:dyDescent="0.45">
      <c r="B230" s="1" t="s">
        <v>39</v>
      </c>
      <c r="C230" s="52">
        <v>40</v>
      </c>
      <c r="D230" s="50">
        <v>102</v>
      </c>
    </row>
    <row r="231" spans="1:4" x14ac:dyDescent="0.45">
      <c r="B231" s="1" t="s">
        <v>40</v>
      </c>
      <c r="C231" s="52">
        <v>35</v>
      </c>
      <c r="D231" s="50">
        <v>77</v>
      </c>
    </row>
    <row r="232" spans="1:4" x14ac:dyDescent="0.45">
      <c r="B232" s="1" t="s">
        <v>41</v>
      </c>
      <c r="C232" s="52">
        <v>30</v>
      </c>
      <c r="D232" s="50">
        <v>55</v>
      </c>
    </row>
    <row r="233" spans="1:4" x14ac:dyDescent="0.45">
      <c r="B233" s="1" t="s">
        <v>42</v>
      </c>
      <c r="C233" s="52">
        <v>25</v>
      </c>
      <c r="D233" s="50">
        <v>45</v>
      </c>
    </row>
    <row r="234" spans="1:4" x14ac:dyDescent="0.45">
      <c r="B234" s="1" t="s">
        <v>43</v>
      </c>
      <c r="C234" s="52">
        <v>20</v>
      </c>
      <c r="D234" s="50">
        <v>40</v>
      </c>
    </row>
    <row r="235" spans="1:4" x14ac:dyDescent="0.45">
      <c r="B235" s="1" t="s">
        <v>44</v>
      </c>
      <c r="C235" s="52">
        <v>15</v>
      </c>
      <c r="D235" s="50">
        <v>28</v>
      </c>
    </row>
    <row r="236" spans="1:4" x14ac:dyDescent="0.45">
      <c r="B236" s="1" t="s">
        <v>45</v>
      </c>
      <c r="C236" s="52">
        <v>10</v>
      </c>
      <c r="D236" s="50">
        <v>25</v>
      </c>
    </row>
    <row r="237" spans="1:4" x14ac:dyDescent="0.45">
      <c r="B237" s="1" t="s">
        <v>36</v>
      </c>
      <c r="C237" s="52">
        <v>0</v>
      </c>
      <c r="D237" s="50">
        <v>4</v>
      </c>
    </row>
    <row r="238" spans="1:4" x14ac:dyDescent="0.45">
      <c r="A238" t="s">
        <v>100</v>
      </c>
      <c r="B238" s="1" t="s">
        <v>28</v>
      </c>
      <c r="C238" s="52">
        <v>45</v>
      </c>
      <c r="D238" s="50">
        <v>133</v>
      </c>
    </row>
    <row r="239" spans="1:4" x14ac:dyDescent="0.45">
      <c r="B239" s="1" t="s">
        <v>39</v>
      </c>
      <c r="C239" s="52">
        <v>40</v>
      </c>
      <c r="D239" s="50">
        <v>240</v>
      </c>
    </row>
    <row r="240" spans="1:4" x14ac:dyDescent="0.45">
      <c r="B240" s="1" t="s">
        <v>40</v>
      </c>
      <c r="C240" s="52">
        <v>35</v>
      </c>
      <c r="D240" s="50">
        <v>186</v>
      </c>
    </row>
    <row r="241" spans="1:4" x14ac:dyDescent="0.45">
      <c r="B241" s="1" t="s">
        <v>41</v>
      </c>
      <c r="C241" s="52">
        <v>30</v>
      </c>
      <c r="D241" s="50">
        <v>177</v>
      </c>
    </row>
    <row r="242" spans="1:4" x14ac:dyDescent="0.45">
      <c r="B242" s="1" t="s">
        <v>42</v>
      </c>
      <c r="C242" s="52">
        <v>25</v>
      </c>
      <c r="D242" s="50">
        <v>127</v>
      </c>
    </row>
    <row r="243" spans="1:4" x14ac:dyDescent="0.45">
      <c r="B243" s="1" t="s">
        <v>43</v>
      </c>
      <c r="C243" s="52">
        <v>20</v>
      </c>
      <c r="D243" s="50">
        <v>99</v>
      </c>
    </row>
    <row r="244" spans="1:4" x14ac:dyDescent="0.45">
      <c r="B244" s="1" t="s">
        <v>44</v>
      </c>
      <c r="C244" s="52">
        <v>15</v>
      </c>
      <c r="D244" s="50">
        <v>78</v>
      </c>
    </row>
    <row r="245" spans="1:4" x14ac:dyDescent="0.45">
      <c r="B245" s="1" t="s">
        <v>45</v>
      </c>
      <c r="C245" s="52">
        <v>10</v>
      </c>
      <c r="D245" s="50">
        <v>69</v>
      </c>
    </row>
    <row r="246" spans="1:4" x14ac:dyDescent="0.45">
      <c r="B246" s="1" t="s">
        <v>36</v>
      </c>
      <c r="C246" s="52">
        <v>0</v>
      </c>
      <c r="D246" s="50">
        <v>24</v>
      </c>
    </row>
    <row r="247" spans="1:4" x14ac:dyDescent="0.45">
      <c r="A247" t="s">
        <v>101</v>
      </c>
      <c r="B247" s="1" t="s">
        <v>28</v>
      </c>
      <c r="C247" s="52">
        <v>45</v>
      </c>
      <c r="D247" s="50">
        <v>117</v>
      </c>
    </row>
    <row r="248" spans="1:4" x14ac:dyDescent="0.45">
      <c r="B248" s="1" t="s">
        <v>39</v>
      </c>
      <c r="C248" s="52">
        <v>40</v>
      </c>
      <c r="D248" s="50">
        <v>132</v>
      </c>
    </row>
    <row r="249" spans="1:4" x14ac:dyDescent="0.45">
      <c r="B249" s="1" t="s">
        <v>40</v>
      </c>
      <c r="C249" s="52">
        <v>35</v>
      </c>
      <c r="D249" s="50">
        <v>85</v>
      </c>
    </row>
    <row r="250" spans="1:4" x14ac:dyDescent="0.45">
      <c r="B250" s="1" t="s">
        <v>41</v>
      </c>
      <c r="C250" s="52">
        <v>30</v>
      </c>
      <c r="D250" s="50">
        <v>82</v>
      </c>
    </row>
    <row r="251" spans="1:4" x14ac:dyDescent="0.45">
      <c r="B251" s="1" t="s">
        <v>42</v>
      </c>
      <c r="C251" s="52">
        <v>25</v>
      </c>
      <c r="D251" s="50">
        <v>72</v>
      </c>
    </row>
    <row r="252" spans="1:4" x14ac:dyDescent="0.45">
      <c r="B252" s="1" t="s">
        <v>43</v>
      </c>
      <c r="C252" s="52">
        <v>20</v>
      </c>
      <c r="D252" s="50">
        <v>81</v>
      </c>
    </row>
    <row r="253" spans="1:4" x14ac:dyDescent="0.45">
      <c r="B253" s="1" t="s">
        <v>44</v>
      </c>
      <c r="C253" s="52">
        <v>15</v>
      </c>
      <c r="D253" s="50">
        <v>114</v>
      </c>
    </row>
    <row r="254" spans="1:4" x14ac:dyDescent="0.45">
      <c r="B254" s="1" t="s">
        <v>45</v>
      </c>
      <c r="C254" s="52">
        <v>10</v>
      </c>
      <c r="D254" s="50">
        <v>99</v>
      </c>
    </row>
    <row r="255" spans="1:4" x14ac:dyDescent="0.45">
      <c r="B255" s="1" t="s">
        <v>36</v>
      </c>
      <c r="C255" s="52">
        <v>0</v>
      </c>
      <c r="D255" s="50">
        <v>64</v>
      </c>
    </row>
    <row r="256" spans="1:4" x14ac:dyDescent="0.45">
      <c r="A256" t="s">
        <v>102</v>
      </c>
      <c r="B256" s="1" t="s">
        <v>28</v>
      </c>
      <c r="C256" s="52">
        <v>45</v>
      </c>
      <c r="D256" s="50">
        <v>26</v>
      </c>
    </row>
    <row r="257" spans="1:4" x14ac:dyDescent="0.45">
      <c r="B257" s="1" t="s">
        <v>39</v>
      </c>
      <c r="C257" s="52">
        <v>40</v>
      </c>
      <c r="D257" s="50">
        <v>35</v>
      </c>
    </row>
    <row r="258" spans="1:4" x14ac:dyDescent="0.45">
      <c r="B258" s="1" t="s">
        <v>40</v>
      </c>
      <c r="C258" s="52">
        <v>35</v>
      </c>
      <c r="D258" s="50">
        <v>32</v>
      </c>
    </row>
    <row r="259" spans="1:4" x14ac:dyDescent="0.45">
      <c r="B259" s="1" t="s">
        <v>41</v>
      </c>
      <c r="C259" s="52">
        <v>30</v>
      </c>
      <c r="D259" s="50">
        <v>24</v>
      </c>
    </row>
    <row r="260" spans="1:4" x14ac:dyDescent="0.45">
      <c r="B260" s="1" t="s">
        <v>42</v>
      </c>
      <c r="C260" s="52">
        <v>25</v>
      </c>
      <c r="D260" s="50">
        <v>12</v>
      </c>
    </row>
    <row r="261" spans="1:4" x14ac:dyDescent="0.45">
      <c r="B261" s="1" t="s">
        <v>43</v>
      </c>
      <c r="C261" s="52">
        <v>20</v>
      </c>
      <c r="D261" s="50">
        <v>19</v>
      </c>
    </row>
    <row r="262" spans="1:4" x14ac:dyDescent="0.45">
      <c r="B262" s="1" t="s">
        <v>44</v>
      </c>
      <c r="C262" s="52">
        <v>15</v>
      </c>
      <c r="D262" s="50">
        <v>18</v>
      </c>
    </row>
    <row r="263" spans="1:4" x14ac:dyDescent="0.45">
      <c r="B263" s="1" t="s">
        <v>45</v>
      </c>
      <c r="C263" s="52">
        <v>10</v>
      </c>
      <c r="D263" s="50">
        <v>28</v>
      </c>
    </row>
    <row r="264" spans="1:4" x14ac:dyDescent="0.45">
      <c r="B264" s="1" t="s">
        <v>36</v>
      </c>
      <c r="C264" s="52">
        <v>0</v>
      </c>
      <c r="D264" s="50">
        <v>36</v>
      </c>
    </row>
    <row r="265" spans="1:4" x14ac:dyDescent="0.45">
      <c r="A265" t="s">
        <v>103</v>
      </c>
      <c r="B265" s="1" t="s">
        <v>28</v>
      </c>
      <c r="C265" s="52">
        <v>45</v>
      </c>
      <c r="D265" s="50">
        <v>13</v>
      </c>
    </row>
    <row r="266" spans="1:4" x14ac:dyDescent="0.45">
      <c r="B266" s="1" t="s">
        <v>39</v>
      </c>
      <c r="C266" s="52">
        <v>40</v>
      </c>
      <c r="D266" s="50">
        <v>11</v>
      </c>
    </row>
    <row r="267" spans="1:4" x14ac:dyDescent="0.45">
      <c r="B267" s="1" t="s">
        <v>40</v>
      </c>
      <c r="C267" s="52">
        <v>35</v>
      </c>
      <c r="D267" s="50">
        <v>12</v>
      </c>
    </row>
    <row r="268" spans="1:4" x14ac:dyDescent="0.45">
      <c r="B268" s="1" t="s">
        <v>41</v>
      </c>
      <c r="C268" s="52">
        <v>30</v>
      </c>
      <c r="D268" s="50">
        <v>22</v>
      </c>
    </row>
    <row r="269" spans="1:4" x14ac:dyDescent="0.45">
      <c r="B269" s="1" t="s">
        <v>42</v>
      </c>
      <c r="C269" s="52">
        <v>25</v>
      </c>
      <c r="D269" s="50">
        <v>19</v>
      </c>
    </row>
    <row r="270" spans="1:4" x14ac:dyDescent="0.45">
      <c r="B270" s="1" t="s">
        <v>43</v>
      </c>
      <c r="C270" s="52">
        <v>20</v>
      </c>
      <c r="D270" s="50">
        <v>17</v>
      </c>
    </row>
    <row r="271" spans="1:4" x14ac:dyDescent="0.45">
      <c r="B271" s="1" t="s">
        <v>44</v>
      </c>
      <c r="C271" s="52">
        <v>15</v>
      </c>
      <c r="D271" s="50">
        <v>12</v>
      </c>
    </row>
    <row r="272" spans="1:4" x14ac:dyDescent="0.45">
      <c r="B272" s="1" t="s">
        <v>45</v>
      </c>
      <c r="C272" s="52">
        <v>10</v>
      </c>
      <c r="D272" s="50">
        <v>9</v>
      </c>
    </row>
    <row r="273" spans="2:4" x14ac:dyDescent="0.45">
      <c r="B273" s="1" t="s">
        <v>36</v>
      </c>
      <c r="C273" s="52">
        <v>0</v>
      </c>
      <c r="D273" s="50">
        <v>7</v>
      </c>
    </row>
  </sheetData>
  <mergeCells count="1">
    <mergeCell ref="C3:D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3"/>
  <dimension ref="A1:I102"/>
  <sheetViews>
    <sheetView workbookViewId="0">
      <selection activeCell="A5" sqref="A5:I93"/>
    </sheetView>
  </sheetViews>
  <sheetFormatPr defaultRowHeight="17" x14ac:dyDescent="0.45"/>
  <sheetData>
    <row r="1" spans="1:9" x14ac:dyDescent="0.45">
      <c r="A1" s="15"/>
    </row>
    <row r="2" spans="1:9" ht="17.5" thickBot="1" x14ac:dyDescent="0.5"/>
    <row r="3" spans="1:9" x14ac:dyDescent="0.45">
      <c r="A3" s="46" t="s">
        <v>11</v>
      </c>
      <c r="B3" s="47"/>
      <c r="C3" s="47"/>
      <c r="D3" s="48"/>
      <c r="F3" s="46" t="s">
        <v>62</v>
      </c>
      <c r="G3" s="47"/>
      <c r="H3" s="47"/>
      <c r="I3" s="48"/>
    </row>
    <row r="4" spans="1:9" x14ac:dyDescent="0.45">
      <c r="A4" s="6" t="s">
        <v>9</v>
      </c>
      <c r="B4" s="1"/>
      <c r="C4" s="1"/>
      <c r="D4" s="7" t="s">
        <v>10</v>
      </c>
      <c r="F4" s="6" t="s">
        <v>9</v>
      </c>
      <c r="G4" s="1"/>
      <c r="H4" s="1"/>
      <c r="I4" s="7" t="s">
        <v>10</v>
      </c>
    </row>
    <row r="5" spans="1:9" x14ac:dyDescent="0.45">
      <c r="A5" s="53">
        <v>142</v>
      </c>
      <c r="B5" s="54">
        <v>298</v>
      </c>
      <c r="C5" s="54">
        <v>289</v>
      </c>
      <c r="D5" s="54">
        <v>594</v>
      </c>
      <c r="E5" s="54">
        <v>594</v>
      </c>
      <c r="F5" s="53">
        <v>153</v>
      </c>
      <c r="G5" s="54">
        <v>370</v>
      </c>
      <c r="H5" s="54">
        <v>100</v>
      </c>
      <c r="I5" s="54">
        <v>476</v>
      </c>
    </row>
    <row r="6" spans="1:9" x14ac:dyDescent="0.45">
      <c r="A6" s="53">
        <v>141</v>
      </c>
      <c r="B6" s="54">
        <v>398</v>
      </c>
      <c r="C6" s="54">
        <v>418</v>
      </c>
      <c r="D6" s="54">
        <v>833</v>
      </c>
      <c r="E6" s="54">
        <v>1427</v>
      </c>
      <c r="F6" s="53">
        <v>152</v>
      </c>
      <c r="G6" s="54">
        <v>1</v>
      </c>
      <c r="H6" s="54">
        <v>1</v>
      </c>
      <c r="I6" s="54">
        <v>2</v>
      </c>
    </row>
    <row r="7" spans="1:9" x14ac:dyDescent="0.45">
      <c r="A7" s="53">
        <v>140</v>
      </c>
      <c r="B7" s="54">
        <v>315</v>
      </c>
      <c r="C7" s="54">
        <v>404</v>
      </c>
      <c r="D7" s="54">
        <v>743</v>
      </c>
      <c r="E7" s="54">
        <v>2170</v>
      </c>
      <c r="F7" s="53">
        <v>151</v>
      </c>
      <c r="G7" s="54">
        <v>60</v>
      </c>
      <c r="H7" s="54">
        <v>17</v>
      </c>
      <c r="I7" s="54">
        <v>78</v>
      </c>
    </row>
    <row r="8" spans="1:9" x14ac:dyDescent="0.45">
      <c r="A8" s="53">
        <v>139</v>
      </c>
      <c r="B8" s="54">
        <v>363</v>
      </c>
      <c r="C8" s="54">
        <v>331</v>
      </c>
      <c r="D8" s="54">
        <v>711</v>
      </c>
      <c r="E8" s="54">
        <v>2881</v>
      </c>
      <c r="F8" s="53">
        <v>150</v>
      </c>
      <c r="G8" s="54">
        <v>954</v>
      </c>
      <c r="H8" s="54">
        <v>314</v>
      </c>
      <c r="I8" s="54">
        <v>1289</v>
      </c>
    </row>
    <row r="9" spans="1:9" x14ac:dyDescent="0.45">
      <c r="A9" s="53">
        <v>138</v>
      </c>
      <c r="B9" s="54">
        <v>727</v>
      </c>
      <c r="C9" s="54">
        <v>770</v>
      </c>
      <c r="D9" s="54">
        <v>1545</v>
      </c>
      <c r="E9" s="54">
        <v>4426</v>
      </c>
      <c r="F9" s="53">
        <v>148</v>
      </c>
      <c r="G9" s="54">
        <v>8</v>
      </c>
      <c r="H9" s="54">
        <v>3</v>
      </c>
      <c r="I9" s="54">
        <v>11</v>
      </c>
    </row>
    <row r="10" spans="1:9" x14ac:dyDescent="0.45">
      <c r="A10" s="53">
        <v>137</v>
      </c>
      <c r="B10" s="54">
        <v>428</v>
      </c>
      <c r="C10" s="54">
        <v>525</v>
      </c>
      <c r="D10" s="54">
        <v>972</v>
      </c>
      <c r="E10" s="54">
        <v>5398</v>
      </c>
      <c r="F10" s="53">
        <v>147</v>
      </c>
      <c r="G10" s="54">
        <v>223</v>
      </c>
      <c r="H10" s="54">
        <v>79</v>
      </c>
      <c r="I10" s="54">
        <v>307</v>
      </c>
    </row>
    <row r="11" spans="1:9" x14ac:dyDescent="0.45">
      <c r="A11" s="53">
        <v>136</v>
      </c>
      <c r="B11" s="54">
        <v>817</v>
      </c>
      <c r="C11" s="54">
        <v>927</v>
      </c>
      <c r="D11" s="54">
        <v>1777</v>
      </c>
      <c r="E11" s="54">
        <v>7175</v>
      </c>
      <c r="F11" s="53">
        <v>146</v>
      </c>
      <c r="G11" s="54">
        <v>1817</v>
      </c>
      <c r="H11" s="54">
        <v>769</v>
      </c>
      <c r="I11" s="54">
        <v>2626</v>
      </c>
    </row>
    <row r="12" spans="1:9" x14ac:dyDescent="0.45">
      <c r="A12" s="53">
        <v>135</v>
      </c>
      <c r="B12" s="54">
        <v>731</v>
      </c>
      <c r="C12" s="54">
        <v>851</v>
      </c>
      <c r="D12" s="54">
        <v>1612</v>
      </c>
      <c r="E12" s="54">
        <v>8787</v>
      </c>
      <c r="F12" s="53">
        <v>145</v>
      </c>
      <c r="G12" s="54">
        <v>55</v>
      </c>
      <c r="H12" s="54">
        <v>14</v>
      </c>
      <c r="I12" s="54">
        <v>69</v>
      </c>
    </row>
    <row r="13" spans="1:9" x14ac:dyDescent="0.45">
      <c r="A13" s="53">
        <v>134</v>
      </c>
      <c r="B13" s="54">
        <v>1869</v>
      </c>
      <c r="C13" s="54">
        <v>2124</v>
      </c>
      <c r="D13" s="54">
        <v>4077</v>
      </c>
      <c r="E13" s="54">
        <v>12864</v>
      </c>
      <c r="F13" s="53">
        <v>144</v>
      </c>
      <c r="G13" s="54">
        <v>610</v>
      </c>
      <c r="H13" s="54">
        <v>264</v>
      </c>
      <c r="I13" s="54">
        <v>901</v>
      </c>
    </row>
    <row r="14" spans="1:9" x14ac:dyDescent="0.45">
      <c r="A14" s="53">
        <v>133</v>
      </c>
      <c r="B14" s="54">
        <v>884</v>
      </c>
      <c r="C14" s="54">
        <v>1071</v>
      </c>
      <c r="D14" s="54">
        <v>2000</v>
      </c>
      <c r="E14" s="54">
        <v>14864</v>
      </c>
      <c r="F14" s="53">
        <v>143</v>
      </c>
      <c r="G14" s="54">
        <v>2424</v>
      </c>
      <c r="H14" s="54">
        <v>1136</v>
      </c>
      <c r="I14" s="54">
        <v>3630</v>
      </c>
    </row>
    <row r="15" spans="1:9" x14ac:dyDescent="0.45">
      <c r="A15" s="53">
        <v>132</v>
      </c>
      <c r="B15" s="54">
        <v>1092</v>
      </c>
      <c r="C15" s="54">
        <v>1339</v>
      </c>
      <c r="D15" s="54">
        <v>2487</v>
      </c>
      <c r="E15" s="54">
        <v>17351</v>
      </c>
      <c r="F15" s="53">
        <v>142</v>
      </c>
      <c r="G15" s="54">
        <v>6</v>
      </c>
      <c r="H15" s="54">
        <v>3</v>
      </c>
      <c r="I15" s="54">
        <v>9</v>
      </c>
    </row>
    <row r="16" spans="1:9" x14ac:dyDescent="0.45">
      <c r="A16" s="53">
        <v>131</v>
      </c>
      <c r="B16" s="54">
        <v>1100</v>
      </c>
      <c r="C16" s="54">
        <v>1312</v>
      </c>
      <c r="D16" s="54">
        <v>2463</v>
      </c>
      <c r="E16" s="54">
        <v>19814</v>
      </c>
      <c r="F16" s="53">
        <v>141</v>
      </c>
      <c r="G16" s="54">
        <v>1238</v>
      </c>
      <c r="H16" s="54">
        <v>531</v>
      </c>
      <c r="I16" s="54">
        <v>1809</v>
      </c>
    </row>
    <row r="17" spans="1:9" x14ac:dyDescent="0.45">
      <c r="A17" s="53">
        <v>130</v>
      </c>
      <c r="B17" s="54">
        <v>1207</v>
      </c>
      <c r="C17" s="54">
        <v>1377</v>
      </c>
      <c r="D17" s="54">
        <v>2649</v>
      </c>
      <c r="E17" s="54">
        <v>22463</v>
      </c>
      <c r="F17" s="53">
        <v>140</v>
      </c>
      <c r="G17" s="54">
        <v>2537</v>
      </c>
      <c r="H17" s="54">
        <v>1370</v>
      </c>
      <c r="I17" s="54">
        <v>3981</v>
      </c>
    </row>
    <row r="18" spans="1:9" x14ac:dyDescent="0.45">
      <c r="A18" s="53">
        <v>129</v>
      </c>
      <c r="B18" s="54">
        <v>1188</v>
      </c>
      <c r="C18" s="54">
        <v>1454</v>
      </c>
      <c r="D18" s="54">
        <v>2712</v>
      </c>
      <c r="E18" s="54">
        <v>25175</v>
      </c>
      <c r="F18" s="53">
        <v>139</v>
      </c>
      <c r="G18" s="54">
        <v>33</v>
      </c>
      <c r="H18" s="54">
        <v>16</v>
      </c>
      <c r="I18" s="54">
        <v>52</v>
      </c>
    </row>
    <row r="19" spans="1:9" x14ac:dyDescent="0.45">
      <c r="A19" s="53">
        <v>128</v>
      </c>
      <c r="B19" s="54">
        <v>1238</v>
      </c>
      <c r="C19" s="54">
        <v>1513</v>
      </c>
      <c r="D19" s="54">
        <v>2819</v>
      </c>
      <c r="E19" s="54">
        <v>27994</v>
      </c>
      <c r="F19" s="53">
        <v>138</v>
      </c>
      <c r="G19" s="54">
        <v>284</v>
      </c>
      <c r="H19" s="54">
        <v>147</v>
      </c>
      <c r="I19" s="54">
        <v>442</v>
      </c>
    </row>
    <row r="20" spans="1:9" x14ac:dyDescent="0.45">
      <c r="A20" s="53">
        <v>127</v>
      </c>
      <c r="B20" s="54">
        <v>1353</v>
      </c>
      <c r="C20" s="54">
        <v>1663</v>
      </c>
      <c r="D20" s="54">
        <v>3074</v>
      </c>
      <c r="E20" s="54">
        <v>31068</v>
      </c>
      <c r="F20" s="53">
        <v>137</v>
      </c>
      <c r="G20" s="54">
        <v>1372</v>
      </c>
      <c r="H20" s="54">
        <v>799</v>
      </c>
      <c r="I20" s="54">
        <v>2219</v>
      </c>
    </row>
    <row r="21" spans="1:9" x14ac:dyDescent="0.45">
      <c r="A21" s="53">
        <v>126</v>
      </c>
      <c r="B21" s="54">
        <v>1402</v>
      </c>
      <c r="C21" s="54">
        <v>1651</v>
      </c>
      <c r="D21" s="54">
        <v>3114</v>
      </c>
      <c r="E21" s="54">
        <v>34182</v>
      </c>
      <c r="F21" s="53">
        <v>136</v>
      </c>
      <c r="G21" s="54">
        <v>2399</v>
      </c>
      <c r="H21" s="54">
        <v>1440</v>
      </c>
      <c r="I21" s="54">
        <v>3894</v>
      </c>
    </row>
    <row r="22" spans="1:9" x14ac:dyDescent="0.45">
      <c r="A22" s="53">
        <v>125</v>
      </c>
      <c r="B22" s="54">
        <v>2796</v>
      </c>
      <c r="C22" s="54">
        <v>3492</v>
      </c>
      <c r="D22" s="54">
        <v>6440</v>
      </c>
      <c r="E22" s="54">
        <v>40622</v>
      </c>
      <c r="F22" s="53">
        <v>135</v>
      </c>
      <c r="G22" s="54">
        <v>509</v>
      </c>
      <c r="H22" s="54">
        <v>291</v>
      </c>
      <c r="I22" s="54">
        <v>827</v>
      </c>
    </row>
    <row r="23" spans="1:9" x14ac:dyDescent="0.45">
      <c r="A23" s="53">
        <v>124</v>
      </c>
      <c r="B23" s="54">
        <v>1498</v>
      </c>
      <c r="C23" s="54">
        <v>1772</v>
      </c>
      <c r="D23" s="54">
        <v>3351</v>
      </c>
      <c r="E23" s="54">
        <v>43973</v>
      </c>
      <c r="F23" s="53">
        <v>134</v>
      </c>
      <c r="G23" s="54">
        <v>1642</v>
      </c>
      <c r="H23" s="54">
        <v>1048</v>
      </c>
      <c r="I23" s="54">
        <v>2750</v>
      </c>
    </row>
    <row r="24" spans="1:9" x14ac:dyDescent="0.45">
      <c r="A24" s="53">
        <v>123</v>
      </c>
      <c r="B24" s="54">
        <v>1497</v>
      </c>
      <c r="C24" s="54">
        <v>1863</v>
      </c>
      <c r="D24" s="54">
        <v>3443</v>
      </c>
      <c r="E24" s="54">
        <v>47416</v>
      </c>
      <c r="F24" s="53">
        <v>133</v>
      </c>
      <c r="G24" s="54">
        <v>1842</v>
      </c>
      <c r="H24" s="54">
        <v>1266</v>
      </c>
      <c r="I24" s="54">
        <v>3174</v>
      </c>
    </row>
    <row r="25" spans="1:9" x14ac:dyDescent="0.45">
      <c r="A25" s="53">
        <v>122</v>
      </c>
      <c r="B25" s="54">
        <v>1613</v>
      </c>
      <c r="C25" s="54">
        <v>1927</v>
      </c>
      <c r="D25" s="54">
        <v>3635</v>
      </c>
      <c r="E25" s="54">
        <v>51051</v>
      </c>
      <c r="F25" s="53">
        <v>132</v>
      </c>
      <c r="G25" s="54">
        <v>127</v>
      </c>
      <c r="H25" s="54">
        <v>98</v>
      </c>
      <c r="I25" s="54">
        <v>234</v>
      </c>
    </row>
    <row r="26" spans="1:9" x14ac:dyDescent="0.45">
      <c r="A26" s="53">
        <v>121</v>
      </c>
      <c r="B26" s="54">
        <v>1626</v>
      </c>
      <c r="C26" s="54">
        <v>1964</v>
      </c>
      <c r="D26" s="54">
        <v>3689</v>
      </c>
      <c r="E26" s="54">
        <v>54740</v>
      </c>
      <c r="F26" s="53">
        <v>131</v>
      </c>
      <c r="G26" s="54">
        <v>2505</v>
      </c>
      <c r="H26" s="54">
        <v>1786</v>
      </c>
      <c r="I26" s="54">
        <v>4377</v>
      </c>
    </row>
    <row r="27" spans="1:9" x14ac:dyDescent="0.45">
      <c r="A27" s="53">
        <v>120</v>
      </c>
      <c r="B27" s="54">
        <v>1717</v>
      </c>
      <c r="C27" s="54">
        <v>1964</v>
      </c>
      <c r="D27" s="54">
        <v>3785</v>
      </c>
      <c r="E27" s="54">
        <v>58525</v>
      </c>
      <c r="F27" s="53">
        <v>130</v>
      </c>
      <c r="G27" s="54">
        <v>1554</v>
      </c>
      <c r="H27" s="54">
        <v>1169</v>
      </c>
      <c r="I27" s="54">
        <v>2782</v>
      </c>
    </row>
    <row r="28" spans="1:9" x14ac:dyDescent="0.45">
      <c r="A28" s="53">
        <v>119</v>
      </c>
      <c r="B28" s="54">
        <v>1757</v>
      </c>
      <c r="C28" s="54">
        <v>2077</v>
      </c>
      <c r="D28" s="54">
        <v>3923</v>
      </c>
      <c r="E28" s="54">
        <v>62448</v>
      </c>
      <c r="F28" s="53">
        <v>129</v>
      </c>
      <c r="G28" s="54">
        <v>240</v>
      </c>
      <c r="H28" s="54">
        <v>174</v>
      </c>
      <c r="I28" s="54">
        <v>421</v>
      </c>
    </row>
    <row r="29" spans="1:9" x14ac:dyDescent="0.45">
      <c r="A29" s="53">
        <v>118</v>
      </c>
      <c r="B29" s="54">
        <v>1745</v>
      </c>
      <c r="C29" s="54">
        <v>2015</v>
      </c>
      <c r="D29" s="54">
        <v>3862</v>
      </c>
      <c r="E29" s="54">
        <v>66310</v>
      </c>
      <c r="F29" s="53">
        <v>128</v>
      </c>
      <c r="G29" s="54">
        <v>1018</v>
      </c>
      <c r="H29" s="54">
        <v>757</v>
      </c>
      <c r="I29" s="54">
        <v>1811</v>
      </c>
    </row>
    <row r="30" spans="1:9" x14ac:dyDescent="0.45">
      <c r="A30" s="53">
        <v>117</v>
      </c>
      <c r="B30" s="54">
        <v>3585</v>
      </c>
      <c r="C30" s="54">
        <v>4210</v>
      </c>
      <c r="D30" s="54">
        <v>7992</v>
      </c>
      <c r="E30" s="54">
        <v>74302</v>
      </c>
      <c r="F30" s="53">
        <v>127</v>
      </c>
      <c r="G30" s="54">
        <v>1894</v>
      </c>
      <c r="H30" s="54">
        <v>1513</v>
      </c>
      <c r="I30" s="54">
        <v>3475</v>
      </c>
    </row>
    <row r="31" spans="1:9" x14ac:dyDescent="0.45">
      <c r="A31" s="53">
        <v>116</v>
      </c>
      <c r="B31" s="54">
        <v>1831</v>
      </c>
      <c r="C31" s="54">
        <v>2195</v>
      </c>
      <c r="D31" s="54">
        <v>4128</v>
      </c>
      <c r="E31" s="54">
        <v>78430</v>
      </c>
      <c r="F31" s="53">
        <v>126</v>
      </c>
      <c r="G31" s="54">
        <v>1124</v>
      </c>
      <c r="H31" s="54">
        <v>953</v>
      </c>
      <c r="I31" s="54">
        <v>2137</v>
      </c>
    </row>
    <row r="32" spans="1:9" x14ac:dyDescent="0.45">
      <c r="A32" s="53">
        <v>115</v>
      </c>
      <c r="B32" s="54">
        <v>1838</v>
      </c>
      <c r="C32" s="54">
        <v>2182</v>
      </c>
      <c r="D32" s="54">
        <v>4134</v>
      </c>
      <c r="E32" s="54">
        <v>82564</v>
      </c>
      <c r="F32" s="53">
        <v>125</v>
      </c>
      <c r="G32" s="54">
        <v>1813</v>
      </c>
      <c r="H32" s="54">
        <v>1581</v>
      </c>
      <c r="I32" s="54">
        <v>3457</v>
      </c>
    </row>
    <row r="33" spans="1:9" x14ac:dyDescent="0.45">
      <c r="A33" s="53">
        <v>114</v>
      </c>
      <c r="B33" s="54">
        <v>1886</v>
      </c>
      <c r="C33" s="54">
        <v>2237</v>
      </c>
      <c r="D33" s="54">
        <v>4243</v>
      </c>
      <c r="E33" s="54">
        <v>86807</v>
      </c>
      <c r="F33" s="53">
        <v>124</v>
      </c>
      <c r="G33" s="54">
        <v>1798</v>
      </c>
      <c r="H33" s="54">
        <v>1456</v>
      </c>
      <c r="I33" s="54">
        <v>3323</v>
      </c>
    </row>
    <row r="34" spans="1:9" x14ac:dyDescent="0.45">
      <c r="A34" s="53">
        <v>113</v>
      </c>
      <c r="B34" s="54">
        <v>1923</v>
      </c>
      <c r="C34" s="54">
        <v>2236</v>
      </c>
      <c r="D34" s="54">
        <v>4267</v>
      </c>
      <c r="E34" s="54">
        <v>91074</v>
      </c>
      <c r="F34" s="53">
        <v>123</v>
      </c>
      <c r="G34" s="54">
        <v>832</v>
      </c>
      <c r="H34" s="54">
        <v>733</v>
      </c>
      <c r="I34" s="54">
        <v>1598</v>
      </c>
    </row>
    <row r="35" spans="1:9" x14ac:dyDescent="0.45">
      <c r="A35" s="53">
        <v>112</v>
      </c>
      <c r="B35" s="54">
        <v>1905</v>
      </c>
      <c r="C35" s="54">
        <v>2316</v>
      </c>
      <c r="D35" s="54">
        <v>4346</v>
      </c>
      <c r="E35" s="54">
        <v>95420</v>
      </c>
      <c r="F35" s="53">
        <v>122</v>
      </c>
      <c r="G35" s="54">
        <v>764</v>
      </c>
      <c r="H35" s="54">
        <v>679</v>
      </c>
      <c r="I35" s="54">
        <v>1478</v>
      </c>
    </row>
    <row r="36" spans="1:9" x14ac:dyDescent="0.45">
      <c r="A36" s="53">
        <v>111</v>
      </c>
      <c r="B36" s="54">
        <v>1929</v>
      </c>
      <c r="C36" s="54">
        <v>2322</v>
      </c>
      <c r="D36" s="54">
        <v>4384</v>
      </c>
      <c r="E36" s="54">
        <v>99804</v>
      </c>
      <c r="F36" s="53">
        <v>121</v>
      </c>
      <c r="G36" s="54">
        <v>1630</v>
      </c>
      <c r="H36" s="54">
        <v>1394</v>
      </c>
      <c r="I36" s="54">
        <v>3092</v>
      </c>
    </row>
    <row r="37" spans="1:9" x14ac:dyDescent="0.45">
      <c r="A37" s="53">
        <v>110</v>
      </c>
      <c r="B37" s="54">
        <v>1931</v>
      </c>
      <c r="C37" s="54">
        <v>2227</v>
      </c>
      <c r="D37" s="54">
        <v>4277</v>
      </c>
      <c r="E37" s="54">
        <v>104081</v>
      </c>
      <c r="F37" s="53">
        <v>120</v>
      </c>
      <c r="G37" s="54">
        <v>2230</v>
      </c>
      <c r="H37" s="54">
        <v>1995</v>
      </c>
      <c r="I37" s="54">
        <v>4320</v>
      </c>
    </row>
    <row r="38" spans="1:9" x14ac:dyDescent="0.45">
      <c r="A38" s="53">
        <v>109</v>
      </c>
      <c r="B38" s="54">
        <v>3922</v>
      </c>
      <c r="C38" s="54">
        <v>4665</v>
      </c>
      <c r="D38" s="54">
        <v>8824</v>
      </c>
      <c r="E38" s="54">
        <v>112905</v>
      </c>
      <c r="F38" s="53">
        <v>119</v>
      </c>
      <c r="G38" s="54">
        <v>1209</v>
      </c>
      <c r="H38" s="54">
        <v>1243</v>
      </c>
      <c r="I38" s="54">
        <v>2514</v>
      </c>
    </row>
    <row r="39" spans="1:9" x14ac:dyDescent="0.45">
      <c r="A39" s="53">
        <v>108</v>
      </c>
      <c r="B39" s="54">
        <v>1949</v>
      </c>
      <c r="C39" s="54">
        <v>2274</v>
      </c>
      <c r="D39" s="54">
        <v>4342</v>
      </c>
      <c r="E39" s="54">
        <v>117247</v>
      </c>
      <c r="F39" s="53">
        <v>118</v>
      </c>
      <c r="G39" s="54">
        <v>1587</v>
      </c>
      <c r="H39" s="54">
        <v>1594</v>
      </c>
      <c r="I39" s="54">
        <v>3253</v>
      </c>
    </row>
    <row r="40" spans="1:9" x14ac:dyDescent="0.45">
      <c r="A40" s="53">
        <v>107</v>
      </c>
      <c r="B40" s="54">
        <v>1899</v>
      </c>
      <c r="C40" s="54">
        <v>2347</v>
      </c>
      <c r="D40" s="54">
        <v>4381</v>
      </c>
      <c r="E40" s="54">
        <v>121628</v>
      </c>
      <c r="F40" s="53">
        <v>117</v>
      </c>
      <c r="G40" s="54">
        <v>1013</v>
      </c>
      <c r="H40" s="54">
        <v>988</v>
      </c>
      <c r="I40" s="54">
        <v>2047</v>
      </c>
    </row>
    <row r="41" spans="1:9" x14ac:dyDescent="0.45">
      <c r="A41" s="53">
        <v>106</v>
      </c>
      <c r="B41" s="54">
        <v>2002</v>
      </c>
      <c r="C41" s="54">
        <v>2309</v>
      </c>
      <c r="D41" s="54">
        <v>4438</v>
      </c>
      <c r="E41" s="54">
        <v>126066</v>
      </c>
      <c r="F41" s="53">
        <v>116</v>
      </c>
      <c r="G41" s="54">
        <v>979</v>
      </c>
      <c r="H41" s="54">
        <v>939</v>
      </c>
      <c r="I41" s="54">
        <v>1955</v>
      </c>
    </row>
    <row r="42" spans="1:9" x14ac:dyDescent="0.45">
      <c r="A42" s="53">
        <v>105</v>
      </c>
      <c r="B42" s="54">
        <v>1945</v>
      </c>
      <c r="C42" s="54">
        <v>2392</v>
      </c>
      <c r="D42" s="54">
        <v>4461</v>
      </c>
      <c r="E42" s="54">
        <v>130527</v>
      </c>
      <c r="F42" s="53">
        <v>115</v>
      </c>
      <c r="G42" s="54">
        <v>2959</v>
      </c>
      <c r="H42" s="54">
        <v>2960</v>
      </c>
      <c r="I42" s="54">
        <v>6069</v>
      </c>
    </row>
    <row r="43" spans="1:9" x14ac:dyDescent="0.45">
      <c r="A43" s="53">
        <v>104</v>
      </c>
      <c r="B43" s="54">
        <v>2033</v>
      </c>
      <c r="C43" s="54">
        <v>2339</v>
      </c>
      <c r="D43" s="54">
        <v>4471</v>
      </c>
      <c r="E43" s="54">
        <v>134998</v>
      </c>
      <c r="F43" s="53">
        <v>114</v>
      </c>
      <c r="G43" s="54">
        <v>943</v>
      </c>
      <c r="H43" s="54">
        <v>859</v>
      </c>
      <c r="I43" s="54">
        <v>1844</v>
      </c>
    </row>
    <row r="44" spans="1:9" x14ac:dyDescent="0.45">
      <c r="A44" s="53">
        <v>103</v>
      </c>
      <c r="B44" s="54">
        <v>2003</v>
      </c>
      <c r="C44" s="54">
        <v>2344</v>
      </c>
      <c r="D44" s="54">
        <v>4465</v>
      </c>
      <c r="E44" s="54">
        <v>139463</v>
      </c>
      <c r="F44" s="53">
        <v>113</v>
      </c>
      <c r="G44" s="54">
        <v>1301</v>
      </c>
      <c r="H44" s="54">
        <v>1396</v>
      </c>
      <c r="I44" s="54">
        <v>2760</v>
      </c>
    </row>
    <row r="45" spans="1:9" x14ac:dyDescent="0.45">
      <c r="A45" s="53">
        <v>102</v>
      </c>
      <c r="B45" s="54">
        <v>1944</v>
      </c>
      <c r="C45" s="54">
        <v>2290</v>
      </c>
      <c r="D45" s="54">
        <v>4365</v>
      </c>
      <c r="E45" s="54">
        <v>143828</v>
      </c>
      <c r="F45" s="53">
        <v>112</v>
      </c>
      <c r="G45" s="54">
        <v>1457</v>
      </c>
      <c r="H45" s="54">
        <v>1535</v>
      </c>
      <c r="I45" s="54">
        <v>3073</v>
      </c>
    </row>
    <row r="46" spans="1:9" x14ac:dyDescent="0.45">
      <c r="A46" s="53">
        <v>101</v>
      </c>
      <c r="B46" s="54">
        <v>1944</v>
      </c>
      <c r="C46" s="54">
        <v>2262</v>
      </c>
      <c r="D46" s="54">
        <v>4321</v>
      </c>
      <c r="E46" s="54">
        <v>148149</v>
      </c>
      <c r="F46" s="53">
        <v>111</v>
      </c>
      <c r="G46" s="54">
        <v>1047</v>
      </c>
      <c r="H46" s="54">
        <v>1079</v>
      </c>
      <c r="I46" s="54">
        <v>2177</v>
      </c>
    </row>
    <row r="47" spans="1:9" x14ac:dyDescent="0.45">
      <c r="A47" s="53">
        <v>100</v>
      </c>
      <c r="B47" s="54">
        <v>3905</v>
      </c>
      <c r="C47" s="54">
        <v>4472</v>
      </c>
      <c r="D47" s="54">
        <v>8632</v>
      </c>
      <c r="E47" s="54">
        <v>156781</v>
      </c>
      <c r="F47" s="53">
        <v>110</v>
      </c>
      <c r="G47" s="54">
        <v>1152</v>
      </c>
      <c r="H47" s="54">
        <v>1192</v>
      </c>
      <c r="I47" s="54">
        <v>2402</v>
      </c>
    </row>
    <row r="48" spans="1:9" x14ac:dyDescent="0.45">
      <c r="A48" s="53">
        <v>99</v>
      </c>
      <c r="B48" s="54">
        <v>1969</v>
      </c>
      <c r="C48" s="54">
        <v>2214</v>
      </c>
      <c r="D48" s="54">
        <v>4311</v>
      </c>
      <c r="E48" s="54">
        <v>161092</v>
      </c>
      <c r="F48" s="53">
        <v>109</v>
      </c>
      <c r="G48" s="54">
        <v>2762</v>
      </c>
      <c r="H48" s="54">
        <v>3044</v>
      </c>
      <c r="I48" s="54">
        <v>5923</v>
      </c>
    </row>
    <row r="49" spans="1:9" x14ac:dyDescent="0.45">
      <c r="A49" s="53">
        <v>98</v>
      </c>
      <c r="B49" s="54">
        <v>1914</v>
      </c>
      <c r="C49" s="54">
        <v>2195</v>
      </c>
      <c r="D49" s="54">
        <v>4237</v>
      </c>
      <c r="E49" s="54">
        <v>165329</v>
      </c>
      <c r="F49" s="53">
        <v>108</v>
      </c>
      <c r="G49" s="54">
        <v>1036</v>
      </c>
      <c r="H49" s="54">
        <v>1112</v>
      </c>
      <c r="I49" s="54">
        <v>2203</v>
      </c>
    </row>
    <row r="50" spans="1:9" x14ac:dyDescent="0.45">
      <c r="A50" s="53">
        <v>97</v>
      </c>
      <c r="B50" s="54">
        <v>1869</v>
      </c>
      <c r="C50" s="54">
        <v>2175</v>
      </c>
      <c r="D50" s="54">
        <v>4167</v>
      </c>
      <c r="E50" s="54">
        <v>169496</v>
      </c>
      <c r="F50" s="53">
        <v>107</v>
      </c>
      <c r="G50" s="54">
        <v>1471</v>
      </c>
      <c r="H50" s="54">
        <v>1688</v>
      </c>
      <c r="I50" s="54">
        <v>3230</v>
      </c>
    </row>
    <row r="51" spans="1:9" x14ac:dyDescent="0.45">
      <c r="A51" s="53">
        <v>96</v>
      </c>
      <c r="B51" s="54">
        <v>1888</v>
      </c>
      <c r="C51" s="54">
        <v>2119</v>
      </c>
      <c r="D51" s="54">
        <v>4125</v>
      </c>
      <c r="E51" s="54">
        <v>173621</v>
      </c>
      <c r="F51" s="53">
        <v>106</v>
      </c>
      <c r="G51" s="54">
        <v>1506</v>
      </c>
      <c r="H51" s="54">
        <v>1574</v>
      </c>
      <c r="I51" s="54">
        <v>3164</v>
      </c>
    </row>
    <row r="52" spans="1:9" x14ac:dyDescent="0.45">
      <c r="A52" s="53">
        <v>95</v>
      </c>
      <c r="B52" s="54">
        <v>1906</v>
      </c>
      <c r="C52" s="54">
        <v>2087</v>
      </c>
      <c r="D52" s="54">
        <v>4106</v>
      </c>
      <c r="E52" s="54">
        <v>177727</v>
      </c>
      <c r="F52" s="53">
        <v>105</v>
      </c>
      <c r="G52" s="54">
        <v>1049</v>
      </c>
      <c r="H52" s="54">
        <v>1206</v>
      </c>
      <c r="I52" s="54">
        <v>2299</v>
      </c>
    </row>
    <row r="53" spans="1:9" x14ac:dyDescent="0.45">
      <c r="A53" s="53">
        <v>94</v>
      </c>
      <c r="B53" s="54">
        <v>1858</v>
      </c>
      <c r="C53" s="54">
        <v>2040</v>
      </c>
      <c r="D53" s="54">
        <v>4024</v>
      </c>
      <c r="E53" s="54">
        <v>181751</v>
      </c>
      <c r="F53" s="53">
        <v>104</v>
      </c>
      <c r="G53" s="54">
        <v>3012</v>
      </c>
      <c r="H53" s="54">
        <v>3530</v>
      </c>
      <c r="I53" s="54">
        <v>6679</v>
      </c>
    </row>
    <row r="54" spans="1:9" x14ac:dyDescent="0.45">
      <c r="A54" s="53">
        <v>93</v>
      </c>
      <c r="B54" s="54">
        <v>1798</v>
      </c>
      <c r="C54" s="54">
        <v>1971</v>
      </c>
      <c r="D54" s="54">
        <v>3905</v>
      </c>
      <c r="E54" s="54">
        <v>185656</v>
      </c>
      <c r="F54" s="53">
        <v>103</v>
      </c>
      <c r="G54" s="54">
        <v>1135</v>
      </c>
      <c r="H54" s="54">
        <v>1348</v>
      </c>
      <c r="I54" s="54">
        <v>2543</v>
      </c>
    </row>
    <row r="55" spans="1:9" x14ac:dyDescent="0.45">
      <c r="A55" s="53">
        <v>92</v>
      </c>
      <c r="B55" s="54">
        <v>3663</v>
      </c>
      <c r="C55" s="54">
        <v>3844</v>
      </c>
      <c r="D55" s="54">
        <v>7761</v>
      </c>
      <c r="E55" s="54">
        <v>193417</v>
      </c>
      <c r="F55" s="53">
        <v>102</v>
      </c>
      <c r="G55" s="54">
        <v>1290</v>
      </c>
      <c r="H55" s="54">
        <v>1699</v>
      </c>
      <c r="I55" s="54">
        <v>3068</v>
      </c>
    </row>
    <row r="56" spans="1:9" x14ac:dyDescent="0.45">
      <c r="A56" s="53">
        <v>91</v>
      </c>
      <c r="B56" s="54">
        <v>1788</v>
      </c>
      <c r="C56" s="54">
        <v>1851</v>
      </c>
      <c r="D56" s="54">
        <v>3774</v>
      </c>
      <c r="E56" s="54">
        <v>197191</v>
      </c>
      <c r="F56" s="53">
        <v>101</v>
      </c>
      <c r="G56" s="54">
        <v>1738</v>
      </c>
      <c r="H56" s="54">
        <v>2017</v>
      </c>
      <c r="I56" s="54">
        <v>3857</v>
      </c>
    </row>
    <row r="57" spans="1:9" x14ac:dyDescent="0.45">
      <c r="A57" s="53">
        <v>90</v>
      </c>
      <c r="B57" s="54">
        <v>1725</v>
      </c>
      <c r="C57" s="54">
        <v>1744</v>
      </c>
      <c r="D57" s="54">
        <v>3613</v>
      </c>
      <c r="E57" s="54">
        <v>200804</v>
      </c>
      <c r="F57" s="53">
        <v>100</v>
      </c>
      <c r="G57" s="54">
        <v>1225</v>
      </c>
      <c r="H57" s="54">
        <v>1472</v>
      </c>
      <c r="I57" s="54">
        <v>2754</v>
      </c>
    </row>
    <row r="58" spans="1:9" x14ac:dyDescent="0.45">
      <c r="A58" s="53">
        <v>89</v>
      </c>
      <c r="B58" s="54">
        <v>1732</v>
      </c>
      <c r="C58" s="54">
        <v>1802</v>
      </c>
      <c r="D58" s="54">
        <v>3675</v>
      </c>
      <c r="E58" s="54">
        <v>204479</v>
      </c>
      <c r="F58" s="53">
        <v>99</v>
      </c>
      <c r="G58" s="54">
        <v>3195</v>
      </c>
      <c r="H58" s="54">
        <v>3762</v>
      </c>
      <c r="I58" s="54">
        <v>7113</v>
      </c>
    </row>
    <row r="59" spans="1:9" x14ac:dyDescent="0.45">
      <c r="A59" s="53">
        <v>88</v>
      </c>
      <c r="B59" s="54">
        <v>1773</v>
      </c>
      <c r="C59" s="54">
        <v>1693</v>
      </c>
      <c r="D59" s="54">
        <v>3616</v>
      </c>
      <c r="E59" s="54">
        <v>208095</v>
      </c>
      <c r="F59" s="53">
        <v>98</v>
      </c>
      <c r="G59" s="54">
        <v>1360</v>
      </c>
      <c r="H59" s="54">
        <v>1763</v>
      </c>
      <c r="I59" s="54">
        <v>3204</v>
      </c>
    </row>
    <row r="60" spans="1:9" x14ac:dyDescent="0.45">
      <c r="A60" s="53">
        <v>87</v>
      </c>
      <c r="B60" s="54">
        <v>1718</v>
      </c>
      <c r="C60" s="54">
        <v>1709</v>
      </c>
      <c r="D60" s="54">
        <v>3566</v>
      </c>
      <c r="E60" s="54">
        <v>211661</v>
      </c>
      <c r="F60" s="53">
        <v>97</v>
      </c>
      <c r="G60" s="54">
        <v>1412</v>
      </c>
      <c r="H60" s="54">
        <v>1780</v>
      </c>
      <c r="I60" s="54">
        <v>3275</v>
      </c>
    </row>
    <row r="61" spans="1:9" x14ac:dyDescent="0.45">
      <c r="A61" s="53">
        <v>86</v>
      </c>
      <c r="B61" s="54">
        <v>1732</v>
      </c>
      <c r="C61" s="54">
        <v>1626</v>
      </c>
      <c r="D61" s="54">
        <v>3497</v>
      </c>
      <c r="E61" s="54">
        <v>215158</v>
      </c>
      <c r="F61" s="53">
        <v>96</v>
      </c>
      <c r="G61" s="54">
        <v>1853</v>
      </c>
      <c r="H61" s="54">
        <v>2278</v>
      </c>
      <c r="I61" s="54">
        <v>4221</v>
      </c>
    </row>
    <row r="62" spans="1:9" x14ac:dyDescent="0.45">
      <c r="A62" s="53">
        <v>85</v>
      </c>
      <c r="B62" s="54">
        <v>1731</v>
      </c>
      <c r="C62" s="54">
        <v>1626</v>
      </c>
      <c r="D62" s="54">
        <v>3506</v>
      </c>
      <c r="E62" s="54">
        <v>218664</v>
      </c>
      <c r="F62" s="53">
        <v>95</v>
      </c>
      <c r="G62" s="54">
        <v>1487</v>
      </c>
      <c r="H62" s="54">
        <v>1947</v>
      </c>
      <c r="I62" s="54">
        <v>3535</v>
      </c>
    </row>
    <row r="63" spans="1:9" x14ac:dyDescent="0.45">
      <c r="A63" s="53">
        <v>84</v>
      </c>
      <c r="B63" s="54">
        <v>3545</v>
      </c>
      <c r="C63" s="54">
        <v>2995</v>
      </c>
      <c r="D63" s="54">
        <v>6866</v>
      </c>
      <c r="E63" s="54">
        <v>225530</v>
      </c>
      <c r="F63" s="53">
        <v>94</v>
      </c>
      <c r="G63" s="54">
        <v>1618</v>
      </c>
      <c r="H63" s="54">
        <v>2100</v>
      </c>
      <c r="I63" s="54">
        <v>3793</v>
      </c>
    </row>
    <row r="64" spans="1:9" x14ac:dyDescent="0.45">
      <c r="A64" s="53">
        <v>83</v>
      </c>
      <c r="B64" s="54">
        <v>1726</v>
      </c>
      <c r="C64" s="54">
        <v>1441</v>
      </c>
      <c r="D64" s="54">
        <v>3333</v>
      </c>
      <c r="E64" s="54">
        <v>228863</v>
      </c>
      <c r="F64" s="53">
        <v>93</v>
      </c>
      <c r="G64" s="54">
        <v>3668</v>
      </c>
      <c r="H64" s="54">
        <v>4643</v>
      </c>
      <c r="I64" s="54">
        <v>8502</v>
      </c>
    </row>
    <row r="65" spans="1:9" x14ac:dyDescent="0.45">
      <c r="A65" s="53">
        <v>82</v>
      </c>
      <c r="B65" s="54">
        <v>1887</v>
      </c>
      <c r="C65" s="54">
        <v>1467</v>
      </c>
      <c r="D65" s="54">
        <v>3536</v>
      </c>
      <c r="E65" s="54">
        <v>232399</v>
      </c>
      <c r="F65" s="53">
        <v>92</v>
      </c>
      <c r="G65" s="54">
        <v>1855</v>
      </c>
      <c r="H65" s="54">
        <v>2396</v>
      </c>
      <c r="I65" s="54">
        <v>4342</v>
      </c>
    </row>
    <row r="66" spans="1:9" x14ac:dyDescent="0.45">
      <c r="A66" s="53">
        <v>81</v>
      </c>
      <c r="B66" s="54">
        <v>1748</v>
      </c>
      <c r="C66" s="54">
        <v>1309</v>
      </c>
      <c r="D66" s="54">
        <v>3226</v>
      </c>
      <c r="E66" s="54">
        <v>235625</v>
      </c>
      <c r="F66" s="53">
        <v>91</v>
      </c>
      <c r="G66" s="54">
        <v>2201</v>
      </c>
      <c r="H66" s="54">
        <v>2662</v>
      </c>
      <c r="I66" s="54">
        <v>4986</v>
      </c>
    </row>
    <row r="67" spans="1:9" x14ac:dyDescent="0.45">
      <c r="A67" s="53">
        <v>80</v>
      </c>
      <c r="B67" s="54">
        <v>1962</v>
      </c>
      <c r="C67" s="54">
        <v>1522</v>
      </c>
      <c r="D67" s="54">
        <v>3683</v>
      </c>
      <c r="E67" s="54">
        <v>239308</v>
      </c>
      <c r="F67" s="53">
        <v>90</v>
      </c>
      <c r="G67" s="54">
        <v>2086</v>
      </c>
      <c r="H67" s="54">
        <v>2442</v>
      </c>
      <c r="I67" s="54">
        <v>4668</v>
      </c>
    </row>
    <row r="68" spans="1:9" x14ac:dyDescent="0.45">
      <c r="A68" s="53">
        <v>79</v>
      </c>
      <c r="B68" s="54">
        <v>1747</v>
      </c>
      <c r="C68" s="54">
        <v>1218</v>
      </c>
      <c r="D68" s="54">
        <v>3125</v>
      </c>
      <c r="E68" s="54">
        <v>242433</v>
      </c>
      <c r="F68" s="53">
        <v>89</v>
      </c>
      <c r="G68" s="54">
        <v>2165</v>
      </c>
      <c r="H68" s="54">
        <v>2703</v>
      </c>
      <c r="I68" s="54">
        <v>5005</v>
      </c>
    </row>
    <row r="69" spans="1:9" x14ac:dyDescent="0.45">
      <c r="A69" s="53">
        <v>78</v>
      </c>
      <c r="B69" s="54">
        <v>2447</v>
      </c>
      <c r="C69" s="54">
        <v>1560</v>
      </c>
      <c r="D69" s="54">
        <v>4243</v>
      </c>
      <c r="E69" s="54">
        <v>246676</v>
      </c>
      <c r="F69" s="53">
        <v>88</v>
      </c>
      <c r="G69" s="54">
        <v>4858</v>
      </c>
      <c r="H69" s="54">
        <v>5730</v>
      </c>
      <c r="I69" s="54">
        <v>10895</v>
      </c>
    </row>
    <row r="70" spans="1:9" x14ac:dyDescent="0.45">
      <c r="A70" s="53">
        <v>77</v>
      </c>
      <c r="B70" s="54">
        <v>1929</v>
      </c>
      <c r="C70" s="54">
        <v>1362</v>
      </c>
      <c r="D70" s="54">
        <v>3509</v>
      </c>
      <c r="E70" s="54">
        <v>250185</v>
      </c>
      <c r="F70" s="53">
        <v>87</v>
      </c>
      <c r="G70" s="54">
        <v>2724</v>
      </c>
      <c r="H70" s="54">
        <v>3101</v>
      </c>
      <c r="I70" s="54">
        <v>5991</v>
      </c>
    </row>
    <row r="71" spans="1:9" x14ac:dyDescent="0.45">
      <c r="A71" s="53">
        <v>76</v>
      </c>
      <c r="B71" s="54">
        <v>4883</v>
      </c>
      <c r="C71" s="54">
        <v>2506</v>
      </c>
      <c r="D71" s="54">
        <v>8057</v>
      </c>
      <c r="E71" s="54">
        <v>258242</v>
      </c>
      <c r="F71" s="53">
        <v>86</v>
      </c>
      <c r="G71" s="54">
        <v>2758</v>
      </c>
      <c r="H71" s="54">
        <v>3015</v>
      </c>
      <c r="I71" s="54">
        <v>5955</v>
      </c>
    </row>
    <row r="72" spans="1:9" x14ac:dyDescent="0.45">
      <c r="A72" s="53">
        <v>75</v>
      </c>
      <c r="B72" s="54">
        <v>9494</v>
      </c>
      <c r="C72" s="54">
        <v>4188</v>
      </c>
      <c r="D72" s="54">
        <v>15045</v>
      </c>
      <c r="E72" s="54">
        <v>273287</v>
      </c>
      <c r="F72" s="53">
        <v>85</v>
      </c>
      <c r="G72" s="54">
        <v>2752</v>
      </c>
      <c r="H72" s="54">
        <v>3273</v>
      </c>
      <c r="I72" s="54">
        <v>6232</v>
      </c>
    </row>
    <row r="73" spans="1:9" x14ac:dyDescent="0.45">
      <c r="A73" s="53">
        <v>74</v>
      </c>
      <c r="B73" s="54">
        <v>1791</v>
      </c>
      <c r="C73" s="54">
        <v>1044</v>
      </c>
      <c r="D73" s="54">
        <v>3035</v>
      </c>
      <c r="E73" s="54">
        <v>276322</v>
      </c>
      <c r="F73" s="53">
        <v>84</v>
      </c>
      <c r="G73" s="54">
        <v>3606</v>
      </c>
      <c r="H73" s="54">
        <v>3968</v>
      </c>
      <c r="I73" s="54">
        <v>7817</v>
      </c>
    </row>
    <row r="74" spans="1:9" x14ac:dyDescent="0.45">
      <c r="A74" s="53">
        <v>73</v>
      </c>
      <c r="B74" s="54">
        <v>1685</v>
      </c>
      <c r="C74" s="54">
        <v>859</v>
      </c>
      <c r="D74" s="54">
        <v>2726</v>
      </c>
      <c r="E74" s="54">
        <v>279048</v>
      </c>
      <c r="F74" s="53">
        <v>83</v>
      </c>
      <c r="G74" s="54">
        <v>6830</v>
      </c>
      <c r="H74" s="54">
        <v>7179</v>
      </c>
      <c r="I74" s="54">
        <v>14548</v>
      </c>
    </row>
    <row r="75" spans="1:9" x14ac:dyDescent="0.45">
      <c r="A75" s="53">
        <v>72</v>
      </c>
      <c r="B75" s="54">
        <v>1550</v>
      </c>
      <c r="C75" s="54">
        <v>859</v>
      </c>
      <c r="D75" s="54">
        <v>2611</v>
      </c>
      <c r="E75" s="54">
        <v>281659</v>
      </c>
      <c r="F75" s="53">
        <v>82</v>
      </c>
      <c r="G75" s="54">
        <v>4331</v>
      </c>
      <c r="H75" s="54">
        <v>4463</v>
      </c>
      <c r="I75" s="54">
        <v>9141</v>
      </c>
    </row>
    <row r="76" spans="1:9" x14ac:dyDescent="0.45">
      <c r="A76" s="53">
        <v>71</v>
      </c>
      <c r="B76" s="54">
        <v>1422</v>
      </c>
      <c r="C76" s="54">
        <v>768</v>
      </c>
      <c r="D76" s="54">
        <v>2340</v>
      </c>
      <c r="E76" s="54">
        <v>283999</v>
      </c>
      <c r="F76" s="53">
        <v>81</v>
      </c>
      <c r="G76" s="54">
        <v>11672</v>
      </c>
      <c r="H76" s="54">
        <v>8595</v>
      </c>
      <c r="I76" s="54">
        <v>21424</v>
      </c>
    </row>
    <row r="77" spans="1:9" x14ac:dyDescent="0.45">
      <c r="A77" s="53">
        <v>70</v>
      </c>
      <c r="B77" s="54">
        <v>1347</v>
      </c>
      <c r="C77" s="54">
        <v>679</v>
      </c>
      <c r="D77" s="54">
        <v>2189</v>
      </c>
      <c r="E77" s="54">
        <v>286188</v>
      </c>
      <c r="F77" s="53">
        <v>80</v>
      </c>
      <c r="G77" s="54">
        <v>2858</v>
      </c>
      <c r="H77" s="54">
        <v>2647</v>
      </c>
      <c r="I77" s="54">
        <v>5748</v>
      </c>
    </row>
    <row r="78" spans="1:9" x14ac:dyDescent="0.45">
      <c r="A78" s="53">
        <v>69</v>
      </c>
      <c r="B78" s="54">
        <v>1186</v>
      </c>
      <c r="C78" s="54">
        <v>578</v>
      </c>
      <c r="D78" s="54">
        <v>1909</v>
      </c>
      <c r="E78" s="54">
        <v>288097</v>
      </c>
      <c r="F78" s="53">
        <v>79</v>
      </c>
      <c r="G78" s="54">
        <v>6666</v>
      </c>
      <c r="H78" s="54">
        <v>5995</v>
      </c>
      <c r="I78" s="54">
        <v>13231</v>
      </c>
    </row>
    <row r="79" spans="1:9" x14ac:dyDescent="0.45">
      <c r="A79" s="53">
        <v>68</v>
      </c>
      <c r="B79" s="54">
        <v>1133</v>
      </c>
      <c r="C79" s="54">
        <v>582</v>
      </c>
      <c r="D79" s="54">
        <v>1825</v>
      </c>
      <c r="E79" s="54">
        <v>289922</v>
      </c>
      <c r="F79" s="53">
        <v>78</v>
      </c>
      <c r="G79" s="54">
        <v>3844</v>
      </c>
      <c r="H79" s="54">
        <v>3548</v>
      </c>
      <c r="I79" s="54">
        <v>7694</v>
      </c>
    </row>
    <row r="80" spans="1:9" x14ac:dyDescent="0.45">
      <c r="A80" s="53">
        <v>67</v>
      </c>
      <c r="B80" s="54">
        <v>2363</v>
      </c>
      <c r="C80" s="54">
        <v>1054</v>
      </c>
      <c r="D80" s="54">
        <v>3730</v>
      </c>
      <c r="E80" s="54">
        <v>293652</v>
      </c>
      <c r="F80" s="53">
        <v>77</v>
      </c>
      <c r="G80" s="54">
        <v>1195</v>
      </c>
      <c r="H80" s="54">
        <v>1076</v>
      </c>
      <c r="I80" s="54">
        <v>2353</v>
      </c>
    </row>
    <row r="81" spans="1:9" x14ac:dyDescent="0.45">
      <c r="A81" s="53">
        <v>66</v>
      </c>
      <c r="B81" s="54">
        <v>620</v>
      </c>
      <c r="C81" s="54">
        <v>315</v>
      </c>
      <c r="D81" s="54">
        <v>982</v>
      </c>
      <c r="E81" s="54">
        <v>294634</v>
      </c>
      <c r="F81" s="53">
        <v>76</v>
      </c>
      <c r="G81" s="54">
        <v>1066</v>
      </c>
      <c r="H81" s="54">
        <v>960</v>
      </c>
      <c r="I81" s="54">
        <v>2090</v>
      </c>
    </row>
    <row r="82" spans="1:9" x14ac:dyDescent="0.45">
      <c r="A82" s="53">
        <v>65</v>
      </c>
      <c r="B82" s="54">
        <v>513</v>
      </c>
      <c r="C82" s="54">
        <v>207</v>
      </c>
      <c r="D82" s="54">
        <v>771</v>
      </c>
      <c r="E82" s="54">
        <v>295405</v>
      </c>
      <c r="F82" s="53">
        <v>75</v>
      </c>
      <c r="G82" s="54">
        <v>754</v>
      </c>
      <c r="H82" s="54">
        <v>690</v>
      </c>
      <c r="I82" s="54">
        <v>1488</v>
      </c>
    </row>
    <row r="83" spans="1:9" x14ac:dyDescent="0.45">
      <c r="A83" s="53">
        <v>64</v>
      </c>
      <c r="B83" s="54">
        <v>359</v>
      </c>
      <c r="C83" s="54">
        <v>180</v>
      </c>
      <c r="D83" s="54">
        <v>594</v>
      </c>
      <c r="E83" s="54">
        <v>295999</v>
      </c>
      <c r="F83" s="53">
        <v>74</v>
      </c>
      <c r="G83" s="54">
        <v>716</v>
      </c>
      <c r="H83" s="54">
        <v>621</v>
      </c>
      <c r="I83" s="54">
        <v>1395</v>
      </c>
    </row>
    <row r="84" spans="1:9" x14ac:dyDescent="0.45">
      <c r="A84" s="53">
        <v>63</v>
      </c>
      <c r="B84" s="54">
        <v>386</v>
      </c>
      <c r="C84" s="54">
        <v>157</v>
      </c>
      <c r="D84" s="54">
        <v>582</v>
      </c>
      <c r="E84" s="54">
        <v>296581</v>
      </c>
      <c r="F84" s="53">
        <v>73</v>
      </c>
      <c r="G84" s="54">
        <v>376</v>
      </c>
      <c r="H84" s="54">
        <v>359</v>
      </c>
      <c r="I84" s="54">
        <v>769</v>
      </c>
    </row>
    <row r="85" spans="1:9" x14ac:dyDescent="0.45">
      <c r="A85" s="53">
        <v>62</v>
      </c>
      <c r="B85" s="54">
        <v>852</v>
      </c>
      <c r="C85" s="54">
        <v>374</v>
      </c>
      <c r="D85" s="54">
        <v>1368</v>
      </c>
      <c r="E85" s="54">
        <v>297949</v>
      </c>
      <c r="F85" s="53">
        <v>72</v>
      </c>
      <c r="G85" s="54">
        <v>542</v>
      </c>
      <c r="H85" s="54">
        <v>452</v>
      </c>
      <c r="I85" s="54">
        <v>1033</v>
      </c>
    </row>
    <row r="86" spans="1:9" x14ac:dyDescent="0.45">
      <c r="A86" s="53">
        <v>61</v>
      </c>
      <c r="B86" s="54">
        <v>134</v>
      </c>
      <c r="C86" s="54">
        <v>51</v>
      </c>
      <c r="D86" s="54">
        <v>205</v>
      </c>
      <c r="E86" s="54">
        <v>298154</v>
      </c>
      <c r="F86" s="53">
        <v>71</v>
      </c>
      <c r="G86" s="54">
        <v>181</v>
      </c>
      <c r="H86" s="54">
        <v>137</v>
      </c>
      <c r="I86" s="54">
        <v>334</v>
      </c>
    </row>
    <row r="87" spans="1:9" x14ac:dyDescent="0.45">
      <c r="A87" s="53">
        <v>60</v>
      </c>
      <c r="B87" s="54">
        <v>132</v>
      </c>
      <c r="C87" s="54">
        <v>57</v>
      </c>
      <c r="D87" s="54">
        <v>199</v>
      </c>
      <c r="E87" s="54">
        <v>298353</v>
      </c>
      <c r="F87" s="53">
        <v>69</v>
      </c>
      <c r="G87" s="54">
        <v>1653</v>
      </c>
      <c r="H87" s="54">
        <v>746</v>
      </c>
      <c r="I87" s="54">
        <v>2660</v>
      </c>
    </row>
    <row r="88" spans="1:9" x14ac:dyDescent="0.45">
      <c r="A88" s="53">
        <v>59</v>
      </c>
      <c r="B88" s="54">
        <v>176</v>
      </c>
      <c r="C88" s="54">
        <v>84</v>
      </c>
      <c r="D88" s="54">
        <v>287</v>
      </c>
      <c r="E88" s="54">
        <v>298640</v>
      </c>
      <c r="F88" s="53"/>
      <c r="G88" s="54"/>
      <c r="H88" s="54"/>
      <c r="I88" s="54"/>
    </row>
    <row r="89" spans="1:9" x14ac:dyDescent="0.45">
      <c r="A89" s="53">
        <v>58</v>
      </c>
      <c r="B89" s="54">
        <v>19</v>
      </c>
      <c r="C89" s="54">
        <v>8</v>
      </c>
      <c r="D89" s="54">
        <v>32</v>
      </c>
      <c r="E89" s="54">
        <v>298672</v>
      </c>
      <c r="F89" s="53"/>
      <c r="G89" s="54"/>
      <c r="H89" s="54"/>
      <c r="I89" s="54"/>
    </row>
    <row r="90" spans="1:9" x14ac:dyDescent="0.45">
      <c r="A90" s="53">
        <v>57</v>
      </c>
      <c r="B90" s="54">
        <v>98</v>
      </c>
      <c r="C90" s="54">
        <v>38</v>
      </c>
      <c r="D90" s="54">
        <v>150</v>
      </c>
      <c r="E90" s="54">
        <v>298822</v>
      </c>
      <c r="F90" s="53"/>
      <c r="G90" s="54"/>
      <c r="H90" s="54"/>
      <c r="I90" s="54"/>
    </row>
    <row r="91" spans="1:9" x14ac:dyDescent="0.45">
      <c r="A91" s="53">
        <v>56</v>
      </c>
      <c r="B91" s="54">
        <v>3</v>
      </c>
      <c r="C91" s="54">
        <v>0</v>
      </c>
      <c r="D91" s="54">
        <v>3</v>
      </c>
      <c r="E91" s="54">
        <v>298825</v>
      </c>
      <c r="F91" s="53"/>
      <c r="G91" s="54"/>
      <c r="H91" s="54"/>
      <c r="I91" s="54"/>
    </row>
    <row r="92" spans="1:9" x14ac:dyDescent="0.45">
      <c r="A92" s="53">
        <v>55</v>
      </c>
      <c r="B92" s="54">
        <v>147</v>
      </c>
      <c r="C92" s="54">
        <v>38</v>
      </c>
      <c r="D92" s="54">
        <v>210</v>
      </c>
      <c r="E92" s="54">
        <v>299035</v>
      </c>
      <c r="F92" s="53"/>
      <c r="G92" s="54"/>
      <c r="H92" s="54"/>
      <c r="I92" s="54"/>
    </row>
    <row r="93" spans="1:9" x14ac:dyDescent="0.45">
      <c r="A93" s="53">
        <v>53</v>
      </c>
      <c r="B93" s="54">
        <v>1310</v>
      </c>
      <c r="C93" s="54">
        <v>460</v>
      </c>
      <c r="D93" s="54">
        <v>2062</v>
      </c>
      <c r="E93" s="54">
        <v>301097</v>
      </c>
      <c r="F93" s="53"/>
      <c r="G93" s="54"/>
      <c r="H93" s="54"/>
      <c r="I93" s="54"/>
    </row>
    <row r="94" spans="1:9" x14ac:dyDescent="0.45">
      <c r="A94" s="9"/>
      <c r="D94" s="10"/>
      <c r="F94" s="9"/>
      <c r="I94" s="10"/>
    </row>
    <row r="95" spans="1:9" x14ac:dyDescent="0.45">
      <c r="A95" s="9"/>
      <c r="D95" s="10"/>
      <c r="F95" s="9"/>
      <c r="I95" s="10"/>
    </row>
    <row r="96" spans="1:9" x14ac:dyDescent="0.45">
      <c r="A96" s="9"/>
      <c r="D96" s="10"/>
      <c r="F96" s="9"/>
      <c r="I96" s="10"/>
    </row>
    <row r="97" spans="1:9" x14ac:dyDescent="0.45">
      <c r="A97" s="9"/>
      <c r="D97" s="10"/>
      <c r="F97" s="9"/>
      <c r="I97" s="10"/>
    </row>
    <row r="98" spans="1:9" x14ac:dyDescent="0.45">
      <c r="A98" s="9"/>
      <c r="D98" s="10"/>
      <c r="F98" s="9"/>
      <c r="I98" s="10"/>
    </row>
    <row r="99" spans="1:9" x14ac:dyDescent="0.45">
      <c r="A99" s="9"/>
      <c r="D99" s="10"/>
      <c r="F99" s="9"/>
      <c r="I99" s="10"/>
    </row>
    <row r="100" spans="1:9" x14ac:dyDescent="0.45">
      <c r="A100" s="9"/>
      <c r="D100" s="10"/>
      <c r="F100" s="9"/>
      <c r="I100" s="10"/>
    </row>
    <row r="101" spans="1:9" x14ac:dyDescent="0.45">
      <c r="A101" s="9"/>
      <c r="D101" s="10"/>
      <c r="F101" s="9"/>
      <c r="I101" s="10"/>
    </row>
    <row r="102" spans="1:9" ht="17.5" thickBot="1" x14ac:dyDescent="0.5">
      <c r="A102" s="11"/>
      <c r="B102" s="13"/>
      <c r="C102" s="13"/>
      <c r="D102" s="12"/>
      <c r="F102" s="11"/>
      <c r="G102" s="13"/>
      <c r="H102" s="13"/>
      <c r="I102" s="1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0E877-379A-49E2-992A-061D04B66978}">
  <sheetPr codeName="Sheet4"/>
  <dimension ref="A1:T224"/>
  <sheetViews>
    <sheetView topLeftCell="A165" workbookViewId="0">
      <selection activeCell="A177" sqref="A177:S223"/>
    </sheetView>
  </sheetViews>
  <sheetFormatPr defaultRowHeight="17" x14ac:dyDescent="0.45"/>
  <sheetData>
    <row r="1" spans="1:19" x14ac:dyDescent="0.45">
      <c r="A1" s="15"/>
    </row>
    <row r="2" spans="1:19" ht="17.5" thickBot="1" x14ac:dyDescent="0.5"/>
    <row r="3" spans="1:19" x14ac:dyDescent="0.45">
      <c r="A3" s="46" t="s">
        <v>12</v>
      </c>
      <c r="B3" s="47"/>
      <c r="C3" s="47"/>
      <c r="D3" s="48"/>
      <c r="F3" s="46" t="s">
        <v>13</v>
      </c>
      <c r="G3" s="47"/>
      <c r="H3" s="47"/>
      <c r="I3" s="48"/>
      <c r="K3" s="46" t="s">
        <v>14</v>
      </c>
      <c r="L3" s="47"/>
      <c r="M3" s="47"/>
      <c r="N3" s="48"/>
      <c r="P3" s="46" t="s">
        <v>15</v>
      </c>
      <c r="Q3" s="47"/>
      <c r="R3" s="47"/>
      <c r="S3" s="48"/>
    </row>
    <row r="4" spans="1:19" x14ac:dyDescent="0.45">
      <c r="A4" s="6" t="s">
        <v>9</v>
      </c>
      <c r="B4" s="1"/>
      <c r="C4" s="1"/>
      <c r="D4" s="7" t="s">
        <v>10</v>
      </c>
      <c r="F4" s="6" t="s">
        <v>9</v>
      </c>
      <c r="G4" s="1"/>
      <c r="H4" s="1"/>
      <c r="I4" s="7" t="s">
        <v>10</v>
      </c>
      <c r="K4" s="6" t="s">
        <v>9</v>
      </c>
      <c r="L4" s="1"/>
      <c r="M4" s="1"/>
      <c r="N4" s="7" t="s">
        <v>10</v>
      </c>
      <c r="P4" s="6" t="s">
        <v>9</v>
      </c>
      <c r="Q4" s="1"/>
      <c r="R4" s="1"/>
      <c r="S4" s="7" t="s">
        <v>10</v>
      </c>
    </row>
    <row r="5" spans="1:19" x14ac:dyDescent="0.45">
      <c r="A5" s="53">
        <v>70</v>
      </c>
      <c r="B5" s="54">
        <v>337</v>
      </c>
      <c r="C5" s="54">
        <v>566</v>
      </c>
      <c r="D5" s="54">
        <v>916</v>
      </c>
      <c r="E5" s="54">
        <v>916</v>
      </c>
      <c r="F5" s="53">
        <v>76</v>
      </c>
      <c r="G5" s="54">
        <v>77</v>
      </c>
      <c r="H5" s="54">
        <v>118</v>
      </c>
      <c r="I5" s="54">
        <v>196</v>
      </c>
      <c r="J5" s="54">
        <v>196</v>
      </c>
      <c r="K5" s="53">
        <v>73</v>
      </c>
      <c r="L5" s="54">
        <v>139</v>
      </c>
      <c r="M5" s="54">
        <v>95</v>
      </c>
      <c r="N5" s="54">
        <v>235</v>
      </c>
      <c r="O5" s="54">
        <v>235</v>
      </c>
      <c r="P5" s="53">
        <v>71</v>
      </c>
      <c r="Q5" s="54">
        <v>161</v>
      </c>
      <c r="R5" s="54">
        <v>124</v>
      </c>
      <c r="S5" s="54">
        <v>287</v>
      </c>
    </row>
    <row r="6" spans="1:19" x14ac:dyDescent="0.45">
      <c r="A6" s="53">
        <v>68</v>
      </c>
      <c r="B6" s="54">
        <v>66</v>
      </c>
      <c r="C6" s="54">
        <v>142</v>
      </c>
      <c r="D6" s="54">
        <v>209</v>
      </c>
      <c r="E6" s="54">
        <v>1125</v>
      </c>
      <c r="F6" s="53">
        <v>74</v>
      </c>
      <c r="G6" s="54">
        <v>57</v>
      </c>
      <c r="H6" s="54">
        <v>95</v>
      </c>
      <c r="I6" s="54">
        <v>153</v>
      </c>
      <c r="J6" s="54">
        <v>349</v>
      </c>
      <c r="K6" s="53">
        <v>71</v>
      </c>
      <c r="L6" s="54">
        <v>157</v>
      </c>
      <c r="M6" s="54">
        <v>106</v>
      </c>
      <c r="N6" s="54">
        <v>264</v>
      </c>
      <c r="O6" s="54">
        <v>499</v>
      </c>
      <c r="P6" s="53">
        <v>69</v>
      </c>
      <c r="Q6" s="54">
        <v>32</v>
      </c>
      <c r="R6" s="54">
        <v>33</v>
      </c>
      <c r="S6" s="54">
        <v>65</v>
      </c>
    </row>
    <row r="7" spans="1:19" x14ac:dyDescent="0.45">
      <c r="A7" s="53">
        <v>67</v>
      </c>
      <c r="B7" s="54">
        <v>552</v>
      </c>
      <c r="C7" s="54">
        <v>1273</v>
      </c>
      <c r="D7" s="54">
        <v>1834</v>
      </c>
      <c r="E7" s="54">
        <v>2959</v>
      </c>
      <c r="F7" s="53">
        <v>73</v>
      </c>
      <c r="G7" s="54">
        <v>105</v>
      </c>
      <c r="H7" s="54">
        <v>198</v>
      </c>
      <c r="I7" s="54">
        <v>305</v>
      </c>
      <c r="J7" s="54">
        <v>654</v>
      </c>
      <c r="K7" s="53">
        <v>70</v>
      </c>
      <c r="L7" s="54">
        <v>96</v>
      </c>
      <c r="M7" s="54">
        <v>80</v>
      </c>
      <c r="N7" s="54">
        <v>179</v>
      </c>
      <c r="O7" s="54">
        <v>678</v>
      </c>
      <c r="P7" s="53">
        <v>68</v>
      </c>
      <c r="Q7" s="54">
        <v>244</v>
      </c>
      <c r="R7" s="54">
        <v>210</v>
      </c>
      <c r="S7" s="54">
        <v>456</v>
      </c>
    </row>
    <row r="8" spans="1:19" x14ac:dyDescent="0.45">
      <c r="A8" s="53">
        <v>66</v>
      </c>
      <c r="B8" s="54">
        <v>237</v>
      </c>
      <c r="C8" s="54">
        <v>477</v>
      </c>
      <c r="D8" s="54">
        <v>716</v>
      </c>
      <c r="E8" s="54">
        <v>3675</v>
      </c>
      <c r="F8" s="53">
        <v>72</v>
      </c>
      <c r="G8" s="54">
        <v>84</v>
      </c>
      <c r="H8" s="54">
        <v>169</v>
      </c>
      <c r="I8" s="54">
        <v>259</v>
      </c>
      <c r="J8" s="54">
        <v>913</v>
      </c>
      <c r="K8" s="53">
        <v>69</v>
      </c>
      <c r="L8" s="54">
        <v>290</v>
      </c>
      <c r="M8" s="54">
        <v>261</v>
      </c>
      <c r="N8" s="54">
        <v>558</v>
      </c>
      <c r="O8" s="54">
        <v>1236</v>
      </c>
      <c r="P8" s="53">
        <v>67</v>
      </c>
      <c r="Q8" s="54">
        <v>83</v>
      </c>
      <c r="R8" s="54">
        <v>96</v>
      </c>
      <c r="S8" s="54">
        <v>182</v>
      </c>
    </row>
    <row r="9" spans="1:19" x14ac:dyDescent="0.45">
      <c r="A9" s="53">
        <v>65</v>
      </c>
      <c r="B9" s="54">
        <v>619</v>
      </c>
      <c r="C9" s="54">
        <v>1529</v>
      </c>
      <c r="D9" s="54">
        <v>2165</v>
      </c>
      <c r="E9" s="54">
        <v>5840</v>
      </c>
      <c r="F9" s="53">
        <v>71</v>
      </c>
      <c r="G9" s="54">
        <v>75</v>
      </c>
      <c r="H9" s="54">
        <v>165</v>
      </c>
      <c r="I9" s="54">
        <v>240</v>
      </c>
      <c r="J9" s="54">
        <v>1153</v>
      </c>
      <c r="K9" s="53">
        <v>68</v>
      </c>
      <c r="L9" s="54">
        <v>109</v>
      </c>
      <c r="M9" s="54">
        <v>107</v>
      </c>
      <c r="N9" s="54">
        <v>217</v>
      </c>
      <c r="O9" s="54">
        <v>1453</v>
      </c>
      <c r="P9" s="53">
        <v>66</v>
      </c>
      <c r="Q9" s="54">
        <v>251</v>
      </c>
      <c r="R9" s="54">
        <v>272</v>
      </c>
      <c r="S9" s="54">
        <v>525</v>
      </c>
    </row>
    <row r="10" spans="1:19" x14ac:dyDescent="0.45">
      <c r="A10" s="53">
        <v>64</v>
      </c>
      <c r="B10" s="54">
        <v>49</v>
      </c>
      <c r="C10" s="54">
        <v>132</v>
      </c>
      <c r="D10" s="54">
        <v>184</v>
      </c>
      <c r="E10" s="54">
        <v>6024</v>
      </c>
      <c r="F10" s="53">
        <v>70</v>
      </c>
      <c r="G10" s="54">
        <v>65</v>
      </c>
      <c r="H10" s="54">
        <v>145</v>
      </c>
      <c r="I10" s="54">
        <v>210</v>
      </c>
      <c r="J10" s="54">
        <v>1363</v>
      </c>
      <c r="K10" s="53">
        <v>67</v>
      </c>
      <c r="L10" s="54">
        <v>192</v>
      </c>
      <c r="M10" s="54">
        <v>184</v>
      </c>
      <c r="N10" s="54">
        <v>380</v>
      </c>
      <c r="O10" s="54">
        <v>1833</v>
      </c>
      <c r="P10" s="53">
        <v>65</v>
      </c>
      <c r="Q10" s="54">
        <v>27</v>
      </c>
      <c r="R10" s="54">
        <v>31</v>
      </c>
      <c r="S10" s="54">
        <v>59</v>
      </c>
    </row>
    <row r="11" spans="1:19" x14ac:dyDescent="0.45">
      <c r="A11" s="53">
        <v>63</v>
      </c>
      <c r="B11" s="54">
        <v>413</v>
      </c>
      <c r="C11" s="54">
        <v>1024</v>
      </c>
      <c r="D11" s="54">
        <v>1441</v>
      </c>
      <c r="E11" s="54">
        <v>7465</v>
      </c>
      <c r="F11" s="53">
        <v>69</v>
      </c>
      <c r="G11" s="54">
        <v>134</v>
      </c>
      <c r="H11" s="54">
        <v>299</v>
      </c>
      <c r="I11" s="54">
        <v>437</v>
      </c>
      <c r="J11" s="54">
        <v>1800</v>
      </c>
      <c r="K11" s="53">
        <v>66</v>
      </c>
      <c r="L11" s="54">
        <v>168</v>
      </c>
      <c r="M11" s="54">
        <v>182</v>
      </c>
      <c r="N11" s="54">
        <v>354</v>
      </c>
      <c r="O11" s="54">
        <v>2187</v>
      </c>
      <c r="P11" s="53">
        <v>64</v>
      </c>
      <c r="Q11" s="54">
        <v>211</v>
      </c>
      <c r="R11" s="54">
        <v>193</v>
      </c>
      <c r="S11" s="54">
        <v>407</v>
      </c>
    </row>
    <row r="12" spans="1:19" x14ac:dyDescent="0.45">
      <c r="A12" s="53">
        <v>62</v>
      </c>
      <c r="B12" s="54">
        <v>593</v>
      </c>
      <c r="C12" s="54">
        <v>1543</v>
      </c>
      <c r="D12" s="54">
        <v>2156</v>
      </c>
      <c r="E12" s="54">
        <v>9621</v>
      </c>
      <c r="F12" s="53">
        <v>68</v>
      </c>
      <c r="G12" s="54">
        <v>92</v>
      </c>
      <c r="H12" s="54">
        <v>201</v>
      </c>
      <c r="I12" s="54">
        <v>293</v>
      </c>
      <c r="J12" s="54">
        <v>2093</v>
      </c>
      <c r="K12" s="53">
        <v>65</v>
      </c>
      <c r="L12" s="54">
        <v>175</v>
      </c>
      <c r="M12" s="54">
        <v>190</v>
      </c>
      <c r="N12" s="54">
        <v>368</v>
      </c>
      <c r="O12" s="54">
        <v>2555</v>
      </c>
      <c r="P12" s="53">
        <v>63</v>
      </c>
      <c r="Q12" s="54">
        <v>346</v>
      </c>
      <c r="R12" s="54">
        <v>338</v>
      </c>
      <c r="S12" s="54">
        <v>686</v>
      </c>
    </row>
    <row r="13" spans="1:19" x14ac:dyDescent="0.45">
      <c r="A13" s="53">
        <v>61</v>
      </c>
      <c r="B13" s="54">
        <v>218</v>
      </c>
      <c r="C13" s="54">
        <v>434</v>
      </c>
      <c r="D13" s="54">
        <v>658</v>
      </c>
      <c r="E13" s="54">
        <v>10279</v>
      </c>
      <c r="F13" s="53">
        <v>67</v>
      </c>
      <c r="G13" s="54">
        <v>128</v>
      </c>
      <c r="H13" s="54">
        <v>303</v>
      </c>
      <c r="I13" s="54">
        <v>433</v>
      </c>
      <c r="J13" s="54">
        <v>2526</v>
      </c>
      <c r="K13" s="53">
        <v>64</v>
      </c>
      <c r="L13" s="54">
        <v>231</v>
      </c>
      <c r="M13" s="54">
        <v>276</v>
      </c>
      <c r="N13" s="54">
        <v>513</v>
      </c>
      <c r="O13" s="54">
        <v>3068</v>
      </c>
      <c r="P13" s="53">
        <v>62</v>
      </c>
      <c r="Q13" s="54">
        <v>249</v>
      </c>
      <c r="R13" s="54">
        <v>255</v>
      </c>
      <c r="S13" s="54">
        <v>511</v>
      </c>
    </row>
    <row r="14" spans="1:19" x14ac:dyDescent="0.45">
      <c r="A14" s="53">
        <v>60</v>
      </c>
      <c r="B14" s="54">
        <v>1124</v>
      </c>
      <c r="C14" s="54">
        <v>2907</v>
      </c>
      <c r="D14" s="54">
        <v>4063</v>
      </c>
      <c r="E14" s="54">
        <v>14342</v>
      </c>
      <c r="F14" s="53">
        <v>66</v>
      </c>
      <c r="G14" s="54">
        <v>252</v>
      </c>
      <c r="H14" s="54">
        <v>640</v>
      </c>
      <c r="I14" s="54">
        <v>898</v>
      </c>
      <c r="J14" s="54">
        <v>3424</v>
      </c>
      <c r="K14" s="53">
        <v>63</v>
      </c>
      <c r="L14" s="54">
        <v>191</v>
      </c>
      <c r="M14" s="54">
        <v>209</v>
      </c>
      <c r="N14" s="54">
        <v>403</v>
      </c>
      <c r="O14" s="54">
        <v>3471</v>
      </c>
      <c r="P14" s="53">
        <v>61</v>
      </c>
      <c r="Q14" s="54">
        <v>231</v>
      </c>
      <c r="R14" s="54">
        <v>204</v>
      </c>
      <c r="S14" s="54">
        <v>436</v>
      </c>
    </row>
    <row r="15" spans="1:19" x14ac:dyDescent="0.45">
      <c r="A15" s="53">
        <v>59</v>
      </c>
      <c r="B15" s="54">
        <v>390</v>
      </c>
      <c r="C15" s="54">
        <v>965</v>
      </c>
      <c r="D15" s="54">
        <v>1362</v>
      </c>
      <c r="E15" s="54">
        <v>15704</v>
      </c>
      <c r="F15" s="53">
        <v>65</v>
      </c>
      <c r="G15" s="54">
        <v>162</v>
      </c>
      <c r="H15" s="54">
        <v>450</v>
      </c>
      <c r="I15" s="54">
        <v>615</v>
      </c>
      <c r="J15" s="54">
        <v>4039</v>
      </c>
      <c r="K15" s="53">
        <v>62</v>
      </c>
      <c r="L15" s="54">
        <v>250</v>
      </c>
      <c r="M15" s="54">
        <v>295</v>
      </c>
      <c r="N15" s="54">
        <v>545</v>
      </c>
      <c r="O15" s="54">
        <v>4016</v>
      </c>
      <c r="P15" s="53">
        <v>60</v>
      </c>
      <c r="Q15" s="54">
        <v>174</v>
      </c>
      <c r="R15" s="54">
        <v>191</v>
      </c>
      <c r="S15" s="54">
        <v>368</v>
      </c>
    </row>
    <row r="16" spans="1:19" x14ac:dyDescent="0.45">
      <c r="A16" s="53">
        <v>58</v>
      </c>
      <c r="B16" s="54">
        <v>735</v>
      </c>
      <c r="C16" s="54">
        <v>1938</v>
      </c>
      <c r="D16" s="54">
        <v>2693</v>
      </c>
      <c r="E16" s="54">
        <v>18397</v>
      </c>
      <c r="F16" s="53">
        <v>64</v>
      </c>
      <c r="G16" s="54">
        <v>135</v>
      </c>
      <c r="H16" s="54">
        <v>348</v>
      </c>
      <c r="I16" s="54">
        <v>485</v>
      </c>
      <c r="J16" s="54">
        <v>4524</v>
      </c>
      <c r="K16" s="53">
        <v>61</v>
      </c>
      <c r="L16" s="54">
        <v>273</v>
      </c>
      <c r="M16" s="54">
        <v>324</v>
      </c>
      <c r="N16" s="54">
        <v>602</v>
      </c>
      <c r="O16" s="54">
        <v>4618</v>
      </c>
      <c r="P16" s="53">
        <v>59</v>
      </c>
      <c r="Q16" s="54">
        <v>311</v>
      </c>
      <c r="R16" s="54">
        <v>289</v>
      </c>
      <c r="S16" s="54">
        <v>607</v>
      </c>
    </row>
    <row r="17" spans="1:19" x14ac:dyDescent="0.45">
      <c r="A17" s="53">
        <v>57</v>
      </c>
      <c r="B17" s="54">
        <v>459</v>
      </c>
      <c r="C17" s="54">
        <v>1233</v>
      </c>
      <c r="D17" s="54">
        <v>1699</v>
      </c>
      <c r="E17" s="54">
        <v>20096</v>
      </c>
      <c r="F17" s="53">
        <v>63</v>
      </c>
      <c r="G17" s="54">
        <v>177</v>
      </c>
      <c r="H17" s="54">
        <v>461</v>
      </c>
      <c r="I17" s="54">
        <v>641</v>
      </c>
      <c r="J17" s="54">
        <v>5165</v>
      </c>
      <c r="K17" s="53">
        <v>60</v>
      </c>
      <c r="L17" s="54">
        <v>568</v>
      </c>
      <c r="M17" s="54">
        <v>686</v>
      </c>
      <c r="N17" s="54">
        <v>1268</v>
      </c>
      <c r="O17" s="54">
        <v>5886</v>
      </c>
      <c r="P17" s="53">
        <v>58</v>
      </c>
      <c r="Q17" s="54">
        <v>450</v>
      </c>
      <c r="R17" s="54">
        <v>568</v>
      </c>
      <c r="S17" s="54">
        <v>1029</v>
      </c>
    </row>
    <row r="18" spans="1:19" x14ac:dyDescent="0.45">
      <c r="A18" s="53">
        <v>56</v>
      </c>
      <c r="B18" s="54">
        <v>625</v>
      </c>
      <c r="C18" s="54">
        <v>1518</v>
      </c>
      <c r="D18" s="54">
        <v>2162</v>
      </c>
      <c r="E18" s="54">
        <v>22258</v>
      </c>
      <c r="F18" s="53">
        <v>62</v>
      </c>
      <c r="G18" s="54">
        <v>192</v>
      </c>
      <c r="H18" s="54">
        <v>467</v>
      </c>
      <c r="I18" s="54">
        <v>666</v>
      </c>
      <c r="J18" s="54">
        <v>5831</v>
      </c>
      <c r="K18" s="53">
        <v>59</v>
      </c>
      <c r="L18" s="54">
        <v>266</v>
      </c>
      <c r="M18" s="54">
        <v>368</v>
      </c>
      <c r="N18" s="54">
        <v>639</v>
      </c>
      <c r="O18" s="54">
        <v>6525</v>
      </c>
      <c r="P18" s="53">
        <v>57</v>
      </c>
      <c r="Q18" s="54">
        <v>366</v>
      </c>
      <c r="R18" s="54">
        <v>313</v>
      </c>
      <c r="S18" s="54">
        <v>684</v>
      </c>
    </row>
    <row r="19" spans="1:19" x14ac:dyDescent="0.45">
      <c r="A19" s="53">
        <v>55</v>
      </c>
      <c r="B19" s="54">
        <v>1264</v>
      </c>
      <c r="C19" s="54">
        <v>3079</v>
      </c>
      <c r="D19" s="54">
        <v>4377</v>
      </c>
      <c r="E19" s="54">
        <v>26635</v>
      </c>
      <c r="F19" s="53">
        <v>61</v>
      </c>
      <c r="G19" s="54">
        <v>175</v>
      </c>
      <c r="H19" s="54">
        <v>432</v>
      </c>
      <c r="I19" s="54">
        <v>611</v>
      </c>
      <c r="J19" s="54">
        <v>6442</v>
      </c>
      <c r="K19" s="53">
        <v>58</v>
      </c>
      <c r="L19" s="54">
        <v>292</v>
      </c>
      <c r="M19" s="54">
        <v>403</v>
      </c>
      <c r="N19" s="54">
        <v>702</v>
      </c>
      <c r="O19" s="54">
        <v>7227</v>
      </c>
      <c r="P19" s="53">
        <v>56</v>
      </c>
      <c r="Q19" s="54">
        <v>206</v>
      </c>
      <c r="R19" s="54">
        <v>272</v>
      </c>
      <c r="S19" s="54">
        <v>483</v>
      </c>
    </row>
    <row r="20" spans="1:19" x14ac:dyDescent="0.45">
      <c r="A20" s="53">
        <v>54</v>
      </c>
      <c r="B20" s="54">
        <v>752</v>
      </c>
      <c r="C20" s="54">
        <v>1837</v>
      </c>
      <c r="D20" s="54">
        <v>2616</v>
      </c>
      <c r="E20" s="54">
        <v>29251</v>
      </c>
      <c r="F20" s="53">
        <v>60</v>
      </c>
      <c r="G20" s="54">
        <v>210</v>
      </c>
      <c r="H20" s="54">
        <v>567</v>
      </c>
      <c r="I20" s="54">
        <v>782</v>
      </c>
      <c r="J20" s="54">
        <v>7224</v>
      </c>
      <c r="K20" s="53">
        <v>57</v>
      </c>
      <c r="L20" s="54">
        <v>333</v>
      </c>
      <c r="M20" s="54">
        <v>419</v>
      </c>
      <c r="N20" s="54">
        <v>760</v>
      </c>
      <c r="O20" s="54">
        <v>7987</v>
      </c>
      <c r="P20" s="53">
        <v>55</v>
      </c>
      <c r="Q20" s="54">
        <v>311</v>
      </c>
      <c r="R20" s="54">
        <v>318</v>
      </c>
      <c r="S20" s="54">
        <v>634</v>
      </c>
    </row>
    <row r="21" spans="1:19" x14ac:dyDescent="0.45">
      <c r="A21" s="53">
        <v>53</v>
      </c>
      <c r="B21" s="54">
        <v>651</v>
      </c>
      <c r="C21" s="54">
        <v>1580</v>
      </c>
      <c r="D21" s="54">
        <v>2244</v>
      </c>
      <c r="E21" s="54">
        <v>31495</v>
      </c>
      <c r="F21" s="53">
        <v>59</v>
      </c>
      <c r="G21" s="54">
        <v>193</v>
      </c>
      <c r="H21" s="54">
        <v>481</v>
      </c>
      <c r="I21" s="54">
        <v>682</v>
      </c>
      <c r="J21" s="54">
        <v>7906</v>
      </c>
      <c r="K21" s="53">
        <v>56</v>
      </c>
      <c r="L21" s="54">
        <v>292</v>
      </c>
      <c r="M21" s="54">
        <v>378</v>
      </c>
      <c r="N21" s="54">
        <v>672</v>
      </c>
      <c r="O21" s="54">
        <v>8659</v>
      </c>
      <c r="P21" s="53">
        <v>54</v>
      </c>
      <c r="Q21" s="54">
        <v>313</v>
      </c>
      <c r="R21" s="54">
        <v>331</v>
      </c>
      <c r="S21" s="54">
        <v>648</v>
      </c>
    </row>
    <row r="22" spans="1:19" x14ac:dyDescent="0.45">
      <c r="A22" s="53">
        <v>52</v>
      </c>
      <c r="B22" s="54">
        <v>640</v>
      </c>
      <c r="C22" s="54">
        <v>1384</v>
      </c>
      <c r="D22" s="54">
        <v>2042</v>
      </c>
      <c r="E22" s="54">
        <v>33537</v>
      </c>
      <c r="F22" s="53">
        <v>58</v>
      </c>
      <c r="G22" s="54">
        <v>413</v>
      </c>
      <c r="H22" s="54">
        <v>1187</v>
      </c>
      <c r="I22" s="54">
        <v>1612</v>
      </c>
      <c r="J22" s="54">
        <v>9518</v>
      </c>
      <c r="K22" s="53">
        <v>55</v>
      </c>
      <c r="L22" s="54">
        <v>356</v>
      </c>
      <c r="M22" s="54">
        <v>489</v>
      </c>
      <c r="N22" s="54">
        <v>847</v>
      </c>
      <c r="O22" s="54">
        <v>9506</v>
      </c>
      <c r="P22" s="53">
        <v>53</v>
      </c>
      <c r="Q22" s="54">
        <v>224</v>
      </c>
      <c r="R22" s="54">
        <v>337</v>
      </c>
      <c r="S22" s="54">
        <v>566</v>
      </c>
    </row>
    <row r="23" spans="1:19" x14ac:dyDescent="0.45">
      <c r="A23" s="53">
        <v>51</v>
      </c>
      <c r="B23" s="54">
        <v>752</v>
      </c>
      <c r="C23" s="54">
        <v>1687</v>
      </c>
      <c r="D23" s="54">
        <v>2454</v>
      </c>
      <c r="E23" s="54">
        <v>35991</v>
      </c>
      <c r="F23" s="53">
        <v>57</v>
      </c>
      <c r="G23" s="54">
        <v>244</v>
      </c>
      <c r="H23" s="54">
        <v>508</v>
      </c>
      <c r="I23" s="54">
        <v>755</v>
      </c>
      <c r="J23" s="54">
        <v>10273</v>
      </c>
      <c r="K23" s="53">
        <v>54</v>
      </c>
      <c r="L23" s="54">
        <v>352</v>
      </c>
      <c r="M23" s="54">
        <v>443</v>
      </c>
      <c r="N23" s="54">
        <v>799</v>
      </c>
      <c r="O23" s="54">
        <v>10305</v>
      </c>
      <c r="P23" s="53">
        <v>52</v>
      </c>
      <c r="Q23" s="54">
        <v>509</v>
      </c>
      <c r="R23" s="54">
        <v>678</v>
      </c>
      <c r="S23" s="54">
        <v>1197</v>
      </c>
    </row>
    <row r="24" spans="1:19" x14ac:dyDescent="0.45">
      <c r="A24" s="53">
        <v>50</v>
      </c>
      <c r="B24" s="54">
        <v>561</v>
      </c>
      <c r="C24" s="54">
        <v>1295</v>
      </c>
      <c r="D24" s="54">
        <v>1873</v>
      </c>
      <c r="E24" s="54">
        <v>37864</v>
      </c>
      <c r="F24" s="53">
        <v>56</v>
      </c>
      <c r="G24" s="54">
        <v>269</v>
      </c>
      <c r="H24" s="54">
        <v>637</v>
      </c>
      <c r="I24" s="54">
        <v>908</v>
      </c>
      <c r="J24" s="54">
        <v>11181</v>
      </c>
      <c r="K24" s="53">
        <v>53</v>
      </c>
      <c r="L24" s="54">
        <v>327</v>
      </c>
      <c r="M24" s="54">
        <v>465</v>
      </c>
      <c r="N24" s="54">
        <v>797</v>
      </c>
      <c r="O24" s="54">
        <v>11102</v>
      </c>
      <c r="P24" s="53">
        <v>51</v>
      </c>
      <c r="Q24" s="54">
        <v>274</v>
      </c>
      <c r="R24" s="54">
        <v>301</v>
      </c>
      <c r="S24" s="54">
        <v>577</v>
      </c>
    </row>
    <row r="25" spans="1:19" x14ac:dyDescent="0.45">
      <c r="A25" s="53">
        <v>49</v>
      </c>
      <c r="B25" s="54">
        <v>1237</v>
      </c>
      <c r="C25" s="54">
        <v>2649</v>
      </c>
      <c r="D25" s="54">
        <v>3921</v>
      </c>
      <c r="E25" s="54">
        <v>41785</v>
      </c>
      <c r="F25" s="53">
        <v>55</v>
      </c>
      <c r="G25" s="54">
        <v>239</v>
      </c>
      <c r="H25" s="54">
        <v>661</v>
      </c>
      <c r="I25" s="54">
        <v>907</v>
      </c>
      <c r="J25" s="54">
        <v>12088</v>
      </c>
      <c r="K25" s="53">
        <v>52</v>
      </c>
      <c r="L25" s="54">
        <v>370</v>
      </c>
      <c r="M25" s="54">
        <v>482</v>
      </c>
      <c r="N25" s="54">
        <v>856</v>
      </c>
      <c r="O25" s="54">
        <v>11958</v>
      </c>
      <c r="P25" s="53">
        <v>50</v>
      </c>
      <c r="Q25" s="54">
        <v>270</v>
      </c>
      <c r="R25" s="54">
        <v>298</v>
      </c>
      <c r="S25" s="54">
        <v>573</v>
      </c>
    </row>
    <row r="26" spans="1:19" x14ac:dyDescent="0.45">
      <c r="A26" s="53">
        <v>48</v>
      </c>
      <c r="B26" s="54">
        <v>566</v>
      </c>
      <c r="C26" s="54">
        <v>1060</v>
      </c>
      <c r="D26" s="54">
        <v>1639</v>
      </c>
      <c r="E26" s="54">
        <v>43424</v>
      </c>
      <c r="F26" s="53">
        <v>54</v>
      </c>
      <c r="G26" s="54">
        <v>280</v>
      </c>
      <c r="H26" s="54">
        <v>627</v>
      </c>
      <c r="I26" s="54">
        <v>912</v>
      </c>
      <c r="J26" s="54">
        <v>13000</v>
      </c>
      <c r="K26" s="53">
        <v>51</v>
      </c>
      <c r="L26" s="54">
        <v>727</v>
      </c>
      <c r="M26" s="54">
        <v>972</v>
      </c>
      <c r="N26" s="54">
        <v>1718</v>
      </c>
      <c r="O26" s="54">
        <v>13676</v>
      </c>
      <c r="P26" s="53">
        <v>49</v>
      </c>
      <c r="Q26" s="54">
        <v>234</v>
      </c>
      <c r="R26" s="54">
        <v>352</v>
      </c>
      <c r="S26" s="54">
        <v>591</v>
      </c>
    </row>
    <row r="27" spans="1:19" x14ac:dyDescent="0.45">
      <c r="A27" s="53">
        <v>47</v>
      </c>
      <c r="B27" s="54">
        <v>578</v>
      </c>
      <c r="C27" s="54">
        <v>1097</v>
      </c>
      <c r="D27" s="54">
        <v>1682</v>
      </c>
      <c r="E27" s="54">
        <v>45106</v>
      </c>
      <c r="F27" s="53">
        <v>53</v>
      </c>
      <c r="G27" s="54">
        <v>266</v>
      </c>
      <c r="H27" s="54">
        <v>714</v>
      </c>
      <c r="I27" s="54">
        <v>985</v>
      </c>
      <c r="J27" s="54">
        <v>13985</v>
      </c>
      <c r="K27" s="53">
        <v>50</v>
      </c>
      <c r="L27" s="54">
        <v>376</v>
      </c>
      <c r="M27" s="54">
        <v>490</v>
      </c>
      <c r="N27" s="54">
        <v>871</v>
      </c>
      <c r="O27" s="54">
        <v>14547</v>
      </c>
      <c r="P27" s="53">
        <v>48</v>
      </c>
      <c r="Q27" s="54">
        <v>267</v>
      </c>
      <c r="R27" s="54">
        <v>316</v>
      </c>
      <c r="S27" s="54">
        <v>585</v>
      </c>
    </row>
    <row r="28" spans="1:19" x14ac:dyDescent="0.45">
      <c r="A28" s="53">
        <v>46</v>
      </c>
      <c r="B28" s="54">
        <v>511</v>
      </c>
      <c r="C28" s="54">
        <v>873</v>
      </c>
      <c r="D28" s="54">
        <v>1393</v>
      </c>
      <c r="E28" s="54">
        <v>46499</v>
      </c>
      <c r="F28" s="53">
        <v>52</v>
      </c>
      <c r="G28" s="54">
        <v>264</v>
      </c>
      <c r="H28" s="54">
        <v>590</v>
      </c>
      <c r="I28" s="54">
        <v>860</v>
      </c>
      <c r="J28" s="54">
        <v>14845</v>
      </c>
      <c r="K28" s="53">
        <v>49</v>
      </c>
      <c r="L28" s="54">
        <v>352</v>
      </c>
      <c r="M28" s="54">
        <v>486</v>
      </c>
      <c r="N28" s="54">
        <v>844</v>
      </c>
      <c r="O28" s="54">
        <v>15391</v>
      </c>
      <c r="P28" s="53">
        <v>47</v>
      </c>
      <c r="Q28" s="54">
        <v>469</v>
      </c>
      <c r="R28" s="54">
        <v>565</v>
      </c>
      <c r="S28" s="54">
        <v>1042</v>
      </c>
    </row>
    <row r="29" spans="1:19" x14ac:dyDescent="0.45">
      <c r="A29" s="53">
        <v>45</v>
      </c>
      <c r="B29" s="54">
        <v>521</v>
      </c>
      <c r="C29" s="54">
        <v>879</v>
      </c>
      <c r="D29" s="54">
        <v>1417</v>
      </c>
      <c r="E29" s="54">
        <v>47916</v>
      </c>
      <c r="F29" s="53">
        <v>51</v>
      </c>
      <c r="G29" s="54">
        <v>311</v>
      </c>
      <c r="H29" s="54">
        <v>702</v>
      </c>
      <c r="I29" s="54">
        <v>1023</v>
      </c>
      <c r="J29" s="54">
        <v>15868</v>
      </c>
      <c r="K29" s="53">
        <v>48</v>
      </c>
      <c r="L29" s="54">
        <v>356</v>
      </c>
      <c r="M29" s="54">
        <v>457</v>
      </c>
      <c r="N29" s="54">
        <v>823</v>
      </c>
      <c r="O29" s="54">
        <v>16214</v>
      </c>
      <c r="P29" s="53">
        <v>46</v>
      </c>
      <c r="Q29" s="54">
        <v>194</v>
      </c>
      <c r="R29" s="54">
        <v>262</v>
      </c>
      <c r="S29" s="54">
        <v>461</v>
      </c>
    </row>
    <row r="30" spans="1:19" x14ac:dyDescent="0.45">
      <c r="A30" s="53">
        <v>44</v>
      </c>
      <c r="B30" s="54">
        <v>945</v>
      </c>
      <c r="C30" s="54">
        <v>1458</v>
      </c>
      <c r="D30" s="54">
        <v>2440</v>
      </c>
      <c r="E30" s="54">
        <v>50356</v>
      </c>
      <c r="F30" s="53">
        <v>50</v>
      </c>
      <c r="G30" s="54">
        <v>618</v>
      </c>
      <c r="H30" s="54">
        <v>1386</v>
      </c>
      <c r="I30" s="54">
        <v>2019</v>
      </c>
      <c r="J30" s="54">
        <v>17887</v>
      </c>
      <c r="K30" s="53">
        <v>47</v>
      </c>
      <c r="L30" s="54">
        <v>369</v>
      </c>
      <c r="M30" s="54">
        <v>415</v>
      </c>
      <c r="N30" s="54">
        <v>787</v>
      </c>
      <c r="O30" s="54">
        <v>17001</v>
      </c>
      <c r="P30" s="53">
        <v>45</v>
      </c>
      <c r="Q30" s="54">
        <v>186</v>
      </c>
      <c r="R30" s="54">
        <v>287</v>
      </c>
      <c r="S30" s="54">
        <v>476</v>
      </c>
    </row>
    <row r="31" spans="1:19" x14ac:dyDescent="0.45">
      <c r="A31" s="53">
        <v>43</v>
      </c>
      <c r="B31" s="54">
        <v>440</v>
      </c>
      <c r="C31" s="54">
        <v>653</v>
      </c>
      <c r="D31" s="54">
        <v>1103</v>
      </c>
      <c r="E31" s="54">
        <v>51459</v>
      </c>
      <c r="F31" s="53">
        <v>49</v>
      </c>
      <c r="G31" s="54">
        <v>343</v>
      </c>
      <c r="H31" s="54">
        <v>705</v>
      </c>
      <c r="I31" s="54">
        <v>1059</v>
      </c>
      <c r="J31" s="54">
        <v>18946</v>
      </c>
      <c r="K31" s="53">
        <v>46</v>
      </c>
      <c r="L31" s="54">
        <v>395</v>
      </c>
      <c r="M31" s="54">
        <v>483</v>
      </c>
      <c r="N31" s="54">
        <v>886</v>
      </c>
      <c r="O31" s="54">
        <v>17887</v>
      </c>
      <c r="P31" s="53">
        <v>44</v>
      </c>
      <c r="Q31" s="54">
        <v>207</v>
      </c>
      <c r="R31" s="54">
        <v>256</v>
      </c>
      <c r="S31" s="54">
        <v>468</v>
      </c>
    </row>
    <row r="32" spans="1:19" x14ac:dyDescent="0.45">
      <c r="A32" s="53">
        <v>42</v>
      </c>
      <c r="B32" s="54">
        <v>393</v>
      </c>
      <c r="C32" s="54">
        <v>604</v>
      </c>
      <c r="D32" s="54">
        <v>1004</v>
      </c>
      <c r="E32" s="54">
        <v>52463</v>
      </c>
      <c r="F32" s="53">
        <v>48</v>
      </c>
      <c r="G32" s="54">
        <v>315</v>
      </c>
      <c r="H32" s="54">
        <v>650</v>
      </c>
      <c r="I32" s="54">
        <v>975</v>
      </c>
      <c r="J32" s="54">
        <v>19921</v>
      </c>
      <c r="K32" s="53">
        <v>45</v>
      </c>
      <c r="L32" s="54">
        <v>342</v>
      </c>
      <c r="M32" s="54">
        <v>425</v>
      </c>
      <c r="N32" s="54">
        <v>773</v>
      </c>
      <c r="O32" s="54">
        <v>18660</v>
      </c>
      <c r="P32" s="53">
        <v>43</v>
      </c>
      <c r="Q32" s="54">
        <v>210</v>
      </c>
      <c r="R32" s="54">
        <v>250</v>
      </c>
      <c r="S32" s="54">
        <v>464</v>
      </c>
    </row>
    <row r="33" spans="1:19" x14ac:dyDescent="0.45">
      <c r="A33" s="53">
        <v>41</v>
      </c>
      <c r="B33" s="54">
        <v>450</v>
      </c>
      <c r="C33" s="54">
        <v>560</v>
      </c>
      <c r="D33" s="54">
        <v>1021</v>
      </c>
      <c r="E33" s="54">
        <v>53484</v>
      </c>
      <c r="F33" s="53">
        <v>47</v>
      </c>
      <c r="G33" s="54">
        <v>352</v>
      </c>
      <c r="H33" s="54">
        <v>649</v>
      </c>
      <c r="I33" s="54">
        <v>1011</v>
      </c>
      <c r="J33" s="54">
        <v>20932</v>
      </c>
      <c r="K33" s="53">
        <v>44</v>
      </c>
      <c r="L33" s="54">
        <v>359</v>
      </c>
      <c r="M33" s="54">
        <v>415</v>
      </c>
      <c r="N33" s="54">
        <v>783</v>
      </c>
      <c r="O33" s="54">
        <v>19443</v>
      </c>
      <c r="P33" s="53">
        <v>42</v>
      </c>
      <c r="Q33" s="54">
        <v>178</v>
      </c>
      <c r="R33" s="54">
        <v>248</v>
      </c>
      <c r="S33" s="54">
        <v>429</v>
      </c>
    </row>
    <row r="34" spans="1:19" x14ac:dyDescent="0.45">
      <c r="A34" s="53">
        <v>40</v>
      </c>
      <c r="B34" s="54">
        <v>454</v>
      </c>
      <c r="C34" s="54">
        <v>543</v>
      </c>
      <c r="D34" s="54">
        <v>1004</v>
      </c>
      <c r="E34" s="54">
        <v>54488</v>
      </c>
      <c r="F34" s="53">
        <v>46</v>
      </c>
      <c r="G34" s="54">
        <v>388</v>
      </c>
      <c r="H34" s="54">
        <v>653</v>
      </c>
      <c r="I34" s="54">
        <v>1049</v>
      </c>
      <c r="J34" s="54">
        <v>21981</v>
      </c>
      <c r="K34" s="53">
        <v>43</v>
      </c>
      <c r="L34" s="54">
        <v>360</v>
      </c>
      <c r="M34" s="54">
        <v>422</v>
      </c>
      <c r="N34" s="54">
        <v>785</v>
      </c>
      <c r="O34" s="54">
        <v>20228</v>
      </c>
      <c r="P34" s="53">
        <v>41</v>
      </c>
      <c r="Q34" s="54">
        <v>397</v>
      </c>
      <c r="R34" s="54">
        <v>432</v>
      </c>
      <c r="S34" s="54">
        <v>834</v>
      </c>
    </row>
    <row r="35" spans="1:19" x14ac:dyDescent="0.45">
      <c r="A35" s="53">
        <v>39</v>
      </c>
      <c r="B35" s="54">
        <v>596</v>
      </c>
      <c r="C35" s="54">
        <v>513</v>
      </c>
      <c r="D35" s="54">
        <v>1123</v>
      </c>
      <c r="E35" s="54">
        <v>55611</v>
      </c>
      <c r="F35" s="53">
        <v>45</v>
      </c>
      <c r="G35" s="54">
        <v>477</v>
      </c>
      <c r="H35" s="54">
        <v>644</v>
      </c>
      <c r="I35" s="54">
        <v>1129</v>
      </c>
      <c r="J35" s="54">
        <v>23110</v>
      </c>
      <c r="K35" s="53">
        <v>42</v>
      </c>
      <c r="L35" s="54">
        <v>736</v>
      </c>
      <c r="M35" s="54">
        <v>760</v>
      </c>
      <c r="N35" s="54">
        <v>1514</v>
      </c>
      <c r="O35" s="54">
        <v>21742</v>
      </c>
      <c r="P35" s="53">
        <v>40</v>
      </c>
      <c r="Q35" s="54">
        <v>289</v>
      </c>
      <c r="R35" s="54">
        <v>228</v>
      </c>
      <c r="S35" s="54">
        <v>518</v>
      </c>
    </row>
    <row r="36" spans="1:19" x14ac:dyDescent="0.45">
      <c r="A36" s="53">
        <v>38</v>
      </c>
      <c r="B36" s="54">
        <v>1314</v>
      </c>
      <c r="C36" s="54">
        <v>1179</v>
      </c>
      <c r="D36" s="54">
        <v>2516</v>
      </c>
      <c r="E36" s="54">
        <v>58127</v>
      </c>
      <c r="F36" s="53">
        <v>44</v>
      </c>
      <c r="G36" s="54">
        <v>664</v>
      </c>
      <c r="H36" s="54">
        <v>861</v>
      </c>
      <c r="I36" s="54">
        <v>1540</v>
      </c>
      <c r="J36" s="54">
        <v>24650</v>
      </c>
      <c r="K36" s="53">
        <v>41</v>
      </c>
      <c r="L36" s="54">
        <v>332</v>
      </c>
      <c r="M36" s="54">
        <v>298</v>
      </c>
      <c r="N36" s="54">
        <v>633</v>
      </c>
      <c r="O36" s="54">
        <v>22375</v>
      </c>
      <c r="P36" s="53">
        <v>39</v>
      </c>
      <c r="Q36" s="54">
        <v>223</v>
      </c>
      <c r="R36" s="54">
        <v>201</v>
      </c>
      <c r="S36" s="54">
        <v>432</v>
      </c>
    </row>
    <row r="37" spans="1:19" x14ac:dyDescent="0.45">
      <c r="A37" s="53">
        <v>37</v>
      </c>
      <c r="B37" s="54">
        <v>1506</v>
      </c>
      <c r="C37" s="54">
        <v>1157</v>
      </c>
      <c r="D37" s="54">
        <v>2712</v>
      </c>
      <c r="E37" s="54">
        <v>60839</v>
      </c>
      <c r="F37" s="53">
        <v>43</v>
      </c>
      <c r="G37" s="54">
        <v>431</v>
      </c>
      <c r="H37" s="54">
        <v>545</v>
      </c>
      <c r="I37" s="54">
        <v>980</v>
      </c>
      <c r="J37" s="54">
        <v>25630</v>
      </c>
      <c r="K37" s="53">
        <v>40</v>
      </c>
      <c r="L37" s="54">
        <v>710</v>
      </c>
      <c r="M37" s="54">
        <v>491</v>
      </c>
      <c r="N37" s="54">
        <v>1225</v>
      </c>
      <c r="O37" s="54">
        <v>23600</v>
      </c>
      <c r="P37" s="53">
        <v>38</v>
      </c>
      <c r="Q37" s="54">
        <v>183</v>
      </c>
      <c r="R37" s="54">
        <v>120</v>
      </c>
      <c r="S37" s="54">
        <v>308</v>
      </c>
    </row>
    <row r="38" spans="1:19" x14ac:dyDescent="0.45">
      <c r="A38" s="53">
        <v>36</v>
      </c>
      <c r="B38" s="54">
        <v>2751</v>
      </c>
      <c r="C38" s="54">
        <v>1634</v>
      </c>
      <c r="D38" s="54">
        <v>4466</v>
      </c>
      <c r="E38" s="54">
        <v>65305</v>
      </c>
      <c r="F38" s="53">
        <v>42</v>
      </c>
      <c r="G38" s="54">
        <v>1672</v>
      </c>
      <c r="H38" s="54">
        <v>1765</v>
      </c>
      <c r="I38" s="54">
        <v>3491</v>
      </c>
      <c r="J38" s="54">
        <v>29121</v>
      </c>
      <c r="K38" s="53">
        <v>39</v>
      </c>
      <c r="L38" s="54">
        <v>486</v>
      </c>
      <c r="M38" s="54">
        <v>385</v>
      </c>
      <c r="N38" s="54">
        <v>877</v>
      </c>
      <c r="O38" s="54">
        <v>24477</v>
      </c>
      <c r="P38" s="53">
        <v>37</v>
      </c>
      <c r="Q38" s="54">
        <v>986</v>
      </c>
      <c r="R38" s="54">
        <v>437</v>
      </c>
      <c r="S38" s="54">
        <v>1436</v>
      </c>
    </row>
    <row r="39" spans="1:19" x14ac:dyDescent="0.45">
      <c r="A39" s="53">
        <v>35</v>
      </c>
      <c r="B39" s="54">
        <v>744</v>
      </c>
      <c r="C39" s="54">
        <v>594</v>
      </c>
      <c r="D39" s="54">
        <v>1357</v>
      </c>
      <c r="E39" s="54">
        <v>66662</v>
      </c>
      <c r="F39" s="53">
        <v>41</v>
      </c>
      <c r="G39" s="54">
        <v>465</v>
      </c>
      <c r="H39" s="54">
        <v>515</v>
      </c>
      <c r="I39" s="54">
        <v>992</v>
      </c>
      <c r="J39" s="54">
        <v>30113</v>
      </c>
      <c r="K39" s="53">
        <v>38</v>
      </c>
      <c r="L39" s="54">
        <v>239</v>
      </c>
      <c r="M39" s="54">
        <v>229</v>
      </c>
      <c r="N39" s="54">
        <v>475</v>
      </c>
      <c r="O39" s="54">
        <v>24952</v>
      </c>
      <c r="P39" s="53">
        <v>36</v>
      </c>
      <c r="Q39" s="54">
        <v>333</v>
      </c>
      <c r="R39" s="54">
        <v>234</v>
      </c>
      <c r="S39" s="54">
        <v>574</v>
      </c>
    </row>
    <row r="40" spans="1:19" x14ac:dyDescent="0.45">
      <c r="A40" s="53">
        <v>34</v>
      </c>
      <c r="B40" s="54">
        <v>419</v>
      </c>
      <c r="C40" s="54">
        <v>315</v>
      </c>
      <c r="D40" s="54">
        <v>741</v>
      </c>
      <c r="E40" s="54">
        <v>67403</v>
      </c>
      <c r="F40" s="53">
        <v>40</v>
      </c>
      <c r="G40" s="54">
        <v>504</v>
      </c>
      <c r="H40" s="54">
        <v>539</v>
      </c>
      <c r="I40" s="54">
        <v>1060</v>
      </c>
      <c r="J40" s="54">
        <v>31173</v>
      </c>
      <c r="K40" s="53">
        <v>37</v>
      </c>
      <c r="L40" s="54">
        <v>1160</v>
      </c>
      <c r="M40" s="54">
        <v>556</v>
      </c>
      <c r="N40" s="54">
        <v>1749</v>
      </c>
      <c r="O40" s="54">
        <v>26701</v>
      </c>
      <c r="P40" s="53">
        <v>35</v>
      </c>
      <c r="Q40" s="54">
        <v>512</v>
      </c>
      <c r="R40" s="54">
        <v>307</v>
      </c>
      <c r="S40" s="54">
        <v>828</v>
      </c>
    </row>
    <row r="41" spans="1:19" x14ac:dyDescent="0.45">
      <c r="A41" s="53">
        <v>33</v>
      </c>
      <c r="B41" s="54">
        <v>837</v>
      </c>
      <c r="C41" s="54">
        <v>592</v>
      </c>
      <c r="D41" s="54">
        <v>1458</v>
      </c>
      <c r="E41" s="54">
        <v>68861</v>
      </c>
      <c r="F41" s="53">
        <v>39</v>
      </c>
      <c r="G41" s="54">
        <v>562</v>
      </c>
      <c r="H41" s="54">
        <v>472</v>
      </c>
      <c r="I41" s="54">
        <v>1050</v>
      </c>
      <c r="J41" s="54">
        <v>32223</v>
      </c>
      <c r="K41" s="53">
        <v>36</v>
      </c>
      <c r="L41" s="54">
        <v>197</v>
      </c>
      <c r="M41" s="54">
        <v>134</v>
      </c>
      <c r="N41" s="54">
        <v>334</v>
      </c>
      <c r="O41" s="54">
        <v>27035</v>
      </c>
      <c r="P41" s="53">
        <v>34</v>
      </c>
      <c r="Q41" s="54">
        <v>89</v>
      </c>
      <c r="R41" s="54">
        <v>38</v>
      </c>
      <c r="S41" s="54">
        <v>127</v>
      </c>
    </row>
    <row r="42" spans="1:19" x14ac:dyDescent="0.45">
      <c r="A42" s="53">
        <v>32</v>
      </c>
      <c r="B42" s="54">
        <v>242</v>
      </c>
      <c r="C42" s="54">
        <v>204</v>
      </c>
      <c r="D42" s="54">
        <v>451</v>
      </c>
      <c r="E42" s="54">
        <v>69312</v>
      </c>
      <c r="F42" s="53">
        <v>38</v>
      </c>
      <c r="G42" s="54">
        <v>1942</v>
      </c>
      <c r="H42" s="54">
        <v>1227</v>
      </c>
      <c r="I42" s="54">
        <v>3230</v>
      </c>
      <c r="J42" s="54">
        <v>35453</v>
      </c>
      <c r="K42" s="53">
        <v>35</v>
      </c>
      <c r="L42" s="54">
        <v>265</v>
      </c>
      <c r="M42" s="54">
        <v>200</v>
      </c>
      <c r="N42" s="54">
        <v>477</v>
      </c>
      <c r="O42" s="54">
        <v>27512</v>
      </c>
      <c r="P42" s="53">
        <v>33</v>
      </c>
      <c r="Q42" s="54">
        <v>105</v>
      </c>
      <c r="R42" s="54">
        <v>67</v>
      </c>
      <c r="S42" s="54">
        <v>175</v>
      </c>
    </row>
    <row r="43" spans="1:19" x14ac:dyDescent="0.45">
      <c r="A43" s="53">
        <v>31</v>
      </c>
      <c r="B43" s="54">
        <v>139</v>
      </c>
      <c r="C43" s="54">
        <v>110</v>
      </c>
      <c r="D43" s="54">
        <v>255</v>
      </c>
      <c r="E43" s="54">
        <v>69567</v>
      </c>
      <c r="F43" s="53">
        <v>37</v>
      </c>
      <c r="G43" s="54">
        <v>212</v>
      </c>
      <c r="H43" s="54">
        <v>201</v>
      </c>
      <c r="I43" s="54">
        <v>418</v>
      </c>
      <c r="J43" s="54">
        <v>35871</v>
      </c>
      <c r="K43" s="53">
        <v>34</v>
      </c>
      <c r="L43" s="54">
        <v>236</v>
      </c>
      <c r="M43" s="54">
        <v>146</v>
      </c>
      <c r="N43" s="54">
        <v>386</v>
      </c>
      <c r="O43" s="54">
        <v>27898</v>
      </c>
      <c r="P43" s="53">
        <v>32</v>
      </c>
      <c r="Q43" s="54">
        <v>52</v>
      </c>
      <c r="R43" s="54">
        <v>42</v>
      </c>
      <c r="S43" s="54">
        <v>95</v>
      </c>
    </row>
    <row r="44" spans="1:19" x14ac:dyDescent="0.45">
      <c r="A44" s="53">
        <v>30</v>
      </c>
      <c r="B44" s="54">
        <v>93</v>
      </c>
      <c r="C44" s="54">
        <v>56</v>
      </c>
      <c r="D44" s="54">
        <v>151</v>
      </c>
      <c r="E44" s="54">
        <v>69718</v>
      </c>
      <c r="F44" s="53">
        <v>36</v>
      </c>
      <c r="G44" s="54">
        <v>273</v>
      </c>
      <c r="H44" s="54">
        <v>242</v>
      </c>
      <c r="I44" s="54">
        <v>529</v>
      </c>
      <c r="J44" s="54">
        <v>36400</v>
      </c>
      <c r="K44" s="53">
        <v>33</v>
      </c>
      <c r="L44" s="54">
        <v>200</v>
      </c>
      <c r="M44" s="54">
        <v>117</v>
      </c>
      <c r="N44" s="54">
        <v>321</v>
      </c>
      <c r="O44" s="54">
        <v>28219</v>
      </c>
      <c r="P44" s="53">
        <v>31</v>
      </c>
      <c r="Q44" s="54">
        <v>61</v>
      </c>
      <c r="R44" s="54">
        <v>38</v>
      </c>
      <c r="S44" s="54">
        <v>102</v>
      </c>
    </row>
    <row r="45" spans="1:19" x14ac:dyDescent="0.45">
      <c r="A45" s="53">
        <v>29</v>
      </c>
      <c r="B45" s="54">
        <v>95</v>
      </c>
      <c r="C45" s="54">
        <v>59</v>
      </c>
      <c r="D45" s="54">
        <v>157</v>
      </c>
      <c r="E45" s="54">
        <v>69875</v>
      </c>
      <c r="F45" s="53">
        <v>35</v>
      </c>
      <c r="G45" s="54">
        <v>188</v>
      </c>
      <c r="H45" s="54">
        <v>168</v>
      </c>
      <c r="I45" s="54">
        <v>358</v>
      </c>
      <c r="J45" s="54">
        <v>36758</v>
      </c>
      <c r="K45" s="53">
        <v>32</v>
      </c>
      <c r="L45" s="54">
        <v>33</v>
      </c>
      <c r="M45" s="54">
        <v>32</v>
      </c>
      <c r="N45" s="54">
        <v>65</v>
      </c>
      <c r="O45" s="54">
        <v>28284</v>
      </c>
      <c r="P45" s="53">
        <v>29</v>
      </c>
      <c r="Q45" s="54">
        <v>56</v>
      </c>
      <c r="R45" s="54">
        <v>23</v>
      </c>
      <c r="S45" s="54">
        <v>80</v>
      </c>
    </row>
    <row r="46" spans="1:19" x14ac:dyDescent="0.45">
      <c r="A46" s="53">
        <v>27</v>
      </c>
      <c r="B46" s="54">
        <v>123</v>
      </c>
      <c r="C46" s="54">
        <v>78</v>
      </c>
      <c r="D46" s="54">
        <v>208</v>
      </c>
      <c r="E46" s="54">
        <v>70083</v>
      </c>
      <c r="F46" s="53">
        <v>34</v>
      </c>
      <c r="G46" s="54">
        <v>208</v>
      </c>
      <c r="H46" s="54">
        <v>143</v>
      </c>
      <c r="I46" s="54">
        <v>357</v>
      </c>
      <c r="J46" s="54">
        <v>37115</v>
      </c>
      <c r="K46" s="53">
        <v>31</v>
      </c>
      <c r="L46" s="54">
        <v>41</v>
      </c>
      <c r="M46" s="54">
        <v>25</v>
      </c>
      <c r="N46" s="54">
        <v>68</v>
      </c>
      <c r="O46" s="54">
        <v>28352</v>
      </c>
      <c r="P46" s="53"/>
      <c r="Q46" s="54"/>
      <c r="R46" s="54"/>
      <c r="S46" s="54"/>
    </row>
    <row r="47" spans="1:19" x14ac:dyDescent="0.45">
      <c r="A47" s="53"/>
      <c r="B47" s="54"/>
      <c r="C47" s="54"/>
      <c r="D47" s="54"/>
      <c r="E47" s="54"/>
      <c r="F47" s="53">
        <v>32</v>
      </c>
      <c r="G47" s="54">
        <v>121</v>
      </c>
      <c r="H47" s="54">
        <v>58</v>
      </c>
      <c r="I47" s="54">
        <v>188</v>
      </c>
      <c r="J47" s="54">
        <v>37303</v>
      </c>
      <c r="K47" s="53">
        <v>30</v>
      </c>
      <c r="L47" s="54">
        <v>35</v>
      </c>
      <c r="M47" s="54">
        <v>22</v>
      </c>
      <c r="N47" s="54">
        <v>62</v>
      </c>
      <c r="O47" s="54">
        <v>28414</v>
      </c>
      <c r="P47" s="53"/>
      <c r="Q47" s="54"/>
      <c r="R47" s="54"/>
      <c r="S47" s="54"/>
    </row>
    <row r="48" spans="1:19" x14ac:dyDescent="0.45">
      <c r="A48" s="55"/>
      <c r="B48" s="56"/>
      <c r="C48" s="56"/>
      <c r="D48" s="56"/>
      <c r="E48" s="54"/>
      <c r="F48" s="53"/>
      <c r="G48" s="54"/>
      <c r="H48" s="54"/>
      <c r="I48" s="54"/>
      <c r="J48" s="54"/>
      <c r="K48" s="53">
        <v>28</v>
      </c>
      <c r="L48" s="54">
        <v>60</v>
      </c>
      <c r="M48" s="54">
        <v>24</v>
      </c>
      <c r="N48" s="54">
        <v>86</v>
      </c>
      <c r="O48" s="54">
        <v>28500</v>
      </c>
      <c r="P48" s="53"/>
      <c r="Q48" s="54"/>
      <c r="R48" s="54"/>
      <c r="S48" s="54"/>
    </row>
    <row r="49" spans="1:20" x14ac:dyDescent="0.45">
      <c r="A49" s="6"/>
      <c r="B49" s="1"/>
      <c r="C49" s="1"/>
      <c r="D49" s="7"/>
      <c r="F49" s="6"/>
      <c r="G49" s="1"/>
      <c r="H49" s="1"/>
      <c r="I49" s="7"/>
      <c r="K49" s="6"/>
      <c r="L49" s="1"/>
      <c r="M49" s="1"/>
      <c r="N49" s="7"/>
      <c r="P49" s="6"/>
      <c r="Q49" s="1"/>
      <c r="R49" s="1"/>
      <c r="S49" s="7"/>
    </row>
    <row r="50" spans="1:20" x14ac:dyDescent="0.45">
      <c r="A50" s="6"/>
      <c r="B50" s="1"/>
      <c r="C50" s="1"/>
      <c r="D50" s="7"/>
      <c r="F50" s="6"/>
      <c r="G50" s="1"/>
      <c r="H50" s="1"/>
      <c r="I50" s="7"/>
      <c r="K50" s="6"/>
      <c r="L50" s="1"/>
      <c r="M50" s="1"/>
      <c r="N50" s="7"/>
      <c r="P50" s="6"/>
      <c r="Q50" s="1"/>
      <c r="R50" s="1"/>
      <c r="S50" s="7"/>
    </row>
    <row r="51" spans="1:20" x14ac:dyDescent="0.45">
      <c r="A51" s="6"/>
      <c r="B51" s="1"/>
      <c r="C51" s="1"/>
      <c r="D51" s="7"/>
      <c r="F51" s="6"/>
      <c r="G51" s="1"/>
      <c r="H51" s="1"/>
      <c r="I51" s="7"/>
      <c r="K51" s="6"/>
      <c r="L51" s="1"/>
      <c r="M51" s="1"/>
      <c r="N51" s="7"/>
      <c r="P51" s="6"/>
      <c r="Q51" s="1"/>
      <c r="R51" s="1"/>
      <c r="S51" s="7"/>
    </row>
    <row r="52" spans="1:20" ht="17.5" thickBot="1" x14ac:dyDescent="0.5">
      <c r="A52" s="8"/>
      <c r="B52" s="14"/>
      <c r="C52" s="14"/>
      <c r="D52" s="2"/>
      <c r="F52" s="8"/>
      <c r="G52" s="14"/>
      <c r="H52" s="14"/>
      <c r="I52" s="2"/>
      <c r="K52" s="8"/>
      <c r="L52" s="14"/>
      <c r="M52" s="14"/>
      <c r="N52" s="2"/>
      <c r="P52" s="8"/>
      <c r="Q52" s="14"/>
      <c r="R52" s="14"/>
      <c r="S52" s="2"/>
    </row>
    <row r="61" spans="1:20" ht="17.5" thickBot="1" x14ac:dyDescent="0.5"/>
    <row r="62" spans="1:20" x14ac:dyDescent="0.45">
      <c r="A62" s="46" t="s">
        <v>16</v>
      </c>
      <c r="B62" s="47"/>
      <c r="C62" s="47"/>
      <c r="D62" s="48"/>
      <c r="F62" s="46" t="s">
        <v>17</v>
      </c>
      <c r="G62" s="47"/>
      <c r="H62" s="47"/>
      <c r="I62" s="48"/>
      <c r="K62" s="46" t="s">
        <v>18</v>
      </c>
      <c r="L62" s="47"/>
      <c r="M62" s="47"/>
      <c r="N62" s="48"/>
      <c r="P62" s="46" t="s">
        <v>61</v>
      </c>
      <c r="Q62" s="47"/>
      <c r="R62" s="47"/>
      <c r="S62" s="48"/>
    </row>
    <row r="63" spans="1:20" x14ac:dyDescent="0.45">
      <c r="A63" s="6" t="s">
        <v>9</v>
      </c>
      <c r="B63" s="1"/>
      <c r="C63" s="1"/>
      <c r="D63" s="7" t="s">
        <v>10</v>
      </c>
      <c r="F63" s="6" t="s">
        <v>9</v>
      </c>
      <c r="G63" s="1"/>
      <c r="H63" s="1"/>
      <c r="I63" s="7" t="s">
        <v>10</v>
      </c>
      <c r="K63" s="6" t="s">
        <v>9</v>
      </c>
      <c r="L63" s="1"/>
      <c r="M63" s="1"/>
      <c r="N63" s="7" t="s">
        <v>10</v>
      </c>
      <c r="P63" s="6" t="s">
        <v>9</v>
      </c>
      <c r="Q63" s="1"/>
      <c r="R63" s="1"/>
      <c r="S63" s="7" t="s">
        <v>10</v>
      </c>
    </row>
    <row r="64" spans="1:20" x14ac:dyDescent="0.45">
      <c r="A64" s="53">
        <v>73</v>
      </c>
      <c r="B64" s="54">
        <v>141</v>
      </c>
      <c r="C64" s="54">
        <v>41</v>
      </c>
      <c r="D64" s="54">
        <v>184</v>
      </c>
      <c r="E64" s="54">
        <v>184</v>
      </c>
      <c r="F64" s="53">
        <v>77</v>
      </c>
      <c r="G64" s="54">
        <v>178</v>
      </c>
      <c r="H64" s="54">
        <v>49</v>
      </c>
      <c r="I64" s="54">
        <v>229</v>
      </c>
      <c r="J64" s="54">
        <v>229</v>
      </c>
      <c r="K64" s="53">
        <v>81</v>
      </c>
      <c r="L64" s="54">
        <v>27</v>
      </c>
      <c r="M64" s="54">
        <v>6</v>
      </c>
      <c r="N64" s="54">
        <v>34</v>
      </c>
      <c r="O64" s="54">
        <v>34</v>
      </c>
      <c r="P64" s="53">
        <v>72</v>
      </c>
      <c r="Q64" s="54">
        <v>133</v>
      </c>
      <c r="R64" s="54">
        <v>161</v>
      </c>
      <c r="S64" s="54">
        <v>295</v>
      </c>
      <c r="T64" s="54">
        <v>295</v>
      </c>
    </row>
    <row r="65" spans="1:20" x14ac:dyDescent="0.45">
      <c r="A65" s="53">
        <v>71</v>
      </c>
      <c r="B65" s="54">
        <v>92</v>
      </c>
      <c r="C65" s="54">
        <v>35</v>
      </c>
      <c r="D65" s="54">
        <v>127</v>
      </c>
      <c r="E65" s="54">
        <v>311</v>
      </c>
      <c r="F65" s="53">
        <v>75</v>
      </c>
      <c r="G65" s="54">
        <v>43</v>
      </c>
      <c r="H65" s="54">
        <v>20</v>
      </c>
      <c r="I65" s="54">
        <v>64</v>
      </c>
      <c r="J65" s="54">
        <v>293</v>
      </c>
      <c r="K65" s="53">
        <v>79</v>
      </c>
      <c r="L65" s="54">
        <v>22</v>
      </c>
      <c r="M65" s="54">
        <v>11</v>
      </c>
      <c r="N65" s="54">
        <v>35</v>
      </c>
      <c r="O65" s="54">
        <v>69</v>
      </c>
      <c r="P65" s="53">
        <v>70</v>
      </c>
      <c r="Q65" s="54">
        <v>120</v>
      </c>
      <c r="R65" s="54">
        <v>208</v>
      </c>
      <c r="S65" s="54">
        <v>331</v>
      </c>
      <c r="T65" s="54">
        <v>626</v>
      </c>
    </row>
    <row r="66" spans="1:20" x14ac:dyDescent="0.45">
      <c r="A66" s="53">
        <v>70</v>
      </c>
      <c r="B66" s="54">
        <v>66</v>
      </c>
      <c r="C66" s="54">
        <v>25</v>
      </c>
      <c r="D66" s="54">
        <v>91</v>
      </c>
      <c r="E66" s="54">
        <v>402</v>
      </c>
      <c r="F66" s="53">
        <v>74</v>
      </c>
      <c r="G66" s="54">
        <v>156</v>
      </c>
      <c r="H66" s="54">
        <v>59</v>
      </c>
      <c r="I66" s="54">
        <v>216</v>
      </c>
      <c r="J66" s="54">
        <v>509</v>
      </c>
      <c r="K66" s="53">
        <v>78</v>
      </c>
      <c r="L66" s="54">
        <v>28</v>
      </c>
      <c r="M66" s="54">
        <v>9</v>
      </c>
      <c r="N66" s="54">
        <v>38</v>
      </c>
      <c r="O66" s="54">
        <v>107</v>
      </c>
      <c r="P66" s="53">
        <v>69</v>
      </c>
      <c r="Q66" s="54">
        <v>85</v>
      </c>
      <c r="R66" s="54">
        <v>88</v>
      </c>
      <c r="S66" s="54">
        <v>174</v>
      </c>
      <c r="T66" s="54">
        <v>800</v>
      </c>
    </row>
    <row r="67" spans="1:20" x14ac:dyDescent="0.45">
      <c r="A67" s="53">
        <v>69</v>
      </c>
      <c r="B67" s="54">
        <v>170</v>
      </c>
      <c r="C67" s="54">
        <v>85</v>
      </c>
      <c r="D67" s="54">
        <v>259</v>
      </c>
      <c r="E67" s="54">
        <v>661</v>
      </c>
      <c r="F67" s="53">
        <v>73</v>
      </c>
      <c r="G67" s="54">
        <v>20</v>
      </c>
      <c r="H67" s="54">
        <v>6</v>
      </c>
      <c r="I67" s="54">
        <v>26</v>
      </c>
      <c r="J67" s="54">
        <v>535</v>
      </c>
      <c r="K67" s="53">
        <v>77</v>
      </c>
      <c r="L67" s="54">
        <v>12</v>
      </c>
      <c r="M67" s="54">
        <v>5</v>
      </c>
      <c r="N67" s="54">
        <v>17</v>
      </c>
      <c r="O67" s="54">
        <v>124</v>
      </c>
      <c r="P67" s="53">
        <v>68</v>
      </c>
      <c r="Q67" s="54">
        <v>259</v>
      </c>
      <c r="R67" s="54">
        <v>393</v>
      </c>
      <c r="S67" s="54">
        <v>656</v>
      </c>
      <c r="T67" s="54">
        <v>1456</v>
      </c>
    </row>
    <row r="68" spans="1:20" x14ac:dyDescent="0.45">
      <c r="A68" s="53">
        <v>68</v>
      </c>
      <c r="B68" s="54">
        <v>57</v>
      </c>
      <c r="C68" s="54">
        <v>37</v>
      </c>
      <c r="D68" s="54">
        <v>94</v>
      </c>
      <c r="E68" s="54">
        <v>755</v>
      </c>
      <c r="F68" s="53">
        <v>72</v>
      </c>
      <c r="G68" s="54">
        <v>85</v>
      </c>
      <c r="H68" s="54">
        <v>30</v>
      </c>
      <c r="I68" s="54">
        <v>115</v>
      </c>
      <c r="J68" s="54">
        <v>650</v>
      </c>
      <c r="K68" s="53">
        <v>76</v>
      </c>
      <c r="L68" s="54">
        <v>51</v>
      </c>
      <c r="M68" s="54">
        <v>16</v>
      </c>
      <c r="N68" s="54">
        <v>67</v>
      </c>
      <c r="O68" s="54">
        <v>191</v>
      </c>
      <c r="P68" s="53">
        <v>67</v>
      </c>
      <c r="Q68" s="54">
        <v>119</v>
      </c>
      <c r="R68" s="54">
        <v>199</v>
      </c>
      <c r="S68" s="54">
        <v>321</v>
      </c>
      <c r="T68" s="54">
        <v>1777</v>
      </c>
    </row>
    <row r="69" spans="1:20" x14ac:dyDescent="0.45">
      <c r="A69" s="53">
        <v>67</v>
      </c>
      <c r="B69" s="54">
        <v>82</v>
      </c>
      <c r="C69" s="54">
        <v>53</v>
      </c>
      <c r="D69" s="54">
        <v>135</v>
      </c>
      <c r="E69" s="54">
        <v>890</v>
      </c>
      <c r="F69" s="53">
        <v>71</v>
      </c>
      <c r="G69" s="54">
        <v>144</v>
      </c>
      <c r="H69" s="54">
        <v>39</v>
      </c>
      <c r="I69" s="54">
        <v>185</v>
      </c>
      <c r="J69" s="54">
        <v>835</v>
      </c>
      <c r="K69" s="53">
        <v>75</v>
      </c>
      <c r="L69" s="54">
        <v>28</v>
      </c>
      <c r="M69" s="54">
        <v>8</v>
      </c>
      <c r="N69" s="54">
        <v>37</v>
      </c>
      <c r="O69" s="54">
        <v>228</v>
      </c>
      <c r="P69" s="53">
        <v>66</v>
      </c>
      <c r="Q69" s="54">
        <v>174</v>
      </c>
      <c r="R69" s="54">
        <v>363</v>
      </c>
      <c r="S69" s="54">
        <v>542</v>
      </c>
      <c r="T69" s="54">
        <v>2319</v>
      </c>
    </row>
    <row r="70" spans="1:20" x14ac:dyDescent="0.45">
      <c r="A70" s="53">
        <v>66</v>
      </c>
      <c r="B70" s="54">
        <v>164</v>
      </c>
      <c r="C70" s="54">
        <v>114</v>
      </c>
      <c r="D70" s="54">
        <v>281</v>
      </c>
      <c r="E70" s="54">
        <v>1171</v>
      </c>
      <c r="F70" s="53">
        <v>70</v>
      </c>
      <c r="G70" s="54">
        <v>165</v>
      </c>
      <c r="H70" s="54">
        <v>74</v>
      </c>
      <c r="I70" s="54">
        <v>241</v>
      </c>
      <c r="J70" s="54">
        <v>1076</v>
      </c>
      <c r="K70" s="53">
        <v>74</v>
      </c>
      <c r="L70" s="54">
        <v>51</v>
      </c>
      <c r="M70" s="54">
        <v>14</v>
      </c>
      <c r="N70" s="54">
        <v>65</v>
      </c>
      <c r="O70" s="54">
        <v>293</v>
      </c>
      <c r="P70" s="53">
        <v>65</v>
      </c>
      <c r="Q70" s="54">
        <v>120</v>
      </c>
      <c r="R70" s="54">
        <v>258</v>
      </c>
      <c r="S70" s="54">
        <v>382</v>
      </c>
      <c r="T70" s="54">
        <v>2701</v>
      </c>
    </row>
    <row r="71" spans="1:20" x14ac:dyDescent="0.45">
      <c r="A71" s="53">
        <v>65</v>
      </c>
      <c r="B71" s="54">
        <v>81</v>
      </c>
      <c r="C71" s="54">
        <v>57</v>
      </c>
      <c r="D71" s="54">
        <v>139</v>
      </c>
      <c r="E71" s="54">
        <v>1310</v>
      </c>
      <c r="F71" s="53">
        <v>69</v>
      </c>
      <c r="G71" s="54">
        <v>92</v>
      </c>
      <c r="H71" s="54">
        <v>42</v>
      </c>
      <c r="I71" s="54">
        <v>136</v>
      </c>
      <c r="J71" s="54">
        <v>1212</v>
      </c>
      <c r="K71" s="53">
        <v>73</v>
      </c>
      <c r="L71" s="54">
        <v>58</v>
      </c>
      <c r="M71" s="54">
        <v>26</v>
      </c>
      <c r="N71" s="54">
        <v>88</v>
      </c>
      <c r="O71" s="54">
        <v>381</v>
      </c>
      <c r="P71" s="53">
        <v>64</v>
      </c>
      <c r="Q71" s="54">
        <v>178</v>
      </c>
      <c r="R71" s="54">
        <v>386</v>
      </c>
      <c r="S71" s="54">
        <v>567</v>
      </c>
      <c r="T71" s="54">
        <v>3268</v>
      </c>
    </row>
    <row r="72" spans="1:20" x14ac:dyDescent="0.45">
      <c r="A72" s="53">
        <v>64</v>
      </c>
      <c r="B72" s="54">
        <v>70</v>
      </c>
      <c r="C72" s="54">
        <v>63</v>
      </c>
      <c r="D72" s="54">
        <v>134</v>
      </c>
      <c r="E72" s="54">
        <v>1444</v>
      </c>
      <c r="F72" s="53">
        <v>68</v>
      </c>
      <c r="G72" s="54">
        <v>88</v>
      </c>
      <c r="H72" s="54">
        <v>47</v>
      </c>
      <c r="I72" s="54">
        <v>135</v>
      </c>
      <c r="J72" s="54">
        <v>1347</v>
      </c>
      <c r="K72" s="53">
        <v>72</v>
      </c>
      <c r="L72" s="54">
        <v>30</v>
      </c>
      <c r="M72" s="54">
        <v>10</v>
      </c>
      <c r="N72" s="54">
        <v>41</v>
      </c>
      <c r="O72" s="54">
        <v>422</v>
      </c>
      <c r="P72" s="53">
        <v>63</v>
      </c>
      <c r="Q72" s="54">
        <v>390</v>
      </c>
      <c r="R72" s="54">
        <v>719</v>
      </c>
      <c r="S72" s="54">
        <v>1126</v>
      </c>
      <c r="T72" s="54">
        <v>4394</v>
      </c>
    </row>
    <row r="73" spans="1:20" x14ac:dyDescent="0.45">
      <c r="A73" s="53">
        <v>63</v>
      </c>
      <c r="B73" s="54">
        <v>72</v>
      </c>
      <c r="C73" s="54">
        <v>61</v>
      </c>
      <c r="D73" s="54">
        <v>135</v>
      </c>
      <c r="E73" s="54">
        <v>1579</v>
      </c>
      <c r="F73" s="53">
        <v>67</v>
      </c>
      <c r="G73" s="54">
        <v>142</v>
      </c>
      <c r="H73" s="54">
        <v>86</v>
      </c>
      <c r="I73" s="54">
        <v>229</v>
      </c>
      <c r="J73" s="54">
        <v>1576</v>
      </c>
      <c r="K73" s="53">
        <v>71</v>
      </c>
      <c r="L73" s="54">
        <v>55</v>
      </c>
      <c r="M73" s="54">
        <v>41</v>
      </c>
      <c r="N73" s="54">
        <v>98</v>
      </c>
      <c r="O73" s="54">
        <v>520</v>
      </c>
      <c r="P73" s="53">
        <v>62</v>
      </c>
      <c r="Q73" s="54">
        <v>240</v>
      </c>
      <c r="R73" s="54">
        <v>529</v>
      </c>
      <c r="S73" s="54">
        <v>778</v>
      </c>
      <c r="T73" s="54">
        <v>5172</v>
      </c>
    </row>
    <row r="74" spans="1:20" x14ac:dyDescent="0.45">
      <c r="A74" s="53">
        <v>62</v>
      </c>
      <c r="B74" s="54">
        <v>159</v>
      </c>
      <c r="C74" s="54">
        <v>131</v>
      </c>
      <c r="D74" s="54">
        <v>290</v>
      </c>
      <c r="E74" s="54">
        <v>1869</v>
      </c>
      <c r="F74" s="53">
        <v>66</v>
      </c>
      <c r="G74" s="54">
        <v>97</v>
      </c>
      <c r="H74" s="54">
        <v>50</v>
      </c>
      <c r="I74" s="54">
        <v>149</v>
      </c>
      <c r="J74" s="54">
        <v>1725</v>
      </c>
      <c r="K74" s="53">
        <v>70</v>
      </c>
      <c r="L74" s="54">
        <v>66</v>
      </c>
      <c r="M74" s="54">
        <v>39</v>
      </c>
      <c r="N74" s="54">
        <v>109</v>
      </c>
      <c r="O74" s="54">
        <v>629</v>
      </c>
      <c r="P74" s="53">
        <v>61</v>
      </c>
      <c r="Q74" s="54">
        <v>202</v>
      </c>
      <c r="R74" s="54">
        <v>363</v>
      </c>
      <c r="S74" s="54">
        <v>566</v>
      </c>
      <c r="T74" s="54">
        <v>5738</v>
      </c>
    </row>
    <row r="75" spans="1:20" x14ac:dyDescent="0.45">
      <c r="A75" s="53">
        <v>61</v>
      </c>
      <c r="B75" s="54">
        <v>91</v>
      </c>
      <c r="C75" s="54">
        <v>89</v>
      </c>
      <c r="D75" s="54">
        <v>180</v>
      </c>
      <c r="E75" s="54">
        <v>2049</v>
      </c>
      <c r="F75" s="53">
        <v>65</v>
      </c>
      <c r="G75" s="54">
        <v>129</v>
      </c>
      <c r="H75" s="54">
        <v>85</v>
      </c>
      <c r="I75" s="54">
        <v>215</v>
      </c>
      <c r="J75" s="54">
        <v>1940</v>
      </c>
      <c r="K75" s="53">
        <v>69</v>
      </c>
      <c r="L75" s="54">
        <v>54</v>
      </c>
      <c r="M75" s="54">
        <v>26</v>
      </c>
      <c r="N75" s="54">
        <v>82</v>
      </c>
      <c r="O75" s="54">
        <v>711</v>
      </c>
      <c r="P75" s="53">
        <v>60</v>
      </c>
      <c r="Q75" s="54">
        <v>261</v>
      </c>
      <c r="R75" s="54">
        <v>594</v>
      </c>
      <c r="S75" s="54">
        <v>862</v>
      </c>
      <c r="T75" s="54">
        <v>6600</v>
      </c>
    </row>
    <row r="76" spans="1:20" x14ac:dyDescent="0.45">
      <c r="A76" s="53">
        <v>60</v>
      </c>
      <c r="B76" s="54">
        <v>78</v>
      </c>
      <c r="C76" s="54">
        <v>103</v>
      </c>
      <c r="D76" s="54">
        <v>181</v>
      </c>
      <c r="E76" s="54">
        <v>2230</v>
      </c>
      <c r="F76" s="53">
        <v>64</v>
      </c>
      <c r="G76" s="54">
        <v>140</v>
      </c>
      <c r="H76" s="54">
        <v>69</v>
      </c>
      <c r="I76" s="54">
        <v>211</v>
      </c>
      <c r="J76" s="54">
        <v>2151</v>
      </c>
      <c r="K76" s="53">
        <v>68</v>
      </c>
      <c r="L76" s="54">
        <v>72</v>
      </c>
      <c r="M76" s="54">
        <v>56</v>
      </c>
      <c r="N76" s="54">
        <v>129</v>
      </c>
      <c r="O76" s="54">
        <v>840</v>
      </c>
      <c r="P76" s="53">
        <v>59</v>
      </c>
      <c r="Q76" s="54">
        <v>251</v>
      </c>
      <c r="R76" s="54">
        <v>537</v>
      </c>
      <c r="S76" s="54">
        <v>792</v>
      </c>
      <c r="T76" s="54">
        <v>7392</v>
      </c>
    </row>
    <row r="77" spans="1:20" x14ac:dyDescent="0.45">
      <c r="A77" s="53">
        <v>59</v>
      </c>
      <c r="B77" s="54">
        <v>76</v>
      </c>
      <c r="C77" s="54">
        <v>91</v>
      </c>
      <c r="D77" s="54">
        <v>170</v>
      </c>
      <c r="E77" s="54">
        <v>2400</v>
      </c>
      <c r="F77" s="53">
        <v>63</v>
      </c>
      <c r="G77" s="54">
        <v>127</v>
      </c>
      <c r="H77" s="54">
        <v>84</v>
      </c>
      <c r="I77" s="54">
        <v>212</v>
      </c>
      <c r="J77" s="54">
        <v>2363</v>
      </c>
      <c r="K77" s="53">
        <v>67</v>
      </c>
      <c r="L77" s="54">
        <v>57</v>
      </c>
      <c r="M77" s="54">
        <v>46</v>
      </c>
      <c r="N77" s="54">
        <v>104</v>
      </c>
      <c r="O77" s="54">
        <v>944</v>
      </c>
      <c r="P77" s="53">
        <v>58</v>
      </c>
      <c r="Q77" s="54">
        <v>567</v>
      </c>
      <c r="R77" s="54">
        <v>1118</v>
      </c>
      <c r="S77" s="54">
        <v>1696</v>
      </c>
      <c r="T77" s="54">
        <v>9088</v>
      </c>
    </row>
    <row r="78" spans="1:20" x14ac:dyDescent="0.45">
      <c r="A78" s="53">
        <v>58</v>
      </c>
      <c r="B78" s="54">
        <v>165</v>
      </c>
      <c r="C78" s="54">
        <v>179</v>
      </c>
      <c r="D78" s="54">
        <v>347</v>
      </c>
      <c r="E78" s="54">
        <v>2747</v>
      </c>
      <c r="F78" s="53">
        <v>62</v>
      </c>
      <c r="G78" s="54">
        <v>179</v>
      </c>
      <c r="H78" s="54">
        <v>122</v>
      </c>
      <c r="I78" s="54">
        <v>302</v>
      </c>
      <c r="J78" s="54">
        <v>2665</v>
      </c>
      <c r="K78" s="53">
        <v>66</v>
      </c>
      <c r="L78" s="54">
        <v>91</v>
      </c>
      <c r="M78" s="54">
        <v>51</v>
      </c>
      <c r="N78" s="54">
        <v>142</v>
      </c>
      <c r="O78" s="54">
        <v>1086</v>
      </c>
      <c r="P78" s="53">
        <v>57</v>
      </c>
      <c r="Q78" s="54">
        <v>258</v>
      </c>
      <c r="R78" s="54">
        <v>496</v>
      </c>
      <c r="S78" s="54">
        <v>763</v>
      </c>
      <c r="T78" s="54">
        <v>9851</v>
      </c>
    </row>
    <row r="79" spans="1:20" x14ac:dyDescent="0.45">
      <c r="A79" s="53">
        <v>57</v>
      </c>
      <c r="B79" s="54">
        <v>80</v>
      </c>
      <c r="C79" s="54">
        <v>116</v>
      </c>
      <c r="D79" s="54">
        <v>199</v>
      </c>
      <c r="E79" s="54">
        <v>2946</v>
      </c>
      <c r="F79" s="53">
        <v>61</v>
      </c>
      <c r="G79" s="54">
        <v>153</v>
      </c>
      <c r="H79" s="54">
        <v>99</v>
      </c>
      <c r="I79" s="54">
        <v>252</v>
      </c>
      <c r="J79" s="54">
        <v>2917</v>
      </c>
      <c r="K79" s="53">
        <v>65</v>
      </c>
      <c r="L79" s="54">
        <v>114</v>
      </c>
      <c r="M79" s="54">
        <v>73</v>
      </c>
      <c r="N79" s="54">
        <v>187</v>
      </c>
      <c r="O79" s="54">
        <v>1273</v>
      </c>
      <c r="P79" s="53">
        <v>56</v>
      </c>
      <c r="Q79" s="54">
        <v>331</v>
      </c>
      <c r="R79" s="54">
        <v>673</v>
      </c>
      <c r="S79" s="54">
        <v>1013</v>
      </c>
      <c r="T79" s="54">
        <v>10864</v>
      </c>
    </row>
    <row r="80" spans="1:20" x14ac:dyDescent="0.45">
      <c r="A80" s="53">
        <v>56</v>
      </c>
      <c r="B80" s="54">
        <v>89</v>
      </c>
      <c r="C80" s="54">
        <v>112</v>
      </c>
      <c r="D80" s="54">
        <v>202</v>
      </c>
      <c r="E80" s="54">
        <v>3148</v>
      </c>
      <c r="F80" s="53">
        <v>60</v>
      </c>
      <c r="G80" s="54">
        <v>160</v>
      </c>
      <c r="H80" s="54">
        <v>162</v>
      </c>
      <c r="I80" s="54">
        <v>324</v>
      </c>
      <c r="J80" s="54">
        <v>3241</v>
      </c>
      <c r="K80" s="53">
        <v>64</v>
      </c>
      <c r="L80" s="54">
        <v>89</v>
      </c>
      <c r="M80" s="54">
        <v>59</v>
      </c>
      <c r="N80" s="54">
        <v>149</v>
      </c>
      <c r="O80" s="54">
        <v>1422</v>
      </c>
      <c r="P80" s="53">
        <v>55</v>
      </c>
      <c r="Q80" s="54">
        <v>299</v>
      </c>
      <c r="R80" s="54">
        <v>553</v>
      </c>
      <c r="S80" s="54">
        <v>857</v>
      </c>
      <c r="T80" s="54">
        <v>11721</v>
      </c>
    </row>
    <row r="81" spans="1:20" x14ac:dyDescent="0.45">
      <c r="A81" s="53">
        <v>55</v>
      </c>
      <c r="B81" s="54">
        <v>93</v>
      </c>
      <c r="C81" s="54">
        <v>129</v>
      </c>
      <c r="D81" s="54">
        <v>224</v>
      </c>
      <c r="E81" s="54">
        <v>3372</v>
      </c>
      <c r="F81" s="53">
        <v>59</v>
      </c>
      <c r="G81" s="54">
        <v>180</v>
      </c>
      <c r="H81" s="54">
        <v>148</v>
      </c>
      <c r="I81" s="54">
        <v>329</v>
      </c>
      <c r="J81" s="54">
        <v>3570</v>
      </c>
      <c r="K81" s="53">
        <v>63</v>
      </c>
      <c r="L81" s="54">
        <v>124</v>
      </c>
      <c r="M81" s="54">
        <v>99</v>
      </c>
      <c r="N81" s="54">
        <v>228</v>
      </c>
      <c r="O81" s="54">
        <v>1650</v>
      </c>
      <c r="P81" s="53">
        <v>54</v>
      </c>
      <c r="Q81" s="54">
        <v>242</v>
      </c>
      <c r="R81" s="54">
        <v>578</v>
      </c>
      <c r="S81" s="54">
        <v>827</v>
      </c>
      <c r="T81" s="54">
        <v>12548</v>
      </c>
    </row>
    <row r="82" spans="1:20" x14ac:dyDescent="0.45">
      <c r="A82" s="53">
        <v>54</v>
      </c>
      <c r="B82" s="54">
        <v>199</v>
      </c>
      <c r="C82" s="54">
        <v>214</v>
      </c>
      <c r="D82" s="54">
        <v>416</v>
      </c>
      <c r="E82" s="54">
        <v>3788</v>
      </c>
      <c r="F82" s="53">
        <v>58</v>
      </c>
      <c r="G82" s="54">
        <v>183</v>
      </c>
      <c r="H82" s="54">
        <v>146</v>
      </c>
      <c r="I82" s="54">
        <v>329</v>
      </c>
      <c r="J82" s="54">
        <v>3899</v>
      </c>
      <c r="K82" s="53">
        <v>62</v>
      </c>
      <c r="L82" s="54">
        <v>128</v>
      </c>
      <c r="M82" s="54">
        <v>86</v>
      </c>
      <c r="N82" s="54">
        <v>220</v>
      </c>
      <c r="O82" s="54">
        <v>1870</v>
      </c>
      <c r="P82" s="53">
        <v>53</v>
      </c>
      <c r="Q82" s="54">
        <v>727</v>
      </c>
      <c r="R82" s="54">
        <v>1169</v>
      </c>
      <c r="S82" s="54">
        <v>1913</v>
      </c>
      <c r="T82" s="54">
        <v>14461</v>
      </c>
    </row>
    <row r="83" spans="1:20" x14ac:dyDescent="0.45">
      <c r="A83" s="53">
        <v>53</v>
      </c>
      <c r="B83" s="54">
        <v>111</v>
      </c>
      <c r="C83" s="54">
        <v>151</v>
      </c>
      <c r="D83" s="54">
        <v>264</v>
      </c>
      <c r="E83" s="54">
        <v>4052</v>
      </c>
      <c r="F83" s="53">
        <v>57</v>
      </c>
      <c r="G83" s="54">
        <v>413</v>
      </c>
      <c r="H83" s="54">
        <v>387</v>
      </c>
      <c r="I83" s="54">
        <v>802</v>
      </c>
      <c r="J83" s="54">
        <v>4701</v>
      </c>
      <c r="K83" s="53">
        <v>61</v>
      </c>
      <c r="L83" s="54">
        <v>121</v>
      </c>
      <c r="M83" s="54">
        <v>85</v>
      </c>
      <c r="N83" s="54">
        <v>208</v>
      </c>
      <c r="O83" s="54">
        <v>2078</v>
      </c>
      <c r="P83" s="53">
        <v>52</v>
      </c>
      <c r="Q83" s="54">
        <v>348</v>
      </c>
      <c r="R83" s="54">
        <v>618</v>
      </c>
      <c r="S83" s="54">
        <v>975</v>
      </c>
      <c r="T83" s="54">
        <v>15436</v>
      </c>
    </row>
    <row r="84" spans="1:20" x14ac:dyDescent="0.45">
      <c r="A84" s="53">
        <v>52</v>
      </c>
      <c r="B84" s="54">
        <v>103</v>
      </c>
      <c r="C84" s="54">
        <v>135</v>
      </c>
      <c r="D84" s="54">
        <v>239</v>
      </c>
      <c r="E84" s="54">
        <v>4291</v>
      </c>
      <c r="F84" s="53">
        <v>56</v>
      </c>
      <c r="G84" s="54">
        <v>246</v>
      </c>
      <c r="H84" s="54">
        <v>215</v>
      </c>
      <c r="I84" s="54">
        <v>463</v>
      </c>
      <c r="J84" s="54">
        <v>5164</v>
      </c>
      <c r="K84" s="53">
        <v>60</v>
      </c>
      <c r="L84" s="54">
        <v>112</v>
      </c>
      <c r="M84" s="54">
        <v>109</v>
      </c>
      <c r="N84" s="54">
        <v>223</v>
      </c>
      <c r="O84" s="54">
        <v>2301</v>
      </c>
      <c r="P84" s="53">
        <v>51</v>
      </c>
      <c r="Q84" s="54">
        <v>359</v>
      </c>
      <c r="R84" s="54">
        <v>603</v>
      </c>
      <c r="S84" s="54">
        <v>971</v>
      </c>
      <c r="T84" s="54">
        <v>16407</v>
      </c>
    </row>
    <row r="85" spans="1:20" x14ac:dyDescent="0.45">
      <c r="A85" s="53">
        <v>51</v>
      </c>
      <c r="B85" s="54">
        <v>101</v>
      </c>
      <c r="C85" s="54">
        <v>153</v>
      </c>
      <c r="D85" s="54">
        <v>254</v>
      </c>
      <c r="E85" s="54">
        <v>4545</v>
      </c>
      <c r="F85" s="53">
        <v>55</v>
      </c>
      <c r="G85" s="54">
        <v>258</v>
      </c>
      <c r="H85" s="54">
        <v>234</v>
      </c>
      <c r="I85" s="54">
        <v>496</v>
      </c>
      <c r="J85" s="54">
        <v>5660</v>
      </c>
      <c r="K85" s="53">
        <v>58</v>
      </c>
      <c r="L85" s="54">
        <v>140</v>
      </c>
      <c r="M85" s="54">
        <v>104</v>
      </c>
      <c r="N85" s="54">
        <v>244</v>
      </c>
      <c r="O85" s="54">
        <v>2545</v>
      </c>
      <c r="P85" s="53">
        <v>50</v>
      </c>
      <c r="Q85" s="54">
        <v>321</v>
      </c>
      <c r="R85" s="54">
        <v>536</v>
      </c>
      <c r="S85" s="54">
        <v>862</v>
      </c>
      <c r="T85" s="54">
        <v>17269</v>
      </c>
    </row>
    <row r="86" spans="1:20" x14ac:dyDescent="0.45">
      <c r="A86" s="53">
        <v>50</v>
      </c>
      <c r="B86" s="54">
        <v>206</v>
      </c>
      <c r="C86" s="54">
        <v>271</v>
      </c>
      <c r="D86" s="54">
        <v>484</v>
      </c>
      <c r="E86" s="54">
        <v>5029</v>
      </c>
      <c r="F86" s="53">
        <v>54</v>
      </c>
      <c r="G86" s="54">
        <v>229</v>
      </c>
      <c r="H86" s="54">
        <v>238</v>
      </c>
      <c r="I86" s="54">
        <v>470</v>
      </c>
      <c r="J86" s="54">
        <v>6130</v>
      </c>
      <c r="K86" s="53">
        <v>57</v>
      </c>
      <c r="L86" s="54">
        <v>174</v>
      </c>
      <c r="M86" s="54">
        <v>128</v>
      </c>
      <c r="N86" s="54">
        <v>302</v>
      </c>
      <c r="O86" s="54">
        <v>2847</v>
      </c>
      <c r="P86" s="53">
        <v>49</v>
      </c>
      <c r="Q86" s="54">
        <v>366</v>
      </c>
      <c r="R86" s="54">
        <v>632</v>
      </c>
      <c r="S86" s="54">
        <v>1005</v>
      </c>
      <c r="T86" s="54">
        <v>18274</v>
      </c>
    </row>
    <row r="87" spans="1:20" x14ac:dyDescent="0.45">
      <c r="A87" s="53">
        <v>49</v>
      </c>
      <c r="B87" s="54">
        <v>143</v>
      </c>
      <c r="C87" s="54">
        <v>154</v>
      </c>
      <c r="D87" s="54">
        <v>298</v>
      </c>
      <c r="E87" s="54">
        <v>5327</v>
      </c>
      <c r="F87" s="53">
        <v>53</v>
      </c>
      <c r="G87" s="54">
        <v>268</v>
      </c>
      <c r="H87" s="54">
        <v>303</v>
      </c>
      <c r="I87" s="54">
        <v>575</v>
      </c>
      <c r="J87" s="54">
        <v>6705</v>
      </c>
      <c r="K87" s="53">
        <v>56</v>
      </c>
      <c r="L87" s="54">
        <v>168</v>
      </c>
      <c r="M87" s="54">
        <v>115</v>
      </c>
      <c r="N87" s="54">
        <v>284</v>
      </c>
      <c r="O87" s="54">
        <v>3131</v>
      </c>
      <c r="P87" s="53">
        <v>48</v>
      </c>
      <c r="Q87" s="54">
        <v>632</v>
      </c>
      <c r="R87" s="54">
        <v>999</v>
      </c>
      <c r="S87" s="54">
        <v>1644</v>
      </c>
      <c r="T87" s="54">
        <v>19918</v>
      </c>
    </row>
    <row r="88" spans="1:20" x14ac:dyDescent="0.45">
      <c r="A88" s="53">
        <v>48</v>
      </c>
      <c r="B88" s="54">
        <v>137</v>
      </c>
      <c r="C88" s="54">
        <v>148</v>
      </c>
      <c r="D88" s="54">
        <v>288</v>
      </c>
      <c r="E88" s="54">
        <v>5615</v>
      </c>
      <c r="F88" s="53">
        <v>52</v>
      </c>
      <c r="G88" s="54">
        <v>264</v>
      </c>
      <c r="H88" s="54">
        <v>291</v>
      </c>
      <c r="I88" s="54">
        <v>557</v>
      </c>
      <c r="J88" s="54">
        <v>7262</v>
      </c>
      <c r="K88" s="53">
        <v>55</v>
      </c>
      <c r="L88" s="54">
        <v>171</v>
      </c>
      <c r="M88" s="54">
        <v>131</v>
      </c>
      <c r="N88" s="54">
        <v>306</v>
      </c>
      <c r="O88" s="54">
        <v>3437</v>
      </c>
      <c r="P88" s="53">
        <v>47</v>
      </c>
      <c r="Q88" s="54">
        <v>338</v>
      </c>
      <c r="R88" s="54">
        <v>495</v>
      </c>
      <c r="S88" s="54">
        <v>844</v>
      </c>
      <c r="T88" s="54">
        <v>20762</v>
      </c>
    </row>
    <row r="89" spans="1:20" x14ac:dyDescent="0.45">
      <c r="A89" s="53">
        <v>47</v>
      </c>
      <c r="B89" s="54">
        <v>273</v>
      </c>
      <c r="C89" s="54">
        <v>346</v>
      </c>
      <c r="D89" s="54">
        <v>623</v>
      </c>
      <c r="E89" s="54">
        <v>6238</v>
      </c>
      <c r="F89" s="53">
        <v>51</v>
      </c>
      <c r="G89" s="54">
        <v>278</v>
      </c>
      <c r="H89" s="54">
        <v>329</v>
      </c>
      <c r="I89" s="54">
        <v>611</v>
      </c>
      <c r="J89" s="54">
        <v>7873</v>
      </c>
      <c r="K89" s="53">
        <v>54</v>
      </c>
      <c r="L89" s="54">
        <v>203</v>
      </c>
      <c r="M89" s="54">
        <v>159</v>
      </c>
      <c r="N89" s="54">
        <v>373</v>
      </c>
      <c r="O89" s="54">
        <v>3810</v>
      </c>
      <c r="P89" s="53">
        <v>46</v>
      </c>
      <c r="Q89" s="54">
        <v>299</v>
      </c>
      <c r="R89" s="54">
        <v>445</v>
      </c>
      <c r="S89" s="54">
        <v>747</v>
      </c>
      <c r="T89" s="54">
        <v>21509</v>
      </c>
    </row>
    <row r="90" spans="1:20" x14ac:dyDescent="0.45">
      <c r="A90" s="53">
        <v>46</v>
      </c>
      <c r="B90" s="54">
        <v>140</v>
      </c>
      <c r="C90" s="54">
        <v>165</v>
      </c>
      <c r="D90" s="54">
        <v>310</v>
      </c>
      <c r="E90" s="54">
        <v>6548</v>
      </c>
      <c r="F90" s="53">
        <v>50</v>
      </c>
      <c r="G90" s="54">
        <v>271</v>
      </c>
      <c r="H90" s="54">
        <v>308</v>
      </c>
      <c r="I90" s="54">
        <v>584</v>
      </c>
      <c r="J90" s="54">
        <v>8457</v>
      </c>
      <c r="K90" s="53">
        <v>53</v>
      </c>
      <c r="L90" s="54">
        <v>187</v>
      </c>
      <c r="M90" s="54">
        <v>133</v>
      </c>
      <c r="N90" s="54">
        <v>325</v>
      </c>
      <c r="O90" s="54">
        <v>4135</v>
      </c>
      <c r="P90" s="53">
        <v>45</v>
      </c>
      <c r="Q90" s="54">
        <v>343</v>
      </c>
      <c r="R90" s="54">
        <v>490</v>
      </c>
      <c r="S90" s="54">
        <v>839</v>
      </c>
      <c r="T90" s="54">
        <v>22348</v>
      </c>
    </row>
    <row r="91" spans="1:20" x14ac:dyDescent="0.45">
      <c r="A91" s="53">
        <v>45</v>
      </c>
      <c r="B91" s="54">
        <v>203</v>
      </c>
      <c r="C91" s="54">
        <v>184</v>
      </c>
      <c r="D91" s="54">
        <v>390</v>
      </c>
      <c r="E91" s="54">
        <v>6938</v>
      </c>
      <c r="F91" s="53">
        <v>49</v>
      </c>
      <c r="G91" s="54">
        <v>300</v>
      </c>
      <c r="H91" s="54">
        <v>359</v>
      </c>
      <c r="I91" s="54">
        <v>665</v>
      </c>
      <c r="J91" s="54">
        <v>9122</v>
      </c>
      <c r="K91" s="53">
        <v>52</v>
      </c>
      <c r="L91" s="54">
        <v>224</v>
      </c>
      <c r="M91" s="54">
        <v>142</v>
      </c>
      <c r="N91" s="54">
        <v>370</v>
      </c>
      <c r="O91" s="54">
        <v>4505</v>
      </c>
      <c r="P91" s="53">
        <v>44</v>
      </c>
      <c r="Q91" s="54">
        <v>343</v>
      </c>
      <c r="R91" s="54">
        <v>470</v>
      </c>
      <c r="S91" s="54">
        <v>824</v>
      </c>
      <c r="T91" s="54">
        <v>23172</v>
      </c>
    </row>
    <row r="92" spans="1:20" x14ac:dyDescent="0.45">
      <c r="A92" s="53">
        <v>44</v>
      </c>
      <c r="B92" s="54">
        <v>154</v>
      </c>
      <c r="C92" s="54">
        <v>166</v>
      </c>
      <c r="D92" s="54">
        <v>322</v>
      </c>
      <c r="E92" s="54">
        <v>7260</v>
      </c>
      <c r="F92" s="53">
        <v>48</v>
      </c>
      <c r="G92" s="54">
        <v>269</v>
      </c>
      <c r="H92" s="54">
        <v>313</v>
      </c>
      <c r="I92" s="54">
        <v>586</v>
      </c>
      <c r="J92" s="54">
        <v>9708</v>
      </c>
      <c r="K92" s="53">
        <v>51</v>
      </c>
      <c r="L92" s="54">
        <v>234</v>
      </c>
      <c r="M92" s="54">
        <v>147</v>
      </c>
      <c r="N92" s="54">
        <v>386</v>
      </c>
      <c r="O92" s="54">
        <v>4891</v>
      </c>
      <c r="P92" s="53">
        <v>43</v>
      </c>
      <c r="Q92" s="54">
        <v>701</v>
      </c>
      <c r="R92" s="54">
        <v>810</v>
      </c>
      <c r="S92" s="54">
        <v>1530</v>
      </c>
      <c r="T92" s="54">
        <v>24702</v>
      </c>
    </row>
    <row r="93" spans="1:20" x14ac:dyDescent="0.45">
      <c r="A93" s="53">
        <v>43</v>
      </c>
      <c r="B93" s="54">
        <v>538</v>
      </c>
      <c r="C93" s="54">
        <v>453</v>
      </c>
      <c r="D93" s="54">
        <v>1006</v>
      </c>
      <c r="E93" s="54">
        <v>8266</v>
      </c>
      <c r="F93" s="53">
        <v>47</v>
      </c>
      <c r="G93" s="54">
        <v>281</v>
      </c>
      <c r="H93" s="54">
        <v>337</v>
      </c>
      <c r="I93" s="54">
        <v>620</v>
      </c>
      <c r="J93" s="54">
        <v>10328</v>
      </c>
      <c r="K93" s="53">
        <v>50</v>
      </c>
      <c r="L93" s="54">
        <v>213</v>
      </c>
      <c r="M93" s="54">
        <v>127</v>
      </c>
      <c r="N93" s="54">
        <v>344</v>
      </c>
      <c r="O93" s="54">
        <v>5235</v>
      </c>
      <c r="P93" s="53">
        <v>42</v>
      </c>
      <c r="Q93" s="54">
        <v>320</v>
      </c>
      <c r="R93" s="54">
        <v>303</v>
      </c>
      <c r="S93" s="54">
        <v>627</v>
      </c>
      <c r="T93" s="54">
        <v>25329</v>
      </c>
    </row>
    <row r="94" spans="1:20" x14ac:dyDescent="0.45">
      <c r="A94" s="53">
        <v>42</v>
      </c>
      <c r="B94" s="54">
        <v>299</v>
      </c>
      <c r="C94" s="54">
        <v>230</v>
      </c>
      <c r="D94" s="54">
        <v>536</v>
      </c>
      <c r="E94" s="54">
        <v>8802</v>
      </c>
      <c r="F94" s="53">
        <v>46</v>
      </c>
      <c r="G94" s="54">
        <v>324</v>
      </c>
      <c r="H94" s="54">
        <v>340</v>
      </c>
      <c r="I94" s="54">
        <v>672</v>
      </c>
      <c r="J94" s="54">
        <v>11000</v>
      </c>
      <c r="K94" s="53">
        <v>49</v>
      </c>
      <c r="L94" s="54">
        <v>264</v>
      </c>
      <c r="M94" s="54">
        <v>179</v>
      </c>
      <c r="N94" s="54">
        <v>449</v>
      </c>
      <c r="O94" s="54">
        <v>5684</v>
      </c>
      <c r="P94" s="53">
        <v>41</v>
      </c>
      <c r="Q94" s="54">
        <v>492</v>
      </c>
      <c r="R94" s="54">
        <v>438</v>
      </c>
      <c r="S94" s="54">
        <v>943</v>
      </c>
      <c r="T94" s="54">
        <v>26272</v>
      </c>
    </row>
    <row r="95" spans="1:20" x14ac:dyDescent="0.45">
      <c r="A95" s="53">
        <v>41</v>
      </c>
      <c r="B95" s="54">
        <v>172</v>
      </c>
      <c r="C95" s="54">
        <v>160</v>
      </c>
      <c r="D95" s="54">
        <v>335</v>
      </c>
      <c r="E95" s="54">
        <v>9137</v>
      </c>
      <c r="F95" s="53">
        <v>45</v>
      </c>
      <c r="G95" s="54">
        <v>269</v>
      </c>
      <c r="H95" s="54">
        <v>333</v>
      </c>
      <c r="I95" s="54">
        <v>608</v>
      </c>
      <c r="J95" s="54">
        <v>11608</v>
      </c>
      <c r="K95" s="53">
        <v>48</v>
      </c>
      <c r="L95" s="54">
        <v>249</v>
      </c>
      <c r="M95" s="54">
        <v>153</v>
      </c>
      <c r="N95" s="54">
        <v>403</v>
      </c>
      <c r="O95" s="54">
        <v>6087</v>
      </c>
      <c r="P95" s="53">
        <v>40</v>
      </c>
      <c r="Q95" s="54">
        <v>1159</v>
      </c>
      <c r="R95" s="54">
        <v>968</v>
      </c>
      <c r="S95" s="54">
        <v>2166</v>
      </c>
      <c r="T95" s="54">
        <v>28438</v>
      </c>
    </row>
    <row r="96" spans="1:20" x14ac:dyDescent="0.45">
      <c r="A96" s="53">
        <v>40</v>
      </c>
      <c r="B96" s="54">
        <v>137</v>
      </c>
      <c r="C96" s="54">
        <v>106</v>
      </c>
      <c r="D96" s="54">
        <v>244</v>
      </c>
      <c r="E96" s="54">
        <v>9381</v>
      </c>
      <c r="F96" s="53">
        <v>44</v>
      </c>
      <c r="G96" s="54">
        <v>318</v>
      </c>
      <c r="H96" s="54">
        <v>347</v>
      </c>
      <c r="I96" s="54">
        <v>671</v>
      </c>
      <c r="J96" s="54">
        <v>12279</v>
      </c>
      <c r="K96" s="53">
        <v>47</v>
      </c>
      <c r="L96" s="54">
        <v>282</v>
      </c>
      <c r="M96" s="54">
        <v>148</v>
      </c>
      <c r="N96" s="54">
        <v>439</v>
      </c>
      <c r="O96" s="54">
        <v>6526</v>
      </c>
      <c r="P96" s="53">
        <v>39</v>
      </c>
      <c r="Q96" s="54">
        <v>288</v>
      </c>
      <c r="R96" s="54">
        <v>257</v>
      </c>
      <c r="S96" s="54">
        <v>553</v>
      </c>
      <c r="T96" s="54">
        <v>28991</v>
      </c>
    </row>
    <row r="97" spans="1:20" x14ac:dyDescent="0.45">
      <c r="A97" s="53">
        <v>39</v>
      </c>
      <c r="B97" s="54">
        <v>263</v>
      </c>
      <c r="C97" s="54">
        <v>219</v>
      </c>
      <c r="D97" s="54">
        <v>489</v>
      </c>
      <c r="E97" s="54">
        <v>9870</v>
      </c>
      <c r="F97" s="53">
        <v>43</v>
      </c>
      <c r="G97" s="54">
        <v>1060</v>
      </c>
      <c r="H97" s="54">
        <v>880</v>
      </c>
      <c r="I97" s="54">
        <v>1961</v>
      </c>
      <c r="J97" s="54">
        <v>14240</v>
      </c>
      <c r="K97" s="53">
        <v>46</v>
      </c>
      <c r="L97" s="54">
        <v>248</v>
      </c>
      <c r="M97" s="54">
        <v>149</v>
      </c>
      <c r="N97" s="54">
        <v>401</v>
      </c>
      <c r="O97" s="54">
        <v>6927</v>
      </c>
      <c r="P97" s="53">
        <v>38</v>
      </c>
      <c r="Q97" s="54">
        <v>614</v>
      </c>
      <c r="R97" s="54">
        <v>511</v>
      </c>
      <c r="S97" s="54">
        <v>1140</v>
      </c>
      <c r="T97" s="54">
        <v>30131</v>
      </c>
    </row>
    <row r="98" spans="1:20" x14ac:dyDescent="0.45">
      <c r="A98" s="53">
        <v>38</v>
      </c>
      <c r="B98" s="54">
        <v>80</v>
      </c>
      <c r="C98" s="54">
        <v>50</v>
      </c>
      <c r="D98" s="54">
        <v>131</v>
      </c>
      <c r="E98" s="54">
        <v>10001</v>
      </c>
      <c r="F98" s="53">
        <v>42</v>
      </c>
      <c r="G98" s="54">
        <v>296</v>
      </c>
      <c r="H98" s="54">
        <v>267</v>
      </c>
      <c r="I98" s="54">
        <v>575</v>
      </c>
      <c r="J98" s="54">
        <v>14815</v>
      </c>
      <c r="K98" s="53">
        <v>45</v>
      </c>
      <c r="L98" s="54">
        <v>343</v>
      </c>
      <c r="M98" s="54">
        <v>165</v>
      </c>
      <c r="N98" s="54">
        <v>510</v>
      </c>
      <c r="O98" s="54">
        <v>7437</v>
      </c>
      <c r="P98" s="53">
        <v>37</v>
      </c>
      <c r="Q98" s="54">
        <v>346</v>
      </c>
      <c r="R98" s="54">
        <v>248</v>
      </c>
      <c r="S98" s="54">
        <v>602</v>
      </c>
      <c r="T98" s="54">
        <v>30733</v>
      </c>
    </row>
    <row r="99" spans="1:20" x14ac:dyDescent="0.45">
      <c r="A99" s="53">
        <v>37</v>
      </c>
      <c r="B99" s="54">
        <v>90</v>
      </c>
      <c r="C99" s="54">
        <v>66</v>
      </c>
      <c r="D99" s="54">
        <v>157</v>
      </c>
      <c r="E99" s="54">
        <v>10158</v>
      </c>
      <c r="F99" s="53">
        <v>41</v>
      </c>
      <c r="G99" s="54">
        <v>235</v>
      </c>
      <c r="H99" s="54">
        <v>205</v>
      </c>
      <c r="I99" s="54">
        <v>448</v>
      </c>
      <c r="J99" s="54">
        <v>15263</v>
      </c>
      <c r="K99" s="53">
        <v>44</v>
      </c>
      <c r="L99" s="54">
        <v>306</v>
      </c>
      <c r="M99" s="54">
        <v>169</v>
      </c>
      <c r="N99" s="54">
        <v>481</v>
      </c>
      <c r="O99" s="54">
        <v>7918</v>
      </c>
      <c r="P99" s="53">
        <v>36</v>
      </c>
      <c r="Q99" s="54">
        <v>294</v>
      </c>
      <c r="R99" s="54">
        <v>215</v>
      </c>
      <c r="S99" s="54">
        <v>517</v>
      </c>
      <c r="T99" s="54">
        <v>31250</v>
      </c>
    </row>
    <row r="100" spans="1:20" x14ac:dyDescent="0.45">
      <c r="A100" s="53">
        <v>36</v>
      </c>
      <c r="B100" s="54">
        <v>485</v>
      </c>
      <c r="C100" s="54">
        <v>226</v>
      </c>
      <c r="D100" s="54">
        <v>722</v>
      </c>
      <c r="E100" s="54">
        <v>10880</v>
      </c>
      <c r="F100" s="53">
        <v>40</v>
      </c>
      <c r="G100" s="54">
        <v>1044</v>
      </c>
      <c r="H100" s="54">
        <v>508</v>
      </c>
      <c r="I100" s="54">
        <v>1580</v>
      </c>
      <c r="J100" s="54">
        <v>16843</v>
      </c>
      <c r="K100" s="53">
        <v>43</v>
      </c>
      <c r="L100" s="54">
        <v>832</v>
      </c>
      <c r="M100" s="54">
        <v>288</v>
      </c>
      <c r="N100" s="54">
        <v>1144</v>
      </c>
      <c r="O100" s="54">
        <v>9062</v>
      </c>
      <c r="P100" s="53">
        <v>35</v>
      </c>
      <c r="Q100" s="54">
        <v>127</v>
      </c>
      <c r="R100" s="54">
        <v>83</v>
      </c>
      <c r="S100" s="54">
        <v>212</v>
      </c>
      <c r="T100" s="54">
        <v>31462</v>
      </c>
    </row>
    <row r="101" spans="1:20" x14ac:dyDescent="0.45">
      <c r="A101" s="53">
        <v>35</v>
      </c>
      <c r="B101" s="54">
        <v>76</v>
      </c>
      <c r="C101" s="54">
        <v>40</v>
      </c>
      <c r="D101" s="54">
        <v>118</v>
      </c>
      <c r="E101" s="54">
        <v>10998</v>
      </c>
      <c r="F101" s="53">
        <v>39</v>
      </c>
      <c r="G101" s="54">
        <v>190</v>
      </c>
      <c r="H101" s="54">
        <v>162</v>
      </c>
      <c r="I101" s="54">
        <v>359</v>
      </c>
      <c r="J101" s="54">
        <v>17202</v>
      </c>
      <c r="K101" s="53">
        <v>42</v>
      </c>
      <c r="L101" s="54">
        <v>625</v>
      </c>
      <c r="M101" s="54">
        <v>220</v>
      </c>
      <c r="N101" s="54">
        <v>855</v>
      </c>
      <c r="O101" s="54">
        <v>9917</v>
      </c>
      <c r="P101" s="53">
        <v>34</v>
      </c>
      <c r="Q101" s="54">
        <v>1272</v>
      </c>
      <c r="R101" s="54">
        <v>688</v>
      </c>
      <c r="S101" s="54">
        <v>1995</v>
      </c>
      <c r="T101" s="54">
        <v>33457</v>
      </c>
    </row>
    <row r="102" spans="1:20" x14ac:dyDescent="0.45">
      <c r="A102" s="53">
        <v>33</v>
      </c>
      <c r="B102" s="54">
        <v>28</v>
      </c>
      <c r="C102" s="54">
        <v>14</v>
      </c>
      <c r="D102" s="54">
        <v>44</v>
      </c>
      <c r="E102" s="54">
        <v>11042</v>
      </c>
      <c r="F102" s="53">
        <v>38</v>
      </c>
      <c r="G102" s="54">
        <v>188</v>
      </c>
      <c r="H102" s="54">
        <v>159</v>
      </c>
      <c r="I102" s="54">
        <v>352</v>
      </c>
      <c r="J102" s="54">
        <v>17554</v>
      </c>
      <c r="K102" s="53">
        <v>41</v>
      </c>
      <c r="L102" s="54">
        <v>355</v>
      </c>
      <c r="M102" s="54">
        <v>134</v>
      </c>
      <c r="N102" s="54">
        <v>495</v>
      </c>
      <c r="O102" s="54">
        <v>10412</v>
      </c>
      <c r="P102" s="53">
        <v>33</v>
      </c>
      <c r="Q102" s="54">
        <v>112</v>
      </c>
      <c r="R102" s="54">
        <v>81</v>
      </c>
      <c r="S102" s="54">
        <v>199</v>
      </c>
      <c r="T102" s="54">
        <v>33656</v>
      </c>
    </row>
    <row r="103" spans="1:20" x14ac:dyDescent="0.45">
      <c r="A103" s="53"/>
      <c r="B103" s="54"/>
      <c r="C103" s="54"/>
      <c r="D103" s="54"/>
      <c r="E103" s="54"/>
      <c r="F103" s="53">
        <v>37</v>
      </c>
      <c r="G103" s="54">
        <v>271</v>
      </c>
      <c r="H103" s="54">
        <v>164</v>
      </c>
      <c r="I103" s="54">
        <v>445</v>
      </c>
      <c r="J103" s="54">
        <v>17999</v>
      </c>
      <c r="K103" s="53">
        <v>40</v>
      </c>
      <c r="L103" s="54">
        <v>346</v>
      </c>
      <c r="M103" s="54">
        <v>141</v>
      </c>
      <c r="N103" s="54">
        <v>498</v>
      </c>
      <c r="O103" s="54">
        <v>10910</v>
      </c>
      <c r="P103" s="53">
        <v>32</v>
      </c>
      <c r="Q103" s="54">
        <v>85</v>
      </c>
      <c r="R103" s="54">
        <v>58</v>
      </c>
      <c r="S103" s="54">
        <v>150</v>
      </c>
      <c r="T103" s="54">
        <v>33806</v>
      </c>
    </row>
    <row r="104" spans="1:20" x14ac:dyDescent="0.45">
      <c r="A104" s="53"/>
      <c r="B104" s="54"/>
      <c r="C104" s="54"/>
      <c r="D104" s="54"/>
      <c r="E104" s="54"/>
      <c r="F104" s="53">
        <v>36</v>
      </c>
      <c r="G104" s="54">
        <v>133</v>
      </c>
      <c r="H104" s="54">
        <v>87</v>
      </c>
      <c r="I104" s="54">
        <v>221</v>
      </c>
      <c r="J104" s="54">
        <v>18220</v>
      </c>
      <c r="K104" s="53">
        <v>39</v>
      </c>
      <c r="L104" s="54">
        <v>174</v>
      </c>
      <c r="M104" s="54">
        <v>76</v>
      </c>
      <c r="N104" s="54">
        <v>254</v>
      </c>
      <c r="O104" s="54">
        <v>11164</v>
      </c>
      <c r="P104" s="53">
        <v>30</v>
      </c>
      <c r="Q104" s="54">
        <v>109</v>
      </c>
      <c r="R104" s="54">
        <v>47</v>
      </c>
      <c r="S104" s="54">
        <v>161</v>
      </c>
      <c r="T104" s="54">
        <v>33967</v>
      </c>
    </row>
    <row r="105" spans="1:20" x14ac:dyDescent="0.45">
      <c r="A105" s="53"/>
      <c r="B105" s="54"/>
      <c r="C105" s="54"/>
      <c r="D105" s="54"/>
      <c r="E105" s="54"/>
      <c r="F105" s="53">
        <v>35</v>
      </c>
      <c r="G105" s="54">
        <v>104</v>
      </c>
      <c r="H105" s="54">
        <v>82</v>
      </c>
      <c r="I105" s="54">
        <v>189</v>
      </c>
      <c r="J105" s="54">
        <v>18409</v>
      </c>
      <c r="K105" s="53">
        <v>38</v>
      </c>
      <c r="L105" s="54">
        <v>176</v>
      </c>
      <c r="M105" s="54">
        <v>53</v>
      </c>
      <c r="N105" s="54">
        <v>235</v>
      </c>
      <c r="O105" s="54">
        <v>11399</v>
      </c>
      <c r="P105" s="53"/>
      <c r="Q105" s="54"/>
      <c r="R105" s="54"/>
      <c r="S105" s="54"/>
      <c r="T105" s="54"/>
    </row>
    <row r="106" spans="1:20" x14ac:dyDescent="0.45">
      <c r="A106" s="53"/>
      <c r="B106" s="54"/>
      <c r="C106" s="54"/>
      <c r="D106" s="54"/>
      <c r="E106" s="54"/>
      <c r="F106" s="53">
        <v>34</v>
      </c>
      <c r="G106" s="54">
        <v>48</v>
      </c>
      <c r="H106" s="54">
        <v>29</v>
      </c>
      <c r="I106" s="54">
        <v>77</v>
      </c>
      <c r="J106" s="54">
        <v>18486</v>
      </c>
      <c r="K106" s="53">
        <v>37</v>
      </c>
      <c r="L106" s="54">
        <v>101</v>
      </c>
      <c r="M106" s="54">
        <v>40</v>
      </c>
      <c r="N106" s="54">
        <v>146</v>
      </c>
      <c r="O106" s="54">
        <v>11545</v>
      </c>
      <c r="P106" s="53"/>
      <c r="Q106" s="54"/>
      <c r="R106" s="54"/>
      <c r="S106" s="54"/>
      <c r="T106" s="54"/>
    </row>
    <row r="107" spans="1:20" x14ac:dyDescent="0.45">
      <c r="A107" s="53"/>
      <c r="B107" s="54"/>
      <c r="C107" s="54"/>
      <c r="D107" s="54"/>
      <c r="E107" s="54"/>
      <c r="F107" s="53">
        <v>33</v>
      </c>
      <c r="G107" s="54">
        <v>38</v>
      </c>
      <c r="H107" s="54">
        <v>19</v>
      </c>
      <c r="I107" s="54">
        <v>57</v>
      </c>
      <c r="J107" s="54">
        <v>18543</v>
      </c>
      <c r="K107" s="53">
        <v>36</v>
      </c>
      <c r="L107" s="54">
        <v>86</v>
      </c>
      <c r="M107" s="54">
        <v>27</v>
      </c>
      <c r="N107" s="54">
        <v>114</v>
      </c>
      <c r="O107" s="54">
        <v>11659</v>
      </c>
      <c r="P107" s="53"/>
      <c r="Q107" s="54"/>
      <c r="R107" s="54"/>
      <c r="S107" s="54"/>
      <c r="T107" s="54"/>
    </row>
    <row r="108" spans="1:20" x14ac:dyDescent="0.45">
      <c r="A108" s="55"/>
      <c r="B108" s="56"/>
      <c r="C108" s="56"/>
      <c r="D108" s="56"/>
      <c r="E108" s="54"/>
      <c r="F108" s="53">
        <v>32</v>
      </c>
      <c r="G108" s="54">
        <v>39</v>
      </c>
      <c r="H108" s="54">
        <v>23</v>
      </c>
      <c r="I108" s="54">
        <v>63</v>
      </c>
      <c r="J108" s="54">
        <v>18606</v>
      </c>
      <c r="K108" s="53">
        <v>35</v>
      </c>
      <c r="L108" s="54">
        <v>84</v>
      </c>
      <c r="M108" s="54">
        <v>27</v>
      </c>
      <c r="N108" s="54">
        <v>112</v>
      </c>
      <c r="O108" s="54">
        <v>11771</v>
      </c>
      <c r="P108" s="53"/>
      <c r="Q108" s="54"/>
      <c r="R108" s="54"/>
      <c r="S108" s="54"/>
      <c r="T108" s="54"/>
    </row>
    <row r="109" spans="1:20" x14ac:dyDescent="0.45">
      <c r="A109" s="54"/>
      <c r="B109" s="54"/>
      <c r="C109" s="54"/>
      <c r="D109" s="54"/>
      <c r="E109" s="54"/>
      <c r="F109" s="53">
        <v>30</v>
      </c>
      <c r="G109" s="54">
        <v>54</v>
      </c>
      <c r="H109" s="54">
        <v>17</v>
      </c>
      <c r="I109" s="54">
        <v>72</v>
      </c>
      <c r="J109" s="54">
        <v>18678</v>
      </c>
      <c r="K109" s="53">
        <v>34</v>
      </c>
      <c r="L109" s="54">
        <v>78</v>
      </c>
      <c r="M109" s="54">
        <v>29</v>
      </c>
      <c r="N109" s="54">
        <v>109</v>
      </c>
      <c r="O109" s="54">
        <v>11880</v>
      </c>
      <c r="P109" s="53"/>
      <c r="Q109" s="54"/>
      <c r="R109" s="54"/>
      <c r="S109" s="54"/>
      <c r="T109" s="54"/>
    </row>
    <row r="110" spans="1:20" x14ac:dyDescent="0.45">
      <c r="A110" s="54"/>
      <c r="B110" s="54"/>
      <c r="C110" s="54"/>
      <c r="D110" s="54"/>
      <c r="E110" s="54"/>
      <c r="F110" s="53"/>
      <c r="G110" s="54"/>
      <c r="H110" s="54"/>
      <c r="I110" s="54"/>
      <c r="J110" s="54"/>
      <c r="K110" s="53">
        <v>33</v>
      </c>
      <c r="L110" s="54">
        <v>33</v>
      </c>
      <c r="M110" s="54">
        <v>14</v>
      </c>
      <c r="N110" s="54">
        <v>48</v>
      </c>
      <c r="O110" s="54">
        <v>11928</v>
      </c>
      <c r="P110" s="53"/>
      <c r="Q110" s="54"/>
      <c r="R110" s="54"/>
      <c r="S110" s="54"/>
      <c r="T110" s="54"/>
    </row>
    <row r="111" spans="1:20" x14ac:dyDescent="0.45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3">
        <v>32</v>
      </c>
      <c r="L111" s="54">
        <v>31</v>
      </c>
      <c r="M111" s="54">
        <v>11</v>
      </c>
      <c r="N111" s="54">
        <v>42</v>
      </c>
      <c r="O111" s="54">
        <v>11970</v>
      </c>
      <c r="P111" s="53"/>
      <c r="Q111" s="54"/>
      <c r="R111" s="54"/>
      <c r="S111" s="54"/>
      <c r="T111" s="54"/>
    </row>
    <row r="112" spans="1:20" x14ac:dyDescent="0.45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3">
        <v>30</v>
      </c>
      <c r="L112" s="54">
        <v>52</v>
      </c>
      <c r="M112" s="54">
        <v>12</v>
      </c>
      <c r="N112" s="54">
        <v>67</v>
      </c>
      <c r="O112" s="54">
        <v>12037</v>
      </c>
      <c r="P112" s="53"/>
      <c r="Q112" s="54"/>
      <c r="R112" s="54"/>
      <c r="S112" s="54"/>
      <c r="T112" s="54"/>
    </row>
    <row r="118" spans="1:4" ht="17.5" thickBot="1" x14ac:dyDescent="0.5"/>
    <row r="119" spans="1:4" x14ac:dyDescent="0.45">
      <c r="A119" s="46" t="s">
        <v>19</v>
      </c>
      <c r="B119" s="47"/>
      <c r="C119" s="47"/>
      <c r="D119" s="48"/>
    </row>
    <row r="120" spans="1:4" x14ac:dyDescent="0.45">
      <c r="A120" s="6" t="s">
        <v>9</v>
      </c>
      <c r="B120" s="1"/>
      <c r="C120" s="1"/>
      <c r="D120" s="7" t="s">
        <v>10</v>
      </c>
    </row>
    <row r="121" spans="1:4" x14ac:dyDescent="0.45">
      <c r="A121" s="53">
        <v>70</v>
      </c>
      <c r="B121" s="54">
        <v>391</v>
      </c>
      <c r="C121" s="54">
        <v>672</v>
      </c>
      <c r="D121" s="54">
        <v>1068</v>
      </c>
    </row>
    <row r="122" spans="1:4" x14ac:dyDescent="0.45">
      <c r="A122" s="53">
        <v>68</v>
      </c>
      <c r="B122" s="54">
        <v>173</v>
      </c>
      <c r="C122" s="54">
        <v>355</v>
      </c>
      <c r="D122" s="54">
        <v>533</v>
      </c>
    </row>
    <row r="123" spans="1:4" x14ac:dyDescent="0.45">
      <c r="A123" s="53">
        <v>67</v>
      </c>
      <c r="B123" s="54">
        <v>363</v>
      </c>
      <c r="C123" s="54">
        <v>870</v>
      </c>
      <c r="D123" s="54">
        <v>1246</v>
      </c>
    </row>
    <row r="124" spans="1:4" x14ac:dyDescent="0.45">
      <c r="A124" s="53">
        <v>66</v>
      </c>
      <c r="B124" s="54">
        <v>70</v>
      </c>
      <c r="C124" s="54">
        <v>127</v>
      </c>
      <c r="D124" s="54">
        <v>199</v>
      </c>
    </row>
    <row r="125" spans="1:4" x14ac:dyDescent="0.45">
      <c r="A125" s="53">
        <v>65</v>
      </c>
      <c r="B125" s="54">
        <v>681</v>
      </c>
      <c r="C125" s="54">
        <v>1528</v>
      </c>
      <c r="D125" s="54">
        <v>2220</v>
      </c>
    </row>
    <row r="126" spans="1:4" x14ac:dyDescent="0.45">
      <c r="A126" s="53">
        <v>64</v>
      </c>
      <c r="B126" s="54">
        <v>189</v>
      </c>
      <c r="C126" s="54">
        <v>500</v>
      </c>
      <c r="D126" s="54">
        <v>690</v>
      </c>
    </row>
    <row r="127" spans="1:4" x14ac:dyDescent="0.45">
      <c r="A127" s="53">
        <v>63</v>
      </c>
      <c r="B127" s="54">
        <v>479</v>
      </c>
      <c r="C127" s="54">
        <v>1082</v>
      </c>
      <c r="D127" s="54">
        <v>1569</v>
      </c>
    </row>
    <row r="128" spans="1:4" x14ac:dyDescent="0.45">
      <c r="A128" s="53">
        <v>62</v>
      </c>
      <c r="B128" s="54">
        <v>245</v>
      </c>
      <c r="C128" s="54">
        <v>578</v>
      </c>
      <c r="D128" s="54">
        <v>827</v>
      </c>
    </row>
    <row r="129" spans="1:4" x14ac:dyDescent="0.45">
      <c r="A129" s="53">
        <v>61</v>
      </c>
      <c r="B129" s="54">
        <v>341</v>
      </c>
      <c r="C129" s="54">
        <v>819</v>
      </c>
      <c r="D129" s="54">
        <v>1170</v>
      </c>
    </row>
    <row r="130" spans="1:4" x14ac:dyDescent="0.45">
      <c r="A130" s="53">
        <v>60</v>
      </c>
      <c r="B130" s="54">
        <v>712</v>
      </c>
      <c r="C130" s="54">
        <v>1684</v>
      </c>
      <c r="D130" s="54">
        <v>2415</v>
      </c>
    </row>
    <row r="131" spans="1:4" x14ac:dyDescent="0.45">
      <c r="A131" s="53">
        <v>59</v>
      </c>
      <c r="B131" s="54">
        <v>428</v>
      </c>
      <c r="C131" s="54">
        <v>1045</v>
      </c>
      <c r="D131" s="54">
        <v>1492</v>
      </c>
    </row>
    <row r="132" spans="1:4" x14ac:dyDescent="0.45">
      <c r="A132" s="53">
        <v>58</v>
      </c>
      <c r="B132" s="54">
        <v>366</v>
      </c>
      <c r="C132" s="54">
        <v>926</v>
      </c>
      <c r="D132" s="54">
        <v>1302</v>
      </c>
    </row>
    <row r="133" spans="1:4" x14ac:dyDescent="0.45">
      <c r="A133" s="53">
        <v>57</v>
      </c>
      <c r="B133" s="54">
        <v>386</v>
      </c>
      <c r="C133" s="54">
        <v>878</v>
      </c>
      <c r="D133" s="54">
        <v>1270</v>
      </c>
    </row>
    <row r="134" spans="1:4" x14ac:dyDescent="0.45">
      <c r="A134" s="53">
        <v>56</v>
      </c>
      <c r="B134" s="54">
        <v>459</v>
      </c>
      <c r="C134" s="54">
        <v>1076</v>
      </c>
      <c r="D134" s="54">
        <v>1542</v>
      </c>
    </row>
    <row r="135" spans="1:4" x14ac:dyDescent="0.45">
      <c r="A135" s="53">
        <v>55</v>
      </c>
      <c r="B135" s="54">
        <v>883</v>
      </c>
      <c r="C135" s="54">
        <v>1908</v>
      </c>
      <c r="D135" s="54">
        <v>2808</v>
      </c>
    </row>
    <row r="136" spans="1:4" x14ac:dyDescent="0.45">
      <c r="A136" s="53">
        <v>54</v>
      </c>
      <c r="B136" s="54">
        <v>441</v>
      </c>
      <c r="C136" s="54">
        <v>1002</v>
      </c>
      <c r="D136" s="54">
        <v>1450</v>
      </c>
    </row>
    <row r="137" spans="1:4" x14ac:dyDescent="0.45">
      <c r="A137" s="53">
        <v>53</v>
      </c>
      <c r="B137" s="54">
        <v>427</v>
      </c>
      <c r="C137" s="54">
        <v>946</v>
      </c>
      <c r="D137" s="54">
        <v>1385</v>
      </c>
    </row>
    <row r="138" spans="1:4" x14ac:dyDescent="0.45">
      <c r="A138" s="53">
        <v>52</v>
      </c>
      <c r="B138" s="54">
        <v>497</v>
      </c>
      <c r="C138" s="54">
        <v>1025</v>
      </c>
      <c r="D138" s="54">
        <v>1530</v>
      </c>
    </row>
    <row r="139" spans="1:4" x14ac:dyDescent="0.45">
      <c r="A139" s="53">
        <v>51</v>
      </c>
      <c r="B139" s="54">
        <v>449</v>
      </c>
      <c r="C139" s="54">
        <v>903</v>
      </c>
      <c r="D139" s="54">
        <v>1367</v>
      </c>
    </row>
    <row r="140" spans="1:4" x14ac:dyDescent="0.45">
      <c r="A140" s="53">
        <v>50</v>
      </c>
      <c r="B140" s="54">
        <v>918</v>
      </c>
      <c r="C140" s="54">
        <v>1953</v>
      </c>
      <c r="D140" s="54">
        <v>2895</v>
      </c>
    </row>
    <row r="141" spans="1:4" x14ac:dyDescent="0.45">
      <c r="A141" s="53">
        <v>49</v>
      </c>
      <c r="B141" s="54">
        <v>433</v>
      </c>
      <c r="C141" s="54">
        <v>899</v>
      </c>
      <c r="D141" s="54">
        <v>1344</v>
      </c>
    </row>
    <row r="142" spans="1:4" x14ac:dyDescent="0.45">
      <c r="A142" s="53">
        <v>48</v>
      </c>
      <c r="B142" s="54">
        <v>459</v>
      </c>
      <c r="C142" s="54">
        <v>934</v>
      </c>
      <c r="D142" s="54">
        <v>1410</v>
      </c>
    </row>
    <row r="143" spans="1:4" x14ac:dyDescent="0.45">
      <c r="A143" s="53">
        <v>47</v>
      </c>
      <c r="B143" s="54">
        <v>445</v>
      </c>
      <c r="C143" s="54">
        <v>806</v>
      </c>
      <c r="D143" s="54">
        <v>1262</v>
      </c>
    </row>
    <row r="144" spans="1:4" x14ac:dyDescent="0.45">
      <c r="A144" s="53">
        <v>46</v>
      </c>
      <c r="B144" s="54">
        <v>431</v>
      </c>
      <c r="C144" s="54">
        <v>843</v>
      </c>
      <c r="D144" s="54">
        <v>1282</v>
      </c>
    </row>
    <row r="145" spans="1:4" x14ac:dyDescent="0.45">
      <c r="A145" s="53">
        <v>45</v>
      </c>
      <c r="B145" s="54">
        <v>908</v>
      </c>
      <c r="C145" s="54">
        <v>1489</v>
      </c>
      <c r="D145" s="54">
        <v>2417</v>
      </c>
    </row>
    <row r="146" spans="1:4" x14ac:dyDescent="0.45">
      <c r="A146" s="53">
        <v>44</v>
      </c>
      <c r="B146" s="54">
        <v>490</v>
      </c>
      <c r="C146" s="54">
        <v>764</v>
      </c>
      <c r="D146" s="54">
        <v>1261</v>
      </c>
    </row>
    <row r="147" spans="1:4" x14ac:dyDescent="0.45">
      <c r="A147" s="53">
        <v>43</v>
      </c>
      <c r="B147" s="54">
        <v>419</v>
      </c>
      <c r="C147" s="54">
        <v>666</v>
      </c>
      <c r="D147" s="54">
        <v>1092</v>
      </c>
    </row>
    <row r="148" spans="1:4" x14ac:dyDescent="0.45">
      <c r="A148" s="53">
        <v>42</v>
      </c>
      <c r="B148" s="54">
        <v>524</v>
      </c>
      <c r="C148" s="54">
        <v>705</v>
      </c>
      <c r="D148" s="54">
        <v>1237</v>
      </c>
    </row>
    <row r="149" spans="1:4" x14ac:dyDescent="0.45">
      <c r="A149" s="53">
        <v>41</v>
      </c>
      <c r="B149" s="54">
        <v>1006</v>
      </c>
      <c r="C149" s="54">
        <v>1307</v>
      </c>
      <c r="D149" s="54">
        <v>2340</v>
      </c>
    </row>
    <row r="150" spans="1:4" x14ac:dyDescent="0.45">
      <c r="A150" s="53">
        <v>40</v>
      </c>
      <c r="B150" s="54">
        <v>1870</v>
      </c>
      <c r="C150" s="54">
        <v>1527</v>
      </c>
      <c r="D150" s="54">
        <v>3448</v>
      </c>
    </row>
    <row r="151" spans="1:4" x14ac:dyDescent="0.45">
      <c r="A151" s="53">
        <v>39</v>
      </c>
      <c r="B151" s="54">
        <v>1290</v>
      </c>
      <c r="C151" s="54">
        <v>1311</v>
      </c>
      <c r="D151" s="54">
        <v>2631</v>
      </c>
    </row>
    <row r="152" spans="1:4" x14ac:dyDescent="0.45">
      <c r="A152" s="53">
        <v>38</v>
      </c>
      <c r="B152" s="54">
        <v>497</v>
      </c>
      <c r="C152" s="54">
        <v>536</v>
      </c>
      <c r="D152" s="54">
        <v>1045</v>
      </c>
    </row>
    <row r="153" spans="1:4" x14ac:dyDescent="0.45">
      <c r="A153" s="53">
        <v>37</v>
      </c>
      <c r="B153" s="54">
        <v>363</v>
      </c>
      <c r="C153" s="54">
        <v>380</v>
      </c>
      <c r="D153" s="54">
        <v>751</v>
      </c>
    </row>
    <row r="154" spans="1:4" x14ac:dyDescent="0.45">
      <c r="A154" s="53">
        <v>36</v>
      </c>
      <c r="B154" s="54">
        <v>728</v>
      </c>
      <c r="C154" s="54">
        <v>760</v>
      </c>
      <c r="D154" s="54">
        <v>1509</v>
      </c>
    </row>
    <row r="155" spans="1:4" x14ac:dyDescent="0.45">
      <c r="A155" s="53">
        <v>35</v>
      </c>
      <c r="B155" s="54">
        <v>685</v>
      </c>
      <c r="C155" s="54">
        <v>649</v>
      </c>
      <c r="D155" s="54">
        <v>1356</v>
      </c>
    </row>
    <row r="156" spans="1:4" x14ac:dyDescent="0.45">
      <c r="A156" s="53">
        <v>34</v>
      </c>
      <c r="B156" s="54">
        <v>322</v>
      </c>
      <c r="C156" s="54">
        <v>319</v>
      </c>
      <c r="D156" s="54">
        <v>653</v>
      </c>
    </row>
    <row r="157" spans="1:4" x14ac:dyDescent="0.45">
      <c r="A157" s="53">
        <v>33</v>
      </c>
      <c r="B157" s="54">
        <v>158</v>
      </c>
      <c r="C157" s="54">
        <v>125</v>
      </c>
      <c r="D157" s="54">
        <v>287</v>
      </c>
    </row>
    <row r="158" spans="1:4" x14ac:dyDescent="0.45">
      <c r="A158" s="53">
        <v>32</v>
      </c>
      <c r="B158" s="54">
        <v>225</v>
      </c>
      <c r="C158" s="54">
        <v>199</v>
      </c>
      <c r="D158" s="54">
        <v>427</v>
      </c>
    </row>
    <row r="159" spans="1:4" x14ac:dyDescent="0.45">
      <c r="A159" s="53">
        <v>31</v>
      </c>
      <c r="B159" s="54">
        <v>159</v>
      </c>
      <c r="C159" s="54">
        <v>141</v>
      </c>
      <c r="D159" s="54">
        <v>307</v>
      </c>
    </row>
    <row r="160" spans="1:4" x14ac:dyDescent="0.45">
      <c r="A160" s="53">
        <v>30</v>
      </c>
      <c r="B160" s="54">
        <v>72</v>
      </c>
      <c r="C160" s="54">
        <v>54</v>
      </c>
      <c r="D160" s="54">
        <v>127</v>
      </c>
    </row>
    <row r="161" spans="1:19" x14ac:dyDescent="0.45">
      <c r="A161" s="53">
        <v>28</v>
      </c>
      <c r="B161" s="54">
        <v>136</v>
      </c>
      <c r="C161" s="54">
        <v>95</v>
      </c>
      <c r="D161" s="54">
        <v>235</v>
      </c>
    </row>
    <row r="162" spans="1:19" x14ac:dyDescent="0.45">
      <c r="A162" s="53"/>
      <c r="B162" s="54"/>
      <c r="C162" s="54"/>
      <c r="D162" s="54"/>
    </row>
    <row r="163" spans="1:19" x14ac:dyDescent="0.45">
      <c r="A163" s="53"/>
      <c r="B163" s="54"/>
      <c r="C163" s="54"/>
      <c r="D163" s="54"/>
    </row>
    <row r="164" spans="1:19" x14ac:dyDescent="0.45">
      <c r="A164" s="6"/>
      <c r="B164" s="1"/>
      <c r="C164" s="1"/>
      <c r="D164" s="7"/>
    </row>
    <row r="165" spans="1:19" x14ac:dyDescent="0.45">
      <c r="A165" s="6"/>
      <c r="B165" s="1"/>
      <c r="C165" s="1"/>
      <c r="D165" s="7"/>
    </row>
    <row r="166" spans="1:19" x14ac:dyDescent="0.45">
      <c r="A166" s="6"/>
      <c r="B166" s="1"/>
      <c r="C166" s="1"/>
      <c r="D166" s="7"/>
    </row>
    <row r="167" spans="1:19" x14ac:dyDescent="0.45">
      <c r="A167" s="6"/>
      <c r="B167" s="1"/>
      <c r="C167" s="1"/>
      <c r="D167" s="7"/>
    </row>
    <row r="168" spans="1:19" ht="17.5" thickBot="1" x14ac:dyDescent="0.5">
      <c r="A168" s="8"/>
      <c r="B168" s="14"/>
      <c r="C168" s="14"/>
      <c r="D168" s="2"/>
    </row>
    <row r="174" spans="1:19" ht="17.5" thickBot="1" x14ac:dyDescent="0.5"/>
    <row r="175" spans="1:19" x14ac:dyDescent="0.45">
      <c r="A175" s="46" t="s">
        <v>60</v>
      </c>
      <c r="B175" s="47"/>
      <c r="C175" s="47"/>
      <c r="D175" s="48"/>
      <c r="F175" s="46" t="s">
        <v>20</v>
      </c>
      <c r="G175" s="47"/>
      <c r="H175" s="47"/>
      <c r="I175" s="48"/>
      <c r="K175" s="46" t="s">
        <v>21</v>
      </c>
      <c r="L175" s="47"/>
      <c r="M175" s="47"/>
      <c r="N175" s="48"/>
      <c r="P175" s="46" t="s">
        <v>22</v>
      </c>
      <c r="Q175" s="47"/>
      <c r="R175" s="47"/>
      <c r="S175" s="48"/>
    </row>
    <row r="176" spans="1:19" x14ac:dyDescent="0.45">
      <c r="A176" s="6" t="s">
        <v>9</v>
      </c>
      <c r="B176" s="1"/>
      <c r="C176" s="1"/>
      <c r="D176" s="7" t="s">
        <v>10</v>
      </c>
      <c r="F176" s="6" t="s">
        <v>9</v>
      </c>
      <c r="G176" s="1"/>
      <c r="H176" s="1"/>
      <c r="I176" s="7" t="s">
        <v>10</v>
      </c>
      <c r="K176" s="6" t="s">
        <v>9</v>
      </c>
      <c r="L176" s="1"/>
      <c r="M176" s="1"/>
      <c r="N176" s="7" t="s">
        <v>10</v>
      </c>
      <c r="P176" s="6" t="s">
        <v>9</v>
      </c>
      <c r="Q176" s="1"/>
      <c r="R176" s="1"/>
      <c r="S176" s="7" t="s">
        <v>10</v>
      </c>
    </row>
    <row r="177" spans="1:19" x14ac:dyDescent="0.45">
      <c r="A177" s="53">
        <v>73</v>
      </c>
      <c r="B177" s="54">
        <v>655</v>
      </c>
      <c r="C177" s="54">
        <v>83</v>
      </c>
      <c r="D177" s="54">
        <v>748</v>
      </c>
      <c r="E177" s="54">
        <v>748</v>
      </c>
      <c r="F177" s="53">
        <v>77</v>
      </c>
      <c r="G177" s="54">
        <v>587</v>
      </c>
      <c r="H177" s="54">
        <v>168</v>
      </c>
      <c r="I177" s="54">
        <v>761</v>
      </c>
      <c r="J177" s="54">
        <v>761</v>
      </c>
      <c r="K177" s="53">
        <v>73</v>
      </c>
      <c r="L177" s="54">
        <v>882</v>
      </c>
      <c r="M177" s="54">
        <v>649</v>
      </c>
      <c r="N177" s="54">
        <v>1543</v>
      </c>
      <c r="O177" s="54">
        <v>1543</v>
      </c>
      <c r="P177" s="53">
        <v>75</v>
      </c>
      <c r="Q177" s="54">
        <v>494</v>
      </c>
      <c r="R177" s="54">
        <v>206</v>
      </c>
      <c r="S177" s="54">
        <v>703</v>
      </c>
    </row>
    <row r="178" spans="1:19" x14ac:dyDescent="0.45">
      <c r="A178" s="53">
        <v>72</v>
      </c>
      <c r="B178" s="54">
        <v>397</v>
      </c>
      <c r="C178" s="54">
        <v>57</v>
      </c>
      <c r="D178" s="54">
        <v>459</v>
      </c>
      <c r="E178" s="54">
        <v>1207</v>
      </c>
      <c r="F178" s="53">
        <v>75</v>
      </c>
      <c r="G178" s="54">
        <v>229</v>
      </c>
      <c r="H178" s="54">
        <v>75</v>
      </c>
      <c r="I178" s="54">
        <v>311</v>
      </c>
      <c r="J178" s="54">
        <v>1072</v>
      </c>
      <c r="K178" s="53">
        <v>72</v>
      </c>
      <c r="L178" s="54">
        <v>394</v>
      </c>
      <c r="M178" s="54">
        <v>276</v>
      </c>
      <c r="N178" s="54">
        <v>677</v>
      </c>
      <c r="O178" s="54">
        <v>2220</v>
      </c>
      <c r="P178" s="53">
        <v>73</v>
      </c>
      <c r="Q178" s="54">
        <v>339</v>
      </c>
      <c r="R178" s="54">
        <v>176</v>
      </c>
      <c r="S178" s="54">
        <v>526</v>
      </c>
    </row>
    <row r="179" spans="1:19" x14ac:dyDescent="0.45">
      <c r="A179" s="53">
        <v>71</v>
      </c>
      <c r="B179" s="54">
        <v>545</v>
      </c>
      <c r="C179" s="54">
        <v>82</v>
      </c>
      <c r="D179" s="54">
        <v>631</v>
      </c>
      <c r="E179" s="54">
        <v>1838</v>
      </c>
      <c r="F179" s="53">
        <v>74</v>
      </c>
      <c r="G179" s="54">
        <v>546</v>
      </c>
      <c r="H179" s="54">
        <v>215</v>
      </c>
      <c r="I179" s="54">
        <v>767</v>
      </c>
      <c r="J179" s="54">
        <v>1839</v>
      </c>
      <c r="K179" s="53">
        <v>71</v>
      </c>
      <c r="L179" s="54">
        <v>758</v>
      </c>
      <c r="M179" s="54">
        <v>699</v>
      </c>
      <c r="N179" s="54">
        <v>1477</v>
      </c>
      <c r="O179" s="54">
        <v>3697</v>
      </c>
      <c r="P179" s="53">
        <v>72</v>
      </c>
      <c r="Q179" s="54">
        <v>411</v>
      </c>
      <c r="R179" s="54">
        <v>250</v>
      </c>
      <c r="S179" s="54">
        <v>671</v>
      </c>
    </row>
    <row r="180" spans="1:19" x14ac:dyDescent="0.45">
      <c r="A180" s="53">
        <v>70</v>
      </c>
      <c r="B180" s="54">
        <v>167</v>
      </c>
      <c r="C180" s="54">
        <v>27</v>
      </c>
      <c r="D180" s="54">
        <v>196</v>
      </c>
      <c r="E180" s="54">
        <v>2034</v>
      </c>
      <c r="F180" s="53">
        <v>73</v>
      </c>
      <c r="G180" s="54">
        <v>53</v>
      </c>
      <c r="H180" s="54">
        <v>17</v>
      </c>
      <c r="I180" s="54">
        <v>72</v>
      </c>
      <c r="J180" s="54">
        <v>1911</v>
      </c>
      <c r="K180" s="53">
        <v>70</v>
      </c>
      <c r="L180" s="54">
        <v>130</v>
      </c>
      <c r="M180" s="54">
        <v>104</v>
      </c>
      <c r="N180" s="54">
        <v>236</v>
      </c>
      <c r="O180" s="54">
        <v>3933</v>
      </c>
      <c r="P180" s="53">
        <v>71</v>
      </c>
      <c r="Q180" s="54">
        <v>196</v>
      </c>
      <c r="R180" s="54">
        <v>90</v>
      </c>
      <c r="S180" s="54">
        <v>287</v>
      </c>
    </row>
    <row r="181" spans="1:19" x14ac:dyDescent="0.45">
      <c r="A181" s="53">
        <v>69</v>
      </c>
      <c r="B181" s="54">
        <v>547</v>
      </c>
      <c r="C181" s="54">
        <v>105</v>
      </c>
      <c r="D181" s="54">
        <v>658</v>
      </c>
      <c r="E181" s="54">
        <v>2692</v>
      </c>
      <c r="F181" s="53">
        <v>72</v>
      </c>
      <c r="G181" s="54">
        <v>375</v>
      </c>
      <c r="H181" s="54">
        <v>182</v>
      </c>
      <c r="I181" s="54">
        <v>563</v>
      </c>
      <c r="J181" s="54">
        <v>2474</v>
      </c>
      <c r="K181" s="53">
        <v>69</v>
      </c>
      <c r="L181" s="54">
        <v>653</v>
      </c>
      <c r="M181" s="54">
        <v>595</v>
      </c>
      <c r="N181" s="54">
        <v>1260</v>
      </c>
      <c r="O181" s="54">
        <v>5193</v>
      </c>
      <c r="P181" s="53">
        <v>70</v>
      </c>
      <c r="Q181" s="54">
        <v>621</v>
      </c>
      <c r="R181" s="54">
        <v>322</v>
      </c>
      <c r="S181" s="54">
        <v>953</v>
      </c>
    </row>
    <row r="182" spans="1:19" x14ac:dyDescent="0.45">
      <c r="A182" s="53">
        <v>68</v>
      </c>
      <c r="B182" s="54">
        <v>318</v>
      </c>
      <c r="C182" s="54">
        <v>55</v>
      </c>
      <c r="D182" s="54">
        <v>374</v>
      </c>
      <c r="E182" s="54">
        <v>3066</v>
      </c>
      <c r="F182" s="53">
        <v>71</v>
      </c>
      <c r="G182" s="54">
        <v>401</v>
      </c>
      <c r="H182" s="54">
        <v>187</v>
      </c>
      <c r="I182" s="54">
        <v>592</v>
      </c>
      <c r="J182" s="54">
        <v>3066</v>
      </c>
      <c r="K182" s="53">
        <v>68</v>
      </c>
      <c r="L182" s="54">
        <v>573</v>
      </c>
      <c r="M182" s="54">
        <v>571</v>
      </c>
      <c r="N182" s="54">
        <v>1155</v>
      </c>
      <c r="O182" s="54">
        <v>6348</v>
      </c>
      <c r="P182" s="53">
        <v>69</v>
      </c>
      <c r="Q182" s="54">
        <v>851</v>
      </c>
      <c r="R182" s="54">
        <v>499</v>
      </c>
      <c r="S182" s="54">
        <v>1362</v>
      </c>
    </row>
    <row r="183" spans="1:19" x14ac:dyDescent="0.45">
      <c r="A183" s="53">
        <v>67</v>
      </c>
      <c r="B183" s="54">
        <v>398</v>
      </c>
      <c r="C183" s="54">
        <v>90</v>
      </c>
      <c r="D183" s="54">
        <v>494</v>
      </c>
      <c r="E183" s="54">
        <v>3560</v>
      </c>
      <c r="F183" s="53">
        <v>70</v>
      </c>
      <c r="G183" s="54">
        <v>173</v>
      </c>
      <c r="H183" s="54">
        <v>64</v>
      </c>
      <c r="I183" s="54">
        <v>239</v>
      </c>
      <c r="J183" s="54">
        <v>3305</v>
      </c>
      <c r="K183" s="53">
        <v>67</v>
      </c>
      <c r="L183" s="54">
        <v>358</v>
      </c>
      <c r="M183" s="54">
        <v>349</v>
      </c>
      <c r="N183" s="54">
        <v>714</v>
      </c>
      <c r="O183" s="54">
        <v>7062</v>
      </c>
      <c r="P183" s="53">
        <v>68</v>
      </c>
      <c r="Q183" s="54">
        <v>616</v>
      </c>
      <c r="R183" s="54">
        <v>344</v>
      </c>
      <c r="S183" s="54">
        <v>970</v>
      </c>
    </row>
    <row r="184" spans="1:19" x14ac:dyDescent="0.45">
      <c r="A184" s="53">
        <v>66</v>
      </c>
      <c r="B184" s="54">
        <v>910</v>
      </c>
      <c r="C184" s="54">
        <v>185</v>
      </c>
      <c r="D184" s="54">
        <v>1103</v>
      </c>
      <c r="E184" s="54">
        <v>4663</v>
      </c>
      <c r="F184" s="53">
        <v>69</v>
      </c>
      <c r="G184" s="54">
        <v>563</v>
      </c>
      <c r="H184" s="54">
        <v>297</v>
      </c>
      <c r="I184" s="54">
        <v>866</v>
      </c>
      <c r="J184" s="54">
        <v>4171</v>
      </c>
      <c r="K184" s="53">
        <v>66</v>
      </c>
      <c r="L184" s="54">
        <v>713</v>
      </c>
      <c r="M184" s="54">
        <v>818</v>
      </c>
      <c r="N184" s="54">
        <v>1551</v>
      </c>
      <c r="O184" s="54">
        <v>8613</v>
      </c>
      <c r="P184" s="53">
        <v>67</v>
      </c>
      <c r="Q184" s="54">
        <v>442</v>
      </c>
      <c r="R184" s="54">
        <v>273</v>
      </c>
      <c r="S184" s="54">
        <v>725</v>
      </c>
    </row>
    <row r="185" spans="1:19" x14ac:dyDescent="0.45">
      <c r="A185" s="53">
        <v>65</v>
      </c>
      <c r="B185" s="54">
        <v>582</v>
      </c>
      <c r="C185" s="54">
        <v>125</v>
      </c>
      <c r="D185" s="54">
        <v>713</v>
      </c>
      <c r="E185" s="54">
        <v>5376</v>
      </c>
      <c r="F185" s="53">
        <v>68</v>
      </c>
      <c r="G185" s="54">
        <v>393</v>
      </c>
      <c r="H185" s="54">
        <v>191</v>
      </c>
      <c r="I185" s="54">
        <v>593</v>
      </c>
      <c r="J185" s="54">
        <v>4764</v>
      </c>
      <c r="K185" s="53">
        <v>65</v>
      </c>
      <c r="L185" s="54">
        <v>540</v>
      </c>
      <c r="M185" s="54">
        <v>575</v>
      </c>
      <c r="N185" s="54">
        <v>1120</v>
      </c>
      <c r="O185" s="54">
        <v>9733</v>
      </c>
      <c r="P185" s="53">
        <v>66</v>
      </c>
      <c r="Q185" s="54">
        <v>652</v>
      </c>
      <c r="R185" s="54">
        <v>383</v>
      </c>
      <c r="S185" s="54">
        <v>1053</v>
      </c>
    </row>
    <row r="186" spans="1:19" x14ac:dyDescent="0.45">
      <c r="A186" s="53">
        <v>64</v>
      </c>
      <c r="B186" s="54">
        <v>518</v>
      </c>
      <c r="C186" s="54">
        <v>127</v>
      </c>
      <c r="D186" s="54">
        <v>651</v>
      </c>
      <c r="E186" s="54">
        <v>6027</v>
      </c>
      <c r="F186" s="53">
        <v>67</v>
      </c>
      <c r="G186" s="54">
        <v>296</v>
      </c>
      <c r="H186" s="54">
        <v>137</v>
      </c>
      <c r="I186" s="54">
        <v>440</v>
      </c>
      <c r="J186" s="54">
        <v>5204</v>
      </c>
      <c r="K186" s="53">
        <v>64</v>
      </c>
      <c r="L186" s="54">
        <v>594</v>
      </c>
      <c r="M186" s="54">
        <v>628</v>
      </c>
      <c r="N186" s="54">
        <v>1232</v>
      </c>
      <c r="O186" s="54">
        <v>10965</v>
      </c>
      <c r="P186" s="53">
        <v>65</v>
      </c>
      <c r="Q186" s="54">
        <v>576</v>
      </c>
      <c r="R186" s="54">
        <v>326</v>
      </c>
      <c r="S186" s="54">
        <v>913</v>
      </c>
    </row>
    <row r="187" spans="1:19" x14ac:dyDescent="0.45">
      <c r="A187" s="53">
        <v>63</v>
      </c>
      <c r="B187" s="54">
        <v>430</v>
      </c>
      <c r="C187" s="54">
        <v>110</v>
      </c>
      <c r="D187" s="54">
        <v>541</v>
      </c>
      <c r="E187" s="54">
        <v>6568</v>
      </c>
      <c r="F187" s="53">
        <v>66</v>
      </c>
      <c r="G187" s="54">
        <v>572</v>
      </c>
      <c r="H187" s="54">
        <v>356</v>
      </c>
      <c r="I187" s="54">
        <v>936</v>
      </c>
      <c r="J187" s="54">
        <v>6140</v>
      </c>
      <c r="K187" s="53">
        <v>63</v>
      </c>
      <c r="L187" s="54">
        <v>1283</v>
      </c>
      <c r="M187" s="54">
        <v>1580</v>
      </c>
      <c r="N187" s="54">
        <v>2886</v>
      </c>
      <c r="O187" s="54">
        <v>13851</v>
      </c>
      <c r="P187" s="53">
        <v>64</v>
      </c>
      <c r="Q187" s="54">
        <v>616</v>
      </c>
      <c r="R187" s="54">
        <v>382</v>
      </c>
      <c r="S187" s="54">
        <v>1007</v>
      </c>
    </row>
    <row r="188" spans="1:19" x14ac:dyDescent="0.45">
      <c r="A188" s="53">
        <v>62</v>
      </c>
      <c r="B188" s="54">
        <v>717</v>
      </c>
      <c r="C188" s="54">
        <v>157</v>
      </c>
      <c r="D188" s="54">
        <v>887</v>
      </c>
      <c r="E188" s="54">
        <v>7455</v>
      </c>
      <c r="F188" s="53">
        <v>65</v>
      </c>
      <c r="G188" s="54">
        <v>351</v>
      </c>
      <c r="H188" s="54">
        <v>234</v>
      </c>
      <c r="I188" s="54">
        <v>590</v>
      </c>
      <c r="J188" s="54">
        <v>6730</v>
      </c>
      <c r="K188" s="53">
        <v>62</v>
      </c>
      <c r="L188" s="54">
        <v>817</v>
      </c>
      <c r="M188" s="54">
        <v>949</v>
      </c>
      <c r="N188" s="54">
        <v>1789</v>
      </c>
      <c r="O188" s="54">
        <v>15640</v>
      </c>
      <c r="P188" s="53">
        <v>63</v>
      </c>
      <c r="Q188" s="54">
        <v>1283</v>
      </c>
      <c r="R188" s="54">
        <v>878</v>
      </c>
      <c r="S188" s="54">
        <v>2177</v>
      </c>
    </row>
    <row r="189" spans="1:19" x14ac:dyDescent="0.45">
      <c r="A189" s="53">
        <v>61</v>
      </c>
      <c r="B189" s="54">
        <v>1075</v>
      </c>
      <c r="C189" s="54">
        <v>343</v>
      </c>
      <c r="D189" s="54">
        <v>1436</v>
      </c>
      <c r="E189" s="54">
        <v>8891</v>
      </c>
      <c r="F189" s="53">
        <v>64</v>
      </c>
      <c r="G189" s="54">
        <v>437</v>
      </c>
      <c r="H189" s="54">
        <v>260</v>
      </c>
      <c r="I189" s="54">
        <v>700</v>
      </c>
      <c r="J189" s="54">
        <v>7430</v>
      </c>
      <c r="K189" s="53">
        <v>61</v>
      </c>
      <c r="L189" s="54">
        <v>703</v>
      </c>
      <c r="M189" s="54">
        <v>937</v>
      </c>
      <c r="N189" s="54">
        <v>1655</v>
      </c>
      <c r="O189" s="54">
        <v>17295</v>
      </c>
      <c r="P189" s="53">
        <v>62</v>
      </c>
      <c r="Q189" s="54">
        <v>810</v>
      </c>
      <c r="R189" s="54">
        <v>473</v>
      </c>
      <c r="S189" s="54">
        <v>1304</v>
      </c>
    </row>
    <row r="190" spans="1:19" x14ac:dyDescent="0.45">
      <c r="A190" s="53">
        <v>60</v>
      </c>
      <c r="B190" s="54">
        <v>724</v>
      </c>
      <c r="C190" s="54">
        <v>189</v>
      </c>
      <c r="D190" s="54">
        <v>920</v>
      </c>
      <c r="E190" s="54">
        <v>9811</v>
      </c>
      <c r="F190" s="53">
        <v>63</v>
      </c>
      <c r="G190" s="54">
        <v>642</v>
      </c>
      <c r="H190" s="54">
        <v>364</v>
      </c>
      <c r="I190" s="54">
        <v>1016</v>
      </c>
      <c r="J190" s="54">
        <v>8446</v>
      </c>
      <c r="K190" s="53">
        <v>60</v>
      </c>
      <c r="L190" s="54">
        <v>775</v>
      </c>
      <c r="M190" s="54">
        <v>940</v>
      </c>
      <c r="N190" s="54">
        <v>1728</v>
      </c>
      <c r="O190" s="54">
        <v>19023</v>
      </c>
      <c r="P190" s="53">
        <v>61</v>
      </c>
      <c r="Q190" s="54">
        <v>725</v>
      </c>
      <c r="R190" s="54">
        <v>511</v>
      </c>
      <c r="S190" s="54">
        <v>1250</v>
      </c>
    </row>
    <row r="191" spans="1:19" x14ac:dyDescent="0.45">
      <c r="A191" s="53">
        <v>59</v>
      </c>
      <c r="B191" s="54">
        <v>536</v>
      </c>
      <c r="C191" s="54">
        <v>167</v>
      </c>
      <c r="D191" s="54">
        <v>708</v>
      </c>
      <c r="E191" s="54">
        <v>10519</v>
      </c>
      <c r="F191" s="53">
        <v>62</v>
      </c>
      <c r="G191" s="54">
        <v>384</v>
      </c>
      <c r="H191" s="54">
        <v>267</v>
      </c>
      <c r="I191" s="54">
        <v>657</v>
      </c>
      <c r="J191" s="54">
        <v>9103</v>
      </c>
      <c r="K191" s="53">
        <v>59</v>
      </c>
      <c r="L191" s="54">
        <v>913</v>
      </c>
      <c r="M191" s="54">
        <v>1167</v>
      </c>
      <c r="N191" s="54">
        <v>2106</v>
      </c>
      <c r="O191" s="54">
        <v>21129</v>
      </c>
      <c r="P191" s="53">
        <v>60</v>
      </c>
      <c r="Q191" s="54">
        <v>724</v>
      </c>
      <c r="R191" s="54">
        <v>476</v>
      </c>
      <c r="S191" s="54">
        <v>1215</v>
      </c>
    </row>
    <row r="192" spans="1:19" x14ac:dyDescent="0.45">
      <c r="A192" s="53">
        <v>58</v>
      </c>
      <c r="B192" s="54">
        <v>733</v>
      </c>
      <c r="C192" s="54">
        <v>254</v>
      </c>
      <c r="D192" s="54">
        <v>995</v>
      </c>
      <c r="E192" s="54">
        <v>11514</v>
      </c>
      <c r="F192" s="53">
        <v>61</v>
      </c>
      <c r="G192" s="54">
        <v>596</v>
      </c>
      <c r="H192" s="54">
        <v>445</v>
      </c>
      <c r="I192" s="54">
        <v>1046</v>
      </c>
      <c r="J192" s="54">
        <v>10149</v>
      </c>
      <c r="K192" s="53">
        <v>58</v>
      </c>
      <c r="L192" s="54">
        <v>838</v>
      </c>
      <c r="M192" s="54">
        <v>1084</v>
      </c>
      <c r="N192" s="54">
        <v>1934</v>
      </c>
      <c r="O192" s="54">
        <v>23063</v>
      </c>
      <c r="P192" s="53">
        <v>59</v>
      </c>
      <c r="Q192" s="54">
        <v>824</v>
      </c>
      <c r="R192" s="54">
        <v>584</v>
      </c>
      <c r="S192" s="54">
        <v>1425</v>
      </c>
    </row>
    <row r="193" spans="1:19" x14ac:dyDescent="0.45">
      <c r="A193" s="53">
        <v>57</v>
      </c>
      <c r="B193" s="54">
        <v>714</v>
      </c>
      <c r="C193" s="54">
        <v>201</v>
      </c>
      <c r="D193" s="54">
        <v>918</v>
      </c>
      <c r="E193" s="54">
        <v>12432</v>
      </c>
      <c r="F193" s="53">
        <v>60</v>
      </c>
      <c r="G193" s="54">
        <v>632</v>
      </c>
      <c r="H193" s="54">
        <v>516</v>
      </c>
      <c r="I193" s="54">
        <v>1162</v>
      </c>
      <c r="J193" s="54">
        <v>11311</v>
      </c>
      <c r="K193" s="53">
        <v>57</v>
      </c>
      <c r="L193" s="54">
        <v>1006</v>
      </c>
      <c r="M193" s="54">
        <v>1254</v>
      </c>
      <c r="N193" s="54">
        <v>2285</v>
      </c>
      <c r="O193" s="54">
        <v>25348</v>
      </c>
      <c r="P193" s="53">
        <v>58</v>
      </c>
      <c r="Q193" s="54">
        <v>791</v>
      </c>
      <c r="R193" s="54">
        <v>545</v>
      </c>
      <c r="S193" s="54">
        <v>1349</v>
      </c>
    </row>
    <row r="194" spans="1:19" x14ac:dyDescent="0.45">
      <c r="A194" s="53">
        <v>56</v>
      </c>
      <c r="B194" s="54">
        <v>670</v>
      </c>
      <c r="C194" s="54">
        <v>219</v>
      </c>
      <c r="D194" s="54">
        <v>894</v>
      </c>
      <c r="E194" s="54">
        <v>13326</v>
      </c>
      <c r="F194" s="53">
        <v>59</v>
      </c>
      <c r="G194" s="54">
        <v>569</v>
      </c>
      <c r="H194" s="54">
        <v>362</v>
      </c>
      <c r="I194" s="54">
        <v>937</v>
      </c>
      <c r="J194" s="54">
        <v>12248</v>
      </c>
      <c r="K194" s="53">
        <v>56</v>
      </c>
      <c r="L194" s="54">
        <v>968</v>
      </c>
      <c r="M194" s="54">
        <v>1261</v>
      </c>
      <c r="N194" s="54">
        <v>2252</v>
      </c>
      <c r="O194" s="54">
        <v>27600</v>
      </c>
      <c r="P194" s="53">
        <v>57</v>
      </c>
      <c r="Q194" s="54">
        <v>1679</v>
      </c>
      <c r="R194" s="54">
        <v>1195</v>
      </c>
      <c r="S194" s="54">
        <v>2916</v>
      </c>
    </row>
    <row r="195" spans="1:19" x14ac:dyDescent="0.45">
      <c r="A195" s="53">
        <v>55</v>
      </c>
      <c r="B195" s="54">
        <v>1588</v>
      </c>
      <c r="C195" s="54">
        <v>515</v>
      </c>
      <c r="D195" s="54">
        <v>2129</v>
      </c>
      <c r="E195" s="54">
        <v>15455</v>
      </c>
      <c r="F195" s="53">
        <v>58</v>
      </c>
      <c r="G195" s="54">
        <v>801</v>
      </c>
      <c r="H195" s="54">
        <v>681</v>
      </c>
      <c r="I195" s="54">
        <v>1497</v>
      </c>
      <c r="J195" s="54">
        <v>13745</v>
      </c>
      <c r="K195" s="53">
        <v>55</v>
      </c>
      <c r="L195" s="54">
        <v>1065</v>
      </c>
      <c r="M195" s="54">
        <v>1332</v>
      </c>
      <c r="N195" s="54">
        <v>2414</v>
      </c>
      <c r="O195" s="54">
        <v>30014</v>
      </c>
      <c r="P195" s="53">
        <v>56</v>
      </c>
      <c r="Q195" s="54">
        <v>836</v>
      </c>
      <c r="R195" s="54">
        <v>624</v>
      </c>
      <c r="S195" s="54">
        <v>1473</v>
      </c>
    </row>
    <row r="196" spans="1:19" x14ac:dyDescent="0.45">
      <c r="A196" s="53">
        <v>54</v>
      </c>
      <c r="B196" s="54">
        <v>867</v>
      </c>
      <c r="C196" s="54">
        <v>273</v>
      </c>
      <c r="D196" s="54">
        <v>1153</v>
      </c>
      <c r="E196" s="54">
        <v>16608</v>
      </c>
      <c r="F196" s="53">
        <v>57</v>
      </c>
      <c r="G196" s="54">
        <v>673</v>
      </c>
      <c r="H196" s="54">
        <v>508</v>
      </c>
      <c r="I196" s="54">
        <v>1198</v>
      </c>
      <c r="J196" s="54">
        <v>14943</v>
      </c>
      <c r="K196" s="53">
        <v>54</v>
      </c>
      <c r="L196" s="54">
        <v>1144</v>
      </c>
      <c r="M196" s="54">
        <v>1560</v>
      </c>
      <c r="N196" s="54">
        <v>2727</v>
      </c>
      <c r="O196" s="54">
        <v>32741</v>
      </c>
      <c r="P196" s="53">
        <v>55</v>
      </c>
      <c r="Q196" s="54">
        <v>893</v>
      </c>
      <c r="R196" s="54">
        <v>711</v>
      </c>
      <c r="S196" s="54">
        <v>1629</v>
      </c>
    </row>
    <row r="197" spans="1:19" x14ac:dyDescent="0.45">
      <c r="A197" s="53">
        <v>53</v>
      </c>
      <c r="B197" s="54">
        <v>915</v>
      </c>
      <c r="C197" s="54">
        <v>263</v>
      </c>
      <c r="D197" s="54">
        <v>1190</v>
      </c>
      <c r="E197" s="54">
        <v>17798</v>
      </c>
      <c r="F197" s="53">
        <v>56</v>
      </c>
      <c r="G197" s="54">
        <v>1642</v>
      </c>
      <c r="H197" s="54">
        <v>1417</v>
      </c>
      <c r="I197" s="54">
        <v>3084</v>
      </c>
      <c r="J197" s="54">
        <v>18027</v>
      </c>
      <c r="K197" s="53">
        <v>53</v>
      </c>
      <c r="L197" s="54">
        <v>2367</v>
      </c>
      <c r="M197" s="54">
        <v>3180</v>
      </c>
      <c r="N197" s="54">
        <v>5599</v>
      </c>
      <c r="O197" s="54">
        <v>38340</v>
      </c>
      <c r="P197" s="53">
        <v>54</v>
      </c>
      <c r="Q197" s="54">
        <v>894</v>
      </c>
      <c r="R197" s="54">
        <v>627</v>
      </c>
      <c r="S197" s="54">
        <v>1539</v>
      </c>
    </row>
    <row r="198" spans="1:19" x14ac:dyDescent="0.45">
      <c r="A198" s="53">
        <v>52</v>
      </c>
      <c r="B198" s="54">
        <v>840</v>
      </c>
      <c r="C198" s="54">
        <v>298</v>
      </c>
      <c r="D198" s="54">
        <v>1154</v>
      </c>
      <c r="E198" s="54">
        <v>18952</v>
      </c>
      <c r="F198" s="53">
        <v>55</v>
      </c>
      <c r="G198" s="54">
        <v>777</v>
      </c>
      <c r="H198" s="54">
        <v>662</v>
      </c>
      <c r="I198" s="54">
        <v>1451</v>
      </c>
      <c r="J198" s="54">
        <v>19478</v>
      </c>
      <c r="K198" s="53">
        <v>52</v>
      </c>
      <c r="L198" s="54">
        <v>1273</v>
      </c>
      <c r="M198" s="54">
        <v>1613</v>
      </c>
      <c r="N198" s="54">
        <v>2910</v>
      </c>
      <c r="O198" s="54">
        <v>41250</v>
      </c>
      <c r="P198" s="53">
        <v>53</v>
      </c>
      <c r="Q198" s="54">
        <v>1036</v>
      </c>
      <c r="R198" s="54">
        <v>730</v>
      </c>
      <c r="S198" s="54">
        <v>1776</v>
      </c>
    </row>
    <row r="199" spans="1:19" x14ac:dyDescent="0.45">
      <c r="A199" s="53">
        <v>51</v>
      </c>
      <c r="B199" s="54">
        <v>967</v>
      </c>
      <c r="C199" s="54">
        <v>361</v>
      </c>
      <c r="D199" s="54">
        <v>1341</v>
      </c>
      <c r="E199" s="54">
        <v>20293</v>
      </c>
      <c r="F199" s="53">
        <v>54</v>
      </c>
      <c r="G199" s="54">
        <v>957</v>
      </c>
      <c r="H199" s="54">
        <v>879</v>
      </c>
      <c r="I199" s="54">
        <v>1851</v>
      </c>
      <c r="J199" s="54">
        <v>21329</v>
      </c>
      <c r="K199" s="53">
        <v>51</v>
      </c>
      <c r="L199" s="54">
        <v>1418</v>
      </c>
      <c r="M199" s="54">
        <v>1788</v>
      </c>
      <c r="N199" s="54">
        <v>3242</v>
      </c>
      <c r="O199" s="54">
        <v>44492</v>
      </c>
      <c r="P199" s="53">
        <v>52</v>
      </c>
      <c r="Q199" s="54">
        <v>958</v>
      </c>
      <c r="R199" s="54">
        <v>730</v>
      </c>
      <c r="S199" s="54">
        <v>1700</v>
      </c>
    </row>
    <row r="200" spans="1:19" x14ac:dyDescent="0.45">
      <c r="A200" s="53">
        <v>50</v>
      </c>
      <c r="B200" s="54">
        <v>1919</v>
      </c>
      <c r="C200" s="54">
        <v>685</v>
      </c>
      <c r="D200" s="54">
        <v>2631</v>
      </c>
      <c r="E200" s="54">
        <v>22924</v>
      </c>
      <c r="F200" s="53">
        <v>53</v>
      </c>
      <c r="G200" s="54">
        <v>1042</v>
      </c>
      <c r="H200" s="54">
        <v>833</v>
      </c>
      <c r="I200" s="54">
        <v>1890</v>
      </c>
      <c r="J200" s="54">
        <v>23219</v>
      </c>
      <c r="K200" s="53">
        <v>50</v>
      </c>
      <c r="L200" s="54">
        <v>1425</v>
      </c>
      <c r="M200" s="54">
        <v>1864</v>
      </c>
      <c r="N200" s="54">
        <v>3319</v>
      </c>
      <c r="O200" s="54">
        <v>47811</v>
      </c>
      <c r="P200" s="53">
        <v>51</v>
      </c>
      <c r="Q200" s="54">
        <v>2045</v>
      </c>
      <c r="R200" s="54">
        <v>1580</v>
      </c>
      <c r="S200" s="54">
        <v>3662</v>
      </c>
    </row>
    <row r="201" spans="1:19" x14ac:dyDescent="0.45">
      <c r="A201" s="53">
        <v>49</v>
      </c>
      <c r="B201" s="54">
        <v>1079</v>
      </c>
      <c r="C201" s="54">
        <v>416</v>
      </c>
      <c r="D201" s="54">
        <v>1504</v>
      </c>
      <c r="E201" s="54">
        <v>24428</v>
      </c>
      <c r="F201" s="53">
        <v>52</v>
      </c>
      <c r="G201" s="54">
        <v>978</v>
      </c>
      <c r="H201" s="54">
        <v>934</v>
      </c>
      <c r="I201" s="54">
        <v>1929</v>
      </c>
      <c r="J201" s="54">
        <v>25148</v>
      </c>
      <c r="K201" s="53">
        <v>49</v>
      </c>
      <c r="L201" s="54">
        <v>1443</v>
      </c>
      <c r="M201" s="54">
        <v>1798</v>
      </c>
      <c r="N201" s="54">
        <v>3266</v>
      </c>
      <c r="O201" s="54">
        <v>51077</v>
      </c>
      <c r="P201" s="53">
        <v>50</v>
      </c>
      <c r="Q201" s="54">
        <v>1104</v>
      </c>
      <c r="R201" s="54">
        <v>799</v>
      </c>
      <c r="S201" s="54">
        <v>1924</v>
      </c>
    </row>
    <row r="202" spans="1:19" x14ac:dyDescent="0.45">
      <c r="A202" s="53">
        <v>48</v>
      </c>
      <c r="B202" s="54">
        <v>1023</v>
      </c>
      <c r="C202" s="54">
        <v>335</v>
      </c>
      <c r="D202" s="54">
        <v>1372</v>
      </c>
      <c r="E202" s="54">
        <v>25800</v>
      </c>
      <c r="F202" s="53">
        <v>51</v>
      </c>
      <c r="G202" s="54">
        <v>1132</v>
      </c>
      <c r="H202" s="54">
        <v>1071</v>
      </c>
      <c r="I202" s="54">
        <v>2223</v>
      </c>
      <c r="J202" s="54">
        <v>27371</v>
      </c>
      <c r="K202" s="53">
        <v>48</v>
      </c>
      <c r="L202" s="54">
        <v>1581</v>
      </c>
      <c r="M202" s="54">
        <v>1942</v>
      </c>
      <c r="N202" s="54">
        <v>3560</v>
      </c>
      <c r="O202" s="54">
        <v>54637</v>
      </c>
      <c r="P202" s="53">
        <v>49</v>
      </c>
      <c r="Q202" s="54">
        <v>1169</v>
      </c>
      <c r="R202" s="54">
        <v>855</v>
      </c>
      <c r="S202" s="54">
        <v>2038</v>
      </c>
    </row>
    <row r="203" spans="1:19" x14ac:dyDescent="0.45">
      <c r="A203" s="53">
        <v>47</v>
      </c>
      <c r="B203" s="54">
        <v>1165</v>
      </c>
      <c r="C203" s="54">
        <v>422</v>
      </c>
      <c r="D203" s="54">
        <v>1595</v>
      </c>
      <c r="E203" s="54">
        <v>27395</v>
      </c>
      <c r="F203" s="53">
        <v>50</v>
      </c>
      <c r="G203" s="54">
        <v>1082</v>
      </c>
      <c r="H203" s="54">
        <v>1045</v>
      </c>
      <c r="I203" s="54">
        <v>2149</v>
      </c>
      <c r="J203" s="54">
        <v>29520</v>
      </c>
      <c r="K203" s="53">
        <v>47</v>
      </c>
      <c r="L203" s="54">
        <v>1572</v>
      </c>
      <c r="M203" s="54">
        <v>1701</v>
      </c>
      <c r="N203" s="54">
        <v>3308</v>
      </c>
      <c r="O203" s="54">
        <v>57945</v>
      </c>
      <c r="P203" s="53">
        <v>48</v>
      </c>
      <c r="Q203" s="54">
        <v>1138</v>
      </c>
      <c r="R203" s="54">
        <v>910</v>
      </c>
      <c r="S203" s="54">
        <v>2065</v>
      </c>
    </row>
    <row r="204" spans="1:19" x14ac:dyDescent="0.45">
      <c r="A204" s="53">
        <v>46</v>
      </c>
      <c r="B204" s="54">
        <v>1161</v>
      </c>
      <c r="C204" s="54">
        <v>385</v>
      </c>
      <c r="D204" s="54">
        <v>1562</v>
      </c>
      <c r="E204" s="54">
        <v>28957</v>
      </c>
      <c r="F204" s="53">
        <v>49</v>
      </c>
      <c r="G204" s="54">
        <v>1168</v>
      </c>
      <c r="H204" s="54">
        <v>1185</v>
      </c>
      <c r="I204" s="54">
        <v>2379</v>
      </c>
      <c r="J204" s="54">
        <v>31899</v>
      </c>
      <c r="K204" s="53">
        <v>46</v>
      </c>
      <c r="L204" s="54">
        <v>1718</v>
      </c>
      <c r="M204" s="54">
        <v>1920</v>
      </c>
      <c r="N204" s="54">
        <v>3671</v>
      </c>
      <c r="O204" s="54">
        <v>61616</v>
      </c>
      <c r="P204" s="53">
        <v>47</v>
      </c>
      <c r="Q204" s="54">
        <v>1277</v>
      </c>
      <c r="R204" s="54">
        <v>953</v>
      </c>
      <c r="S204" s="54">
        <v>2249</v>
      </c>
    </row>
    <row r="205" spans="1:19" x14ac:dyDescent="0.45">
      <c r="A205" s="53">
        <v>45</v>
      </c>
      <c r="B205" s="54">
        <v>1143</v>
      </c>
      <c r="C205" s="54">
        <v>389</v>
      </c>
      <c r="D205" s="54">
        <v>1540</v>
      </c>
      <c r="E205" s="54">
        <v>30497</v>
      </c>
      <c r="F205" s="53">
        <v>48</v>
      </c>
      <c r="G205" s="54">
        <v>1298</v>
      </c>
      <c r="H205" s="54">
        <v>1142</v>
      </c>
      <c r="I205" s="54">
        <v>2462</v>
      </c>
      <c r="J205" s="54">
        <v>34361</v>
      </c>
      <c r="K205" s="53">
        <v>45</v>
      </c>
      <c r="L205" s="54">
        <v>1556</v>
      </c>
      <c r="M205" s="54">
        <v>1736</v>
      </c>
      <c r="N205" s="54">
        <v>3315</v>
      </c>
      <c r="O205" s="54">
        <v>64931</v>
      </c>
      <c r="P205" s="53">
        <v>46</v>
      </c>
      <c r="Q205" s="54">
        <v>1328</v>
      </c>
      <c r="R205" s="54">
        <v>989</v>
      </c>
      <c r="S205" s="54">
        <v>2339</v>
      </c>
    </row>
    <row r="206" spans="1:19" x14ac:dyDescent="0.45">
      <c r="A206" s="53">
        <v>44</v>
      </c>
      <c r="B206" s="54">
        <v>2250</v>
      </c>
      <c r="C206" s="54">
        <v>744</v>
      </c>
      <c r="D206" s="54">
        <v>3018</v>
      </c>
      <c r="E206" s="54">
        <v>33515</v>
      </c>
      <c r="F206" s="53">
        <v>47</v>
      </c>
      <c r="G206" s="54">
        <v>1284</v>
      </c>
      <c r="H206" s="54">
        <v>1239</v>
      </c>
      <c r="I206" s="54">
        <v>2548</v>
      </c>
      <c r="J206" s="54">
        <v>36909</v>
      </c>
      <c r="K206" s="53">
        <v>44</v>
      </c>
      <c r="L206" s="54">
        <v>3384</v>
      </c>
      <c r="M206" s="54">
        <v>3472</v>
      </c>
      <c r="N206" s="54">
        <v>6933</v>
      </c>
      <c r="O206" s="54">
        <v>71864</v>
      </c>
      <c r="P206" s="53">
        <v>45</v>
      </c>
      <c r="Q206" s="54">
        <v>2756</v>
      </c>
      <c r="R206" s="54">
        <v>1944</v>
      </c>
      <c r="S206" s="54">
        <v>4748</v>
      </c>
    </row>
    <row r="207" spans="1:19" x14ac:dyDescent="0.45">
      <c r="A207" s="53">
        <v>43</v>
      </c>
      <c r="B207" s="54">
        <v>1293</v>
      </c>
      <c r="C207" s="54">
        <v>399</v>
      </c>
      <c r="D207" s="54">
        <v>1716</v>
      </c>
      <c r="E207" s="54">
        <v>35231</v>
      </c>
      <c r="F207" s="53">
        <v>46</v>
      </c>
      <c r="G207" s="54">
        <v>1461</v>
      </c>
      <c r="H207" s="54">
        <v>1293</v>
      </c>
      <c r="I207" s="54">
        <v>2780</v>
      </c>
      <c r="J207" s="54">
        <v>39689</v>
      </c>
      <c r="K207" s="53">
        <v>43</v>
      </c>
      <c r="L207" s="54">
        <v>1492</v>
      </c>
      <c r="M207" s="54">
        <v>1440</v>
      </c>
      <c r="N207" s="54">
        <v>2953</v>
      </c>
      <c r="O207" s="54">
        <v>74817</v>
      </c>
      <c r="P207" s="53">
        <v>44</v>
      </c>
      <c r="Q207" s="54">
        <v>1473</v>
      </c>
      <c r="R207" s="54">
        <v>965</v>
      </c>
      <c r="S207" s="54">
        <v>2463</v>
      </c>
    </row>
    <row r="208" spans="1:19" x14ac:dyDescent="0.45">
      <c r="A208" s="53">
        <v>42</v>
      </c>
      <c r="B208" s="54">
        <v>1132</v>
      </c>
      <c r="C208" s="54">
        <v>340</v>
      </c>
      <c r="D208" s="54">
        <v>1482</v>
      </c>
      <c r="E208" s="54">
        <v>36713</v>
      </c>
      <c r="F208" s="53">
        <v>45</v>
      </c>
      <c r="G208" s="54">
        <v>1314</v>
      </c>
      <c r="H208" s="54">
        <v>1175</v>
      </c>
      <c r="I208" s="54">
        <v>2508</v>
      </c>
      <c r="J208" s="54">
        <v>42197</v>
      </c>
      <c r="K208" s="53">
        <v>42</v>
      </c>
      <c r="L208" s="54">
        <v>1846</v>
      </c>
      <c r="M208" s="54">
        <v>1683</v>
      </c>
      <c r="N208" s="54">
        <v>3556</v>
      </c>
      <c r="O208" s="54">
        <v>78373</v>
      </c>
      <c r="P208" s="53">
        <v>43</v>
      </c>
      <c r="Q208" s="54">
        <v>1611</v>
      </c>
      <c r="R208" s="54">
        <v>986</v>
      </c>
      <c r="S208" s="54">
        <v>2618</v>
      </c>
    </row>
    <row r="209" spans="1:19" x14ac:dyDescent="0.45">
      <c r="A209" s="53">
        <v>41</v>
      </c>
      <c r="B209" s="54">
        <v>1013</v>
      </c>
      <c r="C209" s="54">
        <v>286</v>
      </c>
      <c r="D209" s="54">
        <v>1320</v>
      </c>
      <c r="E209" s="54">
        <v>38033</v>
      </c>
      <c r="F209" s="53">
        <v>44</v>
      </c>
      <c r="G209" s="54">
        <v>2557</v>
      </c>
      <c r="H209" s="54">
        <v>1497</v>
      </c>
      <c r="I209" s="54">
        <v>4092</v>
      </c>
      <c r="J209" s="54">
        <v>46289</v>
      </c>
      <c r="K209" s="53">
        <v>41</v>
      </c>
      <c r="L209" s="54">
        <v>1284</v>
      </c>
      <c r="M209" s="54">
        <v>1220</v>
      </c>
      <c r="N209" s="54">
        <v>2526</v>
      </c>
      <c r="O209" s="54">
        <v>80899</v>
      </c>
      <c r="P209" s="53">
        <v>42</v>
      </c>
      <c r="Q209" s="54">
        <v>1674</v>
      </c>
      <c r="R209" s="54">
        <v>986</v>
      </c>
      <c r="S209" s="54">
        <v>2689</v>
      </c>
    </row>
    <row r="210" spans="1:19" x14ac:dyDescent="0.45">
      <c r="A210" s="53">
        <v>40</v>
      </c>
      <c r="B210" s="54">
        <v>1847</v>
      </c>
      <c r="C210" s="54">
        <v>440</v>
      </c>
      <c r="D210" s="54">
        <v>2316</v>
      </c>
      <c r="E210" s="54">
        <v>40349</v>
      </c>
      <c r="F210" s="53">
        <v>43</v>
      </c>
      <c r="G210" s="54">
        <v>1368</v>
      </c>
      <c r="H210" s="54">
        <v>1168</v>
      </c>
      <c r="I210" s="54">
        <v>2571</v>
      </c>
      <c r="J210" s="54">
        <v>48860</v>
      </c>
      <c r="K210" s="53">
        <v>40</v>
      </c>
      <c r="L210" s="54">
        <v>2192</v>
      </c>
      <c r="M210" s="54">
        <v>1541</v>
      </c>
      <c r="N210" s="54">
        <v>3772</v>
      </c>
      <c r="O210" s="54">
        <v>84671</v>
      </c>
      <c r="P210" s="53">
        <v>41</v>
      </c>
      <c r="Q210" s="54">
        <v>4270</v>
      </c>
      <c r="R210" s="54">
        <v>1636</v>
      </c>
      <c r="S210" s="54">
        <v>5977</v>
      </c>
    </row>
    <row r="211" spans="1:19" x14ac:dyDescent="0.45">
      <c r="A211" s="53">
        <v>39</v>
      </c>
      <c r="B211" s="54">
        <v>1944</v>
      </c>
      <c r="C211" s="54">
        <v>494</v>
      </c>
      <c r="D211" s="54">
        <v>2466</v>
      </c>
      <c r="E211" s="54">
        <v>42815</v>
      </c>
      <c r="F211" s="53">
        <v>42</v>
      </c>
      <c r="G211" s="54">
        <v>1293</v>
      </c>
      <c r="H211" s="54">
        <v>1123</v>
      </c>
      <c r="I211" s="54">
        <v>2439</v>
      </c>
      <c r="J211" s="54">
        <v>51299</v>
      </c>
      <c r="K211" s="53">
        <v>39</v>
      </c>
      <c r="L211" s="54">
        <v>1383</v>
      </c>
      <c r="M211" s="54">
        <v>1158</v>
      </c>
      <c r="N211" s="54">
        <v>2565</v>
      </c>
      <c r="O211" s="54">
        <v>87236</v>
      </c>
      <c r="P211" s="53">
        <v>40</v>
      </c>
      <c r="Q211" s="54">
        <v>3070</v>
      </c>
      <c r="R211" s="54">
        <v>1458</v>
      </c>
      <c r="S211" s="54">
        <v>4586</v>
      </c>
    </row>
    <row r="212" spans="1:19" x14ac:dyDescent="0.45">
      <c r="A212" s="53">
        <v>38</v>
      </c>
      <c r="B212" s="54">
        <v>2420</v>
      </c>
      <c r="C212" s="54">
        <v>430</v>
      </c>
      <c r="D212" s="54">
        <v>2895</v>
      </c>
      <c r="E212" s="54">
        <v>45710</v>
      </c>
      <c r="F212" s="53">
        <v>41</v>
      </c>
      <c r="G212" s="54">
        <v>1282</v>
      </c>
      <c r="H212" s="54">
        <v>1108</v>
      </c>
      <c r="I212" s="54">
        <v>2412</v>
      </c>
      <c r="J212" s="54">
        <v>53711</v>
      </c>
      <c r="K212" s="53">
        <v>38</v>
      </c>
      <c r="L212" s="54">
        <v>950</v>
      </c>
      <c r="M212" s="54">
        <v>710</v>
      </c>
      <c r="N212" s="54">
        <v>1681</v>
      </c>
      <c r="O212" s="54">
        <v>88917</v>
      </c>
      <c r="P212" s="53">
        <v>39</v>
      </c>
      <c r="Q212" s="54">
        <v>2577</v>
      </c>
      <c r="R212" s="54">
        <v>1383</v>
      </c>
      <c r="S212" s="54">
        <v>4014</v>
      </c>
    </row>
    <row r="213" spans="1:19" x14ac:dyDescent="0.45">
      <c r="A213" s="53">
        <v>37</v>
      </c>
      <c r="B213" s="54">
        <v>632</v>
      </c>
      <c r="C213" s="54">
        <v>145</v>
      </c>
      <c r="D213" s="54">
        <v>789</v>
      </c>
      <c r="E213" s="54">
        <v>46499</v>
      </c>
      <c r="F213" s="53">
        <v>40</v>
      </c>
      <c r="G213" s="54">
        <v>1007</v>
      </c>
      <c r="H213" s="54">
        <v>863</v>
      </c>
      <c r="I213" s="54">
        <v>1882</v>
      </c>
      <c r="J213" s="54">
        <v>55593</v>
      </c>
      <c r="K213" s="53">
        <v>37</v>
      </c>
      <c r="L213" s="54">
        <v>1705</v>
      </c>
      <c r="M213" s="54">
        <v>993</v>
      </c>
      <c r="N213" s="54">
        <v>2726</v>
      </c>
      <c r="O213" s="54">
        <v>91643</v>
      </c>
      <c r="P213" s="53">
        <v>38</v>
      </c>
      <c r="Q213" s="54">
        <v>1096</v>
      </c>
      <c r="R213" s="54">
        <v>618</v>
      </c>
      <c r="S213" s="54">
        <v>1729</v>
      </c>
    </row>
    <row r="214" spans="1:19" x14ac:dyDescent="0.45">
      <c r="A214" s="53">
        <v>36</v>
      </c>
      <c r="B214" s="54">
        <v>460</v>
      </c>
      <c r="C214" s="54">
        <v>103</v>
      </c>
      <c r="D214" s="54">
        <v>570</v>
      </c>
      <c r="E214" s="54">
        <v>47069</v>
      </c>
      <c r="F214" s="53">
        <v>39</v>
      </c>
      <c r="G214" s="54">
        <v>1590</v>
      </c>
      <c r="H214" s="54">
        <v>1051</v>
      </c>
      <c r="I214" s="54">
        <v>2677</v>
      </c>
      <c r="J214" s="54">
        <v>58270</v>
      </c>
      <c r="K214" s="53">
        <v>36</v>
      </c>
      <c r="L214" s="54">
        <v>1027</v>
      </c>
      <c r="M214" s="54">
        <v>777</v>
      </c>
      <c r="N214" s="54">
        <v>1825</v>
      </c>
      <c r="O214" s="54">
        <v>93468</v>
      </c>
      <c r="P214" s="53">
        <v>37</v>
      </c>
      <c r="Q214" s="54">
        <v>614</v>
      </c>
      <c r="R214" s="54">
        <v>317</v>
      </c>
      <c r="S214" s="54">
        <v>938</v>
      </c>
    </row>
    <row r="215" spans="1:19" x14ac:dyDescent="0.45">
      <c r="A215" s="53">
        <v>35</v>
      </c>
      <c r="B215" s="54">
        <v>364</v>
      </c>
      <c r="C215" s="54">
        <v>64</v>
      </c>
      <c r="D215" s="54">
        <v>435</v>
      </c>
      <c r="E215" s="54">
        <v>47504</v>
      </c>
      <c r="F215" s="53">
        <v>38</v>
      </c>
      <c r="G215" s="54">
        <v>769</v>
      </c>
      <c r="H215" s="54">
        <v>611</v>
      </c>
      <c r="I215" s="54">
        <v>1391</v>
      </c>
      <c r="J215" s="54">
        <v>59661</v>
      </c>
      <c r="K215" s="53">
        <v>35</v>
      </c>
      <c r="L215" s="54">
        <v>2149</v>
      </c>
      <c r="M215" s="54">
        <v>912</v>
      </c>
      <c r="N215" s="54">
        <v>3121</v>
      </c>
      <c r="O215" s="54">
        <v>96589</v>
      </c>
      <c r="P215" s="53">
        <v>36</v>
      </c>
      <c r="Q215" s="54">
        <v>634</v>
      </c>
      <c r="R215" s="54">
        <v>329</v>
      </c>
      <c r="S215" s="54">
        <v>976</v>
      </c>
    </row>
    <row r="216" spans="1:19" x14ac:dyDescent="0.45">
      <c r="A216" s="53">
        <v>34</v>
      </c>
      <c r="B216" s="54">
        <v>372</v>
      </c>
      <c r="C216" s="54">
        <v>63</v>
      </c>
      <c r="D216" s="54">
        <v>441</v>
      </c>
      <c r="E216" s="54">
        <v>47945</v>
      </c>
      <c r="F216" s="53">
        <v>37</v>
      </c>
      <c r="G216" s="54">
        <v>733</v>
      </c>
      <c r="H216" s="54">
        <v>550</v>
      </c>
      <c r="I216" s="54">
        <v>1297</v>
      </c>
      <c r="J216" s="54">
        <v>60958</v>
      </c>
      <c r="K216" s="53">
        <v>34</v>
      </c>
      <c r="L216" s="54">
        <v>877</v>
      </c>
      <c r="M216" s="54">
        <v>568</v>
      </c>
      <c r="N216" s="54">
        <v>1462</v>
      </c>
      <c r="O216" s="54">
        <v>98051</v>
      </c>
      <c r="P216" s="53">
        <v>35</v>
      </c>
      <c r="Q216" s="54">
        <v>387</v>
      </c>
      <c r="R216" s="54">
        <v>192</v>
      </c>
      <c r="S216" s="54">
        <v>586</v>
      </c>
    </row>
    <row r="217" spans="1:19" x14ac:dyDescent="0.45">
      <c r="A217" s="53">
        <v>33</v>
      </c>
      <c r="B217" s="54">
        <v>121</v>
      </c>
      <c r="C217" s="54">
        <v>19</v>
      </c>
      <c r="D217" s="54">
        <v>141</v>
      </c>
      <c r="E217" s="54">
        <v>48086</v>
      </c>
      <c r="F217" s="53">
        <v>36</v>
      </c>
      <c r="G217" s="54">
        <v>953</v>
      </c>
      <c r="H217" s="54">
        <v>522</v>
      </c>
      <c r="I217" s="54">
        <v>1494</v>
      </c>
      <c r="J217" s="54">
        <v>62452</v>
      </c>
      <c r="K217" s="53">
        <v>33</v>
      </c>
      <c r="L217" s="54">
        <v>313</v>
      </c>
      <c r="M217" s="54">
        <v>183</v>
      </c>
      <c r="N217" s="54">
        <v>502</v>
      </c>
      <c r="O217" s="54">
        <v>98553</v>
      </c>
      <c r="P217" s="53">
        <v>34</v>
      </c>
      <c r="Q217" s="54">
        <v>207</v>
      </c>
      <c r="R217" s="54">
        <v>98</v>
      </c>
      <c r="S217" s="54">
        <v>311</v>
      </c>
    </row>
    <row r="218" spans="1:19" x14ac:dyDescent="0.45">
      <c r="A218" s="53">
        <v>31</v>
      </c>
      <c r="B218" s="54">
        <v>219</v>
      </c>
      <c r="C218" s="54">
        <v>33</v>
      </c>
      <c r="D218" s="54">
        <v>258</v>
      </c>
      <c r="E218" s="54">
        <v>48344</v>
      </c>
      <c r="F218" s="53">
        <v>35</v>
      </c>
      <c r="G218" s="54">
        <v>501</v>
      </c>
      <c r="H218" s="54">
        <v>298</v>
      </c>
      <c r="I218" s="54">
        <v>814</v>
      </c>
      <c r="J218" s="54">
        <v>63266</v>
      </c>
      <c r="K218" s="53">
        <v>32</v>
      </c>
      <c r="L218" s="54">
        <v>172</v>
      </c>
      <c r="M218" s="54">
        <v>115</v>
      </c>
      <c r="N218" s="54">
        <v>289</v>
      </c>
      <c r="O218" s="54">
        <v>98842</v>
      </c>
      <c r="P218" s="53">
        <v>33</v>
      </c>
      <c r="Q218" s="54">
        <v>223</v>
      </c>
      <c r="R218" s="54">
        <v>119</v>
      </c>
      <c r="S218" s="54">
        <v>348</v>
      </c>
    </row>
    <row r="219" spans="1:19" x14ac:dyDescent="0.45">
      <c r="A219" s="53"/>
      <c r="B219" s="54"/>
      <c r="C219" s="54"/>
      <c r="D219" s="54"/>
      <c r="E219" s="54"/>
      <c r="F219" s="53">
        <v>34</v>
      </c>
      <c r="G219" s="54">
        <v>475</v>
      </c>
      <c r="H219" s="54">
        <v>336</v>
      </c>
      <c r="I219" s="54">
        <v>818</v>
      </c>
      <c r="J219" s="54">
        <v>64084</v>
      </c>
      <c r="K219" s="53">
        <v>31</v>
      </c>
      <c r="L219" s="54">
        <v>128</v>
      </c>
      <c r="M219" s="54">
        <v>59</v>
      </c>
      <c r="N219" s="54">
        <v>189</v>
      </c>
      <c r="O219" s="54">
        <v>99031</v>
      </c>
      <c r="P219" s="53">
        <v>32</v>
      </c>
      <c r="Q219" s="54">
        <v>309</v>
      </c>
      <c r="R219" s="54">
        <v>88</v>
      </c>
      <c r="S219" s="54">
        <v>407</v>
      </c>
    </row>
    <row r="220" spans="1:19" x14ac:dyDescent="0.45">
      <c r="A220" s="53"/>
      <c r="B220" s="54"/>
      <c r="C220" s="54"/>
      <c r="D220" s="54"/>
      <c r="E220" s="54"/>
      <c r="F220" s="53">
        <v>33</v>
      </c>
      <c r="G220" s="54">
        <v>168</v>
      </c>
      <c r="H220" s="54">
        <v>107</v>
      </c>
      <c r="I220" s="54">
        <v>281</v>
      </c>
      <c r="J220" s="54">
        <v>64365</v>
      </c>
      <c r="K220" s="53">
        <v>30</v>
      </c>
      <c r="L220" s="54">
        <v>106</v>
      </c>
      <c r="M220" s="54">
        <v>63</v>
      </c>
      <c r="N220" s="54">
        <v>174</v>
      </c>
      <c r="O220" s="54">
        <v>99205</v>
      </c>
      <c r="P220" s="53"/>
      <c r="Q220" s="54"/>
      <c r="R220" s="54"/>
      <c r="S220" s="54"/>
    </row>
    <row r="221" spans="1:19" x14ac:dyDescent="0.45">
      <c r="A221" s="53"/>
      <c r="B221" s="54"/>
      <c r="C221" s="54"/>
      <c r="D221" s="54"/>
      <c r="E221" s="54"/>
      <c r="F221" s="53">
        <v>32</v>
      </c>
      <c r="G221" s="54">
        <v>61</v>
      </c>
      <c r="H221" s="54">
        <v>24</v>
      </c>
      <c r="I221" s="54">
        <v>86</v>
      </c>
      <c r="J221" s="54">
        <v>64451</v>
      </c>
      <c r="K221" s="53">
        <v>28</v>
      </c>
      <c r="L221" s="54">
        <v>238</v>
      </c>
      <c r="M221" s="54">
        <v>92</v>
      </c>
      <c r="N221" s="54">
        <v>342</v>
      </c>
      <c r="O221" s="54">
        <v>99547</v>
      </c>
      <c r="P221" s="53"/>
      <c r="Q221" s="54"/>
      <c r="R221" s="54"/>
      <c r="S221" s="54"/>
    </row>
    <row r="222" spans="1:19" x14ac:dyDescent="0.45">
      <c r="A222" s="53"/>
      <c r="B222" s="54"/>
      <c r="C222" s="54"/>
      <c r="D222" s="54"/>
      <c r="E222" s="54"/>
      <c r="F222" s="53">
        <v>31</v>
      </c>
      <c r="G222" s="54">
        <v>74</v>
      </c>
      <c r="H222" s="54">
        <v>28</v>
      </c>
      <c r="I222" s="54">
        <v>102</v>
      </c>
      <c r="J222" s="54">
        <v>64553</v>
      </c>
      <c r="K222" s="53"/>
      <c r="L222" s="54"/>
      <c r="M222" s="54"/>
      <c r="N222" s="54"/>
      <c r="O222" s="54"/>
      <c r="P222" s="53"/>
      <c r="Q222" s="54"/>
      <c r="R222" s="54"/>
      <c r="S222" s="54"/>
    </row>
    <row r="223" spans="1:19" x14ac:dyDescent="0.45">
      <c r="A223" s="53"/>
      <c r="B223" s="54"/>
      <c r="C223" s="54"/>
      <c r="D223" s="54"/>
      <c r="E223" s="54"/>
      <c r="F223" s="53">
        <v>29</v>
      </c>
      <c r="G223" s="54">
        <v>207</v>
      </c>
      <c r="H223" s="54">
        <v>51</v>
      </c>
      <c r="I223" s="54">
        <v>264</v>
      </c>
      <c r="J223" s="54">
        <v>64817</v>
      </c>
      <c r="K223" s="53"/>
      <c r="L223" s="54"/>
      <c r="M223" s="54"/>
      <c r="N223" s="54"/>
      <c r="O223" s="54"/>
      <c r="P223" s="53"/>
      <c r="Q223" s="54"/>
      <c r="R223" s="54"/>
      <c r="S223" s="54"/>
    </row>
    <row r="224" spans="1:19" ht="17.5" thickBot="1" x14ac:dyDescent="0.5">
      <c r="A224" s="8"/>
      <c r="B224" s="14"/>
      <c r="C224" s="14"/>
      <c r="D224" s="2"/>
      <c r="F224" s="8"/>
      <c r="G224" s="14"/>
      <c r="H224" s="14"/>
      <c r="I224" s="2"/>
      <c r="K224" s="8"/>
      <c r="L224" s="14"/>
      <c r="M224" s="14"/>
      <c r="N224" s="2"/>
      <c r="P224" s="8"/>
      <c r="Q224" s="14"/>
      <c r="R224" s="14"/>
      <c r="S224" s="2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9C2F0-AFFA-4DD2-AC57-9D55E3AE9A18}">
  <sheetPr codeName="Sheet5"/>
  <dimension ref="A1:S111"/>
  <sheetViews>
    <sheetView topLeftCell="A45" zoomScale="70" zoomScaleNormal="70" workbookViewId="0">
      <selection activeCell="A64" sqref="A64:I108"/>
    </sheetView>
  </sheetViews>
  <sheetFormatPr defaultRowHeight="17" x14ac:dyDescent="0.45"/>
  <sheetData>
    <row r="1" spans="1:19" x14ac:dyDescent="0.45">
      <c r="A1" s="15"/>
    </row>
    <row r="2" spans="1:19" ht="17.5" thickBot="1" x14ac:dyDescent="0.5"/>
    <row r="3" spans="1:19" x14ac:dyDescent="0.45">
      <c r="A3" s="46" t="s">
        <v>67</v>
      </c>
      <c r="B3" s="47"/>
      <c r="C3" s="47"/>
      <c r="D3" s="48"/>
      <c r="F3" s="46" t="s">
        <v>68</v>
      </c>
      <c r="G3" s="47"/>
      <c r="H3" s="47"/>
      <c r="I3" s="48"/>
      <c r="K3" s="46" t="s">
        <v>69</v>
      </c>
      <c r="L3" s="47"/>
      <c r="M3" s="47"/>
      <c r="N3" s="48"/>
      <c r="P3" s="46" t="s">
        <v>70</v>
      </c>
      <c r="Q3" s="47"/>
      <c r="R3" s="47"/>
      <c r="S3" s="48"/>
    </row>
    <row r="4" spans="1:19" x14ac:dyDescent="0.45">
      <c r="A4" s="6" t="s">
        <v>1</v>
      </c>
      <c r="B4" s="1"/>
      <c r="C4" s="1"/>
      <c r="D4" s="7" t="s">
        <v>0</v>
      </c>
      <c r="F4" s="6" t="s">
        <v>1</v>
      </c>
      <c r="G4" s="1"/>
      <c r="H4" s="1"/>
      <c r="I4" s="7" t="s">
        <v>0</v>
      </c>
      <c r="K4" s="6" t="s">
        <v>1</v>
      </c>
      <c r="L4" s="1"/>
      <c r="M4" s="1"/>
      <c r="N4" s="7" t="s">
        <v>0</v>
      </c>
      <c r="P4" s="6" t="s">
        <v>1</v>
      </c>
      <c r="Q4" s="1"/>
      <c r="R4" s="1"/>
      <c r="S4" s="7" t="s">
        <v>0</v>
      </c>
    </row>
    <row r="5" spans="1:19" x14ac:dyDescent="0.45">
      <c r="A5" s="53">
        <v>86</v>
      </c>
      <c r="B5" s="54">
        <v>1</v>
      </c>
      <c r="C5" s="54">
        <v>1</v>
      </c>
      <c r="D5" s="54">
        <v>2</v>
      </c>
      <c r="E5" s="54">
        <v>2</v>
      </c>
      <c r="F5" s="53">
        <v>92</v>
      </c>
      <c r="G5" s="54">
        <v>1</v>
      </c>
      <c r="H5" s="54">
        <v>0</v>
      </c>
      <c r="I5" s="54">
        <v>1</v>
      </c>
      <c r="J5" s="54">
        <v>1</v>
      </c>
      <c r="K5" s="53">
        <v>84</v>
      </c>
      <c r="L5" s="54">
        <v>0</v>
      </c>
      <c r="M5" s="54">
        <v>1</v>
      </c>
      <c r="N5" s="54">
        <v>1</v>
      </c>
      <c r="O5" s="54">
        <v>1</v>
      </c>
      <c r="P5" s="53">
        <v>80</v>
      </c>
      <c r="Q5" s="54">
        <v>6</v>
      </c>
      <c r="R5" s="54">
        <v>4</v>
      </c>
      <c r="S5" s="54">
        <v>10</v>
      </c>
    </row>
    <row r="6" spans="1:19" x14ac:dyDescent="0.45">
      <c r="A6" s="53">
        <v>84</v>
      </c>
      <c r="B6" s="54">
        <v>1</v>
      </c>
      <c r="C6" s="54">
        <v>0</v>
      </c>
      <c r="D6" s="54">
        <v>1</v>
      </c>
      <c r="E6" s="54">
        <v>3</v>
      </c>
      <c r="F6" s="53">
        <v>88</v>
      </c>
      <c r="G6" s="54">
        <v>0</v>
      </c>
      <c r="H6" s="54">
        <v>1</v>
      </c>
      <c r="I6" s="54">
        <v>1</v>
      </c>
      <c r="J6" s="54">
        <v>2</v>
      </c>
      <c r="K6" s="53">
        <v>81</v>
      </c>
      <c r="L6" s="54">
        <v>0</v>
      </c>
      <c r="M6" s="54">
        <v>1</v>
      </c>
      <c r="N6" s="54">
        <v>1</v>
      </c>
      <c r="O6" s="54">
        <v>2</v>
      </c>
      <c r="P6" s="53">
        <v>79</v>
      </c>
      <c r="Q6" s="54">
        <v>1</v>
      </c>
      <c r="R6" s="54">
        <v>1</v>
      </c>
      <c r="S6" s="54">
        <v>2</v>
      </c>
    </row>
    <row r="7" spans="1:19" x14ac:dyDescent="0.45">
      <c r="A7" s="53">
        <v>83</v>
      </c>
      <c r="B7" s="54">
        <v>4</v>
      </c>
      <c r="C7" s="54">
        <v>1</v>
      </c>
      <c r="D7" s="54">
        <v>5</v>
      </c>
      <c r="E7" s="54">
        <v>8</v>
      </c>
      <c r="F7" s="53">
        <v>85</v>
      </c>
      <c r="G7" s="54">
        <v>1</v>
      </c>
      <c r="H7" s="54">
        <v>0</v>
      </c>
      <c r="I7" s="54">
        <v>1</v>
      </c>
      <c r="J7" s="54">
        <v>3</v>
      </c>
      <c r="K7" s="53">
        <v>79</v>
      </c>
      <c r="L7" s="54">
        <v>0</v>
      </c>
      <c r="M7" s="54">
        <v>1</v>
      </c>
      <c r="N7" s="54">
        <v>1</v>
      </c>
      <c r="O7" s="54">
        <v>3</v>
      </c>
      <c r="P7" s="53">
        <v>78</v>
      </c>
      <c r="Q7" s="54">
        <v>4</v>
      </c>
      <c r="R7" s="54">
        <v>5</v>
      </c>
      <c r="S7" s="54">
        <v>9</v>
      </c>
    </row>
    <row r="8" spans="1:19" x14ac:dyDescent="0.45">
      <c r="A8" s="53">
        <v>80</v>
      </c>
      <c r="B8" s="54">
        <v>0</v>
      </c>
      <c r="C8" s="54">
        <v>1</v>
      </c>
      <c r="D8" s="54">
        <v>1</v>
      </c>
      <c r="E8" s="54">
        <v>9</v>
      </c>
      <c r="F8" s="53">
        <v>82</v>
      </c>
      <c r="G8" s="54">
        <v>1</v>
      </c>
      <c r="H8" s="54">
        <v>0</v>
      </c>
      <c r="I8" s="54">
        <v>1</v>
      </c>
      <c r="J8" s="54">
        <v>4</v>
      </c>
      <c r="K8" s="53">
        <v>77</v>
      </c>
      <c r="L8" s="54">
        <v>1</v>
      </c>
      <c r="M8" s="54">
        <v>0</v>
      </c>
      <c r="N8" s="54">
        <v>1</v>
      </c>
      <c r="O8" s="54">
        <v>4</v>
      </c>
      <c r="P8" s="53">
        <v>77</v>
      </c>
      <c r="Q8" s="54">
        <v>0</v>
      </c>
      <c r="R8" s="54">
        <v>2</v>
      </c>
      <c r="S8" s="54">
        <v>2</v>
      </c>
    </row>
    <row r="9" spans="1:19" x14ac:dyDescent="0.45">
      <c r="A9" s="53">
        <v>79</v>
      </c>
      <c r="B9" s="54">
        <v>6</v>
      </c>
      <c r="C9" s="54">
        <v>5</v>
      </c>
      <c r="D9" s="54">
        <v>11</v>
      </c>
      <c r="E9" s="54">
        <v>20</v>
      </c>
      <c r="F9" s="53">
        <v>78</v>
      </c>
      <c r="G9" s="54">
        <v>0</v>
      </c>
      <c r="H9" s="54">
        <v>4</v>
      </c>
      <c r="I9" s="54">
        <v>4</v>
      </c>
      <c r="J9" s="54">
        <v>8</v>
      </c>
      <c r="K9" s="53">
        <v>74</v>
      </c>
      <c r="L9" s="54">
        <v>4</v>
      </c>
      <c r="M9" s="54">
        <v>1</v>
      </c>
      <c r="N9" s="54">
        <v>5</v>
      </c>
      <c r="O9" s="54">
        <v>9</v>
      </c>
      <c r="P9" s="53">
        <v>76</v>
      </c>
      <c r="Q9" s="54">
        <v>4</v>
      </c>
      <c r="R9" s="54">
        <v>3</v>
      </c>
      <c r="S9" s="54">
        <v>7</v>
      </c>
    </row>
    <row r="10" spans="1:19" x14ac:dyDescent="0.45">
      <c r="A10" s="53">
        <v>78</v>
      </c>
      <c r="B10" s="54">
        <v>1</v>
      </c>
      <c r="C10" s="54">
        <v>0</v>
      </c>
      <c r="D10" s="54">
        <v>1</v>
      </c>
      <c r="E10" s="54">
        <v>21</v>
      </c>
      <c r="F10" s="53">
        <v>77</v>
      </c>
      <c r="G10" s="54">
        <v>1</v>
      </c>
      <c r="H10" s="54">
        <v>2</v>
      </c>
      <c r="I10" s="54">
        <v>3</v>
      </c>
      <c r="J10" s="54">
        <v>11</v>
      </c>
      <c r="K10" s="53">
        <v>71</v>
      </c>
      <c r="L10" s="54">
        <v>1</v>
      </c>
      <c r="M10" s="54">
        <v>0</v>
      </c>
      <c r="N10" s="54">
        <v>1</v>
      </c>
      <c r="O10" s="54">
        <v>10</v>
      </c>
      <c r="P10" s="53">
        <v>75</v>
      </c>
      <c r="Q10" s="54">
        <v>3</v>
      </c>
      <c r="R10" s="54">
        <v>5</v>
      </c>
      <c r="S10" s="54">
        <v>8</v>
      </c>
    </row>
    <row r="11" spans="1:19" x14ac:dyDescent="0.45">
      <c r="A11" s="53">
        <v>77</v>
      </c>
      <c r="B11" s="54">
        <v>7</v>
      </c>
      <c r="C11" s="54">
        <v>0</v>
      </c>
      <c r="D11" s="54">
        <v>7</v>
      </c>
      <c r="E11" s="54">
        <v>28</v>
      </c>
      <c r="F11" s="53">
        <v>73</v>
      </c>
      <c r="G11" s="54">
        <v>0</v>
      </c>
      <c r="H11" s="54">
        <v>2</v>
      </c>
      <c r="I11" s="54">
        <v>2</v>
      </c>
      <c r="J11" s="54">
        <v>13</v>
      </c>
      <c r="K11" s="53">
        <v>70</v>
      </c>
      <c r="L11" s="54">
        <v>8</v>
      </c>
      <c r="M11" s="54">
        <v>1</v>
      </c>
      <c r="N11" s="54">
        <v>9</v>
      </c>
      <c r="O11" s="54">
        <v>19</v>
      </c>
      <c r="P11" s="53">
        <v>74</v>
      </c>
      <c r="Q11" s="54">
        <v>1</v>
      </c>
      <c r="R11" s="54">
        <v>1</v>
      </c>
      <c r="S11" s="54">
        <v>2</v>
      </c>
    </row>
    <row r="12" spans="1:19" x14ac:dyDescent="0.45">
      <c r="A12" s="53">
        <v>76</v>
      </c>
      <c r="B12" s="54">
        <v>5</v>
      </c>
      <c r="C12" s="54">
        <v>3</v>
      </c>
      <c r="D12" s="54">
        <v>8</v>
      </c>
      <c r="E12" s="54">
        <v>36</v>
      </c>
      <c r="F12" s="53">
        <v>72</v>
      </c>
      <c r="G12" s="54">
        <v>2</v>
      </c>
      <c r="H12" s="54">
        <v>0</v>
      </c>
      <c r="I12" s="54">
        <v>2</v>
      </c>
      <c r="J12" s="54">
        <v>15</v>
      </c>
      <c r="K12" s="53">
        <v>69</v>
      </c>
      <c r="L12" s="54">
        <v>7</v>
      </c>
      <c r="M12" s="54">
        <v>1</v>
      </c>
      <c r="N12" s="54">
        <v>8</v>
      </c>
      <c r="O12" s="54">
        <v>27</v>
      </c>
      <c r="P12" s="53">
        <v>73</v>
      </c>
      <c r="Q12" s="54">
        <v>8</v>
      </c>
      <c r="R12" s="54">
        <v>8</v>
      </c>
      <c r="S12" s="54">
        <v>16</v>
      </c>
    </row>
    <row r="13" spans="1:19" x14ac:dyDescent="0.45">
      <c r="A13" s="53">
        <v>74</v>
      </c>
      <c r="B13" s="54">
        <v>3</v>
      </c>
      <c r="C13" s="54">
        <v>3</v>
      </c>
      <c r="D13" s="54">
        <v>6</v>
      </c>
      <c r="E13" s="54">
        <v>42</v>
      </c>
      <c r="F13" s="53">
        <v>70</v>
      </c>
      <c r="G13" s="54">
        <v>0</v>
      </c>
      <c r="H13" s="54">
        <v>2</v>
      </c>
      <c r="I13" s="54">
        <v>2</v>
      </c>
      <c r="J13" s="54">
        <v>17</v>
      </c>
      <c r="K13" s="53">
        <v>68</v>
      </c>
      <c r="L13" s="54">
        <v>2</v>
      </c>
      <c r="M13" s="54">
        <v>0</v>
      </c>
      <c r="N13" s="54">
        <v>2</v>
      </c>
      <c r="O13" s="54">
        <v>29</v>
      </c>
      <c r="P13" s="53">
        <v>72</v>
      </c>
      <c r="Q13" s="54">
        <v>3</v>
      </c>
      <c r="R13" s="54">
        <v>0</v>
      </c>
      <c r="S13" s="54">
        <v>3</v>
      </c>
    </row>
    <row r="14" spans="1:19" x14ac:dyDescent="0.45">
      <c r="A14" s="53">
        <v>73</v>
      </c>
      <c r="B14" s="54">
        <v>4</v>
      </c>
      <c r="C14" s="54">
        <v>7</v>
      </c>
      <c r="D14" s="54">
        <v>11</v>
      </c>
      <c r="E14" s="54">
        <v>53</v>
      </c>
      <c r="F14" s="53">
        <v>69</v>
      </c>
      <c r="G14" s="54">
        <v>2</v>
      </c>
      <c r="H14" s="54">
        <v>3</v>
      </c>
      <c r="I14" s="54">
        <v>5</v>
      </c>
      <c r="J14" s="54">
        <v>22</v>
      </c>
      <c r="K14" s="53">
        <v>67</v>
      </c>
      <c r="L14" s="54">
        <v>10</v>
      </c>
      <c r="M14" s="54">
        <v>1</v>
      </c>
      <c r="N14" s="54">
        <v>11</v>
      </c>
      <c r="O14" s="54">
        <v>40</v>
      </c>
      <c r="P14" s="53">
        <v>71</v>
      </c>
      <c r="Q14" s="54">
        <v>4</v>
      </c>
      <c r="R14" s="54">
        <v>4</v>
      </c>
      <c r="S14" s="54">
        <v>8</v>
      </c>
    </row>
    <row r="15" spans="1:19" x14ac:dyDescent="0.45">
      <c r="A15" s="53">
        <v>72</v>
      </c>
      <c r="B15" s="54">
        <v>10</v>
      </c>
      <c r="C15" s="54">
        <v>6</v>
      </c>
      <c r="D15" s="54">
        <v>17</v>
      </c>
      <c r="E15" s="54">
        <v>70</v>
      </c>
      <c r="F15" s="53">
        <v>68</v>
      </c>
      <c r="G15" s="54">
        <v>4</v>
      </c>
      <c r="H15" s="54">
        <v>4</v>
      </c>
      <c r="I15" s="54">
        <v>8</v>
      </c>
      <c r="J15" s="54">
        <v>30</v>
      </c>
      <c r="K15" s="53">
        <v>66</v>
      </c>
      <c r="L15" s="54">
        <v>9</v>
      </c>
      <c r="M15" s="54">
        <v>2</v>
      </c>
      <c r="N15" s="54">
        <v>11</v>
      </c>
      <c r="O15" s="54">
        <v>51</v>
      </c>
      <c r="P15" s="53">
        <v>70</v>
      </c>
      <c r="Q15" s="54">
        <v>7</v>
      </c>
      <c r="R15" s="54">
        <v>10</v>
      </c>
      <c r="S15" s="54">
        <v>17</v>
      </c>
    </row>
    <row r="16" spans="1:19" x14ac:dyDescent="0.45">
      <c r="A16" s="53">
        <v>71</v>
      </c>
      <c r="B16" s="54">
        <v>7</v>
      </c>
      <c r="C16" s="54">
        <v>4</v>
      </c>
      <c r="D16" s="54">
        <v>11</v>
      </c>
      <c r="E16" s="54">
        <v>81</v>
      </c>
      <c r="F16" s="53">
        <v>66</v>
      </c>
      <c r="G16" s="54">
        <v>3</v>
      </c>
      <c r="H16" s="54">
        <v>2</v>
      </c>
      <c r="I16" s="54">
        <v>5</v>
      </c>
      <c r="J16" s="54">
        <v>35</v>
      </c>
      <c r="K16" s="53">
        <v>65</v>
      </c>
      <c r="L16" s="54">
        <v>15</v>
      </c>
      <c r="M16" s="54">
        <v>6</v>
      </c>
      <c r="N16" s="54">
        <v>22</v>
      </c>
      <c r="O16" s="54">
        <v>73</v>
      </c>
      <c r="P16" s="53">
        <v>69</v>
      </c>
      <c r="Q16" s="54">
        <v>0</v>
      </c>
      <c r="R16" s="54">
        <v>12</v>
      </c>
      <c r="S16" s="54">
        <v>12</v>
      </c>
    </row>
    <row r="17" spans="1:19" x14ac:dyDescent="0.45">
      <c r="A17" s="53">
        <v>70</v>
      </c>
      <c r="B17" s="54">
        <v>16</v>
      </c>
      <c r="C17" s="54">
        <v>16</v>
      </c>
      <c r="D17" s="54">
        <v>32</v>
      </c>
      <c r="E17" s="54">
        <v>113</v>
      </c>
      <c r="F17" s="53">
        <v>65</v>
      </c>
      <c r="G17" s="54">
        <v>2</v>
      </c>
      <c r="H17" s="54">
        <v>4</v>
      </c>
      <c r="I17" s="54">
        <v>6</v>
      </c>
      <c r="J17" s="54">
        <v>41</v>
      </c>
      <c r="K17" s="53">
        <v>64</v>
      </c>
      <c r="L17" s="54">
        <v>9</v>
      </c>
      <c r="M17" s="54">
        <v>3</v>
      </c>
      <c r="N17" s="54">
        <v>12</v>
      </c>
      <c r="O17" s="54">
        <v>85</v>
      </c>
      <c r="P17" s="53">
        <v>68</v>
      </c>
      <c r="Q17" s="54">
        <v>6</v>
      </c>
      <c r="R17" s="54">
        <v>13</v>
      </c>
      <c r="S17" s="54">
        <v>19</v>
      </c>
    </row>
    <row r="18" spans="1:19" x14ac:dyDescent="0.45">
      <c r="A18" s="53">
        <v>68</v>
      </c>
      <c r="B18" s="54">
        <v>8</v>
      </c>
      <c r="C18" s="54">
        <v>14</v>
      </c>
      <c r="D18" s="54">
        <v>22</v>
      </c>
      <c r="E18" s="54">
        <v>135</v>
      </c>
      <c r="F18" s="53">
        <v>64</v>
      </c>
      <c r="G18" s="54">
        <v>1</v>
      </c>
      <c r="H18" s="54">
        <v>1</v>
      </c>
      <c r="I18" s="54">
        <v>2</v>
      </c>
      <c r="J18" s="54">
        <v>43</v>
      </c>
      <c r="K18" s="53">
        <v>63</v>
      </c>
      <c r="L18" s="54">
        <v>13</v>
      </c>
      <c r="M18" s="54">
        <v>4</v>
      </c>
      <c r="N18" s="54">
        <v>17</v>
      </c>
      <c r="O18" s="54">
        <v>102</v>
      </c>
      <c r="P18" s="53">
        <v>67</v>
      </c>
      <c r="Q18" s="54">
        <v>3</v>
      </c>
      <c r="R18" s="54">
        <v>9</v>
      </c>
      <c r="S18" s="54">
        <v>12</v>
      </c>
    </row>
    <row r="19" spans="1:19" x14ac:dyDescent="0.45">
      <c r="A19" s="53">
        <v>67</v>
      </c>
      <c r="B19" s="54">
        <v>18</v>
      </c>
      <c r="C19" s="54">
        <v>29</v>
      </c>
      <c r="D19" s="54">
        <v>47</v>
      </c>
      <c r="E19" s="54">
        <v>182</v>
      </c>
      <c r="F19" s="53">
        <v>62</v>
      </c>
      <c r="G19" s="54">
        <v>2</v>
      </c>
      <c r="H19" s="54">
        <v>6</v>
      </c>
      <c r="I19" s="54">
        <v>8</v>
      </c>
      <c r="J19" s="54">
        <v>51</v>
      </c>
      <c r="K19" s="53">
        <v>62</v>
      </c>
      <c r="L19" s="54">
        <v>14</v>
      </c>
      <c r="M19" s="54">
        <v>3</v>
      </c>
      <c r="N19" s="54">
        <v>17</v>
      </c>
      <c r="O19" s="54">
        <v>119</v>
      </c>
      <c r="P19" s="53">
        <v>66</v>
      </c>
      <c r="Q19" s="54">
        <v>4</v>
      </c>
      <c r="R19" s="54">
        <v>12</v>
      </c>
      <c r="S19" s="54">
        <v>16</v>
      </c>
    </row>
    <row r="20" spans="1:19" x14ac:dyDescent="0.45">
      <c r="A20" s="53">
        <v>66</v>
      </c>
      <c r="B20" s="54">
        <v>21</v>
      </c>
      <c r="C20" s="54">
        <v>23</v>
      </c>
      <c r="D20" s="54">
        <v>44</v>
      </c>
      <c r="E20" s="54">
        <v>226</v>
      </c>
      <c r="F20" s="53">
        <v>61</v>
      </c>
      <c r="G20" s="54">
        <v>8</v>
      </c>
      <c r="H20" s="54">
        <v>4</v>
      </c>
      <c r="I20" s="54">
        <v>12</v>
      </c>
      <c r="J20" s="54">
        <v>63</v>
      </c>
      <c r="K20" s="53">
        <v>61</v>
      </c>
      <c r="L20" s="54">
        <v>15</v>
      </c>
      <c r="M20" s="54">
        <v>3</v>
      </c>
      <c r="N20" s="54">
        <v>18</v>
      </c>
      <c r="O20" s="54">
        <v>137</v>
      </c>
      <c r="P20" s="53">
        <v>65</v>
      </c>
      <c r="Q20" s="54">
        <v>12</v>
      </c>
      <c r="R20" s="54">
        <v>9</v>
      </c>
      <c r="S20" s="54">
        <v>21</v>
      </c>
    </row>
    <row r="21" spans="1:19" x14ac:dyDescent="0.45">
      <c r="A21" s="53">
        <v>65</v>
      </c>
      <c r="B21" s="54">
        <v>16</v>
      </c>
      <c r="C21" s="54">
        <v>18</v>
      </c>
      <c r="D21" s="54">
        <v>34</v>
      </c>
      <c r="E21" s="54">
        <v>260</v>
      </c>
      <c r="F21" s="53">
        <v>60</v>
      </c>
      <c r="G21" s="54">
        <v>3</v>
      </c>
      <c r="H21" s="54">
        <v>2</v>
      </c>
      <c r="I21" s="54">
        <v>5</v>
      </c>
      <c r="J21" s="54">
        <v>68</v>
      </c>
      <c r="K21" s="53">
        <v>59</v>
      </c>
      <c r="L21" s="54">
        <v>16</v>
      </c>
      <c r="M21" s="54">
        <v>6</v>
      </c>
      <c r="N21" s="54">
        <v>22</v>
      </c>
      <c r="O21" s="54">
        <v>159</v>
      </c>
      <c r="P21" s="53">
        <v>64</v>
      </c>
      <c r="Q21" s="54">
        <v>2</v>
      </c>
      <c r="R21" s="54">
        <v>10</v>
      </c>
      <c r="S21" s="54">
        <v>12</v>
      </c>
    </row>
    <row r="22" spans="1:19" x14ac:dyDescent="0.45">
      <c r="A22" s="53">
        <v>64</v>
      </c>
      <c r="B22" s="54">
        <v>27</v>
      </c>
      <c r="C22" s="54">
        <v>50</v>
      </c>
      <c r="D22" s="54">
        <v>77</v>
      </c>
      <c r="E22" s="54">
        <v>337</v>
      </c>
      <c r="F22" s="53">
        <v>58</v>
      </c>
      <c r="G22" s="54">
        <v>5</v>
      </c>
      <c r="H22" s="54">
        <v>3</v>
      </c>
      <c r="I22" s="54">
        <v>8</v>
      </c>
      <c r="J22" s="54">
        <v>76</v>
      </c>
      <c r="K22" s="53">
        <v>58</v>
      </c>
      <c r="L22" s="54">
        <v>21</v>
      </c>
      <c r="M22" s="54">
        <v>4</v>
      </c>
      <c r="N22" s="54">
        <v>25</v>
      </c>
      <c r="O22" s="54">
        <v>184</v>
      </c>
      <c r="P22" s="53">
        <v>63</v>
      </c>
      <c r="Q22" s="54">
        <v>9</v>
      </c>
      <c r="R22" s="54">
        <v>9</v>
      </c>
      <c r="S22" s="54">
        <v>18</v>
      </c>
    </row>
    <row r="23" spans="1:19" x14ac:dyDescent="0.45">
      <c r="A23" s="53">
        <v>63</v>
      </c>
      <c r="B23" s="54">
        <v>28</v>
      </c>
      <c r="C23" s="54">
        <v>33</v>
      </c>
      <c r="D23" s="54">
        <v>61</v>
      </c>
      <c r="E23" s="54">
        <v>398</v>
      </c>
      <c r="F23" s="53">
        <v>57</v>
      </c>
      <c r="G23" s="54">
        <v>2</v>
      </c>
      <c r="H23" s="54">
        <v>3</v>
      </c>
      <c r="I23" s="54">
        <v>7</v>
      </c>
      <c r="J23" s="54">
        <v>83</v>
      </c>
      <c r="K23" s="53">
        <v>57</v>
      </c>
      <c r="L23" s="54">
        <v>11</v>
      </c>
      <c r="M23" s="54">
        <v>4</v>
      </c>
      <c r="N23" s="54">
        <v>15</v>
      </c>
      <c r="O23" s="54">
        <v>199</v>
      </c>
      <c r="P23" s="53">
        <v>62</v>
      </c>
      <c r="Q23" s="54">
        <v>6</v>
      </c>
      <c r="R23" s="54">
        <v>10</v>
      </c>
      <c r="S23" s="54">
        <v>16</v>
      </c>
    </row>
    <row r="24" spans="1:19" x14ac:dyDescent="0.45">
      <c r="A24" s="53">
        <v>61</v>
      </c>
      <c r="B24" s="54">
        <v>29</v>
      </c>
      <c r="C24" s="54">
        <v>53</v>
      </c>
      <c r="D24" s="54">
        <v>83</v>
      </c>
      <c r="E24" s="54">
        <v>481</v>
      </c>
      <c r="F24" s="53">
        <v>56</v>
      </c>
      <c r="G24" s="54">
        <v>6</v>
      </c>
      <c r="H24" s="54">
        <v>4</v>
      </c>
      <c r="I24" s="54">
        <v>10</v>
      </c>
      <c r="J24" s="54">
        <v>93</v>
      </c>
      <c r="K24" s="53">
        <v>56</v>
      </c>
      <c r="L24" s="54">
        <v>19</v>
      </c>
      <c r="M24" s="54">
        <v>4</v>
      </c>
      <c r="N24" s="54">
        <v>23</v>
      </c>
      <c r="O24" s="54">
        <v>222</v>
      </c>
      <c r="P24" s="53">
        <v>61</v>
      </c>
      <c r="Q24" s="54">
        <v>7</v>
      </c>
      <c r="R24" s="54">
        <v>15</v>
      </c>
      <c r="S24" s="54">
        <v>22</v>
      </c>
    </row>
    <row r="25" spans="1:19" x14ac:dyDescent="0.45">
      <c r="A25" s="53">
        <v>60</v>
      </c>
      <c r="B25" s="54">
        <v>44</v>
      </c>
      <c r="C25" s="54">
        <v>60</v>
      </c>
      <c r="D25" s="54">
        <v>106</v>
      </c>
      <c r="E25" s="54">
        <v>587</v>
      </c>
      <c r="F25" s="53">
        <v>54</v>
      </c>
      <c r="G25" s="54">
        <v>9</v>
      </c>
      <c r="H25" s="54">
        <v>3</v>
      </c>
      <c r="I25" s="54">
        <v>12</v>
      </c>
      <c r="J25" s="54">
        <v>105</v>
      </c>
      <c r="K25" s="53">
        <v>55</v>
      </c>
      <c r="L25" s="54">
        <v>15</v>
      </c>
      <c r="M25" s="54">
        <v>7</v>
      </c>
      <c r="N25" s="54">
        <v>22</v>
      </c>
      <c r="O25" s="54">
        <v>244</v>
      </c>
      <c r="P25" s="53">
        <v>60</v>
      </c>
      <c r="Q25" s="54">
        <v>9</v>
      </c>
      <c r="R25" s="54">
        <v>19</v>
      </c>
      <c r="S25" s="54">
        <v>28</v>
      </c>
    </row>
    <row r="26" spans="1:19" x14ac:dyDescent="0.45">
      <c r="A26" s="53">
        <v>59</v>
      </c>
      <c r="B26" s="54">
        <v>38</v>
      </c>
      <c r="C26" s="54">
        <v>55</v>
      </c>
      <c r="D26" s="54">
        <v>93</v>
      </c>
      <c r="E26" s="54">
        <v>680</v>
      </c>
      <c r="F26" s="53">
        <v>53</v>
      </c>
      <c r="G26" s="54">
        <v>9</v>
      </c>
      <c r="H26" s="54">
        <v>6</v>
      </c>
      <c r="I26" s="54">
        <v>15</v>
      </c>
      <c r="J26" s="54">
        <v>120</v>
      </c>
      <c r="K26" s="53">
        <v>54</v>
      </c>
      <c r="L26" s="54">
        <v>8</v>
      </c>
      <c r="M26" s="54">
        <v>5</v>
      </c>
      <c r="N26" s="54">
        <v>13</v>
      </c>
      <c r="O26" s="54">
        <v>257</v>
      </c>
      <c r="P26" s="53">
        <v>59</v>
      </c>
      <c r="Q26" s="54">
        <v>9</v>
      </c>
      <c r="R26" s="54">
        <v>27</v>
      </c>
      <c r="S26" s="54">
        <v>36</v>
      </c>
    </row>
    <row r="27" spans="1:19" x14ac:dyDescent="0.45">
      <c r="A27" s="53">
        <v>58</v>
      </c>
      <c r="B27" s="54">
        <v>37</v>
      </c>
      <c r="C27" s="54">
        <v>75</v>
      </c>
      <c r="D27" s="54">
        <v>112</v>
      </c>
      <c r="E27" s="54">
        <v>792</v>
      </c>
      <c r="F27" s="53">
        <v>52</v>
      </c>
      <c r="G27" s="54">
        <v>10</v>
      </c>
      <c r="H27" s="54">
        <v>8</v>
      </c>
      <c r="I27" s="54">
        <v>18</v>
      </c>
      <c r="J27" s="54">
        <v>138</v>
      </c>
      <c r="K27" s="53">
        <v>53</v>
      </c>
      <c r="L27" s="54">
        <v>15</v>
      </c>
      <c r="M27" s="54">
        <v>5</v>
      </c>
      <c r="N27" s="54">
        <v>20</v>
      </c>
      <c r="O27" s="54">
        <v>277</v>
      </c>
      <c r="P27" s="53">
        <v>58</v>
      </c>
      <c r="Q27" s="54">
        <v>11</v>
      </c>
      <c r="R27" s="54">
        <v>28</v>
      </c>
      <c r="S27" s="54">
        <v>39</v>
      </c>
    </row>
    <row r="28" spans="1:19" x14ac:dyDescent="0.45">
      <c r="A28" s="53">
        <v>57</v>
      </c>
      <c r="B28" s="54">
        <v>57</v>
      </c>
      <c r="C28" s="54">
        <v>89</v>
      </c>
      <c r="D28" s="54">
        <v>147</v>
      </c>
      <c r="E28" s="54">
        <v>939</v>
      </c>
      <c r="F28" s="53">
        <v>50</v>
      </c>
      <c r="G28" s="54">
        <v>11</v>
      </c>
      <c r="H28" s="54">
        <v>5</v>
      </c>
      <c r="I28" s="54">
        <v>16</v>
      </c>
      <c r="J28" s="54">
        <v>154</v>
      </c>
      <c r="K28" s="53">
        <v>52</v>
      </c>
      <c r="L28" s="54">
        <v>13</v>
      </c>
      <c r="M28" s="54">
        <v>6</v>
      </c>
      <c r="N28" s="54">
        <v>19</v>
      </c>
      <c r="O28" s="54">
        <v>296</v>
      </c>
      <c r="P28" s="53">
        <v>57</v>
      </c>
      <c r="Q28" s="54">
        <v>25</v>
      </c>
      <c r="R28" s="54">
        <v>39</v>
      </c>
      <c r="S28" s="54">
        <v>64</v>
      </c>
    </row>
    <row r="29" spans="1:19" x14ac:dyDescent="0.45">
      <c r="A29" s="53">
        <v>55</v>
      </c>
      <c r="B29" s="54">
        <v>49</v>
      </c>
      <c r="C29" s="54">
        <v>66</v>
      </c>
      <c r="D29" s="54">
        <v>115</v>
      </c>
      <c r="E29" s="54">
        <v>1054</v>
      </c>
      <c r="F29" s="53">
        <v>49</v>
      </c>
      <c r="G29" s="54">
        <v>38</v>
      </c>
      <c r="H29" s="54">
        <v>13</v>
      </c>
      <c r="I29" s="54">
        <v>54</v>
      </c>
      <c r="J29" s="54">
        <v>208</v>
      </c>
      <c r="K29" s="53">
        <v>51</v>
      </c>
      <c r="L29" s="54">
        <v>15</v>
      </c>
      <c r="M29" s="54">
        <v>6</v>
      </c>
      <c r="N29" s="54">
        <v>21</v>
      </c>
      <c r="O29" s="54">
        <v>317</v>
      </c>
      <c r="P29" s="53">
        <v>56</v>
      </c>
      <c r="Q29" s="54">
        <v>10</v>
      </c>
      <c r="R29" s="54">
        <v>31</v>
      </c>
      <c r="S29" s="54">
        <v>41</v>
      </c>
    </row>
    <row r="30" spans="1:19" x14ac:dyDescent="0.45">
      <c r="A30" s="53">
        <v>54</v>
      </c>
      <c r="B30" s="54">
        <v>54</v>
      </c>
      <c r="C30" s="54">
        <v>89</v>
      </c>
      <c r="D30" s="54">
        <v>143</v>
      </c>
      <c r="E30" s="54">
        <v>1197</v>
      </c>
      <c r="F30" s="53">
        <v>48</v>
      </c>
      <c r="G30" s="54">
        <v>7</v>
      </c>
      <c r="H30" s="54">
        <v>3</v>
      </c>
      <c r="I30" s="54">
        <v>10</v>
      </c>
      <c r="J30" s="54">
        <v>218</v>
      </c>
      <c r="K30" s="53">
        <v>50</v>
      </c>
      <c r="L30" s="54">
        <v>14</v>
      </c>
      <c r="M30" s="54">
        <v>1</v>
      </c>
      <c r="N30" s="54">
        <v>15</v>
      </c>
      <c r="O30" s="54">
        <v>332</v>
      </c>
      <c r="P30" s="53">
        <v>55</v>
      </c>
      <c r="Q30" s="54">
        <v>11</v>
      </c>
      <c r="R30" s="54">
        <v>24</v>
      </c>
      <c r="S30" s="54">
        <v>35</v>
      </c>
    </row>
    <row r="31" spans="1:19" x14ac:dyDescent="0.45">
      <c r="A31" s="53">
        <v>53</v>
      </c>
      <c r="B31" s="54">
        <v>51</v>
      </c>
      <c r="C31" s="54">
        <v>79</v>
      </c>
      <c r="D31" s="54">
        <v>130</v>
      </c>
      <c r="E31" s="54">
        <v>1327</v>
      </c>
      <c r="F31" s="53">
        <v>46</v>
      </c>
      <c r="G31" s="54">
        <v>8</v>
      </c>
      <c r="H31" s="54">
        <v>7</v>
      </c>
      <c r="I31" s="54">
        <v>15</v>
      </c>
      <c r="J31" s="54">
        <v>233</v>
      </c>
      <c r="K31" s="53">
        <v>49</v>
      </c>
      <c r="L31" s="54">
        <v>13</v>
      </c>
      <c r="M31" s="54">
        <v>4</v>
      </c>
      <c r="N31" s="54">
        <v>18</v>
      </c>
      <c r="O31" s="54">
        <v>350</v>
      </c>
      <c r="P31" s="53">
        <v>54</v>
      </c>
      <c r="Q31" s="54">
        <v>10</v>
      </c>
      <c r="R31" s="54">
        <v>22</v>
      </c>
      <c r="S31" s="54">
        <v>32</v>
      </c>
    </row>
    <row r="32" spans="1:19" x14ac:dyDescent="0.45">
      <c r="A32" s="53">
        <v>52</v>
      </c>
      <c r="B32" s="54">
        <v>51</v>
      </c>
      <c r="C32" s="54">
        <v>65</v>
      </c>
      <c r="D32" s="54">
        <v>116</v>
      </c>
      <c r="E32" s="54">
        <v>1443</v>
      </c>
      <c r="F32" s="53">
        <v>45</v>
      </c>
      <c r="G32" s="54">
        <v>11</v>
      </c>
      <c r="H32" s="54">
        <v>7</v>
      </c>
      <c r="I32" s="54">
        <v>18</v>
      </c>
      <c r="J32" s="54">
        <v>251</v>
      </c>
      <c r="K32" s="53">
        <v>47</v>
      </c>
      <c r="L32" s="54">
        <v>5</v>
      </c>
      <c r="M32" s="54">
        <v>5</v>
      </c>
      <c r="N32" s="54">
        <v>10</v>
      </c>
      <c r="O32" s="54">
        <v>360</v>
      </c>
      <c r="P32" s="53">
        <v>53</v>
      </c>
      <c r="Q32" s="54">
        <v>7</v>
      </c>
      <c r="R32" s="54">
        <v>44</v>
      </c>
      <c r="S32" s="54">
        <v>51</v>
      </c>
    </row>
    <row r="33" spans="1:19" x14ac:dyDescent="0.45">
      <c r="A33" s="53">
        <v>51</v>
      </c>
      <c r="B33" s="54">
        <v>46</v>
      </c>
      <c r="C33" s="54">
        <v>75</v>
      </c>
      <c r="D33" s="54">
        <v>123</v>
      </c>
      <c r="E33" s="54">
        <v>1566</v>
      </c>
      <c r="F33" s="53">
        <v>44</v>
      </c>
      <c r="G33" s="54">
        <v>55</v>
      </c>
      <c r="H33" s="54">
        <v>6</v>
      </c>
      <c r="I33" s="54">
        <v>62</v>
      </c>
      <c r="J33" s="54">
        <v>313</v>
      </c>
      <c r="K33" s="53">
        <v>46</v>
      </c>
      <c r="L33" s="54">
        <v>14</v>
      </c>
      <c r="M33" s="54">
        <v>8</v>
      </c>
      <c r="N33" s="54">
        <v>22</v>
      </c>
      <c r="O33" s="54">
        <v>382</v>
      </c>
      <c r="P33" s="53">
        <v>52</v>
      </c>
      <c r="Q33" s="54">
        <v>9</v>
      </c>
      <c r="R33" s="54">
        <v>27</v>
      </c>
      <c r="S33" s="54">
        <v>36</v>
      </c>
    </row>
    <row r="34" spans="1:19" x14ac:dyDescent="0.45">
      <c r="A34" s="53">
        <v>50</v>
      </c>
      <c r="B34" s="54">
        <v>52</v>
      </c>
      <c r="C34" s="54">
        <v>62</v>
      </c>
      <c r="D34" s="54">
        <v>115</v>
      </c>
      <c r="E34" s="54">
        <v>1681</v>
      </c>
      <c r="F34" s="53">
        <v>42</v>
      </c>
      <c r="G34" s="54">
        <v>16</v>
      </c>
      <c r="H34" s="54">
        <v>5</v>
      </c>
      <c r="I34" s="54">
        <v>21</v>
      </c>
      <c r="J34" s="54">
        <v>334</v>
      </c>
      <c r="K34" s="53">
        <v>45</v>
      </c>
      <c r="L34" s="54">
        <v>24</v>
      </c>
      <c r="M34" s="54">
        <v>10</v>
      </c>
      <c r="N34" s="54">
        <v>34</v>
      </c>
      <c r="O34" s="54">
        <v>416</v>
      </c>
      <c r="P34" s="53">
        <v>51</v>
      </c>
      <c r="Q34" s="54">
        <v>15</v>
      </c>
      <c r="R34" s="54">
        <v>31</v>
      </c>
      <c r="S34" s="54">
        <v>47</v>
      </c>
    </row>
    <row r="35" spans="1:19" x14ac:dyDescent="0.45">
      <c r="A35" s="53">
        <v>48</v>
      </c>
      <c r="B35" s="54">
        <v>45</v>
      </c>
      <c r="C35" s="54">
        <v>58</v>
      </c>
      <c r="D35" s="54">
        <v>103</v>
      </c>
      <c r="E35" s="54">
        <v>1784</v>
      </c>
      <c r="F35" s="53">
        <v>41</v>
      </c>
      <c r="G35" s="54">
        <v>15</v>
      </c>
      <c r="H35" s="54">
        <v>5</v>
      </c>
      <c r="I35" s="54">
        <v>20</v>
      </c>
      <c r="J35" s="54">
        <v>354</v>
      </c>
      <c r="K35" s="53">
        <v>44</v>
      </c>
      <c r="L35" s="54">
        <v>21</v>
      </c>
      <c r="M35" s="54">
        <v>2</v>
      </c>
      <c r="N35" s="54">
        <v>23</v>
      </c>
      <c r="O35" s="54">
        <v>439</v>
      </c>
      <c r="P35" s="53">
        <v>50</v>
      </c>
      <c r="Q35" s="54">
        <v>17</v>
      </c>
      <c r="R35" s="54">
        <v>36</v>
      </c>
      <c r="S35" s="54">
        <v>53</v>
      </c>
    </row>
    <row r="36" spans="1:19" x14ac:dyDescent="0.45">
      <c r="A36" s="53">
        <v>47</v>
      </c>
      <c r="B36" s="54">
        <v>52</v>
      </c>
      <c r="C36" s="54">
        <v>53</v>
      </c>
      <c r="D36" s="54">
        <v>106</v>
      </c>
      <c r="E36" s="54">
        <v>1890</v>
      </c>
      <c r="F36" s="53">
        <v>40</v>
      </c>
      <c r="G36" s="54">
        <v>8</v>
      </c>
      <c r="H36" s="54">
        <v>1</v>
      </c>
      <c r="I36" s="54">
        <v>9</v>
      </c>
      <c r="J36" s="54">
        <v>363</v>
      </c>
      <c r="K36" s="53">
        <v>43</v>
      </c>
      <c r="L36" s="54">
        <v>63</v>
      </c>
      <c r="M36" s="54">
        <v>20</v>
      </c>
      <c r="N36" s="54">
        <v>83</v>
      </c>
      <c r="O36" s="54">
        <v>522</v>
      </c>
      <c r="P36" s="53">
        <v>49</v>
      </c>
      <c r="Q36" s="54">
        <v>12</v>
      </c>
      <c r="R36" s="54">
        <v>41</v>
      </c>
      <c r="S36" s="54">
        <v>53</v>
      </c>
    </row>
    <row r="37" spans="1:19" x14ac:dyDescent="0.45">
      <c r="A37" s="53">
        <v>46</v>
      </c>
      <c r="B37" s="54">
        <v>60</v>
      </c>
      <c r="C37" s="54">
        <v>40</v>
      </c>
      <c r="D37" s="54">
        <v>101</v>
      </c>
      <c r="E37" s="54">
        <v>1991</v>
      </c>
      <c r="F37" s="53">
        <v>38</v>
      </c>
      <c r="G37" s="54">
        <v>8</v>
      </c>
      <c r="H37" s="54">
        <v>3</v>
      </c>
      <c r="I37" s="54">
        <v>11</v>
      </c>
      <c r="J37" s="54">
        <v>374</v>
      </c>
      <c r="K37" s="53">
        <v>42</v>
      </c>
      <c r="L37" s="54">
        <v>16</v>
      </c>
      <c r="M37" s="54">
        <v>5</v>
      </c>
      <c r="N37" s="54">
        <v>21</v>
      </c>
      <c r="O37" s="54">
        <v>543</v>
      </c>
      <c r="P37" s="53">
        <v>48</v>
      </c>
      <c r="Q37" s="54">
        <v>14</v>
      </c>
      <c r="R37" s="54">
        <v>42</v>
      </c>
      <c r="S37" s="54">
        <v>56</v>
      </c>
    </row>
    <row r="38" spans="1:19" x14ac:dyDescent="0.45">
      <c r="A38" s="53">
        <v>45</v>
      </c>
      <c r="B38" s="54">
        <v>196</v>
      </c>
      <c r="C38" s="54">
        <v>118</v>
      </c>
      <c r="D38" s="54">
        <v>322</v>
      </c>
      <c r="E38" s="54">
        <v>2313</v>
      </c>
      <c r="F38" s="53">
        <v>37</v>
      </c>
      <c r="G38" s="54">
        <v>6</v>
      </c>
      <c r="H38" s="54">
        <v>0</v>
      </c>
      <c r="I38" s="54">
        <v>6</v>
      </c>
      <c r="J38" s="54">
        <v>380</v>
      </c>
      <c r="K38" s="53">
        <v>41</v>
      </c>
      <c r="L38" s="54">
        <v>45</v>
      </c>
      <c r="M38" s="54">
        <v>13</v>
      </c>
      <c r="N38" s="54">
        <v>59</v>
      </c>
      <c r="O38" s="54">
        <v>602</v>
      </c>
      <c r="P38" s="53">
        <v>47</v>
      </c>
      <c r="Q38" s="54">
        <v>18</v>
      </c>
      <c r="R38" s="54">
        <v>40</v>
      </c>
      <c r="S38" s="54">
        <v>58</v>
      </c>
    </row>
    <row r="39" spans="1:19" x14ac:dyDescent="0.45">
      <c r="A39" s="53">
        <v>44</v>
      </c>
      <c r="B39" s="54">
        <v>35</v>
      </c>
      <c r="C39" s="54">
        <v>48</v>
      </c>
      <c r="D39" s="54">
        <v>84</v>
      </c>
      <c r="E39" s="54">
        <v>2397</v>
      </c>
      <c r="F39" s="53">
        <v>36</v>
      </c>
      <c r="G39" s="54">
        <v>1</v>
      </c>
      <c r="H39" s="54">
        <v>2</v>
      </c>
      <c r="I39" s="54">
        <v>3</v>
      </c>
      <c r="J39" s="54">
        <v>383</v>
      </c>
      <c r="K39" s="53">
        <v>40</v>
      </c>
      <c r="L39" s="54">
        <v>15</v>
      </c>
      <c r="M39" s="54">
        <v>4</v>
      </c>
      <c r="N39" s="54">
        <v>19</v>
      </c>
      <c r="O39" s="54">
        <v>621</v>
      </c>
      <c r="P39" s="53">
        <v>46</v>
      </c>
      <c r="Q39" s="54">
        <v>26</v>
      </c>
      <c r="R39" s="54">
        <v>33</v>
      </c>
      <c r="S39" s="54">
        <v>59</v>
      </c>
    </row>
    <row r="40" spans="1:19" x14ac:dyDescent="0.45">
      <c r="A40" s="53">
        <v>42</v>
      </c>
      <c r="B40" s="54">
        <v>57</v>
      </c>
      <c r="C40" s="54">
        <v>56</v>
      </c>
      <c r="D40" s="54">
        <v>115</v>
      </c>
      <c r="E40" s="54">
        <v>2512</v>
      </c>
      <c r="F40" s="53">
        <v>34</v>
      </c>
      <c r="G40" s="54">
        <v>4</v>
      </c>
      <c r="H40" s="54">
        <v>3</v>
      </c>
      <c r="I40" s="54">
        <v>7</v>
      </c>
      <c r="J40" s="54">
        <v>390</v>
      </c>
      <c r="K40" s="53">
        <v>39</v>
      </c>
      <c r="L40" s="54">
        <v>17</v>
      </c>
      <c r="M40" s="54">
        <v>4</v>
      </c>
      <c r="N40" s="54">
        <v>21</v>
      </c>
      <c r="O40" s="54">
        <v>642</v>
      </c>
      <c r="P40" s="53">
        <v>45</v>
      </c>
      <c r="Q40" s="54">
        <v>22</v>
      </c>
      <c r="R40" s="54">
        <v>35</v>
      </c>
      <c r="S40" s="54">
        <v>59</v>
      </c>
    </row>
    <row r="41" spans="1:19" x14ac:dyDescent="0.45">
      <c r="A41" s="53">
        <v>41</v>
      </c>
      <c r="B41" s="54">
        <v>58</v>
      </c>
      <c r="C41" s="54">
        <v>29</v>
      </c>
      <c r="D41" s="54">
        <v>87</v>
      </c>
      <c r="E41" s="54">
        <v>2599</v>
      </c>
      <c r="F41" s="53">
        <v>32</v>
      </c>
      <c r="G41" s="54">
        <v>2</v>
      </c>
      <c r="H41" s="54">
        <v>1</v>
      </c>
      <c r="I41" s="54">
        <v>4</v>
      </c>
      <c r="J41" s="54">
        <v>394</v>
      </c>
      <c r="K41" s="53">
        <v>38</v>
      </c>
      <c r="L41" s="54">
        <v>14</v>
      </c>
      <c r="M41" s="54">
        <v>3</v>
      </c>
      <c r="N41" s="54">
        <v>17</v>
      </c>
      <c r="O41" s="54">
        <v>659</v>
      </c>
      <c r="P41" s="53">
        <v>44</v>
      </c>
      <c r="Q41" s="54">
        <v>44</v>
      </c>
      <c r="R41" s="54">
        <v>51</v>
      </c>
      <c r="S41" s="54">
        <v>97</v>
      </c>
    </row>
    <row r="42" spans="1:19" x14ac:dyDescent="0.45">
      <c r="A42" s="53">
        <v>40</v>
      </c>
      <c r="B42" s="54">
        <v>99</v>
      </c>
      <c r="C42" s="54">
        <v>52</v>
      </c>
      <c r="D42" s="54">
        <v>151</v>
      </c>
      <c r="E42" s="54">
        <v>2750</v>
      </c>
      <c r="F42" s="53"/>
      <c r="G42" s="54"/>
      <c r="H42" s="54"/>
      <c r="I42" s="54"/>
      <c r="J42" s="54"/>
      <c r="K42" s="53">
        <v>37</v>
      </c>
      <c r="L42" s="54">
        <v>11</v>
      </c>
      <c r="M42" s="54">
        <v>0</v>
      </c>
      <c r="N42" s="54">
        <v>11</v>
      </c>
      <c r="O42" s="54">
        <v>670</v>
      </c>
      <c r="P42" s="53">
        <v>43</v>
      </c>
      <c r="Q42" s="54">
        <v>25</v>
      </c>
      <c r="R42" s="54">
        <v>42</v>
      </c>
      <c r="S42" s="54">
        <v>69</v>
      </c>
    </row>
    <row r="43" spans="1:19" x14ac:dyDescent="0.45">
      <c r="A43" s="53">
        <v>39</v>
      </c>
      <c r="B43" s="54">
        <v>95</v>
      </c>
      <c r="C43" s="54">
        <v>70</v>
      </c>
      <c r="D43" s="54">
        <v>167</v>
      </c>
      <c r="E43" s="54">
        <v>2917</v>
      </c>
      <c r="F43" s="53"/>
      <c r="G43" s="54"/>
      <c r="H43" s="54"/>
      <c r="I43" s="54"/>
      <c r="J43" s="54"/>
      <c r="K43" s="53">
        <v>35</v>
      </c>
      <c r="L43" s="54">
        <v>18</v>
      </c>
      <c r="M43" s="54">
        <v>1</v>
      </c>
      <c r="N43" s="54">
        <v>19</v>
      </c>
      <c r="O43" s="54">
        <v>689</v>
      </c>
      <c r="P43" s="53">
        <v>42</v>
      </c>
      <c r="Q43" s="54">
        <v>35</v>
      </c>
      <c r="R43" s="54">
        <v>43</v>
      </c>
      <c r="S43" s="54">
        <v>79</v>
      </c>
    </row>
    <row r="44" spans="1:19" x14ac:dyDescent="0.45">
      <c r="A44" s="53">
        <v>38</v>
      </c>
      <c r="B44" s="54">
        <v>38</v>
      </c>
      <c r="C44" s="54">
        <v>40</v>
      </c>
      <c r="D44" s="54">
        <v>78</v>
      </c>
      <c r="E44" s="54">
        <v>2995</v>
      </c>
      <c r="F44" s="53"/>
      <c r="G44" s="54"/>
      <c r="H44" s="54"/>
      <c r="I44" s="54"/>
      <c r="J44" s="54"/>
      <c r="K44" s="53">
        <v>34</v>
      </c>
      <c r="L44" s="54">
        <v>5</v>
      </c>
      <c r="M44" s="54">
        <v>2</v>
      </c>
      <c r="N44" s="54">
        <v>7</v>
      </c>
      <c r="O44" s="54">
        <v>696</v>
      </c>
      <c r="P44" s="53">
        <v>41</v>
      </c>
      <c r="Q44" s="54">
        <v>23</v>
      </c>
      <c r="R44" s="54">
        <v>40</v>
      </c>
      <c r="S44" s="54">
        <v>63</v>
      </c>
    </row>
    <row r="45" spans="1:19" x14ac:dyDescent="0.45">
      <c r="A45" s="53">
        <v>37</v>
      </c>
      <c r="B45" s="54">
        <v>31</v>
      </c>
      <c r="C45" s="54">
        <v>23</v>
      </c>
      <c r="D45" s="54">
        <v>55</v>
      </c>
      <c r="E45" s="54">
        <v>3050</v>
      </c>
      <c r="F45" s="53"/>
      <c r="G45" s="54"/>
      <c r="H45" s="54"/>
      <c r="I45" s="54"/>
      <c r="J45" s="54"/>
      <c r="K45" s="53">
        <v>33</v>
      </c>
      <c r="L45" s="54">
        <v>6</v>
      </c>
      <c r="M45" s="54">
        <v>1</v>
      </c>
      <c r="N45" s="54">
        <v>7</v>
      </c>
      <c r="O45" s="54">
        <v>703</v>
      </c>
      <c r="P45" s="53">
        <v>40</v>
      </c>
      <c r="Q45" s="54">
        <v>18</v>
      </c>
      <c r="R45" s="54">
        <v>20</v>
      </c>
      <c r="S45" s="54">
        <v>38</v>
      </c>
    </row>
    <row r="46" spans="1:19" x14ac:dyDescent="0.45">
      <c r="A46" s="53">
        <v>35</v>
      </c>
      <c r="B46" s="54">
        <v>76</v>
      </c>
      <c r="C46" s="54">
        <v>32</v>
      </c>
      <c r="D46" s="54">
        <v>111</v>
      </c>
      <c r="E46" s="54">
        <v>3161</v>
      </c>
      <c r="F46" s="53"/>
      <c r="G46" s="54"/>
      <c r="H46" s="54"/>
      <c r="I46" s="54"/>
      <c r="J46" s="54"/>
      <c r="K46" s="53">
        <v>32</v>
      </c>
      <c r="L46" s="54">
        <v>1</v>
      </c>
      <c r="M46" s="54">
        <v>0</v>
      </c>
      <c r="N46" s="54">
        <v>1</v>
      </c>
      <c r="O46" s="54">
        <v>704</v>
      </c>
      <c r="P46" s="53">
        <v>39</v>
      </c>
      <c r="Q46" s="54">
        <v>74</v>
      </c>
      <c r="R46" s="54">
        <v>68</v>
      </c>
      <c r="S46" s="54">
        <v>147</v>
      </c>
    </row>
    <row r="47" spans="1:19" x14ac:dyDescent="0.45">
      <c r="A47" s="53">
        <v>34</v>
      </c>
      <c r="B47" s="54">
        <v>15</v>
      </c>
      <c r="C47" s="54">
        <v>11</v>
      </c>
      <c r="D47" s="54">
        <v>26</v>
      </c>
      <c r="E47" s="54">
        <v>3187</v>
      </c>
      <c r="F47" s="53"/>
      <c r="G47" s="54"/>
      <c r="H47" s="54"/>
      <c r="I47" s="54"/>
      <c r="J47" s="54"/>
      <c r="K47" s="53">
        <v>30</v>
      </c>
      <c r="L47" s="54">
        <v>1</v>
      </c>
      <c r="M47" s="54">
        <v>0</v>
      </c>
      <c r="N47" s="54">
        <v>1</v>
      </c>
      <c r="O47" s="54">
        <v>705</v>
      </c>
      <c r="P47" s="53">
        <v>38</v>
      </c>
      <c r="Q47" s="54">
        <v>10</v>
      </c>
      <c r="R47" s="54">
        <v>13</v>
      </c>
      <c r="S47" s="54">
        <v>23</v>
      </c>
    </row>
    <row r="48" spans="1:19" x14ac:dyDescent="0.45">
      <c r="A48" s="55">
        <v>33</v>
      </c>
      <c r="B48" s="56">
        <v>19</v>
      </c>
      <c r="C48" s="56">
        <v>17</v>
      </c>
      <c r="D48" s="56">
        <v>37</v>
      </c>
      <c r="E48" s="54">
        <v>3224</v>
      </c>
      <c r="F48" s="53"/>
      <c r="G48" s="54"/>
      <c r="H48" s="54"/>
      <c r="I48" s="54"/>
      <c r="J48" s="54"/>
      <c r="K48" s="53"/>
      <c r="L48" s="54"/>
      <c r="M48" s="54"/>
      <c r="N48" s="54"/>
      <c r="O48" s="54"/>
      <c r="P48" s="53">
        <v>37</v>
      </c>
      <c r="Q48" s="54">
        <v>11</v>
      </c>
      <c r="R48" s="54">
        <v>16</v>
      </c>
      <c r="S48" s="54">
        <v>29</v>
      </c>
    </row>
    <row r="49" spans="1:19" x14ac:dyDescent="0.45">
      <c r="A49" s="55">
        <v>32</v>
      </c>
      <c r="B49" s="56">
        <v>7</v>
      </c>
      <c r="C49" s="56">
        <v>5</v>
      </c>
      <c r="D49" s="56">
        <v>12</v>
      </c>
      <c r="E49" s="54">
        <v>3236</v>
      </c>
      <c r="F49" s="53"/>
      <c r="G49" s="54"/>
      <c r="H49" s="54"/>
      <c r="I49" s="54"/>
      <c r="J49" s="54"/>
      <c r="K49" s="53"/>
      <c r="L49" s="54"/>
      <c r="M49" s="54"/>
      <c r="N49" s="54"/>
      <c r="O49" s="54"/>
      <c r="P49" s="53">
        <v>36</v>
      </c>
      <c r="Q49" s="54">
        <v>5</v>
      </c>
      <c r="R49" s="54">
        <v>11</v>
      </c>
      <c r="S49" s="54">
        <v>16</v>
      </c>
    </row>
    <row r="50" spans="1:19" x14ac:dyDescent="0.45">
      <c r="A50" s="55">
        <v>31</v>
      </c>
      <c r="B50" s="56">
        <v>6</v>
      </c>
      <c r="C50" s="56">
        <v>2</v>
      </c>
      <c r="D50" s="56">
        <v>9</v>
      </c>
      <c r="E50" s="54">
        <v>3245</v>
      </c>
      <c r="F50" s="53"/>
      <c r="G50" s="54"/>
      <c r="H50" s="54"/>
      <c r="I50" s="54"/>
      <c r="J50" s="54"/>
      <c r="K50" s="53"/>
      <c r="L50" s="54"/>
      <c r="M50" s="54"/>
      <c r="N50" s="54"/>
      <c r="O50" s="54"/>
      <c r="P50" s="53">
        <v>35</v>
      </c>
      <c r="Q50" s="54">
        <v>8</v>
      </c>
      <c r="R50" s="54">
        <v>5</v>
      </c>
      <c r="S50" s="54">
        <v>13</v>
      </c>
    </row>
    <row r="51" spans="1:19" x14ac:dyDescent="0.45">
      <c r="A51" s="55">
        <v>29</v>
      </c>
      <c r="B51" s="56">
        <v>8</v>
      </c>
      <c r="C51" s="56">
        <v>6</v>
      </c>
      <c r="D51" s="56">
        <v>14</v>
      </c>
      <c r="E51" s="54">
        <v>3259</v>
      </c>
      <c r="F51" s="53"/>
      <c r="G51" s="54"/>
      <c r="H51" s="54"/>
      <c r="I51" s="54"/>
      <c r="J51" s="54"/>
      <c r="K51" s="53"/>
      <c r="L51" s="54"/>
      <c r="M51" s="54"/>
      <c r="N51" s="54"/>
      <c r="O51" s="54"/>
      <c r="P51" s="53">
        <v>34</v>
      </c>
      <c r="Q51" s="54">
        <v>3</v>
      </c>
      <c r="R51" s="54">
        <v>3</v>
      </c>
      <c r="S51" s="54">
        <v>6</v>
      </c>
    </row>
    <row r="52" spans="1:19" x14ac:dyDescent="0.45">
      <c r="A52" s="55">
        <v>27</v>
      </c>
      <c r="B52" s="56">
        <v>11</v>
      </c>
      <c r="C52" s="56">
        <v>6</v>
      </c>
      <c r="D52" s="56">
        <v>17</v>
      </c>
      <c r="E52" s="54">
        <v>3276</v>
      </c>
      <c r="F52" s="53"/>
      <c r="G52" s="54"/>
      <c r="H52" s="54"/>
      <c r="I52" s="54"/>
      <c r="J52" s="54"/>
      <c r="K52" s="53"/>
      <c r="L52" s="54"/>
      <c r="M52" s="54"/>
      <c r="N52" s="54"/>
      <c r="O52" s="54"/>
      <c r="P52" s="53">
        <v>33</v>
      </c>
      <c r="Q52" s="54">
        <v>7</v>
      </c>
      <c r="R52" s="54">
        <v>3</v>
      </c>
      <c r="S52" s="54">
        <v>10</v>
      </c>
    </row>
    <row r="61" spans="1:19" ht="17.5" thickBot="1" x14ac:dyDescent="0.5"/>
    <row r="62" spans="1:19" x14ac:dyDescent="0.45">
      <c r="A62" s="46" t="s">
        <v>72</v>
      </c>
      <c r="B62" s="47"/>
      <c r="C62" s="47"/>
      <c r="D62" s="48"/>
      <c r="F62" s="46" t="s">
        <v>71</v>
      </c>
      <c r="G62" s="47"/>
      <c r="H62" s="47"/>
      <c r="I62" s="48"/>
    </row>
    <row r="63" spans="1:19" x14ac:dyDescent="0.45">
      <c r="A63" s="6" t="s">
        <v>1</v>
      </c>
      <c r="B63" s="1"/>
      <c r="C63" s="1"/>
      <c r="D63" s="7" t="s">
        <v>0</v>
      </c>
      <c r="F63" s="6" t="s">
        <v>1</v>
      </c>
      <c r="G63" s="1"/>
      <c r="H63" s="1"/>
      <c r="I63" s="7" t="s">
        <v>0</v>
      </c>
    </row>
    <row r="64" spans="1:19" x14ac:dyDescent="0.45">
      <c r="A64" s="53">
        <v>79</v>
      </c>
      <c r="B64" s="54">
        <v>1</v>
      </c>
      <c r="C64" s="54">
        <v>0</v>
      </c>
      <c r="D64" s="54">
        <v>1</v>
      </c>
      <c r="E64" s="54">
        <v>1</v>
      </c>
      <c r="F64" s="53">
        <v>75</v>
      </c>
      <c r="G64" s="54">
        <v>1</v>
      </c>
      <c r="H64" s="54">
        <v>0</v>
      </c>
      <c r="I64" s="54">
        <v>1</v>
      </c>
    </row>
    <row r="65" spans="1:9" x14ac:dyDescent="0.45">
      <c r="A65" s="53">
        <v>77</v>
      </c>
      <c r="B65" s="54">
        <v>1</v>
      </c>
      <c r="C65" s="54">
        <v>0</v>
      </c>
      <c r="D65" s="54">
        <v>1</v>
      </c>
      <c r="E65" s="54">
        <v>2</v>
      </c>
      <c r="F65" s="53">
        <v>74</v>
      </c>
      <c r="G65" s="54">
        <v>1</v>
      </c>
      <c r="H65" s="54">
        <v>1</v>
      </c>
      <c r="I65" s="54">
        <v>2</v>
      </c>
    </row>
    <row r="66" spans="1:9" x14ac:dyDescent="0.45">
      <c r="A66" s="53">
        <v>74</v>
      </c>
      <c r="B66" s="54">
        <v>1</v>
      </c>
      <c r="C66" s="54">
        <v>1</v>
      </c>
      <c r="D66" s="54">
        <v>2</v>
      </c>
      <c r="E66" s="54">
        <v>4</v>
      </c>
      <c r="F66" s="53">
        <v>73</v>
      </c>
      <c r="G66" s="54">
        <v>0</v>
      </c>
      <c r="H66" s="54">
        <v>1</v>
      </c>
      <c r="I66" s="54">
        <v>1</v>
      </c>
    </row>
    <row r="67" spans="1:9" x14ac:dyDescent="0.45">
      <c r="A67" s="53">
        <v>70</v>
      </c>
      <c r="B67" s="54">
        <v>1</v>
      </c>
      <c r="C67" s="54">
        <v>0</v>
      </c>
      <c r="D67" s="54">
        <v>1</v>
      </c>
      <c r="E67" s="54">
        <v>5</v>
      </c>
      <c r="F67" s="53">
        <v>72</v>
      </c>
      <c r="G67" s="54">
        <v>1</v>
      </c>
      <c r="H67" s="54">
        <v>1</v>
      </c>
      <c r="I67" s="54">
        <v>2</v>
      </c>
    </row>
    <row r="68" spans="1:9" x14ac:dyDescent="0.45">
      <c r="A68" s="53">
        <v>67</v>
      </c>
      <c r="B68" s="54">
        <v>1</v>
      </c>
      <c r="C68" s="54">
        <v>1</v>
      </c>
      <c r="D68" s="54">
        <v>2</v>
      </c>
      <c r="E68" s="54">
        <v>7</v>
      </c>
      <c r="F68" s="53">
        <v>71</v>
      </c>
      <c r="G68" s="54">
        <v>2</v>
      </c>
      <c r="H68" s="54">
        <v>1</v>
      </c>
      <c r="I68" s="54">
        <v>3</v>
      </c>
    </row>
    <row r="69" spans="1:9" x14ac:dyDescent="0.45">
      <c r="A69" s="53">
        <v>65</v>
      </c>
      <c r="B69" s="54">
        <v>1</v>
      </c>
      <c r="C69" s="54">
        <v>1</v>
      </c>
      <c r="D69" s="54">
        <v>2</v>
      </c>
      <c r="E69" s="54">
        <v>9</v>
      </c>
      <c r="F69" s="53">
        <v>70</v>
      </c>
      <c r="G69" s="54">
        <v>1</v>
      </c>
      <c r="H69" s="54">
        <v>2</v>
      </c>
      <c r="I69" s="54">
        <v>3</v>
      </c>
    </row>
    <row r="70" spans="1:9" x14ac:dyDescent="0.45">
      <c r="A70" s="53">
        <v>63</v>
      </c>
      <c r="B70" s="54">
        <v>1</v>
      </c>
      <c r="C70" s="54">
        <v>0</v>
      </c>
      <c r="D70" s="54">
        <v>1</v>
      </c>
      <c r="E70" s="54">
        <v>10</v>
      </c>
      <c r="F70" s="53">
        <v>69</v>
      </c>
      <c r="G70" s="54">
        <v>2</v>
      </c>
      <c r="H70" s="54">
        <v>1</v>
      </c>
      <c r="I70" s="54">
        <v>3</v>
      </c>
    </row>
    <row r="71" spans="1:9" x14ac:dyDescent="0.45">
      <c r="A71" s="53">
        <v>61</v>
      </c>
      <c r="B71" s="54">
        <v>2</v>
      </c>
      <c r="C71" s="54">
        <v>0</v>
      </c>
      <c r="D71" s="54">
        <v>2</v>
      </c>
      <c r="E71" s="54">
        <v>12</v>
      </c>
      <c r="F71" s="53">
        <v>68</v>
      </c>
      <c r="G71" s="54">
        <v>3</v>
      </c>
      <c r="H71" s="54">
        <v>2</v>
      </c>
      <c r="I71" s="54">
        <v>5</v>
      </c>
    </row>
    <row r="72" spans="1:9" x14ac:dyDescent="0.45">
      <c r="A72" s="53">
        <v>60</v>
      </c>
      <c r="B72" s="54">
        <v>2</v>
      </c>
      <c r="C72" s="54">
        <v>0</v>
      </c>
      <c r="D72" s="54">
        <v>3</v>
      </c>
      <c r="E72" s="54">
        <v>15</v>
      </c>
      <c r="F72" s="53">
        <v>67</v>
      </c>
      <c r="G72" s="54">
        <v>3</v>
      </c>
      <c r="H72" s="54">
        <v>6</v>
      </c>
      <c r="I72" s="54">
        <v>9</v>
      </c>
    </row>
    <row r="73" spans="1:9" x14ac:dyDescent="0.45">
      <c r="A73" s="53">
        <v>58</v>
      </c>
      <c r="B73" s="54">
        <v>2</v>
      </c>
      <c r="C73" s="54">
        <v>2</v>
      </c>
      <c r="D73" s="54">
        <v>4</v>
      </c>
      <c r="E73" s="54">
        <v>19</v>
      </c>
      <c r="F73" s="53">
        <v>66</v>
      </c>
      <c r="G73" s="54">
        <v>3</v>
      </c>
      <c r="H73" s="54">
        <v>8</v>
      </c>
      <c r="I73" s="54">
        <v>11</v>
      </c>
    </row>
    <row r="74" spans="1:9" x14ac:dyDescent="0.45">
      <c r="A74" s="53">
        <v>56</v>
      </c>
      <c r="B74" s="54">
        <v>4</v>
      </c>
      <c r="C74" s="54">
        <v>1</v>
      </c>
      <c r="D74" s="54">
        <v>5</v>
      </c>
      <c r="E74" s="54">
        <v>24</v>
      </c>
      <c r="F74" s="53">
        <v>65</v>
      </c>
      <c r="G74" s="54">
        <v>1</v>
      </c>
      <c r="H74" s="54">
        <v>6</v>
      </c>
      <c r="I74" s="54">
        <v>7</v>
      </c>
    </row>
    <row r="75" spans="1:9" x14ac:dyDescent="0.45">
      <c r="A75" s="53">
        <v>55</v>
      </c>
      <c r="B75" s="54">
        <v>8</v>
      </c>
      <c r="C75" s="54">
        <v>1</v>
      </c>
      <c r="D75" s="54">
        <v>9</v>
      </c>
      <c r="E75" s="54">
        <v>33</v>
      </c>
      <c r="F75" s="53">
        <v>64</v>
      </c>
      <c r="G75" s="54">
        <v>3</v>
      </c>
      <c r="H75" s="54">
        <v>12</v>
      </c>
      <c r="I75" s="54">
        <v>15</v>
      </c>
    </row>
    <row r="76" spans="1:9" x14ac:dyDescent="0.45">
      <c r="A76" s="53">
        <v>53</v>
      </c>
      <c r="B76" s="54">
        <v>1</v>
      </c>
      <c r="C76" s="54">
        <v>0</v>
      </c>
      <c r="D76" s="54">
        <v>1</v>
      </c>
      <c r="E76" s="54">
        <v>34</v>
      </c>
      <c r="F76" s="53">
        <v>62</v>
      </c>
      <c r="G76" s="54">
        <v>9</v>
      </c>
      <c r="H76" s="54">
        <v>13</v>
      </c>
      <c r="I76" s="54">
        <v>22</v>
      </c>
    </row>
    <row r="77" spans="1:9" x14ac:dyDescent="0.45">
      <c r="A77" s="53">
        <v>49</v>
      </c>
      <c r="B77" s="54">
        <v>3</v>
      </c>
      <c r="C77" s="54">
        <v>2</v>
      </c>
      <c r="D77" s="54">
        <v>5</v>
      </c>
      <c r="E77" s="54">
        <v>39</v>
      </c>
      <c r="F77" s="53">
        <v>61</v>
      </c>
      <c r="G77" s="54">
        <v>8</v>
      </c>
      <c r="H77" s="54">
        <v>17</v>
      </c>
      <c r="I77" s="54">
        <v>26</v>
      </c>
    </row>
    <row r="78" spans="1:9" x14ac:dyDescent="0.45">
      <c r="A78" s="53">
        <v>48</v>
      </c>
      <c r="B78" s="54">
        <v>7</v>
      </c>
      <c r="C78" s="54">
        <v>1</v>
      </c>
      <c r="D78" s="54">
        <v>8</v>
      </c>
      <c r="E78" s="54">
        <v>47</v>
      </c>
      <c r="F78" s="53">
        <v>60</v>
      </c>
      <c r="G78" s="54">
        <v>6</v>
      </c>
      <c r="H78" s="54">
        <v>12</v>
      </c>
      <c r="I78" s="54">
        <v>18</v>
      </c>
    </row>
    <row r="79" spans="1:9" x14ac:dyDescent="0.45">
      <c r="A79" s="53">
        <v>46</v>
      </c>
      <c r="B79" s="54">
        <v>1</v>
      </c>
      <c r="C79" s="54">
        <v>1</v>
      </c>
      <c r="D79" s="54">
        <v>3</v>
      </c>
      <c r="E79" s="54">
        <v>50</v>
      </c>
      <c r="F79" s="53">
        <v>59</v>
      </c>
      <c r="G79" s="54">
        <v>11</v>
      </c>
      <c r="H79" s="54">
        <v>20</v>
      </c>
      <c r="I79" s="54">
        <v>31</v>
      </c>
    </row>
    <row r="80" spans="1:9" x14ac:dyDescent="0.45">
      <c r="A80" s="53">
        <v>44</v>
      </c>
      <c r="B80" s="54">
        <v>22</v>
      </c>
      <c r="C80" s="54">
        <v>3</v>
      </c>
      <c r="D80" s="54">
        <v>26</v>
      </c>
      <c r="E80" s="54">
        <v>76</v>
      </c>
      <c r="F80" s="53">
        <v>58</v>
      </c>
      <c r="G80" s="54">
        <v>3</v>
      </c>
      <c r="H80" s="54">
        <v>16</v>
      </c>
      <c r="I80" s="54">
        <v>19</v>
      </c>
    </row>
    <row r="81" spans="1:9" x14ac:dyDescent="0.45">
      <c r="A81" s="53">
        <v>42</v>
      </c>
      <c r="B81" s="54">
        <v>1</v>
      </c>
      <c r="C81" s="54">
        <v>0</v>
      </c>
      <c r="D81" s="54">
        <v>1</v>
      </c>
      <c r="E81" s="54">
        <v>77</v>
      </c>
      <c r="F81" s="53">
        <v>57</v>
      </c>
      <c r="G81" s="54">
        <v>8</v>
      </c>
      <c r="H81" s="54">
        <v>24</v>
      </c>
      <c r="I81" s="54">
        <v>32</v>
      </c>
    </row>
    <row r="82" spans="1:9" x14ac:dyDescent="0.45">
      <c r="A82" s="53">
        <v>41</v>
      </c>
      <c r="B82" s="54">
        <v>4</v>
      </c>
      <c r="C82" s="54">
        <v>0</v>
      </c>
      <c r="D82" s="54">
        <v>4</v>
      </c>
      <c r="E82" s="54">
        <v>81</v>
      </c>
      <c r="F82" s="53">
        <v>56</v>
      </c>
      <c r="G82" s="54">
        <v>5</v>
      </c>
      <c r="H82" s="54">
        <v>20</v>
      </c>
      <c r="I82" s="54">
        <v>25</v>
      </c>
    </row>
    <row r="83" spans="1:9" x14ac:dyDescent="0.45">
      <c r="A83" s="53">
        <v>39</v>
      </c>
      <c r="B83" s="54">
        <v>1</v>
      </c>
      <c r="C83" s="54">
        <v>1</v>
      </c>
      <c r="D83" s="54">
        <v>2</v>
      </c>
      <c r="E83" s="54">
        <v>83</v>
      </c>
      <c r="F83" s="53">
        <v>55</v>
      </c>
      <c r="G83" s="54">
        <v>6</v>
      </c>
      <c r="H83" s="54">
        <v>14</v>
      </c>
      <c r="I83" s="54">
        <v>20</v>
      </c>
    </row>
    <row r="84" spans="1:9" x14ac:dyDescent="0.45">
      <c r="A84" s="53">
        <v>37</v>
      </c>
      <c r="B84" s="54">
        <v>0</v>
      </c>
      <c r="C84" s="54">
        <v>1</v>
      </c>
      <c r="D84" s="54">
        <v>1</v>
      </c>
      <c r="E84" s="54">
        <v>84</v>
      </c>
      <c r="F84" s="53">
        <v>54</v>
      </c>
      <c r="G84" s="54">
        <v>8</v>
      </c>
      <c r="H84" s="54">
        <v>16</v>
      </c>
      <c r="I84" s="54">
        <v>24</v>
      </c>
    </row>
    <row r="85" spans="1:9" x14ac:dyDescent="0.45">
      <c r="A85" s="53">
        <v>35</v>
      </c>
      <c r="B85" s="54">
        <v>1</v>
      </c>
      <c r="C85" s="54">
        <v>0</v>
      </c>
      <c r="D85" s="54">
        <v>1</v>
      </c>
      <c r="E85" s="54">
        <v>85</v>
      </c>
      <c r="F85" s="53">
        <v>53</v>
      </c>
      <c r="G85" s="54">
        <v>5</v>
      </c>
      <c r="H85" s="54">
        <v>15</v>
      </c>
      <c r="I85" s="54">
        <v>20</v>
      </c>
    </row>
    <row r="86" spans="1:9" x14ac:dyDescent="0.45">
      <c r="A86" s="53">
        <v>32</v>
      </c>
      <c r="B86" s="54">
        <v>2</v>
      </c>
      <c r="C86" s="54">
        <v>2</v>
      </c>
      <c r="D86" s="54">
        <v>4</v>
      </c>
      <c r="E86" s="54">
        <v>89</v>
      </c>
      <c r="F86" s="53">
        <v>52</v>
      </c>
      <c r="G86" s="54">
        <v>6</v>
      </c>
      <c r="H86" s="54">
        <v>17</v>
      </c>
      <c r="I86" s="54">
        <v>23</v>
      </c>
    </row>
    <row r="87" spans="1:9" x14ac:dyDescent="0.45">
      <c r="A87" s="53"/>
      <c r="B87" s="54"/>
      <c r="C87" s="54"/>
      <c r="D87" s="54"/>
      <c r="E87" s="54"/>
      <c r="F87" s="53">
        <v>51</v>
      </c>
      <c r="G87" s="54">
        <v>6</v>
      </c>
      <c r="H87" s="54">
        <v>22</v>
      </c>
      <c r="I87" s="54">
        <v>28</v>
      </c>
    </row>
    <row r="88" spans="1:9" x14ac:dyDescent="0.45">
      <c r="A88" s="53"/>
      <c r="B88" s="54"/>
      <c r="C88" s="54"/>
      <c r="D88" s="54"/>
      <c r="E88" s="54"/>
      <c r="F88" s="53">
        <v>50</v>
      </c>
      <c r="G88" s="54">
        <v>2</v>
      </c>
      <c r="H88" s="54">
        <v>14</v>
      </c>
      <c r="I88" s="54">
        <v>16</v>
      </c>
    </row>
    <row r="89" spans="1:9" x14ac:dyDescent="0.45">
      <c r="A89" s="53"/>
      <c r="B89" s="54"/>
      <c r="C89" s="54"/>
      <c r="D89" s="54"/>
      <c r="E89" s="54"/>
      <c r="F89" s="53">
        <v>49</v>
      </c>
      <c r="G89" s="54">
        <v>1</v>
      </c>
      <c r="H89" s="54">
        <v>19</v>
      </c>
      <c r="I89" s="54">
        <v>20</v>
      </c>
    </row>
    <row r="90" spans="1:9" x14ac:dyDescent="0.45">
      <c r="A90" s="53"/>
      <c r="B90" s="54"/>
      <c r="C90" s="54"/>
      <c r="D90" s="54"/>
      <c r="E90" s="54"/>
      <c r="F90" s="53">
        <v>48</v>
      </c>
      <c r="G90" s="54">
        <v>11</v>
      </c>
      <c r="H90" s="54">
        <v>15</v>
      </c>
      <c r="I90" s="54">
        <v>26</v>
      </c>
    </row>
    <row r="91" spans="1:9" x14ac:dyDescent="0.45">
      <c r="A91" s="53"/>
      <c r="B91" s="54"/>
      <c r="C91" s="54"/>
      <c r="D91" s="54"/>
      <c r="E91" s="54"/>
      <c r="F91" s="53">
        <v>47</v>
      </c>
      <c r="G91" s="54">
        <v>8</v>
      </c>
      <c r="H91" s="54">
        <v>11</v>
      </c>
      <c r="I91" s="54">
        <v>19</v>
      </c>
    </row>
    <row r="92" spans="1:9" x14ac:dyDescent="0.45">
      <c r="A92" s="53"/>
      <c r="B92" s="54"/>
      <c r="C92" s="54"/>
      <c r="D92" s="54"/>
      <c r="E92" s="54"/>
      <c r="F92" s="53">
        <v>46</v>
      </c>
      <c r="G92" s="54">
        <v>8</v>
      </c>
      <c r="H92" s="54">
        <v>12</v>
      </c>
      <c r="I92" s="54">
        <v>20</v>
      </c>
    </row>
    <row r="93" spans="1:9" x14ac:dyDescent="0.45">
      <c r="A93" s="53"/>
      <c r="B93" s="54"/>
      <c r="C93" s="54"/>
      <c r="D93" s="54"/>
      <c r="E93" s="54"/>
      <c r="F93" s="53">
        <v>45</v>
      </c>
      <c r="G93" s="54">
        <v>11</v>
      </c>
      <c r="H93" s="54">
        <v>6</v>
      </c>
      <c r="I93" s="54">
        <v>18</v>
      </c>
    </row>
    <row r="94" spans="1:9" x14ac:dyDescent="0.45">
      <c r="A94" s="53"/>
      <c r="B94" s="54"/>
      <c r="C94" s="54"/>
      <c r="D94" s="54"/>
      <c r="E94" s="54"/>
      <c r="F94" s="53">
        <v>44</v>
      </c>
      <c r="G94" s="54">
        <v>4</v>
      </c>
      <c r="H94" s="54">
        <v>13</v>
      </c>
      <c r="I94" s="54">
        <v>18</v>
      </c>
    </row>
    <row r="95" spans="1:9" x14ac:dyDescent="0.45">
      <c r="A95" s="53"/>
      <c r="B95" s="54"/>
      <c r="C95" s="54"/>
      <c r="D95" s="54"/>
      <c r="E95" s="54"/>
      <c r="F95" s="53">
        <v>43</v>
      </c>
      <c r="G95" s="54">
        <v>11</v>
      </c>
      <c r="H95" s="54">
        <v>22</v>
      </c>
      <c r="I95" s="54">
        <v>33</v>
      </c>
    </row>
    <row r="96" spans="1:9" x14ac:dyDescent="0.45">
      <c r="A96" s="53"/>
      <c r="B96" s="54"/>
      <c r="C96" s="54"/>
      <c r="D96" s="54"/>
      <c r="E96" s="54"/>
      <c r="F96" s="53">
        <v>42</v>
      </c>
      <c r="G96" s="54">
        <v>7</v>
      </c>
      <c r="H96" s="54">
        <v>12</v>
      </c>
      <c r="I96" s="54">
        <v>19</v>
      </c>
    </row>
    <row r="97" spans="1:9" x14ac:dyDescent="0.45">
      <c r="A97" s="53"/>
      <c r="B97" s="54"/>
      <c r="C97" s="54"/>
      <c r="D97" s="54"/>
      <c r="E97" s="54"/>
      <c r="F97" s="53">
        <v>41</v>
      </c>
      <c r="G97" s="54">
        <v>9</v>
      </c>
      <c r="H97" s="54">
        <v>7</v>
      </c>
      <c r="I97" s="54">
        <v>16</v>
      </c>
    </row>
    <row r="98" spans="1:9" x14ac:dyDescent="0.45">
      <c r="A98" s="53"/>
      <c r="B98" s="54"/>
      <c r="C98" s="54"/>
      <c r="D98" s="54"/>
      <c r="E98" s="54"/>
      <c r="F98" s="53">
        <v>39</v>
      </c>
      <c r="G98" s="54">
        <v>13</v>
      </c>
      <c r="H98" s="54">
        <v>4</v>
      </c>
      <c r="I98" s="54">
        <v>17</v>
      </c>
    </row>
    <row r="99" spans="1:9" x14ac:dyDescent="0.45">
      <c r="A99" s="53"/>
      <c r="B99" s="54"/>
      <c r="C99" s="54"/>
      <c r="D99" s="54"/>
      <c r="E99" s="54"/>
      <c r="F99" s="53">
        <v>38</v>
      </c>
      <c r="G99" s="54">
        <v>9</v>
      </c>
      <c r="H99" s="54">
        <v>12</v>
      </c>
      <c r="I99" s="54">
        <v>22</v>
      </c>
    </row>
    <row r="100" spans="1:9" x14ac:dyDescent="0.45">
      <c r="A100" s="53"/>
      <c r="B100" s="54"/>
      <c r="C100" s="54"/>
      <c r="D100" s="54"/>
      <c r="E100" s="54"/>
      <c r="F100" s="53">
        <v>37</v>
      </c>
      <c r="G100" s="54">
        <v>26</v>
      </c>
      <c r="H100" s="54">
        <v>13</v>
      </c>
      <c r="I100" s="54">
        <v>40</v>
      </c>
    </row>
    <row r="101" spans="1:9" x14ac:dyDescent="0.45">
      <c r="A101" s="53"/>
      <c r="B101" s="54"/>
      <c r="C101" s="54"/>
      <c r="D101" s="54"/>
      <c r="E101" s="54"/>
      <c r="F101" s="53">
        <v>36</v>
      </c>
      <c r="G101" s="54">
        <v>8</v>
      </c>
      <c r="H101" s="54">
        <v>6</v>
      </c>
      <c r="I101" s="54">
        <v>14</v>
      </c>
    </row>
    <row r="102" spans="1:9" x14ac:dyDescent="0.45">
      <c r="A102" s="53"/>
      <c r="B102" s="54"/>
      <c r="C102" s="54"/>
      <c r="D102" s="54"/>
      <c r="E102" s="54"/>
      <c r="F102" s="53">
        <v>35</v>
      </c>
      <c r="G102" s="54">
        <v>6</v>
      </c>
      <c r="H102" s="54">
        <v>7</v>
      </c>
      <c r="I102" s="54">
        <v>13</v>
      </c>
    </row>
    <row r="103" spans="1:9" x14ac:dyDescent="0.45">
      <c r="A103" s="53"/>
      <c r="B103" s="54"/>
      <c r="C103" s="54"/>
      <c r="D103" s="54"/>
      <c r="E103" s="54"/>
      <c r="F103" s="53">
        <v>34</v>
      </c>
      <c r="G103" s="54">
        <v>4</v>
      </c>
      <c r="H103" s="54">
        <v>1</v>
      </c>
      <c r="I103" s="54">
        <v>5</v>
      </c>
    </row>
    <row r="104" spans="1:9" x14ac:dyDescent="0.45">
      <c r="A104" s="53"/>
      <c r="B104" s="54"/>
      <c r="C104" s="54"/>
      <c r="D104" s="54"/>
      <c r="E104" s="54"/>
      <c r="F104" s="53">
        <v>33</v>
      </c>
      <c r="G104" s="54">
        <v>4</v>
      </c>
      <c r="H104" s="54">
        <v>6</v>
      </c>
      <c r="I104" s="54">
        <v>10</v>
      </c>
    </row>
    <row r="105" spans="1:9" x14ac:dyDescent="0.45">
      <c r="A105" s="53"/>
      <c r="B105" s="54"/>
      <c r="C105" s="54"/>
      <c r="D105" s="54"/>
      <c r="E105" s="54"/>
      <c r="F105" s="53">
        <v>32</v>
      </c>
      <c r="G105" s="54">
        <v>4</v>
      </c>
      <c r="H105" s="54">
        <v>1</v>
      </c>
      <c r="I105" s="54">
        <v>5</v>
      </c>
    </row>
    <row r="106" spans="1:9" x14ac:dyDescent="0.45">
      <c r="A106" s="53"/>
      <c r="B106" s="54"/>
      <c r="C106" s="54"/>
      <c r="D106" s="54"/>
      <c r="E106" s="54"/>
      <c r="F106" s="53">
        <v>31</v>
      </c>
      <c r="G106" s="54">
        <v>4</v>
      </c>
      <c r="H106" s="54">
        <v>0</v>
      </c>
      <c r="I106" s="54">
        <v>4</v>
      </c>
    </row>
    <row r="107" spans="1:9" x14ac:dyDescent="0.45">
      <c r="A107" s="53"/>
      <c r="B107" s="54"/>
      <c r="C107" s="54"/>
      <c r="D107" s="54"/>
      <c r="E107" s="54"/>
      <c r="F107" s="53">
        <v>30</v>
      </c>
      <c r="G107" s="54">
        <v>6</v>
      </c>
      <c r="H107" s="54">
        <v>2</v>
      </c>
      <c r="I107" s="54">
        <v>8</v>
      </c>
    </row>
    <row r="108" spans="1:9" x14ac:dyDescent="0.45">
      <c r="A108" s="53"/>
      <c r="B108" s="54"/>
      <c r="C108" s="54"/>
      <c r="D108" s="54"/>
      <c r="E108" s="54"/>
      <c r="F108" s="53">
        <v>28</v>
      </c>
      <c r="G108" s="54">
        <v>2</v>
      </c>
      <c r="H108" s="54">
        <v>2</v>
      </c>
      <c r="I108" s="54">
        <v>4</v>
      </c>
    </row>
    <row r="109" spans="1:9" x14ac:dyDescent="0.45">
      <c r="A109" s="6"/>
      <c r="B109" s="1"/>
      <c r="C109" s="1"/>
      <c r="D109" s="7"/>
      <c r="F109" s="6"/>
      <c r="G109" s="1"/>
      <c r="H109" s="1"/>
      <c r="I109" s="7"/>
    </row>
    <row r="110" spans="1:9" x14ac:dyDescent="0.45">
      <c r="A110" s="6"/>
      <c r="B110" s="1"/>
      <c r="C110" s="1"/>
      <c r="D110" s="7"/>
      <c r="F110" s="6"/>
      <c r="G110" s="1"/>
      <c r="H110" s="1"/>
      <c r="I110" s="7"/>
    </row>
    <row r="111" spans="1:9" ht="17.5" thickBot="1" x14ac:dyDescent="0.5">
      <c r="A111" s="8"/>
      <c r="B111" s="14"/>
      <c r="C111" s="14"/>
      <c r="D111" s="2"/>
      <c r="F111" s="8"/>
      <c r="G111" s="14"/>
      <c r="H111" s="14"/>
      <c r="I111" s="2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4B5DD-2734-4EE0-BFFB-E8EF25ED5316}">
  <sheetPr codeName="Sheet6"/>
  <dimension ref="A1:Q110"/>
  <sheetViews>
    <sheetView zoomScale="70" zoomScaleNormal="70" workbookViewId="0">
      <selection activeCell="B2" sqref="B2:K10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3" width="13.75" customWidth="1"/>
    <col min="14" max="14" width="12.1640625" customWidth="1"/>
  </cols>
  <sheetData>
    <row r="1" spans="1:17" x14ac:dyDescent="0.45">
      <c r="A1" s="5" t="s">
        <v>87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ht="25" customHeight="1" thickBot="1" x14ac:dyDescent="0.5">
      <c r="A3" s="5"/>
      <c r="B3" s="30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기능'!D4</f>
        <v>52.467148460462901</v>
      </c>
      <c r="I3" s="21" t="s">
        <v>117</v>
      </c>
      <c r="J3" s="58">
        <f>'통계 및 응시자 수 입력 기능'!C4</f>
        <v>301097</v>
      </c>
      <c r="K3" s="31"/>
      <c r="L3" s="5"/>
    </row>
    <row r="4" spans="1:17" ht="25" customHeight="1" thickBot="1" x14ac:dyDescent="0.5">
      <c r="A4" s="5"/>
      <c r="B4" s="30"/>
      <c r="C4" s="59" t="s">
        <v>118</v>
      </c>
      <c r="D4" s="191" t="s">
        <v>119</v>
      </c>
      <c r="E4" s="192"/>
      <c r="F4" s="193"/>
      <c r="G4" s="60" t="s">
        <v>120</v>
      </c>
      <c r="H4" s="61">
        <f>'통계 및 응시자 수 입력 기능'!E4</f>
        <v>22.396522903471901</v>
      </c>
      <c r="I4" s="37"/>
      <c r="J4" s="38"/>
      <c r="K4" s="31"/>
    </row>
    <row r="5" spans="1:17" ht="25" customHeight="1" thickBot="1" x14ac:dyDescent="0.5">
      <c r="A5" s="5"/>
      <c r="B5" s="30"/>
      <c r="C5" s="19"/>
      <c r="D5" s="19"/>
      <c r="E5" s="19"/>
      <c r="F5" s="19"/>
      <c r="G5" s="19"/>
      <c r="H5" s="20"/>
      <c r="I5" s="20"/>
      <c r="J5" s="20"/>
      <c r="K5" s="31"/>
      <c r="L5" s="5"/>
    </row>
    <row r="6" spans="1:17" ht="25" customHeight="1" thickBot="1" x14ac:dyDescent="0.5">
      <c r="A6" s="5"/>
      <c r="B6" s="30"/>
      <c r="C6" s="62" t="s">
        <v>121</v>
      </c>
      <c r="D6" s="63" t="s">
        <v>122</v>
      </c>
      <c r="E6" s="63" t="s">
        <v>123</v>
      </c>
      <c r="F6" s="63" t="s">
        <v>124</v>
      </c>
      <c r="G6" s="63" t="s">
        <v>125</v>
      </c>
      <c r="H6" s="64" t="s">
        <v>126</v>
      </c>
      <c r="I6" s="64" t="s">
        <v>127</v>
      </c>
      <c r="J6" s="65" t="s">
        <v>128</v>
      </c>
      <c r="K6" s="31"/>
      <c r="L6" s="3" t="s">
        <v>86</v>
      </c>
      <c r="M6" s="3"/>
      <c r="N6" s="4"/>
    </row>
    <row r="7" spans="1:17" ht="25" customHeight="1" x14ac:dyDescent="0.45">
      <c r="A7" s="5"/>
      <c r="B7" s="30"/>
      <c r="C7" s="66">
        <v>100</v>
      </c>
      <c r="D7" s="67">
        <f>ROUND(20*(C7-$H$3)/$H$4+100,0)</f>
        <v>142</v>
      </c>
      <c r="E7" s="67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8">
        <f>ROUND(100*(1-(0+I7)/2/$J$3),2)</f>
        <v>99.9</v>
      </c>
      <c r="G7" s="69">
        <f>_xlfn.IFNA(VLOOKUP(D7,'인원 입력 기능(국수)'!$A$5:$D$103,4,FALSE),0)</f>
        <v>594</v>
      </c>
      <c r="H7" s="70">
        <f>G7/$J$3</f>
        <v>1.9727861785404704E-3</v>
      </c>
      <c r="I7" s="71">
        <f>G7</f>
        <v>594</v>
      </c>
      <c r="J7" s="72">
        <f>I7/$J$3</f>
        <v>1.9727861785404704E-3</v>
      </c>
      <c r="K7" s="31"/>
      <c r="L7" s="20" t="str">
        <f>IF(ABS((C7-$H$3)/$H$4*20+100-D7)&gt;0.49, "경고", "")</f>
        <v/>
      </c>
      <c r="M7">
        <f>ROUND(0.893*C7+53.152, 0)</f>
        <v>142</v>
      </c>
      <c r="N7" s="1"/>
      <c r="P7" s="1">
        <v>1</v>
      </c>
      <c r="Q7" s="1">
        <f>'표점등급&amp;절평인원 입력 기능'!C4</f>
        <v>134</v>
      </c>
    </row>
    <row r="8" spans="1:17" ht="25" customHeight="1" x14ac:dyDescent="0.45">
      <c r="A8" s="5"/>
      <c r="B8" s="30"/>
      <c r="C8" s="73">
        <v>99</v>
      </c>
      <c r="D8" s="74" t="s">
        <v>59</v>
      </c>
      <c r="E8" s="74"/>
      <c r="F8" s="75"/>
      <c r="G8" s="76"/>
      <c r="H8" s="77"/>
      <c r="I8" s="78"/>
      <c r="J8" s="79"/>
      <c r="K8" s="31"/>
      <c r="L8" s="20"/>
      <c r="N8" s="1"/>
      <c r="P8" s="1">
        <v>2</v>
      </c>
      <c r="Q8" s="1">
        <f>'표점등급&amp;절평인원 입력 기능'!C5</f>
        <v>126</v>
      </c>
    </row>
    <row r="9" spans="1:17" ht="25" customHeight="1" x14ac:dyDescent="0.45">
      <c r="A9" s="5"/>
      <c r="B9" s="30"/>
      <c r="C9" s="73">
        <v>98</v>
      </c>
      <c r="D9" s="67">
        <f>ROUND(20*(C9-$H$3)/$H$4+100,0)</f>
        <v>141</v>
      </c>
      <c r="E9" s="67">
        <f t="shared" si="0"/>
        <v>1</v>
      </c>
      <c r="F9" s="68">
        <f>IF(I8=0,ROUND(100*(1-(I7+I9)/2/$J$3),2),ROUND(100*(1-(I8+I9)/2/$J$3),2))</f>
        <v>99.66</v>
      </c>
      <c r="G9" s="69">
        <f>_xlfn.IFNA(VLOOKUP(D9,'인원 입력 기능(국수)'!$A$5:$D$103,4,FALSE),0)</f>
        <v>833</v>
      </c>
      <c r="H9" s="70">
        <f>G9/$J$3</f>
        <v>2.7665503143505248E-3</v>
      </c>
      <c r="I9" s="80">
        <f>SUM($G$7:G9)</f>
        <v>1427</v>
      </c>
      <c r="J9" s="72">
        <f>I9/$J$3</f>
        <v>4.7393364928909956E-3</v>
      </c>
      <c r="K9" s="31"/>
      <c r="L9" s="20" t="str">
        <f t="shared" ref="L9:L40" si="1">IF(ABS((C9-$H$3)/$H$4*20+100-D9)&gt;0.49, "경고", "")</f>
        <v/>
      </c>
      <c r="N9" s="1"/>
      <c r="P9" s="1">
        <v>3</v>
      </c>
      <c r="Q9" s="1">
        <f>'표점등급&amp;절평인원 입력 기능'!C6</f>
        <v>117</v>
      </c>
    </row>
    <row r="10" spans="1:17" ht="25" customHeight="1" x14ac:dyDescent="0.45">
      <c r="A10" s="5"/>
      <c r="B10" s="30"/>
      <c r="C10" s="73">
        <v>97</v>
      </c>
      <c r="D10" s="67">
        <f t="shared" ref="D10:D72" si="2">ROUND(20*(C10-$H$3)/$H$4+100,0)</f>
        <v>140</v>
      </c>
      <c r="E10" s="67">
        <f t="shared" si="0"/>
        <v>1</v>
      </c>
      <c r="F10" s="68">
        <f t="shared" ref="F10:F72" si="3">IF(I9=0,ROUND(100*(1-(I8+I10)/2/$J$3),2),ROUND(100*(1-(I9+I10)/2/$J$3),2))</f>
        <v>99.4</v>
      </c>
      <c r="G10" s="69">
        <f>IF(D10=D9,"",_xlfn.IFNA(VLOOKUP(D10,'인원 입력 기능(국수)'!$A$5:$D$103,4,FALSE),0))</f>
        <v>743</v>
      </c>
      <c r="H10" s="70">
        <f t="shared" ref="H10:H72" si="4">G10/$J$3</f>
        <v>2.4676433176019689E-3</v>
      </c>
      <c r="I10" s="80">
        <f>SUM($G$7:G10)</f>
        <v>2170</v>
      </c>
      <c r="J10" s="72">
        <f t="shared" ref="J10:J72" si="5">I10/$J$3</f>
        <v>7.2069798104929641E-3</v>
      </c>
      <c r="K10" s="31"/>
      <c r="L10" s="20" t="str">
        <f t="shared" si="1"/>
        <v/>
      </c>
      <c r="N10" s="1"/>
      <c r="P10" s="1">
        <v>4</v>
      </c>
      <c r="Q10" s="1">
        <f>'표점등급&amp;절평인원 입력 기능'!C7</f>
        <v>107</v>
      </c>
    </row>
    <row r="11" spans="1:17" ht="25" customHeight="1" x14ac:dyDescent="0.45">
      <c r="A11" s="5"/>
      <c r="B11" s="30"/>
      <c r="C11" s="73">
        <v>96</v>
      </c>
      <c r="D11" s="67">
        <f t="shared" si="2"/>
        <v>139</v>
      </c>
      <c r="E11" s="67">
        <f t="shared" si="0"/>
        <v>1</v>
      </c>
      <c r="F11" s="68">
        <f t="shared" si="3"/>
        <v>99.16</v>
      </c>
      <c r="G11" s="69">
        <f>IF(D11=D10,"",_xlfn.IFNA(VLOOKUP(D11,'인원 입력 기능(국수)'!$A$5:$D$103,4,FALSE),0))</f>
        <v>711</v>
      </c>
      <c r="H11" s="70">
        <f t="shared" si="4"/>
        <v>2.3613652743135934E-3</v>
      </c>
      <c r="I11" s="80">
        <f>SUM($G$7:G11)</f>
        <v>2881</v>
      </c>
      <c r="J11" s="72">
        <f t="shared" si="5"/>
        <v>9.5683450848065565E-3</v>
      </c>
      <c r="K11" s="31"/>
      <c r="L11" s="20" t="str">
        <f t="shared" si="1"/>
        <v/>
      </c>
      <c r="N11" s="1"/>
      <c r="P11" s="1">
        <v>5</v>
      </c>
      <c r="Q11" s="1">
        <f>'표점등급&amp;절평인원 입력 기능'!C8</f>
        <v>94</v>
      </c>
    </row>
    <row r="12" spans="1:17" ht="25" customHeight="1" x14ac:dyDescent="0.45">
      <c r="A12" s="5"/>
      <c r="B12" s="30"/>
      <c r="C12" s="73">
        <v>95</v>
      </c>
      <c r="D12" s="67">
        <f t="shared" si="2"/>
        <v>138</v>
      </c>
      <c r="E12" s="67">
        <f t="shared" si="0"/>
        <v>1</v>
      </c>
      <c r="F12" s="68">
        <f t="shared" si="3"/>
        <v>98.79</v>
      </c>
      <c r="G12" s="69">
        <f>IF(D12=D11,"",_xlfn.IFNA(VLOOKUP(D12,'인원 입력 기능(국수)'!$A$5:$D$103,4,FALSE),0))</f>
        <v>1545</v>
      </c>
      <c r="H12" s="70">
        <f t="shared" si="4"/>
        <v>5.1312367775168798E-3</v>
      </c>
      <c r="I12" s="80">
        <f>SUM($G$7:G12)</f>
        <v>4426</v>
      </c>
      <c r="J12" s="72">
        <f t="shared" si="5"/>
        <v>1.4699581862323438E-2</v>
      </c>
      <c r="K12" s="31"/>
      <c r="L12" s="20" t="str">
        <f t="shared" si="1"/>
        <v/>
      </c>
      <c r="N12" s="1"/>
      <c r="P12" s="1">
        <v>6</v>
      </c>
      <c r="Q12" s="1">
        <f>'표점등급&amp;절평인원 입력 기능'!C9</f>
        <v>82</v>
      </c>
    </row>
    <row r="13" spans="1:17" ht="25" customHeight="1" x14ac:dyDescent="0.45">
      <c r="A13" s="5"/>
      <c r="B13" s="30"/>
      <c r="C13" s="73">
        <v>94</v>
      </c>
      <c r="D13" s="67">
        <f t="shared" si="2"/>
        <v>137</v>
      </c>
      <c r="E13" s="67">
        <f t="shared" si="0"/>
        <v>1</v>
      </c>
      <c r="F13" s="68">
        <f t="shared" si="3"/>
        <v>98.37</v>
      </c>
      <c r="G13" s="69">
        <f>IF(D13=D12,"",_xlfn.IFNA(VLOOKUP(D13,'인원 입력 기능(국수)'!$A$5:$D$103,4,FALSE),0))</f>
        <v>972</v>
      </c>
      <c r="H13" s="70">
        <f t="shared" si="4"/>
        <v>3.2281955648844059E-3</v>
      </c>
      <c r="I13" s="80">
        <f>SUM($G$7:G13)</f>
        <v>5398</v>
      </c>
      <c r="J13" s="72">
        <f t="shared" si="5"/>
        <v>1.7927777427207844E-2</v>
      </c>
      <c r="K13" s="31"/>
      <c r="L13" s="20" t="str">
        <f t="shared" si="1"/>
        <v/>
      </c>
      <c r="N13" s="1"/>
      <c r="P13" s="1">
        <v>7</v>
      </c>
      <c r="Q13" s="1">
        <f>'표점등급&amp;절평인원 입력 기능'!C10</f>
        <v>75</v>
      </c>
    </row>
    <row r="14" spans="1:17" ht="25" customHeight="1" x14ac:dyDescent="0.45">
      <c r="A14" s="5"/>
      <c r="B14" s="30"/>
      <c r="C14" s="73">
        <v>93</v>
      </c>
      <c r="D14" s="67">
        <f t="shared" si="2"/>
        <v>136</v>
      </c>
      <c r="E14" s="67">
        <f t="shared" si="0"/>
        <v>1</v>
      </c>
      <c r="F14" s="68">
        <f t="shared" si="3"/>
        <v>97.91</v>
      </c>
      <c r="G14" s="69">
        <f>IF(D14=D13,"",_xlfn.IFNA(VLOOKUP(D14,'인원 입력 기능(국수)'!$A$5:$D$103,4,FALSE),0))</f>
        <v>1777</v>
      </c>
      <c r="H14" s="70">
        <f t="shared" si="4"/>
        <v>5.9017525913576023E-3</v>
      </c>
      <c r="I14" s="80">
        <f>SUM($G$7:G14)</f>
        <v>7175</v>
      </c>
      <c r="J14" s="72">
        <f t="shared" si="5"/>
        <v>2.3829530018565446E-2</v>
      </c>
      <c r="K14" s="31"/>
      <c r="L14" s="20" t="str">
        <f t="shared" si="1"/>
        <v/>
      </c>
      <c r="N14" s="1"/>
      <c r="P14" s="1">
        <v>8</v>
      </c>
      <c r="Q14" s="1">
        <f>'표점등급&amp;절평인원 입력 기능'!C11</f>
        <v>68</v>
      </c>
    </row>
    <row r="15" spans="1:17" ht="25" customHeight="1" x14ac:dyDescent="0.45">
      <c r="A15" s="5"/>
      <c r="B15" s="30"/>
      <c r="C15" s="73">
        <v>92</v>
      </c>
      <c r="D15" s="67">
        <f t="shared" si="2"/>
        <v>135</v>
      </c>
      <c r="E15" s="67">
        <f t="shared" si="0"/>
        <v>1</v>
      </c>
      <c r="F15" s="68">
        <f t="shared" si="3"/>
        <v>97.35</v>
      </c>
      <c r="G15" s="69">
        <f>IF(D15=D14,"",_xlfn.IFNA(VLOOKUP(D15,'인원 입력 기능(국수)'!$A$5:$D$103,4,FALSE),0))</f>
        <v>1612</v>
      </c>
      <c r="H15" s="70">
        <f t="shared" si="4"/>
        <v>5.3537564306519164E-3</v>
      </c>
      <c r="I15" s="80">
        <f>SUM($G$7:G15)</f>
        <v>8787</v>
      </c>
      <c r="J15" s="72">
        <f t="shared" si="5"/>
        <v>2.918328644921736E-2</v>
      </c>
      <c r="K15" s="31"/>
      <c r="L15" s="20" t="str">
        <f t="shared" si="1"/>
        <v/>
      </c>
      <c r="N15" s="1"/>
      <c r="P15" s="1">
        <v>9</v>
      </c>
      <c r="Q15" s="1"/>
    </row>
    <row r="16" spans="1:17" ht="25" customHeight="1" x14ac:dyDescent="0.45">
      <c r="A16" s="5"/>
      <c r="B16" s="30"/>
      <c r="C16" s="81">
        <v>91</v>
      </c>
      <c r="D16" s="178">
        <f t="shared" si="2"/>
        <v>134</v>
      </c>
      <c r="E16" s="180">
        <f t="shared" si="0"/>
        <v>1</v>
      </c>
      <c r="F16" s="182">
        <f t="shared" si="3"/>
        <v>96.4</v>
      </c>
      <c r="G16" s="184">
        <f>IF(D16=D15,"",_xlfn.IFNA(VLOOKUP(D16,'인원 입력 기능(국수)'!$A$5:$D$103,4,FALSE),0))</f>
        <v>4077</v>
      </c>
      <c r="H16" s="186">
        <f t="shared" si="4"/>
        <v>1.3540486952709593E-2</v>
      </c>
      <c r="I16" s="174">
        <f>SUM($G$7:G16)</f>
        <v>12864</v>
      </c>
      <c r="J16" s="176">
        <f t="shared" si="5"/>
        <v>4.2723773401926957E-2</v>
      </c>
      <c r="K16" s="31"/>
      <c r="L16" s="20" t="str">
        <f t="shared" si="1"/>
        <v/>
      </c>
      <c r="N16" s="1"/>
    </row>
    <row r="17" spans="1:17" ht="25" customHeight="1" x14ac:dyDescent="0.45">
      <c r="A17" s="5"/>
      <c r="B17" s="30"/>
      <c r="C17" s="81">
        <v>90</v>
      </c>
      <c r="D17" s="179"/>
      <c r="E17" s="181"/>
      <c r="F17" s="183"/>
      <c r="G17" s="185"/>
      <c r="H17" s="187"/>
      <c r="I17" s="175"/>
      <c r="J17" s="177"/>
      <c r="K17" s="31"/>
      <c r="L17" s="20" t="str">
        <f t="shared" si="1"/>
        <v>경고</v>
      </c>
      <c r="N17" s="1"/>
      <c r="Q17" s="1">
        <f>Q7*H3*H4*J3*IFERROR(IF(J107=1, 1, 0), 0)</f>
        <v>47411018684.00592</v>
      </c>
    </row>
    <row r="18" spans="1:17" ht="25" customHeight="1" x14ac:dyDescent="0.45">
      <c r="A18" s="5"/>
      <c r="B18" s="30"/>
      <c r="C18" s="81">
        <v>89</v>
      </c>
      <c r="D18" s="67">
        <f t="shared" si="2"/>
        <v>133</v>
      </c>
      <c r="E18" s="82">
        <f t="shared" si="0"/>
        <v>2</v>
      </c>
      <c r="F18" s="68">
        <f t="shared" si="3"/>
        <v>95.4</v>
      </c>
      <c r="G18" s="69">
        <f>IF(D18=D17,"",_xlfn.IFNA(VLOOKUP(D18,'인원 입력 기능(국수)'!$A$5:$D$103,4,FALSE),0))</f>
        <v>2000</v>
      </c>
      <c r="H18" s="70">
        <f t="shared" si="4"/>
        <v>6.6423777055234692E-3</v>
      </c>
      <c r="I18" s="83">
        <f>SUM($G$7:G18)</f>
        <v>14864</v>
      </c>
      <c r="J18" s="72">
        <f t="shared" si="5"/>
        <v>4.9366151107450421E-2</v>
      </c>
      <c r="K18" s="31"/>
      <c r="L18" s="20" t="str">
        <f t="shared" si="1"/>
        <v/>
      </c>
      <c r="N18" s="1"/>
    </row>
    <row r="19" spans="1:17" ht="25" customHeight="1" x14ac:dyDescent="0.45">
      <c r="A19" s="5"/>
      <c r="B19" s="30"/>
      <c r="C19" s="81">
        <v>88</v>
      </c>
      <c r="D19" s="67">
        <f t="shared" si="2"/>
        <v>132</v>
      </c>
      <c r="E19" s="82">
        <f t="shared" si="0"/>
        <v>2</v>
      </c>
      <c r="F19" s="68">
        <f t="shared" si="3"/>
        <v>94.65</v>
      </c>
      <c r="G19" s="69">
        <f>IF(D19=D18,"",_xlfn.IFNA(VLOOKUP(D19,'인원 입력 기능(국수)'!$A$5:$D$103,4,FALSE),0))</f>
        <v>2487</v>
      </c>
      <c r="H19" s="70">
        <f t="shared" si="4"/>
        <v>8.2597966768184344E-3</v>
      </c>
      <c r="I19" s="83">
        <f>SUM($G$7:G19)</f>
        <v>17351</v>
      </c>
      <c r="J19" s="72">
        <f t="shared" si="5"/>
        <v>5.7625947784268855E-2</v>
      </c>
      <c r="K19" s="31"/>
      <c r="L19" s="20" t="str">
        <f t="shared" si="1"/>
        <v/>
      </c>
      <c r="N19" s="1"/>
    </row>
    <row r="20" spans="1:17" ht="25" customHeight="1" x14ac:dyDescent="0.45">
      <c r="A20" s="5"/>
      <c r="B20" s="30"/>
      <c r="C20" s="81">
        <v>87</v>
      </c>
      <c r="D20" s="67">
        <f t="shared" si="2"/>
        <v>131</v>
      </c>
      <c r="E20" s="82">
        <f t="shared" si="0"/>
        <v>2</v>
      </c>
      <c r="F20" s="68">
        <f t="shared" si="3"/>
        <v>93.83</v>
      </c>
      <c r="G20" s="69">
        <f>IF(D20=D19,"",_xlfn.IFNA(VLOOKUP(D20,'인원 입력 기능(국수)'!$A$5:$D$103,4,FALSE),0))</f>
        <v>2463</v>
      </c>
      <c r="H20" s="70">
        <f t="shared" si="4"/>
        <v>8.180088144352152E-3</v>
      </c>
      <c r="I20" s="83">
        <f>SUM($G$7:G20)</f>
        <v>19814</v>
      </c>
      <c r="J20" s="72">
        <f t="shared" si="5"/>
        <v>6.5806035928621012E-2</v>
      </c>
      <c r="K20" s="31"/>
      <c r="L20" s="20" t="str">
        <f t="shared" si="1"/>
        <v/>
      </c>
      <c r="N20" s="1"/>
    </row>
    <row r="21" spans="1:17" ht="25" customHeight="1" x14ac:dyDescent="0.45">
      <c r="A21" s="5"/>
      <c r="B21" s="30"/>
      <c r="C21" s="81">
        <v>86</v>
      </c>
      <c r="D21" s="67">
        <f t="shared" si="2"/>
        <v>130</v>
      </c>
      <c r="E21" s="82">
        <f t="shared" si="0"/>
        <v>2</v>
      </c>
      <c r="F21" s="68">
        <f t="shared" si="3"/>
        <v>92.98</v>
      </c>
      <c r="G21" s="69">
        <f>IF(D21=D20,"",_xlfn.IFNA(VLOOKUP(D21,'인원 입력 기능(국수)'!$A$5:$D$103,4,FALSE),0))</f>
        <v>2649</v>
      </c>
      <c r="H21" s="70">
        <f t="shared" si="4"/>
        <v>8.7978292709658349E-3</v>
      </c>
      <c r="I21" s="83">
        <f>SUM($G$7:G21)</f>
        <v>22463</v>
      </c>
      <c r="J21" s="72">
        <f t="shared" si="5"/>
        <v>7.4603865199586838E-2</v>
      </c>
      <c r="K21" s="31"/>
      <c r="L21" s="20" t="str">
        <f t="shared" si="1"/>
        <v/>
      </c>
      <c r="N21" s="1"/>
    </row>
    <row r="22" spans="1:17" ht="25" customHeight="1" x14ac:dyDescent="0.45">
      <c r="A22" s="5"/>
      <c r="B22" s="30"/>
      <c r="C22" s="81">
        <v>85</v>
      </c>
      <c r="D22" s="67">
        <f t="shared" si="2"/>
        <v>129</v>
      </c>
      <c r="E22" s="82">
        <f t="shared" si="0"/>
        <v>2</v>
      </c>
      <c r="F22" s="68">
        <f t="shared" si="3"/>
        <v>92.09</v>
      </c>
      <c r="G22" s="69">
        <f>IF(D22=D21,"",_xlfn.IFNA(VLOOKUP(D22,'인원 입력 기능(국수)'!$A$5:$D$103,4,FALSE),0))</f>
        <v>2712</v>
      </c>
      <c r="H22" s="70">
        <f t="shared" si="4"/>
        <v>9.0070641686898247E-3</v>
      </c>
      <c r="I22" s="83">
        <f>SUM($G$7:G22)</f>
        <v>25175</v>
      </c>
      <c r="J22" s="72">
        <f t="shared" si="5"/>
        <v>8.3610929368276674E-2</v>
      </c>
      <c r="K22" s="31"/>
      <c r="L22" s="20" t="str">
        <f t="shared" si="1"/>
        <v/>
      </c>
      <c r="N22" s="1"/>
    </row>
    <row r="23" spans="1:17" ht="25" customHeight="1" x14ac:dyDescent="0.45">
      <c r="A23" s="5"/>
      <c r="B23" s="30"/>
      <c r="C23" s="81">
        <v>84</v>
      </c>
      <c r="D23" s="67">
        <f t="shared" si="2"/>
        <v>128</v>
      </c>
      <c r="E23" s="82">
        <f t="shared" si="0"/>
        <v>2</v>
      </c>
      <c r="F23" s="68">
        <f t="shared" si="3"/>
        <v>91.17</v>
      </c>
      <c r="G23" s="69">
        <f>IF(D23=D22,"",_xlfn.IFNA(VLOOKUP(D23,'인원 입력 기능(국수)'!$A$5:$D$103,4,FALSE),0))</f>
        <v>2819</v>
      </c>
      <c r="H23" s="70">
        <f t="shared" si="4"/>
        <v>9.3624313759353307E-3</v>
      </c>
      <c r="I23" s="83">
        <f>SUM($G$7:G23)</f>
        <v>27994</v>
      </c>
      <c r="J23" s="72">
        <f t="shared" si="5"/>
        <v>9.2973360744212002E-2</v>
      </c>
      <c r="K23" s="31"/>
      <c r="L23" s="20" t="str">
        <f t="shared" si="1"/>
        <v/>
      </c>
      <c r="N23" s="1"/>
    </row>
    <row r="24" spans="1:17" ht="25" customHeight="1" x14ac:dyDescent="0.45">
      <c r="A24" s="5"/>
      <c r="B24" s="30"/>
      <c r="C24" s="81">
        <v>83</v>
      </c>
      <c r="D24" s="67">
        <f t="shared" si="2"/>
        <v>127</v>
      </c>
      <c r="E24" s="82">
        <f t="shared" si="0"/>
        <v>2</v>
      </c>
      <c r="F24" s="68">
        <f t="shared" si="3"/>
        <v>90.19</v>
      </c>
      <c r="G24" s="69">
        <f>IF(D24=D23,"",_xlfn.IFNA(VLOOKUP(D24,'인원 입력 기능(국수)'!$A$5:$D$103,4,FALSE),0))</f>
        <v>3074</v>
      </c>
      <c r="H24" s="70">
        <f t="shared" si="4"/>
        <v>1.0209334533389573E-2</v>
      </c>
      <c r="I24" s="83">
        <f>SUM($G$7:G24)</f>
        <v>31068</v>
      </c>
      <c r="J24" s="72">
        <f t="shared" si="5"/>
        <v>0.10318269527760157</v>
      </c>
      <c r="K24" s="31"/>
      <c r="L24" s="20" t="str">
        <f t="shared" si="1"/>
        <v/>
      </c>
      <c r="N24" s="1"/>
    </row>
    <row r="25" spans="1:17" ht="25" customHeight="1" x14ac:dyDescent="0.45">
      <c r="A25" s="5"/>
      <c r="B25" s="30"/>
      <c r="C25" s="81">
        <v>82</v>
      </c>
      <c r="D25" s="67">
        <f t="shared" si="2"/>
        <v>126</v>
      </c>
      <c r="E25" s="82">
        <f t="shared" si="0"/>
        <v>2</v>
      </c>
      <c r="F25" s="68">
        <f t="shared" si="3"/>
        <v>89.16</v>
      </c>
      <c r="G25" s="69">
        <f>IF(D25=D24,"",_xlfn.IFNA(VLOOKUP(D25,'인원 입력 기능(국수)'!$A$5:$D$103,4,FALSE),0))</f>
        <v>3114</v>
      </c>
      <c r="H25" s="70">
        <f t="shared" si="4"/>
        <v>1.0342182087500042E-2</v>
      </c>
      <c r="I25" s="83">
        <f>SUM($G$7:G25)</f>
        <v>34182</v>
      </c>
      <c r="J25" s="72">
        <f t="shared" si="5"/>
        <v>0.11352487736510161</v>
      </c>
      <c r="K25" s="31"/>
      <c r="L25" s="20" t="str">
        <f t="shared" si="1"/>
        <v/>
      </c>
      <c r="N25" s="1"/>
    </row>
    <row r="26" spans="1:17" ht="25" customHeight="1" x14ac:dyDescent="0.45">
      <c r="A26" s="5"/>
      <c r="B26" s="30"/>
      <c r="C26" s="81">
        <v>81</v>
      </c>
      <c r="D26" s="178">
        <f t="shared" si="2"/>
        <v>125</v>
      </c>
      <c r="E26" s="180">
        <f t="shared" si="0"/>
        <v>3</v>
      </c>
      <c r="F26" s="182">
        <f t="shared" si="3"/>
        <v>87.58</v>
      </c>
      <c r="G26" s="184">
        <f>IF(D26=D25,"",_xlfn.IFNA(VLOOKUP(D26,'인원 입력 기능(국수)'!$A$5:$D$103,4,FALSE),0))</f>
        <v>6440</v>
      </c>
      <c r="H26" s="186">
        <f t="shared" si="4"/>
        <v>2.1388456211785572E-2</v>
      </c>
      <c r="I26" s="174">
        <f>SUM($G$7:G26)</f>
        <v>40622</v>
      </c>
      <c r="J26" s="176">
        <f t="shared" si="5"/>
        <v>0.13491333357688717</v>
      </c>
      <c r="K26" s="31"/>
      <c r="L26" s="20" t="str">
        <f t="shared" si="1"/>
        <v/>
      </c>
      <c r="N26" s="1"/>
    </row>
    <row r="27" spans="1:17" ht="25" customHeight="1" x14ac:dyDescent="0.45">
      <c r="A27" s="5"/>
      <c r="B27" s="30"/>
      <c r="C27" s="81">
        <v>80</v>
      </c>
      <c r="D27" s="179"/>
      <c r="E27" s="181"/>
      <c r="F27" s="183"/>
      <c r="G27" s="185"/>
      <c r="H27" s="187"/>
      <c r="I27" s="175"/>
      <c r="J27" s="177"/>
      <c r="K27" s="31"/>
      <c r="L27" s="20" t="str">
        <f t="shared" si="1"/>
        <v>경고</v>
      </c>
      <c r="N27" s="1"/>
    </row>
    <row r="28" spans="1:17" ht="25" customHeight="1" x14ac:dyDescent="0.45">
      <c r="A28" s="5"/>
      <c r="B28" s="30"/>
      <c r="C28" s="81">
        <v>79</v>
      </c>
      <c r="D28" s="67">
        <f t="shared" si="2"/>
        <v>124</v>
      </c>
      <c r="E28" s="82">
        <f t="shared" si="0"/>
        <v>3</v>
      </c>
      <c r="F28" s="68">
        <f t="shared" si="3"/>
        <v>85.95</v>
      </c>
      <c r="G28" s="69">
        <f>IF(D28=D27,"",_xlfn.IFNA(VLOOKUP(D28,'인원 입력 기능(국수)'!$A$5:$D$103,4,FALSE),0))</f>
        <v>3351</v>
      </c>
      <c r="H28" s="70">
        <f t="shared" si="4"/>
        <v>1.1129303845604573E-2</v>
      </c>
      <c r="I28" s="83">
        <f>SUM($G$7:G28)</f>
        <v>43973</v>
      </c>
      <c r="J28" s="72">
        <f t="shared" si="5"/>
        <v>0.14604263742249177</v>
      </c>
      <c r="K28" s="31"/>
      <c r="L28" s="20" t="str">
        <f t="shared" si="1"/>
        <v/>
      </c>
      <c r="N28" s="1"/>
    </row>
    <row r="29" spans="1:17" ht="25" customHeight="1" x14ac:dyDescent="0.45">
      <c r="A29" s="5"/>
      <c r="B29" s="30"/>
      <c r="C29" s="81">
        <v>78</v>
      </c>
      <c r="D29" s="67">
        <f t="shared" si="2"/>
        <v>123</v>
      </c>
      <c r="E29" s="82">
        <f t="shared" si="0"/>
        <v>3</v>
      </c>
      <c r="F29" s="68">
        <f t="shared" si="3"/>
        <v>84.82</v>
      </c>
      <c r="G29" s="69">
        <f>IF(D29=D28,"",_xlfn.IFNA(VLOOKUP(D29,'인원 입력 기능(국수)'!$A$5:$D$103,4,FALSE),0))</f>
        <v>3443</v>
      </c>
      <c r="H29" s="70">
        <f t="shared" si="4"/>
        <v>1.1434853220058652E-2</v>
      </c>
      <c r="I29" s="83">
        <f>SUM($G$7:G29)</f>
        <v>47416</v>
      </c>
      <c r="J29" s="72">
        <f t="shared" si="5"/>
        <v>0.1574774906425504</v>
      </c>
      <c r="K29" s="31"/>
      <c r="L29" s="20" t="str">
        <f t="shared" si="1"/>
        <v/>
      </c>
      <c r="N29" s="1"/>
    </row>
    <row r="30" spans="1:17" ht="25" customHeight="1" x14ac:dyDescent="0.45">
      <c r="A30" s="5"/>
      <c r="B30" s="30"/>
      <c r="C30" s="81">
        <v>77</v>
      </c>
      <c r="D30" s="67">
        <f t="shared" si="2"/>
        <v>122</v>
      </c>
      <c r="E30" s="82">
        <f t="shared" si="0"/>
        <v>3</v>
      </c>
      <c r="F30" s="68">
        <f t="shared" si="3"/>
        <v>83.65</v>
      </c>
      <c r="G30" s="69">
        <f>IF(D30=D29,"",_xlfn.IFNA(VLOOKUP(D30,'인원 입력 기능(국수)'!$A$5:$D$103,4,FALSE),0))</f>
        <v>3635</v>
      </c>
      <c r="H30" s="70">
        <f t="shared" si="4"/>
        <v>1.2072521479788906E-2</v>
      </c>
      <c r="I30" s="83">
        <f>SUM($G$7:G30)</f>
        <v>51051</v>
      </c>
      <c r="J30" s="72">
        <f t="shared" si="5"/>
        <v>0.16955001212233931</v>
      </c>
      <c r="K30" s="31"/>
      <c r="L30" s="20" t="str">
        <f t="shared" si="1"/>
        <v/>
      </c>
      <c r="N30" s="1"/>
    </row>
    <row r="31" spans="1:17" ht="25" customHeight="1" x14ac:dyDescent="0.45">
      <c r="A31" s="5"/>
      <c r="B31" s="30"/>
      <c r="C31" s="81">
        <v>76</v>
      </c>
      <c r="D31" s="67">
        <f t="shared" si="2"/>
        <v>121</v>
      </c>
      <c r="E31" s="82">
        <f t="shared" si="0"/>
        <v>3</v>
      </c>
      <c r="F31" s="68">
        <f t="shared" si="3"/>
        <v>82.43</v>
      </c>
      <c r="G31" s="69">
        <f>IF(D31=D30,"",_xlfn.IFNA(VLOOKUP(D31,'인원 입력 기능(국수)'!$A$5:$D$103,4,FALSE),0))</f>
        <v>3689</v>
      </c>
      <c r="H31" s="70">
        <f t="shared" si="4"/>
        <v>1.2251865677838038E-2</v>
      </c>
      <c r="I31" s="83">
        <f>SUM($G$7:G31)</f>
        <v>54740</v>
      </c>
      <c r="J31" s="72">
        <f t="shared" si="5"/>
        <v>0.18180187780017734</v>
      </c>
      <c r="K31" s="31"/>
      <c r="L31" s="20" t="str">
        <f t="shared" si="1"/>
        <v/>
      </c>
      <c r="N31" s="1"/>
    </row>
    <row r="32" spans="1:17" ht="25" customHeight="1" x14ac:dyDescent="0.45">
      <c r="A32" s="5"/>
      <c r="B32" s="30"/>
      <c r="C32" s="81">
        <v>75</v>
      </c>
      <c r="D32" s="67">
        <f t="shared" si="2"/>
        <v>120</v>
      </c>
      <c r="E32" s="82">
        <f t="shared" si="0"/>
        <v>3</v>
      </c>
      <c r="F32" s="68">
        <f t="shared" si="3"/>
        <v>81.19</v>
      </c>
      <c r="G32" s="69">
        <f>IF(D32=D31,"",_xlfn.IFNA(VLOOKUP(D32,'인원 입력 기능(국수)'!$A$5:$D$103,4,FALSE),0))</f>
        <v>3785</v>
      </c>
      <c r="H32" s="70">
        <f t="shared" si="4"/>
        <v>1.2570699807703166E-2</v>
      </c>
      <c r="I32" s="83">
        <f>SUM($G$7:G32)</f>
        <v>58525</v>
      </c>
      <c r="J32" s="72">
        <f t="shared" si="5"/>
        <v>0.19437257760788051</v>
      </c>
      <c r="K32" s="31"/>
      <c r="L32" s="20" t="str">
        <f t="shared" si="1"/>
        <v/>
      </c>
      <c r="N32" s="1"/>
    </row>
    <row r="33" spans="1:14" ht="25" customHeight="1" x14ac:dyDescent="0.45">
      <c r="A33" s="5"/>
      <c r="B33" s="30"/>
      <c r="C33" s="81">
        <v>74</v>
      </c>
      <c r="D33" s="67">
        <f t="shared" si="2"/>
        <v>119</v>
      </c>
      <c r="E33" s="82">
        <f t="shared" si="0"/>
        <v>3</v>
      </c>
      <c r="F33" s="68">
        <f t="shared" si="3"/>
        <v>79.91</v>
      </c>
      <c r="G33" s="69">
        <f>IF(D33=D32,"",_xlfn.IFNA(VLOOKUP(D33,'인원 입력 기능(국수)'!$A$5:$D$103,4,FALSE),0))</f>
        <v>3923</v>
      </c>
      <c r="H33" s="70">
        <f t="shared" si="4"/>
        <v>1.3029023869384284E-2</v>
      </c>
      <c r="I33" s="83">
        <f>SUM($G$7:G33)</f>
        <v>62448</v>
      </c>
      <c r="J33" s="72">
        <f t="shared" si="5"/>
        <v>0.2074016014772648</v>
      </c>
      <c r="K33" s="31"/>
      <c r="L33" s="20" t="str">
        <f t="shared" si="1"/>
        <v/>
      </c>
      <c r="N33" s="1"/>
    </row>
    <row r="34" spans="1:14" ht="25" customHeight="1" x14ac:dyDescent="0.45">
      <c r="A34" s="5"/>
      <c r="B34" s="30"/>
      <c r="C34" s="81">
        <v>73</v>
      </c>
      <c r="D34" s="67">
        <f t="shared" si="2"/>
        <v>118</v>
      </c>
      <c r="E34" s="82">
        <f t="shared" si="0"/>
        <v>3</v>
      </c>
      <c r="F34" s="68">
        <f t="shared" si="3"/>
        <v>78.62</v>
      </c>
      <c r="G34" s="69">
        <f>IF(D34=D33,"",_xlfn.IFNA(VLOOKUP(D34,'인원 입력 기능(국수)'!$A$5:$D$103,4,FALSE),0))</f>
        <v>3862</v>
      </c>
      <c r="H34" s="70">
        <f t="shared" si="4"/>
        <v>1.2826431349365819E-2</v>
      </c>
      <c r="I34" s="83">
        <f>SUM($G$7:G34)</f>
        <v>66310</v>
      </c>
      <c r="J34" s="72">
        <f t="shared" si="5"/>
        <v>0.22022803282663062</v>
      </c>
      <c r="K34" s="31"/>
      <c r="L34" s="20" t="str">
        <f t="shared" si="1"/>
        <v/>
      </c>
      <c r="N34" s="1"/>
    </row>
    <row r="35" spans="1:14" ht="25" customHeight="1" x14ac:dyDescent="0.45">
      <c r="A35" s="5"/>
      <c r="B35" s="30"/>
      <c r="C35" s="81">
        <v>72</v>
      </c>
      <c r="D35" s="178">
        <f t="shared" si="2"/>
        <v>117</v>
      </c>
      <c r="E35" s="180">
        <f t="shared" si="0"/>
        <v>3</v>
      </c>
      <c r="F35" s="182">
        <f t="shared" si="3"/>
        <v>76.650000000000006</v>
      </c>
      <c r="G35" s="184">
        <f>IF(D35=D34,"",_xlfn.IFNA(VLOOKUP(D35,'인원 입력 기능(국수)'!$A$5:$D$103,4,FALSE),0))</f>
        <v>7992</v>
      </c>
      <c r="H35" s="186">
        <f t="shared" si="4"/>
        <v>2.6542941311271783E-2</v>
      </c>
      <c r="I35" s="174">
        <f>SUM($G$7:G35)</f>
        <v>74302</v>
      </c>
      <c r="J35" s="176">
        <f t="shared" si="5"/>
        <v>0.24677097413790242</v>
      </c>
      <c r="K35" s="31"/>
      <c r="L35" s="20" t="str">
        <f t="shared" si="1"/>
        <v/>
      </c>
      <c r="N35" s="1"/>
    </row>
    <row r="36" spans="1:14" ht="25" customHeight="1" x14ac:dyDescent="0.45">
      <c r="A36" s="5"/>
      <c r="B36" s="30"/>
      <c r="C36" s="81">
        <v>71</v>
      </c>
      <c r="D36" s="179"/>
      <c r="E36" s="181"/>
      <c r="F36" s="183"/>
      <c r="G36" s="185"/>
      <c r="H36" s="187"/>
      <c r="I36" s="175"/>
      <c r="J36" s="177"/>
      <c r="K36" s="31"/>
      <c r="L36" s="20" t="str">
        <f t="shared" si="1"/>
        <v>경고</v>
      </c>
      <c r="N36" s="1"/>
    </row>
    <row r="37" spans="1:14" ht="25" customHeight="1" x14ac:dyDescent="0.45">
      <c r="A37" s="5"/>
      <c r="B37" s="30"/>
      <c r="C37" s="81">
        <v>70</v>
      </c>
      <c r="D37" s="67">
        <f t="shared" si="2"/>
        <v>116</v>
      </c>
      <c r="E37" s="82">
        <f t="shared" si="0"/>
        <v>4</v>
      </c>
      <c r="F37" s="68">
        <f t="shared" si="3"/>
        <v>74.64</v>
      </c>
      <c r="G37" s="69">
        <f>IF(D37=D36,"",_xlfn.IFNA(VLOOKUP(D37,'인원 입력 기능(국수)'!$A$5:$D$103,4,FALSE),0))</f>
        <v>4128</v>
      </c>
      <c r="H37" s="70">
        <f t="shared" si="4"/>
        <v>1.370986758420044E-2</v>
      </c>
      <c r="I37" s="83">
        <f>SUM($G$7:G37)</f>
        <v>78430</v>
      </c>
      <c r="J37" s="72">
        <f t="shared" si="5"/>
        <v>0.26048084172210284</v>
      </c>
      <c r="K37" s="31"/>
      <c r="L37" s="20" t="str">
        <f t="shared" si="1"/>
        <v/>
      </c>
      <c r="N37" s="1"/>
    </row>
    <row r="38" spans="1:14" ht="25" customHeight="1" x14ac:dyDescent="0.45">
      <c r="A38" s="5"/>
      <c r="B38" s="30"/>
      <c r="C38" s="81">
        <v>69</v>
      </c>
      <c r="D38" s="67">
        <f t="shared" si="2"/>
        <v>115</v>
      </c>
      <c r="E38" s="82">
        <f t="shared" si="0"/>
        <v>4</v>
      </c>
      <c r="F38" s="68">
        <f t="shared" si="3"/>
        <v>73.27</v>
      </c>
      <c r="G38" s="69">
        <f>IF(D38=D37,"",_xlfn.IFNA(VLOOKUP(D38,'인원 입력 기능(국수)'!$A$5:$D$103,4,FALSE),0))</f>
        <v>4134</v>
      </c>
      <c r="H38" s="70">
        <f t="shared" si="4"/>
        <v>1.3729794717317011E-2</v>
      </c>
      <c r="I38" s="83">
        <f>SUM($G$7:G38)</f>
        <v>82564</v>
      </c>
      <c r="J38" s="72">
        <f t="shared" si="5"/>
        <v>0.27421063643941984</v>
      </c>
      <c r="K38" s="31"/>
      <c r="L38" s="20" t="str">
        <f t="shared" si="1"/>
        <v/>
      </c>
      <c r="N38" s="1"/>
    </row>
    <row r="39" spans="1:14" ht="25" customHeight="1" x14ac:dyDescent="0.45">
      <c r="A39" s="5"/>
      <c r="B39" s="30"/>
      <c r="C39" s="81">
        <v>68</v>
      </c>
      <c r="D39" s="67">
        <f t="shared" si="2"/>
        <v>114</v>
      </c>
      <c r="E39" s="82">
        <f t="shared" ref="E39:E70" si="6">IF(ROUND(D39,0)&gt;=$Q$7,1,IF(ROUND(D39,0)&gt;=$Q$8,2,IF(ROUND(D39,0)&gt;=$Q$9,3,IF(ROUND(D39,0)&gt;=$Q$10,4,IF(ROUND(D39,0)&gt;=$Q$11,5,IF(ROUND(D39,0)&gt;=$Q$12,6,IF(ROUND(D39,0)&gt;=$Q$13,7,IF(ROUND(D39,0)&gt;=$Q$14,8,9))))))))</f>
        <v>4</v>
      </c>
      <c r="F39" s="68">
        <f t="shared" si="3"/>
        <v>71.87</v>
      </c>
      <c r="G39" s="69">
        <f>IF(D39=D38,"",_xlfn.IFNA(VLOOKUP(D39,'인원 입력 기능(국수)'!$A$5:$D$103,4,FALSE),0))</f>
        <v>4243</v>
      </c>
      <c r="H39" s="70">
        <f t="shared" si="4"/>
        <v>1.409180430226804E-2</v>
      </c>
      <c r="I39" s="83">
        <f>SUM($G$7:G39)</f>
        <v>86807</v>
      </c>
      <c r="J39" s="72">
        <f t="shared" si="5"/>
        <v>0.28830244074168787</v>
      </c>
      <c r="K39" s="31"/>
      <c r="L39" s="20" t="str">
        <f t="shared" si="1"/>
        <v/>
      </c>
      <c r="N39" s="1"/>
    </row>
    <row r="40" spans="1:14" ht="25" customHeight="1" x14ac:dyDescent="0.45">
      <c r="A40" s="5"/>
      <c r="B40" s="30"/>
      <c r="C40" s="81">
        <v>67</v>
      </c>
      <c r="D40" s="67">
        <f t="shared" si="2"/>
        <v>113</v>
      </c>
      <c r="E40" s="82">
        <f t="shared" si="6"/>
        <v>4</v>
      </c>
      <c r="F40" s="68">
        <f t="shared" si="3"/>
        <v>70.459999999999994</v>
      </c>
      <c r="G40" s="69">
        <f>IF(D40=D39,"",_xlfn.IFNA(VLOOKUP(D40,'인원 입력 기능(국수)'!$A$5:$D$103,4,FALSE),0))</f>
        <v>4267</v>
      </c>
      <c r="H40" s="70">
        <f t="shared" si="4"/>
        <v>1.4171512834734322E-2</v>
      </c>
      <c r="I40" s="83">
        <f>SUM($G$7:G40)</f>
        <v>91074</v>
      </c>
      <c r="J40" s="72">
        <f t="shared" si="5"/>
        <v>0.30247395357642221</v>
      </c>
      <c r="K40" s="31"/>
      <c r="L40" s="20" t="str">
        <f t="shared" si="1"/>
        <v/>
      </c>
      <c r="N40" s="1"/>
    </row>
    <row r="41" spans="1:14" ht="25" customHeight="1" x14ac:dyDescent="0.45">
      <c r="A41" s="5"/>
      <c r="B41" s="30"/>
      <c r="C41" s="81">
        <v>66</v>
      </c>
      <c r="D41" s="67">
        <f t="shared" si="2"/>
        <v>112</v>
      </c>
      <c r="E41" s="82">
        <f t="shared" si="6"/>
        <v>4</v>
      </c>
      <c r="F41" s="68">
        <f t="shared" si="3"/>
        <v>69.03</v>
      </c>
      <c r="G41" s="69">
        <f>IF(D41=D40,"",_xlfn.IFNA(VLOOKUP(D41,'인원 입력 기능(국수)'!$A$5:$D$103,4,FALSE),0))</f>
        <v>4346</v>
      </c>
      <c r="H41" s="70">
        <f t="shared" si="4"/>
        <v>1.4433886754102499E-2</v>
      </c>
      <c r="I41" s="83">
        <f>SUM($G$7:G41)</f>
        <v>95420</v>
      </c>
      <c r="J41" s="72">
        <f t="shared" si="5"/>
        <v>0.31690784033052471</v>
      </c>
      <c r="K41" s="31"/>
      <c r="L41" s="20" t="str">
        <f t="shared" ref="L41:L72" si="7">IF(ABS((C41-$H$3)/$H$4*20+100-D41)&gt;0.49, "경고", "")</f>
        <v/>
      </c>
      <c r="N41" s="1"/>
    </row>
    <row r="42" spans="1:14" ht="25" customHeight="1" x14ac:dyDescent="0.45">
      <c r="A42" s="5"/>
      <c r="B42" s="30"/>
      <c r="C42" s="81">
        <v>65</v>
      </c>
      <c r="D42" s="67">
        <f t="shared" si="2"/>
        <v>111</v>
      </c>
      <c r="E42" s="82">
        <f t="shared" si="6"/>
        <v>4</v>
      </c>
      <c r="F42" s="68">
        <f t="shared" si="3"/>
        <v>67.58</v>
      </c>
      <c r="G42" s="69">
        <f>IF(D42=D41,"",_xlfn.IFNA(VLOOKUP(D42,'인원 입력 기능(국수)'!$A$5:$D$103,4,FALSE),0))</f>
        <v>4384</v>
      </c>
      <c r="H42" s="70">
        <f t="shared" si="4"/>
        <v>1.4560091930507444E-2</v>
      </c>
      <c r="I42" s="83">
        <f>SUM($G$7:G42)</f>
        <v>99804</v>
      </c>
      <c r="J42" s="72">
        <f t="shared" si="5"/>
        <v>0.33146793226103216</v>
      </c>
      <c r="K42" s="31"/>
      <c r="L42" s="20" t="str">
        <f t="shared" si="7"/>
        <v/>
      </c>
      <c r="N42" s="1"/>
    </row>
    <row r="43" spans="1:14" ht="25" customHeight="1" x14ac:dyDescent="0.45">
      <c r="A43" s="5"/>
      <c r="B43" s="30"/>
      <c r="C43" s="81">
        <v>64</v>
      </c>
      <c r="D43" s="67">
        <f t="shared" si="2"/>
        <v>110</v>
      </c>
      <c r="E43" s="82">
        <f t="shared" si="6"/>
        <v>4</v>
      </c>
      <c r="F43" s="68">
        <f t="shared" si="3"/>
        <v>66.14</v>
      </c>
      <c r="G43" s="69">
        <f>IF(D43=D42,"",_xlfn.IFNA(VLOOKUP(D43,'인원 입력 기능(국수)'!$A$5:$D$103,4,FALSE),0))</f>
        <v>4277</v>
      </c>
      <c r="H43" s="70">
        <f t="shared" si="4"/>
        <v>1.4204724723261938E-2</v>
      </c>
      <c r="I43" s="83">
        <f>SUM($G$7:G43)</f>
        <v>104081</v>
      </c>
      <c r="J43" s="72">
        <f t="shared" si="5"/>
        <v>0.34567265698429411</v>
      </c>
      <c r="K43" s="31"/>
      <c r="L43" s="20" t="str">
        <f t="shared" si="7"/>
        <v/>
      </c>
      <c r="N43" s="1"/>
    </row>
    <row r="44" spans="1:14" ht="25" customHeight="1" x14ac:dyDescent="0.45">
      <c r="A44" s="5"/>
      <c r="B44" s="30"/>
      <c r="C44" s="81">
        <v>63</v>
      </c>
      <c r="D44" s="178">
        <f t="shared" si="2"/>
        <v>109</v>
      </c>
      <c r="E44" s="180">
        <f t="shared" si="6"/>
        <v>4</v>
      </c>
      <c r="F44" s="182">
        <f t="shared" si="3"/>
        <v>63.97</v>
      </c>
      <c r="G44" s="184">
        <f>IF(D44=D43,"",_xlfn.IFNA(VLOOKUP(D44,'인원 입력 기능(국수)'!$A$5:$D$103,4,FALSE),0))</f>
        <v>8824</v>
      </c>
      <c r="H44" s="186">
        <f t="shared" si="4"/>
        <v>2.9306170436769547E-2</v>
      </c>
      <c r="I44" s="174">
        <f>SUM($G$7:G44)</f>
        <v>112905</v>
      </c>
      <c r="J44" s="176">
        <f t="shared" si="5"/>
        <v>0.37497882742106364</v>
      </c>
      <c r="K44" s="31"/>
      <c r="L44" s="20" t="str">
        <f t="shared" si="7"/>
        <v/>
      </c>
      <c r="N44" s="1"/>
    </row>
    <row r="45" spans="1:14" ht="25" customHeight="1" x14ac:dyDescent="0.45">
      <c r="A45" s="5"/>
      <c r="B45" s="30"/>
      <c r="C45" s="81">
        <v>62</v>
      </c>
      <c r="D45" s="179"/>
      <c r="E45" s="181"/>
      <c r="F45" s="183"/>
      <c r="G45" s="185"/>
      <c r="H45" s="187"/>
      <c r="I45" s="175"/>
      <c r="J45" s="177"/>
      <c r="K45" s="31"/>
      <c r="L45" s="20" t="str">
        <f t="shared" si="7"/>
        <v>경고</v>
      </c>
      <c r="N45" s="1"/>
    </row>
    <row r="46" spans="1:14" ht="25" customHeight="1" x14ac:dyDescent="0.45">
      <c r="A46" s="5"/>
      <c r="B46" s="30"/>
      <c r="C46" s="81">
        <v>61</v>
      </c>
      <c r="D46" s="67">
        <f t="shared" si="2"/>
        <v>108</v>
      </c>
      <c r="E46" s="82">
        <f t="shared" si="6"/>
        <v>4</v>
      </c>
      <c r="F46" s="68">
        <f t="shared" si="3"/>
        <v>61.78</v>
      </c>
      <c r="G46" s="69">
        <f>IF(D46=D45,"",_xlfn.IFNA(VLOOKUP(D46,'인원 입력 기능(국수)'!$A$5:$D$103,4,FALSE),0))</f>
        <v>4342</v>
      </c>
      <c r="H46" s="70">
        <f t="shared" si="4"/>
        <v>1.4420601998691452E-2</v>
      </c>
      <c r="I46" s="83">
        <f>SUM($G$7:G46)</f>
        <v>117247</v>
      </c>
      <c r="J46" s="72">
        <f t="shared" si="5"/>
        <v>0.38939942941975508</v>
      </c>
      <c r="K46" s="31"/>
      <c r="L46" s="20" t="str">
        <f t="shared" si="7"/>
        <v/>
      </c>
      <c r="N46" s="1"/>
    </row>
    <row r="47" spans="1:14" ht="25" customHeight="1" x14ac:dyDescent="0.45">
      <c r="A47" s="5"/>
      <c r="B47" s="30"/>
      <c r="C47" s="81">
        <v>60</v>
      </c>
      <c r="D47" s="67">
        <f t="shared" si="2"/>
        <v>107</v>
      </c>
      <c r="E47" s="82">
        <f t="shared" si="6"/>
        <v>4</v>
      </c>
      <c r="F47" s="68">
        <f t="shared" si="3"/>
        <v>60.33</v>
      </c>
      <c r="G47" s="69">
        <f>IF(D47=D46,"",_xlfn.IFNA(VLOOKUP(D47,'인원 입력 기능(국수)'!$A$5:$D$103,4,FALSE),0))</f>
        <v>4381</v>
      </c>
      <c r="H47" s="70">
        <f t="shared" si="4"/>
        <v>1.455012836394916E-2</v>
      </c>
      <c r="I47" s="83">
        <f>SUM($G$7:G47)</f>
        <v>121628</v>
      </c>
      <c r="J47" s="72">
        <f t="shared" si="5"/>
        <v>0.40394955778370423</v>
      </c>
      <c r="K47" s="31"/>
      <c r="L47" s="20" t="str">
        <f t="shared" si="7"/>
        <v/>
      </c>
      <c r="N47" s="1"/>
    </row>
    <row r="48" spans="1:14" ht="25" customHeight="1" x14ac:dyDescent="0.45">
      <c r="A48" s="5"/>
      <c r="B48" s="30"/>
      <c r="C48" s="81">
        <v>59</v>
      </c>
      <c r="D48" s="67">
        <f t="shared" si="2"/>
        <v>106</v>
      </c>
      <c r="E48" s="82">
        <f t="shared" si="6"/>
        <v>5</v>
      </c>
      <c r="F48" s="68">
        <f t="shared" si="3"/>
        <v>58.87</v>
      </c>
      <c r="G48" s="69">
        <f>IF(D48=D47,"",_xlfn.IFNA(VLOOKUP(D48,'인원 입력 기능(국수)'!$A$5:$D$103,4,FALSE),0))</f>
        <v>4438</v>
      </c>
      <c r="H48" s="70">
        <f t="shared" si="4"/>
        <v>1.4739436128556578E-2</v>
      </c>
      <c r="I48" s="83">
        <f>SUM($G$7:G48)</f>
        <v>126066</v>
      </c>
      <c r="J48" s="72">
        <f t="shared" si="5"/>
        <v>0.41868899391226083</v>
      </c>
      <c r="K48" s="31"/>
      <c r="L48" s="20" t="str">
        <f t="shared" si="7"/>
        <v/>
      </c>
      <c r="N48" s="1"/>
    </row>
    <row r="49" spans="1:14" ht="25" customHeight="1" x14ac:dyDescent="0.45">
      <c r="A49" s="5"/>
      <c r="B49" s="30"/>
      <c r="C49" s="81">
        <v>58</v>
      </c>
      <c r="D49" s="67">
        <f t="shared" si="2"/>
        <v>105</v>
      </c>
      <c r="E49" s="82">
        <f t="shared" si="6"/>
        <v>5</v>
      </c>
      <c r="F49" s="68">
        <f t="shared" si="3"/>
        <v>57.39</v>
      </c>
      <c r="G49" s="69">
        <f>IF(D49=D48,"",_xlfn.IFNA(VLOOKUP(D49,'인원 입력 기능(국수)'!$A$5:$D$103,4,FALSE),0))</f>
        <v>4461</v>
      </c>
      <c r="H49" s="70">
        <f t="shared" si="4"/>
        <v>1.4815823472170099E-2</v>
      </c>
      <c r="I49" s="83">
        <f>SUM($G$7:G49)</f>
        <v>130527</v>
      </c>
      <c r="J49" s="72">
        <f t="shared" si="5"/>
        <v>0.43350481738443092</v>
      </c>
      <c r="K49" s="31"/>
      <c r="L49" s="20" t="str">
        <f t="shared" si="7"/>
        <v/>
      </c>
      <c r="N49" s="1"/>
    </row>
    <row r="50" spans="1:14" ht="25" customHeight="1" x14ac:dyDescent="0.45">
      <c r="A50" s="5"/>
      <c r="B50" s="30"/>
      <c r="C50" s="81">
        <v>57</v>
      </c>
      <c r="D50" s="67">
        <f t="shared" si="2"/>
        <v>104</v>
      </c>
      <c r="E50" s="82">
        <f t="shared" si="6"/>
        <v>5</v>
      </c>
      <c r="F50" s="68">
        <f t="shared" si="3"/>
        <v>55.91</v>
      </c>
      <c r="G50" s="69">
        <f>IF(D50=D49,"",_xlfn.IFNA(VLOOKUP(D50,'인원 입력 기능(국수)'!$A$5:$D$103,4,FALSE),0))</f>
        <v>4471</v>
      </c>
      <c r="H50" s="70">
        <f t="shared" si="4"/>
        <v>1.4849035360697715E-2</v>
      </c>
      <c r="I50" s="83">
        <f>SUM($G$7:G50)</f>
        <v>134998</v>
      </c>
      <c r="J50" s="72">
        <f t="shared" si="5"/>
        <v>0.44835385274512862</v>
      </c>
      <c r="K50" s="31"/>
      <c r="L50" s="20" t="str">
        <f t="shared" si="7"/>
        <v/>
      </c>
      <c r="N50" s="1"/>
    </row>
    <row r="51" spans="1:14" ht="25" customHeight="1" x14ac:dyDescent="0.45">
      <c r="A51" s="5"/>
      <c r="B51" s="30"/>
      <c r="C51" s="81">
        <v>56</v>
      </c>
      <c r="D51" s="67">
        <f t="shared" si="2"/>
        <v>103</v>
      </c>
      <c r="E51" s="82">
        <f t="shared" si="6"/>
        <v>5</v>
      </c>
      <c r="F51" s="68">
        <f t="shared" si="3"/>
        <v>54.42</v>
      </c>
      <c r="G51" s="69">
        <f>IF(D51=D50,"",_xlfn.IFNA(VLOOKUP(D51,'인원 입력 기능(국수)'!$A$5:$D$103,4,FALSE),0))</f>
        <v>4465</v>
      </c>
      <c r="H51" s="70">
        <f t="shared" si="4"/>
        <v>1.4829108227581145E-2</v>
      </c>
      <c r="I51" s="83">
        <f>SUM($G$7:G51)</f>
        <v>139463</v>
      </c>
      <c r="J51" s="72">
        <f t="shared" si="5"/>
        <v>0.46318296097270978</v>
      </c>
      <c r="K51" s="31"/>
      <c r="L51" s="20" t="str">
        <f t="shared" si="7"/>
        <v/>
      </c>
      <c r="N51" s="1"/>
    </row>
    <row r="52" spans="1:14" ht="25" customHeight="1" x14ac:dyDescent="0.45">
      <c r="A52" s="5"/>
      <c r="B52" s="30"/>
      <c r="C52" s="81">
        <v>55</v>
      </c>
      <c r="D52" s="67">
        <f t="shared" si="2"/>
        <v>102</v>
      </c>
      <c r="E52" s="82">
        <f t="shared" si="6"/>
        <v>5</v>
      </c>
      <c r="F52" s="68">
        <f t="shared" si="3"/>
        <v>52.96</v>
      </c>
      <c r="G52" s="69">
        <f>IF(D52=D51,"",_xlfn.IFNA(VLOOKUP(D52,'인원 입력 기능(국수)'!$A$5:$D$103,4,FALSE),0))</f>
        <v>4365</v>
      </c>
      <c r="H52" s="70">
        <f t="shared" si="4"/>
        <v>1.4496989342304971E-2</v>
      </c>
      <c r="I52" s="83">
        <f>SUM($G$7:G52)</f>
        <v>143828</v>
      </c>
      <c r="J52" s="72">
        <f t="shared" si="5"/>
        <v>0.47767995031501476</v>
      </c>
      <c r="K52" s="31"/>
      <c r="L52" s="20" t="str">
        <f t="shared" si="7"/>
        <v/>
      </c>
      <c r="N52" s="1"/>
    </row>
    <row r="53" spans="1:14" ht="25" customHeight="1" x14ac:dyDescent="0.45">
      <c r="A53" s="5"/>
      <c r="B53" s="30"/>
      <c r="C53" s="81">
        <v>54</v>
      </c>
      <c r="D53" s="67">
        <f t="shared" si="2"/>
        <v>101</v>
      </c>
      <c r="E53" s="82">
        <f t="shared" si="6"/>
        <v>5</v>
      </c>
      <c r="F53" s="68">
        <f t="shared" si="3"/>
        <v>51.51</v>
      </c>
      <c r="G53" s="69">
        <f>IF(D53=D52,"",_xlfn.IFNA(VLOOKUP(D53,'인원 입력 기능(국수)'!$A$5:$D$103,4,FALSE),0))</f>
        <v>4321</v>
      </c>
      <c r="H53" s="70">
        <f t="shared" si="4"/>
        <v>1.4350857032783455E-2</v>
      </c>
      <c r="I53" s="83">
        <f>SUM($G$7:G53)</f>
        <v>148149</v>
      </c>
      <c r="J53" s="72">
        <f t="shared" si="5"/>
        <v>0.49203080734779819</v>
      </c>
      <c r="K53" s="31"/>
      <c r="L53" s="20" t="str">
        <f t="shared" si="7"/>
        <v/>
      </c>
      <c r="N53" s="1"/>
    </row>
    <row r="54" spans="1:14" ht="25" customHeight="1" x14ac:dyDescent="0.45">
      <c r="A54" s="5"/>
      <c r="B54" s="30"/>
      <c r="C54" s="81">
        <v>53</v>
      </c>
      <c r="D54" s="178">
        <f t="shared" si="2"/>
        <v>100</v>
      </c>
      <c r="E54" s="180">
        <f t="shared" si="6"/>
        <v>5</v>
      </c>
      <c r="F54" s="182">
        <f t="shared" si="3"/>
        <v>49.36</v>
      </c>
      <c r="G54" s="184">
        <f>IF(D54=D53,"",_xlfn.IFNA(VLOOKUP(D54,'인원 입력 기능(국수)'!$A$5:$D$103,4,FALSE),0))</f>
        <v>8632</v>
      </c>
      <c r="H54" s="186">
        <f t="shared" si="4"/>
        <v>2.8668502177039291E-2</v>
      </c>
      <c r="I54" s="174">
        <f>SUM($G$7:G54)</f>
        <v>156781</v>
      </c>
      <c r="J54" s="176">
        <f t="shared" si="5"/>
        <v>0.52069930952483756</v>
      </c>
      <c r="K54" s="31"/>
      <c r="L54" s="20" t="str">
        <f t="shared" si="7"/>
        <v/>
      </c>
      <c r="N54" s="1"/>
    </row>
    <row r="55" spans="1:14" ht="25" customHeight="1" x14ac:dyDescent="0.45">
      <c r="A55" s="5"/>
      <c r="B55" s="30"/>
      <c r="C55" s="81">
        <v>52</v>
      </c>
      <c r="D55" s="179"/>
      <c r="E55" s="181"/>
      <c r="F55" s="183"/>
      <c r="G55" s="185"/>
      <c r="H55" s="187"/>
      <c r="I55" s="175"/>
      <c r="J55" s="177"/>
      <c r="K55" s="31"/>
      <c r="L55" s="20" t="str">
        <f t="shared" si="7"/>
        <v>경고</v>
      </c>
      <c r="N55" s="1"/>
    </row>
    <row r="56" spans="1:14" ht="25" customHeight="1" x14ac:dyDescent="0.45">
      <c r="A56" s="5"/>
      <c r="B56" s="30"/>
      <c r="C56" s="81">
        <v>51</v>
      </c>
      <c r="D56" s="67">
        <f t="shared" si="2"/>
        <v>99</v>
      </c>
      <c r="E56" s="82">
        <f t="shared" si="6"/>
        <v>5</v>
      </c>
      <c r="F56" s="68">
        <f t="shared" si="3"/>
        <v>47.21</v>
      </c>
      <c r="G56" s="69">
        <f>IF(D56=D55,"",_xlfn.IFNA(VLOOKUP(D56,'인원 입력 기능(국수)'!$A$5:$D$103,4,FALSE),0))</f>
        <v>4311</v>
      </c>
      <c r="H56" s="70">
        <f t="shared" si="4"/>
        <v>1.4317645144255839E-2</v>
      </c>
      <c r="I56" s="83">
        <f>SUM($G$7:G56)</f>
        <v>161092</v>
      </c>
      <c r="J56" s="72">
        <f t="shared" si="5"/>
        <v>0.53501695466909338</v>
      </c>
      <c r="K56" s="31"/>
      <c r="L56" s="20" t="str">
        <f t="shared" si="7"/>
        <v/>
      </c>
      <c r="N56" s="1"/>
    </row>
    <row r="57" spans="1:14" ht="25" customHeight="1" x14ac:dyDescent="0.45">
      <c r="A57" s="5"/>
      <c r="B57" s="30"/>
      <c r="C57" s="81">
        <v>50</v>
      </c>
      <c r="D57" s="67">
        <f t="shared" si="2"/>
        <v>98</v>
      </c>
      <c r="E57" s="82">
        <f t="shared" si="6"/>
        <v>5</v>
      </c>
      <c r="F57" s="68">
        <f t="shared" si="3"/>
        <v>45.79</v>
      </c>
      <c r="G57" s="69">
        <f>IF(D57=D56,"",_xlfn.IFNA(VLOOKUP(D57,'인원 입력 기능(국수)'!$A$5:$D$103,4,FALSE),0))</f>
        <v>4237</v>
      </c>
      <c r="H57" s="70">
        <f t="shared" si="4"/>
        <v>1.4071877169151469E-2</v>
      </c>
      <c r="I57" s="83">
        <f>SUM($G$7:G57)</f>
        <v>165329</v>
      </c>
      <c r="J57" s="72">
        <f t="shared" si="5"/>
        <v>0.54908883183824486</v>
      </c>
      <c r="K57" s="31"/>
      <c r="L57" s="20" t="str">
        <f t="shared" si="7"/>
        <v/>
      </c>
      <c r="N57" s="1"/>
    </row>
    <row r="58" spans="1:14" ht="25" customHeight="1" x14ac:dyDescent="0.45">
      <c r="A58" s="5"/>
      <c r="B58" s="30"/>
      <c r="C58" s="81">
        <v>49</v>
      </c>
      <c r="D58" s="67">
        <f t="shared" si="2"/>
        <v>97</v>
      </c>
      <c r="E58" s="82">
        <f t="shared" si="6"/>
        <v>5</v>
      </c>
      <c r="F58" s="68">
        <f t="shared" si="3"/>
        <v>44.4</v>
      </c>
      <c r="G58" s="69">
        <f>IF(D58=D57,"",_xlfn.IFNA(VLOOKUP(D58,'인원 입력 기능(국수)'!$A$5:$D$103,4,FALSE),0))</f>
        <v>4167</v>
      </c>
      <c r="H58" s="70">
        <f t="shared" si="4"/>
        <v>1.3839393949458148E-2</v>
      </c>
      <c r="I58" s="83">
        <f>SUM($G$7:G58)</f>
        <v>169496</v>
      </c>
      <c r="J58" s="72">
        <f t="shared" si="5"/>
        <v>0.56292822578770296</v>
      </c>
      <c r="K58" s="31"/>
      <c r="L58" s="20" t="str">
        <f t="shared" si="7"/>
        <v/>
      </c>
      <c r="N58" s="1"/>
    </row>
    <row r="59" spans="1:14" ht="25" customHeight="1" x14ac:dyDescent="0.45">
      <c r="A59" s="5"/>
      <c r="B59" s="30"/>
      <c r="C59" s="81">
        <v>48</v>
      </c>
      <c r="D59" s="67">
        <f t="shared" si="2"/>
        <v>96</v>
      </c>
      <c r="E59" s="82">
        <f t="shared" si="6"/>
        <v>5</v>
      </c>
      <c r="F59" s="68">
        <f t="shared" si="3"/>
        <v>43.02</v>
      </c>
      <c r="G59" s="69">
        <f>IF(D59=D58,"",_xlfn.IFNA(VLOOKUP(D59,'인원 입력 기능(국수)'!$A$5:$D$103,4,FALSE),0))</f>
        <v>4125</v>
      </c>
      <c r="H59" s="70">
        <f t="shared" si="4"/>
        <v>1.3699904017642156E-2</v>
      </c>
      <c r="I59" s="83">
        <f>SUM($G$7:G59)</f>
        <v>173621</v>
      </c>
      <c r="J59" s="72">
        <f t="shared" si="5"/>
        <v>0.57662812980534517</v>
      </c>
      <c r="K59" s="31"/>
      <c r="L59" s="20" t="str">
        <f t="shared" si="7"/>
        <v/>
      </c>
      <c r="N59" s="1"/>
    </row>
    <row r="60" spans="1:14" ht="25" customHeight="1" x14ac:dyDescent="0.45">
      <c r="A60" s="5"/>
      <c r="B60" s="30"/>
      <c r="C60" s="81">
        <v>47</v>
      </c>
      <c r="D60" s="67">
        <f t="shared" si="2"/>
        <v>95</v>
      </c>
      <c r="E60" s="82">
        <f t="shared" si="6"/>
        <v>5</v>
      </c>
      <c r="F60" s="68">
        <f t="shared" si="3"/>
        <v>41.66</v>
      </c>
      <c r="G60" s="69">
        <f>IF(D60=D59,"",_xlfn.IFNA(VLOOKUP(D60,'인원 입력 기능(국수)'!$A$5:$D$103,4,FALSE),0))</f>
        <v>4106</v>
      </c>
      <c r="H60" s="70">
        <f t="shared" si="4"/>
        <v>1.3636801429439682E-2</v>
      </c>
      <c r="I60" s="83">
        <f>SUM($G$7:G60)</f>
        <v>177727</v>
      </c>
      <c r="J60" s="72">
        <f t="shared" si="5"/>
        <v>0.59026493123478485</v>
      </c>
      <c r="K60" s="31"/>
      <c r="L60" s="20" t="str">
        <f t="shared" si="7"/>
        <v/>
      </c>
      <c r="N60" s="1"/>
    </row>
    <row r="61" spans="1:14" ht="25" customHeight="1" x14ac:dyDescent="0.45">
      <c r="A61" s="5"/>
      <c r="B61" s="30"/>
      <c r="C61" s="81">
        <v>46</v>
      </c>
      <c r="D61" s="67">
        <f t="shared" si="2"/>
        <v>94</v>
      </c>
      <c r="E61" s="82">
        <f t="shared" si="6"/>
        <v>5</v>
      </c>
      <c r="F61" s="68">
        <f t="shared" si="3"/>
        <v>40.31</v>
      </c>
      <c r="G61" s="69">
        <f>IF(D61=D60,"",_xlfn.IFNA(VLOOKUP(D61,'인원 입력 기능(국수)'!$A$5:$D$103,4,FALSE),0))</f>
        <v>4024</v>
      </c>
      <c r="H61" s="70">
        <f t="shared" si="4"/>
        <v>1.3364463943513221E-2</v>
      </c>
      <c r="I61" s="83">
        <f>SUM($G$7:G61)</f>
        <v>181751</v>
      </c>
      <c r="J61" s="72">
        <f t="shared" si="5"/>
        <v>0.60362939517829806</v>
      </c>
      <c r="K61" s="31"/>
      <c r="L61" s="20" t="str">
        <f t="shared" si="7"/>
        <v/>
      </c>
      <c r="N61" s="1"/>
    </row>
    <row r="62" spans="1:14" ht="25" customHeight="1" x14ac:dyDescent="0.45">
      <c r="A62" s="5"/>
      <c r="B62" s="30"/>
      <c r="C62" s="81">
        <v>45</v>
      </c>
      <c r="D62" s="67">
        <f t="shared" si="2"/>
        <v>93</v>
      </c>
      <c r="E62" s="82">
        <f t="shared" si="6"/>
        <v>6</v>
      </c>
      <c r="F62" s="68">
        <f t="shared" si="3"/>
        <v>38.99</v>
      </c>
      <c r="G62" s="69">
        <f>IF(D62=D61,"",_xlfn.IFNA(VLOOKUP(D62,'인원 입력 기능(국수)'!$A$5:$D$103,4,FALSE),0))</f>
        <v>3905</v>
      </c>
      <c r="H62" s="70">
        <f t="shared" si="4"/>
        <v>1.2969242470034574E-2</v>
      </c>
      <c r="I62" s="83">
        <f>SUM($G$7:G62)</f>
        <v>185656</v>
      </c>
      <c r="J62" s="72">
        <f t="shared" si="5"/>
        <v>0.61659863764833256</v>
      </c>
      <c r="K62" s="31"/>
      <c r="L62" s="20" t="str">
        <f t="shared" si="7"/>
        <v/>
      </c>
      <c r="N62" s="1"/>
    </row>
    <row r="63" spans="1:14" ht="25" customHeight="1" x14ac:dyDescent="0.45">
      <c r="A63" s="5"/>
      <c r="B63" s="30"/>
      <c r="C63" s="81">
        <v>44</v>
      </c>
      <c r="D63" s="178">
        <f t="shared" si="2"/>
        <v>92</v>
      </c>
      <c r="E63" s="180">
        <f t="shared" si="6"/>
        <v>6</v>
      </c>
      <c r="F63" s="182">
        <f t="shared" si="3"/>
        <v>37.049999999999997</v>
      </c>
      <c r="G63" s="184">
        <f>IF(D63=D62,"",_xlfn.IFNA(VLOOKUP(D63,'인원 입력 기능(국수)'!$A$5:$D$103,4,FALSE),0))</f>
        <v>7761</v>
      </c>
      <c r="H63" s="186">
        <f t="shared" si="4"/>
        <v>2.5775746686283824E-2</v>
      </c>
      <c r="I63" s="174">
        <f>SUM($G$7:G63)</f>
        <v>193417</v>
      </c>
      <c r="J63" s="176">
        <f t="shared" si="5"/>
        <v>0.64237438433461647</v>
      </c>
      <c r="K63" s="31"/>
      <c r="L63" s="20" t="str">
        <f t="shared" si="7"/>
        <v/>
      </c>
      <c r="N63" s="1"/>
    </row>
    <row r="64" spans="1:14" ht="25" customHeight="1" x14ac:dyDescent="0.45">
      <c r="A64" s="5"/>
      <c r="B64" s="30"/>
      <c r="C64" s="81">
        <v>43</v>
      </c>
      <c r="D64" s="179"/>
      <c r="E64" s="181"/>
      <c r="F64" s="183"/>
      <c r="G64" s="185"/>
      <c r="H64" s="187"/>
      <c r="I64" s="175"/>
      <c r="J64" s="177"/>
      <c r="K64" s="31"/>
      <c r="L64" s="20" t="str">
        <f t="shared" si="7"/>
        <v>경고</v>
      </c>
      <c r="N64" s="1"/>
    </row>
    <row r="65" spans="1:14" ht="25" customHeight="1" x14ac:dyDescent="0.45">
      <c r="A65" s="5"/>
      <c r="B65" s="30"/>
      <c r="C65" s="81">
        <v>42</v>
      </c>
      <c r="D65" s="67">
        <f t="shared" si="2"/>
        <v>91</v>
      </c>
      <c r="E65" s="82">
        <f t="shared" si="6"/>
        <v>6</v>
      </c>
      <c r="F65" s="68">
        <f t="shared" si="3"/>
        <v>35.14</v>
      </c>
      <c r="G65" s="69">
        <f>IF(D65=D64,"",_xlfn.IFNA(VLOOKUP(D65,'인원 입력 기능(국수)'!$A$5:$D$103,4,FALSE),0))</f>
        <v>3774</v>
      </c>
      <c r="H65" s="70">
        <f t="shared" si="4"/>
        <v>1.2534166730322786E-2</v>
      </c>
      <c r="I65" s="83">
        <f>SUM($G$7:G65)</f>
        <v>197191</v>
      </c>
      <c r="J65" s="72">
        <f t="shared" si="5"/>
        <v>0.65490855106493917</v>
      </c>
      <c r="K65" s="31"/>
      <c r="L65" s="20" t="str">
        <f t="shared" si="7"/>
        <v/>
      </c>
      <c r="N65" s="1"/>
    </row>
    <row r="66" spans="1:14" ht="25" customHeight="1" x14ac:dyDescent="0.45">
      <c r="A66" s="5"/>
      <c r="B66" s="30"/>
      <c r="C66" s="81">
        <v>41</v>
      </c>
      <c r="D66" s="67">
        <f t="shared" si="2"/>
        <v>90</v>
      </c>
      <c r="E66" s="82">
        <f t="shared" si="6"/>
        <v>6</v>
      </c>
      <c r="F66" s="68">
        <f t="shared" si="3"/>
        <v>33.909999999999997</v>
      </c>
      <c r="G66" s="69">
        <f>IF(D66=D65,"",_xlfn.IFNA(VLOOKUP(D66,'인원 입력 기능(국수)'!$A$5:$D$103,4,FALSE),0))</f>
        <v>3613</v>
      </c>
      <c r="H66" s="70">
        <f t="shared" si="4"/>
        <v>1.1999455325028148E-2</v>
      </c>
      <c r="I66" s="83">
        <f>SUM($G$7:G66)</f>
        <v>200804</v>
      </c>
      <c r="J66" s="72">
        <f t="shared" si="5"/>
        <v>0.66690800638996739</v>
      </c>
      <c r="K66" s="31"/>
      <c r="L66" s="20" t="str">
        <f t="shared" si="7"/>
        <v/>
      </c>
      <c r="N66" s="1"/>
    </row>
    <row r="67" spans="1:14" ht="25" customHeight="1" x14ac:dyDescent="0.45">
      <c r="A67" s="5"/>
      <c r="B67" s="30"/>
      <c r="C67" s="81">
        <v>40</v>
      </c>
      <c r="D67" s="67">
        <f t="shared" si="2"/>
        <v>89</v>
      </c>
      <c r="E67" s="82">
        <f t="shared" si="6"/>
        <v>6</v>
      </c>
      <c r="F67" s="68">
        <f t="shared" si="3"/>
        <v>32.700000000000003</v>
      </c>
      <c r="G67" s="69">
        <f>IF(D67=D66,"",_xlfn.IFNA(VLOOKUP(D67,'인원 입력 기능(국수)'!$A$5:$D$103,4,FALSE),0))</f>
        <v>3675</v>
      </c>
      <c r="H67" s="70">
        <f t="shared" si="4"/>
        <v>1.2205369033899375E-2</v>
      </c>
      <c r="I67" s="83">
        <f>SUM($G$7:G67)</f>
        <v>204479</v>
      </c>
      <c r="J67" s="72">
        <f t="shared" si="5"/>
        <v>0.67911337542386674</v>
      </c>
      <c r="K67" s="31"/>
      <c r="L67" s="20" t="str">
        <f t="shared" si="7"/>
        <v/>
      </c>
      <c r="N67" s="1"/>
    </row>
    <row r="68" spans="1:14" ht="25" customHeight="1" x14ac:dyDescent="0.45">
      <c r="A68" s="5"/>
      <c r="B68" s="30"/>
      <c r="C68" s="81">
        <v>39</v>
      </c>
      <c r="D68" s="67">
        <f t="shared" si="2"/>
        <v>88</v>
      </c>
      <c r="E68" s="82">
        <f t="shared" si="6"/>
        <v>6</v>
      </c>
      <c r="F68" s="68">
        <f t="shared" si="3"/>
        <v>31.49</v>
      </c>
      <c r="G68" s="69">
        <f>IF(D68=D67,"",_xlfn.IFNA(VLOOKUP(D68,'인원 입력 기능(국수)'!$A$5:$D$103,4,FALSE),0))</f>
        <v>3616</v>
      </c>
      <c r="H68" s="70">
        <f t="shared" si="4"/>
        <v>1.2009418891586432E-2</v>
      </c>
      <c r="I68" s="83">
        <f>SUM($G$7:G68)</f>
        <v>208095</v>
      </c>
      <c r="J68" s="72">
        <f t="shared" si="5"/>
        <v>0.6911227943154532</v>
      </c>
      <c r="K68" s="31"/>
      <c r="L68" s="20" t="str">
        <f t="shared" si="7"/>
        <v/>
      </c>
      <c r="N68" s="1"/>
    </row>
    <row r="69" spans="1:14" ht="25" customHeight="1" x14ac:dyDescent="0.45">
      <c r="A69" s="5"/>
      <c r="B69" s="30"/>
      <c r="C69" s="81">
        <v>38</v>
      </c>
      <c r="D69" s="67">
        <f t="shared" si="2"/>
        <v>87</v>
      </c>
      <c r="E69" s="82">
        <f t="shared" si="6"/>
        <v>6</v>
      </c>
      <c r="F69" s="68">
        <f t="shared" si="3"/>
        <v>30.3</v>
      </c>
      <c r="G69" s="69">
        <f>IF(D69=D68,"",_xlfn.IFNA(VLOOKUP(D69,'인원 입력 기능(국수)'!$A$5:$D$103,4,FALSE),0))</f>
        <v>3566</v>
      </c>
      <c r="H69" s="70">
        <f t="shared" si="4"/>
        <v>1.1843359448948345E-2</v>
      </c>
      <c r="I69" s="83">
        <f>SUM($G$7:G69)</f>
        <v>211661</v>
      </c>
      <c r="J69" s="72">
        <f t="shared" si="5"/>
        <v>0.70296615376440152</v>
      </c>
      <c r="K69" s="31"/>
      <c r="L69" s="20" t="str">
        <f t="shared" si="7"/>
        <v/>
      </c>
      <c r="N69" s="1"/>
    </row>
    <row r="70" spans="1:14" ht="25" customHeight="1" x14ac:dyDescent="0.45">
      <c r="A70" s="5"/>
      <c r="B70" s="30"/>
      <c r="C70" s="81">
        <v>37</v>
      </c>
      <c r="D70" s="67">
        <f t="shared" si="2"/>
        <v>86</v>
      </c>
      <c r="E70" s="82">
        <f t="shared" si="6"/>
        <v>6</v>
      </c>
      <c r="F70" s="68">
        <f t="shared" si="3"/>
        <v>29.12</v>
      </c>
      <c r="G70" s="69">
        <f>IF(D70=D69,"",_xlfn.IFNA(VLOOKUP(D70,'인원 입력 기능(국수)'!$A$5:$D$103,4,FALSE),0))</f>
        <v>3497</v>
      </c>
      <c r="H70" s="70">
        <f t="shared" si="4"/>
        <v>1.1614197418107786E-2</v>
      </c>
      <c r="I70" s="83">
        <f>SUM($G$7:G70)</f>
        <v>215158</v>
      </c>
      <c r="J70" s="72">
        <f t="shared" si="5"/>
        <v>0.71458035118250929</v>
      </c>
      <c r="K70" s="31"/>
      <c r="L70" s="20" t="str">
        <f t="shared" si="7"/>
        <v/>
      </c>
      <c r="N70" s="1"/>
    </row>
    <row r="71" spans="1:14" ht="25" customHeight="1" x14ac:dyDescent="0.45">
      <c r="A71" s="5"/>
      <c r="B71" s="30"/>
      <c r="C71" s="81">
        <v>36</v>
      </c>
      <c r="D71" s="67">
        <f t="shared" si="2"/>
        <v>85</v>
      </c>
      <c r="E71" s="82">
        <f t="shared" ref="E71:E102" si="8">IF(ROUND(D71,0)&gt;=$Q$7,1,IF(ROUND(D71,0)&gt;=$Q$8,2,IF(ROUND(D71,0)&gt;=$Q$9,3,IF(ROUND(D71,0)&gt;=$Q$10,4,IF(ROUND(D71,0)&gt;=$Q$11,5,IF(ROUND(D71,0)&gt;=$Q$12,6,IF(ROUND(D71,0)&gt;=$Q$13,7,IF(ROUND(D71,0)&gt;=$Q$14,8,9))))))))</f>
        <v>6</v>
      </c>
      <c r="F71" s="68">
        <f t="shared" si="3"/>
        <v>27.96</v>
      </c>
      <c r="G71" s="69">
        <f>IF(D71=D70,"",_xlfn.IFNA(VLOOKUP(D71,'인원 입력 기능(국수)'!$A$5:$D$103,4,FALSE),0))</f>
        <v>3506</v>
      </c>
      <c r="H71" s="70">
        <f t="shared" si="4"/>
        <v>1.1644088117782642E-2</v>
      </c>
      <c r="I71" s="83">
        <f>SUM($G$7:G71)</f>
        <v>218664</v>
      </c>
      <c r="J71" s="72">
        <f t="shared" si="5"/>
        <v>0.7262244393002919</v>
      </c>
      <c r="K71" s="31"/>
      <c r="L71" s="20" t="str">
        <f t="shared" si="7"/>
        <v/>
      </c>
      <c r="N71" s="1"/>
    </row>
    <row r="72" spans="1:14" ht="25" customHeight="1" x14ac:dyDescent="0.45">
      <c r="A72" s="5"/>
      <c r="B72" s="30"/>
      <c r="C72" s="81">
        <v>35</v>
      </c>
      <c r="D72" s="178">
        <f t="shared" si="2"/>
        <v>84</v>
      </c>
      <c r="E72" s="180">
        <f t="shared" si="8"/>
        <v>6</v>
      </c>
      <c r="F72" s="182">
        <f t="shared" si="3"/>
        <v>26.24</v>
      </c>
      <c r="G72" s="184">
        <f>IF(D72=D71,"",_xlfn.IFNA(VLOOKUP(D72,'인원 입력 기능(국수)'!$A$5:$D$103,4,FALSE),0))</f>
        <v>6866</v>
      </c>
      <c r="H72" s="186">
        <f t="shared" si="4"/>
        <v>2.2803282663062068E-2</v>
      </c>
      <c r="I72" s="174">
        <f>SUM($G$7:G72)</f>
        <v>225530</v>
      </c>
      <c r="J72" s="176">
        <f t="shared" si="5"/>
        <v>0.74902772196335399</v>
      </c>
      <c r="K72" s="31"/>
      <c r="L72" s="20" t="str">
        <f t="shared" si="7"/>
        <v/>
      </c>
      <c r="N72" s="1"/>
    </row>
    <row r="73" spans="1:14" ht="25" customHeight="1" x14ac:dyDescent="0.45">
      <c r="A73" s="5"/>
      <c r="B73" s="30"/>
      <c r="C73" s="81">
        <v>34</v>
      </c>
      <c r="D73" s="179"/>
      <c r="E73" s="181"/>
      <c r="F73" s="183"/>
      <c r="G73" s="185"/>
      <c r="H73" s="187"/>
      <c r="I73" s="175"/>
      <c r="J73" s="177"/>
      <c r="K73" s="31"/>
      <c r="L73" s="20" t="str">
        <f t="shared" ref="L73:L105" si="9">IF(ABS((C73-$H$3)/$H$4*20+100-D73)&gt;0.49, "경고", "")</f>
        <v>경고</v>
      </c>
      <c r="N73" s="1"/>
    </row>
    <row r="74" spans="1:14" ht="25" customHeight="1" x14ac:dyDescent="0.45">
      <c r="A74" s="5"/>
      <c r="B74" s="30"/>
      <c r="C74" s="81">
        <v>33</v>
      </c>
      <c r="D74" s="67">
        <f t="shared" ref="D74:D105" si="10">ROUND(20*(C74-$H$3)/$H$4+100,0)</f>
        <v>83</v>
      </c>
      <c r="E74" s="82">
        <f t="shared" si="8"/>
        <v>6</v>
      </c>
      <c r="F74" s="68">
        <f t="shared" ref="F74:F105" si="11">IF(I73=0,ROUND(100*(1-(I72+I74)/2/$J$3),2),ROUND(100*(1-(I73+I74)/2/$J$3),2))</f>
        <v>24.54</v>
      </c>
      <c r="G74" s="69">
        <f>IF(D74=D73,"",_xlfn.IFNA(VLOOKUP(D74,'인원 입력 기능(국수)'!$A$5:$D$103,4,FALSE),0))</f>
        <v>3333</v>
      </c>
      <c r="H74" s="70">
        <f t="shared" ref="H74:H105" si="12">G74/$J$3</f>
        <v>1.1069522446254861E-2</v>
      </c>
      <c r="I74" s="83">
        <f>SUM($G$7:G74)</f>
        <v>228863</v>
      </c>
      <c r="J74" s="72">
        <f t="shared" ref="J74:J105" si="13">I74/$J$3</f>
        <v>0.76009724440960891</v>
      </c>
      <c r="K74" s="31"/>
      <c r="L74" s="20" t="str">
        <f t="shared" si="9"/>
        <v/>
      </c>
      <c r="N74" s="1"/>
    </row>
    <row r="75" spans="1:14" ht="25" customHeight="1" x14ac:dyDescent="0.45">
      <c r="A75" s="5"/>
      <c r="B75" s="30"/>
      <c r="C75" s="81">
        <v>32</v>
      </c>
      <c r="D75" s="67">
        <f t="shared" si="10"/>
        <v>82</v>
      </c>
      <c r="E75" s="82">
        <f t="shared" si="8"/>
        <v>6</v>
      </c>
      <c r="F75" s="68">
        <f t="shared" si="11"/>
        <v>23.4</v>
      </c>
      <c r="G75" s="69">
        <f>IF(D75=D74,"",_xlfn.IFNA(VLOOKUP(D75,'인원 입력 기능(국수)'!$A$5:$D$103,4,FALSE),0))</f>
        <v>3536</v>
      </c>
      <c r="H75" s="70">
        <f t="shared" si="12"/>
        <v>1.1743723783365493E-2</v>
      </c>
      <c r="I75" s="83">
        <f>SUM($G$7:G75)</f>
        <v>232399</v>
      </c>
      <c r="J75" s="72">
        <f t="shared" si="13"/>
        <v>0.77184096819297432</v>
      </c>
      <c r="K75" s="31"/>
      <c r="L75" s="20" t="str">
        <f t="shared" si="9"/>
        <v/>
      </c>
      <c r="N75" s="1"/>
    </row>
    <row r="76" spans="1:14" ht="25" customHeight="1" x14ac:dyDescent="0.45">
      <c r="A76" s="5"/>
      <c r="B76" s="30"/>
      <c r="C76" s="81">
        <v>31</v>
      </c>
      <c r="D76" s="67">
        <f t="shared" si="10"/>
        <v>81</v>
      </c>
      <c r="E76" s="82">
        <f t="shared" si="8"/>
        <v>7</v>
      </c>
      <c r="F76" s="68">
        <f t="shared" si="11"/>
        <v>22.28</v>
      </c>
      <c r="G76" s="69">
        <f>IF(D76=D75,"",_xlfn.IFNA(VLOOKUP(D76,'인원 입력 기능(국수)'!$A$5:$D$103,4,FALSE),0))</f>
        <v>3226</v>
      </c>
      <c r="H76" s="70">
        <f t="shared" si="12"/>
        <v>1.0714155239009355E-2</v>
      </c>
      <c r="I76" s="83">
        <f>SUM($G$7:G76)</f>
        <v>235625</v>
      </c>
      <c r="J76" s="72">
        <f t="shared" si="13"/>
        <v>0.78255512343198375</v>
      </c>
      <c r="K76" s="31"/>
      <c r="L76" s="20" t="str">
        <f t="shared" si="9"/>
        <v/>
      </c>
      <c r="N76" s="1"/>
    </row>
    <row r="77" spans="1:14" ht="25" customHeight="1" x14ac:dyDescent="0.45">
      <c r="A77" s="5"/>
      <c r="B77" s="30"/>
      <c r="C77" s="81">
        <v>30</v>
      </c>
      <c r="D77" s="67">
        <f t="shared" si="10"/>
        <v>80</v>
      </c>
      <c r="E77" s="82">
        <f t="shared" si="8"/>
        <v>7</v>
      </c>
      <c r="F77" s="68">
        <f t="shared" si="11"/>
        <v>21.13</v>
      </c>
      <c r="G77" s="69">
        <f>IF(D77=D76,"",_xlfn.IFNA(VLOOKUP(D77,'인원 입력 기능(국수)'!$A$5:$D$103,4,FALSE),0))</f>
        <v>3683</v>
      </c>
      <c r="H77" s="70">
        <f t="shared" si="12"/>
        <v>1.2231938544721469E-2</v>
      </c>
      <c r="I77" s="83">
        <f>SUM($G$7:G77)</f>
        <v>239308</v>
      </c>
      <c r="J77" s="72">
        <f t="shared" si="13"/>
        <v>0.79478706197670523</v>
      </c>
      <c r="K77" s="31"/>
      <c r="L77" s="20" t="str">
        <f t="shared" si="9"/>
        <v/>
      </c>
      <c r="N77" s="1"/>
    </row>
    <row r="78" spans="1:14" ht="25" customHeight="1" x14ac:dyDescent="0.45">
      <c r="A78" s="5"/>
      <c r="B78" s="30"/>
      <c r="C78" s="81">
        <v>29</v>
      </c>
      <c r="D78" s="67">
        <f t="shared" si="10"/>
        <v>79</v>
      </c>
      <c r="E78" s="82">
        <f t="shared" si="8"/>
        <v>7</v>
      </c>
      <c r="F78" s="68">
        <f t="shared" si="11"/>
        <v>20</v>
      </c>
      <c r="G78" s="69">
        <f>IF(D78=D77,"",_xlfn.IFNA(VLOOKUP(D78,'인원 입력 기능(국수)'!$A$5:$D$103,4,FALSE),0))</f>
        <v>3125</v>
      </c>
      <c r="H78" s="70">
        <f t="shared" si="12"/>
        <v>1.037871516488042E-2</v>
      </c>
      <c r="I78" s="83">
        <f>SUM($G$7:G78)</f>
        <v>242433</v>
      </c>
      <c r="J78" s="72">
        <f t="shared" si="13"/>
        <v>0.80516577714158555</v>
      </c>
      <c r="K78" s="31"/>
      <c r="L78" s="20" t="str">
        <f t="shared" si="9"/>
        <v/>
      </c>
      <c r="N78" s="1"/>
    </row>
    <row r="79" spans="1:14" ht="25" customHeight="1" x14ac:dyDescent="0.45">
      <c r="A79" s="5"/>
      <c r="B79" s="30"/>
      <c r="C79" s="81">
        <v>28</v>
      </c>
      <c r="D79" s="67">
        <f t="shared" si="10"/>
        <v>78</v>
      </c>
      <c r="E79" s="82">
        <f t="shared" si="8"/>
        <v>7</v>
      </c>
      <c r="F79" s="68">
        <f t="shared" si="11"/>
        <v>18.78</v>
      </c>
      <c r="G79" s="69">
        <f>IF(D79=D78,"",_xlfn.IFNA(VLOOKUP(D79,'인원 입력 기능(국수)'!$A$5:$D$103,4,FALSE),0))</f>
        <v>4243</v>
      </c>
      <c r="H79" s="70">
        <f t="shared" si="12"/>
        <v>1.409180430226804E-2</v>
      </c>
      <c r="I79" s="83">
        <f>SUM($G$7:G79)</f>
        <v>246676</v>
      </c>
      <c r="J79" s="72">
        <f t="shared" si="13"/>
        <v>0.81925758144385363</v>
      </c>
      <c r="K79" s="31"/>
      <c r="L79" s="20" t="str">
        <f t="shared" si="9"/>
        <v/>
      </c>
      <c r="N79" s="1"/>
    </row>
    <row r="80" spans="1:14" ht="25" customHeight="1" x14ac:dyDescent="0.45">
      <c r="A80" s="5"/>
      <c r="B80" s="30"/>
      <c r="C80" s="81">
        <v>27</v>
      </c>
      <c r="D80" s="67">
        <f t="shared" si="10"/>
        <v>77</v>
      </c>
      <c r="E80" s="82">
        <f t="shared" si="8"/>
        <v>7</v>
      </c>
      <c r="F80" s="68">
        <f t="shared" si="11"/>
        <v>17.489999999999998</v>
      </c>
      <c r="G80" s="69">
        <f>IF(D80=D79,"",_xlfn.IFNA(VLOOKUP(D80,'인원 입력 기능(국수)'!$A$5:$D$103,4,FALSE),0))</f>
        <v>3509</v>
      </c>
      <c r="H80" s="70">
        <f t="shared" si="12"/>
        <v>1.1654051684340926E-2</v>
      </c>
      <c r="I80" s="83">
        <f>SUM($G$7:G80)</f>
        <v>250185</v>
      </c>
      <c r="J80" s="72">
        <f t="shared" si="13"/>
        <v>0.8309116331281946</v>
      </c>
      <c r="K80" s="31"/>
      <c r="L80" s="20" t="str">
        <f t="shared" si="9"/>
        <v/>
      </c>
      <c r="N80" s="1"/>
    </row>
    <row r="81" spans="1:14" ht="25" customHeight="1" x14ac:dyDescent="0.45">
      <c r="A81" s="5"/>
      <c r="B81" s="30"/>
      <c r="C81" s="81">
        <v>26</v>
      </c>
      <c r="D81" s="67">
        <f t="shared" si="10"/>
        <v>76</v>
      </c>
      <c r="E81" s="82">
        <f t="shared" si="8"/>
        <v>7</v>
      </c>
      <c r="F81" s="68">
        <f t="shared" si="11"/>
        <v>15.57</v>
      </c>
      <c r="G81" s="69">
        <f>IF(D81=D80,"",_xlfn.IFNA(VLOOKUP(D81,'인원 입력 기능(국수)'!$A$5:$D$103,4,FALSE),0))</f>
        <v>8057</v>
      </c>
      <c r="H81" s="70">
        <f t="shared" si="12"/>
        <v>2.6758818586701295E-2</v>
      </c>
      <c r="I81" s="83">
        <f>SUM($G$7:G81)</f>
        <v>258242</v>
      </c>
      <c r="J81" s="72">
        <f t="shared" si="13"/>
        <v>0.85767045171489587</v>
      </c>
      <c r="K81" s="31"/>
      <c r="L81" s="20" t="str">
        <f t="shared" si="9"/>
        <v/>
      </c>
      <c r="N81" s="1"/>
    </row>
    <row r="82" spans="1:14" ht="25" customHeight="1" x14ac:dyDescent="0.45">
      <c r="A82" s="5"/>
      <c r="B82" s="30"/>
      <c r="C82" s="81">
        <v>25</v>
      </c>
      <c r="D82" s="178">
        <f t="shared" si="10"/>
        <v>75</v>
      </c>
      <c r="E82" s="180">
        <f t="shared" si="8"/>
        <v>7</v>
      </c>
      <c r="F82" s="182">
        <f t="shared" si="11"/>
        <v>11.73</v>
      </c>
      <c r="G82" s="184">
        <f>IF(D82=D81,"",_xlfn.IFNA(VLOOKUP(D82,'인원 입력 기능(국수)'!$A$5:$D$103,4,FALSE),0))</f>
        <v>15045</v>
      </c>
      <c r="H82" s="186">
        <f t="shared" si="12"/>
        <v>4.9967286289800295E-2</v>
      </c>
      <c r="I82" s="174">
        <f>SUM($G$7:G82)</f>
        <v>273287</v>
      </c>
      <c r="J82" s="176">
        <f t="shared" si="13"/>
        <v>0.90763773800469616</v>
      </c>
      <c r="K82" s="31"/>
      <c r="L82" s="20" t="str">
        <f t="shared" si="9"/>
        <v/>
      </c>
      <c r="N82" s="1"/>
    </row>
    <row r="83" spans="1:14" ht="25" customHeight="1" x14ac:dyDescent="0.45">
      <c r="A83" s="5"/>
      <c r="B83" s="30"/>
      <c r="C83" s="81">
        <v>24</v>
      </c>
      <c r="D83" s="179"/>
      <c r="E83" s="181"/>
      <c r="F83" s="183"/>
      <c r="G83" s="185"/>
      <c r="H83" s="187"/>
      <c r="I83" s="175"/>
      <c r="J83" s="177"/>
      <c r="K83" s="31"/>
      <c r="L83" s="20" t="str">
        <f t="shared" si="9"/>
        <v>경고</v>
      </c>
      <c r="N83" s="1"/>
    </row>
    <row r="84" spans="1:14" ht="25" customHeight="1" x14ac:dyDescent="0.45">
      <c r="A84" s="5"/>
      <c r="B84" s="30"/>
      <c r="C84" s="81">
        <v>23</v>
      </c>
      <c r="D84" s="67">
        <f t="shared" si="10"/>
        <v>74</v>
      </c>
      <c r="E84" s="82">
        <f t="shared" si="8"/>
        <v>8</v>
      </c>
      <c r="F84" s="68">
        <f t="shared" si="11"/>
        <v>8.73</v>
      </c>
      <c r="G84" s="69">
        <f>IF(D84=D83,"",_xlfn.IFNA(VLOOKUP(D84,'인원 입력 기능(국수)'!$A$5:$D$103,4,FALSE),0))</f>
        <v>3035</v>
      </c>
      <c r="H84" s="70">
        <f t="shared" si="12"/>
        <v>1.0079808168131865E-2</v>
      </c>
      <c r="I84" s="83">
        <f>SUM($G$7:G84)</f>
        <v>276322</v>
      </c>
      <c r="J84" s="72">
        <f t="shared" si="13"/>
        <v>0.91771754617282808</v>
      </c>
      <c r="K84" s="31"/>
      <c r="L84" s="20" t="str">
        <f t="shared" si="9"/>
        <v/>
      </c>
      <c r="N84" s="1"/>
    </row>
    <row r="85" spans="1:14" ht="25" customHeight="1" x14ac:dyDescent="0.45">
      <c r="A85" s="5"/>
      <c r="B85" s="30"/>
      <c r="C85" s="81">
        <v>22</v>
      </c>
      <c r="D85" s="67">
        <f t="shared" si="10"/>
        <v>73</v>
      </c>
      <c r="E85" s="82">
        <f t="shared" si="8"/>
        <v>8</v>
      </c>
      <c r="F85" s="68">
        <f t="shared" si="11"/>
        <v>7.78</v>
      </c>
      <c r="G85" s="69">
        <f>IF(D85=D84,"",_xlfn.IFNA(VLOOKUP(D85,'인원 입력 기능(국수)'!$A$5:$D$103,4,FALSE),0))</f>
        <v>2726</v>
      </c>
      <c r="H85" s="70">
        <f t="shared" si="12"/>
        <v>9.0535608126284892E-3</v>
      </c>
      <c r="I85" s="83">
        <f>SUM($G$7:G85)</f>
        <v>279048</v>
      </c>
      <c r="J85" s="72">
        <f t="shared" si="13"/>
        <v>0.92677110698545651</v>
      </c>
      <c r="K85" s="31"/>
      <c r="L85" s="20" t="str">
        <f t="shared" si="9"/>
        <v/>
      </c>
      <c r="N85" s="1"/>
    </row>
    <row r="86" spans="1:14" ht="25" customHeight="1" x14ac:dyDescent="0.45">
      <c r="A86" s="5"/>
      <c r="B86" s="30"/>
      <c r="C86" s="81">
        <v>21</v>
      </c>
      <c r="D86" s="67">
        <f t="shared" si="10"/>
        <v>72</v>
      </c>
      <c r="E86" s="82">
        <f t="shared" si="8"/>
        <v>8</v>
      </c>
      <c r="F86" s="68">
        <f t="shared" si="11"/>
        <v>6.89</v>
      </c>
      <c r="G86" s="69">
        <f>IF(D86=D85,"",_xlfn.IFNA(VLOOKUP(D86,'인원 입력 기능(국수)'!$A$5:$D$103,4,FALSE),0))</f>
        <v>2611</v>
      </c>
      <c r="H86" s="70">
        <f t="shared" si="12"/>
        <v>8.6716240945608897E-3</v>
      </c>
      <c r="I86" s="83">
        <f>SUM($G$7:G86)</f>
        <v>281659</v>
      </c>
      <c r="J86" s="72">
        <f t="shared" si="13"/>
        <v>0.93544273108001741</v>
      </c>
      <c r="K86" s="31"/>
      <c r="L86" s="20" t="str">
        <f t="shared" si="9"/>
        <v/>
      </c>
      <c r="N86" s="1"/>
    </row>
    <row r="87" spans="1:14" ht="25" customHeight="1" x14ac:dyDescent="0.45">
      <c r="A87" s="5"/>
      <c r="B87" s="30"/>
      <c r="C87" s="81">
        <v>20</v>
      </c>
      <c r="D87" s="67">
        <f t="shared" si="10"/>
        <v>71</v>
      </c>
      <c r="E87" s="82">
        <f t="shared" si="8"/>
        <v>8</v>
      </c>
      <c r="F87" s="68">
        <f t="shared" si="11"/>
        <v>6.07</v>
      </c>
      <c r="G87" s="69">
        <f>IF(D87=D86,"",_xlfn.IFNA(VLOOKUP(D87,'인원 입력 기능(국수)'!$A$5:$D$103,4,FALSE),0))</f>
        <v>2340</v>
      </c>
      <c r="H87" s="70">
        <f t="shared" si="12"/>
        <v>7.7715819154624589E-3</v>
      </c>
      <c r="I87" s="83">
        <f>SUM($G$7:G87)</f>
        <v>283999</v>
      </c>
      <c r="J87" s="72">
        <f t="shared" si="13"/>
        <v>0.94321431299547986</v>
      </c>
      <c r="K87" s="31"/>
      <c r="L87" s="20" t="str">
        <f t="shared" si="9"/>
        <v/>
      </c>
      <c r="N87" s="1"/>
    </row>
    <row r="88" spans="1:14" ht="25" customHeight="1" x14ac:dyDescent="0.45">
      <c r="A88" s="5"/>
      <c r="B88" s="30"/>
      <c r="C88" s="81">
        <v>19</v>
      </c>
      <c r="D88" s="67">
        <f t="shared" si="10"/>
        <v>70</v>
      </c>
      <c r="E88" s="82">
        <f t="shared" si="8"/>
        <v>8</v>
      </c>
      <c r="F88" s="68">
        <f t="shared" si="11"/>
        <v>5.32</v>
      </c>
      <c r="G88" s="69">
        <f>IF(D88=D87,"",_xlfn.IFNA(VLOOKUP(D88,'인원 입력 기능(국수)'!$A$5:$D$103,4,FALSE),0))</f>
        <v>2189</v>
      </c>
      <c r="H88" s="70">
        <f t="shared" si="12"/>
        <v>7.2700823986954367E-3</v>
      </c>
      <c r="I88" s="83">
        <f>SUM($G$7:G88)</f>
        <v>286188</v>
      </c>
      <c r="J88" s="72">
        <f t="shared" si="13"/>
        <v>0.95048439539417529</v>
      </c>
      <c r="K88" s="31"/>
      <c r="L88" s="20" t="str">
        <f t="shared" si="9"/>
        <v/>
      </c>
      <c r="N88" s="1"/>
    </row>
    <row r="89" spans="1:14" ht="25" customHeight="1" x14ac:dyDescent="0.45">
      <c r="A89" s="5"/>
      <c r="B89" s="30"/>
      <c r="C89" s="81">
        <v>18</v>
      </c>
      <c r="D89" s="67">
        <f t="shared" si="10"/>
        <v>69</v>
      </c>
      <c r="E89" s="82">
        <f t="shared" si="8"/>
        <v>8</v>
      </c>
      <c r="F89" s="68">
        <f t="shared" si="11"/>
        <v>4.63</v>
      </c>
      <c r="G89" s="69">
        <f>IF(D89=D88,"",_xlfn.IFNA(VLOOKUP(D89,'인원 입력 기능(국수)'!$A$5:$D$103,4,FALSE),0))</f>
        <v>1909</v>
      </c>
      <c r="H89" s="70">
        <f t="shared" si="12"/>
        <v>6.3401495199221511E-3</v>
      </c>
      <c r="I89" s="83">
        <f>SUM($G$7:G89)</f>
        <v>288097</v>
      </c>
      <c r="J89" s="72">
        <f t="shared" si="13"/>
        <v>0.95682454491409741</v>
      </c>
      <c r="K89" s="31"/>
      <c r="L89" s="20" t="str">
        <f t="shared" si="9"/>
        <v/>
      </c>
      <c r="N89" s="1"/>
    </row>
    <row r="90" spans="1:14" ht="25" customHeight="1" x14ac:dyDescent="0.45">
      <c r="A90" s="5"/>
      <c r="B90" s="30"/>
      <c r="C90" s="81">
        <v>17</v>
      </c>
      <c r="D90" s="67">
        <f t="shared" si="10"/>
        <v>68</v>
      </c>
      <c r="E90" s="82">
        <f t="shared" si="8"/>
        <v>8</v>
      </c>
      <c r="F90" s="68">
        <f t="shared" si="11"/>
        <v>4.01</v>
      </c>
      <c r="G90" s="69">
        <f>IF(D90=D89,"",_xlfn.IFNA(VLOOKUP(D90,'인원 입력 기능(국수)'!$A$5:$D$103,4,FALSE),0))</f>
        <v>1825</v>
      </c>
      <c r="H90" s="70">
        <f t="shared" si="12"/>
        <v>6.0611696562901654E-3</v>
      </c>
      <c r="I90" s="83">
        <f>SUM($G$7:G90)</f>
        <v>289922</v>
      </c>
      <c r="J90" s="72">
        <f t="shared" si="13"/>
        <v>0.96288571457038763</v>
      </c>
      <c r="K90" s="31"/>
      <c r="L90" s="20" t="str">
        <f t="shared" si="9"/>
        <v/>
      </c>
      <c r="N90" s="1"/>
    </row>
    <row r="91" spans="1:14" ht="25" customHeight="1" x14ac:dyDescent="0.45">
      <c r="A91" s="5"/>
      <c r="B91" s="30"/>
      <c r="C91" s="81">
        <v>16</v>
      </c>
      <c r="D91" s="178">
        <f t="shared" si="10"/>
        <v>67</v>
      </c>
      <c r="E91" s="180">
        <f t="shared" si="8"/>
        <v>9</v>
      </c>
      <c r="F91" s="182">
        <f t="shared" si="11"/>
        <v>3.09</v>
      </c>
      <c r="G91" s="184">
        <f>IF(D91=D90,"",_xlfn.IFNA(VLOOKUP(D91,'인원 입력 기능(국수)'!$A$5:$D$103,4,FALSE),0))</f>
        <v>3730</v>
      </c>
      <c r="H91" s="186">
        <f t="shared" si="12"/>
        <v>1.238803442080127E-2</v>
      </c>
      <c r="I91" s="174">
        <f>SUM($G$7:G91)</f>
        <v>293652</v>
      </c>
      <c r="J91" s="176">
        <f t="shared" si="13"/>
        <v>0.9752737489911889</v>
      </c>
      <c r="K91" s="31"/>
      <c r="L91" s="20" t="str">
        <f t="shared" si="9"/>
        <v/>
      </c>
      <c r="N91" s="1"/>
    </row>
    <row r="92" spans="1:14" ht="25" customHeight="1" x14ac:dyDescent="0.45">
      <c r="A92" s="5"/>
      <c r="B92" s="30"/>
      <c r="C92" s="81">
        <v>15</v>
      </c>
      <c r="D92" s="179"/>
      <c r="E92" s="181"/>
      <c r="F92" s="183"/>
      <c r="G92" s="185"/>
      <c r="H92" s="187"/>
      <c r="I92" s="175"/>
      <c r="J92" s="177"/>
      <c r="K92" s="31"/>
      <c r="L92" s="20" t="str">
        <f t="shared" si="9"/>
        <v>경고</v>
      </c>
      <c r="N92" s="1"/>
    </row>
    <row r="93" spans="1:14" ht="25" customHeight="1" x14ac:dyDescent="0.45">
      <c r="A93" s="5"/>
      <c r="B93" s="30"/>
      <c r="C93" s="81">
        <v>14</v>
      </c>
      <c r="D93" s="67">
        <f t="shared" si="10"/>
        <v>66</v>
      </c>
      <c r="E93" s="82">
        <f t="shared" si="8"/>
        <v>9</v>
      </c>
      <c r="F93" s="68">
        <f t="shared" si="11"/>
        <v>2.31</v>
      </c>
      <c r="G93" s="69">
        <f>IF(D93=D92,"",_xlfn.IFNA(VLOOKUP(D93,'인원 입력 기능(국수)'!$A$5:$D$103,4,FALSE),0))</f>
        <v>982</v>
      </c>
      <c r="H93" s="70">
        <f t="shared" si="12"/>
        <v>3.2614074534120232E-3</v>
      </c>
      <c r="I93" s="83">
        <f>SUM($G$7:G93)</f>
        <v>294634</v>
      </c>
      <c r="J93" s="72">
        <f t="shared" si="13"/>
        <v>0.97853515644460087</v>
      </c>
      <c r="K93" s="31"/>
      <c r="L93" s="20" t="str">
        <f t="shared" si="9"/>
        <v/>
      </c>
      <c r="N93" s="1"/>
    </row>
    <row r="94" spans="1:14" ht="25" customHeight="1" x14ac:dyDescent="0.45">
      <c r="A94" s="5"/>
      <c r="B94" s="30"/>
      <c r="C94" s="81">
        <v>13</v>
      </c>
      <c r="D94" s="67">
        <f t="shared" si="10"/>
        <v>65</v>
      </c>
      <c r="E94" s="82">
        <f t="shared" si="8"/>
        <v>9</v>
      </c>
      <c r="F94" s="68">
        <f t="shared" si="11"/>
        <v>2.02</v>
      </c>
      <c r="G94" s="69">
        <f>IF(D94=D93,"",_xlfn.IFNA(VLOOKUP(D94,'인원 입력 기능(국수)'!$A$5:$D$103,4,FALSE),0))</f>
        <v>771</v>
      </c>
      <c r="H94" s="70">
        <f t="shared" si="12"/>
        <v>2.5606366054792972E-3</v>
      </c>
      <c r="I94" s="83">
        <f>SUM($G$7:G94)</f>
        <v>295405</v>
      </c>
      <c r="J94" s="72">
        <f t="shared" si="13"/>
        <v>0.98109579305008021</v>
      </c>
      <c r="K94" s="31"/>
      <c r="L94" s="20" t="str">
        <f t="shared" si="9"/>
        <v/>
      </c>
      <c r="N94" s="1"/>
    </row>
    <row r="95" spans="1:14" ht="25" customHeight="1" x14ac:dyDescent="0.45">
      <c r="A95" s="5"/>
      <c r="B95" s="30"/>
      <c r="C95" s="81">
        <v>12</v>
      </c>
      <c r="D95" s="67">
        <f t="shared" si="10"/>
        <v>64</v>
      </c>
      <c r="E95" s="82">
        <f t="shared" si="8"/>
        <v>9</v>
      </c>
      <c r="F95" s="68">
        <f t="shared" si="11"/>
        <v>1.79</v>
      </c>
      <c r="G95" s="69">
        <f>IF(D95=D94,"",_xlfn.IFNA(VLOOKUP(D95,'인원 입력 기능(국수)'!$A$5:$D$103,4,FALSE),0))</f>
        <v>594</v>
      </c>
      <c r="H95" s="70">
        <f t="shared" si="12"/>
        <v>1.9727861785404704E-3</v>
      </c>
      <c r="I95" s="83">
        <f>SUM($G$7:G95)</f>
        <v>295999</v>
      </c>
      <c r="J95" s="72">
        <f t="shared" si="13"/>
        <v>0.98306857922862068</v>
      </c>
      <c r="K95" s="31"/>
      <c r="L95" s="20" t="str">
        <f t="shared" si="9"/>
        <v/>
      </c>
      <c r="N95" s="1"/>
    </row>
    <row r="96" spans="1:14" ht="25" customHeight="1" x14ac:dyDescent="0.45">
      <c r="A96" s="5"/>
      <c r="B96" s="30"/>
      <c r="C96" s="81">
        <v>11</v>
      </c>
      <c r="D96" s="67">
        <f t="shared" si="10"/>
        <v>63</v>
      </c>
      <c r="E96" s="82">
        <f t="shared" si="8"/>
        <v>9</v>
      </c>
      <c r="F96" s="68">
        <f t="shared" si="11"/>
        <v>1.6</v>
      </c>
      <c r="G96" s="69">
        <f>IF(D96=D95,"",_xlfn.IFNA(VLOOKUP(D96,'인원 입력 기능(국수)'!$A$5:$D$103,4,FALSE),0))</f>
        <v>582</v>
      </c>
      <c r="H96" s="70">
        <f t="shared" si="12"/>
        <v>1.9329319123073294E-3</v>
      </c>
      <c r="I96" s="83">
        <f>SUM($G$7:G96)</f>
        <v>296581</v>
      </c>
      <c r="J96" s="72">
        <f t="shared" si="13"/>
        <v>0.98500151114092804</v>
      </c>
      <c r="K96" s="31"/>
      <c r="L96" s="20" t="str">
        <f t="shared" si="9"/>
        <v/>
      </c>
      <c r="N96" s="1"/>
    </row>
    <row r="97" spans="1:14" ht="25" customHeight="1" x14ac:dyDescent="0.45">
      <c r="A97" s="5"/>
      <c r="B97" s="30"/>
      <c r="C97" s="81">
        <v>10</v>
      </c>
      <c r="D97" s="67">
        <f t="shared" si="10"/>
        <v>62</v>
      </c>
      <c r="E97" s="82">
        <f t="shared" si="8"/>
        <v>9</v>
      </c>
      <c r="F97" s="68">
        <f t="shared" si="11"/>
        <v>1.27</v>
      </c>
      <c r="G97" s="69">
        <f>IF(D97=D96,"",_xlfn.IFNA(VLOOKUP(D97,'인원 입력 기능(국수)'!$A$5:$D$103,4,FALSE),0))</f>
        <v>1368</v>
      </c>
      <c r="H97" s="70">
        <f t="shared" si="12"/>
        <v>4.5433863505780527E-3</v>
      </c>
      <c r="I97" s="83">
        <f>SUM($G$7:G97)</f>
        <v>297949</v>
      </c>
      <c r="J97" s="72">
        <f t="shared" si="13"/>
        <v>0.98954489749150609</v>
      </c>
      <c r="K97" s="31"/>
      <c r="L97" s="20" t="str">
        <f t="shared" si="9"/>
        <v/>
      </c>
      <c r="N97" s="1"/>
    </row>
    <row r="98" spans="1:14" ht="25" customHeight="1" x14ac:dyDescent="0.45">
      <c r="A98" s="5"/>
      <c r="B98" s="30"/>
      <c r="C98" s="81">
        <v>9</v>
      </c>
      <c r="D98" s="67">
        <f t="shared" si="10"/>
        <v>61</v>
      </c>
      <c r="E98" s="82">
        <f t="shared" si="8"/>
        <v>9</v>
      </c>
      <c r="F98" s="68">
        <f t="shared" si="11"/>
        <v>1.01</v>
      </c>
      <c r="G98" s="69">
        <f>IF(D98=D97,"",_xlfn.IFNA(VLOOKUP(D98,'인원 입력 기능(국수)'!$A$5:$D$103,4,FALSE),0))</f>
        <v>205</v>
      </c>
      <c r="H98" s="70">
        <f t="shared" si="12"/>
        <v>6.8084371481615558E-4</v>
      </c>
      <c r="I98" s="83">
        <f>SUM($G$7:G98)</f>
        <v>298154</v>
      </c>
      <c r="J98" s="72">
        <f t="shared" si="13"/>
        <v>0.99022574120632223</v>
      </c>
      <c r="K98" s="31"/>
      <c r="L98" s="20" t="str">
        <f t="shared" si="9"/>
        <v/>
      </c>
      <c r="N98" s="1"/>
    </row>
    <row r="99" spans="1:14" ht="25" customHeight="1" x14ac:dyDescent="0.45">
      <c r="A99" s="5"/>
      <c r="B99" s="30"/>
      <c r="C99" s="81">
        <v>8</v>
      </c>
      <c r="D99" s="67">
        <f t="shared" si="10"/>
        <v>60</v>
      </c>
      <c r="E99" s="82">
        <f t="shared" si="8"/>
        <v>9</v>
      </c>
      <c r="F99" s="68">
        <f t="shared" si="11"/>
        <v>0.94</v>
      </c>
      <c r="G99" s="69">
        <f>IF(D99=D98,"",_xlfn.IFNA(VLOOKUP(D99,'인원 입력 기능(국수)'!$A$5:$D$103,4,FALSE),0))</f>
        <v>199</v>
      </c>
      <c r="H99" s="70">
        <f t="shared" si="12"/>
        <v>6.609165816995852E-4</v>
      </c>
      <c r="I99" s="83">
        <f>SUM($G$7:G99)</f>
        <v>298353</v>
      </c>
      <c r="J99" s="72">
        <f t="shared" si="13"/>
        <v>0.99088665778802176</v>
      </c>
      <c r="K99" s="31"/>
      <c r="L99" s="20" t="str">
        <f t="shared" si="9"/>
        <v/>
      </c>
      <c r="N99" s="1"/>
    </row>
    <row r="100" spans="1:14" ht="25" customHeight="1" x14ac:dyDescent="0.45">
      <c r="A100" s="5"/>
      <c r="B100" s="30"/>
      <c r="C100" s="81">
        <v>7</v>
      </c>
      <c r="D100" s="178">
        <f t="shared" si="10"/>
        <v>59</v>
      </c>
      <c r="E100" s="180">
        <f t="shared" si="8"/>
        <v>9</v>
      </c>
      <c r="F100" s="182">
        <f t="shared" si="11"/>
        <v>0.86</v>
      </c>
      <c r="G100" s="184">
        <f>IF(D100=D99,"",_xlfn.IFNA(VLOOKUP(D100,'인원 입력 기능(국수)'!$A$5:$D$103,4,FALSE),0))</f>
        <v>287</v>
      </c>
      <c r="H100" s="186">
        <f t="shared" si="12"/>
        <v>9.5318120074261783E-4</v>
      </c>
      <c r="I100" s="174">
        <f>SUM($G$7:G100)</f>
        <v>298640</v>
      </c>
      <c r="J100" s="176">
        <f t="shared" si="13"/>
        <v>0.99183983898876438</v>
      </c>
      <c r="K100" s="31"/>
      <c r="L100" s="20" t="str">
        <f t="shared" si="9"/>
        <v/>
      </c>
      <c r="N100" s="1"/>
    </row>
    <row r="101" spans="1:14" ht="25" customHeight="1" x14ac:dyDescent="0.45">
      <c r="A101" s="5"/>
      <c r="B101" s="30"/>
      <c r="C101" s="73">
        <v>6</v>
      </c>
      <c r="D101" s="179"/>
      <c r="E101" s="181"/>
      <c r="F101" s="183"/>
      <c r="G101" s="185"/>
      <c r="H101" s="187"/>
      <c r="I101" s="175"/>
      <c r="J101" s="177"/>
      <c r="K101" s="31"/>
      <c r="L101" s="20" t="str">
        <f t="shared" si="9"/>
        <v>경고</v>
      </c>
      <c r="N101" s="1"/>
    </row>
    <row r="102" spans="1:14" ht="25" customHeight="1" x14ac:dyDescent="0.45">
      <c r="A102" s="5"/>
      <c r="B102" s="30"/>
      <c r="C102" s="73">
        <v>5</v>
      </c>
      <c r="D102" s="67">
        <f t="shared" si="10"/>
        <v>58</v>
      </c>
      <c r="E102" s="67">
        <f t="shared" si="8"/>
        <v>9</v>
      </c>
      <c r="F102" s="68">
        <f t="shared" si="11"/>
        <v>0.81</v>
      </c>
      <c r="G102" s="69">
        <f>IF(D102=D101,"",_xlfn.IFNA(VLOOKUP(D102,'인원 입력 기능(국수)'!$A$5:$D$103,4,FALSE),0))</f>
        <v>32</v>
      </c>
      <c r="H102" s="70">
        <f t="shared" si="12"/>
        <v>1.062780432883755E-4</v>
      </c>
      <c r="I102" s="80">
        <f>SUM($G$7:G102)</f>
        <v>298672</v>
      </c>
      <c r="J102" s="72">
        <f t="shared" si="13"/>
        <v>0.99194611703205282</v>
      </c>
      <c r="K102" s="31"/>
      <c r="L102" s="20" t="str">
        <f t="shared" si="9"/>
        <v/>
      </c>
      <c r="N102" s="1"/>
    </row>
    <row r="103" spans="1:14" ht="25" customHeight="1" x14ac:dyDescent="0.45">
      <c r="A103" s="5"/>
      <c r="B103" s="30"/>
      <c r="C103" s="73">
        <v>4</v>
      </c>
      <c r="D103" s="67">
        <f t="shared" si="10"/>
        <v>57</v>
      </c>
      <c r="E103" s="67">
        <f t="shared" ref="E103:E105" si="14">IF(ROUND(D103,0)&gt;=$Q$7,1,IF(ROUND(D103,0)&gt;=$Q$8,2,IF(ROUND(D103,0)&gt;=$Q$9,3,IF(ROUND(D103,0)&gt;=$Q$10,4,IF(ROUND(D103,0)&gt;=$Q$11,5,IF(ROUND(D103,0)&gt;=$Q$12,6,IF(ROUND(D103,0)&gt;=$Q$13,7,IF(ROUND(D103,0)&gt;=$Q$14,8,9))))))))</f>
        <v>9</v>
      </c>
      <c r="F103" s="68">
        <f t="shared" si="11"/>
        <v>0.78</v>
      </c>
      <c r="G103" s="69">
        <f>IF(D103=D102,"",_xlfn.IFNA(VLOOKUP(D103,'인원 입력 기능(국수)'!$A$5:$D$103,4,FALSE),0))</f>
        <v>150</v>
      </c>
      <c r="H103" s="70">
        <f t="shared" si="12"/>
        <v>4.9817832791426014E-4</v>
      </c>
      <c r="I103" s="80">
        <f>SUM($G$7:G103)</f>
        <v>298822</v>
      </c>
      <c r="J103" s="72">
        <f t="shared" si="13"/>
        <v>0.99244429535996703</v>
      </c>
      <c r="K103" s="31"/>
      <c r="L103" s="20" t="str">
        <f t="shared" si="9"/>
        <v/>
      </c>
      <c r="N103" s="1"/>
    </row>
    <row r="104" spans="1:14" ht="25" customHeight="1" x14ac:dyDescent="0.45">
      <c r="A104" s="5"/>
      <c r="B104" s="30"/>
      <c r="C104" s="73">
        <v>3</v>
      </c>
      <c r="D104" s="67">
        <f t="shared" si="10"/>
        <v>56</v>
      </c>
      <c r="E104" s="67">
        <f t="shared" si="14"/>
        <v>9</v>
      </c>
      <c r="F104" s="68">
        <f t="shared" si="11"/>
        <v>0.76</v>
      </c>
      <c r="G104" s="69">
        <f>IF(D104=D103,"",_xlfn.IFNA(VLOOKUP(D104,'인원 입력 기능(국수)'!$A$5:$D$103,4,FALSE),0))</f>
        <v>3</v>
      </c>
      <c r="H104" s="70">
        <f t="shared" si="12"/>
        <v>9.9635665582852034E-6</v>
      </c>
      <c r="I104" s="80">
        <f>SUM($G$7:G104)</f>
        <v>298825</v>
      </c>
      <c r="J104" s="72">
        <f t="shared" si="13"/>
        <v>0.99245425892652539</v>
      </c>
      <c r="K104" s="31"/>
      <c r="L104" s="20" t="str">
        <f t="shared" si="9"/>
        <v/>
      </c>
      <c r="N104" s="1"/>
    </row>
    <row r="105" spans="1:14" ht="25" customHeight="1" x14ac:dyDescent="0.45">
      <c r="A105" s="5"/>
      <c r="B105" s="30"/>
      <c r="C105" s="73">
        <v>2</v>
      </c>
      <c r="D105" s="67">
        <f t="shared" si="10"/>
        <v>55</v>
      </c>
      <c r="E105" s="67">
        <f t="shared" si="14"/>
        <v>9</v>
      </c>
      <c r="F105" s="68">
        <f t="shared" si="11"/>
        <v>0.72</v>
      </c>
      <c r="G105" s="69">
        <f>IF(D105=D104,"",_xlfn.IFNA(VLOOKUP(D105,'인원 입력 기능(국수)'!$A$5:$D$103,4,FALSE),0))</f>
        <v>210</v>
      </c>
      <c r="H105" s="70">
        <f t="shared" si="12"/>
        <v>6.9744965907996427E-4</v>
      </c>
      <c r="I105" s="80">
        <f>SUM($G$7:G105)</f>
        <v>299035</v>
      </c>
      <c r="J105" s="72">
        <f t="shared" si="13"/>
        <v>0.99315170858560531</v>
      </c>
      <c r="K105" s="31"/>
      <c r="L105" s="20" t="str">
        <f t="shared" si="9"/>
        <v/>
      </c>
      <c r="N105" s="1"/>
    </row>
    <row r="106" spans="1:14" ht="25" customHeight="1" x14ac:dyDescent="0.45">
      <c r="A106" s="5"/>
      <c r="B106" s="30"/>
      <c r="C106" s="73">
        <v>1</v>
      </c>
      <c r="D106" s="74" t="s">
        <v>59</v>
      </c>
      <c r="E106" s="74"/>
      <c r="F106" s="75"/>
      <c r="G106" s="76"/>
      <c r="H106" s="77"/>
      <c r="I106" s="84"/>
      <c r="J106" s="79"/>
      <c r="K106" s="31"/>
      <c r="L106" s="20"/>
    </row>
    <row r="107" spans="1:14" ht="25" customHeight="1" thickBot="1" x14ac:dyDescent="0.5">
      <c r="A107" s="5"/>
      <c r="B107" s="30"/>
      <c r="C107" s="85">
        <v>0</v>
      </c>
      <c r="D107" s="86">
        <f>ROUND(20*(C107-$H$3)/$H$4+100,0)</f>
        <v>53</v>
      </c>
      <c r="E107" s="86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87">
        <f>IF(I105=0,ROUND(100*(1-(I104+I107)/2/$J$3),2),ROUND(100*(1-(I105+I107)/2/$J$3),2))</f>
        <v>0.34</v>
      </c>
      <c r="G107" s="88">
        <f>_xlfn.IFNA(VLOOKUP(D107,'인원 입력 기능(국수)'!$A$5:$D$103,4,FALSE),0)</f>
        <v>2062</v>
      </c>
      <c r="H107" s="89">
        <f>G107/$J$3</f>
        <v>6.8482914143946968E-3</v>
      </c>
      <c r="I107" s="90">
        <f>SUM($G$7:G107)</f>
        <v>301097</v>
      </c>
      <c r="J107" s="91">
        <f>I107/$J$3</f>
        <v>1</v>
      </c>
      <c r="K107" s="31"/>
      <c r="L107" s="20" t="str">
        <f>IF(ABS((C107-$H$3)/$H$4*20+100-D107)&gt;0.49, "경고", "")</f>
        <v/>
      </c>
    </row>
    <row r="108" spans="1:14" s="5" customFormat="1" ht="6" customHeight="1" x14ac:dyDescent="0.45">
      <c r="B108" s="32"/>
      <c r="C108" s="33"/>
      <c r="D108" s="33"/>
      <c r="E108" s="33"/>
      <c r="F108" s="33"/>
      <c r="G108" s="33"/>
      <c r="H108" s="33"/>
      <c r="I108" s="33"/>
      <c r="J108" s="33"/>
      <c r="K108" s="34"/>
    </row>
    <row r="109" spans="1:14" ht="17" customHeight="1" x14ac:dyDescent="0.45">
      <c r="A109" s="5"/>
      <c r="L109" s="5"/>
    </row>
    <row r="110" spans="1:14" x14ac:dyDescent="0.45">
      <c r="A110" s="5"/>
      <c r="C110" s="5"/>
      <c r="D110" s="5"/>
      <c r="E110" s="5"/>
      <c r="F110" s="5"/>
      <c r="G110" s="5"/>
      <c r="H110" s="5"/>
      <c r="I110" s="5"/>
      <c r="J110" s="5"/>
      <c r="L110" s="5"/>
    </row>
  </sheetData>
  <mergeCells count="72">
    <mergeCell ref="D3:F3"/>
    <mergeCell ref="D4:F4"/>
    <mergeCell ref="D16:D17"/>
    <mergeCell ref="E16:E17"/>
    <mergeCell ref="F16:F17"/>
    <mergeCell ref="G16:G17"/>
    <mergeCell ref="H16:H17"/>
    <mergeCell ref="I16:I17"/>
    <mergeCell ref="J16:J17"/>
    <mergeCell ref="D26:D27"/>
    <mergeCell ref="E26:E27"/>
    <mergeCell ref="F26:F27"/>
    <mergeCell ref="G26:G27"/>
    <mergeCell ref="H26:H27"/>
    <mergeCell ref="I26:I27"/>
    <mergeCell ref="J26:J27"/>
    <mergeCell ref="I35:I36"/>
    <mergeCell ref="J35:J36"/>
    <mergeCell ref="D44:D45"/>
    <mergeCell ref="E44:E45"/>
    <mergeCell ref="F44:F45"/>
    <mergeCell ref="G44:G45"/>
    <mergeCell ref="H44:H45"/>
    <mergeCell ref="I44:I45"/>
    <mergeCell ref="J44:J45"/>
    <mergeCell ref="D35:D36"/>
    <mergeCell ref="E35:E36"/>
    <mergeCell ref="F35:F36"/>
    <mergeCell ref="G35:G36"/>
    <mergeCell ref="H35:H36"/>
    <mergeCell ref="I54:I55"/>
    <mergeCell ref="J54:J55"/>
    <mergeCell ref="D63:D64"/>
    <mergeCell ref="E63:E64"/>
    <mergeCell ref="F63:F64"/>
    <mergeCell ref="G63:G64"/>
    <mergeCell ref="H63:H64"/>
    <mergeCell ref="I63:I64"/>
    <mergeCell ref="J63:J64"/>
    <mergeCell ref="D54:D55"/>
    <mergeCell ref="E54:E55"/>
    <mergeCell ref="F54:F55"/>
    <mergeCell ref="G54:G55"/>
    <mergeCell ref="H54:H55"/>
    <mergeCell ref="I72:I73"/>
    <mergeCell ref="J72:J73"/>
    <mergeCell ref="D82:D83"/>
    <mergeCell ref="E82:E83"/>
    <mergeCell ref="F82:F83"/>
    <mergeCell ref="G82:G83"/>
    <mergeCell ref="H82:H83"/>
    <mergeCell ref="I82:I83"/>
    <mergeCell ref="J82:J83"/>
    <mergeCell ref="D72:D73"/>
    <mergeCell ref="E72:E73"/>
    <mergeCell ref="F72:F73"/>
    <mergeCell ref="G72:G73"/>
    <mergeCell ref="H72:H73"/>
    <mergeCell ref="I91:I92"/>
    <mergeCell ref="J91:J92"/>
    <mergeCell ref="D100:D101"/>
    <mergeCell ref="E100:E101"/>
    <mergeCell ref="F100:F101"/>
    <mergeCell ref="G100:G101"/>
    <mergeCell ref="H100:H101"/>
    <mergeCell ref="I100:I101"/>
    <mergeCell ref="J100:J101"/>
    <mergeCell ref="D91:D92"/>
    <mergeCell ref="E91:E92"/>
    <mergeCell ref="F91:F92"/>
    <mergeCell ref="G91:G92"/>
    <mergeCell ref="H91:H92"/>
  </mergeCells>
  <phoneticPr fontId="1" type="noConversion"/>
  <conditionalFormatting sqref="C7:C106">
    <cfRule type="expression" dxfId="84" priority="2">
      <formula>OR(AND($D7=0,OR($D6=$Q$7:$Q$14)),AND($D8&gt;0,OR($D7=$Q$7:$Q$14)))</formula>
    </cfRule>
  </conditionalFormatting>
  <conditionalFormatting sqref="D7:J16 D18:J26 D28:J35 D37:J44 D46:J54 D56:J63 D65:J72 D74:J82 D84:J91 D93:J100 D102:J107">
    <cfRule type="expression" dxfId="83" priority="3">
      <formula>OR($D7=$Q$7:$Q$14)</formula>
    </cfRule>
  </conditionalFormatting>
  <conditionalFormatting sqref="D7:D16 D18:D26 D28:D35 D37:D44 D46:D54 D56:D63 D65:D72 D74:D82 D84:D91 D93:D100 D102:D106">
    <cfRule type="expression" dxfId="82" priority="1">
      <formula>$D7=$D8</formula>
    </cfRule>
  </conditionalFormatting>
  <conditionalFormatting sqref="C107">
    <cfRule type="expression" dxfId="81" priority="7">
      <formula>OR(AND($D107=0,OR($D106=$Q$7:$Q$14)),AND($D109&gt;0,OR($D107=$Q$7:$Q$14)))</formula>
    </cfRule>
  </conditionalFormatting>
  <conditionalFormatting sqref="D107">
    <cfRule type="expression" dxfId="80" priority="9">
      <formula>$D107=$D109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749FE-5941-4A60-840C-DC2EFCC49008}">
  <sheetPr codeName="Sheet7"/>
  <dimension ref="A1:Q109"/>
  <sheetViews>
    <sheetView zoomScaleNormal="100" workbookViewId="0">
      <selection activeCell="B2" sqref="B2:K10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4" width="12.4140625" customWidth="1"/>
  </cols>
  <sheetData>
    <row r="1" spans="1:17" x14ac:dyDescent="0.45">
      <c r="A1" s="5" t="s">
        <v>87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ht="25" customHeight="1" thickBot="1" x14ac:dyDescent="0.5">
      <c r="A3" s="5"/>
      <c r="B3" s="30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기능'!D5</f>
        <v>36.738078556654699</v>
      </c>
      <c r="I3" s="21" t="s">
        <v>117</v>
      </c>
      <c r="J3" s="58">
        <f>'통계 및 응시자 수 입력 기능'!C5</f>
        <v>298307</v>
      </c>
      <c r="K3" s="31"/>
      <c r="L3" s="5"/>
    </row>
    <row r="4" spans="1:17" ht="25" customHeight="1" thickBot="1" x14ac:dyDescent="0.5">
      <c r="A4" s="5"/>
      <c r="B4" s="30"/>
      <c r="C4" s="59" t="s">
        <v>118</v>
      </c>
      <c r="D4" s="191" t="s">
        <v>129</v>
      </c>
      <c r="E4" s="192"/>
      <c r="F4" s="193"/>
      <c r="G4" s="60" t="s">
        <v>120</v>
      </c>
      <c r="H4" s="61">
        <f>'통계 및 응시자 수 입력 기능'!E5</f>
        <v>23.773254657374601</v>
      </c>
      <c r="I4" s="37"/>
      <c r="J4" s="38"/>
      <c r="K4" s="31"/>
      <c r="L4" s="5"/>
    </row>
    <row r="5" spans="1:17" ht="25" customHeight="1" thickBot="1" x14ac:dyDescent="0.5">
      <c r="A5" s="5"/>
      <c r="B5" s="30"/>
      <c r="C5" s="19"/>
      <c r="D5" s="19"/>
      <c r="E5" s="19"/>
      <c r="F5" s="19"/>
      <c r="G5" s="19"/>
      <c r="H5" s="20"/>
      <c r="I5" s="20"/>
      <c r="J5" s="20"/>
      <c r="K5" s="31"/>
      <c r="L5" s="5"/>
    </row>
    <row r="6" spans="1:17" ht="25" customHeight="1" thickBot="1" x14ac:dyDescent="0.5">
      <c r="A6" s="5"/>
      <c r="B6" s="30"/>
      <c r="C6" s="62" t="s">
        <v>121</v>
      </c>
      <c r="D6" s="63" t="s">
        <v>122</v>
      </c>
      <c r="E6" s="63" t="s">
        <v>123</v>
      </c>
      <c r="F6" s="63" t="s">
        <v>124</v>
      </c>
      <c r="G6" s="63" t="s">
        <v>125</v>
      </c>
      <c r="H6" s="64" t="s">
        <v>126</v>
      </c>
      <c r="I6" s="64" t="s">
        <v>127</v>
      </c>
      <c r="J6" s="65" t="s">
        <v>128</v>
      </c>
      <c r="K6" s="31"/>
      <c r="L6" s="3" t="s">
        <v>86</v>
      </c>
      <c r="M6" s="3"/>
      <c r="N6" s="4"/>
    </row>
    <row r="7" spans="1:17" ht="25" customHeight="1" x14ac:dyDescent="0.45">
      <c r="A7" s="5"/>
      <c r="B7" s="30"/>
      <c r="C7" s="66">
        <v>100</v>
      </c>
      <c r="D7" s="67">
        <f>ROUND(20*(C7-$H$3)/$H$4+100,0)</f>
        <v>153</v>
      </c>
      <c r="E7" s="67">
        <f t="shared" ref="E7:E70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8">
        <f>ROUND(100*(1-(0+I7)/2/$J$3),2)</f>
        <v>99.92</v>
      </c>
      <c r="G7" s="69">
        <f>_xlfn.IFNA(VLOOKUP(D7,'인원 입력 기능(국수)'!$F$5:$I$103,4,FALSE),0)</f>
        <v>476</v>
      </c>
      <c r="H7" s="70">
        <f>G7/$J$3</f>
        <v>1.5956715732450128E-3</v>
      </c>
      <c r="I7" s="71">
        <f>G7</f>
        <v>476</v>
      </c>
      <c r="J7" s="72">
        <f>I7/$J$3</f>
        <v>1.5956715732450128E-3</v>
      </c>
      <c r="K7" s="31"/>
      <c r="L7" s="20" t="str">
        <f>IF(ABS((C7-$H$3)/$H$4*20+100-D7)&gt;0.49, "경고", "")</f>
        <v/>
      </c>
      <c r="N7" s="1"/>
      <c r="P7" s="1">
        <v>1</v>
      </c>
      <c r="Q7" s="1">
        <f>'표점등급&amp;절평인원 입력 기능'!C13</f>
        <v>140</v>
      </c>
    </row>
    <row r="8" spans="1:17" ht="25" customHeight="1" x14ac:dyDescent="0.45">
      <c r="A8" s="5"/>
      <c r="B8" s="30"/>
      <c r="C8" s="73">
        <v>99</v>
      </c>
      <c r="D8" s="74" t="s">
        <v>59</v>
      </c>
      <c r="E8" s="74"/>
      <c r="F8" s="75"/>
      <c r="G8" s="76"/>
      <c r="H8" s="77"/>
      <c r="I8" s="78"/>
      <c r="J8" s="79"/>
      <c r="K8" s="31"/>
      <c r="L8" s="20"/>
      <c r="N8" s="1"/>
      <c r="P8" s="1">
        <v>2</v>
      </c>
      <c r="Q8" s="1">
        <f>'표점등급&amp;절평인원 입력 기능'!C14</f>
        <v>131</v>
      </c>
    </row>
    <row r="9" spans="1:17" ht="25" customHeight="1" x14ac:dyDescent="0.45">
      <c r="A9" s="5"/>
      <c r="B9" s="30"/>
      <c r="C9" s="73">
        <v>98</v>
      </c>
      <c r="D9" s="67">
        <f t="shared" ref="D9:D40" si="1">ROUND(20*(C9-$H$3)/$H$4+100,0)</f>
        <v>152</v>
      </c>
      <c r="E9" s="67">
        <f t="shared" si="0"/>
        <v>1</v>
      </c>
      <c r="F9" s="68">
        <f>IF(I8=0,ROUND(100*(1-(I7+I9)/2/$J$3),2),ROUND(100*(1-(I8+I9)/2/$J$3),2))</f>
        <v>99.84</v>
      </c>
      <c r="G9" s="69">
        <f>_xlfn.IFNA(VLOOKUP(D9,'인원 입력 기능(국수)'!$F$5:$I$103,4,FALSE),0)</f>
        <v>2</v>
      </c>
      <c r="H9" s="70">
        <f>G9/$J$3</f>
        <v>6.7045024085924904E-6</v>
      </c>
      <c r="I9" s="80">
        <f>SUM($G$7:G9)</f>
        <v>478</v>
      </c>
      <c r="J9" s="72">
        <f>I9/$J$3</f>
        <v>1.6023760756536051E-3</v>
      </c>
      <c r="K9" s="31"/>
      <c r="L9" s="20" t="str">
        <f t="shared" ref="L9:L40" si="2">IF(ABS((C9-$H$3)/$H$4*20+100-D9)&gt;0.49, "경고", "")</f>
        <v/>
      </c>
      <c r="N9" s="1"/>
      <c r="P9" s="1">
        <v>3</v>
      </c>
      <c r="Q9" s="1">
        <f>'표점등급&amp;절평인원 입력 기능'!C15</f>
        <v>117</v>
      </c>
    </row>
    <row r="10" spans="1:17" ht="25" customHeight="1" x14ac:dyDescent="0.45">
      <c r="A10" s="5"/>
      <c r="B10" s="30"/>
      <c r="C10" s="73">
        <v>97</v>
      </c>
      <c r="D10" s="67">
        <f t="shared" si="1"/>
        <v>151</v>
      </c>
      <c r="E10" s="67">
        <f t="shared" si="0"/>
        <v>1</v>
      </c>
      <c r="F10" s="68">
        <f t="shared" ref="F10:F73" si="3">IF(I9=0,ROUND(100*(1-(I8+I10)/2/$J$3),2),ROUND(100*(1-(I9+I10)/2/$J$3),2))</f>
        <v>99.83</v>
      </c>
      <c r="G10" s="69">
        <f>IF(D10=D9,"",_xlfn.IFNA(VLOOKUP(D10,'인원 입력 기능(국수)'!$F$5:$I$103,4,FALSE),0))</f>
        <v>78</v>
      </c>
      <c r="H10" s="70">
        <f t="shared" ref="H10:H73" si="4">G10/$J$3</f>
        <v>2.614755939351071E-4</v>
      </c>
      <c r="I10" s="80">
        <f>SUM($G$7:G10)</f>
        <v>556</v>
      </c>
      <c r="J10" s="72">
        <f t="shared" ref="J10:J73" si="5">I10/$J$3</f>
        <v>1.8638516695887123E-3</v>
      </c>
      <c r="K10" s="31"/>
      <c r="L10" s="20" t="str">
        <f t="shared" si="2"/>
        <v/>
      </c>
      <c r="N10" s="1"/>
      <c r="P10" s="1">
        <v>4</v>
      </c>
      <c r="Q10" s="1">
        <f>'표점등급&amp;절평인원 입력 기능'!C16</f>
        <v>101</v>
      </c>
    </row>
    <row r="11" spans="1:17" ht="25" customHeight="1" x14ac:dyDescent="0.45">
      <c r="A11" s="5"/>
      <c r="B11" s="30"/>
      <c r="C11" s="73">
        <v>96</v>
      </c>
      <c r="D11" s="67">
        <f t="shared" si="1"/>
        <v>150</v>
      </c>
      <c r="E11" s="67">
        <f t="shared" si="0"/>
        <v>1</v>
      </c>
      <c r="F11" s="68">
        <f t="shared" si="3"/>
        <v>99.6</v>
      </c>
      <c r="G11" s="69">
        <f>IF(D11=D10,"",_xlfn.IFNA(VLOOKUP(D11,'인원 입력 기능(국수)'!$F$5:$I$103,4,FALSE),0))</f>
        <v>1289</v>
      </c>
      <c r="H11" s="70">
        <f t="shared" si="4"/>
        <v>4.3210518023378596E-3</v>
      </c>
      <c r="I11" s="80">
        <f>SUM($G$7:G11)</f>
        <v>1845</v>
      </c>
      <c r="J11" s="72">
        <f t="shared" si="5"/>
        <v>6.1849034719265719E-3</v>
      </c>
      <c r="K11" s="31"/>
      <c r="L11" s="20" t="str">
        <f t="shared" si="2"/>
        <v/>
      </c>
      <c r="N11" s="1"/>
      <c r="P11" s="1">
        <v>5</v>
      </c>
      <c r="Q11" s="1">
        <f>'표점등급&amp;절평인원 입력 기능'!C17</f>
        <v>88</v>
      </c>
    </row>
    <row r="12" spans="1:17" ht="25" customHeight="1" x14ac:dyDescent="0.45">
      <c r="A12" s="5"/>
      <c r="B12" s="30"/>
      <c r="C12" s="73">
        <v>95</v>
      </c>
      <c r="D12" s="67">
        <f t="shared" si="1"/>
        <v>149</v>
      </c>
      <c r="E12" s="67">
        <f t="shared" si="0"/>
        <v>1</v>
      </c>
      <c r="F12" s="68">
        <f t="shared" si="3"/>
        <v>99.38</v>
      </c>
      <c r="G12" s="69">
        <f>IF(D12=D11,"",_xlfn.IFNA(VLOOKUP(D12,'인원 입력 기능(국수)'!$F$5:$I$103,4,FALSE),0))</f>
        <v>0</v>
      </c>
      <c r="H12" s="70">
        <f t="shared" si="4"/>
        <v>0</v>
      </c>
      <c r="I12" s="80">
        <f>SUM($G$7:G12)</f>
        <v>1845</v>
      </c>
      <c r="J12" s="72">
        <f t="shared" si="5"/>
        <v>6.1849034719265719E-3</v>
      </c>
      <c r="K12" s="31"/>
      <c r="L12" s="20" t="str">
        <f t="shared" si="2"/>
        <v/>
      </c>
      <c r="N12" s="1"/>
      <c r="P12" s="1">
        <v>6</v>
      </c>
      <c r="Q12" s="1">
        <f>'표점등급&amp;절평인원 입력 기능'!C18</f>
        <v>82</v>
      </c>
    </row>
    <row r="13" spans="1:17" ht="25" customHeight="1" x14ac:dyDescent="0.45">
      <c r="A13" s="5"/>
      <c r="B13" s="30"/>
      <c r="C13" s="73">
        <v>94</v>
      </c>
      <c r="D13" s="67">
        <f t="shared" si="1"/>
        <v>148</v>
      </c>
      <c r="E13" s="67">
        <f t="shared" si="0"/>
        <v>1</v>
      </c>
      <c r="F13" s="68">
        <f t="shared" si="3"/>
        <v>99.38</v>
      </c>
      <c r="G13" s="69">
        <f>IF(D13=D12,"",_xlfn.IFNA(VLOOKUP(D13,'인원 입력 기능(국수)'!$F$5:$I$103,4,FALSE),0))</f>
        <v>11</v>
      </c>
      <c r="H13" s="70">
        <f t="shared" si="4"/>
        <v>3.6874763247258696E-5</v>
      </c>
      <c r="I13" s="80">
        <f>SUM($G$7:G13)</f>
        <v>1856</v>
      </c>
      <c r="J13" s="72">
        <f t="shared" si="5"/>
        <v>6.2217782351738308E-3</v>
      </c>
      <c r="K13" s="31"/>
      <c r="L13" s="20" t="str">
        <f t="shared" si="2"/>
        <v/>
      </c>
      <c r="N13" s="1"/>
      <c r="P13" s="1">
        <v>7</v>
      </c>
      <c r="Q13" s="1">
        <f>'표점등급&amp;절평인원 입력 기능'!C19</f>
        <v>79</v>
      </c>
    </row>
    <row r="14" spans="1:17" ht="25" customHeight="1" x14ac:dyDescent="0.45">
      <c r="A14" s="5"/>
      <c r="B14" s="30"/>
      <c r="C14" s="73">
        <v>93</v>
      </c>
      <c r="D14" s="67">
        <f t="shared" si="1"/>
        <v>147</v>
      </c>
      <c r="E14" s="67">
        <f t="shared" si="0"/>
        <v>1</v>
      </c>
      <c r="F14" s="68">
        <f t="shared" si="3"/>
        <v>99.33</v>
      </c>
      <c r="G14" s="69">
        <f>IF(D14=D13,"",_xlfn.IFNA(VLOOKUP(D14,'인원 입력 기능(국수)'!$F$5:$I$103,4,FALSE),0))</f>
        <v>307</v>
      </c>
      <c r="H14" s="70">
        <f t="shared" si="4"/>
        <v>1.0291411197189473E-3</v>
      </c>
      <c r="I14" s="80">
        <f>SUM($G$7:G14)</f>
        <v>2163</v>
      </c>
      <c r="J14" s="72">
        <f t="shared" si="5"/>
        <v>7.2509193548927781E-3</v>
      </c>
      <c r="K14" s="31"/>
      <c r="L14" s="20" t="str">
        <f t="shared" si="2"/>
        <v/>
      </c>
      <c r="N14" s="1"/>
      <c r="P14" s="1">
        <v>8</v>
      </c>
      <c r="Q14" s="1">
        <f>'표점등급&amp;절평인원 입력 기능'!C20</f>
        <v>77</v>
      </c>
    </row>
    <row r="15" spans="1:17" ht="25" customHeight="1" x14ac:dyDescent="0.45">
      <c r="A15" s="5"/>
      <c r="B15" s="30"/>
      <c r="C15" s="73">
        <v>92</v>
      </c>
      <c r="D15" s="178">
        <f t="shared" si="1"/>
        <v>146</v>
      </c>
      <c r="E15" s="178">
        <f t="shared" si="0"/>
        <v>1</v>
      </c>
      <c r="F15" s="182">
        <f t="shared" si="3"/>
        <v>98.83</v>
      </c>
      <c r="G15" s="184">
        <f>IF(D15=D14,"",_xlfn.IFNA(VLOOKUP(D15,'인원 입력 기능(국수)'!$F$5:$I$103,4,FALSE),0))</f>
        <v>2626</v>
      </c>
      <c r="H15" s="186">
        <f t="shared" si="4"/>
        <v>8.8030116624819403E-3</v>
      </c>
      <c r="I15" s="194">
        <f>SUM($G$7:G15)</f>
        <v>4789</v>
      </c>
      <c r="J15" s="176">
        <f t="shared" si="5"/>
        <v>1.6053931017374717E-2</v>
      </c>
      <c r="K15" s="31"/>
      <c r="L15" s="20" t="str">
        <f t="shared" si="2"/>
        <v>경고</v>
      </c>
      <c r="N15" s="1"/>
      <c r="P15" s="1">
        <v>9</v>
      </c>
    </row>
    <row r="16" spans="1:17" ht="25" customHeight="1" x14ac:dyDescent="0.45">
      <c r="A16" s="5"/>
      <c r="B16" s="30"/>
      <c r="C16" s="73">
        <v>91</v>
      </c>
      <c r="D16" s="179"/>
      <c r="E16" s="179"/>
      <c r="F16" s="183"/>
      <c r="G16" s="185"/>
      <c r="H16" s="187"/>
      <c r="I16" s="195"/>
      <c r="J16" s="177"/>
      <c r="K16" s="31"/>
      <c r="L16" s="20" t="str">
        <f t="shared" si="2"/>
        <v>경고</v>
      </c>
      <c r="N16" s="1"/>
    </row>
    <row r="17" spans="1:17" ht="25" customHeight="1" x14ac:dyDescent="0.45">
      <c r="A17" s="5"/>
      <c r="B17" s="30"/>
      <c r="C17" s="73">
        <v>90</v>
      </c>
      <c r="D17" s="67">
        <f t="shared" si="1"/>
        <v>145</v>
      </c>
      <c r="E17" s="67">
        <f t="shared" si="0"/>
        <v>1</v>
      </c>
      <c r="F17" s="68">
        <f t="shared" si="3"/>
        <v>98.38</v>
      </c>
      <c r="G17" s="69">
        <f>IF(D17=D16,"",_xlfn.IFNA(VLOOKUP(D17,'인원 입력 기능(국수)'!$F$5:$I$103,4,FALSE),0))</f>
        <v>69</v>
      </c>
      <c r="H17" s="70">
        <f t="shared" si="4"/>
        <v>2.3130533309644093E-4</v>
      </c>
      <c r="I17" s="80">
        <f>SUM($G$7:G17)</f>
        <v>4858</v>
      </c>
      <c r="J17" s="72">
        <f t="shared" si="5"/>
        <v>1.6285236350471161E-2</v>
      </c>
      <c r="K17" s="31"/>
      <c r="L17" s="20" t="str">
        <f t="shared" si="2"/>
        <v/>
      </c>
      <c r="N17" s="1"/>
      <c r="Q17" s="1">
        <f>Q7*H3*H4*J3*IFERROR(IF(J107=1, 1, 0), 0)</f>
        <v>36475105876.400894</v>
      </c>
    </row>
    <row r="18" spans="1:17" ht="25" customHeight="1" x14ac:dyDescent="0.45">
      <c r="A18" s="5"/>
      <c r="B18" s="30"/>
      <c r="C18" s="73">
        <v>89</v>
      </c>
      <c r="D18" s="67">
        <f t="shared" si="1"/>
        <v>144</v>
      </c>
      <c r="E18" s="67">
        <f t="shared" si="0"/>
        <v>1</v>
      </c>
      <c r="F18" s="68">
        <f t="shared" si="3"/>
        <v>98.22</v>
      </c>
      <c r="G18" s="69">
        <f>IF(D18=D17,"",_xlfn.IFNA(VLOOKUP(D18,'인원 입력 기능(국수)'!$F$5:$I$103,4,FALSE),0))</f>
        <v>901</v>
      </c>
      <c r="H18" s="70">
        <f t="shared" si="4"/>
        <v>3.020378335070917E-3</v>
      </c>
      <c r="I18" s="80">
        <f>SUM($G$7:G18)</f>
        <v>5759</v>
      </c>
      <c r="J18" s="72">
        <f t="shared" si="5"/>
        <v>1.9305614685542077E-2</v>
      </c>
      <c r="K18" s="31"/>
      <c r="L18" s="20" t="str">
        <f t="shared" si="2"/>
        <v/>
      </c>
      <c r="N18" s="1"/>
    </row>
    <row r="19" spans="1:17" ht="25" customHeight="1" x14ac:dyDescent="0.45">
      <c r="A19" s="5"/>
      <c r="B19" s="30"/>
      <c r="C19" s="73">
        <v>88</v>
      </c>
      <c r="D19" s="67">
        <f t="shared" si="1"/>
        <v>143</v>
      </c>
      <c r="E19" s="82">
        <f t="shared" si="0"/>
        <v>1</v>
      </c>
      <c r="F19" s="68">
        <f t="shared" si="3"/>
        <v>97.46</v>
      </c>
      <c r="G19" s="69">
        <f>IF(D19=D18,"",_xlfn.IFNA(VLOOKUP(D19,'인원 입력 기능(국수)'!$F$5:$I$103,4,FALSE),0))</f>
        <v>3630</v>
      </c>
      <c r="H19" s="70">
        <f t="shared" si="4"/>
        <v>1.2168671871595369E-2</v>
      </c>
      <c r="I19" s="80">
        <f>SUM($G$7:G19)</f>
        <v>9389</v>
      </c>
      <c r="J19" s="72">
        <f t="shared" si="5"/>
        <v>3.1474286557137444E-2</v>
      </c>
      <c r="K19" s="31"/>
      <c r="L19" s="20" t="str">
        <f t="shared" si="2"/>
        <v/>
      </c>
      <c r="N19" s="1"/>
    </row>
    <row r="20" spans="1:17" ht="25" customHeight="1" x14ac:dyDescent="0.45">
      <c r="A20" s="5"/>
      <c r="B20" s="30"/>
      <c r="C20" s="73">
        <v>87</v>
      </c>
      <c r="D20" s="67">
        <f t="shared" si="1"/>
        <v>142</v>
      </c>
      <c r="E20" s="82">
        <f t="shared" si="0"/>
        <v>1</v>
      </c>
      <c r="F20" s="68">
        <f t="shared" si="3"/>
        <v>96.85</v>
      </c>
      <c r="G20" s="69">
        <f>IF(D20=D19,"",_xlfn.IFNA(VLOOKUP(D20,'인원 입력 기능(국수)'!$F$5:$I$103,4,FALSE),0))</f>
        <v>9</v>
      </c>
      <c r="H20" s="70">
        <f t="shared" si="4"/>
        <v>3.0170260838666205E-5</v>
      </c>
      <c r="I20" s="80">
        <f>SUM($G$7:G20)</f>
        <v>9398</v>
      </c>
      <c r="J20" s="72">
        <f t="shared" si="5"/>
        <v>3.1504456817976111E-2</v>
      </c>
      <c r="K20" s="31"/>
      <c r="L20" s="20" t="str">
        <f t="shared" si="2"/>
        <v/>
      </c>
      <c r="N20" s="1"/>
    </row>
    <row r="21" spans="1:17" ht="25" customHeight="1" x14ac:dyDescent="0.45">
      <c r="A21" s="5"/>
      <c r="B21" s="30"/>
      <c r="C21" s="73">
        <v>86</v>
      </c>
      <c r="D21" s="178">
        <f t="shared" si="1"/>
        <v>141</v>
      </c>
      <c r="E21" s="180">
        <f t="shared" si="0"/>
        <v>1</v>
      </c>
      <c r="F21" s="182">
        <f t="shared" si="3"/>
        <v>96.55</v>
      </c>
      <c r="G21" s="184">
        <f>IF(D21=D20,"",_xlfn.IFNA(VLOOKUP(D21,'인원 입력 기능(국수)'!$F$5:$I$103,4,FALSE),0))</f>
        <v>1809</v>
      </c>
      <c r="H21" s="186">
        <f t="shared" si="4"/>
        <v>6.0642224285719073E-3</v>
      </c>
      <c r="I21" s="194">
        <f>SUM($G$7:G21)</f>
        <v>11207</v>
      </c>
      <c r="J21" s="176">
        <f t="shared" si="5"/>
        <v>3.7568679246548019E-2</v>
      </c>
      <c r="K21" s="31"/>
      <c r="L21" s="20" t="str">
        <f t="shared" si="2"/>
        <v/>
      </c>
      <c r="N21" s="1"/>
    </row>
    <row r="22" spans="1:17" ht="25" customHeight="1" x14ac:dyDescent="0.45">
      <c r="A22" s="5"/>
      <c r="B22" s="30"/>
      <c r="C22" s="73">
        <v>85</v>
      </c>
      <c r="D22" s="179"/>
      <c r="E22" s="181"/>
      <c r="F22" s="183"/>
      <c r="G22" s="185"/>
      <c r="H22" s="187"/>
      <c r="I22" s="195"/>
      <c r="J22" s="177"/>
      <c r="K22" s="31"/>
      <c r="L22" s="20" t="str">
        <f t="shared" si="2"/>
        <v>경고</v>
      </c>
      <c r="N22" s="1"/>
    </row>
    <row r="23" spans="1:17" ht="25" customHeight="1" x14ac:dyDescent="0.45">
      <c r="A23" s="5"/>
      <c r="B23" s="30"/>
      <c r="C23" s="73">
        <v>84</v>
      </c>
      <c r="D23" s="67">
        <f t="shared" si="1"/>
        <v>140</v>
      </c>
      <c r="E23" s="82">
        <f t="shared" si="0"/>
        <v>1</v>
      </c>
      <c r="F23" s="68">
        <f t="shared" si="3"/>
        <v>95.58</v>
      </c>
      <c r="G23" s="69">
        <f>IF(D23=D22,"",_xlfn.IFNA(VLOOKUP(D23,'인원 입력 기능(국수)'!$F$5:$I$103,4,FALSE),0))</f>
        <v>3981</v>
      </c>
      <c r="H23" s="70">
        <f t="shared" si="4"/>
        <v>1.3345312044303352E-2</v>
      </c>
      <c r="I23" s="80">
        <f>SUM($G$7:G23)</f>
        <v>15188</v>
      </c>
      <c r="J23" s="72">
        <f t="shared" si="5"/>
        <v>5.0913991290851369E-2</v>
      </c>
      <c r="K23" s="31"/>
      <c r="L23" s="20" t="str">
        <f t="shared" si="2"/>
        <v/>
      </c>
      <c r="N23" s="1"/>
    </row>
    <row r="24" spans="1:17" ht="25" customHeight="1" x14ac:dyDescent="0.45">
      <c r="A24" s="5"/>
      <c r="B24" s="30"/>
      <c r="C24" s="81">
        <v>83</v>
      </c>
      <c r="D24" s="82">
        <f t="shared" si="1"/>
        <v>139</v>
      </c>
      <c r="E24" s="82">
        <f t="shared" si="0"/>
        <v>2</v>
      </c>
      <c r="F24" s="68">
        <f t="shared" si="3"/>
        <v>94.9</v>
      </c>
      <c r="G24" s="69">
        <f>IF(D24=D23,"",_xlfn.IFNA(VLOOKUP(D24,'인원 입력 기능(국수)'!$F$5:$I$103,4,FALSE),0))</f>
        <v>52</v>
      </c>
      <c r="H24" s="70">
        <f t="shared" si="4"/>
        <v>1.7431706262340476E-4</v>
      </c>
      <c r="I24" s="83">
        <f>SUM($G$7:G24)</f>
        <v>15240</v>
      </c>
      <c r="J24" s="72">
        <f t="shared" si="5"/>
        <v>5.1088308353474776E-2</v>
      </c>
      <c r="K24" s="31"/>
      <c r="L24" s="20" t="str">
        <f t="shared" si="2"/>
        <v/>
      </c>
      <c r="N24" s="1"/>
    </row>
    <row r="25" spans="1:17" ht="25" customHeight="1" x14ac:dyDescent="0.45">
      <c r="A25" s="5"/>
      <c r="B25" s="30"/>
      <c r="C25" s="81">
        <v>82</v>
      </c>
      <c r="D25" s="82">
        <f t="shared" si="1"/>
        <v>138</v>
      </c>
      <c r="E25" s="82">
        <f t="shared" si="0"/>
        <v>2</v>
      </c>
      <c r="F25" s="68">
        <f t="shared" si="3"/>
        <v>94.82</v>
      </c>
      <c r="G25" s="69">
        <f>IF(D25=D24,"",_xlfn.IFNA(VLOOKUP(D25,'인원 입력 기능(국수)'!$F$5:$I$103,4,FALSE),0))</f>
        <v>442</v>
      </c>
      <c r="H25" s="70">
        <f t="shared" si="4"/>
        <v>1.4816950322989403E-3</v>
      </c>
      <c r="I25" s="83">
        <f>SUM($G$7:G25)</f>
        <v>15682</v>
      </c>
      <c r="J25" s="72">
        <f t="shared" si="5"/>
        <v>5.2570003385773716E-2</v>
      </c>
      <c r="K25" s="31"/>
      <c r="L25" s="20" t="str">
        <f t="shared" si="2"/>
        <v/>
      </c>
      <c r="N25" s="1"/>
    </row>
    <row r="26" spans="1:17" ht="25" customHeight="1" x14ac:dyDescent="0.45">
      <c r="A26" s="5"/>
      <c r="B26" s="30"/>
      <c r="C26" s="81">
        <v>81</v>
      </c>
      <c r="D26" s="82">
        <f t="shared" si="1"/>
        <v>137</v>
      </c>
      <c r="E26" s="82">
        <f t="shared" si="0"/>
        <v>2</v>
      </c>
      <c r="F26" s="68">
        <f t="shared" si="3"/>
        <v>94.37</v>
      </c>
      <c r="G26" s="69">
        <f>IF(D26=D25,"",_xlfn.IFNA(VLOOKUP(D26,'인원 입력 기능(국수)'!$F$5:$I$103,4,FALSE),0))</f>
        <v>2219</v>
      </c>
      <c r="H26" s="70">
        <f t="shared" si="4"/>
        <v>7.4386454223333677E-3</v>
      </c>
      <c r="I26" s="83">
        <f>SUM($G$7:G26)</f>
        <v>17901</v>
      </c>
      <c r="J26" s="72">
        <f t="shared" si="5"/>
        <v>6.0008648808107086E-2</v>
      </c>
      <c r="K26" s="31"/>
      <c r="L26" s="20" t="str">
        <f t="shared" si="2"/>
        <v/>
      </c>
      <c r="N26" s="1"/>
    </row>
    <row r="27" spans="1:17" ht="25" customHeight="1" x14ac:dyDescent="0.45">
      <c r="A27" s="5"/>
      <c r="B27" s="30"/>
      <c r="C27" s="81">
        <v>80</v>
      </c>
      <c r="D27" s="180">
        <f t="shared" si="1"/>
        <v>136</v>
      </c>
      <c r="E27" s="180">
        <f t="shared" si="0"/>
        <v>2</v>
      </c>
      <c r="F27" s="182">
        <f t="shared" si="3"/>
        <v>93.35</v>
      </c>
      <c r="G27" s="184">
        <f>IF(D27=D26,"",_xlfn.IFNA(VLOOKUP(D27,'인원 입력 기능(국수)'!$F$5:$I$103,4,FALSE),0))</f>
        <v>3894</v>
      </c>
      <c r="H27" s="186">
        <f t="shared" si="4"/>
        <v>1.3053666189529578E-2</v>
      </c>
      <c r="I27" s="174">
        <f>SUM($G$7:G27)</f>
        <v>21795</v>
      </c>
      <c r="J27" s="176">
        <f t="shared" si="5"/>
        <v>7.3062314997636657E-2</v>
      </c>
      <c r="K27" s="31"/>
      <c r="L27" s="20" t="str">
        <f t="shared" si="2"/>
        <v/>
      </c>
      <c r="N27" s="1"/>
    </row>
    <row r="28" spans="1:17" ht="25" customHeight="1" x14ac:dyDescent="0.45">
      <c r="A28" s="5"/>
      <c r="B28" s="30"/>
      <c r="C28" s="81">
        <v>79</v>
      </c>
      <c r="D28" s="181"/>
      <c r="E28" s="181"/>
      <c r="F28" s="183"/>
      <c r="G28" s="185"/>
      <c r="H28" s="187"/>
      <c r="I28" s="175"/>
      <c r="J28" s="177"/>
      <c r="K28" s="31"/>
      <c r="L28" s="20" t="str">
        <f t="shared" si="2"/>
        <v>경고</v>
      </c>
      <c r="N28" s="1"/>
    </row>
    <row r="29" spans="1:17" ht="25" customHeight="1" x14ac:dyDescent="0.45">
      <c r="A29" s="5"/>
      <c r="B29" s="30"/>
      <c r="C29" s="81">
        <v>78</v>
      </c>
      <c r="D29" s="82">
        <f t="shared" si="1"/>
        <v>135</v>
      </c>
      <c r="E29" s="82">
        <f t="shared" si="0"/>
        <v>2</v>
      </c>
      <c r="F29" s="68">
        <f t="shared" si="3"/>
        <v>92.56</v>
      </c>
      <c r="G29" s="69">
        <f>IF(D29=D28,"",_xlfn.IFNA(VLOOKUP(D29,'인원 입력 기능(국수)'!$F$5:$I$103,4,FALSE),0))</f>
        <v>827</v>
      </c>
      <c r="H29" s="70">
        <f t="shared" si="4"/>
        <v>2.7723117459529946E-3</v>
      </c>
      <c r="I29" s="83">
        <f>SUM($G$7:G29)</f>
        <v>22622</v>
      </c>
      <c r="J29" s="72">
        <f t="shared" si="5"/>
        <v>7.5834626743589664E-2</v>
      </c>
      <c r="K29" s="31"/>
      <c r="L29" s="20" t="str">
        <f t="shared" si="2"/>
        <v/>
      </c>
      <c r="N29" s="1"/>
    </row>
    <row r="30" spans="1:17" ht="25" customHeight="1" x14ac:dyDescent="0.45">
      <c r="A30" s="5"/>
      <c r="B30" s="30"/>
      <c r="C30" s="81">
        <v>77</v>
      </c>
      <c r="D30" s="82">
        <f t="shared" si="1"/>
        <v>134</v>
      </c>
      <c r="E30" s="82">
        <f t="shared" si="0"/>
        <v>2</v>
      </c>
      <c r="F30" s="68">
        <f t="shared" si="3"/>
        <v>91.96</v>
      </c>
      <c r="G30" s="69">
        <f>IF(D30=D29,"",_xlfn.IFNA(VLOOKUP(D30,'인원 입력 기능(국수)'!$F$5:$I$103,4,FALSE),0))</f>
        <v>2750</v>
      </c>
      <c r="H30" s="70">
        <f t="shared" si="4"/>
        <v>9.2186908118146744E-3</v>
      </c>
      <c r="I30" s="83">
        <f>SUM($G$7:G30)</f>
        <v>25372</v>
      </c>
      <c r="J30" s="72">
        <f t="shared" si="5"/>
        <v>8.5053317555404337E-2</v>
      </c>
      <c r="K30" s="31"/>
      <c r="L30" s="20" t="str">
        <f t="shared" si="2"/>
        <v/>
      </c>
      <c r="N30" s="1"/>
    </row>
    <row r="31" spans="1:17" ht="25" customHeight="1" x14ac:dyDescent="0.45">
      <c r="A31" s="5"/>
      <c r="B31" s="30"/>
      <c r="C31" s="81">
        <v>76</v>
      </c>
      <c r="D31" s="82">
        <f t="shared" si="1"/>
        <v>133</v>
      </c>
      <c r="E31" s="82">
        <f t="shared" si="0"/>
        <v>2</v>
      </c>
      <c r="F31" s="68">
        <f t="shared" si="3"/>
        <v>90.96</v>
      </c>
      <c r="G31" s="69">
        <f>IF(D31=D30,"",_xlfn.IFNA(VLOOKUP(D31,'인원 입력 기능(국수)'!$F$5:$I$103,4,FALSE),0))</f>
        <v>3174</v>
      </c>
      <c r="H31" s="70">
        <f t="shared" si="4"/>
        <v>1.0640045322436282E-2</v>
      </c>
      <c r="I31" s="83">
        <f>SUM($G$7:G31)</f>
        <v>28546</v>
      </c>
      <c r="J31" s="72">
        <f t="shared" si="5"/>
        <v>9.569336287784061E-2</v>
      </c>
      <c r="K31" s="31"/>
      <c r="L31" s="20" t="str">
        <f t="shared" si="2"/>
        <v/>
      </c>
      <c r="N31" s="1"/>
    </row>
    <row r="32" spans="1:17" ht="25" customHeight="1" x14ac:dyDescent="0.45">
      <c r="A32" s="5"/>
      <c r="B32" s="30"/>
      <c r="C32" s="81">
        <v>75</v>
      </c>
      <c r="D32" s="82">
        <f t="shared" si="1"/>
        <v>132</v>
      </c>
      <c r="E32" s="82">
        <f t="shared" si="0"/>
        <v>2</v>
      </c>
      <c r="F32" s="68">
        <f t="shared" si="3"/>
        <v>90.39</v>
      </c>
      <c r="G32" s="69">
        <f>IF(D32=D31,"",_xlfn.IFNA(VLOOKUP(D32,'인원 입력 기능(국수)'!$F$5:$I$103,4,FALSE),0))</f>
        <v>234</v>
      </c>
      <c r="H32" s="70">
        <f t="shared" si="4"/>
        <v>7.844267818053214E-4</v>
      </c>
      <c r="I32" s="83">
        <f>SUM($G$7:G32)</f>
        <v>28780</v>
      </c>
      <c r="J32" s="72">
        <f t="shared" si="5"/>
        <v>9.6477789659645929E-2</v>
      </c>
      <c r="K32" s="31"/>
      <c r="L32" s="20" t="str">
        <f t="shared" si="2"/>
        <v/>
      </c>
      <c r="N32" s="1"/>
    </row>
    <row r="33" spans="1:14" ht="25" customHeight="1" x14ac:dyDescent="0.45">
      <c r="A33" s="5"/>
      <c r="B33" s="30"/>
      <c r="C33" s="81">
        <v>74</v>
      </c>
      <c r="D33" s="180">
        <f t="shared" si="1"/>
        <v>131</v>
      </c>
      <c r="E33" s="180">
        <f t="shared" si="0"/>
        <v>2</v>
      </c>
      <c r="F33" s="182">
        <f t="shared" si="3"/>
        <v>89.62</v>
      </c>
      <c r="G33" s="184">
        <f>IF(D33=D32,"",_xlfn.IFNA(VLOOKUP(D33,'인원 입력 기능(국수)'!$F$5:$I$103,4,FALSE),0))</f>
        <v>4377</v>
      </c>
      <c r="H33" s="186">
        <f t="shared" si="4"/>
        <v>1.4672803521204664E-2</v>
      </c>
      <c r="I33" s="174">
        <f>SUM($G$7:G33)</f>
        <v>33157</v>
      </c>
      <c r="J33" s="176">
        <f t="shared" si="5"/>
        <v>0.1111505931808506</v>
      </c>
      <c r="K33" s="31"/>
      <c r="L33" s="20" t="str">
        <f t="shared" si="2"/>
        <v/>
      </c>
      <c r="N33" s="1"/>
    </row>
    <row r="34" spans="1:14" ht="25" customHeight="1" x14ac:dyDescent="0.45">
      <c r="A34" s="5"/>
      <c r="B34" s="30"/>
      <c r="C34" s="81">
        <v>73</v>
      </c>
      <c r="D34" s="181"/>
      <c r="E34" s="181"/>
      <c r="F34" s="183"/>
      <c r="G34" s="185"/>
      <c r="H34" s="187"/>
      <c r="I34" s="175"/>
      <c r="J34" s="177"/>
      <c r="K34" s="31"/>
      <c r="L34" s="20" t="str">
        <f t="shared" si="2"/>
        <v>경고</v>
      </c>
      <c r="N34" s="1"/>
    </row>
    <row r="35" spans="1:14" ht="25" customHeight="1" x14ac:dyDescent="0.45">
      <c r="A35" s="5"/>
      <c r="B35" s="30"/>
      <c r="C35" s="81">
        <v>72</v>
      </c>
      <c r="D35" s="82">
        <f t="shared" si="1"/>
        <v>130</v>
      </c>
      <c r="E35" s="82">
        <f t="shared" si="0"/>
        <v>3</v>
      </c>
      <c r="F35" s="68">
        <f t="shared" si="3"/>
        <v>88.42</v>
      </c>
      <c r="G35" s="69">
        <f>IF(D35=D34,"",_xlfn.IFNA(VLOOKUP(D35,'인원 입력 기능(국수)'!$F$5:$I$103,4,FALSE),0))</f>
        <v>2782</v>
      </c>
      <c r="H35" s="70">
        <f t="shared" si="4"/>
        <v>9.3259628503521534E-3</v>
      </c>
      <c r="I35" s="83">
        <f>SUM($G$7:G35)</f>
        <v>35939</v>
      </c>
      <c r="J35" s="72">
        <f t="shared" si="5"/>
        <v>0.12047655603120276</v>
      </c>
      <c r="K35" s="31"/>
      <c r="L35" s="20" t="str">
        <f t="shared" si="2"/>
        <v/>
      </c>
      <c r="N35" s="1"/>
    </row>
    <row r="36" spans="1:14" ht="25" customHeight="1" x14ac:dyDescent="0.45">
      <c r="A36" s="5"/>
      <c r="B36" s="30"/>
      <c r="C36" s="81">
        <v>71</v>
      </c>
      <c r="D36" s="82">
        <f t="shared" si="1"/>
        <v>129</v>
      </c>
      <c r="E36" s="82">
        <f t="shared" si="0"/>
        <v>3</v>
      </c>
      <c r="F36" s="68">
        <f t="shared" si="3"/>
        <v>87.88</v>
      </c>
      <c r="G36" s="69">
        <f>IF(D36=D35,"",_xlfn.IFNA(VLOOKUP(D36,'인원 입력 기능(국수)'!$F$5:$I$103,4,FALSE),0))</f>
        <v>421</v>
      </c>
      <c r="H36" s="70">
        <f t="shared" si="4"/>
        <v>1.4112977570087191E-3</v>
      </c>
      <c r="I36" s="83">
        <f>SUM($G$7:G36)</f>
        <v>36360</v>
      </c>
      <c r="J36" s="72">
        <f t="shared" si="5"/>
        <v>0.12188785378821147</v>
      </c>
      <c r="K36" s="31"/>
      <c r="L36" s="20" t="str">
        <f t="shared" si="2"/>
        <v/>
      </c>
      <c r="N36" s="1"/>
    </row>
    <row r="37" spans="1:14" ht="25" customHeight="1" x14ac:dyDescent="0.45">
      <c r="A37" s="5"/>
      <c r="B37" s="30"/>
      <c r="C37" s="81">
        <v>70</v>
      </c>
      <c r="D37" s="82">
        <f t="shared" si="1"/>
        <v>128</v>
      </c>
      <c r="E37" s="82">
        <f t="shared" si="0"/>
        <v>3</v>
      </c>
      <c r="F37" s="68">
        <f t="shared" si="3"/>
        <v>87.51</v>
      </c>
      <c r="G37" s="69">
        <f>IF(D37=D36,"",_xlfn.IFNA(VLOOKUP(D37,'인원 입력 기능(국수)'!$F$5:$I$103,4,FALSE),0))</f>
        <v>1811</v>
      </c>
      <c r="H37" s="70">
        <f t="shared" si="4"/>
        <v>6.0709269309805001E-3</v>
      </c>
      <c r="I37" s="83">
        <f>SUM($G$7:G37)</f>
        <v>38171</v>
      </c>
      <c r="J37" s="72">
        <f t="shared" si="5"/>
        <v>0.12795878071919198</v>
      </c>
      <c r="K37" s="31"/>
      <c r="L37" s="20" t="str">
        <f t="shared" si="2"/>
        <v/>
      </c>
      <c r="N37" s="1"/>
    </row>
    <row r="38" spans="1:14" ht="25" customHeight="1" x14ac:dyDescent="0.45">
      <c r="A38" s="5"/>
      <c r="B38" s="30"/>
      <c r="C38" s="81">
        <v>69</v>
      </c>
      <c r="D38" s="82">
        <f t="shared" si="1"/>
        <v>127</v>
      </c>
      <c r="E38" s="82">
        <f t="shared" si="0"/>
        <v>3</v>
      </c>
      <c r="F38" s="68">
        <f t="shared" si="3"/>
        <v>86.62</v>
      </c>
      <c r="G38" s="69">
        <f>IF(D38=D37,"",_xlfn.IFNA(VLOOKUP(D38,'인원 입력 기능(국수)'!$F$5:$I$103,4,FALSE),0))</f>
        <v>3475</v>
      </c>
      <c r="H38" s="70">
        <f t="shared" si="4"/>
        <v>1.1649072934929451E-2</v>
      </c>
      <c r="I38" s="83">
        <f>SUM($G$7:G38)</f>
        <v>41646</v>
      </c>
      <c r="J38" s="72">
        <f t="shared" si="5"/>
        <v>0.13960785365412143</v>
      </c>
      <c r="K38" s="31"/>
      <c r="L38" s="20" t="str">
        <f t="shared" si="2"/>
        <v/>
      </c>
      <c r="N38" s="1"/>
    </row>
    <row r="39" spans="1:14" ht="25" customHeight="1" x14ac:dyDescent="0.45">
      <c r="A39" s="5"/>
      <c r="B39" s="30"/>
      <c r="C39" s="81">
        <v>68</v>
      </c>
      <c r="D39" s="82">
        <f t="shared" si="1"/>
        <v>126</v>
      </c>
      <c r="E39" s="82">
        <f t="shared" si="0"/>
        <v>3</v>
      </c>
      <c r="F39" s="68">
        <f t="shared" si="3"/>
        <v>85.68</v>
      </c>
      <c r="G39" s="69">
        <f>IF(D39=D38,"",_xlfn.IFNA(VLOOKUP(D39,'인원 입력 기능(국수)'!$F$5:$I$103,4,FALSE),0))</f>
        <v>2137</v>
      </c>
      <c r="H39" s="70">
        <f t="shared" si="4"/>
        <v>7.1637608235810757E-3</v>
      </c>
      <c r="I39" s="83">
        <f>SUM($G$7:G39)</f>
        <v>43783</v>
      </c>
      <c r="J39" s="72">
        <f t="shared" si="5"/>
        <v>0.14677161447770251</v>
      </c>
      <c r="K39" s="31"/>
      <c r="L39" s="20" t="str">
        <f t="shared" si="2"/>
        <v/>
      </c>
      <c r="N39" s="1"/>
    </row>
    <row r="40" spans="1:14" ht="25" customHeight="1" x14ac:dyDescent="0.45">
      <c r="A40" s="5"/>
      <c r="B40" s="30"/>
      <c r="C40" s="81">
        <v>67</v>
      </c>
      <c r="D40" s="180">
        <f t="shared" si="1"/>
        <v>125</v>
      </c>
      <c r="E40" s="180">
        <f t="shared" si="0"/>
        <v>3</v>
      </c>
      <c r="F40" s="182">
        <f t="shared" si="3"/>
        <v>84.74</v>
      </c>
      <c r="G40" s="184">
        <f>IF(D40=D39,"",_xlfn.IFNA(VLOOKUP(D40,'인원 입력 기능(국수)'!$F$5:$I$103,4,FALSE),0))</f>
        <v>3457</v>
      </c>
      <c r="H40" s="186">
        <f t="shared" si="4"/>
        <v>1.1588732413252119E-2</v>
      </c>
      <c r="I40" s="174">
        <f>SUM($G$7:G40)</f>
        <v>47240</v>
      </c>
      <c r="J40" s="176">
        <f t="shared" si="5"/>
        <v>0.15836034689095463</v>
      </c>
      <c r="K40" s="31"/>
      <c r="L40" s="20" t="str">
        <f t="shared" si="2"/>
        <v/>
      </c>
      <c r="N40" s="1"/>
    </row>
    <row r="41" spans="1:14" ht="25" customHeight="1" x14ac:dyDescent="0.45">
      <c r="A41" s="5"/>
      <c r="B41" s="30"/>
      <c r="C41" s="81">
        <v>66</v>
      </c>
      <c r="D41" s="181"/>
      <c r="E41" s="181"/>
      <c r="F41" s="183"/>
      <c r="G41" s="185"/>
      <c r="H41" s="187"/>
      <c r="I41" s="175"/>
      <c r="J41" s="177"/>
      <c r="K41" s="31"/>
      <c r="L41" s="20" t="str">
        <f t="shared" ref="L41:L72" si="6">IF(ABS((C41-$H$3)/$H$4*20+100-D41)&gt;0.49, "경고", "")</f>
        <v>경고</v>
      </c>
      <c r="N41" s="1"/>
    </row>
    <row r="42" spans="1:14" ht="25" customHeight="1" x14ac:dyDescent="0.45">
      <c r="A42" s="5"/>
      <c r="B42" s="30"/>
      <c r="C42" s="81">
        <v>65</v>
      </c>
      <c r="D42" s="82">
        <f t="shared" ref="D42:D71" si="7">ROUND(20*(C42-$H$3)/$H$4+100,0)</f>
        <v>124</v>
      </c>
      <c r="E42" s="82">
        <f t="shared" si="0"/>
        <v>3</v>
      </c>
      <c r="F42" s="68">
        <f t="shared" si="3"/>
        <v>83.61</v>
      </c>
      <c r="G42" s="69">
        <f>IF(D42=D41,"",_xlfn.IFNA(VLOOKUP(D42,'인원 입력 기능(국수)'!$F$5:$I$103,4,FALSE),0))</f>
        <v>3323</v>
      </c>
      <c r="H42" s="70">
        <f t="shared" si="4"/>
        <v>1.1139530751876422E-2</v>
      </c>
      <c r="I42" s="83">
        <f>SUM($G$7:G42)</f>
        <v>50563</v>
      </c>
      <c r="J42" s="72">
        <f t="shared" si="5"/>
        <v>0.16949987764283103</v>
      </c>
      <c r="K42" s="31"/>
      <c r="L42" s="20" t="str">
        <f t="shared" si="6"/>
        <v/>
      </c>
      <c r="N42" s="1"/>
    </row>
    <row r="43" spans="1:14" ht="25" customHeight="1" x14ac:dyDescent="0.45">
      <c r="A43" s="5"/>
      <c r="B43" s="30"/>
      <c r="C43" s="81">
        <v>64</v>
      </c>
      <c r="D43" s="82">
        <f t="shared" si="7"/>
        <v>123</v>
      </c>
      <c r="E43" s="82">
        <f t="shared" si="0"/>
        <v>3</v>
      </c>
      <c r="F43" s="68">
        <f t="shared" si="3"/>
        <v>82.78</v>
      </c>
      <c r="G43" s="69">
        <f>IF(D43=D42,"",_xlfn.IFNA(VLOOKUP(D43,'인원 입력 기능(국수)'!$F$5:$I$103,4,FALSE),0))</f>
        <v>1598</v>
      </c>
      <c r="H43" s="70">
        <f t="shared" si="4"/>
        <v>5.3568974244653997E-3</v>
      </c>
      <c r="I43" s="83">
        <f>SUM($G$7:G43)</f>
        <v>52161</v>
      </c>
      <c r="J43" s="72">
        <f t="shared" si="5"/>
        <v>0.17485677506729644</v>
      </c>
      <c r="K43" s="31"/>
      <c r="L43" s="20" t="str">
        <f t="shared" si="6"/>
        <v/>
      </c>
      <c r="N43" s="1"/>
    </row>
    <row r="44" spans="1:14" ht="25" customHeight="1" x14ac:dyDescent="0.45">
      <c r="A44" s="5"/>
      <c r="B44" s="30"/>
      <c r="C44" s="81">
        <v>63</v>
      </c>
      <c r="D44" s="82">
        <f t="shared" si="7"/>
        <v>122</v>
      </c>
      <c r="E44" s="82">
        <f t="shared" si="0"/>
        <v>3</v>
      </c>
      <c r="F44" s="68">
        <f t="shared" si="3"/>
        <v>82.27</v>
      </c>
      <c r="G44" s="69">
        <f>IF(D44=D43,"",_xlfn.IFNA(VLOOKUP(D44,'인원 입력 기능(국수)'!$F$5:$I$103,4,FALSE),0))</f>
        <v>1478</v>
      </c>
      <c r="H44" s="70">
        <f t="shared" si="4"/>
        <v>4.9546272799498503E-3</v>
      </c>
      <c r="I44" s="83">
        <f>SUM($G$7:G44)</f>
        <v>53639</v>
      </c>
      <c r="J44" s="72">
        <f t="shared" si="5"/>
        <v>0.1798114023472463</v>
      </c>
      <c r="K44" s="31"/>
      <c r="L44" s="20" t="str">
        <f t="shared" si="6"/>
        <v/>
      </c>
      <c r="N44" s="1"/>
    </row>
    <row r="45" spans="1:14" ht="25" customHeight="1" x14ac:dyDescent="0.45">
      <c r="A45" s="5"/>
      <c r="B45" s="30"/>
      <c r="C45" s="81">
        <v>62</v>
      </c>
      <c r="D45" s="82">
        <f t="shared" si="7"/>
        <v>121</v>
      </c>
      <c r="E45" s="82">
        <f t="shared" si="0"/>
        <v>3</v>
      </c>
      <c r="F45" s="68">
        <f t="shared" si="3"/>
        <v>81.5</v>
      </c>
      <c r="G45" s="69">
        <f>IF(D45=D44,"",_xlfn.IFNA(VLOOKUP(D45,'인원 입력 기능(국수)'!$F$5:$I$103,4,FALSE),0))</f>
        <v>3092</v>
      </c>
      <c r="H45" s="70">
        <f t="shared" si="4"/>
        <v>1.0365160723683989E-2</v>
      </c>
      <c r="I45" s="83">
        <f>SUM($G$7:G45)</f>
        <v>56731</v>
      </c>
      <c r="J45" s="72">
        <f t="shared" si="5"/>
        <v>0.19017656307093028</v>
      </c>
      <c r="K45" s="31"/>
      <c r="L45" s="20" t="str">
        <f t="shared" si="6"/>
        <v/>
      </c>
      <c r="N45" s="1"/>
    </row>
    <row r="46" spans="1:14" ht="25" customHeight="1" x14ac:dyDescent="0.45">
      <c r="A46" s="5"/>
      <c r="B46" s="30"/>
      <c r="C46" s="81">
        <v>61</v>
      </c>
      <c r="D46" s="180">
        <f t="shared" si="7"/>
        <v>120</v>
      </c>
      <c r="E46" s="180">
        <f t="shared" si="0"/>
        <v>3</v>
      </c>
      <c r="F46" s="182">
        <f t="shared" si="3"/>
        <v>80.260000000000005</v>
      </c>
      <c r="G46" s="184">
        <f>IF(D46=D45,"",_xlfn.IFNA(VLOOKUP(D46,'인원 입력 기능(국수)'!$F$5:$I$103,4,FALSE),0))</f>
        <v>4320</v>
      </c>
      <c r="H46" s="186">
        <f t="shared" si="4"/>
        <v>1.4481725202559779E-2</v>
      </c>
      <c r="I46" s="174">
        <f>SUM($G$7:G46)</f>
        <v>61051</v>
      </c>
      <c r="J46" s="176">
        <f t="shared" si="5"/>
        <v>0.20465828827349006</v>
      </c>
      <c r="K46" s="31"/>
      <c r="L46" s="20" t="str">
        <f t="shared" si="6"/>
        <v/>
      </c>
      <c r="N46" s="1"/>
    </row>
    <row r="47" spans="1:14" ht="25" customHeight="1" x14ac:dyDescent="0.45">
      <c r="A47" s="5"/>
      <c r="B47" s="30"/>
      <c r="C47" s="81">
        <v>60</v>
      </c>
      <c r="D47" s="181"/>
      <c r="E47" s="181"/>
      <c r="F47" s="183"/>
      <c r="G47" s="185"/>
      <c r="H47" s="187"/>
      <c r="I47" s="175"/>
      <c r="J47" s="177"/>
      <c r="K47" s="31"/>
      <c r="L47" s="20" t="str">
        <f t="shared" si="6"/>
        <v>경고</v>
      </c>
      <c r="N47" s="1"/>
    </row>
    <row r="48" spans="1:14" ht="25" customHeight="1" x14ac:dyDescent="0.45">
      <c r="A48" s="5"/>
      <c r="B48" s="30"/>
      <c r="C48" s="81">
        <v>59</v>
      </c>
      <c r="D48" s="82">
        <f t="shared" si="7"/>
        <v>119</v>
      </c>
      <c r="E48" s="82">
        <f t="shared" si="0"/>
        <v>3</v>
      </c>
      <c r="F48" s="68">
        <f t="shared" si="3"/>
        <v>79.11</v>
      </c>
      <c r="G48" s="69">
        <f>IF(D48=D47,"",_xlfn.IFNA(VLOOKUP(D48,'인원 입력 기능(국수)'!$F$5:$I$103,4,FALSE),0))</f>
        <v>2514</v>
      </c>
      <c r="H48" s="70">
        <f t="shared" si="4"/>
        <v>8.4275595276007611E-3</v>
      </c>
      <c r="I48" s="83">
        <f>SUM($G$7:G48)</f>
        <v>63565</v>
      </c>
      <c r="J48" s="72">
        <f t="shared" si="5"/>
        <v>0.21308584780109083</v>
      </c>
      <c r="K48" s="31"/>
      <c r="L48" s="20" t="str">
        <f t="shared" si="6"/>
        <v/>
      </c>
      <c r="N48" s="1"/>
    </row>
    <row r="49" spans="1:14" ht="25" customHeight="1" x14ac:dyDescent="0.45">
      <c r="A49" s="5"/>
      <c r="B49" s="30"/>
      <c r="C49" s="81">
        <v>58</v>
      </c>
      <c r="D49" s="82">
        <f t="shared" si="7"/>
        <v>118</v>
      </c>
      <c r="E49" s="82">
        <f t="shared" si="0"/>
        <v>3</v>
      </c>
      <c r="F49" s="68">
        <f t="shared" si="3"/>
        <v>78.150000000000006</v>
      </c>
      <c r="G49" s="69">
        <f>IF(D49=D48,"",_xlfn.IFNA(VLOOKUP(D49,'인원 입력 기능(국수)'!$F$5:$I$103,4,FALSE),0))</f>
        <v>3253</v>
      </c>
      <c r="H49" s="70">
        <f t="shared" si="4"/>
        <v>1.0904873167575685E-2</v>
      </c>
      <c r="I49" s="83">
        <f>SUM($G$7:G49)</f>
        <v>66818</v>
      </c>
      <c r="J49" s="72">
        <f t="shared" si="5"/>
        <v>0.22399072096866651</v>
      </c>
      <c r="K49" s="31"/>
      <c r="L49" s="20" t="str">
        <f t="shared" si="6"/>
        <v/>
      </c>
      <c r="N49" s="1"/>
    </row>
    <row r="50" spans="1:14" ht="25" customHeight="1" x14ac:dyDescent="0.45">
      <c r="A50" s="5"/>
      <c r="B50" s="30"/>
      <c r="C50" s="81">
        <v>57</v>
      </c>
      <c r="D50" s="82">
        <f t="shared" si="7"/>
        <v>117</v>
      </c>
      <c r="E50" s="82">
        <f t="shared" si="0"/>
        <v>3</v>
      </c>
      <c r="F50" s="68">
        <f t="shared" si="3"/>
        <v>77.260000000000005</v>
      </c>
      <c r="G50" s="69">
        <f>IF(D50=D49,"",_xlfn.IFNA(VLOOKUP(D50,'인원 입력 기능(국수)'!$F$5:$I$103,4,FALSE),0))</f>
        <v>2047</v>
      </c>
      <c r="H50" s="70">
        <f t="shared" si="4"/>
        <v>6.8620582151944134E-3</v>
      </c>
      <c r="I50" s="83">
        <f>SUM($G$7:G50)</f>
        <v>68865</v>
      </c>
      <c r="J50" s="72">
        <f t="shared" si="5"/>
        <v>0.23085277918386093</v>
      </c>
      <c r="K50" s="31"/>
      <c r="L50" s="20" t="str">
        <f t="shared" si="6"/>
        <v/>
      </c>
      <c r="N50" s="1"/>
    </row>
    <row r="51" spans="1:14" ht="25" customHeight="1" x14ac:dyDescent="0.45">
      <c r="A51" s="5"/>
      <c r="B51" s="30"/>
      <c r="C51" s="81">
        <v>56</v>
      </c>
      <c r="D51" s="82">
        <f t="shared" si="7"/>
        <v>116</v>
      </c>
      <c r="E51" s="82">
        <f t="shared" si="0"/>
        <v>4</v>
      </c>
      <c r="F51" s="68">
        <f t="shared" si="3"/>
        <v>76.59</v>
      </c>
      <c r="G51" s="69">
        <f>IF(D51=D50,"",_xlfn.IFNA(VLOOKUP(D51,'인원 입력 기능(국수)'!$F$5:$I$103,4,FALSE),0))</f>
        <v>1955</v>
      </c>
      <c r="H51" s="70">
        <f t="shared" si="4"/>
        <v>6.5536511043991592E-3</v>
      </c>
      <c r="I51" s="83">
        <f>SUM($G$7:G51)</f>
        <v>70820</v>
      </c>
      <c r="J51" s="72">
        <f t="shared" si="5"/>
        <v>0.23740643028826008</v>
      </c>
      <c r="K51" s="31"/>
      <c r="L51" s="20" t="str">
        <f t="shared" si="6"/>
        <v/>
      </c>
      <c r="N51" s="1"/>
    </row>
    <row r="52" spans="1:14" ht="25" customHeight="1" x14ac:dyDescent="0.45">
      <c r="A52" s="5"/>
      <c r="B52" s="30"/>
      <c r="C52" s="81">
        <v>55</v>
      </c>
      <c r="D52" s="180">
        <f t="shared" si="7"/>
        <v>115</v>
      </c>
      <c r="E52" s="180">
        <f t="shared" si="0"/>
        <v>4</v>
      </c>
      <c r="F52" s="182">
        <f t="shared" si="3"/>
        <v>75.239999999999995</v>
      </c>
      <c r="G52" s="184">
        <f>IF(D52=D51,"",_xlfn.IFNA(VLOOKUP(D52,'인원 입력 기능(국수)'!$F$5:$I$103,4,FALSE),0))</f>
        <v>6069</v>
      </c>
      <c r="H52" s="186">
        <f t="shared" si="4"/>
        <v>2.0344812558873913E-2</v>
      </c>
      <c r="I52" s="174">
        <f>SUM($G$7:G52)</f>
        <v>76889</v>
      </c>
      <c r="J52" s="176">
        <f t="shared" si="5"/>
        <v>0.25775124284713397</v>
      </c>
      <c r="K52" s="31"/>
      <c r="L52" s="20" t="str">
        <f t="shared" si="6"/>
        <v/>
      </c>
      <c r="N52" s="1"/>
    </row>
    <row r="53" spans="1:14" ht="25" customHeight="1" x14ac:dyDescent="0.45">
      <c r="A53" s="5"/>
      <c r="B53" s="30"/>
      <c r="C53" s="81">
        <v>54</v>
      </c>
      <c r="D53" s="181"/>
      <c r="E53" s="181"/>
      <c r="F53" s="183"/>
      <c r="G53" s="185"/>
      <c r="H53" s="187"/>
      <c r="I53" s="175"/>
      <c r="J53" s="177"/>
      <c r="K53" s="31"/>
      <c r="L53" s="20" t="str">
        <f t="shared" si="6"/>
        <v>경고</v>
      </c>
      <c r="N53" s="1"/>
    </row>
    <row r="54" spans="1:14" ht="25" customHeight="1" x14ac:dyDescent="0.45">
      <c r="A54" s="5"/>
      <c r="B54" s="30"/>
      <c r="C54" s="81">
        <v>53</v>
      </c>
      <c r="D54" s="82">
        <f t="shared" si="7"/>
        <v>114</v>
      </c>
      <c r="E54" s="82">
        <f t="shared" si="0"/>
        <v>4</v>
      </c>
      <c r="F54" s="68">
        <f t="shared" si="3"/>
        <v>73.92</v>
      </c>
      <c r="G54" s="69">
        <f>IF(D54=D53,"",_xlfn.IFNA(VLOOKUP(D54,'인원 입력 기능(국수)'!$F$5:$I$103,4,FALSE),0))</f>
        <v>1844</v>
      </c>
      <c r="H54" s="70">
        <f t="shared" si="4"/>
        <v>6.1815512207222759E-3</v>
      </c>
      <c r="I54" s="83">
        <f>SUM($G$7:G54)</f>
        <v>78733</v>
      </c>
      <c r="J54" s="72">
        <f t="shared" si="5"/>
        <v>0.26393279406785625</v>
      </c>
      <c r="K54" s="31"/>
      <c r="L54" s="20" t="str">
        <f t="shared" si="6"/>
        <v/>
      </c>
      <c r="N54" s="1"/>
    </row>
    <row r="55" spans="1:14" ht="25" customHeight="1" x14ac:dyDescent="0.45">
      <c r="A55" s="5"/>
      <c r="B55" s="30"/>
      <c r="C55" s="81">
        <v>52</v>
      </c>
      <c r="D55" s="82">
        <f t="shared" si="7"/>
        <v>113</v>
      </c>
      <c r="E55" s="82">
        <f t="shared" si="0"/>
        <v>4</v>
      </c>
      <c r="F55" s="68">
        <f t="shared" si="3"/>
        <v>73.14</v>
      </c>
      <c r="G55" s="69">
        <f>IF(D55=D54,"",_xlfn.IFNA(VLOOKUP(D55,'인원 입력 기능(국수)'!$F$5:$I$103,4,FALSE),0))</f>
        <v>2760</v>
      </c>
      <c r="H55" s="70">
        <f t="shared" si="4"/>
        <v>9.2522133238576373E-3</v>
      </c>
      <c r="I55" s="83">
        <f>SUM($G$7:G55)</f>
        <v>81493</v>
      </c>
      <c r="J55" s="72">
        <f t="shared" si="5"/>
        <v>0.27318500739171392</v>
      </c>
      <c r="K55" s="31"/>
      <c r="L55" s="20" t="str">
        <f t="shared" si="6"/>
        <v/>
      </c>
      <c r="N55" s="1"/>
    </row>
    <row r="56" spans="1:14" ht="25" customHeight="1" x14ac:dyDescent="0.45">
      <c r="A56" s="5"/>
      <c r="B56" s="30"/>
      <c r="C56" s="81">
        <v>51</v>
      </c>
      <c r="D56" s="82">
        <f t="shared" si="7"/>
        <v>112</v>
      </c>
      <c r="E56" s="82">
        <f t="shared" si="0"/>
        <v>4</v>
      </c>
      <c r="F56" s="68">
        <f t="shared" si="3"/>
        <v>72.17</v>
      </c>
      <c r="G56" s="69">
        <f>IF(D56=D55,"",_xlfn.IFNA(VLOOKUP(D56,'인원 입력 기능(국수)'!$F$5:$I$103,4,FALSE),0))</f>
        <v>3073</v>
      </c>
      <c r="H56" s="70">
        <f t="shared" si="4"/>
        <v>1.0301467950802362E-2</v>
      </c>
      <c r="I56" s="83">
        <f>SUM($G$7:G56)</f>
        <v>84566</v>
      </c>
      <c r="J56" s="72">
        <f t="shared" si="5"/>
        <v>0.28348647534251625</v>
      </c>
      <c r="K56" s="31"/>
      <c r="L56" s="20" t="str">
        <f t="shared" si="6"/>
        <v/>
      </c>
      <c r="N56" s="1"/>
    </row>
    <row r="57" spans="1:14" ht="25" customHeight="1" x14ac:dyDescent="0.45">
      <c r="A57" s="5"/>
      <c r="B57" s="30"/>
      <c r="C57" s="81">
        <v>50</v>
      </c>
      <c r="D57" s="82">
        <f t="shared" si="7"/>
        <v>111</v>
      </c>
      <c r="E57" s="82">
        <f t="shared" si="0"/>
        <v>4</v>
      </c>
      <c r="F57" s="68">
        <f t="shared" si="3"/>
        <v>71.290000000000006</v>
      </c>
      <c r="G57" s="69">
        <f>IF(D57=D56,"",_xlfn.IFNA(VLOOKUP(D57,'인원 입력 기능(국수)'!$F$5:$I$103,4,FALSE),0))</f>
        <v>2177</v>
      </c>
      <c r="H57" s="70">
        <f t="shared" si="4"/>
        <v>7.2978508717529257E-3</v>
      </c>
      <c r="I57" s="83">
        <f>SUM($G$7:G57)</f>
        <v>86743</v>
      </c>
      <c r="J57" s="72">
        <f t="shared" si="5"/>
        <v>0.2907843262142692</v>
      </c>
      <c r="K57" s="31"/>
      <c r="L57" s="20" t="str">
        <f t="shared" si="6"/>
        <v/>
      </c>
      <c r="N57" s="1"/>
    </row>
    <row r="58" spans="1:14" ht="25" customHeight="1" x14ac:dyDescent="0.45">
      <c r="A58" s="5"/>
      <c r="B58" s="30"/>
      <c r="C58" s="81">
        <v>49</v>
      </c>
      <c r="D58" s="82">
        <f t="shared" si="7"/>
        <v>110</v>
      </c>
      <c r="E58" s="82">
        <f t="shared" si="0"/>
        <v>4</v>
      </c>
      <c r="F58" s="68">
        <f t="shared" si="3"/>
        <v>70.52</v>
      </c>
      <c r="G58" s="69">
        <f>IF(D58=D57,"",_xlfn.IFNA(VLOOKUP(D58,'인원 입력 기능(국수)'!$F$5:$I$103,4,FALSE),0))</f>
        <v>2402</v>
      </c>
      <c r="H58" s="70">
        <f t="shared" si="4"/>
        <v>8.0521073927195801E-3</v>
      </c>
      <c r="I58" s="83">
        <f>SUM($G$7:G58)</f>
        <v>89145</v>
      </c>
      <c r="J58" s="72">
        <f t="shared" si="5"/>
        <v>0.29883643360698875</v>
      </c>
      <c r="K58" s="31"/>
      <c r="L58" s="20" t="str">
        <f t="shared" si="6"/>
        <v/>
      </c>
      <c r="N58" s="1"/>
    </row>
    <row r="59" spans="1:14" ht="25" customHeight="1" x14ac:dyDescent="0.45">
      <c r="A59" s="5"/>
      <c r="B59" s="30"/>
      <c r="C59" s="81">
        <v>48</v>
      </c>
      <c r="D59" s="180">
        <f t="shared" si="7"/>
        <v>109</v>
      </c>
      <c r="E59" s="180">
        <f t="shared" si="0"/>
        <v>4</v>
      </c>
      <c r="F59" s="182">
        <f t="shared" si="3"/>
        <v>69.12</v>
      </c>
      <c r="G59" s="184">
        <f>IF(D59=D58,"",_xlfn.IFNA(VLOOKUP(D59,'인원 입력 기능(국수)'!$F$5:$I$103,4,FALSE),0))</f>
        <v>5923</v>
      </c>
      <c r="H59" s="186">
        <f t="shared" si="4"/>
        <v>1.9855383883046661E-2</v>
      </c>
      <c r="I59" s="174">
        <f>SUM($G$7:G59)</f>
        <v>95068</v>
      </c>
      <c r="J59" s="176">
        <f t="shared" si="5"/>
        <v>0.31869181749003545</v>
      </c>
      <c r="K59" s="31"/>
      <c r="L59" s="20" t="str">
        <f t="shared" si="6"/>
        <v/>
      </c>
      <c r="N59" s="1"/>
    </row>
    <row r="60" spans="1:14" ht="25" customHeight="1" x14ac:dyDescent="0.45">
      <c r="A60" s="5"/>
      <c r="B60" s="30"/>
      <c r="C60" s="81">
        <v>47</v>
      </c>
      <c r="D60" s="181"/>
      <c r="E60" s="181"/>
      <c r="F60" s="183"/>
      <c r="G60" s="185"/>
      <c r="H60" s="187"/>
      <c r="I60" s="175"/>
      <c r="J60" s="177"/>
      <c r="K60" s="31"/>
      <c r="L60" s="20" t="str">
        <f t="shared" si="6"/>
        <v>경고</v>
      </c>
      <c r="N60" s="1"/>
    </row>
    <row r="61" spans="1:14" ht="25" customHeight="1" x14ac:dyDescent="0.45">
      <c r="A61" s="5"/>
      <c r="B61" s="30"/>
      <c r="C61" s="81">
        <v>46</v>
      </c>
      <c r="D61" s="82">
        <f t="shared" si="7"/>
        <v>108</v>
      </c>
      <c r="E61" s="82">
        <f t="shared" si="0"/>
        <v>4</v>
      </c>
      <c r="F61" s="68">
        <f t="shared" si="3"/>
        <v>67.760000000000005</v>
      </c>
      <c r="G61" s="69">
        <f>IF(D61=D60,"",_xlfn.IFNA(VLOOKUP(D61,'인원 입력 기능(국수)'!$F$5:$I$103,4,FALSE),0))</f>
        <v>2203</v>
      </c>
      <c r="H61" s="70">
        <f t="shared" si="4"/>
        <v>7.3850094030646282E-3</v>
      </c>
      <c r="I61" s="83">
        <f>SUM($G$7:G61)</f>
        <v>97271</v>
      </c>
      <c r="J61" s="72">
        <f t="shared" si="5"/>
        <v>0.32607682689310008</v>
      </c>
      <c r="K61" s="31"/>
      <c r="L61" s="20" t="str">
        <f t="shared" si="6"/>
        <v/>
      </c>
      <c r="N61" s="1"/>
    </row>
    <row r="62" spans="1:14" ht="25" customHeight="1" x14ac:dyDescent="0.45">
      <c r="A62" s="5"/>
      <c r="B62" s="30"/>
      <c r="C62" s="81">
        <v>45</v>
      </c>
      <c r="D62" s="82">
        <f t="shared" si="7"/>
        <v>107</v>
      </c>
      <c r="E62" s="82">
        <f t="shared" si="0"/>
        <v>4</v>
      </c>
      <c r="F62" s="68">
        <f t="shared" si="3"/>
        <v>66.849999999999994</v>
      </c>
      <c r="G62" s="69">
        <f>IF(D62=D61,"",_xlfn.IFNA(VLOOKUP(D62,'인원 입력 기능(국수)'!$F$5:$I$103,4,FALSE),0))</f>
        <v>3230</v>
      </c>
      <c r="H62" s="70">
        <f t="shared" si="4"/>
        <v>1.0827771389876872E-2</v>
      </c>
      <c r="I62" s="83">
        <f>SUM($G$7:G62)</f>
        <v>100501</v>
      </c>
      <c r="J62" s="72">
        <f t="shared" si="5"/>
        <v>0.33690459828297692</v>
      </c>
      <c r="K62" s="31"/>
      <c r="L62" s="20" t="str">
        <f t="shared" si="6"/>
        <v/>
      </c>
      <c r="N62" s="1"/>
    </row>
    <row r="63" spans="1:14" ht="25" customHeight="1" x14ac:dyDescent="0.45">
      <c r="A63" s="5"/>
      <c r="B63" s="30"/>
      <c r="C63" s="81">
        <v>44</v>
      </c>
      <c r="D63" s="82">
        <f t="shared" si="7"/>
        <v>106</v>
      </c>
      <c r="E63" s="82">
        <f t="shared" si="0"/>
        <v>4</v>
      </c>
      <c r="F63" s="68">
        <f t="shared" si="3"/>
        <v>65.78</v>
      </c>
      <c r="G63" s="69">
        <f>IF(D63=D62,"",_xlfn.IFNA(VLOOKUP(D63,'인원 입력 기능(국수)'!$F$5:$I$103,4,FALSE),0))</f>
        <v>3164</v>
      </c>
      <c r="H63" s="70">
        <f t="shared" si="4"/>
        <v>1.060652281039332E-2</v>
      </c>
      <c r="I63" s="83">
        <f>SUM($G$7:G63)</f>
        <v>103665</v>
      </c>
      <c r="J63" s="72">
        <f t="shared" si="5"/>
        <v>0.34751112109337023</v>
      </c>
      <c r="K63" s="31"/>
      <c r="L63" s="20" t="str">
        <f t="shared" si="6"/>
        <v/>
      </c>
      <c r="N63" s="1"/>
    </row>
    <row r="64" spans="1:14" ht="25" customHeight="1" x14ac:dyDescent="0.45">
      <c r="A64" s="5"/>
      <c r="B64" s="30"/>
      <c r="C64" s="81">
        <v>43</v>
      </c>
      <c r="D64" s="82">
        <f t="shared" si="7"/>
        <v>105</v>
      </c>
      <c r="E64" s="82">
        <f t="shared" si="0"/>
        <v>4</v>
      </c>
      <c r="F64" s="68">
        <f t="shared" si="3"/>
        <v>64.86</v>
      </c>
      <c r="G64" s="69">
        <f>IF(D64=D63,"",_xlfn.IFNA(VLOOKUP(D64,'인원 입력 기능(국수)'!$F$5:$I$103,4,FALSE),0))</f>
        <v>2299</v>
      </c>
      <c r="H64" s="70">
        <f t="shared" si="4"/>
        <v>7.7068255186770679E-3</v>
      </c>
      <c r="I64" s="83">
        <f>SUM($G$7:G64)</f>
        <v>105964</v>
      </c>
      <c r="J64" s="72">
        <f t="shared" si="5"/>
        <v>0.35521794661204731</v>
      </c>
      <c r="K64" s="31"/>
      <c r="L64" s="20" t="str">
        <f t="shared" si="6"/>
        <v/>
      </c>
      <c r="N64" s="1"/>
    </row>
    <row r="65" spans="1:14" ht="25" customHeight="1" x14ac:dyDescent="0.45">
      <c r="A65" s="5"/>
      <c r="B65" s="30"/>
      <c r="C65" s="81">
        <v>42</v>
      </c>
      <c r="D65" s="180">
        <f t="shared" si="7"/>
        <v>104</v>
      </c>
      <c r="E65" s="180">
        <f t="shared" si="0"/>
        <v>4</v>
      </c>
      <c r="F65" s="182">
        <f t="shared" si="3"/>
        <v>63.36</v>
      </c>
      <c r="G65" s="184">
        <f>IF(D65=D64,"",_xlfn.IFNA(VLOOKUP(D65,'인원 입력 기능(국수)'!$F$5:$I$103,4,FALSE),0))</f>
        <v>6679</v>
      </c>
      <c r="H65" s="186">
        <f t="shared" si="4"/>
        <v>2.238968579349462E-2</v>
      </c>
      <c r="I65" s="174">
        <f>SUM($G$7:G65)</f>
        <v>112643</v>
      </c>
      <c r="J65" s="176">
        <f t="shared" si="5"/>
        <v>0.37760763240554196</v>
      </c>
      <c r="K65" s="31"/>
      <c r="L65" s="20" t="str">
        <f t="shared" si="6"/>
        <v/>
      </c>
      <c r="N65" s="1"/>
    </row>
    <row r="66" spans="1:14" ht="25" customHeight="1" x14ac:dyDescent="0.45">
      <c r="A66" s="5"/>
      <c r="B66" s="30"/>
      <c r="C66" s="81">
        <v>41</v>
      </c>
      <c r="D66" s="181"/>
      <c r="E66" s="181"/>
      <c r="F66" s="183"/>
      <c r="G66" s="185"/>
      <c r="H66" s="187"/>
      <c r="I66" s="175"/>
      <c r="J66" s="177"/>
      <c r="K66" s="31"/>
      <c r="L66" s="20" t="str">
        <f t="shared" si="6"/>
        <v>경고</v>
      </c>
      <c r="N66" s="1"/>
    </row>
    <row r="67" spans="1:14" ht="25" customHeight="1" x14ac:dyDescent="0.45">
      <c r="A67" s="5"/>
      <c r="B67" s="30"/>
      <c r="C67" s="81">
        <v>40</v>
      </c>
      <c r="D67" s="82">
        <f t="shared" si="7"/>
        <v>103</v>
      </c>
      <c r="E67" s="82">
        <f t="shared" si="0"/>
        <v>4</v>
      </c>
      <c r="F67" s="68">
        <f t="shared" si="3"/>
        <v>61.81</v>
      </c>
      <c r="G67" s="69">
        <f>IF(D67=D66,"",_xlfn.IFNA(VLOOKUP(D67,'인원 입력 기능(국수)'!$F$5:$I$103,4,FALSE),0))</f>
        <v>2543</v>
      </c>
      <c r="H67" s="70">
        <f t="shared" si="4"/>
        <v>8.5247748125253514E-3</v>
      </c>
      <c r="I67" s="83">
        <f>SUM($G$7:G67)</f>
        <v>115186</v>
      </c>
      <c r="J67" s="72">
        <f t="shared" si="5"/>
        <v>0.3861324072180673</v>
      </c>
      <c r="K67" s="31"/>
      <c r="L67" s="20" t="str">
        <f t="shared" si="6"/>
        <v/>
      </c>
      <c r="N67" s="1"/>
    </row>
    <row r="68" spans="1:14" ht="25" customHeight="1" x14ac:dyDescent="0.45">
      <c r="A68" s="5"/>
      <c r="B68" s="30"/>
      <c r="C68" s="81">
        <v>39</v>
      </c>
      <c r="D68" s="82">
        <f t="shared" si="7"/>
        <v>102</v>
      </c>
      <c r="E68" s="82">
        <f t="shared" si="0"/>
        <v>4</v>
      </c>
      <c r="F68" s="68">
        <f t="shared" si="3"/>
        <v>60.87</v>
      </c>
      <c r="G68" s="69">
        <f>IF(D68=D67,"",_xlfn.IFNA(VLOOKUP(D68,'인원 입력 기능(국수)'!$F$5:$I$103,4,FALSE),0))</f>
        <v>3068</v>
      </c>
      <c r="H68" s="70">
        <f t="shared" si="4"/>
        <v>1.028470669478088E-2</v>
      </c>
      <c r="I68" s="83">
        <f>SUM($G$7:G68)</f>
        <v>118254</v>
      </c>
      <c r="J68" s="72">
        <f t="shared" si="5"/>
        <v>0.39641711391284817</v>
      </c>
      <c r="K68" s="31"/>
      <c r="L68" s="20" t="str">
        <f t="shared" si="6"/>
        <v/>
      </c>
      <c r="N68" s="1"/>
    </row>
    <row r="69" spans="1:14" ht="25" customHeight="1" x14ac:dyDescent="0.45">
      <c r="A69" s="5"/>
      <c r="B69" s="30"/>
      <c r="C69" s="81">
        <v>38</v>
      </c>
      <c r="D69" s="82">
        <f t="shared" si="7"/>
        <v>101</v>
      </c>
      <c r="E69" s="82">
        <f t="shared" si="0"/>
        <v>4</v>
      </c>
      <c r="F69" s="68">
        <f t="shared" si="3"/>
        <v>59.71</v>
      </c>
      <c r="G69" s="69">
        <f>IF(D69=D68,"",_xlfn.IFNA(VLOOKUP(D69,'인원 입력 기능(국수)'!$F$5:$I$103,4,FALSE),0))</f>
        <v>3857</v>
      </c>
      <c r="H69" s="70">
        <f t="shared" si="4"/>
        <v>1.2929632894970618E-2</v>
      </c>
      <c r="I69" s="83">
        <f>SUM($G$7:G69)</f>
        <v>122111</v>
      </c>
      <c r="J69" s="72">
        <f t="shared" si="5"/>
        <v>0.4093467468078188</v>
      </c>
      <c r="K69" s="31"/>
      <c r="L69" s="20" t="str">
        <f t="shared" si="6"/>
        <v/>
      </c>
      <c r="N69" s="1"/>
    </row>
    <row r="70" spans="1:14" ht="25" customHeight="1" x14ac:dyDescent="0.45">
      <c r="A70" s="5"/>
      <c r="B70" s="30"/>
      <c r="C70" s="81">
        <v>37</v>
      </c>
      <c r="D70" s="82">
        <f t="shared" si="7"/>
        <v>100</v>
      </c>
      <c r="E70" s="82">
        <f t="shared" si="0"/>
        <v>5</v>
      </c>
      <c r="F70" s="68">
        <f t="shared" si="3"/>
        <v>58.6</v>
      </c>
      <c r="G70" s="69">
        <f>IF(D70=D69,"",_xlfn.IFNA(VLOOKUP(D70,'인원 입력 기능(국수)'!$F$5:$I$103,4,FALSE),0))</f>
        <v>2754</v>
      </c>
      <c r="H70" s="70">
        <f t="shared" si="4"/>
        <v>9.2320998166318599E-3</v>
      </c>
      <c r="I70" s="83">
        <f>SUM($G$7:G70)</f>
        <v>124865</v>
      </c>
      <c r="J70" s="72">
        <f t="shared" si="5"/>
        <v>0.41857884662445066</v>
      </c>
      <c r="K70" s="31"/>
      <c r="L70" s="20" t="str">
        <f t="shared" si="6"/>
        <v/>
      </c>
      <c r="N70" s="1"/>
    </row>
    <row r="71" spans="1:14" ht="25" customHeight="1" x14ac:dyDescent="0.45">
      <c r="A71" s="5"/>
      <c r="B71" s="30"/>
      <c r="C71" s="81">
        <v>36</v>
      </c>
      <c r="D71" s="180">
        <f t="shared" si="7"/>
        <v>99</v>
      </c>
      <c r="E71" s="180">
        <f t="shared" ref="E71:E105" si="8">IF(ROUND(D71,0)&gt;=$Q$7,1,IF(ROUND(D71,0)&gt;=$Q$8,2,IF(ROUND(D71,0)&gt;=$Q$9,3,IF(ROUND(D71,0)&gt;=$Q$10,4,IF(ROUND(D71,0)&gt;=$Q$11,5,IF(ROUND(D71,0)&gt;=$Q$12,6,IF(ROUND(D71,0)&gt;=$Q$13,7,IF(ROUND(D71,0)&gt;=$Q$14,8,9))))))))</f>
        <v>5</v>
      </c>
      <c r="F71" s="182">
        <f t="shared" si="3"/>
        <v>56.95</v>
      </c>
      <c r="G71" s="184">
        <f>IF(D71=D70,"",_xlfn.IFNA(VLOOKUP(D71,'인원 입력 기능(국수)'!$F$5:$I$103,4,FALSE),0))</f>
        <v>7113</v>
      </c>
      <c r="H71" s="186">
        <f t="shared" si="4"/>
        <v>2.3844562816159192E-2</v>
      </c>
      <c r="I71" s="174">
        <f>SUM($G$7:G71)</f>
        <v>131978</v>
      </c>
      <c r="J71" s="176">
        <f t="shared" si="5"/>
        <v>0.44242340944060982</v>
      </c>
      <c r="K71" s="31"/>
      <c r="L71" s="20" t="str">
        <f t="shared" si="6"/>
        <v/>
      </c>
      <c r="N71" s="1"/>
    </row>
    <row r="72" spans="1:14" ht="25" customHeight="1" x14ac:dyDescent="0.45">
      <c r="A72" s="5"/>
      <c r="B72" s="30"/>
      <c r="C72" s="81">
        <v>35</v>
      </c>
      <c r="D72" s="181"/>
      <c r="E72" s="181"/>
      <c r="F72" s="183"/>
      <c r="G72" s="185"/>
      <c r="H72" s="187"/>
      <c r="I72" s="175"/>
      <c r="J72" s="177"/>
      <c r="K72" s="31"/>
      <c r="L72" s="20" t="str">
        <f t="shared" si="6"/>
        <v>경고</v>
      </c>
      <c r="N72" s="1"/>
    </row>
    <row r="73" spans="1:14" ht="25" customHeight="1" x14ac:dyDescent="0.45">
      <c r="A73" s="5"/>
      <c r="B73" s="30"/>
      <c r="C73" s="81">
        <v>34</v>
      </c>
      <c r="D73" s="82">
        <f t="shared" ref="D73:D103" si="9">ROUND(20*(C73-$H$3)/$H$4+100,0)</f>
        <v>98</v>
      </c>
      <c r="E73" s="82">
        <f t="shared" si="8"/>
        <v>5</v>
      </c>
      <c r="F73" s="68">
        <f t="shared" si="3"/>
        <v>55.22</v>
      </c>
      <c r="G73" s="69">
        <f>IF(D73=D72,"",_xlfn.IFNA(VLOOKUP(D73,'인원 입력 기능(국수)'!$F$5:$I$103,4,FALSE),0))</f>
        <v>3204</v>
      </c>
      <c r="H73" s="70">
        <f t="shared" si="4"/>
        <v>1.0740612858565169E-2</v>
      </c>
      <c r="I73" s="83">
        <f>SUM($G$7:G73)</f>
        <v>135182</v>
      </c>
      <c r="J73" s="72">
        <f t="shared" si="5"/>
        <v>0.45316402229917502</v>
      </c>
      <c r="K73" s="31"/>
      <c r="L73" s="20" t="str">
        <f t="shared" ref="L73:L105" si="10">IF(ABS((C73-$H$3)/$H$4*20+100-D73)&gt;0.49, "경고", "")</f>
        <v/>
      </c>
      <c r="N73" s="1"/>
    </row>
    <row r="74" spans="1:14" ht="25" customHeight="1" x14ac:dyDescent="0.45">
      <c r="A74" s="5"/>
      <c r="B74" s="30"/>
      <c r="C74" s="81">
        <v>33</v>
      </c>
      <c r="D74" s="82">
        <f t="shared" si="9"/>
        <v>97</v>
      </c>
      <c r="E74" s="82">
        <f t="shared" si="8"/>
        <v>5</v>
      </c>
      <c r="F74" s="68">
        <f t="shared" ref="F74:F105" si="11">IF(I73=0,ROUND(100*(1-(I72+I74)/2/$J$3),2),ROUND(100*(1-(I73+I74)/2/$J$3),2))</f>
        <v>54.13</v>
      </c>
      <c r="G74" s="69">
        <f>IF(D74=D73,"",_xlfn.IFNA(VLOOKUP(D74,'인원 입력 기능(국수)'!$F$5:$I$103,4,FALSE),0))</f>
        <v>3275</v>
      </c>
      <c r="H74" s="70">
        <f t="shared" ref="H74:H105" si="12">G74/$J$3</f>
        <v>1.0978622694070203E-2</v>
      </c>
      <c r="I74" s="83">
        <f>SUM($G$7:G74)</f>
        <v>138457</v>
      </c>
      <c r="J74" s="72">
        <f t="shared" ref="J74:J105" si="13">I74/$J$3</f>
        <v>0.4641426449932452</v>
      </c>
      <c r="K74" s="31"/>
      <c r="L74" s="20" t="str">
        <f t="shared" si="10"/>
        <v/>
      </c>
      <c r="N74" s="1"/>
    </row>
    <row r="75" spans="1:14" ht="25" customHeight="1" x14ac:dyDescent="0.45">
      <c r="A75" s="5"/>
      <c r="B75" s="30"/>
      <c r="C75" s="81">
        <v>32</v>
      </c>
      <c r="D75" s="82">
        <f t="shared" si="9"/>
        <v>96</v>
      </c>
      <c r="E75" s="82">
        <f t="shared" si="8"/>
        <v>5</v>
      </c>
      <c r="F75" s="68">
        <f t="shared" si="11"/>
        <v>52.88</v>
      </c>
      <c r="G75" s="69">
        <f>IF(D75=D74,"",_xlfn.IFNA(VLOOKUP(D75,'인원 입력 기능(국수)'!$F$5:$I$103,4,FALSE),0))</f>
        <v>4221</v>
      </c>
      <c r="H75" s="70">
        <f t="shared" si="12"/>
        <v>1.4149852333334451E-2</v>
      </c>
      <c r="I75" s="83">
        <f>SUM($G$7:G75)</f>
        <v>142678</v>
      </c>
      <c r="J75" s="72">
        <f t="shared" si="13"/>
        <v>0.47829249732657969</v>
      </c>
      <c r="K75" s="31"/>
      <c r="L75" s="20" t="str">
        <f t="shared" si="10"/>
        <v/>
      </c>
      <c r="N75" s="1"/>
    </row>
    <row r="76" spans="1:14" ht="25" customHeight="1" x14ac:dyDescent="0.45">
      <c r="A76" s="5"/>
      <c r="B76" s="30"/>
      <c r="C76" s="81">
        <v>31</v>
      </c>
      <c r="D76" s="82">
        <f t="shared" si="9"/>
        <v>95</v>
      </c>
      <c r="E76" s="82">
        <f t="shared" si="8"/>
        <v>5</v>
      </c>
      <c r="F76" s="68">
        <f t="shared" si="11"/>
        <v>51.58</v>
      </c>
      <c r="G76" s="69">
        <f>IF(D76=D75,"",_xlfn.IFNA(VLOOKUP(D76,'인원 입력 기능(국수)'!$F$5:$I$103,4,FALSE),0))</f>
        <v>3535</v>
      </c>
      <c r="H76" s="70">
        <f t="shared" si="12"/>
        <v>1.1850208007187226E-2</v>
      </c>
      <c r="I76" s="83">
        <f>SUM($G$7:G76)</f>
        <v>146213</v>
      </c>
      <c r="J76" s="72">
        <f t="shared" si="13"/>
        <v>0.49014270533376691</v>
      </c>
      <c r="K76" s="31"/>
      <c r="L76" s="20" t="str">
        <f t="shared" si="10"/>
        <v/>
      </c>
      <c r="N76" s="1"/>
    </row>
    <row r="77" spans="1:14" ht="25" customHeight="1" x14ac:dyDescent="0.45">
      <c r="A77" s="5"/>
      <c r="B77" s="30"/>
      <c r="C77" s="81">
        <v>30</v>
      </c>
      <c r="D77" s="82">
        <f t="shared" si="9"/>
        <v>94</v>
      </c>
      <c r="E77" s="82">
        <f t="shared" si="8"/>
        <v>5</v>
      </c>
      <c r="F77" s="68">
        <f t="shared" si="11"/>
        <v>50.35</v>
      </c>
      <c r="G77" s="69">
        <f>IF(D77=D76,"",_xlfn.IFNA(VLOOKUP(D77,'인원 입력 기능(국수)'!$F$5:$I$103,4,FALSE),0))</f>
        <v>3793</v>
      </c>
      <c r="H77" s="70">
        <f t="shared" si="12"/>
        <v>1.2715088817895659E-2</v>
      </c>
      <c r="I77" s="83">
        <f>SUM($G$7:G77)</f>
        <v>150006</v>
      </c>
      <c r="J77" s="72">
        <f t="shared" si="13"/>
        <v>0.50285779415166254</v>
      </c>
      <c r="K77" s="31"/>
      <c r="L77" s="20" t="str">
        <f t="shared" si="10"/>
        <v/>
      </c>
      <c r="N77" s="1"/>
    </row>
    <row r="78" spans="1:14" ht="25" customHeight="1" x14ac:dyDescent="0.45">
      <c r="A78" s="5"/>
      <c r="B78" s="30"/>
      <c r="C78" s="81">
        <v>29</v>
      </c>
      <c r="D78" s="180">
        <f t="shared" si="9"/>
        <v>93</v>
      </c>
      <c r="E78" s="180">
        <f t="shared" si="8"/>
        <v>5</v>
      </c>
      <c r="F78" s="182">
        <f t="shared" si="11"/>
        <v>48.29</v>
      </c>
      <c r="G78" s="184">
        <f>IF(D78=D77,"",_xlfn.IFNA(VLOOKUP(D78,'인원 입력 기능(국수)'!$F$5:$I$103,4,FALSE),0))</f>
        <v>8502</v>
      </c>
      <c r="H78" s="186">
        <f t="shared" si="12"/>
        <v>2.8500839738926677E-2</v>
      </c>
      <c r="I78" s="174">
        <f>SUM($G$7:G78)</f>
        <v>158508</v>
      </c>
      <c r="J78" s="176">
        <f t="shared" si="13"/>
        <v>0.53135863389058924</v>
      </c>
      <c r="K78" s="31"/>
      <c r="L78" s="20" t="str">
        <f t="shared" si="10"/>
        <v>경고</v>
      </c>
      <c r="N78" s="1"/>
    </row>
    <row r="79" spans="1:14" ht="25" customHeight="1" x14ac:dyDescent="0.45">
      <c r="A79" s="5"/>
      <c r="B79" s="30"/>
      <c r="C79" s="81">
        <v>28</v>
      </c>
      <c r="D79" s="181"/>
      <c r="E79" s="181"/>
      <c r="F79" s="183"/>
      <c r="G79" s="185"/>
      <c r="H79" s="187"/>
      <c r="I79" s="175"/>
      <c r="J79" s="177"/>
      <c r="K79" s="31"/>
      <c r="L79" s="20" t="str">
        <f t="shared" si="10"/>
        <v>경고</v>
      </c>
      <c r="N79" s="1"/>
    </row>
    <row r="80" spans="1:14" ht="25" customHeight="1" x14ac:dyDescent="0.45">
      <c r="A80" s="5"/>
      <c r="B80" s="30"/>
      <c r="C80" s="81">
        <v>27</v>
      </c>
      <c r="D80" s="82">
        <f t="shared" si="9"/>
        <v>92</v>
      </c>
      <c r="E80" s="82">
        <f t="shared" si="8"/>
        <v>5</v>
      </c>
      <c r="F80" s="68">
        <f t="shared" si="11"/>
        <v>46.14</v>
      </c>
      <c r="G80" s="69">
        <f>IF(D80=D79,"",_xlfn.IFNA(VLOOKUP(D80,'인원 입력 기능(국수)'!$F$5:$I$103,4,FALSE),0))</f>
        <v>4342</v>
      </c>
      <c r="H80" s="70">
        <f t="shared" si="12"/>
        <v>1.4555474729054297E-2</v>
      </c>
      <c r="I80" s="83">
        <f>SUM($G$7:G80)</f>
        <v>162850</v>
      </c>
      <c r="J80" s="72">
        <f t="shared" si="13"/>
        <v>0.54591410861964351</v>
      </c>
      <c r="K80" s="31"/>
      <c r="L80" s="20" t="str">
        <f t="shared" si="10"/>
        <v/>
      </c>
      <c r="N80" s="1"/>
    </row>
    <row r="81" spans="1:14" ht="25" customHeight="1" x14ac:dyDescent="0.45">
      <c r="A81" s="5"/>
      <c r="B81" s="30"/>
      <c r="C81" s="81">
        <v>26</v>
      </c>
      <c r="D81" s="82">
        <f t="shared" si="9"/>
        <v>91</v>
      </c>
      <c r="E81" s="82">
        <f t="shared" si="8"/>
        <v>5</v>
      </c>
      <c r="F81" s="68">
        <f t="shared" si="11"/>
        <v>44.57</v>
      </c>
      <c r="G81" s="69">
        <f>IF(D81=D80,"",_xlfn.IFNA(VLOOKUP(D81,'인원 입력 기능(국수)'!$F$5:$I$103,4,FALSE),0))</f>
        <v>4986</v>
      </c>
      <c r="H81" s="70">
        <f t="shared" si="12"/>
        <v>1.6714324504621077E-2</v>
      </c>
      <c r="I81" s="83">
        <f>SUM($G$7:G81)</f>
        <v>167836</v>
      </c>
      <c r="J81" s="72">
        <f t="shared" si="13"/>
        <v>0.56262843312426458</v>
      </c>
      <c r="K81" s="31"/>
      <c r="L81" s="20" t="str">
        <f t="shared" si="10"/>
        <v/>
      </c>
      <c r="N81" s="1"/>
    </row>
    <row r="82" spans="1:14" ht="25" customHeight="1" x14ac:dyDescent="0.45">
      <c r="A82" s="5"/>
      <c r="B82" s="30"/>
      <c r="C82" s="81">
        <v>25</v>
      </c>
      <c r="D82" s="82">
        <f t="shared" si="9"/>
        <v>90</v>
      </c>
      <c r="E82" s="82">
        <f t="shared" si="8"/>
        <v>5</v>
      </c>
      <c r="F82" s="68">
        <f t="shared" si="11"/>
        <v>42.95</v>
      </c>
      <c r="G82" s="69">
        <f>IF(D82=D81,"",_xlfn.IFNA(VLOOKUP(D82,'인원 입력 기능(국수)'!$F$5:$I$103,4,FALSE),0))</f>
        <v>4668</v>
      </c>
      <c r="H82" s="70">
        <f t="shared" si="12"/>
        <v>1.5648308621654873E-2</v>
      </c>
      <c r="I82" s="83">
        <f>SUM($G$7:G82)</f>
        <v>172504</v>
      </c>
      <c r="J82" s="72">
        <f t="shared" si="13"/>
        <v>0.57827674174591948</v>
      </c>
      <c r="K82" s="31"/>
      <c r="L82" s="20" t="str">
        <f t="shared" si="10"/>
        <v/>
      </c>
      <c r="N82" s="1"/>
    </row>
    <row r="83" spans="1:14" ht="25" customHeight="1" x14ac:dyDescent="0.45">
      <c r="A83" s="5"/>
      <c r="B83" s="30"/>
      <c r="C83" s="81">
        <v>24</v>
      </c>
      <c r="D83" s="82">
        <f t="shared" si="9"/>
        <v>89</v>
      </c>
      <c r="E83" s="82">
        <f t="shared" si="8"/>
        <v>5</v>
      </c>
      <c r="F83" s="68">
        <f t="shared" si="11"/>
        <v>41.33</v>
      </c>
      <c r="G83" s="69">
        <f>IF(D83=D82,"",_xlfn.IFNA(VLOOKUP(D83,'인원 입력 기능(국수)'!$F$5:$I$103,4,FALSE),0))</f>
        <v>5005</v>
      </c>
      <c r="H83" s="70">
        <f t="shared" si="12"/>
        <v>1.6778017277502708E-2</v>
      </c>
      <c r="I83" s="83">
        <f>SUM($G$7:G83)</f>
        <v>177509</v>
      </c>
      <c r="J83" s="72">
        <f t="shared" si="13"/>
        <v>0.5950547590234222</v>
      </c>
      <c r="K83" s="31"/>
      <c r="L83" s="20" t="str">
        <f t="shared" si="10"/>
        <v/>
      </c>
      <c r="N83" s="1"/>
    </row>
    <row r="84" spans="1:14" ht="25" customHeight="1" x14ac:dyDescent="0.45">
      <c r="A84" s="5"/>
      <c r="B84" s="30"/>
      <c r="C84" s="81">
        <v>23</v>
      </c>
      <c r="D84" s="180">
        <f t="shared" si="9"/>
        <v>88</v>
      </c>
      <c r="E84" s="180">
        <f t="shared" si="8"/>
        <v>5</v>
      </c>
      <c r="F84" s="182">
        <f t="shared" si="11"/>
        <v>38.67</v>
      </c>
      <c r="G84" s="184">
        <f>IF(D84=D83,"",_xlfn.IFNA(VLOOKUP(D84,'인원 입력 기능(국수)'!$F$5:$I$103,4,FALSE),0))</f>
        <v>10895</v>
      </c>
      <c r="H84" s="186">
        <f t="shared" si="12"/>
        <v>3.6522776870807593E-2</v>
      </c>
      <c r="I84" s="174">
        <f>SUM($G$7:G84)</f>
        <v>188404</v>
      </c>
      <c r="J84" s="176">
        <f t="shared" si="13"/>
        <v>0.63157753589422982</v>
      </c>
      <c r="K84" s="31"/>
      <c r="L84" s="20" t="str">
        <f t="shared" si="10"/>
        <v/>
      </c>
      <c r="N84" s="1"/>
    </row>
    <row r="85" spans="1:14" ht="25" customHeight="1" x14ac:dyDescent="0.45">
      <c r="A85" s="5"/>
      <c r="B85" s="30"/>
      <c r="C85" s="81">
        <v>22</v>
      </c>
      <c r="D85" s="181"/>
      <c r="E85" s="181"/>
      <c r="F85" s="183"/>
      <c r="G85" s="185"/>
      <c r="H85" s="187"/>
      <c r="I85" s="175"/>
      <c r="J85" s="177"/>
      <c r="K85" s="31"/>
      <c r="L85" s="20" t="str">
        <f t="shared" si="10"/>
        <v>경고</v>
      </c>
      <c r="N85" s="1"/>
    </row>
    <row r="86" spans="1:14" ht="25" customHeight="1" x14ac:dyDescent="0.45">
      <c r="A86" s="5"/>
      <c r="B86" s="30"/>
      <c r="C86" s="81">
        <v>21</v>
      </c>
      <c r="D86" s="82">
        <f t="shared" si="9"/>
        <v>87</v>
      </c>
      <c r="E86" s="82">
        <f t="shared" si="8"/>
        <v>6</v>
      </c>
      <c r="F86" s="68">
        <f t="shared" si="11"/>
        <v>35.840000000000003</v>
      </c>
      <c r="G86" s="69">
        <f>IF(D86=D85,"",_xlfn.IFNA(VLOOKUP(D86,'인원 입력 기능(국수)'!$F$5:$I$103,4,FALSE),0))</f>
        <v>5991</v>
      </c>
      <c r="H86" s="70">
        <f t="shared" si="12"/>
        <v>2.0083336964938806E-2</v>
      </c>
      <c r="I86" s="83">
        <f>SUM($G$7:G86)</f>
        <v>194395</v>
      </c>
      <c r="J86" s="72">
        <f t="shared" si="13"/>
        <v>0.65166087285916863</v>
      </c>
      <c r="K86" s="31"/>
      <c r="L86" s="20" t="str">
        <f t="shared" si="10"/>
        <v/>
      </c>
      <c r="N86" s="1"/>
    </row>
    <row r="87" spans="1:14" ht="25" customHeight="1" x14ac:dyDescent="0.45">
      <c r="A87" s="5"/>
      <c r="B87" s="30"/>
      <c r="C87" s="81">
        <v>20</v>
      </c>
      <c r="D87" s="82">
        <f t="shared" si="9"/>
        <v>86</v>
      </c>
      <c r="E87" s="82">
        <f t="shared" si="8"/>
        <v>6</v>
      </c>
      <c r="F87" s="68">
        <f t="shared" si="11"/>
        <v>33.840000000000003</v>
      </c>
      <c r="G87" s="69">
        <f>IF(D87=D86,"",_xlfn.IFNA(VLOOKUP(D87,'인원 입력 기능(국수)'!$F$5:$I$103,4,FALSE),0))</f>
        <v>5955</v>
      </c>
      <c r="H87" s="70">
        <f t="shared" si="12"/>
        <v>1.9962655921584138E-2</v>
      </c>
      <c r="I87" s="83">
        <f>SUM($G$7:G87)</f>
        <v>200350</v>
      </c>
      <c r="J87" s="72">
        <f t="shared" si="13"/>
        <v>0.67162352878075271</v>
      </c>
      <c r="K87" s="31"/>
      <c r="L87" s="20" t="str">
        <f t="shared" si="10"/>
        <v/>
      </c>
      <c r="N87" s="1"/>
    </row>
    <row r="88" spans="1:14" ht="25" customHeight="1" x14ac:dyDescent="0.45">
      <c r="A88" s="5"/>
      <c r="B88" s="30"/>
      <c r="C88" s="81">
        <v>19</v>
      </c>
      <c r="D88" s="82">
        <f t="shared" si="9"/>
        <v>85</v>
      </c>
      <c r="E88" s="82">
        <f t="shared" si="8"/>
        <v>6</v>
      </c>
      <c r="F88" s="68">
        <f t="shared" si="11"/>
        <v>31.79</v>
      </c>
      <c r="G88" s="69">
        <f>IF(D88=D87,"",_xlfn.IFNA(VLOOKUP(D88,'인원 입력 기능(국수)'!$F$5:$I$103,4,FALSE),0))</f>
        <v>6232</v>
      </c>
      <c r="H88" s="70">
        <f t="shared" si="12"/>
        <v>2.0891229505174198E-2</v>
      </c>
      <c r="I88" s="83">
        <f>SUM($G$7:G88)</f>
        <v>206582</v>
      </c>
      <c r="J88" s="72">
        <f t="shared" si="13"/>
        <v>0.6925147582859269</v>
      </c>
      <c r="K88" s="31"/>
      <c r="L88" s="20" t="str">
        <f t="shared" si="10"/>
        <v/>
      </c>
      <c r="N88" s="1"/>
    </row>
    <row r="89" spans="1:14" ht="25" customHeight="1" x14ac:dyDescent="0.45">
      <c r="A89" s="5"/>
      <c r="B89" s="30"/>
      <c r="C89" s="81">
        <v>18</v>
      </c>
      <c r="D89" s="82">
        <f t="shared" si="9"/>
        <v>84</v>
      </c>
      <c r="E89" s="82">
        <f t="shared" si="8"/>
        <v>6</v>
      </c>
      <c r="F89" s="68">
        <f t="shared" si="11"/>
        <v>29.44</v>
      </c>
      <c r="G89" s="69">
        <f>IF(D89=D88,"",_xlfn.IFNA(VLOOKUP(D89,'인원 입력 기능(국수)'!$F$5:$I$103,4,FALSE),0))</f>
        <v>7817</v>
      </c>
      <c r="H89" s="70">
        <f t="shared" si="12"/>
        <v>2.6204547663983748E-2</v>
      </c>
      <c r="I89" s="83">
        <f>SUM($G$7:G89)</f>
        <v>214399</v>
      </c>
      <c r="J89" s="72">
        <f t="shared" si="13"/>
        <v>0.71871930594991063</v>
      </c>
      <c r="K89" s="31"/>
      <c r="L89" s="20" t="str">
        <f t="shared" si="10"/>
        <v/>
      </c>
      <c r="N89" s="1"/>
    </row>
    <row r="90" spans="1:14" ht="25" customHeight="1" x14ac:dyDescent="0.45">
      <c r="A90" s="5"/>
      <c r="B90" s="30"/>
      <c r="C90" s="81">
        <v>17</v>
      </c>
      <c r="D90" s="180">
        <f t="shared" si="9"/>
        <v>83</v>
      </c>
      <c r="E90" s="180">
        <f t="shared" si="8"/>
        <v>6</v>
      </c>
      <c r="F90" s="182">
        <f t="shared" si="11"/>
        <v>25.69</v>
      </c>
      <c r="G90" s="184">
        <f>IF(D90=D89,"",_xlfn.IFNA(VLOOKUP(D90,'인원 입력 기능(국수)'!$F$5:$I$103,4,FALSE),0))</f>
        <v>14548</v>
      </c>
      <c r="H90" s="186">
        <f t="shared" si="12"/>
        <v>4.8768550520101775E-2</v>
      </c>
      <c r="I90" s="174">
        <f>SUM($G$7:G90)</f>
        <v>228947</v>
      </c>
      <c r="J90" s="176">
        <f t="shared" si="13"/>
        <v>0.76748785647001239</v>
      </c>
      <c r="K90" s="31"/>
      <c r="L90" s="20" t="str">
        <f t="shared" si="10"/>
        <v/>
      </c>
      <c r="N90" s="1"/>
    </row>
    <row r="91" spans="1:14" ht="25" customHeight="1" x14ac:dyDescent="0.45">
      <c r="A91" s="5"/>
      <c r="B91" s="30"/>
      <c r="C91" s="81">
        <v>16</v>
      </c>
      <c r="D91" s="181"/>
      <c r="E91" s="181"/>
      <c r="F91" s="183"/>
      <c r="G91" s="185"/>
      <c r="H91" s="187"/>
      <c r="I91" s="175"/>
      <c r="J91" s="177"/>
      <c r="K91" s="31"/>
      <c r="L91" s="20" t="str">
        <f t="shared" si="10"/>
        <v>경고</v>
      </c>
      <c r="N91" s="1"/>
    </row>
    <row r="92" spans="1:14" ht="25" customHeight="1" x14ac:dyDescent="0.45">
      <c r="A92" s="5"/>
      <c r="B92" s="30"/>
      <c r="C92" s="81">
        <v>15</v>
      </c>
      <c r="D92" s="82">
        <f t="shared" si="9"/>
        <v>82</v>
      </c>
      <c r="E92" s="82">
        <f t="shared" si="8"/>
        <v>6</v>
      </c>
      <c r="F92" s="68">
        <f t="shared" si="11"/>
        <v>21.72</v>
      </c>
      <c r="G92" s="69">
        <f>IF(D92=D91,"",_xlfn.IFNA(VLOOKUP(D92,'인원 입력 기능(국수)'!$F$5:$I$103,4,FALSE),0))</f>
        <v>9141</v>
      </c>
      <c r="H92" s="70">
        <f t="shared" si="12"/>
        <v>3.0642928258471976E-2</v>
      </c>
      <c r="I92" s="83">
        <f>SUM($G$7:G92)</f>
        <v>238088</v>
      </c>
      <c r="J92" s="72">
        <f t="shared" si="13"/>
        <v>0.79813078472848442</v>
      </c>
      <c r="K92" s="31"/>
      <c r="L92" s="20" t="str">
        <f t="shared" si="10"/>
        <v/>
      </c>
      <c r="N92" s="1"/>
    </row>
    <row r="93" spans="1:14" ht="25" customHeight="1" x14ac:dyDescent="0.45">
      <c r="A93" s="5"/>
      <c r="B93" s="30"/>
      <c r="C93" s="81">
        <v>14</v>
      </c>
      <c r="D93" s="82">
        <f t="shared" si="9"/>
        <v>81</v>
      </c>
      <c r="E93" s="82">
        <f t="shared" si="8"/>
        <v>7</v>
      </c>
      <c r="F93" s="68">
        <f t="shared" si="11"/>
        <v>16.600000000000001</v>
      </c>
      <c r="G93" s="69">
        <f>IF(D93=D92,"",_xlfn.IFNA(VLOOKUP(D93,'인원 입력 기능(국수)'!$F$5:$I$103,4,FALSE),0))</f>
        <v>21424</v>
      </c>
      <c r="H93" s="70">
        <f t="shared" si="12"/>
        <v>7.1818629800842762E-2</v>
      </c>
      <c r="I93" s="83">
        <f>SUM($G$7:G93)</f>
        <v>259512</v>
      </c>
      <c r="J93" s="72">
        <f t="shared" si="13"/>
        <v>0.86994941452932717</v>
      </c>
      <c r="K93" s="31"/>
      <c r="L93" s="20" t="str">
        <f t="shared" si="10"/>
        <v/>
      </c>
      <c r="N93" s="1"/>
    </row>
    <row r="94" spans="1:14" ht="25" customHeight="1" x14ac:dyDescent="0.45">
      <c r="A94" s="5"/>
      <c r="B94" s="30"/>
      <c r="C94" s="81">
        <v>13</v>
      </c>
      <c r="D94" s="82">
        <f t="shared" si="9"/>
        <v>80</v>
      </c>
      <c r="E94" s="82">
        <f t="shared" si="8"/>
        <v>7</v>
      </c>
      <c r="F94" s="68">
        <f t="shared" si="11"/>
        <v>12.04</v>
      </c>
      <c r="G94" s="69">
        <f>IF(D94=D93,"",_xlfn.IFNA(VLOOKUP(D94,'인원 입력 기능(국수)'!$F$5:$I$103,4,FALSE),0))</f>
        <v>5748</v>
      </c>
      <c r="H94" s="70">
        <f t="shared" si="12"/>
        <v>1.9268739922294817E-2</v>
      </c>
      <c r="I94" s="83">
        <f>SUM($G$7:G94)</f>
        <v>265260</v>
      </c>
      <c r="J94" s="72">
        <f t="shared" si="13"/>
        <v>0.889218154451622</v>
      </c>
      <c r="K94" s="31"/>
      <c r="L94" s="20" t="str">
        <f t="shared" si="10"/>
        <v/>
      </c>
      <c r="N94" s="1"/>
    </row>
    <row r="95" spans="1:14" ht="25" customHeight="1" x14ac:dyDescent="0.45">
      <c r="A95" s="5"/>
      <c r="B95" s="30"/>
      <c r="C95" s="81">
        <v>12</v>
      </c>
      <c r="D95" s="82">
        <f t="shared" si="9"/>
        <v>79</v>
      </c>
      <c r="E95" s="82">
        <f t="shared" si="8"/>
        <v>7</v>
      </c>
      <c r="F95" s="68">
        <f t="shared" si="11"/>
        <v>8.86</v>
      </c>
      <c r="G95" s="69">
        <f>IF(D95=D94,"",_xlfn.IFNA(VLOOKUP(D95,'인원 입력 기능(국수)'!$F$5:$I$103,4,FALSE),0))</f>
        <v>13231</v>
      </c>
      <c r="H95" s="70">
        <f t="shared" si="12"/>
        <v>4.4353635684043623E-2</v>
      </c>
      <c r="I95" s="83">
        <f>SUM($G$7:G95)</f>
        <v>278491</v>
      </c>
      <c r="J95" s="72">
        <f t="shared" si="13"/>
        <v>0.9335717901356656</v>
      </c>
      <c r="K95" s="31"/>
      <c r="L95" s="20" t="str">
        <f t="shared" si="10"/>
        <v/>
      </c>
      <c r="N95" s="1"/>
    </row>
    <row r="96" spans="1:14" ht="25" customHeight="1" x14ac:dyDescent="0.45">
      <c r="A96" s="5"/>
      <c r="B96" s="30"/>
      <c r="C96" s="81">
        <v>11</v>
      </c>
      <c r="D96" s="180">
        <f t="shared" si="9"/>
        <v>78</v>
      </c>
      <c r="E96" s="180">
        <f t="shared" si="8"/>
        <v>8</v>
      </c>
      <c r="F96" s="182">
        <f t="shared" si="11"/>
        <v>5.35</v>
      </c>
      <c r="G96" s="184">
        <f>IF(D96=D95,"",_xlfn.IFNA(VLOOKUP(D96,'인원 입력 기능(국수)'!$F$5:$I$103,4,FALSE),0))</f>
        <v>7694</v>
      </c>
      <c r="H96" s="186">
        <f t="shared" si="12"/>
        <v>2.5792220765855311E-2</v>
      </c>
      <c r="I96" s="174">
        <f>SUM($G$7:G96)</f>
        <v>286185</v>
      </c>
      <c r="J96" s="176">
        <f t="shared" si="13"/>
        <v>0.9593640109015209</v>
      </c>
      <c r="K96" s="31"/>
      <c r="L96" s="20" t="str">
        <f t="shared" si="10"/>
        <v/>
      </c>
      <c r="N96" s="1"/>
    </row>
    <row r="97" spans="1:14" ht="25" customHeight="1" x14ac:dyDescent="0.45">
      <c r="A97" s="5"/>
      <c r="B97" s="30"/>
      <c r="C97" s="81">
        <v>10</v>
      </c>
      <c r="D97" s="181"/>
      <c r="E97" s="181"/>
      <c r="F97" s="183"/>
      <c r="G97" s="185"/>
      <c r="H97" s="187"/>
      <c r="I97" s="175"/>
      <c r="J97" s="177"/>
      <c r="K97" s="31"/>
      <c r="L97" s="20" t="str">
        <f t="shared" si="10"/>
        <v>경고</v>
      </c>
      <c r="N97" s="1"/>
    </row>
    <row r="98" spans="1:14" ht="25" customHeight="1" x14ac:dyDescent="0.45">
      <c r="A98" s="5"/>
      <c r="B98" s="30"/>
      <c r="C98" s="81">
        <v>9</v>
      </c>
      <c r="D98" s="82">
        <f t="shared" si="9"/>
        <v>77</v>
      </c>
      <c r="E98" s="82">
        <f t="shared" si="8"/>
        <v>8</v>
      </c>
      <c r="F98" s="68">
        <f t="shared" si="11"/>
        <v>3.67</v>
      </c>
      <c r="G98" s="69">
        <f>IF(D98=D97,"",_xlfn.IFNA(VLOOKUP(D98,'인원 입력 기능(국수)'!$F$5:$I$103,4,FALSE),0))</f>
        <v>2353</v>
      </c>
      <c r="H98" s="70">
        <f t="shared" si="12"/>
        <v>7.8878470837090656E-3</v>
      </c>
      <c r="I98" s="83">
        <f>SUM($G$7:G98)</f>
        <v>288538</v>
      </c>
      <c r="J98" s="72">
        <f t="shared" si="13"/>
        <v>0.96725185798522995</v>
      </c>
      <c r="K98" s="31"/>
      <c r="L98" s="20" t="str">
        <f t="shared" si="10"/>
        <v/>
      </c>
      <c r="N98" s="1"/>
    </row>
    <row r="99" spans="1:14" ht="25" customHeight="1" x14ac:dyDescent="0.45">
      <c r="A99" s="5"/>
      <c r="B99" s="30"/>
      <c r="C99" s="81">
        <v>8</v>
      </c>
      <c r="D99" s="82">
        <f t="shared" si="9"/>
        <v>76</v>
      </c>
      <c r="E99" s="82">
        <f t="shared" si="8"/>
        <v>9</v>
      </c>
      <c r="F99" s="68">
        <f t="shared" si="11"/>
        <v>2.92</v>
      </c>
      <c r="G99" s="69">
        <f>IF(D99=D98,"",_xlfn.IFNA(VLOOKUP(D99,'인원 입력 기능(국수)'!$F$5:$I$103,4,FALSE),0))</f>
        <v>2090</v>
      </c>
      <c r="H99" s="70">
        <f t="shared" si="12"/>
        <v>7.0062050169791522E-3</v>
      </c>
      <c r="I99" s="83">
        <f>SUM($G$7:G99)</f>
        <v>290628</v>
      </c>
      <c r="J99" s="72">
        <f t="shared" si="13"/>
        <v>0.97425806300220918</v>
      </c>
      <c r="K99" s="31"/>
      <c r="L99" s="20" t="str">
        <f t="shared" si="10"/>
        <v/>
      </c>
      <c r="N99" s="1"/>
    </row>
    <row r="100" spans="1:14" ht="25" customHeight="1" x14ac:dyDescent="0.45">
      <c r="A100" s="5"/>
      <c r="B100" s="30"/>
      <c r="C100" s="81">
        <v>7</v>
      </c>
      <c r="D100" s="82">
        <f t="shared" si="9"/>
        <v>75</v>
      </c>
      <c r="E100" s="82">
        <f t="shared" si="8"/>
        <v>9</v>
      </c>
      <c r="F100" s="68">
        <f t="shared" si="11"/>
        <v>2.3199999999999998</v>
      </c>
      <c r="G100" s="69">
        <f>IF(D100=D99,"",_xlfn.IFNA(VLOOKUP(D100,'인원 입력 기능(국수)'!$F$5:$I$103,4,FALSE),0))</f>
        <v>1488</v>
      </c>
      <c r="H100" s="70">
        <f t="shared" si="12"/>
        <v>4.9881497919928124E-3</v>
      </c>
      <c r="I100" s="83">
        <f>SUM($G$7:G100)</f>
        <v>292116</v>
      </c>
      <c r="J100" s="72">
        <f t="shared" si="13"/>
        <v>0.97924621279420199</v>
      </c>
      <c r="K100" s="31"/>
      <c r="L100" s="20" t="str">
        <f t="shared" si="10"/>
        <v/>
      </c>
      <c r="N100" s="1"/>
    </row>
    <row r="101" spans="1:14" ht="25" customHeight="1" x14ac:dyDescent="0.45">
      <c r="A101" s="5"/>
      <c r="B101" s="30"/>
      <c r="C101" s="73">
        <v>6</v>
      </c>
      <c r="D101" s="67">
        <f t="shared" si="9"/>
        <v>74</v>
      </c>
      <c r="E101" s="82">
        <f t="shared" si="8"/>
        <v>9</v>
      </c>
      <c r="F101" s="68">
        <f t="shared" si="11"/>
        <v>1.84</v>
      </c>
      <c r="G101" s="69">
        <f>IF(D101=D100,"",_xlfn.IFNA(VLOOKUP(D101,'인원 입력 기능(국수)'!$F$5:$I$103,4,FALSE),0))</f>
        <v>1395</v>
      </c>
      <c r="H101" s="70">
        <f t="shared" si="12"/>
        <v>4.6763904299932622E-3</v>
      </c>
      <c r="I101" s="80">
        <f>SUM($G$7:G101)</f>
        <v>293511</v>
      </c>
      <c r="J101" s="72">
        <f t="shared" si="13"/>
        <v>0.98392260322419522</v>
      </c>
      <c r="K101" s="31"/>
      <c r="L101" s="20" t="str">
        <f t="shared" si="10"/>
        <v/>
      </c>
      <c r="N101" s="1"/>
    </row>
    <row r="102" spans="1:14" ht="25" customHeight="1" x14ac:dyDescent="0.45">
      <c r="A102" s="5"/>
      <c r="B102" s="30"/>
      <c r="C102" s="73">
        <v>5</v>
      </c>
      <c r="D102" s="67">
        <f t="shared" si="9"/>
        <v>73</v>
      </c>
      <c r="E102" s="82">
        <f t="shared" si="8"/>
        <v>9</v>
      </c>
      <c r="F102" s="68">
        <f t="shared" si="11"/>
        <v>1.48</v>
      </c>
      <c r="G102" s="69">
        <f>IF(D102=D101,"",_xlfn.IFNA(VLOOKUP(D102,'인원 입력 기능(국수)'!$F$5:$I$103,4,FALSE),0))</f>
        <v>769</v>
      </c>
      <c r="H102" s="70">
        <f t="shared" si="12"/>
        <v>2.5778811761038127E-3</v>
      </c>
      <c r="I102" s="80">
        <f>SUM($G$7:G102)</f>
        <v>294280</v>
      </c>
      <c r="J102" s="72">
        <f t="shared" si="13"/>
        <v>0.98650048440029903</v>
      </c>
      <c r="K102" s="31"/>
      <c r="L102" s="20" t="str">
        <f t="shared" si="10"/>
        <v/>
      </c>
      <c r="N102" s="1"/>
    </row>
    <row r="103" spans="1:14" ht="25" customHeight="1" x14ac:dyDescent="0.45">
      <c r="A103" s="5"/>
      <c r="B103" s="30"/>
      <c r="C103" s="73">
        <v>4</v>
      </c>
      <c r="D103" s="178">
        <f t="shared" si="9"/>
        <v>72</v>
      </c>
      <c r="E103" s="180">
        <f t="shared" si="8"/>
        <v>9</v>
      </c>
      <c r="F103" s="182">
        <f t="shared" si="11"/>
        <v>1.18</v>
      </c>
      <c r="G103" s="184">
        <f>IF(D103=D102,"",_xlfn.IFNA(VLOOKUP(D103,'인원 입력 기능(국수)'!$F$5:$I$103,4,FALSE),0))</f>
        <v>1033</v>
      </c>
      <c r="H103" s="186">
        <f t="shared" si="12"/>
        <v>3.4628754940380212E-3</v>
      </c>
      <c r="I103" s="194">
        <f>SUM($G$7:G103)</f>
        <v>295313</v>
      </c>
      <c r="J103" s="176">
        <f t="shared" si="13"/>
        <v>0.98996335989433704</v>
      </c>
      <c r="K103" s="31"/>
      <c r="L103" s="20" t="str">
        <f t="shared" si="10"/>
        <v/>
      </c>
      <c r="N103" s="1"/>
    </row>
    <row r="104" spans="1:14" ht="25" customHeight="1" x14ac:dyDescent="0.45">
      <c r="A104" s="5"/>
      <c r="B104" s="30"/>
      <c r="C104" s="73">
        <v>3</v>
      </c>
      <c r="D104" s="179"/>
      <c r="E104" s="181"/>
      <c r="F104" s="183"/>
      <c r="G104" s="185"/>
      <c r="H104" s="187"/>
      <c r="I104" s="195"/>
      <c r="J104" s="177"/>
      <c r="K104" s="31"/>
      <c r="L104" s="20" t="str">
        <f t="shared" si="10"/>
        <v>경고</v>
      </c>
      <c r="N104" s="1"/>
    </row>
    <row r="105" spans="1:14" ht="25" customHeight="1" x14ac:dyDescent="0.45">
      <c r="A105" s="5"/>
      <c r="B105" s="30"/>
      <c r="C105" s="73">
        <v>2</v>
      </c>
      <c r="D105" s="67">
        <f t="shared" ref="D105" si="14">ROUND(20*(C105-$H$3)/$H$4+100,0)</f>
        <v>71</v>
      </c>
      <c r="E105" s="67">
        <f t="shared" si="8"/>
        <v>9</v>
      </c>
      <c r="F105" s="68">
        <f t="shared" si="11"/>
        <v>0.95</v>
      </c>
      <c r="G105" s="69">
        <f>IF(D105=D104,"",_xlfn.IFNA(VLOOKUP(D105,'인원 입력 기능(국수)'!$F$5:$I$103,4,FALSE),0))</f>
        <v>334</v>
      </c>
      <c r="H105" s="70">
        <f t="shared" si="12"/>
        <v>1.119651902234946E-3</v>
      </c>
      <c r="I105" s="80">
        <f>SUM($G$7:G105)</f>
        <v>295647</v>
      </c>
      <c r="J105" s="72">
        <f t="shared" si="13"/>
        <v>0.99108301179657199</v>
      </c>
      <c r="K105" s="31"/>
      <c r="L105" s="20" t="str">
        <f t="shared" si="10"/>
        <v/>
      </c>
      <c r="N105" s="1"/>
    </row>
    <row r="106" spans="1:14" ht="25" customHeight="1" x14ac:dyDescent="0.45">
      <c r="A106" s="5"/>
      <c r="B106" s="30"/>
      <c r="C106" s="73">
        <v>1</v>
      </c>
      <c r="D106" s="74" t="s">
        <v>59</v>
      </c>
      <c r="E106" s="74"/>
      <c r="F106" s="75"/>
      <c r="G106" s="76"/>
      <c r="H106" s="77"/>
      <c r="I106" s="84"/>
      <c r="J106" s="79"/>
      <c r="K106" s="31"/>
      <c r="L106" s="20"/>
    </row>
    <row r="107" spans="1:14" ht="25" customHeight="1" thickBot="1" x14ac:dyDescent="0.5">
      <c r="A107" s="5"/>
      <c r="B107" s="30"/>
      <c r="C107" s="85">
        <v>0</v>
      </c>
      <c r="D107" s="86">
        <f>ROUND(20*(C107-$H$3)/$H$4+100,0)</f>
        <v>69</v>
      </c>
      <c r="E107" s="86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87">
        <f>IF(I105=0,ROUND(100*(1-(I104+I107)/2/$J$3),2),ROUND(100*(1-(I105+I107)/2/$J$3),2))</f>
        <v>0.45</v>
      </c>
      <c r="G107" s="88">
        <f>_xlfn.IFNA(VLOOKUP(D107,'인원 입력 기능(국수)'!$F$5:$I$103,4,FALSE),0)</f>
        <v>2660</v>
      </c>
      <c r="H107" s="89">
        <f>G107/$J$3</f>
        <v>8.9169882034280112E-3</v>
      </c>
      <c r="I107" s="90">
        <f>SUM($G$7:G107)</f>
        <v>298307</v>
      </c>
      <c r="J107" s="91">
        <f>I107/$J$3</f>
        <v>1</v>
      </c>
      <c r="K107" s="31"/>
      <c r="L107" s="20" t="str">
        <f>IF(ABS((C107-$H$3)/$H$4*20+100-D107)&gt;0.49, "경고", "")</f>
        <v/>
      </c>
    </row>
    <row r="108" spans="1:14" s="5" customFormat="1" ht="6" customHeight="1" x14ac:dyDescent="0.45">
      <c r="B108" s="32"/>
      <c r="C108" s="33"/>
      <c r="D108" s="33"/>
      <c r="E108" s="33"/>
      <c r="F108" s="33"/>
      <c r="G108" s="33"/>
      <c r="H108" s="33"/>
      <c r="I108" s="33"/>
      <c r="J108" s="33"/>
      <c r="K108" s="34"/>
    </row>
    <row r="109" spans="1:14" ht="17" customHeight="1" x14ac:dyDescent="0.45">
      <c r="A109" s="5"/>
      <c r="C109" s="5"/>
      <c r="D109" s="5"/>
      <c r="E109" s="5"/>
      <c r="F109" s="5"/>
      <c r="G109" s="5"/>
      <c r="H109" s="5"/>
      <c r="I109" s="5"/>
      <c r="J109" s="5"/>
      <c r="L109" s="5"/>
    </row>
  </sheetData>
  <mergeCells count="107">
    <mergeCell ref="D3:F3"/>
    <mergeCell ref="D4:F4"/>
    <mergeCell ref="D15:D16"/>
    <mergeCell ref="E15:E16"/>
    <mergeCell ref="F15:F16"/>
    <mergeCell ref="G15:G16"/>
    <mergeCell ref="H15:H16"/>
    <mergeCell ref="I15:I16"/>
    <mergeCell ref="J15:J16"/>
    <mergeCell ref="D21:D22"/>
    <mergeCell ref="E21:E22"/>
    <mergeCell ref="F21:F22"/>
    <mergeCell ref="G21:G22"/>
    <mergeCell ref="H21:H22"/>
    <mergeCell ref="I21:I22"/>
    <mergeCell ref="J21:J22"/>
    <mergeCell ref="I27:I28"/>
    <mergeCell ref="J27:J28"/>
    <mergeCell ref="D33:D34"/>
    <mergeCell ref="E33:E34"/>
    <mergeCell ref="F33:F34"/>
    <mergeCell ref="G33:G34"/>
    <mergeCell ref="H33:H34"/>
    <mergeCell ref="I33:I34"/>
    <mergeCell ref="J33:J34"/>
    <mergeCell ref="D27:D28"/>
    <mergeCell ref="E27:E28"/>
    <mergeCell ref="F27:F28"/>
    <mergeCell ref="G27:G28"/>
    <mergeCell ref="H27:H28"/>
    <mergeCell ref="I40:I41"/>
    <mergeCell ref="J40:J41"/>
    <mergeCell ref="D46:D47"/>
    <mergeCell ref="E46:E47"/>
    <mergeCell ref="F46:F47"/>
    <mergeCell ref="G46:G47"/>
    <mergeCell ref="H46:H47"/>
    <mergeCell ref="I46:I47"/>
    <mergeCell ref="J46:J47"/>
    <mergeCell ref="D40:D41"/>
    <mergeCell ref="E40:E41"/>
    <mergeCell ref="F40:F41"/>
    <mergeCell ref="G40:G41"/>
    <mergeCell ref="H40:H41"/>
    <mergeCell ref="I52:I53"/>
    <mergeCell ref="J52:J53"/>
    <mergeCell ref="D59:D60"/>
    <mergeCell ref="E59:E60"/>
    <mergeCell ref="F59:F60"/>
    <mergeCell ref="G59:G60"/>
    <mergeCell ref="H59:H60"/>
    <mergeCell ref="I59:I60"/>
    <mergeCell ref="J59:J60"/>
    <mergeCell ref="D52:D53"/>
    <mergeCell ref="E52:E53"/>
    <mergeCell ref="F52:F53"/>
    <mergeCell ref="G52:G53"/>
    <mergeCell ref="H52:H53"/>
    <mergeCell ref="I65:I66"/>
    <mergeCell ref="J65:J66"/>
    <mergeCell ref="D71:D72"/>
    <mergeCell ref="E71:E72"/>
    <mergeCell ref="F71:F72"/>
    <mergeCell ref="G71:G72"/>
    <mergeCell ref="H71:H72"/>
    <mergeCell ref="I71:I72"/>
    <mergeCell ref="J71:J72"/>
    <mergeCell ref="D65:D66"/>
    <mergeCell ref="E65:E66"/>
    <mergeCell ref="F65:F66"/>
    <mergeCell ref="G65:G66"/>
    <mergeCell ref="H65:H66"/>
    <mergeCell ref="I78:I79"/>
    <mergeCell ref="J78:J79"/>
    <mergeCell ref="D84:D85"/>
    <mergeCell ref="E84:E85"/>
    <mergeCell ref="F84:F85"/>
    <mergeCell ref="G84:G85"/>
    <mergeCell ref="H84:H85"/>
    <mergeCell ref="I84:I85"/>
    <mergeCell ref="J84:J85"/>
    <mergeCell ref="D78:D79"/>
    <mergeCell ref="E78:E79"/>
    <mergeCell ref="F78:F79"/>
    <mergeCell ref="G78:G79"/>
    <mergeCell ref="H78:H79"/>
    <mergeCell ref="I103:I104"/>
    <mergeCell ref="J103:J104"/>
    <mergeCell ref="D103:D104"/>
    <mergeCell ref="E103:E104"/>
    <mergeCell ref="F103:F104"/>
    <mergeCell ref="G103:G104"/>
    <mergeCell ref="H103:H104"/>
    <mergeCell ref="I90:I91"/>
    <mergeCell ref="J90:J91"/>
    <mergeCell ref="D96:D97"/>
    <mergeCell ref="E96:E97"/>
    <mergeCell ref="F96:F97"/>
    <mergeCell ref="G96:G97"/>
    <mergeCell ref="H96:H97"/>
    <mergeCell ref="I96:I97"/>
    <mergeCell ref="J96:J97"/>
    <mergeCell ref="D90:D91"/>
    <mergeCell ref="E90:E91"/>
    <mergeCell ref="F90:F91"/>
    <mergeCell ref="G90:G91"/>
    <mergeCell ref="H90:H91"/>
  </mergeCells>
  <phoneticPr fontId="1" type="noConversion"/>
  <conditionalFormatting sqref="D7:G15 I7:J15 D17:G21 I17:J21 D23:G27 I23:J27 D29:G33 I29:J33 D35:G40 I35:J40 D42:G46 I42:J46 D48:G52 I48:J52 D54:G59 I54:J59 D61:G65 I61:J65 D67:G71 I67:J71 D73:G78 I73:J78 D80:G84 I80:J84 D86:G90 I86:J90 D92:G96 I92:J96 D98:G103 I98:J103 D105:G107 I105:J107">
    <cfRule type="expression" dxfId="79" priority="4">
      <formula>OR($D7=$Q$7:$Q$14)</formula>
    </cfRule>
  </conditionalFormatting>
  <conditionalFormatting sqref="C7:C106">
    <cfRule type="expression" dxfId="78" priority="3">
      <formula>OR(AND($D7=0,OR($D6=$Q$7:$Q$14)),AND($D8&gt;0,OR($D7=$Q$7:$Q$14)))</formula>
    </cfRule>
  </conditionalFormatting>
  <conditionalFormatting sqref="D7:D15 D17:D21 D23:D27 D29:D33 D35:D40 D42:D46 D48:D52 D54:D59 D61:D65 D67:D71 D73:D78 D80:D84 D86:D90 D92:D96 D98:D103 D105:D106">
    <cfRule type="expression" dxfId="77" priority="2">
      <formula>$D7=$D8</formula>
    </cfRule>
  </conditionalFormatting>
  <conditionalFormatting sqref="H7:H15 H17:H21 H23:H27 H29:H33 H35:H40 H42:H46 H48:H52 H54:H59 H61:H65 H67:H71 H73:H78 H80:H84 H86:H90 H92:H96 H98:H103 H105:H107">
    <cfRule type="expression" dxfId="76" priority="1">
      <formula>OR($D7=$Q$7:$Q$14)</formula>
    </cfRule>
  </conditionalFormatting>
  <conditionalFormatting sqref="C107">
    <cfRule type="expression" dxfId="75" priority="11">
      <formula>OR(AND($D107=0,OR($D106=$Q$7:$Q$14)),AND($D109&gt;0,OR($D107=$Q$7:$Q$14)))</formula>
    </cfRule>
  </conditionalFormatting>
  <conditionalFormatting sqref="D107">
    <cfRule type="expression" dxfId="74" priority="13">
      <formula>$D107=$D109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8"/>
  <dimension ref="A1:L16"/>
  <sheetViews>
    <sheetView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기능'!D6</f>
        <v>55.291176520427697</v>
      </c>
      <c r="I3" s="21" t="s">
        <v>117</v>
      </c>
      <c r="J3" s="58">
        <f>'통계 및 응시자 수 입력 기능'!C6</f>
        <v>295065</v>
      </c>
      <c r="K3" s="31"/>
    </row>
    <row r="4" spans="1:12" ht="25" customHeight="1" thickBot="1" x14ac:dyDescent="0.5">
      <c r="A4" s="5"/>
      <c r="B4" s="30"/>
      <c r="C4" s="59" t="s">
        <v>118</v>
      </c>
      <c r="D4" s="191" t="s">
        <v>130</v>
      </c>
      <c r="E4" s="192"/>
      <c r="F4" s="193"/>
      <c r="G4" s="60" t="s">
        <v>120</v>
      </c>
      <c r="H4" s="61">
        <f>'통계 및 응시자 수 입력 기능'!E6</f>
        <v>20.885314483302398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0"/>
      <c r="J5" s="20"/>
      <c r="K5" s="31"/>
    </row>
    <row r="6" spans="1:12" ht="25" customHeight="1" thickBot="1" x14ac:dyDescent="0.5">
      <c r="A6" s="5"/>
      <c r="B6" s="30"/>
      <c r="C6" s="62" t="s">
        <v>186</v>
      </c>
      <c r="D6" s="132" t="s">
        <v>187</v>
      </c>
      <c r="E6" s="133" t="s">
        <v>188</v>
      </c>
      <c r="F6" s="63" t="s">
        <v>189</v>
      </c>
      <c r="G6" s="63" t="s">
        <v>190</v>
      </c>
      <c r="H6" s="65" t="s">
        <v>191</v>
      </c>
      <c r="I6" s="20"/>
      <c r="J6" s="20"/>
      <c r="K6" s="31"/>
      <c r="L6" s="5"/>
    </row>
    <row r="7" spans="1:12" ht="25" customHeight="1" x14ac:dyDescent="0.45">
      <c r="A7" s="5"/>
      <c r="B7" s="30"/>
      <c r="C7" s="152">
        <v>1</v>
      </c>
      <c r="D7" s="153">
        <v>90</v>
      </c>
      <c r="E7" s="136">
        <f>'표점등급&amp;절평인원 입력 기능'!D22</f>
        <v>10949</v>
      </c>
      <c r="F7" s="137">
        <f>E7/$J$3</f>
        <v>3.7107078101435279E-2</v>
      </c>
      <c r="G7" s="138">
        <f>SUM($E$7:E7)</f>
        <v>10949</v>
      </c>
      <c r="H7" s="139">
        <f>G7/$J$3</f>
        <v>3.7107078101435279E-2</v>
      </c>
      <c r="I7" s="20"/>
      <c r="J7" s="20"/>
      <c r="K7" s="31"/>
      <c r="L7" s="5"/>
    </row>
    <row r="8" spans="1:12" ht="25" customHeight="1" x14ac:dyDescent="0.45">
      <c r="A8" s="5"/>
      <c r="B8" s="30"/>
      <c r="C8" s="154">
        <v>2</v>
      </c>
      <c r="D8" s="155">
        <v>80</v>
      </c>
      <c r="E8" s="142">
        <f>'표점등급&amp;절평인원 입력 기능'!D23</f>
        <v>26067</v>
      </c>
      <c r="F8" s="143">
        <f t="shared" ref="F8:F15" si="0">E8/$J$3</f>
        <v>8.8343246403334852E-2</v>
      </c>
      <c r="G8" s="144">
        <f>SUM($E$7:E8)</f>
        <v>37016</v>
      </c>
      <c r="H8" s="145">
        <f t="shared" ref="H8:H15" si="1">G8/$J$3</f>
        <v>0.12545032450477014</v>
      </c>
      <c r="I8" s="20"/>
      <c r="J8" s="20"/>
      <c r="K8" s="31"/>
      <c r="L8" s="5"/>
    </row>
    <row r="9" spans="1:12" ht="25" customHeight="1" x14ac:dyDescent="0.45">
      <c r="A9" s="5"/>
      <c r="B9" s="30"/>
      <c r="C9" s="154">
        <v>3</v>
      </c>
      <c r="D9" s="155">
        <v>70</v>
      </c>
      <c r="E9" s="142">
        <f>'표점등급&amp;절평인원 입력 기능'!D24</f>
        <v>46080</v>
      </c>
      <c r="F9" s="143">
        <f t="shared" si="0"/>
        <v>0.1561689797163337</v>
      </c>
      <c r="G9" s="144">
        <f>SUM($E$7:E9)</f>
        <v>83096</v>
      </c>
      <c r="H9" s="145">
        <f t="shared" si="1"/>
        <v>0.28161930422110382</v>
      </c>
      <c r="I9" s="20"/>
      <c r="J9" s="20"/>
      <c r="K9" s="31"/>
      <c r="L9" s="5"/>
    </row>
    <row r="10" spans="1:12" ht="25" customHeight="1" x14ac:dyDescent="0.45">
      <c r="A10" s="5"/>
      <c r="B10" s="30"/>
      <c r="C10" s="154">
        <v>4</v>
      </c>
      <c r="D10" s="155">
        <v>60</v>
      </c>
      <c r="E10" s="142">
        <f>'표점등급&amp;절평인원 입력 기능'!D25</f>
        <v>53290</v>
      </c>
      <c r="F10" s="143">
        <f t="shared" si="0"/>
        <v>0.18060427363462289</v>
      </c>
      <c r="G10" s="144">
        <f>SUM($E$7:E10)</f>
        <v>136386</v>
      </c>
      <c r="H10" s="145">
        <f t="shared" si="1"/>
        <v>0.46222357785572671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54">
        <v>5</v>
      </c>
      <c r="D11" s="155">
        <v>50</v>
      </c>
      <c r="E11" s="142">
        <f>'표점등급&amp;절평인원 입력 기능'!D26</f>
        <v>46203</v>
      </c>
      <c r="F11" s="143">
        <f t="shared" si="0"/>
        <v>0.15658583701896192</v>
      </c>
      <c r="G11" s="144">
        <f>SUM($E$7:E11)</f>
        <v>182589</v>
      </c>
      <c r="H11" s="145">
        <f t="shared" si="1"/>
        <v>0.61880941487468866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54">
        <v>6</v>
      </c>
      <c r="D12" s="155">
        <v>40</v>
      </c>
      <c r="E12" s="142">
        <f>'표점등급&amp;절평인원 입력 기능'!D27</f>
        <v>37248</v>
      </c>
      <c r="F12" s="143">
        <f t="shared" si="0"/>
        <v>0.12623659193736972</v>
      </c>
      <c r="G12" s="144">
        <f>SUM($E$7:E12)</f>
        <v>219837</v>
      </c>
      <c r="H12" s="145">
        <f t="shared" si="1"/>
        <v>0.74504600681205835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54">
        <v>7</v>
      </c>
      <c r="D13" s="155">
        <v>30</v>
      </c>
      <c r="E13" s="142">
        <f>'표점등급&amp;절평인원 입력 기능'!D28</f>
        <v>31274</v>
      </c>
      <c r="F13" s="143">
        <f t="shared" si="0"/>
        <v>0.10599020554793012</v>
      </c>
      <c r="G13" s="144">
        <f>SUM($E$7:E13)</f>
        <v>251111</v>
      </c>
      <c r="H13" s="145">
        <f t="shared" si="1"/>
        <v>0.8510362123599885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54">
        <v>8</v>
      </c>
      <c r="D14" s="155">
        <v>20</v>
      </c>
      <c r="E14" s="142">
        <f>'표점등급&amp;절평인원 입력 기능'!D29</f>
        <v>33585</v>
      </c>
      <c r="F14" s="143">
        <f t="shared" si="0"/>
        <v>0.11382237812007524</v>
      </c>
      <c r="G14" s="144">
        <f>SUM($E$7:E14)</f>
        <v>284696</v>
      </c>
      <c r="H14" s="145">
        <f t="shared" si="1"/>
        <v>0.96485859048006373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56">
        <v>9</v>
      </c>
      <c r="D15" s="157">
        <v>0</v>
      </c>
      <c r="E15" s="148">
        <f>'표점등급&amp;절평인원 입력 기능'!D30</f>
        <v>10369</v>
      </c>
      <c r="F15" s="149">
        <f t="shared" si="0"/>
        <v>3.5141409519936287E-2</v>
      </c>
      <c r="G15" s="150">
        <f>SUM($E$7:E15)</f>
        <v>295065</v>
      </c>
      <c r="H15" s="151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2">
    <mergeCell ref="D3:F3"/>
    <mergeCell ref="D4:F4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9"/>
  <dimension ref="A1:L16"/>
  <sheetViews>
    <sheetView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기능'!D7</f>
        <v>25.638199995910899</v>
      </c>
      <c r="I3" s="21" t="s">
        <v>117</v>
      </c>
      <c r="J3" s="58">
        <f>'통계 및 응시자 수 입력 기능'!C7</f>
        <v>293466</v>
      </c>
      <c r="K3" s="31"/>
    </row>
    <row r="4" spans="1:12" ht="25" customHeight="1" thickBot="1" x14ac:dyDescent="0.5">
      <c r="A4" s="5"/>
      <c r="B4" s="30"/>
      <c r="C4" s="59" t="s">
        <v>118</v>
      </c>
      <c r="D4" s="191" t="s">
        <v>131</v>
      </c>
      <c r="E4" s="192"/>
      <c r="F4" s="193"/>
      <c r="G4" s="60" t="s">
        <v>120</v>
      </c>
      <c r="H4" s="61">
        <f>'통계 및 응시자 수 입력 기능'!E7</f>
        <v>11.5366918930469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0"/>
      <c r="J5" s="20"/>
      <c r="K5" s="31"/>
    </row>
    <row r="6" spans="1:12" ht="25" customHeight="1" thickBot="1" x14ac:dyDescent="0.5">
      <c r="A6" s="5"/>
      <c r="B6" s="30"/>
      <c r="C6" s="62" t="s">
        <v>186</v>
      </c>
      <c r="D6" s="132" t="s">
        <v>187</v>
      </c>
      <c r="E6" s="133" t="s">
        <v>188</v>
      </c>
      <c r="F6" s="63" t="s">
        <v>189</v>
      </c>
      <c r="G6" s="63" t="s">
        <v>190</v>
      </c>
      <c r="H6" s="65" t="s">
        <v>191</v>
      </c>
      <c r="I6" s="20"/>
      <c r="J6" s="20"/>
      <c r="K6" s="31"/>
      <c r="L6" s="5"/>
    </row>
    <row r="7" spans="1:12" ht="25" customHeight="1" x14ac:dyDescent="0.45">
      <c r="A7" s="5"/>
      <c r="B7" s="30"/>
      <c r="C7" s="152">
        <v>1</v>
      </c>
      <c r="D7" s="153">
        <v>40</v>
      </c>
      <c r="E7" s="136">
        <f>'표점등급&amp;절평인원 입력 기능'!D31</f>
        <v>34306</v>
      </c>
      <c r="F7" s="137">
        <f>E7/$J$3</f>
        <v>0.11689940231577083</v>
      </c>
      <c r="G7" s="138">
        <f>SUM($E$7:E7)</f>
        <v>34306</v>
      </c>
      <c r="H7" s="139">
        <f>G7/$J$3</f>
        <v>0.11689940231577083</v>
      </c>
      <c r="I7" s="20"/>
      <c r="J7" s="20"/>
      <c r="K7" s="31"/>
      <c r="L7" s="5"/>
    </row>
    <row r="8" spans="1:12" ht="25" customHeight="1" x14ac:dyDescent="0.45">
      <c r="A8" s="5"/>
      <c r="B8" s="30"/>
      <c r="C8" s="154">
        <v>2</v>
      </c>
      <c r="D8" s="155">
        <v>35</v>
      </c>
      <c r="E8" s="142">
        <f>'표점등급&amp;절평인원 입력 기능'!D32</f>
        <v>37549</v>
      </c>
      <c r="F8" s="143">
        <f t="shared" ref="F8:F15" si="0">E8/$J$3</f>
        <v>0.12795008621100912</v>
      </c>
      <c r="G8" s="144">
        <f>SUM($E$7:E8)</f>
        <v>71855</v>
      </c>
      <c r="H8" s="145">
        <f t="shared" ref="H8:H15" si="1">G8/$J$3</f>
        <v>0.24484948852677993</v>
      </c>
      <c r="I8" s="20"/>
      <c r="J8" s="20"/>
      <c r="K8" s="31"/>
      <c r="L8" s="5"/>
    </row>
    <row r="9" spans="1:12" ht="25" customHeight="1" x14ac:dyDescent="0.45">
      <c r="A9" s="5"/>
      <c r="B9" s="30"/>
      <c r="C9" s="154">
        <v>3</v>
      </c>
      <c r="D9" s="155">
        <v>30</v>
      </c>
      <c r="E9" s="142">
        <f>'표점등급&amp;절평인원 입력 기능'!D33</f>
        <v>47520</v>
      </c>
      <c r="F9" s="143">
        <f t="shared" si="0"/>
        <v>0.16192676494040195</v>
      </c>
      <c r="G9" s="144">
        <f>SUM($E$7:E9)</f>
        <v>119375</v>
      </c>
      <c r="H9" s="145">
        <f t="shared" si="1"/>
        <v>0.40677625346718188</v>
      </c>
      <c r="I9" s="20"/>
      <c r="J9" s="20"/>
      <c r="K9" s="31"/>
      <c r="L9" s="5"/>
    </row>
    <row r="10" spans="1:12" ht="25" customHeight="1" x14ac:dyDescent="0.45">
      <c r="A10" s="5"/>
      <c r="B10" s="30"/>
      <c r="C10" s="154">
        <v>4</v>
      </c>
      <c r="D10" s="155">
        <v>25</v>
      </c>
      <c r="E10" s="142">
        <f>'표점등급&amp;절평인원 입력 기능'!D34</f>
        <v>45996</v>
      </c>
      <c r="F10" s="143">
        <f t="shared" si="0"/>
        <v>0.15673365909509107</v>
      </c>
      <c r="G10" s="144">
        <f>SUM($E$7:E10)</f>
        <v>165371</v>
      </c>
      <c r="H10" s="145">
        <f t="shared" si="1"/>
        <v>0.56350991256227301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54">
        <v>5</v>
      </c>
      <c r="D11" s="155">
        <v>20</v>
      </c>
      <c r="E11" s="142">
        <f>'표점등급&amp;절평인원 입력 기능'!D35</f>
        <v>34737</v>
      </c>
      <c r="F11" s="143">
        <f t="shared" si="0"/>
        <v>0.11836805626546176</v>
      </c>
      <c r="G11" s="144">
        <f>SUM($E$7:E11)</f>
        <v>200108</v>
      </c>
      <c r="H11" s="145">
        <f t="shared" si="1"/>
        <v>0.68187796882773477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54">
        <v>6</v>
      </c>
      <c r="D12" s="155">
        <v>15</v>
      </c>
      <c r="E12" s="142">
        <f>'표점등급&amp;절평인원 입력 기능'!D36</f>
        <v>25812</v>
      </c>
      <c r="F12" s="143">
        <f t="shared" si="0"/>
        <v>8.7955674592627431E-2</v>
      </c>
      <c r="G12" s="144">
        <f>SUM($E$7:E12)</f>
        <v>225920</v>
      </c>
      <c r="H12" s="145">
        <f t="shared" si="1"/>
        <v>0.7698336434203622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54">
        <v>7</v>
      </c>
      <c r="D13" s="155">
        <v>10</v>
      </c>
      <c r="E13" s="142">
        <f>'표점등급&amp;절평인원 입력 기능'!D37</f>
        <v>39765</v>
      </c>
      <c r="F13" s="143">
        <f t="shared" si="0"/>
        <v>0.13550121649526692</v>
      </c>
      <c r="G13" s="144">
        <f>SUM($E$7:E13)</f>
        <v>265685</v>
      </c>
      <c r="H13" s="145">
        <f t="shared" si="1"/>
        <v>0.90533485991562912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54">
        <v>8</v>
      </c>
      <c r="D14" s="155">
        <v>5</v>
      </c>
      <c r="E14" s="142">
        <f>'표점등급&amp;절평인원 입력 기능'!D38</f>
        <v>23202</v>
      </c>
      <c r="F14" s="143">
        <f t="shared" si="0"/>
        <v>7.9061969700067472E-2</v>
      </c>
      <c r="G14" s="144">
        <f>SUM($E$7:E14)</f>
        <v>288887</v>
      </c>
      <c r="H14" s="145">
        <f t="shared" si="1"/>
        <v>0.98439682961569652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56">
        <v>9</v>
      </c>
      <c r="D15" s="157">
        <v>0</v>
      </c>
      <c r="E15" s="148">
        <f>'표점등급&amp;절평인원 입력 기능'!D39</f>
        <v>4579</v>
      </c>
      <c r="F15" s="149">
        <f t="shared" si="0"/>
        <v>1.5603170384303464E-2</v>
      </c>
      <c r="G15" s="150">
        <f>SUM($E$7:E15)</f>
        <v>293466</v>
      </c>
      <c r="H15" s="151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2">
    <mergeCell ref="D3:F3"/>
    <mergeCell ref="D4:F4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58F2E-2945-4475-AB2E-3ED4D0C21331}">
  <sheetPr codeName="Sheet10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113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기능'!D8</f>
        <v>26.647375255054701</v>
      </c>
      <c r="I3" s="21" t="s">
        <v>117</v>
      </c>
      <c r="J3" s="58">
        <f>'통계 및 응시자 수 입력 기능'!C8</f>
        <v>70083</v>
      </c>
      <c r="K3" s="36"/>
      <c r="L3" s="20"/>
    </row>
    <row r="4" spans="1:17" s="22" customFormat="1" ht="25" customHeight="1" thickBot="1" x14ac:dyDescent="0.5">
      <c r="A4" s="20"/>
      <c r="B4" s="35"/>
      <c r="C4" s="59" t="s">
        <v>118</v>
      </c>
      <c r="D4" s="191" t="s">
        <v>132</v>
      </c>
      <c r="E4" s="192"/>
      <c r="F4" s="193"/>
      <c r="G4" s="60" t="s">
        <v>120</v>
      </c>
      <c r="H4" s="61">
        <f>'통계 및 응시자 수 입력 기능'!E8</f>
        <v>11.830553506546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62" t="s">
        <v>121</v>
      </c>
      <c r="D6" s="63" t="s">
        <v>122</v>
      </c>
      <c r="E6" s="63" t="s">
        <v>123</v>
      </c>
      <c r="F6" s="63" t="s">
        <v>124</v>
      </c>
      <c r="G6" s="63" t="s">
        <v>125</v>
      </c>
      <c r="H6" s="63" t="s">
        <v>126</v>
      </c>
      <c r="I6" s="64" t="s">
        <v>127</v>
      </c>
      <c r="J6" s="65" t="s">
        <v>128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66">
        <v>50</v>
      </c>
      <c r="D7" s="67">
        <f>ROUND(10*(C7-$H$3)/$H$4+50,0)</f>
        <v>70</v>
      </c>
      <c r="E7" s="67">
        <f t="shared" ref="E7:E3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8">
        <f>ROUND(100*(1-(0+I7)/2/$J$3),2)</f>
        <v>99.35</v>
      </c>
      <c r="G7" s="69">
        <f>_xlfn.IFNA(VLOOKUP(D7,'인원 입력 기능(사과탐)'!$A$5:$D$59,4,FALSE),0)</f>
        <v>916</v>
      </c>
      <c r="H7" s="70">
        <f>G7/$J$3</f>
        <v>1.3070216743004723E-2</v>
      </c>
      <c r="I7" s="71">
        <f>G7</f>
        <v>916</v>
      </c>
      <c r="J7" s="72">
        <f>I7/$J$3</f>
        <v>1.3070216743004723E-2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기능'!C40</f>
        <v>67</v>
      </c>
    </row>
    <row r="8" spans="1:17" s="22" customFormat="1" ht="25" customHeight="1" x14ac:dyDescent="0.45">
      <c r="A8" s="20"/>
      <c r="B8" s="35"/>
      <c r="C8" s="73">
        <v>49</v>
      </c>
      <c r="D8" s="74" t="s">
        <v>59</v>
      </c>
      <c r="E8" s="74"/>
      <c r="F8" s="75"/>
      <c r="G8" s="76"/>
      <c r="H8" s="94"/>
      <c r="I8" s="78"/>
      <c r="J8" s="79"/>
      <c r="K8" s="36"/>
      <c r="L8" s="20"/>
      <c r="N8" s="24"/>
      <c r="P8" s="24">
        <v>2</v>
      </c>
      <c r="Q8" s="24">
        <f>'표점등급&amp;절평인원 입력 기능'!C41</f>
        <v>62</v>
      </c>
    </row>
    <row r="9" spans="1:17" s="22" customFormat="1" ht="25" customHeight="1" x14ac:dyDescent="0.45">
      <c r="A9" s="20"/>
      <c r="B9" s="35"/>
      <c r="C9" s="66">
        <v>48</v>
      </c>
      <c r="D9" s="67">
        <f>ROUND(10*(C9-$H$3)/$H$4+50,0)</f>
        <v>68</v>
      </c>
      <c r="E9" s="67">
        <f t="shared" si="0"/>
        <v>1</v>
      </c>
      <c r="F9" s="68">
        <f>IF(I8=0,ROUND(100*(1-(I7+I9)/2/$J$3),2),ROUND(100*(1-(I8+I9)/2/$J$3),2))</f>
        <v>98.54</v>
      </c>
      <c r="G9" s="69">
        <f>_xlfn.IFNA(VLOOKUP(D9,'인원 입력 기능(사과탐)'!$A$5:$D$59,4,FALSE),0)</f>
        <v>209</v>
      </c>
      <c r="H9" s="70">
        <f t="shared" ref="H9:H55" si="1">G9/$J$3</f>
        <v>2.9821782743318635E-3</v>
      </c>
      <c r="I9" s="80">
        <f>SUM($G$7:G9)</f>
        <v>1125</v>
      </c>
      <c r="J9" s="72">
        <f>I9/$J$3</f>
        <v>1.6052395017336588E-2</v>
      </c>
      <c r="K9" s="36"/>
      <c r="L9" s="20" t="str">
        <f t="shared" ref="L9:L55" si="2">IF(ABS((C9-$H$3)/$H$4*10+50-D9)&gt;0.49, "경고", "")</f>
        <v/>
      </c>
      <c r="N9" s="24"/>
      <c r="P9" s="24">
        <v>3</v>
      </c>
      <c r="Q9" s="24">
        <f>'표점등급&amp;절평인원 입력 기능'!C42</f>
        <v>58</v>
      </c>
    </row>
    <row r="10" spans="1:17" s="22" customFormat="1" ht="25" customHeight="1" x14ac:dyDescent="0.45">
      <c r="A10" s="20"/>
      <c r="B10" s="35"/>
      <c r="C10" s="73">
        <v>47</v>
      </c>
      <c r="D10" s="67">
        <f t="shared" ref="D10:D55" si="3">ROUND(10*(C10-$H$3)/$H$4+50,0)</f>
        <v>67</v>
      </c>
      <c r="E10" s="67">
        <f t="shared" si="0"/>
        <v>1</v>
      </c>
      <c r="F10" s="68">
        <f t="shared" ref="F10:F55" si="4">IF(I9=0,ROUND(100*(1-(I8+I10)/2/$J$3),2),ROUND(100*(1-(I9+I10)/2/$J$3),2))</f>
        <v>97.09</v>
      </c>
      <c r="G10" s="69">
        <f>IF(D10=D9,"",_xlfn.IFNA(VLOOKUP(D10,'인원 입력 기능(사과탐)'!$A$5:$D$59,4,FALSE),0))</f>
        <v>1834</v>
      </c>
      <c r="H10" s="70">
        <f t="shared" si="1"/>
        <v>2.6168971077151378E-2</v>
      </c>
      <c r="I10" s="80">
        <f>SUM($G$7:G10)</f>
        <v>2959</v>
      </c>
      <c r="J10" s="72">
        <f t="shared" ref="J10:J55" si="5">I10/$J$3</f>
        <v>4.2221366094487962E-2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기능'!C43</f>
        <v>54</v>
      </c>
    </row>
    <row r="11" spans="1:17" s="22" customFormat="1" ht="25" customHeight="1" x14ac:dyDescent="0.45">
      <c r="A11" s="20"/>
      <c r="B11" s="35"/>
      <c r="C11" s="66">
        <v>46</v>
      </c>
      <c r="D11" s="178">
        <f t="shared" si="3"/>
        <v>66</v>
      </c>
      <c r="E11" s="178">
        <f t="shared" si="0"/>
        <v>2</v>
      </c>
      <c r="F11" s="182">
        <f t="shared" si="4"/>
        <v>95.27</v>
      </c>
      <c r="G11" s="184">
        <f>IF(D11=D10,"",_xlfn.IFNA(VLOOKUP(D11,'인원 입력 기능(사과탐)'!$A$5:$D$59,4,FALSE),0))</f>
        <v>716</v>
      </c>
      <c r="H11" s="186">
        <f t="shared" si="1"/>
        <v>1.0216457628811551E-2</v>
      </c>
      <c r="I11" s="194">
        <f>SUM($G$7:G11)</f>
        <v>3675</v>
      </c>
      <c r="J11" s="176">
        <f t="shared" si="5"/>
        <v>5.2437823723299519E-2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기능'!C44</f>
        <v>48</v>
      </c>
    </row>
    <row r="12" spans="1:17" s="22" customFormat="1" ht="25" customHeight="1" x14ac:dyDescent="0.45">
      <c r="A12" s="20"/>
      <c r="B12" s="35"/>
      <c r="C12" s="73">
        <v>45</v>
      </c>
      <c r="D12" s="179"/>
      <c r="E12" s="179"/>
      <c r="F12" s="183"/>
      <c r="G12" s="185"/>
      <c r="H12" s="187"/>
      <c r="I12" s="195"/>
      <c r="J12" s="177"/>
      <c r="K12" s="36"/>
      <c r="L12" s="20" t="str">
        <f t="shared" si="2"/>
        <v>경고</v>
      </c>
      <c r="N12" s="24"/>
      <c r="P12" s="24">
        <v>6</v>
      </c>
      <c r="Q12" s="24">
        <f>'표점등급&amp;절평인원 입력 기능'!C45</f>
        <v>40</v>
      </c>
    </row>
    <row r="13" spans="1:17" s="22" customFormat="1" ht="25" customHeight="1" x14ac:dyDescent="0.45">
      <c r="A13" s="20"/>
      <c r="B13" s="35"/>
      <c r="C13" s="66">
        <v>44</v>
      </c>
      <c r="D13" s="67">
        <f t="shared" si="3"/>
        <v>65</v>
      </c>
      <c r="E13" s="67">
        <f t="shared" si="0"/>
        <v>2</v>
      </c>
      <c r="F13" s="68">
        <f t="shared" si="4"/>
        <v>93.21</v>
      </c>
      <c r="G13" s="69">
        <f>IF(D13=D12,"",_xlfn.IFNA(VLOOKUP(D13,'인원 입력 기능(사과탐)'!$A$5:$D$59,4,FALSE),0))</f>
        <v>2165</v>
      </c>
      <c r="H13" s="70">
        <f t="shared" si="1"/>
        <v>3.0891942411141075E-2</v>
      </c>
      <c r="I13" s="80">
        <f>SUM($G$7:G13)</f>
        <v>5840</v>
      </c>
      <c r="J13" s="72">
        <f t="shared" si="5"/>
        <v>8.3329766134440597E-2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기능'!C46</f>
        <v>36</v>
      </c>
    </row>
    <row r="14" spans="1:17" s="22" customFormat="1" ht="25" customHeight="1" x14ac:dyDescent="0.45">
      <c r="A14" s="20"/>
      <c r="B14" s="35"/>
      <c r="C14" s="73">
        <v>43</v>
      </c>
      <c r="D14" s="67">
        <f t="shared" si="3"/>
        <v>64</v>
      </c>
      <c r="E14" s="67">
        <f t="shared" si="0"/>
        <v>2</v>
      </c>
      <c r="F14" s="68">
        <f t="shared" si="4"/>
        <v>91.54</v>
      </c>
      <c r="G14" s="69">
        <f>IF(D14=D13,"",_xlfn.IFNA(VLOOKUP(D14,'인원 입력 기능(사과탐)'!$A$5:$D$59,4,FALSE),0))</f>
        <v>184</v>
      </c>
      <c r="H14" s="70">
        <f t="shared" si="1"/>
        <v>2.6254583850577173E-3</v>
      </c>
      <c r="I14" s="80">
        <f>SUM($G$7:G14)</f>
        <v>6024</v>
      </c>
      <c r="J14" s="72">
        <f t="shared" si="5"/>
        <v>8.5955224519498302E-2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기능'!C47</f>
        <v>34</v>
      </c>
    </row>
    <row r="15" spans="1:17" s="22" customFormat="1" ht="25" customHeight="1" x14ac:dyDescent="0.45">
      <c r="A15" s="20"/>
      <c r="B15" s="35"/>
      <c r="C15" s="66">
        <v>42</v>
      </c>
      <c r="D15" s="67">
        <f t="shared" si="3"/>
        <v>63</v>
      </c>
      <c r="E15" s="67">
        <f t="shared" si="0"/>
        <v>2</v>
      </c>
      <c r="F15" s="68">
        <f t="shared" si="4"/>
        <v>90.38</v>
      </c>
      <c r="G15" s="69">
        <f>IF(D15=D14,"",_xlfn.IFNA(VLOOKUP(D15,'인원 입력 기능(사과탐)'!$A$5:$D$59,4,FALSE),0))</f>
        <v>1441</v>
      </c>
      <c r="H15" s="70">
        <f t="shared" si="1"/>
        <v>2.0561334417761798E-2</v>
      </c>
      <c r="I15" s="80">
        <f>SUM($G$7:G15)</f>
        <v>7465</v>
      </c>
      <c r="J15" s="72">
        <f t="shared" si="5"/>
        <v>0.1065165589372601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73">
        <v>41</v>
      </c>
      <c r="D16" s="67">
        <f t="shared" si="3"/>
        <v>62</v>
      </c>
      <c r="E16" s="67">
        <f t="shared" si="0"/>
        <v>2</v>
      </c>
      <c r="F16" s="68">
        <f t="shared" si="4"/>
        <v>87.81</v>
      </c>
      <c r="G16" s="69">
        <f>IF(D16=D15,"",_xlfn.IFNA(VLOOKUP(D16,'인원 입력 기능(사과탐)'!$A$5:$D$59,4,FALSE),0))</f>
        <v>2156</v>
      </c>
      <c r="H16" s="70">
        <f t="shared" si="1"/>
        <v>3.0763523251002383E-2</v>
      </c>
      <c r="I16" s="80">
        <f>SUM($G$7:G16)</f>
        <v>9621</v>
      </c>
      <c r="J16" s="72">
        <f t="shared" si="5"/>
        <v>0.13728008218826249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66">
        <v>40</v>
      </c>
      <c r="D17" s="67">
        <f t="shared" si="3"/>
        <v>61</v>
      </c>
      <c r="E17" s="67">
        <f t="shared" si="0"/>
        <v>3</v>
      </c>
      <c r="F17" s="68">
        <f t="shared" si="4"/>
        <v>85.8</v>
      </c>
      <c r="G17" s="69">
        <f>IF(D17=D16,"",_xlfn.IFNA(VLOOKUP(D17,'인원 입력 기능(사과탐)'!$A$5:$D$59,4,FALSE),0))</f>
        <v>658</v>
      </c>
      <c r="H17" s="70">
        <f t="shared" si="1"/>
        <v>9.3888674856955328E-3</v>
      </c>
      <c r="I17" s="80">
        <f>SUM($G$7:G17)</f>
        <v>10279</v>
      </c>
      <c r="J17" s="72">
        <f t="shared" si="5"/>
        <v>0.14666894967395802</v>
      </c>
      <c r="K17" s="36"/>
      <c r="L17" s="20" t="str">
        <f t="shared" si="2"/>
        <v/>
      </c>
      <c r="N17" s="24"/>
      <c r="Q17" s="24">
        <f>Q7*H3*H4*J3*IFERROR(IF(J57=1, 1, 0), 0)</f>
        <v>1480290625.241179</v>
      </c>
    </row>
    <row r="18" spans="1:17" s="22" customFormat="1" ht="25" customHeight="1" x14ac:dyDescent="0.45">
      <c r="A18" s="20"/>
      <c r="B18" s="35"/>
      <c r="C18" s="73">
        <v>39</v>
      </c>
      <c r="D18" s="178">
        <f t="shared" si="3"/>
        <v>60</v>
      </c>
      <c r="E18" s="178">
        <f t="shared" si="0"/>
        <v>3</v>
      </c>
      <c r="F18" s="182">
        <f t="shared" si="4"/>
        <v>82.43</v>
      </c>
      <c r="G18" s="184">
        <f>IF(D18=D17,"",_xlfn.IFNA(VLOOKUP(D18,'인원 입력 기능(사과탐)'!$A$5:$D$59,4,FALSE),0))</f>
        <v>4063</v>
      </c>
      <c r="H18" s="186">
        <f t="shared" si="1"/>
        <v>5.7974116404834269E-2</v>
      </c>
      <c r="I18" s="194">
        <f>SUM($G$7:G18)</f>
        <v>14342</v>
      </c>
      <c r="J18" s="176">
        <f t="shared" si="5"/>
        <v>0.20464306607879229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66">
        <v>38</v>
      </c>
      <c r="D19" s="179"/>
      <c r="E19" s="179"/>
      <c r="F19" s="183"/>
      <c r="G19" s="185"/>
      <c r="H19" s="187"/>
      <c r="I19" s="195"/>
      <c r="J19" s="177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73">
        <v>37</v>
      </c>
      <c r="D20" s="67">
        <f t="shared" si="3"/>
        <v>59</v>
      </c>
      <c r="E20" s="67">
        <f t="shared" si="0"/>
        <v>3</v>
      </c>
      <c r="F20" s="68">
        <f t="shared" si="4"/>
        <v>78.56</v>
      </c>
      <c r="G20" s="69">
        <f>IF(D20=D19,"",_xlfn.IFNA(VLOOKUP(D20,'인원 입력 기능(사과탐)'!$A$5:$D$59,4,FALSE),0))</f>
        <v>1362</v>
      </c>
      <c r="H20" s="70">
        <f t="shared" si="1"/>
        <v>1.9434099567655495E-2</v>
      </c>
      <c r="I20" s="80">
        <f>SUM($G$7:G20)</f>
        <v>15704</v>
      </c>
      <c r="J20" s="72">
        <f t="shared" si="5"/>
        <v>0.22407716564644778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95">
        <v>36</v>
      </c>
      <c r="D21" s="82">
        <f t="shared" si="3"/>
        <v>58</v>
      </c>
      <c r="E21" s="82">
        <f t="shared" si="0"/>
        <v>3</v>
      </c>
      <c r="F21" s="68">
        <f t="shared" si="4"/>
        <v>75.67</v>
      </c>
      <c r="G21" s="69">
        <f>IF(D21=D20,"",_xlfn.IFNA(VLOOKUP(D21,'인원 입력 기능(사과탐)'!$A$5:$D$59,4,FALSE),0))</f>
        <v>2693</v>
      </c>
      <c r="H21" s="70">
        <f t="shared" si="1"/>
        <v>3.8425866472611044E-2</v>
      </c>
      <c r="I21" s="80">
        <f>SUM($G$7:G21)</f>
        <v>18397</v>
      </c>
      <c r="J21" s="72">
        <f t="shared" si="5"/>
        <v>0.26250303211905884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81">
        <v>35</v>
      </c>
      <c r="D22" s="82">
        <f t="shared" si="3"/>
        <v>57</v>
      </c>
      <c r="E22" s="82">
        <f t="shared" si="0"/>
        <v>4</v>
      </c>
      <c r="F22" s="68">
        <f t="shared" si="4"/>
        <v>72.540000000000006</v>
      </c>
      <c r="G22" s="69">
        <f>IF(D22=D21,"",_xlfn.IFNA(VLOOKUP(D22,'인원 입력 기능(사과탐)'!$A$5:$D$59,4,FALSE),0))</f>
        <v>1699</v>
      </c>
      <c r="H22" s="70">
        <f t="shared" si="1"/>
        <v>2.4242683675070986E-2</v>
      </c>
      <c r="I22" s="80">
        <f>SUM($G$7:G22)</f>
        <v>20096</v>
      </c>
      <c r="J22" s="72">
        <f t="shared" si="5"/>
        <v>0.28674571579412983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95">
        <v>34</v>
      </c>
      <c r="D23" s="82">
        <f t="shared" si="3"/>
        <v>56</v>
      </c>
      <c r="E23" s="82">
        <f t="shared" si="0"/>
        <v>4</v>
      </c>
      <c r="F23" s="68">
        <f t="shared" si="4"/>
        <v>69.78</v>
      </c>
      <c r="G23" s="69">
        <f>IF(D23=D22,"",_xlfn.IFNA(VLOOKUP(D23,'인원 입력 기능(사과탐)'!$A$5:$D$59,4,FALSE),0))</f>
        <v>2162</v>
      </c>
      <c r="H23" s="70">
        <f t="shared" si="1"/>
        <v>3.0849136024428177E-2</v>
      </c>
      <c r="I23" s="80">
        <f>SUM($G$7:G23)</f>
        <v>22258</v>
      </c>
      <c r="J23" s="72">
        <f t="shared" si="5"/>
        <v>0.31759485181855801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81">
        <v>33</v>
      </c>
      <c r="D24" s="180">
        <f t="shared" si="3"/>
        <v>55</v>
      </c>
      <c r="E24" s="180">
        <f t="shared" si="0"/>
        <v>4</v>
      </c>
      <c r="F24" s="182">
        <f t="shared" si="4"/>
        <v>65.12</v>
      </c>
      <c r="G24" s="184">
        <f>IF(D24=D23,"",_xlfn.IFNA(VLOOKUP(D24,'인원 입력 기능(사과탐)'!$A$5:$D$59,4,FALSE),0))</f>
        <v>4377</v>
      </c>
      <c r="H24" s="186">
        <f t="shared" si="1"/>
        <v>6.2454518214117544E-2</v>
      </c>
      <c r="I24" s="194">
        <f>SUM($G$7:G24)</f>
        <v>26635</v>
      </c>
      <c r="J24" s="176">
        <f t="shared" si="5"/>
        <v>0.38004937003267553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95">
        <v>32</v>
      </c>
      <c r="D25" s="181"/>
      <c r="E25" s="181"/>
      <c r="F25" s="183"/>
      <c r="G25" s="185"/>
      <c r="H25" s="187"/>
      <c r="I25" s="195"/>
      <c r="J25" s="177"/>
      <c r="K25" s="36"/>
      <c r="L25" s="20" t="str">
        <f t="shared" si="2"/>
        <v>경고</v>
      </c>
      <c r="N25" s="24"/>
    </row>
    <row r="26" spans="1:17" s="22" customFormat="1" ht="25" customHeight="1" x14ac:dyDescent="0.45">
      <c r="A26" s="20"/>
      <c r="B26" s="35"/>
      <c r="C26" s="81">
        <v>31</v>
      </c>
      <c r="D26" s="82">
        <f t="shared" si="3"/>
        <v>54</v>
      </c>
      <c r="E26" s="82">
        <f t="shared" si="0"/>
        <v>4</v>
      </c>
      <c r="F26" s="68">
        <f t="shared" si="4"/>
        <v>60.13</v>
      </c>
      <c r="G26" s="69">
        <f>IF(D26=D25,"",_xlfn.IFNA(VLOOKUP(D26,'인원 입력 기능(사과탐)'!$A$5:$D$59,4,FALSE),0))</f>
        <v>2616</v>
      </c>
      <c r="H26" s="70">
        <f t="shared" si="1"/>
        <v>3.7327169213646677E-2</v>
      </c>
      <c r="I26" s="80">
        <f>SUM($G$7:G26)</f>
        <v>29251</v>
      </c>
      <c r="J26" s="72">
        <f t="shared" si="5"/>
        <v>0.41737653924632223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95">
        <v>30</v>
      </c>
      <c r="D27" s="82">
        <f t="shared" si="3"/>
        <v>53</v>
      </c>
      <c r="E27" s="82">
        <f t="shared" si="0"/>
        <v>5</v>
      </c>
      <c r="F27" s="68">
        <f t="shared" si="4"/>
        <v>56.66</v>
      </c>
      <c r="G27" s="69">
        <f>IF(D27=D26,"",_xlfn.IFNA(VLOOKUP(D27,'인원 입력 기능(사과탐)'!$A$5:$D$59,4,FALSE),0))</f>
        <v>2244</v>
      </c>
      <c r="H27" s="70">
        <f t="shared" si="1"/>
        <v>3.2019177261247381E-2</v>
      </c>
      <c r="I27" s="80">
        <f>SUM($G$7:G27)</f>
        <v>31495</v>
      </c>
      <c r="J27" s="72">
        <f t="shared" si="5"/>
        <v>0.4493957165075696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81">
        <v>29</v>
      </c>
      <c r="D28" s="82">
        <f t="shared" si="3"/>
        <v>52</v>
      </c>
      <c r="E28" s="82">
        <f t="shared" si="0"/>
        <v>5</v>
      </c>
      <c r="F28" s="68">
        <f t="shared" si="4"/>
        <v>53.6</v>
      </c>
      <c r="G28" s="69">
        <f>IF(D28=D27,"",_xlfn.IFNA(VLOOKUP(D28,'인원 입력 기능(사과탐)'!$A$5:$D$59,4,FALSE),0))</f>
        <v>2042</v>
      </c>
      <c r="H28" s="70">
        <f t="shared" si="1"/>
        <v>2.9136880555912275E-2</v>
      </c>
      <c r="I28" s="80">
        <f>SUM($G$7:G28)</f>
        <v>33537</v>
      </c>
      <c r="J28" s="72">
        <f t="shared" si="5"/>
        <v>0.47853259706348189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95">
        <v>28</v>
      </c>
      <c r="D29" s="82">
        <f t="shared" si="3"/>
        <v>51</v>
      </c>
      <c r="E29" s="82">
        <f t="shared" si="0"/>
        <v>5</v>
      </c>
      <c r="F29" s="68">
        <f t="shared" si="4"/>
        <v>50.4</v>
      </c>
      <c r="G29" s="69">
        <f>IF(D29=D28,"",_xlfn.IFNA(VLOOKUP(D29,'인원 입력 기능(사과탐)'!$A$5:$D$59,4,FALSE),0))</f>
        <v>2454</v>
      </c>
      <c r="H29" s="70">
        <f t="shared" si="1"/>
        <v>3.5015624331150207E-2</v>
      </c>
      <c r="I29" s="80">
        <f>SUM($G$7:G29)</f>
        <v>35991</v>
      </c>
      <c r="J29" s="72">
        <f t="shared" si="5"/>
        <v>0.51354822139463208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81">
        <v>27</v>
      </c>
      <c r="D30" s="82">
        <f t="shared" si="3"/>
        <v>50</v>
      </c>
      <c r="E30" s="82">
        <f t="shared" si="0"/>
        <v>5</v>
      </c>
      <c r="F30" s="68">
        <f t="shared" si="4"/>
        <v>47.31</v>
      </c>
      <c r="G30" s="69">
        <f>IF(D30=D29,"",_xlfn.IFNA(VLOOKUP(D30,'인원 입력 기능(사과탐)'!$A$5:$D$59,4,FALSE),0))</f>
        <v>1873</v>
      </c>
      <c r="H30" s="70">
        <f t="shared" si="1"/>
        <v>2.6725454104419046E-2</v>
      </c>
      <c r="I30" s="80">
        <f>SUM($G$7:G30)</f>
        <v>37864</v>
      </c>
      <c r="J30" s="72">
        <f t="shared" si="5"/>
        <v>0.54027367549905114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95">
        <v>26</v>
      </c>
      <c r="D31" s="180">
        <f t="shared" si="3"/>
        <v>49</v>
      </c>
      <c r="E31" s="180">
        <f t="shared" si="0"/>
        <v>5</v>
      </c>
      <c r="F31" s="182">
        <f t="shared" si="4"/>
        <v>43.18</v>
      </c>
      <c r="G31" s="184">
        <f>IF(D31=D30,"",_xlfn.IFNA(VLOOKUP(D31,'인원 입력 기능(사과탐)'!$A$5:$D$59,4,FALSE),0))</f>
        <v>3921</v>
      </c>
      <c r="H31" s="186">
        <f t="shared" si="1"/>
        <v>5.5947947433757118E-2</v>
      </c>
      <c r="I31" s="194">
        <f>SUM($G$7:G31)</f>
        <v>41785</v>
      </c>
      <c r="J31" s="176">
        <f t="shared" si="5"/>
        <v>0.59622162293280823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81">
        <v>25</v>
      </c>
      <c r="D32" s="181"/>
      <c r="E32" s="181"/>
      <c r="F32" s="183"/>
      <c r="G32" s="185"/>
      <c r="H32" s="187"/>
      <c r="I32" s="195"/>
      <c r="J32" s="177"/>
      <c r="K32" s="36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5"/>
      <c r="C33" s="95">
        <v>24</v>
      </c>
      <c r="D33" s="82">
        <f t="shared" si="3"/>
        <v>48</v>
      </c>
      <c r="E33" s="82">
        <f t="shared" si="0"/>
        <v>5</v>
      </c>
      <c r="F33" s="68">
        <f t="shared" si="4"/>
        <v>39.21</v>
      </c>
      <c r="G33" s="69">
        <f>IF(D33=D32,"",_xlfn.IFNA(VLOOKUP(D33,'인원 입력 기능(사과탐)'!$A$5:$D$59,4,FALSE),0))</f>
        <v>1639</v>
      </c>
      <c r="H33" s="70">
        <f t="shared" si="1"/>
        <v>2.3386555940813035E-2</v>
      </c>
      <c r="I33" s="80">
        <f>SUM($G$7:G33)</f>
        <v>43424</v>
      </c>
      <c r="J33" s="72">
        <f t="shared" si="5"/>
        <v>0.6196081788736213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81">
        <v>23</v>
      </c>
      <c r="D34" s="82">
        <f t="shared" si="3"/>
        <v>47</v>
      </c>
      <c r="E34" s="82">
        <f t="shared" si="0"/>
        <v>6</v>
      </c>
      <c r="F34" s="68">
        <f t="shared" si="4"/>
        <v>36.840000000000003</v>
      </c>
      <c r="G34" s="69">
        <f>IF(D34=D33,"",_xlfn.IFNA(VLOOKUP(D34,'인원 입력 기능(사과탐)'!$A$5:$D$59,4,FALSE),0))</f>
        <v>1682</v>
      </c>
      <c r="H34" s="70">
        <f t="shared" si="1"/>
        <v>2.4000114150364567E-2</v>
      </c>
      <c r="I34" s="80">
        <f>SUM($G$7:G34)</f>
        <v>45106</v>
      </c>
      <c r="J34" s="72">
        <f t="shared" si="5"/>
        <v>0.64360829302398581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95">
        <v>22</v>
      </c>
      <c r="D35" s="82">
        <f t="shared" si="3"/>
        <v>46</v>
      </c>
      <c r="E35" s="82">
        <f t="shared" si="0"/>
        <v>6</v>
      </c>
      <c r="F35" s="68">
        <f t="shared" si="4"/>
        <v>34.65</v>
      </c>
      <c r="G35" s="69">
        <f>IF(D35=D34,"",_xlfn.IFNA(VLOOKUP(D35,'인원 입력 기능(사과탐)'!$A$5:$D$59,4,FALSE),0))</f>
        <v>1393</v>
      </c>
      <c r="H35" s="70">
        <f t="shared" si="1"/>
        <v>1.9876432230355436E-2</v>
      </c>
      <c r="I35" s="80">
        <f>SUM($G$7:G35)</f>
        <v>46499</v>
      </c>
      <c r="J35" s="72">
        <f t="shared" si="5"/>
        <v>0.66348472525434132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81">
        <v>21</v>
      </c>
      <c r="D36" s="82">
        <f t="shared" si="3"/>
        <v>45</v>
      </c>
      <c r="E36" s="82">
        <f t="shared" si="0"/>
        <v>6</v>
      </c>
      <c r="F36" s="68">
        <f t="shared" si="4"/>
        <v>32.64</v>
      </c>
      <c r="G36" s="69">
        <f>IF(D36=D35,"",_xlfn.IFNA(VLOOKUP(D36,'인원 입력 기능(사과탐)'!$A$5:$D$59,4,FALSE),0))</f>
        <v>1417</v>
      </c>
      <c r="H36" s="70">
        <f t="shared" si="1"/>
        <v>2.0218883324058617E-2</v>
      </c>
      <c r="I36" s="80">
        <f>SUM($G$7:G36)</f>
        <v>47916</v>
      </c>
      <c r="J36" s="72">
        <f t="shared" si="5"/>
        <v>0.68370360857839985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95">
        <v>20</v>
      </c>
      <c r="D37" s="180">
        <f t="shared" si="3"/>
        <v>44</v>
      </c>
      <c r="E37" s="180">
        <f t="shared" si="0"/>
        <v>6</v>
      </c>
      <c r="F37" s="182">
        <f t="shared" si="4"/>
        <v>29.89</v>
      </c>
      <c r="G37" s="184">
        <f>IF(D37=D36,"",_xlfn.IFNA(VLOOKUP(D37,'인원 입력 기능(사과탐)'!$A$5:$D$59,4,FALSE),0))</f>
        <v>2440</v>
      </c>
      <c r="H37" s="186">
        <f t="shared" si="1"/>
        <v>3.4815861193156689E-2</v>
      </c>
      <c r="I37" s="194">
        <f>SUM($G$7:G37)</f>
        <v>50356</v>
      </c>
      <c r="J37" s="176">
        <f t="shared" si="5"/>
        <v>0.71851946977155656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81">
        <v>19</v>
      </c>
      <c r="D38" s="181"/>
      <c r="E38" s="181"/>
      <c r="F38" s="183"/>
      <c r="G38" s="185"/>
      <c r="H38" s="187"/>
      <c r="I38" s="195"/>
      <c r="J38" s="177"/>
      <c r="K38" s="36"/>
      <c r="L38" s="20" t="str">
        <f t="shared" si="2"/>
        <v>경고</v>
      </c>
      <c r="N38" s="24"/>
    </row>
    <row r="39" spans="1:14" s="22" customFormat="1" ht="25" customHeight="1" x14ac:dyDescent="0.45">
      <c r="A39" s="20"/>
      <c r="B39" s="35"/>
      <c r="C39" s="95">
        <v>18</v>
      </c>
      <c r="D39" s="82">
        <f t="shared" si="3"/>
        <v>43</v>
      </c>
      <c r="E39" s="82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8">
        <f t="shared" si="4"/>
        <v>27.36</v>
      </c>
      <c r="G39" s="69">
        <f>IF(D39=D38,"",_xlfn.IFNA(VLOOKUP(D39,'인원 입력 기능(사과탐)'!$A$5:$D$59,4,FALSE),0))</f>
        <v>1103</v>
      </c>
      <c r="H39" s="70">
        <f t="shared" si="1"/>
        <v>1.5738481514775339E-2</v>
      </c>
      <c r="I39" s="80">
        <f>SUM($G$7:G39)</f>
        <v>51459</v>
      </c>
      <c r="J39" s="72">
        <f t="shared" si="5"/>
        <v>0.73425795128633187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81">
        <v>17</v>
      </c>
      <c r="D40" s="82">
        <f t="shared" si="3"/>
        <v>42</v>
      </c>
      <c r="E40" s="82">
        <f t="shared" si="6"/>
        <v>6</v>
      </c>
      <c r="F40" s="68">
        <f t="shared" si="4"/>
        <v>25.86</v>
      </c>
      <c r="G40" s="69">
        <f>IF(D40=D39,"",_xlfn.IFNA(VLOOKUP(D40,'인원 입력 기능(사과탐)'!$A$5:$D$59,4,FALSE),0))</f>
        <v>1004</v>
      </c>
      <c r="H40" s="70">
        <f t="shared" si="1"/>
        <v>1.4325870753249719E-2</v>
      </c>
      <c r="I40" s="80">
        <f>SUM($G$7:G40)</f>
        <v>52463</v>
      </c>
      <c r="J40" s="72">
        <f t="shared" si="5"/>
        <v>0.74858382203958163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95">
        <v>16</v>
      </c>
      <c r="D41" s="82">
        <f t="shared" si="3"/>
        <v>41</v>
      </c>
      <c r="E41" s="82">
        <f t="shared" si="6"/>
        <v>6</v>
      </c>
      <c r="F41" s="68">
        <f t="shared" si="4"/>
        <v>24.41</v>
      </c>
      <c r="G41" s="69">
        <f>IF(D41=D40,"",_xlfn.IFNA(VLOOKUP(D41,'인원 입력 기능(사과탐)'!$A$5:$D$59,4,FALSE),0))</f>
        <v>1021</v>
      </c>
      <c r="H41" s="70">
        <f t="shared" si="1"/>
        <v>1.4568440277956137E-2</v>
      </c>
      <c r="I41" s="80">
        <f>SUM($G$7:G41)</f>
        <v>53484</v>
      </c>
      <c r="J41" s="72">
        <f t="shared" si="5"/>
        <v>0.76315226231753774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81">
        <v>15</v>
      </c>
      <c r="D42" s="82">
        <f t="shared" si="3"/>
        <v>40</v>
      </c>
      <c r="E42" s="82">
        <f t="shared" si="6"/>
        <v>6</v>
      </c>
      <c r="F42" s="68">
        <f t="shared" si="4"/>
        <v>22.97</v>
      </c>
      <c r="G42" s="69">
        <f>IF(D42=D41,"",_xlfn.IFNA(VLOOKUP(D42,'인원 입력 기능(사과탐)'!$A$5:$D$59,4,FALSE),0))</f>
        <v>1004</v>
      </c>
      <c r="H42" s="70">
        <f t="shared" si="1"/>
        <v>1.4325870753249719E-2</v>
      </c>
      <c r="I42" s="80">
        <f>SUM($G$7:G42)</f>
        <v>54488</v>
      </c>
      <c r="J42" s="72">
        <f t="shared" si="5"/>
        <v>0.7774781330707875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95">
        <v>14</v>
      </c>
      <c r="D43" s="82">
        <f t="shared" si="3"/>
        <v>39</v>
      </c>
      <c r="E43" s="82">
        <f t="shared" si="6"/>
        <v>7</v>
      </c>
      <c r="F43" s="68">
        <f t="shared" si="4"/>
        <v>21.45</v>
      </c>
      <c r="G43" s="69">
        <f>IF(D43=D42,"",_xlfn.IFNA(VLOOKUP(D43,'인원 입력 기능(사과탐)'!$A$5:$D$59,4,FALSE),0))</f>
        <v>1123</v>
      </c>
      <c r="H43" s="70">
        <f t="shared" si="1"/>
        <v>1.6023857426194655E-2</v>
      </c>
      <c r="I43" s="80">
        <f>SUM($G$7:G43)</f>
        <v>55611</v>
      </c>
      <c r="J43" s="72">
        <f t="shared" si="5"/>
        <v>0.79350199049698211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81">
        <v>13</v>
      </c>
      <c r="D44" s="180">
        <f t="shared" si="3"/>
        <v>38</v>
      </c>
      <c r="E44" s="180">
        <f t="shared" si="6"/>
        <v>7</v>
      </c>
      <c r="F44" s="182">
        <f t="shared" si="4"/>
        <v>18.850000000000001</v>
      </c>
      <c r="G44" s="184">
        <f>IF(D44=D43,"",_xlfn.IFNA(VLOOKUP(D44,'인원 입력 기능(사과탐)'!$A$5:$D$59,4,FALSE),0))</f>
        <v>2516</v>
      </c>
      <c r="H44" s="186">
        <f t="shared" si="1"/>
        <v>3.5900289656550094E-2</v>
      </c>
      <c r="I44" s="194">
        <f>SUM($G$7:G44)</f>
        <v>58127</v>
      </c>
      <c r="J44" s="176">
        <f t="shared" si="5"/>
        <v>0.82940228015353223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95">
        <v>12</v>
      </c>
      <c r="D45" s="181"/>
      <c r="E45" s="181"/>
      <c r="F45" s="183"/>
      <c r="G45" s="185"/>
      <c r="H45" s="187"/>
      <c r="I45" s="195"/>
      <c r="J45" s="177"/>
      <c r="K45" s="36"/>
      <c r="L45" s="20" t="str">
        <f t="shared" si="2"/>
        <v>경고</v>
      </c>
      <c r="N45" s="24"/>
    </row>
    <row r="46" spans="1:14" s="22" customFormat="1" ht="25" customHeight="1" x14ac:dyDescent="0.45">
      <c r="A46" s="20"/>
      <c r="B46" s="35"/>
      <c r="C46" s="81">
        <v>11</v>
      </c>
      <c r="D46" s="82">
        <f t="shared" si="3"/>
        <v>37</v>
      </c>
      <c r="E46" s="82">
        <f t="shared" si="6"/>
        <v>7</v>
      </c>
      <c r="F46" s="68">
        <f t="shared" si="4"/>
        <v>15.12</v>
      </c>
      <c r="G46" s="69">
        <f>IF(D46=D45,"",_xlfn.IFNA(VLOOKUP(D46,'인원 입력 기능(사과탐)'!$A$5:$D$59,4,FALSE),0))</f>
        <v>2712</v>
      </c>
      <c r="H46" s="70">
        <f t="shared" si="1"/>
        <v>3.8696973588459395E-2</v>
      </c>
      <c r="I46" s="80">
        <f>SUM($G$7:G46)</f>
        <v>60839</v>
      </c>
      <c r="J46" s="72">
        <f t="shared" si="5"/>
        <v>0.86809925374199159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95">
        <v>10</v>
      </c>
      <c r="D47" s="82">
        <f t="shared" si="3"/>
        <v>36</v>
      </c>
      <c r="E47" s="82">
        <f t="shared" si="6"/>
        <v>7</v>
      </c>
      <c r="F47" s="68">
        <f t="shared" si="4"/>
        <v>10</v>
      </c>
      <c r="G47" s="69">
        <f>IF(D47=D46,"",_xlfn.IFNA(VLOOKUP(D47,'인원 입력 기능(사과탐)'!$A$5:$D$59,4,FALSE),0))</f>
        <v>4466</v>
      </c>
      <c r="H47" s="70">
        <f t="shared" si="1"/>
        <v>6.3724441019933506E-2</v>
      </c>
      <c r="I47" s="80">
        <f>SUM($G$7:G47)</f>
        <v>65305</v>
      </c>
      <c r="J47" s="72">
        <f t="shared" si="5"/>
        <v>0.93182369476192517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81">
        <v>9</v>
      </c>
      <c r="D48" s="82">
        <f t="shared" si="3"/>
        <v>35</v>
      </c>
      <c r="E48" s="82">
        <f t="shared" si="6"/>
        <v>8</v>
      </c>
      <c r="F48" s="68">
        <f t="shared" si="4"/>
        <v>5.85</v>
      </c>
      <c r="G48" s="69">
        <f>IF(D48=D47,"",_xlfn.IFNA(VLOOKUP(D48,'인원 입력 기능(사과탐)'!$A$5:$D$59,4,FALSE),0))</f>
        <v>1357</v>
      </c>
      <c r="H48" s="70">
        <f t="shared" si="1"/>
        <v>1.9362755589800665E-2</v>
      </c>
      <c r="I48" s="80">
        <f>SUM($G$7:G48)</f>
        <v>66662</v>
      </c>
      <c r="J48" s="72">
        <f t="shared" si="5"/>
        <v>0.95118645035172578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95">
        <v>8</v>
      </c>
      <c r="D49" s="82">
        <f t="shared" si="3"/>
        <v>34</v>
      </c>
      <c r="E49" s="82">
        <f t="shared" si="6"/>
        <v>8</v>
      </c>
      <c r="F49" s="68">
        <f t="shared" si="4"/>
        <v>4.3499999999999996</v>
      </c>
      <c r="G49" s="69">
        <f>IF(D49=D48,"",_xlfn.IFNA(VLOOKUP(D49,'인원 입력 기능(사과탐)'!$A$5:$D$59,4,FALSE),0))</f>
        <v>741</v>
      </c>
      <c r="H49" s="70">
        <f t="shared" si="1"/>
        <v>1.0573177518085699E-2</v>
      </c>
      <c r="I49" s="80">
        <f>SUM($G$7:G49)</f>
        <v>67403</v>
      </c>
      <c r="J49" s="72">
        <f t="shared" si="5"/>
        <v>0.96175962786981151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81">
        <v>7</v>
      </c>
      <c r="D50" s="180">
        <f t="shared" si="3"/>
        <v>33</v>
      </c>
      <c r="E50" s="180">
        <f t="shared" si="6"/>
        <v>9</v>
      </c>
      <c r="F50" s="182">
        <f t="shared" si="4"/>
        <v>2.78</v>
      </c>
      <c r="G50" s="184">
        <f>IF(D50=D49,"",_xlfn.IFNA(VLOOKUP(D50,'인원 입력 기능(사과탐)'!$A$5:$D$59,4,FALSE),0))</f>
        <v>1458</v>
      </c>
      <c r="H50" s="186">
        <f t="shared" si="1"/>
        <v>2.0803903942468217E-2</v>
      </c>
      <c r="I50" s="194">
        <f>SUM($G$7:G50)</f>
        <v>68861</v>
      </c>
      <c r="J50" s="176">
        <f t="shared" si="5"/>
        <v>0.98256353181227973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95">
        <v>6</v>
      </c>
      <c r="D51" s="181"/>
      <c r="E51" s="181"/>
      <c r="F51" s="183"/>
      <c r="G51" s="185"/>
      <c r="H51" s="187"/>
      <c r="I51" s="195"/>
      <c r="J51" s="177"/>
      <c r="K51" s="36"/>
      <c r="L51" s="20" t="str">
        <f t="shared" si="2"/>
        <v>경고</v>
      </c>
      <c r="N51" s="24"/>
    </row>
    <row r="52" spans="1:14" s="22" customFormat="1" ht="25" customHeight="1" x14ac:dyDescent="0.45">
      <c r="A52" s="20"/>
      <c r="B52" s="35"/>
      <c r="C52" s="81">
        <v>5</v>
      </c>
      <c r="D52" s="82">
        <f t="shared" si="3"/>
        <v>32</v>
      </c>
      <c r="E52" s="82">
        <f t="shared" si="6"/>
        <v>9</v>
      </c>
      <c r="F52" s="68">
        <f t="shared" si="4"/>
        <v>1.42</v>
      </c>
      <c r="G52" s="69">
        <f>IF(D52=D51,"",_xlfn.IFNA(VLOOKUP(D52,'인원 입력 기능(사과탐)'!$A$5:$D$59,4,FALSE),0))</f>
        <v>451</v>
      </c>
      <c r="H52" s="70">
        <f t="shared" si="1"/>
        <v>6.4352268025056007E-3</v>
      </c>
      <c r="I52" s="80">
        <f>SUM($G$7:G52)</f>
        <v>69312</v>
      </c>
      <c r="J52" s="72">
        <f t="shared" si="5"/>
        <v>0.98899875861478537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66">
        <v>4</v>
      </c>
      <c r="D53" s="67">
        <f t="shared" si="3"/>
        <v>31</v>
      </c>
      <c r="E53" s="67">
        <f t="shared" si="6"/>
        <v>9</v>
      </c>
      <c r="F53" s="68">
        <f t="shared" si="4"/>
        <v>0.92</v>
      </c>
      <c r="G53" s="69">
        <f>IF(D53=D52,"",_xlfn.IFNA(VLOOKUP(D53,'인원 입력 기능(사과탐)'!$A$5:$D$59,4,FALSE),0))</f>
        <v>255</v>
      </c>
      <c r="H53" s="70">
        <f t="shared" si="1"/>
        <v>3.6385428705962928E-3</v>
      </c>
      <c r="I53" s="80">
        <f>SUM($G$7:G53)</f>
        <v>69567</v>
      </c>
      <c r="J53" s="72">
        <f t="shared" si="5"/>
        <v>0.99263730148538165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73">
        <v>3</v>
      </c>
      <c r="D54" s="67">
        <f t="shared" si="3"/>
        <v>30</v>
      </c>
      <c r="E54" s="67">
        <f t="shared" si="6"/>
        <v>9</v>
      </c>
      <c r="F54" s="68">
        <f t="shared" si="4"/>
        <v>0.63</v>
      </c>
      <c r="G54" s="69">
        <f>IF(D54=D53,"",_xlfn.IFNA(VLOOKUP(D54,'인원 입력 기능(사과탐)'!$A$5:$D$59,4,FALSE),0))</f>
        <v>151</v>
      </c>
      <c r="H54" s="70">
        <f t="shared" si="1"/>
        <v>2.154588131215844E-3</v>
      </c>
      <c r="I54" s="80">
        <f>SUM($G$7:G54)</f>
        <v>69718</v>
      </c>
      <c r="J54" s="72">
        <f t="shared" si="5"/>
        <v>0.99479188961659748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66">
        <v>2</v>
      </c>
      <c r="D55" s="67">
        <f t="shared" si="3"/>
        <v>29</v>
      </c>
      <c r="E55" s="67">
        <f t="shared" si="6"/>
        <v>9</v>
      </c>
      <c r="F55" s="68">
        <f t="shared" si="4"/>
        <v>0.41</v>
      </c>
      <c r="G55" s="69">
        <f>IF(D55=D54,"",_xlfn.IFNA(VLOOKUP(D55,'인원 입력 기능(사과탐)'!$A$5:$D$59,4,FALSE),0))</f>
        <v>157</v>
      </c>
      <c r="H55" s="70">
        <f t="shared" si="1"/>
        <v>2.2402009046416393E-3</v>
      </c>
      <c r="I55" s="80">
        <f>SUM($G$7:G55)</f>
        <v>69875</v>
      </c>
      <c r="J55" s="72">
        <f t="shared" si="5"/>
        <v>0.99703209052123909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73">
        <v>1</v>
      </c>
      <c r="D56" s="74" t="s">
        <v>59</v>
      </c>
      <c r="E56" s="74"/>
      <c r="F56" s="75"/>
      <c r="G56" s="96"/>
      <c r="H56" s="94"/>
      <c r="I56" s="84"/>
      <c r="J56" s="79"/>
      <c r="K56" s="36"/>
      <c r="L56" s="20"/>
      <c r="N56" s="24"/>
    </row>
    <row r="57" spans="1:14" s="22" customFormat="1" ht="25" customHeight="1" thickBot="1" x14ac:dyDescent="0.5">
      <c r="A57" s="20"/>
      <c r="B57" s="35"/>
      <c r="C57" s="97">
        <v>0</v>
      </c>
      <c r="D57" s="86">
        <f>ROUND(10*(C57-$H$3)/$H$4+50,0)</f>
        <v>27</v>
      </c>
      <c r="E57" s="98">
        <f t="shared" si="6"/>
        <v>9</v>
      </c>
      <c r="F57" s="87">
        <f>IF(I55=0,ROUND(100*(1-(I54+I57)/2/$J$3),2),ROUND(100*(1-(I55+I57)/2/$J$3),2))</f>
        <v>0.15</v>
      </c>
      <c r="G57" s="99">
        <f>_xlfn.IFNA(VLOOKUP(D57,'인원 입력 기능(사과탐)'!$A$5:$D$59,4,FALSE),0)</f>
        <v>208</v>
      </c>
      <c r="H57" s="89">
        <f>G57/$J$3</f>
        <v>2.9679094787608976E-3</v>
      </c>
      <c r="I57" s="90">
        <f>SUM($G$7:G57)</f>
        <v>70083</v>
      </c>
      <c r="J57" s="100">
        <f>I57/$J$3</f>
        <v>1</v>
      </c>
      <c r="K57" s="36"/>
      <c r="L57" s="20" t="str">
        <f>IF(ABS((C57-$H$3)/$H$4*10+50-D57)&gt;0.49, "경고", "")</f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1">
    <mergeCell ref="D3:F3"/>
    <mergeCell ref="D4:F4"/>
    <mergeCell ref="D11:D12"/>
    <mergeCell ref="E11:E12"/>
    <mergeCell ref="F11:F12"/>
    <mergeCell ref="G11:G12"/>
    <mergeCell ref="H11:H12"/>
    <mergeCell ref="I11:I12"/>
    <mergeCell ref="J11:J12"/>
    <mergeCell ref="D18:D19"/>
    <mergeCell ref="E18:E19"/>
    <mergeCell ref="F18:F19"/>
    <mergeCell ref="G18:G19"/>
    <mergeCell ref="H18:H19"/>
    <mergeCell ref="I18:I19"/>
    <mergeCell ref="J18:J19"/>
    <mergeCell ref="I24:I25"/>
    <mergeCell ref="J24:J25"/>
    <mergeCell ref="D31:D32"/>
    <mergeCell ref="E31:E32"/>
    <mergeCell ref="F31:F32"/>
    <mergeCell ref="G31:G32"/>
    <mergeCell ref="H31:H32"/>
    <mergeCell ref="I31:I32"/>
    <mergeCell ref="J31:J32"/>
    <mergeCell ref="D24:D25"/>
    <mergeCell ref="E24:E25"/>
    <mergeCell ref="F24:F25"/>
    <mergeCell ref="G24:G25"/>
    <mergeCell ref="H24:H25"/>
    <mergeCell ref="I37:I38"/>
    <mergeCell ref="J37:J38"/>
    <mergeCell ref="D44:D45"/>
    <mergeCell ref="E44:E45"/>
    <mergeCell ref="F44:F45"/>
    <mergeCell ref="G44:G45"/>
    <mergeCell ref="H44:H45"/>
    <mergeCell ref="I44:I45"/>
    <mergeCell ref="J44:J45"/>
    <mergeCell ref="D37:D38"/>
    <mergeCell ref="E37:E38"/>
    <mergeCell ref="F37:F38"/>
    <mergeCell ref="G37:G38"/>
    <mergeCell ref="H37:H38"/>
    <mergeCell ref="I50:I51"/>
    <mergeCell ref="J50:J51"/>
    <mergeCell ref="D50:D51"/>
    <mergeCell ref="E50:E51"/>
    <mergeCell ref="F50:F51"/>
    <mergeCell ref="G50:G51"/>
    <mergeCell ref="H50:H51"/>
  </mergeCells>
  <phoneticPr fontId="1" type="noConversion"/>
  <conditionalFormatting sqref="D7:J11 D13:J18 D20:J24 D26:J31 D33:J37 D39:J44 D46:J50 D52:J57">
    <cfRule type="expression" dxfId="73" priority="3">
      <formula>OR($D7=$Q$7:$Q$14)</formula>
    </cfRule>
  </conditionalFormatting>
  <conditionalFormatting sqref="C7:C57">
    <cfRule type="expression" dxfId="72" priority="2">
      <formula>OR(AND($D7=0,OR($D6=$Q$7:$Q$14)),AND($D8&gt;0,OR($D7=$Q$7:$Q$14)))</formula>
    </cfRule>
  </conditionalFormatting>
  <conditionalFormatting sqref="D7:D11 D13:D18 D20:D24 D26:D31 D33:D37 D39:D44 D46:D50 D52:D57">
    <cfRule type="expression" dxfId="71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C077F-33A8-4B1F-8311-5093F7F331C9}">
  <sheetPr codeName="Sheet11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113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기능'!D9</f>
        <v>20.511915931694499</v>
      </c>
      <c r="I3" s="21" t="s">
        <v>117</v>
      </c>
      <c r="J3" s="58">
        <f>'통계 및 응시자 수 입력 기능'!C9</f>
        <v>37303</v>
      </c>
      <c r="K3" s="36"/>
      <c r="L3" s="20"/>
    </row>
    <row r="4" spans="1:17" s="22" customFormat="1" ht="25" customHeight="1" thickBot="1" x14ac:dyDescent="0.5">
      <c r="A4" s="20"/>
      <c r="B4" s="35"/>
      <c r="C4" s="59" t="s">
        <v>118</v>
      </c>
      <c r="D4" s="191" t="s">
        <v>150</v>
      </c>
      <c r="E4" s="192"/>
      <c r="F4" s="193"/>
      <c r="G4" s="60" t="s">
        <v>120</v>
      </c>
      <c r="H4" s="61">
        <f>'통계 및 응시자 수 입력 기능'!E9</f>
        <v>11.2731967563116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62" t="s">
        <v>121</v>
      </c>
      <c r="D6" s="63" t="s">
        <v>122</v>
      </c>
      <c r="E6" s="63" t="s">
        <v>123</v>
      </c>
      <c r="F6" s="63" t="s">
        <v>124</v>
      </c>
      <c r="G6" s="63" t="s">
        <v>125</v>
      </c>
      <c r="H6" s="63" t="s">
        <v>126</v>
      </c>
      <c r="I6" s="64" t="s">
        <v>127</v>
      </c>
      <c r="J6" s="65" t="s">
        <v>128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66">
        <v>50</v>
      </c>
      <c r="D7" s="67">
        <f>ROUND(10*(C7-$H$3)/$H$4+50,0)</f>
        <v>76</v>
      </c>
      <c r="E7" s="67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8">
        <f>ROUND(100*(1-(0+I7)/2/$J$3),2)</f>
        <v>99.74</v>
      </c>
      <c r="G7" s="69">
        <f>_xlfn.IFNA(VLOOKUP(D7,'인원 입력 기능(사과탐)'!$F$5:$I$59,4,FALSE),0)</f>
        <v>196</v>
      </c>
      <c r="H7" s="70">
        <f>G7/$J$3</f>
        <v>5.254269093638581E-3</v>
      </c>
      <c r="I7" s="71">
        <f>G7</f>
        <v>196</v>
      </c>
      <c r="J7" s="72">
        <f>I7/$J$3</f>
        <v>5.254269093638581E-3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기능'!C49</f>
        <v>69</v>
      </c>
    </row>
    <row r="8" spans="1:17" s="22" customFormat="1" ht="25" customHeight="1" x14ac:dyDescent="0.45">
      <c r="A8" s="20"/>
      <c r="B8" s="35"/>
      <c r="C8" s="73">
        <v>49</v>
      </c>
      <c r="D8" s="74" t="s">
        <v>59</v>
      </c>
      <c r="E8" s="74"/>
      <c r="F8" s="75"/>
      <c r="G8" s="76"/>
      <c r="H8" s="94"/>
      <c r="I8" s="78"/>
      <c r="J8" s="79"/>
      <c r="K8" s="36"/>
      <c r="L8" s="20"/>
      <c r="N8" s="24"/>
      <c r="P8" s="24">
        <v>2</v>
      </c>
      <c r="Q8" s="24">
        <f>'표점등급&amp;절평인원 입력 기능'!C50</f>
        <v>64</v>
      </c>
    </row>
    <row r="9" spans="1:17" s="22" customFormat="1" ht="25" customHeight="1" x14ac:dyDescent="0.45">
      <c r="A9" s="20"/>
      <c r="B9" s="35"/>
      <c r="C9" s="66">
        <v>48</v>
      </c>
      <c r="D9" s="67">
        <f>ROUND(10*(C9-$H$3)/$H$4+50,0)</f>
        <v>74</v>
      </c>
      <c r="E9" s="67">
        <f t="shared" si="0"/>
        <v>1</v>
      </c>
      <c r="F9" s="68">
        <f>IF(I8=0,ROUND(100*(1-(I7+I9)/2/$J$3),2),ROUND(100*(1-(I8+I9)/2/$J$3),2))</f>
        <v>99.27</v>
      </c>
      <c r="G9" s="69">
        <f>_xlfn.IFNA(VLOOKUP(D9,'인원 입력 기능(사과탐)'!$F$5:$I$59,4,FALSE),0)</f>
        <v>153</v>
      </c>
      <c r="H9" s="70">
        <f t="shared" ref="H9:H54" si="1">G9/$J$3</f>
        <v>4.1015467924831782E-3</v>
      </c>
      <c r="I9" s="80">
        <f>SUM($G$7:G9)</f>
        <v>349</v>
      </c>
      <c r="J9" s="72">
        <f>I9/$J$3</f>
        <v>9.3558158861217593E-3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기능'!C51</f>
        <v>58</v>
      </c>
    </row>
    <row r="10" spans="1:17" s="22" customFormat="1" ht="25" customHeight="1" x14ac:dyDescent="0.45">
      <c r="A10" s="20"/>
      <c r="B10" s="35"/>
      <c r="C10" s="73">
        <v>47</v>
      </c>
      <c r="D10" s="178">
        <f t="shared" ref="D10:D54" si="3">ROUND(10*(C10-$H$3)/$H$4+50,0)</f>
        <v>73</v>
      </c>
      <c r="E10" s="178">
        <f t="shared" si="0"/>
        <v>1</v>
      </c>
      <c r="F10" s="182">
        <f t="shared" ref="F10:F54" si="4">IF(I9=0,ROUND(100*(1-(I8+I10)/2/$J$3),2),ROUND(100*(1-(I9+I10)/2/$J$3),2))</f>
        <v>98.66</v>
      </c>
      <c r="G10" s="184">
        <f>IF(D10=D9,"",_xlfn.IFNA(VLOOKUP(D10,'인원 입력 기능(사과탐)'!$F$5:$I$59,4,FALSE),0))</f>
        <v>305</v>
      </c>
      <c r="H10" s="186">
        <f t="shared" si="1"/>
        <v>8.1762860895906488E-3</v>
      </c>
      <c r="I10" s="194">
        <f>SUM($G$7:G10)</f>
        <v>654</v>
      </c>
      <c r="J10" s="176">
        <f t="shared" ref="J10:J54" si="5">I10/$J$3</f>
        <v>1.7532101975712408E-2</v>
      </c>
      <c r="K10" s="36"/>
      <c r="L10" s="20" t="str">
        <f t="shared" si="2"/>
        <v>경고</v>
      </c>
      <c r="N10" s="24"/>
      <c r="P10" s="24">
        <v>4</v>
      </c>
      <c r="Q10" s="24">
        <f>'표점등급&amp;절평인원 입력 기능'!C52</f>
        <v>51</v>
      </c>
    </row>
    <row r="11" spans="1:17" s="22" customFormat="1" ht="25" customHeight="1" x14ac:dyDescent="0.45">
      <c r="A11" s="20"/>
      <c r="B11" s="35"/>
      <c r="C11" s="66">
        <v>46</v>
      </c>
      <c r="D11" s="179"/>
      <c r="E11" s="179"/>
      <c r="F11" s="183"/>
      <c r="G11" s="185"/>
      <c r="H11" s="187"/>
      <c r="I11" s="195"/>
      <c r="J11" s="177"/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기능'!C53</f>
        <v>45</v>
      </c>
    </row>
    <row r="12" spans="1:17" s="22" customFormat="1" ht="25" customHeight="1" x14ac:dyDescent="0.45">
      <c r="A12" s="20"/>
      <c r="B12" s="35"/>
      <c r="C12" s="73">
        <v>45</v>
      </c>
      <c r="D12" s="67">
        <f t="shared" si="3"/>
        <v>72</v>
      </c>
      <c r="E12" s="67">
        <f t="shared" si="0"/>
        <v>1</v>
      </c>
      <c r="F12" s="68">
        <f t="shared" si="4"/>
        <v>97.9</v>
      </c>
      <c r="G12" s="69">
        <f>IF(D12=D11,"",_xlfn.IFNA(VLOOKUP(D12,'인원 입력 기능(사과탐)'!$F$5:$I$59,4,FALSE),0))</f>
        <v>259</v>
      </c>
      <c r="H12" s="70">
        <f t="shared" si="1"/>
        <v>6.9431413023081255E-3</v>
      </c>
      <c r="I12" s="80">
        <f>SUM($G$7:G12)</f>
        <v>913</v>
      </c>
      <c r="J12" s="72">
        <f t="shared" si="5"/>
        <v>2.4475243278020534E-2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기능'!C54</f>
        <v>42</v>
      </c>
    </row>
    <row r="13" spans="1:17" s="22" customFormat="1" ht="25" customHeight="1" x14ac:dyDescent="0.45">
      <c r="A13" s="20"/>
      <c r="B13" s="35"/>
      <c r="C13" s="66">
        <v>44</v>
      </c>
      <c r="D13" s="67">
        <f t="shared" si="3"/>
        <v>71</v>
      </c>
      <c r="E13" s="67">
        <f t="shared" si="0"/>
        <v>1</v>
      </c>
      <c r="F13" s="68">
        <f t="shared" si="4"/>
        <v>97.23</v>
      </c>
      <c r="G13" s="69">
        <f>IF(D13=D12,"",_xlfn.IFNA(VLOOKUP(D13,'인원 입력 기능(사과탐)'!$F$5:$I$59,4,FALSE),0))</f>
        <v>240</v>
      </c>
      <c r="H13" s="70">
        <f t="shared" si="1"/>
        <v>6.4337988901696916E-3</v>
      </c>
      <c r="I13" s="80">
        <f>SUM($G$7:G13)</f>
        <v>1153</v>
      </c>
      <c r="J13" s="72">
        <f t="shared" si="5"/>
        <v>3.0909042168190227E-2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기능'!C55</f>
        <v>38</v>
      </c>
    </row>
    <row r="14" spans="1:17" s="22" customFormat="1" ht="25" customHeight="1" x14ac:dyDescent="0.45">
      <c r="A14" s="20"/>
      <c r="B14" s="35"/>
      <c r="C14" s="73">
        <v>43</v>
      </c>
      <c r="D14" s="67">
        <f t="shared" si="3"/>
        <v>70</v>
      </c>
      <c r="E14" s="67">
        <f t="shared" si="0"/>
        <v>1</v>
      </c>
      <c r="F14" s="68">
        <f t="shared" si="4"/>
        <v>96.63</v>
      </c>
      <c r="G14" s="69">
        <f>IF(D14=D13,"",_xlfn.IFNA(VLOOKUP(D14,'인원 입력 기능(사과탐)'!$F$5:$I$59,4,FALSE),0))</f>
        <v>210</v>
      </c>
      <c r="H14" s="70">
        <f t="shared" si="1"/>
        <v>5.62957402889848E-3</v>
      </c>
      <c r="I14" s="80">
        <f>SUM($G$7:G14)</f>
        <v>1363</v>
      </c>
      <c r="J14" s="72">
        <f t="shared" si="5"/>
        <v>3.6538616197088709E-2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기능'!C56</f>
        <v>37</v>
      </c>
    </row>
    <row r="15" spans="1:17" s="22" customFormat="1" ht="25" customHeight="1" x14ac:dyDescent="0.45">
      <c r="A15" s="20"/>
      <c r="B15" s="35"/>
      <c r="C15" s="66">
        <v>42</v>
      </c>
      <c r="D15" s="67">
        <f t="shared" si="3"/>
        <v>69</v>
      </c>
      <c r="E15" s="67">
        <f t="shared" si="0"/>
        <v>1</v>
      </c>
      <c r="F15" s="68">
        <f t="shared" si="4"/>
        <v>95.76</v>
      </c>
      <c r="G15" s="69">
        <f>IF(D15=D14,"",_xlfn.IFNA(VLOOKUP(D15,'인원 입력 기능(사과탐)'!$F$5:$I$59,4,FALSE),0))</f>
        <v>437</v>
      </c>
      <c r="H15" s="70">
        <f t="shared" si="1"/>
        <v>1.171487547918398E-2</v>
      </c>
      <c r="I15" s="80">
        <f>SUM($G$7:G15)</f>
        <v>1800</v>
      </c>
      <c r="J15" s="72">
        <f t="shared" si="5"/>
        <v>4.8253491676272686E-2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73">
        <v>41</v>
      </c>
      <c r="D16" s="67">
        <f t="shared" si="3"/>
        <v>68</v>
      </c>
      <c r="E16" s="67">
        <f t="shared" si="0"/>
        <v>2</v>
      </c>
      <c r="F16" s="68">
        <f t="shared" si="4"/>
        <v>94.78</v>
      </c>
      <c r="G16" s="69">
        <f>IF(D16=D15,"",_xlfn.IFNA(VLOOKUP(D16,'인원 입력 기능(사과탐)'!$F$5:$I$59,4,FALSE),0))</f>
        <v>293</v>
      </c>
      <c r="H16" s="70">
        <f t="shared" si="1"/>
        <v>7.8545961450821652E-3</v>
      </c>
      <c r="I16" s="80">
        <f>SUM($G$7:G16)</f>
        <v>2093</v>
      </c>
      <c r="J16" s="72">
        <f t="shared" si="5"/>
        <v>5.6108087821354853E-2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66">
        <v>40</v>
      </c>
      <c r="D17" s="67">
        <f t="shared" si="3"/>
        <v>67</v>
      </c>
      <c r="E17" s="67">
        <f t="shared" si="0"/>
        <v>2</v>
      </c>
      <c r="F17" s="68">
        <f t="shared" si="4"/>
        <v>93.81</v>
      </c>
      <c r="G17" s="69">
        <f>IF(D17=D16,"",_xlfn.IFNA(VLOOKUP(D17,'인원 입력 기능(사과탐)'!$F$5:$I$59,4,FALSE),0))</f>
        <v>433</v>
      </c>
      <c r="H17" s="70">
        <f t="shared" si="1"/>
        <v>1.1607645497681151E-2</v>
      </c>
      <c r="I17" s="80">
        <f>SUM($G$7:G17)</f>
        <v>2526</v>
      </c>
      <c r="J17" s="72">
        <f t="shared" si="5"/>
        <v>6.7715733319036006E-2</v>
      </c>
      <c r="K17" s="36"/>
      <c r="L17" s="20" t="str">
        <f t="shared" si="2"/>
        <v/>
      </c>
      <c r="N17" s="24"/>
      <c r="Q17" s="24">
        <f>Q7*H3*H4*J3*IFERROR(IF(J57=1, 1, 0), 0)</f>
        <v>595177035.4717927</v>
      </c>
    </row>
    <row r="18" spans="1:17" s="22" customFormat="1" ht="25" customHeight="1" x14ac:dyDescent="0.45">
      <c r="A18" s="20"/>
      <c r="B18" s="35"/>
      <c r="C18" s="73">
        <v>39</v>
      </c>
      <c r="D18" s="178">
        <f t="shared" si="3"/>
        <v>66</v>
      </c>
      <c r="E18" s="178">
        <f t="shared" si="0"/>
        <v>2</v>
      </c>
      <c r="F18" s="182">
        <f t="shared" si="4"/>
        <v>92.02</v>
      </c>
      <c r="G18" s="184">
        <f>IF(D18=D17,"",_xlfn.IFNA(VLOOKUP(D18,'인원 입력 기능(사과탐)'!$F$5:$I$59,4,FALSE),0))</f>
        <v>898</v>
      </c>
      <c r="H18" s="186">
        <f t="shared" si="1"/>
        <v>2.4073130847384928E-2</v>
      </c>
      <c r="I18" s="194">
        <f>SUM($G$7:G18)</f>
        <v>3424</v>
      </c>
      <c r="J18" s="176">
        <f t="shared" si="5"/>
        <v>9.178886416642093E-2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66">
        <v>38</v>
      </c>
      <c r="D19" s="179"/>
      <c r="E19" s="179"/>
      <c r="F19" s="183"/>
      <c r="G19" s="185"/>
      <c r="H19" s="187"/>
      <c r="I19" s="195"/>
      <c r="J19" s="177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73">
        <v>37</v>
      </c>
      <c r="D20" s="67">
        <f t="shared" si="3"/>
        <v>65</v>
      </c>
      <c r="E20" s="67">
        <f t="shared" si="0"/>
        <v>2</v>
      </c>
      <c r="F20" s="68">
        <f t="shared" si="4"/>
        <v>90</v>
      </c>
      <c r="G20" s="69">
        <f>IF(D20=D19,"",_xlfn.IFNA(VLOOKUP(D20,'인원 입력 기능(사과탐)'!$F$5:$I$59,4,FALSE),0))</f>
        <v>615</v>
      </c>
      <c r="H20" s="70">
        <f t="shared" si="1"/>
        <v>1.6486609656059834E-2</v>
      </c>
      <c r="I20" s="80">
        <f>SUM($G$7:G20)</f>
        <v>4039</v>
      </c>
      <c r="J20" s="72">
        <f t="shared" si="5"/>
        <v>0.10827547382248076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95">
        <v>36</v>
      </c>
      <c r="D21" s="82">
        <f t="shared" si="3"/>
        <v>64</v>
      </c>
      <c r="E21" s="82">
        <f t="shared" si="0"/>
        <v>2</v>
      </c>
      <c r="F21" s="68">
        <f t="shared" si="4"/>
        <v>88.52</v>
      </c>
      <c r="G21" s="69">
        <f>IF(D21=D20,"",_xlfn.IFNA(VLOOKUP(D21,'인원 입력 기능(사과탐)'!$F$5:$I$59,4,FALSE),0))</f>
        <v>485</v>
      </c>
      <c r="H21" s="70">
        <f t="shared" si="1"/>
        <v>1.3001635257217918E-2</v>
      </c>
      <c r="I21" s="80">
        <f>SUM($G$7:G21)</f>
        <v>4524</v>
      </c>
      <c r="J21" s="72">
        <f t="shared" si="5"/>
        <v>0.12127710907969869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81">
        <v>35</v>
      </c>
      <c r="D22" s="82">
        <f t="shared" si="3"/>
        <v>63</v>
      </c>
      <c r="E22" s="82">
        <f t="shared" si="0"/>
        <v>3</v>
      </c>
      <c r="F22" s="68">
        <f t="shared" si="4"/>
        <v>87.01</v>
      </c>
      <c r="G22" s="69">
        <f>IF(D22=D21,"",_xlfn.IFNA(VLOOKUP(D22,'인원 입력 기능(사과탐)'!$F$5:$I$59,4,FALSE),0))</f>
        <v>641</v>
      </c>
      <c r="H22" s="70">
        <f t="shared" si="1"/>
        <v>1.7183604535828217E-2</v>
      </c>
      <c r="I22" s="80">
        <f>SUM($G$7:G22)</f>
        <v>5165</v>
      </c>
      <c r="J22" s="72">
        <f t="shared" si="5"/>
        <v>0.13846071361552689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95">
        <v>34</v>
      </c>
      <c r="D23" s="82">
        <f t="shared" si="3"/>
        <v>62</v>
      </c>
      <c r="E23" s="82">
        <f t="shared" si="0"/>
        <v>3</v>
      </c>
      <c r="F23" s="68">
        <f t="shared" si="4"/>
        <v>85.26</v>
      </c>
      <c r="G23" s="69">
        <f>IF(D23=D22,"",_xlfn.IFNA(VLOOKUP(D23,'인원 입력 기능(사과탐)'!$F$5:$I$59,4,FALSE),0))</f>
        <v>666</v>
      </c>
      <c r="H23" s="70">
        <f t="shared" si="1"/>
        <v>1.7853791920220893E-2</v>
      </c>
      <c r="I23" s="80">
        <f>SUM($G$7:G23)</f>
        <v>5831</v>
      </c>
      <c r="J23" s="72">
        <f t="shared" si="5"/>
        <v>0.1563145055357478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81">
        <v>33</v>
      </c>
      <c r="D24" s="82">
        <f t="shared" si="3"/>
        <v>61</v>
      </c>
      <c r="E24" s="82">
        <f t="shared" si="0"/>
        <v>3</v>
      </c>
      <c r="F24" s="68">
        <f t="shared" si="4"/>
        <v>83.55</v>
      </c>
      <c r="G24" s="69">
        <f>IF(D24=D23,"",_xlfn.IFNA(VLOOKUP(D24,'인원 입력 기능(사과탐)'!$F$5:$I$59,4,FALSE),0))</f>
        <v>611</v>
      </c>
      <c r="H24" s="70">
        <f t="shared" si="1"/>
        <v>1.6379379674557007E-2</v>
      </c>
      <c r="I24" s="80">
        <f>SUM($G$7:G24)</f>
        <v>6442</v>
      </c>
      <c r="J24" s="72">
        <f t="shared" si="5"/>
        <v>0.17269388521030479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95">
        <v>32</v>
      </c>
      <c r="D25" s="82">
        <f t="shared" si="3"/>
        <v>60</v>
      </c>
      <c r="E25" s="82">
        <f t="shared" si="0"/>
        <v>3</v>
      </c>
      <c r="F25" s="68">
        <f t="shared" si="4"/>
        <v>81.680000000000007</v>
      </c>
      <c r="G25" s="69">
        <f>IF(D25=D24,"",_xlfn.IFNA(VLOOKUP(D25,'인원 입력 기능(사과탐)'!$F$5:$I$59,4,FALSE),0))</f>
        <v>782</v>
      </c>
      <c r="H25" s="70">
        <f t="shared" si="1"/>
        <v>2.0963461383802912E-2</v>
      </c>
      <c r="I25" s="80">
        <f>SUM($G$7:G25)</f>
        <v>7224</v>
      </c>
      <c r="J25" s="72">
        <f t="shared" si="5"/>
        <v>0.19365734659410772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81">
        <v>31</v>
      </c>
      <c r="D26" s="82">
        <f t="shared" si="3"/>
        <v>59</v>
      </c>
      <c r="E26" s="82">
        <f t="shared" si="0"/>
        <v>3</v>
      </c>
      <c r="F26" s="68">
        <f t="shared" si="4"/>
        <v>79.72</v>
      </c>
      <c r="G26" s="69">
        <f>IF(D26=D25,"",_xlfn.IFNA(VLOOKUP(D26,'인원 입력 기능(사과탐)'!$F$5:$I$59,4,FALSE),0))</f>
        <v>682</v>
      </c>
      <c r="H26" s="70">
        <f t="shared" si="1"/>
        <v>1.8282711846232206E-2</v>
      </c>
      <c r="I26" s="80">
        <f>SUM($G$7:G26)</f>
        <v>7906</v>
      </c>
      <c r="J26" s="72">
        <f t="shared" si="5"/>
        <v>0.21194005844033992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95">
        <v>30</v>
      </c>
      <c r="D27" s="180">
        <f t="shared" si="3"/>
        <v>58</v>
      </c>
      <c r="E27" s="180">
        <f t="shared" si="0"/>
        <v>3</v>
      </c>
      <c r="F27" s="182">
        <f t="shared" si="4"/>
        <v>76.650000000000006</v>
      </c>
      <c r="G27" s="184">
        <f>IF(D27=D26,"",_xlfn.IFNA(VLOOKUP(D27,'인원 입력 기능(사과탐)'!$F$5:$I$59,4,FALSE),0))</f>
        <v>1612</v>
      </c>
      <c r="H27" s="186">
        <f t="shared" si="1"/>
        <v>4.3213682545639759E-2</v>
      </c>
      <c r="I27" s="194">
        <f>SUM($G$7:G27)</f>
        <v>9518</v>
      </c>
      <c r="J27" s="176">
        <f t="shared" si="5"/>
        <v>0.2551537409859797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81">
        <v>29</v>
      </c>
      <c r="D28" s="181"/>
      <c r="E28" s="181"/>
      <c r="F28" s="183"/>
      <c r="G28" s="185"/>
      <c r="H28" s="187"/>
      <c r="I28" s="195"/>
      <c r="J28" s="177"/>
      <c r="K28" s="36"/>
      <c r="L28" s="20" t="str">
        <f t="shared" si="2"/>
        <v>경고</v>
      </c>
      <c r="N28" s="24"/>
    </row>
    <row r="29" spans="1:17" s="22" customFormat="1" ht="25" customHeight="1" x14ac:dyDescent="0.45">
      <c r="A29" s="20"/>
      <c r="B29" s="35"/>
      <c r="C29" s="95">
        <v>28</v>
      </c>
      <c r="D29" s="82">
        <f t="shared" si="3"/>
        <v>57</v>
      </c>
      <c r="E29" s="82">
        <f t="shared" si="0"/>
        <v>4</v>
      </c>
      <c r="F29" s="68">
        <f t="shared" si="4"/>
        <v>73.47</v>
      </c>
      <c r="G29" s="69">
        <f>IF(D29=D28,"",_xlfn.IFNA(VLOOKUP(D29,'인원 입력 기능(사과탐)'!$F$5:$I$59,4,FALSE),0))</f>
        <v>755</v>
      </c>
      <c r="H29" s="70">
        <f t="shared" si="1"/>
        <v>2.023965900865882E-2</v>
      </c>
      <c r="I29" s="80">
        <f>SUM($G$7:G29)</f>
        <v>10273</v>
      </c>
      <c r="J29" s="72">
        <f t="shared" si="5"/>
        <v>0.27539339999463852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81">
        <v>27</v>
      </c>
      <c r="D30" s="82">
        <f t="shared" si="3"/>
        <v>56</v>
      </c>
      <c r="E30" s="82">
        <f t="shared" si="0"/>
        <v>4</v>
      </c>
      <c r="F30" s="68">
        <f t="shared" si="4"/>
        <v>71.239999999999995</v>
      </c>
      <c r="G30" s="69">
        <f>IF(D30=D29,"",_xlfn.IFNA(VLOOKUP(D30,'인원 입력 기능(사과탐)'!$F$5:$I$59,4,FALSE),0))</f>
        <v>908</v>
      </c>
      <c r="H30" s="70">
        <f t="shared" si="1"/>
        <v>2.4341205801141998E-2</v>
      </c>
      <c r="I30" s="80">
        <f>SUM($G$7:G30)</f>
        <v>11181</v>
      </c>
      <c r="J30" s="72">
        <f t="shared" si="5"/>
        <v>0.29973460579578048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95">
        <v>26</v>
      </c>
      <c r="D31" s="82">
        <f t="shared" si="3"/>
        <v>55</v>
      </c>
      <c r="E31" s="82">
        <f t="shared" si="0"/>
        <v>4</v>
      </c>
      <c r="F31" s="68">
        <f t="shared" si="4"/>
        <v>68.81</v>
      </c>
      <c r="G31" s="69">
        <f>IF(D31=D30,"",_xlfn.IFNA(VLOOKUP(D31,'인원 입력 기능(사과탐)'!$F$5:$I$59,4,FALSE),0))</f>
        <v>907</v>
      </c>
      <c r="H31" s="70">
        <f t="shared" si="1"/>
        <v>2.4314398305766292E-2</v>
      </c>
      <c r="I31" s="80">
        <f>SUM($G$7:G31)</f>
        <v>12088</v>
      </c>
      <c r="J31" s="72">
        <f t="shared" si="5"/>
        <v>0.3240490041015468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81">
        <v>25</v>
      </c>
      <c r="D32" s="82">
        <f t="shared" si="3"/>
        <v>54</v>
      </c>
      <c r="E32" s="82">
        <f t="shared" si="0"/>
        <v>4</v>
      </c>
      <c r="F32" s="68">
        <f t="shared" si="4"/>
        <v>66.37</v>
      </c>
      <c r="G32" s="69">
        <f>IF(D32=D31,"",_xlfn.IFNA(VLOOKUP(D32,'인원 입력 기능(사과탐)'!$F$5:$I$59,4,FALSE),0))</f>
        <v>912</v>
      </c>
      <c r="H32" s="70">
        <f t="shared" si="1"/>
        <v>2.4448435782644828E-2</v>
      </c>
      <c r="I32" s="80">
        <f>SUM($G$7:G32)</f>
        <v>13000</v>
      </c>
      <c r="J32" s="72">
        <f t="shared" si="5"/>
        <v>0.34849743988419163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95">
        <v>24</v>
      </c>
      <c r="D33" s="82">
        <f t="shared" si="3"/>
        <v>53</v>
      </c>
      <c r="E33" s="82">
        <f t="shared" si="0"/>
        <v>4</v>
      </c>
      <c r="F33" s="68">
        <f t="shared" si="4"/>
        <v>63.83</v>
      </c>
      <c r="G33" s="69">
        <f>IF(D33=D32,"",_xlfn.IFNA(VLOOKUP(D33,'인원 입력 기능(사과탐)'!$F$5:$I$59,4,FALSE),0))</f>
        <v>985</v>
      </c>
      <c r="H33" s="70">
        <f t="shared" si="1"/>
        <v>2.6405382945071443E-2</v>
      </c>
      <c r="I33" s="80">
        <f>SUM($G$7:G33)</f>
        <v>13985</v>
      </c>
      <c r="J33" s="72">
        <f t="shared" si="5"/>
        <v>0.37490282282926307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81">
        <v>23</v>
      </c>
      <c r="D34" s="82">
        <f t="shared" si="3"/>
        <v>52</v>
      </c>
      <c r="E34" s="82">
        <f t="shared" si="0"/>
        <v>4</v>
      </c>
      <c r="F34" s="68">
        <f t="shared" si="4"/>
        <v>61.36</v>
      </c>
      <c r="G34" s="69">
        <f>IF(D34=D33,"",_xlfn.IFNA(VLOOKUP(D34,'인원 입력 기능(사과탐)'!$F$5:$I$59,4,FALSE),0))</f>
        <v>860</v>
      </c>
      <c r="H34" s="70">
        <f t="shared" si="1"/>
        <v>2.305444602310806E-2</v>
      </c>
      <c r="I34" s="80">
        <f>SUM($G$7:G34)</f>
        <v>14845</v>
      </c>
      <c r="J34" s="72">
        <f t="shared" si="5"/>
        <v>0.39795726885237115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95">
        <v>22</v>
      </c>
      <c r="D35" s="82">
        <f t="shared" si="3"/>
        <v>51</v>
      </c>
      <c r="E35" s="82">
        <f t="shared" si="0"/>
        <v>4</v>
      </c>
      <c r="F35" s="68">
        <f t="shared" si="4"/>
        <v>58.83</v>
      </c>
      <c r="G35" s="69">
        <f>IF(D35=D34,"",_xlfn.IFNA(VLOOKUP(D35,'인원 입력 기능(사과탐)'!$F$5:$I$59,4,FALSE),0))</f>
        <v>1023</v>
      </c>
      <c r="H35" s="70">
        <f t="shared" si="1"/>
        <v>2.7424067769348311E-2</v>
      </c>
      <c r="I35" s="80">
        <f>SUM($G$7:G35)</f>
        <v>15868</v>
      </c>
      <c r="J35" s="72">
        <f t="shared" si="5"/>
        <v>0.42538133662171945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81">
        <v>21</v>
      </c>
      <c r="D36" s="180">
        <f t="shared" si="3"/>
        <v>50</v>
      </c>
      <c r="E36" s="180">
        <f t="shared" si="0"/>
        <v>5</v>
      </c>
      <c r="F36" s="182">
        <f t="shared" si="4"/>
        <v>54.76</v>
      </c>
      <c r="G36" s="184">
        <f>IF(D36=D35,"",_xlfn.IFNA(VLOOKUP(D36,'인원 입력 기능(사과탐)'!$F$5:$I$59,4,FALSE),0))</f>
        <v>2019</v>
      </c>
      <c r="H36" s="186">
        <f t="shared" si="1"/>
        <v>5.4124333163552529E-2</v>
      </c>
      <c r="I36" s="194">
        <f>SUM($G$7:G36)</f>
        <v>17887</v>
      </c>
      <c r="J36" s="176">
        <f t="shared" si="5"/>
        <v>0.47950566978527198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95">
        <v>20</v>
      </c>
      <c r="D37" s="181"/>
      <c r="E37" s="181"/>
      <c r="F37" s="183"/>
      <c r="G37" s="185"/>
      <c r="H37" s="187"/>
      <c r="I37" s="195"/>
      <c r="J37" s="177"/>
      <c r="K37" s="36"/>
      <c r="L37" s="20" t="str">
        <f t="shared" si="2"/>
        <v>경고</v>
      </c>
      <c r="N37" s="24"/>
    </row>
    <row r="38" spans="1:14" s="22" customFormat="1" ht="25" customHeight="1" x14ac:dyDescent="0.45">
      <c r="A38" s="20"/>
      <c r="B38" s="35"/>
      <c r="C38" s="81">
        <v>19</v>
      </c>
      <c r="D38" s="82">
        <f t="shared" si="3"/>
        <v>49</v>
      </c>
      <c r="E38" s="82">
        <f t="shared" si="0"/>
        <v>5</v>
      </c>
      <c r="F38" s="68">
        <f t="shared" si="4"/>
        <v>50.63</v>
      </c>
      <c r="G38" s="69">
        <f>IF(D38=D37,"",_xlfn.IFNA(VLOOKUP(D38,'인원 입력 기능(사과탐)'!$F$5:$I$59,4,FALSE),0))</f>
        <v>1059</v>
      </c>
      <c r="H38" s="70">
        <f t="shared" si="1"/>
        <v>2.8389137602873763E-2</v>
      </c>
      <c r="I38" s="80">
        <f>SUM($G$7:G38)</f>
        <v>18946</v>
      </c>
      <c r="J38" s="72">
        <f t="shared" si="5"/>
        <v>0.50789480738814574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95">
        <v>18</v>
      </c>
      <c r="D39" s="82">
        <f t="shared" si="3"/>
        <v>48</v>
      </c>
      <c r="E39" s="82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8">
        <f t="shared" si="4"/>
        <v>47.9</v>
      </c>
      <c r="G39" s="69">
        <f>IF(D39=D38,"",_xlfn.IFNA(VLOOKUP(D39,'인원 입력 기능(사과탐)'!$F$5:$I$59,4,FALSE),0))</f>
        <v>975</v>
      </c>
      <c r="H39" s="70">
        <f t="shared" si="1"/>
        <v>2.6137307991314373E-2</v>
      </c>
      <c r="I39" s="80">
        <f>SUM($G$7:G39)</f>
        <v>19921</v>
      </c>
      <c r="J39" s="72">
        <f t="shared" si="5"/>
        <v>0.53403211537946005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81">
        <v>17</v>
      </c>
      <c r="D40" s="82">
        <f t="shared" si="3"/>
        <v>47</v>
      </c>
      <c r="E40" s="82">
        <f t="shared" si="6"/>
        <v>5</v>
      </c>
      <c r="F40" s="68">
        <f t="shared" si="4"/>
        <v>45.24</v>
      </c>
      <c r="G40" s="69">
        <f>IF(D40=D39,"",_xlfn.IFNA(VLOOKUP(D40,'인원 입력 기능(사과탐)'!$F$5:$I$59,4,FALSE),0))</f>
        <v>1011</v>
      </c>
      <c r="H40" s="70">
        <f t="shared" si="1"/>
        <v>2.7102377824839825E-2</v>
      </c>
      <c r="I40" s="80">
        <f>SUM($G$7:G40)</f>
        <v>20932</v>
      </c>
      <c r="J40" s="72">
        <f t="shared" si="5"/>
        <v>0.56113449320429987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95">
        <v>16</v>
      </c>
      <c r="D41" s="82">
        <f t="shared" si="3"/>
        <v>46</v>
      </c>
      <c r="E41" s="82">
        <f t="shared" si="6"/>
        <v>5</v>
      </c>
      <c r="F41" s="68">
        <f t="shared" si="4"/>
        <v>42.48</v>
      </c>
      <c r="G41" s="69">
        <f>IF(D41=D40,"",_xlfn.IFNA(VLOOKUP(D41,'인원 입력 기능(사과탐)'!$F$5:$I$59,4,FALSE),0))</f>
        <v>1049</v>
      </c>
      <c r="H41" s="70">
        <f t="shared" si="1"/>
        <v>2.8121062649116693E-2</v>
      </c>
      <c r="I41" s="80">
        <f>SUM($G$7:G41)</f>
        <v>21981</v>
      </c>
      <c r="J41" s="72">
        <f t="shared" si="5"/>
        <v>0.5892555558534166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81">
        <v>15</v>
      </c>
      <c r="D42" s="82">
        <f t="shared" si="3"/>
        <v>45</v>
      </c>
      <c r="E42" s="82">
        <f t="shared" si="6"/>
        <v>5</v>
      </c>
      <c r="F42" s="68">
        <f t="shared" si="4"/>
        <v>39.56</v>
      </c>
      <c r="G42" s="69">
        <f>IF(D42=D41,"",_xlfn.IFNA(VLOOKUP(D42,'인원 입력 기능(사과탐)'!$F$5:$I$59,4,FALSE),0))</f>
        <v>1129</v>
      </c>
      <c r="H42" s="70">
        <f t="shared" si="1"/>
        <v>3.0265662279173256E-2</v>
      </c>
      <c r="I42" s="80">
        <f>SUM($G$7:G42)</f>
        <v>23110</v>
      </c>
      <c r="J42" s="72">
        <f t="shared" si="5"/>
        <v>0.61952121813258987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95">
        <v>14</v>
      </c>
      <c r="D43" s="82">
        <f t="shared" si="3"/>
        <v>44</v>
      </c>
      <c r="E43" s="82">
        <f t="shared" si="6"/>
        <v>6</v>
      </c>
      <c r="F43" s="68">
        <f t="shared" si="4"/>
        <v>35.979999999999997</v>
      </c>
      <c r="G43" s="69">
        <f>IF(D43=D42,"",_xlfn.IFNA(VLOOKUP(D43,'인원 입력 기능(사과탐)'!$F$5:$I$59,4,FALSE),0))</f>
        <v>1540</v>
      </c>
      <c r="H43" s="70">
        <f t="shared" si="1"/>
        <v>4.1283542878588854E-2</v>
      </c>
      <c r="I43" s="80">
        <f>SUM($G$7:G43)</f>
        <v>24650</v>
      </c>
      <c r="J43" s="72">
        <f t="shared" si="5"/>
        <v>0.66080476101117869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81">
        <v>13</v>
      </c>
      <c r="D44" s="82">
        <f t="shared" si="3"/>
        <v>43</v>
      </c>
      <c r="E44" s="82">
        <f t="shared" si="6"/>
        <v>6</v>
      </c>
      <c r="F44" s="68">
        <f t="shared" si="4"/>
        <v>32.61</v>
      </c>
      <c r="G44" s="69">
        <f>IF(D44=D43,"",_xlfn.IFNA(VLOOKUP(D44,'인원 입력 기능(사과탐)'!$F$5:$I$59,4,FALSE),0))</f>
        <v>980</v>
      </c>
      <c r="H44" s="70">
        <f t="shared" si="1"/>
        <v>2.6271345468192906E-2</v>
      </c>
      <c r="I44" s="80">
        <f>SUM($G$7:G44)</f>
        <v>25630</v>
      </c>
      <c r="J44" s="72">
        <f t="shared" si="5"/>
        <v>0.68707610647937167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95">
        <v>12</v>
      </c>
      <c r="D45" s="180">
        <f t="shared" si="3"/>
        <v>42</v>
      </c>
      <c r="E45" s="180">
        <f t="shared" si="6"/>
        <v>6</v>
      </c>
      <c r="F45" s="182">
        <f t="shared" si="4"/>
        <v>26.61</v>
      </c>
      <c r="G45" s="184">
        <f>IF(D45=D44,"",_xlfn.IFNA(VLOOKUP(D45,'인원 입력 기능(사과탐)'!$F$5:$I$59,4,FALSE),0))</f>
        <v>3491</v>
      </c>
      <c r="H45" s="186">
        <f t="shared" si="1"/>
        <v>9.3584966356593302E-2</v>
      </c>
      <c r="I45" s="194">
        <f>SUM($G$7:G45)</f>
        <v>29121</v>
      </c>
      <c r="J45" s="176">
        <f t="shared" si="5"/>
        <v>0.78066107283596498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81">
        <v>11</v>
      </c>
      <c r="D46" s="181"/>
      <c r="E46" s="181"/>
      <c r="F46" s="183"/>
      <c r="G46" s="185"/>
      <c r="H46" s="187"/>
      <c r="I46" s="195"/>
      <c r="J46" s="177"/>
      <c r="K46" s="36"/>
      <c r="L46" s="20" t="str">
        <f t="shared" si="2"/>
        <v>경고</v>
      </c>
      <c r="N46" s="24"/>
    </row>
    <row r="47" spans="1:14" s="22" customFormat="1" ht="25" customHeight="1" x14ac:dyDescent="0.45">
      <c r="A47" s="20"/>
      <c r="B47" s="35"/>
      <c r="C47" s="95">
        <v>10</v>
      </c>
      <c r="D47" s="82">
        <f t="shared" si="3"/>
        <v>41</v>
      </c>
      <c r="E47" s="82">
        <f t="shared" si="6"/>
        <v>7</v>
      </c>
      <c r="F47" s="68">
        <f t="shared" si="4"/>
        <v>20.6</v>
      </c>
      <c r="G47" s="69">
        <f>IF(D47=D46,"",_xlfn.IFNA(VLOOKUP(D47,'인원 입력 기능(사과탐)'!$F$5:$I$59,4,FALSE),0))</f>
        <v>992</v>
      </c>
      <c r="H47" s="70">
        <f t="shared" si="1"/>
        <v>2.6593035412701391E-2</v>
      </c>
      <c r="I47" s="80">
        <f>SUM($G$7:G47)</f>
        <v>30113</v>
      </c>
      <c r="J47" s="72">
        <f t="shared" si="5"/>
        <v>0.80725410824866628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81">
        <v>9</v>
      </c>
      <c r="D48" s="82">
        <f t="shared" si="3"/>
        <v>40</v>
      </c>
      <c r="E48" s="82">
        <f t="shared" si="6"/>
        <v>7</v>
      </c>
      <c r="F48" s="68">
        <f t="shared" si="4"/>
        <v>17.850000000000001</v>
      </c>
      <c r="G48" s="69">
        <f>IF(D48=D47,"",_xlfn.IFNA(VLOOKUP(D48,'인원 입력 기능(사과탐)'!$F$5:$I$59,4,FALSE),0))</f>
        <v>1060</v>
      </c>
      <c r="H48" s="70">
        <f t="shared" si="1"/>
        <v>2.8415945098249469E-2</v>
      </c>
      <c r="I48" s="80">
        <f>SUM($G$7:G48)</f>
        <v>31173</v>
      </c>
      <c r="J48" s="72">
        <f t="shared" si="5"/>
        <v>0.8356700533469158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95">
        <v>8</v>
      </c>
      <c r="D49" s="82">
        <f t="shared" si="3"/>
        <v>39</v>
      </c>
      <c r="E49" s="82">
        <f t="shared" si="6"/>
        <v>7</v>
      </c>
      <c r="F49" s="68">
        <f t="shared" si="4"/>
        <v>15.03</v>
      </c>
      <c r="G49" s="69">
        <f>IF(D49=D48,"",_xlfn.IFNA(VLOOKUP(D49,'인원 입력 기능(사과탐)'!$F$5:$I$59,4,FALSE),0))</f>
        <v>1050</v>
      </c>
      <c r="H49" s="70">
        <f t="shared" si="1"/>
        <v>2.8147870144492399E-2</v>
      </c>
      <c r="I49" s="80">
        <f>SUM($G$7:G49)</f>
        <v>32223</v>
      </c>
      <c r="J49" s="72">
        <f t="shared" si="5"/>
        <v>0.86381792349140818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81">
        <v>7</v>
      </c>
      <c r="D50" s="82">
        <f t="shared" si="3"/>
        <v>38</v>
      </c>
      <c r="E50" s="82">
        <f t="shared" si="6"/>
        <v>7</v>
      </c>
      <c r="F50" s="68">
        <f t="shared" si="4"/>
        <v>9.2899999999999991</v>
      </c>
      <c r="G50" s="69">
        <f>IF(D50=D49,"",_xlfn.IFNA(VLOOKUP(D50,'인원 입력 기능(사과탐)'!$F$5:$I$59,4,FALSE),0))</f>
        <v>3230</v>
      </c>
      <c r="H50" s="70">
        <f t="shared" si="1"/>
        <v>8.658821006353376E-2</v>
      </c>
      <c r="I50" s="80">
        <f>SUM($G$7:G50)</f>
        <v>35453</v>
      </c>
      <c r="J50" s="72">
        <f t="shared" si="5"/>
        <v>0.95040613355494197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95">
        <v>6</v>
      </c>
      <c r="D51" s="82">
        <f t="shared" si="3"/>
        <v>37</v>
      </c>
      <c r="E51" s="82">
        <f t="shared" si="6"/>
        <v>8</v>
      </c>
      <c r="F51" s="68">
        <f t="shared" si="4"/>
        <v>4.4000000000000004</v>
      </c>
      <c r="G51" s="69">
        <f>IF(D51=D50,"",_xlfn.IFNA(VLOOKUP(D51,'인원 입력 기능(사과탐)'!$F$5:$I$59,4,FALSE),0))</f>
        <v>418</v>
      </c>
      <c r="H51" s="70">
        <f t="shared" si="1"/>
        <v>1.1205533067045546E-2</v>
      </c>
      <c r="I51" s="80">
        <f>SUM($G$7:G51)</f>
        <v>35871</v>
      </c>
      <c r="J51" s="72">
        <f t="shared" si="5"/>
        <v>0.96161166662198749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81">
        <v>5</v>
      </c>
      <c r="D52" s="82">
        <f t="shared" si="3"/>
        <v>36</v>
      </c>
      <c r="E52" s="82">
        <f t="shared" si="6"/>
        <v>9</v>
      </c>
      <c r="F52" s="68">
        <f t="shared" si="4"/>
        <v>3.13</v>
      </c>
      <c r="G52" s="69">
        <f>IF(D52=D51,"",_xlfn.IFNA(VLOOKUP(D52,'인원 입력 기능(사과탐)'!$F$5:$I$59,4,FALSE),0))</f>
        <v>529</v>
      </c>
      <c r="H52" s="70">
        <f t="shared" si="1"/>
        <v>1.4181165053749029E-2</v>
      </c>
      <c r="I52" s="80">
        <f>SUM($G$7:G52)</f>
        <v>36400</v>
      </c>
      <c r="J52" s="72">
        <f t="shared" si="5"/>
        <v>0.97579283167573649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66">
        <v>4</v>
      </c>
      <c r="D53" s="67">
        <f t="shared" si="3"/>
        <v>35</v>
      </c>
      <c r="E53" s="67">
        <f t="shared" si="6"/>
        <v>9</v>
      </c>
      <c r="F53" s="68">
        <f t="shared" si="4"/>
        <v>1.94</v>
      </c>
      <c r="G53" s="69">
        <f>IF(D53=D52,"",_xlfn.IFNA(VLOOKUP(D53,'인원 입력 기능(사과탐)'!$F$5:$I$59,4,FALSE),0))</f>
        <v>358</v>
      </c>
      <c r="H53" s="70">
        <f t="shared" si="1"/>
        <v>9.5970833445031233E-3</v>
      </c>
      <c r="I53" s="80">
        <f>SUM($G$7:G53)</f>
        <v>36758</v>
      </c>
      <c r="J53" s="72">
        <f t="shared" si="5"/>
        <v>0.98538991502023965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73">
        <v>3</v>
      </c>
      <c r="D54" s="178">
        <f t="shared" si="3"/>
        <v>34</v>
      </c>
      <c r="E54" s="178">
        <f t="shared" si="6"/>
        <v>9</v>
      </c>
      <c r="F54" s="182">
        <f t="shared" si="4"/>
        <v>0.98</v>
      </c>
      <c r="G54" s="184">
        <f>IF(D54=D53,"",_xlfn.IFNA(VLOOKUP(D54,'인원 입력 기능(사과탐)'!$F$5:$I$59,4,FALSE),0))</f>
        <v>357</v>
      </c>
      <c r="H54" s="186">
        <f t="shared" si="1"/>
        <v>9.5702758491274156E-3</v>
      </c>
      <c r="I54" s="194">
        <f>SUM($G$7:G54)</f>
        <v>37115</v>
      </c>
      <c r="J54" s="176">
        <f t="shared" si="5"/>
        <v>0.99496019086936704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66">
        <v>2</v>
      </c>
      <c r="D55" s="179"/>
      <c r="E55" s="179"/>
      <c r="F55" s="183"/>
      <c r="G55" s="185"/>
      <c r="H55" s="187"/>
      <c r="I55" s="195"/>
      <c r="J55" s="177"/>
      <c r="K55" s="36"/>
      <c r="L55" s="20" t="str">
        <f t="shared" si="2"/>
        <v>경고</v>
      </c>
      <c r="N55" s="24"/>
    </row>
    <row r="56" spans="1:14" s="22" customFormat="1" ht="25" customHeight="1" x14ac:dyDescent="0.45">
      <c r="A56" s="20"/>
      <c r="B56" s="35"/>
      <c r="C56" s="73">
        <v>1</v>
      </c>
      <c r="D56" s="74" t="s">
        <v>59</v>
      </c>
      <c r="E56" s="74"/>
      <c r="F56" s="75"/>
      <c r="G56" s="96"/>
      <c r="H56" s="94"/>
      <c r="I56" s="84"/>
      <c r="J56" s="79"/>
      <c r="K56" s="36"/>
      <c r="L56" s="20"/>
      <c r="N56" s="24"/>
    </row>
    <row r="57" spans="1:14" s="22" customFormat="1" ht="25" customHeight="1" thickBot="1" x14ac:dyDescent="0.5">
      <c r="A57" s="20"/>
      <c r="B57" s="35"/>
      <c r="C57" s="97">
        <v>0</v>
      </c>
      <c r="D57" s="86">
        <f>ROUND(10*(C57-$H$3)/$H$4+50,0)</f>
        <v>32</v>
      </c>
      <c r="E57" s="98">
        <f t="shared" si="6"/>
        <v>9</v>
      </c>
      <c r="F57" s="87">
        <f>IF(I55=0,ROUND(100*(1-(I54+I57)/2/$J$3),2),ROUND(100*(1-(I55+I57)/2/$J$3),2))</f>
        <v>0.25</v>
      </c>
      <c r="G57" s="99">
        <f>_xlfn.IFNA(VLOOKUP(D57,'인원 입력 기능(사과탐)'!$F$5:$I$59,4,FALSE),0)</f>
        <v>188</v>
      </c>
      <c r="H57" s="89">
        <f>G57/$J$3</f>
        <v>5.0398091306329247E-3</v>
      </c>
      <c r="I57" s="90">
        <f>SUM($G$7:G57)</f>
        <v>37303</v>
      </c>
      <c r="J57" s="100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4">
    <mergeCell ref="D3:F3"/>
    <mergeCell ref="D4:F4"/>
    <mergeCell ref="D10:D11"/>
    <mergeCell ref="E10:E11"/>
    <mergeCell ref="F10:F11"/>
    <mergeCell ref="G10:G11"/>
    <mergeCell ref="H10:H11"/>
    <mergeCell ref="I10:I11"/>
    <mergeCell ref="J10:J11"/>
    <mergeCell ref="D18:D19"/>
    <mergeCell ref="E18:E19"/>
    <mergeCell ref="F18:F19"/>
    <mergeCell ref="G18:G19"/>
    <mergeCell ref="H18:H19"/>
    <mergeCell ref="I18:I19"/>
    <mergeCell ref="J18:J19"/>
    <mergeCell ref="I27:I28"/>
    <mergeCell ref="J27:J28"/>
    <mergeCell ref="D36:D37"/>
    <mergeCell ref="E36:E37"/>
    <mergeCell ref="F36:F37"/>
    <mergeCell ref="G36:G37"/>
    <mergeCell ref="H36:H37"/>
    <mergeCell ref="I36:I37"/>
    <mergeCell ref="J36:J37"/>
    <mergeCell ref="D27:D28"/>
    <mergeCell ref="E27:E28"/>
    <mergeCell ref="F27:F28"/>
    <mergeCell ref="G27:G28"/>
    <mergeCell ref="H27:H28"/>
    <mergeCell ref="I45:I46"/>
    <mergeCell ref="J45:J46"/>
    <mergeCell ref="D54:D55"/>
    <mergeCell ref="E54:E55"/>
    <mergeCell ref="F54:F55"/>
    <mergeCell ref="G54:G55"/>
    <mergeCell ref="H54:H55"/>
    <mergeCell ref="I54:I55"/>
    <mergeCell ref="J54:J55"/>
    <mergeCell ref="D45:D46"/>
    <mergeCell ref="E45:E46"/>
    <mergeCell ref="F45:F46"/>
    <mergeCell ref="G45:G46"/>
    <mergeCell ref="H45:H46"/>
  </mergeCells>
  <phoneticPr fontId="1" type="noConversion"/>
  <conditionalFormatting sqref="D7:G10 I7:J10 D12:G18 I12:J18 D20:G27 I20:J27 D29:G36 I29:J36 D38:G45 I38:J45 D47:G54 I47:J54 D56:G57 I56:J57">
    <cfRule type="expression" dxfId="70" priority="4">
      <formula>OR($D7=$Q$7:$Q$14)</formula>
    </cfRule>
  </conditionalFormatting>
  <conditionalFormatting sqref="C7:C57">
    <cfRule type="expression" dxfId="69" priority="3">
      <formula>OR(AND($D7=0,OR($D6=$Q$7:$Q$14)),AND($D8&gt;0,OR($D7=$Q$7:$Q$14)))</formula>
    </cfRule>
  </conditionalFormatting>
  <conditionalFormatting sqref="D7:D10 D12:D18 D20:D27 D29:D36 D38:D45 D47:D54 D56:D57">
    <cfRule type="expression" dxfId="68" priority="2">
      <formula>$D7=$D8</formula>
    </cfRule>
  </conditionalFormatting>
  <conditionalFormatting sqref="H7:H10 H12:H18 H20:H27 H29:H36 H38:H45 H47:H54 H56:H57">
    <cfRule type="expression" dxfId="67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CE87-7659-4AFA-9575-51790801DEFC}">
  <sheetPr codeName="Sheet12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113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기능'!D10</f>
        <v>24.351684210526301</v>
      </c>
      <c r="I3" s="21" t="s">
        <v>117</v>
      </c>
      <c r="J3" s="58">
        <f>'통계 및 응시자 수 입력 기능'!C10</f>
        <v>28500</v>
      </c>
      <c r="K3" s="36"/>
      <c r="L3" s="20"/>
    </row>
    <row r="4" spans="1:17" s="22" customFormat="1" ht="25" customHeight="1" thickBot="1" x14ac:dyDescent="0.5">
      <c r="A4" s="20"/>
      <c r="B4" s="35"/>
      <c r="C4" s="59" t="s">
        <v>118</v>
      </c>
      <c r="D4" s="191" t="s">
        <v>149</v>
      </c>
      <c r="E4" s="192"/>
      <c r="F4" s="193"/>
      <c r="G4" s="60" t="s">
        <v>120</v>
      </c>
      <c r="H4" s="61">
        <f>'통계 및 응시자 수 입력 기능'!E10</f>
        <v>11.1043694089512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62" t="s">
        <v>121</v>
      </c>
      <c r="D6" s="63" t="s">
        <v>122</v>
      </c>
      <c r="E6" s="63" t="s">
        <v>123</v>
      </c>
      <c r="F6" s="63" t="s">
        <v>124</v>
      </c>
      <c r="G6" s="63" t="s">
        <v>125</v>
      </c>
      <c r="H6" s="63" t="s">
        <v>126</v>
      </c>
      <c r="I6" s="64" t="s">
        <v>127</v>
      </c>
      <c r="J6" s="65" t="s">
        <v>128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66">
        <v>50</v>
      </c>
      <c r="D7" s="67">
        <f>ROUND(10*(C7-$H$3)/$H$4+50,0)</f>
        <v>73</v>
      </c>
      <c r="E7" s="67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8">
        <f>ROUND(100*(1-(0+I7)/2/$J$3),2)</f>
        <v>99.59</v>
      </c>
      <c r="G7" s="69">
        <f>_xlfn.IFNA(VLOOKUP(D7,'인원 입력 기능(사과탐)'!$K$5:$N$59,4,FALSE),0)</f>
        <v>235</v>
      </c>
      <c r="H7" s="70">
        <f>G7/$J$3</f>
        <v>8.2456140350877193E-3</v>
      </c>
      <c r="I7" s="71">
        <f>G7</f>
        <v>235</v>
      </c>
      <c r="J7" s="72">
        <f>I7/$J$3</f>
        <v>8.2456140350877193E-3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기능'!C58</f>
        <v>69</v>
      </c>
    </row>
    <row r="8" spans="1:17" s="22" customFormat="1" ht="25" customHeight="1" x14ac:dyDescent="0.45">
      <c r="A8" s="20"/>
      <c r="B8" s="35"/>
      <c r="C8" s="73">
        <v>49</v>
      </c>
      <c r="D8" s="74" t="s">
        <v>59</v>
      </c>
      <c r="E8" s="74"/>
      <c r="F8" s="75"/>
      <c r="G8" s="76"/>
      <c r="H8" s="94"/>
      <c r="I8" s="78"/>
      <c r="J8" s="79"/>
      <c r="K8" s="36"/>
      <c r="L8" s="20"/>
      <c r="N8" s="24"/>
      <c r="P8" s="24">
        <v>2</v>
      </c>
      <c r="Q8" s="24">
        <f>'표점등급&amp;절평인원 입력 기능'!C59</f>
        <v>63</v>
      </c>
    </row>
    <row r="9" spans="1:17" s="22" customFormat="1" ht="25" customHeight="1" x14ac:dyDescent="0.45">
      <c r="A9" s="20"/>
      <c r="B9" s="35"/>
      <c r="C9" s="66">
        <v>48</v>
      </c>
      <c r="D9" s="67">
        <f>ROUND(10*(C9-$H$3)/$H$4+50,0)</f>
        <v>71</v>
      </c>
      <c r="E9" s="67">
        <f t="shared" si="0"/>
        <v>1</v>
      </c>
      <c r="F9" s="68">
        <f>IF(I8=0,ROUND(100*(1-(I7+I9)/2/$J$3),2),ROUND(100*(1-(I8+I9)/2/$J$3),2))</f>
        <v>98.71</v>
      </c>
      <c r="G9" s="69">
        <f>_xlfn.IFNA(VLOOKUP(D9,'인원 입력 기능(사과탐)'!$K$5:$N$59,4,FALSE),0)</f>
        <v>264</v>
      </c>
      <c r="H9" s="70">
        <f t="shared" ref="H9:H55" si="1">G9/$J$3</f>
        <v>9.2631578947368429E-3</v>
      </c>
      <c r="I9" s="80">
        <f>SUM($G$7:G9)</f>
        <v>499</v>
      </c>
      <c r="J9" s="72">
        <f>I9/$J$3</f>
        <v>1.750877192982456E-2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기능'!C60</f>
        <v>58</v>
      </c>
    </row>
    <row r="10" spans="1:17" s="22" customFormat="1" ht="25" customHeight="1" x14ac:dyDescent="0.45">
      <c r="A10" s="20"/>
      <c r="B10" s="35"/>
      <c r="C10" s="73">
        <v>47</v>
      </c>
      <c r="D10" s="67">
        <f t="shared" ref="D10:D55" si="3">ROUND(10*(C10-$H$3)/$H$4+50,0)</f>
        <v>70</v>
      </c>
      <c r="E10" s="67">
        <f t="shared" si="0"/>
        <v>1</v>
      </c>
      <c r="F10" s="68">
        <f t="shared" ref="F10:F55" si="4">IF(I9=0,ROUND(100*(1-(I8+I10)/2/$J$3),2),ROUND(100*(1-(I9+I10)/2/$J$3),2))</f>
        <v>97.94</v>
      </c>
      <c r="G10" s="69">
        <f>IF(D10=D9,"",_xlfn.IFNA(VLOOKUP(D10,'인원 입력 기능(사과탐)'!$K$5:$N$59,4,FALSE),0))</f>
        <v>179</v>
      </c>
      <c r="H10" s="70">
        <f t="shared" si="1"/>
        <v>6.2807017543859648E-3</v>
      </c>
      <c r="I10" s="80">
        <f>SUM($G$7:G10)</f>
        <v>678</v>
      </c>
      <c r="J10" s="72">
        <f t="shared" ref="J10:J55" si="5">I10/$J$3</f>
        <v>2.3789473684210527E-2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기능'!C61</f>
        <v>52</v>
      </c>
    </row>
    <row r="11" spans="1:17" s="22" customFormat="1" ht="25" customHeight="1" x14ac:dyDescent="0.45">
      <c r="A11" s="20"/>
      <c r="B11" s="35"/>
      <c r="C11" s="66">
        <v>46</v>
      </c>
      <c r="D11" s="178">
        <f t="shared" si="3"/>
        <v>69</v>
      </c>
      <c r="E11" s="178">
        <f t="shared" si="0"/>
        <v>1</v>
      </c>
      <c r="F11" s="182">
        <f t="shared" si="4"/>
        <v>96.64</v>
      </c>
      <c r="G11" s="184">
        <f>IF(D11=D10,"",_xlfn.IFNA(VLOOKUP(D11,'인원 입력 기능(사과탐)'!$K$5:$N$59,4,FALSE),0))</f>
        <v>558</v>
      </c>
      <c r="H11" s="186">
        <f t="shared" si="1"/>
        <v>1.9578947368421053E-2</v>
      </c>
      <c r="I11" s="194">
        <f>SUM($G$7:G11)</f>
        <v>1236</v>
      </c>
      <c r="J11" s="176">
        <f t="shared" si="5"/>
        <v>4.3368421052631577E-2</v>
      </c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기능'!C62</f>
        <v>46</v>
      </c>
    </row>
    <row r="12" spans="1:17" s="22" customFormat="1" ht="25" customHeight="1" x14ac:dyDescent="0.45">
      <c r="A12" s="20"/>
      <c r="B12" s="35"/>
      <c r="C12" s="73">
        <v>45</v>
      </c>
      <c r="D12" s="179"/>
      <c r="E12" s="179"/>
      <c r="F12" s="183"/>
      <c r="G12" s="185"/>
      <c r="H12" s="187"/>
      <c r="I12" s="195"/>
      <c r="J12" s="177"/>
      <c r="K12" s="36"/>
      <c r="L12" s="20" t="str">
        <f t="shared" si="2"/>
        <v>경고</v>
      </c>
      <c r="N12" s="24"/>
      <c r="P12" s="24">
        <v>6</v>
      </c>
      <c r="Q12" s="24">
        <f>'표점등급&amp;절평인원 입력 기능'!C63</f>
        <v>41</v>
      </c>
    </row>
    <row r="13" spans="1:17" s="22" customFormat="1" ht="25" customHeight="1" x14ac:dyDescent="0.45">
      <c r="A13" s="20"/>
      <c r="B13" s="35"/>
      <c r="C13" s="66">
        <v>44</v>
      </c>
      <c r="D13" s="67">
        <f t="shared" si="3"/>
        <v>68</v>
      </c>
      <c r="E13" s="67">
        <f t="shared" si="0"/>
        <v>2</v>
      </c>
      <c r="F13" s="68">
        <f t="shared" si="4"/>
        <v>95.28</v>
      </c>
      <c r="G13" s="69">
        <f>IF(D13=D12,"",_xlfn.IFNA(VLOOKUP(D13,'인원 입력 기능(사과탐)'!$K$5:$N$59,4,FALSE),0))</f>
        <v>217</v>
      </c>
      <c r="H13" s="70">
        <f t="shared" si="1"/>
        <v>7.6140350877192979E-3</v>
      </c>
      <c r="I13" s="80">
        <f>SUM($G$7:G13)</f>
        <v>1453</v>
      </c>
      <c r="J13" s="72">
        <f t="shared" si="5"/>
        <v>5.0982456140350879E-2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기능'!C64</f>
        <v>37</v>
      </c>
    </row>
    <row r="14" spans="1:17" s="22" customFormat="1" ht="25" customHeight="1" x14ac:dyDescent="0.45">
      <c r="A14" s="20"/>
      <c r="B14" s="35"/>
      <c r="C14" s="73">
        <v>43</v>
      </c>
      <c r="D14" s="67">
        <f t="shared" si="3"/>
        <v>67</v>
      </c>
      <c r="E14" s="67">
        <f t="shared" si="0"/>
        <v>2</v>
      </c>
      <c r="F14" s="68">
        <f t="shared" si="4"/>
        <v>94.24</v>
      </c>
      <c r="G14" s="69">
        <f>IF(D14=D13,"",_xlfn.IFNA(VLOOKUP(D14,'인원 입력 기능(사과탐)'!$K$5:$N$59,4,FALSE),0))</f>
        <v>380</v>
      </c>
      <c r="H14" s="70">
        <f t="shared" si="1"/>
        <v>1.3333333333333334E-2</v>
      </c>
      <c r="I14" s="80">
        <f>SUM($G$7:G14)</f>
        <v>1833</v>
      </c>
      <c r="J14" s="72">
        <f t="shared" si="5"/>
        <v>6.4315789473684215E-2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기능'!C65</f>
        <v>35</v>
      </c>
    </row>
    <row r="15" spans="1:17" s="22" customFormat="1" ht="25" customHeight="1" x14ac:dyDescent="0.45">
      <c r="A15" s="20"/>
      <c r="B15" s="35"/>
      <c r="C15" s="66">
        <v>42</v>
      </c>
      <c r="D15" s="67">
        <f t="shared" si="3"/>
        <v>66</v>
      </c>
      <c r="E15" s="67">
        <f t="shared" si="0"/>
        <v>2</v>
      </c>
      <c r="F15" s="68">
        <f t="shared" si="4"/>
        <v>92.95</v>
      </c>
      <c r="G15" s="69">
        <f>IF(D15=D14,"",_xlfn.IFNA(VLOOKUP(D15,'인원 입력 기능(사과탐)'!$K$5:$N$59,4,FALSE),0))</f>
        <v>354</v>
      </c>
      <c r="H15" s="70">
        <f t="shared" si="1"/>
        <v>1.2421052631578947E-2</v>
      </c>
      <c r="I15" s="80">
        <f>SUM($G$7:G15)</f>
        <v>2187</v>
      </c>
      <c r="J15" s="72">
        <f t="shared" si="5"/>
        <v>7.6736842105263159E-2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73">
        <v>41</v>
      </c>
      <c r="D16" s="67">
        <f t="shared" si="3"/>
        <v>65</v>
      </c>
      <c r="E16" s="67">
        <f t="shared" si="0"/>
        <v>2</v>
      </c>
      <c r="F16" s="68">
        <f t="shared" si="4"/>
        <v>91.68</v>
      </c>
      <c r="G16" s="69">
        <f>IF(D16=D15,"",_xlfn.IFNA(VLOOKUP(D16,'인원 입력 기능(사과탐)'!$K$5:$N$59,4,FALSE),0))</f>
        <v>368</v>
      </c>
      <c r="H16" s="70">
        <f t="shared" si="1"/>
        <v>1.2912280701754385E-2</v>
      </c>
      <c r="I16" s="80">
        <f>SUM($G$7:G16)</f>
        <v>2555</v>
      </c>
      <c r="J16" s="72">
        <f t="shared" si="5"/>
        <v>8.9649122807017548E-2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66">
        <v>40</v>
      </c>
      <c r="D17" s="67">
        <f t="shared" si="3"/>
        <v>64</v>
      </c>
      <c r="E17" s="67">
        <f t="shared" si="0"/>
        <v>2</v>
      </c>
      <c r="F17" s="68">
        <f t="shared" si="4"/>
        <v>90.14</v>
      </c>
      <c r="G17" s="69">
        <f>IF(D17=D16,"",_xlfn.IFNA(VLOOKUP(D17,'인원 입력 기능(사과탐)'!$K$5:$N$59,4,FALSE),0))</f>
        <v>513</v>
      </c>
      <c r="H17" s="70">
        <f t="shared" si="1"/>
        <v>1.7999999999999999E-2</v>
      </c>
      <c r="I17" s="80">
        <f>SUM($G$7:G17)</f>
        <v>3068</v>
      </c>
      <c r="J17" s="72">
        <f t="shared" si="5"/>
        <v>0.10764912280701755</v>
      </c>
      <c r="K17" s="36"/>
      <c r="L17" s="20" t="str">
        <f t="shared" si="2"/>
        <v/>
      </c>
      <c r="N17" s="24"/>
      <c r="Q17" s="24">
        <f>Q7*H3*H4*J3*IFERROR(IF(J57=1, 1, 0), 0)</f>
        <v>531761456.15128887</v>
      </c>
    </row>
    <row r="18" spans="1:17" s="22" customFormat="1" ht="25" customHeight="1" x14ac:dyDescent="0.45">
      <c r="A18" s="20"/>
      <c r="B18" s="35"/>
      <c r="C18" s="73">
        <v>39</v>
      </c>
      <c r="D18" s="67">
        <f t="shared" si="3"/>
        <v>63</v>
      </c>
      <c r="E18" s="67">
        <f t="shared" si="0"/>
        <v>2</v>
      </c>
      <c r="F18" s="68">
        <f t="shared" si="4"/>
        <v>88.53</v>
      </c>
      <c r="G18" s="69">
        <f>IF(D18=D17,"",_xlfn.IFNA(VLOOKUP(D18,'인원 입력 기능(사과탐)'!$K$5:$N$59,4,FALSE),0))</f>
        <v>403</v>
      </c>
      <c r="H18" s="70">
        <f t="shared" si="1"/>
        <v>1.4140350877192983E-2</v>
      </c>
      <c r="I18" s="80">
        <f>SUM($G$7:G18)</f>
        <v>3471</v>
      </c>
      <c r="J18" s="72">
        <f t="shared" si="5"/>
        <v>0.12178947368421053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66">
        <v>38</v>
      </c>
      <c r="D19" s="67">
        <f t="shared" si="3"/>
        <v>62</v>
      </c>
      <c r="E19" s="67">
        <f t="shared" si="0"/>
        <v>3</v>
      </c>
      <c r="F19" s="68">
        <f t="shared" si="4"/>
        <v>86.86</v>
      </c>
      <c r="G19" s="69">
        <f>IF(D19=D18,"",_xlfn.IFNA(VLOOKUP(D19,'인원 입력 기능(사과탐)'!$K$5:$N$59,4,FALSE),0))</f>
        <v>545</v>
      </c>
      <c r="H19" s="70">
        <f t="shared" si="1"/>
        <v>1.9122807017543861E-2</v>
      </c>
      <c r="I19" s="80">
        <f>SUM($G$7:G19)</f>
        <v>4016</v>
      </c>
      <c r="J19" s="72">
        <f t="shared" si="5"/>
        <v>0.14091228070175438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73">
        <v>37</v>
      </c>
      <c r="D20" s="67">
        <f t="shared" si="3"/>
        <v>61</v>
      </c>
      <c r="E20" s="67">
        <f t="shared" si="0"/>
        <v>3</v>
      </c>
      <c r="F20" s="68">
        <f t="shared" si="4"/>
        <v>84.85</v>
      </c>
      <c r="G20" s="69">
        <f>IF(D20=D19,"",_xlfn.IFNA(VLOOKUP(D20,'인원 입력 기능(사과탐)'!$K$5:$N$59,4,FALSE),0))</f>
        <v>602</v>
      </c>
      <c r="H20" s="70">
        <f t="shared" si="1"/>
        <v>2.1122807017543859E-2</v>
      </c>
      <c r="I20" s="80">
        <f>SUM($G$7:G20)</f>
        <v>4618</v>
      </c>
      <c r="J20" s="72">
        <f t="shared" si="5"/>
        <v>0.16203508771929825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95">
        <v>36</v>
      </c>
      <c r="D21" s="180">
        <f t="shared" si="3"/>
        <v>60</v>
      </c>
      <c r="E21" s="180">
        <f t="shared" si="0"/>
        <v>3</v>
      </c>
      <c r="F21" s="182">
        <f t="shared" si="4"/>
        <v>81.569999999999993</v>
      </c>
      <c r="G21" s="184">
        <f>IF(D21=D20,"",_xlfn.IFNA(VLOOKUP(D21,'인원 입력 기능(사과탐)'!$K$5:$N$59,4,FALSE),0))</f>
        <v>1268</v>
      </c>
      <c r="H21" s="186">
        <f t="shared" si="1"/>
        <v>4.4491228070175436E-2</v>
      </c>
      <c r="I21" s="194">
        <f>SUM($G$7:G21)</f>
        <v>5886</v>
      </c>
      <c r="J21" s="176">
        <f t="shared" si="5"/>
        <v>0.2065263157894737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81">
        <v>35</v>
      </c>
      <c r="D22" s="181"/>
      <c r="E22" s="181"/>
      <c r="F22" s="183"/>
      <c r="G22" s="185"/>
      <c r="H22" s="187"/>
      <c r="I22" s="195"/>
      <c r="J22" s="177"/>
      <c r="K22" s="36"/>
      <c r="L22" s="20" t="str">
        <f t="shared" si="2"/>
        <v>경고</v>
      </c>
      <c r="N22" s="24"/>
    </row>
    <row r="23" spans="1:17" s="22" customFormat="1" ht="25" customHeight="1" x14ac:dyDescent="0.45">
      <c r="A23" s="20"/>
      <c r="B23" s="35"/>
      <c r="C23" s="95">
        <v>34</v>
      </c>
      <c r="D23" s="82">
        <f t="shared" si="3"/>
        <v>59</v>
      </c>
      <c r="E23" s="82">
        <f t="shared" si="0"/>
        <v>3</v>
      </c>
      <c r="F23" s="68">
        <f t="shared" si="4"/>
        <v>78.23</v>
      </c>
      <c r="G23" s="69">
        <f>IF(D23=D22,"",_xlfn.IFNA(VLOOKUP(D23,'인원 입력 기능(사과탐)'!$K$5:$N$59,4,FALSE),0))</f>
        <v>639</v>
      </c>
      <c r="H23" s="70">
        <f t="shared" si="1"/>
        <v>2.2421052631578946E-2</v>
      </c>
      <c r="I23" s="80">
        <f>SUM($G$7:G23)</f>
        <v>6525</v>
      </c>
      <c r="J23" s="72">
        <f t="shared" si="5"/>
        <v>0.22894736842105262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81">
        <v>33</v>
      </c>
      <c r="D24" s="82">
        <f t="shared" si="3"/>
        <v>58</v>
      </c>
      <c r="E24" s="82">
        <f t="shared" si="0"/>
        <v>3</v>
      </c>
      <c r="F24" s="68">
        <f t="shared" si="4"/>
        <v>75.87</v>
      </c>
      <c r="G24" s="69">
        <f>IF(D24=D23,"",_xlfn.IFNA(VLOOKUP(D24,'인원 입력 기능(사과탐)'!$K$5:$N$59,4,FALSE),0))</f>
        <v>702</v>
      </c>
      <c r="H24" s="70">
        <f t="shared" si="1"/>
        <v>2.4631578947368421E-2</v>
      </c>
      <c r="I24" s="80">
        <f>SUM($G$7:G24)</f>
        <v>7227</v>
      </c>
      <c r="J24" s="72">
        <f t="shared" si="5"/>
        <v>0.25357894736842107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95">
        <v>32</v>
      </c>
      <c r="D25" s="82">
        <f t="shared" si="3"/>
        <v>57</v>
      </c>
      <c r="E25" s="82">
        <f t="shared" si="0"/>
        <v>4</v>
      </c>
      <c r="F25" s="68">
        <f t="shared" si="4"/>
        <v>73.31</v>
      </c>
      <c r="G25" s="69">
        <f>IF(D25=D24,"",_xlfn.IFNA(VLOOKUP(D25,'인원 입력 기능(사과탐)'!$K$5:$N$59,4,FALSE),0))</f>
        <v>760</v>
      </c>
      <c r="H25" s="70">
        <f t="shared" si="1"/>
        <v>2.6666666666666668E-2</v>
      </c>
      <c r="I25" s="80">
        <f>SUM($G$7:G25)</f>
        <v>7987</v>
      </c>
      <c r="J25" s="72">
        <f t="shared" si="5"/>
        <v>0.28024561403508774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81">
        <v>31</v>
      </c>
      <c r="D26" s="82">
        <f t="shared" si="3"/>
        <v>56</v>
      </c>
      <c r="E26" s="82">
        <f t="shared" si="0"/>
        <v>4</v>
      </c>
      <c r="F26" s="68">
        <f t="shared" si="4"/>
        <v>70.8</v>
      </c>
      <c r="G26" s="69">
        <f>IF(D26=D25,"",_xlfn.IFNA(VLOOKUP(D26,'인원 입력 기능(사과탐)'!$K$5:$N$59,4,FALSE),0))</f>
        <v>672</v>
      </c>
      <c r="H26" s="70">
        <f t="shared" si="1"/>
        <v>2.3578947368421053E-2</v>
      </c>
      <c r="I26" s="80">
        <f>SUM($G$7:G26)</f>
        <v>8659</v>
      </c>
      <c r="J26" s="72">
        <f t="shared" si="5"/>
        <v>0.30382456140350877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95">
        <v>30</v>
      </c>
      <c r="D27" s="82">
        <f t="shared" si="3"/>
        <v>55</v>
      </c>
      <c r="E27" s="82">
        <f t="shared" si="0"/>
        <v>4</v>
      </c>
      <c r="F27" s="68">
        <f t="shared" si="4"/>
        <v>68.13</v>
      </c>
      <c r="G27" s="69">
        <f>IF(D27=D26,"",_xlfn.IFNA(VLOOKUP(D27,'인원 입력 기능(사과탐)'!$K$5:$N$59,4,FALSE),0))</f>
        <v>847</v>
      </c>
      <c r="H27" s="70">
        <f t="shared" si="1"/>
        <v>2.9719298245614034E-2</v>
      </c>
      <c r="I27" s="80">
        <f>SUM($G$7:G27)</f>
        <v>9506</v>
      </c>
      <c r="J27" s="72">
        <f t="shared" si="5"/>
        <v>0.33354385964912281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81">
        <v>29</v>
      </c>
      <c r="D28" s="82">
        <f t="shared" si="3"/>
        <v>54</v>
      </c>
      <c r="E28" s="82">
        <f t="shared" si="0"/>
        <v>4</v>
      </c>
      <c r="F28" s="68">
        <f t="shared" si="4"/>
        <v>65.239999999999995</v>
      </c>
      <c r="G28" s="69">
        <f>IF(D28=D27,"",_xlfn.IFNA(VLOOKUP(D28,'인원 입력 기능(사과탐)'!$K$5:$N$59,4,FALSE),0))</f>
        <v>799</v>
      </c>
      <c r="H28" s="70">
        <f t="shared" si="1"/>
        <v>2.8035087719298246E-2</v>
      </c>
      <c r="I28" s="80">
        <f>SUM($G$7:G28)</f>
        <v>10305</v>
      </c>
      <c r="J28" s="72">
        <f t="shared" si="5"/>
        <v>0.36157894736842106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95">
        <v>28</v>
      </c>
      <c r="D29" s="82">
        <f t="shared" si="3"/>
        <v>53</v>
      </c>
      <c r="E29" s="82">
        <f t="shared" si="0"/>
        <v>4</v>
      </c>
      <c r="F29" s="68">
        <f t="shared" si="4"/>
        <v>62.44</v>
      </c>
      <c r="G29" s="69">
        <f>IF(D29=D28,"",_xlfn.IFNA(VLOOKUP(D29,'인원 입력 기능(사과탐)'!$K$5:$N$59,4,FALSE),0))</f>
        <v>797</v>
      </c>
      <c r="H29" s="70">
        <f t="shared" si="1"/>
        <v>2.7964912280701755E-2</v>
      </c>
      <c r="I29" s="80">
        <f>SUM($G$7:G29)</f>
        <v>11102</v>
      </c>
      <c r="J29" s="72">
        <f t="shared" si="5"/>
        <v>0.3895438596491228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81">
        <v>27</v>
      </c>
      <c r="D30" s="82">
        <f t="shared" si="3"/>
        <v>52</v>
      </c>
      <c r="E30" s="82">
        <f t="shared" si="0"/>
        <v>4</v>
      </c>
      <c r="F30" s="68">
        <f t="shared" si="4"/>
        <v>59.54</v>
      </c>
      <c r="G30" s="69">
        <f>IF(D30=D29,"",_xlfn.IFNA(VLOOKUP(D30,'인원 입력 기능(사과탐)'!$K$5:$N$59,4,FALSE),0))</f>
        <v>856</v>
      </c>
      <c r="H30" s="70">
        <f t="shared" si="1"/>
        <v>3.0035087719298244E-2</v>
      </c>
      <c r="I30" s="80">
        <f>SUM($G$7:G30)</f>
        <v>11958</v>
      </c>
      <c r="J30" s="72">
        <f t="shared" si="5"/>
        <v>0.41957894736842105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95">
        <v>26</v>
      </c>
      <c r="D31" s="180">
        <f t="shared" si="3"/>
        <v>51</v>
      </c>
      <c r="E31" s="180">
        <f t="shared" si="0"/>
        <v>5</v>
      </c>
      <c r="F31" s="182">
        <f t="shared" si="4"/>
        <v>55.03</v>
      </c>
      <c r="G31" s="184">
        <f>IF(D31=D30,"",_xlfn.IFNA(VLOOKUP(D31,'인원 입력 기능(사과탐)'!$K$5:$N$59,4,FALSE),0))</f>
        <v>1718</v>
      </c>
      <c r="H31" s="186">
        <f t="shared" si="1"/>
        <v>6.0280701754385962E-2</v>
      </c>
      <c r="I31" s="194">
        <f>SUM($G$7:G31)</f>
        <v>13676</v>
      </c>
      <c r="J31" s="176">
        <f t="shared" si="5"/>
        <v>0.47985964912280704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81">
        <v>25</v>
      </c>
      <c r="D32" s="181"/>
      <c r="E32" s="181"/>
      <c r="F32" s="183"/>
      <c r="G32" s="185"/>
      <c r="H32" s="187"/>
      <c r="I32" s="195"/>
      <c r="J32" s="177"/>
      <c r="K32" s="36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5"/>
      <c r="C33" s="95">
        <v>24</v>
      </c>
      <c r="D33" s="82">
        <f t="shared" si="3"/>
        <v>50</v>
      </c>
      <c r="E33" s="82">
        <f t="shared" si="0"/>
        <v>5</v>
      </c>
      <c r="F33" s="68">
        <f t="shared" si="4"/>
        <v>50.49</v>
      </c>
      <c r="G33" s="69">
        <f>IF(D33=D32,"",_xlfn.IFNA(VLOOKUP(D33,'인원 입력 기능(사과탐)'!$K$5:$N$59,4,FALSE),0))</f>
        <v>871</v>
      </c>
      <c r="H33" s="70">
        <f t="shared" si="1"/>
        <v>3.0561403508771928E-2</v>
      </c>
      <c r="I33" s="80">
        <f>SUM($G$7:G33)</f>
        <v>14547</v>
      </c>
      <c r="J33" s="72">
        <f t="shared" si="5"/>
        <v>0.510421052631579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81">
        <v>23</v>
      </c>
      <c r="D34" s="82">
        <f t="shared" si="3"/>
        <v>49</v>
      </c>
      <c r="E34" s="82">
        <f t="shared" si="0"/>
        <v>5</v>
      </c>
      <c r="F34" s="68">
        <f t="shared" si="4"/>
        <v>47.48</v>
      </c>
      <c r="G34" s="69">
        <f>IF(D34=D33,"",_xlfn.IFNA(VLOOKUP(D34,'인원 입력 기능(사과탐)'!$K$5:$N$59,4,FALSE),0))</f>
        <v>844</v>
      </c>
      <c r="H34" s="70">
        <f t="shared" si="1"/>
        <v>2.9614035087719297E-2</v>
      </c>
      <c r="I34" s="80">
        <f>SUM($G$7:G34)</f>
        <v>15391</v>
      </c>
      <c r="J34" s="72">
        <f t="shared" si="5"/>
        <v>0.5400350877192982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95">
        <v>22</v>
      </c>
      <c r="D35" s="82">
        <f t="shared" si="3"/>
        <v>48</v>
      </c>
      <c r="E35" s="82">
        <f t="shared" si="0"/>
        <v>5</v>
      </c>
      <c r="F35" s="68">
        <f t="shared" si="4"/>
        <v>44.55</v>
      </c>
      <c r="G35" s="69">
        <f>IF(D35=D34,"",_xlfn.IFNA(VLOOKUP(D35,'인원 입력 기능(사과탐)'!$K$5:$N$59,4,FALSE),0))</f>
        <v>823</v>
      </c>
      <c r="H35" s="70">
        <f t="shared" si="1"/>
        <v>2.887719298245614E-2</v>
      </c>
      <c r="I35" s="80">
        <f>SUM($G$7:G35)</f>
        <v>16214</v>
      </c>
      <c r="J35" s="72">
        <f t="shared" si="5"/>
        <v>0.56891228070175437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81">
        <v>21</v>
      </c>
      <c r="D36" s="82">
        <f t="shared" si="3"/>
        <v>47</v>
      </c>
      <c r="E36" s="82">
        <f t="shared" si="0"/>
        <v>5</v>
      </c>
      <c r="F36" s="68">
        <f t="shared" si="4"/>
        <v>41.73</v>
      </c>
      <c r="G36" s="69">
        <f>IF(D36=D35,"",_xlfn.IFNA(VLOOKUP(D36,'인원 입력 기능(사과탐)'!$K$5:$N$59,4,FALSE),0))</f>
        <v>787</v>
      </c>
      <c r="H36" s="70">
        <f t="shared" si="1"/>
        <v>2.7614035087719299E-2</v>
      </c>
      <c r="I36" s="80">
        <f>SUM($G$7:G36)</f>
        <v>17001</v>
      </c>
      <c r="J36" s="72">
        <f t="shared" si="5"/>
        <v>0.59652631578947368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95">
        <v>20</v>
      </c>
      <c r="D37" s="82">
        <f t="shared" si="3"/>
        <v>46</v>
      </c>
      <c r="E37" s="82">
        <f t="shared" si="0"/>
        <v>5</v>
      </c>
      <c r="F37" s="68">
        <f t="shared" si="4"/>
        <v>38.79</v>
      </c>
      <c r="G37" s="69">
        <f>IF(D37=D36,"",_xlfn.IFNA(VLOOKUP(D37,'인원 입력 기능(사과탐)'!$K$5:$N$59,4,FALSE),0))</f>
        <v>886</v>
      </c>
      <c r="H37" s="70">
        <f t="shared" si="1"/>
        <v>3.1087719298245615E-2</v>
      </c>
      <c r="I37" s="80">
        <f>SUM($G$7:G37)</f>
        <v>17887</v>
      </c>
      <c r="J37" s="72">
        <f t="shared" si="5"/>
        <v>0.62761403508771929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81">
        <v>19</v>
      </c>
      <c r="D38" s="82">
        <f t="shared" si="3"/>
        <v>45</v>
      </c>
      <c r="E38" s="82">
        <f t="shared" si="0"/>
        <v>6</v>
      </c>
      <c r="F38" s="68">
        <f t="shared" si="4"/>
        <v>35.880000000000003</v>
      </c>
      <c r="G38" s="69">
        <f>IF(D38=D37,"",_xlfn.IFNA(VLOOKUP(D38,'인원 입력 기능(사과탐)'!$K$5:$N$59,4,FALSE),0))</f>
        <v>773</v>
      </c>
      <c r="H38" s="70">
        <f t="shared" si="1"/>
        <v>2.7122807017543861E-2</v>
      </c>
      <c r="I38" s="80">
        <f>SUM($G$7:G38)</f>
        <v>18660</v>
      </c>
      <c r="J38" s="72">
        <f t="shared" si="5"/>
        <v>0.65473684210526317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95">
        <v>18</v>
      </c>
      <c r="D39" s="82">
        <f t="shared" si="3"/>
        <v>44</v>
      </c>
      <c r="E39" s="82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8">
        <f t="shared" si="4"/>
        <v>33.15</v>
      </c>
      <c r="G39" s="69">
        <f>IF(D39=D38,"",_xlfn.IFNA(VLOOKUP(D39,'인원 입력 기능(사과탐)'!$K$5:$N$59,4,FALSE),0))</f>
        <v>783</v>
      </c>
      <c r="H39" s="70">
        <f t="shared" si="1"/>
        <v>2.7473684210526317E-2</v>
      </c>
      <c r="I39" s="80">
        <f>SUM($G$7:G39)</f>
        <v>19443</v>
      </c>
      <c r="J39" s="72">
        <f t="shared" si="5"/>
        <v>0.68221052631578949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81">
        <v>17</v>
      </c>
      <c r="D40" s="82">
        <f t="shared" si="3"/>
        <v>43</v>
      </c>
      <c r="E40" s="82">
        <f t="shared" si="6"/>
        <v>6</v>
      </c>
      <c r="F40" s="68">
        <f t="shared" si="4"/>
        <v>30.4</v>
      </c>
      <c r="G40" s="69">
        <f>IF(D40=D39,"",_xlfn.IFNA(VLOOKUP(D40,'인원 입력 기능(사과탐)'!$K$5:$N$59,4,FALSE),0))</f>
        <v>785</v>
      </c>
      <c r="H40" s="70">
        <f t="shared" si="1"/>
        <v>2.7543859649122808E-2</v>
      </c>
      <c r="I40" s="80">
        <f>SUM($G$7:G40)</f>
        <v>20228</v>
      </c>
      <c r="J40" s="72">
        <f t="shared" si="5"/>
        <v>0.70975438596491225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95">
        <v>16</v>
      </c>
      <c r="D41" s="180">
        <f t="shared" si="3"/>
        <v>42</v>
      </c>
      <c r="E41" s="180">
        <f t="shared" si="6"/>
        <v>6</v>
      </c>
      <c r="F41" s="182">
        <f t="shared" si="4"/>
        <v>26.37</v>
      </c>
      <c r="G41" s="184">
        <f>IF(D41=D40,"",_xlfn.IFNA(VLOOKUP(D41,'인원 입력 기능(사과탐)'!$K$5:$N$59,4,FALSE),0))</f>
        <v>1514</v>
      </c>
      <c r="H41" s="186">
        <f t="shared" si="1"/>
        <v>5.3122807017543856E-2</v>
      </c>
      <c r="I41" s="194">
        <f>SUM($G$7:G41)</f>
        <v>21742</v>
      </c>
      <c r="J41" s="176">
        <f t="shared" si="5"/>
        <v>0.76287719298245615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81">
        <v>15</v>
      </c>
      <c r="D42" s="181"/>
      <c r="E42" s="181"/>
      <c r="F42" s="183"/>
      <c r="G42" s="185"/>
      <c r="H42" s="187"/>
      <c r="I42" s="195"/>
      <c r="J42" s="177"/>
      <c r="K42" s="36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5"/>
      <c r="C43" s="95">
        <v>14</v>
      </c>
      <c r="D43" s="82">
        <f t="shared" si="3"/>
        <v>41</v>
      </c>
      <c r="E43" s="82">
        <f t="shared" si="6"/>
        <v>6</v>
      </c>
      <c r="F43" s="68">
        <f t="shared" si="4"/>
        <v>22.6</v>
      </c>
      <c r="G43" s="69">
        <f>IF(D43=D42,"",_xlfn.IFNA(VLOOKUP(D43,'인원 입력 기능(사과탐)'!$K$5:$N$59,4,FALSE),0))</f>
        <v>633</v>
      </c>
      <c r="H43" s="70">
        <f t="shared" si="1"/>
        <v>2.2210526315789472E-2</v>
      </c>
      <c r="I43" s="80">
        <f>SUM($G$7:G43)</f>
        <v>22375</v>
      </c>
      <c r="J43" s="72">
        <f t="shared" si="5"/>
        <v>0.78508771929824561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81">
        <v>13</v>
      </c>
      <c r="D44" s="82">
        <f t="shared" si="3"/>
        <v>40</v>
      </c>
      <c r="E44" s="82">
        <f t="shared" si="6"/>
        <v>7</v>
      </c>
      <c r="F44" s="68">
        <f t="shared" si="4"/>
        <v>19.34</v>
      </c>
      <c r="G44" s="69">
        <f>IF(D44=D43,"",_xlfn.IFNA(VLOOKUP(D44,'인원 입력 기능(사과탐)'!$K$5:$N$59,4,FALSE),0))</f>
        <v>1225</v>
      </c>
      <c r="H44" s="70">
        <f t="shared" si="1"/>
        <v>4.2982456140350879E-2</v>
      </c>
      <c r="I44" s="80">
        <f>SUM($G$7:G44)</f>
        <v>23600</v>
      </c>
      <c r="J44" s="72">
        <f t="shared" si="5"/>
        <v>0.82807017543859651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95">
        <v>12</v>
      </c>
      <c r="D45" s="82">
        <f t="shared" si="3"/>
        <v>39</v>
      </c>
      <c r="E45" s="82">
        <f t="shared" si="6"/>
        <v>7</v>
      </c>
      <c r="F45" s="68">
        <f t="shared" si="4"/>
        <v>15.65</v>
      </c>
      <c r="G45" s="69">
        <f>IF(D45=D44,"",_xlfn.IFNA(VLOOKUP(D45,'인원 입력 기능(사과탐)'!$K$5:$N$59,4,FALSE),0))</f>
        <v>877</v>
      </c>
      <c r="H45" s="70">
        <f t="shared" si="1"/>
        <v>3.0771929824561405E-2</v>
      </c>
      <c r="I45" s="80">
        <f>SUM($G$7:G45)</f>
        <v>24477</v>
      </c>
      <c r="J45" s="72">
        <f t="shared" si="5"/>
        <v>0.85884210526315785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81">
        <v>11</v>
      </c>
      <c r="D46" s="82">
        <f t="shared" si="3"/>
        <v>38</v>
      </c>
      <c r="E46" s="82">
        <f t="shared" si="6"/>
        <v>7</v>
      </c>
      <c r="F46" s="68">
        <f t="shared" si="4"/>
        <v>13.28</v>
      </c>
      <c r="G46" s="69">
        <f>IF(D46=D45,"",_xlfn.IFNA(VLOOKUP(D46,'인원 입력 기능(사과탐)'!$K$5:$N$59,4,FALSE),0))</f>
        <v>475</v>
      </c>
      <c r="H46" s="70">
        <f t="shared" si="1"/>
        <v>1.6666666666666666E-2</v>
      </c>
      <c r="I46" s="80">
        <f>SUM($G$7:G46)</f>
        <v>24952</v>
      </c>
      <c r="J46" s="72">
        <f t="shared" si="5"/>
        <v>0.87550877192982457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95">
        <v>10</v>
      </c>
      <c r="D47" s="82">
        <f t="shared" si="3"/>
        <v>37</v>
      </c>
      <c r="E47" s="82">
        <f t="shared" si="6"/>
        <v>7</v>
      </c>
      <c r="F47" s="68">
        <f t="shared" si="4"/>
        <v>9.3800000000000008</v>
      </c>
      <c r="G47" s="69">
        <f>IF(D47=D46,"",_xlfn.IFNA(VLOOKUP(D47,'인원 입력 기능(사과탐)'!$K$5:$N$59,4,FALSE),0))</f>
        <v>1749</v>
      </c>
      <c r="H47" s="70">
        <f t="shared" si="1"/>
        <v>6.1368421052631579E-2</v>
      </c>
      <c r="I47" s="80">
        <f>SUM($G$7:G47)</f>
        <v>26701</v>
      </c>
      <c r="J47" s="72">
        <f t="shared" si="5"/>
        <v>0.93687719298245609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81">
        <v>9</v>
      </c>
      <c r="D48" s="82">
        <f t="shared" si="3"/>
        <v>36</v>
      </c>
      <c r="E48" s="82">
        <f t="shared" si="6"/>
        <v>8</v>
      </c>
      <c r="F48" s="68">
        <f t="shared" si="4"/>
        <v>5.73</v>
      </c>
      <c r="G48" s="69">
        <f>IF(D48=D47,"",_xlfn.IFNA(VLOOKUP(D48,'인원 입력 기능(사과탐)'!$K$5:$N$59,4,FALSE),0))</f>
        <v>334</v>
      </c>
      <c r="H48" s="70">
        <f t="shared" si="1"/>
        <v>1.1719298245614036E-2</v>
      </c>
      <c r="I48" s="80">
        <f>SUM($G$7:G48)</f>
        <v>27035</v>
      </c>
      <c r="J48" s="72">
        <f t="shared" si="5"/>
        <v>0.94859649122807022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95">
        <v>8</v>
      </c>
      <c r="D49" s="82">
        <f t="shared" si="3"/>
        <v>35</v>
      </c>
      <c r="E49" s="82">
        <f t="shared" si="6"/>
        <v>8</v>
      </c>
      <c r="F49" s="68">
        <f t="shared" si="4"/>
        <v>4.3</v>
      </c>
      <c r="G49" s="69">
        <f>IF(D49=D48,"",_xlfn.IFNA(VLOOKUP(D49,'인원 입력 기능(사과탐)'!$K$5:$N$59,4,FALSE),0))</f>
        <v>477</v>
      </c>
      <c r="H49" s="70">
        <f t="shared" si="1"/>
        <v>1.6736842105263158E-2</v>
      </c>
      <c r="I49" s="80">
        <f>SUM($G$7:G49)</f>
        <v>27512</v>
      </c>
      <c r="J49" s="72">
        <f t="shared" si="5"/>
        <v>0.96533333333333338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81">
        <v>7</v>
      </c>
      <c r="D50" s="82">
        <f t="shared" si="3"/>
        <v>34</v>
      </c>
      <c r="E50" s="82">
        <f t="shared" si="6"/>
        <v>9</v>
      </c>
      <c r="F50" s="68">
        <f t="shared" si="4"/>
        <v>2.79</v>
      </c>
      <c r="G50" s="69">
        <f>IF(D50=D49,"",_xlfn.IFNA(VLOOKUP(D50,'인원 입력 기능(사과탐)'!$K$5:$N$59,4,FALSE),0))</f>
        <v>386</v>
      </c>
      <c r="H50" s="70">
        <f t="shared" si="1"/>
        <v>1.3543859649122808E-2</v>
      </c>
      <c r="I50" s="80">
        <f>SUM($G$7:G50)</f>
        <v>27898</v>
      </c>
      <c r="J50" s="72">
        <f t="shared" si="5"/>
        <v>0.97887719298245612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95">
        <v>6</v>
      </c>
      <c r="D51" s="180">
        <f t="shared" si="3"/>
        <v>33</v>
      </c>
      <c r="E51" s="180">
        <f t="shared" si="6"/>
        <v>9</v>
      </c>
      <c r="F51" s="182">
        <f t="shared" si="4"/>
        <v>1.55</v>
      </c>
      <c r="G51" s="184">
        <f>IF(D51=D50,"",_xlfn.IFNA(VLOOKUP(D51,'인원 입력 기능(사과탐)'!$K$5:$N$59,4,FALSE),0))</f>
        <v>321</v>
      </c>
      <c r="H51" s="186">
        <f t="shared" si="1"/>
        <v>1.1263157894736841E-2</v>
      </c>
      <c r="I51" s="194">
        <f>SUM($G$7:G51)</f>
        <v>28219</v>
      </c>
      <c r="J51" s="176">
        <f t="shared" si="5"/>
        <v>0.99014035087719299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81">
        <v>5</v>
      </c>
      <c r="D52" s="181"/>
      <c r="E52" s="181"/>
      <c r="F52" s="183"/>
      <c r="G52" s="185"/>
      <c r="H52" s="187"/>
      <c r="I52" s="195"/>
      <c r="J52" s="177"/>
      <c r="K52" s="36"/>
      <c r="L52" s="20" t="str">
        <f t="shared" si="2"/>
        <v>경고</v>
      </c>
      <c r="N52" s="24"/>
    </row>
    <row r="53" spans="1:14" s="22" customFormat="1" ht="25" customHeight="1" x14ac:dyDescent="0.45">
      <c r="A53" s="20"/>
      <c r="B53" s="35"/>
      <c r="C53" s="66">
        <v>4</v>
      </c>
      <c r="D53" s="67">
        <f t="shared" si="3"/>
        <v>32</v>
      </c>
      <c r="E53" s="67">
        <f t="shared" si="6"/>
        <v>9</v>
      </c>
      <c r="F53" s="68">
        <f t="shared" si="4"/>
        <v>0.87</v>
      </c>
      <c r="G53" s="69">
        <f>IF(D53=D52,"",_xlfn.IFNA(VLOOKUP(D53,'인원 입력 기능(사과탐)'!$K$5:$N$59,4,FALSE),0))</f>
        <v>65</v>
      </c>
      <c r="H53" s="70">
        <f t="shared" si="1"/>
        <v>2.2807017543859647E-3</v>
      </c>
      <c r="I53" s="80">
        <f>SUM($G$7:G53)</f>
        <v>28284</v>
      </c>
      <c r="J53" s="72">
        <f t="shared" si="5"/>
        <v>0.99242105263157898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73">
        <v>3</v>
      </c>
      <c r="D54" s="67">
        <f t="shared" si="3"/>
        <v>31</v>
      </c>
      <c r="E54" s="67">
        <f t="shared" si="6"/>
        <v>9</v>
      </c>
      <c r="F54" s="68">
        <f t="shared" si="4"/>
        <v>0.64</v>
      </c>
      <c r="G54" s="69">
        <f>IF(D54=D53,"",_xlfn.IFNA(VLOOKUP(D54,'인원 입력 기능(사과탐)'!$K$5:$N$59,4,FALSE),0))</f>
        <v>68</v>
      </c>
      <c r="H54" s="70">
        <f t="shared" si="1"/>
        <v>2.3859649122807019E-3</v>
      </c>
      <c r="I54" s="80">
        <f>SUM($G$7:G54)</f>
        <v>28352</v>
      </c>
      <c r="J54" s="72">
        <f t="shared" si="5"/>
        <v>0.9948070175438597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66">
        <v>2</v>
      </c>
      <c r="D55" s="67">
        <f t="shared" si="3"/>
        <v>30</v>
      </c>
      <c r="E55" s="67">
        <f t="shared" si="6"/>
        <v>9</v>
      </c>
      <c r="F55" s="68">
        <f t="shared" si="4"/>
        <v>0.41</v>
      </c>
      <c r="G55" s="69">
        <f>IF(D55=D54,"",_xlfn.IFNA(VLOOKUP(D55,'인원 입력 기능(사과탐)'!$K$5:$N$59,4,FALSE),0))</f>
        <v>62</v>
      </c>
      <c r="H55" s="70">
        <f t="shared" si="1"/>
        <v>2.175438596491228E-3</v>
      </c>
      <c r="I55" s="80">
        <f>SUM($G$7:G55)</f>
        <v>28414</v>
      </c>
      <c r="J55" s="72">
        <f t="shared" si="5"/>
        <v>0.99698245614035086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73">
        <v>1</v>
      </c>
      <c r="D56" s="74" t="s">
        <v>59</v>
      </c>
      <c r="E56" s="74"/>
      <c r="F56" s="75"/>
      <c r="G56" s="96"/>
      <c r="H56" s="94"/>
      <c r="I56" s="84"/>
      <c r="J56" s="79"/>
      <c r="K56" s="36"/>
      <c r="L56" s="20"/>
      <c r="N56" s="24"/>
    </row>
    <row r="57" spans="1:14" s="22" customFormat="1" ht="25" customHeight="1" thickBot="1" x14ac:dyDescent="0.5">
      <c r="A57" s="20"/>
      <c r="B57" s="35"/>
      <c r="C57" s="97">
        <v>0</v>
      </c>
      <c r="D57" s="86">
        <f>ROUND(10*(C57-$H$3)/$H$4+50,0)</f>
        <v>28</v>
      </c>
      <c r="E57" s="98">
        <f t="shared" si="6"/>
        <v>9</v>
      </c>
      <c r="F57" s="87">
        <f>IF(I55=0,ROUND(100*(1-(I54+I57)/2/$J$3),2),ROUND(100*(1-(I55+I57)/2/$J$3),2))</f>
        <v>0.15</v>
      </c>
      <c r="G57" s="99">
        <f>_xlfn.IFNA(VLOOKUP(D57,'인원 입력 기능(사과탐)'!$K$5:$N$59,4,FALSE),0)</f>
        <v>86</v>
      </c>
      <c r="H57" s="89">
        <f>G57/$J$3</f>
        <v>3.0175438596491229E-3</v>
      </c>
      <c r="I57" s="90">
        <f>SUM($G$7:G57)</f>
        <v>28500</v>
      </c>
      <c r="J57" s="100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7">
    <mergeCell ref="D3:F3"/>
    <mergeCell ref="D4:F4"/>
    <mergeCell ref="D11:D12"/>
    <mergeCell ref="E11:E12"/>
    <mergeCell ref="F11:F12"/>
    <mergeCell ref="G11:G12"/>
    <mergeCell ref="H11:H12"/>
    <mergeCell ref="I11:I12"/>
    <mergeCell ref="J11:J12"/>
    <mergeCell ref="D21:D22"/>
    <mergeCell ref="E21:E22"/>
    <mergeCell ref="F21:F22"/>
    <mergeCell ref="G21:G22"/>
    <mergeCell ref="H21:H22"/>
    <mergeCell ref="I21:I22"/>
    <mergeCell ref="J21:J22"/>
    <mergeCell ref="I31:I32"/>
    <mergeCell ref="J31:J32"/>
    <mergeCell ref="D41:D42"/>
    <mergeCell ref="E41:E42"/>
    <mergeCell ref="F41:F42"/>
    <mergeCell ref="G41:G42"/>
    <mergeCell ref="H41:H42"/>
    <mergeCell ref="I41:I42"/>
    <mergeCell ref="J41:J42"/>
    <mergeCell ref="D31:D32"/>
    <mergeCell ref="E31:E32"/>
    <mergeCell ref="F31:F32"/>
    <mergeCell ref="G31:G32"/>
    <mergeCell ref="H31:H32"/>
    <mergeCell ref="I51:I52"/>
    <mergeCell ref="J51:J52"/>
    <mergeCell ref="D51:D52"/>
    <mergeCell ref="E51:E52"/>
    <mergeCell ref="F51:F52"/>
    <mergeCell ref="G51:G52"/>
    <mergeCell ref="H51:H52"/>
  </mergeCells>
  <phoneticPr fontId="1" type="noConversion"/>
  <conditionalFormatting sqref="D7:G11 I7:J11 D13:G21 I13:J21 D23:G31 I23:J31 D33:G41 I33:J41 D43:G51 I43:J51 D53:G57 I53:J57">
    <cfRule type="expression" dxfId="66" priority="4">
      <formula>OR($D7=$Q$7:$Q$14)</formula>
    </cfRule>
  </conditionalFormatting>
  <conditionalFormatting sqref="C7:C57">
    <cfRule type="expression" dxfId="65" priority="3">
      <formula>OR(AND($D7=0,OR($D6=$Q$7:$Q$14)),AND($D8&gt;0,OR($D7=$Q$7:$Q$14)))</formula>
    </cfRule>
  </conditionalFormatting>
  <conditionalFormatting sqref="D7:D11 D13:D21 D23:D31 D33:D41 D43:D51 D53:D57">
    <cfRule type="expression" dxfId="64" priority="2">
      <formula>$D7=$D8</formula>
    </cfRule>
  </conditionalFormatting>
  <conditionalFormatting sqref="H7:H11 H13:H21 H23:H31 H33:H41 H43:H51 H53:H57">
    <cfRule type="expression" dxfId="63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2889C-B507-4A3B-8C3B-31827C1F3AD5}">
  <sheetPr codeName="Sheet13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113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기능'!D11</f>
        <v>25.100690311830501</v>
      </c>
      <c r="I3" s="21" t="s">
        <v>117</v>
      </c>
      <c r="J3" s="58">
        <f>'통계 및 응시자 수 입력 기능'!C11</f>
        <v>21005</v>
      </c>
      <c r="K3" s="36"/>
      <c r="L3" s="20"/>
    </row>
    <row r="4" spans="1:17" s="22" customFormat="1" ht="25" customHeight="1" thickBot="1" x14ac:dyDescent="0.5">
      <c r="A4" s="20"/>
      <c r="B4" s="35"/>
      <c r="C4" s="59" t="s">
        <v>118</v>
      </c>
      <c r="D4" s="191" t="s">
        <v>148</v>
      </c>
      <c r="E4" s="192"/>
      <c r="F4" s="193"/>
      <c r="G4" s="60" t="s">
        <v>120</v>
      </c>
      <c r="H4" s="61">
        <f>'통계 및 응시자 수 입력 기능'!E11</f>
        <v>11.8637388680017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62" t="s">
        <v>121</v>
      </c>
      <c r="D6" s="63" t="s">
        <v>122</v>
      </c>
      <c r="E6" s="63" t="s">
        <v>123</v>
      </c>
      <c r="F6" s="63" t="s">
        <v>124</v>
      </c>
      <c r="G6" s="63" t="s">
        <v>125</v>
      </c>
      <c r="H6" s="63" t="s">
        <v>126</v>
      </c>
      <c r="I6" s="64" t="s">
        <v>127</v>
      </c>
      <c r="J6" s="65" t="s">
        <v>128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66">
        <v>50</v>
      </c>
      <c r="D7" s="67">
        <f>ROUND(10*(C7-$H$3)/$H$4+50,0)</f>
        <v>71</v>
      </c>
      <c r="E7" s="67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8">
        <f>ROUND(100*(1-(0+I7)/2/$J$3),2)</f>
        <v>99.32</v>
      </c>
      <c r="G7" s="69">
        <f>_xlfn.IFNA(VLOOKUP(D7,'인원 입력 기능(사과탐)'!$P$5:$S$59,4,FALSE),0)</f>
        <v>287</v>
      </c>
      <c r="H7" s="70">
        <f>G7/$J$3</f>
        <v>1.3663413472982623E-2</v>
      </c>
      <c r="I7" s="71">
        <f>G7</f>
        <v>287</v>
      </c>
      <c r="J7" s="72">
        <f>I7/$J$3</f>
        <v>1.3663413472982623E-2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기능'!C67</f>
        <v>67</v>
      </c>
    </row>
    <row r="8" spans="1:17" s="22" customFormat="1" ht="25" customHeight="1" x14ac:dyDescent="0.45">
      <c r="A8" s="20"/>
      <c r="B8" s="35"/>
      <c r="C8" s="73">
        <v>49</v>
      </c>
      <c r="D8" s="74" t="s">
        <v>59</v>
      </c>
      <c r="E8" s="74"/>
      <c r="F8" s="75"/>
      <c r="G8" s="76"/>
      <c r="H8" s="94"/>
      <c r="I8" s="78"/>
      <c r="J8" s="79"/>
      <c r="K8" s="36"/>
      <c r="L8" s="20"/>
      <c r="N8" s="24"/>
      <c r="P8" s="24">
        <v>2</v>
      </c>
      <c r="Q8" s="24">
        <f>'표점등급&amp;절평인원 입력 기능'!C68</f>
        <v>63</v>
      </c>
    </row>
    <row r="9" spans="1:17" s="22" customFormat="1" ht="25" customHeight="1" x14ac:dyDescent="0.45">
      <c r="A9" s="20"/>
      <c r="B9" s="35"/>
      <c r="C9" s="66">
        <v>48</v>
      </c>
      <c r="D9" s="67">
        <f>ROUND(10*(C9-$H$3)/$H$4+50,0)</f>
        <v>69</v>
      </c>
      <c r="E9" s="67">
        <f t="shared" si="0"/>
        <v>1</v>
      </c>
      <c r="F9" s="68">
        <f>IF(I8=0,ROUND(100*(1-(I7+I9)/2/$J$3),2),ROUND(100*(1-(I8+I9)/2/$J$3),2))</f>
        <v>98.48</v>
      </c>
      <c r="G9" s="69">
        <f>_xlfn.IFNA(VLOOKUP(D9,'인원 입력 기능(사과탐)'!$P$5:$S$59,4,FALSE),0)</f>
        <v>65</v>
      </c>
      <c r="H9" s="70">
        <f t="shared" ref="H9:H54" si="1">G9/$J$3</f>
        <v>3.0945013092120925E-3</v>
      </c>
      <c r="I9" s="80">
        <f>SUM($G$7:G9)</f>
        <v>352</v>
      </c>
      <c r="J9" s="72">
        <f>I9/$J$3</f>
        <v>1.6757914782194714E-2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기능'!C69</f>
        <v>58</v>
      </c>
    </row>
    <row r="10" spans="1:17" s="22" customFormat="1" ht="25" customHeight="1" x14ac:dyDescent="0.45">
      <c r="A10" s="20"/>
      <c r="B10" s="35"/>
      <c r="C10" s="73">
        <v>47</v>
      </c>
      <c r="D10" s="178">
        <f t="shared" ref="D10:D54" si="3">ROUND(10*(C10-$H$3)/$H$4+50,0)</f>
        <v>68</v>
      </c>
      <c r="E10" s="178">
        <f t="shared" si="0"/>
        <v>1</v>
      </c>
      <c r="F10" s="182">
        <f t="shared" ref="F10:F54" si="4">IF(I9=0,ROUND(100*(1-(I8+I10)/2/$J$3),2),ROUND(100*(1-(I9+I10)/2/$J$3),2))</f>
        <v>97.24</v>
      </c>
      <c r="G10" s="184">
        <f>IF(D10=D9,"",_xlfn.IFNA(VLOOKUP(D10,'인원 입력 기능(사과탐)'!$P$5:$S$59,4,FALSE),0))</f>
        <v>456</v>
      </c>
      <c r="H10" s="186">
        <f t="shared" si="1"/>
        <v>2.1709116876934064E-2</v>
      </c>
      <c r="I10" s="194">
        <f>SUM($G$7:G10)</f>
        <v>808</v>
      </c>
      <c r="J10" s="176">
        <f t="shared" ref="J10:J54" si="5">I10/$J$3</f>
        <v>3.8467031659128778E-2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기능'!C70</f>
        <v>53</v>
      </c>
    </row>
    <row r="11" spans="1:17" s="22" customFormat="1" ht="25" customHeight="1" x14ac:dyDescent="0.45">
      <c r="A11" s="20"/>
      <c r="B11" s="35"/>
      <c r="C11" s="66">
        <v>46</v>
      </c>
      <c r="D11" s="179"/>
      <c r="E11" s="179"/>
      <c r="F11" s="183"/>
      <c r="G11" s="185"/>
      <c r="H11" s="187"/>
      <c r="I11" s="195"/>
      <c r="J11" s="177"/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기능'!C71</f>
        <v>47</v>
      </c>
    </row>
    <row r="12" spans="1:17" s="22" customFormat="1" ht="25" customHeight="1" x14ac:dyDescent="0.45">
      <c r="A12" s="20"/>
      <c r="B12" s="35"/>
      <c r="C12" s="73">
        <v>45</v>
      </c>
      <c r="D12" s="67">
        <f t="shared" si="3"/>
        <v>67</v>
      </c>
      <c r="E12" s="67">
        <f t="shared" si="0"/>
        <v>1</v>
      </c>
      <c r="F12" s="68">
        <f t="shared" si="4"/>
        <v>95.72</v>
      </c>
      <c r="G12" s="69">
        <f>IF(D12=D11,"",_xlfn.IFNA(VLOOKUP(D12,'인원 입력 기능(사과탐)'!$P$5:$S$59,4,FALSE),0))</f>
        <v>182</v>
      </c>
      <c r="H12" s="70">
        <f t="shared" si="1"/>
        <v>8.6646036657938592E-3</v>
      </c>
      <c r="I12" s="80">
        <f>SUM($G$7:G12)</f>
        <v>990</v>
      </c>
      <c r="J12" s="72">
        <f t="shared" si="5"/>
        <v>4.7131635324922636E-2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기능'!C72</f>
        <v>41</v>
      </c>
    </row>
    <row r="13" spans="1:17" s="22" customFormat="1" ht="25" customHeight="1" x14ac:dyDescent="0.45">
      <c r="A13" s="20"/>
      <c r="B13" s="35"/>
      <c r="C13" s="66">
        <v>44</v>
      </c>
      <c r="D13" s="67">
        <f t="shared" si="3"/>
        <v>66</v>
      </c>
      <c r="E13" s="67">
        <f t="shared" si="0"/>
        <v>2</v>
      </c>
      <c r="F13" s="68">
        <f t="shared" si="4"/>
        <v>94.04</v>
      </c>
      <c r="G13" s="69">
        <f>IF(D13=D12,"",_xlfn.IFNA(VLOOKUP(D13,'인원 입력 기능(사과탐)'!$P$5:$S$59,4,FALSE),0))</f>
        <v>525</v>
      </c>
      <c r="H13" s="70">
        <f t="shared" si="1"/>
        <v>2.4994049035943822E-2</v>
      </c>
      <c r="I13" s="80">
        <f>SUM($G$7:G13)</f>
        <v>1515</v>
      </c>
      <c r="J13" s="72">
        <f t="shared" si="5"/>
        <v>7.2125684360866457E-2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기능'!C73</f>
        <v>37</v>
      </c>
    </row>
    <row r="14" spans="1:17" s="22" customFormat="1" ht="25" customHeight="1" x14ac:dyDescent="0.45">
      <c r="A14" s="20"/>
      <c r="B14" s="35"/>
      <c r="C14" s="73">
        <v>43</v>
      </c>
      <c r="D14" s="67">
        <f t="shared" si="3"/>
        <v>65</v>
      </c>
      <c r="E14" s="67">
        <f t="shared" si="0"/>
        <v>2</v>
      </c>
      <c r="F14" s="68">
        <f t="shared" si="4"/>
        <v>92.65</v>
      </c>
      <c r="G14" s="69">
        <f>IF(D14=D13,"",_xlfn.IFNA(VLOOKUP(D14,'인원 입력 기능(사과탐)'!$P$5:$S$59,4,FALSE),0))</f>
        <v>59</v>
      </c>
      <c r="H14" s="70">
        <f t="shared" si="1"/>
        <v>2.8088550345155916E-3</v>
      </c>
      <c r="I14" s="80">
        <f>SUM($G$7:G14)</f>
        <v>1574</v>
      </c>
      <c r="J14" s="72">
        <f t="shared" si="5"/>
        <v>7.4934539395382055E-2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기능'!C74</f>
        <v>35</v>
      </c>
    </row>
    <row r="15" spans="1:17" s="22" customFormat="1" ht="25" customHeight="1" x14ac:dyDescent="0.45">
      <c r="A15" s="20"/>
      <c r="B15" s="35"/>
      <c r="C15" s="66">
        <v>42</v>
      </c>
      <c r="D15" s="67">
        <f t="shared" si="3"/>
        <v>64</v>
      </c>
      <c r="E15" s="67">
        <f t="shared" si="0"/>
        <v>2</v>
      </c>
      <c r="F15" s="68">
        <f t="shared" si="4"/>
        <v>91.54</v>
      </c>
      <c r="G15" s="69">
        <f>IF(D15=D14,"",_xlfn.IFNA(VLOOKUP(D15,'인원 입력 기능(사과탐)'!$P$5:$S$59,4,FALSE),0))</f>
        <v>407</v>
      </c>
      <c r="H15" s="70">
        <f t="shared" si="1"/>
        <v>1.937633896691264E-2</v>
      </c>
      <c r="I15" s="80">
        <f>SUM($G$7:G15)</f>
        <v>1981</v>
      </c>
      <c r="J15" s="72">
        <f t="shared" si="5"/>
        <v>9.4310878362294695E-2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73">
        <v>41</v>
      </c>
      <c r="D16" s="178">
        <f t="shared" si="3"/>
        <v>63</v>
      </c>
      <c r="E16" s="178">
        <f t="shared" si="0"/>
        <v>2</v>
      </c>
      <c r="F16" s="182">
        <f t="shared" si="4"/>
        <v>88.94</v>
      </c>
      <c r="G16" s="184">
        <f>IF(D16=D15,"",_xlfn.IFNA(VLOOKUP(D16,'인원 입력 기능(사과탐)'!$P$5:$S$59,4,FALSE),0))</f>
        <v>686</v>
      </c>
      <c r="H16" s="186">
        <f t="shared" si="1"/>
        <v>3.2658890740299928E-2</v>
      </c>
      <c r="I16" s="194">
        <f>SUM($G$7:G16)</f>
        <v>2667</v>
      </c>
      <c r="J16" s="176">
        <f t="shared" si="5"/>
        <v>0.12696976910259461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66">
        <v>40</v>
      </c>
      <c r="D17" s="179"/>
      <c r="E17" s="179"/>
      <c r="F17" s="183"/>
      <c r="G17" s="185"/>
      <c r="H17" s="187"/>
      <c r="I17" s="195"/>
      <c r="J17" s="177"/>
      <c r="K17" s="36"/>
      <c r="L17" s="20" t="str">
        <f t="shared" si="2"/>
        <v>경고</v>
      </c>
      <c r="N17" s="24"/>
      <c r="Q17" s="24">
        <f>Q7*H3*H4*J3*IFERROR(IF(J57=1, 1, 0), 0)</f>
        <v>419087524.6112693</v>
      </c>
    </row>
    <row r="18" spans="1:17" s="22" customFormat="1" ht="25" customHeight="1" x14ac:dyDescent="0.45">
      <c r="A18" s="20"/>
      <c r="B18" s="35"/>
      <c r="C18" s="73">
        <v>39</v>
      </c>
      <c r="D18" s="67">
        <f t="shared" si="3"/>
        <v>62</v>
      </c>
      <c r="E18" s="67">
        <f t="shared" si="0"/>
        <v>3</v>
      </c>
      <c r="F18" s="68">
        <f t="shared" si="4"/>
        <v>86.09</v>
      </c>
      <c r="G18" s="69">
        <f>IF(D18=D17,"",_xlfn.IFNA(VLOOKUP(D18,'인원 입력 기능(사과탐)'!$P$5:$S$59,4,FALSE),0))</f>
        <v>511</v>
      </c>
      <c r="H18" s="70">
        <f t="shared" si="1"/>
        <v>2.4327541061651987E-2</v>
      </c>
      <c r="I18" s="80">
        <f>SUM($G$7:G18)</f>
        <v>3178</v>
      </c>
      <c r="J18" s="72">
        <f t="shared" si="5"/>
        <v>0.15129731016424661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66">
        <v>38</v>
      </c>
      <c r="D19" s="67">
        <f t="shared" si="3"/>
        <v>61</v>
      </c>
      <c r="E19" s="67">
        <f t="shared" si="0"/>
        <v>3</v>
      </c>
      <c r="F19" s="68">
        <f t="shared" si="4"/>
        <v>83.83</v>
      </c>
      <c r="G19" s="69">
        <f>IF(D19=D18,"",_xlfn.IFNA(VLOOKUP(D19,'인원 입력 기능(사과탐)'!$P$5:$S$59,4,FALSE),0))</f>
        <v>436</v>
      </c>
      <c r="H19" s="70">
        <f t="shared" si="1"/>
        <v>2.0756962627945727E-2</v>
      </c>
      <c r="I19" s="80">
        <f>SUM($G$7:G19)</f>
        <v>3614</v>
      </c>
      <c r="J19" s="72">
        <f t="shared" si="5"/>
        <v>0.17205427279219235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73">
        <v>37</v>
      </c>
      <c r="D20" s="67">
        <f t="shared" si="3"/>
        <v>60</v>
      </c>
      <c r="E20" s="67">
        <f t="shared" si="0"/>
        <v>3</v>
      </c>
      <c r="F20" s="68">
        <f t="shared" si="4"/>
        <v>81.92</v>
      </c>
      <c r="G20" s="69">
        <f>IF(D20=D19,"",_xlfn.IFNA(VLOOKUP(D20,'인원 입력 기능(사과탐)'!$P$5:$S$59,4,FALSE),0))</f>
        <v>368</v>
      </c>
      <c r="H20" s="70">
        <f t="shared" si="1"/>
        <v>1.7519638181385383E-2</v>
      </c>
      <c r="I20" s="80">
        <f>SUM($G$7:G20)</f>
        <v>3982</v>
      </c>
      <c r="J20" s="72">
        <f t="shared" si="5"/>
        <v>0.18957391097357773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95">
        <v>36</v>
      </c>
      <c r="D21" s="82">
        <f t="shared" si="3"/>
        <v>59</v>
      </c>
      <c r="E21" s="82">
        <f t="shared" si="0"/>
        <v>3</v>
      </c>
      <c r="F21" s="68">
        <f t="shared" si="4"/>
        <v>79.599999999999994</v>
      </c>
      <c r="G21" s="69">
        <f>IF(D21=D20,"",_xlfn.IFNA(VLOOKUP(D21,'인원 입력 기능(사과탐)'!$P$5:$S$59,4,FALSE),0))</f>
        <v>607</v>
      </c>
      <c r="H21" s="70">
        <f t="shared" si="1"/>
        <v>2.8897881456796001E-2</v>
      </c>
      <c r="I21" s="80">
        <f>SUM($G$7:G21)</f>
        <v>4589</v>
      </c>
      <c r="J21" s="72">
        <f t="shared" si="5"/>
        <v>0.21847179243037371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81">
        <v>35</v>
      </c>
      <c r="D22" s="180">
        <f t="shared" si="3"/>
        <v>58</v>
      </c>
      <c r="E22" s="180">
        <f t="shared" si="0"/>
        <v>3</v>
      </c>
      <c r="F22" s="182">
        <f t="shared" si="4"/>
        <v>75.7</v>
      </c>
      <c r="G22" s="184">
        <f>IF(D22=D21,"",_xlfn.IFNA(VLOOKUP(D22,'인원 입력 기능(사과탐)'!$P$5:$S$59,4,FALSE),0))</f>
        <v>1029</v>
      </c>
      <c r="H22" s="186">
        <f t="shared" si="1"/>
        <v>4.8988336110449893E-2</v>
      </c>
      <c r="I22" s="194">
        <f>SUM($G$7:G22)</f>
        <v>5618</v>
      </c>
      <c r="J22" s="176">
        <f t="shared" si="5"/>
        <v>0.26746012854082363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95">
        <v>34</v>
      </c>
      <c r="D23" s="181"/>
      <c r="E23" s="181"/>
      <c r="F23" s="183"/>
      <c r="G23" s="185"/>
      <c r="H23" s="187"/>
      <c r="I23" s="195"/>
      <c r="J23" s="177"/>
      <c r="K23" s="36"/>
      <c r="L23" s="20" t="str">
        <f t="shared" si="2"/>
        <v>경고</v>
      </c>
      <c r="N23" s="24"/>
    </row>
    <row r="24" spans="1:17" s="22" customFormat="1" ht="25" customHeight="1" x14ac:dyDescent="0.45">
      <c r="A24" s="20"/>
      <c r="B24" s="35"/>
      <c r="C24" s="81">
        <v>33</v>
      </c>
      <c r="D24" s="82">
        <f t="shared" si="3"/>
        <v>57</v>
      </c>
      <c r="E24" s="82">
        <f t="shared" si="0"/>
        <v>4</v>
      </c>
      <c r="F24" s="68">
        <f t="shared" si="4"/>
        <v>71.63</v>
      </c>
      <c r="G24" s="69">
        <f>IF(D24=D23,"",_xlfn.IFNA(VLOOKUP(D24,'인원 입력 기능(사과탐)'!$P$5:$S$59,4,FALSE),0))</f>
        <v>684</v>
      </c>
      <c r="H24" s="70">
        <f t="shared" si="1"/>
        <v>3.2563675315401094E-2</v>
      </c>
      <c r="I24" s="80">
        <f>SUM($G$7:G24)</f>
        <v>6302</v>
      </c>
      <c r="J24" s="72">
        <f t="shared" si="5"/>
        <v>0.30002380385622474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95">
        <v>32</v>
      </c>
      <c r="D25" s="82">
        <f t="shared" si="3"/>
        <v>56</v>
      </c>
      <c r="E25" s="82">
        <f t="shared" si="0"/>
        <v>4</v>
      </c>
      <c r="F25" s="68">
        <f t="shared" si="4"/>
        <v>68.849999999999994</v>
      </c>
      <c r="G25" s="69">
        <f>IF(D25=D24,"",_xlfn.IFNA(VLOOKUP(D25,'인원 입력 기능(사과탐)'!$P$5:$S$59,4,FALSE),0))</f>
        <v>483</v>
      </c>
      <c r="H25" s="70">
        <f t="shared" si="1"/>
        <v>2.2994525113068317E-2</v>
      </c>
      <c r="I25" s="80">
        <f>SUM($G$7:G25)</f>
        <v>6785</v>
      </c>
      <c r="J25" s="72">
        <f t="shared" si="5"/>
        <v>0.323018328969293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81">
        <v>31</v>
      </c>
      <c r="D26" s="82">
        <f t="shared" si="3"/>
        <v>55</v>
      </c>
      <c r="E26" s="82">
        <f t="shared" si="0"/>
        <v>4</v>
      </c>
      <c r="F26" s="68">
        <f t="shared" si="4"/>
        <v>66.19</v>
      </c>
      <c r="G26" s="69">
        <f>IF(D26=D25,"",_xlfn.IFNA(VLOOKUP(D26,'인원 입력 기능(사과탐)'!$P$5:$S$59,4,FALSE),0))</f>
        <v>634</v>
      </c>
      <c r="H26" s="70">
        <f t="shared" si="1"/>
        <v>3.0183289692930253E-2</v>
      </c>
      <c r="I26" s="80">
        <f>SUM($G$7:G26)</f>
        <v>7419</v>
      </c>
      <c r="J26" s="72">
        <f t="shared" si="5"/>
        <v>0.35320161866222327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95">
        <v>30</v>
      </c>
      <c r="D27" s="82">
        <f t="shared" si="3"/>
        <v>54</v>
      </c>
      <c r="E27" s="82">
        <f t="shared" si="0"/>
        <v>4</v>
      </c>
      <c r="F27" s="68">
        <f t="shared" si="4"/>
        <v>63.14</v>
      </c>
      <c r="G27" s="69">
        <f>IF(D27=D26,"",_xlfn.IFNA(VLOOKUP(D27,'인원 입력 기능(사과탐)'!$P$5:$S$59,4,FALSE),0))</f>
        <v>648</v>
      </c>
      <c r="H27" s="70">
        <f t="shared" si="1"/>
        <v>3.0849797667222088E-2</v>
      </c>
      <c r="I27" s="80">
        <f>SUM($G$7:G27)</f>
        <v>8067</v>
      </c>
      <c r="J27" s="72">
        <f t="shared" si="5"/>
        <v>0.38405141632944539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81">
        <v>29</v>
      </c>
      <c r="D28" s="82">
        <f t="shared" si="3"/>
        <v>53</v>
      </c>
      <c r="E28" s="82">
        <f t="shared" si="0"/>
        <v>4</v>
      </c>
      <c r="F28" s="68">
        <f t="shared" si="4"/>
        <v>60.25</v>
      </c>
      <c r="G28" s="69">
        <f>IF(D28=D27,"",_xlfn.IFNA(VLOOKUP(D28,'인원 입력 기능(사과탐)'!$P$5:$S$59,4,FALSE),0))</f>
        <v>566</v>
      </c>
      <c r="H28" s="70">
        <f t="shared" si="1"/>
        <v>2.6945965246369913E-2</v>
      </c>
      <c r="I28" s="80">
        <f>SUM($G$7:G28)</f>
        <v>8633</v>
      </c>
      <c r="J28" s="72">
        <f t="shared" si="5"/>
        <v>0.41099738157581528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95">
        <v>28</v>
      </c>
      <c r="D29" s="180">
        <f t="shared" si="3"/>
        <v>52</v>
      </c>
      <c r="E29" s="180">
        <f t="shared" si="0"/>
        <v>5</v>
      </c>
      <c r="F29" s="182">
        <f t="shared" si="4"/>
        <v>56.05</v>
      </c>
      <c r="G29" s="184">
        <f>IF(D29=D28,"",_xlfn.IFNA(VLOOKUP(D29,'인원 입력 기능(사과탐)'!$P$5:$S$59,4,FALSE),0))</f>
        <v>1197</v>
      </c>
      <c r="H29" s="186">
        <f t="shared" si="1"/>
        <v>5.6986431801951919E-2</v>
      </c>
      <c r="I29" s="194">
        <f>SUM($G$7:G29)</f>
        <v>9830</v>
      </c>
      <c r="J29" s="176">
        <f t="shared" si="5"/>
        <v>0.46798381337776718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81">
        <v>27</v>
      </c>
      <c r="D30" s="181"/>
      <c r="E30" s="181"/>
      <c r="F30" s="183"/>
      <c r="G30" s="185"/>
      <c r="H30" s="187"/>
      <c r="I30" s="195"/>
      <c r="J30" s="177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95">
        <v>26</v>
      </c>
      <c r="D31" s="82">
        <f t="shared" si="3"/>
        <v>51</v>
      </c>
      <c r="E31" s="82">
        <f t="shared" si="0"/>
        <v>5</v>
      </c>
      <c r="F31" s="68">
        <f t="shared" si="4"/>
        <v>51.83</v>
      </c>
      <c r="G31" s="69">
        <f>IF(D31=D30,"",_xlfn.IFNA(VLOOKUP(D31,'인원 입력 기능(사과탐)'!$P$5:$S$59,4,FALSE),0))</f>
        <v>577</v>
      </c>
      <c r="H31" s="70">
        <f t="shared" si="1"/>
        <v>2.7469650083313497E-2</v>
      </c>
      <c r="I31" s="80">
        <f>SUM($G$7:G31)</f>
        <v>10407</v>
      </c>
      <c r="J31" s="72">
        <f t="shared" si="5"/>
        <v>0.49545346346108071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81">
        <v>25</v>
      </c>
      <c r="D32" s="82">
        <f t="shared" si="3"/>
        <v>50</v>
      </c>
      <c r="E32" s="82">
        <f t="shared" si="0"/>
        <v>5</v>
      </c>
      <c r="F32" s="68">
        <f t="shared" si="4"/>
        <v>49.09</v>
      </c>
      <c r="G32" s="69">
        <f>IF(D32=D31,"",_xlfn.IFNA(VLOOKUP(D32,'인원 입력 기능(사과탐)'!$P$5:$S$59,4,FALSE),0))</f>
        <v>573</v>
      </c>
      <c r="H32" s="70">
        <f t="shared" si="1"/>
        <v>2.7279219233515829E-2</v>
      </c>
      <c r="I32" s="80">
        <f>SUM($G$7:G32)</f>
        <v>10980</v>
      </c>
      <c r="J32" s="72">
        <f t="shared" si="5"/>
        <v>0.5227326826945965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95">
        <v>24</v>
      </c>
      <c r="D33" s="82">
        <f t="shared" si="3"/>
        <v>49</v>
      </c>
      <c r="E33" s="82">
        <f t="shared" si="0"/>
        <v>5</v>
      </c>
      <c r="F33" s="68">
        <f t="shared" si="4"/>
        <v>46.32</v>
      </c>
      <c r="G33" s="69">
        <f>IF(D33=D32,"",_xlfn.IFNA(VLOOKUP(D33,'인원 입력 기능(사과탐)'!$P$5:$S$59,4,FALSE),0))</f>
        <v>591</v>
      </c>
      <c r="H33" s="70">
        <f t="shared" si="1"/>
        <v>2.8136158057605332E-2</v>
      </c>
      <c r="I33" s="80">
        <f>SUM($G$7:G33)</f>
        <v>11571</v>
      </c>
      <c r="J33" s="72">
        <f t="shared" si="5"/>
        <v>0.55086884075220188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81">
        <v>23</v>
      </c>
      <c r="D34" s="82">
        <f t="shared" si="3"/>
        <v>48</v>
      </c>
      <c r="E34" s="82">
        <f t="shared" si="0"/>
        <v>5</v>
      </c>
      <c r="F34" s="68">
        <f t="shared" si="4"/>
        <v>43.52</v>
      </c>
      <c r="G34" s="69">
        <f>IF(D34=D33,"",_xlfn.IFNA(VLOOKUP(D34,'인원 입력 기능(사과탐)'!$P$5:$S$59,4,FALSE),0))</f>
        <v>585</v>
      </c>
      <c r="H34" s="70">
        <f t="shared" si="1"/>
        <v>2.7850511782908833E-2</v>
      </c>
      <c r="I34" s="80">
        <f>SUM($G$7:G34)</f>
        <v>12156</v>
      </c>
      <c r="J34" s="72">
        <f t="shared" si="5"/>
        <v>0.57871935253511064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95">
        <v>22</v>
      </c>
      <c r="D35" s="180">
        <f t="shared" si="3"/>
        <v>47</v>
      </c>
      <c r="E35" s="180">
        <f t="shared" si="0"/>
        <v>5</v>
      </c>
      <c r="F35" s="182">
        <f t="shared" si="4"/>
        <v>39.65</v>
      </c>
      <c r="G35" s="184">
        <f>IF(D35=D34,"",_xlfn.IFNA(VLOOKUP(D35,'인원 입력 기능(사과탐)'!$P$5:$S$59,4,FALSE),0))</f>
        <v>1042</v>
      </c>
      <c r="H35" s="186">
        <f t="shared" si="1"/>
        <v>4.9607236372292314E-2</v>
      </c>
      <c r="I35" s="194">
        <f>SUM($G$7:G35)</f>
        <v>13198</v>
      </c>
      <c r="J35" s="176">
        <f t="shared" si="5"/>
        <v>0.62832658890740301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81">
        <v>21</v>
      </c>
      <c r="D36" s="181"/>
      <c r="E36" s="181"/>
      <c r="F36" s="183"/>
      <c r="G36" s="185"/>
      <c r="H36" s="187"/>
      <c r="I36" s="195"/>
      <c r="J36" s="177"/>
      <c r="K36" s="36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5"/>
      <c r="C37" s="95">
        <v>20</v>
      </c>
      <c r="D37" s="82">
        <f t="shared" si="3"/>
        <v>46</v>
      </c>
      <c r="E37" s="82">
        <f t="shared" si="0"/>
        <v>6</v>
      </c>
      <c r="F37" s="68">
        <f t="shared" si="4"/>
        <v>36.07</v>
      </c>
      <c r="G37" s="69">
        <f>IF(D37=D36,"",_xlfn.IFNA(VLOOKUP(D37,'인원 입력 기능(사과탐)'!$P$5:$S$59,4,FALSE),0))</f>
        <v>461</v>
      </c>
      <c r="H37" s="70">
        <f t="shared" si="1"/>
        <v>2.1947155439181146E-2</v>
      </c>
      <c r="I37" s="80">
        <f>SUM($G$7:G37)</f>
        <v>13659</v>
      </c>
      <c r="J37" s="72">
        <f t="shared" si="5"/>
        <v>0.65027374434658414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81">
        <v>19</v>
      </c>
      <c r="D38" s="82">
        <f t="shared" si="3"/>
        <v>45</v>
      </c>
      <c r="E38" s="82">
        <f t="shared" si="0"/>
        <v>6</v>
      </c>
      <c r="F38" s="68">
        <f t="shared" si="4"/>
        <v>33.840000000000003</v>
      </c>
      <c r="G38" s="69">
        <f>IF(D38=D37,"",_xlfn.IFNA(VLOOKUP(D38,'인원 입력 기능(사과탐)'!$P$5:$S$59,4,FALSE),0))</f>
        <v>476</v>
      </c>
      <c r="H38" s="70">
        <f t="shared" si="1"/>
        <v>2.2661271125922398E-2</v>
      </c>
      <c r="I38" s="80">
        <f>SUM($G$7:G38)</f>
        <v>14135</v>
      </c>
      <c r="J38" s="72">
        <f t="shared" si="5"/>
        <v>0.67293501547250656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95">
        <v>18</v>
      </c>
      <c r="D39" s="82">
        <f t="shared" si="3"/>
        <v>44</v>
      </c>
      <c r="E39" s="82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8">
        <f t="shared" si="4"/>
        <v>31.59</v>
      </c>
      <c r="G39" s="69">
        <f>IF(D39=D38,"",_xlfn.IFNA(VLOOKUP(D39,'인원 입력 기능(사과탐)'!$P$5:$S$59,4,FALSE),0))</f>
        <v>468</v>
      </c>
      <c r="H39" s="70">
        <f t="shared" si="1"/>
        <v>2.2280409426327065E-2</v>
      </c>
      <c r="I39" s="80">
        <f>SUM($G$7:G39)</f>
        <v>14603</v>
      </c>
      <c r="J39" s="72">
        <f t="shared" si="5"/>
        <v>0.69521542489883359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81">
        <v>17</v>
      </c>
      <c r="D40" s="82">
        <f t="shared" si="3"/>
        <v>43</v>
      </c>
      <c r="E40" s="82">
        <f t="shared" si="6"/>
        <v>6</v>
      </c>
      <c r="F40" s="68">
        <f t="shared" si="4"/>
        <v>29.37</v>
      </c>
      <c r="G40" s="69">
        <f>IF(D40=D39,"",_xlfn.IFNA(VLOOKUP(D40,'인원 입력 기능(사과탐)'!$P$5:$S$59,4,FALSE),0))</f>
        <v>464</v>
      </c>
      <c r="H40" s="70">
        <f t="shared" si="1"/>
        <v>2.2089978576529397E-2</v>
      </c>
      <c r="I40" s="80">
        <f>SUM($G$7:G40)</f>
        <v>15067</v>
      </c>
      <c r="J40" s="72">
        <f t="shared" si="5"/>
        <v>0.71730540347536298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95">
        <v>16</v>
      </c>
      <c r="D41" s="82">
        <f t="shared" si="3"/>
        <v>42</v>
      </c>
      <c r="E41" s="82">
        <f t="shared" si="6"/>
        <v>6</v>
      </c>
      <c r="F41" s="68">
        <f t="shared" si="4"/>
        <v>27.25</v>
      </c>
      <c r="G41" s="69">
        <f>IF(D41=D40,"",_xlfn.IFNA(VLOOKUP(D41,'인원 입력 기능(사과탐)'!$P$5:$S$59,4,FALSE),0))</f>
        <v>429</v>
      </c>
      <c r="H41" s="70">
        <f t="shared" si="1"/>
        <v>2.0423708640799811E-2</v>
      </c>
      <c r="I41" s="80">
        <f>SUM($G$7:G41)</f>
        <v>15496</v>
      </c>
      <c r="J41" s="72">
        <f t="shared" si="5"/>
        <v>0.73772911211616277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81">
        <v>15</v>
      </c>
      <c r="D42" s="180">
        <f t="shared" si="3"/>
        <v>41</v>
      </c>
      <c r="E42" s="180">
        <f t="shared" si="6"/>
        <v>6</v>
      </c>
      <c r="F42" s="182">
        <f t="shared" si="4"/>
        <v>24.24</v>
      </c>
      <c r="G42" s="184">
        <f>IF(D42=D41,"",_xlfn.IFNA(VLOOKUP(D42,'인원 입력 기능(사과탐)'!$P$5:$S$59,4,FALSE),0))</f>
        <v>834</v>
      </c>
      <c r="H42" s="186">
        <f t="shared" si="1"/>
        <v>3.9704832182813614E-2</v>
      </c>
      <c r="I42" s="194">
        <f>SUM($G$7:G42)</f>
        <v>16330</v>
      </c>
      <c r="J42" s="176">
        <f t="shared" si="5"/>
        <v>0.77743394429897639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95">
        <v>14</v>
      </c>
      <c r="D43" s="181"/>
      <c r="E43" s="181"/>
      <c r="F43" s="183"/>
      <c r="G43" s="185"/>
      <c r="H43" s="187"/>
      <c r="I43" s="195"/>
      <c r="J43" s="177"/>
      <c r="K43" s="36"/>
      <c r="L43" s="20" t="str">
        <f t="shared" si="2"/>
        <v>경고</v>
      </c>
      <c r="N43" s="24"/>
    </row>
    <row r="44" spans="1:14" s="22" customFormat="1" ht="25" customHeight="1" x14ac:dyDescent="0.45">
      <c r="A44" s="20"/>
      <c r="B44" s="35"/>
      <c r="C44" s="81">
        <v>13</v>
      </c>
      <c r="D44" s="82">
        <f t="shared" si="3"/>
        <v>40</v>
      </c>
      <c r="E44" s="82">
        <f t="shared" si="6"/>
        <v>7</v>
      </c>
      <c r="F44" s="68">
        <f t="shared" si="4"/>
        <v>21.02</v>
      </c>
      <c r="G44" s="69">
        <f>IF(D44=D43,"",_xlfn.IFNA(VLOOKUP(D44,'인원 입력 기능(사과탐)'!$P$5:$S$59,4,FALSE),0))</f>
        <v>518</v>
      </c>
      <c r="H44" s="70">
        <f t="shared" si="1"/>
        <v>2.4660795048797906E-2</v>
      </c>
      <c r="I44" s="80">
        <f>SUM($G$7:G44)</f>
        <v>16848</v>
      </c>
      <c r="J44" s="72">
        <f t="shared" si="5"/>
        <v>0.80209473934777431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95">
        <v>12</v>
      </c>
      <c r="D45" s="82">
        <f t="shared" si="3"/>
        <v>39</v>
      </c>
      <c r="E45" s="82">
        <f t="shared" si="6"/>
        <v>7</v>
      </c>
      <c r="F45" s="68">
        <f t="shared" si="4"/>
        <v>18.760000000000002</v>
      </c>
      <c r="G45" s="69">
        <f>IF(D45=D44,"",_xlfn.IFNA(VLOOKUP(D45,'인원 입력 기능(사과탐)'!$P$5:$S$59,4,FALSE),0))</f>
        <v>432</v>
      </c>
      <c r="H45" s="70">
        <f t="shared" si="1"/>
        <v>2.0566531778148059E-2</v>
      </c>
      <c r="I45" s="80">
        <f>SUM($G$7:G45)</f>
        <v>17280</v>
      </c>
      <c r="J45" s="72">
        <f t="shared" si="5"/>
        <v>0.82266127112592236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81">
        <v>11</v>
      </c>
      <c r="D46" s="82">
        <f t="shared" si="3"/>
        <v>38</v>
      </c>
      <c r="E46" s="82">
        <f t="shared" si="6"/>
        <v>7</v>
      </c>
      <c r="F46" s="68">
        <f t="shared" si="4"/>
        <v>17</v>
      </c>
      <c r="G46" s="69">
        <f>IF(D46=D45,"",_xlfn.IFNA(VLOOKUP(D46,'인원 입력 기능(사과탐)'!$P$5:$S$59,4,FALSE),0))</f>
        <v>308</v>
      </c>
      <c r="H46" s="70">
        <f t="shared" si="1"/>
        <v>1.4663175434420377E-2</v>
      </c>
      <c r="I46" s="80">
        <f>SUM($G$7:G46)</f>
        <v>17588</v>
      </c>
      <c r="J46" s="72">
        <f t="shared" si="5"/>
        <v>0.83732444656034277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95">
        <v>10</v>
      </c>
      <c r="D47" s="82">
        <f t="shared" si="3"/>
        <v>37</v>
      </c>
      <c r="E47" s="82">
        <f t="shared" si="6"/>
        <v>7</v>
      </c>
      <c r="F47" s="68">
        <f t="shared" si="4"/>
        <v>12.85</v>
      </c>
      <c r="G47" s="69">
        <f>IF(D47=D46,"",_xlfn.IFNA(VLOOKUP(D47,'인원 입력 기능(사과탐)'!$P$5:$S$59,4,FALSE),0))</f>
        <v>1436</v>
      </c>
      <c r="H47" s="70">
        <f t="shared" si="1"/>
        <v>6.8364675077362533E-2</v>
      </c>
      <c r="I47" s="80">
        <f>SUM($G$7:G47)</f>
        <v>19024</v>
      </c>
      <c r="J47" s="72">
        <f t="shared" si="5"/>
        <v>0.90568912163770532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81">
        <v>9</v>
      </c>
      <c r="D48" s="180">
        <f t="shared" si="3"/>
        <v>36</v>
      </c>
      <c r="E48" s="180">
        <f t="shared" si="6"/>
        <v>8</v>
      </c>
      <c r="F48" s="182">
        <f t="shared" si="4"/>
        <v>8.06</v>
      </c>
      <c r="G48" s="184">
        <f>IF(D48=D47,"",_xlfn.IFNA(VLOOKUP(D48,'인원 입력 기능(사과탐)'!$P$5:$S$59,4,FALSE),0))</f>
        <v>574</v>
      </c>
      <c r="H48" s="186">
        <f t="shared" si="1"/>
        <v>2.7326826945965246E-2</v>
      </c>
      <c r="I48" s="194">
        <f>SUM($G$7:G48)</f>
        <v>19598</v>
      </c>
      <c r="J48" s="176">
        <f t="shared" si="5"/>
        <v>0.93301594858367054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95">
        <v>8</v>
      </c>
      <c r="D49" s="181"/>
      <c r="E49" s="181"/>
      <c r="F49" s="183"/>
      <c r="G49" s="185"/>
      <c r="H49" s="187"/>
      <c r="I49" s="195"/>
      <c r="J49" s="177"/>
      <c r="K49" s="36"/>
      <c r="L49" s="20" t="str">
        <f t="shared" si="2"/>
        <v>경고</v>
      </c>
      <c r="N49" s="24"/>
    </row>
    <row r="50" spans="1:14" s="22" customFormat="1" ht="25" customHeight="1" x14ac:dyDescent="0.45">
      <c r="A50" s="20"/>
      <c r="B50" s="35"/>
      <c r="C50" s="81">
        <v>7</v>
      </c>
      <c r="D50" s="82">
        <f t="shared" si="3"/>
        <v>35</v>
      </c>
      <c r="E50" s="82">
        <f t="shared" si="6"/>
        <v>8</v>
      </c>
      <c r="F50" s="68">
        <f t="shared" si="4"/>
        <v>4.7300000000000004</v>
      </c>
      <c r="G50" s="69">
        <f>IF(D50=D49,"",_xlfn.IFNA(VLOOKUP(D50,'인원 입력 기능(사과탐)'!$P$5:$S$59,4,FALSE),0))</f>
        <v>828</v>
      </c>
      <c r="H50" s="70">
        <f t="shared" si="1"/>
        <v>3.9419185908117112E-2</v>
      </c>
      <c r="I50" s="80">
        <f>SUM($G$7:G50)</f>
        <v>20426</v>
      </c>
      <c r="J50" s="72">
        <f t="shared" si="5"/>
        <v>0.97243513449178764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95">
        <v>6</v>
      </c>
      <c r="D51" s="82">
        <f t="shared" si="3"/>
        <v>34</v>
      </c>
      <c r="E51" s="82">
        <f t="shared" si="6"/>
        <v>9</v>
      </c>
      <c r="F51" s="68">
        <f t="shared" si="4"/>
        <v>2.4500000000000002</v>
      </c>
      <c r="G51" s="69">
        <f>IF(D51=D50,"",_xlfn.IFNA(VLOOKUP(D51,'인원 입력 기능(사과탐)'!$P$5:$S$59,4,FALSE),0))</f>
        <v>127</v>
      </c>
      <c r="H51" s="70">
        <f t="shared" si="1"/>
        <v>6.0461794810759339E-3</v>
      </c>
      <c r="I51" s="80">
        <f>SUM($G$7:G51)</f>
        <v>20553</v>
      </c>
      <c r="J51" s="72">
        <f t="shared" si="5"/>
        <v>0.97848131397286364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81">
        <v>5</v>
      </c>
      <c r="D52" s="82">
        <f t="shared" si="3"/>
        <v>33</v>
      </c>
      <c r="E52" s="82">
        <f t="shared" si="6"/>
        <v>9</v>
      </c>
      <c r="F52" s="68">
        <f t="shared" si="4"/>
        <v>1.74</v>
      </c>
      <c r="G52" s="69">
        <f>IF(D52=D51,"",_xlfn.IFNA(VLOOKUP(D52,'인원 입력 기능(사과탐)'!$P$5:$S$59,4,FALSE),0))</f>
        <v>175</v>
      </c>
      <c r="H52" s="70">
        <f t="shared" si="1"/>
        <v>8.3313496786479417E-3</v>
      </c>
      <c r="I52" s="80">
        <f>SUM($G$7:G52)</f>
        <v>20728</v>
      </c>
      <c r="J52" s="72">
        <f t="shared" si="5"/>
        <v>0.98681266365151155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66">
        <v>4</v>
      </c>
      <c r="D53" s="67">
        <f t="shared" si="3"/>
        <v>32</v>
      </c>
      <c r="E53" s="67">
        <f t="shared" si="6"/>
        <v>9</v>
      </c>
      <c r="F53" s="68">
        <f t="shared" si="4"/>
        <v>1.0900000000000001</v>
      </c>
      <c r="G53" s="69">
        <f>IF(D53=D52,"",_xlfn.IFNA(VLOOKUP(D53,'인원 입력 기능(사과탐)'!$P$5:$S$59,4,FALSE),0))</f>
        <v>95</v>
      </c>
      <c r="H53" s="70">
        <f t="shared" si="1"/>
        <v>4.5227326826945968E-3</v>
      </c>
      <c r="I53" s="80">
        <f>SUM($G$7:G53)</f>
        <v>20823</v>
      </c>
      <c r="J53" s="72">
        <f t="shared" si="5"/>
        <v>0.99133539633420609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73">
        <v>3</v>
      </c>
      <c r="D54" s="178">
        <f t="shared" si="3"/>
        <v>31</v>
      </c>
      <c r="E54" s="178">
        <f t="shared" si="6"/>
        <v>9</v>
      </c>
      <c r="F54" s="182">
        <f t="shared" si="4"/>
        <v>0.62</v>
      </c>
      <c r="G54" s="184">
        <f>IF(D54=D53,"",_xlfn.IFNA(VLOOKUP(D54,'인원 입력 기능(사과탐)'!$P$5:$S$59,4,FALSE),0))</f>
        <v>102</v>
      </c>
      <c r="H54" s="186">
        <f t="shared" si="1"/>
        <v>4.8559866698405143E-3</v>
      </c>
      <c r="I54" s="194">
        <f>SUM($G$7:G54)</f>
        <v>20925</v>
      </c>
      <c r="J54" s="176">
        <f t="shared" si="5"/>
        <v>0.99619138300404664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66">
        <v>2</v>
      </c>
      <c r="D55" s="179"/>
      <c r="E55" s="179"/>
      <c r="F55" s="183"/>
      <c r="G55" s="185"/>
      <c r="H55" s="187"/>
      <c r="I55" s="195"/>
      <c r="J55" s="177"/>
      <c r="K55" s="36"/>
      <c r="L55" s="20" t="str">
        <f t="shared" si="2"/>
        <v>경고</v>
      </c>
      <c r="N55" s="24"/>
    </row>
    <row r="56" spans="1:14" s="22" customFormat="1" ht="25" customHeight="1" x14ac:dyDescent="0.45">
      <c r="A56" s="20"/>
      <c r="B56" s="35"/>
      <c r="C56" s="73">
        <v>1</v>
      </c>
      <c r="D56" s="74" t="s">
        <v>59</v>
      </c>
      <c r="E56" s="74"/>
      <c r="F56" s="75"/>
      <c r="G56" s="96"/>
      <c r="H56" s="94"/>
      <c r="I56" s="84"/>
      <c r="J56" s="79"/>
      <c r="K56" s="36"/>
      <c r="L56" s="20"/>
      <c r="N56" s="24"/>
    </row>
    <row r="57" spans="1:14" s="22" customFormat="1" ht="25" customHeight="1" thickBot="1" x14ac:dyDescent="0.5">
      <c r="A57" s="20"/>
      <c r="B57" s="35"/>
      <c r="C57" s="97">
        <v>0</v>
      </c>
      <c r="D57" s="86">
        <f>ROUND(10*(C57-$H$3)/$H$4+50,0)</f>
        <v>29</v>
      </c>
      <c r="E57" s="98">
        <f t="shared" si="6"/>
        <v>9</v>
      </c>
      <c r="F57" s="87">
        <f>IF(I55=0,ROUND(100*(1-(I54+I57)/2/$J$3),2),ROUND(100*(1-(I55+I57)/2/$J$3),2))</f>
        <v>0.19</v>
      </c>
      <c r="G57" s="99">
        <f>_xlfn.IFNA(VLOOKUP(D57,'인원 입력 기능(사과탐)'!$P$5:$S$59,4,FALSE),0)</f>
        <v>80</v>
      </c>
      <c r="H57" s="89">
        <f>G57/$J$3</f>
        <v>3.8086169959533444E-3</v>
      </c>
      <c r="I57" s="90">
        <f>SUM($G$7:G57)</f>
        <v>21005</v>
      </c>
      <c r="J57" s="100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8">
    <mergeCell ref="D3:F3"/>
    <mergeCell ref="D4:F4"/>
    <mergeCell ref="D10:D11"/>
    <mergeCell ref="E10:E11"/>
    <mergeCell ref="F10:F11"/>
    <mergeCell ref="G10:G11"/>
    <mergeCell ref="H10:H11"/>
    <mergeCell ref="I10:I11"/>
    <mergeCell ref="J10:J11"/>
    <mergeCell ref="D16:D17"/>
    <mergeCell ref="E16:E17"/>
    <mergeCell ref="F16:F17"/>
    <mergeCell ref="G16:G17"/>
    <mergeCell ref="H16:H17"/>
    <mergeCell ref="I16:I17"/>
    <mergeCell ref="J16:J17"/>
    <mergeCell ref="I22:I23"/>
    <mergeCell ref="J22:J23"/>
    <mergeCell ref="D29:D30"/>
    <mergeCell ref="E29:E30"/>
    <mergeCell ref="F29:F30"/>
    <mergeCell ref="G29:G30"/>
    <mergeCell ref="H29:H30"/>
    <mergeCell ref="I29:I30"/>
    <mergeCell ref="J29:J30"/>
    <mergeCell ref="D22:D23"/>
    <mergeCell ref="E22:E23"/>
    <mergeCell ref="F22:F23"/>
    <mergeCell ref="G22:G23"/>
    <mergeCell ref="H22:H23"/>
    <mergeCell ref="I35:I36"/>
    <mergeCell ref="J35:J36"/>
    <mergeCell ref="D42:D43"/>
    <mergeCell ref="E42:E43"/>
    <mergeCell ref="F42:F43"/>
    <mergeCell ref="G42:G43"/>
    <mergeCell ref="H42:H43"/>
    <mergeCell ref="I42:I43"/>
    <mergeCell ref="J42:J43"/>
    <mergeCell ref="D35:D36"/>
    <mergeCell ref="E35:E36"/>
    <mergeCell ref="F35:F36"/>
    <mergeCell ref="G35:G36"/>
    <mergeCell ref="H35:H36"/>
    <mergeCell ref="I48:I49"/>
    <mergeCell ref="J48:J49"/>
    <mergeCell ref="D54:D55"/>
    <mergeCell ref="E54:E55"/>
    <mergeCell ref="F54:F55"/>
    <mergeCell ref="G54:G55"/>
    <mergeCell ref="H54:H55"/>
    <mergeCell ref="I54:I55"/>
    <mergeCell ref="J54:J55"/>
    <mergeCell ref="D48:D49"/>
    <mergeCell ref="E48:E49"/>
    <mergeCell ref="F48:F49"/>
    <mergeCell ref="G48:G49"/>
    <mergeCell ref="H48:H49"/>
  </mergeCells>
  <phoneticPr fontId="1" type="noConversion"/>
  <conditionalFormatting sqref="D7:G10 I7:J10 D12:G16 I12:J16 D18:G22 I18:J22 D24:G29 I24:J29 D31:G35 I31:J35 D37:G42 I37:J42 D44:G48 I44:J48 D50:G54 I50:J54 D56:G57 I56:J57">
    <cfRule type="expression" dxfId="62" priority="4">
      <formula>OR($D7=$Q$7:$Q$14)</formula>
    </cfRule>
  </conditionalFormatting>
  <conditionalFormatting sqref="C7:C57">
    <cfRule type="expression" dxfId="61" priority="3">
      <formula>OR(AND($D7=0,OR($D6=$Q$7:$Q$14)),AND($D8&gt;0,OR($D7=$Q$7:$Q$14)))</formula>
    </cfRule>
  </conditionalFormatting>
  <conditionalFormatting sqref="D7:D10 D12:D16 D18:D22 D24:D29 D31:D35 D37:D42 D44:D48 D50:D54 D56:D57">
    <cfRule type="expression" dxfId="60" priority="2">
      <formula>$D7=$D8</formula>
    </cfRule>
  </conditionalFormatting>
  <conditionalFormatting sqref="H7:H10 H12:H16 H18:H22 H24:H29 H31:H35 H37:H42 H44:H48 H50:H54 H56:H57">
    <cfRule type="expression" dxfId="59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ABD9-E74C-4687-9C80-5E784D6F62E9}">
  <sheetPr codeName="Sheet14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113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기능'!D12</f>
        <v>21.4126064118819</v>
      </c>
      <c r="I3" s="21" t="s">
        <v>117</v>
      </c>
      <c r="J3" s="58">
        <f>'통계 및 응시자 수 입력 기능'!C12</f>
        <v>11042</v>
      </c>
      <c r="K3" s="36"/>
      <c r="L3" s="20"/>
    </row>
    <row r="4" spans="1:17" s="22" customFormat="1" ht="25" customHeight="1" thickBot="1" x14ac:dyDescent="0.5">
      <c r="A4" s="20"/>
      <c r="B4" s="35"/>
      <c r="C4" s="59" t="s">
        <v>118</v>
      </c>
      <c r="D4" s="191" t="s">
        <v>147</v>
      </c>
      <c r="E4" s="192"/>
      <c r="F4" s="193"/>
      <c r="G4" s="60" t="s">
        <v>120</v>
      </c>
      <c r="H4" s="61">
        <f>'통계 및 응시자 수 입력 기능'!E12</f>
        <v>12.6235899454402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62" t="s">
        <v>121</v>
      </c>
      <c r="D6" s="63" t="s">
        <v>122</v>
      </c>
      <c r="E6" s="63" t="s">
        <v>123</v>
      </c>
      <c r="F6" s="63" t="s">
        <v>124</v>
      </c>
      <c r="G6" s="63" t="s">
        <v>125</v>
      </c>
      <c r="H6" s="63" t="s">
        <v>126</v>
      </c>
      <c r="I6" s="64" t="s">
        <v>127</v>
      </c>
      <c r="J6" s="65" t="s">
        <v>128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66">
        <v>50</v>
      </c>
      <c r="D7" s="67">
        <f>ROUND(10*(C7-$H$3)/$H$4+50,0)</f>
        <v>73</v>
      </c>
      <c r="E7" s="67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8">
        <f>ROUND(100*(1-(0+I7)/2/$J$3),2)</f>
        <v>99.17</v>
      </c>
      <c r="G7" s="69">
        <f>_xlfn.IFNA(VLOOKUP(D7,'인원 입력 기능(사과탐)'!$A$64:$D$116,4,FALSE),0)</f>
        <v>184</v>
      </c>
      <c r="H7" s="70">
        <f>G7/$J$3</f>
        <v>1.6663647889875021E-2</v>
      </c>
      <c r="I7" s="71">
        <f>G7</f>
        <v>184</v>
      </c>
      <c r="J7" s="72">
        <f>I7/$J$3</f>
        <v>1.6663647889875021E-2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기능'!C76</f>
        <v>69</v>
      </c>
    </row>
    <row r="8" spans="1:17" s="22" customFormat="1" ht="25" customHeight="1" x14ac:dyDescent="0.45">
      <c r="A8" s="20"/>
      <c r="B8" s="35"/>
      <c r="C8" s="73">
        <v>49</v>
      </c>
      <c r="D8" s="74" t="s">
        <v>59</v>
      </c>
      <c r="E8" s="74"/>
      <c r="F8" s="75"/>
      <c r="G8" s="76"/>
      <c r="H8" s="94"/>
      <c r="I8" s="78"/>
      <c r="J8" s="79"/>
      <c r="K8" s="36"/>
      <c r="L8" s="20"/>
      <c r="N8" s="24"/>
      <c r="P8" s="24">
        <v>2</v>
      </c>
      <c r="Q8" s="24">
        <f>'표점등급&amp;절평인원 입력 기능'!C77</f>
        <v>65</v>
      </c>
    </row>
    <row r="9" spans="1:17" s="22" customFormat="1" ht="25" customHeight="1" x14ac:dyDescent="0.45">
      <c r="A9" s="20"/>
      <c r="B9" s="35"/>
      <c r="C9" s="66">
        <v>48</v>
      </c>
      <c r="D9" s="67">
        <f>ROUND(10*(C9-$H$3)/$H$4+50,0)</f>
        <v>71</v>
      </c>
      <c r="E9" s="67">
        <f t="shared" si="0"/>
        <v>1</v>
      </c>
      <c r="F9" s="68">
        <f>IF(I8=0,ROUND(100*(1-(I7+I9)/2/$J$3),2),ROUND(100*(1-(I8+I9)/2/$J$3),2))</f>
        <v>97.76</v>
      </c>
      <c r="G9" s="69">
        <f>_xlfn.IFNA(VLOOKUP(D9,'인원 입력 기능(사과탐)'!$A$64:$D$116,4,FALSE),0)</f>
        <v>127</v>
      </c>
      <c r="H9" s="70">
        <f t="shared" ref="H9:H54" si="1">G9/$J$3</f>
        <v>1.1501539576163738E-2</v>
      </c>
      <c r="I9" s="80">
        <f>SUM($G$7:G9)</f>
        <v>311</v>
      </c>
      <c r="J9" s="72">
        <f>I9/$J$3</f>
        <v>2.8165187466038761E-2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기능'!C78</f>
        <v>58</v>
      </c>
    </row>
    <row r="10" spans="1:17" s="22" customFormat="1" ht="25" customHeight="1" x14ac:dyDescent="0.45">
      <c r="A10" s="20"/>
      <c r="B10" s="35"/>
      <c r="C10" s="73">
        <v>47</v>
      </c>
      <c r="D10" s="67">
        <f t="shared" ref="D10:D54" si="3">ROUND(10*(C10-$H$3)/$H$4+50,0)</f>
        <v>70</v>
      </c>
      <c r="E10" s="67">
        <f t="shared" si="0"/>
        <v>1</v>
      </c>
      <c r="F10" s="68">
        <f t="shared" ref="F10:F54" si="4">IF(I9=0,ROUND(100*(1-(I8+I10)/2/$J$3),2),ROUND(100*(1-(I9+I10)/2/$J$3),2))</f>
        <v>96.77</v>
      </c>
      <c r="G10" s="69">
        <f>IF(D10=D9,"",_xlfn.IFNA(VLOOKUP(D10,'인원 입력 기능(사과탐)'!$A$64:$D$116,4,FALSE),0))</f>
        <v>91</v>
      </c>
      <c r="H10" s="70">
        <f t="shared" si="1"/>
        <v>8.2412606411881913E-3</v>
      </c>
      <c r="I10" s="80">
        <f>SUM($G$7:G10)</f>
        <v>402</v>
      </c>
      <c r="J10" s="72">
        <f t="shared" ref="J10:J54" si="5">I10/$J$3</f>
        <v>3.6406448107226951E-2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기능'!C79</f>
        <v>51</v>
      </c>
    </row>
    <row r="11" spans="1:17" s="22" customFormat="1" ht="25" customHeight="1" x14ac:dyDescent="0.45">
      <c r="A11" s="20"/>
      <c r="B11" s="35"/>
      <c r="C11" s="66">
        <v>46</v>
      </c>
      <c r="D11" s="178">
        <f t="shared" si="3"/>
        <v>69</v>
      </c>
      <c r="E11" s="178">
        <f t="shared" si="0"/>
        <v>1</v>
      </c>
      <c r="F11" s="182">
        <f t="shared" si="4"/>
        <v>95.19</v>
      </c>
      <c r="G11" s="184">
        <f>IF(D11=D10,"",_xlfn.IFNA(VLOOKUP(D11,'인원 입력 기능(사과탐)'!$A$64:$D$116,4,FALSE),0))</f>
        <v>259</v>
      </c>
      <c r="H11" s="186">
        <f t="shared" si="1"/>
        <v>2.3455895671074079E-2</v>
      </c>
      <c r="I11" s="194">
        <f>SUM($G$7:G11)</f>
        <v>661</v>
      </c>
      <c r="J11" s="176">
        <f t="shared" si="5"/>
        <v>5.9862343778301033E-2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기능'!C80</f>
        <v>45</v>
      </c>
    </row>
    <row r="12" spans="1:17" s="22" customFormat="1" ht="25" customHeight="1" x14ac:dyDescent="0.45">
      <c r="A12" s="20"/>
      <c r="B12" s="35"/>
      <c r="C12" s="73">
        <v>45</v>
      </c>
      <c r="D12" s="179"/>
      <c r="E12" s="179"/>
      <c r="F12" s="183"/>
      <c r="G12" s="185"/>
      <c r="H12" s="187"/>
      <c r="I12" s="195"/>
      <c r="J12" s="177"/>
      <c r="K12" s="36"/>
      <c r="L12" s="20" t="str">
        <f t="shared" si="2"/>
        <v>경고</v>
      </c>
      <c r="N12" s="24"/>
      <c r="P12" s="24">
        <v>6</v>
      </c>
      <c r="Q12" s="24">
        <f>'표점등급&amp;절평인원 입력 기능'!C81</f>
        <v>42</v>
      </c>
    </row>
    <row r="13" spans="1:17" s="22" customFormat="1" ht="25" customHeight="1" x14ac:dyDescent="0.45">
      <c r="A13" s="20"/>
      <c r="B13" s="35"/>
      <c r="C13" s="66">
        <v>44</v>
      </c>
      <c r="D13" s="67">
        <f t="shared" si="3"/>
        <v>68</v>
      </c>
      <c r="E13" s="67">
        <f t="shared" si="0"/>
        <v>2</v>
      </c>
      <c r="F13" s="68">
        <f t="shared" si="4"/>
        <v>93.59</v>
      </c>
      <c r="G13" s="69">
        <f>IF(D13=D12,"",_xlfn.IFNA(VLOOKUP(D13,'인원 입력 기능(사과탐)'!$A$64:$D$116,4,FALSE),0))</f>
        <v>94</v>
      </c>
      <c r="H13" s="70">
        <f t="shared" si="1"/>
        <v>8.5129505524361524E-3</v>
      </c>
      <c r="I13" s="80">
        <f>SUM($G$7:G13)</f>
        <v>755</v>
      </c>
      <c r="J13" s="72">
        <f t="shared" si="5"/>
        <v>6.8375294330737191E-2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기능'!C82</f>
        <v>39</v>
      </c>
    </row>
    <row r="14" spans="1:17" s="22" customFormat="1" ht="25" customHeight="1" x14ac:dyDescent="0.45">
      <c r="A14" s="20"/>
      <c r="B14" s="35"/>
      <c r="C14" s="73">
        <v>43</v>
      </c>
      <c r="D14" s="67">
        <f t="shared" si="3"/>
        <v>67</v>
      </c>
      <c r="E14" s="67">
        <f t="shared" si="0"/>
        <v>2</v>
      </c>
      <c r="F14" s="68">
        <f t="shared" si="4"/>
        <v>92.55</v>
      </c>
      <c r="G14" s="69">
        <f>IF(D14=D13,"",_xlfn.IFNA(VLOOKUP(D14,'인원 입력 기능(사과탐)'!$A$64:$D$116,4,FALSE),0))</f>
        <v>135</v>
      </c>
      <c r="H14" s="70">
        <f t="shared" si="1"/>
        <v>1.2226046006158304E-2</v>
      </c>
      <c r="I14" s="80">
        <f>SUM($G$7:G14)</f>
        <v>890</v>
      </c>
      <c r="J14" s="72">
        <f t="shared" si="5"/>
        <v>8.0601340336895491E-2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기능'!C83</f>
        <v>36</v>
      </c>
    </row>
    <row r="15" spans="1:17" s="22" customFormat="1" ht="25" customHeight="1" x14ac:dyDescent="0.45">
      <c r="A15" s="20"/>
      <c r="B15" s="35"/>
      <c r="C15" s="66">
        <v>42</v>
      </c>
      <c r="D15" s="178">
        <f t="shared" si="3"/>
        <v>66</v>
      </c>
      <c r="E15" s="178">
        <f t="shared" si="0"/>
        <v>2</v>
      </c>
      <c r="F15" s="182">
        <f t="shared" si="4"/>
        <v>90.67</v>
      </c>
      <c r="G15" s="184">
        <f>IF(D15=D14,"",_xlfn.IFNA(VLOOKUP(D15,'인원 입력 기능(사과탐)'!$A$64:$D$116,4,FALSE),0))</f>
        <v>281</v>
      </c>
      <c r="H15" s="186">
        <f t="shared" si="1"/>
        <v>2.5448288353559136E-2</v>
      </c>
      <c r="I15" s="194">
        <f>SUM($G$7:G15)</f>
        <v>1171</v>
      </c>
      <c r="J15" s="176">
        <f t="shared" si="5"/>
        <v>0.10604962869045463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73">
        <v>41</v>
      </c>
      <c r="D16" s="179"/>
      <c r="E16" s="179"/>
      <c r="F16" s="183"/>
      <c r="G16" s="185"/>
      <c r="H16" s="187"/>
      <c r="I16" s="195"/>
      <c r="J16" s="177"/>
      <c r="K16" s="36"/>
      <c r="L16" s="20" t="str">
        <f t="shared" si="2"/>
        <v>경고</v>
      </c>
      <c r="N16" s="24"/>
    </row>
    <row r="17" spans="1:17" s="22" customFormat="1" ht="25" customHeight="1" x14ac:dyDescent="0.45">
      <c r="A17" s="20"/>
      <c r="B17" s="35"/>
      <c r="C17" s="66">
        <v>40</v>
      </c>
      <c r="D17" s="67">
        <f t="shared" si="3"/>
        <v>65</v>
      </c>
      <c r="E17" s="67">
        <f t="shared" si="0"/>
        <v>2</v>
      </c>
      <c r="F17" s="68">
        <f t="shared" si="4"/>
        <v>88.77</v>
      </c>
      <c r="G17" s="69">
        <f>IF(D17=D16,"",_xlfn.IFNA(VLOOKUP(D17,'인원 입력 기능(사과탐)'!$A$64:$D$116,4,FALSE),0))</f>
        <v>139</v>
      </c>
      <c r="H17" s="70">
        <f t="shared" si="1"/>
        <v>1.2588299221155588E-2</v>
      </c>
      <c r="I17" s="80">
        <f>SUM($G$7:G17)</f>
        <v>1310</v>
      </c>
      <c r="J17" s="72">
        <f t="shared" si="5"/>
        <v>0.11863792791161022</v>
      </c>
      <c r="K17" s="36"/>
      <c r="L17" s="20" t="str">
        <f t="shared" si="2"/>
        <v/>
      </c>
      <c r="N17" s="24"/>
      <c r="Q17" s="24">
        <f>Q7*H3*H4*J3*IFERROR(IF(J57=1, 1, 0), 0)</f>
        <v>205944048.80687928</v>
      </c>
    </row>
    <row r="18" spans="1:17" s="22" customFormat="1" ht="25" customHeight="1" x14ac:dyDescent="0.45">
      <c r="A18" s="20"/>
      <c r="B18" s="35"/>
      <c r="C18" s="73">
        <v>39</v>
      </c>
      <c r="D18" s="67">
        <f t="shared" si="3"/>
        <v>64</v>
      </c>
      <c r="E18" s="67">
        <f t="shared" si="0"/>
        <v>3</v>
      </c>
      <c r="F18" s="68">
        <f t="shared" si="4"/>
        <v>87.53</v>
      </c>
      <c r="G18" s="69">
        <f>IF(D18=D17,"",_xlfn.IFNA(VLOOKUP(D18,'인원 입력 기능(사과탐)'!$A$64:$D$116,4,FALSE),0))</f>
        <v>134</v>
      </c>
      <c r="H18" s="70">
        <f t="shared" si="1"/>
        <v>1.2135482702408985E-2</v>
      </c>
      <c r="I18" s="80">
        <f>SUM($G$7:G18)</f>
        <v>1444</v>
      </c>
      <c r="J18" s="72">
        <f t="shared" si="5"/>
        <v>0.1307734106140192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66">
        <v>38</v>
      </c>
      <c r="D19" s="67">
        <f t="shared" si="3"/>
        <v>63</v>
      </c>
      <c r="E19" s="67">
        <f t="shared" si="0"/>
        <v>3</v>
      </c>
      <c r="F19" s="68">
        <f t="shared" si="4"/>
        <v>86.31</v>
      </c>
      <c r="G19" s="69">
        <f>IF(D19=D18,"",_xlfn.IFNA(VLOOKUP(D19,'인원 입력 기능(사과탐)'!$A$64:$D$116,4,FALSE),0))</f>
        <v>135</v>
      </c>
      <c r="H19" s="70">
        <f t="shared" si="1"/>
        <v>1.2226046006158304E-2</v>
      </c>
      <c r="I19" s="80">
        <f>SUM($G$7:G19)</f>
        <v>1579</v>
      </c>
      <c r="J19" s="72">
        <f t="shared" si="5"/>
        <v>0.14299945662017752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73">
        <v>37</v>
      </c>
      <c r="D20" s="178">
        <f t="shared" si="3"/>
        <v>62</v>
      </c>
      <c r="E20" s="178">
        <f t="shared" si="0"/>
        <v>3</v>
      </c>
      <c r="F20" s="182">
        <f t="shared" si="4"/>
        <v>84.39</v>
      </c>
      <c r="G20" s="184">
        <f>IF(D20=D19,"",_xlfn.IFNA(VLOOKUP(D20,'인원 입력 기능(사과탐)'!$A$64:$D$116,4,FALSE),0))</f>
        <v>290</v>
      </c>
      <c r="H20" s="186">
        <f t="shared" si="1"/>
        <v>2.6263358087303026E-2</v>
      </c>
      <c r="I20" s="194">
        <f>SUM($G$7:G20)</f>
        <v>1869</v>
      </c>
      <c r="J20" s="176">
        <f t="shared" si="5"/>
        <v>0.16926281470748053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95">
        <v>36</v>
      </c>
      <c r="D21" s="179"/>
      <c r="E21" s="179"/>
      <c r="F21" s="183"/>
      <c r="G21" s="185"/>
      <c r="H21" s="187"/>
      <c r="I21" s="195"/>
      <c r="J21" s="177"/>
      <c r="K21" s="36"/>
      <c r="L21" s="20" t="str">
        <f t="shared" si="2"/>
        <v>경고</v>
      </c>
      <c r="N21" s="24"/>
    </row>
    <row r="22" spans="1:17" s="22" customFormat="1" ht="25" customHeight="1" x14ac:dyDescent="0.45">
      <c r="A22" s="20"/>
      <c r="B22" s="35"/>
      <c r="C22" s="81">
        <v>35</v>
      </c>
      <c r="D22" s="82">
        <f t="shared" si="3"/>
        <v>61</v>
      </c>
      <c r="E22" s="82">
        <f t="shared" si="0"/>
        <v>3</v>
      </c>
      <c r="F22" s="68">
        <f t="shared" si="4"/>
        <v>82.26</v>
      </c>
      <c r="G22" s="69">
        <f>IF(D22=D21,"",_xlfn.IFNA(VLOOKUP(D22,'인원 입력 기능(사과탐)'!$A$64:$D$116,4,FALSE),0))</f>
        <v>180</v>
      </c>
      <c r="H22" s="70">
        <f t="shared" si="1"/>
        <v>1.6301394674877741E-2</v>
      </c>
      <c r="I22" s="80">
        <f>SUM($G$7:G22)</f>
        <v>2049</v>
      </c>
      <c r="J22" s="72">
        <f t="shared" si="5"/>
        <v>0.18556420938235826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95">
        <v>34</v>
      </c>
      <c r="D23" s="82">
        <f t="shared" si="3"/>
        <v>60</v>
      </c>
      <c r="E23" s="82">
        <f t="shared" si="0"/>
        <v>3</v>
      </c>
      <c r="F23" s="68">
        <f t="shared" si="4"/>
        <v>80.62</v>
      </c>
      <c r="G23" s="69">
        <f>IF(D23=D22,"",_xlfn.IFNA(VLOOKUP(D23,'인원 입력 기능(사과탐)'!$A$64:$D$116,4,FALSE),0))</f>
        <v>181</v>
      </c>
      <c r="H23" s="70">
        <f t="shared" si="1"/>
        <v>1.639195797862706E-2</v>
      </c>
      <c r="I23" s="80">
        <f>SUM($G$7:G23)</f>
        <v>2230</v>
      </c>
      <c r="J23" s="72">
        <f t="shared" si="5"/>
        <v>0.20195616736098532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81">
        <v>33</v>
      </c>
      <c r="D24" s="82">
        <f t="shared" si="3"/>
        <v>59</v>
      </c>
      <c r="E24" s="82">
        <f t="shared" si="0"/>
        <v>3</v>
      </c>
      <c r="F24" s="68">
        <f t="shared" si="4"/>
        <v>79.03</v>
      </c>
      <c r="G24" s="69">
        <f>IF(D24=D23,"",_xlfn.IFNA(VLOOKUP(D24,'인원 입력 기능(사과탐)'!$A$64:$D$116,4,FALSE),0))</f>
        <v>170</v>
      </c>
      <c r="H24" s="70">
        <f t="shared" si="1"/>
        <v>1.5395761637384531E-2</v>
      </c>
      <c r="I24" s="80">
        <f>SUM($G$7:G24)</f>
        <v>2400</v>
      </c>
      <c r="J24" s="72">
        <f t="shared" si="5"/>
        <v>0.21735192899836986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95">
        <v>32</v>
      </c>
      <c r="D25" s="180">
        <f t="shared" si="3"/>
        <v>58</v>
      </c>
      <c r="E25" s="180">
        <f t="shared" si="0"/>
        <v>3</v>
      </c>
      <c r="F25" s="182">
        <f t="shared" si="4"/>
        <v>76.69</v>
      </c>
      <c r="G25" s="184">
        <f>IF(D25=D24,"",_xlfn.IFNA(VLOOKUP(D25,'인원 입력 기능(사과탐)'!$A$64:$D$116,4,FALSE),0))</f>
        <v>347</v>
      </c>
      <c r="H25" s="186">
        <f t="shared" si="1"/>
        <v>3.1425466401014311E-2</v>
      </c>
      <c r="I25" s="194">
        <f>SUM($G$7:G25)</f>
        <v>2747</v>
      </c>
      <c r="J25" s="176">
        <f t="shared" si="5"/>
        <v>0.24877739539938418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81">
        <v>31</v>
      </c>
      <c r="D26" s="181"/>
      <c r="E26" s="181"/>
      <c r="F26" s="183"/>
      <c r="G26" s="185"/>
      <c r="H26" s="187"/>
      <c r="I26" s="195"/>
      <c r="J26" s="177"/>
      <c r="K26" s="36"/>
      <c r="L26" s="20" t="str">
        <f t="shared" si="2"/>
        <v>경고</v>
      </c>
      <c r="N26" s="24"/>
    </row>
    <row r="27" spans="1:17" s="22" customFormat="1" ht="25" customHeight="1" x14ac:dyDescent="0.45">
      <c r="A27" s="20"/>
      <c r="B27" s="35"/>
      <c r="C27" s="95">
        <v>30</v>
      </c>
      <c r="D27" s="82">
        <f t="shared" si="3"/>
        <v>57</v>
      </c>
      <c r="E27" s="82">
        <f t="shared" si="0"/>
        <v>4</v>
      </c>
      <c r="F27" s="68">
        <f t="shared" si="4"/>
        <v>74.22</v>
      </c>
      <c r="G27" s="69">
        <f>IF(D27=D26,"",_xlfn.IFNA(VLOOKUP(D27,'인원 입력 기능(사과탐)'!$A$64:$D$116,4,FALSE),0))</f>
        <v>199</v>
      </c>
      <c r="H27" s="70">
        <f t="shared" si="1"/>
        <v>1.8022097446114833E-2</v>
      </c>
      <c r="I27" s="80">
        <f>SUM($G$7:G27)</f>
        <v>2946</v>
      </c>
      <c r="J27" s="72">
        <f t="shared" si="5"/>
        <v>0.26679949284549903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81">
        <v>29</v>
      </c>
      <c r="D28" s="82">
        <f t="shared" si="3"/>
        <v>56</v>
      </c>
      <c r="E28" s="82">
        <f t="shared" si="0"/>
        <v>4</v>
      </c>
      <c r="F28" s="68">
        <f t="shared" si="4"/>
        <v>72.41</v>
      </c>
      <c r="G28" s="69">
        <f>IF(D28=D27,"",_xlfn.IFNA(VLOOKUP(D28,'인원 입력 기능(사과탐)'!$A$64:$D$116,4,FALSE),0))</f>
        <v>202</v>
      </c>
      <c r="H28" s="70">
        <f t="shared" si="1"/>
        <v>1.8293787357362798E-2</v>
      </c>
      <c r="I28" s="80">
        <f>SUM($G$7:G28)</f>
        <v>3148</v>
      </c>
      <c r="J28" s="72">
        <f t="shared" si="5"/>
        <v>0.28509328020286179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95">
        <v>28</v>
      </c>
      <c r="D29" s="82">
        <f t="shared" si="3"/>
        <v>55</v>
      </c>
      <c r="E29" s="82">
        <f t="shared" si="0"/>
        <v>4</v>
      </c>
      <c r="F29" s="68">
        <f t="shared" si="4"/>
        <v>70.48</v>
      </c>
      <c r="G29" s="69">
        <f>IF(D29=D28,"",_xlfn.IFNA(VLOOKUP(D29,'인원 입력 기능(사과탐)'!$A$64:$D$116,4,FALSE),0))</f>
        <v>224</v>
      </c>
      <c r="H29" s="70">
        <f t="shared" si="1"/>
        <v>2.0286180039847855E-2</v>
      </c>
      <c r="I29" s="80">
        <f>SUM($G$7:G29)</f>
        <v>3372</v>
      </c>
      <c r="J29" s="72">
        <f t="shared" si="5"/>
        <v>0.30537946024270968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81">
        <v>27</v>
      </c>
      <c r="D30" s="180">
        <f t="shared" si="3"/>
        <v>54</v>
      </c>
      <c r="E30" s="180">
        <f t="shared" si="0"/>
        <v>4</v>
      </c>
      <c r="F30" s="182">
        <f t="shared" si="4"/>
        <v>67.58</v>
      </c>
      <c r="G30" s="184">
        <f>IF(D30=D29,"",_xlfn.IFNA(VLOOKUP(D30,'인원 입력 기능(사과탐)'!$A$64:$D$116,4,FALSE),0))</f>
        <v>416</v>
      </c>
      <c r="H30" s="186">
        <f t="shared" si="1"/>
        <v>3.767433435971744E-2</v>
      </c>
      <c r="I30" s="194">
        <f>SUM($G$7:G30)</f>
        <v>3788</v>
      </c>
      <c r="J30" s="176">
        <f t="shared" si="5"/>
        <v>0.34305379460242708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95">
        <v>26</v>
      </c>
      <c r="D31" s="181"/>
      <c r="E31" s="181"/>
      <c r="F31" s="183"/>
      <c r="G31" s="185"/>
      <c r="H31" s="187"/>
      <c r="I31" s="195"/>
      <c r="J31" s="177"/>
      <c r="K31" s="36"/>
      <c r="L31" s="20" t="str">
        <f t="shared" si="2"/>
        <v>경고</v>
      </c>
      <c r="N31" s="24"/>
    </row>
    <row r="32" spans="1:17" s="22" customFormat="1" ht="25" customHeight="1" x14ac:dyDescent="0.45">
      <c r="A32" s="20"/>
      <c r="B32" s="35"/>
      <c r="C32" s="81">
        <v>25</v>
      </c>
      <c r="D32" s="82">
        <f t="shared" si="3"/>
        <v>53</v>
      </c>
      <c r="E32" s="82">
        <f t="shared" si="0"/>
        <v>4</v>
      </c>
      <c r="F32" s="68">
        <f t="shared" si="4"/>
        <v>64.5</v>
      </c>
      <c r="G32" s="69">
        <f>IF(D32=D31,"",_xlfn.IFNA(VLOOKUP(D32,'인원 입력 기능(사과탐)'!$A$64:$D$116,4,FALSE),0))</f>
        <v>264</v>
      </c>
      <c r="H32" s="70">
        <f t="shared" si="1"/>
        <v>2.3908712189820686E-2</v>
      </c>
      <c r="I32" s="80">
        <f>SUM($G$7:G32)</f>
        <v>4052</v>
      </c>
      <c r="J32" s="72">
        <f t="shared" si="5"/>
        <v>0.36696250679224779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95">
        <v>24</v>
      </c>
      <c r="D33" s="82">
        <f t="shared" si="3"/>
        <v>52</v>
      </c>
      <c r="E33" s="82">
        <f t="shared" si="0"/>
        <v>4</v>
      </c>
      <c r="F33" s="68">
        <f t="shared" si="4"/>
        <v>62.22</v>
      </c>
      <c r="G33" s="69">
        <f>IF(D33=D32,"",_xlfn.IFNA(VLOOKUP(D33,'인원 입력 기능(사과탐)'!$A$64:$D$116,4,FALSE),0))</f>
        <v>239</v>
      </c>
      <c r="H33" s="70">
        <f t="shared" si="1"/>
        <v>2.1644629596087664E-2</v>
      </c>
      <c r="I33" s="80">
        <f>SUM($G$7:G33)</f>
        <v>4291</v>
      </c>
      <c r="J33" s="72">
        <f t="shared" si="5"/>
        <v>0.38860713638833544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81">
        <v>23</v>
      </c>
      <c r="D34" s="82">
        <f t="shared" si="3"/>
        <v>51</v>
      </c>
      <c r="E34" s="82">
        <f t="shared" si="0"/>
        <v>4</v>
      </c>
      <c r="F34" s="68">
        <f t="shared" si="4"/>
        <v>59.99</v>
      </c>
      <c r="G34" s="69">
        <f>IF(D34=D33,"",_xlfn.IFNA(VLOOKUP(D34,'인원 입력 기능(사과탐)'!$A$64:$D$116,4,FALSE),0))</f>
        <v>254</v>
      </c>
      <c r="H34" s="70">
        <f t="shared" si="1"/>
        <v>2.3003079152327476E-2</v>
      </c>
      <c r="I34" s="80">
        <f>SUM($G$7:G34)</f>
        <v>4545</v>
      </c>
      <c r="J34" s="72">
        <f t="shared" si="5"/>
        <v>0.4116102155406629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95">
        <v>22</v>
      </c>
      <c r="D35" s="180">
        <f t="shared" si="3"/>
        <v>50</v>
      </c>
      <c r="E35" s="180">
        <f t="shared" si="0"/>
        <v>5</v>
      </c>
      <c r="F35" s="182">
        <f t="shared" si="4"/>
        <v>56.65</v>
      </c>
      <c r="G35" s="184">
        <f>IF(D35=D34,"",_xlfn.IFNA(VLOOKUP(D35,'인원 입력 기능(사과탐)'!$A$64:$D$116,4,FALSE),0))</f>
        <v>484</v>
      </c>
      <c r="H35" s="186">
        <f t="shared" si="1"/>
        <v>4.3832639014671257E-2</v>
      </c>
      <c r="I35" s="194">
        <f>SUM($G$7:G35)</f>
        <v>5029</v>
      </c>
      <c r="J35" s="176">
        <f t="shared" si="5"/>
        <v>0.45544285455533418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81">
        <v>21</v>
      </c>
      <c r="D36" s="181"/>
      <c r="E36" s="181"/>
      <c r="F36" s="183"/>
      <c r="G36" s="185"/>
      <c r="H36" s="187"/>
      <c r="I36" s="195"/>
      <c r="J36" s="177"/>
      <c r="K36" s="36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5"/>
      <c r="C37" s="95">
        <v>20</v>
      </c>
      <c r="D37" s="82">
        <f t="shared" si="3"/>
        <v>49</v>
      </c>
      <c r="E37" s="82">
        <f t="shared" si="0"/>
        <v>5</v>
      </c>
      <c r="F37" s="68">
        <f t="shared" si="4"/>
        <v>53.11</v>
      </c>
      <c r="G37" s="69">
        <f>IF(D37=D36,"",_xlfn.IFNA(VLOOKUP(D37,'인원 입력 기능(사과탐)'!$A$64:$D$116,4,FALSE),0))</f>
        <v>298</v>
      </c>
      <c r="H37" s="70">
        <f t="shared" si="1"/>
        <v>2.698786451729759E-2</v>
      </c>
      <c r="I37" s="80">
        <f>SUM($G$7:G37)</f>
        <v>5327</v>
      </c>
      <c r="J37" s="72">
        <f t="shared" si="5"/>
        <v>0.4824307190726318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81">
        <v>19</v>
      </c>
      <c r="D38" s="82">
        <f t="shared" si="3"/>
        <v>48</v>
      </c>
      <c r="E38" s="82">
        <f t="shared" si="0"/>
        <v>5</v>
      </c>
      <c r="F38" s="68">
        <f t="shared" si="4"/>
        <v>50.45</v>
      </c>
      <c r="G38" s="69">
        <f>IF(D38=D37,"",_xlfn.IFNA(VLOOKUP(D38,'인원 입력 기능(사과탐)'!$A$64:$D$116,4,FALSE),0))</f>
        <v>288</v>
      </c>
      <c r="H38" s="70">
        <f t="shared" si="1"/>
        <v>2.6082231479804385E-2</v>
      </c>
      <c r="I38" s="80">
        <f>SUM($G$7:G38)</f>
        <v>5615</v>
      </c>
      <c r="J38" s="72">
        <f t="shared" si="5"/>
        <v>0.50851295055243617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95">
        <v>18</v>
      </c>
      <c r="D39" s="180">
        <f t="shared" si="3"/>
        <v>47</v>
      </c>
      <c r="E39" s="18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182">
        <f t="shared" si="4"/>
        <v>46.33</v>
      </c>
      <c r="G39" s="184">
        <f>IF(D39=D38,"",_xlfn.IFNA(VLOOKUP(D39,'인원 입력 기능(사과탐)'!$A$64:$D$116,4,FALSE),0))</f>
        <v>623</v>
      </c>
      <c r="H39" s="186">
        <f t="shared" si="1"/>
        <v>5.6420938235826841E-2</v>
      </c>
      <c r="I39" s="194">
        <f>SUM($G$7:G39)</f>
        <v>6238</v>
      </c>
      <c r="J39" s="176">
        <f t="shared" si="5"/>
        <v>0.56493388878826301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81">
        <v>17</v>
      </c>
      <c r="D40" s="181"/>
      <c r="E40" s="181"/>
      <c r="F40" s="183"/>
      <c r="G40" s="185"/>
      <c r="H40" s="187"/>
      <c r="I40" s="195"/>
      <c r="J40" s="177"/>
      <c r="K40" s="36"/>
      <c r="L40" s="20" t="str">
        <f t="shared" si="2"/>
        <v>경고</v>
      </c>
      <c r="N40" s="24"/>
    </row>
    <row r="41" spans="1:14" s="22" customFormat="1" ht="25" customHeight="1" x14ac:dyDescent="0.45">
      <c r="A41" s="20"/>
      <c r="B41" s="35"/>
      <c r="C41" s="95">
        <v>16</v>
      </c>
      <c r="D41" s="82">
        <f t="shared" si="3"/>
        <v>46</v>
      </c>
      <c r="E41" s="82">
        <f t="shared" si="6"/>
        <v>5</v>
      </c>
      <c r="F41" s="68">
        <f t="shared" si="4"/>
        <v>42.1</v>
      </c>
      <c r="G41" s="69">
        <f>IF(D41=D40,"",_xlfn.IFNA(VLOOKUP(D41,'인원 입력 기능(사과탐)'!$A$64:$D$116,4,FALSE),0))</f>
        <v>310</v>
      </c>
      <c r="H41" s="70">
        <f t="shared" si="1"/>
        <v>2.8074624162289442E-2</v>
      </c>
      <c r="I41" s="80">
        <f>SUM($G$7:G41)</f>
        <v>6548</v>
      </c>
      <c r="J41" s="72">
        <f t="shared" si="5"/>
        <v>0.59300851295055246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81">
        <v>15</v>
      </c>
      <c r="D42" s="82">
        <f t="shared" si="3"/>
        <v>45</v>
      </c>
      <c r="E42" s="82">
        <f t="shared" si="6"/>
        <v>5</v>
      </c>
      <c r="F42" s="68">
        <f t="shared" si="4"/>
        <v>38.93</v>
      </c>
      <c r="G42" s="69">
        <f>IF(D42=D41,"",_xlfn.IFNA(VLOOKUP(D42,'인원 입력 기능(사과탐)'!$A$64:$D$116,4,FALSE),0))</f>
        <v>390</v>
      </c>
      <c r="H42" s="70">
        <f t="shared" si="1"/>
        <v>3.5319688462235099E-2</v>
      </c>
      <c r="I42" s="80">
        <f>SUM($G$7:G42)</f>
        <v>6938</v>
      </c>
      <c r="J42" s="72">
        <f t="shared" si="5"/>
        <v>0.62832820141278756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95">
        <v>14</v>
      </c>
      <c r="D43" s="82">
        <f t="shared" si="3"/>
        <v>44</v>
      </c>
      <c r="E43" s="82">
        <f t="shared" si="6"/>
        <v>6</v>
      </c>
      <c r="F43" s="68">
        <f t="shared" si="4"/>
        <v>35.71</v>
      </c>
      <c r="G43" s="69">
        <f>IF(D43=D42,"",_xlfn.IFNA(VLOOKUP(D43,'인원 입력 기능(사과탐)'!$A$64:$D$116,4,FALSE),0))</f>
        <v>322</v>
      </c>
      <c r="H43" s="70">
        <f t="shared" si="1"/>
        <v>2.9161383807281289E-2</v>
      </c>
      <c r="I43" s="80">
        <f>SUM($G$7:G43)</f>
        <v>7260</v>
      </c>
      <c r="J43" s="72">
        <f t="shared" si="5"/>
        <v>0.65748958522006884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81">
        <v>13</v>
      </c>
      <c r="D44" s="180">
        <f t="shared" si="3"/>
        <v>43</v>
      </c>
      <c r="E44" s="180">
        <f t="shared" si="6"/>
        <v>6</v>
      </c>
      <c r="F44" s="182">
        <f t="shared" si="4"/>
        <v>29.7</v>
      </c>
      <c r="G44" s="184">
        <f>IF(D44=D43,"",_xlfn.IFNA(VLOOKUP(D44,'인원 입력 기능(사과탐)'!$A$64:$D$116,4,FALSE),0))</f>
        <v>1006</v>
      </c>
      <c r="H44" s="186">
        <f t="shared" si="1"/>
        <v>9.1106683571816699E-2</v>
      </c>
      <c r="I44" s="194">
        <f>SUM($G$7:G44)</f>
        <v>8266</v>
      </c>
      <c r="J44" s="176">
        <f t="shared" si="5"/>
        <v>0.74859626879188557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95">
        <v>12</v>
      </c>
      <c r="D45" s="181"/>
      <c r="E45" s="181"/>
      <c r="F45" s="183"/>
      <c r="G45" s="185"/>
      <c r="H45" s="187"/>
      <c r="I45" s="195"/>
      <c r="J45" s="177"/>
      <c r="K45" s="36"/>
      <c r="L45" s="20" t="str">
        <f t="shared" si="2"/>
        <v>경고</v>
      </c>
      <c r="N45" s="24"/>
    </row>
    <row r="46" spans="1:14" s="22" customFormat="1" ht="25" customHeight="1" x14ac:dyDescent="0.45">
      <c r="A46" s="20"/>
      <c r="B46" s="35"/>
      <c r="C46" s="81">
        <v>11</v>
      </c>
      <c r="D46" s="82">
        <f t="shared" si="3"/>
        <v>42</v>
      </c>
      <c r="E46" s="82">
        <f t="shared" si="6"/>
        <v>6</v>
      </c>
      <c r="F46" s="68">
        <f t="shared" si="4"/>
        <v>22.71</v>
      </c>
      <c r="G46" s="69">
        <f>IF(D46=D45,"",_xlfn.IFNA(VLOOKUP(D46,'인원 입력 기능(사과탐)'!$A$64:$D$116,4,FALSE),0))</f>
        <v>536</v>
      </c>
      <c r="H46" s="70">
        <f t="shared" si="1"/>
        <v>4.8541930809635939E-2</v>
      </c>
      <c r="I46" s="80">
        <f>SUM($G$7:G46)</f>
        <v>8802</v>
      </c>
      <c r="J46" s="72">
        <f t="shared" si="5"/>
        <v>0.79713819960152144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95">
        <v>10</v>
      </c>
      <c r="D47" s="82">
        <f t="shared" si="3"/>
        <v>41</v>
      </c>
      <c r="E47" s="82">
        <f t="shared" si="6"/>
        <v>7</v>
      </c>
      <c r="F47" s="68">
        <f t="shared" si="4"/>
        <v>18.77</v>
      </c>
      <c r="G47" s="69">
        <f>IF(D47=D46,"",_xlfn.IFNA(VLOOKUP(D47,'인원 입력 기능(사과탐)'!$A$64:$D$116,4,FALSE),0))</f>
        <v>335</v>
      </c>
      <c r="H47" s="70">
        <f t="shared" si="1"/>
        <v>3.033870675602246E-2</v>
      </c>
      <c r="I47" s="80">
        <f>SUM($G$7:G47)</f>
        <v>9137</v>
      </c>
      <c r="J47" s="72">
        <f t="shared" si="5"/>
        <v>0.8274769063575439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81">
        <v>9</v>
      </c>
      <c r="D48" s="82">
        <f t="shared" si="3"/>
        <v>40</v>
      </c>
      <c r="E48" s="82">
        <f t="shared" si="6"/>
        <v>7</v>
      </c>
      <c r="F48" s="68">
        <f t="shared" si="4"/>
        <v>16.149999999999999</v>
      </c>
      <c r="G48" s="69">
        <f>IF(D48=D47,"",_xlfn.IFNA(VLOOKUP(D48,'인원 입력 기능(사과탐)'!$A$64:$D$116,4,FALSE),0))</f>
        <v>244</v>
      </c>
      <c r="H48" s="70">
        <f t="shared" si="1"/>
        <v>2.209744611483427E-2</v>
      </c>
      <c r="I48" s="80">
        <f>SUM($G$7:G48)</f>
        <v>9381</v>
      </c>
      <c r="J48" s="72">
        <f t="shared" si="5"/>
        <v>0.84957435247237822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95">
        <v>8</v>
      </c>
      <c r="D49" s="180">
        <f t="shared" si="3"/>
        <v>39</v>
      </c>
      <c r="E49" s="180">
        <f t="shared" si="6"/>
        <v>7</v>
      </c>
      <c r="F49" s="182">
        <f t="shared" si="4"/>
        <v>12.83</v>
      </c>
      <c r="G49" s="184">
        <f>IF(D49=D48,"",_xlfn.IFNA(VLOOKUP(D49,'인원 입력 기능(사과탐)'!$A$64:$D$116,4,FALSE),0))</f>
        <v>489</v>
      </c>
      <c r="H49" s="186">
        <f t="shared" si="1"/>
        <v>4.428545553341786E-2</v>
      </c>
      <c r="I49" s="194">
        <f>SUM($G$7:G49)</f>
        <v>9870</v>
      </c>
      <c r="J49" s="176">
        <f t="shared" si="5"/>
        <v>0.89385980800579601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81">
        <v>7</v>
      </c>
      <c r="D50" s="181"/>
      <c r="E50" s="181"/>
      <c r="F50" s="183"/>
      <c r="G50" s="185"/>
      <c r="H50" s="187"/>
      <c r="I50" s="195"/>
      <c r="J50" s="177"/>
      <c r="K50" s="36"/>
      <c r="L50" s="20" t="str">
        <f t="shared" si="2"/>
        <v>경고</v>
      </c>
      <c r="N50" s="24"/>
    </row>
    <row r="51" spans="1:14" s="22" customFormat="1" ht="25" customHeight="1" x14ac:dyDescent="0.45">
      <c r="A51" s="20"/>
      <c r="B51" s="35"/>
      <c r="C51" s="95">
        <v>6</v>
      </c>
      <c r="D51" s="82">
        <f t="shared" si="3"/>
        <v>38</v>
      </c>
      <c r="E51" s="82">
        <f t="shared" si="6"/>
        <v>8</v>
      </c>
      <c r="F51" s="68">
        <f t="shared" si="4"/>
        <v>10.02</v>
      </c>
      <c r="G51" s="69">
        <f>IF(D51=D50,"",_xlfn.IFNA(VLOOKUP(D51,'인원 입력 기능(사과탐)'!$A$64:$D$116,4,FALSE),0))</f>
        <v>131</v>
      </c>
      <c r="H51" s="70">
        <f t="shared" si="1"/>
        <v>1.1863792791161022E-2</v>
      </c>
      <c r="I51" s="80">
        <f>SUM($G$7:G51)</f>
        <v>10001</v>
      </c>
      <c r="J51" s="72">
        <f t="shared" si="5"/>
        <v>0.90572360079695702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81">
        <v>5</v>
      </c>
      <c r="D52" s="82">
        <f t="shared" si="3"/>
        <v>37</v>
      </c>
      <c r="E52" s="82">
        <f t="shared" si="6"/>
        <v>8</v>
      </c>
      <c r="F52" s="68">
        <f t="shared" si="4"/>
        <v>8.7200000000000006</v>
      </c>
      <c r="G52" s="69">
        <f>IF(D52=D51,"",_xlfn.IFNA(VLOOKUP(D52,'인원 입력 기능(사과탐)'!$A$64:$D$116,4,FALSE),0))</f>
        <v>157</v>
      </c>
      <c r="H52" s="70">
        <f t="shared" si="1"/>
        <v>1.4218438688643361E-2</v>
      </c>
      <c r="I52" s="80">
        <f>SUM($G$7:G52)</f>
        <v>10158</v>
      </c>
      <c r="J52" s="72">
        <f t="shared" si="5"/>
        <v>0.91994203948560038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66">
        <v>4</v>
      </c>
      <c r="D53" s="67">
        <f t="shared" si="3"/>
        <v>36</v>
      </c>
      <c r="E53" s="67">
        <f t="shared" si="6"/>
        <v>8</v>
      </c>
      <c r="F53" s="68">
        <f t="shared" si="4"/>
        <v>4.74</v>
      </c>
      <c r="G53" s="69">
        <f>IF(D53=D52,"",_xlfn.IFNA(VLOOKUP(D53,'인원 입력 기능(사과탐)'!$A$64:$D$116,4,FALSE),0))</f>
        <v>722</v>
      </c>
      <c r="H53" s="70">
        <f t="shared" si="1"/>
        <v>6.5386705307009602E-2</v>
      </c>
      <c r="I53" s="80">
        <f>SUM($G$7:G53)</f>
        <v>10880</v>
      </c>
      <c r="J53" s="72">
        <f t="shared" si="5"/>
        <v>0.98532874479261001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73">
        <v>3</v>
      </c>
      <c r="D54" s="178">
        <f t="shared" si="3"/>
        <v>35</v>
      </c>
      <c r="E54" s="178">
        <f t="shared" si="6"/>
        <v>9</v>
      </c>
      <c r="F54" s="182">
        <f t="shared" si="4"/>
        <v>0.93</v>
      </c>
      <c r="G54" s="184">
        <f>IF(D54=D53,"",_xlfn.IFNA(VLOOKUP(D54,'인원 입력 기능(사과탐)'!$A$64:$D$116,4,FALSE),0))</f>
        <v>118</v>
      </c>
      <c r="H54" s="186">
        <f t="shared" si="1"/>
        <v>1.0686469842419851E-2</v>
      </c>
      <c r="I54" s="194">
        <f>SUM($G$7:G54)</f>
        <v>10998</v>
      </c>
      <c r="J54" s="176">
        <f t="shared" si="5"/>
        <v>0.99601521463502984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66">
        <v>2</v>
      </c>
      <c r="D55" s="179"/>
      <c r="E55" s="179"/>
      <c r="F55" s="183"/>
      <c r="G55" s="185"/>
      <c r="H55" s="187"/>
      <c r="I55" s="195"/>
      <c r="J55" s="177"/>
      <c r="K55" s="36"/>
      <c r="L55" s="20" t="str">
        <f t="shared" si="2"/>
        <v>경고</v>
      </c>
      <c r="N55" s="24"/>
    </row>
    <row r="56" spans="1:14" s="22" customFormat="1" ht="25" customHeight="1" x14ac:dyDescent="0.45">
      <c r="A56" s="20"/>
      <c r="B56" s="35"/>
      <c r="C56" s="73">
        <v>1</v>
      </c>
      <c r="D56" s="74" t="s">
        <v>59</v>
      </c>
      <c r="E56" s="74"/>
      <c r="F56" s="75"/>
      <c r="G56" s="96"/>
      <c r="H56" s="94"/>
      <c r="I56" s="84"/>
      <c r="J56" s="79"/>
      <c r="K56" s="36"/>
      <c r="L56" s="20"/>
      <c r="N56" s="24"/>
    </row>
    <row r="57" spans="1:14" s="22" customFormat="1" ht="25" customHeight="1" thickBot="1" x14ac:dyDescent="0.5">
      <c r="A57" s="20"/>
      <c r="B57" s="35"/>
      <c r="C57" s="97">
        <v>0</v>
      </c>
      <c r="D57" s="86">
        <f>ROUND(10*(C57-$H$3)/$H$4+50,0)</f>
        <v>33</v>
      </c>
      <c r="E57" s="98">
        <f t="shared" si="6"/>
        <v>9</v>
      </c>
      <c r="F57" s="87">
        <f>IF(I55=0,ROUND(100*(1-(I54+I57)/2/$J$3),2),ROUND(100*(1-(I55+I57)/2/$J$3),2))</f>
        <v>0.2</v>
      </c>
      <c r="G57" s="99">
        <f>_xlfn.IFNA(VLOOKUP(D57,'인원 입력 기능(사과탐)'!$A$64:$D$116,4,FALSE),0)</f>
        <v>44</v>
      </c>
      <c r="H57" s="89">
        <f>G57/$J$3</f>
        <v>3.9847853649701143E-3</v>
      </c>
      <c r="I57" s="90">
        <f>SUM($G$7:G57)</f>
        <v>11042</v>
      </c>
      <c r="J57" s="100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72">
    <mergeCell ref="D3:F3"/>
    <mergeCell ref="D4:F4"/>
    <mergeCell ref="D11:D12"/>
    <mergeCell ref="E11:E12"/>
    <mergeCell ref="F11:F12"/>
    <mergeCell ref="G11:G12"/>
    <mergeCell ref="H11:H12"/>
    <mergeCell ref="I11:I12"/>
    <mergeCell ref="J11:J12"/>
    <mergeCell ref="D15:D16"/>
    <mergeCell ref="E15:E16"/>
    <mergeCell ref="F15:F16"/>
    <mergeCell ref="G15:G16"/>
    <mergeCell ref="H15:H16"/>
    <mergeCell ref="I15:I16"/>
    <mergeCell ref="J15:J16"/>
    <mergeCell ref="I20:I21"/>
    <mergeCell ref="J20:J21"/>
    <mergeCell ref="D25:D26"/>
    <mergeCell ref="E25:E26"/>
    <mergeCell ref="F25:F26"/>
    <mergeCell ref="G25:G26"/>
    <mergeCell ref="H25:H26"/>
    <mergeCell ref="I25:I26"/>
    <mergeCell ref="J25:J26"/>
    <mergeCell ref="D20:D21"/>
    <mergeCell ref="E20:E21"/>
    <mergeCell ref="F20:F21"/>
    <mergeCell ref="G20:G21"/>
    <mergeCell ref="H20:H21"/>
    <mergeCell ref="I30:I31"/>
    <mergeCell ref="J30:J31"/>
    <mergeCell ref="D35:D36"/>
    <mergeCell ref="E35:E36"/>
    <mergeCell ref="F35:F36"/>
    <mergeCell ref="G35:G36"/>
    <mergeCell ref="H35:H36"/>
    <mergeCell ref="I35:I36"/>
    <mergeCell ref="J35:J36"/>
    <mergeCell ref="D30:D31"/>
    <mergeCell ref="E30:E31"/>
    <mergeCell ref="F30:F31"/>
    <mergeCell ref="G30:G31"/>
    <mergeCell ref="H30:H31"/>
    <mergeCell ref="I39:I40"/>
    <mergeCell ref="J39:J40"/>
    <mergeCell ref="D44:D45"/>
    <mergeCell ref="E44:E45"/>
    <mergeCell ref="F44:F45"/>
    <mergeCell ref="G44:G45"/>
    <mergeCell ref="H44:H45"/>
    <mergeCell ref="I44:I45"/>
    <mergeCell ref="J44:J45"/>
    <mergeCell ref="D39:D40"/>
    <mergeCell ref="E39:E40"/>
    <mergeCell ref="F39:F40"/>
    <mergeCell ref="G39:G40"/>
    <mergeCell ref="H39:H40"/>
    <mergeCell ref="I49:I50"/>
    <mergeCell ref="J49:J50"/>
    <mergeCell ref="D54:D55"/>
    <mergeCell ref="E54:E55"/>
    <mergeCell ref="F54:F55"/>
    <mergeCell ref="G54:G55"/>
    <mergeCell ref="H54:H55"/>
    <mergeCell ref="I54:I55"/>
    <mergeCell ref="J54:J55"/>
    <mergeCell ref="D49:D50"/>
    <mergeCell ref="E49:E50"/>
    <mergeCell ref="F49:F50"/>
    <mergeCell ref="G49:G50"/>
    <mergeCell ref="H49:H50"/>
  </mergeCells>
  <phoneticPr fontId="1" type="noConversion"/>
  <conditionalFormatting sqref="D7:G11 I7:J11 D13:G15 I13:J15 D17:G20 I17:J20 D22:G25 I22:J25 D27:G30 I27:J30 D32:G35 I32:J35 D37:G39 I37:J39 D41:G44 I41:J44 D46:G49 I46:J49 D51:G54 I51:J54 D56:G57 I56:J57">
    <cfRule type="expression" dxfId="58" priority="4">
      <formula>OR($D7=$Q$7:$Q$14)</formula>
    </cfRule>
  </conditionalFormatting>
  <conditionalFormatting sqref="C7:C57">
    <cfRule type="expression" dxfId="57" priority="3">
      <formula>OR(AND($D7=0,OR($D6=$Q$7:$Q$14)),AND($D8&gt;0,OR($D7=$Q$7:$Q$14)))</formula>
    </cfRule>
  </conditionalFormatting>
  <conditionalFormatting sqref="D7:D11 D13:D15 D17:D20 D22:D25 D27:D30 D32:D35 D37:D39 D41:D44 D46:D49 D51:D54 D56:D57">
    <cfRule type="expression" dxfId="56" priority="2">
      <formula>$D7=$D8</formula>
    </cfRule>
  </conditionalFormatting>
  <conditionalFormatting sqref="H7:H11 H13:H15 H17:H20 H22:H25 H27:H30 H32:H35 H37:H39 H41:H44 H46:H49 H51:H54 H56:H57">
    <cfRule type="expression" dxfId="55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DF1D-98F8-4FEC-A704-989E46CB810A}">
  <sheetPr codeName="Sheet15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113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기능'!D13</f>
        <v>21.008459149801901</v>
      </c>
      <c r="I3" s="21" t="s">
        <v>117</v>
      </c>
      <c r="J3" s="58">
        <f>'통계 및 응시자 수 입력 기능'!C13</f>
        <v>18678</v>
      </c>
      <c r="K3" s="36"/>
      <c r="L3" s="20"/>
    </row>
    <row r="4" spans="1:17" s="22" customFormat="1" ht="25" customHeight="1" thickBot="1" x14ac:dyDescent="0.5">
      <c r="A4" s="20"/>
      <c r="B4" s="35"/>
      <c r="C4" s="59" t="s">
        <v>118</v>
      </c>
      <c r="D4" s="191" t="s">
        <v>146</v>
      </c>
      <c r="E4" s="192"/>
      <c r="F4" s="193"/>
      <c r="G4" s="60" t="s">
        <v>120</v>
      </c>
      <c r="H4" s="61">
        <f>'통계 및 응시자 수 입력 기능'!E13</f>
        <v>10.742936240082599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62" t="s">
        <v>121</v>
      </c>
      <c r="D6" s="63" t="s">
        <v>122</v>
      </c>
      <c r="E6" s="63" t="s">
        <v>123</v>
      </c>
      <c r="F6" s="63" t="s">
        <v>124</v>
      </c>
      <c r="G6" s="63" t="s">
        <v>125</v>
      </c>
      <c r="H6" s="63" t="s">
        <v>126</v>
      </c>
      <c r="I6" s="64" t="s">
        <v>127</v>
      </c>
      <c r="J6" s="65" t="s">
        <v>128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66">
        <v>50</v>
      </c>
      <c r="D7" s="67">
        <f>ROUND(10*(C7-$H$3)/$H$4+50,0)</f>
        <v>77</v>
      </c>
      <c r="E7" s="67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8">
        <f>ROUND(100*(1-(0+I7)/2/$J$3),2)</f>
        <v>99.39</v>
      </c>
      <c r="G7" s="69">
        <f>_xlfn.IFNA(VLOOKUP(D7,'인원 입력 기능(사과탐)'!$F$64:$I$116,4,FALSE),0)</f>
        <v>229</v>
      </c>
      <c r="H7" s="70">
        <f>G7/$J$3</f>
        <v>1.2260413320483991E-2</v>
      </c>
      <c r="I7" s="71">
        <f>G7</f>
        <v>229</v>
      </c>
      <c r="J7" s="72">
        <f>I7/$J$3</f>
        <v>1.2260413320483991E-2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기능'!C85</f>
        <v>71</v>
      </c>
    </row>
    <row r="8" spans="1:17" s="22" customFormat="1" ht="25" customHeight="1" x14ac:dyDescent="0.45">
      <c r="A8" s="20"/>
      <c r="B8" s="35"/>
      <c r="C8" s="73">
        <v>49</v>
      </c>
      <c r="D8" s="74" t="s">
        <v>59</v>
      </c>
      <c r="E8" s="74"/>
      <c r="F8" s="75"/>
      <c r="G8" s="76"/>
      <c r="H8" s="94"/>
      <c r="I8" s="78"/>
      <c r="J8" s="79"/>
      <c r="K8" s="36"/>
      <c r="L8" s="20"/>
      <c r="N8" s="24"/>
      <c r="P8" s="24">
        <v>2</v>
      </c>
      <c r="Q8" s="24">
        <f>'표점등급&amp;절평인원 입력 기능'!C86</f>
        <v>64</v>
      </c>
    </row>
    <row r="9" spans="1:17" s="22" customFormat="1" ht="25" customHeight="1" x14ac:dyDescent="0.45">
      <c r="A9" s="20"/>
      <c r="B9" s="35"/>
      <c r="C9" s="66">
        <v>48</v>
      </c>
      <c r="D9" s="67">
        <f>ROUND(10*(C9-$H$3)/$H$4+50,0)</f>
        <v>75</v>
      </c>
      <c r="E9" s="67">
        <f t="shared" si="0"/>
        <v>1</v>
      </c>
      <c r="F9" s="68">
        <f>IF(I8=0,ROUND(100*(1-(I7+I9)/2/$J$3),2),ROUND(100*(1-(I8+I9)/2/$J$3),2))</f>
        <v>98.6</v>
      </c>
      <c r="G9" s="69">
        <f>_xlfn.IFNA(VLOOKUP(D9,'인원 입력 기능(사과탐)'!$F$64:$I$116,4,FALSE),0)</f>
        <v>64</v>
      </c>
      <c r="H9" s="70">
        <f t="shared" ref="H9:H55" si="1">G9/$J$3</f>
        <v>3.4264910589998929E-3</v>
      </c>
      <c r="I9" s="80">
        <f>SUM($G$7:G9)</f>
        <v>293</v>
      </c>
      <c r="J9" s="72">
        <f>I9/$J$3</f>
        <v>1.5686904379483883E-2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기능'!C87</f>
        <v>57</v>
      </c>
    </row>
    <row r="10" spans="1:17" s="22" customFormat="1" ht="25" customHeight="1" x14ac:dyDescent="0.45">
      <c r="A10" s="20"/>
      <c r="B10" s="35"/>
      <c r="C10" s="73">
        <v>47</v>
      </c>
      <c r="D10" s="67">
        <f t="shared" ref="D10:D55" si="3">ROUND(10*(C10-$H$3)/$H$4+50,0)</f>
        <v>74</v>
      </c>
      <c r="E10" s="67">
        <f t="shared" si="0"/>
        <v>1</v>
      </c>
      <c r="F10" s="68">
        <f t="shared" ref="F10:F55" si="4">IF(I9=0,ROUND(100*(1-(I8+I10)/2/$J$3),2),ROUND(100*(1-(I9+I10)/2/$J$3),2))</f>
        <v>97.85</v>
      </c>
      <c r="G10" s="69">
        <f>IF(D10=D9,"",_xlfn.IFNA(VLOOKUP(D10,'인원 입력 기능(사과탐)'!$F$64:$I$116,4,FALSE),0))</f>
        <v>216</v>
      </c>
      <c r="H10" s="70">
        <f t="shared" si="1"/>
        <v>1.1564407324124639E-2</v>
      </c>
      <c r="I10" s="80">
        <f>SUM($G$7:G10)</f>
        <v>509</v>
      </c>
      <c r="J10" s="72">
        <f t="shared" ref="J10:J55" si="5">I10/$J$3</f>
        <v>2.7251311703608522E-2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기능'!C88</f>
        <v>51</v>
      </c>
    </row>
    <row r="11" spans="1:17" s="22" customFormat="1" ht="25" customHeight="1" x14ac:dyDescent="0.45">
      <c r="A11" s="20"/>
      <c r="B11" s="35"/>
      <c r="C11" s="66">
        <v>46</v>
      </c>
      <c r="D11" s="67">
        <f t="shared" si="3"/>
        <v>73</v>
      </c>
      <c r="E11" s="67">
        <f t="shared" si="0"/>
        <v>1</v>
      </c>
      <c r="F11" s="68">
        <f t="shared" si="4"/>
        <v>97.21</v>
      </c>
      <c r="G11" s="69">
        <f>IF(D11=D10,"",_xlfn.IFNA(VLOOKUP(D11,'인원 입력 기능(사과탐)'!$F$64:$I$116,4,FALSE),0))</f>
        <v>26</v>
      </c>
      <c r="H11" s="70">
        <f t="shared" si="1"/>
        <v>1.3920119927187066E-3</v>
      </c>
      <c r="I11" s="80">
        <f>SUM($G$7:G11)</f>
        <v>535</v>
      </c>
      <c r="J11" s="72">
        <f t="shared" si="5"/>
        <v>2.864332369632723E-2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기능'!C89</f>
        <v>45</v>
      </c>
    </row>
    <row r="12" spans="1:17" s="22" customFormat="1" ht="25" customHeight="1" x14ac:dyDescent="0.45">
      <c r="A12" s="20"/>
      <c r="B12" s="35"/>
      <c r="C12" s="73">
        <v>45</v>
      </c>
      <c r="D12" s="67">
        <f t="shared" si="3"/>
        <v>72</v>
      </c>
      <c r="E12" s="67">
        <f t="shared" si="0"/>
        <v>1</v>
      </c>
      <c r="F12" s="68">
        <f t="shared" si="4"/>
        <v>96.83</v>
      </c>
      <c r="G12" s="69">
        <f>IF(D12=D11,"",_xlfn.IFNA(VLOOKUP(D12,'인원 입력 기능(사과탐)'!$F$64:$I$116,4,FALSE),0))</f>
        <v>115</v>
      </c>
      <c r="H12" s="70">
        <f t="shared" si="1"/>
        <v>6.1569761216404327E-3</v>
      </c>
      <c r="I12" s="80">
        <f>SUM($G$7:G12)</f>
        <v>650</v>
      </c>
      <c r="J12" s="72">
        <f t="shared" si="5"/>
        <v>3.4800299817967666E-2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기능'!C90</f>
        <v>42</v>
      </c>
    </row>
    <row r="13" spans="1:17" s="22" customFormat="1" ht="25" customHeight="1" x14ac:dyDescent="0.45">
      <c r="A13" s="20"/>
      <c r="B13" s="35"/>
      <c r="C13" s="66">
        <v>44</v>
      </c>
      <c r="D13" s="67">
        <f t="shared" si="3"/>
        <v>71</v>
      </c>
      <c r="E13" s="67">
        <f t="shared" si="0"/>
        <v>1</v>
      </c>
      <c r="F13" s="68">
        <f t="shared" si="4"/>
        <v>96.02</v>
      </c>
      <c r="G13" s="69">
        <f>IF(D13=D12,"",_xlfn.IFNA(VLOOKUP(D13,'인원 입력 기능(사과탐)'!$F$64:$I$116,4,FALSE),0))</f>
        <v>185</v>
      </c>
      <c r="H13" s="70">
        <f t="shared" si="1"/>
        <v>9.9047007174215655E-3</v>
      </c>
      <c r="I13" s="80">
        <f>SUM($G$7:G13)</f>
        <v>835</v>
      </c>
      <c r="J13" s="72">
        <f t="shared" si="5"/>
        <v>4.4705000535389228E-2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기능'!C91</f>
        <v>40</v>
      </c>
    </row>
    <row r="14" spans="1:17" s="22" customFormat="1" ht="25" customHeight="1" x14ac:dyDescent="0.45">
      <c r="A14" s="20"/>
      <c r="B14" s="35"/>
      <c r="C14" s="73">
        <v>43</v>
      </c>
      <c r="D14" s="178">
        <f t="shared" si="3"/>
        <v>70</v>
      </c>
      <c r="E14" s="178">
        <f t="shared" si="0"/>
        <v>2</v>
      </c>
      <c r="F14" s="182">
        <f t="shared" si="4"/>
        <v>94.88</v>
      </c>
      <c r="G14" s="184">
        <f>IF(D14=D13,"",_xlfn.IFNA(VLOOKUP(D14,'인원 입력 기능(사과탐)'!$F$64:$I$116,4,FALSE),0))</f>
        <v>241</v>
      </c>
      <c r="H14" s="186">
        <f t="shared" si="1"/>
        <v>1.2902880394046471E-2</v>
      </c>
      <c r="I14" s="194">
        <f>SUM($G$7:G14)</f>
        <v>1076</v>
      </c>
      <c r="J14" s="176">
        <f t="shared" si="5"/>
        <v>5.7607880929435702E-2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기능'!C92</f>
        <v>37</v>
      </c>
    </row>
    <row r="15" spans="1:17" s="22" customFormat="1" ht="25" customHeight="1" x14ac:dyDescent="0.45">
      <c r="A15" s="20"/>
      <c r="B15" s="35"/>
      <c r="C15" s="66">
        <v>42</v>
      </c>
      <c r="D15" s="179"/>
      <c r="E15" s="179"/>
      <c r="F15" s="183"/>
      <c r="G15" s="185"/>
      <c r="H15" s="187"/>
      <c r="I15" s="195"/>
      <c r="J15" s="177"/>
      <c r="K15" s="36"/>
      <c r="L15" s="20" t="str">
        <f t="shared" si="2"/>
        <v>경고</v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73">
        <v>41</v>
      </c>
      <c r="D16" s="67">
        <f t="shared" si="3"/>
        <v>69</v>
      </c>
      <c r="E16" s="67">
        <f t="shared" si="0"/>
        <v>2</v>
      </c>
      <c r="F16" s="68">
        <f t="shared" si="4"/>
        <v>93.88</v>
      </c>
      <c r="G16" s="69">
        <f>IF(D16=D15,"",_xlfn.IFNA(VLOOKUP(D16,'인원 입력 기능(사과탐)'!$F$64:$I$116,4,FALSE),0))</f>
        <v>136</v>
      </c>
      <c r="H16" s="70">
        <f t="shared" si="1"/>
        <v>7.2812935003747723E-3</v>
      </c>
      <c r="I16" s="80">
        <f>SUM($G$7:G16)</f>
        <v>1212</v>
      </c>
      <c r="J16" s="72">
        <f t="shared" si="5"/>
        <v>6.4889174429810473E-2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66">
        <v>40</v>
      </c>
      <c r="D17" s="67">
        <f t="shared" si="3"/>
        <v>68</v>
      </c>
      <c r="E17" s="67">
        <f t="shared" si="0"/>
        <v>2</v>
      </c>
      <c r="F17" s="68">
        <f t="shared" si="4"/>
        <v>93.15</v>
      </c>
      <c r="G17" s="69">
        <f>IF(D17=D16,"",_xlfn.IFNA(VLOOKUP(D17,'인원 입력 기능(사과탐)'!$F$64:$I$116,4,FALSE),0))</f>
        <v>135</v>
      </c>
      <c r="H17" s="70">
        <f t="shared" si="1"/>
        <v>7.227754577577899E-3</v>
      </c>
      <c r="I17" s="80">
        <f>SUM($G$7:G17)</f>
        <v>1347</v>
      </c>
      <c r="J17" s="72">
        <f t="shared" si="5"/>
        <v>7.2116929007388378E-2</v>
      </c>
      <c r="K17" s="36"/>
      <c r="L17" s="20" t="str">
        <f t="shared" si="2"/>
        <v/>
      </c>
      <c r="N17" s="24"/>
      <c r="Q17" s="24">
        <f>Q7*H3*H4*J3*IFERROR(IF(J57=1, 1, 0), 0)</f>
        <v>299299449.82930499</v>
      </c>
    </row>
    <row r="18" spans="1:17" s="22" customFormat="1" ht="25" customHeight="1" x14ac:dyDescent="0.45">
      <c r="A18" s="20"/>
      <c r="B18" s="35"/>
      <c r="C18" s="73">
        <v>39</v>
      </c>
      <c r="D18" s="67">
        <f t="shared" si="3"/>
        <v>67</v>
      </c>
      <c r="E18" s="67">
        <f t="shared" si="0"/>
        <v>2</v>
      </c>
      <c r="F18" s="68">
        <f t="shared" si="4"/>
        <v>92.18</v>
      </c>
      <c r="G18" s="69">
        <f>IF(D18=D17,"",_xlfn.IFNA(VLOOKUP(D18,'인원 입력 기능(사과탐)'!$F$64:$I$116,4,FALSE),0))</f>
        <v>229</v>
      </c>
      <c r="H18" s="70">
        <f t="shared" si="1"/>
        <v>1.2260413320483991E-2</v>
      </c>
      <c r="I18" s="80">
        <f>SUM($G$7:G18)</f>
        <v>1576</v>
      </c>
      <c r="J18" s="72">
        <f t="shared" si="5"/>
        <v>8.4377342327872362E-2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66">
        <v>38</v>
      </c>
      <c r="D19" s="67">
        <f t="shared" si="3"/>
        <v>66</v>
      </c>
      <c r="E19" s="67">
        <f t="shared" si="0"/>
        <v>2</v>
      </c>
      <c r="F19" s="68">
        <f t="shared" si="4"/>
        <v>91.16</v>
      </c>
      <c r="G19" s="69">
        <f>IF(D19=D18,"",_xlfn.IFNA(VLOOKUP(D19,'인원 입력 기능(사과탐)'!$F$64:$I$116,4,FALSE),0))</f>
        <v>149</v>
      </c>
      <c r="H19" s="70">
        <f t="shared" si="1"/>
        <v>7.9772994967341262E-3</v>
      </c>
      <c r="I19" s="80">
        <f>SUM($G$7:G19)</f>
        <v>1725</v>
      </c>
      <c r="J19" s="72">
        <f t="shared" si="5"/>
        <v>9.2354641824606495E-2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73">
        <v>37</v>
      </c>
      <c r="D20" s="67">
        <f t="shared" si="3"/>
        <v>65</v>
      </c>
      <c r="E20" s="67">
        <f t="shared" si="0"/>
        <v>2</v>
      </c>
      <c r="F20" s="68">
        <f t="shared" si="4"/>
        <v>90.19</v>
      </c>
      <c r="G20" s="69">
        <f>IF(D20=D19,"",_xlfn.IFNA(VLOOKUP(D20,'인원 입력 기능(사과탐)'!$F$64:$I$116,4,FALSE),0))</f>
        <v>215</v>
      </c>
      <c r="H20" s="70">
        <f t="shared" si="1"/>
        <v>1.1510868401327765E-2</v>
      </c>
      <c r="I20" s="80">
        <f>SUM($G$7:G20)</f>
        <v>1940</v>
      </c>
      <c r="J20" s="72">
        <f t="shared" si="5"/>
        <v>0.10386551022593425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95">
        <v>36</v>
      </c>
      <c r="D21" s="82">
        <f t="shared" si="3"/>
        <v>64</v>
      </c>
      <c r="E21" s="82">
        <f t="shared" si="0"/>
        <v>2</v>
      </c>
      <c r="F21" s="68">
        <f t="shared" si="4"/>
        <v>89.05</v>
      </c>
      <c r="G21" s="69">
        <f>IF(D21=D20,"",_xlfn.IFNA(VLOOKUP(D21,'인원 입력 기능(사과탐)'!$F$64:$I$116,4,FALSE),0))</f>
        <v>211</v>
      </c>
      <c r="H21" s="70">
        <f t="shared" si="1"/>
        <v>1.1296712710140272E-2</v>
      </c>
      <c r="I21" s="80">
        <f>SUM($G$7:G21)</f>
        <v>2151</v>
      </c>
      <c r="J21" s="72">
        <f t="shared" si="5"/>
        <v>0.11516222293607453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81">
        <v>35</v>
      </c>
      <c r="D22" s="82">
        <f t="shared" si="3"/>
        <v>63</v>
      </c>
      <c r="E22" s="82">
        <f t="shared" si="0"/>
        <v>3</v>
      </c>
      <c r="F22" s="68">
        <f t="shared" si="4"/>
        <v>87.92</v>
      </c>
      <c r="G22" s="69">
        <f>IF(D22=D21,"",_xlfn.IFNA(VLOOKUP(D22,'인원 입력 기능(사과탐)'!$F$64:$I$116,4,FALSE),0))</f>
        <v>212</v>
      </c>
      <c r="H22" s="70">
        <f t="shared" si="1"/>
        <v>1.1350251632937146E-2</v>
      </c>
      <c r="I22" s="80">
        <f>SUM($G$7:G22)</f>
        <v>2363</v>
      </c>
      <c r="J22" s="72">
        <f t="shared" si="5"/>
        <v>0.12651247456901168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95">
        <v>34</v>
      </c>
      <c r="D23" s="82">
        <f t="shared" si="3"/>
        <v>62</v>
      </c>
      <c r="E23" s="82">
        <f t="shared" si="0"/>
        <v>3</v>
      </c>
      <c r="F23" s="68">
        <f t="shared" si="4"/>
        <v>86.54</v>
      </c>
      <c r="G23" s="69">
        <f>IF(D23=D22,"",_xlfn.IFNA(VLOOKUP(D23,'인원 입력 기능(사과탐)'!$F$64:$I$116,4,FALSE),0))</f>
        <v>302</v>
      </c>
      <c r="H23" s="70">
        <f t="shared" si="1"/>
        <v>1.6168754684655746E-2</v>
      </c>
      <c r="I23" s="80">
        <f>SUM($G$7:G23)</f>
        <v>2665</v>
      </c>
      <c r="J23" s="72">
        <f t="shared" si="5"/>
        <v>0.14268122925366741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81">
        <v>33</v>
      </c>
      <c r="D24" s="82">
        <f t="shared" si="3"/>
        <v>61</v>
      </c>
      <c r="E24" s="82">
        <f t="shared" si="0"/>
        <v>3</v>
      </c>
      <c r="F24" s="68">
        <f t="shared" si="4"/>
        <v>85.06</v>
      </c>
      <c r="G24" s="69">
        <f>IF(D24=D23,"",_xlfn.IFNA(VLOOKUP(D24,'인원 입력 기능(사과탐)'!$F$64:$I$116,4,FALSE),0))</f>
        <v>252</v>
      </c>
      <c r="H24" s="70">
        <f t="shared" si="1"/>
        <v>1.3491808544812078E-2</v>
      </c>
      <c r="I24" s="80">
        <f>SUM($G$7:G24)</f>
        <v>2917</v>
      </c>
      <c r="J24" s="72">
        <f t="shared" si="5"/>
        <v>0.15617303779847949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95">
        <v>32</v>
      </c>
      <c r="D25" s="82">
        <f t="shared" si="3"/>
        <v>60</v>
      </c>
      <c r="E25" s="82">
        <f t="shared" si="0"/>
        <v>3</v>
      </c>
      <c r="F25" s="68">
        <f t="shared" si="4"/>
        <v>83.52</v>
      </c>
      <c r="G25" s="69">
        <f>IF(D25=D24,"",_xlfn.IFNA(VLOOKUP(D25,'인원 입력 기능(사과탐)'!$F$64:$I$116,4,FALSE),0))</f>
        <v>324</v>
      </c>
      <c r="H25" s="70">
        <f t="shared" si="1"/>
        <v>1.7346610986186957E-2</v>
      </c>
      <c r="I25" s="80">
        <f>SUM($G$7:G25)</f>
        <v>3241</v>
      </c>
      <c r="J25" s="72">
        <f t="shared" si="5"/>
        <v>0.17351964878466644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81">
        <v>31</v>
      </c>
      <c r="D26" s="82">
        <f t="shared" si="3"/>
        <v>59</v>
      </c>
      <c r="E26" s="82">
        <f t="shared" si="0"/>
        <v>3</v>
      </c>
      <c r="F26" s="68">
        <f t="shared" si="4"/>
        <v>81.77</v>
      </c>
      <c r="G26" s="69">
        <f>IF(D26=D25,"",_xlfn.IFNA(VLOOKUP(D26,'인원 입력 기능(사과탐)'!$F$64:$I$116,4,FALSE),0))</f>
        <v>329</v>
      </c>
      <c r="H26" s="70">
        <f t="shared" si="1"/>
        <v>1.7614305600171326E-2</v>
      </c>
      <c r="I26" s="80">
        <f>SUM($G$7:G26)</f>
        <v>3570</v>
      </c>
      <c r="J26" s="72">
        <f t="shared" si="5"/>
        <v>0.19113395438483777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95">
        <v>30</v>
      </c>
      <c r="D27" s="82">
        <f t="shared" si="3"/>
        <v>58</v>
      </c>
      <c r="E27" s="82">
        <f t="shared" si="0"/>
        <v>3</v>
      </c>
      <c r="F27" s="68">
        <f t="shared" si="4"/>
        <v>80.010000000000005</v>
      </c>
      <c r="G27" s="69">
        <f>IF(D27=D26,"",_xlfn.IFNA(VLOOKUP(D27,'인원 입력 기능(사과탐)'!$F$64:$I$116,4,FALSE),0))</f>
        <v>329</v>
      </c>
      <c r="H27" s="70">
        <f t="shared" si="1"/>
        <v>1.7614305600171326E-2</v>
      </c>
      <c r="I27" s="80">
        <f>SUM($G$7:G27)</f>
        <v>3899</v>
      </c>
      <c r="J27" s="72">
        <f t="shared" si="5"/>
        <v>0.20874825998500909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81">
        <v>29</v>
      </c>
      <c r="D28" s="180">
        <f t="shared" si="3"/>
        <v>57</v>
      </c>
      <c r="E28" s="180">
        <f t="shared" si="0"/>
        <v>3</v>
      </c>
      <c r="F28" s="182">
        <f t="shared" si="4"/>
        <v>76.98</v>
      </c>
      <c r="G28" s="184">
        <f>IF(D28=D27,"",_xlfn.IFNA(VLOOKUP(D28,'인원 입력 기능(사과탐)'!$F$64:$I$116,4,FALSE),0))</f>
        <v>802</v>
      </c>
      <c r="H28" s="186">
        <f t="shared" si="1"/>
        <v>4.2938216083092409E-2</v>
      </c>
      <c r="I28" s="194">
        <f>SUM($G$7:G28)</f>
        <v>4701</v>
      </c>
      <c r="J28" s="176">
        <f t="shared" si="5"/>
        <v>0.25168647606810152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95">
        <v>28</v>
      </c>
      <c r="D29" s="181"/>
      <c r="E29" s="181"/>
      <c r="F29" s="183"/>
      <c r="G29" s="185"/>
      <c r="H29" s="187"/>
      <c r="I29" s="195"/>
      <c r="J29" s="177"/>
      <c r="K29" s="36"/>
      <c r="L29" s="20" t="str">
        <f t="shared" si="2"/>
        <v>경고</v>
      </c>
      <c r="N29" s="24"/>
    </row>
    <row r="30" spans="1:17" s="22" customFormat="1" ht="25" customHeight="1" x14ac:dyDescent="0.45">
      <c r="A30" s="20"/>
      <c r="B30" s="35"/>
      <c r="C30" s="81">
        <v>27</v>
      </c>
      <c r="D30" s="82">
        <f t="shared" si="3"/>
        <v>56</v>
      </c>
      <c r="E30" s="82">
        <f t="shared" si="0"/>
        <v>4</v>
      </c>
      <c r="F30" s="68">
        <f t="shared" si="4"/>
        <v>73.59</v>
      </c>
      <c r="G30" s="69">
        <f>IF(D30=D29,"",_xlfn.IFNA(VLOOKUP(D30,'인원 입력 기능(사과탐)'!$F$64:$I$116,4,FALSE),0))</f>
        <v>463</v>
      </c>
      <c r="H30" s="70">
        <f t="shared" si="1"/>
        <v>2.4788521254952352E-2</v>
      </c>
      <c r="I30" s="80">
        <f>SUM($G$7:G30)</f>
        <v>5164</v>
      </c>
      <c r="J30" s="72">
        <f t="shared" si="5"/>
        <v>0.27647499732305386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95">
        <v>26</v>
      </c>
      <c r="D31" s="82">
        <f t="shared" si="3"/>
        <v>55</v>
      </c>
      <c r="E31" s="82">
        <f t="shared" si="0"/>
        <v>4</v>
      </c>
      <c r="F31" s="68">
        <f t="shared" si="4"/>
        <v>71.02</v>
      </c>
      <c r="G31" s="69">
        <f>IF(D31=D30,"",_xlfn.IFNA(VLOOKUP(D31,'인원 입력 기능(사과탐)'!$F$64:$I$116,4,FALSE),0))</f>
        <v>496</v>
      </c>
      <c r="H31" s="70">
        <f t="shared" si="1"/>
        <v>2.655530570724917E-2</v>
      </c>
      <c r="I31" s="80">
        <f>SUM($G$7:G31)</f>
        <v>5660</v>
      </c>
      <c r="J31" s="72">
        <f t="shared" si="5"/>
        <v>0.30303030303030304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81">
        <v>25</v>
      </c>
      <c r="D32" s="82">
        <f t="shared" si="3"/>
        <v>54</v>
      </c>
      <c r="E32" s="82">
        <f t="shared" si="0"/>
        <v>4</v>
      </c>
      <c r="F32" s="68">
        <f t="shared" si="4"/>
        <v>68.44</v>
      </c>
      <c r="G32" s="69">
        <f>IF(D32=D31,"",_xlfn.IFNA(VLOOKUP(D32,'인원 입력 기능(사과탐)'!$F$64:$I$116,4,FALSE),0))</f>
        <v>470</v>
      </c>
      <c r="H32" s="70">
        <f t="shared" si="1"/>
        <v>2.5163293714530462E-2</v>
      </c>
      <c r="I32" s="80">
        <f>SUM($G$7:G32)</f>
        <v>6130</v>
      </c>
      <c r="J32" s="72">
        <f t="shared" si="5"/>
        <v>0.3281935967448335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95">
        <v>24</v>
      </c>
      <c r="D33" s="82">
        <f t="shared" si="3"/>
        <v>53</v>
      </c>
      <c r="E33" s="82">
        <f t="shared" si="0"/>
        <v>4</v>
      </c>
      <c r="F33" s="68">
        <f t="shared" si="4"/>
        <v>65.64</v>
      </c>
      <c r="G33" s="69">
        <f>IF(D33=D32,"",_xlfn.IFNA(VLOOKUP(D33,'인원 입력 기능(사과탐)'!$F$64:$I$116,4,FALSE),0))</f>
        <v>575</v>
      </c>
      <c r="H33" s="70">
        <f t="shared" si="1"/>
        <v>3.0784880608202163E-2</v>
      </c>
      <c r="I33" s="80">
        <f>SUM($G$7:G33)</f>
        <v>6705</v>
      </c>
      <c r="J33" s="72">
        <f t="shared" si="5"/>
        <v>0.35897847735303567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81">
        <v>23</v>
      </c>
      <c r="D34" s="82">
        <f t="shared" si="3"/>
        <v>52</v>
      </c>
      <c r="E34" s="82">
        <f t="shared" si="0"/>
        <v>4</v>
      </c>
      <c r="F34" s="68">
        <f t="shared" si="4"/>
        <v>62.61</v>
      </c>
      <c r="G34" s="69">
        <f>IF(D34=D33,"",_xlfn.IFNA(VLOOKUP(D34,'인원 입력 기능(사과탐)'!$F$64:$I$116,4,FALSE),0))</f>
        <v>557</v>
      </c>
      <c r="H34" s="70">
        <f t="shared" si="1"/>
        <v>2.9821179997858441E-2</v>
      </c>
      <c r="I34" s="80">
        <f>SUM($G$7:G34)</f>
        <v>7262</v>
      </c>
      <c r="J34" s="72">
        <f t="shared" si="5"/>
        <v>0.38879965735089411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95">
        <v>22</v>
      </c>
      <c r="D35" s="82">
        <f t="shared" si="3"/>
        <v>51</v>
      </c>
      <c r="E35" s="82">
        <f t="shared" si="0"/>
        <v>4</v>
      </c>
      <c r="F35" s="68">
        <f t="shared" si="4"/>
        <v>59.48</v>
      </c>
      <c r="G35" s="69">
        <f>IF(D35=D34,"",_xlfn.IFNA(VLOOKUP(D35,'인원 입력 기능(사과탐)'!$F$64:$I$116,4,FALSE),0))</f>
        <v>611</v>
      </c>
      <c r="H35" s="70">
        <f t="shared" si="1"/>
        <v>3.2712281828889606E-2</v>
      </c>
      <c r="I35" s="80">
        <f>SUM($G$7:G35)</f>
        <v>7873</v>
      </c>
      <c r="J35" s="72">
        <f t="shared" si="5"/>
        <v>0.42151193917978369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81">
        <v>21</v>
      </c>
      <c r="D36" s="82">
        <f t="shared" si="3"/>
        <v>50</v>
      </c>
      <c r="E36" s="82">
        <f t="shared" si="0"/>
        <v>5</v>
      </c>
      <c r="F36" s="68">
        <f t="shared" si="4"/>
        <v>56.29</v>
      </c>
      <c r="G36" s="69">
        <f>IF(D36=D35,"",_xlfn.IFNA(VLOOKUP(D36,'인원 입력 기능(사과탐)'!$F$64:$I$116,4,FALSE),0))</f>
        <v>584</v>
      </c>
      <c r="H36" s="70">
        <f t="shared" si="1"/>
        <v>3.1266730913374022E-2</v>
      </c>
      <c r="I36" s="80">
        <f>SUM($G$7:G36)</f>
        <v>8457</v>
      </c>
      <c r="J36" s="72">
        <f t="shared" si="5"/>
        <v>0.4527786700931577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95">
        <v>20</v>
      </c>
      <c r="D37" s="82">
        <f t="shared" si="3"/>
        <v>49</v>
      </c>
      <c r="E37" s="82">
        <f t="shared" si="0"/>
        <v>5</v>
      </c>
      <c r="F37" s="68">
        <f t="shared" si="4"/>
        <v>52.94</v>
      </c>
      <c r="G37" s="69">
        <f>IF(D37=D36,"",_xlfn.IFNA(VLOOKUP(D37,'인원 입력 기능(사과탐)'!$F$64:$I$116,4,FALSE),0))</f>
        <v>665</v>
      </c>
      <c r="H37" s="70">
        <f t="shared" si="1"/>
        <v>3.5603383659920759E-2</v>
      </c>
      <c r="I37" s="80">
        <f>SUM($G$7:G37)</f>
        <v>9122</v>
      </c>
      <c r="J37" s="72">
        <f t="shared" si="5"/>
        <v>0.48838205375307847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81">
        <v>19</v>
      </c>
      <c r="D38" s="82">
        <f t="shared" si="3"/>
        <v>48</v>
      </c>
      <c r="E38" s="82">
        <f t="shared" si="0"/>
        <v>5</v>
      </c>
      <c r="F38" s="68">
        <f t="shared" si="4"/>
        <v>49.59</v>
      </c>
      <c r="G38" s="69">
        <f>IF(D38=D37,"",_xlfn.IFNA(VLOOKUP(D38,'인원 입력 기능(사과탐)'!$F$64:$I$116,4,FALSE),0))</f>
        <v>586</v>
      </c>
      <c r="H38" s="70">
        <f t="shared" si="1"/>
        <v>3.1373808758967767E-2</v>
      </c>
      <c r="I38" s="80">
        <f>SUM($G$7:G38)</f>
        <v>9708</v>
      </c>
      <c r="J38" s="72">
        <f t="shared" si="5"/>
        <v>0.51975586251204631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95">
        <v>18</v>
      </c>
      <c r="D39" s="82">
        <f t="shared" si="3"/>
        <v>47</v>
      </c>
      <c r="E39" s="82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8">
        <f t="shared" si="4"/>
        <v>46.36</v>
      </c>
      <c r="G39" s="69">
        <f>IF(D39=D38,"",_xlfn.IFNA(VLOOKUP(D39,'인원 입력 기능(사과탐)'!$F$64:$I$116,4,FALSE),0))</f>
        <v>620</v>
      </c>
      <c r="H39" s="70">
        <f t="shared" si="1"/>
        <v>3.3194132134061465E-2</v>
      </c>
      <c r="I39" s="80">
        <f>SUM($G$7:G39)</f>
        <v>10328</v>
      </c>
      <c r="J39" s="72">
        <f t="shared" si="5"/>
        <v>0.55294999464610772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81">
        <v>17</v>
      </c>
      <c r="D40" s="82">
        <f t="shared" si="3"/>
        <v>46</v>
      </c>
      <c r="E40" s="82">
        <f t="shared" si="6"/>
        <v>5</v>
      </c>
      <c r="F40" s="68">
        <f t="shared" si="4"/>
        <v>42.91</v>
      </c>
      <c r="G40" s="69">
        <f>IF(D40=D39,"",_xlfn.IFNA(VLOOKUP(D40,'인원 입력 기능(사과탐)'!$F$64:$I$116,4,FALSE),0))</f>
        <v>672</v>
      </c>
      <c r="H40" s="70">
        <f t="shared" si="1"/>
        <v>3.5978156119498873E-2</v>
      </c>
      <c r="I40" s="80">
        <f>SUM($G$7:G40)</f>
        <v>11000</v>
      </c>
      <c r="J40" s="72">
        <f t="shared" si="5"/>
        <v>0.58892815076560656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95">
        <v>16</v>
      </c>
      <c r="D41" s="82">
        <f t="shared" si="3"/>
        <v>45</v>
      </c>
      <c r="E41" s="82">
        <f t="shared" si="6"/>
        <v>5</v>
      </c>
      <c r="F41" s="68">
        <f t="shared" si="4"/>
        <v>39.479999999999997</v>
      </c>
      <c r="G41" s="69">
        <f>IF(D41=D40,"",_xlfn.IFNA(VLOOKUP(D41,'인원 입력 기능(사과탐)'!$F$64:$I$116,4,FALSE),0))</f>
        <v>608</v>
      </c>
      <c r="H41" s="70">
        <f t="shared" si="1"/>
        <v>3.2551665060498981E-2</v>
      </c>
      <c r="I41" s="80">
        <f>SUM($G$7:G41)</f>
        <v>11608</v>
      </c>
      <c r="J41" s="72">
        <f t="shared" si="5"/>
        <v>0.62147981582610556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81">
        <v>15</v>
      </c>
      <c r="D42" s="82">
        <f t="shared" si="3"/>
        <v>44</v>
      </c>
      <c r="E42" s="82">
        <f t="shared" si="6"/>
        <v>6</v>
      </c>
      <c r="F42" s="68">
        <f t="shared" si="4"/>
        <v>36.06</v>
      </c>
      <c r="G42" s="69">
        <f>IF(D42=D41,"",_xlfn.IFNA(VLOOKUP(D42,'인원 입력 기능(사과탐)'!$F$64:$I$116,4,FALSE),0))</f>
        <v>671</v>
      </c>
      <c r="H42" s="70">
        <f t="shared" si="1"/>
        <v>3.5924617196702001E-2</v>
      </c>
      <c r="I42" s="80">
        <f>SUM($G$7:G42)</f>
        <v>12279</v>
      </c>
      <c r="J42" s="72">
        <f t="shared" si="5"/>
        <v>0.6574044330228076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95">
        <v>14</v>
      </c>
      <c r="D43" s="180">
        <f t="shared" si="3"/>
        <v>43</v>
      </c>
      <c r="E43" s="180">
        <f t="shared" si="6"/>
        <v>6</v>
      </c>
      <c r="F43" s="182">
        <f t="shared" si="4"/>
        <v>29.01</v>
      </c>
      <c r="G43" s="184">
        <f>IF(D43=D42,"",_xlfn.IFNA(VLOOKUP(D43,'인원 입력 기능(사과탐)'!$F$64:$I$116,4,FALSE),0))</f>
        <v>1961</v>
      </c>
      <c r="H43" s="186">
        <f t="shared" si="1"/>
        <v>0.1049898276046686</v>
      </c>
      <c r="I43" s="194">
        <f>SUM($G$7:G43)</f>
        <v>14240</v>
      </c>
      <c r="J43" s="176">
        <f t="shared" si="5"/>
        <v>0.76239426062747617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81">
        <v>13</v>
      </c>
      <c r="D44" s="181"/>
      <c r="E44" s="181"/>
      <c r="F44" s="183"/>
      <c r="G44" s="185"/>
      <c r="H44" s="187"/>
      <c r="I44" s="195"/>
      <c r="J44" s="177"/>
      <c r="K44" s="36"/>
      <c r="L44" s="20" t="str">
        <f t="shared" si="2"/>
        <v>경고</v>
      </c>
      <c r="N44" s="24"/>
    </row>
    <row r="45" spans="1:14" s="22" customFormat="1" ht="25" customHeight="1" x14ac:dyDescent="0.45">
      <c r="A45" s="20"/>
      <c r="B45" s="35"/>
      <c r="C45" s="95">
        <v>12</v>
      </c>
      <c r="D45" s="82">
        <f t="shared" si="3"/>
        <v>42</v>
      </c>
      <c r="E45" s="82">
        <f t="shared" si="6"/>
        <v>6</v>
      </c>
      <c r="F45" s="68">
        <f t="shared" si="4"/>
        <v>22.22</v>
      </c>
      <c r="G45" s="69">
        <f>IF(D45=D44,"",_xlfn.IFNA(VLOOKUP(D45,'인원 입력 기능(사과탐)'!$F$64:$I$116,4,FALSE),0))</f>
        <v>575</v>
      </c>
      <c r="H45" s="70">
        <f t="shared" si="1"/>
        <v>3.0784880608202163E-2</v>
      </c>
      <c r="I45" s="80">
        <f>SUM($G$7:G45)</f>
        <v>14815</v>
      </c>
      <c r="J45" s="72">
        <f t="shared" si="5"/>
        <v>0.79317914123567834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81">
        <v>11</v>
      </c>
      <c r="D46" s="82">
        <f t="shared" si="3"/>
        <v>41</v>
      </c>
      <c r="E46" s="82">
        <f t="shared" si="6"/>
        <v>7</v>
      </c>
      <c r="F46" s="68">
        <f t="shared" si="4"/>
        <v>19.48</v>
      </c>
      <c r="G46" s="69">
        <f>IF(D46=D45,"",_xlfn.IFNA(VLOOKUP(D46,'인원 입력 기능(사과탐)'!$F$64:$I$116,4,FALSE),0))</f>
        <v>448</v>
      </c>
      <c r="H46" s="70">
        <f t="shared" si="1"/>
        <v>2.3985437412999251E-2</v>
      </c>
      <c r="I46" s="80">
        <f>SUM($G$7:G46)</f>
        <v>15263</v>
      </c>
      <c r="J46" s="72">
        <f t="shared" si="5"/>
        <v>0.81716457864867764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95">
        <v>10</v>
      </c>
      <c r="D47" s="82">
        <f t="shared" si="3"/>
        <v>40</v>
      </c>
      <c r="E47" s="82">
        <f t="shared" si="6"/>
        <v>7</v>
      </c>
      <c r="F47" s="68">
        <f t="shared" si="4"/>
        <v>14.05</v>
      </c>
      <c r="G47" s="69">
        <f>IF(D47=D46,"",_xlfn.IFNA(VLOOKUP(D47,'인원 입력 기능(사과탐)'!$F$64:$I$116,4,FALSE),0))</f>
        <v>1580</v>
      </c>
      <c r="H47" s="70">
        <f t="shared" si="1"/>
        <v>8.4591498019059852E-2</v>
      </c>
      <c r="I47" s="80">
        <f>SUM($G$7:G47)</f>
        <v>16843</v>
      </c>
      <c r="J47" s="72">
        <f t="shared" si="5"/>
        <v>0.90175607666773749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81">
        <v>9</v>
      </c>
      <c r="D48" s="82">
        <f t="shared" si="3"/>
        <v>39</v>
      </c>
      <c r="E48" s="82">
        <f t="shared" si="6"/>
        <v>8</v>
      </c>
      <c r="F48" s="68">
        <f t="shared" si="4"/>
        <v>8.86</v>
      </c>
      <c r="G48" s="69">
        <f>IF(D48=D47,"",_xlfn.IFNA(VLOOKUP(D48,'인원 입력 기능(사과탐)'!$F$64:$I$116,4,FALSE),0))</f>
        <v>359</v>
      </c>
      <c r="H48" s="70">
        <f t="shared" si="1"/>
        <v>1.9220473284077524E-2</v>
      </c>
      <c r="I48" s="80">
        <f>SUM($G$7:G48)</f>
        <v>17202</v>
      </c>
      <c r="J48" s="72">
        <f t="shared" si="5"/>
        <v>0.92097654995181499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95">
        <v>8</v>
      </c>
      <c r="D49" s="82">
        <f t="shared" si="3"/>
        <v>38</v>
      </c>
      <c r="E49" s="82">
        <f t="shared" si="6"/>
        <v>8</v>
      </c>
      <c r="F49" s="68">
        <f t="shared" si="4"/>
        <v>6.96</v>
      </c>
      <c r="G49" s="69">
        <f>IF(D49=D48,"",_xlfn.IFNA(VLOOKUP(D49,'인원 입력 기능(사과탐)'!$F$64:$I$116,4,FALSE),0))</f>
        <v>352</v>
      </c>
      <c r="H49" s="70">
        <f t="shared" si="1"/>
        <v>1.884570082449941E-2</v>
      </c>
      <c r="I49" s="80">
        <f>SUM($G$7:G49)</f>
        <v>17554</v>
      </c>
      <c r="J49" s="72">
        <f t="shared" si="5"/>
        <v>0.93982225077631443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81">
        <v>7</v>
      </c>
      <c r="D50" s="82">
        <f t="shared" si="3"/>
        <v>37</v>
      </c>
      <c r="E50" s="82">
        <f t="shared" si="6"/>
        <v>8</v>
      </c>
      <c r="F50" s="68">
        <f t="shared" si="4"/>
        <v>4.83</v>
      </c>
      <c r="G50" s="69">
        <f>IF(D50=D49,"",_xlfn.IFNA(VLOOKUP(D50,'인원 입력 기능(사과탐)'!$F$64:$I$116,4,FALSE),0))</f>
        <v>445</v>
      </c>
      <c r="H50" s="70">
        <f t="shared" si="1"/>
        <v>2.382482064460863E-2</v>
      </c>
      <c r="I50" s="80">
        <f>SUM($G$7:G50)</f>
        <v>17999</v>
      </c>
      <c r="J50" s="72">
        <f t="shared" si="5"/>
        <v>0.96364707142092298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95">
        <v>6</v>
      </c>
      <c r="D51" s="82">
        <f t="shared" si="3"/>
        <v>36</v>
      </c>
      <c r="E51" s="82">
        <f t="shared" si="6"/>
        <v>9</v>
      </c>
      <c r="F51" s="68">
        <f t="shared" si="4"/>
        <v>3.04</v>
      </c>
      <c r="G51" s="69">
        <f>IF(D51=D50,"",_xlfn.IFNA(VLOOKUP(D51,'인원 입력 기능(사과탐)'!$F$64:$I$116,4,FALSE),0))</f>
        <v>221</v>
      </c>
      <c r="H51" s="70">
        <f t="shared" si="1"/>
        <v>1.1832101938109005E-2</v>
      </c>
      <c r="I51" s="80">
        <f>SUM($G$7:G51)</f>
        <v>18220</v>
      </c>
      <c r="J51" s="72">
        <f t="shared" si="5"/>
        <v>0.975479173359032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81">
        <v>5</v>
      </c>
      <c r="D52" s="82">
        <f t="shared" si="3"/>
        <v>35</v>
      </c>
      <c r="E52" s="82">
        <f t="shared" si="6"/>
        <v>9</v>
      </c>
      <c r="F52" s="68">
        <f t="shared" si="4"/>
        <v>1.95</v>
      </c>
      <c r="G52" s="69">
        <f>IF(D52=D51,"",_xlfn.IFNA(VLOOKUP(D52,'인원 입력 기능(사과탐)'!$F$64:$I$116,4,FALSE),0))</f>
        <v>189</v>
      </c>
      <c r="H52" s="70">
        <f t="shared" si="1"/>
        <v>1.0118856408609059E-2</v>
      </c>
      <c r="I52" s="80">
        <f>SUM($G$7:G52)</f>
        <v>18409</v>
      </c>
      <c r="J52" s="72">
        <f t="shared" si="5"/>
        <v>0.9855980297676411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66">
        <v>4</v>
      </c>
      <c r="D53" s="67">
        <f t="shared" si="3"/>
        <v>34</v>
      </c>
      <c r="E53" s="67">
        <f t="shared" si="6"/>
        <v>9</v>
      </c>
      <c r="F53" s="68">
        <f t="shared" si="4"/>
        <v>1.23</v>
      </c>
      <c r="G53" s="69">
        <f>IF(D53=D52,"",_xlfn.IFNA(VLOOKUP(D53,'인원 입력 기능(사과탐)'!$F$64:$I$116,4,FALSE),0))</f>
        <v>77</v>
      </c>
      <c r="H53" s="70">
        <f t="shared" si="1"/>
        <v>4.122497055359246E-3</v>
      </c>
      <c r="I53" s="80">
        <f>SUM($G$7:G53)</f>
        <v>18486</v>
      </c>
      <c r="J53" s="72">
        <f t="shared" si="5"/>
        <v>0.98972052682300027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73">
        <v>3</v>
      </c>
      <c r="D54" s="67">
        <f t="shared" si="3"/>
        <v>33</v>
      </c>
      <c r="E54" s="67">
        <f t="shared" si="6"/>
        <v>9</v>
      </c>
      <c r="F54" s="68">
        <f t="shared" si="4"/>
        <v>0.88</v>
      </c>
      <c r="G54" s="69">
        <f>IF(D54=D53,"",_xlfn.IFNA(VLOOKUP(D54,'인원 입력 기능(사과탐)'!$F$64:$I$116,4,FALSE),0))</f>
        <v>57</v>
      </c>
      <c r="H54" s="70">
        <f t="shared" si="1"/>
        <v>3.0517185994217797E-3</v>
      </c>
      <c r="I54" s="80">
        <f>SUM($G$7:G54)</f>
        <v>18543</v>
      </c>
      <c r="J54" s="72">
        <f t="shared" si="5"/>
        <v>0.99277224542242215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66">
        <v>2</v>
      </c>
      <c r="D55" s="67">
        <f t="shared" si="3"/>
        <v>32</v>
      </c>
      <c r="E55" s="67">
        <f t="shared" si="6"/>
        <v>9</v>
      </c>
      <c r="F55" s="68">
        <f t="shared" si="4"/>
        <v>0.55000000000000004</v>
      </c>
      <c r="G55" s="69">
        <f>IF(D55=D54,"",_xlfn.IFNA(VLOOKUP(D55,'인원 입력 기능(사과탐)'!$F$64:$I$116,4,FALSE),0))</f>
        <v>63</v>
      </c>
      <c r="H55" s="70">
        <f t="shared" si="1"/>
        <v>3.3729521362030196E-3</v>
      </c>
      <c r="I55" s="80">
        <f>SUM($G$7:G55)</f>
        <v>18606</v>
      </c>
      <c r="J55" s="72">
        <f t="shared" si="5"/>
        <v>0.99614519755862507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73">
        <v>1</v>
      </c>
      <c r="D56" s="74" t="s">
        <v>59</v>
      </c>
      <c r="E56" s="74"/>
      <c r="F56" s="75"/>
      <c r="G56" s="96"/>
      <c r="H56" s="94"/>
      <c r="I56" s="84"/>
      <c r="J56" s="79"/>
      <c r="K56" s="36"/>
      <c r="L56" s="20"/>
      <c r="N56" s="24"/>
    </row>
    <row r="57" spans="1:14" s="22" customFormat="1" ht="25" customHeight="1" thickBot="1" x14ac:dyDescent="0.5">
      <c r="A57" s="20"/>
      <c r="B57" s="35"/>
      <c r="C57" s="97">
        <v>0</v>
      </c>
      <c r="D57" s="86">
        <f>ROUND(10*(C57-$H$3)/$H$4+50,0)</f>
        <v>30</v>
      </c>
      <c r="E57" s="98">
        <f t="shared" si="6"/>
        <v>9</v>
      </c>
      <c r="F57" s="87">
        <f>IF(I55=0,ROUND(100*(1-(I54+I57)/2/$J$3),2),ROUND(100*(1-(I55+I57)/2/$J$3),2))</f>
        <v>0.19</v>
      </c>
      <c r="G57" s="99">
        <f>_xlfn.IFNA(VLOOKUP(D57,'인원 입력 기능(사과탐)'!$F$64:$I$116,4,FALSE),0)</f>
        <v>72</v>
      </c>
      <c r="H57" s="89">
        <f>G57/$J$3</f>
        <v>3.8548024413748794E-3</v>
      </c>
      <c r="I57" s="90">
        <f>SUM($G$7:G57)</f>
        <v>18678</v>
      </c>
      <c r="J57" s="100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3">
    <mergeCell ref="D3:F3"/>
    <mergeCell ref="D4:F4"/>
    <mergeCell ref="D14:D15"/>
    <mergeCell ref="E14:E15"/>
    <mergeCell ref="F14:F15"/>
    <mergeCell ref="G14:G15"/>
    <mergeCell ref="H14:H15"/>
    <mergeCell ref="I14:I15"/>
    <mergeCell ref="J14:J15"/>
    <mergeCell ref="D28:D29"/>
    <mergeCell ref="E28:E29"/>
    <mergeCell ref="F28:F29"/>
    <mergeCell ref="G28:G29"/>
    <mergeCell ref="H28:H29"/>
    <mergeCell ref="I28:I29"/>
    <mergeCell ref="J28:J29"/>
    <mergeCell ref="I43:I44"/>
    <mergeCell ref="J43:J44"/>
    <mergeCell ref="D43:D44"/>
    <mergeCell ref="E43:E44"/>
    <mergeCell ref="F43:F44"/>
    <mergeCell ref="G43:G44"/>
    <mergeCell ref="H43:H44"/>
  </mergeCells>
  <phoneticPr fontId="1" type="noConversion"/>
  <conditionalFormatting sqref="D7:G14 I7:J14 D16:G28 I16:J28 D30:G43 I30:J43 D45:G57 I45:J57">
    <cfRule type="expression" dxfId="54" priority="4">
      <formula>OR($D7=$Q$7:$Q$14)</formula>
    </cfRule>
  </conditionalFormatting>
  <conditionalFormatting sqref="C7:C57">
    <cfRule type="expression" dxfId="53" priority="3">
      <formula>OR(AND($D7=0,OR($D6=$Q$7:$Q$14)),AND($D8&gt;0,OR($D7=$Q$7:$Q$14)))</formula>
    </cfRule>
  </conditionalFormatting>
  <conditionalFormatting sqref="D7:D14 D16:D28 D30:D43 D45:D57">
    <cfRule type="expression" dxfId="52" priority="2">
      <formula>$D7=$D8</formula>
    </cfRule>
  </conditionalFormatting>
  <conditionalFormatting sqref="H7:H14 H16:H28 H30:H43 H45:H57">
    <cfRule type="expression" dxfId="51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0D9E-C049-4545-ADCA-5E5EBB94A528}">
  <sheetPr codeName="Sheet16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113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기능'!D14</f>
        <v>19.764808507103002</v>
      </c>
      <c r="I3" s="21" t="s">
        <v>117</v>
      </c>
      <c r="J3" s="58">
        <f>'통계 및 응시자 수 입력 기능'!C14</f>
        <v>12037</v>
      </c>
      <c r="K3" s="36"/>
      <c r="L3" s="20"/>
    </row>
    <row r="4" spans="1:17" s="22" customFormat="1" ht="25" customHeight="1" thickBot="1" x14ac:dyDescent="0.5">
      <c r="A4" s="20"/>
      <c r="B4" s="35"/>
      <c r="C4" s="59" t="s">
        <v>118</v>
      </c>
      <c r="D4" s="191" t="s">
        <v>145</v>
      </c>
      <c r="E4" s="192"/>
      <c r="F4" s="193"/>
      <c r="G4" s="60" t="s">
        <v>120</v>
      </c>
      <c r="H4" s="61">
        <f>'통계 및 응시자 수 입력 기능'!E14</f>
        <v>9.7195071316441499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62" t="s">
        <v>121</v>
      </c>
      <c r="D6" s="63" t="s">
        <v>122</v>
      </c>
      <c r="E6" s="63" t="s">
        <v>123</v>
      </c>
      <c r="F6" s="63" t="s">
        <v>124</v>
      </c>
      <c r="G6" s="63" t="s">
        <v>125</v>
      </c>
      <c r="H6" s="63" t="s">
        <v>126</v>
      </c>
      <c r="I6" s="64" t="s">
        <v>127</v>
      </c>
      <c r="J6" s="65" t="s">
        <v>128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66">
        <v>50</v>
      </c>
      <c r="D7" s="67">
        <f>ROUND(10*(C7-$H$3)/$H$4+50,0)</f>
        <v>81</v>
      </c>
      <c r="E7" s="67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8">
        <f>ROUND(100*(1-(0+I7)/2/$J$3),2)</f>
        <v>99.86</v>
      </c>
      <c r="G7" s="69">
        <f>_xlfn.IFNA(VLOOKUP(D7,'인원 입력 기능(사과탐)'!$K$64:$N$116,4,FALSE),0)</f>
        <v>34</v>
      </c>
      <c r="H7" s="70">
        <f>G7/$J$3</f>
        <v>2.8246240757663871E-3</v>
      </c>
      <c r="I7" s="71">
        <f>G7</f>
        <v>34</v>
      </c>
      <c r="J7" s="72">
        <f>I7/$J$3</f>
        <v>2.8246240757663871E-3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기능'!C94</f>
        <v>71</v>
      </c>
    </row>
    <row r="8" spans="1:17" s="22" customFormat="1" ht="25" customHeight="1" x14ac:dyDescent="0.45">
      <c r="A8" s="20"/>
      <c r="B8" s="35"/>
      <c r="C8" s="73">
        <v>49</v>
      </c>
      <c r="D8" s="74" t="s">
        <v>59</v>
      </c>
      <c r="E8" s="74"/>
      <c r="F8" s="75"/>
      <c r="G8" s="76"/>
      <c r="H8" s="94"/>
      <c r="I8" s="78"/>
      <c r="J8" s="79"/>
      <c r="K8" s="36"/>
      <c r="L8" s="20"/>
      <c r="N8" s="24"/>
      <c r="P8" s="24">
        <v>2</v>
      </c>
      <c r="Q8" s="24">
        <f>'표점등급&amp;절평인원 입력 기능'!C95</f>
        <v>64</v>
      </c>
    </row>
    <row r="9" spans="1:17" s="22" customFormat="1" ht="25" customHeight="1" x14ac:dyDescent="0.45">
      <c r="A9" s="20"/>
      <c r="B9" s="35"/>
      <c r="C9" s="66">
        <v>48</v>
      </c>
      <c r="D9" s="67">
        <f>ROUND(10*(C9-$H$3)/$H$4+50,0)</f>
        <v>79</v>
      </c>
      <c r="E9" s="67">
        <f t="shared" si="0"/>
        <v>1</v>
      </c>
      <c r="F9" s="68">
        <f>IF(I8=0,ROUND(100*(1-(I7+I9)/2/$J$3),2),ROUND(100*(1-(I8+I9)/2/$J$3),2))</f>
        <v>99.57</v>
      </c>
      <c r="G9" s="69">
        <f>_xlfn.IFNA(VLOOKUP(D9,'인원 입력 기능(사과탐)'!$K$64:$N$116,4,FALSE),0)</f>
        <v>35</v>
      </c>
      <c r="H9" s="70">
        <f t="shared" ref="H9:H55" si="1">G9/$J$3</f>
        <v>2.9077012544653984E-3</v>
      </c>
      <c r="I9" s="80">
        <f>SUM($G$7:G9)</f>
        <v>69</v>
      </c>
      <c r="J9" s="72">
        <f>I9/$J$3</f>
        <v>5.7323253302317854E-3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기능'!C96</f>
        <v>57</v>
      </c>
    </row>
    <row r="10" spans="1:17" s="22" customFormat="1" ht="25" customHeight="1" x14ac:dyDescent="0.45">
      <c r="A10" s="20"/>
      <c r="B10" s="35"/>
      <c r="C10" s="73">
        <v>47</v>
      </c>
      <c r="D10" s="67">
        <f t="shared" ref="D10:D55" si="3">ROUND(10*(C10-$H$3)/$H$4+50,0)</f>
        <v>78</v>
      </c>
      <c r="E10" s="67">
        <f t="shared" si="0"/>
        <v>1</v>
      </c>
      <c r="F10" s="68">
        <f t="shared" ref="F10:F55" si="4">IF(I9=0,ROUND(100*(1-(I8+I10)/2/$J$3),2),ROUND(100*(1-(I9+I10)/2/$J$3),2))</f>
        <v>99.27</v>
      </c>
      <c r="G10" s="69">
        <f>IF(D10=D9,"",_xlfn.IFNA(VLOOKUP(D10,'인원 입력 기능(사과탐)'!$K$64:$N$116,4,FALSE),0))</f>
        <v>38</v>
      </c>
      <c r="H10" s="70">
        <f t="shared" si="1"/>
        <v>3.1569327905624327E-3</v>
      </c>
      <c r="I10" s="80">
        <f>SUM($G$7:G10)</f>
        <v>107</v>
      </c>
      <c r="J10" s="72">
        <f t="shared" ref="J10:J55" si="5">I10/$J$3</f>
        <v>8.8892581207942172E-3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기능'!C97</f>
        <v>51</v>
      </c>
    </row>
    <row r="11" spans="1:17" s="22" customFormat="1" ht="25" customHeight="1" x14ac:dyDescent="0.45">
      <c r="A11" s="20"/>
      <c r="B11" s="35"/>
      <c r="C11" s="66">
        <v>46</v>
      </c>
      <c r="D11" s="67">
        <f t="shared" si="3"/>
        <v>77</v>
      </c>
      <c r="E11" s="67">
        <f t="shared" si="0"/>
        <v>1</v>
      </c>
      <c r="F11" s="68">
        <f t="shared" si="4"/>
        <v>99.04</v>
      </c>
      <c r="G11" s="69">
        <f>IF(D11=D10,"",_xlfn.IFNA(VLOOKUP(D11,'인원 입력 기능(사과탐)'!$K$64:$N$116,4,FALSE),0))</f>
        <v>17</v>
      </c>
      <c r="H11" s="70">
        <f t="shared" si="1"/>
        <v>1.4123120378831935E-3</v>
      </c>
      <c r="I11" s="80">
        <f>SUM($G$7:G11)</f>
        <v>124</v>
      </c>
      <c r="J11" s="72">
        <f t="shared" si="5"/>
        <v>1.0301570158677411E-2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기능'!C98</f>
        <v>45</v>
      </c>
    </row>
    <row r="12" spans="1:17" s="22" customFormat="1" ht="25" customHeight="1" x14ac:dyDescent="0.45">
      <c r="A12" s="20"/>
      <c r="B12" s="35"/>
      <c r="C12" s="73">
        <v>45</v>
      </c>
      <c r="D12" s="67">
        <f t="shared" si="3"/>
        <v>76</v>
      </c>
      <c r="E12" s="67">
        <f t="shared" si="0"/>
        <v>1</v>
      </c>
      <c r="F12" s="68">
        <f t="shared" si="4"/>
        <v>98.69</v>
      </c>
      <c r="G12" s="69">
        <f>IF(D12=D11,"",_xlfn.IFNA(VLOOKUP(D12,'인원 입력 기능(사과탐)'!$K$64:$N$116,4,FALSE),0))</f>
        <v>67</v>
      </c>
      <c r="H12" s="70">
        <f t="shared" si="1"/>
        <v>5.5661709728337628E-3</v>
      </c>
      <c r="I12" s="80">
        <f>SUM($G$7:G12)</f>
        <v>191</v>
      </c>
      <c r="J12" s="72">
        <f t="shared" si="5"/>
        <v>1.5867741131511175E-2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기능'!C99</f>
        <v>42</v>
      </c>
    </row>
    <row r="13" spans="1:17" s="22" customFormat="1" ht="25" customHeight="1" x14ac:dyDescent="0.45">
      <c r="A13" s="20"/>
      <c r="B13" s="35"/>
      <c r="C13" s="66">
        <v>44</v>
      </c>
      <c r="D13" s="67">
        <f t="shared" si="3"/>
        <v>75</v>
      </c>
      <c r="E13" s="67">
        <f t="shared" si="0"/>
        <v>1</v>
      </c>
      <c r="F13" s="68">
        <f t="shared" si="4"/>
        <v>98.26</v>
      </c>
      <c r="G13" s="69">
        <f>IF(D13=D12,"",_xlfn.IFNA(VLOOKUP(D13,'인원 입력 기능(사과탐)'!$K$64:$N$116,4,FALSE),0))</f>
        <v>37</v>
      </c>
      <c r="H13" s="70">
        <f t="shared" si="1"/>
        <v>3.0738556118634209E-3</v>
      </c>
      <c r="I13" s="80">
        <f>SUM($G$7:G13)</f>
        <v>228</v>
      </c>
      <c r="J13" s="72">
        <f t="shared" si="5"/>
        <v>1.8941596743374596E-2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기능'!C100</f>
        <v>40</v>
      </c>
    </row>
    <row r="14" spans="1:17" s="22" customFormat="1" ht="25" customHeight="1" x14ac:dyDescent="0.45">
      <c r="A14" s="20"/>
      <c r="B14" s="35"/>
      <c r="C14" s="73">
        <v>43</v>
      </c>
      <c r="D14" s="67">
        <f t="shared" si="3"/>
        <v>74</v>
      </c>
      <c r="E14" s="67">
        <f t="shared" si="0"/>
        <v>1</v>
      </c>
      <c r="F14" s="68">
        <f t="shared" si="4"/>
        <v>97.84</v>
      </c>
      <c r="G14" s="69">
        <f>IF(D14=D13,"",_xlfn.IFNA(VLOOKUP(D14,'인원 입력 기능(사과탐)'!$K$64:$N$116,4,FALSE),0))</f>
        <v>65</v>
      </c>
      <c r="H14" s="70">
        <f t="shared" si="1"/>
        <v>5.4000166154357402E-3</v>
      </c>
      <c r="I14" s="80">
        <f>SUM($G$7:G14)</f>
        <v>293</v>
      </c>
      <c r="J14" s="72">
        <f t="shared" si="5"/>
        <v>2.4341613358810334E-2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기능'!C101</f>
        <v>36</v>
      </c>
    </row>
    <row r="15" spans="1:17" s="22" customFormat="1" ht="25" customHeight="1" x14ac:dyDescent="0.45">
      <c r="A15" s="20"/>
      <c r="B15" s="35"/>
      <c r="C15" s="66">
        <v>42</v>
      </c>
      <c r="D15" s="67">
        <f t="shared" si="3"/>
        <v>73</v>
      </c>
      <c r="E15" s="67">
        <f t="shared" si="0"/>
        <v>1</v>
      </c>
      <c r="F15" s="68">
        <f t="shared" si="4"/>
        <v>97.2</v>
      </c>
      <c r="G15" s="69">
        <f>IF(D15=D14,"",_xlfn.IFNA(VLOOKUP(D15,'인원 입력 기능(사과탐)'!$K$64:$N$116,4,FALSE),0))</f>
        <v>88</v>
      </c>
      <c r="H15" s="70">
        <f t="shared" si="1"/>
        <v>7.3107917255130018E-3</v>
      </c>
      <c r="I15" s="80">
        <f>SUM($G$7:G15)</f>
        <v>381</v>
      </c>
      <c r="J15" s="72">
        <f t="shared" si="5"/>
        <v>3.1652405084323335E-2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73">
        <v>41</v>
      </c>
      <c r="D16" s="67">
        <f t="shared" si="3"/>
        <v>72</v>
      </c>
      <c r="E16" s="67">
        <f t="shared" si="0"/>
        <v>1</v>
      </c>
      <c r="F16" s="68">
        <f t="shared" si="4"/>
        <v>96.66</v>
      </c>
      <c r="G16" s="69">
        <f>IF(D16=D15,"",_xlfn.IFNA(VLOOKUP(D16,'인원 입력 기능(사과탐)'!$K$64:$N$116,4,FALSE),0))</f>
        <v>41</v>
      </c>
      <c r="H16" s="70">
        <f t="shared" si="1"/>
        <v>3.4061643266594666E-3</v>
      </c>
      <c r="I16" s="80">
        <f>SUM($G$7:G16)</f>
        <v>422</v>
      </c>
      <c r="J16" s="72">
        <f t="shared" si="5"/>
        <v>3.5058569410982801E-2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66">
        <v>40</v>
      </c>
      <c r="D17" s="67">
        <f t="shared" si="3"/>
        <v>71</v>
      </c>
      <c r="E17" s="67">
        <f t="shared" si="0"/>
        <v>1</v>
      </c>
      <c r="F17" s="68">
        <f t="shared" si="4"/>
        <v>96.09</v>
      </c>
      <c r="G17" s="69">
        <f>IF(D17=D16,"",_xlfn.IFNA(VLOOKUP(D17,'인원 입력 기능(사과탐)'!$K$64:$N$116,4,FALSE),0))</f>
        <v>98</v>
      </c>
      <c r="H17" s="70">
        <f t="shared" si="1"/>
        <v>8.1415635125031156E-3</v>
      </c>
      <c r="I17" s="80">
        <f>SUM($G$7:G17)</f>
        <v>520</v>
      </c>
      <c r="J17" s="72">
        <f t="shared" si="5"/>
        <v>4.3200132923485922E-2</v>
      </c>
      <c r="K17" s="36"/>
      <c r="L17" s="20" t="str">
        <f t="shared" si="2"/>
        <v/>
      </c>
      <c r="N17" s="24"/>
      <c r="Q17" s="24">
        <f>Q7*H3*H4*J3*IFERROR(IF(J57=1, 1, 0), 0)</f>
        <v>164177433.77494448</v>
      </c>
    </row>
    <row r="18" spans="1:17" s="22" customFormat="1" ht="25" customHeight="1" x14ac:dyDescent="0.45">
      <c r="A18" s="20"/>
      <c r="B18" s="35"/>
      <c r="C18" s="73">
        <v>39</v>
      </c>
      <c r="D18" s="67">
        <f t="shared" si="3"/>
        <v>70</v>
      </c>
      <c r="E18" s="67">
        <f t="shared" si="0"/>
        <v>2</v>
      </c>
      <c r="F18" s="68">
        <f t="shared" si="4"/>
        <v>95.23</v>
      </c>
      <c r="G18" s="69">
        <f>IF(D18=D17,"",_xlfn.IFNA(VLOOKUP(D18,'인원 입력 기능(사과탐)'!$K$64:$N$116,4,FALSE),0))</f>
        <v>109</v>
      </c>
      <c r="H18" s="70">
        <f t="shared" si="1"/>
        <v>9.0554124781922398E-3</v>
      </c>
      <c r="I18" s="80">
        <f>SUM($G$7:G18)</f>
        <v>629</v>
      </c>
      <c r="J18" s="72">
        <f t="shared" si="5"/>
        <v>5.2255545401678156E-2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66">
        <v>38</v>
      </c>
      <c r="D19" s="67">
        <f t="shared" si="3"/>
        <v>69</v>
      </c>
      <c r="E19" s="67">
        <f t="shared" si="0"/>
        <v>2</v>
      </c>
      <c r="F19" s="68">
        <f t="shared" si="4"/>
        <v>94.43</v>
      </c>
      <c r="G19" s="69">
        <f>IF(D19=D18,"",_xlfn.IFNA(VLOOKUP(D19,'인원 입력 기능(사과탐)'!$K$64:$N$116,4,FALSE),0))</f>
        <v>82</v>
      </c>
      <c r="H19" s="70">
        <f t="shared" si="1"/>
        <v>6.8123286533189331E-3</v>
      </c>
      <c r="I19" s="80">
        <f>SUM($G$7:G19)</f>
        <v>711</v>
      </c>
      <c r="J19" s="72">
        <f t="shared" si="5"/>
        <v>5.906787405499709E-2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73">
        <v>37</v>
      </c>
      <c r="D20" s="67">
        <f t="shared" si="3"/>
        <v>68</v>
      </c>
      <c r="E20" s="67">
        <f t="shared" si="0"/>
        <v>2</v>
      </c>
      <c r="F20" s="68">
        <f t="shared" si="4"/>
        <v>93.56</v>
      </c>
      <c r="G20" s="69">
        <f>IF(D20=D19,"",_xlfn.IFNA(VLOOKUP(D20,'인원 입력 기능(사과탐)'!$K$64:$N$116,4,FALSE),0))</f>
        <v>129</v>
      </c>
      <c r="H20" s="70">
        <f t="shared" si="1"/>
        <v>1.0716956052172467E-2</v>
      </c>
      <c r="I20" s="80">
        <f>SUM($G$7:G20)</f>
        <v>840</v>
      </c>
      <c r="J20" s="72">
        <f t="shared" si="5"/>
        <v>6.9784830107169557E-2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95">
        <v>36</v>
      </c>
      <c r="D21" s="82">
        <f t="shared" si="3"/>
        <v>67</v>
      </c>
      <c r="E21" s="82">
        <f t="shared" si="0"/>
        <v>2</v>
      </c>
      <c r="F21" s="68">
        <f t="shared" si="4"/>
        <v>92.59</v>
      </c>
      <c r="G21" s="69">
        <f>IF(D21=D20,"",_xlfn.IFNA(VLOOKUP(D21,'인원 입력 기능(사과탐)'!$K$64:$N$116,4,FALSE),0))</f>
        <v>104</v>
      </c>
      <c r="H21" s="70">
        <f t="shared" si="1"/>
        <v>8.6400265846971833E-3</v>
      </c>
      <c r="I21" s="80">
        <f>SUM($G$7:G21)</f>
        <v>944</v>
      </c>
      <c r="J21" s="72">
        <f t="shared" si="5"/>
        <v>7.8424856691866746E-2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81">
        <v>35</v>
      </c>
      <c r="D22" s="82">
        <f t="shared" si="3"/>
        <v>66</v>
      </c>
      <c r="E22" s="82">
        <f t="shared" si="0"/>
        <v>2</v>
      </c>
      <c r="F22" s="68">
        <f t="shared" si="4"/>
        <v>91.57</v>
      </c>
      <c r="G22" s="69">
        <f>IF(D22=D21,"",_xlfn.IFNA(VLOOKUP(D22,'인원 입력 기능(사과탐)'!$K$64:$N$116,4,FALSE),0))</f>
        <v>142</v>
      </c>
      <c r="H22" s="70">
        <f t="shared" si="1"/>
        <v>1.1796959375259616E-2</v>
      </c>
      <c r="I22" s="80">
        <f>SUM($G$7:G22)</f>
        <v>1086</v>
      </c>
      <c r="J22" s="72">
        <f t="shared" si="5"/>
        <v>9.0221816067126356E-2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95">
        <v>34</v>
      </c>
      <c r="D23" s="82">
        <f t="shared" si="3"/>
        <v>65</v>
      </c>
      <c r="E23" s="82">
        <f t="shared" si="0"/>
        <v>2</v>
      </c>
      <c r="F23" s="68">
        <f t="shared" si="4"/>
        <v>90.2</v>
      </c>
      <c r="G23" s="69">
        <f>IF(D23=D22,"",_xlfn.IFNA(VLOOKUP(D23,'인원 입력 기능(사과탐)'!$K$64:$N$116,4,FALSE),0))</f>
        <v>187</v>
      </c>
      <c r="H23" s="70">
        <f t="shared" si="1"/>
        <v>1.5535432416715128E-2</v>
      </c>
      <c r="I23" s="80">
        <f>SUM($G$7:G23)</f>
        <v>1273</v>
      </c>
      <c r="J23" s="72">
        <f t="shared" si="5"/>
        <v>0.10575724848384149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81">
        <v>33</v>
      </c>
      <c r="D24" s="82">
        <f t="shared" si="3"/>
        <v>64</v>
      </c>
      <c r="E24" s="82">
        <f t="shared" si="0"/>
        <v>2</v>
      </c>
      <c r="F24" s="68">
        <f t="shared" si="4"/>
        <v>88.81</v>
      </c>
      <c r="G24" s="69">
        <f>IF(D24=D23,"",_xlfn.IFNA(VLOOKUP(D24,'인원 입력 기능(사과탐)'!$K$64:$N$116,4,FALSE),0))</f>
        <v>149</v>
      </c>
      <c r="H24" s="70">
        <f t="shared" si="1"/>
        <v>1.2378499626152695E-2</v>
      </c>
      <c r="I24" s="80">
        <f>SUM($G$7:G24)</f>
        <v>1422</v>
      </c>
      <c r="J24" s="72">
        <f t="shared" si="5"/>
        <v>0.11813574810999418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95">
        <v>32</v>
      </c>
      <c r="D25" s="82">
        <f t="shared" si="3"/>
        <v>63</v>
      </c>
      <c r="E25" s="82">
        <f t="shared" si="0"/>
        <v>3</v>
      </c>
      <c r="F25" s="68">
        <f t="shared" si="4"/>
        <v>87.24</v>
      </c>
      <c r="G25" s="69">
        <f>IF(D25=D24,"",_xlfn.IFNA(VLOOKUP(D25,'인원 입력 기능(사과탐)'!$K$64:$N$116,4,FALSE),0))</f>
        <v>228</v>
      </c>
      <c r="H25" s="70">
        <f t="shared" si="1"/>
        <v>1.8941596743374596E-2</v>
      </c>
      <c r="I25" s="80">
        <f>SUM($G$7:G25)</f>
        <v>1650</v>
      </c>
      <c r="J25" s="72">
        <f t="shared" si="5"/>
        <v>0.13707734485336878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81">
        <v>31</v>
      </c>
      <c r="D26" s="82">
        <f t="shared" si="3"/>
        <v>62</v>
      </c>
      <c r="E26" s="82">
        <f t="shared" si="0"/>
        <v>3</v>
      </c>
      <c r="F26" s="68">
        <f t="shared" si="4"/>
        <v>85.38</v>
      </c>
      <c r="G26" s="69">
        <f>IF(D26=D25,"",_xlfn.IFNA(VLOOKUP(D26,'인원 입력 기능(사과탐)'!$K$64:$N$116,4,FALSE),0))</f>
        <v>220</v>
      </c>
      <c r="H26" s="70">
        <f t="shared" si="1"/>
        <v>1.8276979313782506E-2</v>
      </c>
      <c r="I26" s="80">
        <f>SUM($G$7:G26)</f>
        <v>1870</v>
      </c>
      <c r="J26" s="72">
        <f t="shared" si="5"/>
        <v>0.15535432416715128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95">
        <v>30</v>
      </c>
      <c r="D27" s="82">
        <f t="shared" si="3"/>
        <v>61</v>
      </c>
      <c r="E27" s="82">
        <f t="shared" si="0"/>
        <v>3</v>
      </c>
      <c r="F27" s="68">
        <f t="shared" si="4"/>
        <v>83.6</v>
      </c>
      <c r="G27" s="69">
        <f>IF(D27=D26,"",_xlfn.IFNA(VLOOKUP(D27,'인원 입력 기능(사과탐)'!$K$64:$N$116,4,FALSE),0))</f>
        <v>208</v>
      </c>
      <c r="H27" s="70">
        <f t="shared" si="1"/>
        <v>1.7280053169394367E-2</v>
      </c>
      <c r="I27" s="80">
        <f>SUM($G$7:G27)</f>
        <v>2078</v>
      </c>
      <c r="J27" s="72">
        <f t="shared" si="5"/>
        <v>0.17263437733654566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81">
        <v>29</v>
      </c>
      <c r="D28" s="82">
        <f t="shared" si="3"/>
        <v>60</v>
      </c>
      <c r="E28" s="82">
        <f t="shared" si="0"/>
        <v>3</v>
      </c>
      <c r="F28" s="68">
        <f t="shared" si="4"/>
        <v>81.81</v>
      </c>
      <c r="G28" s="69">
        <f>IF(D28=D27,"",_xlfn.IFNA(VLOOKUP(D28,'인원 입력 기능(사과탐)'!$K$64:$N$116,4,FALSE),0))</f>
        <v>223</v>
      </c>
      <c r="H28" s="70">
        <f t="shared" si="1"/>
        <v>1.852621084987954E-2</v>
      </c>
      <c r="I28" s="80">
        <f>SUM($G$7:G28)</f>
        <v>2301</v>
      </c>
      <c r="J28" s="72">
        <f t="shared" si="5"/>
        <v>0.1911605881864252</v>
      </c>
      <c r="K28" s="36"/>
      <c r="L28" s="20" t="str">
        <f t="shared" si="2"/>
        <v>경고</v>
      </c>
      <c r="N28" s="24"/>
    </row>
    <row r="29" spans="1:17" s="22" customFormat="1" ht="25" customHeight="1" x14ac:dyDescent="0.45">
      <c r="A29" s="20"/>
      <c r="B29" s="35"/>
      <c r="C29" s="95">
        <v>28</v>
      </c>
      <c r="D29" s="82">
        <f t="shared" si="3"/>
        <v>58</v>
      </c>
      <c r="E29" s="82">
        <f t="shared" si="0"/>
        <v>3</v>
      </c>
      <c r="F29" s="68">
        <f t="shared" si="4"/>
        <v>79.87</v>
      </c>
      <c r="G29" s="69">
        <f>IF(D29=D28,"",_xlfn.IFNA(VLOOKUP(D29,'인원 입력 기능(사과탐)'!$K$64:$N$116,4,FALSE),0))</f>
        <v>244</v>
      </c>
      <c r="H29" s="70">
        <f t="shared" si="1"/>
        <v>2.0270831602558777E-2</v>
      </c>
      <c r="I29" s="80">
        <f>SUM($G$7:G29)</f>
        <v>2545</v>
      </c>
      <c r="J29" s="72">
        <f t="shared" si="5"/>
        <v>0.21143141978898397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81">
        <v>27</v>
      </c>
      <c r="D30" s="82">
        <f t="shared" si="3"/>
        <v>57</v>
      </c>
      <c r="E30" s="82">
        <f t="shared" si="0"/>
        <v>3</v>
      </c>
      <c r="F30" s="68">
        <f t="shared" si="4"/>
        <v>77.599999999999994</v>
      </c>
      <c r="G30" s="69">
        <f>IF(D30=D29,"",_xlfn.IFNA(VLOOKUP(D30,'인원 입력 기능(사과탐)'!$K$64:$N$116,4,FALSE),0))</f>
        <v>302</v>
      </c>
      <c r="H30" s="70">
        <f t="shared" si="1"/>
        <v>2.5089307967101439E-2</v>
      </c>
      <c r="I30" s="80">
        <f>SUM($G$7:G30)</f>
        <v>2847</v>
      </c>
      <c r="J30" s="72">
        <f t="shared" si="5"/>
        <v>0.2365207277560854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95">
        <v>26</v>
      </c>
      <c r="D31" s="82">
        <f t="shared" si="3"/>
        <v>56</v>
      </c>
      <c r="E31" s="82">
        <f t="shared" si="0"/>
        <v>4</v>
      </c>
      <c r="F31" s="68">
        <f t="shared" si="4"/>
        <v>75.17</v>
      </c>
      <c r="G31" s="69">
        <f>IF(D31=D30,"",_xlfn.IFNA(VLOOKUP(D31,'인원 입력 기능(사과탐)'!$K$64:$N$116,4,FALSE),0))</f>
        <v>284</v>
      </c>
      <c r="H31" s="70">
        <f t="shared" si="1"/>
        <v>2.3593918750519232E-2</v>
      </c>
      <c r="I31" s="80">
        <f>SUM($G$7:G31)</f>
        <v>3131</v>
      </c>
      <c r="J31" s="72">
        <f t="shared" si="5"/>
        <v>0.26011464650660465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81">
        <v>25</v>
      </c>
      <c r="D32" s="82">
        <f t="shared" si="3"/>
        <v>55</v>
      </c>
      <c r="E32" s="82">
        <f t="shared" si="0"/>
        <v>4</v>
      </c>
      <c r="F32" s="68">
        <f t="shared" si="4"/>
        <v>72.72</v>
      </c>
      <c r="G32" s="69">
        <f>IF(D32=D31,"",_xlfn.IFNA(VLOOKUP(D32,'인원 입력 기능(사과탐)'!$K$64:$N$116,4,FALSE),0))</f>
        <v>306</v>
      </c>
      <c r="H32" s="70">
        <f t="shared" si="1"/>
        <v>2.5421616681897484E-2</v>
      </c>
      <c r="I32" s="80">
        <f>SUM($G$7:G32)</f>
        <v>3437</v>
      </c>
      <c r="J32" s="72">
        <f t="shared" si="5"/>
        <v>0.28553626318850212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95">
        <v>24</v>
      </c>
      <c r="D33" s="82">
        <f t="shared" si="3"/>
        <v>54</v>
      </c>
      <c r="E33" s="82">
        <f t="shared" si="0"/>
        <v>4</v>
      </c>
      <c r="F33" s="68">
        <f t="shared" si="4"/>
        <v>69.900000000000006</v>
      </c>
      <c r="G33" s="69">
        <f>IF(D33=D32,"",_xlfn.IFNA(VLOOKUP(D33,'인원 입력 기능(사과탐)'!$K$64:$N$116,4,FALSE),0))</f>
        <v>373</v>
      </c>
      <c r="H33" s="70">
        <f t="shared" si="1"/>
        <v>3.0987787654731244E-2</v>
      </c>
      <c r="I33" s="80">
        <f>SUM($G$7:G33)</f>
        <v>3810</v>
      </c>
      <c r="J33" s="72">
        <f t="shared" si="5"/>
        <v>0.31652405084323337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81">
        <v>23</v>
      </c>
      <c r="D34" s="82">
        <f t="shared" si="3"/>
        <v>53</v>
      </c>
      <c r="E34" s="82">
        <f t="shared" si="0"/>
        <v>4</v>
      </c>
      <c r="F34" s="68">
        <f t="shared" si="4"/>
        <v>67</v>
      </c>
      <c r="G34" s="69">
        <f>IF(D34=D33,"",_xlfn.IFNA(VLOOKUP(D34,'인원 입력 기능(사과탐)'!$K$64:$N$116,4,FALSE),0))</f>
        <v>325</v>
      </c>
      <c r="H34" s="70">
        <f t="shared" si="1"/>
        <v>2.7000083077178699E-2</v>
      </c>
      <c r="I34" s="80">
        <f>SUM($G$7:G34)</f>
        <v>4135</v>
      </c>
      <c r="J34" s="72">
        <f t="shared" si="5"/>
        <v>0.34352413392041209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95">
        <v>22</v>
      </c>
      <c r="D35" s="82">
        <f t="shared" si="3"/>
        <v>52</v>
      </c>
      <c r="E35" s="82">
        <f t="shared" si="0"/>
        <v>4</v>
      </c>
      <c r="F35" s="68">
        <f t="shared" si="4"/>
        <v>64.11</v>
      </c>
      <c r="G35" s="69">
        <f>IF(D35=D34,"",_xlfn.IFNA(VLOOKUP(D35,'인원 입력 기능(사과탐)'!$K$64:$N$116,4,FALSE),0))</f>
        <v>370</v>
      </c>
      <c r="H35" s="70">
        <f t="shared" si="1"/>
        <v>3.073855611863421E-2</v>
      </c>
      <c r="I35" s="80">
        <f>SUM($G$7:G35)</f>
        <v>4505</v>
      </c>
      <c r="J35" s="72">
        <f t="shared" si="5"/>
        <v>0.37426269003904628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81">
        <v>21</v>
      </c>
      <c r="D36" s="82">
        <f t="shared" si="3"/>
        <v>51</v>
      </c>
      <c r="E36" s="82">
        <f t="shared" si="0"/>
        <v>4</v>
      </c>
      <c r="F36" s="68">
        <f t="shared" si="4"/>
        <v>60.97</v>
      </c>
      <c r="G36" s="69">
        <f>IF(D36=D35,"",_xlfn.IFNA(VLOOKUP(D36,'인원 입력 기능(사과탐)'!$K$64:$N$116,4,FALSE),0))</f>
        <v>386</v>
      </c>
      <c r="H36" s="70">
        <f t="shared" si="1"/>
        <v>3.2067790977818394E-2</v>
      </c>
      <c r="I36" s="80">
        <f>SUM($G$7:G36)</f>
        <v>4891</v>
      </c>
      <c r="J36" s="72">
        <f t="shared" si="5"/>
        <v>0.40633048101686464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95">
        <v>20</v>
      </c>
      <c r="D37" s="82">
        <f t="shared" si="3"/>
        <v>50</v>
      </c>
      <c r="E37" s="82">
        <f t="shared" si="0"/>
        <v>5</v>
      </c>
      <c r="F37" s="68">
        <f t="shared" si="4"/>
        <v>57.94</v>
      </c>
      <c r="G37" s="69">
        <f>IF(D37=D36,"",_xlfn.IFNA(VLOOKUP(D37,'인원 입력 기능(사과탐)'!$K$64:$N$116,4,FALSE),0))</f>
        <v>344</v>
      </c>
      <c r="H37" s="70">
        <f t="shared" si="1"/>
        <v>2.8578549472459917E-2</v>
      </c>
      <c r="I37" s="80">
        <f>SUM($G$7:G37)</f>
        <v>5235</v>
      </c>
      <c r="J37" s="72">
        <f t="shared" si="5"/>
        <v>0.43490903048932456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81">
        <v>19</v>
      </c>
      <c r="D38" s="82">
        <f t="shared" si="3"/>
        <v>49</v>
      </c>
      <c r="E38" s="82">
        <f t="shared" si="0"/>
        <v>5</v>
      </c>
      <c r="F38" s="68">
        <f t="shared" si="4"/>
        <v>54.64</v>
      </c>
      <c r="G38" s="69">
        <f>IF(D38=D37,"",_xlfn.IFNA(VLOOKUP(D38,'인원 입력 기능(사과탐)'!$K$64:$N$116,4,FALSE),0))</f>
        <v>449</v>
      </c>
      <c r="H38" s="70">
        <f t="shared" si="1"/>
        <v>3.730165323585611E-2</v>
      </c>
      <c r="I38" s="80">
        <f>SUM($G$7:G38)</f>
        <v>5684</v>
      </c>
      <c r="J38" s="72">
        <f t="shared" si="5"/>
        <v>0.47221068372518071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95">
        <v>18</v>
      </c>
      <c r="D39" s="82">
        <f t="shared" si="3"/>
        <v>48</v>
      </c>
      <c r="E39" s="82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8">
        <f t="shared" si="4"/>
        <v>51.1</v>
      </c>
      <c r="G39" s="69">
        <f>IF(D39=D38,"",_xlfn.IFNA(VLOOKUP(D39,'인원 입력 기능(사과탐)'!$K$64:$N$116,4,FALSE),0))</f>
        <v>403</v>
      </c>
      <c r="H39" s="70">
        <f t="shared" si="1"/>
        <v>3.348010301570159E-2</v>
      </c>
      <c r="I39" s="80">
        <f>SUM($G$7:G39)</f>
        <v>6087</v>
      </c>
      <c r="J39" s="72">
        <f t="shared" si="5"/>
        <v>0.5056907867408823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81">
        <v>17</v>
      </c>
      <c r="D40" s="82">
        <f t="shared" si="3"/>
        <v>47</v>
      </c>
      <c r="E40" s="82">
        <f t="shared" si="6"/>
        <v>5</v>
      </c>
      <c r="F40" s="68">
        <f t="shared" si="4"/>
        <v>47.61</v>
      </c>
      <c r="G40" s="69">
        <f>IF(D40=D39,"",_xlfn.IFNA(VLOOKUP(D40,'인원 입력 기능(사과탐)'!$K$64:$N$116,4,FALSE),0))</f>
        <v>439</v>
      </c>
      <c r="H40" s="70">
        <f t="shared" si="1"/>
        <v>3.6470881448865997E-2</v>
      </c>
      <c r="I40" s="80">
        <f>SUM($G$7:G40)</f>
        <v>6526</v>
      </c>
      <c r="J40" s="72">
        <f t="shared" si="5"/>
        <v>0.54216166818974831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95">
        <v>16</v>
      </c>
      <c r="D41" s="82">
        <f t="shared" si="3"/>
        <v>46</v>
      </c>
      <c r="E41" s="82">
        <f t="shared" si="6"/>
        <v>5</v>
      </c>
      <c r="F41" s="68">
        <f t="shared" si="4"/>
        <v>44.12</v>
      </c>
      <c r="G41" s="69">
        <f>IF(D41=D40,"",_xlfn.IFNA(VLOOKUP(D41,'인원 입력 기능(사과탐)'!$K$64:$N$116,4,FALSE),0))</f>
        <v>401</v>
      </c>
      <c r="H41" s="70">
        <f t="shared" si="1"/>
        <v>3.3313948658303567E-2</v>
      </c>
      <c r="I41" s="80">
        <f>SUM($G$7:G41)</f>
        <v>6927</v>
      </c>
      <c r="J41" s="72">
        <f t="shared" si="5"/>
        <v>0.57547561684805182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81">
        <v>15</v>
      </c>
      <c r="D42" s="82">
        <f t="shared" si="3"/>
        <v>45</v>
      </c>
      <c r="E42" s="82">
        <f t="shared" si="6"/>
        <v>5</v>
      </c>
      <c r="F42" s="68">
        <f t="shared" si="4"/>
        <v>40.33</v>
      </c>
      <c r="G42" s="69">
        <f>IF(D42=D41,"",_xlfn.IFNA(VLOOKUP(D42,'인원 입력 기능(사과탐)'!$K$64:$N$116,4,FALSE),0))</f>
        <v>510</v>
      </c>
      <c r="H42" s="70">
        <f t="shared" si="1"/>
        <v>4.2369361136495802E-2</v>
      </c>
      <c r="I42" s="80">
        <f>SUM($G$7:G42)</f>
        <v>7437</v>
      </c>
      <c r="J42" s="72">
        <f t="shared" si="5"/>
        <v>0.61784497798454763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95">
        <v>14</v>
      </c>
      <c r="D43" s="82">
        <f t="shared" si="3"/>
        <v>44</v>
      </c>
      <c r="E43" s="82">
        <f t="shared" si="6"/>
        <v>6</v>
      </c>
      <c r="F43" s="68">
        <f t="shared" si="4"/>
        <v>36.22</v>
      </c>
      <c r="G43" s="69">
        <f>IF(D43=D42,"",_xlfn.IFNA(VLOOKUP(D43,'인원 입력 기능(사과탐)'!$K$64:$N$116,4,FALSE),0))</f>
        <v>481</v>
      </c>
      <c r="H43" s="70">
        <f t="shared" si="1"/>
        <v>3.9960122954224478E-2</v>
      </c>
      <c r="I43" s="80">
        <f>SUM($G$7:G43)</f>
        <v>7918</v>
      </c>
      <c r="J43" s="72">
        <f t="shared" si="5"/>
        <v>0.65780510093877209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81">
        <v>13</v>
      </c>
      <c r="D44" s="82">
        <f t="shared" si="3"/>
        <v>43</v>
      </c>
      <c r="E44" s="82">
        <f t="shared" si="6"/>
        <v>6</v>
      </c>
      <c r="F44" s="68">
        <f t="shared" si="4"/>
        <v>29.47</v>
      </c>
      <c r="G44" s="69">
        <f>IF(D44=D43,"",_xlfn.IFNA(VLOOKUP(D44,'인원 입력 기능(사과탐)'!$K$64:$N$116,4,FALSE),0))</f>
        <v>1144</v>
      </c>
      <c r="H44" s="70">
        <f t="shared" si="1"/>
        <v>9.5040292431669018E-2</v>
      </c>
      <c r="I44" s="80">
        <f>SUM($G$7:G44)</f>
        <v>9062</v>
      </c>
      <c r="J44" s="72">
        <f t="shared" si="5"/>
        <v>0.7528453933704411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95">
        <v>12</v>
      </c>
      <c r="D45" s="82">
        <f t="shared" si="3"/>
        <v>42</v>
      </c>
      <c r="E45" s="82">
        <f t="shared" si="6"/>
        <v>6</v>
      </c>
      <c r="F45" s="68">
        <f t="shared" si="4"/>
        <v>21.16</v>
      </c>
      <c r="G45" s="69">
        <f>IF(D45=D44,"",_xlfn.IFNA(VLOOKUP(D45,'인원 입력 기능(사과탐)'!$K$64:$N$116,4,FALSE),0))</f>
        <v>855</v>
      </c>
      <c r="H45" s="70">
        <f t="shared" si="1"/>
        <v>7.1030987787654737E-2</v>
      </c>
      <c r="I45" s="80">
        <f>SUM($G$7:G45)</f>
        <v>9917</v>
      </c>
      <c r="J45" s="72">
        <f t="shared" si="5"/>
        <v>0.82387638115809592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81">
        <v>11</v>
      </c>
      <c r="D46" s="82">
        <f t="shared" si="3"/>
        <v>41</v>
      </c>
      <c r="E46" s="82">
        <f t="shared" si="6"/>
        <v>7</v>
      </c>
      <c r="F46" s="68">
        <f t="shared" si="4"/>
        <v>15.56</v>
      </c>
      <c r="G46" s="69">
        <f>IF(D46=D45,"",_xlfn.IFNA(VLOOKUP(D46,'인원 입력 기능(사과탐)'!$K$64:$N$116,4,FALSE),0))</f>
        <v>495</v>
      </c>
      <c r="H46" s="70">
        <f t="shared" si="1"/>
        <v>4.1123203456010636E-2</v>
      </c>
      <c r="I46" s="80">
        <f>SUM($G$7:G46)</f>
        <v>10412</v>
      </c>
      <c r="J46" s="72">
        <f t="shared" si="5"/>
        <v>0.86499958461410653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95">
        <v>10</v>
      </c>
      <c r="D47" s="82">
        <f t="shared" si="3"/>
        <v>40</v>
      </c>
      <c r="E47" s="82">
        <f t="shared" si="6"/>
        <v>7</v>
      </c>
      <c r="F47" s="68">
        <f t="shared" si="4"/>
        <v>11.43</v>
      </c>
      <c r="G47" s="69">
        <f>IF(D47=D46,"",_xlfn.IFNA(VLOOKUP(D47,'인원 입력 기능(사과탐)'!$K$64:$N$116,4,FALSE),0))</f>
        <v>498</v>
      </c>
      <c r="H47" s="70">
        <f t="shared" si="1"/>
        <v>4.1372434992107666E-2</v>
      </c>
      <c r="I47" s="80">
        <f>SUM($G$7:G47)</f>
        <v>10910</v>
      </c>
      <c r="J47" s="72">
        <f t="shared" si="5"/>
        <v>0.90637201960621416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81">
        <v>9</v>
      </c>
      <c r="D48" s="82">
        <f t="shared" si="3"/>
        <v>39</v>
      </c>
      <c r="E48" s="82">
        <f t="shared" si="6"/>
        <v>8</v>
      </c>
      <c r="F48" s="68">
        <f t="shared" si="4"/>
        <v>8.31</v>
      </c>
      <c r="G48" s="69">
        <f>IF(D48=D47,"",_xlfn.IFNA(VLOOKUP(D48,'인원 입력 기능(사과탐)'!$K$64:$N$116,4,FALSE),0))</f>
        <v>254</v>
      </c>
      <c r="H48" s="70">
        <f t="shared" si="1"/>
        <v>2.110160338954889E-2</v>
      </c>
      <c r="I48" s="80">
        <f>SUM($G$7:G48)</f>
        <v>11164</v>
      </c>
      <c r="J48" s="72">
        <f t="shared" si="5"/>
        <v>0.92747362299576308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95">
        <v>8</v>
      </c>
      <c r="D49" s="82">
        <f t="shared" si="3"/>
        <v>38</v>
      </c>
      <c r="E49" s="82">
        <f t="shared" si="6"/>
        <v>8</v>
      </c>
      <c r="F49" s="68">
        <f t="shared" si="4"/>
        <v>6.28</v>
      </c>
      <c r="G49" s="69">
        <f>IF(D49=D48,"",_xlfn.IFNA(VLOOKUP(D49,'인원 입력 기능(사과탐)'!$K$64:$N$116,4,FALSE),0))</f>
        <v>235</v>
      </c>
      <c r="H49" s="70">
        <f t="shared" si="1"/>
        <v>1.9523136994267675E-2</v>
      </c>
      <c r="I49" s="80">
        <f>SUM($G$7:G49)</f>
        <v>11399</v>
      </c>
      <c r="J49" s="72">
        <f t="shared" si="5"/>
        <v>0.94699675999003075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81">
        <v>7</v>
      </c>
      <c r="D50" s="82">
        <f t="shared" si="3"/>
        <v>37</v>
      </c>
      <c r="E50" s="82">
        <f t="shared" si="6"/>
        <v>8</v>
      </c>
      <c r="F50" s="68">
        <f t="shared" si="4"/>
        <v>4.6900000000000004</v>
      </c>
      <c r="G50" s="69">
        <f>IF(D50=D49,"",_xlfn.IFNA(VLOOKUP(D50,'인원 입력 기능(사과탐)'!$K$64:$N$116,4,FALSE),0))</f>
        <v>146</v>
      </c>
      <c r="H50" s="70">
        <f t="shared" si="1"/>
        <v>1.2129268090055661E-2</v>
      </c>
      <c r="I50" s="80">
        <f>SUM($G$7:G50)</f>
        <v>11545</v>
      </c>
      <c r="J50" s="72">
        <f t="shared" si="5"/>
        <v>0.9591260280800864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95">
        <v>6</v>
      </c>
      <c r="D51" s="82">
        <f t="shared" si="3"/>
        <v>36</v>
      </c>
      <c r="E51" s="82">
        <f t="shared" si="6"/>
        <v>8</v>
      </c>
      <c r="F51" s="68">
        <f t="shared" si="4"/>
        <v>3.61</v>
      </c>
      <c r="G51" s="69">
        <f>IF(D51=D50,"",_xlfn.IFNA(VLOOKUP(D51,'인원 입력 기능(사과탐)'!$K$64:$N$116,4,FALSE),0))</f>
        <v>114</v>
      </c>
      <c r="H51" s="70">
        <f t="shared" si="1"/>
        <v>9.470798371687298E-3</v>
      </c>
      <c r="I51" s="80">
        <f>SUM($G$7:G51)</f>
        <v>11659</v>
      </c>
      <c r="J51" s="72">
        <f t="shared" si="5"/>
        <v>0.9685968264517737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81">
        <v>5</v>
      </c>
      <c r="D52" s="82">
        <f t="shared" si="3"/>
        <v>35</v>
      </c>
      <c r="E52" s="82">
        <f t="shared" si="6"/>
        <v>9</v>
      </c>
      <c r="F52" s="68">
        <f t="shared" si="4"/>
        <v>2.68</v>
      </c>
      <c r="G52" s="69">
        <f>IF(D52=D51,"",_xlfn.IFNA(VLOOKUP(D52,'인원 입력 기능(사과탐)'!$K$64:$N$116,4,FALSE),0))</f>
        <v>112</v>
      </c>
      <c r="H52" s="70">
        <f t="shared" si="1"/>
        <v>9.3046440142892754E-3</v>
      </c>
      <c r="I52" s="80">
        <f>SUM($G$7:G52)</f>
        <v>11771</v>
      </c>
      <c r="J52" s="72">
        <f t="shared" si="5"/>
        <v>0.97790147046606302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66">
        <v>4</v>
      </c>
      <c r="D53" s="67">
        <f t="shared" si="3"/>
        <v>34</v>
      </c>
      <c r="E53" s="67">
        <f t="shared" si="6"/>
        <v>9</v>
      </c>
      <c r="F53" s="68">
        <f t="shared" si="4"/>
        <v>1.76</v>
      </c>
      <c r="G53" s="69">
        <f>IF(D53=D52,"",_xlfn.IFNA(VLOOKUP(D53,'인원 입력 기능(사과탐)'!$K$64:$N$116,4,FALSE),0))</f>
        <v>109</v>
      </c>
      <c r="H53" s="70">
        <f t="shared" si="1"/>
        <v>9.0554124781922398E-3</v>
      </c>
      <c r="I53" s="80">
        <f>SUM($G$7:G53)</f>
        <v>11880</v>
      </c>
      <c r="J53" s="72">
        <f t="shared" si="5"/>
        <v>0.98695688294425521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73">
        <v>3</v>
      </c>
      <c r="D54" s="67">
        <f t="shared" si="3"/>
        <v>33</v>
      </c>
      <c r="E54" s="67">
        <f t="shared" si="6"/>
        <v>9</v>
      </c>
      <c r="F54" s="68">
        <f t="shared" si="4"/>
        <v>1.1000000000000001</v>
      </c>
      <c r="G54" s="69">
        <f>IF(D54=D53,"",_xlfn.IFNA(VLOOKUP(D54,'인원 입력 기능(사과탐)'!$K$64:$N$116,4,FALSE),0))</f>
        <v>48</v>
      </c>
      <c r="H54" s="70">
        <f t="shared" si="1"/>
        <v>3.9877045775525465E-3</v>
      </c>
      <c r="I54" s="80">
        <f>SUM($G$7:G54)</f>
        <v>11928</v>
      </c>
      <c r="J54" s="72">
        <f t="shared" si="5"/>
        <v>0.99094458752180781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66">
        <v>2</v>
      </c>
      <c r="D55" s="67">
        <f t="shared" si="3"/>
        <v>32</v>
      </c>
      <c r="E55" s="67">
        <f t="shared" si="6"/>
        <v>9</v>
      </c>
      <c r="F55" s="68">
        <f t="shared" si="4"/>
        <v>0.73</v>
      </c>
      <c r="G55" s="69">
        <f>IF(D55=D54,"",_xlfn.IFNA(VLOOKUP(D55,'인원 입력 기능(사과탐)'!$K$64:$N$116,4,FALSE),0))</f>
        <v>42</v>
      </c>
      <c r="H55" s="70">
        <f t="shared" si="1"/>
        <v>3.4892415053584779E-3</v>
      </c>
      <c r="I55" s="80">
        <f>SUM($G$7:G55)</f>
        <v>11970</v>
      </c>
      <c r="J55" s="72">
        <f t="shared" si="5"/>
        <v>0.99443382902716626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73">
        <v>1</v>
      </c>
      <c r="D56" s="74" t="s">
        <v>59</v>
      </c>
      <c r="E56" s="74"/>
      <c r="F56" s="75"/>
      <c r="G56" s="96"/>
      <c r="H56" s="94"/>
      <c r="I56" s="84"/>
      <c r="J56" s="79"/>
      <c r="K56" s="36"/>
      <c r="L56" s="20"/>
      <c r="N56" s="24"/>
    </row>
    <row r="57" spans="1:14" s="22" customFormat="1" ht="25" customHeight="1" thickBot="1" x14ac:dyDescent="0.5">
      <c r="A57" s="20"/>
      <c r="B57" s="35"/>
      <c r="C57" s="97">
        <v>0</v>
      </c>
      <c r="D57" s="86">
        <f>ROUND(10*(C57-$H$3)/$H$4+50,0)</f>
        <v>30</v>
      </c>
      <c r="E57" s="98">
        <f t="shared" si="6"/>
        <v>9</v>
      </c>
      <c r="F57" s="87">
        <f>IF(I55=0,ROUND(100*(1-(I54+I57)/2/$J$3),2),ROUND(100*(1-(I55+I57)/2/$J$3),2))</f>
        <v>0.28000000000000003</v>
      </c>
      <c r="G57" s="99">
        <f>_xlfn.IFNA(VLOOKUP(D57,'인원 입력 기능(사과탐)'!$K$64:$N$116,4,FALSE),0)</f>
        <v>67</v>
      </c>
      <c r="H57" s="89">
        <f>G57/$J$3</f>
        <v>5.5661709728337628E-3</v>
      </c>
      <c r="I57" s="90">
        <f>SUM($G$7:G57)</f>
        <v>12037</v>
      </c>
      <c r="J57" s="100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">
    <mergeCell ref="D3:F3"/>
    <mergeCell ref="D4:F4"/>
  </mergeCells>
  <phoneticPr fontId="1" type="noConversion"/>
  <conditionalFormatting sqref="D7:G57 I7:J57">
    <cfRule type="expression" dxfId="50" priority="4">
      <formula>OR($D7=$Q$7:$Q$14)</formula>
    </cfRule>
  </conditionalFormatting>
  <conditionalFormatting sqref="C7:C57">
    <cfRule type="expression" dxfId="49" priority="3">
      <formula>OR(AND($D7=0,OR($D6=$Q$7:$Q$14)),AND($D8&gt;0,OR($D7=$Q$7:$Q$14)))</formula>
    </cfRule>
  </conditionalFormatting>
  <conditionalFormatting sqref="D7:D57">
    <cfRule type="expression" dxfId="48" priority="2">
      <formula>$D7=$D8</formula>
    </cfRule>
  </conditionalFormatting>
  <conditionalFormatting sqref="H7:H57">
    <cfRule type="expression" dxfId="47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C704-F3B3-4F9F-B31F-7545B24CEF85}">
  <sheetPr codeName="Sheet17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113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기능'!D15</f>
        <v>23.887184620366799</v>
      </c>
      <c r="I3" s="21" t="s">
        <v>117</v>
      </c>
      <c r="J3" s="58">
        <f>'통계 및 응시자 수 입력 기능'!C15</f>
        <v>33967</v>
      </c>
      <c r="K3" s="36"/>
      <c r="L3" s="20"/>
    </row>
    <row r="4" spans="1:17" s="22" customFormat="1" ht="25" customHeight="1" thickBot="1" x14ac:dyDescent="0.5">
      <c r="A4" s="20"/>
      <c r="B4" s="35"/>
      <c r="C4" s="59" t="s">
        <v>118</v>
      </c>
      <c r="D4" s="191" t="s">
        <v>144</v>
      </c>
      <c r="E4" s="192"/>
      <c r="F4" s="193"/>
      <c r="G4" s="60" t="s">
        <v>120</v>
      </c>
      <c r="H4" s="61">
        <f>'통계 및 응시자 수 입력 기능'!E15</f>
        <v>11.9536002623871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62" t="s">
        <v>121</v>
      </c>
      <c r="D6" s="63" t="s">
        <v>122</v>
      </c>
      <c r="E6" s="63" t="s">
        <v>123</v>
      </c>
      <c r="F6" s="63" t="s">
        <v>124</v>
      </c>
      <c r="G6" s="63" t="s">
        <v>125</v>
      </c>
      <c r="H6" s="63" t="s">
        <v>126</v>
      </c>
      <c r="I6" s="64" t="s">
        <v>127</v>
      </c>
      <c r="J6" s="65" t="s">
        <v>128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66">
        <v>50</v>
      </c>
      <c r="D7" s="67">
        <f>ROUND(10*(C7-$H$3)/$H$4+50,0)</f>
        <v>72</v>
      </c>
      <c r="E7" s="67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8">
        <f>ROUND(100*(1-(0+I7)/2/$J$3),2)</f>
        <v>99.57</v>
      </c>
      <c r="G7" s="69">
        <f>_xlfn.IFNA(VLOOKUP(D7,'인원 입력 기능(사과탐)'!$P$64:$S$116,4,FALSE),0)</f>
        <v>295</v>
      </c>
      <c r="H7" s="70">
        <f>G7/$J$3</f>
        <v>8.684900050048577E-3</v>
      </c>
      <c r="I7" s="71">
        <f>G7</f>
        <v>295</v>
      </c>
      <c r="J7" s="72">
        <f>I7/$J$3</f>
        <v>8.684900050048577E-3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기능'!C103</f>
        <v>68</v>
      </c>
    </row>
    <row r="8" spans="1:17" s="22" customFormat="1" ht="25" customHeight="1" x14ac:dyDescent="0.45">
      <c r="A8" s="20"/>
      <c r="B8" s="35"/>
      <c r="C8" s="73">
        <v>49</v>
      </c>
      <c r="D8" s="74" t="s">
        <v>59</v>
      </c>
      <c r="E8" s="74"/>
      <c r="F8" s="75"/>
      <c r="G8" s="76"/>
      <c r="H8" s="94"/>
      <c r="I8" s="78"/>
      <c r="J8" s="79"/>
      <c r="K8" s="36"/>
      <c r="L8" s="20"/>
      <c r="N8" s="24"/>
      <c r="P8" s="24">
        <v>2</v>
      </c>
      <c r="Q8" s="24">
        <f>'표점등급&amp;절평인원 입력 기능'!C104</f>
        <v>63</v>
      </c>
    </row>
    <row r="9" spans="1:17" s="22" customFormat="1" ht="25" customHeight="1" x14ac:dyDescent="0.45">
      <c r="A9" s="20"/>
      <c r="B9" s="35"/>
      <c r="C9" s="66">
        <v>48</v>
      </c>
      <c r="D9" s="67">
        <f>ROUND(10*(C9-$H$3)/$H$4+50,0)</f>
        <v>70</v>
      </c>
      <c r="E9" s="67">
        <f t="shared" si="0"/>
        <v>1</v>
      </c>
      <c r="F9" s="68">
        <f>IF(I8=0,ROUND(100*(1-(I7+I9)/2/$J$3),2),ROUND(100*(1-(I8+I9)/2/$J$3),2))</f>
        <v>98.64</v>
      </c>
      <c r="G9" s="69">
        <f>_xlfn.IFNA(VLOOKUP(D9,'인원 입력 기능(사과탐)'!$P$64:$S$116,4,FALSE),0)</f>
        <v>331</v>
      </c>
      <c r="H9" s="70">
        <f t="shared" ref="H9:H55" si="1">G9/$J$3</f>
        <v>9.7447522595460294E-3</v>
      </c>
      <c r="I9" s="80">
        <f>SUM($G$7:G9)</f>
        <v>626</v>
      </c>
      <c r="J9" s="72">
        <f>I9/$J$3</f>
        <v>1.8429652309594608E-2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기능'!C105</f>
        <v>58</v>
      </c>
    </row>
    <row r="10" spans="1:17" s="22" customFormat="1" ht="25" customHeight="1" x14ac:dyDescent="0.45">
      <c r="A10" s="20"/>
      <c r="B10" s="35"/>
      <c r="C10" s="73">
        <v>47</v>
      </c>
      <c r="D10" s="67">
        <f t="shared" ref="D10:D55" si="3">ROUND(10*(C10-$H$3)/$H$4+50,0)</f>
        <v>69</v>
      </c>
      <c r="E10" s="67">
        <f t="shared" si="0"/>
        <v>1</v>
      </c>
      <c r="F10" s="68">
        <f t="shared" ref="F10:F55" si="4">IF(I9=0,ROUND(100*(1-(I8+I10)/2/$J$3),2),ROUND(100*(1-(I9+I10)/2/$J$3),2))</f>
        <v>97.9</v>
      </c>
      <c r="G10" s="69">
        <f>IF(D10=D9,"",_xlfn.IFNA(VLOOKUP(D10,'인원 입력 기능(사과탐)'!$P$64:$S$116,4,FALSE),0))</f>
        <v>174</v>
      </c>
      <c r="H10" s="70">
        <f t="shared" si="1"/>
        <v>5.1226190125710251E-3</v>
      </c>
      <c r="I10" s="80">
        <f>SUM($G$7:G10)</f>
        <v>800</v>
      </c>
      <c r="J10" s="72">
        <f t="shared" ref="J10:J55" si="5">I10/$J$3</f>
        <v>2.3552271322165631E-2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기능'!C106</f>
        <v>53</v>
      </c>
    </row>
    <row r="11" spans="1:17" s="22" customFormat="1" ht="25" customHeight="1" x14ac:dyDescent="0.45">
      <c r="A11" s="20"/>
      <c r="B11" s="35"/>
      <c r="C11" s="66">
        <v>46</v>
      </c>
      <c r="D11" s="178">
        <f t="shared" si="3"/>
        <v>68</v>
      </c>
      <c r="E11" s="178">
        <f t="shared" si="0"/>
        <v>1</v>
      </c>
      <c r="F11" s="182">
        <f t="shared" si="4"/>
        <v>96.68</v>
      </c>
      <c r="G11" s="184">
        <f>IF(D11=D10,"",_xlfn.IFNA(VLOOKUP(D11,'인원 입력 기능(사과탐)'!$P$64:$S$116,4,FALSE),0))</f>
        <v>656</v>
      </c>
      <c r="H11" s="186">
        <f t="shared" si="1"/>
        <v>1.9312862484175818E-2</v>
      </c>
      <c r="I11" s="194">
        <f>SUM($G$7:G11)</f>
        <v>1456</v>
      </c>
      <c r="J11" s="176">
        <f t="shared" si="5"/>
        <v>4.2865133806341452E-2</v>
      </c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기능'!C107</f>
        <v>47</v>
      </c>
    </row>
    <row r="12" spans="1:17" s="22" customFormat="1" ht="25" customHeight="1" x14ac:dyDescent="0.45">
      <c r="A12" s="20"/>
      <c r="B12" s="35"/>
      <c r="C12" s="73">
        <v>45</v>
      </c>
      <c r="D12" s="179"/>
      <c r="E12" s="179"/>
      <c r="F12" s="183"/>
      <c r="G12" s="185"/>
      <c r="H12" s="187"/>
      <c r="I12" s="195"/>
      <c r="J12" s="177"/>
      <c r="K12" s="36"/>
      <c r="L12" s="20" t="str">
        <f t="shared" si="2"/>
        <v>경고</v>
      </c>
      <c r="N12" s="24"/>
      <c r="P12" s="24">
        <v>6</v>
      </c>
      <c r="Q12" s="24">
        <f>'표점등급&amp;절평인원 입력 기능'!C108</f>
        <v>41</v>
      </c>
    </row>
    <row r="13" spans="1:17" s="22" customFormat="1" ht="25" customHeight="1" x14ac:dyDescent="0.45">
      <c r="A13" s="20"/>
      <c r="B13" s="35"/>
      <c r="C13" s="66">
        <v>44</v>
      </c>
      <c r="D13" s="67">
        <f t="shared" si="3"/>
        <v>67</v>
      </c>
      <c r="E13" s="67">
        <f t="shared" si="0"/>
        <v>2</v>
      </c>
      <c r="F13" s="68">
        <f t="shared" si="4"/>
        <v>95.24</v>
      </c>
      <c r="G13" s="69">
        <f>IF(D13=D12,"",_xlfn.IFNA(VLOOKUP(D13,'인원 입력 기능(사과탐)'!$P$64:$S$116,4,FALSE),0))</f>
        <v>321</v>
      </c>
      <c r="H13" s="70">
        <f t="shared" si="1"/>
        <v>9.4503488680189596E-3</v>
      </c>
      <c r="I13" s="80">
        <f>SUM($G$7:G13)</f>
        <v>1777</v>
      </c>
      <c r="J13" s="72">
        <f t="shared" si="5"/>
        <v>5.2315482674360411E-2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기능'!C109</f>
        <v>37</v>
      </c>
    </row>
    <row r="14" spans="1:17" s="22" customFormat="1" ht="25" customHeight="1" x14ac:dyDescent="0.45">
      <c r="A14" s="20"/>
      <c r="B14" s="35"/>
      <c r="C14" s="73">
        <v>43</v>
      </c>
      <c r="D14" s="67">
        <f t="shared" si="3"/>
        <v>66</v>
      </c>
      <c r="E14" s="67">
        <f t="shared" si="0"/>
        <v>2</v>
      </c>
      <c r="F14" s="68">
        <f t="shared" si="4"/>
        <v>93.97</v>
      </c>
      <c r="G14" s="69">
        <f>IF(D14=D13,"",_xlfn.IFNA(VLOOKUP(D14,'인원 입력 기능(사과탐)'!$P$64:$S$116,4,FALSE),0))</f>
        <v>542</v>
      </c>
      <c r="H14" s="70">
        <f t="shared" si="1"/>
        <v>1.5956663820767214E-2</v>
      </c>
      <c r="I14" s="80">
        <f>SUM($G$7:G14)</f>
        <v>2319</v>
      </c>
      <c r="J14" s="72">
        <f t="shared" si="5"/>
        <v>6.8272146495127625E-2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기능'!C110</f>
        <v>34</v>
      </c>
    </row>
    <row r="15" spans="1:17" s="22" customFormat="1" ht="25" customHeight="1" x14ac:dyDescent="0.45">
      <c r="A15" s="20"/>
      <c r="B15" s="35"/>
      <c r="C15" s="66">
        <v>42</v>
      </c>
      <c r="D15" s="67">
        <f t="shared" si="3"/>
        <v>65</v>
      </c>
      <c r="E15" s="67">
        <f t="shared" si="0"/>
        <v>2</v>
      </c>
      <c r="F15" s="68">
        <f t="shared" si="4"/>
        <v>92.61</v>
      </c>
      <c r="G15" s="69">
        <f>IF(D15=D14,"",_xlfn.IFNA(VLOOKUP(D15,'인원 입력 기능(사과탐)'!$P$64:$S$116,4,FALSE),0))</f>
        <v>382</v>
      </c>
      <c r="H15" s="70">
        <f t="shared" si="1"/>
        <v>1.1246209556334088E-2</v>
      </c>
      <c r="I15" s="80">
        <f>SUM($G$7:G15)</f>
        <v>2701</v>
      </c>
      <c r="J15" s="72">
        <f t="shared" si="5"/>
        <v>7.9518356051461708E-2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73">
        <v>41</v>
      </c>
      <c r="D16" s="67">
        <f t="shared" si="3"/>
        <v>64</v>
      </c>
      <c r="E16" s="67">
        <f t="shared" si="0"/>
        <v>2</v>
      </c>
      <c r="F16" s="68">
        <f t="shared" si="4"/>
        <v>91.21</v>
      </c>
      <c r="G16" s="69">
        <f>IF(D16=D15,"",_xlfn.IFNA(VLOOKUP(D16,'인원 입력 기능(사과탐)'!$P$64:$S$116,4,FALSE),0))</f>
        <v>567</v>
      </c>
      <c r="H16" s="70">
        <f t="shared" si="1"/>
        <v>1.669267229958489E-2</v>
      </c>
      <c r="I16" s="80">
        <f>SUM($G$7:G16)</f>
        <v>3268</v>
      </c>
      <c r="J16" s="72">
        <f t="shared" si="5"/>
        <v>9.6211028351046599E-2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66">
        <v>40</v>
      </c>
      <c r="D17" s="178">
        <f t="shared" si="3"/>
        <v>63</v>
      </c>
      <c r="E17" s="178">
        <f t="shared" si="0"/>
        <v>2</v>
      </c>
      <c r="F17" s="182">
        <f t="shared" si="4"/>
        <v>88.72</v>
      </c>
      <c r="G17" s="184">
        <f>IF(D17=D16,"",_xlfn.IFNA(VLOOKUP(D17,'인원 입력 기능(사과탐)'!$P$64:$S$116,4,FALSE),0))</f>
        <v>1126</v>
      </c>
      <c r="H17" s="186">
        <f t="shared" si="1"/>
        <v>3.3149821885948123E-2</v>
      </c>
      <c r="I17" s="194">
        <f>SUM($G$7:G17)</f>
        <v>4394</v>
      </c>
      <c r="J17" s="176">
        <f t="shared" si="5"/>
        <v>0.12936085023699473</v>
      </c>
      <c r="K17" s="36"/>
      <c r="L17" s="20" t="str">
        <f t="shared" si="2"/>
        <v/>
      </c>
      <c r="N17" s="24"/>
      <c r="Q17" s="24">
        <f>Q7*H3*H4*J3*IFERROR(IF(J57=1, 1, 0), 0)</f>
        <v>659522776.92163169</v>
      </c>
    </row>
    <row r="18" spans="1:17" s="22" customFormat="1" ht="25" customHeight="1" x14ac:dyDescent="0.45">
      <c r="A18" s="20"/>
      <c r="B18" s="35"/>
      <c r="C18" s="73">
        <v>39</v>
      </c>
      <c r="D18" s="179"/>
      <c r="E18" s="179"/>
      <c r="F18" s="183"/>
      <c r="G18" s="185"/>
      <c r="H18" s="187"/>
      <c r="I18" s="195"/>
      <c r="J18" s="177"/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66">
        <v>38</v>
      </c>
      <c r="D19" s="67">
        <f t="shared" si="3"/>
        <v>62</v>
      </c>
      <c r="E19" s="67">
        <f t="shared" si="0"/>
        <v>3</v>
      </c>
      <c r="F19" s="68">
        <f t="shared" si="4"/>
        <v>85.92</v>
      </c>
      <c r="G19" s="69">
        <f>IF(D19=D18,"",_xlfn.IFNA(VLOOKUP(D19,'인원 입력 기능(사과탐)'!$P$64:$S$116,4,FALSE),0))</f>
        <v>778</v>
      </c>
      <c r="H19" s="70">
        <f t="shared" si="1"/>
        <v>2.2904583860806075E-2</v>
      </c>
      <c r="I19" s="80">
        <f>SUM($G$7:G19)</f>
        <v>5172</v>
      </c>
      <c r="J19" s="72">
        <f t="shared" si="5"/>
        <v>0.1522654340978008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73">
        <v>37</v>
      </c>
      <c r="D20" s="67">
        <f t="shared" si="3"/>
        <v>61</v>
      </c>
      <c r="E20" s="67">
        <f t="shared" si="0"/>
        <v>3</v>
      </c>
      <c r="F20" s="68">
        <f t="shared" si="4"/>
        <v>83.94</v>
      </c>
      <c r="G20" s="69">
        <f>IF(D20=D19,"",_xlfn.IFNA(VLOOKUP(D20,'인원 입력 기능(사과탐)'!$P$64:$S$116,4,FALSE),0))</f>
        <v>566</v>
      </c>
      <c r="H20" s="70">
        <f t="shared" si="1"/>
        <v>1.6663231960432186E-2</v>
      </c>
      <c r="I20" s="80">
        <f>SUM($G$7:G20)</f>
        <v>5738</v>
      </c>
      <c r="J20" s="72">
        <f t="shared" si="5"/>
        <v>0.16892866605823298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95">
        <v>36</v>
      </c>
      <c r="D21" s="82">
        <f t="shared" si="3"/>
        <v>60</v>
      </c>
      <c r="E21" s="82">
        <f t="shared" si="0"/>
        <v>3</v>
      </c>
      <c r="F21" s="68">
        <f t="shared" si="4"/>
        <v>81.84</v>
      </c>
      <c r="G21" s="69">
        <f>IF(D21=D20,"",_xlfn.IFNA(VLOOKUP(D21,'인원 입력 기능(사과탐)'!$P$64:$S$116,4,FALSE),0))</f>
        <v>862</v>
      </c>
      <c r="H21" s="70">
        <f t="shared" si="1"/>
        <v>2.5377572349633469E-2</v>
      </c>
      <c r="I21" s="80">
        <f>SUM($G$7:G21)</f>
        <v>6600</v>
      </c>
      <c r="J21" s="72">
        <f t="shared" si="5"/>
        <v>0.19430623840786646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81">
        <v>35</v>
      </c>
      <c r="D22" s="82">
        <f t="shared" si="3"/>
        <v>59</v>
      </c>
      <c r="E22" s="82">
        <f t="shared" si="0"/>
        <v>3</v>
      </c>
      <c r="F22" s="68">
        <f t="shared" si="4"/>
        <v>79.400000000000006</v>
      </c>
      <c r="G22" s="69">
        <f>IF(D22=D21,"",_xlfn.IFNA(VLOOKUP(D22,'인원 입력 기능(사과탐)'!$P$64:$S$116,4,FALSE),0))</f>
        <v>792</v>
      </c>
      <c r="H22" s="70">
        <f t="shared" si="1"/>
        <v>2.3316748608943973E-2</v>
      </c>
      <c r="I22" s="80">
        <f>SUM($G$7:G22)</f>
        <v>7392</v>
      </c>
      <c r="J22" s="72">
        <f t="shared" si="5"/>
        <v>0.21762298701681043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95">
        <v>34</v>
      </c>
      <c r="D23" s="180">
        <f t="shared" si="3"/>
        <v>58</v>
      </c>
      <c r="E23" s="180">
        <f t="shared" si="0"/>
        <v>3</v>
      </c>
      <c r="F23" s="182">
        <f t="shared" si="4"/>
        <v>75.739999999999995</v>
      </c>
      <c r="G23" s="184">
        <f>IF(D23=D22,"",_xlfn.IFNA(VLOOKUP(D23,'인원 입력 기능(사과탐)'!$P$64:$S$116,4,FALSE),0))</f>
        <v>1696</v>
      </c>
      <c r="H23" s="186">
        <f t="shared" si="1"/>
        <v>4.9930815202991141E-2</v>
      </c>
      <c r="I23" s="194">
        <f>SUM($G$7:G23)</f>
        <v>9088</v>
      </c>
      <c r="J23" s="176">
        <f t="shared" si="5"/>
        <v>0.26755380221980157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81">
        <v>33</v>
      </c>
      <c r="D24" s="181"/>
      <c r="E24" s="181"/>
      <c r="F24" s="183"/>
      <c r="G24" s="185"/>
      <c r="H24" s="187"/>
      <c r="I24" s="195"/>
      <c r="J24" s="177"/>
      <c r="K24" s="36"/>
      <c r="L24" s="20" t="str">
        <f t="shared" si="2"/>
        <v>경고</v>
      </c>
      <c r="N24" s="24"/>
    </row>
    <row r="25" spans="1:17" s="22" customFormat="1" ht="25" customHeight="1" x14ac:dyDescent="0.45">
      <c r="A25" s="20"/>
      <c r="B25" s="35"/>
      <c r="C25" s="95">
        <v>32</v>
      </c>
      <c r="D25" s="82">
        <f t="shared" si="3"/>
        <v>57</v>
      </c>
      <c r="E25" s="82">
        <f t="shared" si="0"/>
        <v>4</v>
      </c>
      <c r="F25" s="68">
        <f t="shared" si="4"/>
        <v>72.12</v>
      </c>
      <c r="G25" s="69">
        <f>IF(D25=D24,"",_xlfn.IFNA(VLOOKUP(D25,'인원 입력 기능(사과탐)'!$P$64:$S$116,4,FALSE),0))</f>
        <v>763</v>
      </c>
      <c r="H25" s="70">
        <f t="shared" si="1"/>
        <v>2.2462978773515472E-2</v>
      </c>
      <c r="I25" s="80">
        <f>SUM($G$7:G25)</f>
        <v>9851</v>
      </c>
      <c r="J25" s="72">
        <f t="shared" si="5"/>
        <v>0.29001678099331707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81">
        <v>31</v>
      </c>
      <c r="D26" s="82">
        <f t="shared" si="3"/>
        <v>56</v>
      </c>
      <c r="E26" s="82">
        <f t="shared" si="0"/>
        <v>4</v>
      </c>
      <c r="F26" s="68">
        <f t="shared" si="4"/>
        <v>69.510000000000005</v>
      </c>
      <c r="G26" s="69">
        <f>IF(D26=D25,"",_xlfn.IFNA(VLOOKUP(D26,'인원 입력 기능(사과탐)'!$P$64:$S$116,4,FALSE),0))</f>
        <v>1013</v>
      </c>
      <c r="H26" s="70">
        <f t="shared" si="1"/>
        <v>2.9823063561692231E-2</v>
      </c>
      <c r="I26" s="80">
        <f>SUM($G$7:G26)</f>
        <v>10864</v>
      </c>
      <c r="J26" s="72">
        <f t="shared" si="5"/>
        <v>0.3198398445550093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95">
        <v>30</v>
      </c>
      <c r="D27" s="82">
        <f t="shared" si="3"/>
        <v>55</v>
      </c>
      <c r="E27" s="82">
        <f t="shared" si="0"/>
        <v>4</v>
      </c>
      <c r="F27" s="68">
        <f t="shared" si="4"/>
        <v>66.75</v>
      </c>
      <c r="G27" s="69">
        <f>IF(D27=D26,"",_xlfn.IFNA(VLOOKUP(D27,'인원 입력 기능(사과탐)'!$P$64:$S$116,4,FALSE),0))</f>
        <v>857</v>
      </c>
      <c r="H27" s="70">
        <f t="shared" si="1"/>
        <v>2.5230370653869932E-2</v>
      </c>
      <c r="I27" s="80">
        <f>SUM($G$7:G27)</f>
        <v>11721</v>
      </c>
      <c r="J27" s="72">
        <f t="shared" si="5"/>
        <v>0.34507021520887921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81">
        <v>29</v>
      </c>
      <c r="D28" s="82">
        <f t="shared" si="3"/>
        <v>54</v>
      </c>
      <c r="E28" s="82">
        <f t="shared" si="0"/>
        <v>4</v>
      </c>
      <c r="F28" s="68">
        <f t="shared" si="4"/>
        <v>64.28</v>
      </c>
      <c r="G28" s="69">
        <f>IF(D28=D27,"",_xlfn.IFNA(VLOOKUP(D28,'인원 입력 기능(사과탐)'!$P$64:$S$116,4,FALSE),0))</f>
        <v>827</v>
      </c>
      <c r="H28" s="70">
        <f t="shared" si="1"/>
        <v>2.4347160479288723E-2</v>
      </c>
      <c r="I28" s="80">
        <f>SUM($G$7:G28)</f>
        <v>12548</v>
      </c>
      <c r="J28" s="72">
        <f t="shared" si="5"/>
        <v>0.3694173756881679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95">
        <v>28</v>
      </c>
      <c r="D29" s="180">
        <f t="shared" si="3"/>
        <v>53</v>
      </c>
      <c r="E29" s="180">
        <f t="shared" si="0"/>
        <v>4</v>
      </c>
      <c r="F29" s="182">
        <f t="shared" si="4"/>
        <v>60.24</v>
      </c>
      <c r="G29" s="184">
        <f>IF(D29=D28,"",_xlfn.IFNA(VLOOKUP(D29,'인원 입력 기능(사과탐)'!$P$64:$S$116,4,FALSE),0))</f>
        <v>1913</v>
      </c>
      <c r="H29" s="186">
        <f t="shared" si="1"/>
        <v>5.6319368799128564E-2</v>
      </c>
      <c r="I29" s="194">
        <f>SUM($G$7:G29)</f>
        <v>14461</v>
      </c>
      <c r="J29" s="176">
        <f t="shared" si="5"/>
        <v>0.42573674448729648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81">
        <v>27</v>
      </c>
      <c r="D30" s="181"/>
      <c r="E30" s="181"/>
      <c r="F30" s="183"/>
      <c r="G30" s="185"/>
      <c r="H30" s="187"/>
      <c r="I30" s="195"/>
      <c r="J30" s="177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95">
        <v>26</v>
      </c>
      <c r="D31" s="82">
        <f t="shared" si="3"/>
        <v>52</v>
      </c>
      <c r="E31" s="82">
        <f t="shared" si="0"/>
        <v>5</v>
      </c>
      <c r="F31" s="68">
        <f t="shared" si="4"/>
        <v>55.99</v>
      </c>
      <c r="G31" s="69">
        <f>IF(D31=D30,"",_xlfn.IFNA(VLOOKUP(D31,'인원 입력 기능(사과탐)'!$P$64:$S$116,4,FALSE),0))</f>
        <v>975</v>
      </c>
      <c r="H31" s="70">
        <f t="shared" si="1"/>
        <v>2.8704330673889365E-2</v>
      </c>
      <c r="I31" s="80">
        <f>SUM($G$7:G31)</f>
        <v>15436</v>
      </c>
      <c r="J31" s="72">
        <f t="shared" si="5"/>
        <v>0.45444107516118587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81">
        <v>25</v>
      </c>
      <c r="D32" s="82">
        <f t="shared" si="3"/>
        <v>51</v>
      </c>
      <c r="E32" s="82">
        <f t="shared" si="0"/>
        <v>5</v>
      </c>
      <c r="F32" s="68">
        <f t="shared" si="4"/>
        <v>53.13</v>
      </c>
      <c r="G32" s="69">
        <f>IF(D32=D31,"",_xlfn.IFNA(VLOOKUP(D32,'인원 입력 기능(사과탐)'!$P$64:$S$116,4,FALSE),0))</f>
        <v>971</v>
      </c>
      <c r="H32" s="70">
        <f t="shared" si="1"/>
        <v>2.8586569317278536E-2</v>
      </c>
      <c r="I32" s="80">
        <f>SUM($G$7:G32)</f>
        <v>16407</v>
      </c>
      <c r="J32" s="72">
        <f t="shared" si="5"/>
        <v>0.48302764447846441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95">
        <v>24</v>
      </c>
      <c r="D33" s="82">
        <f t="shared" si="3"/>
        <v>50</v>
      </c>
      <c r="E33" s="82">
        <f t="shared" si="0"/>
        <v>5</v>
      </c>
      <c r="F33" s="68">
        <f t="shared" si="4"/>
        <v>50.43</v>
      </c>
      <c r="G33" s="69">
        <f>IF(D33=D32,"",_xlfn.IFNA(VLOOKUP(D33,'인원 입력 기능(사과탐)'!$P$64:$S$116,4,FALSE),0))</f>
        <v>862</v>
      </c>
      <c r="H33" s="70">
        <f t="shared" si="1"/>
        <v>2.5377572349633469E-2</v>
      </c>
      <c r="I33" s="80">
        <f>SUM($G$7:G33)</f>
        <v>17269</v>
      </c>
      <c r="J33" s="72">
        <f t="shared" si="5"/>
        <v>0.50840521682809781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81">
        <v>23</v>
      </c>
      <c r="D34" s="82">
        <f t="shared" si="3"/>
        <v>49</v>
      </c>
      <c r="E34" s="82">
        <f t="shared" si="0"/>
        <v>5</v>
      </c>
      <c r="F34" s="68">
        <f t="shared" si="4"/>
        <v>47.68</v>
      </c>
      <c r="G34" s="69">
        <f>IF(D34=D33,"",_xlfn.IFNA(VLOOKUP(D34,'인원 입력 기능(사과탐)'!$P$64:$S$116,4,FALSE),0))</f>
        <v>1005</v>
      </c>
      <c r="H34" s="70">
        <f t="shared" si="1"/>
        <v>2.9587540848470574E-2</v>
      </c>
      <c r="I34" s="80">
        <f>SUM($G$7:G34)</f>
        <v>18274</v>
      </c>
      <c r="J34" s="72">
        <f t="shared" si="5"/>
        <v>0.5379927576765684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95">
        <v>22</v>
      </c>
      <c r="D35" s="180">
        <f t="shared" si="3"/>
        <v>48</v>
      </c>
      <c r="E35" s="180">
        <f t="shared" si="0"/>
        <v>5</v>
      </c>
      <c r="F35" s="182">
        <f t="shared" si="4"/>
        <v>43.78</v>
      </c>
      <c r="G35" s="184">
        <f>IF(D35=D34,"",_xlfn.IFNA(VLOOKUP(D35,'인원 입력 기능(사과탐)'!$P$64:$S$116,4,FALSE),0))</f>
        <v>1644</v>
      </c>
      <c r="H35" s="186">
        <f t="shared" si="1"/>
        <v>4.8399917567050373E-2</v>
      </c>
      <c r="I35" s="194">
        <f>SUM($G$7:G35)</f>
        <v>19918</v>
      </c>
      <c r="J35" s="176">
        <f t="shared" si="5"/>
        <v>0.58639267524361882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81">
        <v>21</v>
      </c>
      <c r="D36" s="181"/>
      <c r="E36" s="181"/>
      <c r="F36" s="183"/>
      <c r="G36" s="185"/>
      <c r="H36" s="187"/>
      <c r="I36" s="195"/>
      <c r="J36" s="177"/>
      <c r="K36" s="36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5"/>
      <c r="C37" s="95">
        <v>20</v>
      </c>
      <c r="D37" s="82">
        <f t="shared" si="3"/>
        <v>47</v>
      </c>
      <c r="E37" s="82">
        <f t="shared" si="0"/>
        <v>5</v>
      </c>
      <c r="F37" s="68">
        <f t="shared" si="4"/>
        <v>40.119999999999997</v>
      </c>
      <c r="G37" s="69">
        <f>IF(D37=D36,"",_xlfn.IFNA(VLOOKUP(D37,'인원 입력 기능(사과탐)'!$P$64:$S$116,4,FALSE),0))</f>
        <v>844</v>
      </c>
      <c r="H37" s="70">
        <f t="shared" si="1"/>
        <v>2.4847646244884742E-2</v>
      </c>
      <c r="I37" s="80">
        <f>SUM($G$7:G37)</f>
        <v>20762</v>
      </c>
      <c r="J37" s="72">
        <f t="shared" si="5"/>
        <v>0.6112403214885036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81">
        <v>19</v>
      </c>
      <c r="D38" s="82">
        <f t="shared" si="3"/>
        <v>46</v>
      </c>
      <c r="E38" s="82">
        <f t="shared" si="0"/>
        <v>6</v>
      </c>
      <c r="F38" s="68">
        <f t="shared" si="4"/>
        <v>37.78</v>
      </c>
      <c r="G38" s="69">
        <f>IF(D38=D37,"",_xlfn.IFNA(VLOOKUP(D38,'인원 입력 기능(사과탐)'!$P$64:$S$116,4,FALSE),0))</f>
        <v>747</v>
      </c>
      <c r="H38" s="70">
        <f t="shared" si="1"/>
        <v>2.1991933347072157E-2</v>
      </c>
      <c r="I38" s="80">
        <f>SUM($G$7:G38)</f>
        <v>21509</v>
      </c>
      <c r="J38" s="72">
        <f t="shared" si="5"/>
        <v>0.63323225483557566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95">
        <v>18</v>
      </c>
      <c r="D39" s="82">
        <f t="shared" si="3"/>
        <v>45</v>
      </c>
      <c r="E39" s="82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8">
        <f t="shared" si="4"/>
        <v>35.44</v>
      </c>
      <c r="G39" s="69">
        <f>IF(D39=D38,"",_xlfn.IFNA(VLOOKUP(D39,'인원 입력 기능(사과탐)'!$P$64:$S$116,4,FALSE),0))</f>
        <v>839</v>
      </c>
      <c r="H39" s="70">
        <f t="shared" si="1"/>
        <v>2.4700444549121205E-2</v>
      </c>
      <c r="I39" s="80">
        <f>SUM($G$7:G39)</f>
        <v>22348</v>
      </c>
      <c r="J39" s="72">
        <f t="shared" si="5"/>
        <v>0.6579326993846969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81">
        <v>17</v>
      </c>
      <c r="D40" s="82">
        <f t="shared" si="3"/>
        <v>44</v>
      </c>
      <c r="E40" s="82">
        <f t="shared" si="6"/>
        <v>6</v>
      </c>
      <c r="F40" s="68">
        <f t="shared" si="4"/>
        <v>32.99</v>
      </c>
      <c r="G40" s="69">
        <f>IF(D40=D39,"",_xlfn.IFNA(VLOOKUP(D40,'인원 입력 기능(사과탐)'!$P$64:$S$116,4,FALSE),0))</f>
        <v>824</v>
      </c>
      <c r="H40" s="70">
        <f t="shared" si="1"/>
        <v>2.4258839461830599E-2</v>
      </c>
      <c r="I40" s="80">
        <f>SUM($G$7:G40)</f>
        <v>23172</v>
      </c>
      <c r="J40" s="72">
        <f t="shared" si="5"/>
        <v>0.6821915388465275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95">
        <v>16</v>
      </c>
      <c r="D41" s="180">
        <f t="shared" si="3"/>
        <v>43</v>
      </c>
      <c r="E41" s="180">
        <f t="shared" si="6"/>
        <v>6</v>
      </c>
      <c r="F41" s="182">
        <f t="shared" si="4"/>
        <v>29.53</v>
      </c>
      <c r="G41" s="184">
        <f>IF(D41=D40,"",_xlfn.IFNA(VLOOKUP(D41,'인원 입력 기능(사과탐)'!$P$64:$S$116,4,FALSE),0))</f>
        <v>1530</v>
      </c>
      <c r="H41" s="186">
        <f t="shared" si="1"/>
        <v>4.5043718903641769E-2</v>
      </c>
      <c r="I41" s="194">
        <f>SUM($G$7:G41)</f>
        <v>24702</v>
      </c>
      <c r="J41" s="176">
        <f t="shared" si="5"/>
        <v>0.72723525775016928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81">
        <v>15</v>
      </c>
      <c r="D42" s="181"/>
      <c r="E42" s="181"/>
      <c r="F42" s="183"/>
      <c r="G42" s="185"/>
      <c r="H42" s="187"/>
      <c r="I42" s="195"/>
      <c r="J42" s="177"/>
      <c r="K42" s="36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5"/>
      <c r="C43" s="95">
        <v>14</v>
      </c>
      <c r="D43" s="82">
        <f t="shared" si="3"/>
        <v>42</v>
      </c>
      <c r="E43" s="82">
        <f t="shared" si="6"/>
        <v>6</v>
      </c>
      <c r="F43" s="68">
        <f t="shared" si="4"/>
        <v>26.35</v>
      </c>
      <c r="G43" s="69">
        <f>IF(D43=D42,"",_xlfn.IFNA(VLOOKUP(D43,'인원 입력 기능(사과탐)'!$P$64:$S$116,4,FALSE),0))</f>
        <v>627</v>
      </c>
      <c r="H43" s="70">
        <f t="shared" si="1"/>
        <v>1.8459092648747313E-2</v>
      </c>
      <c r="I43" s="80">
        <f>SUM($G$7:G43)</f>
        <v>25329</v>
      </c>
      <c r="J43" s="72">
        <f t="shared" si="5"/>
        <v>0.74569435039891663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81">
        <v>13</v>
      </c>
      <c r="D44" s="82">
        <f t="shared" si="3"/>
        <v>41</v>
      </c>
      <c r="E44" s="82">
        <f t="shared" si="6"/>
        <v>6</v>
      </c>
      <c r="F44" s="68">
        <f t="shared" si="4"/>
        <v>24.04</v>
      </c>
      <c r="G44" s="69">
        <f>IF(D44=D43,"",_xlfn.IFNA(VLOOKUP(D44,'인원 입력 기능(사과탐)'!$P$64:$S$116,4,FALSE),0))</f>
        <v>943</v>
      </c>
      <c r="H44" s="70">
        <f t="shared" si="1"/>
        <v>2.7762239821002739E-2</v>
      </c>
      <c r="I44" s="80">
        <f>SUM($G$7:G44)</f>
        <v>26272</v>
      </c>
      <c r="J44" s="72">
        <f t="shared" si="5"/>
        <v>0.7734565902199193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95">
        <v>12</v>
      </c>
      <c r="D45" s="82">
        <f t="shared" si="3"/>
        <v>40</v>
      </c>
      <c r="E45" s="82">
        <f t="shared" si="6"/>
        <v>7</v>
      </c>
      <c r="F45" s="68">
        <f t="shared" si="4"/>
        <v>19.47</v>
      </c>
      <c r="G45" s="69">
        <f>IF(D45=D44,"",_xlfn.IFNA(VLOOKUP(D45,'인원 입력 기능(사과탐)'!$P$64:$S$116,4,FALSE),0))</f>
        <v>2166</v>
      </c>
      <c r="H45" s="70">
        <f t="shared" si="1"/>
        <v>6.3767774604763447E-2</v>
      </c>
      <c r="I45" s="80">
        <f>SUM($G$7:G45)</f>
        <v>28438</v>
      </c>
      <c r="J45" s="72">
        <f t="shared" si="5"/>
        <v>0.83722436482468277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81">
        <v>11</v>
      </c>
      <c r="D46" s="82">
        <f t="shared" si="3"/>
        <v>39</v>
      </c>
      <c r="E46" s="82">
        <f t="shared" si="6"/>
        <v>7</v>
      </c>
      <c r="F46" s="68">
        <f t="shared" si="4"/>
        <v>15.46</v>
      </c>
      <c r="G46" s="69">
        <f>IF(D46=D45,"",_xlfn.IFNA(VLOOKUP(D46,'인원 입력 기능(사과탐)'!$P$64:$S$116,4,FALSE),0))</f>
        <v>553</v>
      </c>
      <c r="H46" s="70">
        <f t="shared" si="1"/>
        <v>1.6280507551446992E-2</v>
      </c>
      <c r="I46" s="80">
        <f>SUM($G$7:G46)</f>
        <v>28991</v>
      </c>
      <c r="J46" s="72">
        <f t="shared" si="5"/>
        <v>0.85350487237612982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95">
        <v>10</v>
      </c>
      <c r="D47" s="180">
        <f t="shared" si="3"/>
        <v>38</v>
      </c>
      <c r="E47" s="180">
        <f t="shared" si="6"/>
        <v>7</v>
      </c>
      <c r="F47" s="182">
        <f t="shared" si="4"/>
        <v>12.97</v>
      </c>
      <c r="G47" s="184">
        <f>IF(D47=D46,"",_xlfn.IFNA(VLOOKUP(D47,'인원 입력 기능(사과탐)'!$P$64:$S$116,4,FALSE),0))</f>
        <v>1140</v>
      </c>
      <c r="H47" s="186">
        <f t="shared" si="1"/>
        <v>3.3561986634086022E-2</v>
      </c>
      <c r="I47" s="194">
        <f>SUM($G$7:G47)</f>
        <v>30131</v>
      </c>
      <c r="J47" s="176">
        <f t="shared" si="5"/>
        <v>0.88706685901021576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81">
        <v>9</v>
      </c>
      <c r="D48" s="181"/>
      <c r="E48" s="181"/>
      <c r="F48" s="183"/>
      <c r="G48" s="185"/>
      <c r="H48" s="187"/>
      <c r="I48" s="195"/>
      <c r="J48" s="177"/>
      <c r="K48" s="36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5"/>
      <c r="C49" s="95">
        <v>8</v>
      </c>
      <c r="D49" s="82">
        <f t="shared" si="3"/>
        <v>37</v>
      </c>
      <c r="E49" s="82">
        <f t="shared" si="6"/>
        <v>7</v>
      </c>
      <c r="F49" s="68">
        <f t="shared" si="4"/>
        <v>10.41</v>
      </c>
      <c r="G49" s="69">
        <f>IF(D49=D48,"",_xlfn.IFNA(VLOOKUP(D49,'인원 입력 기능(사과탐)'!$P$64:$S$116,4,FALSE),0))</f>
        <v>602</v>
      </c>
      <c r="H49" s="70">
        <f t="shared" si="1"/>
        <v>1.7723084169929636E-2</v>
      </c>
      <c r="I49" s="80">
        <f>SUM($G$7:G49)</f>
        <v>30733</v>
      </c>
      <c r="J49" s="72">
        <f t="shared" si="5"/>
        <v>0.90478994318014538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81">
        <v>7</v>
      </c>
      <c r="D50" s="82">
        <f t="shared" si="3"/>
        <v>36</v>
      </c>
      <c r="E50" s="82">
        <f t="shared" si="6"/>
        <v>8</v>
      </c>
      <c r="F50" s="68">
        <f t="shared" si="4"/>
        <v>8.76</v>
      </c>
      <c r="G50" s="69">
        <f>IF(D50=D49,"",_xlfn.IFNA(VLOOKUP(D50,'인원 입력 기능(사과탐)'!$P$64:$S$116,4,FALSE),0))</f>
        <v>517</v>
      </c>
      <c r="H50" s="70">
        <f t="shared" si="1"/>
        <v>1.5220655341949539E-2</v>
      </c>
      <c r="I50" s="80">
        <f>SUM($G$7:G50)</f>
        <v>31250</v>
      </c>
      <c r="J50" s="72">
        <f t="shared" si="5"/>
        <v>0.92001059852209499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95">
        <v>6</v>
      </c>
      <c r="D51" s="82">
        <f t="shared" si="3"/>
        <v>35</v>
      </c>
      <c r="E51" s="82">
        <f t="shared" si="6"/>
        <v>8</v>
      </c>
      <c r="F51" s="68">
        <f t="shared" si="4"/>
        <v>7.69</v>
      </c>
      <c r="G51" s="69">
        <f>IF(D51=D50,"",_xlfn.IFNA(VLOOKUP(D51,'인원 입력 기능(사과탐)'!$P$64:$S$116,4,FALSE),0))</f>
        <v>212</v>
      </c>
      <c r="H51" s="70">
        <f t="shared" si="1"/>
        <v>6.2413519003738926E-3</v>
      </c>
      <c r="I51" s="80">
        <f>SUM($G$7:G51)</f>
        <v>31462</v>
      </c>
      <c r="J51" s="72">
        <f t="shared" si="5"/>
        <v>0.92625195042246888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81">
        <v>5</v>
      </c>
      <c r="D52" s="82">
        <f t="shared" si="3"/>
        <v>34</v>
      </c>
      <c r="E52" s="82">
        <f t="shared" si="6"/>
        <v>8</v>
      </c>
      <c r="F52" s="68">
        <f t="shared" si="4"/>
        <v>4.4400000000000004</v>
      </c>
      <c r="G52" s="69">
        <f>IF(D52=D51,"",_xlfn.IFNA(VLOOKUP(D52,'인원 입력 기능(사과탐)'!$P$64:$S$116,4,FALSE),0))</f>
        <v>1995</v>
      </c>
      <c r="H52" s="70">
        <f t="shared" si="1"/>
        <v>5.8733476609650545E-2</v>
      </c>
      <c r="I52" s="80">
        <f>SUM($G$7:G52)</f>
        <v>33457</v>
      </c>
      <c r="J52" s="72">
        <f t="shared" si="5"/>
        <v>0.98498542703211944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66">
        <v>4</v>
      </c>
      <c r="D53" s="178">
        <f t="shared" si="3"/>
        <v>33</v>
      </c>
      <c r="E53" s="178">
        <f t="shared" si="6"/>
        <v>9</v>
      </c>
      <c r="F53" s="182">
        <f t="shared" si="4"/>
        <v>1.21</v>
      </c>
      <c r="G53" s="184">
        <f>IF(D53=D52,"",_xlfn.IFNA(VLOOKUP(D53,'인원 입력 기능(사과탐)'!$P$64:$S$116,4,FALSE),0))</f>
        <v>199</v>
      </c>
      <c r="H53" s="186">
        <f t="shared" si="1"/>
        <v>5.8586274913887005E-3</v>
      </c>
      <c r="I53" s="194">
        <f>SUM($G$7:G53)</f>
        <v>33656</v>
      </c>
      <c r="J53" s="176">
        <f t="shared" si="5"/>
        <v>0.9908440545235081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73">
        <v>3</v>
      </c>
      <c r="D54" s="179"/>
      <c r="E54" s="179"/>
      <c r="F54" s="183"/>
      <c r="G54" s="185"/>
      <c r="H54" s="187"/>
      <c r="I54" s="195"/>
      <c r="J54" s="177"/>
      <c r="K54" s="36"/>
      <c r="L54" s="20" t="str">
        <f t="shared" si="2"/>
        <v>경고</v>
      </c>
      <c r="N54" s="24"/>
    </row>
    <row r="55" spans="1:14" s="22" customFormat="1" ht="25" customHeight="1" x14ac:dyDescent="0.45">
      <c r="A55" s="20"/>
      <c r="B55" s="35"/>
      <c r="C55" s="66">
        <v>2</v>
      </c>
      <c r="D55" s="67">
        <f t="shared" si="3"/>
        <v>32</v>
      </c>
      <c r="E55" s="67">
        <f t="shared" si="6"/>
        <v>9</v>
      </c>
      <c r="F55" s="68">
        <f t="shared" si="4"/>
        <v>0.69</v>
      </c>
      <c r="G55" s="69">
        <f>IF(D55=D54,"",_xlfn.IFNA(VLOOKUP(D55,'인원 입력 기능(사과탐)'!$P$64:$S$116,4,FALSE),0))</f>
        <v>150</v>
      </c>
      <c r="H55" s="70">
        <f t="shared" si="1"/>
        <v>4.416050872906056E-3</v>
      </c>
      <c r="I55" s="80">
        <f>SUM($G$7:G55)</f>
        <v>33806</v>
      </c>
      <c r="J55" s="72">
        <f t="shared" si="5"/>
        <v>0.99526010539641419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73">
        <v>1</v>
      </c>
      <c r="D56" s="74" t="s">
        <v>59</v>
      </c>
      <c r="E56" s="74"/>
      <c r="F56" s="75"/>
      <c r="G56" s="96"/>
      <c r="H56" s="94"/>
      <c r="I56" s="84"/>
      <c r="J56" s="79"/>
      <c r="K56" s="36"/>
      <c r="L56" s="20"/>
      <c r="N56" s="24"/>
    </row>
    <row r="57" spans="1:14" s="22" customFormat="1" ht="25" customHeight="1" thickBot="1" x14ac:dyDescent="0.5">
      <c r="A57" s="20"/>
      <c r="B57" s="35"/>
      <c r="C57" s="97">
        <v>0</v>
      </c>
      <c r="D57" s="86">
        <f>ROUND(10*(C57-$H$3)/$H$4+50,0)</f>
        <v>30</v>
      </c>
      <c r="E57" s="98">
        <f t="shared" si="6"/>
        <v>9</v>
      </c>
      <c r="F57" s="87">
        <f>IF(I55=0,ROUND(100*(1-(I54+I57)/2/$J$3),2),ROUND(100*(1-(I55+I57)/2/$J$3),2))</f>
        <v>0.24</v>
      </c>
      <c r="G57" s="99">
        <f>_xlfn.IFNA(VLOOKUP(D57,'인원 입력 기능(사과탐)'!$P$64:$S$116,4,FALSE),0)</f>
        <v>161</v>
      </c>
      <c r="H57" s="89">
        <f>G57/$J$3</f>
        <v>4.7398946035858329E-3</v>
      </c>
      <c r="I57" s="90">
        <f>SUM($G$7:G57)</f>
        <v>33967</v>
      </c>
      <c r="J57" s="100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8">
    <mergeCell ref="D3:F3"/>
    <mergeCell ref="D4:F4"/>
    <mergeCell ref="D11:D12"/>
    <mergeCell ref="E11:E12"/>
    <mergeCell ref="F11:F12"/>
    <mergeCell ref="G11:G12"/>
    <mergeCell ref="H11:H12"/>
    <mergeCell ref="I11:I12"/>
    <mergeCell ref="J11:J12"/>
    <mergeCell ref="D17:D18"/>
    <mergeCell ref="E17:E18"/>
    <mergeCell ref="F17:F18"/>
    <mergeCell ref="G17:G18"/>
    <mergeCell ref="H17:H18"/>
    <mergeCell ref="I17:I18"/>
    <mergeCell ref="J17:J18"/>
    <mergeCell ref="I23:I24"/>
    <mergeCell ref="J23:J24"/>
    <mergeCell ref="D29:D30"/>
    <mergeCell ref="E29:E30"/>
    <mergeCell ref="F29:F30"/>
    <mergeCell ref="G29:G30"/>
    <mergeCell ref="H29:H30"/>
    <mergeCell ref="I29:I30"/>
    <mergeCell ref="J29:J30"/>
    <mergeCell ref="D23:D24"/>
    <mergeCell ref="E23:E24"/>
    <mergeCell ref="F23:F24"/>
    <mergeCell ref="G23:G24"/>
    <mergeCell ref="H23:H24"/>
    <mergeCell ref="I35:I36"/>
    <mergeCell ref="J35:J36"/>
    <mergeCell ref="D41:D42"/>
    <mergeCell ref="E41:E42"/>
    <mergeCell ref="F41:F42"/>
    <mergeCell ref="G41:G42"/>
    <mergeCell ref="H41:H42"/>
    <mergeCell ref="I41:I42"/>
    <mergeCell ref="J41:J42"/>
    <mergeCell ref="D35:D36"/>
    <mergeCell ref="E35:E36"/>
    <mergeCell ref="F35:F36"/>
    <mergeCell ref="G35:G36"/>
    <mergeCell ref="H35:H36"/>
    <mergeCell ref="I47:I48"/>
    <mergeCell ref="J47:J48"/>
    <mergeCell ref="D53:D54"/>
    <mergeCell ref="E53:E54"/>
    <mergeCell ref="F53:F54"/>
    <mergeCell ref="G53:G54"/>
    <mergeCell ref="H53:H54"/>
    <mergeCell ref="I53:I54"/>
    <mergeCell ref="J53:J54"/>
    <mergeCell ref="D47:D48"/>
    <mergeCell ref="E47:E48"/>
    <mergeCell ref="F47:F48"/>
    <mergeCell ref="G47:G48"/>
    <mergeCell ref="H47:H48"/>
  </mergeCells>
  <phoneticPr fontId="1" type="noConversion"/>
  <conditionalFormatting sqref="D7:G11 I7:J11 D13:G17 I13:J17 D19:G23 I19:J23 D25:G29 I25:J29 D31:G35 I31:J35 D37:G41 I37:J41 D43:G47 I43:J47 D49:G53 I49:J53 D55:G57 I55:J57">
    <cfRule type="expression" dxfId="46" priority="4">
      <formula>OR($D7=$Q$7:$Q$14)</formula>
    </cfRule>
  </conditionalFormatting>
  <conditionalFormatting sqref="C7:C57">
    <cfRule type="expression" dxfId="45" priority="3">
      <formula>OR(AND($D7=0,OR($D6=$Q$7:$Q$14)),AND($D8&gt;0,OR($D7=$Q$7:$Q$14)))</formula>
    </cfRule>
  </conditionalFormatting>
  <conditionalFormatting sqref="D7:D11 D13:D17 D19:D23 D25:D29 D31:D35 D37:D41 D43:D47 D49:D53 D55:D57">
    <cfRule type="expression" dxfId="44" priority="2">
      <formula>$D7=$D8</formula>
    </cfRule>
  </conditionalFormatting>
  <conditionalFormatting sqref="H7:H11 H13:H17 H19:H23 H25:H29 H31:H35 H37:H41 H43:H47 H49:H53 H55:H57">
    <cfRule type="expression" dxfId="43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ED3DB-AFEE-440A-A9DD-88DC15649F11}">
  <sheetPr codeName="Sheet18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113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기능'!D16</f>
        <v>26.439520568963299</v>
      </c>
      <c r="I3" s="21" t="s">
        <v>117</v>
      </c>
      <c r="J3" s="58">
        <f>'통계 및 응시자 수 입력 기능'!C16</f>
        <v>55399</v>
      </c>
      <c r="K3" s="36"/>
      <c r="L3" s="20"/>
    </row>
    <row r="4" spans="1:17" s="22" customFormat="1" ht="25" customHeight="1" thickBot="1" x14ac:dyDescent="0.5">
      <c r="A4" s="20"/>
      <c r="B4" s="35"/>
      <c r="C4" s="59" t="s">
        <v>118</v>
      </c>
      <c r="D4" s="191" t="s">
        <v>143</v>
      </c>
      <c r="E4" s="192"/>
      <c r="F4" s="193"/>
      <c r="G4" s="60" t="s">
        <v>120</v>
      </c>
      <c r="H4" s="61">
        <f>'통계 및 응시자 수 입력 기능'!E16</f>
        <v>12.0577165715773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62" t="s">
        <v>121</v>
      </c>
      <c r="D6" s="63" t="s">
        <v>122</v>
      </c>
      <c r="E6" s="63" t="s">
        <v>123</v>
      </c>
      <c r="F6" s="63" t="s">
        <v>124</v>
      </c>
      <c r="G6" s="63" t="s">
        <v>125</v>
      </c>
      <c r="H6" s="63" t="s">
        <v>126</v>
      </c>
      <c r="I6" s="64" t="s">
        <v>127</v>
      </c>
      <c r="J6" s="65" t="s">
        <v>128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66">
        <v>50</v>
      </c>
      <c r="D7" s="67">
        <f>ROUND(10*(C7-$H$3)/$H$4+50,0)</f>
        <v>70</v>
      </c>
      <c r="E7" s="67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8">
        <f>ROUND(100*(1-(0+I7)/2/$J$3),2)</f>
        <v>99.04</v>
      </c>
      <c r="G7" s="69">
        <f>_xlfn.IFNA(VLOOKUP(D7,'인원 입력 기능(사과탐)'!$A$121:$D$172,4,FALSE),0)</f>
        <v>1068</v>
      </c>
      <c r="H7" s="70">
        <f>G7/$J$3</f>
        <v>1.9278326323579849E-2</v>
      </c>
      <c r="I7" s="71">
        <f>G7</f>
        <v>1068</v>
      </c>
      <c r="J7" s="72">
        <f>I7/$J$3</f>
        <v>1.9278326323579849E-2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기능'!C112</f>
        <v>67</v>
      </c>
    </row>
    <row r="8" spans="1:17" s="22" customFormat="1" ht="25" customHeight="1" x14ac:dyDescent="0.45">
      <c r="A8" s="20"/>
      <c r="B8" s="35"/>
      <c r="C8" s="73">
        <v>49</v>
      </c>
      <c r="D8" s="74" t="s">
        <v>59</v>
      </c>
      <c r="E8" s="74"/>
      <c r="F8" s="75"/>
      <c r="G8" s="76"/>
      <c r="H8" s="94"/>
      <c r="I8" s="78"/>
      <c r="J8" s="79"/>
      <c r="K8" s="36"/>
      <c r="L8" s="20"/>
      <c r="N8" s="24"/>
      <c r="P8" s="24">
        <v>2</v>
      </c>
      <c r="Q8" s="24">
        <f>'표점등급&amp;절평인원 입력 기능'!C113</f>
        <v>63</v>
      </c>
    </row>
    <row r="9" spans="1:17" s="22" customFormat="1" ht="25" customHeight="1" x14ac:dyDescent="0.45">
      <c r="A9" s="20"/>
      <c r="B9" s="35"/>
      <c r="C9" s="66">
        <v>48</v>
      </c>
      <c r="D9" s="67">
        <f>ROUND(10*(C9-$H$3)/$H$4+50,0)</f>
        <v>68</v>
      </c>
      <c r="E9" s="67">
        <f t="shared" si="0"/>
        <v>1</v>
      </c>
      <c r="F9" s="68">
        <f>IF(I8=0,ROUND(100*(1-(I7+I9)/2/$J$3),2),ROUND(100*(1-(I8+I9)/2/$J$3),2))</f>
        <v>97.59</v>
      </c>
      <c r="G9" s="69">
        <f>_xlfn.IFNA(VLOOKUP(D9,'인원 입력 기능(사과탐)'!$A$121:$D$172,4,FALSE),0)</f>
        <v>533</v>
      </c>
      <c r="H9" s="70">
        <f t="shared" ref="H9:H55" si="1">G9/$J$3</f>
        <v>9.6211122944457484E-3</v>
      </c>
      <c r="I9" s="80">
        <f>SUM($G$7:G9)</f>
        <v>1601</v>
      </c>
      <c r="J9" s="72">
        <f>I9/$J$3</f>
        <v>2.8899438618025595E-2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기능'!C114</f>
        <v>59</v>
      </c>
    </row>
    <row r="10" spans="1:17" s="22" customFormat="1" ht="25" customHeight="1" x14ac:dyDescent="0.45">
      <c r="A10" s="20"/>
      <c r="B10" s="35"/>
      <c r="C10" s="73">
        <v>47</v>
      </c>
      <c r="D10" s="67">
        <f t="shared" ref="D10:D55" si="3">ROUND(10*(C10-$H$3)/$H$4+50,0)</f>
        <v>67</v>
      </c>
      <c r="E10" s="67">
        <f t="shared" si="0"/>
        <v>1</v>
      </c>
      <c r="F10" s="68">
        <f t="shared" ref="F10:F55" si="4">IF(I9=0,ROUND(100*(1-(I8+I10)/2/$J$3),2),ROUND(100*(1-(I9+I10)/2/$J$3),2))</f>
        <v>95.99</v>
      </c>
      <c r="G10" s="69">
        <f>IF(D10=D9,"",_xlfn.IFNA(VLOOKUP(D10,'인원 입력 기능(사과탐)'!$A$121:$D$172,4,FALSE),0))</f>
        <v>1246</v>
      </c>
      <c r="H10" s="70">
        <f t="shared" si="1"/>
        <v>2.2491380710843157E-2</v>
      </c>
      <c r="I10" s="80">
        <f>SUM($G$7:G10)</f>
        <v>2847</v>
      </c>
      <c r="J10" s="72">
        <f t="shared" ref="J10:J55" si="5">I10/$J$3</f>
        <v>5.1390819328868749E-2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기능'!C115</f>
        <v>53</v>
      </c>
    </row>
    <row r="11" spans="1:17" s="22" customFormat="1" ht="25" customHeight="1" x14ac:dyDescent="0.45">
      <c r="A11" s="20"/>
      <c r="B11" s="35"/>
      <c r="C11" s="66">
        <v>46</v>
      </c>
      <c r="D11" s="67">
        <f t="shared" si="3"/>
        <v>66</v>
      </c>
      <c r="E11" s="67">
        <f t="shared" si="0"/>
        <v>2</v>
      </c>
      <c r="F11" s="68">
        <f t="shared" si="4"/>
        <v>94.68</v>
      </c>
      <c r="G11" s="69">
        <f>IF(D11=D10,"",_xlfn.IFNA(VLOOKUP(D11,'인원 입력 기능(사과탐)'!$A$121:$D$172,4,FALSE),0))</f>
        <v>199</v>
      </c>
      <c r="H11" s="70">
        <f t="shared" si="1"/>
        <v>3.5921226014910016E-3</v>
      </c>
      <c r="I11" s="80">
        <f>SUM($G$7:G11)</f>
        <v>3046</v>
      </c>
      <c r="J11" s="72">
        <f t="shared" si="5"/>
        <v>5.4982941930359755E-2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기능'!C116</f>
        <v>46</v>
      </c>
    </row>
    <row r="12" spans="1:17" s="22" customFormat="1" ht="25" customHeight="1" x14ac:dyDescent="0.45">
      <c r="A12" s="20"/>
      <c r="B12" s="35"/>
      <c r="C12" s="73">
        <v>45</v>
      </c>
      <c r="D12" s="178">
        <f t="shared" si="3"/>
        <v>65</v>
      </c>
      <c r="E12" s="178">
        <f t="shared" si="0"/>
        <v>2</v>
      </c>
      <c r="F12" s="182">
        <f t="shared" si="4"/>
        <v>92.5</v>
      </c>
      <c r="G12" s="184">
        <f>IF(D12=D11,"",_xlfn.IFNA(VLOOKUP(D12,'인원 입력 기능(사과탐)'!$A$121:$D$172,4,FALSE),0))</f>
        <v>2220</v>
      </c>
      <c r="H12" s="186">
        <f t="shared" si="1"/>
        <v>4.0072925504070468E-2</v>
      </c>
      <c r="I12" s="194">
        <f>SUM($G$7:G12)</f>
        <v>5266</v>
      </c>
      <c r="J12" s="176">
        <f t="shared" si="5"/>
        <v>9.505586743443023E-2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기능'!C117</f>
        <v>40</v>
      </c>
    </row>
    <row r="13" spans="1:17" s="22" customFormat="1" ht="25" customHeight="1" x14ac:dyDescent="0.45">
      <c r="A13" s="20"/>
      <c r="B13" s="35"/>
      <c r="C13" s="66">
        <v>44</v>
      </c>
      <c r="D13" s="179"/>
      <c r="E13" s="179"/>
      <c r="F13" s="183"/>
      <c r="G13" s="185"/>
      <c r="H13" s="187"/>
      <c r="I13" s="195"/>
      <c r="J13" s="177"/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기능'!C118</f>
        <v>38</v>
      </c>
    </row>
    <row r="14" spans="1:17" s="22" customFormat="1" ht="25" customHeight="1" x14ac:dyDescent="0.45">
      <c r="A14" s="20"/>
      <c r="B14" s="35"/>
      <c r="C14" s="73">
        <v>43</v>
      </c>
      <c r="D14" s="67">
        <f t="shared" si="3"/>
        <v>64</v>
      </c>
      <c r="E14" s="67">
        <f t="shared" si="0"/>
        <v>2</v>
      </c>
      <c r="F14" s="68">
        <f t="shared" si="4"/>
        <v>89.87</v>
      </c>
      <c r="G14" s="69">
        <f>IF(D14=D13,"",_xlfn.IFNA(VLOOKUP(D14,'인원 입력 기능(사과탐)'!$A$121:$D$172,4,FALSE),0))</f>
        <v>690</v>
      </c>
      <c r="H14" s="70">
        <f t="shared" si="1"/>
        <v>1.2455098467481362E-2</v>
      </c>
      <c r="I14" s="80">
        <f>SUM($G$7:G14)</f>
        <v>5956</v>
      </c>
      <c r="J14" s="72">
        <f t="shared" si="5"/>
        <v>0.10751096590191159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기능'!C119</f>
        <v>35</v>
      </c>
    </row>
    <row r="15" spans="1:17" s="22" customFormat="1" ht="25" customHeight="1" x14ac:dyDescent="0.45">
      <c r="A15" s="20"/>
      <c r="B15" s="35"/>
      <c r="C15" s="66">
        <v>42</v>
      </c>
      <c r="D15" s="67">
        <f t="shared" si="3"/>
        <v>63</v>
      </c>
      <c r="E15" s="67">
        <f t="shared" si="0"/>
        <v>2</v>
      </c>
      <c r="F15" s="68">
        <f t="shared" si="4"/>
        <v>87.83</v>
      </c>
      <c r="G15" s="69">
        <f>IF(D15=D14,"",_xlfn.IFNA(VLOOKUP(D15,'인원 입력 기능(사과탐)'!$A$121:$D$172,4,FALSE),0))</f>
        <v>1569</v>
      </c>
      <c r="H15" s="70">
        <f t="shared" si="1"/>
        <v>2.8321810863011967E-2</v>
      </c>
      <c r="I15" s="80">
        <f>SUM($G$7:G15)</f>
        <v>7525</v>
      </c>
      <c r="J15" s="72">
        <f t="shared" si="5"/>
        <v>0.13583277676492356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73">
        <v>41</v>
      </c>
      <c r="D16" s="67">
        <f t="shared" si="3"/>
        <v>62</v>
      </c>
      <c r="E16" s="67">
        <f t="shared" si="0"/>
        <v>3</v>
      </c>
      <c r="F16" s="68">
        <f t="shared" si="4"/>
        <v>85.67</v>
      </c>
      <c r="G16" s="69">
        <f>IF(D16=D15,"",_xlfn.IFNA(VLOOKUP(D16,'인원 입력 기능(사과탐)'!$A$121:$D$172,4,FALSE),0))</f>
        <v>827</v>
      </c>
      <c r="H16" s="70">
        <f t="shared" si="1"/>
        <v>1.4928067293633459E-2</v>
      </c>
      <c r="I16" s="80">
        <f>SUM($G$7:G16)</f>
        <v>8352</v>
      </c>
      <c r="J16" s="72">
        <f t="shared" si="5"/>
        <v>0.15076084405855703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66">
        <v>40</v>
      </c>
      <c r="D17" s="67">
        <f t="shared" si="3"/>
        <v>61</v>
      </c>
      <c r="E17" s="67">
        <f t="shared" si="0"/>
        <v>3</v>
      </c>
      <c r="F17" s="68">
        <f t="shared" si="4"/>
        <v>83.87</v>
      </c>
      <c r="G17" s="69">
        <f>IF(D17=D16,"",_xlfn.IFNA(VLOOKUP(D17,'인원 입력 기능(사과탐)'!$A$121:$D$172,4,FALSE),0))</f>
        <v>1170</v>
      </c>
      <c r="H17" s="70">
        <f t="shared" si="1"/>
        <v>2.1119514792685787E-2</v>
      </c>
      <c r="I17" s="80">
        <f>SUM($G$7:G17)</f>
        <v>9522</v>
      </c>
      <c r="J17" s="72">
        <f t="shared" si="5"/>
        <v>0.17188035885124281</v>
      </c>
      <c r="K17" s="36"/>
      <c r="L17" s="20" t="str">
        <f t="shared" si="2"/>
        <v/>
      </c>
      <c r="N17" s="24"/>
      <c r="Q17" s="24">
        <f>Q7*H3*H4*J3*IFERROR(IF(J57=1, 1, 0), 0)</f>
        <v>1183301390.9213161</v>
      </c>
    </row>
    <row r="18" spans="1:17" s="22" customFormat="1" ht="25" customHeight="1" x14ac:dyDescent="0.45">
      <c r="A18" s="20"/>
      <c r="B18" s="35"/>
      <c r="C18" s="73">
        <v>39</v>
      </c>
      <c r="D18" s="178">
        <f t="shared" si="3"/>
        <v>60</v>
      </c>
      <c r="E18" s="178">
        <f t="shared" si="0"/>
        <v>3</v>
      </c>
      <c r="F18" s="182">
        <f t="shared" si="4"/>
        <v>80.63</v>
      </c>
      <c r="G18" s="184">
        <f>IF(D18=D17,"",_xlfn.IFNA(VLOOKUP(D18,'인원 입력 기능(사과탐)'!$A$121:$D$172,4,FALSE),0))</f>
        <v>2415</v>
      </c>
      <c r="H18" s="186">
        <f t="shared" si="1"/>
        <v>4.359284463618477E-2</v>
      </c>
      <c r="I18" s="194">
        <f>SUM($G$7:G18)</f>
        <v>11937</v>
      </c>
      <c r="J18" s="176">
        <f t="shared" si="5"/>
        <v>0.21547320348742757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66">
        <v>38</v>
      </c>
      <c r="D19" s="179"/>
      <c r="E19" s="179"/>
      <c r="F19" s="183"/>
      <c r="G19" s="185"/>
      <c r="H19" s="187"/>
      <c r="I19" s="195"/>
      <c r="J19" s="177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73">
        <v>37</v>
      </c>
      <c r="D20" s="67">
        <f t="shared" si="3"/>
        <v>59</v>
      </c>
      <c r="E20" s="67">
        <f t="shared" si="0"/>
        <v>3</v>
      </c>
      <c r="F20" s="68">
        <f t="shared" si="4"/>
        <v>77.11</v>
      </c>
      <c r="G20" s="69">
        <f>IF(D20=D19,"",_xlfn.IFNA(VLOOKUP(D20,'인원 입력 기능(사과탐)'!$A$121:$D$172,4,FALSE),0))</f>
        <v>1492</v>
      </c>
      <c r="H20" s="70">
        <f t="shared" si="1"/>
        <v>2.6931894077510423E-2</v>
      </c>
      <c r="I20" s="80">
        <f>SUM($G$7:G20)</f>
        <v>13429</v>
      </c>
      <c r="J20" s="72">
        <f t="shared" si="5"/>
        <v>0.242405097564938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95">
        <v>36</v>
      </c>
      <c r="D21" s="82">
        <f t="shared" si="3"/>
        <v>58</v>
      </c>
      <c r="E21" s="82">
        <f t="shared" si="0"/>
        <v>4</v>
      </c>
      <c r="F21" s="68">
        <f t="shared" si="4"/>
        <v>74.58</v>
      </c>
      <c r="G21" s="69">
        <f>IF(D21=D20,"",_xlfn.IFNA(VLOOKUP(D21,'인원 입력 기능(사과탐)'!$A$121:$D$172,4,FALSE),0))</f>
        <v>1302</v>
      </c>
      <c r="H21" s="70">
        <f t="shared" si="1"/>
        <v>2.3502229282117006E-2</v>
      </c>
      <c r="I21" s="80">
        <f>SUM($G$7:G21)</f>
        <v>14731</v>
      </c>
      <c r="J21" s="72">
        <f t="shared" si="5"/>
        <v>0.26590732684705498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81">
        <v>35</v>
      </c>
      <c r="D22" s="82">
        <f t="shared" si="3"/>
        <v>57</v>
      </c>
      <c r="E22" s="82">
        <f t="shared" si="0"/>
        <v>4</v>
      </c>
      <c r="F22" s="68">
        <f t="shared" si="4"/>
        <v>72.260000000000005</v>
      </c>
      <c r="G22" s="69">
        <f>IF(D22=D21,"",_xlfn.IFNA(VLOOKUP(D22,'인원 입력 기능(사과탐)'!$A$121:$D$172,4,FALSE),0))</f>
        <v>1270</v>
      </c>
      <c r="H22" s="70">
        <f t="shared" si="1"/>
        <v>2.2924601527103378E-2</v>
      </c>
      <c r="I22" s="80">
        <f>SUM($G$7:G22)</f>
        <v>16001</v>
      </c>
      <c r="J22" s="72">
        <f t="shared" si="5"/>
        <v>0.28883192837415839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95">
        <v>34</v>
      </c>
      <c r="D23" s="82">
        <f t="shared" si="3"/>
        <v>56</v>
      </c>
      <c r="E23" s="82">
        <f t="shared" si="0"/>
        <v>4</v>
      </c>
      <c r="F23" s="68">
        <f t="shared" si="4"/>
        <v>69.73</v>
      </c>
      <c r="G23" s="69">
        <f>IF(D23=D22,"",_xlfn.IFNA(VLOOKUP(D23,'인원 입력 기능(사과탐)'!$A$121:$D$172,4,FALSE),0))</f>
        <v>1542</v>
      </c>
      <c r="H23" s="70">
        <f t="shared" si="1"/>
        <v>2.783443744471922E-2</v>
      </c>
      <c r="I23" s="80">
        <f>SUM($G$7:G23)</f>
        <v>17543</v>
      </c>
      <c r="J23" s="72">
        <f t="shared" si="5"/>
        <v>0.31666636581887758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81">
        <v>33</v>
      </c>
      <c r="D24" s="180">
        <f t="shared" si="3"/>
        <v>55</v>
      </c>
      <c r="E24" s="180">
        <f t="shared" si="0"/>
        <v>4</v>
      </c>
      <c r="F24" s="182">
        <f t="shared" si="4"/>
        <v>65.8</v>
      </c>
      <c r="G24" s="184">
        <f>IF(D24=D23,"",_xlfn.IFNA(VLOOKUP(D24,'인원 입력 기능(사과탐)'!$A$121:$D$172,4,FALSE),0))</f>
        <v>2808</v>
      </c>
      <c r="H24" s="186">
        <f t="shared" si="1"/>
        <v>5.068683550244589E-2</v>
      </c>
      <c r="I24" s="194">
        <f>SUM($G$7:G24)</f>
        <v>20351</v>
      </c>
      <c r="J24" s="176">
        <f t="shared" si="5"/>
        <v>0.36735320132132349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95">
        <v>32</v>
      </c>
      <c r="D25" s="181"/>
      <c r="E25" s="181"/>
      <c r="F25" s="183"/>
      <c r="G25" s="185"/>
      <c r="H25" s="187"/>
      <c r="I25" s="195"/>
      <c r="J25" s="177"/>
      <c r="K25" s="36"/>
      <c r="L25" s="20" t="str">
        <f t="shared" si="2"/>
        <v>경고</v>
      </c>
      <c r="N25" s="24"/>
    </row>
    <row r="26" spans="1:17" s="22" customFormat="1" ht="25" customHeight="1" x14ac:dyDescent="0.45">
      <c r="A26" s="20"/>
      <c r="B26" s="35"/>
      <c r="C26" s="81">
        <v>31</v>
      </c>
      <c r="D26" s="82">
        <f t="shared" si="3"/>
        <v>54</v>
      </c>
      <c r="E26" s="82">
        <f t="shared" si="0"/>
        <v>4</v>
      </c>
      <c r="F26" s="68">
        <f t="shared" si="4"/>
        <v>61.96</v>
      </c>
      <c r="G26" s="69">
        <f>IF(D26=D25,"",_xlfn.IFNA(VLOOKUP(D26,'인원 입력 기능(사과탐)'!$A$121:$D$172,4,FALSE),0))</f>
        <v>1450</v>
      </c>
      <c r="H26" s="70">
        <f t="shared" si="1"/>
        <v>2.6173757649055038E-2</v>
      </c>
      <c r="I26" s="80">
        <f>SUM($G$7:G26)</f>
        <v>21801</v>
      </c>
      <c r="J26" s="72">
        <f t="shared" si="5"/>
        <v>0.39352695897037854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95">
        <v>30</v>
      </c>
      <c r="D27" s="82">
        <f t="shared" si="3"/>
        <v>53</v>
      </c>
      <c r="E27" s="82">
        <f t="shared" si="0"/>
        <v>4</v>
      </c>
      <c r="F27" s="68">
        <f t="shared" si="4"/>
        <v>59.4</v>
      </c>
      <c r="G27" s="69">
        <f>IF(D27=D26,"",_xlfn.IFNA(VLOOKUP(D27,'인원 입력 기능(사과탐)'!$A$121:$D$172,4,FALSE),0))</f>
        <v>1385</v>
      </c>
      <c r="H27" s="70">
        <f t="shared" si="1"/>
        <v>2.5000451271683606E-2</v>
      </c>
      <c r="I27" s="80">
        <f>SUM($G$7:G27)</f>
        <v>23186</v>
      </c>
      <c r="J27" s="72">
        <f t="shared" si="5"/>
        <v>0.41852741024206214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81">
        <v>29</v>
      </c>
      <c r="D28" s="82">
        <f t="shared" si="3"/>
        <v>52</v>
      </c>
      <c r="E28" s="82">
        <f t="shared" si="0"/>
        <v>5</v>
      </c>
      <c r="F28" s="68">
        <f t="shared" si="4"/>
        <v>56.77</v>
      </c>
      <c r="G28" s="69">
        <f>IF(D28=D27,"",_xlfn.IFNA(VLOOKUP(D28,'인원 입력 기능(사과탐)'!$A$121:$D$172,4,FALSE),0))</f>
        <v>1530</v>
      </c>
      <c r="H28" s="70">
        <f t="shared" si="1"/>
        <v>2.7617827036589108E-2</v>
      </c>
      <c r="I28" s="80">
        <f>SUM($G$7:G28)</f>
        <v>24716</v>
      </c>
      <c r="J28" s="72">
        <f t="shared" si="5"/>
        <v>0.44614523727865124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95">
        <v>28</v>
      </c>
      <c r="D29" s="82">
        <f t="shared" si="3"/>
        <v>51</v>
      </c>
      <c r="E29" s="82">
        <f t="shared" si="0"/>
        <v>5</v>
      </c>
      <c r="F29" s="68">
        <f t="shared" si="4"/>
        <v>54.15</v>
      </c>
      <c r="G29" s="69">
        <f>IF(D29=D28,"",_xlfn.IFNA(VLOOKUP(D29,'인원 입력 기능(사과탐)'!$A$121:$D$172,4,FALSE),0))</f>
        <v>1367</v>
      </c>
      <c r="H29" s="70">
        <f t="shared" si="1"/>
        <v>2.4675535659488438E-2</v>
      </c>
      <c r="I29" s="80">
        <f>SUM($G$7:G29)</f>
        <v>26083</v>
      </c>
      <c r="J29" s="72">
        <f t="shared" si="5"/>
        <v>0.47082077293813968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81">
        <v>27</v>
      </c>
      <c r="D30" s="180">
        <f t="shared" si="3"/>
        <v>50</v>
      </c>
      <c r="E30" s="180">
        <f t="shared" si="0"/>
        <v>5</v>
      </c>
      <c r="F30" s="182">
        <f t="shared" si="4"/>
        <v>50.31</v>
      </c>
      <c r="G30" s="184">
        <f>IF(D30=D29,"",_xlfn.IFNA(VLOOKUP(D30,'인원 입력 기능(사과탐)'!$A$121:$D$172,4,FALSE),0))</f>
        <v>2895</v>
      </c>
      <c r="H30" s="186">
        <f t="shared" si="1"/>
        <v>5.2257260961389197E-2</v>
      </c>
      <c r="I30" s="194">
        <f>SUM($G$7:G30)</f>
        <v>28978</v>
      </c>
      <c r="J30" s="176">
        <f t="shared" si="5"/>
        <v>0.52307803389952889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95">
        <v>26</v>
      </c>
      <c r="D31" s="181"/>
      <c r="E31" s="181"/>
      <c r="F31" s="183"/>
      <c r="G31" s="185"/>
      <c r="H31" s="187"/>
      <c r="I31" s="195"/>
      <c r="J31" s="177"/>
      <c r="K31" s="36"/>
      <c r="L31" s="20" t="str">
        <f t="shared" si="2"/>
        <v>경고</v>
      </c>
      <c r="N31" s="24"/>
    </row>
    <row r="32" spans="1:17" s="22" customFormat="1" ht="25" customHeight="1" x14ac:dyDescent="0.45">
      <c r="A32" s="20"/>
      <c r="B32" s="35"/>
      <c r="C32" s="81">
        <v>25</v>
      </c>
      <c r="D32" s="82">
        <f t="shared" si="3"/>
        <v>49</v>
      </c>
      <c r="E32" s="82">
        <f t="shared" si="0"/>
        <v>5</v>
      </c>
      <c r="F32" s="68">
        <f t="shared" si="4"/>
        <v>46.48</v>
      </c>
      <c r="G32" s="69">
        <f>IF(D32=D31,"",_xlfn.IFNA(VLOOKUP(D32,'인원 입력 기능(사과탐)'!$A$121:$D$172,4,FALSE),0))</f>
        <v>1344</v>
      </c>
      <c r="H32" s="70">
        <f t="shared" si="1"/>
        <v>2.4260365710572392E-2</v>
      </c>
      <c r="I32" s="80">
        <f>SUM($G$7:G32)</f>
        <v>30322</v>
      </c>
      <c r="J32" s="72">
        <f t="shared" si="5"/>
        <v>0.54733839961010122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95">
        <v>24</v>
      </c>
      <c r="D33" s="82">
        <f t="shared" si="3"/>
        <v>48</v>
      </c>
      <c r="E33" s="82">
        <f t="shared" si="0"/>
        <v>5</v>
      </c>
      <c r="F33" s="68">
        <f t="shared" si="4"/>
        <v>43.99</v>
      </c>
      <c r="G33" s="69">
        <f>IF(D33=D32,"",_xlfn.IFNA(VLOOKUP(D33,'인원 입력 기능(사과탐)'!$A$121:$D$172,4,FALSE),0))</f>
        <v>1410</v>
      </c>
      <c r="H33" s="70">
        <f t="shared" si="1"/>
        <v>2.5451722955288001E-2</v>
      </c>
      <c r="I33" s="80">
        <f>SUM($G$7:G33)</f>
        <v>31732</v>
      </c>
      <c r="J33" s="72">
        <f t="shared" si="5"/>
        <v>0.5727901225653893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81">
        <v>23</v>
      </c>
      <c r="D34" s="82">
        <f t="shared" si="3"/>
        <v>47</v>
      </c>
      <c r="E34" s="82">
        <f t="shared" si="0"/>
        <v>5</v>
      </c>
      <c r="F34" s="68">
        <f t="shared" si="4"/>
        <v>41.58</v>
      </c>
      <c r="G34" s="69">
        <f>IF(D34=D33,"",_xlfn.IFNA(VLOOKUP(D34,'인원 입력 기능(사과탐)'!$A$121:$D$172,4,FALSE),0))</f>
        <v>1262</v>
      </c>
      <c r="H34" s="70">
        <f t="shared" si="1"/>
        <v>2.278019458834997E-2</v>
      </c>
      <c r="I34" s="80">
        <f>SUM($G$7:G34)</f>
        <v>32994</v>
      </c>
      <c r="J34" s="72">
        <f t="shared" si="5"/>
        <v>0.5955703171537392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95">
        <v>22</v>
      </c>
      <c r="D35" s="82">
        <f t="shared" si="3"/>
        <v>46</v>
      </c>
      <c r="E35" s="82">
        <f t="shared" si="0"/>
        <v>5</v>
      </c>
      <c r="F35" s="68">
        <f t="shared" si="4"/>
        <v>39.29</v>
      </c>
      <c r="G35" s="69">
        <f>IF(D35=D34,"",_xlfn.IFNA(VLOOKUP(D35,'인원 입력 기능(사과탐)'!$A$121:$D$172,4,FALSE),0))</f>
        <v>1282</v>
      </c>
      <c r="H35" s="70">
        <f t="shared" si="1"/>
        <v>2.314121193523349E-2</v>
      </c>
      <c r="I35" s="80">
        <f>SUM($G$7:G35)</f>
        <v>34276</v>
      </c>
      <c r="J35" s="72">
        <f t="shared" si="5"/>
        <v>0.61871152908897276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81">
        <v>21</v>
      </c>
      <c r="D36" s="180">
        <f t="shared" si="3"/>
        <v>45</v>
      </c>
      <c r="E36" s="180">
        <f t="shared" si="0"/>
        <v>6</v>
      </c>
      <c r="F36" s="182">
        <f t="shared" si="4"/>
        <v>35.950000000000003</v>
      </c>
      <c r="G36" s="184">
        <f>IF(D36=D35,"",_xlfn.IFNA(VLOOKUP(D36,'인원 입력 기능(사과탐)'!$A$121:$D$172,4,FALSE),0))</f>
        <v>2417</v>
      </c>
      <c r="H36" s="186">
        <f t="shared" si="1"/>
        <v>4.3628946370873119E-2</v>
      </c>
      <c r="I36" s="194">
        <f>SUM($G$7:G36)</f>
        <v>36693</v>
      </c>
      <c r="J36" s="176">
        <f t="shared" si="5"/>
        <v>0.66234047545984587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95">
        <v>20</v>
      </c>
      <c r="D37" s="181"/>
      <c r="E37" s="181"/>
      <c r="F37" s="183"/>
      <c r="G37" s="185"/>
      <c r="H37" s="187"/>
      <c r="I37" s="195"/>
      <c r="J37" s="177"/>
      <c r="K37" s="36"/>
      <c r="L37" s="20" t="str">
        <f t="shared" si="2"/>
        <v>경고</v>
      </c>
      <c r="N37" s="24"/>
    </row>
    <row r="38" spans="1:14" s="22" customFormat="1" ht="25" customHeight="1" x14ac:dyDescent="0.45">
      <c r="A38" s="20"/>
      <c r="B38" s="35"/>
      <c r="C38" s="81">
        <v>19</v>
      </c>
      <c r="D38" s="82">
        <f t="shared" si="3"/>
        <v>44</v>
      </c>
      <c r="E38" s="82">
        <f t="shared" si="0"/>
        <v>6</v>
      </c>
      <c r="F38" s="68">
        <f t="shared" si="4"/>
        <v>32.630000000000003</v>
      </c>
      <c r="G38" s="69">
        <f>IF(D38=D37,"",_xlfn.IFNA(VLOOKUP(D38,'인원 입력 기능(사과탐)'!$A$121:$D$172,4,FALSE),0))</f>
        <v>1261</v>
      </c>
      <c r="H38" s="70">
        <f t="shared" si="1"/>
        <v>2.2762143721005795E-2</v>
      </c>
      <c r="I38" s="80">
        <f>SUM($G$7:G38)</f>
        <v>37954</v>
      </c>
      <c r="J38" s="72">
        <f t="shared" si="5"/>
        <v>0.68510261918085169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95">
        <v>18</v>
      </c>
      <c r="D39" s="82">
        <f t="shared" si="3"/>
        <v>43</v>
      </c>
      <c r="E39" s="82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8">
        <f t="shared" si="4"/>
        <v>30.5</v>
      </c>
      <c r="G39" s="69">
        <f>IF(D39=D38,"",_xlfn.IFNA(VLOOKUP(D39,'인원 입력 기능(사과탐)'!$A$121:$D$172,4,FALSE),0))</f>
        <v>1092</v>
      </c>
      <c r="H39" s="70">
        <f t="shared" si="1"/>
        <v>1.9711547139840069E-2</v>
      </c>
      <c r="I39" s="80">
        <f>SUM($G$7:G39)</f>
        <v>39046</v>
      </c>
      <c r="J39" s="72">
        <f t="shared" si="5"/>
        <v>0.70481416632069172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81">
        <v>17</v>
      </c>
      <c r="D40" s="82">
        <f t="shared" si="3"/>
        <v>42</v>
      </c>
      <c r="E40" s="82">
        <f t="shared" si="6"/>
        <v>6</v>
      </c>
      <c r="F40" s="68">
        <f t="shared" si="4"/>
        <v>28.4</v>
      </c>
      <c r="G40" s="69">
        <f>IF(D40=D39,"",_xlfn.IFNA(VLOOKUP(D40,'인원 입력 기능(사과탐)'!$A$121:$D$172,4,FALSE),0))</f>
        <v>1237</v>
      </c>
      <c r="H40" s="70">
        <f t="shared" si="1"/>
        <v>2.2328922904745575E-2</v>
      </c>
      <c r="I40" s="80">
        <f>SUM($G$7:G40)</f>
        <v>40283</v>
      </c>
      <c r="J40" s="72">
        <f t="shared" si="5"/>
        <v>0.72714308922543724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95">
        <v>16</v>
      </c>
      <c r="D41" s="180">
        <f t="shared" si="3"/>
        <v>41</v>
      </c>
      <c r="E41" s="180">
        <f t="shared" si="6"/>
        <v>6</v>
      </c>
      <c r="F41" s="182">
        <f t="shared" si="4"/>
        <v>25.17</v>
      </c>
      <c r="G41" s="184">
        <f>IF(D41=D40,"",_xlfn.IFNA(VLOOKUP(D41,'인원 입력 기능(사과탐)'!$A$121:$D$172,4,FALSE),0))</f>
        <v>2340</v>
      </c>
      <c r="H41" s="186">
        <f t="shared" si="1"/>
        <v>4.2239029585371575E-2</v>
      </c>
      <c r="I41" s="194">
        <f>SUM($G$7:G41)</f>
        <v>42623</v>
      </c>
      <c r="J41" s="176">
        <f t="shared" si="5"/>
        <v>0.76938211881080887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81">
        <v>15</v>
      </c>
      <c r="D42" s="181"/>
      <c r="E42" s="181"/>
      <c r="F42" s="183"/>
      <c r="G42" s="185"/>
      <c r="H42" s="187"/>
      <c r="I42" s="195"/>
      <c r="J42" s="177"/>
      <c r="K42" s="36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5"/>
      <c r="C43" s="95">
        <v>14</v>
      </c>
      <c r="D43" s="82">
        <f t="shared" si="3"/>
        <v>40</v>
      </c>
      <c r="E43" s="82">
        <f t="shared" si="6"/>
        <v>6</v>
      </c>
      <c r="F43" s="68">
        <f t="shared" si="4"/>
        <v>19.95</v>
      </c>
      <c r="G43" s="69">
        <f>IF(D43=D42,"",_xlfn.IFNA(VLOOKUP(D43,'인원 입력 기능(사과탐)'!$A$121:$D$172,4,FALSE),0))</f>
        <v>3448</v>
      </c>
      <c r="H43" s="70">
        <f t="shared" si="1"/>
        <v>6.2239390602718464E-2</v>
      </c>
      <c r="I43" s="80">
        <f>SUM($G$7:G43)</f>
        <v>46071</v>
      </c>
      <c r="J43" s="72">
        <f t="shared" si="5"/>
        <v>0.8316215094135273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81">
        <v>13</v>
      </c>
      <c r="D44" s="82">
        <f t="shared" si="3"/>
        <v>39</v>
      </c>
      <c r="E44" s="82">
        <f t="shared" si="6"/>
        <v>7</v>
      </c>
      <c r="F44" s="68">
        <f t="shared" si="4"/>
        <v>14.46</v>
      </c>
      <c r="G44" s="69">
        <f>IF(D44=D43,"",_xlfn.IFNA(VLOOKUP(D44,'인원 입력 기능(사과탐)'!$A$121:$D$172,4,FALSE),0))</f>
        <v>2631</v>
      </c>
      <c r="H44" s="70">
        <f t="shared" si="1"/>
        <v>4.749183198252676E-2</v>
      </c>
      <c r="I44" s="80">
        <f>SUM($G$7:G44)</f>
        <v>48702</v>
      </c>
      <c r="J44" s="72">
        <f t="shared" si="5"/>
        <v>0.87911334139605413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95">
        <v>12</v>
      </c>
      <c r="D45" s="82">
        <f t="shared" si="3"/>
        <v>38</v>
      </c>
      <c r="E45" s="82">
        <f t="shared" si="6"/>
        <v>7</v>
      </c>
      <c r="F45" s="68">
        <f t="shared" si="4"/>
        <v>11.15</v>
      </c>
      <c r="G45" s="69">
        <f>IF(D45=D44,"",_xlfn.IFNA(VLOOKUP(D45,'인원 입력 기능(사과탐)'!$A$121:$D$172,4,FALSE),0))</f>
        <v>1045</v>
      </c>
      <c r="H45" s="70">
        <f t="shared" si="1"/>
        <v>1.8863156374663802E-2</v>
      </c>
      <c r="I45" s="80">
        <f>SUM($G$7:G45)</f>
        <v>49747</v>
      </c>
      <c r="J45" s="72">
        <f t="shared" si="5"/>
        <v>0.89797649777071786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81">
        <v>11</v>
      </c>
      <c r="D46" s="82">
        <f t="shared" si="3"/>
        <v>37</v>
      </c>
      <c r="E46" s="82">
        <f t="shared" si="6"/>
        <v>8</v>
      </c>
      <c r="F46" s="68">
        <f t="shared" si="4"/>
        <v>9.52</v>
      </c>
      <c r="G46" s="69">
        <f>IF(D46=D45,"",_xlfn.IFNA(VLOOKUP(D46,'인원 입력 기능(사과탐)'!$A$121:$D$172,4,FALSE),0))</f>
        <v>751</v>
      </c>
      <c r="H46" s="70">
        <f t="shared" si="1"/>
        <v>1.3556201375476092E-2</v>
      </c>
      <c r="I46" s="80">
        <f>SUM($G$7:G46)</f>
        <v>50498</v>
      </c>
      <c r="J46" s="72">
        <f t="shared" si="5"/>
        <v>0.91153269914619395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95">
        <v>10</v>
      </c>
      <c r="D47" s="180">
        <f t="shared" si="3"/>
        <v>36</v>
      </c>
      <c r="E47" s="180">
        <f t="shared" si="6"/>
        <v>8</v>
      </c>
      <c r="F47" s="182">
        <f t="shared" si="4"/>
        <v>7.48</v>
      </c>
      <c r="G47" s="184">
        <f>IF(D47=D46,"",_xlfn.IFNA(VLOOKUP(D47,'인원 입력 기능(사과탐)'!$A$121:$D$172,4,FALSE),0))</f>
        <v>1509</v>
      </c>
      <c r="H47" s="186">
        <f t="shared" si="1"/>
        <v>2.7238758822361413E-2</v>
      </c>
      <c r="I47" s="194">
        <f>SUM($G$7:G47)</f>
        <v>52007</v>
      </c>
      <c r="J47" s="176">
        <f t="shared" si="5"/>
        <v>0.93877145796855543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81">
        <v>9</v>
      </c>
      <c r="D48" s="181"/>
      <c r="E48" s="181"/>
      <c r="F48" s="183"/>
      <c r="G48" s="185"/>
      <c r="H48" s="187"/>
      <c r="I48" s="195"/>
      <c r="J48" s="177"/>
      <c r="K48" s="36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5"/>
      <c r="C49" s="95">
        <v>8</v>
      </c>
      <c r="D49" s="82">
        <f t="shared" si="3"/>
        <v>35</v>
      </c>
      <c r="E49" s="82">
        <f t="shared" si="6"/>
        <v>8</v>
      </c>
      <c r="F49" s="68">
        <f t="shared" si="4"/>
        <v>4.9000000000000004</v>
      </c>
      <c r="G49" s="69">
        <f>IF(D49=D48,"",_xlfn.IFNA(VLOOKUP(D49,'인원 입력 기능(사과탐)'!$A$121:$D$172,4,FALSE),0))</f>
        <v>1356</v>
      </c>
      <c r="H49" s="70">
        <f t="shared" si="1"/>
        <v>2.4476976118702504E-2</v>
      </c>
      <c r="I49" s="80">
        <f>SUM($G$7:G49)</f>
        <v>53363</v>
      </c>
      <c r="J49" s="72">
        <f t="shared" si="5"/>
        <v>0.96324843408725791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81">
        <v>7</v>
      </c>
      <c r="D50" s="82">
        <f t="shared" si="3"/>
        <v>34</v>
      </c>
      <c r="E50" s="82">
        <f t="shared" si="6"/>
        <v>9</v>
      </c>
      <c r="F50" s="68">
        <f t="shared" si="4"/>
        <v>3.09</v>
      </c>
      <c r="G50" s="69">
        <f>IF(D50=D49,"",_xlfn.IFNA(VLOOKUP(D50,'인원 입력 기능(사과탐)'!$A$121:$D$172,4,FALSE),0))</f>
        <v>653</v>
      </c>
      <c r="H50" s="70">
        <f t="shared" si="1"/>
        <v>1.1787216375746855E-2</v>
      </c>
      <c r="I50" s="80">
        <f>SUM($G$7:G50)</f>
        <v>54016</v>
      </c>
      <c r="J50" s="72">
        <f t="shared" si="5"/>
        <v>0.97503565046300478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95">
        <v>6</v>
      </c>
      <c r="D51" s="82">
        <f t="shared" si="3"/>
        <v>33</v>
      </c>
      <c r="E51" s="82">
        <f t="shared" si="6"/>
        <v>9</v>
      </c>
      <c r="F51" s="68">
        <f t="shared" si="4"/>
        <v>2.2400000000000002</v>
      </c>
      <c r="G51" s="69">
        <f>IF(D51=D50,"",_xlfn.IFNA(VLOOKUP(D51,'인원 입력 기능(사과탐)'!$A$121:$D$172,4,FALSE),0))</f>
        <v>287</v>
      </c>
      <c r="H51" s="70">
        <f t="shared" si="1"/>
        <v>5.1805989277784797E-3</v>
      </c>
      <c r="I51" s="80">
        <f>SUM($G$7:G51)</f>
        <v>54303</v>
      </c>
      <c r="J51" s="72">
        <f t="shared" si="5"/>
        <v>0.98021624939078322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81">
        <v>5</v>
      </c>
      <c r="D52" s="82">
        <f t="shared" si="3"/>
        <v>32</v>
      </c>
      <c r="E52" s="82">
        <f t="shared" si="6"/>
        <v>9</v>
      </c>
      <c r="F52" s="68">
        <f t="shared" si="4"/>
        <v>1.59</v>
      </c>
      <c r="G52" s="69">
        <f>IF(D52=D51,"",_xlfn.IFNA(VLOOKUP(D52,'인원 입력 기능(사과탐)'!$A$121:$D$172,4,FALSE),0))</f>
        <v>427</v>
      </c>
      <c r="H52" s="70">
        <f t="shared" si="1"/>
        <v>7.707720355963104E-3</v>
      </c>
      <c r="I52" s="80">
        <f>SUM($G$7:G52)</f>
        <v>54730</v>
      </c>
      <c r="J52" s="72">
        <f t="shared" si="5"/>
        <v>0.98792396974674634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66">
        <v>4</v>
      </c>
      <c r="D53" s="178">
        <f t="shared" si="3"/>
        <v>31</v>
      </c>
      <c r="E53" s="178">
        <f t="shared" si="6"/>
        <v>9</v>
      </c>
      <c r="F53" s="182">
        <f t="shared" si="4"/>
        <v>0.93</v>
      </c>
      <c r="G53" s="184">
        <f>IF(D53=D52,"",_xlfn.IFNA(VLOOKUP(D53,'인원 입력 기능(사과탐)'!$A$121:$D$172,4,FALSE),0))</f>
        <v>307</v>
      </c>
      <c r="H53" s="186">
        <f t="shared" si="1"/>
        <v>5.5416162746619972E-3</v>
      </c>
      <c r="I53" s="194">
        <f>SUM($G$7:G53)</f>
        <v>55037</v>
      </c>
      <c r="J53" s="176">
        <f t="shared" si="5"/>
        <v>0.99346558602140833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73">
        <v>3</v>
      </c>
      <c r="D54" s="179"/>
      <c r="E54" s="179"/>
      <c r="F54" s="183"/>
      <c r="G54" s="185"/>
      <c r="H54" s="187"/>
      <c r="I54" s="195"/>
      <c r="J54" s="177"/>
      <c r="K54" s="36"/>
      <c r="L54" s="20" t="str">
        <f t="shared" si="2"/>
        <v>경고</v>
      </c>
      <c r="N54" s="24"/>
    </row>
    <row r="55" spans="1:14" s="22" customFormat="1" ht="25" customHeight="1" x14ac:dyDescent="0.45">
      <c r="A55" s="20"/>
      <c r="B55" s="35"/>
      <c r="C55" s="66">
        <v>2</v>
      </c>
      <c r="D55" s="67">
        <f t="shared" si="3"/>
        <v>30</v>
      </c>
      <c r="E55" s="67">
        <f t="shared" si="6"/>
        <v>9</v>
      </c>
      <c r="F55" s="68">
        <f t="shared" si="4"/>
        <v>0.54</v>
      </c>
      <c r="G55" s="69">
        <f>IF(D55=D54,"",_xlfn.IFNA(VLOOKUP(D55,'인원 입력 기능(사과탐)'!$A$121:$D$172,4,FALSE),0))</f>
        <v>127</v>
      </c>
      <c r="H55" s="70">
        <f t="shared" si="1"/>
        <v>2.2924601527103379E-3</v>
      </c>
      <c r="I55" s="80">
        <f>SUM($G$7:G55)</f>
        <v>55164</v>
      </c>
      <c r="J55" s="72">
        <f t="shared" si="5"/>
        <v>0.99575804617411867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73">
        <v>1</v>
      </c>
      <c r="D56" s="74" t="s">
        <v>59</v>
      </c>
      <c r="E56" s="74"/>
      <c r="F56" s="75"/>
      <c r="G56" s="96"/>
      <c r="H56" s="94"/>
      <c r="I56" s="84"/>
      <c r="J56" s="79"/>
      <c r="K56" s="36"/>
      <c r="L56" s="20"/>
      <c r="N56" s="24"/>
    </row>
    <row r="57" spans="1:14" s="22" customFormat="1" ht="25" customHeight="1" thickBot="1" x14ac:dyDescent="0.5">
      <c r="A57" s="20"/>
      <c r="B57" s="35"/>
      <c r="C57" s="97">
        <v>0</v>
      </c>
      <c r="D57" s="86">
        <f>ROUND(10*(C57-$H$3)/$H$4+50,0)</f>
        <v>28</v>
      </c>
      <c r="E57" s="98">
        <f t="shared" si="6"/>
        <v>9</v>
      </c>
      <c r="F57" s="87">
        <f>IF(I55=0,ROUND(100*(1-(I54+I57)/2/$J$3),2),ROUND(100*(1-(I55+I57)/2/$J$3),2))</f>
        <v>0.21</v>
      </c>
      <c r="G57" s="99">
        <f>_xlfn.IFNA(VLOOKUP(D57,'인원 입력 기능(사과탐)'!$A$121:$D$172,4,FALSE),0)</f>
        <v>235</v>
      </c>
      <c r="H57" s="89">
        <f>G57/$J$3</f>
        <v>4.2419538258813335E-3</v>
      </c>
      <c r="I57" s="90">
        <f>SUM($G$7:G57)</f>
        <v>55399</v>
      </c>
      <c r="J57" s="100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8">
    <mergeCell ref="D3:F3"/>
    <mergeCell ref="D4:F4"/>
    <mergeCell ref="D12:D13"/>
    <mergeCell ref="E12:E13"/>
    <mergeCell ref="F12:F13"/>
    <mergeCell ref="G12:G13"/>
    <mergeCell ref="H12:H13"/>
    <mergeCell ref="I12:I13"/>
    <mergeCell ref="J12:J13"/>
    <mergeCell ref="D18:D19"/>
    <mergeCell ref="E18:E19"/>
    <mergeCell ref="F18:F19"/>
    <mergeCell ref="G18:G19"/>
    <mergeCell ref="H18:H19"/>
    <mergeCell ref="I18:I19"/>
    <mergeCell ref="J18:J19"/>
    <mergeCell ref="I24:I25"/>
    <mergeCell ref="J24:J25"/>
    <mergeCell ref="D30:D31"/>
    <mergeCell ref="E30:E31"/>
    <mergeCell ref="F30:F31"/>
    <mergeCell ref="G30:G31"/>
    <mergeCell ref="H30:H31"/>
    <mergeCell ref="I30:I31"/>
    <mergeCell ref="J30:J31"/>
    <mergeCell ref="D24:D25"/>
    <mergeCell ref="E24:E25"/>
    <mergeCell ref="F24:F25"/>
    <mergeCell ref="G24:G25"/>
    <mergeCell ref="H24:H25"/>
    <mergeCell ref="I36:I37"/>
    <mergeCell ref="J36:J37"/>
    <mergeCell ref="D41:D42"/>
    <mergeCell ref="E41:E42"/>
    <mergeCell ref="F41:F42"/>
    <mergeCell ref="G41:G42"/>
    <mergeCell ref="H41:H42"/>
    <mergeCell ref="I41:I42"/>
    <mergeCell ref="J41:J42"/>
    <mergeCell ref="D36:D37"/>
    <mergeCell ref="E36:E37"/>
    <mergeCell ref="F36:F37"/>
    <mergeCell ref="G36:G37"/>
    <mergeCell ref="H36:H37"/>
    <mergeCell ref="I47:I48"/>
    <mergeCell ref="J47:J48"/>
    <mergeCell ref="D53:D54"/>
    <mergeCell ref="E53:E54"/>
    <mergeCell ref="F53:F54"/>
    <mergeCell ref="G53:G54"/>
    <mergeCell ref="H53:H54"/>
    <mergeCell ref="I53:I54"/>
    <mergeCell ref="J53:J54"/>
    <mergeCell ref="D47:D48"/>
    <mergeCell ref="E47:E48"/>
    <mergeCell ref="F47:F48"/>
    <mergeCell ref="G47:G48"/>
    <mergeCell ref="H47:H48"/>
  </mergeCells>
  <phoneticPr fontId="1" type="noConversion"/>
  <conditionalFormatting sqref="D7:G12 I7:J12 D14:G18 I14:J18 D20:G24 I20:J24 D26:G30 I26:J30 D32:G36 I32:J36 D38:G41 I38:J41 D43:G47 I43:J47 D49:G53 I49:J53 D55:G57 I55:J57">
    <cfRule type="expression" dxfId="42" priority="4">
      <formula>OR($D7=$Q$7:$Q$14)</formula>
    </cfRule>
  </conditionalFormatting>
  <conditionalFormatting sqref="C7:C57">
    <cfRule type="expression" dxfId="41" priority="3">
      <formula>OR(AND($D7=0,OR($D6=$Q$7:$Q$14)),AND($D8&gt;0,OR($D7=$Q$7:$Q$14)))</formula>
    </cfRule>
  </conditionalFormatting>
  <conditionalFormatting sqref="D7:D12 D14:D18 D20:D24 D26:D30 D32:D36 D38:D41 D43:D47 D49:D53 D55:D57">
    <cfRule type="expression" dxfId="40" priority="2">
      <formula>$D7=$D8</formula>
    </cfRule>
  </conditionalFormatting>
  <conditionalFormatting sqref="H7:H12 H14:H18 H20:H24 H26:H30 H32:H36 H38:H41 H43:H47 H49:H53 H55:H57">
    <cfRule type="expression" dxfId="39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30A4B-4E11-46F3-A11B-285051ABE31F}">
  <sheetPr codeName="Sheet19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113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기능'!D17</f>
        <v>22.523498262452399</v>
      </c>
      <c r="I3" s="21" t="s">
        <v>117</v>
      </c>
      <c r="J3" s="58">
        <f>'통계 및 응시자 수 입력 기능'!C17</f>
        <v>48344</v>
      </c>
      <c r="K3" s="36"/>
      <c r="L3" s="20"/>
    </row>
    <row r="4" spans="1:17" s="22" customFormat="1" ht="25" customHeight="1" thickBot="1" x14ac:dyDescent="0.5">
      <c r="A4" s="20"/>
      <c r="B4" s="35"/>
      <c r="C4" s="59" t="s">
        <v>118</v>
      </c>
      <c r="D4" s="191" t="s">
        <v>142</v>
      </c>
      <c r="E4" s="192"/>
      <c r="F4" s="193"/>
      <c r="G4" s="60" t="s">
        <v>120</v>
      </c>
      <c r="H4" s="61">
        <f>'통계 및 응시자 수 입력 기능'!E17</f>
        <v>11.836831000573801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62" t="s">
        <v>121</v>
      </c>
      <c r="D6" s="63" t="s">
        <v>122</v>
      </c>
      <c r="E6" s="63" t="s">
        <v>123</v>
      </c>
      <c r="F6" s="63" t="s">
        <v>124</v>
      </c>
      <c r="G6" s="63" t="s">
        <v>125</v>
      </c>
      <c r="H6" s="63" t="s">
        <v>126</v>
      </c>
      <c r="I6" s="64" t="s">
        <v>127</v>
      </c>
      <c r="J6" s="65" t="s">
        <v>128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66">
        <v>50</v>
      </c>
      <c r="D7" s="67">
        <f>ROUND(10*(C7-$H$3)/$H$4+50,0)</f>
        <v>73</v>
      </c>
      <c r="E7" s="67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8">
        <f>ROUND(100*(1-(0+I7)/2/$J$3),2)</f>
        <v>99.23</v>
      </c>
      <c r="G7" s="69">
        <f>_xlfn.IFNA(VLOOKUP(D7,'인원 입력 기능(사과탐)'!$A$177:$D$231,4,FALSE),0)</f>
        <v>748</v>
      </c>
      <c r="H7" s="70">
        <f>G7/$J$3</f>
        <v>1.5472447459870925E-2</v>
      </c>
      <c r="I7" s="71">
        <f>G7</f>
        <v>748</v>
      </c>
      <c r="J7" s="72">
        <f>I7/$J$3</f>
        <v>1.5472447459870925E-2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기능'!C121</f>
        <v>70</v>
      </c>
    </row>
    <row r="8" spans="1:17" s="22" customFormat="1" ht="25" customHeight="1" x14ac:dyDescent="0.45">
      <c r="A8" s="20"/>
      <c r="B8" s="35"/>
      <c r="C8" s="73">
        <v>49</v>
      </c>
      <c r="D8" s="74" t="s">
        <v>59</v>
      </c>
      <c r="E8" s="74"/>
      <c r="F8" s="75"/>
      <c r="G8" s="76"/>
      <c r="H8" s="94"/>
      <c r="I8" s="78"/>
      <c r="J8" s="79"/>
      <c r="K8" s="36"/>
      <c r="L8" s="20"/>
      <c r="N8" s="24"/>
      <c r="P8" s="24">
        <v>2</v>
      </c>
      <c r="Q8" s="24">
        <f>'표점등급&amp;절평인원 입력 기능'!C122</f>
        <v>65</v>
      </c>
    </row>
    <row r="9" spans="1:17" s="22" customFormat="1" ht="25" customHeight="1" x14ac:dyDescent="0.45">
      <c r="A9" s="20"/>
      <c r="B9" s="35"/>
      <c r="C9" s="66">
        <v>48</v>
      </c>
      <c r="D9" s="67">
        <f>ROUND(10*(C9-$H$3)/$H$4+50,0)</f>
        <v>72</v>
      </c>
      <c r="E9" s="67">
        <f t="shared" si="0"/>
        <v>1</v>
      </c>
      <c r="F9" s="68">
        <f>IF(I8=0,ROUND(100*(1-(I7+I9)/2/$J$3),2),ROUND(100*(1-(I8+I9)/2/$J$3),2))</f>
        <v>97.98</v>
      </c>
      <c r="G9" s="69">
        <f>_xlfn.IFNA(VLOOKUP(D9,'인원 입력 기능(사과탐)'!$A$177:$D$231,4,FALSE),0)</f>
        <v>459</v>
      </c>
      <c r="H9" s="70">
        <f t="shared" ref="H9:H55" si="1">G9/$J$3</f>
        <v>9.4944563958298863E-3</v>
      </c>
      <c r="I9" s="80">
        <f>SUM($G$7:G9)</f>
        <v>1207</v>
      </c>
      <c r="J9" s="72">
        <f>I9/$J$3</f>
        <v>2.4966903855700811E-2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기능'!C123</f>
        <v>58</v>
      </c>
    </row>
    <row r="10" spans="1:17" s="22" customFormat="1" ht="25" customHeight="1" x14ac:dyDescent="0.45">
      <c r="A10" s="20"/>
      <c r="B10" s="35"/>
      <c r="C10" s="73">
        <v>47</v>
      </c>
      <c r="D10" s="67">
        <f t="shared" ref="D10:D55" si="3">ROUND(10*(C10-$H$3)/$H$4+50,0)</f>
        <v>71</v>
      </c>
      <c r="E10" s="67">
        <f t="shared" si="0"/>
        <v>1</v>
      </c>
      <c r="F10" s="68">
        <f t="shared" ref="F10:F55" si="4">IF(I9=0,ROUND(100*(1-(I8+I10)/2/$J$3),2),ROUND(100*(1-(I9+I10)/2/$J$3),2))</f>
        <v>96.85</v>
      </c>
      <c r="G10" s="69">
        <f>IF(D10=D9,"",_xlfn.IFNA(VLOOKUP(D10,'인원 입력 기능(사과탐)'!$A$177:$D$231,4,FALSE),0))</f>
        <v>631</v>
      </c>
      <c r="H10" s="70">
        <f t="shared" si="1"/>
        <v>1.3052291907992718E-2</v>
      </c>
      <c r="I10" s="80">
        <f>SUM($G$7:G10)</f>
        <v>1838</v>
      </c>
      <c r="J10" s="72">
        <f t="shared" ref="J10:J55" si="5">I10/$J$3</f>
        <v>3.8019195763693531E-2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기능'!C124</f>
        <v>51</v>
      </c>
    </row>
    <row r="11" spans="1:17" s="22" customFormat="1" ht="25" customHeight="1" x14ac:dyDescent="0.45">
      <c r="A11" s="20"/>
      <c r="B11" s="35"/>
      <c r="C11" s="66">
        <v>46</v>
      </c>
      <c r="D11" s="67">
        <f t="shared" si="3"/>
        <v>70</v>
      </c>
      <c r="E11" s="67">
        <f t="shared" si="0"/>
        <v>1</v>
      </c>
      <c r="F11" s="68">
        <f t="shared" si="4"/>
        <v>96</v>
      </c>
      <c r="G11" s="69">
        <f>IF(D11=D10,"",_xlfn.IFNA(VLOOKUP(D11,'인원 입력 기능(사과탐)'!$A$177:$D$231,4,FALSE),0))</f>
        <v>196</v>
      </c>
      <c r="H11" s="70">
        <f t="shared" si="1"/>
        <v>4.0542776766506706E-3</v>
      </c>
      <c r="I11" s="80">
        <f>SUM($G$7:G11)</f>
        <v>2034</v>
      </c>
      <c r="J11" s="72">
        <f t="shared" si="5"/>
        <v>4.2073473440344199E-2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기능'!C125</f>
        <v>45</v>
      </c>
    </row>
    <row r="12" spans="1:17" s="22" customFormat="1" ht="25" customHeight="1" x14ac:dyDescent="0.45">
      <c r="A12" s="20"/>
      <c r="B12" s="35"/>
      <c r="C12" s="73">
        <v>45</v>
      </c>
      <c r="D12" s="67">
        <f t="shared" si="3"/>
        <v>69</v>
      </c>
      <c r="E12" s="67">
        <f t="shared" si="0"/>
        <v>2</v>
      </c>
      <c r="F12" s="68">
        <f t="shared" si="4"/>
        <v>95.11</v>
      </c>
      <c r="G12" s="69">
        <f>IF(D12=D11,"",_xlfn.IFNA(VLOOKUP(D12,'인원 입력 기능(사과탐)'!$A$177:$D$231,4,FALSE),0))</f>
        <v>658</v>
      </c>
      <c r="H12" s="70">
        <f t="shared" si="1"/>
        <v>1.3610789343041536E-2</v>
      </c>
      <c r="I12" s="80">
        <f>SUM($G$7:G12)</f>
        <v>2692</v>
      </c>
      <c r="J12" s="72">
        <f t="shared" si="5"/>
        <v>5.5684262783385736E-2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기능'!C126</f>
        <v>41</v>
      </c>
    </row>
    <row r="13" spans="1:17" s="22" customFormat="1" ht="25" customHeight="1" x14ac:dyDescent="0.45">
      <c r="A13" s="20"/>
      <c r="B13" s="35"/>
      <c r="C13" s="66">
        <v>44</v>
      </c>
      <c r="D13" s="67">
        <f t="shared" si="3"/>
        <v>68</v>
      </c>
      <c r="E13" s="67">
        <f t="shared" si="0"/>
        <v>2</v>
      </c>
      <c r="F13" s="68">
        <f t="shared" si="4"/>
        <v>94.04</v>
      </c>
      <c r="G13" s="69">
        <f>IF(D13=D12,"",_xlfn.IFNA(VLOOKUP(D13,'인원 입력 기능(사과탐)'!$A$177:$D$231,4,FALSE),0))</f>
        <v>374</v>
      </c>
      <c r="H13" s="70">
        <f t="shared" si="1"/>
        <v>7.7362237299354623E-3</v>
      </c>
      <c r="I13" s="80">
        <f>SUM($G$7:G13)</f>
        <v>3066</v>
      </c>
      <c r="J13" s="72">
        <f t="shared" si="5"/>
        <v>6.3420486513321203E-2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기능'!C127</f>
        <v>38</v>
      </c>
    </row>
    <row r="14" spans="1:17" s="22" customFormat="1" ht="25" customHeight="1" x14ac:dyDescent="0.45">
      <c r="A14" s="20"/>
      <c r="B14" s="35"/>
      <c r="C14" s="81">
        <v>43</v>
      </c>
      <c r="D14" s="101">
        <f t="shared" si="3"/>
        <v>67</v>
      </c>
      <c r="E14" s="101">
        <f t="shared" si="0"/>
        <v>2</v>
      </c>
      <c r="F14" s="68">
        <f t="shared" si="4"/>
        <v>93.15</v>
      </c>
      <c r="G14" s="69">
        <f>IF(D14=D13,"",_xlfn.IFNA(VLOOKUP(D14,'인원 입력 기능(사과탐)'!$A$177:$D$231,4,FALSE),0))</f>
        <v>494</v>
      </c>
      <c r="H14" s="70">
        <f t="shared" si="1"/>
        <v>1.0218434552374648E-2</v>
      </c>
      <c r="I14" s="80">
        <f>SUM($G$7:G14)</f>
        <v>3560</v>
      </c>
      <c r="J14" s="72">
        <f t="shared" si="5"/>
        <v>7.3638921065695848E-2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기능'!C128</f>
        <v>37</v>
      </c>
    </row>
    <row r="15" spans="1:17" s="22" customFormat="1" ht="25" customHeight="1" x14ac:dyDescent="0.45">
      <c r="A15" s="20"/>
      <c r="B15" s="35"/>
      <c r="C15" s="66">
        <v>42</v>
      </c>
      <c r="D15" s="178">
        <f t="shared" ref="D15" si="6">ROUND(10*(C15-$H$3)/$H$4+50,0)</f>
        <v>66</v>
      </c>
      <c r="E15" s="178">
        <f t="shared" si="0"/>
        <v>2</v>
      </c>
      <c r="F15" s="182">
        <f t="shared" si="4"/>
        <v>91.5</v>
      </c>
      <c r="G15" s="184">
        <f>IF(D15=D14,"",_xlfn.IFNA(VLOOKUP(D15,'인원 입력 기능(사과탐)'!$A$177:$D$231,4,FALSE),0))</f>
        <v>1103</v>
      </c>
      <c r="H15" s="186">
        <f t="shared" si="1"/>
        <v>2.2815654476253517E-2</v>
      </c>
      <c r="I15" s="194">
        <f>SUM($G$7:G15)</f>
        <v>4663</v>
      </c>
      <c r="J15" s="176">
        <f t="shared" si="5"/>
        <v>9.6454575541949361E-2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73">
        <v>41</v>
      </c>
      <c r="D16" s="179"/>
      <c r="E16" s="179"/>
      <c r="F16" s="183"/>
      <c r="G16" s="185"/>
      <c r="H16" s="187"/>
      <c r="I16" s="195"/>
      <c r="J16" s="177"/>
      <c r="K16" s="36"/>
      <c r="L16" s="20" t="str">
        <f t="shared" si="2"/>
        <v>경고</v>
      </c>
      <c r="N16" s="24"/>
    </row>
    <row r="17" spans="1:17" s="22" customFormat="1" ht="25" customHeight="1" x14ac:dyDescent="0.45">
      <c r="A17" s="20"/>
      <c r="B17" s="35"/>
      <c r="C17" s="66">
        <v>40</v>
      </c>
      <c r="D17" s="67">
        <f t="shared" si="3"/>
        <v>65</v>
      </c>
      <c r="E17" s="67">
        <f t="shared" si="0"/>
        <v>2</v>
      </c>
      <c r="F17" s="68">
        <f t="shared" si="4"/>
        <v>89.62</v>
      </c>
      <c r="G17" s="69">
        <f>IF(D17=D16,"",_xlfn.IFNA(VLOOKUP(D17,'인원 입력 기능(사과탐)'!$A$177:$D$231,4,FALSE),0))</f>
        <v>713</v>
      </c>
      <c r="H17" s="70">
        <f t="shared" si="1"/>
        <v>1.4748469303326163E-2</v>
      </c>
      <c r="I17" s="80">
        <f>SUM($G$7:G17)</f>
        <v>5376</v>
      </c>
      <c r="J17" s="72">
        <f t="shared" si="5"/>
        <v>0.11120304484527553</v>
      </c>
      <c r="K17" s="36"/>
      <c r="L17" s="20" t="str">
        <f t="shared" si="2"/>
        <v/>
      </c>
      <c r="N17" s="24"/>
      <c r="Q17" s="24">
        <f>Q7*H3*H4*J3*IFERROR(IF(J57=1, 1, 0), 0)</f>
        <v>902218883.48065495</v>
      </c>
    </row>
    <row r="18" spans="1:17" s="22" customFormat="1" ht="25" customHeight="1" x14ac:dyDescent="0.45">
      <c r="A18" s="20"/>
      <c r="B18" s="35"/>
      <c r="C18" s="73">
        <v>39</v>
      </c>
      <c r="D18" s="67">
        <f t="shared" si="3"/>
        <v>64</v>
      </c>
      <c r="E18" s="67">
        <f t="shared" si="0"/>
        <v>3</v>
      </c>
      <c r="F18" s="68">
        <f t="shared" si="4"/>
        <v>88.21</v>
      </c>
      <c r="G18" s="69">
        <f>IF(D18=D17,"",_xlfn.IFNA(VLOOKUP(D18,'인원 입력 기능(사과탐)'!$A$177:$D$231,4,FALSE),0))</f>
        <v>651</v>
      </c>
      <c r="H18" s="70">
        <f t="shared" si="1"/>
        <v>1.3465993711732583E-2</v>
      </c>
      <c r="I18" s="80">
        <f>SUM($G$7:G18)</f>
        <v>6027</v>
      </c>
      <c r="J18" s="72">
        <f t="shared" si="5"/>
        <v>0.1246690385570081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66">
        <v>38</v>
      </c>
      <c r="D19" s="67">
        <f t="shared" si="3"/>
        <v>63</v>
      </c>
      <c r="E19" s="67">
        <f t="shared" si="0"/>
        <v>3</v>
      </c>
      <c r="F19" s="68">
        <f t="shared" si="4"/>
        <v>86.97</v>
      </c>
      <c r="G19" s="69">
        <f>IF(D19=D18,"",_xlfn.IFNA(VLOOKUP(D19,'인원 입력 기능(사과탐)'!$A$177:$D$231,4,FALSE),0))</f>
        <v>541</v>
      </c>
      <c r="H19" s="70">
        <f t="shared" si="1"/>
        <v>1.1190633791163329E-2</v>
      </c>
      <c r="I19" s="80">
        <f>SUM($G$7:G19)</f>
        <v>6568</v>
      </c>
      <c r="J19" s="72">
        <f t="shared" si="5"/>
        <v>0.13585967234817145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73">
        <v>37</v>
      </c>
      <c r="D20" s="67">
        <f t="shared" si="3"/>
        <v>62</v>
      </c>
      <c r="E20" s="67">
        <f t="shared" si="0"/>
        <v>3</v>
      </c>
      <c r="F20" s="68">
        <f t="shared" si="4"/>
        <v>85.5</v>
      </c>
      <c r="G20" s="69">
        <f>IF(D20=D19,"",_xlfn.IFNA(VLOOKUP(D20,'인원 입력 기능(사과탐)'!$A$177:$D$231,4,FALSE),0))</f>
        <v>887</v>
      </c>
      <c r="H20" s="70">
        <f t="shared" si="1"/>
        <v>1.8347674995862984E-2</v>
      </c>
      <c r="I20" s="80">
        <f>SUM($G$7:G20)</f>
        <v>7455</v>
      </c>
      <c r="J20" s="72">
        <f t="shared" si="5"/>
        <v>0.15420734734403441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95">
        <v>36</v>
      </c>
      <c r="D21" s="180">
        <f t="shared" si="3"/>
        <v>61</v>
      </c>
      <c r="E21" s="180">
        <f t="shared" si="0"/>
        <v>3</v>
      </c>
      <c r="F21" s="182">
        <f t="shared" si="4"/>
        <v>83.09</v>
      </c>
      <c r="G21" s="184">
        <f>IF(D21=D20,"",_xlfn.IFNA(VLOOKUP(D21,'인원 입력 기능(사과탐)'!$A$177:$D$231,4,FALSE),0))</f>
        <v>1436</v>
      </c>
      <c r="H21" s="186">
        <f t="shared" si="1"/>
        <v>2.9703789508522257E-2</v>
      </c>
      <c r="I21" s="194">
        <f>SUM($G$7:G21)</f>
        <v>8891</v>
      </c>
      <c r="J21" s="176">
        <f t="shared" si="5"/>
        <v>0.18391113685255667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81">
        <v>35</v>
      </c>
      <c r="D22" s="181"/>
      <c r="E22" s="181"/>
      <c r="F22" s="183"/>
      <c r="G22" s="185"/>
      <c r="H22" s="187"/>
      <c r="I22" s="195"/>
      <c r="J22" s="177"/>
      <c r="K22" s="36"/>
      <c r="L22" s="20" t="str">
        <f t="shared" si="2"/>
        <v>경고</v>
      </c>
      <c r="N22" s="24"/>
    </row>
    <row r="23" spans="1:17" s="22" customFormat="1" ht="25" customHeight="1" x14ac:dyDescent="0.45">
      <c r="A23" s="20"/>
      <c r="B23" s="35"/>
      <c r="C23" s="95">
        <v>34</v>
      </c>
      <c r="D23" s="82">
        <f t="shared" si="3"/>
        <v>60</v>
      </c>
      <c r="E23" s="82">
        <f t="shared" si="0"/>
        <v>3</v>
      </c>
      <c r="F23" s="68">
        <f t="shared" si="4"/>
        <v>80.66</v>
      </c>
      <c r="G23" s="69">
        <f>IF(D23=D22,"",_xlfn.IFNA(VLOOKUP(D23,'인원 입력 기능(사과탐)'!$A$177:$D$231,4,FALSE),0))</f>
        <v>920</v>
      </c>
      <c r="H23" s="70">
        <f t="shared" si="1"/>
        <v>1.9030282972033758E-2</v>
      </c>
      <c r="I23" s="80">
        <f>SUM($G$7:G23)</f>
        <v>9811</v>
      </c>
      <c r="J23" s="72">
        <f t="shared" si="5"/>
        <v>0.20294141982459044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81">
        <v>33</v>
      </c>
      <c r="D24" s="82">
        <f t="shared" si="3"/>
        <v>59</v>
      </c>
      <c r="E24" s="82">
        <f t="shared" si="0"/>
        <v>3</v>
      </c>
      <c r="F24" s="68">
        <f t="shared" si="4"/>
        <v>78.97</v>
      </c>
      <c r="G24" s="69">
        <f>IF(D24=D23,"",_xlfn.IFNA(VLOOKUP(D24,'인원 입력 기능(사과탐)'!$A$177:$D$231,4,FALSE),0))</f>
        <v>708</v>
      </c>
      <c r="H24" s="70">
        <f t="shared" si="1"/>
        <v>1.4645043852391196E-2</v>
      </c>
      <c r="I24" s="80">
        <f>SUM($G$7:G24)</f>
        <v>10519</v>
      </c>
      <c r="J24" s="72">
        <f t="shared" si="5"/>
        <v>0.21758646367698165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95">
        <v>32</v>
      </c>
      <c r="D25" s="82">
        <f t="shared" si="3"/>
        <v>58</v>
      </c>
      <c r="E25" s="82">
        <f t="shared" si="0"/>
        <v>3</v>
      </c>
      <c r="F25" s="68">
        <f t="shared" si="4"/>
        <v>77.209999999999994</v>
      </c>
      <c r="G25" s="69">
        <f>IF(D25=D24,"",_xlfn.IFNA(VLOOKUP(D25,'인원 입력 기능(사과탐)'!$A$177:$D$231,4,FALSE),0))</f>
        <v>995</v>
      </c>
      <c r="H25" s="70">
        <f t="shared" si="1"/>
        <v>2.0581664736058249E-2</v>
      </c>
      <c r="I25" s="80">
        <f>SUM($G$7:G25)</f>
        <v>11514</v>
      </c>
      <c r="J25" s="72">
        <f t="shared" si="5"/>
        <v>0.23816812841303989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81">
        <v>31</v>
      </c>
      <c r="D26" s="82">
        <f t="shared" si="3"/>
        <v>57</v>
      </c>
      <c r="E26" s="82">
        <f t="shared" si="0"/>
        <v>4</v>
      </c>
      <c r="F26" s="68">
        <f t="shared" si="4"/>
        <v>75.23</v>
      </c>
      <c r="G26" s="69">
        <f>IF(D26=D25,"",_xlfn.IFNA(VLOOKUP(D26,'인원 입력 기능(사과탐)'!$A$177:$D$231,4,FALSE),0))</f>
        <v>918</v>
      </c>
      <c r="H26" s="70">
        <f t="shared" si="1"/>
        <v>1.8988912791659773E-2</v>
      </c>
      <c r="I26" s="80">
        <f>SUM($G$7:G26)</f>
        <v>12432</v>
      </c>
      <c r="J26" s="72">
        <f t="shared" si="5"/>
        <v>0.25715704120469968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95">
        <v>30</v>
      </c>
      <c r="D27" s="82">
        <f t="shared" si="3"/>
        <v>56</v>
      </c>
      <c r="E27" s="82">
        <f t="shared" si="0"/>
        <v>4</v>
      </c>
      <c r="F27" s="68">
        <f t="shared" si="4"/>
        <v>73.36</v>
      </c>
      <c r="G27" s="69">
        <f>IF(D27=D26,"",_xlfn.IFNA(VLOOKUP(D27,'인원 입력 기능(사과탐)'!$A$177:$D$231,4,FALSE),0))</f>
        <v>894</v>
      </c>
      <c r="H27" s="70">
        <f t="shared" si="1"/>
        <v>1.8492470627171933E-2</v>
      </c>
      <c r="I27" s="80">
        <f>SUM($G$7:G27)</f>
        <v>13326</v>
      </c>
      <c r="J27" s="72">
        <f t="shared" si="5"/>
        <v>0.27564951183187159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81">
        <v>29</v>
      </c>
      <c r="D28" s="180">
        <f t="shared" si="3"/>
        <v>55</v>
      </c>
      <c r="E28" s="180">
        <f t="shared" si="0"/>
        <v>4</v>
      </c>
      <c r="F28" s="182">
        <f t="shared" si="4"/>
        <v>70.23</v>
      </c>
      <c r="G28" s="184">
        <f>IF(D28=D27,"",_xlfn.IFNA(VLOOKUP(D28,'인원 입력 기능(사과탐)'!$A$177:$D$231,4,FALSE),0))</f>
        <v>2129</v>
      </c>
      <c r="H28" s="186">
        <f t="shared" si="1"/>
        <v>4.4038557008108555E-2</v>
      </c>
      <c r="I28" s="194">
        <f>SUM($G$7:G28)</f>
        <v>15455</v>
      </c>
      <c r="J28" s="176">
        <f t="shared" si="5"/>
        <v>0.31968806883998013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95">
        <v>28</v>
      </c>
      <c r="D29" s="181"/>
      <c r="E29" s="181"/>
      <c r="F29" s="183"/>
      <c r="G29" s="185"/>
      <c r="H29" s="187"/>
      <c r="I29" s="195"/>
      <c r="J29" s="177"/>
      <c r="K29" s="36"/>
      <c r="L29" s="20" t="str">
        <f t="shared" si="2"/>
        <v>경고</v>
      </c>
      <c r="N29" s="24"/>
    </row>
    <row r="30" spans="1:17" s="22" customFormat="1" ht="25" customHeight="1" x14ac:dyDescent="0.45">
      <c r="A30" s="20"/>
      <c r="B30" s="35"/>
      <c r="C30" s="81">
        <v>27</v>
      </c>
      <c r="D30" s="82">
        <f t="shared" si="3"/>
        <v>54</v>
      </c>
      <c r="E30" s="82">
        <f t="shared" si="0"/>
        <v>4</v>
      </c>
      <c r="F30" s="68">
        <f t="shared" si="4"/>
        <v>66.84</v>
      </c>
      <c r="G30" s="69">
        <f>IF(D30=D29,"",_xlfn.IFNA(VLOOKUP(D30,'인원 입력 기능(사과탐)'!$A$177:$D$231,4,FALSE),0))</f>
        <v>1153</v>
      </c>
      <c r="H30" s="70">
        <f t="shared" si="1"/>
        <v>2.3849908985603178E-2</v>
      </c>
      <c r="I30" s="80">
        <f>SUM($G$7:G30)</f>
        <v>16608</v>
      </c>
      <c r="J30" s="72">
        <f t="shared" si="5"/>
        <v>0.34353797782558332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95">
        <v>26</v>
      </c>
      <c r="D31" s="82">
        <f t="shared" si="3"/>
        <v>53</v>
      </c>
      <c r="E31" s="82">
        <f t="shared" si="0"/>
        <v>4</v>
      </c>
      <c r="F31" s="68">
        <f t="shared" si="4"/>
        <v>64.42</v>
      </c>
      <c r="G31" s="69">
        <f>IF(D31=D30,"",_xlfn.IFNA(VLOOKUP(D31,'인원 입력 기능(사과탐)'!$A$177:$D$231,4,FALSE),0))</f>
        <v>1190</v>
      </c>
      <c r="H31" s="70">
        <f t="shared" si="1"/>
        <v>2.4615257322521927E-2</v>
      </c>
      <c r="I31" s="80">
        <f>SUM($G$7:G31)</f>
        <v>17798</v>
      </c>
      <c r="J31" s="72">
        <f t="shared" si="5"/>
        <v>0.36815323514810527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81">
        <v>25</v>
      </c>
      <c r="D32" s="82">
        <f t="shared" si="3"/>
        <v>52</v>
      </c>
      <c r="E32" s="82">
        <f t="shared" si="0"/>
        <v>4</v>
      </c>
      <c r="F32" s="68">
        <f t="shared" si="4"/>
        <v>61.99</v>
      </c>
      <c r="G32" s="69">
        <f>IF(D32=D31,"",_xlfn.IFNA(VLOOKUP(D32,'인원 입력 기능(사과탐)'!$A$177:$D$231,4,FALSE),0))</f>
        <v>1154</v>
      </c>
      <c r="H32" s="70">
        <f t="shared" si="1"/>
        <v>2.3870594075790171E-2</v>
      </c>
      <c r="I32" s="80">
        <f>SUM($G$7:G32)</f>
        <v>18952</v>
      </c>
      <c r="J32" s="72">
        <f t="shared" si="5"/>
        <v>0.39202382922389539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95">
        <v>24</v>
      </c>
      <c r="D33" s="82">
        <f t="shared" si="3"/>
        <v>51</v>
      </c>
      <c r="E33" s="82">
        <f t="shared" si="0"/>
        <v>4</v>
      </c>
      <c r="F33" s="68">
        <f t="shared" si="4"/>
        <v>59.41</v>
      </c>
      <c r="G33" s="69">
        <f>IF(D33=D32,"",_xlfn.IFNA(VLOOKUP(D33,'인원 입력 기능(사과탐)'!$A$177:$D$231,4,FALSE),0))</f>
        <v>1341</v>
      </c>
      <c r="H33" s="70">
        <f t="shared" si="1"/>
        <v>2.7738705940757901E-2</v>
      </c>
      <c r="I33" s="80">
        <f>SUM($G$7:G33)</f>
        <v>20293</v>
      </c>
      <c r="J33" s="72">
        <f t="shared" si="5"/>
        <v>0.41976253516465334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81">
        <v>23</v>
      </c>
      <c r="D34" s="180">
        <f t="shared" si="3"/>
        <v>50</v>
      </c>
      <c r="E34" s="180">
        <f t="shared" si="0"/>
        <v>5</v>
      </c>
      <c r="F34" s="182">
        <f t="shared" si="4"/>
        <v>55.3</v>
      </c>
      <c r="G34" s="184">
        <f>IF(D34=D33,"",_xlfn.IFNA(VLOOKUP(D34,'인원 입력 기능(사과탐)'!$A$177:$D$231,4,FALSE),0))</f>
        <v>2631</v>
      </c>
      <c r="H34" s="186">
        <f t="shared" si="1"/>
        <v>5.4422472281979148E-2</v>
      </c>
      <c r="I34" s="194">
        <f>SUM($G$7:G34)</f>
        <v>22924</v>
      </c>
      <c r="J34" s="176">
        <f t="shared" si="5"/>
        <v>0.47418500744663244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95">
        <v>22</v>
      </c>
      <c r="D35" s="181"/>
      <c r="E35" s="181"/>
      <c r="F35" s="183"/>
      <c r="G35" s="185"/>
      <c r="H35" s="187"/>
      <c r="I35" s="195"/>
      <c r="J35" s="177"/>
      <c r="K35" s="36"/>
      <c r="L35" s="20" t="str">
        <f t="shared" si="2"/>
        <v>경고</v>
      </c>
      <c r="N35" s="24"/>
    </row>
    <row r="36" spans="1:14" s="22" customFormat="1" ht="25" customHeight="1" x14ac:dyDescent="0.45">
      <c r="A36" s="20"/>
      <c r="B36" s="35"/>
      <c r="C36" s="81">
        <v>21</v>
      </c>
      <c r="D36" s="82">
        <f t="shared" si="3"/>
        <v>49</v>
      </c>
      <c r="E36" s="82">
        <f t="shared" si="0"/>
        <v>5</v>
      </c>
      <c r="F36" s="68">
        <f t="shared" si="4"/>
        <v>51.03</v>
      </c>
      <c r="G36" s="69">
        <f>IF(D36=D35,"",_xlfn.IFNA(VLOOKUP(D36,'인원 입력 기능(사과탐)'!$A$177:$D$231,4,FALSE),0))</f>
        <v>1504</v>
      </c>
      <c r="H36" s="70">
        <f t="shared" si="1"/>
        <v>3.1110375641237795E-2</v>
      </c>
      <c r="I36" s="80">
        <f>SUM($G$7:G36)</f>
        <v>24428</v>
      </c>
      <c r="J36" s="72">
        <f t="shared" si="5"/>
        <v>0.50529538308787025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95">
        <v>20</v>
      </c>
      <c r="D37" s="82">
        <f t="shared" si="3"/>
        <v>48</v>
      </c>
      <c r="E37" s="82">
        <f t="shared" si="0"/>
        <v>5</v>
      </c>
      <c r="F37" s="68">
        <f t="shared" si="4"/>
        <v>48.05</v>
      </c>
      <c r="G37" s="69">
        <f>IF(D37=D36,"",_xlfn.IFNA(VLOOKUP(D37,'인원 입력 기능(사과탐)'!$A$177:$D$231,4,FALSE),0))</f>
        <v>1372</v>
      </c>
      <c r="H37" s="70">
        <f t="shared" si="1"/>
        <v>2.837994373655469E-2</v>
      </c>
      <c r="I37" s="80">
        <f>SUM($G$7:G37)</f>
        <v>25800</v>
      </c>
      <c r="J37" s="72">
        <f t="shared" si="5"/>
        <v>0.53367532682442498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81">
        <v>19</v>
      </c>
      <c r="D38" s="82">
        <f t="shared" si="3"/>
        <v>47</v>
      </c>
      <c r="E38" s="82">
        <f t="shared" si="0"/>
        <v>5</v>
      </c>
      <c r="F38" s="68">
        <f t="shared" si="4"/>
        <v>44.98</v>
      </c>
      <c r="G38" s="69">
        <f>IF(D38=D37,"",_xlfn.IFNA(VLOOKUP(D38,'인원 입력 기능(사과탐)'!$A$177:$D$231,4,FALSE),0))</f>
        <v>1595</v>
      </c>
      <c r="H38" s="70">
        <f t="shared" si="1"/>
        <v>3.2992718848254179E-2</v>
      </c>
      <c r="I38" s="80">
        <f>SUM($G$7:G38)</f>
        <v>27395</v>
      </c>
      <c r="J38" s="72">
        <f t="shared" si="5"/>
        <v>0.56666804567267914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95">
        <v>18</v>
      </c>
      <c r="D39" s="82">
        <f t="shared" si="3"/>
        <v>46</v>
      </c>
      <c r="E39" s="82">
        <f t="shared" ref="E39:E57" si="7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8">
        <f t="shared" si="4"/>
        <v>41.72</v>
      </c>
      <c r="G39" s="69">
        <f>IF(D39=D38,"",_xlfn.IFNA(VLOOKUP(D39,'인원 입력 기능(사과탐)'!$A$177:$D$231,4,FALSE),0))</f>
        <v>1562</v>
      </c>
      <c r="H39" s="70">
        <f t="shared" si="1"/>
        <v>3.2310110872083402E-2</v>
      </c>
      <c r="I39" s="80">
        <f>SUM($G$7:G39)</f>
        <v>28957</v>
      </c>
      <c r="J39" s="72">
        <f t="shared" si="5"/>
        <v>0.5989781565447625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81">
        <v>17</v>
      </c>
      <c r="D40" s="82">
        <f t="shared" si="3"/>
        <v>45</v>
      </c>
      <c r="E40" s="82">
        <f t="shared" si="7"/>
        <v>5</v>
      </c>
      <c r="F40" s="68">
        <f t="shared" si="4"/>
        <v>38.51</v>
      </c>
      <c r="G40" s="69">
        <f>IF(D40=D39,"",_xlfn.IFNA(VLOOKUP(D40,'인원 입력 기능(사과탐)'!$A$177:$D$231,4,FALSE),0))</f>
        <v>1540</v>
      </c>
      <c r="H40" s="70">
        <f t="shared" si="1"/>
        <v>3.1855038887969554E-2</v>
      </c>
      <c r="I40" s="80">
        <f>SUM($G$7:G40)</f>
        <v>30497</v>
      </c>
      <c r="J40" s="72">
        <f t="shared" si="5"/>
        <v>0.63083319543273209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95">
        <v>16</v>
      </c>
      <c r="D41" s="180">
        <f t="shared" si="3"/>
        <v>44</v>
      </c>
      <c r="E41" s="180">
        <f t="shared" si="7"/>
        <v>6</v>
      </c>
      <c r="F41" s="182">
        <f t="shared" si="4"/>
        <v>33.799999999999997</v>
      </c>
      <c r="G41" s="184">
        <f>IF(D41=D40,"",_xlfn.IFNA(VLOOKUP(D41,'인원 입력 기능(사과탐)'!$A$177:$D$231,4,FALSE),0))</f>
        <v>3018</v>
      </c>
      <c r="H41" s="186">
        <f t="shared" si="1"/>
        <v>6.2427602184345524E-2</v>
      </c>
      <c r="I41" s="194">
        <f>SUM($G$7:G41)</f>
        <v>33515</v>
      </c>
      <c r="J41" s="176">
        <f t="shared" si="5"/>
        <v>0.6932607976170776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81">
        <v>15</v>
      </c>
      <c r="D42" s="181"/>
      <c r="E42" s="181"/>
      <c r="F42" s="183"/>
      <c r="G42" s="185"/>
      <c r="H42" s="187"/>
      <c r="I42" s="195"/>
      <c r="J42" s="177"/>
      <c r="K42" s="36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5"/>
      <c r="C43" s="95">
        <v>14</v>
      </c>
      <c r="D43" s="82">
        <f t="shared" si="3"/>
        <v>43</v>
      </c>
      <c r="E43" s="82">
        <f t="shared" si="7"/>
        <v>6</v>
      </c>
      <c r="F43" s="68">
        <f t="shared" si="4"/>
        <v>28.9</v>
      </c>
      <c r="G43" s="69">
        <f>IF(D43=D42,"",_xlfn.IFNA(VLOOKUP(D43,'인원 입력 기능(사과탐)'!$A$177:$D$231,4,FALSE),0))</f>
        <v>1716</v>
      </c>
      <c r="H43" s="70">
        <f t="shared" si="1"/>
        <v>3.549561476088036E-2</v>
      </c>
      <c r="I43" s="80">
        <f>SUM($G$7:G43)</f>
        <v>35231</v>
      </c>
      <c r="J43" s="72">
        <f t="shared" si="5"/>
        <v>0.72875641237795796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81">
        <v>13</v>
      </c>
      <c r="D44" s="82">
        <f t="shared" si="3"/>
        <v>42</v>
      </c>
      <c r="E44" s="82">
        <f t="shared" si="7"/>
        <v>6</v>
      </c>
      <c r="F44" s="68">
        <f t="shared" si="4"/>
        <v>25.59</v>
      </c>
      <c r="G44" s="69">
        <f>IF(D44=D43,"",_xlfn.IFNA(VLOOKUP(D44,'인원 입력 기능(사과탐)'!$A$177:$D$231,4,FALSE),0))</f>
        <v>1482</v>
      </c>
      <c r="H44" s="70">
        <f t="shared" si="1"/>
        <v>3.0655303657123944E-2</v>
      </c>
      <c r="I44" s="80">
        <f>SUM($G$7:G44)</f>
        <v>36713</v>
      </c>
      <c r="J44" s="72">
        <f t="shared" si="5"/>
        <v>0.75941171603508195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95">
        <v>12</v>
      </c>
      <c r="D45" s="82">
        <f t="shared" si="3"/>
        <v>41</v>
      </c>
      <c r="E45" s="82">
        <f t="shared" si="7"/>
        <v>6</v>
      </c>
      <c r="F45" s="68">
        <f t="shared" si="4"/>
        <v>22.69</v>
      </c>
      <c r="G45" s="69">
        <f>IF(D45=D44,"",_xlfn.IFNA(VLOOKUP(D45,'인원 입력 기능(사과탐)'!$A$177:$D$231,4,FALSE),0))</f>
        <v>1320</v>
      </c>
      <c r="H45" s="70">
        <f t="shared" si="1"/>
        <v>2.7304319046831043E-2</v>
      </c>
      <c r="I45" s="80">
        <f>SUM($G$7:G45)</f>
        <v>38033</v>
      </c>
      <c r="J45" s="72">
        <f t="shared" si="5"/>
        <v>0.78671603508191301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81">
        <v>11</v>
      </c>
      <c r="D46" s="82">
        <f t="shared" si="3"/>
        <v>40</v>
      </c>
      <c r="E46" s="82">
        <f t="shared" si="7"/>
        <v>7</v>
      </c>
      <c r="F46" s="68">
        <f t="shared" si="4"/>
        <v>18.93</v>
      </c>
      <c r="G46" s="69">
        <f>IF(D46=D45,"",_xlfn.IFNA(VLOOKUP(D46,'인원 입력 기능(사과탐)'!$A$177:$D$231,4,FALSE),0))</f>
        <v>2316</v>
      </c>
      <c r="H46" s="70">
        <f t="shared" si="1"/>
        <v>4.7906668873076284E-2</v>
      </c>
      <c r="I46" s="80">
        <f>SUM($G$7:G46)</f>
        <v>40349</v>
      </c>
      <c r="J46" s="72">
        <f t="shared" si="5"/>
        <v>0.83462270395498928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95">
        <v>10</v>
      </c>
      <c r="D47" s="180">
        <f t="shared" si="3"/>
        <v>39</v>
      </c>
      <c r="E47" s="180">
        <f t="shared" si="7"/>
        <v>7</v>
      </c>
      <c r="F47" s="182">
        <f t="shared" si="4"/>
        <v>13.99</v>
      </c>
      <c r="G47" s="184">
        <f>IF(D47=D46,"",_xlfn.IFNA(VLOOKUP(D47,'인원 입력 기능(사과탐)'!$A$177:$D$231,4,FALSE),0))</f>
        <v>2466</v>
      </c>
      <c r="H47" s="186">
        <f t="shared" si="1"/>
        <v>5.1009432401125272E-2</v>
      </c>
      <c r="I47" s="194">
        <f>SUM($G$7:G47)</f>
        <v>42815</v>
      </c>
      <c r="J47" s="176">
        <f t="shared" si="5"/>
        <v>0.88563213635611449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81">
        <v>9</v>
      </c>
      <c r="D48" s="181"/>
      <c r="E48" s="181"/>
      <c r="F48" s="183"/>
      <c r="G48" s="185"/>
      <c r="H48" s="187"/>
      <c r="I48" s="195"/>
      <c r="J48" s="177"/>
      <c r="K48" s="36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5"/>
      <c r="C49" s="95">
        <v>8</v>
      </c>
      <c r="D49" s="82">
        <f t="shared" si="3"/>
        <v>38</v>
      </c>
      <c r="E49" s="82">
        <f t="shared" si="7"/>
        <v>7</v>
      </c>
      <c r="F49" s="68">
        <f t="shared" si="4"/>
        <v>8.44</v>
      </c>
      <c r="G49" s="69">
        <f>IF(D49=D48,"",_xlfn.IFNA(VLOOKUP(D49,'인원 입력 기능(사과탐)'!$A$177:$D$231,4,FALSE),0))</f>
        <v>2895</v>
      </c>
      <c r="H49" s="70">
        <f t="shared" si="1"/>
        <v>5.9883336091345357E-2</v>
      </c>
      <c r="I49" s="80">
        <f>SUM($G$7:G49)</f>
        <v>45710</v>
      </c>
      <c r="J49" s="72">
        <f t="shared" si="5"/>
        <v>0.94551547244745993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81">
        <v>7</v>
      </c>
      <c r="D50" s="82">
        <f t="shared" si="3"/>
        <v>37</v>
      </c>
      <c r="E50" s="82">
        <f t="shared" si="7"/>
        <v>8</v>
      </c>
      <c r="F50" s="68">
        <f t="shared" si="4"/>
        <v>4.63</v>
      </c>
      <c r="G50" s="69">
        <f>IF(D50=D49,"",_xlfn.IFNA(VLOOKUP(D50,'인원 입력 기능(사과탐)'!$A$177:$D$231,4,FALSE),0))</f>
        <v>789</v>
      </c>
      <c r="H50" s="70">
        <f t="shared" si="1"/>
        <v>1.6320536157537646E-2</v>
      </c>
      <c r="I50" s="80">
        <f>SUM($G$7:G50)</f>
        <v>46499</v>
      </c>
      <c r="J50" s="72">
        <f t="shared" si="5"/>
        <v>0.96183600860499752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95">
        <v>6</v>
      </c>
      <c r="D51" s="82">
        <f t="shared" si="3"/>
        <v>36</v>
      </c>
      <c r="E51" s="82">
        <f t="shared" si="7"/>
        <v>9</v>
      </c>
      <c r="F51" s="68">
        <f t="shared" si="4"/>
        <v>3.23</v>
      </c>
      <c r="G51" s="69">
        <f>IF(D51=D50,"",_xlfn.IFNA(VLOOKUP(D51,'인원 입력 기능(사과탐)'!$A$177:$D$231,4,FALSE),0))</f>
        <v>570</v>
      </c>
      <c r="H51" s="70">
        <f t="shared" si="1"/>
        <v>1.1790501406586133E-2</v>
      </c>
      <c r="I51" s="80">
        <f>SUM($G$7:G51)</f>
        <v>47069</v>
      </c>
      <c r="J51" s="72">
        <f t="shared" si="5"/>
        <v>0.97362651001158362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81">
        <v>5</v>
      </c>
      <c r="D52" s="82">
        <f t="shared" si="3"/>
        <v>35</v>
      </c>
      <c r="E52" s="82">
        <f t="shared" si="7"/>
        <v>9</v>
      </c>
      <c r="F52" s="68">
        <f t="shared" si="4"/>
        <v>2.19</v>
      </c>
      <c r="G52" s="69">
        <f>IF(D52=D51,"",_xlfn.IFNA(VLOOKUP(D52,'인원 입력 기능(사과탐)'!$A$177:$D$231,4,FALSE),0))</f>
        <v>435</v>
      </c>
      <c r="H52" s="70">
        <f t="shared" si="1"/>
        <v>8.9980142313420483E-3</v>
      </c>
      <c r="I52" s="80">
        <f>SUM($G$7:G52)</f>
        <v>47504</v>
      </c>
      <c r="J52" s="72">
        <f t="shared" si="5"/>
        <v>0.98262452424292568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95">
        <v>4</v>
      </c>
      <c r="D53" s="178">
        <f t="shared" si="3"/>
        <v>34</v>
      </c>
      <c r="E53" s="178">
        <f t="shared" si="7"/>
        <v>9</v>
      </c>
      <c r="F53" s="182">
        <f t="shared" si="4"/>
        <v>1.28</v>
      </c>
      <c r="G53" s="184">
        <f>IF(D53=D52,"",_xlfn.IFNA(VLOOKUP(D53,'인원 입력 기능(사과탐)'!$A$177:$D$231,4,FALSE),0))</f>
        <v>441</v>
      </c>
      <c r="H53" s="186">
        <f t="shared" si="1"/>
        <v>9.1221247724640082E-3</v>
      </c>
      <c r="I53" s="194">
        <f>SUM($G$7:G53)</f>
        <v>47945</v>
      </c>
      <c r="J53" s="176">
        <f t="shared" si="5"/>
        <v>0.99174664901538967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73">
        <v>3</v>
      </c>
      <c r="D54" s="179"/>
      <c r="E54" s="179"/>
      <c r="F54" s="183"/>
      <c r="G54" s="185"/>
      <c r="H54" s="187"/>
      <c r="I54" s="195"/>
      <c r="J54" s="177"/>
      <c r="K54" s="36"/>
      <c r="L54" s="20" t="str">
        <f t="shared" si="2"/>
        <v>경고</v>
      </c>
      <c r="N54" s="24"/>
    </row>
    <row r="55" spans="1:14" s="22" customFormat="1" ht="25" customHeight="1" x14ac:dyDescent="0.45">
      <c r="A55" s="20"/>
      <c r="B55" s="35"/>
      <c r="C55" s="66">
        <v>2</v>
      </c>
      <c r="D55" s="67">
        <f t="shared" si="3"/>
        <v>33</v>
      </c>
      <c r="E55" s="67">
        <f t="shared" si="7"/>
        <v>9</v>
      </c>
      <c r="F55" s="68">
        <f t="shared" si="4"/>
        <v>0.68</v>
      </c>
      <c r="G55" s="69">
        <f>IF(D55=D54,"",_xlfn.IFNA(VLOOKUP(D55,'인원 입력 기능(사과탐)'!$A$177:$D$231,4,FALSE),0))</f>
        <v>141</v>
      </c>
      <c r="H55" s="70">
        <f t="shared" si="1"/>
        <v>2.9165977163660432E-3</v>
      </c>
      <c r="I55" s="80">
        <f>SUM($G$7:G55)</f>
        <v>48086</v>
      </c>
      <c r="J55" s="72">
        <f t="shared" si="5"/>
        <v>0.99466324673175577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73">
        <v>1</v>
      </c>
      <c r="D56" s="74" t="s">
        <v>59</v>
      </c>
      <c r="E56" s="74"/>
      <c r="F56" s="75"/>
      <c r="G56" s="96"/>
      <c r="H56" s="94"/>
      <c r="I56" s="84"/>
      <c r="J56" s="79"/>
      <c r="K56" s="36"/>
      <c r="L56" s="20"/>
      <c r="N56" s="24"/>
    </row>
    <row r="57" spans="1:14" s="22" customFormat="1" ht="25" customHeight="1" thickBot="1" x14ac:dyDescent="0.5">
      <c r="A57" s="20"/>
      <c r="B57" s="35"/>
      <c r="C57" s="97">
        <v>0</v>
      </c>
      <c r="D57" s="86">
        <f>ROUND(10*(C57-$H$3)/$H$4+50,0)</f>
        <v>31</v>
      </c>
      <c r="E57" s="98">
        <f t="shared" si="7"/>
        <v>9</v>
      </c>
      <c r="F57" s="87">
        <f>IF(I55=0,ROUND(100*(1-(I54+I57)/2/$J$3),2),ROUND(100*(1-(I55+I57)/2/$J$3),2))</f>
        <v>0.27</v>
      </c>
      <c r="G57" s="99">
        <f>_xlfn.IFNA(VLOOKUP(D57,'인원 입력 기능(사과탐)'!$A$177:$D$231,4,FALSE),0)</f>
        <v>258</v>
      </c>
      <c r="H57" s="89">
        <f>G57/$J$3</f>
        <v>5.3367532682442494E-3</v>
      </c>
      <c r="I57" s="90">
        <f>SUM($G$7:G57)</f>
        <v>48344</v>
      </c>
      <c r="J57" s="100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1">
    <mergeCell ref="D3:F3"/>
    <mergeCell ref="D4:F4"/>
    <mergeCell ref="D15:D16"/>
    <mergeCell ref="E15:E16"/>
    <mergeCell ref="F15:F16"/>
    <mergeCell ref="G15:G16"/>
    <mergeCell ref="H15:H16"/>
    <mergeCell ref="I15:I16"/>
    <mergeCell ref="J15:J16"/>
    <mergeCell ref="D21:D22"/>
    <mergeCell ref="E21:E22"/>
    <mergeCell ref="F21:F22"/>
    <mergeCell ref="G21:G22"/>
    <mergeCell ref="H21:H22"/>
    <mergeCell ref="I21:I22"/>
    <mergeCell ref="J21:J22"/>
    <mergeCell ref="I28:I29"/>
    <mergeCell ref="J28:J29"/>
    <mergeCell ref="D34:D35"/>
    <mergeCell ref="E34:E35"/>
    <mergeCell ref="F34:F35"/>
    <mergeCell ref="G34:G35"/>
    <mergeCell ref="H34:H35"/>
    <mergeCell ref="I34:I35"/>
    <mergeCell ref="J34:J35"/>
    <mergeCell ref="D28:D29"/>
    <mergeCell ref="E28:E29"/>
    <mergeCell ref="F28:F29"/>
    <mergeCell ref="G28:G29"/>
    <mergeCell ref="H28:H29"/>
    <mergeCell ref="I41:I42"/>
    <mergeCell ref="J41:J42"/>
    <mergeCell ref="D47:D48"/>
    <mergeCell ref="E47:E48"/>
    <mergeCell ref="F47:F48"/>
    <mergeCell ref="G47:G48"/>
    <mergeCell ref="H47:H48"/>
    <mergeCell ref="I47:I48"/>
    <mergeCell ref="J47:J48"/>
    <mergeCell ref="D41:D42"/>
    <mergeCell ref="E41:E42"/>
    <mergeCell ref="F41:F42"/>
    <mergeCell ref="G41:G42"/>
    <mergeCell ref="H41:H42"/>
    <mergeCell ref="I53:I54"/>
    <mergeCell ref="J53:J54"/>
    <mergeCell ref="D53:D54"/>
    <mergeCell ref="E53:E54"/>
    <mergeCell ref="F53:F54"/>
    <mergeCell ref="G53:G54"/>
    <mergeCell ref="H53:H54"/>
  </mergeCells>
  <phoneticPr fontId="1" type="noConversion"/>
  <conditionalFormatting sqref="D7:G15 I7:J15 D17:G21 I17:J21 D23:G28 I23:J28 D30:G34 I30:J34 D36:G41 I36:J41 D43:G47 I43:J47 D49:G53 I49:J53 D55:G57 I55:J57">
    <cfRule type="expression" dxfId="38" priority="4">
      <formula>OR($D7=$Q$7:$Q$14)</formula>
    </cfRule>
  </conditionalFormatting>
  <conditionalFormatting sqref="C7:C57">
    <cfRule type="expression" dxfId="37" priority="3">
      <formula>OR(AND($D7=0,OR($D6=$Q$7:$Q$14)),AND($D8&gt;0,OR($D7=$Q$7:$Q$14)))</formula>
    </cfRule>
  </conditionalFormatting>
  <conditionalFormatting sqref="D7:D15 D17:D21 D23:D28 D30:D34 D36:D41 D43:D47 D49:D53 D55:D57">
    <cfRule type="expression" dxfId="36" priority="2">
      <formula>$D7=$D8</formula>
    </cfRule>
  </conditionalFormatting>
  <conditionalFormatting sqref="H7:H15 H17:H21 H23:H28 H30:H34 H36:H41 H43:H47 H49:H53 H55:H57">
    <cfRule type="expression" dxfId="35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8BF7-AFD5-474A-95FA-3D74AEB9D3B3}">
  <sheetPr codeName="Sheet20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113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기능'!D18</f>
        <v>22.235246925960698</v>
      </c>
      <c r="I3" s="21" t="s">
        <v>117</v>
      </c>
      <c r="J3" s="58">
        <f>'통계 및 응시자 수 입력 기능'!C18</f>
        <v>64817</v>
      </c>
      <c r="K3" s="36"/>
      <c r="L3" s="20"/>
    </row>
    <row r="4" spans="1:17" s="22" customFormat="1" ht="25" customHeight="1" thickBot="1" x14ac:dyDescent="0.5">
      <c r="A4" s="20"/>
      <c r="B4" s="35"/>
      <c r="C4" s="59" t="s">
        <v>118</v>
      </c>
      <c r="D4" s="191" t="s">
        <v>141</v>
      </c>
      <c r="E4" s="192"/>
      <c r="F4" s="193"/>
      <c r="G4" s="60" t="s">
        <v>120</v>
      </c>
      <c r="H4" s="61">
        <f>'통계 및 응시자 수 입력 기능'!E18</f>
        <v>10.4628177307982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62" t="s">
        <v>121</v>
      </c>
      <c r="D6" s="63" t="s">
        <v>122</v>
      </c>
      <c r="E6" s="63" t="s">
        <v>123</v>
      </c>
      <c r="F6" s="63" t="s">
        <v>124</v>
      </c>
      <c r="G6" s="63" t="s">
        <v>125</v>
      </c>
      <c r="H6" s="63" t="s">
        <v>126</v>
      </c>
      <c r="I6" s="64" t="s">
        <v>127</v>
      </c>
      <c r="J6" s="65" t="s">
        <v>128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66">
        <v>50</v>
      </c>
      <c r="D7" s="67">
        <f>ROUND(10*(C7-$H$3)/$H$4+50,0)</f>
        <v>77</v>
      </c>
      <c r="E7" s="67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8">
        <f>ROUND(100*(1-(0+I7)/2/$J$3),2)</f>
        <v>99.41</v>
      </c>
      <c r="G7" s="69">
        <f>_xlfn.IFNA(VLOOKUP(D7,'인원 입력 기능(사과탐)'!$F$177:$I$231,4,FALSE),0)</f>
        <v>761</v>
      </c>
      <c r="H7" s="70">
        <f>G7/$J$3</f>
        <v>1.1740747026243115E-2</v>
      </c>
      <c r="I7" s="71">
        <f>G7</f>
        <v>761</v>
      </c>
      <c r="J7" s="72">
        <f>I7/$J$3</f>
        <v>1.1740747026243115E-2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기능'!C130</f>
        <v>71</v>
      </c>
    </row>
    <row r="8" spans="1:17" s="22" customFormat="1" ht="25" customHeight="1" x14ac:dyDescent="0.45">
      <c r="A8" s="20"/>
      <c r="B8" s="35"/>
      <c r="C8" s="73">
        <v>49</v>
      </c>
      <c r="D8" s="74" t="s">
        <v>59</v>
      </c>
      <c r="E8" s="74"/>
      <c r="F8" s="75"/>
      <c r="G8" s="76"/>
      <c r="H8" s="94"/>
      <c r="I8" s="78"/>
      <c r="J8" s="79"/>
      <c r="K8" s="36"/>
      <c r="L8" s="20"/>
      <c r="N8" s="24"/>
      <c r="P8" s="24">
        <v>2</v>
      </c>
      <c r="Q8" s="24">
        <f>'표점등급&amp;절평인원 입력 기능'!C131</f>
        <v>64</v>
      </c>
    </row>
    <row r="9" spans="1:17" s="22" customFormat="1" ht="25" customHeight="1" x14ac:dyDescent="0.45">
      <c r="A9" s="20"/>
      <c r="B9" s="35"/>
      <c r="C9" s="66">
        <v>48</v>
      </c>
      <c r="D9" s="67">
        <f>ROUND(10*(C9-$H$3)/$H$4+50,0)</f>
        <v>75</v>
      </c>
      <c r="E9" s="67">
        <f t="shared" si="0"/>
        <v>1</v>
      </c>
      <c r="F9" s="68">
        <f>IF(I8=0,ROUND(100*(1-(I7+I9)/2/$J$3),2),ROUND(100*(1-(I8+I9)/2/$J$3),2))</f>
        <v>98.59</v>
      </c>
      <c r="G9" s="69">
        <f>_xlfn.IFNA(VLOOKUP(D9,'인원 입력 기능(사과탐)'!$F$177:$I$231,4,FALSE),0)</f>
        <v>311</v>
      </c>
      <c r="H9" s="70">
        <f t="shared" ref="H9:H55" si="1">G9/$J$3</f>
        <v>4.798123948964006E-3</v>
      </c>
      <c r="I9" s="80">
        <f>SUM($G$7:G9)</f>
        <v>1072</v>
      </c>
      <c r="J9" s="72">
        <f>I9/$J$3</f>
        <v>1.6538870975207121E-2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기능'!C132</f>
        <v>57</v>
      </c>
    </row>
    <row r="10" spans="1:17" s="22" customFormat="1" ht="25" customHeight="1" x14ac:dyDescent="0.45">
      <c r="A10" s="20"/>
      <c r="B10" s="35"/>
      <c r="C10" s="73">
        <v>47</v>
      </c>
      <c r="D10" s="67">
        <f t="shared" ref="D10:D55" si="3">ROUND(10*(C10-$H$3)/$H$4+50,0)</f>
        <v>74</v>
      </c>
      <c r="E10" s="67">
        <f t="shared" si="0"/>
        <v>1</v>
      </c>
      <c r="F10" s="68">
        <f t="shared" ref="F10:F55" si="4">IF(I9=0,ROUND(100*(1-(I8+I10)/2/$J$3),2),ROUND(100*(1-(I9+I10)/2/$J$3),2))</f>
        <v>97.75</v>
      </c>
      <c r="G10" s="69">
        <f>IF(D10=D9,"",_xlfn.IFNA(VLOOKUP(D10,'인원 입력 기능(사과탐)'!$F$177:$I$231,4,FALSE),0))</f>
        <v>767</v>
      </c>
      <c r="H10" s="70">
        <f t="shared" si="1"/>
        <v>1.1833315333940169E-2</v>
      </c>
      <c r="I10" s="80">
        <f>SUM($G$7:G10)</f>
        <v>1839</v>
      </c>
      <c r="J10" s="72">
        <f t="shared" ref="J10:J55" si="5">I10/$J$3</f>
        <v>2.8372186309147292E-2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기능'!C133</f>
        <v>51</v>
      </c>
    </row>
    <row r="11" spans="1:17" s="22" customFormat="1" ht="25" customHeight="1" x14ac:dyDescent="0.45">
      <c r="A11" s="20"/>
      <c r="B11" s="35"/>
      <c r="C11" s="66">
        <v>46</v>
      </c>
      <c r="D11" s="67">
        <f t="shared" si="3"/>
        <v>73</v>
      </c>
      <c r="E11" s="67">
        <f t="shared" si="0"/>
        <v>1</v>
      </c>
      <c r="F11" s="68">
        <f t="shared" si="4"/>
        <v>97.11</v>
      </c>
      <c r="G11" s="69">
        <f>IF(D11=D10,"",_xlfn.IFNA(VLOOKUP(D11,'인원 입력 기능(사과탐)'!$F$177:$I$231,4,FALSE),0))</f>
        <v>72</v>
      </c>
      <c r="H11" s="70">
        <f t="shared" si="1"/>
        <v>1.1108196923646574E-3</v>
      </c>
      <c r="I11" s="80">
        <f>SUM($G$7:G11)</f>
        <v>1911</v>
      </c>
      <c r="J11" s="72">
        <f t="shared" si="5"/>
        <v>2.9483006001511949E-2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기능'!C134</f>
        <v>46</v>
      </c>
    </row>
    <row r="12" spans="1:17" s="22" customFormat="1" ht="25" customHeight="1" x14ac:dyDescent="0.45">
      <c r="A12" s="20"/>
      <c r="B12" s="35"/>
      <c r="C12" s="73">
        <v>45</v>
      </c>
      <c r="D12" s="67">
        <f t="shared" si="3"/>
        <v>72</v>
      </c>
      <c r="E12" s="67">
        <f t="shared" si="0"/>
        <v>1</v>
      </c>
      <c r="F12" s="68">
        <f t="shared" si="4"/>
        <v>96.62</v>
      </c>
      <c r="G12" s="69">
        <f>IF(D12=D11,"",_xlfn.IFNA(VLOOKUP(D12,'인원 입력 기능(사과탐)'!$F$177:$I$231,4,FALSE),0))</f>
        <v>563</v>
      </c>
      <c r="H12" s="70">
        <f t="shared" si="1"/>
        <v>8.6859928722403078E-3</v>
      </c>
      <c r="I12" s="80">
        <f>SUM($G$7:G12)</f>
        <v>2474</v>
      </c>
      <c r="J12" s="72">
        <f t="shared" si="5"/>
        <v>3.8168998873752254E-2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기능'!C135</f>
        <v>42</v>
      </c>
    </row>
    <row r="13" spans="1:17" s="22" customFormat="1" ht="25" customHeight="1" x14ac:dyDescent="0.45">
      <c r="A13" s="20"/>
      <c r="B13" s="35"/>
      <c r="C13" s="66">
        <v>44</v>
      </c>
      <c r="D13" s="67">
        <f t="shared" si="3"/>
        <v>71</v>
      </c>
      <c r="E13" s="67">
        <f t="shared" si="0"/>
        <v>1</v>
      </c>
      <c r="F13" s="68">
        <f t="shared" si="4"/>
        <v>95.73</v>
      </c>
      <c r="G13" s="69">
        <f>IF(D13=D12,"",_xlfn.IFNA(VLOOKUP(D13,'인원 입력 기능(사과탐)'!$F$177:$I$231,4,FALSE),0))</f>
        <v>592</v>
      </c>
      <c r="H13" s="70">
        <f t="shared" si="1"/>
        <v>9.1334063594427396E-3</v>
      </c>
      <c r="I13" s="80">
        <f>SUM($G$7:G13)</f>
        <v>3066</v>
      </c>
      <c r="J13" s="72">
        <f t="shared" si="5"/>
        <v>4.7302405233194997E-2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기능'!C136</f>
        <v>39</v>
      </c>
    </row>
    <row r="14" spans="1:17" s="22" customFormat="1" ht="25" customHeight="1" x14ac:dyDescent="0.45">
      <c r="A14" s="20"/>
      <c r="B14" s="35"/>
      <c r="C14" s="73">
        <v>43</v>
      </c>
      <c r="D14" s="67">
        <f t="shared" si="3"/>
        <v>70</v>
      </c>
      <c r="E14" s="67">
        <f t="shared" si="0"/>
        <v>2</v>
      </c>
      <c r="F14" s="68">
        <f t="shared" si="4"/>
        <v>95.09</v>
      </c>
      <c r="G14" s="69">
        <f>IF(D14=D13,"",_xlfn.IFNA(VLOOKUP(D14,'인원 입력 기능(사과탐)'!$F$177:$I$231,4,FALSE),0))</f>
        <v>239</v>
      </c>
      <c r="H14" s="70">
        <f t="shared" si="1"/>
        <v>3.6873042565993487E-3</v>
      </c>
      <c r="I14" s="80">
        <f>SUM($G$7:G14)</f>
        <v>3305</v>
      </c>
      <c r="J14" s="72">
        <f t="shared" si="5"/>
        <v>5.0989709489794345E-2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기능'!C137</f>
        <v>36</v>
      </c>
    </row>
    <row r="15" spans="1:17" s="22" customFormat="1" ht="25" customHeight="1" x14ac:dyDescent="0.45">
      <c r="A15" s="20"/>
      <c r="B15" s="35"/>
      <c r="C15" s="66">
        <v>42</v>
      </c>
      <c r="D15" s="67">
        <f t="shared" si="3"/>
        <v>69</v>
      </c>
      <c r="E15" s="67">
        <f t="shared" si="0"/>
        <v>2</v>
      </c>
      <c r="F15" s="68">
        <f t="shared" si="4"/>
        <v>94.23</v>
      </c>
      <c r="G15" s="69">
        <f>IF(D15=D14,"",_xlfn.IFNA(VLOOKUP(D15,'인원 입력 기능(사과탐)'!$F$177:$I$231,4,FALSE),0))</f>
        <v>866</v>
      </c>
      <c r="H15" s="70">
        <f t="shared" si="1"/>
        <v>1.3360692410941575E-2</v>
      </c>
      <c r="I15" s="80">
        <f>SUM($G$7:G15)</f>
        <v>4171</v>
      </c>
      <c r="J15" s="72">
        <f t="shared" si="5"/>
        <v>6.4350401900735918E-2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73">
        <v>41</v>
      </c>
      <c r="D16" s="67">
        <f t="shared" si="3"/>
        <v>68</v>
      </c>
      <c r="E16" s="67">
        <f t="shared" si="0"/>
        <v>2</v>
      </c>
      <c r="F16" s="68">
        <f t="shared" si="4"/>
        <v>93.11</v>
      </c>
      <c r="G16" s="69">
        <f>IF(D16=D15,"",_xlfn.IFNA(VLOOKUP(D16,'인원 입력 기능(사과탐)'!$F$177:$I$231,4,FALSE),0))</f>
        <v>593</v>
      </c>
      <c r="H16" s="70">
        <f t="shared" si="1"/>
        <v>9.1488344107255818E-3</v>
      </c>
      <c r="I16" s="80">
        <f>SUM($G$7:G16)</f>
        <v>4764</v>
      </c>
      <c r="J16" s="72">
        <f t="shared" si="5"/>
        <v>7.3499236311461505E-2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66">
        <v>40</v>
      </c>
      <c r="D17" s="67">
        <f t="shared" si="3"/>
        <v>67</v>
      </c>
      <c r="E17" s="67">
        <f t="shared" si="0"/>
        <v>2</v>
      </c>
      <c r="F17" s="68">
        <f t="shared" si="4"/>
        <v>92.31</v>
      </c>
      <c r="G17" s="69">
        <f>IF(D17=D16,"",_xlfn.IFNA(VLOOKUP(D17,'인원 입력 기능(사과탐)'!$F$177:$I$231,4,FALSE),0))</f>
        <v>440</v>
      </c>
      <c r="H17" s="70">
        <f t="shared" si="1"/>
        <v>6.7883425644506843E-3</v>
      </c>
      <c r="I17" s="80">
        <f>SUM($G$7:G17)</f>
        <v>5204</v>
      </c>
      <c r="J17" s="72">
        <f t="shared" si="5"/>
        <v>8.0287578875912188E-2</v>
      </c>
      <c r="K17" s="36"/>
      <c r="L17" s="20" t="str">
        <f t="shared" si="2"/>
        <v/>
      </c>
      <c r="N17" s="24"/>
      <c r="Q17" s="24">
        <f>Q7*H3*H4*J3*IFERROR(IF(J57=1, 1, 0), 0)</f>
        <v>1070626259.7887635</v>
      </c>
    </row>
    <row r="18" spans="1:17" s="22" customFormat="1" ht="25" customHeight="1" x14ac:dyDescent="0.45">
      <c r="A18" s="20"/>
      <c r="B18" s="35"/>
      <c r="C18" s="73">
        <v>39</v>
      </c>
      <c r="D18" s="67">
        <f t="shared" si="3"/>
        <v>66</v>
      </c>
      <c r="E18" s="67">
        <f t="shared" si="0"/>
        <v>2</v>
      </c>
      <c r="F18" s="68">
        <f t="shared" si="4"/>
        <v>91.25</v>
      </c>
      <c r="G18" s="69">
        <f>IF(D18=D17,"",_xlfn.IFNA(VLOOKUP(D18,'인원 입력 기능(사과탐)'!$F$177:$I$231,4,FALSE),0))</f>
        <v>936</v>
      </c>
      <c r="H18" s="70">
        <f t="shared" si="1"/>
        <v>1.4440656000740546E-2</v>
      </c>
      <c r="I18" s="80">
        <f>SUM($G$7:G18)</f>
        <v>6140</v>
      </c>
      <c r="J18" s="72">
        <f t="shared" si="5"/>
        <v>9.4728234876652731E-2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66">
        <v>38</v>
      </c>
      <c r="D19" s="67">
        <f t="shared" si="3"/>
        <v>65</v>
      </c>
      <c r="E19" s="67">
        <f t="shared" si="0"/>
        <v>2</v>
      </c>
      <c r="F19" s="68">
        <f t="shared" si="4"/>
        <v>90.07</v>
      </c>
      <c r="G19" s="69">
        <f>IF(D19=D18,"",_xlfn.IFNA(VLOOKUP(D19,'인원 입력 기능(사과탐)'!$F$177:$I$231,4,FALSE),0))</f>
        <v>590</v>
      </c>
      <c r="H19" s="70">
        <f t="shared" si="1"/>
        <v>9.1025502568770535E-3</v>
      </c>
      <c r="I19" s="80">
        <f>SUM($G$7:G19)</f>
        <v>6730</v>
      </c>
      <c r="J19" s="72">
        <f t="shared" si="5"/>
        <v>0.10383078513352978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73">
        <v>37</v>
      </c>
      <c r="D20" s="67">
        <f t="shared" si="3"/>
        <v>64</v>
      </c>
      <c r="E20" s="67">
        <f t="shared" si="0"/>
        <v>2</v>
      </c>
      <c r="F20" s="68">
        <f t="shared" si="4"/>
        <v>89.08</v>
      </c>
      <c r="G20" s="69">
        <f>IF(D20=D19,"",_xlfn.IFNA(VLOOKUP(D20,'인원 입력 기능(사과탐)'!$F$177:$I$231,4,FALSE),0))</f>
        <v>700</v>
      </c>
      <c r="H20" s="70">
        <f t="shared" si="1"/>
        <v>1.0799635897989724E-2</v>
      </c>
      <c r="I20" s="80">
        <f>SUM($G$7:G20)</f>
        <v>7430</v>
      </c>
      <c r="J20" s="72">
        <f t="shared" si="5"/>
        <v>0.11463042103151951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95">
        <v>36</v>
      </c>
      <c r="D21" s="82">
        <f t="shared" si="3"/>
        <v>63</v>
      </c>
      <c r="E21" s="82">
        <f t="shared" si="0"/>
        <v>3</v>
      </c>
      <c r="F21" s="68">
        <f t="shared" si="4"/>
        <v>87.75</v>
      </c>
      <c r="G21" s="69">
        <f>IF(D21=D20,"",_xlfn.IFNA(VLOOKUP(D21,'인원 입력 기능(사과탐)'!$F$177:$I$231,4,FALSE),0))</f>
        <v>1016</v>
      </c>
      <c r="H21" s="70">
        <f t="shared" si="1"/>
        <v>1.5674900103367945E-2</v>
      </c>
      <c r="I21" s="80">
        <f>SUM($G$7:G21)</f>
        <v>8446</v>
      </c>
      <c r="J21" s="72">
        <f t="shared" si="5"/>
        <v>0.13030532113488746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81">
        <v>35</v>
      </c>
      <c r="D22" s="82">
        <f t="shared" si="3"/>
        <v>62</v>
      </c>
      <c r="E22" s="82">
        <f t="shared" si="0"/>
        <v>3</v>
      </c>
      <c r="F22" s="68">
        <f t="shared" si="4"/>
        <v>86.46</v>
      </c>
      <c r="G22" s="69">
        <f>IF(D22=D21,"",_xlfn.IFNA(VLOOKUP(D22,'인원 입력 기능(사과탐)'!$F$177:$I$231,4,FALSE),0))</f>
        <v>657</v>
      </c>
      <c r="H22" s="70">
        <f t="shared" si="1"/>
        <v>1.0136229692827499E-2</v>
      </c>
      <c r="I22" s="80">
        <f>SUM($G$7:G22)</f>
        <v>9103</v>
      </c>
      <c r="J22" s="72">
        <f t="shared" si="5"/>
        <v>0.14044155082771495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95">
        <v>34</v>
      </c>
      <c r="D23" s="82">
        <f t="shared" si="3"/>
        <v>61</v>
      </c>
      <c r="E23" s="82">
        <f t="shared" si="0"/>
        <v>3</v>
      </c>
      <c r="F23" s="68">
        <f t="shared" si="4"/>
        <v>85.15</v>
      </c>
      <c r="G23" s="69">
        <f>IF(D23=D22,"",_xlfn.IFNA(VLOOKUP(D23,'인원 입력 기능(사과탐)'!$F$177:$I$231,4,FALSE),0))</f>
        <v>1046</v>
      </c>
      <c r="H23" s="70">
        <f t="shared" si="1"/>
        <v>1.6137741641853217E-2</v>
      </c>
      <c r="I23" s="80">
        <f>SUM($G$7:G23)</f>
        <v>10149</v>
      </c>
      <c r="J23" s="72">
        <f t="shared" si="5"/>
        <v>0.15657929246956817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81">
        <v>33</v>
      </c>
      <c r="D24" s="82">
        <f t="shared" si="3"/>
        <v>60</v>
      </c>
      <c r="E24" s="82">
        <f t="shared" si="0"/>
        <v>3</v>
      </c>
      <c r="F24" s="68">
        <f t="shared" si="4"/>
        <v>83.45</v>
      </c>
      <c r="G24" s="69">
        <f>IF(D24=D23,"",_xlfn.IFNA(VLOOKUP(D24,'인원 입력 기능(사과탐)'!$F$177:$I$231,4,FALSE),0))</f>
        <v>1162</v>
      </c>
      <c r="H24" s="70">
        <f t="shared" si="1"/>
        <v>1.7927395590662944E-2</v>
      </c>
      <c r="I24" s="80">
        <f>SUM($G$7:G24)</f>
        <v>11311</v>
      </c>
      <c r="J24" s="72">
        <f t="shared" si="5"/>
        <v>0.17450668806023112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95">
        <v>32</v>
      </c>
      <c r="D25" s="82">
        <f t="shared" si="3"/>
        <v>59</v>
      </c>
      <c r="E25" s="82">
        <f t="shared" si="0"/>
        <v>3</v>
      </c>
      <c r="F25" s="68">
        <f t="shared" si="4"/>
        <v>81.83</v>
      </c>
      <c r="G25" s="69">
        <f>IF(D25=D24,"",_xlfn.IFNA(VLOOKUP(D25,'인원 입력 기능(사과탐)'!$F$177:$I$231,4,FALSE),0))</f>
        <v>937</v>
      </c>
      <c r="H25" s="70">
        <f t="shared" si="1"/>
        <v>1.4456084052023388E-2</v>
      </c>
      <c r="I25" s="80">
        <f>SUM($G$7:G25)</f>
        <v>12248</v>
      </c>
      <c r="J25" s="72">
        <f t="shared" si="5"/>
        <v>0.18896277211225451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81">
        <v>31</v>
      </c>
      <c r="D26" s="82">
        <f t="shared" si="3"/>
        <v>58</v>
      </c>
      <c r="E26" s="82">
        <f t="shared" si="0"/>
        <v>3</v>
      </c>
      <c r="F26" s="68">
        <f t="shared" si="4"/>
        <v>79.95</v>
      </c>
      <c r="G26" s="69">
        <f>IF(D26=D25,"",_xlfn.IFNA(VLOOKUP(D26,'인원 입력 기능(사과탐)'!$F$177:$I$231,4,FALSE),0))</f>
        <v>1497</v>
      </c>
      <c r="H26" s="70">
        <f t="shared" si="1"/>
        <v>2.309579277041517E-2</v>
      </c>
      <c r="I26" s="80">
        <f>SUM($G$7:G26)</f>
        <v>13745</v>
      </c>
      <c r="J26" s="72">
        <f t="shared" si="5"/>
        <v>0.21205856488266966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95">
        <v>30</v>
      </c>
      <c r="D27" s="82">
        <f t="shared" si="3"/>
        <v>57</v>
      </c>
      <c r="E27" s="82">
        <f t="shared" si="0"/>
        <v>3</v>
      </c>
      <c r="F27" s="68">
        <f t="shared" si="4"/>
        <v>77.87</v>
      </c>
      <c r="G27" s="69">
        <f>IF(D27=D26,"",_xlfn.IFNA(VLOOKUP(D27,'인원 입력 기능(사과탐)'!$F$177:$I$231,4,FALSE),0))</f>
        <v>1198</v>
      </c>
      <c r="H27" s="70">
        <f t="shared" si="1"/>
        <v>1.8482805436845273E-2</v>
      </c>
      <c r="I27" s="80">
        <f>SUM($G$7:G27)</f>
        <v>14943</v>
      </c>
      <c r="J27" s="72">
        <f t="shared" si="5"/>
        <v>0.23054137031951494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81">
        <v>29</v>
      </c>
      <c r="D28" s="180">
        <f t="shared" si="3"/>
        <v>56</v>
      </c>
      <c r="E28" s="180">
        <f t="shared" si="0"/>
        <v>4</v>
      </c>
      <c r="F28" s="182">
        <f t="shared" si="4"/>
        <v>74.569999999999993</v>
      </c>
      <c r="G28" s="184">
        <f>IF(D28=D27,"",_xlfn.IFNA(VLOOKUP(D28,'인원 입력 기능(사과탐)'!$F$177:$I$231,4,FALSE),0))</f>
        <v>3084</v>
      </c>
      <c r="H28" s="186">
        <f t="shared" si="1"/>
        <v>4.7580110156286159E-2</v>
      </c>
      <c r="I28" s="194">
        <f>SUM($G$7:G28)</f>
        <v>18027</v>
      </c>
      <c r="J28" s="176">
        <f t="shared" si="5"/>
        <v>0.2781214804758011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95">
        <v>28</v>
      </c>
      <c r="D29" s="181"/>
      <c r="E29" s="181"/>
      <c r="F29" s="183"/>
      <c r="G29" s="185"/>
      <c r="H29" s="187"/>
      <c r="I29" s="195"/>
      <c r="J29" s="177"/>
      <c r="K29" s="36"/>
      <c r="L29" s="20" t="str">
        <f t="shared" si="2"/>
        <v>경고</v>
      </c>
      <c r="N29" s="24"/>
    </row>
    <row r="30" spans="1:17" s="22" customFormat="1" ht="25" customHeight="1" x14ac:dyDescent="0.45">
      <c r="A30" s="20"/>
      <c r="B30" s="35"/>
      <c r="C30" s="81">
        <v>27</v>
      </c>
      <c r="D30" s="82">
        <f t="shared" si="3"/>
        <v>55</v>
      </c>
      <c r="E30" s="82">
        <f t="shared" si="0"/>
        <v>4</v>
      </c>
      <c r="F30" s="68">
        <f t="shared" si="4"/>
        <v>71.069999999999993</v>
      </c>
      <c r="G30" s="69">
        <f>IF(D30=D29,"",_xlfn.IFNA(VLOOKUP(D30,'인원 입력 기능(사과탐)'!$F$177:$I$231,4,FALSE),0))</f>
        <v>1451</v>
      </c>
      <c r="H30" s="70">
        <f t="shared" si="1"/>
        <v>2.2386102411404415E-2</v>
      </c>
      <c r="I30" s="80">
        <f>SUM($G$7:G30)</f>
        <v>19478</v>
      </c>
      <c r="J30" s="72">
        <f t="shared" si="5"/>
        <v>0.30050758288720553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95">
        <v>26</v>
      </c>
      <c r="D31" s="82">
        <f t="shared" si="3"/>
        <v>54</v>
      </c>
      <c r="E31" s="82">
        <f t="shared" si="0"/>
        <v>4</v>
      </c>
      <c r="F31" s="68">
        <f t="shared" si="4"/>
        <v>68.52</v>
      </c>
      <c r="G31" s="69">
        <f>IF(D31=D30,"",_xlfn.IFNA(VLOOKUP(D31,'인원 입력 기능(사과탐)'!$F$177:$I$231,4,FALSE),0))</f>
        <v>1851</v>
      </c>
      <c r="H31" s="70">
        <f t="shared" si="1"/>
        <v>2.8557322924541401E-2</v>
      </c>
      <c r="I31" s="80">
        <f>SUM($G$7:G31)</f>
        <v>21329</v>
      </c>
      <c r="J31" s="72">
        <f t="shared" si="5"/>
        <v>0.32906490581174691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81">
        <v>25</v>
      </c>
      <c r="D32" s="82">
        <f t="shared" si="3"/>
        <v>53</v>
      </c>
      <c r="E32" s="82">
        <f t="shared" si="0"/>
        <v>4</v>
      </c>
      <c r="F32" s="68">
        <f t="shared" si="4"/>
        <v>65.64</v>
      </c>
      <c r="G32" s="69">
        <f>IF(D32=D31,"",_xlfn.IFNA(VLOOKUP(D32,'인원 입력 기능(사과탐)'!$F$177:$I$231,4,FALSE),0))</f>
        <v>1890</v>
      </c>
      <c r="H32" s="70">
        <f t="shared" si="1"/>
        <v>2.9159016924572258E-2</v>
      </c>
      <c r="I32" s="80">
        <f>SUM($G$7:G32)</f>
        <v>23219</v>
      </c>
      <c r="J32" s="72">
        <f t="shared" si="5"/>
        <v>0.3582239227363192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95">
        <v>24</v>
      </c>
      <c r="D33" s="82">
        <f t="shared" si="3"/>
        <v>52</v>
      </c>
      <c r="E33" s="82">
        <f t="shared" si="0"/>
        <v>4</v>
      </c>
      <c r="F33" s="68">
        <f t="shared" si="4"/>
        <v>62.69</v>
      </c>
      <c r="G33" s="69">
        <f>IF(D33=D32,"",_xlfn.IFNA(VLOOKUP(D33,'인원 입력 기능(사과탐)'!$F$177:$I$231,4,FALSE),0))</f>
        <v>1929</v>
      </c>
      <c r="H33" s="70">
        <f t="shared" si="1"/>
        <v>2.9760710924603112E-2</v>
      </c>
      <c r="I33" s="80">
        <f>SUM($G$7:G33)</f>
        <v>25148</v>
      </c>
      <c r="J33" s="72">
        <f t="shared" si="5"/>
        <v>0.38798463366092228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81">
        <v>23</v>
      </c>
      <c r="D34" s="82">
        <f t="shared" si="3"/>
        <v>51</v>
      </c>
      <c r="E34" s="82">
        <f t="shared" si="0"/>
        <v>4</v>
      </c>
      <c r="F34" s="68">
        <f t="shared" si="4"/>
        <v>59.49</v>
      </c>
      <c r="G34" s="69">
        <f>IF(D34=D33,"",_xlfn.IFNA(VLOOKUP(D34,'인원 입력 기능(사과탐)'!$F$177:$I$231,4,FALSE),0))</f>
        <v>2223</v>
      </c>
      <c r="H34" s="70">
        <f t="shared" si="1"/>
        <v>3.4296558001758799E-2</v>
      </c>
      <c r="I34" s="80">
        <f>SUM($G$7:G34)</f>
        <v>27371</v>
      </c>
      <c r="J34" s="72">
        <f t="shared" si="5"/>
        <v>0.42228119166268108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95">
        <v>22</v>
      </c>
      <c r="D35" s="82">
        <f t="shared" si="3"/>
        <v>50</v>
      </c>
      <c r="E35" s="82">
        <f t="shared" si="0"/>
        <v>5</v>
      </c>
      <c r="F35" s="68">
        <f t="shared" si="4"/>
        <v>56.11</v>
      </c>
      <c r="G35" s="69">
        <f>IF(D35=D34,"",_xlfn.IFNA(VLOOKUP(D35,'인원 입력 기능(사과탐)'!$F$177:$I$231,4,FALSE),0))</f>
        <v>2149</v>
      </c>
      <c r="H35" s="70">
        <f t="shared" si="1"/>
        <v>3.3154882206828454E-2</v>
      </c>
      <c r="I35" s="80">
        <f>SUM($G$7:G35)</f>
        <v>29520</v>
      </c>
      <c r="J35" s="72">
        <f t="shared" si="5"/>
        <v>0.45543607386950952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81">
        <v>21</v>
      </c>
      <c r="D36" s="82">
        <f t="shared" si="3"/>
        <v>49</v>
      </c>
      <c r="E36" s="82">
        <f t="shared" si="0"/>
        <v>5</v>
      </c>
      <c r="F36" s="68">
        <f t="shared" si="4"/>
        <v>52.62</v>
      </c>
      <c r="G36" s="69">
        <f>IF(D36=D35,"",_xlfn.IFNA(VLOOKUP(D36,'인원 입력 기능(사과탐)'!$F$177:$I$231,4,FALSE),0))</f>
        <v>2379</v>
      </c>
      <c r="H36" s="70">
        <f t="shared" si="1"/>
        <v>3.6703334001882221E-2</v>
      </c>
      <c r="I36" s="80">
        <f>SUM($G$7:G36)</f>
        <v>31899</v>
      </c>
      <c r="J36" s="72">
        <f t="shared" si="5"/>
        <v>0.49213940787139177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95">
        <v>20</v>
      </c>
      <c r="D37" s="82">
        <f t="shared" si="3"/>
        <v>48</v>
      </c>
      <c r="E37" s="82">
        <f t="shared" si="0"/>
        <v>5</v>
      </c>
      <c r="F37" s="68">
        <f t="shared" si="4"/>
        <v>48.89</v>
      </c>
      <c r="G37" s="69">
        <f>IF(D37=D36,"",_xlfn.IFNA(VLOOKUP(D37,'인원 입력 기능(사과탐)'!$F$177:$I$231,4,FALSE),0))</f>
        <v>2462</v>
      </c>
      <c r="H37" s="70">
        <f t="shared" si="1"/>
        <v>3.7983862258358148E-2</v>
      </c>
      <c r="I37" s="80">
        <f>SUM($G$7:G37)</f>
        <v>34361</v>
      </c>
      <c r="J37" s="72">
        <f t="shared" si="5"/>
        <v>0.53012327012974991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81">
        <v>19</v>
      </c>
      <c r="D38" s="82">
        <f t="shared" si="3"/>
        <v>47</v>
      </c>
      <c r="E38" s="82">
        <f t="shared" si="0"/>
        <v>5</v>
      </c>
      <c r="F38" s="68">
        <f t="shared" si="4"/>
        <v>45.02</v>
      </c>
      <c r="G38" s="69">
        <f>IF(D38=D37,"",_xlfn.IFNA(VLOOKUP(D38,'인원 입력 기능(사과탐)'!$F$177:$I$231,4,FALSE),0))</f>
        <v>2548</v>
      </c>
      <c r="H38" s="70">
        <f t="shared" si="1"/>
        <v>3.9310674668682599E-2</v>
      </c>
      <c r="I38" s="80">
        <f>SUM($G$7:G38)</f>
        <v>36909</v>
      </c>
      <c r="J38" s="72">
        <f t="shared" si="5"/>
        <v>0.56943394479843246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95">
        <v>18</v>
      </c>
      <c r="D39" s="82">
        <f t="shared" si="3"/>
        <v>46</v>
      </c>
      <c r="E39" s="82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8">
        <f t="shared" si="4"/>
        <v>40.909999999999997</v>
      </c>
      <c r="G39" s="69">
        <f>IF(D39=D38,"",_xlfn.IFNA(VLOOKUP(D39,'인원 입력 기능(사과탐)'!$F$177:$I$231,4,FALSE),0))</f>
        <v>2780</v>
      </c>
      <c r="H39" s="70">
        <f t="shared" si="1"/>
        <v>4.2889982566302047E-2</v>
      </c>
      <c r="I39" s="80">
        <f>SUM($G$7:G39)</f>
        <v>39689</v>
      </c>
      <c r="J39" s="72">
        <f t="shared" si="5"/>
        <v>0.61232392736473451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81">
        <v>17</v>
      </c>
      <c r="D40" s="82">
        <f t="shared" si="3"/>
        <v>45</v>
      </c>
      <c r="E40" s="82">
        <f t="shared" si="6"/>
        <v>6</v>
      </c>
      <c r="F40" s="68">
        <f t="shared" si="4"/>
        <v>36.83</v>
      </c>
      <c r="G40" s="69">
        <f>IF(D40=D39,"",_xlfn.IFNA(VLOOKUP(D40,'인원 입력 기능(사과탐)'!$F$177:$I$231,4,FALSE),0))</f>
        <v>2508</v>
      </c>
      <c r="H40" s="70">
        <f t="shared" si="1"/>
        <v>3.8693552617368898E-2</v>
      </c>
      <c r="I40" s="80">
        <f>SUM($G$7:G40)</f>
        <v>42197</v>
      </c>
      <c r="J40" s="72">
        <f t="shared" si="5"/>
        <v>0.65101747998210346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95">
        <v>16</v>
      </c>
      <c r="D41" s="82">
        <f t="shared" si="3"/>
        <v>44</v>
      </c>
      <c r="E41" s="82">
        <f t="shared" si="6"/>
        <v>6</v>
      </c>
      <c r="F41" s="68">
        <f t="shared" si="4"/>
        <v>31.74</v>
      </c>
      <c r="G41" s="69">
        <f>IF(D41=D40,"",_xlfn.IFNA(VLOOKUP(D41,'인원 입력 기능(사과탐)'!$F$177:$I$231,4,FALSE),0))</f>
        <v>4092</v>
      </c>
      <c r="H41" s="70">
        <f t="shared" si="1"/>
        <v>6.3131585849391367E-2</v>
      </c>
      <c r="I41" s="80">
        <f>SUM($G$7:G41)</f>
        <v>46289</v>
      </c>
      <c r="J41" s="72">
        <f t="shared" si="5"/>
        <v>0.71414906583149484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81">
        <v>15</v>
      </c>
      <c r="D42" s="82">
        <f t="shared" si="3"/>
        <v>43</v>
      </c>
      <c r="E42" s="82">
        <f t="shared" si="6"/>
        <v>6</v>
      </c>
      <c r="F42" s="68">
        <f t="shared" si="4"/>
        <v>26.6</v>
      </c>
      <c r="G42" s="69">
        <f>IF(D42=D41,"",_xlfn.IFNA(VLOOKUP(D42,'인원 입력 기능(사과탐)'!$F$177:$I$231,4,FALSE),0))</f>
        <v>2571</v>
      </c>
      <c r="H42" s="70">
        <f t="shared" si="1"/>
        <v>3.9665519848187974E-2</v>
      </c>
      <c r="I42" s="80">
        <f>SUM($G$7:G42)</f>
        <v>48860</v>
      </c>
      <c r="J42" s="72">
        <f t="shared" si="5"/>
        <v>0.75381458567968285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95">
        <v>14</v>
      </c>
      <c r="D43" s="82">
        <f t="shared" si="3"/>
        <v>42</v>
      </c>
      <c r="E43" s="82">
        <f t="shared" si="6"/>
        <v>6</v>
      </c>
      <c r="F43" s="68">
        <f t="shared" si="4"/>
        <v>22.74</v>
      </c>
      <c r="G43" s="69">
        <f>IF(D43=D42,"",_xlfn.IFNA(VLOOKUP(D43,'인원 입력 기능(사과탐)'!$F$177:$I$231,4,FALSE),0))</f>
        <v>2439</v>
      </c>
      <c r="H43" s="70">
        <f t="shared" si="1"/>
        <v>3.7629017078852772E-2</v>
      </c>
      <c r="I43" s="80">
        <f>SUM($G$7:G43)</f>
        <v>51299</v>
      </c>
      <c r="J43" s="72">
        <f t="shared" si="5"/>
        <v>0.79144360275853554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81">
        <v>13</v>
      </c>
      <c r="D44" s="82">
        <f t="shared" si="3"/>
        <v>41</v>
      </c>
      <c r="E44" s="82">
        <f t="shared" si="6"/>
        <v>7</v>
      </c>
      <c r="F44" s="68">
        <f t="shared" si="4"/>
        <v>19</v>
      </c>
      <c r="G44" s="69">
        <f>IF(D44=D43,"",_xlfn.IFNA(VLOOKUP(D44,'인원 입력 기능(사과탐)'!$F$177:$I$231,4,FALSE),0))</f>
        <v>2412</v>
      </c>
      <c r="H44" s="70">
        <f t="shared" si="1"/>
        <v>3.7212459694216021E-2</v>
      </c>
      <c r="I44" s="80">
        <f>SUM($G$7:G44)</f>
        <v>53711</v>
      </c>
      <c r="J44" s="72">
        <f t="shared" si="5"/>
        <v>0.82865606245275159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95">
        <v>12</v>
      </c>
      <c r="D45" s="82">
        <f t="shared" si="3"/>
        <v>40</v>
      </c>
      <c r="E45" s="82">
        <f t="shared" si="6"/>
        <v>7</v>
      </c>
      <c r="F45" s="68">
        <f t="shared" si="4"/>
        <v>15.68</v>
      </c>
      <c r="G45" s="69">
        <f>IF(D45=D44,"",_xlfn.IFNA(VLOOKUP(D45,'인원 입력 기능(사과탐)'!$F$177:$I$231,4,FALSE),0))</f>
        <v>1882</v>
      </c>
      <c r="H45" s="70">
        <f t="shared" si="1"/>
        <v>2.9035592514309518E-2</v>
      </c>
      <c r="I45" s="80">
        <f>SUM($G$7:G45)</f>
        <v>55593</v>
      </c>
      <c r="J45" s="72">
        <f t="shared" si="5"/>
        <v>0.85769165496706112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81">
        <v>11</v>
      </c>
      <c r="D46" s="82">
        <f t="shared" si="3"/>
        <v>39</v>
      </c>
      <c r="E46" s="82">
        <f t="shared" si="6"/>
        <v>7</v>
      </c>
      <c r="F46" s="68">
        <f t="shared" si="4"/>
        <v>12.17</v>
      </c>
      <c r="G46" s="69">
        <f>IF(D46=D45,"",_xlfn.IFNA(VLOOKUP(D46,'인원 입력 기능(사과탐)'!$F$177:$I$231,4,FALSE),0))</f>
        <v>2677</v>
      </c>
      <c r="H46" s="70">
        <f t="shared" si="1"/>
        <v>4.1300893284169277E-2</v>
      </c>
      <c r="I46" s="80">
        <f>SUM($G$7:G46)</f>
        <v>58270</v>
      </c>
      <c r="J46" s="72">
        <f t="shared" si="5"/>
        <v>0.89899254825123043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95">
        <v>10</v>
      </c>
      <c r="D47" s="82">
        <f t="shared" si="3"/>
        <v>38</v>
      </c>
      <c r="E47" s="82">
        <f t="shared" si="6"/>
        <v>8</v>
      </c>
      <c r="F47" s="68">
        <f t="shared" si="4"/>
        <v>9.0299999999999994</v>
      </c>
      <c r="G47" s="69">
        <f>IF(D47=D46,"",_xlfn.IFNA(VLOOKUP(D47,'인원 입력 기능(사과탐)'!$F$177:$I$231,4,FALSE),0))</f>
        <v>1391</v>
      </c>
      <c r="H47" s="70">
        <f t="shared" si="1"/>
        <v>2.1460419334433867E-2</v>
      </c>
      <c r="I47" s="80">
        <f>SUM($G$7:G47)</f>
        <v>59661</v>
      </c>
      <c r="J47" s="72">
        <f t="shared" si="5"/>
        <v>0.92045296758566431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81">
        <v>9</v>
      </c>
      <c r="D48" s="82">
        <f t="shared" si="3"/>
        <v>37</v>
      </c>
      <c r="E48" s="82">
        <f t="shared" si="6"/>
        <v>8</v>
      </c>
      <c r="F48" s="68">
        <f t="shared" si="4"/>
        <v>6.95</v>
      </c>
      <c r="G48" s="69">
        <f>IF(D48=D47,"",_xlfn.IFNA(VLOOKUP(D48,'인원 입력 기능(사과탐)'!$F$177:$I$231,4,FALSE),0))</f>
        <v>1297</v>
      </c>
      <c r="H48" s="70">
        <f t="shared" si="1"/>
        <v>2.0010182513846675E-2</v>
      </c>
      <c r="I48" s="80">
        <f>SUM($G$7:G48)</f>
        <v>60958</v>
      </c>
      <c r="J48" s="72">
        <f t="shared" si="5"/>
        <v>0.94046315009951098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95">
        <v>8</v>
      </c>
      <c r="D49" s="82">
        <f t="shared" si="3"/>
        <v>36</v>
      </c>
      <c r="E49" s="82">
        <f t="shared" si="6"/>
        <v>8</v>
      </c>
      <c r="F49" s="68">
        <f t="shared" si="4"/>
        <v>4.8</v>
      </c>
      <c r="G49" s="69">
        <f>IF(D49=D48,"",_xlfn.IFNA(VLOOKUP(D49,'인원 입력 기능(사과탐)'!$F$177:$I$231,4,FALSE),0))</f>
        <v>1494</v>
      </c>
      <c r="H49" s="70">
        <f t="shared" si="1"/>
        <v>2.3049508616566641E-2</v>
      </c>
      <c r="I49" s="80">
        <f>SUM($G$7:G49)</f>
        <v>62452</v>
      </c>
      <c r="J49" s="72">
        <f t="shared" si="5"/>
        <v>0.96351265871607761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81">
        <v>7</v>
      </c>
      <c r="D50" s="82">
        <f t="shared" si="3"/>
        <v>35</v>
      </c>
      <c r="E50" s="82">
        <f t="shared" si="6"/>
        <v>9</v>
      </c>
      <c r="F50" s="68">
        <f t="shared" si="4"/>
        <v>3.02</v>
      </c>
      <c r="G50" s="69">
        <f>IF(D50=D49,"",_xlfn.IFNA(VLOOKUP(D50,'인원 입력 기능(사과탐)'!$F$177:$I$231,4,FALSE),0))</f>
        <v>814</v>
      </c>
      <c r="H50" s="70">
        <f t="shared" si="1"/>
        <v>1.2558433744233766E-2</v>
      </c>
      <c r="I50" s="80">
        <f>SUM($G$7:G50)</f>
        <v>63266</v>
      </c>
      <c r="J50" s="72">
        <f t="shared" si="5"/>
        <v>0.97607109246031132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95">
        <v>6</v>
      </c>
      <c r="D51" s="180">
        <f t="shared" si="3"/>
        <v>34</v>
      </c>
      <c r="E51" s="180">
        <f t="shared" si="6"/>
        <v>9</v>
      </c>
      <c r="F51" s="182">
        <f t="shared" si="4"/>
        <v>1.76</v>
      </c>
      <c r="G51" s="184">
        <f>IF(D51=D50,"",_xlfn.IFNA(VLOOKUP(D51,'인원 입력 기능(사과탐)'!$F$177:$I$231,4,FALSE),0))</f>
        <v>818</v>
      </c>
      <c r="H51" s="186">
        <f t="shared" si="1"/>
        <v>1.2620145949365136E-2</v>
      </c>
      <c r="I51" s="194">
        <f>SUM($G$7:G51)</f>
        <v>64084</v>
      </c>
      <c r="J51" s="176">
        <f t="shared" si="5"/>
        <v>0.98869123840967643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81">
        <v>5</v>
      </c>
      <c r="D52" s="181"/>
      <c r="E52" s="181"/>
      <c r="F52" s="183"/>
      <c r="G52" s="185"/>
      <c r="H52" s="187"/>
      <c r="I52" s="195"/>
      <c r="J52" s="177"/>
      <c r="K52" s="36"/>
      <c r="L52" s="20" t="str">
        <f t="shared" si="2"/>
        <v>경고</v>
      </c>
      <c r="N52" s="24"/>
    </row>
    <row r="53" spans="1:14" s="22" customFormat="1" ht="25" customHeight="1" x14ac:dyDescent="0.45">
      <c r="A53" s="20"/>
      <c r="B53" s="35"/>
      <c r="C53" s="66">
        <v>4</v>
      </c>
      <c r="D53" s="67">
        <f t="shared" si="3"/>
        <v>33</v>
      </c>
      <c r="E53" s="67">
        <f t="shared" si="6"/>
        <v>9</v>
      </c>
      <c r="F53" s="68">
        <f t="shared" si="4"/>
        <v>0.91</v>
      </c>
      <c r="G53" s="69">
        <f>IF(D53=D52,"",_xlfn.IFNA(VLOOKUP(D53,'인원 입력 기능(사과탐)'!$F$177:$I$231,4,FALSE),0))</f>
        <v>281</v>
      </c>
      <c r="H53" s="70">
        <f t="shared" si="1"/>
        <v>4.3352824104787328E-3</v>
      </c>
      <c r="I53" s="80">
        <f>SUM($G$7:G53)</f>
        <v>64365</v>
      </c>
      <c r="J53" s="72">
        <f t="shared" si="5"/>
        <v>0.99302652082015519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73">
        <v>3</v>
      </c>
      <c r="D54" s="67">
        <f t="shared" si="3"/>
        <v>32</v>
      </c>
      <c r="E54" s="67">
        <f t="shared" si="6"/>
        <v>9</v>
      </c>
      <c r="F54" s="68">
        <f t="shared" si="4"/>
        <v>0.63</v>
      </c>
      <c r="G54" s="69">
        <f>IF(D54=D53,"",_xlfn.IFNA(VLOOKUP(D54,'인원 입력 기능(사과탐)'!$F$177:$I$231,4,FALSE),0))</f>
        <v>86</v>
      </c>
      <c r="H54" s="70">
        <f t="shared" si="1"/>
        <v>1.3268124103244518E-3</v>
      </c>
      <c r="I54" s="80">
        <f>SUM($G$7:G54)</f>
        <v>64451</v>
      </c>
      <c r="J54" s="72">
        <f t="shared" si="5"/>
        <v>0.9943533332304797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66">
        <v>2</v>
      </c>
      <c r="D55" s="67">
        <f t="shared" si="3"/>
        <v>31</v>
      </c>
      <c r="E55" s="67">
        <f t="shared" si="6"/>
        <v>9</v>
      </c>
      <c r="F55" s="68">
        <f t="shared" si="4"/>
        <v>0.49</v>
      </c>
      <c r="G55" s="69">
        <f>IF(D55=D54,"",_xlfn.IFNA(VLOOKUP(D55,'인원 입력 기능(사과탐)'!$F$177:$I$231,4,FALSE),0))</f>
        <v>102</v>
      </c>
      <c r="H55" s="70">
        <f t="shared" si="1"/>
        <v>1.5736612308499313E-3</v>
      </c>
      <c r="I55" s="80">
        <f>SUM($G$7:G55)</f>
        <v>64553</v>
      </c>
      <c r="J55" s="72">
        <f t="shared" si="5"/>
        <v>0.9959269944613296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73">
        <v>1</v>
      </c>
      <c r="D56" s="74" t="s">
        <v>59</v>
      </c>
      <c r="E56" s="74"/>
      <c r="F56" s="75"/>
      <c r="G56" s="96"/>
      <c r="H56" s="94"/>
      <c r="I56" s="84"/>
      <c r="J56" s="79"/>
      <c r="K56" s="36"/>
      <c r="L56" s="20"/>
      <c r="N56" s="24"/>
    </row>
    <row r="57" spans="1:14" s="22" customFormat="1" ht="25" customHeight="1" thickBot="1" x14ac:dyDescent="0.5">
      <c r="A57" s="20"/>
      <c r="B57" s="35"/>
      <c r="C57" s="97">
        <v>0</v>
      </c>
      <c r="D57" s="86">
        <f>ROUND(10*(C57-$H$3)/$H$4+50,0)</f>
        <v>29</v>
      </c>
      <c r="E57" s="98">
        <f t="shared" si="6"/>
        <v>9</v>
      </c>
      <c r="F57" s="87">
        <f>IF(I55=0,ROUND(100*(1-(I54+I57)/2/$J$3),2),ROUND(100*(1-(I55+I57)/2/$J$3),2))</f>
        <v>0.2</v>
      </c>
      <c r="G57" s="99">
        <f>_xlfn.IFNA(VLOOKUP(D57,'인원 입력 기능(사과탐)'!$F$177:$I$231,4,FALSE),0)</f>
        <v>264</v>
      </c>
      <c r="H57" s="89">
        <f>G57/$J$3</f>
        <v>4.0730055386704106E-3</v>
      </c>
      <c r="I57" s="90">
        <f>SUM($G$7:G57)</f>
        <v>64817</v>
      </c>
      <c r="J57" s="100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6">
    <mergeCell ref="D3:F3"/>
    <mergeCell ref="D4:F4"/>
    <mergeCell ref="D28:D29"/>
    <mergeCell ref="E28:E29"/>
    <mergeCell ref="F28:F29"/>
    <mergeCell ref="G28:G29"/>
    <mergeCell ref="H28:H29"/>
    <mergeCell ref="I28:I29"/>
    <mergeCell ref="J28:J29"/>
    <mergeCell ref="D51:D52"/>
    <mergeCell ref="E51:E52"/>
    <mergeCell ref="F51:F52"/>
    <mergeCell ref="G51:G52"/>
    <mergeCell ref="H51:H52"/>
    <mergeCell ref="I51:I52"/>
    <mergeCell ref="J51:J52"/>
  </mergeCells>
  <phoneticPr fontId="1" type="noConversion"/>
  <conditionalFormatting sqref="D7:G28 I7:J28 D30:G51 I30:J51 D53:G57 I53:J57">
    <cfRule type="expression" dxfId="34" priority="4">
      <formula>OR($D7=$Q$7:$Q$14)</formula>
    </cfRule>
  </conditionalFormatting>
  <conditionalFormatting sqref="C7:C57">
    <cfRule type="expression" dxfId="33" priority="3">
      <formula>OR(AND($D7=0,OR($D6=$Q$7:$Q$14)),AND($D8&gt;0,OR($D7=$Q$7:$Q$14)))</formula>
    </cfRule>
  </conditionalFormatting>
  <conditionalFormatting sqref="D7:D28 D30:D51 D53:D57">
    <cfRule type="expression" dxfId="32" priority="2">
      <formula>$D7=$D8</formula>
    </cfRule>
  </conditionalFormatting>
  <conditionalFormatting sqref="H7:H28 H30:H51 H53:H57">
    <cfRule type="expression" dxfId="31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621C-2B94-40D9-B1DB-0AF1E77398CC}">
  <sheetPr codeName="Sheet21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113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기능'!D19</f>
        <v>24.149115493184102</v>
      </c>
      <c r="I3" s="21" t="s">
        <v>117</v>
      </c>
      <c r="J3" s="58">
        <f>'통계 및 응시자 수 입력 기능'!C19</f>
        <v>99547</v>
      </c>
      <c r="K3" s="36"/>
      <c r="L3" s="20"/>
    </row>
    <row r="4" spans="1:17" s="22" customFormat="1" ht="25" customHeight="1" thickBot="1" x14ac:dyDescent="0.5">
      <c r="A4" s="20"/>
      <c r="B4" s="35"/>
      <c r="C4" s="59" t="s">
        <v>118</v>
      </c>
      <c r="D4" s="191" t="s">
        <v>140</v>
      </c>
      <c r="E4" s="192"/>
      <c r="F4" s="193"/>
      <c r="G4" s="60" t="s">
        <v>120</v>
      </c>
      <c r="H4" s="61">
        <f>'통계 및 응시자 수 입력 기능'!E19</f>
        <v>11.040531786832901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62" t="s">
        <v>121</v>
      </c>
      <c r="D6" s="63" t="s">
        <v>122</v>
      </c>
      <c r="E6" s="63" t="s">
        <v>123</v>
      </c>
      <c r="F6" s="63" t="s">
        <v>124</v>
      </c>
      <c r="G6" s="63" t="s">
        <v>125</v>
      </c>
      <c r="H6" s="63" t="s">
        <v>126</v>
      </c>
      <c r="I6" s="64" t="s">
        <v>127</v>
      </c>
      <c r="J6" s="65" t="s">
        <v>128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66">
        <v>50</v>
      </c>
      <c r="D7" s="67">
        <f>ROUND(10*(C7-$H$3)/$H$4+50,0)</f>
        <v>73</v>
      </c>
      <c r="E7" s="67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8">
        <f>ROUND(100*(1-(0+I7)/2/$J$3),2)</f>
        <v>99.22</v>
      </c>
      <c r="G7" s="69">
        <f>_xlfn.IFNA(VLOOKUP(D7,'인원 입력 기능(사과탐)'!$K$177:$N$231,4,FALSE),0)</f>
        <v>1543</v>
      </c>
      <c r="H7" s="70">
        <f>G7/$J$3</f>
        <v>1.5500215978382071E-2</v>
      </c>
      <c r="I7" s="71">
        <f>G7</f>
        <v>1543</v>
      </c>
      <c r="J7" s="72">
        <f>I7/$J$3</f>
        <v>1.5500215978382071E-2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기능'!C139</f>
        <v>69</v>
      </c>
    </row>
    <row r="8" spans="1:17" s="22" customFormat="1" ht="25" customHeight="1" x14ac:dyDescent="0.45">
      <c r="A8" s="20"/>
      <c r="B8" s="35"/>
      <c r="C8" s="73">
        <v>49</v>
      </c>
      <c r="D8" s="74" t="s">
        <v>59</v>
      </c>
      <c r="E8" s="74"/>
      <c r="F8" s="75"/>
      <c r="G8" s="76"/>
      <c r="H8" s="94"/>
      <c r="I8" s="78"/>
      <c r="J8" s="79"/>
      <c r="K8" s="36"/>
      <c r="L8" s="20"/>
      <c r="N8" s="24"/>
      <c r="P8" s="24">
        <v>2</v>
      </c>
      <c r="Q8" s="24">
        <f>'표점등급&amp;절평인원 입력 기능'!C140</f>
        <v>64</v>
      </c>
    </row>
    <row r="9" spans="1:17" s="22" customFormat="1" ht="25" customHeight="1" x14ac:dyDescent="0.45">
      <c r="A9" s="20"/>
      <c r="B9" s="35"/>
      <c r="C9" s="66">
        <v>48</v>
      </c>
      <c r="D9" s="67">
        <f>ROUND(10*(C9-$H$3)/$H$4+50,0)</f>
        <v>72</v>
      </c>
      <c r="E9" s="67">
        <f t="shared" si="0"/>
        <v>1</v>
      </c>
      <c r="F9" s="68">
        <f>IF(I8=0,ROUND(100*(1-(I7+I9)/2/$J$3),2),ROUND(100*(1-(I8+I9)/2/$J$3),2))</f>
        <v>98.11</v>
      </c>
      <c r="G9" s="69">
        <f>_xlfn.IFNA(VLOOKUP(D9,'인원 입력 기능(사과탐)'!$K$177:$N$231,4,FALSE),0)</f>
        <v>677</v>
      </c>
      <c r="H9" s="70">
        <f t="shared" ref="H9:H55" si="1">G9/$J$3</f>
        <v>6.8008076586938832E-3</v>
      </c>
      <c r="I9" s="80">
        <f>SUM($G$7:G9)</f>
        <v>2220</v>
      </c>
      <c r="J9" s="72">
        <f>I9/$J$3</f>
        <v>2.2301023637075954E-2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기능'!C141</f>
        <v>58</v>
      </c>
    </row>
    <row r="10" spans="1:17" s="22" customFormat="1" ht="25" customHeight="1" x14ac:dyDescent="0.45">
      <c r="A10" s="20"/>
      <c r="B10" s="35"/>
      <c r="C10" s="73">
        <v>47</v>
      </c>
      <c r="D10" s="67">
        <f t="shared" ref="D10:D55" si="3">ROUND(10*(C10-$H$3)/$H$4+50,0)</f>
        <v>71</v>
      </c>
      <c r="E10" s="67">
        <f t="shared" si="0"/>
        <v>1</v>
      </c>
      <c r="F10" s="68">
        <f t="shared" ref="F10:F55" si="4">IF(I9=0,ROUND(100*(1-(I8+I10)/2/$J$3),2),ROUND(100*(1-(I9+I10)/2/$J$3),2))</f>
        <v>97.03</v>
      </c>
      <c r="G10" s="69">
        <f>IF(D10=D9,"",_xlfn.IFNA(VLOOKUP(D10,'인원 입력 기능(사과탐)'!$K$177:$N$231,4,FALSE),0))</f>
        <v>1477</v>
      </c>
      <c r="H10" s="70">
        <f t="shared" si="1"/>
        <v>1.4837212572955488E-2</v>
      </c>
      <c r="I10" s="80">
        <f>SUM($G$7:G10)</f>
        <v>3697</v>
      </c>
      <c r="J10" s="72">
        <f t="shared" ref="J10:J55" si="5">I10/$J$3</f>
        <v>3.7138236210031442E-2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기능'!C142</f>
        <v>52</v>
      </c>
    </row>
    <row r="11" spans="1:17" s="22" customFormat="1" ht="25" customHeight="1" x14ac:dyDescent="0.45">
      <c r="A11" s="20"/>
      <c r="B11" s="35"/>
      <c r="C11" s="66">
        <v>46</v>
      </c>
      <c r="D11" s="67">
        <f t="shared" si="3"/>
        <v>70</v>
      </c>
      <c r="E11" s="67">
        <f t="shared" si="0"/>
        <v>1</v>
      </c>
      <c r="F11" s="68">
        <f t="shared" si="4"/>
        <v>96.17</v>
      </c>
      <c r="G11" s="69">
        <f>IF(D11=D10,"",_xlfn.IFNA(VLOOKUP(D11,'인원 입력 기능(사과탐)'!$K$177:$N$231,4,FALSE),0))</f>
        <v>236</v>
      </c>
      <c r="H11" s="70">
        <f t="shared" si="1"/>
        <v>2.3707394497071736E-3</v>
      </c>
      <c r="I11" s="80">
        <f>SUM($G$7:G11)</f>
        <v>3933</v>
      </c>
      <c r="J11" s="72">
        <f t="shared" si="5"/>
        <v>3.9508975659738613E-2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기능'!C143</f>
        <v>46</v>
      </c>
    </row>
    <row r="12" spans="1:17" s="22" customFormat="1" ht="25" customHeight="1" x14ac:dyDescent="0.45">
      <c r="A12" s="20"/>
      <c r="B12" s="35"/>
      <c r="C12" s="73">
        <v>45</v>
      </c>
      <c r="D12" s="67">
        <f t="shared" si="3"/>
        <v>69</v>
      </c>
      <c r="E12" s="67">
        <f t="shared" si="0"/>
        <v>1</v>
      </c>
      <c r="F12" s="68">
        <f t="shared" si="4"/>
        <v>95.42</v>
      </c>
      <c r="G12" s="69">
        <f>IF(D12=D11,"",_xlfn.IFNA(VLOOKUP(D12,'인원 입력 기능(사과탐)'!$K$177:$N$231,4,FALSE),0))</f>
        <v>1260</v>
      </c>
      <c r="H12" s="70">
        <f t="shared" si="1"/>
        <v>1.2657337739962029E-2</v>
      </c>
      <c r="I12" s="80">
        <f>SUM($G$7:G12)</f>
        <v>5193</v>
      </c>
      <c r="J12" s="72">
        <f t="shared" si="5"/>
        <v>5.2166313399700646E-2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기능'!C144</f>
        <v>42</v>
      </c>
    </row>
    <row r="13" spans="1:17" s="22" customFormat="1" ht="25" customHeight="1" x14ac:dyDescent="0.45">
      <c r="A13" s="20"/>
      <c r="B13" s="35"/>
      <c r="C13" s="66">
        <v>44</v>
      </c>
      <c r="D13" s="67">
        <f t="shared" si="3"/>
        <v>68</v>
      </c>
      <c r="E13" s="67">
        <f t="shared" si="0"/>
        <v>2</v>
      </c>
      <c r="F13" s="68">
        <f t="shared" si="4"/>
        <v>94.2</v>
      </c>
      <c r="G13" s="69">
        <f>IF(D13=D12,"",_xlfn.IFNA(VLOOKUP(D13,'인원 입력 기능(사과탐)'!$K$177:$N$231,4,FALSE),0))</f>
        <v>1155</v>
      </c>
      <c r="H13" s="70">
        <f t="shared" si="1"/>
        <v>1.1602559594965192E-2</v>
      </c>
      <c r="I13" s="80">
        <f>SUM($G$7:G13)</f>
        <v>6348</v>
      </c>
      <c r="J13" s="72">
        <f t="shared" si="5"/>
        <v>6.376887299466584E-2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기능'!C145</f>
        <v>38</v>
      </c>
    </row>
    <row r="14" spans="1:17" s="22" customFormat="1" ht="25" customHeight="1" x14ac:dyDescent="0.45">
      <c r="A14" s="20"/>
      <c r="B14" s="35"/>
      <c r="C14" s="73">
        <v>43</v>
      </c>
      <c r="D14" s="67">
        <f t="shared" si="3"/>
        <v>67</v>
      </c>
      <c r="E14" s="67">
        <f t="shared" si="0"/>
        <v>2</v>
      </c>
      <c r="F14" s="68">
        <f t="shared" si="4"/>
        <v>93.26</v>
      </c>
      <c r="G14" s="69">
        <f>IF(D14=D13,"",_xlfn.IFNA(VLOOKUP(D14,'인원 입력 기능(사과탐)'!$K$177:$N$231,4,FALSE),0))</f>
        <v>714</v>
      </c>
      <c r="H14" s="70">
        <f t="shared" si="1"/>
        <v>7.1724913859784823E-3</v>
      </c>
      <c r="I14" s="80">
        <f>SUM($G$7:G14)</f>
        <v>7062</v>
      </c>
      <c r="J14" s="72">
        <f t="shared" si="5"/>
        <v>7.0941364380644314E-2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기능'!C146</f>
        <v>35</v>
      </c>
    </row>
    <row r="15" spans="1:17" s="22" customFormat="1" ht="25" customHeight="1" x14ac:dyDescent="0.45">
      <c r="A15" s="20"/>
      <c r="B15" s="35"/>
      <c r="C15" s="66">
        <v>42</v>
      </c>
      <c r="D15" s="67">
        <f t="shared" si="3"/>
        <v>66</v>
      </c>
      <c r="E15" s="67">
        <f t="shared" si="0"/>
        <v>2</v>
      </c>
      <c r="F15" s="68">
        <f t="shared" si="4"/>
        <v>92.13</v>
      </c>
      <c r="G15" s="69">
        <f>IF(D15=D14,"",_xlfn.IFNA(VLOOKUP(D15,'인원 입력 기능(사과탐)'!$K$177:$N$231,4,FALSE),0))</f>
        <v>1551</v>
      </c>
      <c r="H15" s="70">
        <f t="shared" si="1"/>
        <v>1.5580580027524688E-2</v>
      </c>
      <c r="I15" s="80">
        <f>SUM($G$7:G15)</f>
        <v>8613</v>
      </c>
      <c r="J15" s="72">
        <f t="shared" si="5"/>
        <v>8.6521944408169002E-2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73">
        <v>41</v>
      </c>
      <c r="D16" s="67">
        <f t="shared" si="3"/>
        <v>65</v>
      </c>
      <c r="E16" s="67">
        <f t="shared" si="0"/>
        <v>2</v>
      </c>
      <c r="F16" s="68">
        <f t="shared" si="4"/>
        <v>90.79</v>
      </c>
      <c r="G16" s="69">
        <f>IF(D16=D15,"",_xlfn.IFNA(VLOOKUP(D16,'인원 입력 기능(사과탐)'!$K$177:$N$231,4,FALSE),0))</f>
        <v>1120</v>
      </c>
      <c r="H16" s="70">
        <f t="shared" si="1"/>
        <v>1.1250966879966247E-2</v>
      </c>
      <c r="I16" s="80">
        <f>SUM($G$7:G16)</f>
        <v>9733</v>
      </c>
      <c r="J16" s="72">
        <f t="shared" si="5"/>
        <v>9.7772911288135256E-2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66">
        <v>40</v>
      </c>
      <c r="D17" s="67">
        <f t="shared" si="3"/>
        <v>64</v>
      </c>
      <c r="E17" s="67">
        <f t="shared" si="0"/>
        <v>2</v>
      </c>
      <c r="F17" s="68">
        <f t="shared" si="4"/>
        <v>89.6</v>
      </c>
      <c r="G17" s="69">
        <f>IF(D17=D16,"",_xlfn.IFNA(VLOOKUP(D17,'인원 입력 기능(사과탐)'!$K$177:$N$231,4,FALSE),0))</f>
        <v>1232</v>
      </c>
      <c r="H17" s="70">
        <f t="shared" si="1"/>
        <v>1.2376063567962873E-2</v>
      </c>
      <c r="I17" s="80">
        <f>SUM($G$7:G17)</f>
        <v>10965</v>
      </c>
      <c r="J17" s="72">
        <f t="shared" si="5"/>
        <v>0.11014897485609812</v>
      </c>
      <c r="K17" s="36"/>
      <c r="L17" s="20" t="str">
        <f t="shared" si="2"/>
        <v/>
      </c>
      <c r="N17" s="24"/>
      <c r="Q17" s="24">
        <f>Q7*H3*H4*J3*IFERROR(IF(J57=1, 1, 0), 0)</f>
        <v>1831337920.3652802</v>
      </c>
    </row>
    <row r="18" spans="1:17" s="22" customFormat="1" ht="25" customHeight="1" x14ac:dyDescent="0.45">
      <c r="A18" s="20"/>
      <c r="B18" s="35"/>
      <c r="C18" s="73">
        <v>39</v>
      </c>
      <c r="D18" s="178">
        <f t="shared" si="3"/>
        <v>63</v>
      </c>
      <c r="E18" s="178">
        <f t="shared" si="0"/>
        <v>3</v>
      </c>
      <c r="F18" s="182">
        <f t="shared" si="4"/>
        <v>87.54</v>
      </c>
      <c r="G18" s="184">
        <f>IF(D18=D17,"",_xlfn.IFNA(VLOOKUP(D18,'인원 입력 기능(사과탐)'!$K$177:$N$231,4,FALSE),0))</f>
        <v>2886</v>
      </c>
      <c r="H18" s="186">
        <f t="shared" si="1"/>
        <v>2.899133072819874E-2</v>
      </c>
      <c r="I18" s="194">
        <f>SUM($G$7:G18)</f>
        <v>13851</v>
      </c>
      <c r="J18" s="176">
        <f t="shared" si="5"/>
        <v>0.13914030558429685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66">
        <v>38</v>
      </c>
      <c r="D19" s="179"/>
      <c r="E19" s="179"/>
      <c r="F19" s="183"/>
      <c r="G19" s="185"/>
      <c r="H19" s="187"/>
      <c r="I19" s="195"/>
      <c r="J19" s="177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73">
        <v>37</v>
      </c>
      <c r="D20" s="67">
        <f t="shared" si="3"/>
        <v>62</v>
      </c>
      <c r="E20" s="67">
        <f t="shared" si="0"/>
        <v>3</v>
      </c>
      <c r="F20" s="68">
        <f t="shared" si="4"/>
        <v>85.19</v>
      </c>
      <c r="G20" s="69">
        <f>IF(D20=D19,"",_xlfn.IFNA(VLOOKUP(D20,'인원 입력 기능(사과탐)'!$K$177:$N$231,4,FALSE),0))</f>
        <v>1789</v>
      </c>
      <c r="H20" s="70">
        <f t="shared" si="1"/>
        <v>1.7971410489517513E-2</v>
      </c>
      <c r="I20" s="80">
        <f>SUM($G$7:G20)</f>
        <v>15640</v>
      </c>
      <c r="J20" s="72">
        <f t="shared" si="5"/>
        <v>0.15711171607381438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95">
        <v>36</v>
      </c>
      <c r="D21" s="82">
        <f t="shared" si="3"/>
        <v>61</v>
      </c>
      <c r="E21" s="82">
        <f t="shared" si="0"/>
        <v>3</v>
      </c>
      <c r="F21" s="68">
        <f t="shared" si="4"/>
        <v>83.46</v>
      </c>
      <c r="G21" s="69">
        <f>IF(D21=D20,"",_xlfn.IFNA(VLOOKUP(D21,'인원 입력 기능(사과탐)'!$K$177:$N$231,4,FALSE),0))</f>
        <v>1655</v>
      </c>
      <c r="H21" s="70">
        <f t="shared" si="1"/>
        <v>1.6625312666378695E-2</v>
      </c>
      <c r="I21" s="80">
        <f>SUM($G$7:G21)</f>
        <v>17295</v>
      </c>
      <c r="J21" s="72">
        <f t="shared" si="5"/>
        <v>0.17373702874019306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81">
        <v>35</v>
      </c>
      <c r="D22" s="82">
        <f t="shared" si="3"/>
        <v>60</v>
      </c>
      <c r="E22" s="82">
        <f t="shared" si="0"/>
        <v>3</v>
      </c>
      <c r="F22" s="68">
        <f t="shared" si="4"/>
        <v>81.760000000000005</v>
      </c>
      <c r="G22" s="69">
        <f>IF(D22=D21,"",_xlfn.IFNA(VLOOKUP(D22,'인원 입력 기능(사과탐)'!$K$177:$N$231,4,FALSE),0))</f>
        <v>1728</v>
      </c>
      <c r="H22" s="70">
        <f t="shared" si="1"/>
        <v>1.7358634614805066E-2</v>
      </c>
      <c r="I22" s="80">
        <f>SUM($G$7:G22)</f>
        <v>19023</v>
      </c>
      <c r="J22" s="72">
        <f t="shared" si="5"/>
        <v>0.19109566335499814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95">
        <v>34</v>
      </c>
      <c r="D23" s="82">
        <f t="shared" si="3"/>
        <v>59</v>
      </c>
      <c r="E23" s="82">
        <f t="shared" si="0"/>
        <v>3</v>
      </c>
      <c r="F23" s="68">
        <f t="shared" si="4"/>
        <v>79.83</v>
      </c>
      <c r="G23" s="69">
        <f>IF(D23=D22,"",_xlfn.IFNA(VLOOKUP(D23,'인원 입력 기능(사과탐)'!$K$177:$N$231,4,FALSE),0))</f>
        <v>2106</v>
      </c>
      <c r="H23" s="70">
        <f t="shared" si="1"/>
        <v>2.1155835936793675E-2</v>
      </c>
      <c r="I23" s="80">
        <f>SUM($G$7:G23)</f>
        <v>21129</v>
      </c>
      <c r="J23" s="72">
        <f t="shared" si="5"/>
        <v>0.21225149929179182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81">
        <v>33</v>
      </c>
      <c r="D24" s="82">
        <f t="shared" si="3"/>
        <v>58</v>
      </c>
      <c r="E24" s="82">
        <f t="shared" si="0"/>
        <v>3</v>
      </c>
      <c r="F24" s="68">
        <f t="shared" si="4"/>
        <v>77.8</v>
      </c>
      <c r="G24" s="69">
        <f>IF(D24=D23,"",_xlfn.IFNA(VLOOKUP(D24,'인원 입력 기능(사과탐)'!$K$177:$N$231,4,FALSE),0))</f>
        <v>1934</v>
      </c>
      <c r="H24" s="70">
        <f t="shared" si="1"/>
        <v>1.9428008880227429E-2</v>
      </c>
      <c r="I24" s="80">
        <f>SUM($G$7:G24)</f>
        <v>23063</v>
      </c>
      <c r="J24" s="72">
        <f t="shared" si="5"/>
        <v>0.23167950817201924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95">
        <v>32</v>
      </c>
      <c r="D25" s="82">
        <f t="shared" si="3"/>
        <v>57</v>
      </c>
      <c r="E25" s="82">
        <f t="shared" si="0"/>
        <v>4</v>
      </c>
      <c r="F25" s="68">
        <f t="shared" si="4"/>
        <v>75.680000000000007</v>
      </c>
      <c r="G25" s="69">
        <f>IF(D25=D24,"",_xlfn.IFNA(VLOOKUP(D25,'인원 입력 기능(사과탐)'!$K$177:$N$231,4,FALSE),0))</f>
        <v>2285</v>
      </c>
      <c r="H25" s="70">
        <f t="shared" si="1"/>
        <v>2.2953981536359708E-2</v>
      </c>
      <c r="I25" s="80">
        <f>SUM($G$7:G25)</f>
        <v>25348</v>
      </c>
      <c r="J25" s="72">
        <f t="shared" si="5"/>
        <v>0.25463348970837896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81">
        <v>31</v>
      </c>
      <c r="D26" s="82">
        <f t="shared" si="3"/>
        <v>56</v>
      </c>
      <c r="E26" s="82">
        <f t="shared" si="0"/>
        <v>4</v>
      </c>
      <c r="F26" s="68">
        <f t="shared" si="4"/>
        <v>73.41</v>
      </c>
      <c r="G26" s="69">
        <f>IF(D26=D25,"",_xlfn.IFNA(VLOOKUP(D26,'인원 입력 기능(사과탐)'!$K$177:$N$231,4,FALSE),0))</f>
        <v>2252</v>
      </c>
      <c r="H26" s="70">
        <f t="shared" si="1"/>
        <v>2.2622479833646417E-2</v>
      </c>
      <c r="I26" s="80">
        <f>SUM($G$7:G26)</f>
        <v>27600</v>
      </c>
      <c r="J26" s="72">
        <f t="shared" si="5"/>
        <v>0.27725596954202536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95">
        <v>30</v>
      </c>
      <c r="D27" s="82">
        <f t="shared" si="3"/>
        <v>55</v>
      </c>
      <c r="E27" s="82">
        <f t="shared" si="0"/>
        <v>4</v>
      </c>
      <c r="F27" s="68">
        <f t="shared" si="4"/>
        <v>71.06</v>
      </c>
      <c r="G27" s="69">
        <f>IF(D27=D26,"",_xlfn.IFNA(VLOOKUP(D27,'인원 입력 기능(사과탐)'!$K$177:$N$231,4,FALSE),0))</f>
        <v>2414</v>
      </c>
      <c r="H27" s="70">
        <f t="shared" si="1"/>
        <v>2.4249851828784395E-2</v>
      </c>
      <c r="I27" s="80">
        <f>SUM($G$7:G27)</f>
        <v>30014</v>
      </c>
      <c r="J27" s="72">
        <f t="shared" si="5"/>
        <v>0.30150582137080978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81">
        <v>29</v>
      </c>
      <c r="D28" s="82">
        <f t="shared" si="3"/>
        <v>54</v>
      </c>
      <c r="E28" s="82">
        <f t="shared" si="0"/>
        <v>4</v>
      </c>
      <c r="F28" s="68">
        <f t="shared" si="4"/>
        <v>68.48</v>
      </c>
      <c r="G28" s="69">
        <f>IF(D28=D27,"",_xlfn.IFNA(VLOOKUP(D28,'인원 입력 기능(사과탐)'!$K$177:$N$231,4,FALSE),0))</f>
        <v>2727</v>
      </c>
      <c r="H28" s="70">
        <f t="shared" si="1"/>
        <v>2.7394095251489246E-2</v>
      </c>
      <c r="I28" s="80">
        <f>SUM($G$7:G28)</f>
        <v>32741</v>
      </c>
      <c r="J28" s="72">
        <f t="shared" si="5"/>
        <v>0.328899916622299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95">
        <v>28</v>
      </c>
      <c r="D29" s="180">
        <f t="shared" si="3"/>
        <v>53</v>
      </c>
      <c r="E29" s="180">
        <f t="shared" si="0"/>
        <v>4</v>
      </c>
      <c r="F29" s="182">
        <f t="shared" si="4"/>
        <v>64.3</v>
      </c>
      <c r="G29" s="184">
        <f>IF(D29=D28,"",_xlfn.IFNA(VLOOKUP(D29,'인원 입력 기능(사과탐)'!$K$177:$N$231,4,FALSE),0))</f>
        <v>5599</v>
      </c>
      <c r="H29" s="186">
        <f t="shared" si="1"/>
        <v>5.6244788893688412E-2</v>
      </c>
      <c r="I29" s="194">
        <f>SUM($G$7:G29)</f>
        <v>38340</v>
      </c>
      <c r="J29" s="176">
        <f t="shared" si="5"/>
        <v>0.3851447055159874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81">
        <v>27</v>
      </c>
      <c r="D30" s="181"/>
      <c r="E30" s="181"/>
      <c r="F30" s="183"/>
      <c r="G30" s="185"/>
      <c r="H30" s="187"/>
      <c r="I30" s="195"/>
      <c r="J30" s="177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95">
        <v>26</v>
      </c>
      <c r="D31" s="82">
        <f t="shared" si="3"/>
        <v>52</v>
      </c>
      <c r="E31" s="82">
        <f t="shared" si="0"/>
        <v>4</v>
      </c>
      <c r="F31" s="68">
        <f t="shared" si="4"/>
        <v>60.02</v>
      </c>
      <c r="G31" s="69">
        <f>IF(D31=D30,"",_xlfn.IFNA(VLOOKUP(D31,'인원 입력 기능(사과탐)'!$K$177:$N$231,4,FALSE),0))</f>
        <v>2910</v>
      </c>
      <c r="H31" s="70">
        <f t="shared" si="1"/>
        <v>2.923242287562659E-2</v>
      </c>
      <c r="I31" s="80">
        <f>SUM($G$7:G31)</f>
        <v>41250</v>
      </c>
      <c r="J31" s="72">
        <f t="shared" si="5"/>
        <v>0.414377128391614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81">
        <v>25</v>
      </c>
      <c r="D32" s="82">
        <f t="shared" si="3"/>
        <v>51</v>
      </c>
      <c r="E32" s="82">
        <f t="shared" si="0"/>
        <v>5</v>
      </c>
      <c r="F32" s="68">
        <f t="shared" si="4"/>
        <v>56.93</v>
      </c>
      <c r="G32" s="69">
        <f>IF(D32=D31,"",_xlfn.IFNA(VLOOKUP(D32,'인원 입력 기능(사과탐)'!$K$177:$N$231,4,FALSE),0))</f>
        <v>3242</v>
      </c>
      <c r="H32" s="70">
        <f t="shared" si="1"/>
        <v>3.2567530915045155E-2</v>
      </c>
      <c r="I32" s="80">
        <f>SUM($G$7:G32)</f>
        <v>44492</v>
      </c>
      <c r="J32" s="72">
        <f t="shared" si="5"/>
        <v>0.44694465930665916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95">
        <v>24</v>
      </c>
      <c r="D33" s="82">
        <f t="shared" si="3"/>
        <v>50</v>
      </c>
      <c r="E33" s="82">
        <f t="shared" si="0"/>
        <v>5</v>
      </c>
      <c r="F33" s="68">
        <f t="shared" si="4"/>
        <v>53.64</v>
      </c>
      <c r="G33" s="69">
        <f>IF(D33=D32,"",_xlfn.IFNA(VLOOKUP(D33,'인원 입력 기능(사과탐)'!$K$177:$N$231,4,FALSE),0))</f>
        <v>3319</v>
      </c>
      <c r="H33" s="70">
        <f t="shared" si="1"/>
        <v>3.3341034888042832E-2</v>
      </c>
      <c r="I33" s="80">
        <f>SUM($G$7:G33)</f>
        <v>47811</v>
      </c>
      <c r="J33" s="72">
        <f t="shared" si="5"/>
        <v>0.48028569419470202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81">
        <v>23</v>
      </c>
      <c r="D34" s="82">
        <f t="shared" si="3"/>
        <v>49</v>
      </c>
      <c r="E34" s="82">
        <f t="shared" si="0"/>
        <v>5</v>
      </c>
      <c r="F34" s="68">
        <f t="shared" si="4"/>
        <v>50.33</v>
      </c>
      <c r="G34" s="69">
        <f>IF(D34=D33,"",_xlfn.IFNA(VLOOKUP(D34,'인원 입력 기능(사과탐)'!$K$177:$N$231,4,FALSE),0))</f>
        <v>3266</v>
      </c>
      <c r="H34" s="70">
        <f t="shared" si="1"/>
        <v>3.2808623062473001E-2</v>
      </c>
      <c r="I34" s="80">
        <f>SUM($G$7:G34)</f>
        <v>51077</v>
      </c>
      <c r="J34" s="72">
        <f t="shared" si="5"/>
        <v>0.51309431725717503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95">
        <v>22</v>
      </c>
      <c r="D35" s="82">
        <f t="shared" si="3"/>
        <v>48</v>
      </c>
      <c r="E35" s="82">
        <f t="shared" si="0"/>
        <v>5</v>
      </c>
      <c r="F35" s="68">
        <f t="shared" si="4"/>
        <v>46.9</v>
      </c>
      <c r="G35" s="69">
        <f>IF(D35=D34,"",_xlfn.IFNA(VLOOKUP(D35,'인원 입력 기능(사과탐)'!$K$177:$N$231,4,FALSE),0))</f>
        <v>3560</v>
      </c>
      <c r="H35" s="70">
        <f t="shared" si="1"/>
        <v>3.5762001868464142E-2</v>
      </c>
      <c r="I35" s="80">
        <f>SUM($G$7:G35)</f>
        <v>54637</v>
      </c>
      <c r="J35" s="72">
        <f t="shared" si="5"/>
        <v>0.54885631912563915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81">
        <v>21</v>
      </c>
      <c r="D36" s="82">
        <f t="shared" si="3"/>
        <v>47</v>
      </c>
      <c r="E36" s="82">
        <f t="shared" si="0"/>
        <v>5</v>
      </c>
      <c r="F36" s="68">
        <f t="shared" si="4"/>
        <v>43.45</v>
      </c>
      <c r="G36" s="69">
        <f>IF(D36=D35,"",_xlfn.IFNA(VLOOKUP(D36,'인원 입력 기능(사과탐)'!$K$177:$N$231,4,FALSE),0))</f>
        <v>3308</v>
      </c>
      <c r="H36" s="70">
        <f t="shared" si="1"/>
        <v>3.3230534320471738E-2</v>
      </c>
      <c r="I36" s="80">
        <f>SUM($G$7:G36)</f>
        <v>57945</v>
      </c>
      <c r="J36" s="72">
        <f t="shared" si="5"/>
        <v>0.58208685344611089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95">
        <v>20</v>
      </c>
      <c r="D37" s="82">
        <f t="shared" si="3"/>
        <v>46</v>
      </c>
      <c r="E37" s="82">
        <f t="shared" si="0"/>
        <v>5</v>
      </c>
      <c r="F37" s="68">
        <f t="shared" si="4"/>
        <v>39.950000000000003</v>
      </c>
      <c r="G37" s="69">
        <f>IF(D37=D36,"",_xlfn.IFNA(VLOOKUP(D37,'인원 입력 기능(사과탐)'!$K$177:$N$231,4,FALSE),0))</f>
        <v>3671</v>
      </c>
      <c r="H37" s="70">
        <f t="shared" si="1"/>
        <v>3.6877053050317937E-2</v>
      </c>
      <c r="I37" s="80">
        <f>SUM($G$7:G37)</f>
        <v>61616</v>
      </c>
      <c r="J37" s="72">
        <f t="shared" si="5"/>
        <v>0.61896390649642885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81">
        <v>19</v>
      </c>
      <c r="D38" s="82">
        <f t="shared" si="3"/>
        <v>45</v>
      </c>
      <c r="E38" s="82">
        <f t="shared" si="0"/>
        <v>6</v>
      </c>
      <c r="F38" s="68">
        <f t="shared" si="4"/>
        <v>36.44</v>
      </c>
      <c r="G38" s="69">
        <f>IF(D38=D37,"",_xlfn.IFNA(VLOOKUP(D38,'인원 입력 기능(사과탐)'!$K$177:$N$231,4,FALSE),0))</f>
        <v>3315</v>
      </c>
      <c r="H38" s="70">
        <f t="shared" si="1"/>
        <v>3.3300852863471529E-2</v>
      </c>
      <c r="I38" s="80">
        <f>SUM($G$7:G38)</f>
        <v>64931</v>
      </c>
      <c r="J38" s="72">
        <f t="shared" si="5"/>
        <v>0.65226475935990036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95">
        <v>18</v>
      </c>
      <c r="D39" s="180">
        <f t="shared" si="3"/>
        <v>44</v>
      </c>
      <c r="E39" s="18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182">
        <f t="shared" si="4"/>
        <v>31.29</v>
      </c>
      <c r="G39" s="184">
        <f>IF(D39=D38,"",_xlfn.IFNA(VLOOKUP(D39,'인원 입력 기능(사과탐)'!$K$177:$N$231,4,FALSE),0))</f>
        <v>6933</v>
      </c>
      <c r="H39" s="186">
        <f t="shared" si="1"/>
        <v>6.9645494088219628E-2</v>
      </c>
      <c r="I39" s="194">
        <f>SUM($G$7:G39)</f>
        <v>71864</v>
      </c>
      <c r="J39" s="176">
        <f t="shared" si="5"/>
        <v>0.72191025344811999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81">
        <v>17</v>
      </c>
      <c r="D40" s="181"/>
      <c r="E40" s="181"/>
      <c r="F40" s="183"/>
      <c r="G40" s="185"/>
      <c r="H40" s="187"/>
      <c r="I40" s="195"/>
      <c r="J40" s="177"/>
      <c r="K40" s="36"/>
      <c r="L40" s="20" t="str">
        <f t="shared" si="2"/>
        <v>경고</v>
      </c>
      <c r="N40" s="24"/>
    </row>
    <row r="41" spans="1:14" s="22" customFormat="1" ht="25" customHeight="1" x14ac:dyDescent="0.45">
      <c r="A41" s="20"/>
      <c r="B41" s="35"/>
      <c r="C41" s="95">
        <v>16</v>
      </c>
      <c r="D41" s="82">
        <f t="shared" si="3"/>
        <v>43</v>
      </c>
      <c r="E41" s="82">
        <f t="shared" si="6"/>
        <v>6</v>
      </c>
      <c r="F41" s="68">
        <f t="shared" si="4"/>
        <v>26.33</v>
      </c>
      <c r="G41" s="69">
        <f>IF(D41=D40,"",_xlfn.IFNA(VLOOKUP(D41,'인원 입력 기능(사과탐)'!$K$177:$N$231,4,FALSE),0))</f>
        <v>2953</v>
      </c>
      <c r="H41" s="70">
        <f t="shared" si="1"/>
        <v>2.9664379639768149E-2</v>
      </c>
      <c r="I41" s="80">
        <f>SUM($G$7:G41)</f>
        <v>74817</v>
      </c>
      <c r="J41" s="72">
        <f t="shared" si="5"/>
        <v>0.75157463308788819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81">
        <v>15</v>
      </c>
      <c r="D42" s="82">
        <f t="shared" si="3"/>
        <v>42</v>
      </c>
      <c r="E42" s="82">
        <f t="shared" si="6"/>
        <v>6</v>
      </c>
      <c r="F42" s="68">
        <f t="shared" si="4"/>
        <v>23.06</v>
      </c>
      <c r="G42" s="69">
        <f>IF(D42=D41,"",_xlfn.IFNA(VLOOKUP(D42,'인원 입력 기능(사과탐)'!$K$177:$N$231,4,FALSE),0))</f>
        <v>3556</v>
      </c>
      <c r="H42" s="70">
        <f t="shared" si="1"/>
        <v>3.5721819843892832E-2</v>
      </c>
      <c r="I42" s="80">
        <f>SUM($G$7:G42)</f>
        <v>78373</v>
      </c>
      <c r="J42" s="72">
        <f t="shared" si="5"/>
        <v>0.78729645293178097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95">
        <v>14</v>
      </c>
      <c r="D43" s="82">
        <f t="shared" si="3"/>
        <v>41</v>
      </c>
      <c r="E43" s="82">
        <f t="shared" si="6"/>
        <v>7</v>
      </c>
      <c r="F43" s="68">
        <f t="shared" si="4"/>
        <v>20</v>
      </c>
      <c r="G43" s="69">
        <f>IF(D43=D42,"",_xlfn.IFNA(VLOOKUP(D43,'인원 입력 기능(사과탐)'!$K$177:$N$231,4,FALSE),0))</f>
        <v>2526</v>
      </c>
      <c r="H43" s="70">
        <f t="shared" si="1"/>
        <v>2.5374948516781019E-2</v>
      </c>
      <c r="I43" s="80">
        <f>SUM($G$7:G43)</f>
        <v>80899</v>
      </c>
      <c r="J43" s="72">
        <f t="shared" si="5"/>
        <v>0.81267140144856198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81">
        <v>13</v>
      </c>
      <c r="D44" s="82">
        <f t="shared" si="3"/>
        <v>40</v>
      </c>
      <c r="E44" s="82">
        <f t="shared" si="6"/>
        <v>7</v>
      </c>
      <c r="F44" s="68">
        <f t="shared" si="4"/>
        <v>16.84</v>
      </c>
      <c r="G44" s="69">
        <f>IF(D44=D43,"",_xlfn.IFNA(VLOOKUP(D44,'인원 입력 기능(사과탐)'!$K$177:$N$231,4,FALSE),0))</f>
        <v>3772</v>
      </c>
      <c r="H44" s="70">
        <f t="shared" si="1"/>
        <v>3.7891649170743467E-2</v>
      </c>
      <c r="I44" s="80">
        <f>SUM($G$7:G44)</f>
        <v>84671</v>
      </c>
      <c r="J44" s="72">
        <f t="shared" si="5"/>
        <v>0.85056305061930548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95">
        <v>12</v>
      </c>
      <c r="D45" s="82">
        <f t="shared" si="3"/>
        <v>39</v>
      </c>
      <c r="E45" s="82">
        <f t="shared" si="6"/>
        <v>7</v>
      </c>
      <c r="F45" s="68">
        <f t="shared" si="4"/>
        <v>13.66</v>
      </c>
      <c r="G45" s="69">
        <f>IF(D45=D44,"",_xlfn.IFNA(VLOOKUP(D45,'인원 입력 기능(사과탐)'!$K$177:$N$231,4,FALSE),0))</f>
        <v>2565</v>
      </c>
      <c r="H45" s="70">
        <f t="shared" si="1"/>
        <v>2.5766723256351272E-2</v>
      </c>
      <c r="I45" s="80">
        <f>SUM($G$7:G45)</f>
        <v>87236</v>
      </c>
      <c r="J45" s="72">
        <f t="shared" si="5"/>
        <v>0.87632977387565669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81">
        <v>11</v>
      </c>
      <c r="D46" s="82">
        <f t="shared" si="3"/>
        <v>38</v>
      </c>
      <c r="E46" s="82">
        <f t="shared" si="6"/>
        <v>7</v>
      </c>
      <c r="F46" s="68">
        <f t="shared" si="4"/>
        <v>11.52</v>
      </c>
      <c r="G46" s="69">
        <f>IF(D46=D45,"",_xlfn.IFNA(VLOOKUP(D46,'인원 입력 기능(사과탐)'!$K$177:$N$231,4,FALSE),0))</f>
        <v>1681</v>
      </c>
      <c r="H46" s="70">
        <f t="shared" si="1"/>
        <v>1.6886495826092196E-2</v>
      </c>
      <c r="I46" s="80">
        <f>SUM($G$7:G46)</f>
        <v>88917</v>
      </c>
      <c r="J46" s="72">
        <f t="shared" si="5"/>
        <v>0.89321626970174894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95">
        <v>10</v>
      </c>
      <c r="D47" s="82">
        <f t="shared" si="3"/>
        <v>37</v>
      </c>
      <c r="E47" s="82">
        <f t="shared" si="6"/>
        <v>8</v>
      </c>
      <c r="F47" s="68">
        <f t="shared" si="4"/>
        <v>9.31</v>
      </c>
      <c r="G47" s="69">
        <f>IF(D47=D46,"",_xlfn.IFNA(VLOOKUP(D47,'인원 입력 기능(사과탐)'!$K$177:$N$231,4,FALSE),0))</f>
        <v>2726</v>
      </c>
      <c r="H47" s="70">
        <f t="shared" si="1"/>
        <v>2.7384049745346421E-2</v>
      </c>
      <c r="I47" s="80">
        <f>SUM($G$7:G47)</f>
        <v>91643</v>
      </c>
      <c r="J47" s="72">
        <f t="shared" si="5"/>
        <v>0.92060031944709531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81">
        <v>9</v>
      </c>
      <c r="D48" s="82">
        <f t="shared" si="3"/>
        <v>36</v>
      </c>
      <c r="E48" s="82">
        <f t="shared" si="6"/>
        <v>8</v>
      </c>
      <c r="F48" s="68">
        <f t="shared" si="4"/>
        <v>7.02</v>
      </c>
      <c r="G48" s="69">
        <f>IF(D48=D47,"",_xlfn.IFNA(VLOOKUP(D48,'인원 입력 기능(사과탐)'!$K$177:$N$231,4,FALSE),0))</f>
        <v>1825</v>
      </c>
      <c r="H48" s="70">
        <f t="shared" si="1"/>
        <v>1.8333048710659286E-2</v>
      </c>
      <c r="I48" s="80">
        <f>SUM($G$7:G48)</f>
        <v>93468</v>
      </c>
      <c r="J48" s="72">
        <f t="shared" si="5"/>
        <v>0.93893336815775463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95">
        <v>8</v>
      </c>
      <c r="D49" s="82">
        <f t="shared" si="3"/>
        <v>35</v>
      </c>
      <c r="E49" s="82">
        <f t="shared" si="6"/>
        <v>8</v>
      </c>
      <c r="F49" s="68">
        <f t="shared" si="4"/>
        <v>4.54</v>
      </c>
      <c r="G49" s="69">
        <f>IF(D49=D48,"",_xlfn.IFNA(VLOOKUP(D49,'인원 입력 기능(사과탐)'!$K$177:$N$231,4,FALSE),0))</f>
        <v>3121</v>
      </c>
      <c r="H49" s="70">
        <f t="shared" si="1"/>
        <v>3.1352024671763089E-2</v>
      </c>
      <c r="I49" s="80">
        <f>SUM($G$7:G49)</f>
        <v>96589</v>
      </c>
      <c r="J49" s="72">
        <f t="shared" si="5"/>
        <v>0.97028539282951776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81">
        <v>7</v>
      </c>
      <c r="D50" s="180">
        <f t="shared" si="3"/>
        <v>34</v>
      </c>
      <c r="E50" s="180">
        <f t="shared" si="6"/>
        <v>9</v>
      </c>
      <c r="F50" s="182">
        <f t="shared" si="4"/>
        <v>2.2400000000000002</v>
      </c>
      <c r="G50" s="184">
        <f>IF(D50=D49,"",_xlfn.IFNA(VLOOKUP(D50,'인원 입력 기능(사과탐)'!$K$177:$N$231,4,FALSE),0))</f>
        <v>1462</v>
      </c>
      <c r="H50" s="186">
        <f t="shared" si="1"/>
        <v>1.4686529980813084E-2</v>
      </c>
      <c r="I50" s="194">
        <f>SUM($G$7:G50)</f>
        <v>98051</v>
      </c>
      <c r="J50" s="176">
        <f t="shared" si="5"/>
        <v>0.98497192281033075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95">
        <v>6</v>
      </c>
      <c r="D51" s="181"/>
      <c r="E51" s="181"/>
      <c r="F51" s="183"/>
      <c r="G51" s="185"/>
      <c r="H51" s="187"/>
      <c r="I51" s="195"/>
      <c r="J51" s="177"/>
      <c r="K51" s="36"/>
      <c r="L51" s="20" t="str">
        <f t="shared" si="2"/>
        <v>경고</v>
      </c>
      <c r="N51" s="24"/>
    </row>
    <row r="52" spans="1:14" s="22" customFormat="1" ht="25" customHeight="1" x14ac:dyDescent="0.45">
      <c r="A52" s="20"/>
      <c r="B52" s="35"/>
      <c r="C52" s="81">
        <v>5</v>
      </c>
      <c r="D52" s="82">
        <f t="shared" si="3"/>
        <v>33</v>
      </c>
      <c r="E52" s="82">
        <f t="shared" si="6"/>
        <v>9</v>
      </c>
      <c r="F52" s="68">
        <f t="shared" si="4"/>
        <v>1.25</v>
      </c>
      <c r="G52" s="69">
        <f>IF(D52=D51,"",_xlfn.IFNA(VLOOKUP(D52,'인원 입력 기능(사과탐)'!$K$177:$N$231,4,FALSE),0))</f>
        <v>502</v>
      </c>
      <c r="H52" s="70">
        <f t="shared" si="1"/>
        <v>5.0428440836991573E-3</v>
      </c>
      <c r="I52" s="80">
        <f>SUM($G$7:G52)</f>
        <v>98553</v>
      </c>
      <c r="J52" s="72">
        <f t="shared" si="5"/>
        <v>0.99001476689403001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66">
        <v>4</v>
      </c>
      <c r="D53" s="67">
        <f t="shared" si="3"/>
        <v>32</v>
      </c>
      <c r="E53" s="67">
        <f t="shared" si="6"/>
        <v>9</v>
      </c>
      <c r="F53" s="68">
        <f t="shared" si="4"/>
        <v>0.85</v>
      </c>
      <c r="G53" s="69">
        <f>IF(D53=D52,"",_xlfn.IFNA(VLOOKUP(D53,'인원 입력 기능(사과탐)'!$K$177:$N$231,4,FALSE),0))</f>
        <v>289</v>
      </c>
      <c r="H53" s="70">
        <f t="shared" si="1"/>
        <v>2.9031512752770048E-3</v>
      </c>
      <c r="I53" s="80">
        <f>SUM($G$7:G53)</f>
        <v>98842</v>
      </c>
      <c r="J53" s="72">
        <f t="shared" si="5"/>
        <v>0.99291791816930697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73">
        <v>3</v>
      </c>
      <c r="D54" s="67">
        <f t="shared" si="3"/>
        <v>31</v>
      </c>
      <c r="E54" s="67">
        <f t="shared" si="6"/>
        <v>9</v>
      </c>
      <c r="F54" s="68">
        <f t="shared" si="4"/>
        <v>0.61</v>
      </c>
      <c r="G54" s="69">
        <f>IF(D54=D53,"",_xlfn.IFNA(VLOOKUP(D54,'인원 입력 기능(사과탐)'!$K$177:$N$231,4,FALSE),0))</f>
        <v>189</v>
      </c>
      <c r="H54" s="70">
        <f t="shared" si="1"/>
        <v>1.8986006609943043E-3</v>
      </c>
      <c r="I54" s="80">
        <f>SUM($G$7:G54)</f>
        <v>99031</v>
      </c>
      <c r="J54" s="72">
        <f t="shared" si="5"/>
        <v>0.99481651883030131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66">
        <v>2</v>
      </c>
      <c r="D55" s="67">
        <f t="shared" si="3"/>
        <v>30</v>
      </c>
      <c r="E55" s="67">
        <f t="shared" si="6"/>
        <v>9</v>
      </c>
      <c r="F55" s="68">
        <f t="shared" si="4"/>
        <v>0.43</v>
      </c>
      <c r="G55" s="69">
        <f>IF(D55=D54,"",_xlfn.IFNA(VLOOKUP(D55,'인원 입력 기능(사과탐)'!$K$177:$N$231,4,FALSE),0))</f>
        <v>174</v>
      </c>
      <c r="H55" s="70">
        <f t="shared" si="1"/>
        <v>1.747918068851899E-3</v>
      </c>
      <c r="I55" s="80">
        <f>SUM($G$7:G55)</f>
        <v>99205</v>
      </c>
      <c r="J55" s="72">
        <f t="shared" si="5"/>
        <v>0.99656443689915319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73">
        <v>1</v>
      </c>
      <c r="D56" s="74" t="s">
        <v>59</v>
      </c>
      <c r="E56" s="74"/>
      <c r="F56" s="75"/>
      <c r="G56" s="96"/>
      <c r="H56" s="94"/>
      <c r="I56" s="84"/>
      <c r="J56" s="79"/>
      <c r="K56" s="36"/>
      <c r="L56" s="20"/>
      <c r="N56" s="24"/>
    </row>
    <row r="57" spans="1:14" s="22" customFormat="1" ht="25" customHeight="1" thickBot="1" x14ac:dyDescent="0.5">
      <c r="A57" s="20"/>
      <c r="B57" s="35"/>
      <c r="C57" s="97">
        <v>0</v>
      </c>
      <c r="D57" s="86">
        <f>ROUND(10*(C57-$H$3)/$H$4+50,0)</f>
        <v>28</v>
      </c>
      <c r="E57" s="98">
        <f t="shared" si="6"/>
        <v>9</v>
      </c>
      <c r="F57" s="87">
        <f>IF(I55=0,ROUND(100*(1-(I54+I57)/2/$J$3),2),ROUND(100*(1-(I55+I57)/2/$J$3),2))</f>
        <v>0.17</v>
      </c>
      <c r="G57" s="99">
        <f>_xlfn.IFNA(VLOOKUP(D57,'인원 입력 기능(사과탐)'!$K$177:$N$231,4,FALSE),0)</f>
        <v>342</v>
      </c>
      <c r="H57" s="89">
        <f>G57/$J$3</f>
        <v>3.4355631008468361E-3</v>
      </c>
      <c r="I57" s="90">
        <f>SUM($G$7:G57)</f>
        <v>99547</v>
      </c>
      <c r="J57" s="100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0">
    <mergeCell ref="D3:F3"/>
    <mergeCell ref="D4:F4"/>
    <mergeCell ref="D18:D19"/>
    <mergeCell ref="E18:E19"/>
    <mergeCell ref="F18:F19"/>
    <mergeCell ref="G18:G19"/>
    <mergeCell ref="H18:H19"/>
    <mergeCell ref="I18:I19"/>
    <mergeCell ref="J18:J19"/>
    <mergeCell ref="D29:D30"/>
    <mergeCell ref="E29:E30"/>
    <mergeCell ref="F29:F30"/>
    <mergeCell ref="G29:G30"/>
    <mergeCell ref="H29:H30"/>
    <mergeCell ref="I29:I30"/>
    <mergeCell ref="J29:J30"/>
    <mergeCell ref="I39:I40"/>
    <mergeCell ref="J39:J40"/>
    <mergeCell ref="D50:D51"/>
    <mergeCell ref="E50:E51"/>
    <mergeCell ref="F50:F51"/>
    <mergeCell ref="G50:G51"/>
    <mergeCell ref="H50:H51"/>
    <mergeCell ref="I50:I51"/>
    <mergeCell ref="J50:J51"/>
    <mergeCell ref="D39:D40"/>
    <mergeCell ref="E39:E40"/>
    <mergeCell ref="F39:F40"/>
    <mergeCell ref="G39:G40"/>
    <mergeCell ref="H39:H40"/>
  </mergeCells>
  <phoneticPr fontId="1" type="noConversion"/>
  <conditionalFormatting sqref="D7:G18 I7:J18 D20:G29 I20:J29 D31:G39 I31:J39 D41:G50 I41:J50 D52:G57 I52:J57">
    <cfRule type="expression" dxfId="30" priority="5">
      <formula>OR($D7=$Q$7:$Q$14)</formula>
    </cfRule>
  </conditionalFormatting>
  <conditionalFormatting sqref="C7:C57">
    <cfRule type="expression" dxfId="29" priority="4">
      <formula>OR(AND($D7=0,OR($D6=$Q$7:$Q$14)),AND($D8&gt;0,OR($D7=$Q$7:$Q$14)))</formula>
    </cfRule>
  </conditionalFormatting>
  <conditionalFormatting sqref="D7:D18 D20:D29 D31:D39 D41:D50 D52:D57">
    <cfRule type="expression" dxfId="28" priority="2">
      <formula>$D7=$D8</formula>
    </cfRule>
  </conditionalFormatting>
  <conditionalFormatting sqref="H7:H18 H20:H29 H31:H39 H41:H50 H52:H57">
    <cfRule type="expression" dxfId="27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ADD5B-C474-4501-A149-318FD835DF8F}">
  <sheetPr codeName="Sheet22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113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기능'!D20</f>
        <v>21.362958063235801</v>
      </c>
      <c r="I3" s="21" t="s">
        <v>117</v>
      </c>
      <c r="J3" s="58">
        <f>'통계 및 응시자 수 입력 기능'!C20</f>
        <v>75590</v>
      </c>
      <c r="K3" s="36"/>
      <c r="L3" s="20"/>
    </row>
    <row r="4" spans="1:17" s="22" customFormat="1" ht="25" customHeight="1" thickBot="1" x14ac:dyDescent="0.5">
      <c r="A4" s="20"/>
      <c r="B4" s="35"/>
      <c r="C4" s="59" t="s">
        <v>118</v>
      </c>
      <c r="D4" s="191" t="s">
        <v>139</v>
      </c>
      <c r="E4" s="192"/>
      <c r="F4" s="193"/>
      <c r="G4" s="60" t="s">
        <v>120</v>
      </c>
      <c r="H4" s="61">
        <f>'통계 및 응시자 수 입력 기능'!E20</f>
        <v>11.6728308162223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62" t="s">
        <v>121</v>
      </c>
      <c r="D6" s="63" t="s">
        <v>122</v>
      </c>
      <c r="E6" s="63" t="s">
        <v>123</v>
      </c>
      <c r="F6" s="63" t="s">
        <v>124</v>
      </c>
      <c r="G6" s="63" t="s">
        <v>125</v>
      </c>
      <c r="H6" s="63" t="s">
        <v>126</v>
      </c>
      <c r="I6" s="64" t="s">
        <v>127</v>
      </c>
      <c r="J6" s="65" t="s">
        <v>128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66">
        <v>50</v>
      </c>
      <c r="D7" s="67">
        <f>ROUND(10*(C7-$H$3)/$H$4+50,0)</f>
        <v>75</v>
      </c>
      <c r="E7" s="67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8">
        <f>ROUND(100*(1-(0+I7)/2/$J$3),2)</f>
        <v>99.53</v>
      </c>
      <c r="G7" s="69">
        <f>_xlfn.IFNA(VLOOKUP(D7,'인원 입력 기능(사과탐)'!$P$177:$S$231,4,FALSE),0)</f>
        <v>703</v>
      </c>
      <c r="H7" s="70">
        <f>G7/$J$3</f>
        <v>9.3001719804206903E-3</v>
      </c>
      <c r="I7" s="71">
        <f>G7</f>
        <v>703</v>
      </c>
      <c r="J7" s="72">
        <f>I7/$J$3</f>
        <v>9.3001719804206903E-3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기능'!C148</f>
        <v>70</v>
      </c>
    </row>
    <row r="8" spans="1:17" s="22" customFormat="1" ht="25" customHeight="1" x14ac:dyDescent="0.45">
      <c r="A8" s="20"/>
      <c r="B8" s="35"/>
      <c r="C8" s="73">
        <v>49</v>
      </c>
      <c r="D8" s="74" t="s">
        <v>59</v>
      </c>
      <c r="E8" s="74"/>
      <c r="F8" s="75"/>
      <c r="G8" s="76"/>
      <c r="H8" s="94"/>
      <c r="I8" s="78"/>
      <c r="J8" s="79"/>
      <c r="K8" s="36"/>
      <c r="L8" s="20"/>
      <c r="N8" s="24"/>
      <c r="P8" s="24">
        <v>2</v>
      </c>
      <c r="Q8" s="24">
        <f>'표점등급&amp;절평인원 입력 기능'!C149</f>
        <v>64</v>
      </c>
    </row>
    <row r="9" spans="1:17" s="22" customFormat="1" ht="25" customHeight="1" x14ac:dyDescent="0.45">
      <c r="A9" s="20"/>
      <c r="B9" s="35"/>
      <c r="C9" s="66">
        <v>48</v>
      </c>
      <c r="D9" s="67">
        <f>ROUND(10*(C9-$H$3)/$H$4+50,0)</f>
        <v>73</v>
      </c>
      <c r="E9" s="67">
        <f t="shared" si="0"/>
        <v>1</v>
      </c>
      <c r="F9" s="68">
        <f>IF(I8=0,ROUND(100*(1-(I7+I9)/2/$J$3),2),ROUND(100*(1-(I8+I9)/2/$J$3),2))</f>
        <v>98.72</v>
      </c>
      <c r="G9" s="69">
        <f>_xlfn.IFNA(VLOOKUP(D9,'인원 입력 기능(사과탐)'!$P$177:$S$231,4,FALSE),0)</f>
        <v>526</v>
      </c>
      <c r="H9" s="70">
        <f t="shared" ref="H9:H55" si="1">G9/$J$3</f>
        <v>6.9585924064029638E-3</v>
      </c>
      <c r="I9" s="80">
        <f>SUM($G$7:G9)</f>
        <v>1229</v>
      </c>
      <c r="J9" s="72">
        <f>I9/$J$3</f>
        <v>1.6258764386823655E-2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기능'!C150</f>
        <v>58</v>
      </c>
    </row>
    <row r="10" spans="1:17" s="22" customFormat="1" ht="25" customHeight="1" x14ac:dyDescent="0.45">
      <c r="A10" s="20"/>
      <c r="B10" s="35"/>
      <c r="C10" s="73">
        <v>47</v>
      </c>
      <c r="D10" s="67">
        <f t="shared" ref="D10:D55" si="3">ROUND(10*(C10-$H$3)/$H$4+50,0)</f>
        <v>72</v>
      </c>
      <c r="E10" s="67">
        <f t="shared" si="0"/>
        <v>1</v>
      </c>
      <c r="F10" s="68">
        <f t="shared" ref="F10:F55" si="4">IF(I9=0,ROUND(100*(1-(I8+I10)/2/$J$3),2),ROUND(100*(1-(I9+I10)/2/$J$3),2))</f>
        <v>97.93</v>
      </c>
      <c r="G10" s="69">
        <f>IF(D10=D9,"",_xlfn.IFNA(VLOOKUP(D10,'인원 입력 기능(사과탐)'!$P$177:$S$231,4,FALSE),0))</f>
        <v>671</v>
      </c>
      <c r="H10" s="70">
        <f t="shared" si="1"/>
        <v>8.8768355602592934E-3</v>
      </c>
      <c r="I10" s="80">
        <f>SUM($G$7:G10)</f>
        <v>1900</v>
      </c>
      <c r="J10" s="72">
        <f t="shared" ref="J10:J55" si="5">I10/$J$3</f>
        <v>2.5135599947082948E-2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기능'!C151</f>
        <v>51</v>
      </c>
    </row>
    <row r="11" spans="1:17" s="22" customFormat="1" ht="25" customHeight="1" x14ac:dyDescent="0.45">
      <c r="A11" s="20"/>
      <c r="B11" s="35"/>
      <c r="C11" s="66">
        <v>46</v>
      </c>
      <c r="D11" s="67">
        <f t="shared" si="3"/>
        <v>71</v>
      </c>
      <c r="E11" s="67">
        <f t="shared" si="0"/>
        <v>1</v>
      </c>
      <c r="F11" s="68">
        <f t="shared" si="4"/>
        <v>97.3</v>
      </c>
      <c r="G11" s="69">
        <f>IF(D11=D10,"",_xlfn.IFNA(VLOOKUP(D11,'인원 입력 기능(사과탐)'!$P$177:$S$231,4,FALSE),0))</f>
        <v>287</v>
      </c>
      <c r="H11" s="70">
        <f t="shared" si="1"/>
        <v>3.7967985183225295E-3</v>
      </c>
      <c r="I11" s="80">
        <f>SUM($G$7:G11)</f>
        <v>2187</v>
      </c>
      <c r="J11" s="72">
        <f t="shared" si="5"/>
        <v>2.8932398465405476E-2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기능'!C152</f>
        <v>45</v>
      </c>
    </row>
    <row r="12" spans="1:17" s="22" customFormat="1" ht="25" customHeight="1" x14ac:dyDescent="0.45">
      <c r="A12" s="20"/>
      <c r="B12" s="35"/>
      <c r="C12" s="73">
        <v>45</v>
      </c>
      <c r="D12" s="67">
        <f t="shared" si="3"/>
        <v>70</v>
      </c>
      <c r="E12" s="67">
        <f t="shared" si="0"/>
        <v>1</v>
      </c>
      <c r="F12" s="68">
        <f t="shared" si="4"/>
        <v>96.48</v>
      </c>
      <c r="G12" s="69">
        <f>IF(D12=D11,"",_xlfn.IFNA(VLOOKUP(D12,'인원 입력 기능(사과탐)'!$P$177:$S$231,4,FALSE),0))</f>
        <v>953</v>
      </c>
      <c r="H12" s="70">
        <f t="shared" si="1"/>
        <v>1.2607487762931604E-2</v>
      </c>
      <c r="I12" s="80">
        <f>SUM($G$7:G12)</f>
        <v>3140</v>
      </c>
      <c r="J12" s="72">
        <f t="shared" si="5"/>
        <v>4.1539886228337083E-2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기능'!C153</f>
        <v>41</v>
      </c>
    </row>
    <row r="13" spans="1:17" s="22" customFormat="1" ht="25" customHeight="1" x14ac:dyDescent="0.45">
      <c r="A13" s="20"/>
      <c r="B13" s="35"/>
      <c r="C13" s="66">
        <v>44</v>
      </c>
      <c r="D13" s="178">
        <f t="shared" si="3"/>
        <v>69</v>
      </c>
      <c r="E13" s="178">
        <f t="shared" si="0"/>
        <v>2</v>
      </c>
      <c r="F13" s="182">
        <f t="shared" si="4"/>
        <v>94.95</v>
      </c>
      <c r="G13" s="184">
        <f>IF(D13=D12,"",_xlfn.IFNA(VLOOKUP(D13,'인원 입력 기능(사과탐)'!$P$177:$S$231,4,FALSE),0))</f>
        <v>1362</v>
      </c>
      <c r="H13" s="186">
        <f t="shared" si="1"/>
        <v>1.801825638311946E-2</v>
      </c>
      <c r="I13" s="194">
        <f>SUM($G$7:G13)</f>
        <v>4502</v>
      </c>
      <c r="J13" s="176">
        <f t="shared" si="5"/>
        <v>5.955814261145654E-2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기능'!C154</f>
        <v>39</v>
      </c>
    </row>
    <row r="14" spans="1:17" s="22" customFormat="1" ht="25" customHeight="1" x14ac:dyDescent="0.45">
      <c r="A14" s="20"/>
      <c r="B14" s="35"/>
      <c r="C14" s="73">
        <v>43</v>
      </c>
      <c r="D14" s="179"/>
      <c r="E14" s="179"/>
      <c r="F14" s="183"/>
      <c r="G14" s="185"/>
      <c r="H14" s="187"/>
      <c r="I14" s="195"/>
      <c r="J14" s="177"/>
      <c r="K14" s="36"/>
      <c r="L14" s="20" t="str">
        <f t="shared" si="2"/>
        <v>경고</v>
      </c>
      <c r="N14" s="24"/>
      <c r="P14" s="24">
        <v>8</v>
      </c>
      <c r="Q14" s="24">
        <f>'표점등급&amp;절평인원 입력 기능'!C155</f>
        <v>37</v>
      </c>
    </row>
    <row r="15" spans="1:17" s="22" customFormat="1" ht="25" customHeight="1" x14ac:dyDescent="0.45">
      <c r="A15" s="20"/>
      <c r="B15" s="35"/>
      <c r="C15" s="66">
        <v>42</v>
      </c>
      <c r="D15" s="67">
        <f t="shared" si="3"/>
        <v>68</v>
      </c>
      <c r="E15" s="67">
        <f t="shared" si="0"/>
        <v>2</v>
      </c>
      <c r="F15" s="68">
        <f t="shared" si="4"/>
        <v>93.4</v>
      </c>
      <c r="G15" s="69">
        <f>IF(D15=D14,"",_xlfn.IFNA(VLOOKUP(D15,'인원 입력 기능(사과탐)'!$P$177:$S$231,4,FALSE),0))</f>
        <v>970</v>
      </c>
      <c r="H15" s="70">
        <f t="shared" si="1"/>
        <v>1.2832385236142347E-2</v>
      </c>
      <c r="I15" s="80">
        <f>SUM($G$7:G15)</f>
        <v>5472</v>
      </c>
      <c r="J15" s="72">
        <f t="shared" si="5"/>
        <v>7.239052784759889E-2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73">
        <v>41</v>
      </c>
      <c r="D16" s="67">
        <f t="shared" si="3"/>
        <v>67</v>
      </c>
      <c r="E16" s="67">
        <f t="shared" si="0"/>
        <v>2</v>
      </c>
      <c r="F16" s="68">
        <f t="shared" si="4"/>
        <v>92.28</v>
      </c>
      <c r="G16" s="69">
        <f>IF(D16=D15,"",_xlfn.IFNA(VLOOKUP(D16,'인원 입력 기능(사과탐)'!$P$177:$S$231,4,FALSE),0))</f>
        <v>725</v>
      </c>
      <c r="H16" s="70">
        <f t="shared" si="1"/>
        <v>9.5912157692816507E-3</v>
      </c>
      <c r="I16" s="80">
        <f>SUM($G$7:G16)</f>
        <v>6197</v>
      </c>
      <c r="J16" s="72">
        <f t="shared" si="5"/>
        <v>8.1981743616880542E-2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66">
        <v>40</v>
      </c>
      <c r="D17" s="67">
        <f t="shared" si="3"/>
        <v>66</v>
      </c>
      <c r="E17" s="67">
        <f t="shared" si="0"/>
        <v>2</v>
      </c>
      <c r="F17" s="68">
        <f t="shared" si="4"/>
        <v>91.11</v>
      </c>
      <c r="G17" s="69">
        <f>IF(D17=D16,"",_xlfn.IFNA(VLOOKUP(D17,'인원 입력 기능(사과탐)'!$P$177:$S$231,4,FALSE),0))</f>
        <v>1053</v>
      </c>
      <c r="H17" s="70">
        <f t="shared" si="1"/>
        <v>1.393041407593597E-2</v>
      </c>
      <c r="I17" s="80">
        <f>SUM($G$7:G17)</f>
        <v>7250</v>
      </c>
      <c r="J17" s="72">
        <f t="shared" si="5"/>
        <v>9.591215769281651E-2</v>
      </c>
      <c r="K17" s="36"/>
      <c r="L17" s="20" t="str">
        <f t="shared" si="2"/>
        <v/>
      </c>
      <c r="N17" s="24"/>
      <c r="Q17" s="24">
        <f>Q7*H3*H4*J3*IFERROR(IF(J57=1, 1, 0), 0)</f>
        <v>1319471348.6945848</v>
      </c>
    </row>
    <row r="18" spans="1:17" s="22" customFormat="1" ht="25" customHeight="1" x14ac:dyDescent="0.45">
      <c r="A18" s="20"/>
      <c r="B18" s="35"/>
      <c r="C18" s="73">
        <v>39</v>
      </c>
      <c r="D18" s="67">
        <f t="shared" si="3"/>
        <v>65</v>
      </c>
      <c r="E18" s="67">
        <f t="shared" si="0"/>
        <v>2</v>
      </c>
      <c r="F18" s="68">
        <f t="shared" si="4"/>
        <v>89.8</v>
      </c>
      <c r="G18" s="69">
        <f>IF(D18=D17,"",_xlfn.IFNA(VLOOKUP(D18,'인원 입력 기능(사과탐)'!$P$177:$S$231,4,FALSE),0))</f>
        <v>913</v>
      </c>
      <c r="H18" s="70">
        <f t="shared" si="1"/>
        <v>1.2078317237729858E-2</v>
      </c>
      <c r="I18" s="80">
        <f>SUM($G$7:G18)</f>
        <v>8163</v>
      </c>
      <c r="J18" s="72">
        <f t="shared" si="5"/>
        <v>0.10799047493054637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66">
        <v>38</v>
      </c>
      <c r="D19" s="67">
        <f t="shared" si="3"/>
        <v>64</v>
      </c>
      <c r="E19" s="67">
        <f t="shared" si="0"/>
        <v>2</v>
      </c>
      <c r="F19" s="68">
        <f t="shared" si="4"/>
        <v>88.53</v>
      </c>
      <c r="G19" s="69">
        <f>IF(D19=D18,"",_xlfn.IFNA(VLOOKUP(D19,'인원 입력 기능(사과탐)'!$P$177:$S$231,4,FALSE),0))</f>
        <v>1007</v>
      </c>
      <c r="H19" s="70">
        <f t="shared" si="1"/>
        <v>1.3321867971953963E-2</v>
      </c>
      <c r="I19" s="80">
        <f>SUM($G$7:G19)</f>
        <v>9170</v>
      </c>
      <c r="J19" s="72">
        <f t="shared" si="5"/>
        <v>0.12131234290250033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73">
        <v>37</v>
      </c>
      <c r="D20" s="178">
        <f t="shared" si="3"/>
        <v>63</v>
      </c>
      <c r="E20" s="178">
        <f t="shared" si="0"/>
        <v>3</v>
      </c>
      <c r="F20" s="182">
        <f t="shared" si="4"/>
        <v>86.43</v>
      </c>
      <c r="G20" s="184">
        <f>IF(D20=D19,"",_xlfn.IFNA(VLOOKUP(D20,'인원 입력 기능(사과탐)'!$P$177:$S$231,4,FALSE),0))</f>
        <v>2177</v>
      </c>
      <c r="H20" s="186">
        <f t="shared" si="1"/>
        <v>2.8800105834105041E-2</v>
      </c>
      <c r="I20" s="194">
        <f>SUM($G$7:G20)</f>
        <v>11347</v>
      </c>
      <c r="J20" s="176">
        <f t="shared" si="5"/>
        <v>0.15011244873660537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95">
        <v>36</v>
      </c>
      <c r="D21" s="179"/>
      <c r="E21" s="179"/>
      <c r="F21" s="183"/>
      <c r="G21" s="185"/>
      <c r="H21" s="187"/>
      <c r="I21" s="195"/>
      <c r="J21" s="177"/>
      <c r="K21" s="36"/>
      <c r="L21" s="20" t="str">
        <f t="shared" si="2"/>
        <v>경고</v>
      </c>
      <c r="N21" s="24"/>
    </row>
    <row r="22" spans="1:17" s="22" customFormat="1" ht="25" customHeight="1" x14ac:dyDescent="0.45">
      <c r="A22" s="20"/>
      <c r="B22" s="35"/>
      <c r="C22" s="81">
        <v>35</v>
      </c>
      <c r="D22" s="82">
        <f t="shared" si="3"/>
        <v>62</v>
      </c>
      <c r="E22" s="82">
        <f t="shared" si="0"/>
        <v>3</v>
      </c>
      <c r="F22" s="68">
        <f t="shared" si="4"/>
        <v>84.13</v>
      </c>
      <c r="G22" s="69">
        <f>IF(D22=D21,"",_xlfn.IFNA(VLOOKUP(D22,'인원 입력 기능(사과탐)'!$P$177:$S$231,4,FALSE),0))</f>
        <v>1304</v>
      </c>
      <c r="H22" s="70">
        <f t="shared" si="1"/>
        <v>1.7250959121576929E-2</v>
      </c>
      <c r="I22" s="80">
        <f>SUM($G$7:G22)</f>
        <v>12651</v>
      </c>
      <c r="J22" s="72">
        <f t="shared" si="5"/>
        <v>0.16736340785818229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95">
        <v>34</v>
      </c>
      <c r="D23" s="82">
        <f t="shared" si="3"/>
        <v>61</v>
      </c>
      <c r="E23" s="82">
        <f t="shared" si="0"/>
        <v>3</v>
      </c>
      <c r="F23" s="68">
        <f t="shared" si="4"/>
        <v>82.44</v>
      </c>
      <c r="G23" s="69">
        <f>IF(D23=D22,"",_xlfn.IFNA(VLOOKUP(D23,'인원 입력 기능(사과탐)'!$P$177:$S$231,4,FALSE),0))</f>
        <v>1250</v>
      </c>
      <c r="H23" s="70">
        <f t="shared" si="1"/>
        <v>1.653657891255457E-2</v>
      </c>
      <c r="I23" s="80">
        <f>SUM($G$7:G23)</f>
        <v>13901</v>
      </c>
      <c r="J23" s="72">
        <f t="shared" si="5"/>
        <v>0.18389998677073688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81">
        <v>33</v>
      </c>
      <c r="D24" s="82">
        <f t="shared" si="3"/>
        <v>60</v>
      </c>
      <c r="E24" s="82">
        <f t="shared" si="0"/>
        <v>3</v>
      </c>
      <c r="F24" s="68">
        <f t="shared" si="4"/>
        <v>80.81</v>
      </c>
      <c r="G24" s="69">
        <f>IF(D24=D23,"",_xlfn.IFNA(VLOOKUP(D24,'인원 입력 기능(사과탐)'!$P$177:$S$231,4,FALSE),0))</f>
        <v>1215</v>
      </c>
      <c r="H24" s="70">
        <f t="shared" si="1"/>
        <v>1.6073554703003042E-2</v>
      </c>
      <c r="I24" s="80">
        <f>SUM($G$7:G24)</f>
        <v>15116</v>
      </c>
      <c r="J24" s="72">
        <f t="shared" si="5"/>
        <v>0.19997354147373991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95">
        <v>32</v>
      </c>
      <c r="D25" s="82">
        <f t="shared" si="3"/>
        <v>59</v>
      </c>
      <c r="E25" s="82">
        <f t="shared" si="0"/>
        <v>3</v>
      </c>
      <c r="F25" s="68">
        <f t="shared" si="4"/>
        <v>79.06</v>
      </c>
      <c r="G25" s="69">
        <f>IF(D25=D24,"",_xlfn.IFNA(VLOOKUP(D25,'인원 입력 기능(사과탐)'!$P$177:$S$231,4,FALSE),0))</f>
        <v>1425</v>
      </c>
      <c r="H25" s="70">
        <f t="shared" si="1"/>
        <v>1.8851699960312211E-2</v>
      </c>
      <c r="I25" s="80">
        <f>SUM($G$7:G25)</f>
        <v>16541</v>
      </c>
      <c r="J25" s="72">
        <f t="shared" si="5"/>
        <v>0.21882524143405213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81">
        <v>31</v>
      </c>
      <c r="D26" s="82">
        <f t="shared" si="3"/>
        <v>58</v>
      </c>
      <c r="E26" s="82">
        <f t="shared" si="0"/>
        <v>3</v>
      </c>
      <c r="F26" s="68">
        <f t="shared" si="4"/>
        <v>77.23</v>
      </c>
      <c r="G26" s="69">
        <f>IF(D26=D25,"",_xlfn.IFNA(VLOOKUP(D26,'인원 입력 기능(사과탐)'!$P$177:$S$231,4,FALSE),0))</f>
        <v>1349</v>
      </c>
      <c r="H26" s="70">
        <f t="shared" si="1"/>
        <v>1.7846275962428892E-2</v>
      </c>
      <c r="I26" s="80">
        <f>SUM($G$7:G26)</f>
        <v>17890</v>
      </c>
      <c r="J26" s="72">
        <f t="shared" si="5"/>
        <v>0.23667151739648101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95">
        <v>30</v>
      </c>
      <c r="D27" s="180">
        <f t="shared" si="3"/>
        <v>57</v>
      </c>
      <c r="E27" s="180">
        <f t="shared" si="0"/>
        <v>4</v>
      </c>
      <c r="F27" s="182">
        <f t="shared" si="4"/>
        <v>74.400000000000006</v>
      </c>
      <c r="G27" s="184">
        <f>IF(D27=D26,"",_xlfn.IFNA(VLOOKUP(D27,'인원 입력 기능(사과탐)'!$P$177:$S$231,4,FALSE),0))</f>
        <v>2916</v>
      </c>
      <c r="H27" s="186">
        <f t="shared" si="1"/>
        <v>3.8576531287207304E-2</v>
      </c>
      <c r="I27" s="194">
        <f>SUM($G$7:G27)</f>
        <v>20806</v>
      </c>
      <c r="J27" s="176">
        <f t="shared" si="5"/>
        <v>0.2752480486836883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81">
        <v>29</v>
      </c>
      <c r="D28" s="181"/>
      <c r="E28" s="181"/>
      <c r="F28" s="183"/>
      <c r="G28" s="185"/>
      <c r="H28" s="187"/>
      <c r="I28" s="195"/>
      <c r="J28" s="177"/>
      <c r="K28" s="36"/>
      <c r="L28" s="20" t="str">
        <f t="shared" si="2"/>
        <v>경고</v>
      </c>
      <c r="N28" s="24"/>
    </row>
    <row r="29" spans="1:17" s="22" customFormat="1" ht="25" customHeight="1" x14ac:dyDescent="0.45">
      <c r="A29" s="20"/>
      <c r="B29" s="35"/>
      <c r="C29" s="95">
        <v>28</v>
      </c>
      <c r="D29" s="82">
        <f t="shared" si="3"/>
        <v>56</v>
      </c>
      <c r="E29" s="82">
        <f t="shared" si="0"/>
        <v>4</v>
      </c>
      <c r="F29" s="68">
        <f t="shared" si="4"/>
        <v>71.5</v>
      </c>
      <c r="G29" s="69">
        <f>IF(D29=D28,"",_xlfn.IFNA(VLOOKUP(D29,'인원 입력 기능(사과탐)'!$P$177:$S$231,4,FALSE),0))</f>
        <v>1473</v>
      </c>
      <c r="H29" s="70">
        <f t="shared" si="1"/>
        <v>1.9486704590554307E-2</v>
      </c>
      <c r="I29" s="80">
        <f>SUM($G$7:G29)</f>
        <v>22279</v>
      </c>
      <c r="J29" s="72">
        <f t="shared" si="5"/>
        <v>0.29473475327424264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81">
        <v>27</v>
      </c>
      <c r="D30" s="82">
        <f t="shared" si="3"/>
        <v>55</v>
      </c>
      <c r="E30" s="82">
        <f t="shared" si="0"/>
        <v>4</v>
      </c>
      <c r="F30" s="68">
        <f t="shared" si="4"/>
        <v>69.45</v>
      </c>
      <c r="G30" s="69">
        <f>IF(D30=D29,"",_xlfn.IFNA(VLOOKUP(D30,'인원 입력 기능(사과탐)'!$P$177:$S$231,4,FALSE),0))</f>
        <v>1629</v>
      </c>
      <c r="H30" s="70">
        <f t="shared" si="1"/>
        <v>2.1550469638841118E-2</v>
      </c>
      <c r="I30" s="80">
        <f>SUM($G$7:G30)</f>
        <v>23908</v>
      </c>
      <c r="J30" s="72">
        <f t="shared" si="5"/>
        <v>0.31628522291308375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95">
        <v>26</v>
      </c>
      <c r="D31" s="82">
        <f t="shared" si="3"/>
        <v>54</v>
      </c>
      <c r="E31" s="82">
        <f t="shared" si="0"/>
        <v>4</v>
      </c>
      <c r="F31" s="68">
        <f t="shared" si="4"/>
        <v>67.349999999999994</v>
      </c>
      <c r="G31" s="69">
        <f>IF(D31=D30,"",_xlfn.IFNA(VLOOKUP(D31,'인원 입력 기능(사과탐)'!$P$177:$S$231,4,FALSE),0))</f>
        <v>1539</v>
      </c>
      <c r="H31" s="70">
        <f t="shared" si="1"/>
        <v>2.0359835957137189E-2</v>
      </c>
      <c r="I31" s="80">
        <f>SUM($G$7:G31)</f>
        <v>25447</v>
      </c>
      <c r="J31" s="72">
        <f t="shared" si="5"/>
        <v>0.33664505887022095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81">
        <v>25</v>
      </c>
      <c r="D32" s="82">
        <f t="shared" si="3"/>
        <v>53</v>
      </c>
      <c r="E32" s="82">
        <f t="shared" si="0"/>
        <v>4</v>
      </c>
      <c r="F32" s="68">
        <f t="shared" si="4"/>
        <v>65.16</v>
      </c>
      <c r="G32" s="69">
        <f>IF(D32=D31,"",_xlfn.IFNA(VLOOKUP(D32,'인원 입력 기능(사과탐)'!$P$177:$S$231,4,FALSE),0))</f>
        <v>1776</v>
      </c>
      <c r="H32" s="70">
        <f t="shared" si="1"/>
        <v>2.3495171318957533E-2</v>
      </c>
      <c r="I32" s="80">
        <f>SUM($G$7:G32)</f>
        <v>27223</v>
      </c>
      <c r="J32" s="72">
        <f t="shared" si="5"/>
        <v>0.36014023018917846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95">
        <v>24</v>
      </c>
      <c r="D33" s="82">
        <f t="shared" si="3"/>
        <v>52</v>
      </c>
      <c r="E33" s="82">
        <f t="shared" si="0"/>
        <v>4</v>
      </c>
      <c r="F33" s="68">
        <f t="shared" si="4"/>
        <v>62.86</v>
      </c>
      <c r="G33" s="69">
        <f>IF(D33=D32,"",_xlfn.IFNA(VLOOKUP(D33,'인원 입력 기능(사과탐)'!$P$177:$S$231,4,FALSE),0))</f>
        <v>1700</v>
      </c>
      <c r="H33" s="70">
        <f t="shared" si="1"/>
        <v>2.2489747321074217E-2</v>
      </c>
      <c r="I33" s="80">
        <f>SUM($G$7:G33)</f>
        <v>28923</v>
      </c>
      <c r="J33" s="72">
        <f t="shared" si="5"/>
        <v>0.38262997751025268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81">
        <v>23</v>
      </c>
      <c r="D34" s="180">
        <f t="shared" si="3"/>
        <v>51</v>
      </c>
      <c r="E34" s="180">
        <f t="shared" si="0"/>
        <v>4</v>
      </c>
      <c r="F34" s="182">
        <f t="shared" si="4"/>
        <v>59.31</v>
      </c>
      <c r="G34" s="184">
        <f>IF(D34=D33,"",_xlfn.IFNA(VLOOKUP(D34,'인원 입력 기능(사과탐)'!$P$177:$S$231,4,FALSE),0))</f>
        <v>3662</v>
      </c>
      <c r="H34" s="186">
        <f t="shared" si="1"/>
        <v>4.8445561582219868E-2</v>
      </c>
      <c r="I34" s="194">
        <f>SUM($G$7:G34)</f>
        <v>32585</v>
      </c>
      <c r="J34" s="176">
        <f t="shared" si="5"/>
        <v>0.43107553909247254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95">
        <v>22</v>
      </c>
      <c r="D35" s="181"/>
      <c r="E35" s="181"/>
      <c r="F35" s="183"/>
      <c r="G35" s="185"/>
      <c r="H35" s="187"/>
      <c r="I35" s="195"/>
      <c r="J35" s="177"/>
      <c r="K35" s="36"/>
      <c r="L35" s="20" t="str">
        <f t="shared" si="2"/>
        <v>경고</v>
      </c>
      <c r="N35" s="24"/>
    </row>
    <row r="36" spans="1:14" s="22" customFormat="1" ht="25" customHeight="1" x14ac:dyDescent="0.45">
      <c r="A36" s="20"/>
      <c r="B36" s="35"/>
      <c r="C36" s="81">
        <v>21</v>
      </c>
      <c r="D36" s="82">
        <f t="shared" si="3"/>
        <v>50</v>
      </c>
      <c r="E36" s="82">
        <f t="shared" si="0"/>
        <v>5</v>
      </c>
      <c r="F36" s="68">
        <f t="shared" si="4"/>
        <v>55.62</v>
      </c>
      <c r="G36" s="69">
        <f>IF(D36=D35,"",_xlfn.IFNA(VLOOKUP(D36,'인원 입력 기능(사과탐)'!$P$177:$S$231,4,FALSE),0))</f>
        <v>1924</v>
      </c>
      <c r="H36" s="70">
        <f t="shared" si="1"/>
        <v>2.5453102262203996E-2</v>
      </c>
      <c r="I36" s="80">
        <f>SUM($G$7:G36)</f>
        <v>34509</v>
      </c>
      <c r="J36" s="72">
        <f t="shared" si="5"/>
        <v>0.45652864135467652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95">
        <v>20</v>
      </c>
      <c r="D37" s="82">
        <f t="shared" si="3"/>
        <v>49</v>
      </c>
      <c r="E37" s="82">
        <f t="shared" si="0"/>
        <v>5</v>
      </c>
      <c r="F37" s="68">
        <f t="shared" si="4"/>
        <v>53</v>
      </c>
      <c r="G37" s="69">
        <f>IF(D37=D36,"",_xlfn.IFNA(VLOOKUP(D37,'인원 입력 기능(사과탐)'!$P$177:$S$231,4,FALSE),0))</f>
        <v>2038</v>
      </c>
      <c r="H37" s="70">
        <f t="shared" si="1"/>
        <v>2.696123825902897E-2</v>
      </c>
      <c r="I37" s="80">
        <f>SUM($G$7:G37)</f>
        <v>36547</v>
      </c>
      <c r="J37" s="72">
        <f t="shared" si="5"/>
        <v>0.48348987961370554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81">
        <v>19</v>
      </c>
      <c r="D38" s="82">
        <f t="shared" si="3"/>
        <v>48</v>
      </c>
      <c r="E38" s="82">
        <f t="shared" si="0"/>
        <v>5</v>
      </c>
      <c r="F38" s="68">
        <f t="shared" si="4"/>
        <v>50.29</v>
      </c>
      <c r="G38" s="69">
        <f>IF(D38=D37,"",_xlfn.IFNA(VLOOKUP(D38,'인원 입력 기능(사과탐)'!$P$177:$S$231,4,FALSE),0))</f>
        <v>2065</v>
      </c>
      <c r="H38" s="70">
        <f t="shared" si="1"/>
        <v>2.7318428363540152E-2</v>
      </c>
      <c r="I38" s="80">
        <f>SUM($G$7:G38)</f>
        <v>38612</v>
      </c>
      <c r="J38" s="72">
        <f t="shared" si="5"/>
        <v>0.51080830797724563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95">
        <v>18</v>
      </c>
      <c r="D39" s="82">
        <f t="shared" si="3"/>
        <v>47</v>
      </c>
      <c r="E39" s="82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8">
        <f t="shared" si="4"/>
        <v>47.43</v>
      </c>
      <c r="G39" s="69">
        <f>IF(D39=D38,"",_xlfn.IFNA(VLOOKUP(D39,'인원 입력 기능(사과탐)'!$P$177:$S$231,4,FALSE),0))</f>
        <v>2249</v>
      </c>
      <c r="H39" s="70">
        <f t="shared" si="1"/>
        <v>2.9752612779468182E-2</v>
      </c>
      <c r="I39" s="80">
        <f>SUM($G$7:G39)</f>
        <v>40861</v>
      </c>
      <c r="J39" s="72">
        <f t="shared" si="5"/>
        <v>0.5405609207567138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81">
        <v>17</v>
      </c>
      <c r="D40" s="82">
        <f t="shared" si="3"/>
        <v>46</v>
      </c>
      <c r="E40" s="82">
        <f t="shared" si="6"/>
        <v>5</v>
      </c>
      <c r="F40" s="68">
        <f t="shared" si="4"/>
        <v>44.4</v>
      </c>
      <c r="G40" s="69">
        <f>IF(D40=D39,"",_xlfn.IFNA(VLOOKUP(D40,'인원 입력 기능(사과탐)'!$P$177:$S$231,4,FALSE),0))</f>
        <v>2339</v>
      </c>
      <c r="H40" s="70">
        <f t="shared" si="1"/>
        <v>3.0943246461172112E-2</v>
      </c>
      <c r="I40" s="80">
        <f>SUM($G$7:G40)</f>
        <v>43200</v>
      </c>
      <c r="J40" s="72">
        <f t="shared" si="5"/>
        <v>0.57150416721788599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95">
        <v>16</v>
      </c>
      <c r="D41" s="180">
        <f t="shared" si="3"/>
        <v>45</v>
      </c>
      <c r="E41" s="180">
        <f t="shared" si="6"/>
        <v>5</v>
      </c>
      <c r="F41" s="182">
        <f t="shared" si="4"/>
        <v>39.71</v>
      </c>
      <c r="G41" s="184">
        <f>IF(D41=D40,"",_xlfn.IFNA(VLOOKUP(D41,'인원 입력 기능(사과탐)'!$P$177:$S$231,4,FALSE),0))</f>
        <v>4748</v>
      </c>
      <c r="H41" s="186">
        <f t="shared" si="1"/>
        <v>6.2812541341447287E-2</v>
      </c>
      <c r="I41" s="194">
        <f>SUM($G$7:G41)</f>
        <v>47948</v>
      </c>
      <c r="J41" s="176">
        <f t="shared" si="5"/>
        <v>0.6343167085593332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81">
        <v>15</v>
      </c>
      <c r="D42" s="181"/>
      <c r="E42" s="181"/>
      <c r="F42" s="183"/>
      <c r="G42" s="185"/>
      <c r="H42" s="187"/>
      <c r="I42" s="195"/>
      <c r="J42" s="177"/>
      <c r="K42" s="36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5"/>
      <c r="C43" s="95">
        <v>14</v>
      </c>
      <c r="D43" s="82">
        <f t="shared" si="3"/>
        <v>44</v>
      </c>
      <c r="E43" s="82">
        <f t="shared" si="6"/>
        <v>6</v>
      </c>
      <c r="F43" s="68">
        <f t="shared" si="4"/>
        <v>34.94</v>
      </c>
      <c r="G43" s="69">
        <f>IF(D43=D42,"",_xlfn.IFNA(VLOOKUP(D43,'인원 입력 기능(사과탐)'!$P$177:$S$231,4,FALSE),0))</f>
        <v>2463</v>
      </c>
      <c r="H43" s="70">
        <f t="shared" si="1"/>
        <v>3.2583675089297527E-2</v>
      </c>
      <c r="I43" s="80">
        <f>SUM($G$7:G43)</f>
        <v>50411</v>
      </c>
      <c r="J43" s="72">
        <f t="shared" si="5"/>
        <v>0.6669003836486308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81">
        <v>13</v>
      </c>
      <c r="D44" s="82">
        <f t="shared" si="3"/>
        <v>43</v>
      </c>
      <c r="E44" s="82">
        <f t="shared" si="6"/>
        <v>6</v>
      </c>
      <c r="F44" s="68">
        <f t="shared" si="4"/>
        <v>31.58</v>
      </c>
      <c r="G44" s="69">
        <f>IF(D44=D43,"",_xlfn.IFNA(VLOOKUP(D44,'인원 입력 기능(사과탐)'!$P$177:$S$231,4,FALSE),0))</f>
        <v>2618</v>
      </c>
      <c r="H44" s="70">
        <f t="shared" si="1"/>
        <v>3.4634210874454292E-2</v>
      </c>
      <c r="I44" s="80">
        <f>SUM($G$7:G44)</f>
        <v>53029</v>
      </c>
      <c r="J44" s="72">
        <f t="shared" si="5"/>
        <v>0.70153459452308509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95">
        <v>12</v>
      </c>
      <c r="D45" s="82">
        <f t="shared" si="3"/>
        <v>42</v>
      </c>
      <c r="E45" s="82">
        <f t="shared" si="6"/>
        <v>6</v>
      </c>
      <c r="F45" s="68">
        <f t="shared" si="4"/>
        <v>28.07</v>
      </c>
      <c r="G45" s="69">
        <f>IF(D45=D44,"",_xlfn.IFNA(VLOOKUP(D45,'인원 입력 기능(사과탐)'!$P$177:$S$231,4,FALSE),0))</f>
        <v>2689</v>
      </c>
      <c r="H45" s="70">
        <f t="shared" si="1"/>
        <v>3.5573488556687391E-2</v>
      </c>
      <c r="I45" s="80">
        <f>SUM($G$7:G45)</f>
        <v>55718</v>
      </c>
      <c r="J45" s="72">
        <f t="shared" si="5"/>
        <v>0.73710808307977249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81">
        <v>11</v>
      </c>
      <c r="D46" s="82">
        <f t="shared" si="3"/>
        <v>41</v>
      </c>
      <c r="E46" s="82">
        <f t="shared" si="6"/>
        <v>6</v>
      </c>
      <c r="F46" s="68">
        <f t="shared" si="4"/>
        <v>22.34</v>
      </c>
      <c r="G46" s="69">
        <f>IF(D46=D45,"",_xlfn.IFNA(VLOOKUP(D46,'인원 입력 기능(사과탐)'!$P$177:$S$231,4,FALSE),0))</f>
        <v>5977</v>
      </c>
      <c r="H46" s="70">
        <f t="shared" si="1"/>
        <v>7.9071305728270938E-2</v>
      </c>
      <c r="I46" s="80">
        <f>SUM($G$7:G46)</f>
        <v>61695</v>
      </c>
      <c r="J46" s="72">
        <f t="shared" si="5"/>
        <v>0.81617938880804342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95">
        <v>10</v>
      </c>
      <c r="D47" s="82">
        <f t="shared" si="3"/>
        <v>40</v>
      </c>
      <c r="E47" s="82">
        <f t="shared" si="6"/>
        <v>7</v>
      </c>
      <c r="F47" s="68">
        <f t="shared" si="4"/>
        <v>15.35</v>
      </c>
      <c r="G47" s="69">
        <f>IF(D47=D46,"",_xlfn.IFNA(VLOOKUP(D47,'인원 입력 기능(사과탐)'!$P$177:$S$231,4,FALSE),0))</f>
        <v>4586</v>
      </c>
      <c r="H47" s="70">
        <f t="shared" si="1"/>
        <v>6.0669400714380206E-2</v>
      </c>
      <c r="I47" s="80">
        <f>SUM($G$7:G47)</f>
        <v>66281</v>
      </c>
      <c r="J47" s="72">
        <f t="shared" si="5"/>
        <v>0.87684878952242362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81">
        <v>9</v>
      </c>
      <c r="D48" s="180">
        <f t="shared" si="3"/>
        <v>39</v>
      </c>
      <c r="E48" s="180">
        <f t="shared" si="6"/>
        <v>7</v>
      </c>
      <c r="F48" s="182">
        <f t="shared" si="4"/>
        <v>9.66</v>
      </c>
      <c r="G48" s="184">
        <f>IF(D48=D47,"",_xlfn.IFNA(VLOOKUP(D48,'인원 입력 기능(사과탐)'!$P$177:$S$231,4,FALSE),0))</f>
        <v>4014</v>
      </c>
      <c r="H48" s="186">
        <f t="shared" si="1"/>
        <v>5.3102262203995235E-2</v>
      </c>
      <c r="I48" s="194">
        <f>SUM($G$7:G48)</f>
        <v>70295</v>
      </c>
      <c r="J48" s="176">
        <f t="shared" si="5"/>
        <v>0.92995105172641879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95">
        <v>8</v>
      </c>
      <c r="D49" s="181"/>
      <c r="E49" s="181"/>
      <c r="F49" s="183"/>
      <c r="G49" s="185"/>
      <c r="H49" s="187"/>
      <c r="I49" s="195"/>
      <c r="J49" s="177"/>
      <c r="K49" s="36"/>
      <c r="L49" s="20" t="str">
        <f t="shared" si="2"/>
        <v>경고</v>
      </c>
      <c r="N49" s="24"/>
    </row>
    <row r="50" spans="1:14" s="22" customFormat="1" ht="25" customHeight="1" x14ac:dyDescent="0.45">
      <c r="A50" s="20"/>
      <c r="B50" s="35"/>
      <c r="C50" s="81">
        <v>7</v>
      </c>
      <c r="D50" s="82">
        <f t="shared" si="3"/>
        <v>38</v>
      </c>
      <c r="E50" s="82">
        <f t="shared" si="6"/>
        <v>8</v>
      </c>
      <c r="F50" s="68">
        <f t="shared" si="4"/>
        <v>5.86</v>
      </c>
      <c r="G50" s="69">
        <f>IF(D50=D49,"",_xlfn.IFNA(VLOOKUP(D50,'인원 입력 기능(사과탐)'!$P$177:$S$231,4,FALSE),0))</f>
        <v>1729</v>
      </c>
      <c r="H50" s="70">
        <f t="shared" si="1"/>
        <v>2.2873395951845482E-2</v>
      </c>
      <c r="I50" s="80">
        <f>SUM($G$7:G50)</f>
        <v>72024</v>
      </c>
      <c r="J50" s="72">
        <f t="shared" si="5"/>
        <v>0.95282444767826435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95">
        <v>6</v>
      </c>
      <c r="D51" s="82">
        <f t="shared" si="3"/>
        <v>37</v>
      </c>
      <c r="E51" s="82">
        <f t="shared" si="6"/>
        <v>8</v>
      </c>
      <c r="F51" s="68">
        <f t="shared" si="4"/>
        <v>4.0999999999999996</v>
      </c>
      <c r="G51" s="69">
        <f>IF(D51=D50,"",_xlfn.IFNA(VLOOKUP(D51,'인원 입력 기능(사과탐)'!$P$177:$S$231,4,FALSE),0))</f>
        <v>938</v>
      </c>
      <c r="H51" s="70">
        <f t="shared" si="1"/>
        <v>1.240904881598095E-2</v>
      </c>
      <c r="I51" s="80">
        <f>SUM($G$7:G51)</f>
        <v>72962</v>
      </c>
      <c r="J51" s="72">
        <f t="shared" si="5"/>
        <v>0.96523349649424528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81">
        <v>5</v>
      </c>
      <c r="D52" s="82">
        <f t="shared" si="3"/>
        <v>36</v>
      </c>
      <c r="E52" s="82">
        <f t="shared" si="6"/>
        <v>9</v>
      </c>
      <c r="F52" s="68">
        <f t="shared" si="4"/>
        <v>2.83</v>
      </c>
      <c r="G52" s="69">
        <f>IF(D52=D51,"",_xlfn.IFNA(VLOOKUP(D52,'인원 입력 기능(사과탐)'!$P$177:$S$231,4,FALSE),0))</f>
        <v>976</v>
      </c>
      <c r="H52" s="70">
        <f t="shared" si="1"/>
        <v>1.2911760814922608E-2</v>
      </c>
      <c r="I52" s="80">
        <f>SUM($G$7:G52)</f>
        <v>73938</v>
      </c>
      <c r="J52" s="72">
        <f t="shared" si="5"/>
        <v>0.9781452573091679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66">
        <v>4</v>
      </c>
      <c r="D53" s="67">
        <f t="shared" si="3"/>
        <v>35</v>
      </c>
      <c r="E53" s="67">
        <f t="shared" si="6"/>
        <v>9</v>
      </c>
      <c r="F53" s="68">
        <f t="shared" si="4"/>
        <v>1.8</v>
      </c>
      <c r="G53" s="69">
        <f>IF(D53=D52,"",_xlfn.IFNA(VLOOKUP(D53,'인원 입력 기능(사과탐)'!$P$177:$S$231,4,FALSE),0))</f>
        <v>586</v>
      </c>
      <c r="H53" s="70">
        <f t="shared" si="1"/>
        <v>7.7523481942055831E-3</v>
      </c>
      <c r="I53" s="80">
        <f>SUM($G$7:G53)</f>
        <v>74524</v>
      </c>
      <c r="J53" s="72">
        <f t="shared" si="5"/>
        <v>0.98589760550337346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73">
        <v>3</v>
      </c>
      <c r="D54" s="67">
        <f t="shared" si="3"/>
        <v>34</v>
      </c>
      <c r="E54" s="67">
        <f t="shared" si="6"/>
        <v>9</v>
      </c>
      <c r="F54" s="68">
        <f t="shared" si="4"/>
        <v>1.2</v>
      </c>
      <c r="G54" s="69">
        <f>IF(D54=D53,"",_xlfn.IFNA(VLOOKUP(D54,'인원 입력 기능(사과탐)'!$P$177:$S$231,4,FALSE),0))</f>
        <v>311</v>
      </c>
      <c r="H54" s="70">
        <f t="shared" si="1"/>
        <v>4.1143008334435776E-3</v>
      </c>
      <c r="I54" s="80">
        <f>SUM($G$7:G54)</f>
        <v>74835</v>
      </c>
      <c r="J54" s="72">
        <f t="shared" si="5"/>
        <v>0.99001190633681702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66">
        <v>2</v>
      </c>
      <c r="D55" s="67">
        <f t="shared" si="3"/>
        <v>33</v>
      </c>
      <c r="E55" s="67">
        <f t="shared" si="6"/>
        <v>9</v>
      </c>
      <c r="F55" s="68">
        <f t="shared" si="4"/>
        <v>0.77</v>
      </c>
      <c r="G55" s="69">
        <f>IF(D55=D54,"",_xlfn.IFNA(VLOOKUP(D55,'인원 입력 기능(사과탐)'!$P$177:$S$231,4,FALSE),0))</f>
        <v>348</v>
      </c>
      <c r="H55" s="70">
        <f t="shared" si="1"/>
        <v>4.6037835692551926E-3</v>
      </c>
      <c r="I55" s="80">
        <f>SUM($G$7:G55)</f>
        <v>75183</v>
      </c>
      <c r="J55" s="72">
        <f t="shared" si="5"/>
        <v>0.99461568990607219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73">
        <v>1</v>
      </c>
      <c r="D56" s="74" t="s">
        <v>59</v>
      </c>
      <c r="E56" s="74"/>
      <c r="F56" s="75"/>
      <c r="G56" s="96"/>
      <c r="H56" s="94"/>
      <c r="I56" s="84"/>
      <c r="J56" s="79"/>
      <c r="K56" s="36"/>
      <c r="L56" s="20"/>
      <c r="N56" s="24"/>
    </row>
    <row r="57" spans="1:14" s="22" customFormat="1" ht="25" customHeight="1" thickBot="1" x14ac:dyDescent="0.5">
      <c r="A57" s="20"/>
      <c r="B57" s="35"/>
      <c r="C57" s="97">
        <v>0</v>
      </c>
      <c r="D57" s="86">
        <f>ROUND(10*(C57-$H$3)/$H$4+50,0)</f>
        <v>32</v>
      </c>
      <c r="E57" s="98">
        <f t="shared" si="6"/>
        <v>9</v>
      </c>
      <c r="F57" s="87">
        <f>IF(I55=0,ROUND(100*(1-(I54+I57)/2/$J$3),2),ROUND(100*(1-(I55+I57)/2/$J$3),2))</f>
        <v>0.27</v>
      </c>
      <c r="G57" s="99">
        <f>_xlfn.IFNA(VLOOKUP(D57,'인원 입력 기능(사과탐)'!$P$177:$S$231,4,FALSE),0)</f>
        <v>407</v>
      </c>
      <c r="H57" s="89">
        <f>G57/$J$3</f>
        <v>5.3843100939277681E-3</v>
      </c>
      <c r="I57" s="90">
        <f>SUM($G$7:G57)</f>
        <v>75590</v>
      </c>
      <c r="J57" s="100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4">
    <mergeCell ref="D3:F3"/>
    <mergeCell ref="D4:F4"/>
    <mergeCell ref="D13:D14"/>
    <mergeCell ref="E13:E14"/>
    <mergeCell ref="F13:F14"/>
    <mergeCell ref="G13:G14"/>
    <mergeCell ref="H13:H14"/>
    <mergeCell ref="I13:I14"/>
    <mergeCell ref="J13:J14"/>
    <mergeCell ref="D20:D21"/>
    <mergeCell ref="E20:E21"/>
    <mergeCell ref="F20:F21"/>
    <mergeCell ref="G20:G21"/>
    <mergeCell ref="H20:H21"/>
    <mergeCell ref="I20:I21"/>
    <mergeCell ref="J20:J21"/>
    <mergeCell ref="I27:I28"/>
    <mergeCell ref="J27:J28"/>
    <mergeCell ref="D34:D35"/>
    <mergeCell ref="E34:E35"/>
    <mergeCell ref="F34:F35"/>
    <mergeCell ref="G34:G35"/>
    <mergeCell ref="H34:H35"/>
    <mergeCell ref="I34:I35"/>
    <mergeCell ref="J34:J35"/>
    <mergeCell ref="D27:D28"/>
    <mergeCell ref="E27:E28"/>
    <mergeCell ref="F27:F28"/>
    <mergeCell ref="G27:G28"/>
    <mergeCell ref="H27:H28"/>
    <mergeCell ref="I41:I42"/>
    <mergeCell ref="J41:J42"/>
    <mergeCell ref="D48:D49"/>
    <mergeCell ref="E48:E49"/>
    <mergeCell ref="F48:F49"/>
    <mergeCell ref="G48:G49"/>
    <mergeCell ref="H48:H49"/>
    <mergeCell ref="I48:I49"/>
    <mergeCell ref="J48:J49"/>
    <mergeCell ref="D41:D42"/>
    <mergeCell ref="E41:E42"/>
    <mergeCell ref="F41:F42"/>
    <mergeCell ref="G41:G42"/>
    <mergeCell ref="H41:H42"/>
  </mergeCells>
  <phoneticPr fontId="1" type="noConversion"/>
  <conditionalFormatting sqref="D7:G13 I7:J13 D15:G20 I15:J20 D22:G27 I22:J27 D29:G34 I29:J34 D36:G41 I36:J41 D43:G48 I43:J48 D50:G57 I50:J57">
    <cfRule type="expression" dxfId="26" priority="4">
      <formula>OR($D7=$Q$7:$Q$14)</formula>
    </cfRule>
  </conditionalFormatting>
  <conditionalFormatting sqref="C7:C57">
    <cfRule type="expression" dxfId="25" priority="3">
      <formula>OR(AND($D7=0,OR($D6=$Q$7:$Q$14)),AND($D8&gt;0,OR($D7=$Q$7:$Q$14)))</formula>
    </cfRule>
  </conditionalFormatting>
  <conditionalFormatting sqref="D7:D13 D15:D20 D22:D27 D29:D34 D36:D41 D43:D48 D50:D57">
    <cfRule type="expression" dxfId="24" priority="2">
      <formula>$D7=$D8</formula>
    </cfRule>
  </conditionalFormatting>
  <conditionalFormatting sqref="H7:H13 H15:H20 H22:H27 H29:H34 H36:H41 H43:H48 H50:H57">
    <cfRule type="expression" dxfId="23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98C6-A2E7-434D-A987-71CB1C52276E}">
  <sheetPr codeName="Sheet23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113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기능'!D21</f>
        <v>19.398656898656899</v>
      </c>
      <c r="I3" s="21" t="s">
        <v>117</v>
      </c>
      <c r="J3" s="58">
        <f>'통계 및 응시자 수 입력 기능'!C21</f>
        <v>3276</v>
      </c>
      <c r="K3" s="36"/>
      <c r="L3" s="20"/>
    </row>
    <row r="4" spans="1:17" s="22" customFormat="1" ht="25" customHeight="1" thickBot="1" x14ac:dyDescent="0.5">
      <c r="A4" s="20"/>
      <c r="B4" s="35"/>
      <c r="C4" s="59" t="s">
        <v>118</v>
      </c>
      <c r="D4" s="191" t="s">
        <v>138</v>
      </c>
      <c r="E4" s="192"/>
      <c r="F4" s="193"/>
      <c r="G4" s="60" t="s">
        <v>120</v>
      </c>
      <c r="H4" s="61">
        <f>'통계 및 응시자 수 입력 기능'!E21</f>
        <v>8.4695344659015799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62" t="s">
        <v>121</v>
      </c>
      <c r="D6" s="63" t="s">
        <v>122</v>
      </c>
      <c r="E6" s="63" t="s">
        <v>123</v>
      </c>
      <c r="F6" s="63" t="s">
        <v>124</v>
      </c>
      <c r="G6" s="63" t="s">
        <v>125</v>
      </c>
      <c r="H6" s="63" t="s">
        <v>126</v>
      </c>
      <c r="I6" s="64" t="s">
        <v>127</v>
      </c>
      <c r="J6" s="65" t="s">
        <v>128</v>
      </c>
      <c r="K6" s="36"/>
      <c r="L6" s="19"/>
      <c r="M6" s="19"/>
      <c r="N6" s="23"/>
    </row>
    <row r="7" spans="1:17" s="22" customFormat="1" ht="25" customHeight="1" x14ac:dyDescent="0.45">
      <c r="A7" s="20"/>
      <c r="B7" s="35"/>
      <c r="C7" s="66">
        <v>50</v>
      </c>
      <c r="D7" s="67">
        <f>ROUND(10*(C7-$H$3)/$H$4+50,0)</f>
        <v>86</v>
      </c>
      <c r="E7" s="67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8">
        <f>ROUND(100*(1-(0+I7)/2/$J$3),2)</f>
        <v>99.97</v>
      </c>
      <c r="G7" s="69">
        <f>_xlfn.IFNA(VLOOKUP(D7,'인원 입력 기능(직탐)'!$A$5:$D$59,4,FALSE),0)</f>
        <v>2</v>
      </c>
      <c r="H7" s="70">
        <f>G7/$J$3</f>
        <v>6.105006105006105E-4</v>
      </c>
      <c r="I7" s="71">
        <f>G7</f>
        <v>2</v>
      </c>
      <c r="J7" s="72">
        <f>I7/$J$3</f>
        <v>6.105006105006105E-4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기능'!C157</f>
        <v>68</v>
      </c>
    </row>
    <row r="8" spans="1:17" s="22" customFormat="1" ht="25" customHeight="1" x14ac:dyDescent="0.45">
      <c r="A8" s="20"/>
      <c r="B8" s="35"/>
      <c r="C8" s="73">
        <v>49</v>
      </c>
      <c r="D8" s="74" t="s">
        <v>59</v>
      </c>
      <c r="E8" s="74"/>
      <c r="F8" s="75"/>
      <c r="G8" s="76"/>
      <c r="H8" s="94"/>
      <c r="I8" s="78"/>
      <c r="J8" s="79"/>
      <c r="K8" s="36"/>
      <c r="L8" s="20"/>
      <c r="N8" s="24"/>
      <c r="P8" s="24">
        <v>2</v>
      </c>
      <c r="Q8" s="24">
        <f>'표점등급&amp;절평인원 입력 기능'!C158</f>
        <v>63</v>
      </c>
    </row>
    <row r="9" spans="1:17" s="22" customFormat="1" ht="25" customHeight="1" x14ac:dyDescent="0.45">
      <c r="A9" s="20"/>
      <c r="B9" s="35"/>
      <c r="C9" s="66">
        <v>48</v>
      </c>
      <c r="D9" s="67">
        <f>ROUND(10*(C9-$H$3)/$H$4+50,0)</f>
        <v>84</v>
      </c>
      <c r="E9" s="67">
        <f t="shared" si="0"/>
        <v>1</v>
      </c>
      <c r="F9" s="68">
        <f>IF(I8=0,ROUND(100*(1-(I7+I9)/2/$J$3),2),ROUND(100*(1-(I8+I9)/2/$J$3),2))</f>
        <v>99.92</v>
      </c>
      <c r="G9" s="69">
        <f>_xlfn.IFNA(VLOOKUP(D9,'인원 입력 기능(직탐)'!$A$5:$D$59,4,FALSE),0)</f>
        <v>1</v>
      </c>
      <c r="H9" s="70">
        <f t="shared" ref="H9:H55" si="1">G9/$J$3</f>
        <v>3.0525030525030525E-4</v>
      </c>
      <c r="I9" s="80">
        <f>SUM($G$7:G9)</f>
        <v>3</v>
      </c>
      <c r="J9" s="72">
        <f>I9/$J$3</f>
        <v>9.1575091575091575E-4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기능'!C159</f>
        <v>58</v>
      </c>
    </row>
    <row r="10" spans="1:17" s="22" customFormat="1" ht="25" customHeight="1" x14ac:dyDescent="0.45">
      <c r="A10" s="20"/>
      <c r="B10" s="35"/>
      <c r="C10" s="73">
        <v>47</v>
      </c>
      <c r="D10" s="67">
        <f t="shared" ref="D10:D55" si="3">ROUND(10*(C10-$H$3)/$H$4+50,0)</f>
        <v>83</v>
      </c>
      <c r="E10" s="67">
        <f t="shared" si="0"/>
        <v>1</v>
      </c>
      <c r="F10" s="68">
        <f t="shared" ref="F10:F55" si="4">IF(I9=0,ROUND(100*(1-(I8+I10)/2/$J$3),2),ROUND(100*(1-(I9+I10)/2/$J$3),2))</f>
        <v>99.83</v>
      </c>
      <c r="G10" s="69">
        <f>IF(D10=D9,"",_xlfn.IFNA(VLOOKUP(D10,'인원 입력 기능(직탐)'!$A$5:$D$59,4,FALSE),0))</f>
        <v>5</v>
      </c>
      <c r="H10" s="70">
        <f t="shared" si="1"/>
        <v>1.5262515262515263E-3</v>
      </c>
      <c r="I10" s="80">
        <f>SUM($G$7:G10)</f>
        <v>8</v>
      </c>
      <c r="J10" s="72">
        <f t="shared" ref="J10:J55" si="5">I10/$J$3</f>
        <v>2.442002442002442E-3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기능'!C160</f>
        <v>53</v>
      </c>
    </row>
    <row r="11" spans="1:17" s="22" customFormat="1" ht="25" customHeight="1" x14ac:dyDescent="0.45">
      <c r="A11" s="20"/>
      <c r="B11" s="35"/>
      <c r="C11" s="66">
        <v>46</v>
      </c>
      <c r="D11" s="67">
        <f t="shared" si="3"/>
        <v>81</v>
      </c>
      <c r="E11" s="67">
        <f t="shared" si="0"/>
        <v>1</v>
      </c>
      <c r="F11" s="68">
        <f t="shared" si="4"/>
        <v>99.76</v>
      </c>
      <c r="G11" s="69">
        <f>IF(D11=D10,"",_xlfn.IFNA(VLOOKUP(D11,'인원 입력 기능(직탐)'!$A$5:$D$59,4,FALSE),0))</f>
        <v>0</v>
      </c>
      <c r="H11" s="70">
        <f t="shared" si="1"/>
        <v>0</v>
      </c>
      <c r="I11" s="80">
        <f>SUM($G$7:G11)</f>
        <v>8</v>
      </c>
      <c r="J11" s="72">
        <f t="shared" si="5"/>
        <v>2.442002442002442E-3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기능'!C161</f>
        <v>46</v>
      </c>
    </row>
    <row r="12" spans="1:17" s="22" customFormat="1" ht="25" customHeight="1" x14ac:dyDescent="0.45">
      <c r="A12" s="20"/>
      <c r="B12" s="35"/>
      <c r="C12" s="73">
        <v>45</v>
      </c>
      <c r="D12" s="67">
        <f t="shared" si="3"/>
        <v>80</v>
      </c>
      <c r="E12" s="67">
        <f t="shared" si="0"/>
        <v>1</v>
      </c>
      <c r="F12" s="68">
        <f t="shared" si="4"/>
        <v>99.74</v>
      </c>
      <c r="G12" s="69">
        <f>IF(D12=D11,"",_xlfn.IFNA(VLOOKUP(D12,'인원 입력 기능(직탐)'!$A$5:$D$59,4,FALSE),0))</f>
        <v>1</v>
      </c>
      <c r="H12" s="70">
        <f t="shared" si="1"/>
        <v>3.0525030525030525E-4</v>
      </c>
      <c r="I12" s="80">
        <f>SUM($G$7:G12)</f>
        <v>9</v>
      </c>
      <c r="J12" s="72">
        <f t="shared" si="5"/>
        <v>2.7472527472527475E-3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기능'!C162</f>
        <v>41</v>
      </c>
    </row>
    <row r="13" spans="1:17" s="22" customFormat="1" ht="25" customHeight="1" x14ac:dyDescent="0.45">
      <c r="A13" s="20"/>
      <c r="B13" s="35"/>
      <c r="C13" s="66">
        <v>44</v>
      </c>
      <c r="D13" s="67">
        <f t="shared" si="3"/>
        <v>79</v>
      </c>
      <c r="E13" s="67">
        <f t="shared" si="0"/>
        <v>1</v>
      </c>
      <c r="F13" s="68">
        <f t="shared" si="4"/>
        <v>99.56</v>
      </c>
      <c r="G13" s="69">
        <f>IF(D13=D12,"",_xlfn.IFNA(VLOOKUP(D13,'인원 입력 기능(직탐)'!$A$5:$D$59,4,FALSE),0))</f>
        <v>11</v>
      </c>
      <c r="H13" s="70">
        <f t="shared" si="1"/>
        <v>3.357753357753358E-3</v>
      </c>
      <c r="I13" s="80">
        <f>SUM($G$7:G13)</f>
        <v>20</v>
      </c>
      <c r="J13" s="72">
        <f t="shared" si="5"/>
        <v>6.105006105006105E-3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기능'!C163</f>
        <v>39</v>
      </c>
    </row>
    <row r="14" spans="1:17" s="22" customFormat="1" ht="25" customHeight="1" x14ac:dyDescent="0.45">
      <c r="A14" s="20"/>
      <c r="B14" s="35"/>
      <c r="C14" s="73">
        <v>43</v>
      </c>
      <c r="D14" s="67">
        <f t="shared" si="3"/>
        <v>78</v>
      </c>
      <c r="E14" s="67">
        <f t="shared" si="0"/>
        <v>1</v>
      </c>
      <c r="F14" s="68">
        <f t="shared" si="4"/>
        <v>99.37</v>
      </c>
      <c r="G14" s="69">
        <f>IF(D14=D13,"",_xlfn.IFNA(VLOOKUP(D14,'인원 입력 기능(직탐)'!$A$5:$D$59,4,FALSE),0))</f>
        <v>1</v>
      </c>
      <c r="H14" s="70">
        <f t="shared" si="1"/>
        <v>3.0525030525030525E-4</v>
      </c>
      <c r="I14" s="80">
        <f>SUM($G$7:G14)</f>
        <v>21</v>
      </c>
      <c r="J14" s="72">
        <f t="shared" si="5"/>
        <v>6.41025641025641E-3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기능'!C164</f>
        <v>35</v>
      </c>
    </row>
    <row r="15" spans="1:17" s="22" customFormat="1" ht="25" customHeight="1" x14ac:dyDescent="0.45">
      <c r="A15" s="20"/>
      <c r="B15" s="35"/>
      <c r="C15" s="66">
        <v>42</v>
      </c>
      <c r="D15" s="67">
        <f t="shared" si="3"/>
        <v>77</v>
      </c>
      <c r="E15" s="67">
        <f t="shared" si="0"/>
        <v>1</v>
      </c>
      <c r="F15" s="68">
        <f t="shared" si="4"/>
        <v>99.25</v>
      </c>
      <c r="G15" s="69">
        <f>IF(D15=D14,"",_xlfn.IFNA(VLOOKUP(D15,'인원 입력 기능(직탐)'!$A$5:$D$59,4,FALSE),0))</f>
        <v>7</v>
      </c>
      <c r="H15" s="70">
        <f t="shared" si="1"/>
        <v>2.136752136752137E-3</v>
      </c>
      <c r="I15" s="80">
        <f>SUM($G$7:G15)</f>
        <v>28</v>
      </c>
      <c r="J15" s="72">
        <f t="shared" si="5"/>
        <v>8.5470085470085479E-3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73">
        <v>41</v>
      </c>
      <c r="D16" s="67">
        <f t="shared" si="3"/>
        <v>76</v>
      </c>
      <c r="E16" s="67">
        <f t="shared" si="0"/>
        <v>1</v>
      </c>
      <c r="F16" s="68">
        <f t="shared" si="4"/>
        <v>99.02</v>
      </c>
      <c r="G16" s="69">
        <f>IF(D16=D15,"",_xlfn.IFNA(VLOOKUP(D16,'인원 입력 기능(직탐)'!$A$5:$D$59,4,FALSE),0))</f>
        <v>8</v>
      </c>
      <c r="H16" s="70">
        <f t="shared" si="1"/>
        <v>2.442002442002442E-3</v>
      </c>
      <c r="I16" s="80">
        <f>SUM($G$7:G16)</f>
        <v>36</v>
      </c>
      <c r="J16" s="72">
        <f t="shared" si="5"/>
        <v>1.098901098901099E-2</v>
      </c>
      <c r="K16" s="36"/>
      <c r="L16" s="20" t="str">
        <f t="shared" si="2"/>
        <v>경고</v>
      </c>
      <c r="N16" s="24"/>
    </row>
    <row r="17" spans="1:17" s="22" customFormat="1" ht="25" customHeight="1" x14ac:dyDescent="0.45">
      <c r="A17" s="20"/>
      <c r="B17" s="35"/>
      <c r="C17" s="66">
        <v>40</v>
      </c>
      <c r="D17" s="67">
        <f t="shared" si="3"/>
        <v>74</v>
      </c>
      <c r="E17" s="67">
        <f t="shared" si="0"/>
        <v>1</v>
      </c>
      <c r="F17" s="68">
        <f t="shared" si="4"/>
        <v>98.81</v>
      </c>
      <c r="G17" s="69">
        <f>IF(D17=D16,"",_xlfn.IFNA(VLOOKUP(D17,'인원 입력 기능(직탐)'!$A$5:$D$59,4,FALSE),0))</f>
        <v>6</v>
      </c>
      <c r="H17" s="70">
        <f t="shared" si="1"/>
        <v>1.8315018315018315E-3</v>
      </c>
      <c r="I17" s="80">
        <f>SUM($G$7:G17)</f>
        <v>42</v>
      </c>
      <c r="J17" s="72">
        <f t="shared" si="5"/>
        <v>1.282051282051282E-2</v>
      </c>
      <c r="K17" s="36"/>
      <c r="L17" s="20" t="str">
        <f t="shared" si="2"/>
        <v/>
      </c>
      <c r="N17" s="24"/>
      <c r="Q17" s="24">
        <f>Q7*H3*H4*J3*IFERROR(IF(J57=1, 1, 0), 0)</f>
        <v>36600246.24094709</v>
      </c>
    </row>
    <row r="18" spans="1:17" s="22" customFormat="1" ht="25" customHeight="1" x14ac:dyDescent="0.45">
      <c r="A18" s="20"/>
      <c r="B18" s="35"/>
      <c r="C18" s="73">
        <v>39</v>
      </c>
      <c r="D18" s="67">
        <f t="shared" si="3"/>
        <v>73</v>
      </c>
      <c r="E18" s="67">
        <f t="shared" si="0"/>
        <v>1</v>
      </c>
      <c r="F18" s="68">
        <f t="shared" si="4"/>
        <v>98.55</v>
      </c>
      <c r="G18" s="69">
        <f>IF(D18=D17,"",_xlfn.IFNA(VLOOKUP(D18,'인원 입력 기능(직탐)'!$A$5:$D$59,4,FALSE),0))</f>
        <v>11</v>
      </c>
      <c r="H18" s="70">
        <f t="shared" si="1"/>
        <v>3.357753357753358E-3</v>
      </c>
      <c r="I18" s="80">
        <f>SUM($G$7:G18)</f>
        <v>53</v>
      </c>
      <c r="J18" s="72">
        <f t="shared" si="5"/>
        <v>1.617826617826618E-2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66">
        <v>38</v>
      </c>
      <c r="D19" s="67">
        <f t="shared" si="3"/>
        <v>72</v>
      </c>
      <c r="E19" s="67">
        <f t="shared" si="0"/>
        <v>1</v>
      </c>
      <c r="F19" s="68">
        <f t="shared" si="4"/>
        <v>98.12</v>
      </c>
      <c r="G19" s="69">
        <f>IF(D19=D18,"",_xlfn.IFNA(VLOOKUP(D19,'인원 입력 기능(직탐)'!$A$5:$D$59,4,FALSE),0))</f>
        <v>17</v>
      </c>
      <c r="H19" s="70">
        <f t="shared" si="1"/>
        <v>5.189255189255189E-3</v>
      </c>
      <c r="I19" s="80">
        <f>SUM($G$7:G19)</f>
        <v>70</v>
      </c>
      <c r="J19" s="72">
        <f t="shared" si="5"/>
        <v>2.1367521367521368E-2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73">
        <v>37</v>
      </c>
      <c r="D20" s="67">
        <f t="shared" si="3"/>
        <v>71</v>
      </c>
      <c r="E20" s="67">
        <f t="shared" si="0"/>
        <v>1</v>
      </c>
      <c r="F20" s="68">
        <f t="shared" si="4"/>
        <v>97.7</v>
      </c>
      <c r="G20" s="69">
        <f>IF(D20=D19,"",_xlfn.IFNA(VLOOKUP(D20,'인원 입력 기능(직탐)'!$A$5:$D$59,4,FALSE),0))</f>
        <v>11</v>
      </c>
      <c r="H20" s="70">
        <f t="shared" si="1"/>
        <v>3.357753357753358E-3</v>
      </c>
      <c r="I20" s="80">
        <f>SUM($G$7:G20)</f>
        <v>81</v>
      </c>
      <c r="J20" s="72">
        <f t="shared" si="5"/>
        <v>2.4725274725274724E-2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95">
        <v>36</v>
      </c>
      <c r="D21" s="82">
        <f t="shared" si="3"/>
        <v>70</v>
      </c>
      <c r="E21" s="82">
        <f t="shared" si="0"/>
        <v>1</v>
      </c>
      <c r="F21" s="68">
        <f t="shared" si="4"/>
        <v>97.04</v>
      </c>
      <c r="G21" s="69">
        <f>IF(D21=D20,"",_xlfn.IFNA(VLOOKUP(D21,'인원 입력 기능(직탐)'!$A$5:$D$59,4,FALSE),0))</f>
        <v>32</v>
      </c>
      <c r="H21" s="70">
        <f t="shared" si="1"/>
        <v>9.768009768009768E-3</v>
      </c>
      <c r="I21" s="80">
        <f>SUM($G$7:G21)</f>
        <v>113</v>
      </c>
      <c r="J21" s="72">
        <f t="shared" si="5"/>
        <v>3.4493284493284496E-2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81">
        <v>35</v>
      </c>
      <c r="D22" s="82">
        <f t="shared" si="3"/>
        <v>68</v>
      </c>
      <c r="E22" s="82">
        <f t="shared" si="0"/>
        <v>1</v>
      </c>
      <c r="F22" s="68">
        <f t="shared" si="4"/>
        <v>96.21</v>
      </c>
      <c r="G22" s="69">
        <f>IF(D22=D21,"",_xlfn.IFNA(VLOOKUP(D22,'인원 입력 기능(직탐)'!$A$5:$D$59,4,FALSE),0))</f>
        <v>22</v>
      </c>
      <c r="H22" s="70">
        <f t="shared" si="1"/>
        <v>6.7155067155067159E-3</v>
      </c>
      <c r="I22" s="80">
        <f>SUM($G$7:G22)</f>
        <v>135</v>
      </c>
      <c r="J22" s="72">
        <f t="shared" si="5"/>
        <v>4.1208791208791208E-2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95">
        <v>34</v>
      </c>
      <c r="D23" s="82">
        <f t="shared" si="3"/>
        <v>67</v>
      </c>
      <c r="E23" s="82">
        <f t="shared" si="0"/>
        <v>2</v>
      </c>
      <c r="F23" s="68">
        <f t="shared" si="4"/>
        <v>95.16</v>
      </c>
      <c r="G23" s="69">
        <f>IF(D23=D22,"",_xlfn.IFNA(VLOOKUP(D23,'인원 입력 기능(직탐)'!$A$5:$D$59,4,FALSE),0))</f>
        <v>47</v>
      </c>
      <c r="H23" s="70">
        <f t="shared" si="1"/>
        <v>1.4346764346764346E-2</v>
      </c>
      <c r="I23" s="80">
        <f>SUM($G$7:G23)</f>
        <v>182</v>
      </c>
      <c r="J23" s="72">
        <f t="shared" si="5"/>
        <v>5.5555555555555552E-2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81">
        <v>33</v>
      </c>
      <c r="D24" s="82">
        <f t="shared" si="3"/>
        <v>66</v>
      </c>
      <c r="E24" s="82">
        <f t="shared" si="0"/>
        <v>2</v>
      </c>
      <c r="F24" s="68">
        <f t="shared" si="4"/>
        <v>93.77</v>
      </c>
      <c r="G24" s="69">
        <f>IF(D24=D23,"",_xlfn.IFNA(VLOOKUP(D24,'인원 입력 기능(직탐)'!$A$5:$D$59,4,FALSE),0))</f>
        <v>44</v>
      </c>
      <c r="H24" s="70">
        <f t="shared" si="1"/>
        <v>1.3431013431013432E-2</v>
      </c>
      <c r="I24" s="80">
        <f>SUM($G$7:G24)</f>
        <v>226</v>
      </c>
      <c r="J24" s="72">
        <f t="shared" si="5"/>
        <v>6.8986568986568991E-2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95">
        <v>32</v>
      </c>
      <c r="D25" s="82">
        <f t="shared" si="3"/>
        <v>65</v>
      </c>
      <c r="E25" s="82">
        <f t="shared" si="0"/>
        <v>2</v>
      </c>
      <c r="F25" s="68">
        <f t="shared" si="4"/>
        <v>92.58</v>
      </c>
      <c r="G25" s="69">
        <f>IF(D25=D24,"",_xlfn.IFNA(VLOOKUP(D25,'인원 입력 기능(직탐)'!$A$5:$D$59,4,FALSE),0))</f>
        <v>34</v>
      </c>
      <c r="H25" s="70">
        <f t="shared" si="1"/>
        <v>1.0378510378510378E-2</v>
      </c>
      <c r="I25" s="80">
        <f>SUM($G$7:G25)</f>
        <v>260</v>
      </c>
      <c r="J25" s="72">
        <f t="shared" si="5"/>
        <v>7.9365079365079361E-2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81">
        <v>31</v>
      </c>
      <c r="D26" s="82">
        <f t="shared" si="3"/>
        <v>64</v>
      </c>
      <c r="E26" s="82">
        <f t="shared" si="0"/>
        <v>2</v>
      </c>
      <c r="F26" s="68">
        <f t="shared" si="4"/>
        <v>90.89</v>
      </c>
      <c r="G26" s="69">
        <f>IF(D26=D25,"",_xlfn.IFNA(VLOOKUP(D26,'인원 입력 기능(직탐)'!$A$5:$D$59,4,FALSE),0))</f>
        <v>77</v>
      </c>
      <c r="H26" s="70">
        <f t="shared" si="1"/>
        <v>2.3504273504273504E-2</v>
      </c>
      <c r="I26" s="80">
        <f>SUM($G$7:G26)</f>
        <v>337</v>
      </c>
      <c r="J26" s="72">
        <f t="shared" si="5"/>
        <v>0.10286935286935286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95">
        <v>30</v>
      </c>
      <c r="D27" s="82">
        <f t="shared" si="3"/>
        <v>63</v>
      </c>
      <c r="E27" s="82">
        <f t="shared" si="0"/>
        <v>2</v>
      </c>
      <c r="F27" s="68">
        <f t="shared" si="4"/>
        <v>88.78</v>
      </c>
      <c r="G27" s="69">
        <f>IF(D27=D26,"",_xlfn.IFNA(VLOOKUP(D27,'인원 입력 기능(직탐)'!$A$5:$D$59,4,FALSE),0))</f>
        <v>61</v>
      </c>
      <c r="H27" s="70">
        <f t="shared" si="1"/>
        <v>1.862026862026862E-2</v>
      </c>
      <c r="I27" s="80">
        <f>SUM($G$7:G27)</f>
        <v>398</v>
      </c>
      <c r="J27" s="72">
        <f t="shared" si="5"/>
        <v>0.12148962148962149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81">
        <v>29</v>
      </c>
      <c r="D28" s="82">
        <f t="shared" si="3"/>
        <v>61</v>
      </c>
      <c r="E28" s="82">
        <f t="shared" si="0"/>
        <v>3</v>
      </c>
      <c r="F28" s="68">
        <f t="shared" si="4"/>
        <v>86.58</v>
      </c>
      <c r="G28" s="69">
        <f>IF(D28=D27,"",_xlfn.IFNA(VLOOKUP(D28,'인원 입력 기능(직탐)'!$A$5:$D$59,4,FALSE),0))</f>
        <v>83</v>
      </c>
      <c r="H28" s="70">
        <f t="shared" si="1"/>
        <v>2.5335775335775336E-2</v>
      </c>
      <c r="I28" s="80">
        <f>SUM($G$7:G28)</f>
        <v>481</v>
      </c>
      <c r="J28" s="72">
        <f t="shared" si="5"/>
        <v>0.14682539682539683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95">
        <v>28</v>
      </c>
      <c r="D29" s="82">
        <f t="shared" si="3"/>
        <v>60</v>
      </c>
      <c r="E29" s="82">
        <f t="shared" si="0"/>
        <v>3</v>
      </c>
      <c r="F29" s="68">
        <f t="shared" si="4"/>
        <v>83.7</v>
      </c>
      <c r="G29" s="69">
        <f>IF(D29=D28,"",_xlfn.IFNA(VLOOKUP(D29,'인원 입력 기능(직탐)'!$A$5:$D$59,4,FALSE),0))</f>
        <v>106</v>
      </c>
      <c r="H29" s="70">
        <f t="shared" si="1"/>
        <v>3.235653235653236E-2</v>
      </c>
      <c r="I29" s="80">
        <f>SUM($G$7:G29)</f>
        <v>587</v>
      </c>
      <c r="J29" s="72">
        <f t="shared" si="5"/>
        <v>0.17918192918192918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81">
        <v>27</v>
      </c>
      <c r="D30" s="82">
        <f t="shared" si="3"/>
        <v>59</v>
      </c>
      <c r="E30" s="82">
        <f t="shared" si="0"/>
        <v>3</v>
      </c>
      <c r="F30" s="68">
        <f t="shared" si="4"/>
        <v>80.66</v>
      </c>
      <c r="G30" s="69">
        <f>IF(D30=D29,"",_xlfn.IFNA(VLOOKUP(D30,'인원 입력 기능(직탐)'!$A$5:$D$59,4,FALSE),0))</f>
        <v>93</v>
      </c>
      <c r="H30" s="70">
        <f t="shared" si="1"/>
        <v>2.8388278388278388E-2</v>
      </c>
      <c r="I30" s="80">
        <f>SUM($G$7:G30)</f>
        <v>680</v>
      </c>
      <c r="J30" s="72">
        <f t="shared" si="5"/>
        <v>0.20757020757020758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95">
        <v>26</v>
      </c>
      <c r="D31" s="82">
        <f t="shared" si="3"/>
        <v>58</v>
      </c>
      <c r="E31" s="82">
        <f t="shared" si="0"/>
        <v>3</v>
      </c>
      <c r="F31" s="68">
        <f t="shared" si="4"/>
        <v>77.53</v>
      </c>
      <c r="G31" s="69">
        <f>IF(D31=D30,"",_xlfn.IFNA(VLOOKUP(D31,'인원 입력 기능(직탐)'!$A$5:$D$59,4,FALSE),0))</f>
        <v>112</v>
      </c>
      <c r="H31" s="70">
        <f t="shared" si="1"/>
        <v>3.4188034188034191E-2</v>
      </c>
      <c r="I31" s="80">
        <f>SUM($G$7:G31)</f>
        <v>792</v>
      </c>
      <c r="J31" s="72">
        <f t="shared" si="5"/>
        <v>0.24175824175824176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81">
        <v>25</v>
      </c>
      <c r="D32" s="82">
        <f t="shared" si="3"/>
        <v>57</v>
      </c>
      <c r="E32" s="82">
        <f t="shared" si="0"/>
        <v>4</v>
      </c>
      <c r="F32" s="68">
        <f t="shared" si="4"/>
        <v>73.58</v>
      </c>
      <c r="G32" s="69">
        <f>IF(D32=D31,"",_xlfn.IFNA(VLOOKUP(D32,'인원 입력 기능(직탐)'!$A$5:$D$59,4,FALSE),0))</f>
        <v>147</v>
      </c>
      <c r="H32" s="70">
        <f t="shared" si="1"/>
        <v>4.4871794871794872E-2</v>
      </c>
      <c r="I32" s="80">
        <f>SUM($G$7:G32)</f>
        <v>939</v>
      </c>
      <c r="J32" s="72">
        <f t="shared" si="5"/>
        <v>0.28663003663003661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95">
        <v>24</v>
      </c>
      <c r="D33" s="82">
        <f t="shared" si="3"/>
        <v>55</v>
      </c>
      <c r="E33" s="82">
        <f t="shared" si="0"/>
        <v>4</v>
      </c>
      <c r="F33" s="68">
        <f t="shared" si="4"/>
        <v>69.58</v>
      </c>
      <c r="G33" s="69">
        <f>IF(D33=D32,"",_xlfn.IFNA(VLOOKUP(D33,'인원 입력 기능(직탐)'!$A$5:$D$59,4,FALSE),0))</f>
        <v>115</v>
      </c>
      <c r="H33" s="70">
        <f t="shared" si="1"/>
        <v>3.5103785103785104E-2</v>
      </c>
      <c r="I33" s="80">
        <f>SUM($G$7:G33)</f>
        <v>1054</v>
      </c>
      <c r="J33" s="72">
        <f t="shared" si="5"/>
        <v>0.32173382173382176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81">
        <v>23</v>
      </c>
      <c r="D34" s="82">
        <f t="shared" si="3"/>
        <v>54</v>
      </c>
      <c r="E34" s="82">
        <f t="shared" si="0"/>
        <v>4</v>
      </c>
      <c r="F34" s="68">
        <f t="shared" si="4"/>
        <v>65.64</v>
      </c>
      <c r="G34" s="69">
        <f>IF(D34=D33,"",_xlfn.IFNA(VLOOKUP(D34,'인원 입력 기능(직탐)'!$A$5:$D$59,4,FALSE),0))</f>
        <v>143</v>
      </c>
      <c r="H34" s="70">
        <f t="shared" si="1"/>
        <v>4.3650793650793648E-2</v>
      </c>
      <c r="I34" s="80">
        <f>SUM($G$7:G34)</f>
        <v>1197</v>
      </c>
      <c r="J34" s="72">
        <f t="shared" si="5"/>
        <v>0.36538461538461536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95">
        <v>22</v>
      </c>
      <c r="D35" s="82">
        <f t="shared" si="3"/>
        <v>53</v>
      </c>
      <c r="E35" s="82">
        <f t="shared" si="0"/>
        <v>4</v>
      </c>
      <c r="F35" s="68">
        <f t="shared" si="4"/>
        <v>61.48</v>
      </c>
      <c r="G35" s="69">
        <f>IF(D35=D34,"",_xlfn.IFNA(VLOOKUP(D35,'인원 입력 기능(직탐)'!$A$5:$D$59,4,FALSE),0))</f>
        <v>130</v>
      </c>
      <c r="H35" s="70">
        <f t="shared" si="1"/>
        <v>3.968253968253968E-2</v>
      </c>
      <c r="I35" s="80">
        <f>SUM($G$7:G35)</f>
        <v>1327</v>
      </c>
      <c r="J35" s="72">
        <f t="shared" si="5"/>
        <v>0.40506715506715507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81">
        <v>21</v>
      </c>
      <c r="D36" s="82">
        <f t="shared" si="3"/>
        <v>52</v>
      </c>
      <c r="E36" s="82">
        <f t="shared" si="0"/>
        <v>5</v>
      </c>
      <c r="F36" s="68">
        <f t="shared" si="4"/>
        <v>57.72</v>
      </c>
      <c r="G36" s="69">
        <f>IF(D36=D35,"",_xlfn.IFNA(VLOOKUP(D36,'인원 입력 기능(직탐)'!$A$5:$D$59,4,FALSE),0))</f>
        <v>116</v>
      </c>
      <c r="H36" s="70">
        <f t="shared" si="1"/>
        <v>3.5409035409035408E-2</v>
      </c>
      <c r="I36" s="80">
        <f>SUM($G$7:G36)</f>
        <v>1443</v>
      </c>
      <c r="J36" s="72">
        <f t="shared" si="5"/>
        <v>0.44047619047619047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95">
        <v>20</v>
      </c>
      <c r="D37" s="82">
        <f t="shared" si="3"/>
        <v>51</v>
      </c>
      <c r="E37" s="82">
        <f t="shared" si="0"/>
        <v>5</v>
      </c>
      <c r="F37" s="68">
        <f t="shared" si="4"/>
        <v>54.08</v>
      </c>
      <c r="G37" s="69">
        <f>IF(D37=D36,"",_xlfn.IFNA(VLOOKUP(D37,'인원 입력 기능(직탐)'!$A$5:$D$59,4,FALSE),0))</f>
        <v>123</v>
      </c>
      <c r="H37" s="70">
        <f t="shared" si="1"/>
        <v>3.7545787545787544E-2</v>
      </c>
      <c r="I37" s="80">
        <f>SUM($G$7:G37)</f>
        <v>1566</v>
      </c>
      <c r="J37" s="72">
        <f t="shared" si="5"/>
        <v>0.47802197802197804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81">
        <v>19</v>
      </c>
      <c r="D38" s="82">
        <f t="shared" si="3"/>
        <v>50</v>
      </c>
      <c r="E38" s="82">
        <f t="shared" si="0"/>
        <v>5</v>
      </c>
      <c r="F38" s="68">
        <f t="shared" si="4"/>
        <v>50.44</v>
      </c>
      <c r="G38" s="69">
        <f>IF(D38=D37,"",_xlfn.IFNA(VLOOKUP(D38,'인원 입력 기능(직탐)'!$A$5:$D$59,4,FALSE),0))</f>
        <v>115</v>
      </c>
      <c r="H38" s="70">
        <f t="shared" si="1"/>
        <v>3.5103785103785104E-2</v>
      </c>
      <c r="I38" s="80">
        <f>SUM($G$7:G38)</f>
        <v>1681</v>
      </c>
      <c r="J38" s="72">
        <f t="shared" si="5"/>
        <v>0.51312576312576308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95">
        <v>18</v>
      </c>
      <c r="D39" s="82">
        <f t="shared" si="3"/>
        <v>48</v>
      </c>
      <c r="E39" s="82">
        <f t="shared" si="0"/>
        <v>5</v>
      </c>
      <c r="F39" s="68">
        <f t="shared" si="4"/>
        <v>47.12</v>
      </c>
      <c r="G39" s="69">
        <f>IF(D39=D38,"",_xlfn.IFNA(VLOOKUP(D39,'인원 입력 기능(직탐)'!$A$5:$D$59,4,FALSE),0))</f>
        <v>103</v>
      </c>
      <c r="H39" s="70">
        <f t="shared" si="1"/>
        <v>3.144078144078144E-2</v>
      </c>
      <c r="I39" s="80">
        <f>SUM($G$7:G39)</f>
        <v>1784</v>
      </c>
      <c r="J39" s="72">
        <f t="shared" si="5"/>
        <v>0.54456654456654452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81">
        <v>17</v>
      </c>
      <c r="D40" s="82">
        <f t="shared" si="3"/>
        <v>47</v>
      </c>
      <c r="E40" s="82">
        <f t="shared" si="0"/>
        <v>5</v>
      </c>
      <c r="F40" s="68">
        <f t="shared" si="4"/>
        <v>43.93</v>
      </c>
      <c r="G40" s="69">
        <f>IF(D40=D39,"",_xlfn.IFNA(VLOOKUP(D40,'인원 입력 기능(직탐)'!$A$5:$D$59,4,FALSE),0))</f>
        <v>106</v>
      </c>
      <c r="H40" s="70">
        <f t="shared" si="1"/>
        <v>3.235653235653236E-2</v>
      </c>
      <c r="I40" s="80">
        <f>SUM($G$7:G40)</f>
        <v>1890</v>
      </c>
      <c r="J40" s="72">
        <f t="shared" si="5"/>
        <v>0.57692307692307687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95">
        <v>16</v>
      </c>
      <c r="D41" s="82">
        <f t="shared" si="3"/>
        <v>46</v>
      </c>
      <c r="E41" s="82">
        <f t="shared" si="0"/>
        <v>5</v>
      </c>
      <c r="F41" s="68">
        <f t="shared" si="4"/>
        <v>40.770000000000003</v>
      </c>
      <c r="G41" s="69">
        <f>IF(D41=D40,"",_xlfn.IFNA(VLOOKUP(D41,'인원 입력 기능(직탐)'!$A$5:$D$59,4,FALSE),0))</f>
        <v>101</v>
      </c>
      <c r="H41" s="70">
        <f t="shared" si="1"/>
        <v>3.0830280830280832E-2</v>
      </c>
      <c r="I41" s="80">
        <f>SUM($G$7:G41)</f>
        <v>1991</v>
      </c>
      <c r="J41" s="72">
        <f t="shared" si="5"/>
        <v>0.6077533577533577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81">
        <v>15</v>
      </c>
      <c r="D42" s="82">
        <f t="shared" si="3"/>
        <v>45</v>
      </c>
      <c r="E42" s="82">
        <f t="shared" si="0"/>
        <v>6</v>
      </c>
      <c r="F42" s="68">
        <f t="shared" si="4"/>
        <v>34.31</v>
      </c>
      <c r="G42" s="69">
        <f>IF(D42=D41,"",_xlfn.IFNA(VLOOKUP(D42,'인원 입력 기능(직탐)'!$A$5:$D$59,4,FALSE),0))</f>
        <v>322</v>
      </c>
      <c r="H42" s="70">
        <f t="shared" si="1"/>
        <v>9.8290598290598288E-2</v>
      </c>
      <c r="I42" s="80">
        <f>SUM($G$7:G42)</f>
        <v>2313</v>
      </c>
      <c r="J42" s="72">
        <f t="shared" si="5"/>
        <v>0.70604395604395609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95">
        <v>14</v>
      </c>
      <c r="D43" s="82">
        <f t="shared" si="3"/>
        <v>44</v>
      </c>
      <c r="E43" s="82">
        <f t="shared" si="0"/>
        <v>6</v>
      </c>
      <c r="F43" s="68">
        <f t="shared" si="4"/>
        <v>28.11</v>
      </c>
      <c r="G43" s="69">
        <f>IF(D43=D42,"",_xlfn.IFNA(VLOOKUP(D43,'인원 입력 기능(직탐)'!$A$5:$D$59,4,FALSE),0))</f>
        <v>84</v>
      </c>
      <c r="H43" s="70">
        <f t="shared" si="1"/>
        <v>2.564102564102564E-2</v>
      </c>
      <c r="I43" s="80">
        <f>SUM($G$7:G43)</f>
        <v>2397</v>
      </c>
      <c r="J43" s="72">
        <f t="shared" si="5"/>
        <v>0.73168498168498164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81">
        <v>13</v>
      </c>
      <c r="D44" s="82">
        <f t="shared" si="3"/>
        <v>42</v>
      </c>
      <c r="E44" s="82">
        <f t="shared" si="0"/>
        <v>6</v>
      </c>
      <c r="F44" s="68">
        <f t="shared" si="4"/>
        <v>25.08</v>
      </c>
      <c r="G44" s="69">
        <f>IF(D44=D43,"",_xlfn.IFNA(VLOOKUP(D44,'인원 입력 기능(직탐)'!$A$5:$D$59,4,FALSE),0))</f>
        <v>115</v>
      </c>
      <c r="H44" s="70">
        <f t="shared" si="1"/>
        <v>3.5103785103785104E-2</v>
      </c>
      <c r="I44" s="80">
        <f>SUM($G$7:G44)</f>
        <v>2512</v>
      </c>
      <c r="J44" s="72">
        <f t="shared" si="5"/>
        <v>0.76678876678876684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95">
        <v>12</v>
      </c>
      <c r="D45" s="82">
        <f t="shared" si="3"/>
        <v>41</v>
      </c>
      <c r="E45" s="82">
        <f t="shared" si="0"/>
        <v>6</v>
      </c>
      <c r="F45" s="68">
        <f t="shared" si="4"/>
        <v>21.99</v>
      </c>
      <c r="G45" s="69">
        <f>IF(D45=D44,"",_xlfn.IFNA(VLOOKUP(D45,'인원 입력 기능(직탐)'!$A$5:$D$59,4,FALSE),0))</f>
        <v>87</v>
      </c>
      <c r="H45" s="70">
        <f t="shared" si="1"/>
        <v>2.6556776556776556E-2</v>
      </c>
      <c r="I45" s="80">
        <f>SUM($G$7:G45)</f>
        <v>2599</v>
      </c>
      <c r="J45" s="72">
        <f t="shared" si="5"/>
        <v>0.7933455433455433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81">
        <v>11</v>
      </c>
      <c r="D46" s="82">
        <f t="shared" si="3"/>
        <v>40</v>
      </c>
      <c r="E46" s="82">
        <f t="shared" si="0"/>
        <v>7</v>
      </c>
      <c r="F46" s="68">
        <f t="shared" si="4"/>
        <v>18.36</v>
      </c>
      <c r="G46" s="69">
        <f>IF(D46=D45,"",_xlfn.IFNA(VLOOKUP(D46,'인원 입력 기능(직탐)'!$A$5:$D$59,4,FALSE),0))</f>
        <v>151</v>
      </c>
      <c r="H46" s="70">
        <f t="shared" si="1"/>
        <v>4.6092796092796096E-2</v>
      </c>
      <c r="I46" s="80">
        <f>SUM($G$7:G46)</f>
        <v>2750</v>
      </c>
      <c r="J46" s="72">
        <f t="shared" si="5"/>
        <v>0.83943833943833945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95">
        <v>10</v>
      </c>
      <c r="D47" s="82">
        <f t="shared" si="3"/>
        <v>39</v>
      </c>
      <c r="E47" s="82">
        <f t="shared" si="0"/>
        <v>7</v>
      </c>
      <c r="F47" s="68">
        <f t="shared" si="4"/>
        <v>13.51</v>
      </c>
      <c r="G47" s="69">
        <f>IF(D47=D46,"",_xlfn.IFNA(VLOOKUP(D47,'인원 입력 기능(직탐)'!$A$5:$D$59,4,FALSE),0))</f>
        <v>167</v>
      </c>
      <c r="H47" s="70">
        <f t="shared" si="1"/>
        <v>5.0976800976800976E-2</v>
      </c>
      <c r="I47" s="80">
        <f>SUM($G$7:G47)</f>
        <v>2917</v>
      </c>
      <c r="J47" s="72">
        <f t="shared" si="5"/>
        <v>0.89041514041514036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81">
        <v>9</v>
      </c>
      <c r="D48" s="82">
        <f t="shared" si="3"/>
        <v>38</v>
      </c>
      <c r="E48" s="82">
        <f t="shared" si="0"/>
        <v>8</v>
      </c>
      <c r="F48" s="68">
        <f t="shared" si="4"/>
        <v>9.77</v>
      </c>
      <c r="G48" s="69">
        <f>IF(D48=D47,"",_xlfn.IFNA(VLOOKUP(D48,'인원 입력 기능(직탐)'!$A$5:$D$59,4,FALSE),0))</f>
        <v>78</v>
      </c>
      <c r="H48" s="70">
        <f t="shared" si="1"/>
        <v>2.3809523809523808E-2</v>
      </c>
      <c r="I48" s="80">
        <f>SUM($G$7:G48)</f>
        <v>2995</v>
      </c>
      <c r="J48" s="72">
        <f t="shared" si="5"/>
        <v>0.9142246642246642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95">
        <v>8</v>
      </c>
      <c r="D49" s="82">
        <f t="shared" si="3"/>
        <v>37</v>
      </c>
      <c r="E49" s="82">
        <f t="shared" si="0"/>
        <v>8</v>
      </c>
      <c r="F49" s="68">
        <f t="shared" si="4"/>
        <v>7.74</v>
      </c>
      <c r="G49" s="69">
        <f>IF(D49=D48,"",_xlfn.IFNA(VLOOKUP(D49,'인원 입력 기능(직탐)'!$A$5:$D$59,4,FALSE),0))</f>
        <v>55</v>
      </c>
      <c r="H49" s="70">
        <f t="shared" si="1"/>
        <v>1.6788766788766788E-2</v>
      </c>
      <c r="I49" s="80">
        <f>SUM($G$7:G49)</f>
        <v>3050</v>
      </c>
      <c r="J49" s="72">
        <f t="shared" si="5"/>
        <v>0.93101343101343104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81">
        <v>7</v>
      </c>
      <c r="D50" s="82">
        <f t="shared" si="3"/>
        <v>35</v>
      </c>
      <c r="E50" s="82">
        <f t="shared" si="0"/>
        <v>8</v>
      </c>
      <c r="F50" s="68">
        <f t="shared" si="4"/>
        <v>5.2</v>
      </c>
      <c r="G50" s="69">
        <f>IF(D50=D49,"",_xlfn.IFNA(VLOOKUP(D50,'인원 입력 기능(직탐)'!$A$5:$D$59,4,FALSE),0))</f>
        <v>111</v>
      </c>
      <c r="H50" s="70">
        <f t="shared" si="1"/>
        <v>3.388278388278388E-2</v>
      </c>
      <c r="I50" s="80">
        <f>SUM($G$7:G50)</f>
        <v>3161</v>
      </c>
      <c r="J50" s="72">
        <f t="shared" si="5"/>
        <v>0.96489621489621491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95">
        <v>6</v>
      </c>
      <c r="D51" s="82">
        <f t="shared" si="3"/>
        <v>34</v>
      </c>
      <c r="E51" s="82">
        <f t="shared" si="0"/>
        <v>9</v>
      </c>
      <c r="F51" s="68">
        <f t="shared" si="4"/>
        <v>3.11</v>
      </c>
      <c r="G51" s="69">
        <f>IF(D51=D50,"",_xlfn.IFNA(VLOOKUP(D51,'인원 입력 기능(직탐)'!$A$5:$D$59,4,FALSE),0))</f>
        <v>26</v>
      </c>
      <c r="H51" s="70">
        <f t="shared" si="1"/>
        <v>7.9365079365079361E-3</v>
      </c>
      <c r="I51" s="80">
        <f>SUM($G$7:G51)</f>
        <v>3187</v>
      </c>
      <c r="J51" s="72">
        <f t="shared" si="5"/>
        <v>0.97283272283272282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81">
        <v>5</v>
      </c>
      <c r="D52" s="82">
        <f t="shared" si="3"/>
        <v>33</v>
      </c>
      <c r="E52" s="82">
        <f t="shared" si="0"/>
        <v>9</v>
      </c>
      <c r="F52" s="68">
        <f t="shared" si="4"/>
        <v>2.15</v>
      </c>
      <c r="G52" s="69">
        <f>IF(D52=D51,"",_xlfn.IFNA(VLOOKUP(D52,'인원 입력 기능(직탐)'!$A$5:$D$59,4,FALSE),0))</f>
        <v>37</v>
      </c>
      <c r="H52" s="70">
        <f t="shared" si="1"/>
        <v>1.1294261294261294E-2</v>
      </c>
      <c r="I52" s="80">
        <f>SUM($G$7:G52)</f>
        <v>3224</v>
      </c>
      <c r="J52" s="72">
        <f t="shared" si="5"/>
        <v>0.98412698412698407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66">
        <v>4</v>
      </c>
      <c r="D53" s="67">
        <f t="shared" si="3"/>
        <v>32</v>
      </c>
      <c r="E53" s="67">
        <f t="shared" si="0"/>
        <v>9</v>
      </c>
      <c r="F53" s="68">
        <f t="shared" si="4"/>
        <v>1.4</v>
      </c>
      <c r="G53" s="69">
        <f>IF(D53=D52,"",_xlfn.IFNA(VLOOKUP(D53,'인원 입력 기능(직탐)'!$A$5:$D$59,4,FALSE),0))</f>
        <v>12</v>
      </c>
      <c r="H53" s="70">
        <f t="shared" si="1"/>
        <v>3.663003663003663E-3</v>
      </c>
      <c r="I53" s="80">
        <f>SUM($G$7:G53)</f>
        <v>3236</v>
      </c>
      <c r="J53" s="72">
        <f t="shared" si="5"/>
        <v>0.98778998778998783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73">
        <v>3</v>
      </c>
      <c r="D54" s="67">
        <f t="shared" si="3"/>
        <v>31</v>
      </c>
      <c r="E54" s="67">
        <f t="shared" si="0"/>
        <v>9</v>
      </c>
      <c r="F54" s="68">
        <f t="shared" si="4"/>
        <v>1.08</v>
      </c>
      <c r="G54" s="69">
        <f>IF(D54=D53,"",_xlfn.IFNA(VLOOKUP(D54,'인원 입력 기능(직탐)'!$A$5:$D$59,4,FALSE),0))</f>
        <v>9</v>
      </c>
      <c r="H54" s="70">
        <f t="shared" si="1"/>
        <v>2.7472527472527475E-3</v>
      </c>
      <c r="I54" s="80">
        <f>SUM($G$7:G54)</f>
        <v>3245</v>
      </c>
      <c r="J54" s="72">
        <f t="shared" si="5"/>
        <v>0.99053724053724057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66">
        <v>2</v>
      </c>
      <c r="D55" s="67">
        <f t="shared" si="3"/>
        <v>29</v>
      </c>
      <c r="E55" s="67">
        <f t="shared" si="0"/>
        <v>9</v>
      </c>
      <c r="F55" s="68">
        <f t="shared" si="4"/>
        <v>0.73</v>
      </c>
      <c r="G55" s="69">
        <f>IF(D55=D54,"",_xlfn.IFNA(VLOOKUP(D55,'인원 입력 기능(직탐)'!$A$5:$D$59,4,FALSE),0))</f>
        <v>14</v>
      </c>
      <c r="H55" s="70">
        <f t="shared" si="1"/>
        <v>4.2735042735042739E-3</v>
      </c>
      <c r="I55" s="80">
        <f>SUM($G$7:G55)</f>
        <v>3259</v>
      </c>
      <c r="J55" s="72">
        <f t="shared" si="5"/>
        <v>0.99481074481074483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73">
        <v>1</v>
      </c>
      <c r="D56" s="74" t="s">
        <v>59</v>
      </c>
      <c r="E56" s="74"/>
      <c r="F56" s="75"/>
      <c r="G56" s="96"/>
      <c r="H56" s="94"/>
      <c r="I56" s="84"/>
      <c r="J56" s="79"/>
      <c r="K56" s="36"/>
      <c r="L56" s="20"/>
      <c r="N56" s="24"/>
    </row>
    <row r="57" spans="1:14" s="22" customFormat="1" ht="25" customHeight="1" thickBot="1" x14ac:dyDescent="0.5">
      <c r="A57" s="20"/>
      <c r="B57" s="35"/>
      <c r="C57" s="97">
        <v>0</v>
      </c>
      <c r="D57" s="86">
        <f>ROUND(10*(C57-$H$3)/$H$4+50,0)</f>
        <v>27</v>
      </c>
      <c r="E57" s="98">
        <f t="shared" si="0"/>
        <v>9</v>
      </c>
      <c r="F57" s="87">
        <f>IF(I55=0,ROUND(100*(1-(I54+I57)/2/$J$3),2),ROUND(100*(1-(I55+I57)/2/$J$3),2))</f>
        <v>0.26</v>
      </c>
      <c r="G57" s="99">
        <f>_xlfn.IFNA(VLOOKUP(D57,'인원 입력 기능(직탐)'!$A$5:$D$59,4,FALSE),0)</f>
        <v>17</v>
      </c>
      <c r="H57" s="89">
        <f>G57/$J$3</f>
        <v>5.189255189255189E-3</v>
      </c>
      <c r="I57" s="90">
        <f>SUM($G$7:G57)</f>
        <v>3276</v>
      </c>
      <c r="J57" s="100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">
    <mergeCell ref="D3:F3"/>
    <mergeCell ref="D4:F4"/>
  </mergeCells>
  <phoneticPr fontId="1" type="noConversion"/>
  <conditionalFormatting sqref="D7:J57">
    <cfRule type="expression" dxfId="22" priority="3">
      <formula>OR($D7=$Q$7:$Q$14)</formula>
    </cfRule>
  </conditionalFormatting>
  <conditionalFormatting sqref="C7:C57">
    <cfRule type="expression" dxfId="21" priority="2">
      <formula>OR(AND($D7=0,OR($D6=$Q$7:$Q$14)),AND($D8&gt;0,OR($D7=$Q$7:$Q$14)))</formula>
    </cfRule>
  </conditionalFormatting>
  <conditionalFormatting sqref="D7:D57">
    <cfRule type="expression" dxfId="20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979AD-C31C-4A6E-A31F-C4A8A4FC8937}">
  <sheetPr codeName="Sheet24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113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기능'!D22</f>
        <v>13.7664974619289</v>
      </c>
      <c r="I3" s="21" t="s">
        <v>117</v>
      </c>
      <c r="J3" s="58">
        <f>'통계 및 응시자 수 입력 기능'!C22</f>
        <v>394</v>
      </c>
      <c r="K3" s="36"/>
      <c r="L3" s="20"/>
    </row>
    <row r="4" spans="1:17" s="22" customFormat="1" ht="25" customHeight="1" thickBot="1" x14ac:dyDescent="0.5">
      <c r="A4" s="20"/>
      <c r="B4" s="35"/>
      <c r="C4" s="59" t="s">
        <v>118</v>
      </c>
      <c r="D4" s="191" t="s">
        <v>137</v>
      </c>
      <c r="E4" s="192"/>
      <c r="F4" s="193"/>
      <c r="G4" s="60" t="s">
        <v>120</v>
      </c>
      <c r="H4" s="61">
        <f>'통계 및 응시자 수 입력 기능'!E22</f>
        <v>7.4643854515140902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62" t="s">
        <v>121</v>
      </c>
      <c r="D6" s="63" t="s">
        <v>122</v>
      </c>
      <c r="E6" s="63" t="s">
        <v>123</v>
      </c>
      <c r="F6" s="63" t="s">
        <v>124</v>
      </c>
      <c r="G6" s="63" t="s">
        <v>125</v>
      </c>
      <c r="H6" s="63" t="s">
        <v>126</v>
      </c>
      <c r="I6" s="64" t="s">
        <v>127</v>
      </c>
      <c r="J6" s="65" t="s">
        <v>128</v>
      </c>
      <c r="K6" s="36"/>
      <c r="L6" s="19"/>
      <c r="M6" s="19"/>
      <c r="N6" s="23"/>
    </row>
    <row r="7" spans="1:17" s="22" customFormat="1" ht="25" customHeight="1" x14ac:dyDescent="0.45">
      <c r="A7" s="20"/>
      <c r="B7" s="35"/>
      <c r="C7" s="66">
        <v>50</v>
      </c>
      <c r="D7" s="67">
        <f>ROUND(10*(C7-$H$3)/$H$4+50,0)</f>
        <v>99</v>
      </c>
      <c r="E7" s="67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8">
        <f>ROUND(100*(1-(0+I7)/2/$J$3),2)</f>
        <v>100</v>
      </c>
      <c r="G7" s="69">
        <f>_xlfn.IFNA(VLOOKUP(D7,'인원 입력 기능(직탐)'!$F$5:$I$59,4,FALSE),0)</f>
        <v>0</v>
      </c>
      <c r="H7" s="70">
        <f>G7/$J$3</f>
        <v>0</v>
      </c>
      <c r="I7" s="71">
        <f>G7</f>
        <v>0</v>
      </c>
      <c r="J7" s="72">
        <f>I7/$J$3</f>
        <v>0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기능'!C166</f>
        <v>70</v>
      </c>
    </row>
    <row r="8" spans="1:17" s="22" customFormat="1" ht="25" customHeight="1" x14ac:dyDescent="0.45">
      <c r="A8" s="20"/>
      <c r="B8" s="35"/>
      <c r="C8" s="73">
        <v>49</v>
      </c>
      <c r="D8" s="74" t="s">
        <v>59</v>
      </c>
      <c r="E8" s="74"/>
      <c r="F8" s="75"/>
      <c r="G8" s="76"/>
      <c r="H8" s="94"/>
      <c r="I8" s="78"/>
      <c r="J8" s="79"/>
      <c r="K8" s="36"/>
      <c r="L8" s="20"/>
      <c r="N8" s="24"/>
      <c r="P8" s="24">
        <v>2</v>
      </c>
      <c r="Q8" s="24">
        <f>'표점등급&amp;절평인원 입력 기능'!C167</f>
        <v>62</v>
      </c>
    </row>
    <row r="9" spans="1:17" s="22" customFormat="1" ht="25" customHeight="1" x14ac:dyDescent="0.45">
      <c r="A9" s="20"/>
      <c r="B9" s="35"/>
      <c r="C9" s="66">
        <v>48</v>
      </c>
      <c r="D9" s="67">
        <f>ROUND(10*(C9-$H$3)/$H$4+50,0)</f>
        <v>96</v>
      </c>
      <c r="E9" s="67">
        <f t="shared" si="0"/>
        <v>1</v>
      </c>
      <c r="F9" s="68">
        <f>IF(I8=0,ROUND(100*(1-(I7+I9)/2/$J$3),2),ROUND(100*(1-(I8+I9)/2/$J$3),2))</f>
        <v>100</v>
      </c>
      <c r="G9" s="69">
        <f>_xlfn.IFNA(VLOOKUP(D9,'인원 입력 기능(직탐)'!$F$5:$I$59,4,FALSE),0)</f>
        <v>0</v>
      </c>
      <c r="H9" s="70">
        <f t="shared" ref="H9:H55" si="1">G9/$J$3</f>
        <v>0</v>
      </c>
      <c r="I9" s="80">
        <f>SUM($G$7:G9)</f>
        <v>0</v>
      </c>
      <c r="J9" s="72">
        <f>I9/$J$3</f>
        <v>0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기능'!C168</f>
        <v>56</v>
      </c>
    </row>
    <row r="10" spans="1:17" s="22" customFormat="1" ht="25" customHeight="1" x14ac:dyDescent="0.45">
      <c r="A10" s="20"/>
      <c r="B10" s="35"/>
      <c r="C10" s="73">
        <v>47</v>
      </c>
      <c r="D10" s="67">
        <f t="shared" ref="D10:D55" si="3">ROUND(10*(C10-$H$3)/$H$4+50,0)</f>
        <v>95</v>
      </c>
      <c r="E10" s="67">
        <f t="shared" si="0"/>
        <v>1</v>
      </c>
      <c r="F10" s="68">
        <f t="shared" ref="F10:F55" si="4">IF(I9=0,ROUND(100*(1-(I8+I10)/2/$J$3),2),ROUND(100*(1-(I9+I10)/2/$J$3),2))</f>
        <v>100</v>
      </c>
      <c r="G10" s="69">
        <f>IF(D10=D9,"",_xlfn.IFNA(VLOOKUP(D10,'인원 입력 기능(직탐)'!$F$5:$I$59,4,FALSE),0))</f>
        <v>0</v>
      </c>
      <c r="H10" s="70">
        <f t="shared" si="1"/>
        <v>0</v>
      </c>
      <c r="I10" s="80">
        <f>SUM($G$7:G10)</f>
        <v>0</v>
      </c>
      <c r="J10" s="72">
        <f t="shared" ref="J10:J55" si="5">I10/$J$3</f>
        <v>0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기능'!C169</f>
        <v>49</v>
      </c>
    </row>
    <row r="11" spans="1:17" s="22" customFormat="1" ht="25" customHeight="1" x14ac:dyDescent="0.45">
      <c r="A11" s="20"/>
      <c r="B11" s="35"/>
      <c r="C11" s="66">
        <v>46</v>
      </c>
      <c r="D11" s="67">
        <f t="shared" si="3"/>
        <v>93</v>
      </c>
      <c r="E11" s="67">
        <f t="shared" si="0"/>
        <v>1</v>
      </c>
      <c r="F11" s="68">
        <f t="shared" si="4"/>
        <v>100</v>
      </c>
      <c r="G11" s="69">
        <f>IF(D11=D10,"",_xlfn.IFNA(VLOOKUP(D11,'인원 입력 기능(직탐)'!$F$5:$I$59,4,FALSE),0))</f>
        <v>0</v>
      </c>
      <c r="H11" s="70">
        <f t="shared" si="1"/>
        <v>0</v>
      </c>
      <c r="I11" s="80">
        <f>SUM($G$7:G11)</f>
        <v>0</v>
      </c>
      <c r="J11" s="72">
        <f t="shared" si="5"/>
        <v>0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기능'!C170</f>
        <v>45</v>
      </c>
    </row>
    <row r="12" spans="1:17" s="22" customFormat="1" ht="25" customHeight="1" x14ac:dyDescent="0.45">
      <c r="A12" s="20"/>
      <c r="B12" s="35"/>
      <c r="C12" s="73">
        <v>45</v>
      </c>
      <c r="D12" s="67">
        <f t="shared" si="3"/>
        <v>92</v>
      </c>
      <c r="E12" s="67">
        <f t="shared" si="0"/>
        <v>1</v>
      </c>
      <c r="F12" s="68">
        <f t="shared" si="4"/>
        <v>99.87</v>
      </c>
      <c r="G12" s="69">
        <f>IF(D12=D11,"",_xlfn.IFNA(VLOOKUP(D12,'인원 입력 기능(직탐)'!$F$5:$I$59,4,FALSE),0))</f>
        <v>1</v>
      </c>
      <c r="H12" s="70">
        <f t="shared" si="1"/>
        <v>2.5380710659898475E-3</v>
      </c>
      <c r="I12" s="80">
        <f>SUM($G$7:G12)</f>
        <v>1</v>
      </c>
      <c r="J12" s="72">
        <f t="shared" si="5"/>
        <v>2.5380710659898475E-3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기능'!C171</f>
        <v>44</v>
      </c>
    </row>
    <row r="13" spans="1:17" s="22" customFormat="1" ht="25" customHeight="1" x14ac:dyDescent="0.45">
      <c r="A13" s="20"/>
      <c r="B13" s="35"/>
      <c r="C13" s="66">
        <v>44</v>
      </c>
      <c r="D13" s="67">
        <f t="shared" si="3"/>
        <v>91</v>
      </c>
      <c r="E13" s="67">
        <f t="shared" si="0"/>
        <v>1</v>
      </c>
      <c r="F13" s="68">
        <f t="shared" si="4"/>
        <v>99.75</v>
      </c>
      <c r="G13" s="69">
        <f>IF(D13=D12,"",_xlfn.IFNA(VLOOKUP(D13,'인원 입력 기능(직탐)'!$F$5:$I$59,4,FALSE),0))</f>
        <v>0</v>
      </c>
      <c r="H13" s="70">
        <f t="shared" si="1"/>
        <v>0</v>
      </c>
      <c r="I13" s="80">
        <f>SUM($G$7:G13)</f>
        <v>1</v>
      </c>
      <c r="J13" s="72">
        <f t="shared" si="5"/>
        <v>2.5380710659898475E-3</v>
      </c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기능'!C172</f>
        <v>41</v>
      </c>
    </row>
    <row r="14" spans="1:17" s="22" customFormat="1" ht="25" customHeight="1" x14ac:dyDescent="0.45">
      <c r="A14" s="20"/>
      <c r="B14" s="35"/>
      <c r="C14" s="73">
        <v>43</v>
      </c>
      <c r="D14" s="67">
        <f t="shared" si="3"/>
        <v>89</v>
      </c>
      <c r="E14" s="67">
        <f t="shared" si="0"/>
        <v>1</v>
      </c>
      <c r="F14" s="68">
        <f t="shared" si="4"/>
        <v>99.75</v>
      </c>
      <c r="G14" s="69">
        <f>IF(D14=D13,"",_xlfn.IFNA(VLOOKUP(D14,'인원 입력 기능(직탐)'!$F$5:$I$59,4,FALSE),0))</f>
        <v>0</v>
      </c>
      <c r="H14" s="70">
        <f t="shared" si="1"/>
        <v>0</v>
      </c>
      <c r="I14" s="80">
        <f>SUM($G$7:G14)</f>
        <v>1</v>
      </c>
      <c r="J14" s="72">
        <f t="shared" si="5"/>
        <v>2.5380710659898475E-3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기능'!C173</f>
        <v>37</v>
      </c>
    </row>
    <row r="15" spans="1:17" s="22" customFormat="1" ht="25" customHeight="1" x14ac:dyDescent="0.45">
      <c r="A15" s="20"/>
      <c r="B15" s="35"/>
      <c r="C15" s="66">
        <v>42</v>
      </c>
      <c r="D15" s="67">
        <f t="shared" si="3"/>
        <v>88</v>
      </c>
      <c r="E15" s="67">
        <f t="shared" si="0"/>
        <v>1</v>
      </c>
      <c r="F15" s="68">
        <f t="shared" si="4"/>
        <v>99.62</v>
      </c>
      <c r="G15" s="69">
        <f>IF(D15=D14,"",_xlfn.IFNA(VLOOKUP(D15,'인원 입력 기능(직탐)'!$F$5:$I$59,4,FALSE),0))</f>
        <v>1</v>
      </c>
      <c r="H15" s="70">
        <f t="shared" si="1"/>
        <v>2.5380710659898475E-3</v>
      </c>
      <c r="I15" s="80">
        <f>SUM($G$7:G15)</f>
        <v>2</v>
      </c>
      <c r="J15" s="72">
        <f t="shared" si="5"/>
        <v>5.076142131979695E-3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73">
        <v>41</v>
      </c>
      <c r="D16" s="67">
        <f t="shared" si="3"/>
        <v>86</v>
      </c>
      <c r="E16" s="67">
        <f t="shared" si="0"/>
        <v>1</v>
      </c>
      <c r="F16" s="68">
        <f t="shared" si="4"/>
        <v>99.49</v>
      </c>
      <c r="G16" s="69">
        <f>IF(D16=D15,"",_xlfn.IFNA(VLOOKUP(D16,'인원 입력 기능(직탐)'!$F$5:$I$59,4,FALSE),0))</f>
        <v>0</v>
      </c>
      <c r="H16" s="70">
        <f t="shared" si="1"/>
        <v>0</v>
      </c>
      <c r="I16" s="80">
        <f>SUM($G$7:G16)</f>
        <v>2</v>
      </c>
      <c r="J16" s="72">
        <f t="shared" si="5"/>
        <v>5.076142131979695E-3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66">
        <v>40</v>
      </c>
      <c r="D17" s="67">
        <f t="shared" si="3"/>
        <v>85</v>
      </c>
      <c r="E17" s="67">
        <f t="shared" si="0"/>
        <v>1</v>
      </c>
      <c r="F17" s="68">
        <f t="shared" si="4"/>
        <v>99.37</v>
      </c>
      <c r="G17" s="69">
        <f>IF(D17=D16,"",_xlfn.IFNA(VLOOKUP(D17,'인원 입력 기능(직탐)'!$F$5:$I$59,4,FALSE),0))</f>
        <v>1</v>
      </c>
      <c r="H17" s="70">
        <f t="shared" si="1"/>
        <v>2.5380710659898475E-3</v>
      </c>
      <c r="I17" s="80">
        <f>SUM($G$7:G17)</f>
        <v>3</v>
      </c>
      <c r="J17" s="72">
        <f t="shared" si="5"/>
        <v>7.6142131979695434E-3</v>
      </c>
      <c r="K17" s="36"/>
      <c r="L17" s="20" t="str">
        <f t="shared" si="2"/>
        <v/>
      </c>
      <c r="N17" s="24"/>
      <c r="Q17" s="24">
        <f>Q7*H3*H4*J3*IFERROR(IF(J57=1, 1, 0), 0)</f>
        <v>2834077.8682308625</v>
      </c>
    </row>
    <row r="18" spans="1:17" s="22" customFormat="1" ht="25" customHeight="1" x14ac:dyDescent="0.45">
      <c r="A18" s="20"/>
      <c r="B18" s="35"/>
      <c r="C18" s="73">
        <v>39</v>
      </c>
      <c r="D18" s="67">
        <f t="shared" si="3"/>
        <v>84</v>
      </c>
      <c r="E18" s="67">
        <f t="shared" si="0"/>
        <v>1</v>
      </c>
      <c r="F18" s="68">
        <f t="shared" si="4"/>
        <v>99.24</v>
      </c>
      <c r="G18" s="69">
        <f>IF(D18=D17,"",_xlfn.IFNA(VLOOKUP(D18,'인원 입력 기능(직탐)'!$F$5:$I$59,4,FALSE),0))</f>
        <v>0</v>
      </c>
      <c r="H18" s="70">
        <f t="shared" si="1"/>
        <v>0</v>
      </c>
      <c r="I18" s="80">
        <f>SUM($G$7:G18)</f>
        <v>3</v>
      </c>
      <c r="J18" s="72">
        <f t="shared" si="5"/>
        <v>7.6142131979695434E-3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66">
        <v>38</v>
      </c>
      <c r="D19" s="67">
        <f t="shared" si="3"/>
        <v>82</v>
      </c>
      <c r="E19" s="67">
        <f t="shared" si="0"/>
        <v>1</v>
      </c>
      <c r="F19" s="68">
        <f t="shared" si="4"/>
        <v>99.11</v>
      </c>
      <c r="G19" s="69">
        <f>IF(D19=D18,"",_xlfn.IFNA(VLOOKUP(D19,'인원 입력 기능(직탐)'!$F$5:$I$59,4,FALSE),0))</f>
        <v>1</v>
      </c>
      <c r="H19" s="70">
        <f t="shared" si="1"/>
        <v>2.5380710659898475E-3</v>
      </c>
      <c r="I19" s="80">
        <f>SUM($G$7:G19)</f>
        <v>4</v>
      </c>
      <c r="J19" s="72">
        <f t="shared" si="5"/>
        <v>1.015228426395939E-2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73">
        <v>37</v>
      </c>
      <c r="D20" s="67">
        <f t="shared" si="3"/>
        <v>81</v>
      </c>
      <c r="E20" s="67">
        <f t="shared" si="0"/>
        <v>1</v>
      </c>
      <c r="F20" s="68">
        <f t="shared" si="4"/>
        <v>98.98</v>
      </c>
      <c r="G20" s="69">
        <f>IF(D20=D19,"",_xlfn.IFNA(VLOOKUP(D20,'인원 입력 기능(직탐)'!$F$5:$I$59,4,FALSE),0))</f>
        <v>0</v>
      </c>
      <c r="H20" s="70">
        <f t="shared" si="1"/>
        <v>0</v>
      </c>
      <c r="I20" s="80">
        <f>SUM($G$7:G20)</f>
        <v>4</v>
      </c>
      <c r="J20" s="72">
        <f t="shared" si="5"/>
        <v>1.015228426395939E-2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95">
        <v>36</v>
      </c>
      <c r="D21" s="82">
        <f t="shared" si="3"/>
        <v>80</v>
      </c>
      <c r="E21" s="82">
        <f t="shared" si="0"/>
        <v>1</v>
      </c>
      <c r="F21" s="68">
        <f t="shared" si="4"/>
        <v>98.98</v>
      </c>
      <c r="G21" s="69">
        <f>IF(D21=D20,"",_xlfn.IFNA(VLOOKUP(D21,'인원 입력 기능(직탐)'!$F$5:$I$59,4,FALSE),0))</f>
        <v>0</v>
      </c>
      <c r="H21" s="70">
        <f t="shared" si="1"/>
        <v>0</v>
      </c>
      <c r="I21" s="80">
        <f>SUM($G$7:G21)</f>
        <v>4</v>
      </c>
      <c r="J21" s="72">
        <f t="shared" si="5"/>
        <v>1.015228426395939E-2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81">
        <v>35</v>
      </c>
      <c r="D22" s="82">
        <f t="shared" si="3"/>
        <v>78</v>
      </c>
      <c r="E22" s="82">
        <f t="shared" si="0"/>
        <v>1</v>
      </c>
      <c r="F22" s="68">
        <f t="shared" si="4"/>
        <v>98.48</v>
      </c>
      <c r="G22" s="69">
        <f>IF(D22=D21,"",_xlfn.IFNA(VLOOKUP(D22,'인원 입력 기능(직탐)'!$F$5:$I$59,4,FALSE),0))</f>
        <v>4</v>
      </c>
      <c r="H22" s="70">
        <f t="shared" si="1"/>
        <v>1.015228426395939E-2</v>
      </c>
      <c r="I22" s="80">
        <f>SUM($G$7:G22)</f>
        <v>8</v>
      </c>
      <c r="J22" s="72">
        <f t="shared" si="5"/>
        <v>2.030456852791878E-2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95">
        <v>34</v>
      </c>
      <c r="D23" s="82">
        <f t="shared" si="3"/>
        <v>77</v>
      </c>
      <c r="E23" s="82">
        <f t="shared" si="0"/>
        <v>1</v>
      </c>
      <c r="F23" s="68">
        <f t="shared" si="4"/>
        <v>97.59</v>
      </c>
      <c r="G23" s="69">
        <f>IF(D23=D22,"",_xlfn.IFNA(VLOOKUP(D23,'인원 입력 기능(직탐)'!$F$5:$I$59,4,FALSE),0))</f>
        <v>3</v>
      </c>
      <c r="H23" s="70">
        <f t="shared" si="1"/>
        <v>7.6142131979695434E-3</v>
      </c>
      <c r="I23" s="80">
        <f>SUM($G$7:G23)</f>
        <v>11</v>
      </c>
      <c r="J23" s="72">
        <f t="shared" si="5"/>
        <v>2.7918781725888325E-2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81">
        <v>33</v>
      </c>
      <c r="D24" s="82">
        <f t="shared" si="3"/>
        <v>76</v>
      </c>
      <c r="E24" s="82">
        <f t="shared" si="0"/>
        <v>1</v>
      </c>
      <c r="F24" s="68">
        <f t="shared" si="4"/>
        <v>97.21</v>
      </c>
      <c r="G24" s="69">
        <f>IF(D24=D23,"",_xlfn.IFNA(VLOOKUP(D24,'인원 입력 기능(직탐)'!$F$5:$I$59,4,FALSE),0))</f>
        <v>0</v>
      </c>
      <c r="H24" s="70">
        <f t="shared" si="1"/>
        <v>0</v>
      </c>
      <c r="I24" s="80">
        <f>SUM($G$7:G24)</f>
        <v>11</v>
      </c>
      <c r="J24" s="72">
        <f t="shared" si="5"/>
        <v>2.7918781725888325E-2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95">
        <v>32</v>
      </c>
      <c r="D25" s="82">
        <f t="shared" si="3"/>
        <v>74</v>
      </c>
      <c r="E25" s="82">
        <f t="shared" si="0"/>
        <v>1</v>
      </c>
      <c r="F25" s="68">
        <f t="shared" si="4"/>
        <v>97.21</v>
      </c>
      <c r="G25" s="69">
        <f>IF(D25=D24,"",_xlfn.IFNA(VLOOKUP(D25,'인원 입력 기능(직탐)'!$F$5:$I$59,4,FALSE),0))</f>
        <v>0</v>
      </c>
      <c r="H25" s="70">
        <f t="shared" si="1"/>
        <v>0</v>
      </c>
      <c r="I25" s="80">
        <f>SUM($G$7:G25)</f>
        <v>11</v>
      </c>
      <c r="J25" s="72">
        <f t="shared" si="5"/>
        <v>2.7918781725888325E-2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81">
        <v>31</v>
      </c>
      <c r="D26" s="82">
        <f t="shared" si="3"/>
        <v>73</v>
      </c>
      <c r="E26" s="82">
        <f t="shared" si="0"/>
        <v>1</v>
      </c>
      <c r="F26" s="68">
        <f t="shared" si="4"/>
        <v>96.95</v>
      </c>
      <c r="G26" s="69">
        <f>IF(D26=D25,"",_xlfn.IFNA(VLOOKUP(D26,'인원 입력 기능(직탐)'!$F$5:$I$59,4,FALSE),0))</f>
        <v>2</v>
      </c>
      <c r="H26" s="70">
        <f t="shared" si="1"/>
        <v>5.076142131979695E-3</v>
      </c>
      <c r="I26" s="80">
        <f>SUM($G$7:G26)</f>
        <v>13</v>
      </c>
      <c r="J26" s="72">
        <f t="shared" si="5"/>
        <v>3.2994923857868022E-2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95">
        <v>30</v>
      </c>
      <c r="D27" s="82">
        <f t="shared" si="3"/>
        <v>72</v>
      </c>
      <c r="E27" s="82">
        <f t="shared" si="0"/>
        <v>1</v>
      </c>
      <c r="F27" s="68">
        <f t="shared" si="4"/>
        <v>96.45</v>
      </c>
      <c r="G27" s="69">
        <f>IF(D27=D26,"",_xlfn.IFNA(VLOOKUP(D27,'인원 입력 기능(직탐)'!$F$5:$I$59,4,FALSE),0))</f>
        <v>2</v>
      </c>
      <c r="H27" s="70">
        <f t="shared" si="1"/>
        <v>5.076142131979695E-3</v>
      </c>
      <c r="I27" s="80">
        <f>SUM($G$7:G27)</f>
        <v>15</v>
      </c>
      <c r="J27" s="72">
        <f t="shared" si="5"/>
        <v>3.8071065989847719E-2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81">
        <v>29</v>
      </c>
      <c r="D28" s="82">
        <f t="shared" si="3"/>
        <v>70</v>
      </c>
      <c r="E28" s="82">
        <f t="shared" si="0"/>
        <v>1</v>
      </c>
      <c r="F28" s="68">
        <f t="shared" si="4"/>
        <v>95.94</v>
      </c>
      <c r="G28" s="69">
        <f>IF(D28=D27,"",_xlfn.IFNA(VLOOKUP(D28,'인원 입력 기능(직탐)'!$F$5:$I$59,4,FALSE),0))</f>
        <v>2</v>
      </c>
      <c r="H28" s="70">
        <f t="shared" si="1"/>
        <v>5.076142131979695E-3</v>
      </c>
      <c r="I28" s="80">
        <f>SUM($G$7:G28)</f>
        <v>17</v>
      </c>
      <c r="J28" s="72">
        <f t="shared" si="5"/>
        <v>4.3147208121827409E-2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95">
        <v>28</v>
      </c>
      <c r="D29" s="82">
        <f t="shared" si="3"/>
        <v>69</v>
      </c>
      <c r="E29" s="82">
        <f t="shared" si="0"/>
        <v>2</v>
      </c>
      <c r="F29" s="68">
        <f t="shared" si="4"/>
        <v>95.05</v>
      </c>
      <c r="G29" s="69">
        <f>IF(D29=D28,"",_xlfn.IFNA(VLOOKUP(D29,'인원 입력 기능(직탐)'!$F$5:$I$59,4,FALSE),0))</f>
        <v>5</v>
      </c>
      <c r="H29" s="70">
        <f t="shared" si="1"/>
        <v>1.2690355329949238E-2</v>
      </c>
      <c r="I29" s="80">
        <f>SUM($G$7:G29)</f>
        <v>22</v>
      </c>
      <c r="J29" s="72">
        <f t="shared" si="5"/>
        <v>5.5837563451776651E-2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81">
        <v>27</v>
      </c>
      <c r="D30" s="82">
        <f t="shared" si="3"/>
        <v>68</v>
      </c>
      <c r="E30" s="82">
        <f t="shared" si="0"/>
        <v>2</v>
      </c>
      <c r="F30" s="68">
        <f t="shared" si="4"/>
        <v>93.4</v>
      </c>
      <c r="G30" s="69">
        <f>IF(D30=D29,"",_xlfn.IFNA(VLOOKUP(D30,'인원 입력 기능(직탐)'!$F$5:$I$59,4,FALSE),0))</f>
        <v>8</v>
      </c>
      <c r="H30" s="70">
        <f t="shared" si="1"/>
        <v>2.030456852791878E-2</v>
      </c>
      <c r="I30" s="80">
        <f>SUM($G$7:G30)</f>
        <v>30</v>
      </c>
      <c r="J30" s="72">
        <f t="shared" si="5"/>
        <v>7.6142131979695438E-2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95">
        <v>26</v>
      </c>
      <c r="D31" s="82">
        <f t="shared" si="3"/>
        <v>66</v>
      </c>
      <c r="E31" s="82">
        <f t="shared" si="0"/>
        <v>2</v>
      </c>
      <c r="F31" s="68">
        <f t="shared" si="4"/>
        <v>91.75</v>
      </c>
      <c r="G31" s="69">
        <f>IF(D31=D30,"",_xlfn.IFNA(VLOOKUP(D31,'인원 입력 기능(직탐)'!$F$5:$I$59,4,FALSE),0))</f>
        <v>5</v>
      </c>
      <c r="H31" s="70">
        <f t="shared" si="1"/>
        <v>1.2690355329949238E-2</v>
      </c>
      <c r="I31" s="80">
        <f>SUM($G$7:G31)</f>
        <v>35</v>
      </c>
      <c r="J31" s="72">
        <f t="shared" si="5"/>
        <v>8.8832487309644673E-2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81">
        <v>25</v>
      </c>
      <c r="D32" s="82">
        <f t="shared" si="3"/>
        <v>65</v>
      </c>
      <c r="E32" s="82">
        <f t="shared" si="0"/>
        <v>2</v>
      </c>
      <c r="F32" s="68">
        <f t="shared" si="4"/>
        <v>90.36</v>
      </c>
      <c r="G32" s="69">
        <f>IF(D32=D31,"",_xlfn.IFNA(VLOOKUP(D32,'인원 입력 기능(직탐)'!$F$5:$I$59,4,FALSE),0))</f>
        <v>6</v>
      </c>
      <c r="H32" s="70">
        <f t="shared" si="1"/>
        <v>1.5228426395939087E-2</v>
      </c>
      <c r="I32" s="80">
        <f>SUM($G$7:G32)</f>
        <v>41</v>
      </c>
      <c r="J32" s="72">
        <f t="shared" si="5"/>
        <v>0.10406091370558376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95">
        <v>24</v>
      </c>
      <c r="D33" s="82">
        <f t="shared" si="3"/>
        <v>64</v>
      </c>
      <c r="E33" s="82">
        <f t="shared" si="0"/>
        <v>2</v>
      </c>
      <c r="F33" s="68">
        <f t="shared" si="4"/>
        <v>89.34</v>
      </c>
      <c r="G33" s="69">
        <f>IF(D33=D32,"",_xlfn.IFNA(VLOOKUP(D33,'인원 입력 기능(직탐)'!$F$5:$I$59,4,FALSE),0))</f>
        <v>2</v>
      </c>
      <c r="H33" s="70">
        <f t="shared" si="1"/>
        <v>5.076142131979695E-3</v>
      </c>
      <c r="I33" s="80">
        <f>SUM($G$7:G33)</f>
        <v>43</v>
      </c>
      <c r="J33" s="72">
        <f t="shared" si="5"/>
        <v>0.10913705583756345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81">
        <v>23</v>
      </c>
      <c r="D34" s="82">
        <f t="shared" si="3"/>
        <v>62</v>
      </c>
      <c r="E34" s="82">
        <f t="shared" si="0"/>
        <v>2</v>
      </c>
      <c r="F34" s="68">
        <f t="shared" si="4"/>
        <v>88.07</v>
      </c>
      <c r="G34" s="69">
        <f>IF(D34=D33,"",_xlfn.IFNA(VLOOKUP(D34,'인원 입력 기능(직탐)'!$F$5:$I$59,4,FALSE),0))</f>
        <v>8</v>
      </c>
      <c r="H34" s="70">
        <f t="shared" si="1"/>
        <v>2.030456852791878E-2</v>
      </c>
      <c r="I34" s="80">
        <f>SUM($G$7:G34)</f>
        <v>51</v>
      </c>
      <c r="J34" s="72">
        <f t="shared" si="5"/>
        <v>0.12944162436548223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95">
        <v>22</v>
      </c>
      <c r="D35" s="82">
        <f t="shared" si="3"/>
        <v>61</v>
      </c>
      <c r="E35" s="82">
        <f t="shared" si="0"/>
        <v>3</v>
      </c>
      <c r="F35" s="68">
        <f t="shared" si="4"/>
        <v>85.53</v>
      </c>
      <c r="G35" s="69">
        <f>IF(D35=D34,"",_xlfn.IFNA(VLOOKUP(D35,'인원 입력 기능(직탐)'!$F$5:$I$59,4,FALSE),0))</f>
        <v>12</v>
      </c>
      <c r="H35" s="70">
        <f t="shared" si="1"/>
        <v>3.0456852791878174E-2</v>
      </c>
      <c r="I35" s="80">
        <f>SUM($G$7:G35)</f>
        <v>63</v>
      </c>
      <c r="J35" s="72">
        <f t="shared" si="5"/>
        <v>0.15989847715736041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81">
        <v>21</v>
      </c>
      <c r="D36" s="82">
        <f t="shared" si="3"/>
        <v>60</v>
      </c>
      <c r="E36" s="82">
        <f t="shared" si="0"/>
        <v>3</v>
      </c>
      <c r="F36" s="68">
        <f t="shared" si="4"/>
        <v>83.38</v>
      </c>
      <c r="G36" s="69">
        <f>IF(D36=D35,"",_xlfn.IFNA(VLOOKUP(D36,'인원 입력 기능(직탐)'!$F$5:$I$59,4,FALSE),0))</f>
        <v>5</v>
      </c>
      <c r="H36" s="70">
        <f t="shared" si="1"/>
        <v>1.2690355329949238E-2</v>
      </c>
      <c r="I36" s="80">
        <f>SUM($G$7:G36)</f>
        <v>68</v>
      </c>
      <c r="J36" s="72">
        <f t="shared" si="5"/>
        <v>0.17258883248730963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95">
        <v>20</v>
      </c>
      <c r="D37" s="82">
        <f t="shared" si="3"/>
        <v>58</v>
      </c>
      <c r="E37" s="82">
        <f t="shared" si="0"/>
        <v>3</v>
      </c>
      <c r="F37" s="68">
        <f t="shared" si="4"/>
        <v>81.73</v>
      </c>
      <c r="G37" s="69">
        <f>IF(D37=D36,"",_xlfn.IFNA(VLOOKUP(D37,'인원 입력 기능(직탐)'!$F$5:$I$59,4,FALSE),0))</f>
        <v>8</v>
      </c>
      <c r="H37" s="70">
        <f t="shared" si="1"/>
        <v>2.030456852791878E-2</v>
      </c>
      <c r="I37" s="80">
        <f>SUM($G$7:G37)</f>
        <v>76</v>
      </c>
      <c r="J37" s="72">
        <f t="shared" si="5"/>
        <v>0.19289340101522842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81">
        <v>19</v>
      </c>
      <c r="D38" s="82">
        <f t="shared" si="3"/>
        <v>57</v>
      </c>
      <c r="E38" s="82">
        <f t="shared" si="0"/>
        <v>3</v>
      </c>
      <c r="F38" s="68">
        <f t="shared" si="4"/>
        <v>79.819999999999993</v>
      </c>
      <c r="G38" s="69">
        <f>IF(D38=D37,"",_xlfn.IFNA(VLOOKUP(D38,'인원 입력 기능(직탐)'!$F$5:$I$59,4,FALSE),0))</f>
        <v>7</v>
      </c>
      <c r="H38" s="70">
        <f t="shared" si="1"/>
        <v>1.7766497461928935E-2</v>
      </c>
      <c r="I38" s="80">
        <f>SUM($G$7:G38)</f>
        <v>83</v>
      </c>
      <c r="J38" s="72">
        <f t="shared" si="5"/>
        <v>0.21065989847715735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95">
        <v>18</v>
      </c>
      <c r="D39" s="82">
        <f t="shared" si="3"/>
        <v>56</v>
      </c>
      <c r="E39" s="82">
        <f t="shared" si="0"/>
        <v>3</v>
      </c>
      <c r="F39" s="68">
        <f t="shared" si="4"/>
        <v>77.66</v>
      </c>
      <c r="G39" s="69">
        <f>IF(D39=D38,"",_xlfn.IFNA(VLOOKUP(D39,'인원 입력 기능(직탐)'!$F$5:$I$59,4,FALSE),0))</f>
        <v>10</v>
      </c>
      <c r="H39" s="70">
        <f t="shared" si="1"/>
        <v>2.5380710659898477E-2</v>
      </c>
      <c r="I39" s="80">
        <f>SUM($G$7:G39)</f>
        <v>93</v>
      </c>
      <c r="J39" s="72">
        <f t="shared" si="5"/>
        <v>0.23604060913705585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81">
        <v>17</v>
      </c>
      <c r="D40" s="82">
        <f t="shared" si="3"/>
        <v>54</v>
      </c>
      <c r="E40" s="82">
        <f t="shared" si="0"/>
        <v>4</v>
      </c>
      <c r="F40" s="68">
        <f t="shared" si="4"/>
        <v>74.87</v>
      </c>
      <c r="G40" s="69">
        <f>IF(D40=D39,"",_xlfn.IFNA(VLOOKUP(D40,'인원 입력 기능(직탐)'!$F$5:$I$59,4,FALSE),0))</f>
        <v>12</v>
      </c>
      <c r="H40" s="70">
        <f t="shared" si="1"/>
        <v>3.0456852791878174E-2</v>
      </c>
      <c r="I40" s="80">
        <f>SUM($G$7:G40)</f>
        <v>105</v>
      </c>
      <c r="J40" s="72">
        <f t="shared" si="5"/>
        <v>0.26649746192893403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95">
        <v>16</v>
      </c>
      <c r="D41" s="82">
        <f t="shared" si="3"/>
        <v>53</v>
      </c>
      <c r="E41" s="82">
        <f t="shared" si="0"/>
        <v>4</v>
      </c>
      <c r="F41" s="68">
        <f t="shared" si="4"/>
        <v>71.45</v>
      </c>
      <c r="G41" s="69">
        <f>IF(D41=D40,"",_xlfn.IFNA(VLOOKUP(D41,'인원 입력 기능(직탐)'!$F$5:$I$59,4,FALSE),0))</f>
        <v>15</v>
      </c>
      <c r="H41" s="70">
        <f t="shared" si="1"/>
        <v>3.8071065989847719E-2</v>
      </c>
      <c r="I41" s="80">
        <f>SUM($G$7:G41)</f>
        <v>120</v>
      </c>
      <c r="J41" s="72">
        <f t="shared" si="5"/>
        <v>0.30456852791878175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81">
        <v>15</v>
      </c>
      <c r="D42" s="82">
        <f t="shared" si="3"/>
        <v>52</v>
      </c>
      <c r="E42" s="82">
        <f t="shared" si="0"/>
        <v>4</v>
      </c>
      <c r="F42" s="68">
        <f t="shared" si="4"/>
        <v>67.260000000000005</v>
      </c>
      <c r="G42" s="69">
        <f>IF(D42=D41,"",_xlfn.IFNA(VLOOKUP(D42,'인원 입력 기능(직탐)'!$F$5:$I$59,4,FALSE),0))</f>
        <v>18</v>
      </c>
      <c r="H42" s="70">
        <f t="shared" si="1"/>
        <v>4.5685279187817257E-2</v>
      </c>
      <c r="I42" s="80">
        <f>SUM($G$7:G42)</f>
        <v>138</v>
      </c>
      <c r="J42" s="72">
        <f t="shared" si="5"/>
        <v>0.35025380710659898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95">
        <v>14</v>
      </c>
      <c r="D43" s="82">
        <f t="shared" si="3"/>
        <v>50</v>
      </c>
      <c r="E43" s="82">
        <f t="shared" si="0"/>
        <v>4</v>
      </c>
      <c r="F43" s="68">
        <f t="shared" si="4"/>
        <v>62.94</v>
      </c>
      <c r="G43" s="69">
        <f>IF(D43=D42,"",_xlfn.IFNA(VLOOKUP(D43,'인원 입력 기능(직탐)'!$F$5:$I$59,4,FALSE),0))</f>
        <v>16</v>
      </c>
      <c r="H43" s="70">
        <f t="shared" si="1"/>
        <v>4.060913705583756E-2</v>
      </c>
      <c r="I43" s="80">
        <f>SUM($G$7:G43)</f>
        <v>154</v>
      </c>
      <c r="J43" s="72">
        <f t="shared" si="5"/>
        <v>0.39086294416243655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81">
        <v>13</v>
      </c>
      <c r="D44" s="82">
        <f t="shared" si="3"/>
        <v>49</v>
      </c>
      <c r="E44" s="82">
        <f t="shared" si="0"/>
        <v>4</v>
      </c>
      <c r="F44" s="68">
        <f t="shared" si="4"/>
        <v>54.06</v>
      </c>
      <c r="G44" s="69">
        <f>IF(D44=D43,"",_xlfn.IFNA(VLOOKUP(D44,'인원 입력 기능(직탐)'!$F$5:$I$59,4,FALSE),0))</f>
        <v>54</v>
      </c>
      <c r="H44" s="70">
        <f t="shared" si="1"/>
        <v>0.13705583756345177</v>
      </c>
      <c r="I44" s="80">
        <f>SUM($G$7:G44)</f>
        <v>208</v>
      </c>
      <c r="J44" s="72">
        <f t="shared" si="5"/>
        <v>0.52791878172588835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95">
        <v>12</v>
      </c>
      <c r="D45" s="82">
        <f t="shared" si="3"/>
        <v>48</v>
      </c>
      <c r="E45" s="82">
        <f t="shared" si="0"/>
        <v>5</v>
      </c>
      <c r="F45" s="68">
        <f t="shared" si="4"/>
        <v>45.94</v>
      </c>
      <c r="G45" s="69">
        <f>IF(D45=D44,"",_xlfn.IFNA(VLOOKUP(D45,'인원 입력 기능(직탐)'!$F$5:$I$59,4,FALSE),0))</f>
        <v>10</v>
      </c>
      <c r="H45" s="70">
        <f t="shared" si="1"/>
        <v>2.5380710659898477E-2</v>
      </c>
      <c r="I45" s="80">
        <f>SUM($G$7:G45)</f>
        <v>218</v>
      </c>
      <c r="J45" s="72">
        <f t="shared" si="5"/>
        <v>0.5532994923857868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81">
        <v>11</v>
      </c>
      <c r="D46" s="82">
        <f t="shared" si="3"/>
        <v>46</v>
      </c>
      <c r="E46" s="82">
        <f t="shared" si="0"/>
        <v>5</v>
      </c>
      <c r="F46" s="68">
        <f t="shared" si="4"/>
        <v>42.77</v>
      </c>
      <c r="G46" s="69">
        <f>IF(D46=D45,"",_xlfn.IFNA(VLOOKUP(D46,'인원 입력 기능(직탐)'!$F$5:$I$59,4,FALSE),0))</f>
        <v>15</v>
      </c>
      <c r="H46" s="70">
        <f t="shared" si="1"/>
        <v>3.8071065989847719E-2</v>
      </c>
      <c r="I46" s="80">
        <f>SUM($G$7:G46)</f>
        <v>233</v>
      </c>
      <c r="J46" s="72">
        <f t="shared" si="5"/>
        <v>0.59137055837563457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95">
        <v>10</v>
      </c>
      <c r="D47" s="82">
        <f t="shared" si="3"/>
        <v>45</v>
      </c>
      <c r="E47" s="82">
        <f t="shared" si="0"/>
        <v>5</v>
      </c>
      <c r="F47" s="68">
        <f t="shared" si="4"/>
        <v>38.58</v>
      </c>
      <c r="G47" s="69">
        <f>IF(D47=D46,"",_xlfn.IFNA(VLOOKUP(D47,'인원 입력 기능(직탐)'!$F$5:$I$59,4,FALSE),0))</f>
        <v>18</v>
      </c>
      <c r="H47" s="70">
        <f t="shared" si="1"/>
        <v>4.5685279187817257E-2</v>
      </c>
      <c r="I47" s="80">
        <f>SUM($G$7:G47)</f>
        <v>251</v>
      </c>
      <c r="J47" s="72">
        <f t="shared" si="5"/>
        <v>0.63705583756345174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81">
        <v>9</v>
      </c>
      <c r="D48" s="82">
        <f t="shared" si="3"/>
        <v>44</v>
      </c>
      <c r="E48" s="82">
        <f t="shared" si="0"/>
        <v>6</v>
      </c>
      <c r="F48" s="68">
        <f t="shared" si="4"/>
        <v>28.43</v>
      </c>
      <c r="G48" s="69">
        <f>IF(D48=D47,"",_xlfn.IFNA(VLOOKUP(D48,'인원 입력 기능(직탐)'!$F$5:$I$59,4,FALSE),0))</f>
        <v>62</v>
      </c>
      <c r="H48" s="70">
        <f t="shared" si="1"/>
        <v>0.15736040609137056</v>
      </c>
      <c r="I48" s="80">
        <f>SUM($G$7:G48)</f>
        <v>313</v>
      </c>
      <c r="J48" s="72">
        <f t="shared" si="5"/>
        <v>0.79441624365482233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95">
        <v>8</v>
      </c>
      <c r="D49" s="82">
        <f t="shared" si="3"/>
        <v>42</v>
      </c>
      <c r="E49" s="82">
        <f t="shared" si="0"/>
        <v>7</v>
      </c>
      <c r="F49" s="68">
        <f t="shared" si="4"/>
        <v>17.89</v>
      </c>
      <c r="G49" s="69">
        <f>IF(D49=D48,"",_xlfn.IFNA(VLOOKUP(D49,'인원 입력 기능(직탐)'!$F$5:$I$59,4,FALSE),0))</f>
        <v>21</v>
      </c>
      <c r="H49" s="70">
        <f t="shared" si="1"/>
        <v>5.3299492385786802E-2</v>
      </c>
      <c r="I49" s="80">
        <f>SUM($G$7:G49)</f>
        <v>334</v>
      </c>
      <c r="J49" s="72">
        <f t="shared" si="5"/>
        <v>0.84771573604060912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81">
        <v>7</v>
      </c>
      <c r="D50" s="82">
        <f t="shared" si="3"/>
        <v>41</v>
      </c>
      <c r="E50" s="82">
        <f t="shared" si="0"/>
        <v>7</v>
      </c>
      <c r="F50" s="68">
        <f t="shared" si="4"/>
        <v>12.69</v>
      </c>
      <c r="G50" s="69">
        <f>IF(D50=D49,"",_xlfn.IFNA(VLOOKUP(D50,'인원 입력 기능(직탐)'!$F$5:$I$59,4,FALSE),0))</f>
        <v>20</v>
      </c>
      <c r="H50" s="70">
        <f t="shared" si="1"/>
        <v>5.0761421319796954E-2</v>
      </c>
      <c r="I50" s="80">
        <f>SUM($G$7:G50)</f>
        <v>354</v>
      </c>
      <c r="J50" s="72">
        <f t="shared" si="5"/>
        <v>0.89847715736040612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95">
        <v>6</v>
      </c>
      <c r="D51" s="82">
        <f t="shared" si="3"/>
        <v>40</v>
      </c>
      <c r="E51" s="82">
        <f t="shared" si="0"/>
        <v>8</v>
      </c>
      <c r="F51" s="68">
        <f t="shared" si="4"/>
        <v>9.01</v>
      </c>
      <c r="G51" s="69">
        <f>IF(D51=D50,"",_xlfn.IFNA(VLOOKUP(D51,'인원 입력 기능(직탐)'!$F$5:$I$59,4,FALSE),0))</f>
        <v>9</v>
      </c>
      <c r="H51" s="70">
        <f t="shared" si="1"/>
        <v>2.2842639593908629E-2</v>
      </c>
      <c r="I51" s="80">
        <f>SUM($G$7:G51)</f>
        <v>363</v>
      </c>
      <c r="J51" s="72">
        <f t="shared" si="5"/>
        <v>0.92131979695431476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81">
        <v>5</v>
      </c>
      <c r="D52" s="82">
        <f t="shared" si="3"/>
        <v>38</v>
      </c>
      <c r="E52" s="82">
        <f t="shared" si="0"/>
        <v>8</v>
      </c>
      <c r="F52" s="68">
        <f t="shared" si="4"/>
        <v>6.47</v>
      </c>
      <c r="G52" s="69">
        <f>IF(D52=D51,"",_xlfn.IFNA(VLOOKUP(D52,'인원 입력 기능(직탐)'!$F$5:$I$59,4,FALSE),0))</f>
        <v>11</v>
      </c>
      <c r="H52" s="70">
        <f t="shared" si="1"/>
        <v>2.7918781725888325E-2</v>
      </c>
      <c r="I52" s="80">
        <f>SUM($G$7:G52)</f>
        <v>374</v>
      </c>
      <c r="J52" s="72">
        <f t="shared" si="5"/>
        <v>0.949238578680203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66">
        <v>4</v>
      </c>
      <c r="D53" s="67">
        <f t="shared" si="3"/>
        <v>37</v>
      </c>
      <c r="E53" s="67">
        <f t="shared" si="0"/>
        <v>8</v>
      </c>
      <c r="F53" s="68">
        <f t="shared" si="4"/>
        <v>4.3099999999999996</v>
      </c>
      <c r="G53" s="69">
        <f>IF(D53=D52,"",_xlfn.IFNA(VLOOKUP(D53,'인원 입력 기능(직탐)'!$F$5:$I$59,4,FALSE),0))</f>
        <v>6</v>
      </c>
      <c r="H53" s="70">
        <f t="shared" si="1"/>
        <v>1.5228426395939087E-2</v>
      </c>
      <c r="I53" s="80">
        <f>SUM($G$7:G53)</f>
        <v>380</v>
      </c>
      <c r="J53" s="72">
        <f t="shared" si="5"/>
        <v>0.96446700507614214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73">
        <v>3</v>
      </c>
      <c r="D54" s="67">
        <f t="shared" si="3"/>
        <v>36</v>
      </c>
      <c r="E54" s="67">
        <f t="shared" si="0"/>
        <v>9</v>
      </c>
      <c r="F54" s="68">
        <f t="shared" si="4"/>
        <v>3.17</v>
      </c>
      <c r="G54" s="69">
        <f>IF(D54=D53,"",_xlfn.IFNA(VLOOKUP(D54,'인원 입력 기능(직탐)'!$F$5:$I$59,4,FALSE),0))</f>
        <v>3</v>
      </c>
      <c r="H54" s="70">
        <f t="shared" si="1"/>
        <v>7.6142131979695434E-3</v>
      </c>
      <c r="I54" s="80">
        <f>SUM($G$7:G54)</f>
        <v>383</v>
      </c>
      <c r="J54" s="72">
        <f t="shared" si="5"/>
        <v>0.97208121827411165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66">
        <v>2</v>
      </c>
      <c r="D55" s="67">
        <f t="shared" si="3"/>
        <v>34</v>
      </c>
      <c r="E55" s="67">
        <f t="shared" si="0"/>
        <v>9</v>
      </c>
      <c r="F55" s="68">
        <f t="shared" si="4"/>
        <v>1.9</v>
      </c>
      <c r="G55" s="69">
        <f>IF(D55=D54,"",_xlfn.IFNA(VLOOKUP(D55,'인원 입력 기능(직탐)'!$F$5:$I$59,4,FALSE),0))</f>
        <v>7</v>
      </c>
      <c r="H55" s="70">
        <f t="shared" si="1"/>
        <v>1.7766497461928935E-2</v>
      </c>
      <c r="I55" s="80">
        <f>SUM($G$7:G55)</f>
        <v>390</v>
      </c>
      <c r="J55" s="72">
        <f t="shared" si="5"/>
        <v>0.98984771573604058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73">
        <v>1</v>
      </c>
      <c r="D56" s="74" t="s">
        <v>59</v>
      </c>
      <c r="E56" s="74"/>
      <c r="F56" s="75"/>
      <c r="G56" s="96"/>
      <c r="H56" s="94"/>
      <c r="I56" s="84"/>
      <c r="J56" s="79"/>
      <c r="K56" s="36"/>
      <c r="L56" s="20"/>
      <c r="N56" s="24"/>
    </row>
    <row r="57" spans="1:14" s="22" customFormat="1" ht="25" customHeight="1" thickBot="1" x14ac:dyDescent="0.5">
      <c r="A57" s="20"/>
      <c r="B57" s="35"/>
      <c r="C57" s="97">
        <v>0</v>
      </c>
      <c r="D57" s="86">
        <f>ROUND(10*(C57-$H$3)/$H$4+50,0)</f>
        <v>32</v>
      </c>
      <c r="E57" s="98">
        <f t="shared" si="0"/>
        <v>9</v>
      </c>
      <c r="F57" s="87">
        <f>IF(I55=0,ROUND(100*(1-(I54+I57)/2/$J$3),2),ROUND(100*(1-(I55+I57)/2/$J$3),2))</f>
        <v>0.51</v>
      </c>
      <c r="G57" s="99">
        <f>_xlfn.IFNA(VLOOKUP(D57,'인원 입력 기능(직탐)'!$F$5:$I$59,4,FALSE),0)</f>
        <v>4</v>
      </c>
      <c r="H57" s="89">
        <f>G57/$J$3</f>
        <v>1.015228426395939E-2</v>
      </c>
      <c r="I57" s="90">
        <f>SUM($G$7:G57)</f>
        <v>394</v>
      </c>
      <c r="J57" s="100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">
    <mergeCell ref="D3:F3"/>
    <mergeCell ref="D4:F4"/>
  </mergeCells>
  <phoneticPr fontId="1" type="noConversion"/>
  <conditionalFormatting sqref="D7:G57 I7:J57">
    <cfRule type="expression" dxfId="19" priority="4">
      <formula>OR($D7=$Q$7:$Q$14)</formula>
    </cfRule>
  </conditionalFormatting>
  <conditionalFormatting sqref="C7:C57">
    <cfRule type="expression" dxfId="18" priority="3">
      <formula>OR(AND($D7=0,OR($D6=$Q$7:$Q$14)),AND($D8&gt;0,OR($D7=$Q$7:$Q$14)))</formula>
    </cfRule>
  </conditionalFormatting>
  <conditionalFormatting sqref="D7:D57">
    <cfRule type="expression" dxfId="17" priority="2">
      <formula>$D7=$D8</formula>
    </cfRule>
  </conditionalFormatting>
  <conditionalFormatting sqref="H7:H57">
    <cfRule type="expression" dxfId="16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B09F8-225B-466D-86C3-AC1514CEDDB8}">
  <sheetPr codeName="Sheet25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113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기능'!D23</f>
        <v>18.331914893617</v>
      </c>
      <c r="I3" s="21" t="s">
        <v>117</v>
      </c>
      <c r="J3" s="58">
        <f>'통계 및 응시자 수 입력 기능'!C23</f>
        <v>705</v>
      </c>
      <c r="K3" s="36"/>
      <c r="L3" s="20"/>
    </row>
    <row r="4" spans="1:17" s="22" customFormat="1" ht="25" customHeight="1" thickBot="1" x14ac:dyDescent="0.5">
      <c r="A4" s="20"/>
      <c r="B4" s="35"/>
      <c r="C4" s="59" t="s">
        <v>118</v>
      </c>
      <c r="D4" s="191" t="s">
        <v>136</v>
      </c>
      <c r="E4" s="192"/>
      <c r="F4" s="193"/>
      <c r="G4" s="60" t="s">
        <v>120</v>
      </c>
      <c r="H4" s="61">
        <f>'통계 및 응시자 수 입력 기능'!E23</f>
        <v>9.1854287873207703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62" t="s">
        <v>121</v>
      </c>
      <c r="D6" s="63" t="s">
        <v>122</v>
      </c>
      <c r="E6" s="63" t="s">
        <v>123</v>
      </c>
      <c r="F6" s="63" t="s">
        <v>124</v>
      </c>
      <c r="G6" s="63" t="s">
        <v>125</v>
      </c>
      <c r="H6" s="63" t="s">
        <v>126</v>
      </c>
      <c r="I6" s="64" t="s">
        <v>127</v>
      </c>
      <c r="J6" s="65" t="s">
        <v>128</v>
      </c>
      <c r="K6" s="36"/>
      <c r="L6" s="19"/>
      <c r="M6" s="19"/>
      <c r="N6" s="23"/>
    </row>
    <row r="7" spans="1:17" s="22" customFormat="1" ht="25" customHeight="1" x14ac:dyDescent="0.45">
      <c r="A7" s="20"/>
      <c r="B7" s="35"/>
      <c r="C7" s="66">
        <v>50</v>
      </c>
      <c r="D7" s="67">
        <f>ROUND(10*(C7-$H$3)/$H$4+50,0)</f>
        <v>84</v>
      </c>
      <c r="E7" s="67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8">
        <f>ROUND(100*(1-(0+I7)/2/$J$3),2)</f>
        <v>99.93</v>
      </c>
      <c r="G7" s="69">
        <f>_xlfn.IFNA(VLOOKUP(D7,'인원 입력 기능(직탐)'!$K$5:$N$59,4,FALSE),0)</f>
        <v>1</v>
      </c>
      <c r="H7" s="70">
        <f>G7/$J$3</f>
        <v>1.4184397163120568E-3</v>
      </c>
      <c r="I7" s="71">
        <f>G7</f>
        <v>1</v>
      </c>
      <c r="J7" s="72">
        <f>I7/$J$3</f>
        <v>1.4184397163120568E-3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기능'!C175</f>
        <v>68</v>
      </c>
    </row>
    <row r="8" spans="1:17" s="22" customFormat="1" ht="25" customHeight="1" x14ac:dyDescent="0.45">
      <c r="A8" s="20"/>
      <c r="B8" s="35"/>
      <c r="C8" s="73">
        <v>49</v>
      </c>
      <c r="D8" s="74" t="s">
        <v>59</v>
      </c>
      <c r="E8" s="74"/>
      <c r="F8" s="75"/>
      <c r="G8" s="76"/>
      <c r="H8" s="94"/>
      <c r="I8" s="78"/>
      <c r="J8" s="79"/>
      <c r="K8" s="36"/>
      <c r="L8" s="20"/>
      <c r="N8" s="24"/>
      <c r="P8" s="24">
        <v>2</v>
      </c>
      <c r="Q8" s="24">
        <f>'표점등급&amp;절평인원 입력 기능'!C176</f>
        <v>64</v>
      </c>
    </row>
    <row r="9" spans="1:17" s="22" customFormat="1" ht="25" customHeight="1" x14ac:dyDescent="0.45">
      <c r="A9" s="20"/>
      <c r="B9" s="35"/>
      <c r="C9" s="66">
        <v>48</v>
      </c>
      <c r="D9" s="67">
        <f>ROUND(10*(C9-$H$3)/$H$4+50,0)</f>
        <v>82</v>
      </c>
      <c r="E9" s="67">
        <f t="shared" si="0"/>
        <v>1</v>
      </c>
      <c r="F9" s="68">
        <f>IF(I8=0,ROUND(100*(1-(I7+I9)/2/$J$3),2),ROUND(100*(1-(I8+I9)/2/$J$3),2))</f>
        <v>99.86</v>
      </c>
      <c r="G9" s="69">
        <f>_xlfn.IFNA(VLOOKUP(D9,'인원 입력 기능(직탐)'!$K$5:$N$59,4,FALSE),0)</f>
        <v>0</v>
      </c>
      <c r="H9" s="70">
        <f t="shared" ref="H9:H55" si="1">G9/$J$3</f>
        <v>0</v>
      </c>
      <c r="I9" s="80">
        <f>SUM($G$7:G9)</f>
        <v>1</v>
      </c>
      <c r="J9" s="72">
        <f>I9/$J$3</f>
        <v>1.4184397163120568E-3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기능'!C177</f>
        <v>58</v>
      </c>
    </row>
    <row r="10" spans="1:17" s="22" customFormat="1" ht="25" customHeight="1" x14ac:dyDescent="0.45">
      <c r="A10" s="20"/>
      <c r="B10" s="35"/>
      <c r="C10" s="73">
        <v>47</v>
      </c>
      <c r="D10" s="67">
        <f t="shared" ref="D10:D55" si="3">ROUND(10*(C10-$H$3)/$H$4+50,0)</f>
        <v>81</v>
      </c>
      <c r="E10" s="67">
        <f t="shared" si="0"/>
        <v>1</v>
      </c>
      <c r="F10" s="68">
        <f t="shared" ref="F10:F55" si="4">IF(I9=0,ROUND(100*(1-(I8+I10)/2/$J$3),2),ROUND(100*(1-(I9+I10)/2/$J$3),2))</f>
        <v>99.79</v>
      </c>
      <c r="G10" s="69">
        <f>IF(D10=D9,"",_xlfn.IFNA(VLOOKUP(D10,'인원 입력 기능(직탐)'!$K$5:$N$59,4,FALSE),0))</f>
        <v>1</v>
      </c>
      <c r="H10" s="70">
        <f t="shared" si="1"/>
        <v>1.4184397163120568E-3</v>
      </c>
      <c r="I10" s="80">
        <f>SUM($G$7:G10)</f>
        <v>2</v>
      </c>
      <c r="J10" s="72">
        <f t="shared" ref="J10:J55" si="5">I10/$J$3</f>
        <v>2.8368794326241137E-3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기능'!C178</f>
        <v>52</v>
      </c>
    </row>
    <row r="11" spans="1:17" s="22" customFormat="1" ht="25" customHeight="1" x14ac:dyDescent="0.45">
      <c r="A11" s="20"/>
      <c r="B11" s="35"/>
      <c r="C11" s="66">
        <v>46</v>
      </c>
      <c r="D11" s="67">
        <f t="shared" si="3"/>
        <v>80</v>
      </c>
      <c r="E11" s="67">
        <f t="shared" si="0"/>
        <v>1</v>
      </c>
      <c r="F11" s="68">
        <f t="shared" si="4"/>
        <v>99.72</v>
      </c>
      <c r="G11" s="69">
        <f>IF(D11=D10,"",_xlfn.IFNA(VLOOKUP(D11,'인원 입력 기능(직탐)'!$K$5:$N$59,4,FALSE),0))</f>
        <v>0</v>
      </c>
      <c r="H11" s="70">
        <f t="shared" si="1"/>
        <v>0</v>
      </c>
      <c r="I11" s="80">
        <f>SUM($G$7:G11)</f>
        <v>2</v>
      </c>
      <c r="J11" s="72">
        <f t="shared" si="5"/>
        <v>2.8368794326241137E-3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기능'!C179</f>
        <v>44</v>
      </c>
    </row>
    <row r="12" spans="1:17" s="22" customFormat="1" ht="25" customHeight="1" x14ac:dyDescent="0.45">
      <c r="A12" s="20"/>
      <c r="B12" s="35"/>
      <c r="C12" s="73">
        <v>45</v>
      </c>
      <c r="D12" s="67">
        <f t="shared" si="3"/>
        <v>79</v>
      </c>
      <c r="E12" s="67">
        <f t="shared" si="0"/>
        <v>1</v>
      </c>
      <c r="F12" s="68">
        <f t="shared" si="4"/>
        <v>99.65</v>
      </c>
      <c r="G12" s="69">
        <f>IF(D12=D11,"",_xlfn.IFNA(VLOOKUP(D12,'인원 입력 기능(직탐)'!$K$5:$N$59,4,FALSE),0))</f>
        <v>1</v>
      </c>
      <c r="H12" s="70">
        <f t="shared" si="1"/>
        <v>1.4184397163120568E-3</v>
      </c>
      <c r="I12" s="80">
        <f>SUM($G$7:G12)</f>
        <v>3</v>
      </c>
      <c r="J12" s="72">
        <f t="shared" si="5"/>
        <v>4.2553191489361703E-3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기능'!C180</f>
        <v>42</v>
      </c>
    </row>
    <row r="13" spans="1:17" s="22" customFormat="1" ht="25" customHeight="1" x14ac:dyDescent="0.45">
      <c r="A13" s="20"/>
      <c r="B13" s="35"/>
      <c r="C13" s="66">
        <v>44</v>
      </c>
      <c r="D13" s="67">
        <f t="shared" si="3"/>
        <v>78</v>
      </c>
      <c r="E13" s="67">
        <f t="shared" si="0"/>
        <v>1</v>
      </c>
      <c r="F13" s="68">
        <f t="shared" si="4"/>
        <v>99.57</v>
      </c>
      <c r="G13" s="69">
        <f>IF(D13=D12,"",_xlfn.IFNA(VLOOKUP(D13,'인원 입력 기능(직탐)'!$K$5:$N$59,4,FALSE),0))</f>
        <v>0</v>
      </c>
      <c r="H13" s="70">
        <f t="shared" si="1"/>
        <v>0</v>
      </c>
      <c r="I13" s="80">
        <f>SUM($G$7:G13)</f>
        <v>3</v>
      </c>
      <c r="J13" s="72">
        <f t="shared" si="5"/>
        <v>4.2553191489361703E-3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기능'!C181</f>
        <v>39</v>
      </c>
    </row>
    <row r="14" spans="1:17" s="22" customFormat="1" ht="25" customHeight="1" x14ac:dyDescent="0.45">
      <c r="A14" s="20"/>
      <c r="B14" s="35"/>
      <c r="C14" s="73">
        <v>43</v>
      </c>
      <c r="D14" s="67">
        <f t="shared" si="3"/>
        <v>77</v>
      </c>
      <c r="E14" s="67">
        <f t="shared" si="0"/>
        <v>1</v>
      </c>
      <c r="F14" s="68">
        <f t="shared" si="4"/>
        <v>99.5</v>
      </c>
      <c r="G14" s="69">
        <f>IF(D14=D13,"",_xlfn.IFNA(VLOOKUP(D14,'인원 입력 기능(직탐)'!$K$5:$N$59,4,FALSE),0))</f>
        <v>1</v>
      </c>
      <c r="H14" s="70">
        <f t="shared" si="1"/>
        <v>1.4184397163120568E-3</v>
      </c>
      <c r="I14" s="80">
        <f>SUM($G$7:G14)</f>
        <v>4</v>
      </c>
      <c r="J14" s="72">
        <f t="shared" si="5"/>
        <v>5.6737588652482273E-3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기능'!C182</f>
        <v>35</v>
      </c>
    </row>
    <row r="15" spans="1:17" s="22" customFormat="1" ht="25" customHeight="1" x14ac:dyDescent="0.45">
      <c r="A15" s="20"/>
      <c r="B15" s="35"/>
      <c r="C15" s="66">
        <v>42</v>
      </c>
      <c r="D15" s="67">
        <f t="shared" si="3"/>
        <v>76</v>
      </c>
      <c r="E15" s="67">
        <f t="shared" si="0"/>
        <v>1</v>
      </c>
      <c r="F15" s="68">
        <f t="shared" si="4"/>
        <v>99.43</v>
      </c>
      <c r="G15" s="69">
        <f>IF(D15=D14,"",_xlfn.IFNA(VLOOKUP(D15,'인원 입력 기능(직탐)'!$K$5:$N$59,4,FALSE),0))</f>
        <v>0</v>
      </c>
      <c r="H15" s="70">
        <f t="shared" si="1"/>
        <v>0</v>
      </c>
      <c r="I15" s="80">
        <f>SUM($G$7:G15)</f>
        <v>4</v>
      </c>
      <c r="J15" s="72">
        <f t="shared" si="5"/>
        <v>5.6737588652482273E-3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73">
        <v>41</v>
      </c>
      <c r="D16" s="67">
        <f t="shared" si="3"/>
        <v>75</v>
      </c>
      <c r="E16" s="67">
        <f t="shared" si="0"/>
        <v>1</v>
      </c>
      <c r="F16" s="68">
        <f t="shared" si="4"/>
        <v>99.43</v>
      </c>
      <c r="G16" s="69">
        <f>IF(D16=D15,"",_xlfn.IFNA(VLOOKUP(D16,'인원 입력 기능(직탐)'!$K$5:$N$59,4,FALSE),0))</f>
        <v>0</v>
      </c>
      <c r="H16" s="70">
        <f t="shared" si="1"/>
        <v>0</v>
      </c>
      <c r="I16" s="80">
        <f>SUM($G$7:G16)</f>
        <v>4</v>
      </c>
      <c r="J16" s="72">
        <f t="shared" si="5"/>
        <v>5.6737588652482273E-3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66">
        <v>40</v>
      </c>
      <c r="D17" s="67">
        <f t="shared" si="3"/>
        <v>74</v>
      </c>
      <c r="E17" s="67">
        <f t="shared" si="0"/>
        <v>1</v>
      </c>
      <c r="F17" s="68">
        <f t="shared" si="4"/>
        <v>99.08</v>
      </c>
      <c r="G17" s="69">
        <f>IF(D17=D16,"",_xlfn.IFNA(VLOOKUP(D17,'인원 입력 기능(직탐)'!$K$5:$N$59,4,FALSE),0))</f>
        <v>5</v>
      </c>
      <c r="H17" s="70">
        <f t="shared" si="1"/>
        <v>7.0921985815602835E-3</v>
      </c>
      <c r="I17" s="80">
        <f>SUM($G$7:G17)</f>
        <v>9</v>
      </c>
      <c r="J17" s="72">
        <f t="shared" si="5"/>
        <v>1.276595744680851E-2</v>
      </c>
      <c r="K17" s="36"/>
      <c r="L17" s="20" t="str">
        <f t="shared" si="2"/>
        <v/>
      </c>
      <c r="N17" s="24"/>
      <c r="Q17" s="24">
        <f>Q7*H3*H4*J3*IFERROR(IF(J57=1, 1, 0), 0)</f>
        <v>8072448.7520186789</v>
      </c>
    </row>
    <row r="18" spans="1:17" s="22" customFormat="1" ht="25" customHeight="1" x14ac:dyDescent="0.45">
      <c r="A18" s="20"/>
      <c r="B18" s="35"/>
      <c r="C18" s="73">
        <v>39</v>
      </c>
      <c r="D18" s="67">
        <f t="shared" si="3"/>
        <v>73</v>
      </c>
      <c r="E18" s="67">
        <f t="shared" si="0"/>
        <v>1</v>
      </c>
      <c r="F18" s="68">
        <f t="shared" si="4"/>
        <v>98.72</v>
      </c>
      <c r="G18" s="69">
        <f>IF(D18=D17,"",_xlfn.IFNA(VLOOKUP(D18,'인원 입력 기능(직탐)'!$K$5:$N$59,4,FALSE),0))</f>
        <v>0</v>
      </c>
      <c r="H18" s="70">
        <f t="shared" si="1"/>
        <v>0</v>
      </c>
      <c r="I18" s="80">
        <f>SUM($G$7:G18)</f>
        <v>9</v>
      </c>
      <c r="J18" s="72">
        <f t="shared" si="5"/>
        <v>1.276595744680851E-2</v>
      </c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66">
        <v>38</v>
      </c>
      <c r="D19" s="67">
        <f t="shared" si="3"/>
        <v>71</v>
      </c>
      <c r="E19" s="67">
        <f t="shared" si="0"/>
        <v>1</v>
      </c>
      <c r="F19" s="68">
        <f t="shared" si="4"/>
        <v>98.65</v>
      </c>
      <c r="G19" s="69">
        <f>IF(D19=D18,"",_xlfn.IFNA(VLOOKUP(D19,'인원 입력 기능(직탐)'!$K$5:$N$59,4,FALSE),0))</f>
        <v>1</v>
      </c>
      <c r="H19" s="70">
        <f t="shared" si="1"/>
        <v>1.4184397163120568E-3</v>
      </c>
      <c r="I19" s="80">
        <f>SUM($G$7:G19)</f>
        <v>10</v>
      </c>
      <c r="J19" s="72">
        <f t="shared" si="5"/>
        <v>1.4184397163120567E-2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73">
        <v>37</v>
      </c>
      <c r="D20" s="67">
        <f t="shared" si="3"/>
        <v>70</v>
      </c>
      <c r="E20" s="67">
        <f t="shared" si="0"/>
        <v>1</v>
      </c>
      <c r="F20" s="68">
        <f t="shared" si="4"/>
        <v>97.94</v>
      </c>
      <c r="G20" s="69">
        <f>IF(D20=D19,"",_xlfn.IFNA(VLOOKUP(D20,'인원 입력 기능(직탐)'!$K$5:$N$59,4,FALSE),0))</f>
        <v>9</v>
      </c>
      <c r="H20" s="70">
        <f t="shared" si="1"/>
        <v>1.276595744680851E-2</v>
      </c>
      <c r="I20" s="80">
        <f>SUM($G$7:G20)</f>
        <v>19</v>
      </c>
      <c r="J20" s="72">
        <f t="shared" si="5"/>
        <v>2.6950354609929079E-2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95">
        <v>36</v>
      </c>
      <c r="D21" s="82">
        <f t="shared" si="3"/>
        <v>69</v>
      </c>
      <c r="E21" s="82">
        <f t="shared" si="0"/>
        <v>1</v>
      </c>
      <c r="F21" s="68">
        <f t="shared" si="4"/>
        <v>96.74</v>
      </c>
      <c r="G21" s="69">
        <f>IF(D21=D20,"",_xlfn.IFNA(VLOOKUP(D21,'인원 입력 기능(직탐)'!$K$5:$N$59,4,FALSE),0))</f>
        <v>8</v>
      </c>
      <c r="H21" s="70">
        <f t="shared" si="1"/>
        <v>1.1347517730496455E-2</v>
      </c>
      <c r="I21" s="80">
        <f>SUM($G$7:G21)</f>
        <v>27</v>
      </c>
      <c r="J21" s="72">
        <f t="shared" si="5"/>
        <v>3.8297872340425532E-2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81">
        <v>35</v>
      </c>
      <c r="D22" s="82">
        <f t="shared" si="3"/>
        <v>68</v>
      </c>
      <c r="E22" s="82">
        <f t="shared" si="0"/>
        <v>1</v>
      </c>
      <c r="F22" s="68">
        <f t="shared" si="4"/>
        <v>96.03</v>
      </c>
      <c r="G22" s="69">
        <f>IF(D22=D21,"",_xlfn.IFNA(VLOOKUP(D22,'인원 입력 기능(직탐)'!$K$5:$N$59,4,FALSE),0))</f>
        <v>2</v>
      </c>
      <c r="H22" s="70">
        <f t="shared" si="1"/>
        <v>2.8368794326241137E-3</v>
      </c>
      <c r="I22" s="80">
        <f>SUM($G$7:G22)</f>
        <v>29</v>
      </c>
      <c r="J22" s="72">
        <f t="shared" si="5"/>
        <v>4.1134751773049642E-2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95">
        <v>34</v>
      </c>
      <c r="D23" s="82">
        <f t="shared" si="3"/>
        <v>67</v>
      </c>
      <c r="E23" s="82">
        <f t="shared" si="0"/>
        <v>2</v>
      </c>
      <c r="F23" s="68">
        <f t="shared" si="4"/>
        <v>95.11</v>
      </c>
      <c r="G23" s="69">
        <f>IF(D23=D22,"",_xlfn.IFNA(VLOOKUP(D23,'인원 입력 기능(직탐)'!$K$5:$N$59,4,FALSE),0))</f>
        <v>11</v>
      </c>
      <c r="H23" s="70">
        <f t="shared" si="1"/>
        <v>1.5602836879432624E-2</v>
      </c>
      <c r="I23" s="80">
        <f>SUM($G$7:G23)</f>
        <v>40</v>
      </c>
      <c r="J23" s="72">
        <f t="shared" si="5"/>
        <v>5.6737588652482268E-2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81">
        <v>33</v>
      </c>
      <c r="D24" s="82">
        <f t="shared" si="3"/>
        <v>66</v>
      </c>
      <c r="E24" s="82">
        <f t="shared" si="0"/>
        <v>2</v>
      </c>
      <c r="F24" s="68">
        <f t="shared" si="4"/>
        <v>93.55</v>
      </c>
      <c r="G24" s="69">
        <f>IF(D24=D23,"",_xlfn.IFNA(VLOOKUP(D24,'인원 입력 기능(직탐)'!$K$5:$N$59,4,FALSE),0))</f>
        <v>11</v>
      </c>
      <c r="H24" s="70">
        <f t="shared" si="1"/>
        <v>1.5602836879432624E-2</v>
      </c>
      <c r="I24" s="80">
        <f>SUM($G$7:G24)</f>
        <v>51</v>
      </c>
      <c r="J24" s="72">
        <f t="shared" si="5"/>
        <v>7.2340425531914887E-2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95">
        <v>32</v>
      </c>
      <c r="D25" s="82">
        <f t="shared" si="3"/>
        <v>65</v>
      </c>
      <c r="E25" s="82">
        <f t="shared" si="0"/>
        <v>2</v>
      </c>
      <c r="F25" s="68">
        <f t="shared" si="4"/>
        <v>91.21</v>
      </c>
      <c r="G25" s="69">
        <f>IF(D25=D24,"",_xlfn.IFNA(VLOOKUP(D25,'인원 입력 기능(직탐)'!$K$5:$N$59,4,FALSE),0))</f>
        <v>22</v>
      </c>
      <c r="H25" s="70">
        <f t="shared" si="1"/>
        <v>3.1205673758865248E-2</v>
      </c>
      <c r="I25" s="80">
        <f>SUM($G$7:G25)</f>
        <v>73</v>
      </c>
      <c r="J25" s="72">
        <f t="shared" si="5"/>
        <v>0.10354609929078014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81">
        <v>31</v>
      </c>
      <c r="D26" s="82">
        <f t="shared" si="3"/>
        <v>64</v>
      </c>
      <c r="E26" s="82">
        <f t="shared" si="0"/>
        <v>2</v>
      </c>
      <c r="F26" s="68">
        <f t="shared" si="4"/>
        <v>88.79</v>
      </c>
      <c r="G26" s="69">
        <f>IF(D26=D25,"",_xlfn.IFNA(VLOOKUP(D26,'인원 입력 기능(직탐)'!$K$5:$N$59,4,FALSE),0))</f>
        <v>12</v>
      </c>
      <c r="H26" s="70">
        <f t="shared" si="1"/>
        <v>1.7021276595744681E-2</v>
      </c>
      <c r="I26" s="80">
        <f>SUM($G$7:G26)</f>
        <v>85</v>
      </c>
      <c r="J26" s="72">
        <f t="shared" si="5"/>
        <v>0.12056737588652482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95">
        <v>30</v>
      </c>
      <c r="D27" s="82">
        <f t="shared" si="3"/>
        <v>63</v>
      </c>
      <c r="E27" s="82">
        <f t="shared" si="0"/>
        <v>3</v>
      </c>
      <c r="F27" s="68">
        <f t="shared" si="4"/>
        <v>86.74</v>
      </c>
      <c r="G27" s="69">
        <f>IF(D27=D26,"",_xlfn.IFNA(VLOOKUP(D27,'인원 입력 기능(직탐)'!$K$5:$N$59,4,FALSE),0))</f>
        <v>17</v>
      </c>
      <c r="H27" s="70">
        <f t="shared" si="1"/>
        <v>2.4113475177304965E-2</v>
      </c>
      <c r="I27" s="80">
        <f>SUM($G$7:G27)</f>
        <v>102</v>
      </c>
      <c r="J27" s="72">
        <f t="shared" si="5"/>
        <v>0.14468085106382977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81">
        <v>29</v>
      </c>
      <c r="D28" s="82">
        <f t="shared" si="3"/>
        <v>62</v>
      </c>
      <c r="E28" s="82">
        <f t="shared" si="0"/>
        <v>3</v>
      </c>
      <c r="F28" s="68">
        <f t="shared" si="4"/>
        <v>84.33</v>
      </c>
      <c r="G28" s="69">
        <f>IF(D28=D27,"",_xlfn.IFNA(VLOOKUP(D28,'인원 입력 기능(직탐)'!$K$5:$N$59,4,FALSE),0))</f>
        <v>17</v>
      </c>
      <c r="H28" s="70">
        <f t="shared" si="1"/>
        <v>2.4113475177304965E-2</v>
      </c>
      <c r="I28" s="80">
        <f>SUM($G$7:G28)</f>
        <v>119</v>
      </c>
      <c r="J28" s="72">
        <f t="shared" si="5"/>
        <v>0.16879432624113475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95">
        <v>28</v>
      </c>
      <c r="D29" s="82">
        <f t="shared" si="3"/>
        <v>61</v>
      </c>
      <c r="E29" s="82">
        <f t="shared" si="0"/>
        <v>3</v>
      </c>
      <c r="F29" s="68">
        <f t="shared" si="4"/>
        <v>81.84</v>
      </c>
      <c r="G29" s="69">
        <f>IF(D29=D28,"",_xlfn.IFNA(VLOOKUP(D29,'인원 입력 기능(직탐)'!$K$5:$N$59,4,FALSE),0))</f>
        <v>18</v>
      </c>
      <c r="H29" s="70">
        <f t="shared" si="1"/>
        <v>2.553191489361702E-2</v>
      </c>
      <c r="I29" s="80">
        <f>SUM($G$7:G29)</f>
        <v>137</v>
      </c>
      <c r="J29" s="72">
        <f t="shared" si="5"/>
        <v>0.19432624113475178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81">
        <v>27</v>
      </c>
      <c r="D30" s="82">
        <f t="shared" si="3"/>
        <v>59</v>
      </c>
      <c r="E30" s="82">
        <f t="shared" si="0"/>
        <v>3</v>
      </c>
      <c r="F30" s="68">
        <f t="shared" si="4"/>
        <v>79.010000000000005</v>
      </c>
      <c r="G30" s="69">
        <f>IF(D30=D29,"",_xlfn.IFNA(VLOOKUP(D30,'인원 입력 기능(직탐)'!$K$5:$N$59,4,FALSE),0))</f>
        <v>22</v>
      </c>
      <c r="H30" s="70">
        <f t="shared" si="1"/>
        <v>3.1205673758865248E-2</v>
      </c>
      <c r="I30" s="80">
        <f>SUM($G$7:G30)</f>
        <v>159</v>
      </c>
      <c r="J30" s="72">
        <f t="shared" si="5"/>
        <v>0.22553191489361701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95">
        <v>26</v>
      </c>
      <c r="D31" s="82">
        <f t="shared" si="3"/>
        <v>58</v>
      </c>
      <c r="E31" s="82">
        <f t="shared" si="0"/>
        <v>3</v>
      </c>
      <c r="F31" s="68">
        <f t="shared" si="4"/>
        <v>75.67</v>
      </c>
      <c r="G31" s="69">
        <f>IF(D31=D30,"",_xlfn.IFNA(VLOOKUP(D31,'인원 입력 기능(직탐)'!$K$5:$N$59,4,FALSE),0))</f>
        <v>25</v>
      </c>
      <c r="H31" s="70">
        <f t="shared" si="1"/>
        <v>3.5460992907801421E-2</v>
      </c>
      <c r="I31" s="80">
        <f>SUM($G$7:G31)</f>
        <v>184</v>
      </c>
      <c r="J31" s="72">
        <f t="shared" si="5"/>
        <v>0.26099290780141843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81">
        <v>25</v>
      </c>
      <c r="D32" s="82">
        <f t="shared" si="3"/>
        <v>57</v>
      </c>
      <c r="E32" s="82">
        <f t="shared" si="0"/>
        <v>4</v>
      </c>
      <c r="F32" s="68">
        <f t="shared" si="4"/>
        <v>72.84</v>
      </c>
      <c r="G32" s="69">
        <f>IF(D32=D31,"",_xlfn.IFNA(VLOOKUP(D32,'인원 입력 기능(직탐)'!$K$5:$N$59,4,FALSE),0))</f>
        <v>15</v>
      </c>
      <c r="H32" s="70">
        <f t="shared" si="1"/>
        <v>2.1276595744680851E-2</v>
      </c>
      <c r="I32" s="80">
        <f>SUM($G$7:G32)</f>
        <v>199</v>
      </c>
      <c r="J32" s="72">
        <f t="shared" si="5"/>
        <v>0.28226950354609931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95">
        <v>24</v>
      </c>
      <c r="D33" s="82">
        <f t="shared" si="3"/>
        <v>56</v>
      </c>
      <c r="E33" s="82">
        <f t="shared" si="0"/>
        <v>4</v>
      </c>
      <c r="F33" s="68">
        <f t="shared" si="4"/>
        <v>70.14</v>
      </c>
      <c r="G33" s="69">
        <f>IF(D33=D32,"",_xlfn.IFNA(VLOOKUP(D33,'인원 입력 기능(직탐)'!$K$5:$N$59,4,FALSE),0))</f>
        <v>23</v>
      </c>
      <c r="H33" s="70">
        <f t="shared" si="1"/>
        <v>3.2624113475177303E-2</v>
      </c>
      <c r="I33" s="80">
        <f>SUM($G$7:G33)</f>
        <v>222</v>
      </c>
      <c r="J33" s="72">
        <f t="shared" si="5"/>
        <v>0.31489361702127661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81">
        <v>23</v>
      </c>
      <c r="D34" s="82">
        <f t="shared" si="3"/>
        <v>55</v>
      </c>
      <c r="E34" s="82">
        <f t="shared" si="0"/>
        <v>4</v>
      </c>
      <c r="F34" s="68">
        <f t="shared" si="4"/>
        <v>66.95</v>
      </c>
      <c r="G34" s="69">
        <f>IF(D34=D33,"",_xlfn.IFNA(VLOOKUP(D34,'인원 입력 기능(직탐)'!$K$5:$N$59,4,FALSE),0))</f>
        <v>22</v>
      </c>
      <c r="H34" s="70">
        <f t="shared" si="1"/>
        <v>3.1205673758865248E-2</v>
      </c>
      <c r="I34" s="80">
        <f>SUM($G$7:G34)</f>
        <v>244</v>
      </c>
      <c r="J34" s="72">
        <f t="shared" si="5"/>
        <v>0.34609929078014184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95">
        <v>22</v>
      </c>
      <c r="D35" s="82">
        <f t="shared" si="3"/>
        <v>54</v>
      </c>
      <c r="E35" s="82">
        <f t="shared" si="0"/>
        <v>4</v>
      </c>
      <c r="F35" s="68">
        <f t="shared" si="4"/>
        <v>64.47</v>
      </c>
      <c r="G35" s="69">
        <f>IF(D35=D34,"",_xlfn.IFNA(VLOOKUP(D35,'인원 입력 기능(직탐)'!$K$5:$N$59,4,FALSE),0))</f>
        <v>13</v>
      </c>
      <c r="H35" s="70">
        <f t="shared" si="1"/>
        <v>1.8439716312056736E-2</v>
      </c>
      <c r="I35" s="80">
        <f>SUM($G$7:G35)</f>
        <v>257</v>
      </c>
      <c r="J35" s="72">
        <f t="shared" si="5"/>
        <v>0.36453900709219861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81">
        <v>21</v>
      </c>
      <c r="D36" s="82">
        <f t="shared" si="3"/>
        <v>53</v>
      </c>
      <c r="E36" s="82">
        <f t="shared" si="0"/>
        <v>4</v>
      </c>
      <c r="F36" s="68">
        <f t="shared" si="4"/>
        <v>62.13</v>
      </c>
      <c r="G36" s="69">
        <f>IF(D36=D35,"",_xlfn.IFNA(VLOOKUP(D36,'인원 입력 기능(직탐)'!$K$5:$N$59,4,FALSE),0))</f>
        <v>20</v>
      </c>
      <c r="H36" s="70">
        <f t="shared" si="1"/>
        <v>2.8368794326241134E-2</v>
      </c>
      <c r="I36" s="80">
        <f>SUM($G$7:G36)</f>
        <v>277</v>
      </c>
      <c r="J36" s="72">
        <f t="shared" si="5"/>
        <v>0.39290780141843973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95">
        <v>20</v>
      </c>
      <c r="D37" s="82">
        <f t="shared" si="3"/>
        <v>52</v>
      </c>
      <c r="E37" s="82">
        <f t="shared" si="0"/>
        <v>4</v>
      </c>
      <c r="F37" s="68">
        <f t="shared" si="4"/>
        <v>59.36</v>
      </c>
      <c r="G37" s="69">
        <f>IF(D37=D36,"",_xlfn.IFNA(VLOOKUP(D37,'인원 입력 기능(직탐)'!$K$5:$N$59,4,FALSE),0))</f>
        <v>19</v>
      </c>
      <c r="H37" s="70">
        <f t="shared" si="1"/>
        <v>2.6950354609929079E-2</v>
      </c>
      <c r="I37" s="80">
        <f>SUM($G$7:G37)</f>
        <v>296</v>
      </c>
      <c r="J37" s="72">
        <f t="shared" si="5"/>
        <v>0.41985815602836879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81">
        <v>19</v>
      </c>
      <c r="D38" s="82">
        <f t="shared" si="3"/>
        <v>51</v>
      </c>
      <c r="E38" s="82">
        <f t="shared" si="0"/>
        <v>5</v>
      </c>
      <c r="F38" s="68">
        <f t="shared" si="4"/>
        <v>56.52</v>
      </c>
      <c r="G38" s="69">
        <f>IF(D38=D37,"",_xlfn.IFNA(VLOOKUP(D38,'인원 입력 기능(직탐)'!$K$5:$N$59,4,FALSE),0))</f>
        <v>21</v>
      </c>
      <c r="H38" s="70">
        <f t="shared" si="1"/>
        <v>2.9787234042553193E-2</v>
      </c>
      <c r="I38" s="80">
        <f>SUM($G$7:G38)</f>
        <v>317</v>
      </c>
      <c r="J38" s="72">
        <f t="shared" si="5"/>
        <v>0.44964539007092197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95">
        <v>18</v>
      </c>
      <c r="D39" s="82">
        <f t="shared" si="3"/>
        <v>50</v>
      </c>
      <c r="E39" s="82">
        <f t="shared" si="0"/>
        <v>5</v>
      </c>
      <c r="F39" s="68">
        <f t="shared" si="4"/>
        <v>53.97</v>
      </c>
      <c r="G39" s="69">
        <f>IF(D39=D38,"",_xlfn.IFNA(VLOOKUP(D39,'인원 입력 기능(직탐)'!$K$5:$N$59,4,FALSE),0))</f>
        <v>15</v>
      </c>
      <c r="H39" s="70">
        <f t="shared" si="1"/>
        <v>2.1276595744680851E-2</v>
      </c>
      <c r="I39" s="80">
        <f>SUM($G$7:G39)</f>
        <v>332</v>
      </c>
      <c r="J39" s="72">
        <f t="shared" si="5"/>
        <v>0.47092198581560285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81">
        <v>17</v>
      </c>
      <c r="D40" s="82">
        <f t="shared" si="3"/>
        <v>49</v>
      </c>
      <c r="E40" s="82">
        <f t="shared" si="0"/>
        <v>5</v>
      </c>
      <c r="F40" s="68">
        <f t="shared" si="4"/>
        <v>51.63</v>
      </c>
      <c r="G40" s="69">
        <f>IF(D40=D39,"",_xlfn.IFNA(VLOOKUP(D40,'인원 입력 기능(직탐)'!$K$5:$N$59,4,FALSE),0))</f>
        <v>18</v>
      </c>
      <c r="H40" s="70">
        <f t="shared" si="1"/>
        <v>2.553191489361702E-2</v>
      </c>
      <c r="I40" s="80">
        <f>SUM($G$7:G40)</f>
        <v>350</v>
      </c>
      <c r="J40" s="72">
        <f t="shared" si="5"/>
        <v>0.49645390070921985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95">
        <v>16</v>
      </c>
      <c r="D41" s="82">
        <f t="shared" si="3"/>
        <v>47</v>
      </c>
      <c r="E41" s="82">
        <f t="shared" si="0"/>
        <v>5</v>
      </c>
      <c r="F41" s="68">
        <f t="shared" si="4"/>
        <v>49.65</v>
      </c>
      <c r="G41" s="69">
        <f>IF(D41=D40,"",_xlfn.IFNA(VLOOKUP(D41,'인원 입력 기능(직탐)'!$K$5:$N$59,4,FALSE),0))</f>
        <v>10</v>
      </c>
      <c r="H41" s="70">
        <f t="shared" si="1"/>
        <v>1.4184397163120567E-2</v>
      </c>
      <c r="I41" s="80">
        <f>SUM($G$7:G41)</f>
        <v>360</v>
      </c>
      <c r="J41" s="72">
        <f t="shared" si="5"/>
        <v>0.51063829787234039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81">
        <v>15</v>
      </c>
      <c r="D42" s="82">
        <f t="shared" si="3"/>
        <v>46</v>
      </c>
      <c r="E42" s="82">
        <f t="shared" si="0"/>
        <v>5</v>
      </c>
      <c r="F42" s="68">
        <f t="shared" si="4"/>
        <v>47.38</v>
      </c>
      <c r="G42" s="69">
        <f>IF(D42=D41,"",_xlfn.IFNA(VLOOKUP(D42,'인원 입력 기능(직탐)'!$K$5:$N$59,4,FALSE),0))</f>
        <v>22</v>
      </c>
      <c r="H42" s="70">
        <f t="shared" si="1"/>
        <v>3.1205673758865248E-2</v>
      </c>
      <c r="I42" s="80">
        <f>SUM($G$7:G42)</f>
        <v>382</v>
      </c>
      <c r="J42" s="72">
        <f t="shared" si="5"/>
        <v>0.54184397163120568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95">
        <v>14</v>
      </c>
      <c r="D43" s="82">
        <f t="shared" si="3"/>
        <v>45</v>
      </c>
      <c r="E43" s="82">
        <f t="shared" si="0"/>
        <v>5</v>
      </c>
      <c r="F43" s="68">
        <f t="shared" si="4"/>
        <v>43.4</v>
      </c>
      <c r="G43" s="69">
        <f>IF(D43=D42,"",_xlfn.IFNA(VLOOKUP(D43,'인원 입력 기능(직탐)'!$K$5:$N$59,4,FALSE),0))</f>
        <v>34</v>
      </c>
      <c r="H43" s="70">
        <f t="shared" si="1"/>
        <v>4.8226950354609929E-2</v>
      </c>
      <c r="I43" s="80">
        <f>SUM($G$7:G43)</f>
        <v>416</v>
      </c>
      <c r="J43" s="72">
        <f t="shared" si="5"/>
        <v>0.59007092198581557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81">
        <v>13</v>
      </c>
      <c r="D44" s="82">
        <f t="shared" si="3"/>
        <v>44</v>
      </c>
      <c r="E44" s="82">
        <f t="shared" si="0"/>
        <v>5</v>
      </c>
      <c r="F44" s="68">
        <f t="shared" si="4"/>
        <v>39.36</v>
      </c>
      <c r="G44" s="69">
        <f>IF(D44=D43,"",_xlfn.IFNA(VLOOKUP(D44,'인원 입력 기능(직탐)'!$K$5:$N$59,4,FALSE),0))</f>
        <v>23</v>
      </c>
      <c r="H44" s="70">
        <f t="shared" si="1"/>
        <v>3.2624113475177303E-2</v>
      </c>
      <c r="I44" s="80">
        <f>SUM($G$7:G44)</f>
        <v>439</v>
      </c>
      <c r="J44" s="72">
        <f t="shared" si="5"/>
        <v>0.62269503546099292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95">
        <v>12</v>
      </c>
      <c r="D45" s="82">
        <f t="shared" si="3"/>
        <v>43</v>
      </c>
      <c r="E45" s="82">
        <f t="shared" si="0"/>
        <v>6</v>
      </c>
      <c r="F45" s="68">
        <f t="shared" si="4"/>
        <v>31.84</v>
      </c>
      <c r="G45" s="69">
        <f>IF(D45=D44,"",_xlfn.IFNA(VLOOKUP(D45,'인원 입력 기능(직탐)'!$K$5:$N$59,4,FALSE),0))</f>
        <v>83</v>
      </c>
      <c r="H45" s="70">
        <f t="shared" si="1"/>
        <v>0.11773049645390071</v>
      </c>
      <c r="I45" s="80">
        <f>SUM($G$7:G45)</f>
        <v>522</v>
      </c>
      <c r="J45" s="72">
        <f t="shared" si="5"/>
        <v>0.74042553191489358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81">
        <v>11</v>
      </c>
      <c r="D46" s="82">
        <f t="shared" si="3"/>
        <v>42</v>
      </c>
      <c r="E46" s="82">
        <f t="shared" si="0"/>
        <v>6</v>
      </c>
      <c r="F46" s="68">
        <f t="shared" si="4"/>
        <v>24.47</v>
      </c>
      <c r="G46" s="69">
        <f>IF(D46=D45,"",_xlfn.IFNA(VLOOKUP(D46,'인원 입력 기능(직탐)'!$K$5:$N$59,4,FALSE),0))</f>
        <v>21</v>
      </c>
      <c r="H46" s="70">
        <f t="shared" si="1"/>
        <v>2.9787234042553193E-2</v>
      </c>
      <c r="I46" s="80">
        <f>SUM($G$7:G46)</f>
        <v>543</v>
      </c>
      <c r="J46" s="72">
        <f t="shared" si="5"/>
        <v>0.77021276595744681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95">
        <v>10</v>
      </c>
      <c r="D47" s="82">
        <f t="shared" si="3"/>
        <v>41</v>
      </c>
      <c r="E47" s="82">
        <f t="shared" si="0"/>
        <v>7</v>
      </c>
      <c r="F47" s="68">
        <f t="shared" si="4"/>
        <v>18.79</v>
      </c>
      <c r="G47" s="69">
        <f>IF(D47=D46,"",_xlfn.IFNA(VLOOKUP(D47,'인원 입력 기능(직탐)'!$K$5:$N$59,4,FALSE),0))</f>
        <v>59</v>
      </c>
      <c r="H47" s="70">
        <f t="shared" si="1"/>
        <v>8.3687943262411343E-2</v>
      </c>
      <c r="I47" s="80">
        <f>SUM($G$7:G47)</f>
        <v>602</v>
      </c>
      <c r="J47" s="72">
        <f t="shared" si="5"/>
        <v>0.85390070921985817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81">
        <v>9</v>
      </c>
      <c r="D48" s="82">
        <f t="shared" si="3"/>
        <v>40</v>
      </c>
      <c r="E48" s="82">
        <f t="shared" si="0"/>
        <v>7</v>
      </c>
      <c r="F48" s="68">
        <f t="shared" si="4"/>
        <v>13.26</v>
      </c>
      <c r="G48" s="69">
        <f>IF(D48=D47,"",_xlfn.IFNA(VLOOKUP(D48,'인원 입력 기능(직탐)'!$K$5:$N$59,4,FALSE),0))</f>
        <v>19</v>
      </c>
      <c r="H48" s="70">
        <f t="shared" si="1"/>
        <v>2.6950354609929079E-2</v>
      </c>
      <c r="I48" s="80">
        <f>SUM($G$7:G48)</f>
        <v>621</v>
      </c>
      <c r="J48" s="72">
        <f t="shared" si="5"/>
        <v>0.88085106382978728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95">
        <v>8</v>
      </c>
      <c r="D49" s="82">
        <f t="shared" si="3"/>
        <v>39</v>
      </c>
      <c r="E49" s="82">
        <f t="shared" si="0"/>
        <v>7</v>
      </c>
      <c r="F49" s="68">
        <f t="shared" si="4"/>
        <v>10.43</v>
      </c>
      <c r="G49" s="69">
        <f>IF(D49=D48,"",_xlfn.IFNA(VLOOKUP(D49,'인원 입력 기능(직탐)'!$K$5:$N$59,4,FALSE),0))</f>
        <v>21</v>
      </c>
      <c r="H49" s="70">
        <f t="shared" si="1"/>
        <v>2.9787234042553193E-2</v>
      </c>
      <c r="I49" s="80">
        <f>SUM($G$7:G49)</f>
        <v>642</v>
      </c>
      <c r="J49" s="72">
        <f t="shared" si="5"/>
        <v>0.91063829787234041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81">
        <v>7</v>
      </c>
      <c r="D50" s="82">
        <f t="shared" si="3"/>
        <v>38</v>
      </c>
      <c r="E50" s="82">
        <f t="shared" si="0"/>
        <v>8</v>
      </c>
      <c r="F50" s="68">
        <f t="shared" si="4"/>
        <v>7.73</v>
      </c>
      <c r="G50" s="69">
        <f>IF(D50=D49,"",_xlfn.IFNA(VLOOKUP(D50,'인원 입력 기능(직탐)'!$K$5:$N$59,4,FALSE),0))</f>
        <v>17</v>
      </c>
      <c r="H50" s="70">
        <f t="shared" si="1"/>
        <v>2.4113475177304965E-2</v>
      </c>
      <c r="I50" s="80">
        <f>SUM($G$7:G50)</f>
        <v>659</v>
      </c>
      <c r="J50" s="72">
        <f t="shared" si="5"/>
        <v>0.93475177304964541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95">
        <v>6</v>
      </c>
      <c r="D51" s="82">
        <f t="shared" si="3"/>
        <v>37</v>
      </c>
      <c r="E51" s="82">
        <f t="shared" si="0"/>
        <v>8</v>
      </c>
      <c r="F51" s="68">
        <f t="shared" si="4"/>
        <v>5.74</v>
      </c>
      <c r="G51" s="69">
        <f>IF(D51=D50,"",_xlfn.IFNA(VLOOKUP(D51,'인원 입력 기능(직탐)'!$K$5:$N$59,4,FALSE),0))</f>
        <v>11</v>
      </c>
      <c r="H51" s="70">
        <f t="shared" si="1"/>
        <v>1.5602836879432624E-2</v>
      </c>
      <c r="I51" s="80">
        <f>SUM($G$7:G51)</f>
        <v>670</v>
      </c>
      <c r="J51" s="72">
        <f t="shared" si="5"/>
        <v>0.95035460992907805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81">
        <v>5</v>
      </c>
      <c r="D52" s="82">
        <f t="shared" si="3"/>
        <v>35</v>
      </c>
      <c r="E52" s="82">
        <f t="shared" si="0"/>
        <v>8</v>
      </c>
      <c r="F52" s="68">
        <f t="shared" si="4"/>
        <v>3.62</v>
      </c>
      <c r="G52" s="69">
        <f>IF(D52=D51,"",_xlfn.IFNA(VLOOKUP(D52,'인원 입력 기능(직탐)'!$K$5:$N$59,4,FALSE),0))</f>
        <v>19</v>
      </c>
      <c r="H52" s="70">
        <f t="shared" si="1"/>
        <v>2.6950354609929079E-2</v>
      </c>
      <c r="I52" s="80">
        <f>SUM($G$7:G52)</f>
        <v>689</v>
      </c>
      <c r="J52" s="72">
        <f t="shared" si="5"/>
        <v>0.97730496453900706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66">
        <v>4</v>
      </c>
      <c r="D53" s="67">
        <f t="shared" si="3"/>
        <v>34</v>
      </c>
      <c r="E53" s="67">
        <f t="shared" si="0"/>
        <v>9</v>
      </c>
      <c r="F53" s="68">
        <f t="shared" si="4"/>
        <v>1.77</v>
      </c>
      <c r="G53" s="69">
        <f>IF(D53=D52,"",_xlfn.IFNA(VLOOKUP(D53,'인원 입력 기능(직탐)'!$K$5:$N$59,4,FALSE),0))</f>
        <v>7</v>
      </c>
      <c r="H53" s="70">
        <f t="shared" si="1"/>
        <v>9.9290780141843976E-3</v>
      </c>
      <c r="I53" s="80">
        <f>SUM($G$7:G53)</f>
        <v>696</v>
      </c>
      <c r="J53" s="72">
        <f t="shared" si="5"/>
        <v>0.98723404255319147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73">
        <v>3</v>
      </c>
      <c r="D54" s="67">
        <f t="shared" si="3"/>
        <v>33</v>
      </c>
      <c r="E54" s="67">
        <f t="shared" si="0"/>
        <v>9</v>
      </c>
      <c r="F54" s="68">
        <f t="shared" si="4"/>
        <v>0.78</v>
      </c>
      <c r="G54" s="69">
        <f>IF(D54=D53,"",_xlfn.IFNA(VLOOKUP(D54,'인원 입력 기능(직탐)'!$K$5:$N$59,4,FALSE),0))</f>
        <v>7</v>
      </c>
      <c r="H54" s="70">
        <f t="shared" si="1"/>
        <v>9.9290780141843976E-3</v>
      </c>
      <c r="I54" s="80">
        <f>SUM($G$7:G54)</f>
        <v>703</v>
      </c>
      <c r="J54" s="72">
        <f t="shared" si="5"/>
        <v>0.99716312056737588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66">
        <v>2</v>
      </c>
      <c r="D55" s="67">
        <f t="shared" si="3"/>
        <v>32</v>
      </c>
      <c r="E55" s="67">
        <f t="shared" si="0"/>
        <v>9</v>
      </c>
      <c r="F55" s="68">
        <f t="shared" si="4"/>
        <v>0.21</v>
      </c>
      <c r="G55" s="69">
        <f>IF(D55=D54,"",_xlfn.IFNA(VLOOKUP(D55,'인원 입력 기능(직탐)'!$K$5:$N$59,4,FALSE),0))</f>
        <v>1</v>
      </c>
      <c r="H55" s="70">
        <f t="shared" si="1"/>
        <v>1.4184397163120568E-3</v>
      </c>
      <c r="I55" s="80">
        <f>SUM($G$7:G55)</f>
        <v>704</v>
      </c>
      <c r="J55" s="72">
        <f t="shared" si="5"/>
        <v>0.99858156028368794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73">
        <v>1</v>
      </c>
      <c r="D56" s="74" t="s">
        <v>59</v>
      </c>
      <c r="E56" s="74"/>
      <c r="F56" s="75"/>
      <c r="G56" s="96"/>
      <c r="H56" s="94"/>
      <c r="I56" s="84"/>
      <c r="J56" s="79"/>
      <c r="K56" s="36"/>
      <c r="L56" s="20"/>
      <c r="N56" s="24"/>
    </row>
    <row r="57" spans="1:14" s="22" customFormat="1" ht="25" customHeight="1" thickBot="1" x14ac:dyDescent="0.5">
      <c r="A57" s="20"/>
      <c r="B57" s="35"/>
      <c r="C57" s="97">
        <v>0</v>
      </c>
      <c r="D57" s="86">
        <f>ROUND(10*(C57-$H$3)/$H$4+50,0)</f>
        <v>30</v>
      </c>
      <c r="E57" s="98">
        <f t="shared" si="0"/>
        <v>9</v>
      </c>
      <c r="F57" s="87">
        <f>IF(I55=0,ROUND(100*(1-(I54+I57)/2/$J$3),2),ROUND(100*(1-(I55+I57)/2/$J$3),2))</f>
        <v>7.0000000000000007E-2</v>
      </c>
      <c r="G57" s="99">
        <f>_xlfn.IFNA(VLOOKUP(D57,'인원 입력 기능(직탐)'!$K$5:$N$59,4,FALSE),0)</f>
        <v>1</v>
      </c>
      <c r="H57" s="89">
        <f>G57/$J$3</f>
        <v>1.4184397163120568E-3</v>
      </c>
      <c r="I57" s="90">
        <f>SUM($G$7:G57)</f>
        <v>705</v>
      </c>
      <c r="J57" s="100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">
    <mergeCell ref="D3:F3"/>
    <mergeCell ref="D4:F4"/>
  </mergeCells>
  <phoneticPr fontId="1" type="noConversion"/>
  <conditionalFormatting sqref="D7:G57 I7:J57">
    <cfRule type="expression" dxfId="15" priority="4">
      <formula>OR($D7=$Q$7:$Q$14)</formula>
    </cfRule>
  </conditionalFormatting>
  <conditionalFormatting sqref="C7:C57">
    <cfRule type="expression" dxfId="14" priority="3">
      <formula>OR(AND($D7=0,OR($D6=$Q$7:$Q$14)),AND($D8&gt;0,OR($D7=$Q$7:$Q$14)))</formula>
    </cfRule>
  </conditionalFormatting>
  <conditionalFormatting sqref="D7:D57">
    <cfRule type="expression" dxfId="13" priority="2">
      <formula>$D7=$D8</formula>
    </cfRule>
  </conditionalFormatting>
  <conditionalFormatting sqref="H7:H57">
    <cfRule type="expression" dxfId="12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F47E5-7A32-46B1-AA5E-14744E188CC7}">
  <sheetPr codeName="Sheet26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113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기능'!D24</f>
        <v>18.1931166347992</v>
      </c>
      <c r="I3" s="21" t="s">
        <v>117</v>
      </c>
      <c r="J3" s="58">
        <f>'통계 및 응시자 수 입력 기능'!C24</f>
        <v>1569</v>
      </c>
      <c r="K3" s="36"/>
      <c r="L3" s="20"/>
    </row>
    <row r="4" spans="1:17" s="22" customFormat="1" ht="25" customHeight="1" thickBot="1" x14ac:dyDescent="0.5">
      <c r="A4" s="20"/>
      <c r="B4" s="35"/>
      <c r="C4" s="59" t="s">
        <v>118</v>
      </c>
      <c r="D4" s="191" t="s">
        <v>135</v>
      </c>
      <c r="E4" s="192"/>
      <c r="F4" s="193"/>
      <c r="G4" s="60" t="s">
        <v>120</v>
      </c>
      <c r="H4" s="61">
        <f>'통계 및 응시자 수 입력 기능'!E24</f>
        <v>10.436810549305701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62" t="s">
        <v>121</v>
      </c>
      <c r="D6" s="63" t="s">
        <v>122</v>
      </c>
      <c r="E6" s="63" t="s">
        <v>123</v>
      </c>
      <c r="F6" s="63" t="s">
        <v>124</v>
      </c>
      <c r="G6" s="63" t="s">
        <v>125</v>
      </c>
      <c r="H6" s="63" t="s">
        <v>126</v>
      </c>
      <c r="I6" s="64" t="s">
        <v>127</v>
      </c>
      <c r="J6" s="65" t="s">
        <v>128</v>
      </c>
      <c r="K6" s="36"/>
      <c r="L6" s="19"/>
      <c r="M6" s="19"/>
      <c r="N6" s="23"/>
    </row>
    <row r="7" spans="1:17" s="22" customFormat="1" ht="25" customHeight="1" x14ac:dyDescent="0.45">
      <c r="A7" s="20"/>
      <c r="B7" s="35"/>
      <c r="C7" s="66">
        <v>50</v>
      </c>
      <c r="D7" s="67">
        <f>ROUND(10*(C7-$H$3)/$H$4+50,0)</f>
        <v>80</v>
      </c>
      <c r="E7" s="67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8">
        <f>ROUND(100*(1-(0+I7)/2/$J$3),2)</f>
        <v>99.68</v>
      </c>
      <c r="G7" s="69">
        <f>_xlfn.IFNA(VLOOKUP(D7,'인원 입력 기능(직탐)'!$P$5:$S$59,4,FALSE),0)</f>
        <v>10</v>
      </c>
      <c r="H7" s="70">
        <f>G7/$J$3</f>
        <v>6.3734862970044612E-3</v>
      </c>
      <c r="I7" s="71">
        <f>G7</f>
        <v>10</v>
      </c>
      <c r="J7" s="72">
        <f>I7/$J$3</f>
        <v>6.3734862970044612E-3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기능'!C184</f>
        <v>71</v>
      </c>
    </row>
    <row r="8" spans="1:17" s="22" customFormat="1" ht="25" customHeight="1" x14ac:dyDescent="0.45">
      <c r="A8" s="20"/>
      <c r="B8" s="35"/>
      <c r="C8" s="73">
        <v>49</v>
      </c>
      <c r="D8" s="74" t="s">
        <v>59</v>
      </c>
      <c r="E8" s="74"/>
      <c r="F8" s="75"/>
      <c r="G8" s="76"/>
      <c r="H8" s="94"/>
      <c r="I8" s="78"/>
      <c r="J8" s="79"/>
      <c r="K8" s="36"/>
      <c r="L8" s="20"/>
      <c r="N8" s="24"/>
      <c r="P8" s="24">
        <v>2</v>
      </c>
      <c r="Q8" s="24">
        <f>'표점등급&amp;절평인원 입력 기능'!C185</f>
        <v>64</v>
      </c>
    </row>
    <row r="9" spans="1:17" s="22" customFormat="1" ht="25" customHeight="1" x14ac:dyDescent="0.45">
      <c r="A9" s="20"/>
      <c r="B9" s="35"/>
      <c r="C9" s="66">
        <v>48</v>
      </c>
      <c r="D9" s="67">
        <f>ROUND(10*(C9-$H$3)/$H$4+50,0)</f>
        <v>79</v>
      </c>
      <c r="E9" s="67">
        <f t="shared" si="0"/>
        <v>1</v>
      </c>
      <c r="F9" s="68">
        <f>IF(I8=0,ROUND(100*(1-(I7+I9)/2/$J$3),2),ROUND(100*(1-(I8+I9)/2/$J$3),2))</f>
        <v>99.3</v>
      </c>
      <c r="G9" s="69">
        <f>_xlfn.IFNA(VLOOKUP(D9,'인원 입력 기능(직탐)'!$P$5:$S$59,4,FALSE),0)</f>
        <v>2</v>
      </c>
      <c r="H9" s="70">
        <f t="shared" ref="H9:H55" si="1">G9/$J$3</f>
        <v>1.2746972594008922E-3</v>
      </c>
      <c r="I9" s="80">
        <f>SUM($G$7:G9)</f>
        <v>12</v>
      </c>
      <c r="J9" s="72">
        <f>I9/$J$3</f>
        <v>7.6481835564053535E-3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기능'!C186</f>
        <v>57</v>
      </c>
    </row>
    <row r="10" spans="1:17" s="22" customFormat="1" ht="25" customHeight="1" x14ac:dyDescent="0.45">
      <c r="A10" s="20"/>
      <c r="B10" s="35"/>
      <c r="C10" s="73">
        <v>47</v>
      </c>
      <c r="D10" s="67">
        <f t="shared" ref="D10:D55" si="3">ROUND(10*(C10-$H$3)/$H$4+50,0)</f>
        <v>78</v>
      </c>
      <c r="E10" s="67">
        <f t="shared" si="0"/>
        <v>1</v>
      </c>
      <c r="F10" s="68">
        <f t="shared" ref="F10:F55" si="4">IF(I9=0,ROUND(100*(1-(I8+I10)/2/$J$3),2),ROUND(100*(1-(I9+I10)/2/$J$3),2))</f>
        <v>98.95</v>
      </c>
      <c r="G10" s="69">
        <f>IF(D10=D9,"",_xlfn.IFNA(VLOOKUP(D10,'인원 입력 기능(직탐)'!$P$5:$S$59,4,FALSE),0))</f>
        <v>9</v>
      </c>
      <c r="H10" s="70">
        <f t="shared" si="1"/>
        <v>5.7361376673040155E-3</v>
      </c>
      <c r="I10" s="80">
        <f>SUM($G$7:G10)</f>
        <v>21</v>
      </c>
      <c r="J10" s="72">
        <f t="shared" ref="J10:J55" si="5">I10/$J$3</f>
        <v>1.338432122370937E-2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기능'!C187</f>
        <v>51</v>
      </c>
    </row>
    <row r="11" spans="1:17" s="22" customFormat="1" ht="25" customHeight="1" x14ac:dyDescent="0.45">
      <c r="A11" s="20"/>
      <c r="B11" s="35"/>
      <c r="C11" s="66">
        <v>46</v>
      </c>
      <c r="D11" s="67">
        <f t="shared" si="3"/>
        <v>77</v>
      </c>
      <c r="E11" s="67">
        <f t="shared" si="0"/>
        <v>1</v>
      </c>
      <c r="F11" s="68">
        <f t="shared" si="4"/>
        <v>98.6</v>
      </c>
      <c r="G11" s="69">
        <f>IF(D11=D10,"",_xlfn.IFNA(VLOOKUP(D11,'인원 입력 기능(직탐)'!$P$5:$S$59,4,FALSE),0))</f>
        <v>2</v>
      </c>
      <c r="H11" s="70">
        <f t="shared" si="1"/>
        <v>1.2746972594008922E-3</v>
      </c>
      <c r="I11" s="80">
        <f>SUM($G$7:G11)</f>
        <v>23</v>
      </c>
      <c r="J11" s="72">
        <f t="shared" si="5"/>
        <v>1.4659018483110261E-2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기능'!C188</f>
        <v>45</v>
      </c>
    </row>
    <row r="12" spans="1:17" s="22" customFormat="1" ht="25" customHeight="1" x14ac:dyDescent="0.45">
      <c r="A12" s="20"/>
      <c r="B12" s="35"/>
      <c r="C12" s="73">
        <v>45</v>
      </c>
      <c r="D12" s="67">
        <f t="shared" si="3"/>
        <v>76</v>
      </c>
      <c r="E12" s="67">
        <f t="shared" si="0"/>
        <v>1</v>
      </c>
      <c r="F12" s="68">
        <f t="shared" si="4"/>
        <v>98.31</v>
      </c>
      <c r="G12" s="69">
        <f>IF(D12=D11,"",_xlfn.IFNA(VLOOKUP(D12,'인원 입력 기능(직탐)'!$P$5:$S$59,4,FALSE),0))</f>
        <v>7</v>
      </c>
      <c r="H12" s="70">
        <f t="shared" si="1"/>
        <v>4.4614404079031233E-3</v>
      </c>
      <c r="I12" s="80">
        <f>SUM($G$7:G12)</f>
        <v>30</v>
      </c>
      <c r="J12" s="72">
        <f t="shared" si="5"/>
        <v>1.9120458891013385E-2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기능'!C189</f>
        <v>42</v>
      </c>
    </row>
    <row r="13" spans="1:17" s="22" customFormat="1" ht="25" customHeight="1" x14ac:dyDescent="0.45">
      <c r="A13" s="20"/>
      <c r="B13" s="35"/>
      <c r="C13" s="66">
        <v>44</v>
      </c>
      <c r="D13" s="67">
        <f t="shared" si="3"/>
        <v>75</v>
      </c>
      <c r="E13" s="67">
        <f t="shared" si="0"/>
        <v>1</v>
      </c>
      <c r="F13" s="68">
        <f t="shared" si="4"/>
        <v>97.83</v>
      </c>
      <c r="G13" s="69">
        <f>IF(D13=D12,"",_xlfn.IFNA(VLOOKUP(D13,'인원 입력 기능(직탐)'!$P$5:$S$59,4,FALSE),0))</f>
        <v>8</v>
      </c>
      <c r="H13" s="70">
        <f t="shared" si="1"/>
        <v>5.098789037603569E-3</v>
      </c>
      <c r="I13" s="80">
        <f>SUM($G$7:G13)</f>
        <v>38</v>
      </c>
      <c r="J13" s="72">
        <f t="shared" si="5"/>
        <v>2.4219247928616953E-2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기능'!C190</f>
        <v>39</v>
      </c>
    </row>
    <row r="14" spans="1:17" s="22" customFormat="1" ht="25" customHeight="1" x14ac:dyDescent="0.45">
      <c r="A14" s="20"/>
      <c r="B14" s="35"/>
      <c r="C14" s="73">
        <v>43</v>
      </c>
      <c r="D14" s="67">
        <f t="shared" si="3"/>
        <v>74</v>
      </c>
      <c r="E14" s="67">
        <f t="shared" si="0"/>
        <v>1</v>
      </c>
      <c r="F14" s="68">
        <f t="shared" si="4"/>
        <v>97.51</v>
      </c>
      <c r="G14" s="69">
        <f>IF(D14=D13,"",_xlfn.IFNA(VLOOKUP(D14,'인원 입력 기능(직탐)'!$P$5:$S$59,4,FALSE),0))</f>
        <v>2</v>
      </c>
      <c r="H14" s="70">
        <f t="shared" si="1"/>
        <v>1.2746972594008922E-3</v>
      </c>
      <c r="I14" s="80">
        <f>SUM($G$7:G14)</f>
        <v>40</v>
      </c>
      <c r="J14" s="72">
        <f t="shared" si="5"/>
        <v>2.5493945188017845E-2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기능'!C191</f>
        <v>37</v>
      </c>
    </row>
    <row r="15" spans="1:17" s="22" customFormat="1" ht="25" customHeight="1" x14ac:dyDescent="0.45">
      <c r="A15" s="20"/>
      <c r="B15" s="35"/>
      <c r="C15" s="66">
        <v>42</v>
      </c>
      <c r="D15" s="67">
        <f t="shared" si="3"/>
        <v>73</v>
      </c>
      <c r="E15" s="67">
        <f t="shared" si="0"/>
        <v>1</v>
      </c>
      <c r="F15" s="68">
        <f t="shared" si="4"/>
        <v>96.94</v>
      </c>
      <c r="G15" s="69">
        <f>IF(D15=D14,"",_xlfn.IFNA(VLOOKUP(D15,'인원 입력 기능(직탐)'!$P$5:$S$59,4,FALSE),0))</f>
        <v>16</v>
      </c>
      <c r="H15" s="70">
        <f t="shared" si="1"/>
        <v>1.0197578075207138E-2</v>
      </c>
      <c r="I15" s="80">
        <f>SUM($G$7:G15)</f>
        <v>56</v>
      </c>
      <c r="J15" s="72">
        <f t="shared" si="5"/>
        <v>3.5691523263224986E-2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73">
        <v>41</v>
      </c>
      <c r="D16" s="67">
        <f t="shared" si="3"/>
        <v>72</v>
      </c>
      <c r="E16" s="67">
        <f t="shared" si="0"/>
        <v>1</v>
      </c>
      <c r="F16" s="68">
        <f t="shared" si="4"/>
        <v>96.34</v>
      </c>
      <c r="G16" s="69">
        <f>IF(D16=D15,"",_xlfn.IFNA(VLOOKUP(D16,'인원 입력 기능(직탐)'!$P$5:$S$59,4,FALSE),0))</f>
        <v>3</v>
      </c>
      <c r="H16" s="70">
        <f t="shared" si="1"/>
        <v>1.9120458891013384E-3</v>
      </c>
      <c r="I16" s="80">
        <f>SUM($G$7:G16)</f>
        <v>59</v>
      </c>
      <c r="J16" s="72">
        <f t="shared" si="5"/>
        <v>3.7603569152326322E-2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66">
        <v>40</v>
      </c>
      <c r="D17" s="67">
        <f t="shared" si="3"/>
        <v>71</v>
      </c>
      <c r="E17" s="67">
        <f t="shared" si="0"/>
        <v>1</v>
      </c>
      <c r="F17" s="68">
        <f t="shared" si="4"/>
        <v>95.98</v>
      </c>
      <c r="G17" s="69">
        <f>IF(D17=D16,"",_xlfn.IFNA(VLOOKUP(D17,'인원 입력 기능(직탐)'!$P$5:$S$59,4,FALSE),0))</f>
        <v>8</v>
      </c>
      <c r="H17" s="70">
        <f t="shared" si="1"/>
        <v>5.098789037603569E-3</v>
      </c>
      <c r="I17" s="80">
        <f>SUM($G$7:G17)</f>
        <v>67</v>
      </c>
      <c r="J17" s="72">
        <f t="shared" si="5"/>
        <v>4.2702358189929894E-2</v>
      </c>
      <c r="K17" s="36"/>
      <c r="L17" s="20" t="str">
        <f t="shared" si="2"/>
        <v/>
      </c>
      <c r="N17" s="24"/>
      <c r="Q17" s="24">
        <f>Q7*H3*H4*J3*IFERROR(IF(J57=1, 1, 0), 0)</f>
        <v>21152231.756225076</v>
      </c>
    </row>
    <row r="18" spans="1:17" s="22" customFormat="1" ht="25" customHeight="1" x14ac:dyDescent="0.45">
      <c r="A18" s="20"/>
      <c r="B18" s="35"/>
      <c r="C18" s="73">
        <v>39</v>
      </c>
      <c r="D18" s="67">
        <f t="shared" si="3"/>
        <v>70</v>
      </c>
      <c r="E18" s="67">
        <f t="shared" si="0"/>
        <v>2</v>
      </c>
      <c r="F18" s="68">
        <f t="shared" si="4"/>
        <v>95.19</v>
      </c>
      <c r="G18" s="69">
        <f>IF(D18=D17,"",_xlfn.IFNA(VLOOKUP(D18,'인원 입력 기능(직탐)'!$P$5:$S$59,4,FALSE),0))</f>
        <v>17</v>
      </c>
      <c r="H18" s="70">
        <f t="shared" si="1"/>
        <v>1.0834926704907584E-2</v>
      </c>
      <c r="I18" s="80">
        <f>SUM($G$7:G18)</f>
        <v>84</v>
      </c>
      <c r="J18" s="72">
        <f t="shared" si="5"/>
        <v>5.3537284894837479E-2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66">
        <v>38</v>
      </c>
      <c r="D19" s="67">
        <f t="shared" si="3"/>
        <v>69</v>
      </c>
      <c r="E19" s="67">
        <f t="shared" si="0"/>
        <v>2</v>
      </c>
      <c r="F19" s="68">
        <f t="shared" si="4"/>
        <v>94.26</v>
      </c>
      <c r="G19" s="69">
        <f>IF(D19=D18,"",_xlfn.IFNA(VLOOKUP(D19,'인원 입력 기능(직탐)'!$P$5:$S$59,4,FALSE),0))</f>
        <v>12</v>
      </c>
      <c r="H19" s="70">
        <f t="shared" si="1"/>
        <v>7.6481835564053535E-3</v>
      </c>
      <c r="I19" s="80">
        <f>SUM($G$7:G19)</f>
        <v>96</v>
      </c>
      <c r="J19" s="72">
        <f t="shared" si="5"/>
        <v>6.1185468451242828E-2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73">
        <v>37</v>
      </c>
      <c r="D20" s="67">
        <f t="shared" si="3"/>
        <v>68</v>
      </c>
      <c r="E20" s="67">
        <f t="shared" si="0"/>
        <v>2</v>
      </c>
      <c r="F20" s="68">
        <f t="shared" si="4"/>
        <v>93.28</v>
      </c>
      <c r="G20" s="69">
        <f>IF(D20=D19,"",_xlfn.IFNA(VLOOKUP(D20,'인원 입력 기능(직탐)'!$P$5:$S$59,4,FALSE),0))</f>
        <v>19</v>
      </c>
      <c r="H20" s="70">
        <f t="shared" si="1"/>
        <v>1.2109623964308477E-2</v>
      </c>
      <c r="I20" s="80">
        <f>SUM($G$7:G20)</f>
        <v>115</v>
      </c>
      <c r="J20" s="72">
        <f t="shared" si="5"/>
        <v>7.3295092415551308E-2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95">
        <v>36</v>
      </c>
      <c r="D21" s="82">
        <f t="shared" si="3"/>
        <v>67</v>
      </c>
      <c r="E21" s="82">
        <f t="shared" si="0"/>
        <v>2</v>
      </c>
      <c r="F21" s="68">
        <f t="shared" si="4"/>
        <v>92.29</v>
      </c>
      <c r="G21" s="69">
        <f>IF(D21=D20,"",_xlfn.IFNA(VLOOKUP(D21,'인원 입력 기능(직탐)'!$P$5:$S$59,4,FALSE),0))</f>
        <v>12</v>
      </c>
      <c r="H21" s="70">
        <f t="shared" si="1"/>
        <v>7.6481835564053535E-3</v>
      </c>
      <c r="I21" s="80">
        <f>SUM($G$7:G21)</f>
        <v>127</v>
      </c>
      <c r="J21" s="72">
        <f t="shared" si="5"/>
        <v>8.0943275971956663E-2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81">
        <v>35</v>
      </c>
      <c r="D22" s="82">
        <f t="shared" si="3"/>
        <v>66</v>
      </c>
      <c r="E22" s="82">
        <f t="shared" si="0"/>
        <v>2</v>
      </c>
      <c r="F22" s="68">
        <f t="shared" si="4"/>
        <v>91.4</v>
      </c>
      <c r="G22" s="69">
        <f>IF(D22=D21,"",_xlfn.IFNA(VLOOKUP(D22,'인원 입력 기능(직탐)'!$P$5:$S$59,4,FALSE),0))</f>
        <v>16</v>
      </c>
      <c r="H22" s="70">
        <f t="shared" si="1"/>
        <v>1.0197578075207138E-2</v>
      </c>
      <c r="I22" s="80">
        <f>SUM($G$7:G22)</f>
        <v>143</v>
      </c>
      <c r="J22" s="72">
        <f t="shared" si="5"/>
        <v>9.1140854047163794E-2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95">
        <v>34</v>
      </c>
      <c r="D23" s="82">
        <f t="shared" si="3"/>
        <v>65</v>
      </c>
      <c r="E23" s="82">
        <f t="shared" si="0"/>
        <v>2</v>
      </c>
      <c r="F23" s="68">
        <f t="shared" si="4"/>
        <v>90.22</v>
      </c>
      <c r="G23" s="69">
        <f>IF(D23=D22,"",_xlfn.IFNA(VLOOKUP(D23,'인원 입력 기능(직탐)'!$P$5:$S$59,4,FALSE),0))</f>
        <v>21</v>
      </c>
      <c r="H23" s="70">
        <f t="shared" si="1"/>
        <v>1.338432122370937E-2</v>
      </c>
      <c r="I23" s="80">
        <f>SUM($G$7:G23)</f>
        <v>164</v>
      </c>
      <c r="J23" s="72">
        <f t="shared" si="5"/>
        <v>0.10452517527087317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81">
        <v>33</v>
      </c>
      <c r="D24" s="82">
        <f t="shared" si="3"/>
        <v>64</v>
      </c>
      <c r="E24" s="82">
        <f t="shared" si="0"/>
        <v>2</v>
      </c>
      <c r="F24" s="68">
        <f t="shared" si="4"/>
        <v>89.17</v>
      </c>
      <c r="G24" s="69">
        <f>IF(D24=D23,"",_xlfn.IFNA(VLOOKUP(D24,'인원 입력 기능(직탐)'!$P$5:$S$59,4,FALSE),0))</f>
        <v>12</v>
      </c>
      <c r="H24" s="70">
        <f t="shared" si="1"/>
        <v>7.6481835564053535E-3</v>
      </c>
      <c r="I24" s="80">
        <f>SUM($G$7:G24)</f>
        <v>176</v>
      </c>
      <c r="J24" s="72">
        <f t="shared" si="5"/>
        <v>0.11217335882727852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95">
        <v>32</v>
      </c>
      <c r="D25" s="82">
        <f t="shared" si="3"/>
        <v>63</v>
      </c>
      <c r="E25" s="82">
        <f t="shared" si="0"/>
        <v>3</v>
      </c>
      <c r="F25" s="68">
        <f t="shared" si="4"/>
        <v>88.21</v>
      </c>
      <c r="G25" s="69">
        <f>IF(D25=D24,"",_xlfn.IFNA(VLOOKUP(D25,'인원 입력 기능(직탐)'!$P$5:$S$59,4,FALSE),0))</f>
        <v>18</v>
      </c>
      <c r="H25" s="70">
        <f t="shared" si="1"/>
        <v>1.1472275334608031E-2</v>
      </c>
      <c r="I25" s="80">
        <f>SUM($G$7:G25)</f>
        <v>194</v>
      </c>
      <c r="J25" s="72">
        <f t="shared" si="5"/>
        <v>0.12364563416188655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81">
        <v>31</v>
      </c>
      <c r="D26" s="82">
        <f t="shared" si="3"/>
        <v>62</v>
      </c>
      <c r="E26" s="82">
        <f t="shared" si="0"/>
        <v>3</v>
      </c>
      <c r="F26" s="68">
        <f t="shared" si="4"/>
        <v>87.13</v>
      </c>
      <c r="G26" s="69">
        <f>IF(D26=D25,"",_xlfn.IFNA(VLOOKUP(D26,'인원 입력 기능(직탐)'!$P$5:$S$59,4,FALSE),0))</f>
        <v>16</v>
      </c>
      <c r="H26" s="70">
        <f t="shared" si="1"/>
        <v>1.0197578075207138E-2</v>
      </c>
      <c r="I26" s="80">
        <f>SUM($G$7:G26)</f>
        <v>210</v>
      </c>
      <c r="J26" s="72">
        <f t="shared" si="5"/>
        <v>0.13384321223709369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95">
        <v>30</v>
      </c>
      <c r="D27" s="82">
        <f t="shared" si="3"/>
        <v>61</v>
      </c>
      <c r="E27" s="82">
        <f t="shared" si="0"/>
        <v>3</v>
      </c>
      <c r="F27" s="68">
        <f t="shared" si="4"/>
        <v>85.91</v>
      </c>
      <c r="G27" s="69">
        <f>IF(D27=D26,"",_xlfn.IFNA(VLOOKUP(D27,'인원 입력 기능(직탐)'!$P$5:$S$59,4,FALSE),0))</f>
        <v>22</v>
      </c>
      <c r="H27" s="70">
        <f t="shared" si="1"/>
        <v>1.4021669853409816E-2</v>
      </c>
      <c r="I27" s="80">
        <f>SUM($G$7:G27)</f>
        <v>232</v>
      </c>
      <c r="J27" s="72">
        <f t="shared" si="5"/>
        <v>0.1478648820905035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81">
        <v>29</v>
      </c>
      <c r="D28" s="82">
        <f t="shared" si="3"/>
        <v>60</v>
      </c>
      <c r="E28" s="82">
        <f t="shared" si="0"/>
        <v>3</v>
      </c>
      <c r="F28" s="68">
        <f t="shared" si="4"/>
        <v>84.32</v>
      </c>
      <c r="G28" s="69">
        <f>IF(D28=D27,"",_xlfn.IFNA(VLOOKUP(D28,'인원 입력 기능(직탐)'!$P$5:$S$59,4,FALSE),0))</f>
        <v>28</v>
      </c>
      <c r="H28" s="70">
        <f t="shared" si="1"/>
        <v>1.7845761631612493E-2</v>
      </c>
      <c r="I28" s="80">
        <f>SUM($G$7:G28)</f>
        <v>260</v>
      </c>
      <c r="J28" s="72">
        <f t="shared" si="5"/>
        <v>0.165710643722116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95">
        <v>28</v>
      </c>
      <c r="D29" s="82">
        <f t="shared" si="3"/>
        <v>59</v>
      </c>
      <c r="E29" s="82">
        <f t="shared" si="0"/>
        <v>3</v>
      </c>
      <c r="F29" s="68">
        <f t="shared" si="4"/>
        <v>82.28</v>
      </c>
      <c r="G29" s="69">
        <f>IF(D29=D28,"",_xlfn.IFNA(VLOOKUP(D29,'인원 입력 기능(직탐)'!$P$5:$S$59,4,FALSE),0))</f>
        <v>36</v>
      </c>
      <c r="H29" s="70">
        <f t="shared" si="1"/>
        <v>2.2944550669216062E-2</v>
      </c>
      <c r="I29" s="80">
        <f>SUM($G$7:G29)</f>
        <v>296</v>
      </c>
      <c r="J29" s="72">
        <f t="shared" si="5"/>
        <v>0.18865519439133205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81">
        <v>27</v>
      </c>
      <c r="D30" s="82">
        <f t="shared" si="3"/>
        <v>58</v>
      </c>
      <c r="E30" s="82">
        <f t="shared" si="0"/>
        <v>3</v>
      </c>
      <c r="F30" s="68">
        <f t="shared" si="4"/>
        <v>79.89</v>
      </c>
      <c r="G30" s="69">
        <f>IF(D30=D29,"",_xlfn.IFNA(VLOOKUP(D30,'인원 입력 기능(직탐)'!$P$5:$S$59,4,FALSE),0))</f>
        <v>39</v>
      </c>
      <c r="H30" s="70">
        <f t="shared" si="1"/>
        <v>2.4856596558317401E-2</v>
      </c>
      <c r="I30" s="80">
        <f>SUM($G$7:G30)</f>
        <v>335</v>
      </c>
      <c r="J30" s="72">
        <f t="shared" si="5"/>
        <v>0.21351179094964945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95">
        <v>26</v>
      </c>
      <c r="D31" s="180">
        <f t="shared" si="3"/>
        <v>57</v>
      </c>
      <c r="E31" s="180">
        <f t="shared" si="0"/>
        <v>3</v>
      </c>
      <c r="F31" s="182">
        <f t="shared" si="4"/>
        <v>76.61</v>
      </c>
      <c r="G31" s="184">
        <f>IF(D31=D30,"",_xlfn.IFNA(VLOOKUP(D31,'인원 입력 기능(직탐)'!$P$5:$S$59,4,FALSE),0))</f>
        <v>64</v>
      </c>
      <c r="H31" s="186">
        <f t="shared" si="1"/>
        <v>4.0790312300828552E-2</v>
      </c>
      <c r="I31" s="194">
        <f>SUM($G$7:G31)</f>
        <v>399</v>
      </c>
      <c r="J31" s="176">
        <f t="shared" si="5"/>
        <v>0.25430210325047803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81">
        <v>25</v>
      </c>
      <c r="D32" s="181"/>
      <c r="E32" s="181"/>
      <c r="F32" s="183"/>
      <c r="G32" s="185"/>
      <c r="H32" s="187"/>
      <c r="I32" s="195"/>
      <c r="J32" s="177"/>
      <c r="K32" s="36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5"/>
      <c r="C33" s="95">
        <v>24</v>
      </c>
      <c r="D33" s="82">
        <f t="shared" si="3"/>
        <v>56</v>
      </c>
      <c r="E33" s="82">
        <f t="shared" si="0"/>
        <v>4</v>
      </c>
      <c r="F33" s="68">
        <f t="shared" si="4"/>
        <v>73.260000000000005</v>
      </c>
      <c r="G33" s="69">
        <f>IF(D33=D32,"",_xlfn.IFNA(VLOOKUP(D33,'인원 입력 기능(직탐)'!$P$5:$S$59,4,FALSE),0))</f>
        <v>41</v>
      </c>
      <c r="H33" s="70">
        <f t="shared" si="1"/>
        <v>2.6131293817718292E-2</v>
      </c>
      <c r="I33" s="80">
        <f>SUM($G$7:G33)</f>
        <v>440</v>
      </c>
      <c r="J33" s="72">
        <f t="shared" si="5"/>
        <v>0.28043339706819631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81">
        <v>23</v>
      </c>
      <c r="D34" s="82">
        <f t="shared" si="3"/>
        <v>55</v>
      </c>
      <c r="E34" s="82">
        <f t="shared" si="0"/>
        <v>4</v>
      </c>
      <c r="F34" s="68">
        <f t="shared" si="4"/>
        <v>70.84</v>
      </c>
      <c r="G34" s="69">
        <f>IF(D34=D33,"",_xlfn.IFNA(VLOOKUP(D34,'인원 입력 기능(직탐)'!$P$5:$S$59,4,FALSE),0))</f>
        <v>35</v>
      </c>
      <c r="H34" s="70">
        <f t="shared" si="1"/>
        <v>2.2307202039515615E-2</v>
      </c>
      <c r="I34" s="80">
        <f>SUM($G$7:G34)</f>
        <v>475</v>
      </c>
      <c r="J34" s="72">
        <f t="shared" si="5"/>
        <v>0.30274059910771189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95">
        <v>22</v>
      </c>
      <c r="D35" s="82">
        <f t="shared" si="3"/>
        <v>54</v>
      </c>
      <c r="E35" s="82">
        <f t="shared" si="0"/>
        <v>4</v>
      </c>
      <c r="F35" s="68">
        <f t="shared" si="4"/>
        <v>68.709999999999994</v>
      </c>
      <c r="G35" s="69">
        <f>IF(D35=D34,"",_xlfn.IFNA(VLOOKUP(D35,'인원 입력 기능(직탐)'!$P$5:$S$59,4,FALSE),0))</f>
        <v>32</v>
      </c>
      <c r="H35" s="70">
        <f t="shared" si="1"/>
        <v>2.0395156150414276E-2</v>
      </c>
      <c r="I35" s="80">
        <f>SUM($G$7:G35)</f>
        <v>507</v>
      </c>
      <c r="J35" s="72">
        <f t="shared" si="5"/>
        <v>0.32313575525812621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81">
        <v>21</v>
      </c>
      <c r="D36" s="82">
        <f t="shared" si="3"/>
        <v>53</v>
      </c>
      <c r="E36" s="82">
        <f t="shared" si="0"/>
        <v>4</v>
      </c>
      <c r="F36" s="68">
        <f t="shared" si="4"/>
        <v>66.06</v>
      </c>
      <c r="G36" s="69">
        <f>IF(D36=D35,"",_xlfn.IFNA(VLOOKUP(D36,'인원 입력 기능(직탐)'!$P$5:$S$59,4,FALSE),0))</f>
        <v>51</v>
      </c>
      <c r="H36" s="70">
        <f t="shared" si="1"/>
        <v>3.2504780114722756E-2</v>
      </c>
      <c r="I36" s="80">
        <f>SUM($G$7:G36)</f>
        <v>558</v>
      </c>
      <c r="J36" s="72">
        <f t="shared" si="5"/>
        <v>0.35564053537284895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95">
        <v>20</v>
      </c>
      <c r="D37" s="82">
        <f t="shared" si="3"/>
        <v>52</v>
      </c>
      <c r="E37" s="82">
        <f t="shared" si="0"/>
        <v>4</v>
      </c>
      <c r="F37" s="68">
        <f t="shared" si="4"/>
        <v>63.29</v>
      </c>
      <c r="G37" s="69">
        <f>IF(D37=D36,"",_xlfn.IFNA(VLOOKUP(D37,'인원 입력 기능(직탐)'!$P$5:$S$59,4,FALSE),0))</f>
        <v>36</v>
      </c>
      <c r="H37" s="70">
        <f t="shared" si="1"/>
        <v>2.2944550669216062E-2</v>
      </c>
      <c r="I37" s="80">
        <f>SUM($G$7:G37)</f>
        <v>594</v>
      </c>
      <c r="J37" s="72">
        <f t="shared" si="5"/>
        <v>0.37858508604206503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81">
        <v>19</v>
      </c>
      <c r="D38" s="82">
        <f t="shared" si="3"/>
        <v>51</v>
      </c>
      <c r="E38" s="82">
        <f t="shared" si="0"/>
        <v>4</v>
      </c>
      <c r="F38" s="68">
        <f t="shared" si="4"/>
        <v>60.64</v>
      </c>
      <c r="G38" s="69">
        <f>IF(D38=D37,"",_xlfn.IFNA(VLOOKUP(D38,'인원 입력 기능(직탐)'!$P$5:$S$59,4,FALSE),0))</f>
        <v>47</v>
      </c>
      <c r="H38" s="70">
        <f t="shared" si="1"/>
        <v>2.995538559592097E-2</v>
      </c>
      <c r="I38" s="80">
        <f>SUM($G$7:G38)</f>
        <v>641</v>
      </c>
      <c r="J38" s="72">
        <f t="shared" si="5"/>
        <v>0.40854047163798596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95">
        <v>18</v>
      </c>
      <c r="D39" s="82">
        <f t="shared" si="3"/>
        <v>50</v>
      </c>
      <c r="E39" s="82">
        <f t="shared" si="0"/>
        <v>5</v>
      </c>
      <c r="F39" s="68">
        <f t="shared" si="4"/>
        <v>57.46</v>
      </c>
      <c r="G39" s="69">
        <f>IF(D39=D38,"",_xlfn.IFNA(VLOOKUP(D39,'인원 입력 기능(직탐)'!$P$5:$S$59,4,FALSE),0))</f>
        <v>53</v>
      </c>
      <c r="H39" s="70">
        <f t="shared" si="1"/>
        <v>3.3779477374123644E-2</v>
      </c>
      <c r="I39" s="80">
        <f>SUM($G$7:G39)</f>
        <v>694</v>
      </c>
      <c r="J39" s="72">
        <f t="shared" si="5"/>
        <v>0.44231994901210964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81">
        <v>17</v>
      </c>
      <c r="D40" s="82">
        <f t="shared" si="3"/>
        <v>49</v>
      </c>
      <c r="E40" s="82">
        <f t="shared" si="0"/>
        <v>5</v>
      </c>
      <c r="F40" s="68">
        <f t="shared" si="4"/>
        <v>54.08</v>
      </c>
      <c r="G40" s="69">
        <f>IF(D40=D39,"",_xlfn.IFNA(VLOOKUP(D40,'인원 입력 기능(직탐)'!$P$5:$S$59,4,FALSE),0))</f>
        <v>53</v>
      </c>
      <c r="H40" s="70">
        <f t="shared" si="1"/>
        <v>3.3779477374123644E-2</v>
      </c>
      <c r="I40" s="80">
        <f>SUM($G$7:G40)</f>
        <v>747</v>
      </c>
      <c r="J40" s="72">
        <f t="shared" si="5"/>
        <v>0.47609942638623326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95">
        <v>16</v>
      </c>
      <c r="D41" s="82">
        <f t="shared" si="3"/>
        <v>48</v>
      </c>
      <c r="E41" s="82">
        <f t="shared" si="0"/>
        <v>5</v>
      </c>
      <c r="F41" s="68">
        <f t="shared" si="4"/>
        <v>50.61</v>
      </c>
      <c r="G41" s="69">
        <f>IF(D41=D40,"",_xlfn.IFNA(VLOOKUP(D41,'인원 입력 기능(직탐)'!$P$5:$S$59,4,FALSE),0))</f>
        <v>56</v>
      </c>
      <c r="H41" s="70">
        <f t="shared" si="1"/>
        <v>3.5691523263224986E-2</v>
      </c>
      <c r="I41" s="80">
        <f>SUM($G$7:G41)</f>
        <v>803</v>
      </c>
      <c r="J41" s="72">
        <f t="shared" si="5"/>
        <v>0.51179094964945826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81">
        <v>15</v>
      </c>
      <c r="D42" s="82">
        <f t="shared" si="3"/>
        <v>47</v>
      </c>
      <c r="E42" s="82">
        <f t="shared" si="0"/>
        <v>5</v>
      </c>
      <c r="F42" s="68">
        <f t="shared" si="4"/>
        <v>46.97</v>
      </c>
      <c r="G42" s="69">
        <f>IF(D42=D41,"",_xlfn.IFNA(VLOOKUP(D42,'인원 입력 기능(직탐)'!$P$5:$S$59,4,FALSE),0))</f>
        <v>58</v>
      </c>
      <c r="H42" s="70">
        <f t="shared" si="1"/>
        <v>3.6966220522625874E-2</v>
      </c>
      <c r="I42" s="80">
        <f>SUM($G$7:G42)</f>
        <v>861</v>
      </c>
      <c r="J42" s="72">
        <f t="shared" si="5"/>
        <v>0.54875717017208414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95">
        <v>14</v>
      </c>
      <c r="D43" s="82">
        <f t="shared" si="3"/>
        <v>46</v>
      </c>
      <c r="E43" s="82">
        <f t="shared" si="0"/>
        <v>5</v>
      </c>
      <c r="F43" s="68">
        <f t="shared" si="4"/>
        <v>43.24</v>
      </c>
      <c r="G43" s="69">
        <f>IF(D43=D42,"",_xlfn.IFNA(VLOOKUP(D43,'인원 입력 기능(직탐)'!$P$5:$S$59,4,FALSE),0))</f>
        <v>59</v>
      </c>
      <c r="H43" s="70">
        <f t="shared" si="1"/>
        <v>3.7603569152326322E-2</v>
      </c>
      <c r="I43" s="80">
        <f>SUM($G$7:G43)</f>
        <v>920</v>
      </c>
      <c r="J43" s="72">
        <f t="shared" si="5"/>
        <v>0.58636073932441046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81">
        <v>13</v>
      </c>
      <c r="D44" s="82">
        <f t="shared" si="3"/>
        <v>45</v>
      </c>
      <c r="E44" s="82">
        <f t="shared" si="0"/>
        <v>5</v>
      </c>
      <c r="F44" s="68">
        <f t="shared" si="4"/>
        <v>39.479999999999997</v>
      </c>
      <c r="G44" s="69">
        <f>IF(D44=D43,"",_xlfn.IFNA(VLOOKUP(D44,'인원 입력 기능(직탐)'!$P$5:$S$59,4,FALSE),0))</f>
        <v>59</v>
      </c>
      <c r="H44" s="70">
        <f t="shared" si="1"/>
        <v>3.7603569152326322E-2</v>
      </c>
      <c r="I44" s="80">
        <f>SUM($G$7:G44)</f>
        <v>979</v>
      </c>
      <c r="J44" s="72">
        <f t="shared" si="5"/>
        <v>0.62396430847673678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95">
        <v>12</v>
      </c>
      <c r="D45" s="82">
        <f t="shared" si="3"/>
        <v>44</v>
      </c>
      <c r="E45" s="82">
        <f t="shared" si="0"/>
        <v>6</v>
      </c>
      <c r="F45" s="68">
        <f t="shared" si="4"/>
        <v>34.51</v>
      </c>
      <c r="G45" s="69">
        <f>IF(D45=D44,"",_xlfn.IFNA(VLOOKUP(D45,'인원 입력 기능(직탐)'!$P$5:$S$59,4,FALSE),0))</f>
        <v>97</v>
      </c>
      <c r="H45" s="70">
        <f t="shared" si="1"/>
        <v>6.1822817080943275E-2</v>
      </c>
      <c r="I45" s="80">
        <f>SUM($G$7:G45)</f>
        <v>1076</v>
      </c>
      <c r="J45" s="72">
        <f t="shared" si="5"/>
        <v>0.68578712555768007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81">
        <v>11</v>
      </c>
      <c r="D46" s="82">
        <f t="shared" si="3"/>
        <v>43</v>
      </c>
      <c r="E46" s="82">
        <f t="shared" si="0"/>
        <v>6</v>
      </c>
      <c r="F46" s="68">
        <f t="shared" si="4"/>
        <v>29.22</v>
      </c>
      <c r="G46" s="69">
        <f>IF(D46=D45,"",_xlfn.IFNA(VLOOKUP(D46,'인원 입력 기능(직탐)'!$P$5:$S$59,4,FALSE),0))</f>
        <v>69</v>
      </c>
      <c r="H46" s="70">
        <f t="shared" si="1"/>
        <v>4.3977055449330782E-2</v>
      </c>
      <c r="I46" s="80">
        <f>SUM($G$7:G46)</f>
        <v>1145</v>
      </c>
      <c r="J46" s="72">
        <f t="shared" si="5"/>
        <v>0.72976418100701079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95">
        <v>10</v>
      </c>
      <c r="D47" s="82">
        <f t="shared" si="3"/>
        <v>42</v>
      </c>
      <c r="E47" s="82">
        <f t="shared" si="0"/>
        <v>6</v>
      </c>
      <c r="F47" s="68">
        <f t="shared" si="4"/>
        <v>24.51</v>
      </c>
      <c r="G47" s="69">
        <f>IF(D47=D46,"",_xlfn.IFNA(VLOOKUP(D47,'인원 입력 기능(직탐)'!$P$5:$S$59,4,FALSE),0))</f>
        <v>79</v>
      </c>
      <c r="H47" s="70">
        <f t="shared" si="1"/>
        <v>5.0350541746335242E-2</v>
      </c>
      <c r="I47" s="80">
        <f>SUM($G$7:G47)</f>
        <v>1224</v>
      </c>
      <c r="J47" s="72">
        <f t="shared" si="5"/>
        <v>0.78011472275334603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81">
        <v>9</v>
      </c>
      <c r="D48" s="82">
        <f t="shared" si="3"/>
        <v>41</v>
      </c>
      <c r="E48" s="82">
        <f t="shared" si="0"/>
        <v>7</v>
      </c>
      <c r="F48" s="68">
        <f t="shared" si="4"/>
        <v>19.98</v>
      </c>
      <c r="G48" s="69">
        <f>IF(D48=D47,"",_xlfn.IFNA(VLOOKUP(D48,'인원 입력 기능(직탐)'!$P$5:$S$59,4,FALSE),0))</f>
        <v>63</v>
      </c>
      <c r="H48" s="70">
        <f t="shared" si="1"/>
        <v>4.0152963671128104E-2</v>
      </c>
      <c r="I48" s="80">
        <f>SUM($G$7:G48)</f>
        <v>1287</v>
      </c>
      <c r="J48" s="72">
        <f t="shared" si="5"/>
        <v>0.82026768642447423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95">
        <v>8</v>
      </c>
      <c r="D49" s="82">
        <f t="shared" si="3"/>
        <v>40</v>
      </c>
      <c r="E49" s="82">
        <f t="shared" si="0"/>
        <v>7</v>
      </c>
      <c r="F49" s="68">
        <f t="shared" si="4"/>
        <v>16.760000000000002</v>
      </c>
      <c r="G49" s="69">
        <f>IF(D49=D48,"",_xlfn.IFNA(VLOOKUP(D49,'인원 입력 기능(직탐)'!$P$5:$S$59,4,FALSE),0))</f>
        <v>38</v>
      </c>
      <c r="H49" s="70">
        <f t="shared" si="1"/>
        <v>2.4219247928616953E-2</v>
      </c>
      <c r="I49" s="80">
        <f>SUM($G$7:G49)</f>
        <v>1325</v>
      </c>
      <c r="J49" s="72">
        <f t="shared" si="5"/>
        <v>0.84448693435309119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81">
        <v>7</v>
      </c>
      <c r="D50" s="82">
        <f t="shared" si="3"/>
        <v>39</v>
      </c>
      <c r="E50" s="82">
        <f t="shared" si="0"/>
        <v>7</v>
      </c>
      <c r="F50" s="68">
        <f t="shared" si="4"/>
        <v>10.87</v>
      </c>
      <c r="G50" s="69">
        <f>IF(D50=D49,"",_xlfn.IFNA(VLOOKUP(D50,'인원 입력 기능(직탐)'!$P$5:$S$59,4,FALSE),0))</f>
        <v>147</v>
      </c>
      <c r="H50" s="70">
        <f t="shared" si="1"/>
        <v>9.3690248565965584E-2</v>
      </c>
      <c r="I50" s="80">
        <f>SUM($G$7:G50)</f>
        <v>1472</v>
      </c>
      <c r="J50" s="72">
        <f t="shared" si="5"/>
        <v>0.93817718291905672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95">
        <v>6</v>
      </c>
      <c r="D51" s="82">
        <f t="shared" si="3"/>
        <v>38</v>
      </c>
      <c r="E51" s="82">
        <f t="shared" si="0"/>
        <v>8</v>
      </c>
      <c r="F51" s="68">
        <f t="shared" si="4"/>
        <v>5.45</v>
      </c>
      <c r="G51" s="69">
        <f>IF(D51=D50,"",_xlfn.IFNA(VLOOKUP(D51,'인원 입력 기능(직탐)'!$P$5:$S$59,4,FALSE),0))</f>
        <v>23</v>
      </c>
      <c r="H51" s="70">
        <f t="shared" si="1"/>
        <v>1.4659018483110261E-2</v>
      </c>
      <c r="I51" s="80">
        <f>SUM($G$7:G51)</f>
        <v>1495</v>
      </c>
      <c r="J51" s="72">
        <f t="shared" si="5"/>
        <v>0.95283620140216696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81">
        <v>5</v>
      </c>
      <c r="D52" s="82">
        <f t="shared" si="3"/>
        <v>37</v>
      </c>
      <c r="E52" s="82">
        <f t="shared" si="0"/>
        <v>8</v>
      </c>
      <c r="F52" s="68">
        <f t="shared" si="4"/>
        <v>3.79</v>
      </c>
      <c r="G52" s="69">
        <f>IF(D52=D51,"",_xlfn.IFNA(VLOOKUP(D52,'인원 입력 기능(직탐)'!$P$5:$S$59,4,FALSE),0))</f>
        <v>29</v>
      </c>
      <c r="H52" s="70">
        <f t="shared" si="1"/>
        <v>1.8483110261312937E-2</v>
      </c>
      <c r="I52" s="80">
        <f>SUM($G$7:G52)</f>
        <v>1524</v>
      </c>
      <c r="J52" s="72">
        <f t="shared" si="5"/>
        <v>0.97131931166347996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66">
        <v>4</v>
      </c>
      <c r="D53" s="67">
        <f t="shared" si="3"/>
        <v>36</v>
      </c>
      <c r="E53" s="67">
        <f t="shared" si="0"/>
        <v>9</v>
      </c>
      <c r="F53" s="68">
        <f t="shared" si="4"/>
        <v>2.36</v>
      </c>
      <c r="G53" s="69">
        <f>IF(D53=D52,"",_xlfn.IFNA(VLOOKUP(D53,'인원 입력 기능(직탐)'!$P$5:$S$59,4,FALSE),0))</f>
        <v>16</v>
      </c>
      <c r="H53" s="70">
        <f t="shared" si="1"/>
        <v>1.0197578075207138E-2</v>
      </c>
      <c r="I53" s="80">
        <f>SUM($G$7:G53)</f>
        <v>1540</v>
      </c>
      <c r="J53" s="72">
        <f t="shared" si="5"/>
        <v>0.98151688973868711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73">
        <v>3</v>
      </c>
      <c r="D54" s="67">
        <f t="shared" si="3"/>
        <v>35</v>
      </c>
      <c r="E54" s="67">
        <f t="shared" si="0"/>
        <v>9</v>
      </c>
      <c r="F54" s="68">
        <f t="shared" si="4"/>
        <v>1.43</v>
      </c>
      <c r="G54" s="69">
        <f>IF(D54=D53,"",_xlfn.IFNA(VLOOKUP(D54,'인원 입력 기능(직탐)'!$P$5:$S$59,4,FALSE),0))</f>
        <v>13</v>
      </c>
      <c r="H54" s="70">
        <f t="shared" si="1"/>
        <v>8.2855321861057991E-3</v>
      </c>
      <c r="I54" s="80">
        <f>SUM($G$7:G54)</f>
        <v>1553</v>
      </c>
      <c r="J54" s="72">
        <f t="shared" si="5"/>
        <v>0.98980242192479284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66">
        <v>2</v>
      </c>
      <c r="D55" s="67">
        <f t="shared" si="3"/>
        <v>34</v>
      </c>
      <c r="E55" s="67">
        <f t="shared" si="0"/>
        <v>9</v>
      </c>
      <c r="F55" s="68">
        <f t="shared" si="4"/>
        <v>0.83</v>
      </c>
      <c r="G55" s="69">
        <f>IF(D55=D54,"",_xlfn.IFNA(VLOOKUP(D55,'인원 입력 기능(직탐)'!$P$5:$S$59,4,FALSE),0))</f>
        <v>6</v>
      </c>
      <c r="H55" s="70">
        <f t="shared" si="1"/>
        <v>3.8240917782026767E-3</v>
      </c>
      <c r="I55" s="80">
        <f>SUM($G$7:G55)</f>
        <v>1559</v>
      </c>
      <c r="J55" s="72">
        <f t="shared" si="5"/>
        <v>0.99362651370299548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73">
        <v>1</v>
      </c>
      <c r="D56" s="74" t="s">
        <v>59</v>
      </c>
      <c r="E56" s="74"/>
      <c r="F56" s="75"/>
      <c r="G56" s="96"/>
      <c r="H56" s="94"/>
      <c r="I56" s="84"/>
      <c r="J56" s="79"/>
      <c r="K56" s="36"/>
      <c r="L56" s="20"/>
      <c r="N56" s="24"/>
    </row>
    <row r="57" spans="1:14" s="22" customFormat="1" ht="25" customHeight="1" thickBot="1" x14ac:dyDescent="0.5">
      <c r="A57" s="20"/>
      <c r="B57" s="35"/>
      <c r="C57" s="97">
        <v>0</v>
      </c>
      <c r="D57" s="86">
        <f>ROUND(10*(C57-$H$3)/$H$4+50,0)</f>
        <v>33</v>
      </c>
      <c r="E57" s="98">
        <f t="shared" si="0"/>
        <v>9</v>
      </c>
      <c r="F57" s="87">
        <f>IF(I55=0,ROUND(100*(1-(I54+I57)/2/$J$3),2),ROUND(100*(1-(I55+I57)/2/$J$3),2))</f>
        <v>0.32</v>
      </c>
      <c r="G57" s="99">
        <f>_xlfn.IFNA(VLOOKUP(D57,'인원 입력 기능(직탐)'!$P$5:$S$59,4,FALSE),0)</f>
        <v>10</v>
      </c>
      <c r="H57" s="89">
        <f>G57/$J$3</f>
        <v>6.3734862970044612E-3</v>
      </c>
      <c r="I57" s="90">
        <f>SUM($G$7:G57)</f>
        <v>1569</v>
      </c>
      <c r="J57" s="100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9">
    <mergeCell ref="G31:G32"/>
    <mergeCell ref="H31:H32"/>
    <mergeCell ref="I31:I32"/>
    <mergeCell ref="J31:J32"/>
    <mergeCell ref="D3:F3"/>
    <mergeCell ref="D4:F4"/>
    <mergeCell ref="D31:D32"/>
    <mergeCell ref="E31:E32"/>
    <mergeCell ref="F31:F32"/>
  </mergeCells>
  <phoneticPr fontId="1" type="noConversion"/>
  <conditionalFormatting sqref="D7:G31 I7:J31 D33:G57 I33:J57">
    <cfRule type="expression" dxfId="11" priority="4">
      <formula>OR($D7=$Q$7:$Q$14)</formula>
    </cfRule>
  </conditionalFormatting>
  <conditionalFormatting sqref="C7:C57">
    <cfRule type="expression" dxfId="10" priority="3">
      <formula>OR(AND($D7=0,OR($D6=$Q$7:$Q$14)),AND($D8&gt;0,OR($D7=$Q$7:$Q$14)))</formula>
    </cfRule>
  </conditionalFormatting>
  <conditionalFormatting sqref="D7:D31 D33:D57">
    <cfRule type="expression" dxfId="9" priority="2">
      <formula>$D7=$D8</formula>
    </cfRule>
  </conditionalFormatting>
  <conditionalFormatting sqref="H7:H31 H33:H57">
    <cfRule type="expression" dxfId="8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3259F-F1DF-45C4-8AAF-68E84E1A3E35}">
  <sheetPr codeName="Sheet27"/>
  <dimension ref="A1:Q105"/>
  <sheetViews>
    <sheetView tabSelected="1" zoomScaleNormal="100" workbookViewId="0">
      <selection activeCell="K58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113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기능'!D25</f>
        <v>10.4157303370786</v>
      </c>
      <c r="I3" s="21" t="s">
        <v>117</v>
      </c>
      <c r="J3" s="58">
        <f>'통계 및 응시자 수 입력 기능'!C25</f>
        <v>89</v>
      </c>
      <c r="K3" s="36"/>
      <c r="L3" s="20"/>
    </row>
    <row r="4" spans="1:17" s="22" customFormat="1" ht="25" customHeight="1" thickBot="1" x14ac:dyDescent="0.5">
      <c r="A4" s="20"/>
      <c r="B4" s="35"/>
      <c r="C4" s="59" t="s">
        <v>118</v>
      </c>
      <c r="D4" s="191" t="s">
        <v>134</v>
      </c>
      <c r="E4" s="192"/>
      <c r="F4" s="193"/>
      <c r="G4" s="60" t="s">
        <v>120</v>
      </c>
      <c r="H4" s="61">
        <f>'통계 및 응시자 수 입력 기능'!E25</f>
        <v>5.7255763436188403</v>
      </c>
      <c r="I4" s="209"/>
      <c r="J4" s="210"/>
      <c r="K4" s="36"/>
      <c r="L4" s="20"/>
    </row>
    <row r="5" spans="1:17" s="22" customFormat="1" ht="25" customHeight="1" thickBot="1" x14ac:dyDescent="0.5">
      <c r="A5" s="20"/>
      <c r="B5" s="35"/>
      <c r="C5" s="211"/>
      <c r="D5" s="211"/>
      <c r="E5" s="211"/>
      <c r="F5" s="211"/>
      <c r="G5" s="211"/>
      <c r="H5" s="212"/>
      <c r="I5" s="212"/>
      <c r="J5" s="212"/>
      <c r="K5" s="36"/>
      <c r="L5" s="20"/>
    </row>
    <row r="6" spans="1:17" s="22" customFormat="1" ht="25" customHeight="1" thickBot="1" x14ac:dyDescent="0.5">
      <c r="A6" s="20"/>
      <c r="B6" s="35"/>
      <c r="C6" s="62" t="s">
        <v>121</v>
      </c>
      <c r="D6" s="63" t="s">
        <v>122</v>
      </c>
      <c r="E6" s="63" t="s">
        <v>123</v>
      </c>
      <c r="F6" s="63" t="s">
        <v>124</v>
      </c>
      <c r="G6" s="63" t="s">
        <v>125</v>
      </c>
      <c r="H6" s="63" t="s">
        <v>126</v>
      </c>
      <c r="I6" s="64" t="s">
        <v>127</v>
      </c>
      <c r="J6" s="65" t="s">
        <v>128</v>
      </c>
      <c r="K6" s="36"/>
      <c r="L6" s="19"/>
      <c r="M6" s="19"/>
      <c r="N6" s="23"/>
    </row>
    <row r="7" spans="1:17" s="22" customFormat="1" ht="25" customHeight="1" x14ac:dyDescent="0.45">
      <c r="A7" s="20"/>
      <c r="B7" s="35"/>
      <c r="C7" s="66">
        <v>50</v>
      </c>
      <c r="D7" s="67">
        <v>100</v>
      </c>
      <c r="E7" s="67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8">
        <f>ROUND(100*(1-(0+I7)/2/$J$3),2)</f>
        <v>100</v>
      </c>
      <c r="G7" s="69">
        <f>_xlfn.IFNA(VLOOKUP(D7,'인원 입력 기능(직탐)'!$A$64:$D$116,4,FALSE),0)</f>
        <v>0</v>
      </c>
      <c r="H7" s="70">
        <f>G7/$J$3</f>
        <v>0</v>
      </c>
      <c r="I7" s="71">
        <f>G7</f>
        <v>0</v>
      </c>
      <c r="J7" s="72">
        <f>I7/$J$3</f>
        <v>0</v>
      </c>
      <c r="K7" s="36"/>
      <c r="L7" s="20" t="str">
        <f>IF(ABS((C7-$H$3)/$H$4*10+50-D7)&gt;0.49, "경고", "")</f>
        <v>경고</v>
      </c>
      <c r="N7" s="24"/>
      <c r="P7" s="24">
        <v>1</v>
      </c>
      <c r="Q7" s="24">
        <f>'표점등급&amp;절평인원 입력 기능'!C193</f>
        <v>74</v>
      </c>
    </row>
    <row r="8" spans="1:17" s="22" customFormat="1" ht="25" customHeight="1" x14ac:dyDescent="0.45">
      <c r="A8" s="20"/>
      <c r="B8" s="35"/>
      <c r="C8" s="73">
        <v>49</v>
      </c>
      <c r="D8" s="74" t="s">
        <v>59</v>
      </c>
      <c r="E8" s="74"/>
      <c r="F8" s="75"/>
      <c r="G8" s="76"/>
      <c r="H8" s="94"/>
      <c r="I8" s="78"/>
      <c r="J8" s="79"/>
      <c r="K8" s="36"/>
      <c r="L8" s="20"/>
      <c r="N8" s="24"/>
      <c r="P8" s="24">
        <v>2</v>
      </c>
      <c r="Q8" s="24">
        <f>'표점등급&amp;절평인원 입력 기능'!C194</f>
        <v>63</v>
      </c>
    </row>
    <row r="9" spans="1:17" s="22" customFormat="1" ht="25" customHeight="1" x14ac:dyDescent="0.45">
      <c r="A9" s="20"/>
      <c r="B9" s="35"/>
      <c r="C9" s="66">
        <v>48</v>
      </c>
      <c r="D9" s="178">
        <v>100</v>
      </c>
      <c r="E9" s="178">
        <f t="shared" si="0"/>
        <v>1</v>
      </c>
      <c r="F9" s="182">
        <f>IF(I8=0,ROUND(100*(1-(I7+I9)/2/$J$3),2),ROUND(100*(1-(I8+I9)/2/$J$3),2))</f>
        <v>100</v>
      </c>
      <c r="G9" s="184">
        <f>_xlfn.IFNA(VLOOKUP(D9,'인원 입력 기능(직탐)'!$A$64:$D$116,4,FALSE),0)</f>
        <v>0</v>
      </c>
      <c r="H9" s="186">
        <f t="shared" ref="H9:H55" si="1">G9/$J$3</f>
        <v>0</v>
      </c>
      <c r="I9" s="194">
        <f>SUM($G$7:G9)</f>
        <v>0</v>
      </c>
      <c r="J9" s="176">
        <f>I9/$J$3</f>
        <v>0</v>
      </c>
      <c r="K9" s="36"/>
      <c r="L9" s="20" t="str">
        <f t="shared" ref="L9:L57" si="2">IF(ABS((C9-$H$3)/$H$4*10+50-D9)&gt;0.49, "경고", "")</f>
        <v>경고</v>
      </c>
      <c r="N9" s="24"/>
      <c r="P9" s="24">
        <v>3</v>
      </c>
      <c r="Q9" s="24">
        <f>'표점등급&amp;절평인원 입력 기능'!C195</f>
        <v>56</v>
      </c>
    </row>
    <row r="10" spans="1:17" s="22" customFormat="1" ht="25" customHeight="1" x14ac:dyDescent="0.45">
      <c r="A10" s="20"/>
      <c r="B10" s="35"/>
      <c r="C10" s="73">
        <v>47</v>
      </c>
      <c r="D10" s="200"/>
      <c r="E10" s="200"/>
      <c r="F10" s="201"/>
      <c r="G10" s="196"/>
      <c r="H10" s="197"/>
      <c r="I10" s="198"/>
      <c r="J10" s="199"/>
      <c r="K10" s="36"/>
      <c r="L10" s="20" t="str">
        <f t="shared" si="2"/>
        <v>경고</v>
      </c>
      <c r="N10" s="24"/>
      <c r="P10" s="24">
        <v>4</v>
      </c>
      <c r="Q10" s="24">
        <f>'표점등급&amp;절평인원 입력 기능'!C196</f>
        <v>49</v>
      </c>
    </row>
    <row r="11" spans="1:17" s="22" customFormat="1" ht="25" customHeight="1" x14ac:dyDescent="0.45">
      <c r="A11" s="20"/>
      <c r="B11" s="35"/>
      <c r="C11" s="66">
        <v>46</v>
      </c>
      <c r="D11" s="200"/>
      <c r="E11" s="200"/>
      <c r="F11" s="201"/>
      <c r="G11" s="196"/>
      <c r="H11" s="197"/>
      <c r="I11" s="198"/>
      <c r="J11" s="199"/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기능'!C197</f>
        <v>44</v>
      </c>
    </row>
    <row r="12" spans="1:17" s="22" customFormat="1" ht="25" customHeight="1" x14ac:dyDescent="0.45">
      <c r="A12" s="20"/>
      <c r="B12" s="35"/>
      <c r="C12" s="73">
        <v>45</v>
      </c>
      <c r="D12" s="200"/>
      <c r="E12" s="200"/>
      <c r="F12" s="201"/>
      <c r="G12" s="196"/>
      <c r="H12" s="197"/>
      <c r="I12" s="198"/>
      <c r="J12" s="199"/>
      <c r="K12" s="36"/>
      <c r="L12" s="20" t="str">
        <f t="shared" si="2"/>
        <v>경고</v>
      </c>
      <c r="N12" s="24"/>
      <c r="P12" s="24">
        <v>6</v>
      </c>
      <c r="Q12" s="24" t="str">
        <f>'표점등급&amp;절평인원 입력 기능'!C198</f>
        <v>-</v>
      </c>
    </row>
    <row r="13" spans="1:17" s="22" customFormat="1" ht="25" customHeight="1" x14ac:dyDescent="0.45">
      <c r="A13" s="20"/>
      <c r="B13" s="35"/>
      <c r="C13" s="66">
        <v>44</v>
      </c>
      <c r="D13" s="200"/>
      <c r="E13" s="200"/>
      <c r="F13" s="201"/>
      <c r="G13" s="196"/>
      <c r="H13" s="197"/>
      <c r="I13" s="198"/>
      <c r="J13" s="199"/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기능'!C199</f>
        <v>41</v>
      </c>
    </row>
    <row r="14" spans="1:17" s="22" customFormat="1" ht="25" customHeight="1" x14ac:dyDescent="0.45">
      <c r="A14" s="20"/>
      <c r="B14" s="35"/>
      <c r="C14" s="73">
        <v>43</v>
      </c>
      <c r="D14" s="200"/>
      <c r="E14" s="200"/>
      <c r="F14" s="201"/>
      <c r="G14" s="196"/>
      <c r="H14" s="197"/>
      <c r="I14" s="198"/>
      <c r="J14" s="199"/>
      <c r="K14" s="36"/>
      <c r="L14" s="20" t="str">
        <f t="shared" si="2"/>
        <v>경고</v>
      </c>
      <c r="N14" s="24"/>
      <c r="P14" s="24">
        <v>8</v>
      </c>
      <c r="Q14" s="24">
        <f>'표점등급&amp;절평인원 입력 기능'!C200</f>
        <v>32</v>
      </c>
    </row>
    <row r="15" spans="1:17" s="22" customFormat="1" ht="25" customHeight="1" x14ac:dyDescent="0.45">
      <c r="A15" s="20"/>
      <c r="B15" s="35"/>
      <c r="C15" s="66">
        <v>42</v>
      </c>
      <c r="D15" s="200"/>
      <c r="E15" s="200"/>
      <c r="F15" s="201"/>
      <c r="G15" s="196"/>
      <c r="H15" s="197"/>
      <c r="I15" s="198"/>
      <c r="J15" s="199"/>
      <c r="K15" s="36"/>
      <c r="L15" s="20" t="str">
        <f t="shared" si="2"/>
        <v>경고</v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73">
        <v>41</v>
      </c>
      <c r="D16" s="200"/>
      <c r="E16" s="200"/>
      <c r="F16" s="201"/>
      <c r="G16" s="196"/>
      <c r="H16" s="197"/>
      <c r="I16" s="198"/>
      <c r="J16" s="199"/>
      <c r="K16" s="36"/>
      <c r="L16" s="20" t="str">
        <f t="shared" si="2"/>
        <v>경고</v>
      </c>
      <c r="N16" s="24"/>
    </row>
    <row r="17" spans="1:17" s="22" customFormat="1" ht="25" customHeight="1" x14ac:dyDescent="0.45">
      <c r="A17" s="20"/>
      <c r="B17" s="35"/>
      <c r="C17" s="66">
        <v>40</v>
      </c>
      <c r="D17" s="200"/>
      <c r="E17" s="200"/>
      <c r="F17" s="201"/>
      <c r="G17" s="196"/>
      <c r="H17" s="197"/>
      <c r="I17" s="198"/>
      <c r="J17" s="199"/>
      <c r="K17" s="36"/>
      <c r="L17" s="20" t="str">
        <f t="shared" si="2"/>
        <v>경고</v>
      </c>
      <c r="N17" s="24"/>
      <c r="Q17" s="24">
        <f>Q7*H3*H4*J3*IFERROR(IF(J57=1, 1, 0), 0)</f>
        <v>392763.0860195632</v>
      </c>
    </row>
    <row r="18" spans="1:17" s="22" customFormat="1" ht="25" customHeight="1" x14ac:dyDescent="0.45">
      <c r="A18" s="20"/>
      <c r="B18" s="35"/>
      <c r="C18" s="73">
        <v>39</v>
      </c>
      <c r="D18" s="179"/>
      <c r="E18" s="179"/>
      <c r="F18" s="183"/>
      <c r="G18" s="185"/>
      <c r="H18" s="187"/>
      <c r="I18" s="195"/>
      <c r="J18" s="177"/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66">
        <v>38</v>
      </c>
      <c r="D19" s="67">
        <f t="shared" ref="D19:D55" si="3">ROUND(10*(C19-$H$3)/$H$4+50,0)</f>
        <v>98</v>
      </c>
      <c r="E19" s="67">
        <f t="shared" si="0"/>
        <v>1</v>
      </c>
      <c r="F19" s="68">
        <f t="shared" ref="F19:F55" si="4">IF(I18=0,ROUND(100*(1-(I17+I19)/2/$J$3),2),ROUND(100*(1-(I18+I19)/2/$J$3),2))</f>
        <v>100</v>
      </c>
      <c r="G19" s="69">
        <f>IF(D19=D18,"",_xlfn.IFNA(VLOOKUP(D19,'인원 입력 기능(직탐)'!$A$64:$D$116,4,FALSE),0))</f>
        <v>0</v>
      </c>
      <c r="H19" s="70">
        <f t="shared" si="1"/>
        <v>0</v>
      </c>
      <c r="I19" s="80">
        <f>SUM($G$7:G19)</f>
        <v>0</v>
      </c>
      <c r="J19" s="72">
        <f t="shared" ref="J19:J55" si="5">I19/$J$3</f>
        <v>0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73">
        <v>37</v>
      </c>
      <c r="D20" s="67">
        <f t="shared" si="3"/>
        <v>96</v>
      </c>
      <c r="E20" s="67">
        <f t="shared" si="0"/>
        <v>1</v>
      </c>
      <c r="F20" s="68">
        <f t="shared" si="4"/>
        <v>100</v>
      </c>
      <c r="G20" s="69">
        <f>IF(D20=D19,"",_xlfn.IFNA(VLOOKUP(D20,'인원 입력 기능(직탐)'!$A$64:$D$116,4,FALSE),0))</f>
        <v>0</v>
      </c>
      <c r="H20" s="70">
        <f t="shared" si="1"/>
        <v>0</v>
      </c>
      <c r="I20" s="80">
        <f>SUM($G$7:G20)</f>
        <v>0</v>
      </c>
      <c r="J20" s="72">
        <f t="shared" si="5"/>
        <v>0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95">
        <v>36</v>
      </c>
      <c r="D21" s="82">
        <f t="shared" si="3"/>
        <v>95</v>
      </c>
      <c r="E21" s="82">
        <f t="shared" si="0"/>
        <v>1</v>
      </c>
      <c r="F21" s="68">
        <f t="shared" si="4"/>
        <v>100</v>
      </c>
      <c r="G21" s="69">
        <f>IF(D21=D20,"",_xlfn.IFNA(VLOOKUP(D21,'인원 입력 기능(직탐)'!$A$64:$D$116,4,FALSE),0))</f>
        <v>0</v>
      </c>
      <c r="H21" s="70">
        <f t="shared" si="1"/>
        <v>0</v>
      </c>
      <c r="I21" s="80">
        <f>SUM($G$7:G21)</f>
        <v>0</v>
      </c>
      <c r="J21" s="72">
        <f t="shared" si="5"/>
        <v>0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81">
        <v>35</v>
      </c>
      <c r="D22" s="82">
        <f t="shared" si="3"/>
        <v>93</v>
      </c>
      <c r="E22" s="82">
        <f t="shared" si="0"/>
        <v>1</v>
      </c>
      <c r="F22" s="68">
        <f t="shared" si="4"/>
        <v>100</v>
      </c>
      <c r="G22" s="69">
        <f>IF(D22=D21,"",_xlfn.IFNA(VLOOKUP(D22,'인원 입력 기능(직탐)'!$A$64:$D$116,4,FALSE),0))</f>
        <v>0</v>
      </c>
      <c r="H22" s="70">
        <f t="shared" si="1"/>
        <v>0</v>
      </c>
      <c r="I22" s="80">
        <f>SUM($G$7:G22)</f>
        <v>0</v>
      </c>
      <c r="J22" s="72">
        <f t="shared" si="5"/>
        <v>0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95">
        <v>34</v>
      </c>
      <c r="D23" s="82">
        <f t="shared" si="3"/>
        <v>91</v>
      </c>
      <c r="E23" s="82">
        <f t="shared" si="0"/>
        <v>1</v>
      </c>
      <c r="F23" s="68">
        <f t="shared" si="4"/>
        <v>100</v>
      </c>
      <c r="G23" s="69">
        <f>IF(D23=D22,"",_xlfn.IFNA(VLOOKUP(D23,'인원 입력 기능(직탐)'!$A$64:$D$116,4,FALSE),0))</f>
        <v>0</v>
      </c>
      <c r="H23" s="70">
        <f t="shared" si="1"/>
        <v>0</v>
      </c>
      <c r="I23" s="80">
        <f>SUM($G$7:G23)</f>
        <v>0</v>
      </c>
      <c r="J23" s="72">
        <f t="shared" si="5"/>
        <v>0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81">
        <v>33</v>
      </c>
      <c r="D24" s="82">
        <f t="shared" si="3"/>
        <v>89</v>
      </c>
      <c r="E24" s="82">
        <f t="shared" si="0"/>
        <v>1</v>
      </c>
      <c r="F24" s="68">
        <f t="shared" si="4"/>
        <v>100</v>
      </c>
      <c r="G24" s="69">
        <f>IF(D24=D23,"",_xlfn.IFNA(VLOOKUP(D24,'인원 입력 기능(직탐)'!$A$64:$D$116,4,FALSE),0))</f>
        <v>0</v>
      </c>
      <c r="H24" s="70">
        <f t="shared" si="1"/>
        <v>0</v>
      </c>
      <c r="I24" s="80">
        <f>SUM($G$7:G24)</f>
        <v>0</v>
      </c>
      <c r="J24" s="72">
        <f t="shared" si="5"/>
        <v>0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95">
        <v>32</v>
      </c>
      <c r="D25" s="82">
        <f t="shared" si="3"/>
        <v>88</v>
      </c>
      <c r="E25" s="82">
        <f t="shared" si="0"/>
        <v>1</v>
      </c>
      <c r="F25" s="68">
        <f t="shared" si="4"/>
        <v>100</v>
      </c>
      <c r="G25" s="69">
        <f>IF(D25=D24,"",_xlfn.IFNA(VLOOKUP(D25,'인원 입력 기능(직탐)'!$A$64:$D$116,4,FALSE),0))</f>
        <v>0</v>
      </c>
      <c r="H25" s="70">
        <f t="shared" si="1"/>
        <v>0</v>
      </c>
      <c r="I25" s="80">
        <f>SUM($G$7:G25)</f>
        <v>0</v>
      </c>
      <c r="J25" s="72">
        <f t="shared" si="5"/>
        <v>0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81">
        <v>31</v>
      </c>
      <c r="D26" s="82">
        <f t="shared" si="3"/>
        <v>86</v>
      </c>
      <c r="E26" s="82">
        <f t="shared" si="0"/>
        <v>1</v>
      </c>
      <c r="F26" s="68">
        <f t="shared" si="4"/>
        <v>100</v>
      </c>
      <c r="G26" s="69">
        <f>IF(D26=D25,"",_xlfn.IFNA(VLOOKUP(D26,'인원 입력 기능(직탐)'!$A$64:$D$116,4,FALSE),0))</f>
        <v>0</v>
      </c>
      <c r="H26" s="70">
        <f t="shared" si="1"/>
        <v>0</v>
      </c>
      <c r="I26" s="80">
        <f>SUM($G$7:G26)</f>
        <v>0</v>
      </c>
      <c r="J26" s="72">
        <f t="shared" si="5"/>
        <v>0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95">
        <v>30</v>
      </c>
      <c r="D27" s="82">
        <f t="shared" si="3"/>
        <v>84</v>
      </c>
      <c r="E27" s="82">
        <f t="shared" si="0"/>
        <v>1</v>
      </c>
      <c r="F27" s="68">
        <f t="shared" si="4"/>
        <v>100</v>
      </c>
      <c r="G27" s="69">
        <f>IF(D27=D26,"",_xlfn.IFNA(VLOOKUP(D27,'인원 입력 기능(직탐)'!$A$64:$D$116,4,FALSE),0))</f>
        <v>0</v>
      </c>
      <c r="H27" s="70">
        <f t="shared" si="1"/>
        <v>0</v>
      </c>
      <c r="I27" s="80">
        <f>SUM($G$7:G27)</f>
        <v>0</v>
      </c>
      <c r="J27" s="72">
        <f t="shared" si="5"/>
        <v>0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81">
        <v>29</v>
      </c>
      <c r="D28" s="82">
        <f t="shared" si="3"/>
        <v>82</v>
      </c>
      <c r="E28" s="82">
        <f t="shared" si="0"/>
        <v>1</v>
      </c>
      <c r="F28" s="68">
        <f t="shared" si="4"/>
        <v>100</v>
      </c>
      <c r="G28" s="69">
        <f>IF(D28=D27,"",_xlfn.IFNA(VLOOKUP(D28,'인원 입력 기능(직탐)'!$A$64:$D$116,4,FALSE),0))</f>
        <v>0</v>
      </c>
      <c r="H28" s="70">
        <f t="shared" si="1"/>
        <v>0</v>
      </c>
      <c r="I28" s="80">
        <f>SUM($G$7:G28)</f>
        <v>0</v>
      </c>
      <c r="J28" s="72">
        <f t="shared" si="5"/>
        <v>0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95">
        <v>28</v>
      </c>
      <c r="D29" s="82">
        <f t="shared" si="3"/>
        <v>81</v>
      </c>
      <c r="E29" s="82">
        <f t="shared" si="0"/>
        <v>1</v>
      </c>
      <c r="F29" s="68">
        <f t="shared" si="4"/>
        <v>100</v>
      </c>
      <c r="G29" s="69">
        <f>IF(D29=D28,"",_xlfn.IFNA(VLOOKUP(D29,'인원 입력 기능(직탐)'!$A$64:$D$116,4,FALSE),0))</f>
        <v>0</v>
      </c>
      <c r="H29" s="70">
        <f t="shared" si="1"/>
        <v>0</v>
      </c>
      <c r="I29" s="80">
        <f>SUM($G$7:G29)</f>
        <v>0</v>
      </c>
      <c r="J29" s="72">
        <f t="shared" si="5"/>
        <v>0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81">
        <v>27</v>
      </c>
      <c r="D30" s="82">
        <f t="shared" si="3"/>
        <v>79</v>
      </c>
      <c r="E30" s="82">
        <f t="shared" si="0"/>
        <v>1</v>
      </c>
      <c r="F30" s="68">
        <f t="shared" si="4"/>
        <v>99.44</v>
      </c>
      <c r="G30" s="69">
        <f>IF(D30=D29,"",_xlfn.IFNA(VLOOKUP(D30,'인원 입력 기능(직탐)'!$A$64:$D$116,4,FALSE),0))</f>
        <v>1</v>
      </c>
      <c r="H30" s="70">
        <f t="shared" si="1"/>
        <v>1.1235955056179775E-2</v>
      </c>
      <c r="I30" s="80">
        <f>SUM($G$7:G30)</f>
        <v>1</v>
      </c>
      <c r="J30" s="72">
        <f t="shared" si="5"/>
        <v>1.1235955056179775E-2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95">
        <v>26</v>
      </c>
      <c r="D31" s="82">
        <f t="shared" si="3"/>
        <v>77</v>
      </c>
      <c r="E31" s="82">
        <f t="shared" si="0"/>
        <v>1</v>
      </c>
      <c r="F31" s="68">
        <f t="shared" si="4"/>
        <v>98.31</v>
      </c>
      <c r="G31" s="69">
        <f>IF(D31=D30,"",_xlfn.IFNA(VLOOKUP(D31,'인원 입력 기능(직탐)'!$A$64:$D$116,4,FALSE),0))</f>
        <v>1</v>
      </c>
      <c r="H31" s="70">
        <f t="shared" si="1"/>
        <v>1.1235955056179775E-2</v>
      </c>
      <c r="I31" s="80">
        <f>SUM($G$7:G31)</f>
        <v>2</v>
      </c>
      <c r="J31" s="72">
        <f t="shared" si="5"/>
        <v>2.247191011235955E-2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81">
        <v>25</v>
      </c>
      <c r="D32" s="82">
        <f t="shared" si="3"/>
        <v>75</v>
      </c>
      <c r="E32" s="82">
        <f t="shared" si="0"/>
        <v>1</v>
      </c>
      <c r="F32" s="68">
        <f t="shared" si="4"/>
        <v>97.75</v>
      </c>
      <c r="G32" s="69">
        <f>IF(D32=D31,"",_xlfn.IFNA(VLOOKUP(D32,'인원 입력 기능(직탐)'!$A$64:$D$116,4,FALSE),0))</f>
        <v>0</v>
      </c>
      <c r="H32" s="70">
        <f t="shared" si="1"/>
        <v>0</v>
      </c>
      <c r="I32" s="80">
        <f>SUM($G$7:G32)</f>
        <v>2</v>
      </c>
      <c r="J32" s="72">
        <f t="shared" si="5"/>
        <v>2.247191011235955E-2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95">
        <v>24</v>
      </c>
      <c r="D33" s="82">
        <f t="shared" si="3"/>
        <v>74</v>
      </c>
      <c r="E33" s="82">
        <f t="shared" si="0"/>
        <v>1</v>
      </c>
      <c r="F33" s="68">
        <f t="shared" si="4"/>
        <v>96.63</v>
      </c>
      <c r="G33" s="69">
        <f>IF(D33=D32,"",_xlfn.IFNA(VLOOKUP(D33,'인원 입력 기능(직탐)'!$A$64:$D$116,4,FALSE),0))</f>
        <v>2</v>
      </c>
      <c r="H33" s="70">
        <f t="shared" si="1"/>
        <v>2.247191011235955E-2</v>
      </c>
      <c r="I33" s="80">
        <f>SUM($G$7:G33)</f>
        <v>4</v>
      </c>
      <c r="J33" s="72">
        <f t="shared" si="5"/>
        <v>4.49438202247191E-2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81">
        <v>23</v>
      </c>
      <c r="D34" s="82">
        <f t="shared" si="3"/>
        <v>72</v>
      </c>
      <c r="E34" s="82">
        <f t="shared" si="0"/>
        <v>2</v>
      </c>
      <c r="F34" s="68">
        <f t="shared" si="4"/>
        <v>95.51</v>
      </c>
      <c r="G34" s="69">
        <f>IF(D34=D33,"",_xlfn.IFNA(VLOOKUP(D34,'인원 입력 기능(직탐)'!$A$64:$D$116,4,FALSE),0))</f>
        <v>0</v>
      </c>
      <c r="H34" s="70">
        <f t="shared" si="1"/>
        <v>0</v>
      </c>
      <c r="I34" s="80">
        <f>SUM($G$7:G34)</f>
        <v>4</v>
      </c>
      <c r="J34" s="72">
        <f t="shared" si="5"/>
        <v>4.49438202247191E-2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95">
        <v>22</v>
      </c>
      <c r="D35" s="82">
        <f t="shared" si="3"/>
        <v>70</v>
      </c>
      <c r="E35" s="82">
        <f t="shared" si="0"/>
        <v>2</v>
      </c>
      <c r="F35" s="68">
        <f t="shared" si="4"/>
        <v>94.94</v>
      </c>
      <c r="G35" s="69">
        <f>IF(D35=D34,"",_xlfn.IFNA(VLOOKUP(D35,'인원 입력 기능(직탐)'!$A$64:$D$116,4,FALSE),0))</f>
        <v>1</v>
      </c>
      <c r="H35" s="70">
        <f t="shared" si="1"/>
        <v>1.1235955056179775E-2</v>
      </c>
      <c r="I35" s="80">
        <f>SUM($G$7:G35)</f>
        <v>5</v>
      </c>
      <c r="J35" s="72">
        <f t="shared" si="5"/>
        <v>5.6179775280898875E-2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81">
        <v>21</v>
      </c>
      <c r="D36" s="82">
        <f t="shared" si="3"/>
        <v>68</v>
      </c>
      <c r="E36" s="82">
        <f t="shared" si="0"/>
        <v>2</v>
      </c>
      <c r="F36" s="68">
        <f t="shared" si="4"/>
        <v>94.38</v>
      </c>
      <c r="G36" s="69">
        <f>IF(D36=D35,"",_xlfn.IFNA(VLOOKUP(D36,'인원 입력 기능(직탐)'!$A$64:$D$116,4,FALSE),0))</f>
        <v>0</v>
      </c>
      <c r="H36" s="70">
        <f t="shared" si="1"/>
        <v>0</v>
      </c>
      <c r="I36" s="80">
        <f>SUM($G$7:G36)</f>
        <v>5</v>
      </c>
      <c r="J36" s="72">
        <f t="shared" si="5"/>
        <v>5.6179775280898875E-2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95">
        <v>20</v>
      </c>
      <c r="D37" s="82">
        <f t="shared" si="3"/>
        <v>67</v>
      </c>
      <c r="E37" s="82">
        <f t="shared" si="0"/>
        <v>2</v>
      </c>
      <c r="F37" s="68">
        <f t="shared" si="4"/>
        <v>93.26</v>
      </c>
      <c r="G37" s="69">
        <f>IF(D37=D36,"",_xlfn.IFNA(VLOOKUP(D37,'인원 입력 기능(직탐)'!$A$64:$D$116,4,FALSE),0))</f>
        <v>2</v>
      </c>
      <c r="H37" s="70">
        <f t="shared" si="1"/>
        <v>2.247191011235955E-2</v>
      </c>
      <c r="I37" s="80">
        <f>SUM($G$7:G37)</f>
        <v>7</v>
      </c>
      <c r="J37" s="72">
        <f t="shared" si="5"/>
        <v>7.8651685393258425E-2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81">
        <v>19</v>
      </c>
      <c r="D38" s="82">
        <f t="shared" si="3"/>
        <v>65</v>
      </c>
      <c r="E38" s="82">
        <f t="shared" si="0"/>
        <v>2</v>
      </c>
      <c r="F38" s="68">
        <f t="shared" si="4"/>
        <v>91.01</v>
      </c>
      <c r="G38" s="69">
        <f>IF(D38=D37,"",_xlfn.IFNA(VLOOKUP(D38,'인원 입력 기능(직탐)'!$A$64:$D$116,4,FALSE),0))</f>
        <v>2</v>
      </c>
      <c r="H38" s="70">
        <f t="shared" si="1"/>
        <v>2.247191011235955E-2</v>
      </c>
      <c r="I38" s="80">
        <f>SUM($G$7:G38)</f>
        <v>9</v>
      </c>
      <c r="J38" s="72">
        <f t="shared" si="5"/>
        <v>0.10112359550561797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95">
        <v>18</v>
      </c>
      <c r="D39" s="82">
        <f t="shared" si="3"/>
        <v>63</v>
      </c>
      <c r="E39" s="82">
        <f t="shared" si="0"/>
        <v>2</v>
      </c>
      <c r="F39" s="68">
        <f t="shared" si="4"/>
        <v>89.33</v>
      </c>
      <c r="G39" s="69">
        <f>IF(D39=D38,"",_xlfn.IFNA(VLOOKUP(D39,'인원 입력 기능(직탐)'!$A$64:$D$116,4,FALSE),0))</f>
        <v>1</v>
      </c>
      <c r="H39" s="70">
        <f t="shared" si="1"/>
        <v>1.1235955056179775E-2</v>
      </c>
      <c r="I39" s="80">
        <f>SUM($G$7:G39)</f>
        <v>10</v>
      </c>
      <c r="J39" s="72">
        <f t="shared" si="5"/>
        <v>0.11235955056179775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81">
        <v>17</v>
      </c>
      <c r="D40" s="82">
        <f t="shared" si="3"/>
        <v>61</v>
      </c>
      <c r="E40" s="82">
        <f t="shared" si="0"/>
        <v>3</v>
      </c>
      <c r="F40" s="68">
        <f t="shared" si="4"/>
        <v>87.64</v>
      </c>
      <c r="G40" s="69">
        <f>IF(D40=D39,"",_xlfn.IFNA(VLOOKUP(D40,'인원 입력 기능(직탐)'!$A$64:$D$116,4,FALSE),0))</f>
        <v>2</v>
      </c>
      <c r="H40" s="70">
        <f t="shared" si="1"/>
        <v>2.247191011235955E-2</v>
      </c>
      <c r="I40" s="80">
        <f>SUM($G$7:G40)</f>
        <v>12</v>
      </c>
      <c r="J40" s="72">
        <f t="shared" si="5"/>
        <v>0.1348314606741573</v>
      </c>
      <c r="K40" s="36"/>
      <c r="L40" s="20" t="str">
        <f t="shared" si="2"/>
        <v>경고</v>
      </c>
      <c r="N40" s="24"/>
    </row>
    <row r="41" spans="1:14" s="22" customFormat="1" ht="25" customHeight="1" x14ac:dyDescent="0.45">
      <c r="A41" s="20"/>
      <c r="B41" s="35"/>
      <c r="C41" s="95">
        <v>16</v>
      </c>
      <c r="D41" s="82">
        <f t="shared" si="3"/>
        <v>60</v>
      </c>
      <c r="E41" s="82">
        <f t="shared" si="0"/>
        <v>3</v>
      </c>
      <c r="F41" s="68">
        <f t="shared" si="4"/>
        <v>84.83</v>
      </c>
      <c r="G41" s="69">
        <f>IF(D41=D40,"",_xlfn.IFNA(VLOOKUP(D41,'인원 입력 기능(직탐)'!$A$64:$D$116,4,FALSE),0))</f>
        <v>3</v>
      </c>
      <c r="H41" s="70">
        <f t="shared" si="1"/>
        <v>3.3707865168539325E-2</v>
      </c>
      <c r="I41" s="80">
        <f>SUM($G$7:G41)</f>
        <v>15</v>
      </c>
      <c r="J41" s="72">
        <f t="shared" si="5"/>
        <v>0.16853932584269662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81">
        <v>15</v>
      </c>
      <c r="D42" s="82">
        <f t="shared" si="3"/>
        <v>58</v>
      </c>
      <c r="E42" s="82">
        <f t="shared" si="0"/>
        <v>3</v>
      </c>
      <c r="F42" s="68">
        <f t="shared" si="4"/>
        <v>80.900000000000006</v>
      </c>
      <c r="G42" s="69">
        <f>IF(D42=D41,"",_xlfn.IFNA(VLOOKUP(D42,'인원 입력 기능(직탐)'!$A$64:$D$116,4,FALSE),0))</f>
        <v>4</v>
      </c>
      <c r="H42" s="70">
        <f t="shared" si="1"/>
        <v>4.49438202247191E-2</v>
      </c>
      <c r="I42" s="80">
        <f>SUM($G$7:G42)</f>
        <v>19</v>
      </c>
      <c r="J42" s="72">
        <f t="shared" si="5"/>
        <v>0.21348314606741572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95">
        <v>14</v>
      </c>
      <c r="D43" s="82">
        <f t="shared" si="3"/>
        <v>56</v>
      </c>
      <c r="E43" s="82">
        <f t="shared" si="0"/>
        <v>3</v>
      </c>
      <c r="F43" s="68">
        <f t="shared" si="4"/>
        <v>75.84</v>
      </c>
      <c r="G43" s="69">
        <f>IF(D43=D42,"",_xlfn.IFNA(VLOOKUP(D43,'인원 입력 기능(직탐)'!$A$64:$D$116,4,FALSE),0))</f>
        <v>5</v>
      </c>
      <c r="H43" s="70">
        <f t="shared" si="1"/>
        <v>5.6179775280898875E-2</v>
      </c>
      <c r="I43" s="80">
        <f>SUM($G$7:G43)</f>
        <v>24</v>
      </c>
      <c r="J43" s="72">
        <f t="shared" si="5"/>
        <v>0.2696629213483146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81">
        <v>13</v>
      </c>
      <c r="D44" s="82">
        <f t="shared" si="3"/>
        <v>55</v>
      </c>
      <c r="E44" s="82">
        <f t="shared" si="0"/>
        <v>4</v>
      </c>
      <c r="F44" s="68">
        <f t="shared" si="4"/>
        <v>67.98</v>
      </c>
      <c r="G44" s="69">
        <f>IF(D44=D43,"",_xlfn.IFNA(VLOOKUP(D44,'인원 입력 기능(직탐)'!$A$64:$D$116,4,FALSE),0))</f>
        <v>9</v>
      </c>
      <c r="H44" s="70">
        <f t="shared" si="1"/>
        <v>0.10112359550561797</v>
      </c>
      <c r="I44" s="80">
        <f>SUM($G$7:G44)</f>
        <v>33</v>
      </c>
      <c r="J44" s="72">
        <f t="shared" si="5"/>
        <v>0.3707865168539326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95">
        <v>12</v>
      </c>
      <c r="D45" s="82">
        <f t="shared" si="3"/>
        <v>53</v>
      </c>
      <c r="E45" s="82">
        <f t="shared" si="0"/>
        <v>4</v>
      </c>
      <c r="F45" s="68">
        <f t="shared" si="4"/>
        <v>62.36</v>
      </c>
      <c r="G45" s="69">
        <f>IF(D45=D44,"",_xlfn.IFNA(VLOOKUP(D45,'인원 입력 기능(직탐)'!$A$64:$D$116,4,FALSE),0))</f>
        <v>1</v>
      </c>
      <c r="H45" s="70">
        <f t="shared" si="1"/>
        <v>1.1235955056179775E-2</v>
      </c>
      <c r="I45" s="80">
        <f>SUM($G$7:G45)</f>
        <v>34</v>
      </c>
      <c r="J45" s="72">
        <f t="shared" si="5"/>
        <v>0.38202247191011235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81">
        <v>11</v>
      </c>
      <c r="D46" s="82">
        <f t="shared" si="3"/>
        <v>51</v>
      </c>
      <c r="E46" s="82">
        <f t="shared" si="0"/>
        <v>4</v>
      </c>
      <c r="F46" s="68">
        <f t="shared" si="4"/>
        <v>61.8</v>
      </c>
      <c r="G46" s="69">
        <f>IF(D46=D45,"",_xlfn.IFNA(VLOOKUP(D46,'인원 입력 기능(직탐)'!$A$64:$D$116,4,FALSE),0))</f>
        <v>0</v>
      </c>
      <c r="H46" s="70">
        <f t="shared" si="1"/>
        <v>0</v>
      </c>
      <c r="I46" s="80">
        <f>SUM($G$7:G46)</f>
        <v>34</v>
      </c>
      <c r="J46" s="72">
        <f t="shared" si="5"/>
        <v>0.38202247191011235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95">
        <v>10</v>
      </c>
      <c r="D47" s="82">
        <f t="shared" si="3"/>
        <v>49</v>
      </c>
      <c r="E47" s="82">
        <f t="shared" si="0"/>
        <v>4</v>
      </c>
      <c r="F47" s="68">
        <f t="shared" si="4"/>
        <v>58.99</v>
      </c>
      <c r="G47" s="69">
        <f>IF(D47=D46,"",_xlfn.IFNA(VLOOKUP(D47,'인원 입력 기능(직탐)'!$A$64:$D$116,4,FALSE),0))</f>
        <v>5</v>
      </c>
      <c r="H47" s="70">
        <f t="shared" si="1"/>
        <v>5.6179775280898875E-2</v>
      </c>
      <c r="I47" s="80">
        <f>SUM($G$7:G47)</f>
        <v>39</v>
      </c>
      <c r="J47" s="72">
        <f t="shared" si="5"/>
        <v>0.43820224719101125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81">
        <v>9</v>
      </c>
      <c r="D48" s="82">
        <f t="shared" si="3"/>
        <v>48</v>
      </c>
      <c r="E48" s="82">
        <f t="shared" si="0"/>
        <v>5</v>
      </c>
      <c r="F48" s="68">
        <f t="shared" si="4"/>
        <v>51.69</v>
      </c>
      <c r="G48" s="69">
        <f>IF(D48=D47,"",_xlfn.IFNA(VLOOKUP(D48,'인원 입력 기능(직탐)'!$A$64:$D$116,4,FALSE),0))</f>
        <v>8</v>
      </c>
      <c r="H48" s="70">
        <f t="shared" si="1"/>
        <v>8.98876404494382E-2</v>
      </c>
      <c r="I48" s="80">
        <f>SUM($G$7:G48)</f>
        <v>47</v>
      </c>
      <c r="J48" s="72">
        <f t="shared" si="5"/>
        <v>0.5280898876404494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95">
        <v>8</v>
      </c>
      <c r="D49" s="82">
        <f t="shared" si="3"/>
        <v>46</v>
      </c>
      <c r="E49" s="82">
        <f t="shared" si="0"/>
        <v>5</v>
      </c>
      <c r="F49" s="68">
        <f t="shared" si="4"/>
        <v>45.51</v>
      </c>
      <c r="G49" s="69">
        <f>IF(D49=D48,"",_xlfn.IFNA(VLOOKUP(D49,'인원 입력 기능(직탐)'!$A$64:$D$116,4,FALSE),0))</f>
        <v>3</v>
      </c>
      <c r="H49" s="70">
        <f t="shared" si="1"/>
        <v>3.3707865168539325E-2</v>
      </c>
      <c r="I49" s="80">
        <f>SUM($G$7:G49)</f>
        <v>50</v>
      </c>
      <c r="J49" s="72">
        <f t="shared" si="5"/>
        <v>0.5617977528089888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158">
        <v>7</v>
      </c>
      <c r="D50" s="159">
        <f t="shared" si="3"/>
        <v>44</v>
      </c>
      <c r="E50" s="159">
        <f t="shared" si="0"/>
        <v>5</v>
      </c>
      <c r="F50" s="160">
        <f t="shared" si="4"/>
        <v>29.21</v>
      </c>
      <c r="G50" s="161">
        <f>IF(D50=D49,"",_xlfn.IFNA(VLOOKUP(D50,'인원 입력 기능(직탐)'!$A$64:$D$116,4,FALSE),0))</f>
        <v>26</v>
      </c>
      <c r="H50" s="162">
        <f t="shared" si="1"/>
        <v>0.29213483146067415</v>
      </c>
      <c r="I50" s="163">
        <f>SUM($G$7:G50)</f>
        <v>76</v>
      </c>
      <c r="J50" s="164">
        <f t="shared" si="5"/>
        <v>0.8539325842696629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95">
        <v>6</v>
      </c>
      <c r="D51" s="82">
        <f t="shared" si="3"/>
        <v>42</v>
      </c>
      <c r="E51" s="82">
        <f t="shared" si="0"/>
        <v>7</v>
      </c>
      <c r="F51" s="68">
        <f t="shared" si="4"/>
        <v>14.04</v>
      </c>
      <c r="G51" s="69">
        <f>IF(D51=D50,"",_xlfn.IFNA(VLOOKUP(D51,'인원 입력 기능(직탐)'!$A$64:$D$116,4,FALSE),0))</f>
        <v>1</v>
      </c>
      <c r="H51" s="70">
        <f t="shared" si="1"/>
        <v>1.1235955056179775E-2</v>
      </c>
      <c r="I51" s="80">
        <f>SUM($G$7:G51)</f>
        <v>77</v>
      </c>
      <c r="J51" s="72">
        <f t="shared" si="5"/>
        <v>0.8651685393258427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81">
        <v>5</v>
      </c>
      <c r="D52" s="82">
        <f t="shared" si="3"/>
        <v>41</v>
      </c>
      <c r="E52" s="82">
        <f t="shared" si="0"/>
        <v>7</v>
      </c>
      <c r="F52" s="68">
        <f t="shared" si="4"/>
        <v>11.24</v>
      </c>
      <c r="G52" s="69">
        <f>IF(D52=D51,"",_xlfn.IFNA(VLOOKUP(D52,'인원 입력 기능(직탐)'!$A$64:$D$116,4,FALSE),0))</f>
        <v>4</v>
      </c>
      <c r="H52" s="70">
        <f t="shared" si="1"/>
        <v>4.49438202247191E-2</v>
      </c>
      <c r="I52" s="80">
        <f>SUM($G$7:G52)</f>
        <v>81</v>
      </c>
      <c r="J52" s="72">
        <f t="shared" si="5"/>
        <v>0.9101123595505618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66">
        <v>4</v>
      </c>
      <c r="D53" s="67">
        <f t="shared" si="3"/>
        <v>39</v>
      </c>
      <c r="E53" s="67">
        <f t="shared" si="0"/>
        <v>8</v>
      </c>
      <c r="F53" s="68">
        <f t="shared" si="4"/>
        <v>7.87</v>
      </c>
      <c r="G53" s="69">
        <f>IF(D53=D52,"",_xlfn.IFNA(VLOOKUP(D53,'인원 입력 기능(직탐)'!$A$64:$D$116,4,FALSE),0))</f>
        <v>2</v>
      </c>
      <c r="H53" s="70">
        <f t="shared" si="1"/>
        <v>2.247191011235955E-2</v>
      </c>
      <c r="I53" s="80">
        <f>SUM($G$7:G53)</f>
        <v>83</v>
      </c>
      <c r="J53" s="72">
        <f t="shared" si="5"/>
        <v>0.93258426966292129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73">
        <v>3</v>
      </c>
      <c r="D54" s="67">
        <f t="shared" si="3"/>
        <v>37</v>
      </c>
      <c r="E54" s="67">
        <f t="shared" si="0"/>
        <v>8</v>
      </c>
      <c r="F54" s="68">
        <f t="shared" si="4"/>
        <v>6.18</v>
      </c>
      <c r="G54" s="69">
        <f>IF(D54=D53,"",_xlfn.IFNA(VLOOKUP(D54,'인원 입력 기능(직탐)'!$A$64:$D$116,4,FALSE),0))</f>
        <v>1</v>
      </c>
      <c r="H54" s="70">
        <f t="shared" si="1"/>
        <v>1.1235955056179775E-2</v>
      </c>
      <c r="I54" s="80">
        <f>SUM($G$7:G54)</f>
        <v>84</v>
      </c>
      <c r="J54" s="72">
        <f t="shared" si="5"/>
        <v>0.9438202247191011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66">
        <v>2</v>
      </c>
      <c r="D55" s="67">
        <f t="shared" si="3"/>
        <v>35</v>
      </c>
      <c r="E55" s="67">
        <f t="shared" si="0"/>
        <v>8</v>
      </c>
      <c r="F55" s="68">
        <f t="shared" si="4"/>
        <v>5.0599999999999996</v>
      </c>
      <c r="G55" s="69">
        <f>IF(D55=D54,"",_xlfn.IFNA(VLOOKUP(D55,'인원 입력 기능(직탐)'!$A$64:$D$116,4,FALSE),0))</f>
        <v>1</v>
      </c>
      <c r="H55" s="70">
        <f t="shared" si="1"/>
        <v>1.1235955056179775E-2</v>
      </c>
      <c r="I55" s="80">
        <f>SUM($G$7:G55)</f>
        <v>85</v>
      </c>
      <c r="J55" s="72">
        <f t="shared" si="5"/>
        <v>0.9550561797752809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73">
        <v>1</v>
      </c>
      <c r="D56" s="74" t="s">
        <v>59</v>
      </c>
      <c r="E56" s="74"/>
      <c r="F56" s="75"/>
      <c r="G56" s="96"/>
      <c r="H56" s="94"/>
      <c r="I56" s="84"/>
      <c r="J56" s="79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65">
        <v>0</v>
      </c>
      <c r="D57" s="166">
        <f>ROUND(10*(C57-$H$3)/$H$4+50,0)</f>
        <v>32</v>
      </c>
      <c r="E57" s="167">
        <f t="shared" si="0"/>
        <v>8</v>
      </c>
      <c r="F57" s="168">
        <f>IF(I55=0,ROUND(100*(1-(I54+I57)/2/$J$3),2),ROUND(100*(1-(I55+I57)/2/$J$3),2))</f>
        <v>2.25</v>
      </c>
      <c r="G57" s="169">
        <f>_xlfn.IFNA(VLOOKUP(D57,'인원 입력 기능(직탐)'!$A$64:$D$116,4,FALSE),0)</f>
        <v>4</v>
      </c>
      <c r="H57" s="170">
        <f>G57/$J$3</f>
        <v>4.49438202247191E-2</v>
      </c>
      <c r="I57" s="171">
        <f>SUM($G$7:G57)</f>
        <v>89</v>
      </c>
      <c r="J57" s="172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213"/>
      <c r="E58" s="213"/>
      <c r="F58" s="213"/>
      <c r="G58" s="213"/>
      <c r="H58" s="213"/>
      <c r="I58" s="213"/>
      <c r="J58" s="213"/>
      <c r="K58" s="34"/>
      <c r="L58" s="5"/>
      <c r="N58" s="1"/>
    </row>
    <row r="59" spans="1:14" x14ac:dyDescent="0.45">
      <c r="D59" s="208"/>
      <c r="E59" s="208"/>
      <c r="F59" s="208"/>
      <c r="G59" s="208"/>
      <c r="H59" s="208"/>
      <c r="I59" s="208"/>
      <c r="J59" s="208"/>
      <c r="N59" s="1"/>
    </row>
    <row r="60" spans="1:14" x14ac:dyDescent="0.45">
      <c r="D60" s="202"/>
      <c r="E60" s="202"/>
      <c r="F60" s="202"/>
      <c r="G60" s="202"/>
      <c r="H60" s="202"/>
      <c r="I60" s="202"/>
      <c r="J60" s="202"/>
      <c r="N60" s="1"/>
    </row>
    <row r="61" spans="1:14" x14ac:dyDescent="0.45">
      <c r="D61" s="202"/>
      <c r="E61" s="202"/>
      <c r="F61" s="202"/>
      <c r="G61" s="202"/>
      <c r="H61" s="202"/>
      <c r="I61" s="202"/>
      <c r="J61" s="202"/>
      <c r="N61" s="1"/>
    </row>
    <row r="62" spans="1:14" x14ac:dyDescent="0.45">
      <c r="D62" s="202"/>
      <c r="E62" s="202"/>
      <c r="F62" s="202"/>
      <c r="G62" s="202"/>
      <c r="H62" s="202"/>
      <c r="I62" s="202"/>
      <c r="J62" s="202"/>
      <c r="N62" s="1"/>
    </row>
    <row r="63" spans="1:14" x14ac:dyDescent="0.45">
      <c r="D63" s="202"/>
      <c r="E63" s="202"/>
      <c r="F63" s="202"/>
      <c r="G63" s="202"/>
      <c r="H63" s="202"/>
      <c r="I63" s="202"/>
      <c r="J63" s="202"/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3">
    <mergeCell ref="I62:I63"/>
    <mergeCell ref="J62:J63"/>
    <mergeCell ref="D62:D63"/>
    <mergeCell ref="E62:E63"/>
    <mergeCell ref="F62:F63"/>
    <mergeCell ref="G62:G63"/>
    <mergeCell ref="H62:H63"/>
    <mergeCell ref="D60:D61"/>
    <mergeCell ref="E60:E61"/>
    <mergeCell ref="F60:F61"/>
    <mergeCell ref="G60:G61"/>
    <mergeCell ref="H60:H61"/>
    <mergeCell ref="I60:I61"/>
    <mergeCell ref="J60:J61"/>
    <mergeCell ref="G9:G18"/>
    <mergeCell ref="H9:H18"/>
    <mergeCell ref="I9:I18"/>
    <mergeCell ref="J9:J18"/>
    <mergeCell ref="D3:F3"/>
    <mergeCell ref="D4:F4"/>
    <mergeCell ref="D9:D18"/>
    <mergeCell ref="E9:E18"/>
    <mergeCell ref="F9:F18"/>
  </mergeCells>
  <phoneticPr fontId="1" type="noConversion"/>
  <conditionalFormatting sqref="I7:J9 I51:J56 D51:G56 D7:G9 D19:G49 I19:J49">
    <cfRule type="expression" dxfId="7" priority="4">
      <formula>OR($D7=$Q$7:$Q$14)</formula>
    </cfRule>
  </conditionalFormatting>
  <conditionalFormatting sqref="C7:C49 C51:C56">
    <cfRule type="expression" dxfId="6" priority="3">
      <formula>OR(AND($D7=0,OR($D6=$Q$7:$Q$14)),AND($D8&gt;0,OR($D7=$Q$7:$Q$14)))</formula>
    </cfRule>
  </conditionalFormatting>
  <conditionalFormatting sqref="D51:D56 D7:D9 D19:D49">
    <cfRule type="expression" dxfId="5" priority="2">
      <formula>$D7=$D8</formula>
    </cfRule>
  </conditionalFormatting>
  <conditionalFormatting sqref="H7:H9 H51:H56 H19:H49">
    <cfRule type="expression" dxfId="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93F9E-E852-45CA-BC6B-1933AFC9535B}">
  <sheetPr codeName="Sheet28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8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기능'!D26</f>
        <v>21.0559540889526</v>
      </c>
      <c r="I3" s="21" t="s">
        <v>117</v>
      </c>
      <c r="J3" s="58">
        <f>'통계 및 응시자 수 입력 기능'!C26</f>
        <v>697</v>
      </c>
      <c r="K3" s="36"/>
      <c r="L3" s="20"/>
    </row>
    <row r="4" spans="1:17" s="22" customFormat="1" ht="25" customHeight="1" thickBot="1" x14ac:dyDescent="0.5">
      <c r="A4" s="20"/>
      <c r="B4" s="35"/>
      <c r="C4" s="59" t="s">
        <v>118</v>
      </c>
      <c r="D4" s="191" t="s">
        <v>133</v>
      </c>
      <c r="E4" s="192"/>
      <c r="F4" s="193"/>
      <c r="G4" s="60" t="s">
        <v>120</v>
      </c>
      <c r="H4" s="61">
        <f>'통계 및 응시자 수 입력 기능'!E26</f>
        <v>9.56986076145248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62" t="s">
        <v>121</v>
      </c>
      <c r="D6" s="63" t="s">
        <v>122</v>
      </c>
      <c r="E6" s="63" t="s">
        <v>123</v>
      </c>
      <c r="F6" s="63" t="s">
        <v>124</v>
      </c>
      <c r="G6" s="63" t="s">
        <v>125</v>
      </c>
      <c r="H6" s="63" t="s">
        <v>126</v>
      </c>
      <c r="I6" s="64" t="s">
        <v>127</v>
      </c>
      <c r="J6" s="65" t="s">
        <v>128</v>
      </c>
      <c r="K6" s="36"/>
      <c r="L6" s="19"/>
      <c r="M6" s="19"/>
      <c r="N6" s="23"/>
    </row>
    <row r="7" spans="1:17" s="22" customFormat="1" ht="25" customHeight="1" x14ac:dyDescent="0.45">
      <c r="A7" s="20"/>
      <c r="B7" s="35"/>
      <c r="C7" s="66">
        <v>50</v>
      </c>
      <c r="D7" s="67">
        <f>ROUND(10*(C7-$H$3)/$H$4+50,0)</f>
        <v>80</v>
      </c>
      <c r="E7" s="67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8">
        <f>ROUND(100*(1-(0+I7)/2/$J$3),2)</f>
        <v>100</v>
      </c>
      <c r="G7" s="69">
        <f>_xlfn.IFNA(VLOOKUP(D7,'인원 입력 기능(직탐)'!$F$64:$I$116,4,FALSE),0)</f>
        <v>0</v>
      </c>
      <c r="H7" s="70">
        <f>G7/$J$3</f>
        <v>0</v>
      </c>
      <c r="I7" s="71">
        <f>G7</f>
        <v>0</v>
      </c>
      <c r="J7" s="72">
        <f>I7/$J$3</f>
        <v>0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기능'!C202</f>
        <v>67</v>
      </c>
    </row>
    <row r="8" spans="1:17" s="22" customFormat="1" ht="25" customHeight="1" x14ac:dyDescent="0.45">
      <c r="A8" s="20"/>
      <c r="B8" s="35"/>
      <c r="C8" s="73">
        <v>49</v>
      </c>
      <c r="D8" s="74" t="s">
        <v>59</v>
      </c>
      <c r="E8" s="74"/>
      <c r="F8" s="75"/>
      <c r="G8" s="76"/>
      <c r="H8" s="94"/>
      <c r="I8" s="78"/>
      <c r="J8" s="79"/>
      <c r="K8" s="36"/>
      <c r="L8" s="20"/>
      <c r="N8" s="24"/>
      <c r="P8" s="24">
        <v>2</v>
      </c>
      <c r="Q8" s="24">
        <f>'표점등급&amp;절평인원 입력 기능'!C203</f>
        <v>62</v>
      </c>
    </row>
    <row r="9" spans="1:17" s="22" customFormat="1" ht="25" customHeight="1" x14ac:dyDescent="0.45">
      <c r="A9" s="20"/>
      <c r="B9" s="35"/>
      <c r="C9" s="66">
        <v>48</v>
      </c>
      <c r="D9" s="67">
        <f>ROUND(10*(C9-$H$3)/$H$4+50,0)</f>
        <v>78</v>
      </c>
      <c r="E9" s="67">
        <f t="shared" si="0"/>
        <v>1</v>
      </c>
      <c r="F9" s="68">
        <f>IF(I8=0,ROUND(100*(1-(I7+I9)/2/$J$3),2),ROUND(100*(1-(I8+I9)/2/$J$3),2))</f>
        <v>100</v>
      </c>
      <c r="G9" s="69">
        <f>_xlfn.IFNA(VLOOKUP(D9,'인원 입력 기능(직탐)'!$F$64:$I$116,4,FALSE),0)</f>
        <v>0</v>
      </c>
      <c r="H9" s="70">
        <f t="shared" ref="H9:H55" si="1">G9/$J$3</f>
        <v>0</v>
      </c>
      <c r="I9" s="80">
        <f>SUM($G$7:G9)</f>
        <v>0</v>
      </c>
      <c r="J9" s="72">
        <f>I9/$J$3</f>
        <v>0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기능'!C204</f>
        <v>58</v>
      </c>
    </row>
    <row r="10" spans="1:17" s="22" customFormat="1" ht="25" customHeight="1" x14ac:dyDescent="0.45">
      <c r="A10" s="20"/>
      <c r="B10" s="35"/>
      <c r="C10" s="73">
        <v>47</v>
      </c>
      <c r="D10" s="67">
        <f t="shared" ref="D10:D55" si="3">ROUND(10*(C10-$H$3)/$H$4+50,0)</f>
        <v>77</v>
      </c>
      <c r="E10" s="67">
        <f t="shared" si="0"/>
        <v>1</v>
      </c>
      <c r="F10" s="68">
        <f t="shared" ref="F10:F55" si="4">IF(I9=0,ROUND(100*(1-(I8+I10)/2/$J$3),2),ROUND(100*(1-(I9+I10)/2/$J$3),2))</f>
        <v>100</v>
      </c>
      <c r="G10" s="69">
        <f>IF(D10=D9,"",_xlfn.IFNA(VLOOKUP(D10,'인원 입력 기능(직탐)'!$F$64:$I$116,4,FALSE),0))</f>
        <v>0</v>
      </c>
      <c r="H10" s="70">
        <f t="shared" si="1"/>
        <v>0</v>
      </c>
      <c r="I10" s="80">
        <f>SUM($G$7:G10)</f>
        <v>0</v>
      </c>
      <c r="J10" s="72">
        <f t="shared" ref="J10:J55" si="5">I10/$J$3</f>
        <v>0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기능'!C205</f>
        <v>54</v>
      </c>
    </row>
    <row r="11" spans="1:17" s="22" customFormat="1" ht="25" customHeight="1" x14ac:dyDescent="0.45">
      <c r="A11" s="20"/>
      <c r="B11" s="35"/>
      <c r="C11" s="66">
        <v>46</v>
      </c>
      <c r="D11" s="67">
        <f t="shared" si="3"/>
        <v>76</v>
      </c>
      <c r="E11" s="67">
        <f t="shared" si="0"/>
        <v>1</v>
      </c>
      <c r="F11" s="68">
        <f t="shared" si="4"/>
        <v>100</v>
      </c>
      <c r="G11" s="69">
        <f>IF(D11=D10,"",_xlfn.IFNA(VLOOKUP(D11,'인원 입력 기능(직탐)'!$F$64:$I$116,4,FALSE),0))</f>
        <v>0</v>
      </c>
      <c r="H11" s="70">
        <f t="shared" si="1"/>
        <v>0</v>
      </c>
      <c r="I11" s="80">
        <f>SUM($G$7:G11)</f>
        <v>0</v>
      </c>
      <c r="J11" s="72">
        <f t="shared" si="5"/>
        <v>0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기능'!C206</f>
        <v>47</v>
      </c>
    </row>
    <row r="12" spans="1:17" s="22" customFormat="1" ht="25" customHeight="1" x14ac:dyDescent="0.45">
      <c r="A12" s="20"/>
      <c r="B12" s="35"/>
      <c r="C12" s="73">
        <v>45</v>
      </c>
      <c r="D12" s="67">
        <f t="shared" si="3"/>
        <v>75</v>
      </c>
      <c r="E12" s="67">
        <f t="shared" si="0"/>
        <v>1</v>
      </c>
      <c r="F12" s="68">
        <f t="shared" si="4"/>
        <v>99.93</v>
      </c>
      <c r="G12" s="69">
        <f>IF(D12=D11,"",_xlfn.IFNA(VLOOKUP(D12,'인원 입력 기능(직탐)'!$F$64:$I$116,4,FALSE),0))</f>
        <v>1</v>
      </c>
      <c r="H12" s="70">
        <f t="shared" si="1"/>
        <v>1.4347202295552368E-3</v>
      </c>
      <c r="I12" s="80">
        <f>SUM($G$7:G12)</f>
        <v>1</v>
      </c>
      <c r="J12" s="72">
        <f t="shared" si="5"/>
        <v>1.4347202295552368E-3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기능'!C207</f>
        <v>42</v>
      </c>
    </row>
    <row r="13" spans="1:17" s="22" customFormat="1" ht="25" customHeight="1" x14ac:dyDescent="0.45">
      <c r="A13" s="20"/>
      <c r="B13" s="35"/>
      <c r="C13" s="66">
        <v>44</v>
      </c>
      <c r="D13" s="67">
        <f t="shared" si="3"/>
        <v>74</v>
      </c>
      <c r="E13" s="67">
        <f t="shared" si="0"/>
        <v>1</v>
      </c>
      <c r="F13" s="68">
        <f t="shared" si="4"/>
        <v>99.71</v>
      </c>
      <c r="G13" s="69">
        <f>IF(D13=D12,"",_xlfn.IFNA(VLOOKUP(D13,'인원 입력 기능(직탐)'!$F$64:$I$116,4,FALSE),0))</f>
        <v>2</v>
      </c>
      <c r="H13" s="70">
        <f t="shared" si="1"/>
        <v>2.8694404591104736E-3</v>
      </c>
      <c r="I13" s="80">
        <f>SUM($G$7:G13)</f>
        <v>3</v>
      </c>
      <c r="J13" s="72">
        <f t="shared" si="5"/>
        <v>4.30416068866571E-3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기능'!C208</f>
        <v>37</v>
      </c>
    </row>
    <row r="14" spans="1:17" s="22" customFormat="1" ht="25" customHeight="1" x14ac:dyDescent="0.45">
      <c r="A14" s="20"/>
      <c r="B14" s="35"/>
      <c r="C14" s="73">
        <v>43</v>
      </c>
      <c r="D14" s="67">
        <f t="shared" si="3"/>
        <v>73</v>
      </c>
      <c r="E14" s="67">
        <f t="shared" si="0"/>
        <v>1</v>
      </c>
      <c r="F14" s="68">
        <f t="shared" si="4"/>
        <v>99.5</v>
      </c>
      <c r="G14" s="69">
        <f>IF(D14=D13,"",_xlfn.IFNA(VLOOKUP(D14,'인원 입력 기능(직탐)'!$F$64:$I$116,4,FALSE),0))</f>
        <v>1</v>
      </c>
      <c r="H14" s="70">
        <f t="shared" si="1"/>
        <v>1.4347202295552368E-3</v>
      </c>
      <c r="I14" s="80">
        <f>SUM($G$7:G14)</f>
        <v>4</v>
      </c>
      <c r="J14" s="72">
        <f t="shared" si="5"/>
        <v>5.7388809182209472E-3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기능'!C209</f>
        <v>33</v>
      </c>
    </row>
    <row r="15" spans="1:17" s="22" customFormat="1" ht="25" customHeight="1" x14ac:dyDescent="0.45">
      <c r="A15" s="20"/>
      <c r="B15" s="35"/>
      <c r="C15" s="66">
        <v>42</v>
      </c>
      <c r="D15" s="67">
        <f t="shared" si="3"/>
        <v>72</v>
      </c>
      <c r="E15" s="67">
        <f t="shared" si="0"/>
        <v>1</v>
      </c>
      <c r="F15" s="68">
        <f t="shared" si="4"/>
        <v>99.28</v>
      </c>
      <c r="G15" s="69">
        <f>IF(D15=D14,"",_xlfn.IFNA(VLOOKUP(D15,'인원 입력 기능(직탐)'!$F$64:$I$116,4,FALSE),0))</f>
        <v>2</v>
      </c>
      <c r="H15" s="70">
        <f t="shared" si="1"/>
        <v>2.8694404591104736E-3</v>
      </c>
      <c r="I15" s="80">
        <f>SUM($G$7:G15)</f>
        <v>6</v>
      </c>
      <c r="J15" s="72">
        <f t="shared" si="5"/>
        <v>8.60832137733142E-3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73">
        <v>41</v>
      </c>
      <c r="D16" s="67">
        <f t="shared" si="3"/>
        <v>71</v>
      </c>
      <c r="E16" s="67">
        <f t="shared" si="0"/>
        <v>1</v>
      </c>
      <c r="F16" s="68">
        <f t="shared" si="4"/>
        <v>98.92</v>
      </c>
      <c r="G16" s="69">
        <f>IF(D16=D15,"",_xlfn.IFNA(VLOOKUP(D16,'인원 입력 기능(직탐)'!$F$64:$I$116,4,FALSE),0))</f>
        <v>3</v>
      </c>
      <c r="H16" s="70">
        <f t="shared" si="1"/>
        <v>4.30416068866571E-3</v>
      </c>
      <c r="I16" s="80">
        <f>SUM($G$7:G16)</f>
        <v>9</v>
      </c>
      <c r="J16" s="72">
        <f t="shared" si="5"/>
        <v>1.2912482065997131E-2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66">
        <v>40</v>
      </c>
      <c r="D17" s="67">
        <f t="shared" si="3"/>
        <v>70</v>
      </c>
      <c r="E17" s="67">
        <f t="shared" si="0"/>
        <v>1</v>
      </c>
      <c r="F17" s="68">
        <f t="shared" si="4"/>
        <v>98.49</v>
      </c>
      <c r="G17" s="69">
        <f>IF(D17=D16,"",_xlfn.IFNA(VLOOKUP(D17,'인원 입력 기능(직탐)'!$F$64:$I$116,4,FALSE),0))</f>
        <v>3</v>
      </c>
      <c r="H17" s="70">
        <f t="shared" si="1"/>
        <v>4.30416068866571E-3</v>
      </c>
      <c r="I17" s="80">
        <f>SUM($G$7:G17)</f>
        <v>12</v>
      </c>
      <c r="J17" s="72">
        <f t="shared" si="5"/>
        <v>1.721664275466284E-2</v>
      </c>
      <c r="K17" s="36"/>
      <c r="L17" s="20" t="str">
        <f t="shared" si="2"/>
        <v/>
      </c>
      <c r="N17" s="24"/>
      <c r="Q17" s="24">
        <f>Q7*H3*H4*J3*IFERROR(IF(J57=1, 1, 0), 0)</f>
        <v>9409967.5278501082</v>
      </c>
    </row>
    <row r="18" spans="1:17" s="22" customFormat="1" ht="25" customHeight="1" x14ac:dyDescent="0.45">
      <c r="A18" s="20"/>
      <c r="B18" s="35"/>
      <c r="C18" s="73">
        <v>39</v>
      </c>
      <c r="D18" s="67">
        <f t="shared" si="3"/>
        <v>69</v>
      </c>
      <c r="E18" s="67">
        <f t="shared" si="0"/>
        <v>1</v>
      </c>
      <c r="F18" s="68">
        <f t="shared" si="4"/>
        <v>98.06</v>
      </c>
      <c r="G18" s="69">
        <f>IF(D18=D17,"",_xlfn.IFNA(VLOOKUP(D18,'인원 입력 기능(직탐)'!$F$64:$I$116,4,FALSE),0))</f>
        <v>3</v>
      </c>
      <c r="H18" s="70">
        <f t="shared" si="1"/>
        <v>4.30416068866571E-3</v>
      </c>
      <c r="I18" s="80">
        <f>SUM($G$7:G18)</f>
        <v>15</v>
      </c>
      <c r="J18" s="72">
        <f t="shared" si="5"/>
        <v>2.1520803443328552E-2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66">
        <v>38</v>
      </c>
      <c r="D19" s="67">
        <f t="shared" si="3"/>
        <v>68</v>
      </c>
      <c r="E19" s="67">
        <f t="shared" si="0"/>
        <v>1</v>
      </c>
      <c r="F19" s="68">
        <f t="shared" si="4"/>
        <v>97.49</v>
      </c>
      <c r="G19" s="69">
        <f>IF(D19=D18,"",_xlfn.IFNA(VLOOKUP(D19,'인원 입력 기능(직탐)'!$F$64:$I$116,4,FALSE),0))</f>
        <v>5</v>
      </c>
      <c r="H19" s="70">
        <f t="shared" si="1"/>
        <v>7.1736011477761836E-3</v>
      </c>
      <c r="I19" s="80">
        <f>SUM($G$7:G19)</f>
        <v>20</v>
      </c>
      <c r="J19" s="72">
        <f t="shared" si="5"/>
        <v>2.8694404591104734E-2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73">
        <v>37</v>
      </c>
      <c r="D20" s="67">
        <f t="shared" si="3"/>
        <v>67</v>
      </c>
      <c r="E20" s="67">
        <f t="shared" si="0"/>
        <v>1</v>
      </c>
      <c r="F20" s="68">
        <f t="shared" si="4"/>
        <v>96.48</v>
      </c>
      <c r="G20" s="69">
        <f>IF(D20=D19,"",_xlfn.IFNA(VLOOKUP(D20,'인원 입력 기능(직탐)'!$F$64:$I$116,4,FALSE),0))</f>
        <v>9</v>
      </c>
      <c r="H20" s="70">
        <f t="shared" si="1"/>
        <v>1.2912482065997131E-2</v>
      </c>
      <c r="I20" s="80">
        <f>SUM($G$7:G20)</f>
        <v>29</v>
      </c>
      <c r="J20" s="72">
        <f t="shared" si="5"/>
        <v>4.1606886657101862E-2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95">
        <v>36</v>
      </c>
      <c r="D21" s="82">
        <f t="shared" si="3"/>
        <v>66</v>
      </c>
      <c r="E21" s="82">
        <f t="shared" si="0"/>
        <v>2</v>
      </c>
      <c r="F21" s="68">
        <f t="shared" si="4"/>
        <v>95.05</v>
      </c>
      <c r="G21" s="69">
        <f>IF(D21=D20,"",_xlfn.IFNA(VLOOKUP(D21,'인원 입력 기능(직탐)'!$F$64:$I$116,4,FALSE),0))</f>
        <v>11</v>
      </c>
      <c r="H21" s="70">
        <f t="shared" si="1"/>
        <v>1.5781922525107604E-2</v>
      </c>
      <c r="I21" s="80">
        <f>SUM($G$7:G21)</f>
        <v>40</v>
      </c>
      <c r="J21" s="72">
        <f t="shared" si="5"/>
        <v>5.7388809182209469E-2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81">
        <v>35</v>
      </c>
      <c r="D22" s="82">
        <f t="shared" si="3"/>
        <v>65</v>
      </c>
      <c r="E22" s="82">
        <f t="shared" si="0"/>
        <v>2</v>
      </c>
      <c r="F22" s="68">
        <f t="shared" si="4"/>
        <v>93.76</v>
      </c>
      <c r="G22" s="69">
        <f>IF(D22=D21,"",_xlfn.IFNA(VLOOKUP(D22,'인원 입력 기능(직탐)'!$F$64:$I$116,4,FALSE),0))</f>
        <v>7</v>
      </c>
      <c r="H22" s="70">
        <f t="shared" si="1"/>
        <v>1.0043041606886656E-2</v>
      </c>
      <c r="I22" s="80">
        <f>SUM($G$7:G22)</f>
        <v>47</v>
      </c>
      <c r="J22" s="72">
        <f t="shared" si="5"/>
        <v>6.7431850789096123E-2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95">
        <v>34</v>
      </c>
      <c r="D23" s="82">
        <f t="shared" si="3"/>
        <v>64</v>
      </c>
      <c r="E23" s="82">
        <f t="shared" si="0"/>
        <v>2</v>
      </c>
      <c r="F23" s="68">
        <f t="shared" si="4"/>
        <v>92.18</v>
      </c>
      <c r="G23" s="69">
        <f>IF(D23=D22,"",_xlfn.IFNA(VLOOKUP(D23,'인원 입력 기능(직탐)'!$F$64:$I$116,4,FALSE),0))</f>
        <v>15</v>
      </c>
      <c r="H23" s="70">
        <f t="shared" si="1"/>
        <v>2.1520803443328552E-2</v>
      </c>
      <c r="I23" s="80">
        <f>SUM($G$7:G23)</f>
        <v>62</v>
      </c>
      <c r="J23" s="72">
        <f t="shared" si="5"/>
        <v>8.8952654232424683E-2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81">
        <v>33</v>
      </c>
      <c r="D24" s="82">
        <f t="shared" si="3"/>
        <v>62</v>
      </c>
      <c r="E24" s="82">
        <f t="shared" si="0"/>
        <v>2</v>
      </c>
      <c r="F24" s="68">
        <f t="shared" si="4"/>
        <v>89.53</v>
      </c>
      <c r="G24" s="69">
        <f>IF(D24=D23,"",_xlfn.IFNA(VLOOKUP(D24,'인원 입력 기능(직탐)'!$F$64:$I$116,4,FALSE),0))</f>
        <v>22</v>
      </c>
      <c r="H24" s="70">
        <f t="shared" si="1"/>
        <v>3.1563845050215207E-2</v>
      </c>
      <c r="I24" s="80">
        <f>SUM($G$7:G24)</f>
        <v>84</v>
      </c>
      <c r="J24" s="72">
        <f t="shared" si="5"/>
        <v>0.12051649928263988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95">
        <v>32</v>
      </c>
      <c r="D25" s="82">
        <f t="shared" si="3"/>
        <v>61</v>
      </c>
      <c r="E25" s="82">
        <f t="shared" si="0"/>
        <v>3</v>
      </c>
      <c r="F25" s="68">
        <f t="shared" si="4"/>
        <v>86.08</v>
      </c>
      <c r="G25" s="69">
        <f>IF(D25=D24,"",_xlfn.IFNA(VLOOKUP(D25,'인원 입력 기능(직탐)'!$F$64:$I$116,4,FALSE),0))</f>
        <v>26</v>
      </c>
      <c r="H25" s="70">
        <f t="shared" si="1"/>
        <v>3.7302725968436153E-2</v>
      </c>
      <c r="I25" s="80">
        <f>SUM($G$7:G25)</f>
        <v>110</v>
      </c>
      <c r="J25" s="72">
        <f t="shared" si="5"/>
        <v>0.15781922525107603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81">
        <v>31</v>
      </c>
      <c r="D26" s="82">
        <f t="shared" si="3"/>
        <v>60</v>
      </c>
      <c r="E26" s="82">
        <f t="shared" si="0"/>
        <v>3</v>
      </c>
      <c r="F26" s="68">
        <f t="shared" si="4"/>
        <v>82.93</v>
      </c>
      <c r="G26" s="69">
        <f>IF(D26=D25,"",_xlfn.IFNA(VLOOKUP(D26,'인원 입력 기능(직탐)'!$F$64:$I$116,4,FALSE),0))</f>
        <v>18</v>
      </c>
      <c r="H26" s="70">
        <f t="shared" si="1"/>
        <v>2.5824964131994262E-2</v>
      </c>
      <c r="I26" s="80">
        <f>SUM($G$7:G26)</f>
        <v>128</v>
      </c>
      <c r="J26" s="72">
        <f t="shared" si="5"/>
        <v>0.18364418938307031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95">
        <v>30</v>
      </c>
      <c r="D27" s="82">
        <f t="shared" si="3"/>
        <v>59</v>
      </c>
      <c r="E27" s="82">
        <f t="shared" si="0"/>
        <v>3</v>
      </c>
      <c r="F27" s="68">
        <f t="shared" si="4"/>
        <v>79.41</v>
      </c>
      <c r="G27" s="69">
        <f>IF(D27=D26,"",_xlfn.IFNA(VLOOKUP(D27,'인원 입력 기능(직탐)'!$F$64:$I$116,4,FALSE),0))</f>
        <v>31</v>
      </c>
      <c r="H27" s="70">
        <f t="shared" si="1"/>
        <v>4.4476327116212341E-2</v>
      </c>
      <c r="I27" s="80">
        <f>SUM($G$7:G27)</f>
        <v>159</v>
      </c>
      <c r="J27" s="72">
        <f t="shared" si="5"/>
        <v>0.22812051649928264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81">
        <v>29</v>
      </c>
      <c r="D28" s="82">
        <f t="shared" si="3"/>
        <v>58</v>
      </c>
      <c r="E28" s="82">
        <f t="shared" si="0"/>
        <v>3</v>
      </c>
      <c r="F28" s="68">
        <f t="shared" si="4"/>
        <v>75.819999999999993</v>
      </c>
      <c r="G28" s="69">
        <f>IF(D28=D27,"",_xlfn.IFNA(VLOOKUP(D28,'인원 입력 기능(직탐)'!$F$64:$I$116,4,FALSE),0))</f>
        <v>19</v>
      </c>
      <c r="H28" s="70">
        <f t="shared" si="1"/>
        <v>2.7259684361549498E-2</v>
      </c>
      <c r="I28" s="80">
        <f>SUM($G$7:G28)</f>
        <v>178</v>
      </c>
      <c r="J28" s="72">
        <f t="shared" si="5"/>
        <v>0.25538020086083213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95">
        <v>28</v>
      </c>
      <c r="D29" s="82">
        <f t="shared" si="3"/>
        <v>57</v>
      </c>
      <c r="E29" s="82">
        <f t="shared" si="0"/>
        <v>4</v>
      </c>
      <c r="F29" s="68">
        <f t="shared" si="4"/>
        <v>72.17</v>
      </c>
      <c r="G29" s="69">
        <f>IF(D29=D28,"",_xlfn.IFNA(VLOOKUP(D29,'인원 입력 기능(직탐)'!$F$64:$I$116,4,FALSE),0))</f>
        <v>32</v>
      </c>
      <c r="H29" s="70">
        <f t="shared" si="1"/>
        <v>4.5911047345767578E-2</v>
      </c>
      <c r="I29" s="80">
        <f>SUM($G$7:G29)</f>
        <v>210</v>
      </c>
      <c r="J29" s="72">
        <f t="shared" si="5"/>
        <v>0.30129124820659969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81">
        <v>27</v>
      </c>
      <c r="D30" s="82">
        <f t="shared" si="3"/>
        <v>56</v>
      </c>
      <c r="E30" s="82">
        <f t="shared" si="0"/>
        <v>4</v>
      </c>
      <c r="F30" s="68">
        <f t="shared" si="4"/>
        <v>68.08</v>
      </c>
      <c r="G30" s="69">
        <f>IF(D30=D29,"",_xlfn.IFNA(VLOOKUP(D30,'인원 입력 기능(직탐)'!$F$64:$I$116,4,FALSE),0))</f>
        <v>25</v>
      </c>
      <c r="H30" s="70">
        <f t="shared" si="1"/>
        <v>3.5868005738880916E-2</v>
      </c>
      <c r="I30" s="80">
        <f>SUM($G$7:G30)</f>
        <v>235</v>
      </c>
      <c r="J30" s="72">
        <f t="shared" si="5"/>
        <v>0.33715925394548063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95">
        <v>26</v>
      </c>
      <c r="D31" s="82">
        <f t="shared" si="3"/>
        <v>55</v>
      </c>
      <c r="E31" s="82">
        <f t="shared" si="0"/>
        <v>4</v>
      </c>
      <c r="F31" s="68">
        <f t="shared" si="4"/>
        <v>64.849999999999994</v>
      </c>
      <c r="G31" s="69">
        <f>IF(D31=D30,"",_xlfn.IFNA(VLOOKUP(D31,'인원 입력 기능(직탐)'!$F$64:$I$116,4,FALSE),0))</f>
        <v>20</v>
      </c>
      <c r="H31" s="70">
        <f t="shared" si="1"/>
        <v>2.8694404591104734E-2</v>
      </c>
      <c r="I31" s="80">
        <f>SUM($G$7:G31)</f>
        <v>255</v>
      </c>
      <c r="J31" s="72">
        <f t="shared" si="5"/>
        <v>0.36585365853658536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81">
        <v>25</v>
      </c>
      <c r="D32" s="82">
        <f t="shared" si="3"/>
        <v>54</v>
      </c>
      <c r="E32" s="82">
        <f t="shared" si="0"/>
        <v>4</v>
      </c>
      <c r="F32" s="68">
        <f t="shared" si="4"/>
        <v>61.69</v>
      </c>
      <c r="G32" s="69">
        <f>IF(D32=D31,"",_xlfn.IFNA(VLOOKUP(D32,'인원 입력 기능(직탐)'!$F$64:$I$116,4,FALSE),0))</f>
        <v>24</v>
      </c>
      <c r="H32" s="70">
        <f t="shared" si="1"/>
        <v>3.443328550932568E-2</v>
      </c>
      <c r="I32" s="80">
        <f>SUM($G$7:G32)</f>
        <v>279</v>
      </c>
      <c r="J32" s="72">
        <f t="shared" si="5"/>
        <v>0.40028694404591103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95">
        <v>24</v>
      </c>
      <c r="D33" s="82">
        <f t="shared" si="3"/>
        <v>53</v>
      </c>
      <c r="E33" s="82">
        <f t="shared" si="0"/>
        <v>5</v>
      </c>
      <c r="F33" s="68">
        <f t="shared" si="4"/>
        <v>58.54</v>
      </c>
      <c r="G33" s="69">
        <f>IF(D33=D32,"",_xlfn.IFNA(VLOOKUP(D33,'인원 입력 기능(직탐)'!$F$64:$I$116,4,FALSE),0))</f>
        <v>20</v>
      </c>
      <c r="H33" s="70">
        <f t="shared" si="1"/>
        <v>2.8694404591104734E-2</v>
      </c>
      <c r="I33" s="80">
        <f>SUM($G$7:G33)</f>
        <v>299</v>
      </c>
      <c r="J33" s="72">
        <f t="shared" si="5"/>
        <v>0.42898134863701576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81">
        <v>23</v>
      </c>
      <c r="D34" s="82">
        <f t="shared" si="3"/>
        <v>52</v>
      </c>
      <c r="E34" s="82">
        <f t="shared" si="0"/>
        <v>5</v>
      </c>
      <c r="F34" s="68">
        <f t="shared" si="4"/>
        <v>55.45</v>
      </c>
      <c r="G34" s="69">
        <f>IF(D34=D33,"",_xlfn.IFNA(VLOOKUP(D34,'인원 입력 기능(직탐)'!$F$64:$I$116,4,FALSE),0))</f>
        <v>23</v>
      </c>
      <c r="H34" s="70">
        <f t="shared" si="1"/>
        <v>3.2998565279770443E-2</v>
      </c>
      <c r="I34" s="80">
        <f>SUM($G$7:G34)</f>
        <v>322</v>
      </c>
      <c r="J34" s="72">
        <f t="shared" si="5"/>
        <v>0.46197991391678622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95">
        <v>22</v>
      </c>
      <c r="D35" s="82">
        <f t="shared" si="3"/>
        <v>51</v>
      </c>
      <c r="E35" s="82">
        <f t="shared" si="0"/>
        <v>5</v>
      </c>
      <c r="F35" s="68">
        <f t="shared" si="4"/>
        <v>51.79</v>
      </c>
      <c r="G35" s="69">
        <f>IF(D35=D34,"",_xlfn.IFNA(VLOOKUP(D35,'인원 입력 기능(직탐)'!$F$64:$I$116,4,FALSE),0))</f>
        <v>28</v>
      </c>
      <c r="H35" s="70">
        <f t="shared" si="1"/>
        <v>4.0172166427546625E-2</v>
      </c>
      <c r="I35" s="80">
        <f>SUM($G$7:G35)</f>
        <v>350</v>
      </c>
      <c r="J35" s="72">
        <f t="shared" si="5"/>
        <v>0.5021520803443329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81">
        <v>21</v>
      </c>
      <c r="D36" s="82">
        <f t="shared" si="3"/>
        <v>50</v>
      </c>
      <c r="E36" s="82">
        <f t="shared" si="0"/>
        <v>5</v>
      </c>
      <c r="F36" s="68">
        <f t="shared" si="4"/>
        <v>48.64</v>
      </c>
      <c r="G36" s="69">
        <f>IF(D36=D35,"",_xlfn.IFNA(VLOOKUP(D36,'인원 입력 기능(직탐)'!$F$64:$I$116,4,FALSE),0))</f>
        <v>16</v>
      </c>
      <c r="H36" s="70">
        <f t="shared" si="1"/>
        <v>2.2955523672883789E-2</v>
      </c>
      <c r="I36" s="80">
        <f>SUM($G$7:G36)</f>
        <v>366</v>
      </c>
      <c r="J36" s="72">
        <f t="shared" si="5"/>
        <v>0.52510760401721668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95">
        <v>20</v>
      </c>
      <c r="D37" s="82">
        <f t="shared" si="3"/>
        <v>49</v>
      </c>
      <c r="E37" s="82">
        <f t="shared" si="0"/>
        <v>5</v>
      </c>
      <c r="F37" s="68">
        <f t="shared" si="4"/>
        <v>46.05</v>
      </c>
      <c r="G37" s="69">
        <f>IF(D37=D36,"",_xlfn.IFNA(VLOOKUP(D37,'인원 입력 기능(직탐)'!$F$64:$I$116,4,FALSE),0))</f>
        <v>20</v>
      </c>
      <c r="H37" s="70">
        <f t="shared" si="1"/>
        <v>2.8694404591104734E-2</v>
      </c>
      <c r="I37" s="80">
        <f>SUM($G$7:G37)</f>
        <v>386</v>
      </c>
      <c r="J37" s="72">
        <f t="shared" si="5"/>
        <v>0.55380200860832141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81">
        <v>19</v>
      </c>
      <c r="D38" s="82">
        <f t="shared" si="3"/>
        <v>48</v>
      </c>
      <c r="E38" s="82">
        <f t="shared" si="0"/>
        <v>5</v>
      </c>
      <c r="F38" s="68">
        <f t="shared" si="4"/>
        <v>42.75</v>
      </c>
      <c r="G38" s="69">
        <f>IF(D38=D37,"",_xlfn.IFNA(VLOOKUP(D38,'인원 입력 기능(직탐)'!$F$64:$I$116,4,FALSE),0))</f>
        <v>26</v>
      </c>
      <c r="H38" s="70">
        <f t="shared" si="1"/>
        <v>3.7302725968436153E-2</v>
      </c>
      <c r="I38" s="80">
        <f>SUM($G$7:G38)</f>
        <v>412</v>
      </c>
      <c r="J38" s="72">
        <f t="shared" si="5"/>
        <v>0.5911047345767575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95">
        <v>18</v>
      </c>
      <c r="D39" s="82">
        <f t="shared" si="3"/>
        <v>47</v>
      </c>
      <c r="E39" s="82">
        <f t="shared" si="0"/>
        <v>5</v>
      </c>
      <c r="F39" s="68">
        <f t="shared" si="4"/>
        <v>39.53</v>
      </c>
      <c r="G39" s="69">
        <f>IF(D39=D38,"",_xlfn.IFNA(VLOOKUP(D39,'인원 입력 기능(직탐)'!$F$64:$I$116,4,FALSE),0))</f>
        <v>19</v>
      </c>
      <c r="H39" s="70">
        <f t="shared" si="1"/>
        <v>2.7259684361549498E-2</v>
      </c>
      <c r="I39" s="80">
        <f>SUM($G$7:G39)</f>
        <v>431</v>
      </c>
      <c r="J39" s="72">
        <f t="shared" si="5"/>
        <v>0.61836441893830707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81">
        <v>17</v>
      </c>
      <c r="D40" s="82">
        <f t="shared" si="3"/>
        <v>46</v>
      </c>
      <c r="E40" s="82">
        <f t="shared" si="0"/>
        <v>6</v>
      </c>
      <c r="F40" s="68">
        <f t="shared" si="4"/>
        <v>36.729999999999997</v>
      </c>
      <c r="G40" s="69">
        <f>IF(D40=D39,"",_xlfn.IFNA(VLOOKUP(D40,'인원 입력 기능(직탐)'!$F$64:$I$116,4,FALSE),0))</f>
        <v>20</v>
      </c>
      <c r="H40" s="70">
        <f t="shared" si="1"/>
        <v>2.8694404591104734E-2</v>
      </c>
      <c r="I40" s="80">
        <f>SUM($G$7:G40)</f>
        <v>451</v>
      </c>
      <c r="J40" s="72">
        <f t="shared" si="5"/>
        <v>0.6470588235294118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95">
        <v>16</v>
      </c>
      <c r="D41" s="82">
        <f t="shared" si="3"/>
        <v>45</v>
      </c>
      <c r="E41" s="82">
        <f t="shared" si="0"/>
        <v>6</v>
      </c>
      <c r="F41" s="68">
        <f t="shared" si="4"/>
        <v>34</v>
      </c>
      <c r="G41" s="69">
        <f>IF(D41=D40,"",_xlfn.IFNA(VLOOKUP(D41,'인원 입력 기능(직탐)'!$F$64:$I$116,4,FALSE),0))</f>
        <v>18</v>
      </c>
      <c r="H41" s="70">
        <f t="shared" si="1"/>
        <v>2.5824964131994262E-2</v>
      </c>
      <c r="I41" s="80">
        <f>SUM($G$7:G41)</f>
        <v>469</v>
      </c>
      <c r="J41" s="72">
        <f t="shared" si="5"/>
        <v>0.672883787661406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81">
        <v>15</v>
      </c>
      <c r="D42" s="82">
        <f t="shared" si="3"/>
        <v>44</v>
      </c>
      <c r="E42" s="82">
        <f t="shared" si="0"/>
        <v>6</v>
      </c>
      <c r="F42" s="68">
        <f t="shared" si="4"/>
        <v>31.42</v>
      </c>
      <c r="G42" s="69">
        <f>IF(D42=D41,"",_xlfn.IFNA(VLOOKUP(D42,'인원 입력 기능(직탐)'!$F$64:$I$116,4,FALSE),0))</f>
        <v>18</v>
      </c>
      <c r="H42" s="70">
        <f t="shared" si="1"/>
        <v>2.5824964131994262E-2</v>
      </c>
      <c r="I42" s="80">
        <f>SUM($G$7:G42)</f>
        <v>487</v>
      </c>
      <c r="J42" s="72">
        <f t="shared" si="5"/>
        <v>0.69870875179340031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95">
        <v>14</v>
      </c>
      <c r="D43" s="82">
        <f t="shared" si="3"/>
        <v>43</v>
      </c>
      <c r="E43" s="82">
        <f t="shared" si="0"/>
        <v>6</v>
      </c>
      <c r="F43" s="68">
        <f t="shared" si="4"/>
        <v>27.76</v>
      </c>
      <c r="G43" s="69">
        <f>IF(D43=D42,"",_xlfn.IFNA(VLOOKUP(D43,'인원 입력 기능(직탐)'!$F$64:$I$116,4,FALSE),0))</f>
        <v>33</v>
      </c>
      <c r="H43" s="70">
        <f t="shared" si="1"/>
        <v>4.7345767575322814E-2</v>
      </c>
      <c r="I43" s="80">
        <f>SUM($G$7:G43)</f>
        <v>520</v>
      </c>
      <c r="J43" s="72">
        <f t="shared" si="5"/>
        <v>0.74605451936872313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81">
        <v>13</v>
      </c>
      <c r="D44" s="82">
        <f t="shared" si="3"/>
        <v>42</v>
      </c>
      <c r="E44" s="82">
        <f t="shared" si="0"/>
        <v>6</v>
      </c>
      <c r="F44" s="68">
        <f t="shared" si="4"/>
        <v>24.03</v>
      </c>
      <c r="G44" s="69">
        <f>IF(D44=D43,"",_xlfn.IFNA(VLOOKUP(D44,'인원 입력 기능(직탐)'!$F$64:$I$116,4,FALSE),0))</f>
        <v>19</v>
      </c>
      <c r="H44" s="70">
        <f t="shared" si="1"/>
        <v>2.7259684361549498E-2</v>
      </c>
      <c r="I44" s="80">
        <f>SUM($G$7:G44)</f>
        <v>539</v>
      </c>
      <c r="J44" s="72">
        <f t="shared" si="5"/>
        <v>0.7733142037302726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95">
        <v>12</v>
      </c>
      <c r="D45" s="82">
        <f t="shared" si="3"/>
        <v>41</v>
      </c>
      <c r="E45" s="82">
        <f t="shared" si="0"/>
        <v>7</v>
      </c>
      <c r="F45" s="68">
        <f t="shared" si="4"/>
        <v>21.52</v>
      </c>
      <c r="G45" s="69">
        <f>IF(D45=D44,"",_xlfn.IFNA(VLOOKUP(D45,'인원 입력 기능(직탐)'!$F$64:$I$116,4,FALSE),0))</f>
        <v>16</v>
      </c>
      <c r="H45" s="70">
        <f t="shared" si="1"/>
        <v>2.2955523672883789E-2</v>
      </c>
      <c r="I45" s="80">
        <f>SUM($G$7:G45)</f>
        <v>555</v>
      </c>
      <c r="J45" s="72">
        <f t="shared" si="5"/>
        <v>0.79626972740315638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81">
        <v>11</v>
      </c>
      <c r="D46" s="82">
        <f t="shared" si="3"/>
        <v>39</v>
      </c>
      <c r="E46" s="82">
        <f t="shared" si="0"/>
        <v>7</v>
      </c>
      <c r="F46" s="68">
        <f t="shared" si="4"/>
        <v>19.149999999999999</v>
      </c>
      <c r="G46" s="69">
        <f>IF(D46=D45,"",_xlfn.IFNA(VLOOKUP(D46,'인원 입력 기능(직탐)'!$F$64:$I$116,4,FALSE),0))</f>
        <v>17</v>
      </c>
      <c r="H46" s="70">
        <f t="shared" si="1"/>
        <v>2.4390243902439025E-2</v>
      </c>
      <c r="I46" s="80">
        <f>SUM($G$7:G46)</f>
        <v>572</v>
      </c>
      <c r="J46" s="72">
        <f t="shared" si="5"/>
        <v>0.82065997130559543</v>
      </c>
      <c r="K46" s="36"/>
      <c r="L46" s="20" t="str">
        <f t="shared" si="2"/>
        <v>경고</v>
      </c>
      <c r="N46" s="24"/>
    </row>
    <row r="47" spans="1:14" s="22" customFormat="1" ht="25" customHeight="1" x14ac:dyDescent="0.45">
      <c r="A47" s="20"/>
      <c r="B47" s="35"/>
      <c r="C47" s="95">
        <v>10</v>
      </c>
      <c r="D47" s="82">
        <f t="shared" si="3"/>
        <v>38</v>
      </c>
      <c r="E47" s="82">
        <f t="shared" si="0"/>
        <v>7</v>
      </c>
      <c r="F47" s="68">
        <f t="shared" si="4"/>
        <v>16.36</v>
      </c>
      <c r="G47" s="69">
        <f>IF(D47=D46,"",_xlfn.IFNA(VLOOKUP(D47,'인원 입력 기능(직탐)'!$F$64:$I$116,4,FALSE),0))</f>
        <v>22</v>
      </c>
      <c r="H47" s="70">
        <f t="shared" si="1"/>
        <v>3.1563845050215207E-2</v>
      </c>
      <c r="I47" s="80">
        <f>SUM($G$7:G47)</f>
        <v>594</v>
      </c>
      <c r="J47" s="72">
        <f t="shared" si="5"/>
        <v>0.85222381635581057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81">
        <v>9</v>
      </c>
      <c r="D48" s="82">
        <f t="shared" si="3"/>
        <v>37</v>
      </c>
      <c r="E48" s="82">
        <f t="shared" si="0"/>
        <v>7</v>
      </c>
      <c r="F48" s="68">
        <f t="shared" si="4"/>
        <v>11.91</v>
      </c>
      <c r="G48" s="69">
        <f>IF(D48=D47,"",_xlfn.IFNA(VLOOKUP(D48,'인원 입력 기능(직탐)'!$F$64:$I$116,4,FALSE),0))</f>
        <v>40</v>
      </c>
      <c r="H48" s="70">
        <f t="shared" si="1"/>
        <v>5.7388809182209469E-2</v>
      </c>
      <c r="I48" s="80">
        <f>SUM($G$7:G48)</f>
        <v>634</v>
      </c>
      <c r="J48" s="72">
        <f t="shared" si="5"/>
        <v>0.90961262553802014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95">
        <v>8</v>
      </c>
      <c r="D49" s="82">
        <f t="shared" si="3"/>
        <v>36</v>
      </c>
      <c r="E49" s="82">
        <f t="shared" si="0"/>
        <v>8</v>
      </c>
      <c r="F49" s="68">
        <f t="shared" si="4"/>
        <v>8.0299999999999994</v>
      </c>
      <c r="G49" s="69">
        <f>IF(D49=D48,"",_xlfn.IFNA(VLOOKUP(D49,'인원 입력 기능(직탐)'!$F$64:$I$116,4,FALSE),0))</f>
        <v>14</v>
      </c>
      <c r="H49" s="70">
        <f t="shared" si="1"/>
        <v>2.0086083213773313E-2</v>
      </c>
      <c r="I49" s="80">
        <f>SUM($G$7:G49)</f>
        <v>648</v>
      </c>
      <c r="J49" s="72">
        <f t="shared" si="5"/>
        <v>0.92969870875179339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81">
        <v>7</v>
      </c>
      <c r="D50" s="82">
        <f t="shared" si="3"/>
        <v>35</v>
      </c>
      <c r="E50" s="82">
        <f t="shared" si="0"/>
        <v>8</v>
      </c>
      <c r="F50" s="68">
        <f t="shared" si="4"/>
        <v>6.1</v>
      </c>
      <c r="G50" s="69">
        <f>IF(D50=D49,"",_xlfn.IFNA(VLOOKUP(D50,'인원 입력 기능(직탐)'!$F$64:$I$116,4,FALSE),0))</f>
        <v>13</v>
      </c>
      <c r="H50" s="70">
        <f t="shared" si="1"/>
        <v>1.8651362984218076E-2</v>
      </c>
      <c r="I50" s="80">
        <f>SUM($G$7:G50)</f>
        <v>661</v>
      </c>
      <c r="J50" s="72">
        <f t="shared" si="5"/>
        <v>0.94835007173601149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95">
        <v>6</v>
      </c>
      <c r="D51" s="82">
        <f t="shared" si="3"/>
        <v>34</v>
      </c>
      <c r="E51" s="82">
        <f t="shared" si="0"/>
        <v>8</v>
      </c>
      <c r="F51" s="68">
        <f t="shared" si="4"/>
        <v>4.8099999999999996</v>
      </c>
      <c r="G51" s="69">
        <f>IF(D51=D50,"",_xlfn.IFNA(VLOOKUP(D51,'인원 입력 기능(직탐)'!$F$64:$I$116,4,FALSE),0))</f>
        <v>5</v>
      </c>
      <c r="H51" s="70">
        <f t="shared" si="1"/>
        <v>7.1736011477761836E-3</v>
      </c>
      <c r="I51" s="80">
        <f>SUM($G$7:G51)</f>
        <v>666</v>
      </c>
      <c r="J51" s="72">
        <f t="shared" si="5"/>
        <v>0.9555236728837877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81">
        <v>5</v>
      </c>
      <c r="D52" s="82">
        <f t="shared" si="3"/>
        <v>33</v>
      </c>
      <c r="E52" s="82">
        <f t="shared" si="0"/>
        <v>8</v>
      </c>
      <c r="F52" s="68">
        <f t="shared" si="4"/>
        <v>3.73</v>
      </c>
      <c r="G52" s="69">
        <f>IF(D52=D51,"",_xlfn.IFNA(VLOOKUP(D52,'인원 입력 기능(직탐)'!$F$64:$I$116,4,FALSE),0))</f>
        <v>10</v>
      </c>
      <c r="H52" s="70">
        <f t="shared" si="1"/>
        <v>1.4347202295552367E-2</v>
      </c>
      <c r="I52" s="80">
        <f>SUM($G$7:G52)</f>
        <v>676</v>
      </c>
      <c r="J52" s="72">
        <f t="shared" si="5"/>
        <v>0.96987087517934001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66">
        <v>4</v>
      </c>
      <c r="D53" s="67">
        <f t="shared" si="3"/>
        <v>32</v>
      </c>
      <c r="E53" s="67">
        <f t="shared" si="0"/>
        <v>9</v>
      </c>
      <c r="F53" s="68">
        <f t="shared" si="4"/>
        <v>2.65</v>
      </c>
      <c r="G53" s="69">
        <f>IF(D53=D52,"",_xlfn.IFNA(VLOOKUP(D53,'인원 입력 기능(직탐)'!$F$64:$I$116,4,FALSE),0))</f>
        <v>5</v>
      </c>
      <c r="H53" s="70">
        <f t="shared" si="1"/>
        <v>7.1736011477761836E-3</v>
      </c>
      <c r="I53" s="80">
        <f>SUM($G$7:G53)</f>
        <v>681</v>
      </c>
      <c r="J53" s="72">
        <f t="shared" si="5"/>
        <v>0.97704447632711622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73">
        <v>3</v>
      </c>
      <c r="D54" s="67">
        <f t="shared" si="3"/>
        <v>31</v>
      </c>
      <c r="E54" s="67">
        <f t="shared" si="0"/>
        <v>9</v>
      </c>
      <c r="F54" s="68">
        <f t="shared" si="4"/>
        <v>2.0099999999999998</v>
      </c>
      <c r="G54" s="69">
        <f>IF(D54=D53,"",_xlfn.IFNA(VLOOKUP(D54,'인원 입력 기능(직탐)'!$F$64:$I$116,4,FALSE),0))</f>
        <v>4</v>
      </c>
      <c r="H54" s="70">
        <f t="shared" si="1"/>
        <v>5.7388809182209472E-3</v>
      </c>
      <c r="I54" s="80">
        <f>SUM($G$7:G54)</f>
        <v>685</v>
      </c>
      <c r="J54" s="72">
        <f t="shared" si="5"/>
        <v>0.98278335724533716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66">
        <v>2</v>
      </c>
      <c r="D55" s="67">
        <f t="shared" si="3"/>
        <v>30</v>
      </c>
      <c r="E55" s="67">
        <f t="shared" si="0"/>
        <v>9</v>
      </c>
      <c r="F55" s="68">
        <f t="shared" si="4"/>
        <v>1.1499999999999999</v>
      </c>
      <c r="G55" s="69">
        <f>IF(D55=D54,"",_xlfn.IFNA(VLOOKUP(D55,'인원 입력 기능(직탐)'!$F$64:$I$116,4,FALSE),0))</f>
        <v>8</v>
      </c>
      <c r="H55" s="70">
        <f t="shared" si="1"/>
        <v>1.1477761836441894E-2</v>
      </c>
      <c r="I55" s="80">
        <f>SUM($G$7:G55)</f>
        <v>693</v>
      </c>
      <c r="J55" s="72">
        <f t="shared" si="5"/>
        <v>0.99426111908177905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73">
        <v>1</v>
      </c>
      <c r="D56" s="74" t="s">
        <v>59</v>
      </c>
      <c r="E56" s="74"/>
      <c r="F56" s="75"/>
      <c r="G56" s="96"/>
      <c r="H56" s="94"/>
      <c r="I56" s="84"/>
      <c r="J56" s="79"/>
      <c r="K56" s="36"/>
      <c r="L56" s="20"/>
      <c r="N56" s="24"/>
    </row>
    <row r="57" spans="1:14" s="22" customFormat="1" ht="25" customHeight="1" thickBot="1" x14ac:dyDescent="0.5">
      <c r="A57" s="20"/>
      <c r="B57" s="35"/>
      <c r="C57" s="97">
        <v>0</v>
      </c>
      <c r="D57" s="86">
        <f>ROUND(10*(C57-$H$3)/$H$4+50,0)</f>
        <v>28</v>
      </c>
      <c r="E57" s="98">
        <f t="shared" si="0"/>
        <v>9</v>
      </c>
      <c r="F57" s="87">
        <f>IF(I55=0,ROUND(100*(1-(I54+I57)/2/$J$3),2),ROUND(100*(1-(I55+I57)/2/$J$3),2))</f>
        <v>0.28999999999999998</v>
      </c>
      <c r="G57" s="99">
        <f>_xlfn.IFNA(VLOOKUP(D57,'인원 입력 기능(직탐)'!$F$64:$I$116,4,FALSE),0)</f>
        <v>4</v>
      </c>
      <c r="H57" s="89">
        <f>G57/$J$3</f>
        <v>5.7388809182209472E-3</v>
      </c>
      <c r="I57" s="90">
        <f>SUM($G$7:G57)</f>
        <v>697</v>
      </c>
      <c r="J57" s="100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">
    <mergeCell ref="D3:F3"/>
    <mergeCell ref="D4:F4"/>
  </mergeCells>
  <phoneticPr fontId="1" type="noConversion"/>
  <conditionalFormatting sqref="D7:G57 I7:J57">
    <cfRule type="expression" dxfId="3" priority="4">
      <formula>OR($D7=$Q$7:$Q$14)</formula>
    </cfRule>
  </conditionalFormatting>
  <conditionalFormatting sqref="C7:C57">
    <cfRule type="expression" dxfId="2" priority="3">
      <formula>OR(AND($D7=0,OR($D6=$Q$7:$Q$14)),AND($D8&gt;0,OR($D7=$Q$7:$Q$14)))</formula>
    </cfRule>
  </conditionalFormatting>
  <conditionalFormatting sqref="D7:D57">
    <cfRule type="expression" dxfId="1" priority="2">
      <formula>$D7=$D8</formula>
    </cfRule>
  </conditionalFormatting>
  <conditionalFormatting sqref="H7:H57">
    <cfRule type="expression" dxfId="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053E8-AF8B-41CE-8FC2-7AB369CF160E}">
  <sheetPr codeName="Sheet29">
    <tabColor rgb="FF00B050"/>
    <pageSetUpPr fitToPage="1"/>
  </sheetPr>
  <dimension ref="A1:N51"/>
  <sheetViews>
    <sheetView zoomScale="85" zoomScaleNormal="85" workbookViewId="0">
      <selection activeCell="B3" sqref="B3:M50"/>
    </sheetView>
  </sheetViews>
  <sheetFormatPr defaultRowHeight="17" x14ac:dyDescent="0.45"/>
  <cols>
    <col min="1" max="1" width="8.6640625" style="5"/>
    <col min="2" max="2" width="1" customWidth="1"/>
    <col min="3" max="3" width="11.4140625" style="18" customWidth="1"/>
    <col min="4" max="11" width="12.4140625" style="1" customWidth="1"/>
    <col min="12" max="12" width="12.4140625" customWidth="1"/>
    <col min="13" max="13" width="1" customWidth="1"/>
  </cols>
  <sheetData>
    <row r="1" spans="1:13" s="5" customFormat="1" x14ac:dyDescent="0.45">
      <c r="A1" s="5" t="s">
        <v>89</v>
      </c>
      <c r="C1" s="17"/>
      <c r="D1" s="3"/>
      <c r="E1" s="3"/>
      <c r="F1" s="3"/>
      <c r="G1" s="3"/>
      <c r="H1" s="3"/>
      <c r="I1" s="3"/>
      <c r="J1" s="3"/>
      <c r="K1" s="3"/>
    </row>
    <row r="2" spans="1:13" x14ac:dyDescent="0.45">
      <c r="B2" s="5"/>
      <c r="C2" s="17"/>
      <c r="D2" s="3"/>
      <c r="E2" s="3"/>
      <c r="F2" s="3"/>
      <c r="G2" s="3"/>
      <c r="H2" s="3"/>
      <c r="I2" s="3"/>
      <c r="J2" s="3"/>
      <c r="K2" s="3"/>
      <c r="L2" s="5"/>
      <c r="M2" s="5"/>
    </row>
    <row r="3" spans="1:13" ht="6" customHeight="1" thickBot="1" x14ac:dyDescent="0.5">
      <c r="B3" s="27"/>
      <c r="C3" s="39"/>
      <c r="D3" s="40"/>
      <c r="E3" s="40"/>
      <c r="F3" s="40"/>
      <c r="G3" s="40"/>
      <c r="H3" s="40"/>
      <c r="I3" s="40"/>
      <c r="J3" s="40"/>
      <c r="K3" s="40"/>
      <c r="L3" s="28"/>
      <c r="M3" s="29"/>
    </row>
    <row r="4" spans="1:13" ht="25" customHeight="1" x14ac:dyDescent="0.45">
      <c r="B4" s="30"/>
      <c r="C4" s="49" t="s">
        <v>115</v>
      </c>
      <c r="D4" s="203" t="s">
        <v>107</v>
      </c>
      <c r="E4" s="203"/>
      <c r="F4" s="203"/>
      <c r="G4" s="204"/>
      <c r="H4" s="19"/>
      <c r="I4" s="19"/>
      <c r="J4" s="19"/>
      <c r="K4" s="19"/>
      <c r="L4" s="20"/>
      <c r="M4" s="31"/>
    </row>
    <row r="5" spans="1:13" ht="25" customHeight="1" thickBot="1" x14ac:dyDescent="0.5">
      <c r="B5" s="30"/>
      <c r="C5" s="59" t="s">
        <v>151</v>
      </c>
      <c r="D5" s="205" t="s">
        <v>152</v>
      </c>
      <c r="E5" s="205"/>
      <c r="F5" s="205"/>
      <c r="G5" s="206"/>
      <c r="H5" s="19"/>
      <c r="I5" s="19"/>
      <c r="J5" s="19"/>
      <c r="K5" s="19"/>
      <c r="L5" s="20"/>
      <c r="M5" s="31"/>
    </row>
    <row r="6" spans="1:13" ht="25" customHeight="1" x14ac:dyDescent="0.45">
      <c r="B6" s="30"/>
      <c r="C6" s="19"/>
      <c r="D6" s="19"/>
      <c r="E6" s="19"/>
      <c r="F6" s="19"/>
      <c r="G6" s="19"/>
      <c r="H6" s="19"/>
      <c r="I6" s="19"/>
      <c r="J6" s="19"/>
      <c r="K6" s="19"/>
      <c r="L6" s="20"/>
      <c r="M6" s="31"/>
    </row>
    <row r="7" spans="1:13" ht="25" customHeight="1" thickBot="1" x14ac:dyDescent="0.5">
      <c r="B7" s="30"/>
      <c r="C7" s="19"/>
      <c r="D7" s="19"/>
      <c r="E7" s="19"/>
      <c r="F7" s="19"/>
      <c r="G7" s="19"/>
      <c r="H7" s="19"/>
      <c r="I7" s="19"/>
      <c r="J7" s="19"/>
      <c r="K7" s="19"/>
      <c r="L7" s="20"/>
      <c r="M7" s="31"/>
    </row>
    <row r="8" spans="1:13" s="26" customFormat="1" ht="25" customHeight="1" thickBot="1" x14ac:dyDescent="0.5">
      <c r="A8" s="25"/>
      <c r="B8" s="41"/>
      <c r="C8" s="102" t="s">
        <v>153</v>
      </c>
      <c r="D8" s="103" t="s">
        <v>154</v>
      </c>
      <c r="E8" s="104" t="s">
        <v>155</v>
      </c>
      <c r="F8" s="92"/>
      <c r="G8" s="92"/>
      <c r="H8" s="92"/>
      <c r="I8" s="92"/>
      <c r="J8" s="92"/>
      <c r="K8" s="92"/>
      <c r="L8" s="93"/>
      <c r="M8" s="42"/>
    </row>
    <row r="9" spans="1:13" s="26" customFormat="1" ht="25" customHeight="1" x14ac:dyDescent="0.45">
      <c r="A9" s="25"/>
      <c r="B9" s="41"/>
      <c r="C9" s="105" t="s">
        <v>156</v>
      </c>
      <c r="D9" s="106">
        <f>ROUNDUP((국어!$Q7-0.5-100)/20*국어!$H$4+국어!$H$3, 0)</f>
        <v>90</v>
      </c>
      <c r="E9" s="107">
        <f>ROUNDUP((수학!$Q7-0.5-100)/20*수학!$H$4+수학!$H$3, 0)</f>
        <v>84</v>
      </c>
      <c r="F9" s="92"/>
      <c r="G9" s="92"/>
      <c r="H9" s="92"/>
      <c r="I9" s="92"/>
      <c r="J9" s="92"/>
      <c r="K9" s="92"/>
      <c r="L9" s="93"/>
      <c r="M9" s="42"/>
    </row>
    <row r="10" spans="1:13" s="26" customFormat="1" ht="25" customHeight="1" x14ac:dyDescent="0.45">
      <c r="A10" s="25"/>
      <c r="B10" s="41"/>
      <c r="C10" s="108" t="s">
        <v>157</v>
      </c>
      <c r="D10" s="95">
        <f>ROUNDUP((국어!$Q8-0.5-100)/20*국어!$H$4+국어!$H$3, 0)</f>
        <v>82</v>
      </c>
      <c r="E10" s="109">
        <f>ROUNDUP((수학!$Q8-0.5-100)/20*수학!$H$4+수학!$H$3, 0)</f>
        <v>73</v>
      </c>
      <c r="F10" s="92"/>
      <c r="G10" s="92"/>
      <c r="H10" s="92"/>
      <c r="I10" s="92"/>
      <c r="J10" s="92"/>
      <c r="K10" s="92"/>
      <c r="L10" s="93"/>
      <c r="M10" s="42"/>
    </row>
    <row r="11" spans="1:13" s="26" customFormat="1" ht="25" customHeight="1" x14ac:dyDescent="0.45">
      <c r="A11" s="25"/>
      <c r="B11" s="41"/>
      <c r="C11" s="108" t="s">
        <v>158</v>
      </c>
      <c r="D11" s="95">
        <f>ROUNDUP((국어!$Q9-0.5-100)/20*국어!$H$4+국어!$H$3, 0)</f>
        <v>71</v>
      </c>
      <c r="E11" s="109">
        <f>ROUNDUP((수학!$Q9-0.5-100)/20*수학!$H$4+수학!$H$3, 0)</f>
        <v>57</v>
      </c>
      <c r="F11" s="92"/>
      <c r="G11" s="92"/>
      <c r="H11" s="92"/>
      <c r="I11" s="92"/>
      <c r="J11" s="92"/>
      <c r="K11" s="92"/>
      <c r="L11" s="93"/>
      <c r="M11" s="42"/>
    </row>
    <row r="12" spans="1:13" s="26" customFormat="1" ht="25" customHeight="1" x14ac:dyDescent="0.45">
      <c r="A12" s="25"/>
      <c r="B12" s="41"/>
      <c r="C12" s="108" t="s">
        <v>159</v>
      </c>
      <c r="D12" s="95">
        <f>ROUNDUP((국어!$Q10-0.5-100)/20*국어!$H$4+국어!$H$3, 0)</f>
        <v>60</v>
      </c>
      <c r="E12" s="109">
        <f>ROUNDUP((수학!$Q10-0.5-100)/20*수학!$H$4+수학!$H$3, 0)</f>
        <v>38</v>
      </c>
      <c r="F12" s="92"/>
      <c r="G12" s="92"/>
      <c r="H12" s="92"/>
      <c r="I12" s="92"/>
      <c r="J12" s="92"/>
      <c r="K12" s="92"/>
      <c r="L12" s="93"/>
      <c r="M12" s="42"/>
    </row>
    <row r="13" spans="1:13" s="26" customFormat="1" ht="25" customHeight="1" x14ac:dyDescent="0.45">
      <c r="A13" s="25"/>
      <c r="B13" s="41"/>
      <c r="C13" s="108" t="s">
        <v>160</v>
      </c>
      <c r="D13" s="95">
        <f>ROUNDUP((국어!$Q11-0.5-100)/20*국어!$H$4+국어!$H$3, 0)</f>
        <v>46</v>
      </c>
      <c r="E13" s="109">
        <f>ROUNDUP((수학!$Q11-0.5-100)/20*수학!$H$4+수학!$H$3, 0)</f>
        <v>22</v>
      </c>
      <c r="F13" s="92"/>
      <c r="G13" s="92"/>
      <c r="H13" s="92"/>
      <c r="I13" s="92"/>
      <c r="J13" s="92"/>
      <c r="K13" s="92"/>
      <c r="L13" s="93"/>
      <c r="M13" s="42"/>
    </row>
    <row r="14" spans="1:13" s="26" customFormat="1" ht="25" customHeight="1" x14ac:dyDescent="0.45">
      <c r="A14" s="25"/>
      <c r="B14" s="41"/>
      <c r="C14" s="108" t="s">
        <v>161</v>
      </c>
      <c r="D14" s="95">
        <f>ROUNDUP((국어!$Q12-0.5-100)/20*국어!$H$4+국어!$H$3, 0)</f>
        <v>32</v>
      </c>
      <c r="E14" s="109">
        <f>ROUNDUP((수학!$Q12-0.5-100)/20*수학!$H$4+수학!$H$3, 0)</f>
        <v>15</v>
      </c>
      <c r="F14" s="92"/>
      <c r="G14" s="92"/>
      <c r="H14" s="92"/>
      <c r="I14" s="92"/>
      <c r="J14" s="92"/>
      <c r="K14" s="92"/>
      <c r="L14" s="93"/>
      <c r="M14" s="42"/>
    </row>
    <row r="15" spans="1:13" s="26" customFormat="1" ht="25" customHeight="1" x14ac:dyDescent="0.45">
      <c r="A15" s="25"/>
      <c r="B15" s="41"/>
      <c r="C15" s="108" t="s">
        <v>162</v>
      </c>
      <c r="D15" s="95">
        <f>ROUNDUP((국어!$Q13-0.5-100)/20*국어!$H$4+국어!$H$3, 0)</f>
        <v>24</v>
      </c>
      <c r="E15" s="109">
        <f>ROUNDUP((수학!$Q13-0.5-100)/20*수학!$H$4+수학!$H$3, 0)</f>
        <v>12</v>
      </c>
      <c r="F15" s="92"/>
      <c r="G15" s="92"/>
      <c r="H15" s="92"/>
      <c r="I15" s="92"/>
      <c r="J15" s="92"/>
      <c r="K15" s="92"/>
      <c r="L15" s="93"/>
      <c r="M15" s="42"/>
    </row>
    <row r="16" spans="1:13" s="26" customFormat="1" ht="25" customHeight="1" thickBot="1" x14ac:dyDescent="0.5">
      <c r="A16" s="25"/>
      <c r="B16" s="41"/>
      <c r="C16" s="110" t="s">
        <v>163</v>
      </c>
      <c r="D16" s="111">
        <f>ROUNDUP((국어!$Q14-0.5-100)/20*국어!$H$4+국어!$H$3, 0)</f>
        <v>17</v>
      </c>
      <c r="E16" s="112">
        <f>ROUNDUP((수학!$Q14-0.5-100)/20*수학!$H$4+수학!$H$3, 0)</f>
        <v>9</v>
      </c>
      <c r="F16" s="92"/>
      <c r="G16" s="92"/>
      <c r="H16" s="92"/>
      <c r="I16" s="92"/>
      <c r="J16" s="92"/>
      <c r="K16" s="92"/>
      <c r="L16" s="93"/>
      <c r="M16" s="42"/>
    </row>
    <row r="17" spans="1:13" s="26" customFormat="1" ht="25" customHeight="1" x14ac:dyDescent="0.45">
      <c r="A17" s="25"/>
      <c r="B17" s="41"/>
      <c r="C17" s="92"/>
      <c r="D17" s="92"/>
      <c r="E17" s="92"/>
      <c r="F17" s="92"/>
      <c r="G17" s="92"/>
      <c r="H17" s="92"/>
      <c r="I17" s="92"/>
      <c r="J17" s="92"/>
      <c r="K17" s="92"/>
      <c r="L17" s="93"/>
      <c r="M17" s="42"/>
    </row>
    <row r="18" spans="1:13" s="26" customFormat="1" ht="25" customHeight="1" thickBot="1" x14ac:dyDescent="0.5">
      <c r="A18" s="25"/>
      <c r="B18" s="41"/>
      <c r="C18" s="92"/>
      <c r="D18" s="92"/>
      <c r="E18" s="92"/>
      <c r="F18" s="92"/>
      <c r="G18" s="92"/>
      <c r="H18" s="92"/>
      <c r="I18" s="92"/>
      <c r="J18" s="92"/>
      <c r="K18" s="92"/>
      <c r="L18" s="93"/>
      <c r="M18" s="42"/>
    </row>
    <row r="19" spans="1:13" s="26" customFormat="1" ht="25" customHeight="1" thickBot="1" x14ac:dyDescent="0.5">
      <c r="A19" s="25"/>
      <c r="B19" s="41"/>
      <c r="C19" s="113" t="s">
        <v>164</v>
      </c>
      <c r="D19" s="114" t="s">
        <v>165</v>
      </c>
      <c r="E19" s="115" t="s">
        <v>166</v>
      </c>
      <c r="F19" s="115" t="s">
        <v>167</v>
      </c>
      <c r="G19" s="115" t="s">
        <v>168</v>
      </c>
      <c r="H19" s="115" t="s">
        <v>169</v>
      </c>
      <c r="I19" s="115" t="s">
        <v>170</v>
      </c>
      <c r="J19" s="115" t="s">
        <v>171</v>
      </c>
      <c r="K19" s="115" t="s">
        <v>172</v>
      </c>
      <c r="L19" s="104" t="s">
        <v>173</v>
      </c>
      <c r="M19" s="42"/>
    </row>
    <row r="20" spans="1:13" s="26" customFormat="1" ht="25" customHeight="1" x14ac:dyDescent="0.45">
      <c r="A20" s="25"/>
      <c r="B20" s="41"/>
      <c r="C20" s="116" t="s">
        <v>156</v>
      </c>
      <c r="D20" s="95">
        <f>ROUNDUP(('생활과 윤리'!$Q7-0.5-50)/10*'생활과 윤리'!$H$4+'생활과 윤리'!$H$3, 0)</f>
        <v>47</v>
      </c>
      <c r="E20" s="82">
        <f>ROUNDUP(('윤리와 사상'!$Q7-0.5-50)/10*'윤리와 사상'!$H$4+'윤리와 사상'!$H$3, 0)</f>
        <v>42</v>
      </c>
      <c r="F20" s="82">
        <f>ROUNDUP((한국지리!$Q7-0.5-50)/10*한국지리!$H$4+한국지리!$H$3, 0)</f>
        <v>45</v>
      </c>
      <c r="G20" s="82">
        <f>ROUNDUP((세계지리!$Q7-0.5-50)/10*세계지리!$H$4+세계지리!$H$3, 0)</f>
        <v>45</v>
      </c>
      <c r="H20" s="82">
        <f>ROUNDUP((동아시아사!$Q7-0.5-50)/10*동아시아사!$H$4+동아시아사!$H$3, 0)</f>
        <v>45</v>
      </c>
      <c r="I20" s="82">
        <f>ROUNDUP((세계사!$Q7-0.5-50)/10*세계사!$H$4+세계사!$H$3, 0)</f>
        <v>44</v>
      </c>
      <c r="J20" s="82">
        <f>ROUNDUP((경제!$Q7-0.5-50)/10*경제!$H$4+경제!$H$3, 0)</f>
        <v>40</v>
      </c>
      <c r="K20" s="82">
        <f>ROUNDUP(('정치와 법'!$Q7-0.5-50)/10*'정치와 법'!$H$4+'정치와 법'!$H$3, 0)</f>
        <v>45</v>
      </c>
      <c r="L20" s="117">
        <f>ROUNDUP((사회∙문화!$Q7-0.5-50)/10*사회∙문화!$H$4+사회∙문화!$H$3, 0)</f>
        <v>47</v>
      </c>
      <c r="M20" s="42"/>
    </row>
    <row r="21" spans="1:13" s="26" customFormat="1" ht="25" customHeight="1" x14ac:dyDescent="0.45">
      <c r="A21" s="25"/>
      <c r="B21" s="41"/>
      <c r="C21" s="118" t="s">
        <v>157</v>
      </c>
      <c r="D21" s="81">
        <f>ROUNDUP(('생활과 윤리'!$Q8-0.5-50)/10*'생활과 윤리'!$H$4+'생활과 윤리'!$H$3, 0)</f>
        <v>41</v>
      </c>
      <c r="E21" s="119">
        <f>ROUNDUP(('윤리와 사상'!$Q8-0.5-50)/10*'윤리와 사상'!$H$4+'윤리와 사상'!$H$3, 0)</f>
        <v>36</v>
      </c>
      <c r="F21" s="119">
        <f>ROUNDUP((한국지리!$Q8-0.5-50)/10*한국지리!$H$4+한국지리!$H$3, 0)</f>
        <v>39</v>
      </c>
      <c r="G21" s="119">
        <f>ROUNDUP((세계지리!$Q8-0.5-50)/10*세계지리!$H$4+세계지리!$H$3, 0)</f>
        <v>40</v>
      </c>
      <c r="H21" s="119">
        <f>ROUNDUP((동아시아사!$Q8-0.5-50)/10*동아시아사!$H$4+동아시아사!$H$3, 0)</f>
        <v>40</v>
      </c>
      <c r="I21" s="119">
        <f>ROUNDUP((세계사!$Q8-0.5-50)/10*세계사!$H$4+세계사!$H$3, 0)</f>
        <v>36</v>
      </c>
      <c r="J21" s="119">
        <f>ROUNDUP((경제!$Q8-0.5-50)/10*경제!$H$4+경제!$H$3, 0)</f>
        <v>33</v>
      </c>
      <c r="K21" s="119">
        <f>ROUNDUP(('정치와 법'!$Q8-0.5-50)/10*'정치와 법'!$H$4+'정치와 법'!$H$3, 0)</f>
        <v>39</v>
      </c>
      <c r="L21" s="120">
        <f>ROUNDUP((사회∙문화!$Q8-0.5-50)/10*사회∙문화!$H$4+사회∙문화!$H$3, 0)</f>
        <v>42</v>
      </c>
      <c r="M21" s="42"/>
    </row>
    <row r="22" spans="1:13" s="26" customFormat="1" ht="25" customHeight="1" x14ac:dyDescent="0.45">
      <c r="A22" s="25"/>
      <c r="B22" s="41"/>
      <c r="C22" s="118" t="s">
        <v>158</v>
      </c>
      <c r="D22" s="81">
        <f>ROUNDUP(('생활과 윤리'!$Q9-0.5-50)/10*'생활과 윤리'!$H$4+'생활과 윤리'!$H$3, 0)</f>
        <v>36</v>
      </c>
      <c r="E22" s="119">
        <f>ROUNDUP(('윤리와 사상'!$Q9-0.5-50)/10*'윤리와 사상'!$H$4+'윤리와 사상'!$H$3, 0)</f>
        <v>29</v>
      </c>
      <c r="F22" s="119">
        <f>ROUNDUP((한국지리!$Q9-0.5-50)/10*한국지리!$H$4+한국지리!$H$3, 0)</f>
        <v>33</v>
      </c>
      <c r="G22" s="119">
        <f>ROUNDUP((세계지리!$Q9-0.5-50)/10*세계지리!$H$4+세계지리!$H$3, 0)</f>
        <v>34</v>
      </c>
      <c r="H22" s="119">
        <f>ROUNDUP((동아시아사!$Q9-0.5-50)/10*동아시아사!$H$4+동아시아사!$H$3, 0)</f>
        <v>31</v>
      </c>
      <c r="I22" s="119">
        <f>ROUNDUP((세계사!$Q9-0.5-50)/10*세계사!$H$4+세계사!$H$3, 0)</f>
        <v>28</v>
      </c>
      <c r="J22" s="119">
        <f>ROUNDUP((경제!$Q9-0.5-50)/10*경제!$H$4+경제!$H$3, 0)</f>
        <v>27</v>
      </c>
      <c r="K22" s="119">
        <f>ROUNDUP(('정치와 법'!$Q9-0.5-50)/10*'정치와 법'!$H$4+'정치와 법'!$H$3, 0)</f>
        <v>33</v>
      </c>
      <c r="L22" s="120">
        <f>ROUNDUP((사회∙문화!$Q9-0.5-50)/10*사회∙문화!$H$4+사회∙문화!$H$3, 0)</f>
        <v>37</v>
      </c>
      <c r="M22" s="42"/>
    </row>
    <row r="23" spans="1:13" s="26" customFormat="1" ht="25" customHeight="1" x14ac:dyDescent="0.45">
      <c r="A23" s="25"/>
      <c r="B23" s="41"/>
      <c r="C23" s="118" t="s">
        <v>159</v>
      </c>
      <c r="D23" s="81">
        <f>ROUNDUP(('생활과 윤리'!$Q10-0.5-50)/10*'생활과 윤리'!$H$4+'생활과 윤리'!$H$3, 0)</f>
        <v>31</v>
      </c>
      <c r="E23" s="119">
        <f>ROUNDUP(('윤리와 사상'!$Q10-0.5-50)/10*'윤리와 사상'!$H$4+'윤리와 사상'!$H$3, 0)</f>
        <v>22</v>
      </c>
      <c r="F23" s="119">
        <f>ROUNDUP((한국지리!$Q10-0.5-50)/10*한국지리!$H$4+한국지리!$H$3, 0)</f>
        <v>27</v>
      </c>
      <c r="G23" s="119">
        <f>ROUNDUP((세계지리!$Q10-0.5-50)/10*세계지리!$H$4+세계지리!$H$3, 0)</f>
        <v>29</v>
      </c>
      <c r="H23" s="119">
        <f>ROUNDUP((동아시아사!$Q10-0.5-50)/10*동아시아사!$H$4+동아시아사!$H$3, 0)</f>
        <v>23</v>
      </c>
      <c r="I23" s="119">
        <f>ROUNDUP((세계사!$Q10-0.5-50)/10*세계사!$H$4+세계사!$H$3, 0)</f>
        <v>22</v>
      </c>
      <c r="J23" s="119">
        <f>ROUNDUP((경제!$Q10-0.5-50)/10*경제!$H$4+경제!$H$3, 0)</f>
        <v>21</v>
      </c>
      <c r="K23" s="119">
        <f>ROUNDUP(('정치와 법'!$Q10-0.5-50)/10*'정치와 법'!$H$4+'정치와 법'!$H$3, 0)</f>
        <v>27</v>
      </c>
      <c r="L23" s="120">
        <f>ROUNDUP((사회∙문화!$Q10-0.5-50)/10*사회∙문화!$H$4+사회∙문화!$H$3, 0)</f>
        <v>30</v>
      </c>
      <c r="M23" s="42"/>
    </row>
    <row r="24" spans="1:13" s="26" customFormat="1" ht="25" customHeight="1" x14ac:dyDescent="0.45">
      <c r="A24" s="25"/>
      <c r="B24" s="41"/>
      <c r="C24" s="118" t="s">
        <v>160</v>
      </c>
      <c r="D24" s="81">
        <f>ROUNDUP(('생활과 윤리'!$Q11-0.5-50)/10*'생활과 윤리'!$H$4+'생활과 윤리'!$H$3, 0)</f>
        <v>24</v>
      </c>
      <c r="E24" s="119">
        <f>ROUNDUP(('윤리와 사상'!$Q11-0.5-50)/10*'윤리와 사상'!$H$4+'윤리와 사상'!$H$3, 0)</f>
        <v>15</v>
      </c>
      <c r="F24" s="119">
        <f>ROUNDUP((한국지리!$Q11-0.5-50)/10*한국지리!$H$4+한국지리!$H$3, 0)</f>
        <v>20</v>
      </c>
      <c r="G24" s="119">
        <f>ROUNDUP((세계지리!$Q11-0.5-50)/10*세계지리!$H$4+세계지리!$H$3, 0)</f>
        <v>21</v>
      </c>
      <c r="H24" s="119">
        <f>ROUNDUP((동아시아사!$Q11-0.5-50)/10*동아시아사!$H$4+동아시아사!$H$3, 0)</f>
        <v>15</v>
      </c>
      <c r="I24" s="119">
        <f>ROUNDUP((세계사!$Q11-0.5-50)/10*세계사!$H$4+세계사!$H$3, 0)</f>
        <v>16</v>
      </c>
      <c r="J24" s="119">
        <f>ROUNDUP((경제!$Q11-0.5-50)/10*경제!$H$4+경제!$H$3, 0)</f>
        <v>15</v>
      </c>
      <c r="K24" s="119">
        <f>ROUNDUP(('정치와 법'!$Q11-0.5-50)/10*'정치와 법'!$H$4+'정치와 법'!$H$3, 0)</f>
        <v>20</v>
      </c>
      <c r="L24" s="120">
        <f>ROUNDUP((사회∙문화!$Q11-0.5-50)/10*사회∙문화!$H$4+사회∙문화!$H$3, 0)</f>
        <v>22</v>
      </c>
      <c r="M24" s="42"/>
    </row>
    <row r="25" spans="1:13" s="26" customFormat="1" ht="25" customHeight="1" x14ac:dyDescent="0.45">
      <c r="A25" s="25"/>
      <c r="B25" s="41"/>
      <c r="C25" s="118" t="s">
        <v>161</v>
      </c>
      <c r="D25" s="81">
        <f>ROUNDUP(('생활과 윤리'!$Q12-0.5-50)/10*'생활과 윤리'!$H$4+'생활과 윤리'!$H$3, 0)</f>
        <v>15</v>
      </c>
      <c r="E25" s="119">
        <f>ROUNDUP(('윤리와 사상'!$Q12-0.5-50)/10*'윤리와 사상'!$H$4+'윤리와 사상'!$H$3, 0)</f>
        <v>11</v>
      </c>
      <c r="F25" s="119">
        <f>ROUNDUP((한국지리!$Q12-0.5-50)/10*한국지리!$H$4+한국지리!$H$3, 0)</f>
        <v>14</v>
      </c>
      <c r="G25" s="119">
        <f>ROUNDUP((세계지리!$Q12-0.5-50)/10*세계지리!$H$4+세계지리!$H$3, 0)</f>
        <v>14</v>
      </c>
      <c r="H25" s="119">
        <f>ROUNDUP((동아시아사!$Q12-0.5-50)/10*동아시아사!$H$4+동아시아사!$H$3, 0)</f>
        <v>11</v>
      </c>
      <c r="I25" s="119">
        <f>ROUNDUP((세계사!$Q12-0.5-50)/10*세계사!$H$4+세계사!$H$3, 0)</f>
        <v>12</v>
      </c>
      <c r="J25" s="119">
        <f>ROUNDUP((경제!$Q12-0.5-50)/10*경제!$H$4+경제!$H$3, 0)</f>
        <v>12</v>
      </c>
      <c r="K25" s="119">
        <f>ROUNDUP(('정치와 법'!$Q12-0.5-50)/10*'정치와 법'!$H$4+'정치와 법'!$H$3, 0)</f>
        <v>13</v>
      </c>
      <c r="L25" s="120">
        <f>ROUNDUP((사회∙문화!$Q12-0.5-50)/10*사회∙문화!$H$4+사회∙문화!$H$3, 0)</f>
        <v>14</v>
      </c>
      <c r="M25" s="42"/>
    </row>
    <row r="26" spans="1:13" s="26" customFormat="1" ht="25" customHeight="1" x14ac:dyDescent="0.45">
      <c r="A26" s="25"/>
      <c r="B26" s="41"/>
      <c r="C26" s="118" t="s">
        <v>162</v>
      </c>
      <c r="D26" s="81">
        <f>ROUNDUP(('생활과 윤리'!$Q13-0.5-50)/10*'생활과 윤리'!$H$4+'생활과 윤리'!$H$3, 0)</f>
        <v>10</v>
      </c>
      <c r="E26" s="119">
        <f>ROUNDUP(('윤리와 사상'!$Q13-0.5-50)/10*'윤리와 사상'!$H$4+'윤리와 사상'!$H$3, 0)</f>
        <v>7</v>
      </c>
      <c r="F26" s="119">
        <f>ROUNDUP((한국지리!$Q13-0.5-50)/10*한국지리!$H$4+한국지리!$H$3, 0)</f>
        <v>10</v>
      </c>
      <c r="G26" s="119">
        <f>ROUNDUP((세계지리!$Q13-0.5-50)/10*세계지리!$H$4+세계지리!$H$3, 0)</f>
        <v>10</v>
      </c>
      <c r="H26" s="119">
        <f>ROUNDUP((동아시아사!$Q13-0.5-50)/10*동아시아사!$H$4+동아시아사!$H$3, 0)</f>
        <v>7</v>
      </c>
      <c r="I26" s="119">
        <f>ROUNDUP((세계사!$Q13-0.5-50)/10*세계사!$H$4+세계사!$H$3, 0)</f>
        <v>10</v>
      </c>
      <c r="J26" s="119">
        <f>ROUNDUP((경제!$Q13-0.5-50)/10*경제!$H$4+경제!$H$3, 0)</f>
        <v>10</v>
      </c>
      <c r="K26" s="119">
        <f>ROUNDUP(('정치와 법'!$Q13-0.5-50)/10*'정치와 법'!$H$4+'정치와 법'!$H$3, 0)</f>
        <v>8</v>
      </c>
      <c r="L26" s="120">
        <f>ROUNDUP((사회∙문화!$Q13-0.5-50)/10*사회∙문화!$H$4+사회∙문화!$H$3, 0)</f>
        <v>12</v>
      </c>
      <c r="M26" s="42"/>
    </row>
    <row r="27" spans="1:13" s="26" customFormat="1" ht="25" customHeight="1" thickBot="1" x14ac:dyDescent="0.5">
      <c r="A27" s="25"/>
      <c r="B27" s="41"/>
      <c r="C27" s="121" t="s">
        <v>163</v>
      </c>
      <c r="D27" s="122">
        <f>ROUNDUP(('생활과 윤리'!$Q14-0.5-50)/10*'생활과 윤리'!$H$4+'생활과 윤리'!$H$3, 0)</f>
        <v>8</v>
      </c>
      <c r="E27" s="123">
        <f>ROUNDUP(('윤리와 사상'!$Q14-0.5-50)/10*'윤리와 사상'!$H$4+'윤리와 사상'!$H$3, 0)</f>
        <v>6</v>
      </c>
      <c r="F27" s="123">
        <f>ROUNDUP((한국지리!$Q14-0.5-50)/10*한국지리!$H$4+한국지리!$H$3, 0)</f>
        <v>8</v>
      </c>
      <c r="G27" s="123">
        <f>ROUNDUP((세계지리!$Q14-0.5-50)/10*세계지리!$H$4+세계지리!$H$3, 0)</f>
        <v>7</v>
      </c>
      <c r="H27" s="123">
        <f>ROUNDUP((동아시아사!$Q14-0.5-50)/10*동아시아사!$H$4+동아시아사!$H$3, 0)</f>
        <v>4</v>
      </c>
      <c r="I27" s="123">
        <f>ROUNDUP((세계사!$Q14-0.5-50)/10*세계사!$H$4+세계사!$H$3, 0)</f>
        <v>7</v>
      </c>
      <c r="J27" s="123">
        <f>ROUNDUP((경제!$Q14-0.5-50)/10*경제!$H$4+경제!$H$3, 0)</f>
        <v>6</v>
      </c>
      <c r="K27" s="123">
        <f>ROUNDUP(('정치와 법'!$Q14-0.5-50)/10*'정치와 법'!$H$4+'정치와 법'!$H$3, 0)</f>
        <v>5</v>
      </c>
      <c r="L27" s="124">
        <f>ROUNDUP((사회∙문화!$Q14-0.5-50)/10*사회∙문화!$H$4+사회∙문화!$H$3, 0)</f>
        <v>8</v>
      </c>
      <c r="M27" s="42"/>
    </row>
    <row r="28" spans="1:13" s="26" customFormat="1" ht="25" customHeight="1" x14ac:dyDescent="0.45">
      <c r="A28" s="25"/>
      <c r="B28" s="41"/>
      <c r="C28" s="92"/>
      <c r="D28" s="92"/>
      <c r="E28" s="92"/>
      <c r="F28" s="92"/>
      <c r="G28" s="92"/>
      <c r="H28" s="92"/>
      <c r="I28" s="92"/>
      <c r="J28" s="92"/>
      <c r="K28" s="92"/>
      <c r="L28" s="93"/>
      <c r="M28" s="42"/>
    </row>
    <row r="29" spans="1:13" s="26" customFormat="1" ht="25" customHeight="1" thickBot="1" x14ac:dyDescent="0.5">
      <c r="A29" s="25"/>
      <c r="B29" s="41"/>
      <c r="C29" s="92"/>
      <c r="D29" s="92"/>
      <c r="E29" s="92"/>
      <c r="F29" s="92"/>
      <c r="G29" s="92"/>
      <c r="H29" s="92"/>
      <c r="I29" s="92"/>
      <c r="J29" s="92"/>
      <c r="K29" s="92"/>
      <c r="L29" s="93"/>
      <c r="M29" s="42"/>
    </row>
    <row r="30" spans="1:13" s="26" customFormat="1" ht="25" customHeight="1" thickBot="1" x14ac:dyDescent="0.5">
      <c r="A30" s="25"/>
      <c r="B30" s="41"/>
      <c r="C30" s="102" t="s">
        <v>174</v>
      </c>
      <c r="D30" s="103" t="s">
        <v>175</v>
      </c>
      <c r="E30" s="115" t="s">
        <v>176</v>
      </c>
      <c r="F30" s="103" t="s">
        <v>177</v>
      </c>
      <c r="G30" s="104" t="s">
        <v>178</v>
      </c>
      <c r="H30" s="92"/>
      <c r="I30" s="92"/>
      <c r="J30" s="93"/>
      <c r="K30" s="93"/>
      <c r="L30" s="93"/>
      <c r="M30" s="42"/>
    </row>
    <row r="31" spans="1:13" s="26" customFormat="1" ht="25" customHeight="1" x14ac:dyDescent="0.45">
      <c r="A31" s="25"/>
      <c r="B31" s="41"/>
      <c r="C31" s="105" t="s">
        <v>156</v>
      </c>
      <c r="D31" s="125">
        <f>ROUNDUP((물리학Ⅰ!$Q7-0.5-50)/10*물리학Ⅰ!$H$4+물리학Ⅰ!$H$3, 0)</f>
        <v>46</v>
      </c>
      <c r="E31" s="125">
        <f>ROUNDUP((화학Ⅰ!$Q7-0.5-50)/10*화학Ⅰ!$H$4+화학Ⅰ!$H$3, 0)</f>
        <v>44</v>
      </c>
      <c r="F31" s="125">
        <f>ROUNDUP((생명과학Ⅰ!$Q7-0.5-50)/10*생명과학Ⅰ!$H$4+생명과학Ⅰ!$H$3, 0)</f>
        <v>45</v>
      </c>
      <c r="G31" s="107">
        <f>ROUNDUP((지구과학Ⅰ!$Q7-0.5-50)/10*지구과학Ⅰ!$H$4+지구과학Ⅰ!$H$3, 0)</f>
        <v>45</v>
      </c>
      <c r="H31" s="92"/>
      <c r="I31" s="92"/>
      <c r="J31" s="93"/>
      <c r="K31" s="93"/>
      <c r="L31" s="93"/>
      <c r="M31" s="42"/>
    </row>
    <row r="32" spans="1:13" s="26" customFormat="1" ht="25" customHeight="1" x14ac:dyDescent="0.45">
      <c r="A32" s="25"/>
      <c r="B32" s="41"/>
      <c r="C32" s="108" t="s">
        <v>157</v>
      </c>
      <c r="D32" s="126">
        <f>ROUNDUP((물리학Ⅰ!$Q8-0.5-50)/10*물리학Ⅰ!$H$4+물리학Ⅰ!$H$3, 0)</f>
        <v>40</v>
      </c>
      <c r="E32" s="126">
        <f>ROUNDUP((화학Ⅰ!$Q8-0.5-50)/10*화학Ⅰ!$H$4+화학Ⅰ!$H$3, 0)</f>
        <v>37</v>
      </c>
      <c r="F32" s="126">
        <f>ROUNDUP((생명과학Ⅰ!$Q8-0.5-50)/10*생명과학Ⅰ!$H$4+생명과학Ⅰ!$H$3, 0)</f>
        <v>40</v>
      </c>
      <c r="G32" s="109">
        <f>ROUNDUP((지구과학Ⅰ!$Q8-0.5-50)/10*지구과학Ⅰ!$H$4+지구과학Ⅰ!$H$3, 0)</f>
        <v>38</v>
      </c>
      <c r="H32" s="92"/>
      <c r="I32" s="92"/>
      <c r="J32" s="93"/>
      <c r="K32" s="93"/>
      <c r="L32" s="93"/>
      <c r="M32" s="42"/>
    </row>
    <row r="33" spans="1:14" s="26" customFormat="1" ht="25" customHeight="1" x14ac:dyDescent="0.45">
      <c r="A33" s="25"/>
      <c r="B33" s="41"/>
      <c r="C33" s="108" t="s">
        <v>158</v>
      </c>
      <c r="D33" s="126">
        <f>ROUNDUP((물리학Ⅰ!$Q9-0.5-50)/10*물리학Ⅰ!$H$4+물리학Ⅰ!$H$3, 0)</f>
        <v>32</v>
      </c>
      <c r="E33" s="126">
        <f>ROUNDUP((화학Ⅰ!$Q9-0.5-50)/10*화학Ⅰ!$H$4+화학Ⅰ!$H$3, 0)</f>
        <v>30</v>
      </c>
      <c r="F33" s="126">
        <f>ROUNDUP((생명과학Ⅰ!$Q9-0.5-50)/10*생명과학Ⅰ!$H$4+생명과학Ⅰ!$H$3, 0)</f>
        <v>33</v>
      </c>
      <c r="G33" s="109">
        <f>ROUNDUP((지구과학Ⅰ!$Q9-0.5-50)/10*지구과학Ⅰ!$H$4+지구과학Ⅰ!$H$3, 0)</f>
        <v>31</v>
      </c>
      <c r="H33" s="92"/>
      <c r="I33" s="92"/>
      <c r="J33" s="93"/>
      <c r="K33" s="93"/>
      <c r="L33" s="93"/>
      <c r="M33" s="42"/>
    </row>
    <row r="34" spans="1:14" s="26" customFormat="1" ht="25" customHeight="1" x14ac:dyDescent="0.45">
      <c r="A34" s="25"/>
      <c r="B34" s="41"/>
      <c r="C34" s="108" t="s">
        <v>159</v>
      </c>
      <c r="D34" s="126">
        <f>ROUNDUP((물리학Ⅰ!$Q10-0.5-50)/10*물리학Ⅰ!$H$4+물리학Ⅰ!$H$3, 0)</f>
        <v>24</v>
      </c>
      <c r="E34" s="126">
        <f>ROUNDUP((화학Ⅰ!$Q10-0.5-50)/10*화학Ⅰ!$H$4+화학Ⅰ!$H$3, 0)</f>
        <v>23</v>
      </c>
      <c r="F34" s="126">
        <f>ROUNDUP((생명과학Ⅰ!$Q10-0.5-50)/10*생명과학Ⅰ!$H$4+생명과학Ⅰ!$H$3, 0)</f>
        <v>26</v>
      </c>
      <c r="G34" s="109">
        <f>ROUNDUP((지구과학Ⅰ!$Q10-0.5-50)/10*지구과학Ⅰ!$H$4+지구과학Ⅰ!$H$3, 0)</f>
        <v>22</v>
      </c>
      <c r="H34" s="92"/>
      <c r="I34" s="92"/>
      <c r="J34" s="93"/>
      <c r="K34" s="93"/>
      <c r="L34" s="93"/>
      <c r="M34" s="42"/>
    </row>
    <row r="35" spans="1:14" s="26" customFormat="1" ht="25" customHeight="1" x14ac:dyDescent="0.45">
      <c r="A35" s="25"/>
      <c r="B35" s="41"/>
      <c r="C35" s="108" t="s">
        <v>160</v>
      </c>
      <c r="D35" s="126">
        <f>ROUNDUP((물리학Ⅰ!$Q11-0.5-50)/10*물리학Ⅰ!$H$4+물리학Ⅰ!$H$3, 0)</f>
        <v>17</v>
      </c>
      <c r="E35" s="126">
        <f>ROUNDUP((화학Ⅰ!$Q11-0.5-50)/10*화학Ⅰ!$H$4+화학Ⅰ!$H$3, 0)</f>
        <v>18</v>
      </c>
      <c r="F35" s="126">
        <f>ROUNDUP((생명과학Ⅰ!$Q11-0.5-50)/10*생명과학Ⅰ!$H$4+생명과학Ⅰ!$H$3, 0)</f>
        <v>20</v>
      </c>
      <c r="G35" s="109">
        <f>ROUNDUP((지구과학Ⅰ!$Q11-0.5-50)/10*지구과학Ⅰ!$H$4+지구과학Ⅰ!$H$3, 0)</f>
        <v>15</v>
      </c>
      <c r="H35" s="92"/>
      <c r="I35" s="92"/>
      <c r="J35" s="93"/>
      <c r="K35" s="93"/>
      <c r="L35" s="93"/>
      <c r="M35" s="42"/>
    </row>
    <row r="36" spans="1:14" s="26" customFormat="1" ht="25" customHeight="1" x14ac:dyDescent="0.45">
      <c r="A36" s="25"/>
      <c r="B36" s="41"/>
      <c r="C36" s="108" t="s">
        <v>161</v>
      </c>
      <c r="D36" s="126">
        <f>ROUNDUP((물리학Ⅰ!$Q12-0.5-50)/10*물리학Ⅰ!$H$4+물리학Ⅰ!$H$3, 0)</f>
        <v>12</v>
      </c>
      <c r="E36" s="126">
        <f>ROUNDUP((화학Ⅰ!$Q12-0.5-50)/10*화학Ⅰ!$H$4+화학Ⅰ!$H$3, 0)</f>
        <v>14</v>
      </c>
      <c r="F36" s="126">
        <f>ROUNDUP((생명과학Ⅰ!$Q12-0.5-50)/10*생명과학Ⅰ!$H$4+생명과학Ⅰ!$H$3, 0)</f>
        <v>15</v>
      </c>
      <c r="G36" s="109">
        <f>ROUNDUP((지구과학Ⅰ!$Q12-0.5-50)/10*지구과학Ⅰ!$H$4+지구과학Ⅰ!$H$3, 0)</f>
        <v>11</v>
      </c>
      <c r="H36" s="92"/>
      <c r="I36" s="92"/>
      <c r="J36" s="93"/>
      <c r="K36" s="93"/>
      <c r="L36" s="93"/>
      <c r="M36" s="42"/>
    </row>
    <row r="37" spans="1:14" s="26" customFormat="1" ht="25" customHeight="1" x14ac:dyDescent="0.45">
      <c r="A37" s="25"/>
      <c r="B37" s="41"/>
      <c r="C37" s="108" t="s">
        <v>162</v>
      </c>
      <c r="D37" s="126">
        <f>ROUNDUP((물리학Ⅰ!$Q13-0.5-50)/10*물리학Ⅰ!$H$4+물리학Ⅰ!$H$3, 0)</f>
        <v>8</v>
      </c>
      <c r="E37" s="126">
        <f>ROUNDUP((화학Ⅰ!$Q13-0.5-50)/10*화학Ⅰ!$H$4+화학Ⅰ!$H$3, 0)</f>
        <v>11</v>
      </c>
      <c r="F37" s="126">
        <f>ROUNDUP((생명과학Ⅰ!$Q13-0.5-50)/10*생명과학Ⅰ!$H$4+생명과학Ⅰ!$H$3, 0)</f>
        <v>11</v>
      </c>
      <c r="G37" s="109">
        <f>ROUNDUP((지구과학Ⅰ!$Q13-0.5-50)/10*지구과학Ⅰ!$H$4+지구과학Ⅰ!$H$3, 0)</f>
        <v>8</v>
      </c>
      <c r="H37" s="92"/>
      <c r="I37" s="92"/>
      <c r="J37" s="93"/>
      <c r="K37" s="93"/>
      <c r="L37" s="93"/>
      <c r="M37" s="42"/>
    </row>
    <row r="38" spans="1:14" s="26" customFormat="1" ht="25" customHeight="1" thickBot="1" x14ac:dyDescent="0.5">
      <c r="A38" s="25"/>
      <c r="B38" s="41"/>
      <c r="C38" s="110" t="s">
        <v>163</v>
      </c>
      <c r="D38" s="127">
        <f>ROUNDUP((물리학Ⅰ!$Q14-0.5-50)/10*물리학Ⅰ!$H$4+물리학Ⅰ!$H$3, 0)</f>
        <v>7</v>
      </c>
      <c r="E38" s="127">
        <f>ROUNDUP((화학Ⅰ!$Q14-0.5-50)/10*화학Ⅰ!$H$4+화학Ⅰ!$H$3, 0)</f>
        <v>8</v>
      </c>
      <c r="F38" s="127">
        <f>ROUNDUP((생명과학Ⅰ!$Q14-0.5-50)/10*생명과학Ⅰ!$H$4+생명과학Ⅰ!$H$3, 0)</f>
        <v>8</v>
      </c>
      <c r="G38" s="112">
        <f>ROUNDUP((지구과학Ⅰ!$Q14-0.5-50)/10*지구과학Ⅰ!$H$4+지구과학Ⅰ!$H$3, 0)</f>
        <v>6</v>
      </c>
      <c r="H38" s="92"/>
      <c r="I38" s="92"/>
      <c r="J38" s="93"/>
      <c r="K38" s="93"/>
      <c r="L38" s="93"/>
      <c r="M38" s="42"/>
    </row>
    <row r="39" spans="1:14" s="26" customFormat="1" ht="25" customHeight="1" x14ac:dyDescent="0.45">
      <c r="A39" s="25"/>
      <c r="B39" s="41"/>
      <c r="C39" s="92"/>
      <c r="D39" s="92"/>
      <c r="E39" s="92"/>
      <c r="F39" s="92"/>
      <c r="G39" s="92"/>
      <c r="H39" s="92"/>
      <c r="I39" s="92"/>
      <c r="J39" s="92"/>
      <c r="K39" s="92"/>
      <c r="L39" s="93"/>
      <c r="M39" s="42"/>
    </row>
    <row r="40" spans="1:14" s="26" customFormat="1" ht="25" customHeight="1" thickBot="1" x14ac:dyDescent="0.5">
      <c r="A40" s="25"/>
      <c r="B40" s="41"/>
      <c r="C40" s="92"/>
      <c r="D40" s="92"/>
      <c r="E40" s="92"/>
      <c r="F40" s="92"/>
      <c r="G40" s="92"/>
      <c r="H40" s="92"/>
      <c r="I40" s="92"/>
      <c r="J40" s="92"/>
      <c r="K40" s="92"/>
      <c r="L40" s="93"/>
      <c r="M40" s="42"/>
    </row>
    <row r="41" spans="1:14" s="26" customFormat="1" ht="40" customHeight="1" thickBot="1" x14ac:dyDescent="0.5">
      <c r="A41" s="25"/>
      <c r="B41" s="41"/>
      <c r="C41" s="102" t="s">
        <v>179</v>
      </c>
      <c r="D41" s="128" t="s">
        <v>180</v>
      </c>
      <c r="E41" s="129" t="s">
        <v>181</v>
      </c>
      <c r="F41" s="129" t="s">
        <v>182</v>
      </c>
      <c r="G41" s="129" t="s">
        <v>183</v>
      </c>
      <c r="H41" s="130" t="s">
        <v>184</v>
      </c>
      <c r="I41" s="131" t="s">
        <v>185</v>
      </c>
      <c r="J41" s="92"/>
      <c r="K41" s="92"/>
      <c r="L41" s="93"/>
      <c r="M41" s="42"/>
      <c r="N41" s="25"/>
    </row>
    <row r="42" spans="1:14" s="26" customFormat="1" ht="25" customHeight="1" x14ac:dyDescent="0.45">
      <c r="A42" s="25"/>
      <c r="B42" s="41"/>
      <c r="C42" s="116" t="s">
        <v>156</v>
      </c>
      <c r="D42" s="95">
        <f>ROUNDUP(('성공적인 직업생활'!$Q7-0.5-50)/10*'성공적인 직업생활'!$H$4+'성공적인 직업생활'!$H$3, 0)</f>
        <v>35</v>
      </c>
      <c r="E42" s="82">
        <f>ROUNDUP(('농업 기초 기술'!$Q7-0.5-50)/10*'농업 기초 기술'!$H$4+'농업 기초 기술'!$H$3, 0)</f>
        <v>29</v>
      </c>
      <c r="F42" s="82">
        <f>ROUNDUP(('공업 일반'!$Q7-0.5-50)/10*'공업 일반'!$H$4+'공업 일반'!$H$3, 0)</f>
        <v>35</v>
      </c>
      <c r="G42" s="82">
        <f>ROUNDUP(('상업 경제'!$Q7-0.5-50)/10*'상업 경제'!$H$4+'상업 경제'!$H$3, 0)</f>
        <v>40</v>
      </c>
      <c r="H42" s="82">
        <f>ROUNDUP(('수산∙해운 산업 기초'!$Q7-0.5-50)/10*'수산∙해운 산업 기초'!$H$4+'수산∙해운 산업 기초'!$H$3, 0)</f>
        <v>24</v>
      </c>
      <c r="I42" s="117">
        <f>ROUNDUP(('인간 발달'!$Q7-0.5-50)/10*'인간 발달'!$H$4+'인간 발달'!$H$3, 0)</f>
        <v>37</v>
      </c>
      <c r="J42" s="92"/>
      <c r="K42" s="92"/>
      <c r="L42" s="93"/>
      <c r="M42" s="42"/>
    </row>
    <row r="43" spans="1:14" s="26" customFormat="1" ht="25" customHeight="1" x14ac:dyDescent="0.45">
      <c r="A43" s="25"/>
      <c r="B43" s="41"/>
      <c r="C43" s="118" t="s">
        <v>157</v>
      </c>
      <c r="D43" s="81">
        <f>ROUNDUP(('성공적인 직업생활'!$Q8-0.5-50)/10*'성공적인 직업생활'!$H$4+'성공적인 직업생활'!$H$3, 0)</f>
        <v>30</v>
      </c>
      <c r="E43" s="119">
        <f>ROUNDUP(('농업 기초 기술'!$Q8-0.5-50)/10*'농업 기초 기술'!$H$4+'농업 기초 기술'!$H$3, 0)</f>
        <v>23</v>
      </c>
      <c r="F43" s="119">
        <f>ROUNDUP(('공업 일반'!$Q8-0.5-50)/10*'공업 일반'!$H$4+'공업 일반'!$H$3, 0)</f>
        <v>31</v>
      </c>
      <c r="G43" s="119">
        <f>ROUNDUP(('상업 경제'!$Q8-0.5-50)/10*'상업 경제'!$H$4+'상업 경제'!$H$3, 0)</f>
        <v>33</v>
      </c>
      <c r="H43" s="119">
        <f>ROUNDUP(('수산∙해운 산업 기초'!$Q8-0.5-50)/10*'수산∙해운 산업 기초'!$H$4+'수산∙해운 산업 기초'!$H$3, 0)</f>
        <v>18</v>
      </c>
      <c r="I43" s="120">
        <f>ROUNDUP(('인간 발달'!$Q8-0.5-50)/10*'인간 발달'!$H$4+'인간 발달'!$H$3, 0)</f>
        <v>33</v>
      </c>
      <c r="J43" s="92"/>
      <c r="K43" s="92"/>
      <c r="L43" s="93"/>
      <c r="M43" s="42"/>
    </row>
    <row r="44" spans="1:14" s="26" customFormat="1" ht="25" customHeight="1" x14ac:dyDescent="0.45">
      <c r="A44" s="25"/>
      <c r="B44" s="41"/>
      <c r="C44" s="118" t="s">
        <v>158</v>
      </c>
      <c r="D44" s="81">
        <f>ROUNDUP(('성공적인 직업생활'!$Q9-0.5-50)/10*'성공적인 직업생활'!$H$4+'성공적인 직업생활'!$H$3, 0)</f>
        <v>26</v>
      </c>
      <c r="E44" s="119">
        <f>ROUNDUP(('농업 기초 기술'!$Q9-0.5-50)/10*'농업 기초 기술'!$H$4+'농업 기초 기술'!$H$3, 0)</f>
        <v>18</v>
      </c>
      <c r="F44" s="119">
        <f>ROUNDUP(('공업 일반'!$Q9-0.5-50)/10*'공업 일반'!$H$4+'공업 일반'!$H$3, 0)</f>
        <v>26</v>
      </c>
      <c r="G44" s="119">
        <f>ROUNDUP(('상업 경제'!$Q9-0.5-50)/10*'상업 경제'!$H$4+'상업 경제'!$H$3, 0)</f>
        <v>25</v>
      </c>
      <c r="H44" s="119">
        <f>ROUNDUP(('수산∙해운 산업 기초'!$Q9-0.5-50)/10*'수산∙해운 산업 기초'!$H$4+'수산∙해운 산업 기초'!$H$3, 0)</f>
        <v>14</v>
      </c>
      <c r="I44" s="120">
        <f>ROUNDUP(('인간 발달'!$Q9-0.5-50)/10*'인간 발달'!$H$4+'인간 발달'!$H$3, 0)</f>
        <v>29</v>
      </c>
      <c r="J44" s="92"/>
      <c r="K44" s="92"/>
      <c r="L44" s="93"/>
      <c r="M44" s="42"/>
    </row>
    <row r="45" spans="1:14" s="26" customFormat="1" ht="25" customHeight="1" x14ac:dyDescent="0.45">
      <c r="A45" s="25"/>
      <c r="B45" s="41"/>
      <c r="C45" s="118" t="s">
        <v>159</v>
      </c>
      <c r="D45" s="81">
        <f>ROUNDUP(('성공적인 직업생활'!$Q10-0.5-50)/10*'성공적인 직업생활'!$H$4+'성공적인 직업생활'!$H$3, 0)</f>
        <v>22</v>
      </c>
      <c r="E45" s="119">
        <f>ROUNDUP(('농업 기초 기술'!$Q10-0.5-50)/10*'농업 기초 기술'!$H$4+'농업 기초 기술'!$H$3, 0)</f>
        <v>13</v>
      </c>
      <c r="F45" s="119">
        <f>ROUNDUP(('공업 일반'!$Q10-0.5-50)/10*'공업 일반'!$H$4+'공업 일반'!$H$3, 0)</f>
        <v>20</v>
      </c>
      <c r="G45" s="119">
        <f>ROUNDUP(('상업 경제'!$Q10-0.5-50)/10*'상업 경제'!$H$4+'상업 경제'!$H$3, 0)</f>
        <v>19</v>
      </c>
      <c r="H45" s="119">
        <f>ROUNDUP(('수산∙해운 산업 기초'!$Q10-0.5-50)/10*'수산∙해운 산업 기초'!$H$4+'수산∙해운 산업 기초'!$H$3, 0)</f>
        <v>10</v>
      </c>
      <c r="I45" s="120">
        <f>ROUNDUP(('인간 발달'!$Q10-0.5-50)/10*'인간 발달'!$H$4+'인간 발달'!$H$3, 0)</f>
        <v>25</v>
      </c>
      <c r="J45" s="92"/>
      <c r="K45" s="92"/>
      <c r="L45" s="93"/>
      <c r="M45" s="42"/>
    </row>
    <row r="46" spans="1:14" s="26" customFormat="1" ht="25" customHeight="1" x14ac:dyDescent="0.45">
      <c r="A46" s="25"/>
      <c r="B46" s="41"/>
      <c r="C46" s="118" t="s">
        <v>160</v>
      </c>
      <c r="D46" s="81">
        <f>ROUNDUP(('성공적인 직업생활'!$Q11-0.5-50)/10*'성공적인 직업생활'!$H$4+'성공적인 직업생활'!$H$3, 0)</f>
        <v>16</v>
      </c>
      <c r="E46" s="119">
        <f>ROUNDUP(('농업 기초 기술'!$Q11-0.5-50)/10*'농업 기초 기술'!$H$4+'농업 기초 기술'!$H$3, 0)</f>
        <v>10</v>
      </c>
      <c r="F46" s="119">
        <f>ROUNDUP(('공업 일반'!$Q11-0.5-50)/10*'공업 일반'!$H$4+'공업 일반'!$H$3, 0)</f>
        <v>13</v>
      </c>
      <c r="G46" s="119">
        <f>ROUNDUP(('상업 경제'!$Q11-0.5-50)/10*'상업 경제'!$H$4+'상업 경제'!$H$3, 0)</f>
        <v>13</v>
      </c>
      <c r="H46" s="119">
        <f>ROUNDUP(('수산∙해운 산업 기초'!$Q11-0.5-50)/10*'수산∙해운 산업 기초'!$H$4+'수산∙해운 산업 기초'!$H$3, 0)</f>
        <v>7</v>
      </c>
      <c r="I46" s="120">
        <f>ROUNDUP(('인간 발달'!$Q11-0.5-50)/10*'인간 발달'!$H$4+'인간 발달'!$H$3, 0)</f>
        <v>18</v>
      </c>
      <c r="J46" s="92"/>
      <c r="K46" s="92"/>
      <c r="L46" s="93"/>
      <c r="M46" s="42"/>
    </row>
    <row r="47" spans="1:14" s="26" customFormat="1" ht="25" customHeight="1" x14ac:dyDescent="0.45">
      <c r="A47" s="25"/>
      <c r="B47" s="41"/>
      <c r="C47" s="118" t="s">
        <v>161</v>
      </c>
      <c r="D47" s="81">
        <f>ROUNDUP(('성공적인 직업생활'!$Q12-0.5-50)/10*'성공적인 직업생활'!$H$4+'성공적인 직업생활'!$H$3, 0)</f>
        <v>12</v>
      </c>
      <c r="E47" s="119">
        <f>ROUNDUP(('농업 기초 기술'!$Q12-0.5-50)/10*'농업 기초 기술'!$H$4+'농업 기초 기술'!$H$3, 0)</f>
        <v>9</v>
      </c>
      <c r="F47" s="119">
        <f>ROUNDUP(('공업 일반'!$Q12-0.5-50)/10*'공업 일반'!$H$4+'공업 일반'!$H$3, 0)</f>
        <v>11</v>
      </c>
      <c r="G47" s="119">
        <f>ROUNDUP(('상업 경제'!$Q12-0.5-50)/10*'상업 경제'!$H$4+'상업 경제'!$H$3, 0)</f>
        <v>10</v>
      </c>
      <c r="H47" s="119" t="s">
        <v>192</v>
      </c>
      <c r="I47" s="120">
        <f>ROUNDUP(('인간 발달'!$Q12-0.5-50)/10*'인간 발달'!$H$4+'인간 발달'!$H$3, 0)</f>
        <v>13</v>
      </c>
      <c r="J47" s="92"/>
      <c r="K47" s="92"/>
      <c r="L47" s="93"/>
      <c r="M47" s="42"/>
    </row>
    <row r="48" spans="1:14" s="26" customFormat="1" ht="25" customHeight="1" x14ac:dyDescent="0.45">
      <c r="A48" s="25"/>
      <c r="B48" s="41"/>
      <c r="C48" s="118" t="s">
        <v>162</v>
      </c>
      <c r="D48" s="81">
        <f>ROUNDUP(('성공적인 직업생활'!$Q13-0.5-50)/10*'성공적인 직업생활'!$H$4+'성공적인 직업생활'!$H$3, 0)</f>
        <v>10</v>
      </c>
      <c r="E48" s="119">
        <f>ROUNDUP(('농업 기초 기술'!$Q13-0.5-50)/10*'농업 기초 기술'!$H$4+'농업 기초 기술'!$H$3, 0)</f>
        <v>7</v>
      </c>
      <c r="F48" s="119">
        <f>ROUNDUP(('공업 일반'!$Q13-0.5-50)/10*'공업 일반'!$H$4+'공업 일반'!$H$3, 0)</f>
        <v>8</v>
      </c>
      <c r="G48" s="119">
        <f>ROUNDUP(('상업 경제'!$Q13-0.5-50)/10*'상업 경제'!$H$4+'상업 경제'!$H$3, 0)</f>
        <v>7</v>
      </c>
      <c r="H48" s="119">
        <f>ROUNDUP(('수산∙해운 산업 기초'!$Q13-0.5-50)/10*'수산∙해운 산업 기초'!$H$4+'수산∙해운 산업 기초'!$H$3, 0)</f>
        <v>5</v>
      </c>
      <c r="I48" s="120">
        <f>ROUNDUP(('인간 발달'!$Q13-0.5-50)/10*'인간 발달'!$H$4+'인간 발달'!$H$3, 0)</f>
        <v>9</v>
      </c>
      <c r="J48" s="92"/>
      <c r="K48" s="92"/>
      <c r="L48" s="93"/>
      <c r="M48" s="42"/>
    </row>
    <row r="49" spans="1:13" s="26" customFormat="1" ht="25" customHeight="1" thickBot="1" x14ac:dyDescent="0.5">
      <c r="A49" s="25"/>
      <c r="B49" s="41"/>
      <c r="C49" s="121" t="s">
        <v>163</v>
      </c>
      <c r="D49" s="122">
        <f>ROUNDUP(('성공적인 직업생활'!$Q14-0.5-50)/10*'성공적인 직업생활'!$H$4+'성공적인 직업생활'!$H$3, 0)</f>
        <v>7</v>
      </c>
      <c r="E49" s="123">
        <f>ROUNDUP(('농업 기초 기술'!$Q14-0.5-50)/10*'농업 기초 기술'!$H$4+'농업 기초 기술'!$H$3, 0)</f>
        <v>4</v>
      </c>
      <c r="F49" s="123">
        <f>ROUNDUP(('공업 일반'!$Q14-0.5-50)/10*'공업 일반'!$H$4+'공업 일반'!$H$3, 0)</f>
        <v>5</v>
      </c>
      <c r="G49" s="123">
        <f>ROUNDUP(('상업 경제'!$Q14-0.5-50)/10*'상업 경제'!$H$4+'상업 경제'!$H$3, 0)</f>
        <v>5</v>
      </c>
      <c r="H49" s="123">
        <v>0</v>
      </c>
      <c r="I49" s="124">
        <f>ROUNDUP(('인간 발달'!$Q14-0.5-50)/10*'인간 발달'!$H$4+'인간 발달'!$H$3, 0)</f>
        <v>5</v>
      </c>
      <c r="J49" s="92"/>
      <c r="K49" s="92"/>
      <c r="L49" s="93"/>
      <c r="M49" s="42"/>
    </row>
    <row r="50" spans="1:13" ht="6" customHeight="1" x14ac:dyDescent="0.45">
      <c r="B50" s="32"/>
      <c r="C50" s="43"/>
      <c r="D50" s="44"/>
      <c r="E50" s="44"/>
      <c r="F50" s="44"/>
      <c r="G50" s="44"/>
      <c r="H50" s="44"/>
      <c r="I50" s="44"/>
      <c r="J50" s="44"/>
      <c r="K50" s="44"/>
      <c r="L50" s="33"/>
      <c r="M50" s="34"/>
    </row>
    <row r="51" spans="1:13" x14ac:dyDescent="0.45">
      <c r="B51" s="5"/>
      <c r="C51" s="17"/>
      <c r="D51" s="3"/>
      <c r="E51" s="3"/>
      <c r="F51" s="3"/>
      <c r="G51" s="3"/>
      <c r="H51" s="3"/>
      <c r="I51" s="3"/>
      <c r="J51" s="3"/>
      <c r="K51" s="3"/>
      <c r="L51" s="5"/>
      <c r="M51" s="5"/>
    </row>
  </sheetData>
  <mergeCells count="2">
    <mergeCell ref="D4:G4"/>
    <mergeCell ref="D5:G5"/>
  </mergeCells>
  <phoneticPr fontId="1" type="noConversion"/>
  <pageMargins left="0.7" right="0.7" top="0.75" bottom="0.75" header="0.3" footer="0.3"/>
  <pageSetup paperSize="9" scale="72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D216C-9AAB-456B-86CB-4EB399850395}">
  <sheetPr codeName="Sheet30"/>
  <dimension ref="A1:L16"/>
  <sheetViews>
    <sheetView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기능'!D27</f>
        <v>32.117808219178002</v>
      </c>
      <c r="I3" s="21" t="s">
        <v>117</v>
      </c>
      <c r="J3" s="58">
        <f>'통계 및 응시자 수 입력 기능'!C27</f>
        <v>365</v>
      </c>
      <c r="K3" s="31"/>
    </row>
    <row r="4" spans="1:12" ht="25" customHeight="1" thickBot="1" x14ac:dyDescent="0.5">
      <c r="A4" s="5"/>
      <c r="B4" s="30"/>
      <c r="C4" s="59" t="s">
        <v>118</v>
      </c>
      <c r="D4" s="207" t="s">
        <v>105</v>
      </c>
      <c r="E4" s="192"/>
      <c r="F4" s="193"/>
      <c r="G4" s="60" t="s">
        <v>120</v>
      </c>
      <c r="H4" s="61">
        <f>'통계 및 응시자 수 입력 기능'!E27</f>
        <v>12.346363698108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0"/>
      <c r="J5" s="20"/>
      <c r="K5" s="31"/>
    </row>
    <row r="6" spans="1:12" ht="25" customHeight="1" thickBot="1" x14ac:dyDescent="0.5">
      <c r="A6" s="5"/>
      <c r="B6" s="30"/>
      <c r="C6" s="62" t="s">
        <v>186</v>
      </c>
      <c r="D6" s="132" t="s">
        <v>187</v>
      </c>
      <c r="E6" s="133" t="s">
        <v>188</v>
      </c>
      <c r="F6" s="63" t="s">
        <v>189</v>
      </c>
      <c r="G6" s="63" t="s">
        <v>190</v>
      </c>
      <c r="H6" s="65" t="s">
        <v>191</v>
      </c>
      <c r="I6" s="20"/>
      <c r="J6" s="20"/>
      <c r="K6" s="31"/>
      <c r="L6" s="5"/>
    </row>
    <row r="7" spans="1:12" ht="25" customHeight="1" x14ac:dyDescent="0.45">
      <c r="A7" s="5"/>
      <c r="B7" s="30"/>
      <c r="C7" s="134">
        <v>1</v>
      </c>
      <c r="D7" s="135">
        <v>45</v>
      </c>
      <c r="E7" s="136">
        <f>'표점등급&amp;절평인원 입력 기능'!D211</f>
        <v>63</v>
      </c>
      <c r="F7" s="137">
        <f>E7/$J$3</f>
        <v>0.17260273972602741</v>
      </c>
      <c r="G7" s="138">
        <f>SUM($E$7:E7)</f>
        <v>63</v>
      </c>
      <c r="H7" s="139">
        <f>G7/$J$3</f>
        <v>0.17260273972602741</v>
      </c>
      <c r="I7" s="20"/>
      <c r="J7" s="20"/>
      <c r="K7" s="31"/>
      <c r="L7" s="5"/>
    </row>
    <row r="8" spans="1:12" ht="25" customHeight="1" x14ac:dyDescent="0.45">
      <c r="A8" s="5"/>
      <c r="B8" s="30"/>
      <c r="C8" s="140">
        <v>2</v>
      </c>
      <c r="D8" s="141">
        <v>40</v>
      </c>
      <c r="E8" s="142">
        <f>'표점등급&amp;절평인원 입력 기능'!D212</f>
        <v>73</v>
      </c>
      <c r="F8" s="143">
        <f t="shared" ref="F8:F15" si="0">E8/$J$3</f>
        <v>0.2</v>
      </c>
      <c r="G8" s="144">
        <f>SUM($E$7:E8)</f>
        <v>136</v>
      </c>
      <c r="H8" s="145">
        <f t="shared" ref="H8:H15" si="1">G8/$J$3</f>
        <v>0.37260273972602742</v>
      </c>
      <c r="I8" s="20"/>
      <c r="J8" s="20"/>
      <c r="K8" s="31"/>
      <c r="L8" s="5"/>
    </row>
    <row r="9" spans="1:12" ht="25" customHeight="1" x14ac:dyDescent="0.45">
      <c r="A9" s="5"/>
      <c r="B9" s="30"/>
      <c r="C9" s="140">
        <v>3</v>
      </c>
      <c r="D9" s="141">
        <v>35</v>
      </c>
      <c r="E9" s="142">
        <f>'표점등급&amp;절평인원 입력 기능'!D213</f>
        <v>52</v>
      </c>
      <c r="F9" s="143">
        <f t="shared" si="0"/>
        <v>0.14246575342465753</v>
      </c>
      <c r="G9" s="144">
        <f>SUM($E$7:E9)</f>
        <v>188</v>
      </c>
      <c r="H9" s="145">
        <f t="shared" si="1"/>
        <v>0.51506849315068493</v>
      </c>
      <c r="I9" s="20"/>
      <c r="J9" s="20"/>
      <c r="K9" s="31"/>
      <c r="L9" s="5"/>
    </row>
    <row r="10" spans="1:12" ht="25" customHeight="1" x14ac:dyDescent="0.45">
      <c r="A10" s="5"/>
      <c r="B10" s="30"/>
      <c r="C10" s="140">
        <v>4</v>
      </c>
      <c r="D10" s="141">
        <v>30</v>
      </c>
      <c r="E10" s="142">
        <f>'표점등급&amp;절평인원 입력 기능'!D214</f>
        <v>34</v>
      </c>
      <c r="F10" s="143">
        <f t="shared" si="0"/>
        <v>9.3150684931506855E-2</v>
      </c>
      <c r="G10" s="144">
        <f>SUM($E$7:E10)</f>
        <v>222</v>
      </c>
      <c r="H10" s="145">
        <f t="shared" si="1"/>
        <v>0.60821917808219184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40">
        <v>5</v>
      </c>
      <c r="D11" s="141">
        <v>25</v>
      </c>
      <c r="E11" s="142">
        <f>'표점등급&amp;절평인원 입력 기능'!D215</f>
        <v>34</v>
      </c>
      <c r="F11" s="143">
        <f t="shared" si="0"/>
        <v>9.3150684931506855E-2</v>
      </c>
      <c r="G11" s="144">
        <f>SUM($E$7:E11)</f>
        <v>256</v>
      </c>
      <c r="H11" s="145">
        <f t="shared" si="1"/>
        <v>0.70136986301369864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40">
        <v>6</v>
      </c>
      <c r="D12" s="141">
        <v>20</v>
      </c>
      <c r="E12" s="142">
        <f>'표점등급&amp;절평인원 입력 기능'!D216</f>
        <v>44</v>
      </c>
      <c r="F12" s="143">
        <f t="shared" si="0"/>
        <v>0.12054794520547946</v>
      </c>
      <c r="G12" s="144">
        <f>SUM($E$7:E12)</f>
        <v>300</v>
      </c>
      <c r="H12" s="145">
        <f t="shared" si="1"/>
        <v>0.82191780821917804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40">
        <v>7</v>
      </c>
      <c r="D13" s="141">
        <v>15</v>
      </c>
      <c r="E13" s="142">
        <f>'표점등급&amp;절평인원 입력 기능'!D217</f>
        <v>17</v>
      </c>
      <c r="F13" s="143">
        <f t="shared" si="0"/>
        <v>4.6575342465753428E-2</v>
      </c>
      <c r="G13" s="144">
        <f>SUM($E$7:E13)</f>
        <v>317</v>
      </c>
      <c r="H13" s="145">
        <f t="shared" si="1"/>
        <v>0.86849315068493149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40">
        <v>8</v>
      </c>
      <c r="D14" s="141">
        <v>10</v>
      </c>
      <c r="E14" s="142">
        <f>'표점등급&amp;절평인원 입력 기능'!D218</f>
        <v>31</v>
      </c>
      <c r="F14" s="143">
        <f t="shared" si="0"/>
        <v>8.4931506849315067E-2</v>
      </c>
      <c r="G14" s="144">
        <f>SUM($E$7:E14)</f>
        <v>348</v>
      </c>
      <c r="H14" s="145">
        <f t="shared" si="1"/>
        <v>0.95342465753424654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46">
        <v>9</v>
      </c>
      <c r="D15" s="147">
        <v>0</v>
      </c>
      <c r="E15" s="148">
        <f>'표점등급&amp;절평인원 입력 기능'!D219</f>
        <v>17</v>
      </c>
      <c r="F15" s="149">
        <f t="shared" si="0"/>
        <v>4.6575342465753428E-2</v>
      </c>
      <c r="G15" s="150">
        <f>SUM($E$7:E15)</f>
        <v>365</v>
      </c>
      <c r="H15" s="151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2">
    <mergeCell ref="D3:F3"/>
    <mergeCell ref="D4:F4"/>
  </mergeCells>
  <phoneticPr fontId="1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4DDAA-EBC2-4A73-845E-EE4171B2E1E7}">
  <sheetPr codeName="Sheet31"/>
  <dimension ref="A1:L16"/>
  <sheetViews>
    <sheetView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기능'!D28</f>
        <v>34.027149321266897</v>
      </c>
      <c r="I3" s="21" t="s">
        <v>117</v>
      </c>
      <c r="J3" s="58">
        <f>'통계 및 응시자 수 입력 기능'!C28</f>
        <v>442</v>
      </c>
      <c r="K3" s="31"/>
    </row>
    <row r="4" spans="1:12" ht="25" customHeight="1" thickBot="1" x14ac:dyDescent="0.5">
      <c r="A4" s="5"/>
      <c r="B4" s="30"/>
      <c r="C4" s="59" t="s">
        <v>118</v>
      </c>
      <c r="D4" s="207" t="s">
        <v>106</v>
      </c>
      <c r="E4" s="192"/>
      <c r="F4" s="193"/>
      <c r="G4" s="60" t="s">
        <v>120</v>
      </c>
      <c r="H4" s="61">
        <f>'통계 및 응시자 수 입력 기능'!E28</f>
        <v>9.4356206538043494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0"/>
      <c r="J5" s="20"/>
      <c r="K5" s="31"/>
    </row>
    <row r="6" spans="1:12" ht="25" customHeight="1" thickBot="1" x14ac:dyDescent="0.5">
      <c r="A6" s="5"/>
      <c r="B6" s="30"/>
      <c r="C6" s="62" t="s">
        <v>186</v>
      </c>
      <c r="D6" s="132" t="s">
        <v>187</v>
      </c>
      <c r="E6" s="133" t="s">
        <v>188</v>
      </c>
      <c r="F6" s="63" t="s">
        <v>189</v>
      </c>
      <c r="G6" s="63" t="s">
        <v>190</v>
      </c>
      <c r="H6" s="65" t="s">
        <v>191</v>
      </c>
      <c r="I6" s="20"/>
      <c r="J6" s="20"/>
      <c r="K6" s="31"/>
      <c r="L6" s="5"/>
    </row>
    <row r="7" spans="1:12" ht="25" customHeight="1" x14ac:dyDescent="0.45">
      <c r="A7" s="5"/>
      <c r="B7" s="30"/>
      <c r="C7" s="152">
        <v>1</v>
      </c>
      <c r="D7" s="153">
        <v>45</v>
      </c>
      <c r="E7" s="136">
        <f>'표점등급&amp;절평인원 입력 기능'!D220</f>
        <v>43</v>
      </c>
      <c r="F7" s="137">
        <f>E7/$J$3</f>
        <v>9.7285067873303169E-2</v>
      </c>
      <c r="G7" s="138">
        <f>SUM($E$7:E7)</f>
        <v>43</v>
      </c>
      <c r="H7" s="139">
        <f>G7/$J$3</f>
        <v>9.7285067873303169E-2</v>
      </c>
      <c r="I7" s="20"/>
      <c r="J7" s="20"/>
      <c r="K7" s="31"/>
      <c r="L7" s="5"/>
    </row>
    <row r="8" spans="1:12" ht="25" customHeight="1" x14ac:dyDescent="0.45">
      <c r="A8" s="5"/>
      <c r="B8" s="30"/>
      <c r="C8" s="154">
        <v>2</v>
      </c>
      <c r="D8" s="155">
        <v>40</v>
      </c>
      <c r="E8" s="142">
        <f>'표점등급&amp;절평인원 입력 기능'!D221</f>
        <v>99</v>
      </c>
      <c r="F8" s="143">
        <f t="shared" ref="F8:F15" si="0">E8/$J$3</f>
        <v>0.2239819004524887</v>
      </c>
      <c r="G8" s="144">
        <f>SUM($E$7:E8)</f>
        <v>142</v>
      </c>
      <c r="H8" s="145">
        <f t="shared" ref="H8:H15" si="1">G8/$J$3</f>
        <v>0.32126696832579188</v>
      </c>
      <c r="I8" s="20"/>
      <c r="J8" s="20"/>
      <c r="K8" s="31"/>
      <c r="L8" s="5"/>
    </row>
    <row r="9" spans="1:12" ht="25" customHeight="1" x14ac:dyDescent="0.45">
      <c r="A9" s="5"/>
      <c r="B9" s="30"/>
      <c r="C9" s="154">
        <v>3</v>
      </c>
      <c r="D9" s="155">
        <v>35</v>
      </c>
      <c r="E9" s="142">
        <f>'표점등급&amp;절평인원 입력 기능'!D222</f>
        <v>111</v>
      </c>
      <c r="F9" s="143">
        <f t="shared" si="0"/>
        <v>0.25113122171945701</v>
      </c>
      <c r="G9" s="144">
        <f>SUM($E$7:E9)</f>
        <v>253</v>
      </c>
      <c r="H9" s="145">
        <f t="shared" si="1"/>
        <v>0.57239819004524883</v>
      </c>
      <c r="I9" s="20"/>
      <c r="J9" s="20"/>
      <c r="K9" s="31"/>
      <c r="L9" s="5"/>
    </row>
    <row r="10" spans="1:12" ht="25" customHeight="1" x14ac:dyDescent="0.45">
      <c r="A10" s="5"/>
      <c r="B10" s="30"/>
      <c r="C10" s="154">
        <v>4</v>
      </c>
      <c r="D10" s="155">
        <v>30</v>
      </c>
      <c r="E10" s="142">
        <f>'표점등급&amp;절평인원 입력 기능'!D223</f>
        <v>63</v>
      </c>
      <c r="F10" s="143">
        <f t="shared" si="0"/>
        <v>0.1425339366515837</v>
      </c>
      <c r="G10" s="144">
        <f>SUM($E$7:E10)</f>
        <v>316</v>
      </c>
      <c r="H10" s="145">
        <f t="shared" si="1"/>
        <v>0.71493212669683259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54">
        <v>5</v>
      </c>
      <c r="D11" s="155">
        <v>25</v>
      </c>
      <c r="E11" s="142">
        <f>'표점등급&amp;절평인원 입력 기능'!D224</f>
        <v>54</v>
      </c>
      <c r="F11" s="143">
        <f t="shared" si="0"/>
        <v>0.12217194570135746</v>
      </c>
      <c r="G11" s="144">
        <f>SUM($E$7:E11)</f>
        <v>370</v>
      </c>
      <c r="H11" s="145">
        <f t="shared" si="1"/>
        <v>0.83710407239819007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54">
        <v>6</v>
      </c>
      <c r="D12" s="155">
        <v>20</v>
      </c>
      <c r="E12" s="142">
        <f>'표점등급&amp;절평인원 입력 기능'!D225</f>
        <v>31</v>
      </c>
      <c r="F12" s="143">
        <f t="shared" si="0"/>
        <v>7.0135746606334842E-2</v>
      </c>
      <c r="G12" s="144">
        <f>SUM($E$7:E12)</f>
        <v>401</v>
      </c>
      <c r="H12" s="145">
        <f t="shared" si="1"/>
        <v>0.90723981900452488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54">
        <v>7</v>
      </c>
      <c r="D13" s="155">
        <v>15</v>
      </c>
      <c r="E13" s="142">
        <f>'표점등급&amp;절평인원 입력 기능'!D226</f>
        <v>21</v>
      </c>
      <c r="F13" s="143">
        <f t="shared" si="0"/>
        <v>4.7511312217194568E-2</v>
      </c>
      <c r="G13" s="144">
        <f>SUM($E$7:E13)</f>
        <v>422</v>
      </c>
      <c r="H13" s="145">
        <f t="shared" si="1"/>
        <v>0.95475113122171951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54">
        <v>8</v>
      </c>
      <c r="D14" s="155">
        <v>10</v>
      </c>
      <c r="E14" s="142">
        <f>'표점등급&amp;절평인원 입력 기능'!D227</f>
        <v>13</v>
      </c>
      <c r="F14" s="143">
        <f t="shared" si="0"/>
        <v>2.9411764705882353E-2</v>
      </c>
      <c r="G14" s="144">
        <f>SUM($E$7:E14)</f>
        <v>435</v>
      </c>
      <c r="H14" s="145">
        <f t="shared" si="1"/>
        <v>0.98416289592760176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56">
        <v>9</v>
      </c>
      <c r="D15" s="157">
        <v>0</v>
      </c>
      <c r="E15" s="148">
        <f>'표점등급&amp;절평인원 입력 기능'!D228</f>
        <v>7</v>
      </c>
      <c r="F15" s="149">
        <f t="shared" si="0"/>
        <v>1.5837104072398189E-2</v>
      </c>
      <c r="G15" s="150">
        <f>SUM($E$7:E15)</f>
        <v>442</v>
      </c>
      <c r="H15" s="151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2">
    <mergeCell ref="D3:F3"/>
    <mergeCell ref="D4:F4"/>
  </mergeCells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E8AA0-FEB9-4477-BA30-0657D1291FBB}">
  <sheetPr codeName="Sheet32"/>
  <dimension ref="A1:L16"/>
  <sheetViews>
    <sheetView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기능'!D29</f>
        <v>34.345493562231702</v>
      </c>
      <c r="I3" s="21" t="s">
        <v>117</v>
      </c>
      <c r="J3" s="58">
        <f>'통계 및 응시자 수 입력 기능'!C29</f>
        <v>466</v>
      </c>
      <c r="K3" s="31"/>
    </row>
    <row r="4" spans="1:12" ht="25" customHeight="1" thickBot="1" x14ac:dyDescent="0.5">
      <c r="A4" s="5"/>
      <c r="B4" s="30"/>
      <c r="C4" s="59" t="s">
        <v>118</v>
      </c>
      <c r="D4" s="207" t="s">
        <v>108</v>
      </c>
      <c r="E4" s="192"/>
      <c r="F4" s="193"/>
      <c r="G4" s="60" t="s">
        <v>120</v>
      </c>
      <c r="H4" s="61">
        <f>'통계 및 응시자 수 입력 기능'!E29</f>
        <v>10.9743532014361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0"/>
      <c r="J5" s="20"/>
      <c r="K5" s="31"/>
    </row>
    <row r="6" spans="1:12" ht="25" customHeight="1" thickBot="1" x14ac:dyDescent="0.5">
      <c r="A6" s="5"/>
      <c r="B6" s="30"/>
      <c r="C6" s="62" t="s">
        <v>186</v>
      </c>
      <c r="D6" s="132" t="s">
        <v>187</v>
      </c>
      <c r="E6" s="133" t="s">
        <v>188</v>
      </c>
      <c r="F6" s="63" t="s">
        <v>189</v>
      </c>
      <c r="G6" s="63" t="s">
        <v>190</v>
      </c>
      <c r="H6" s="65" t="s">
        <v>191</v>
      </c>
      <c r="I6" s="20"/>
      <c r="J6" s="20"/>
      <c r="K6" s="31"/>
      <c r="L6" s="5"/>
    </row>
    <row r="7" spans="1:12" ht="25" customHeight="1" x14ac:dyDescent="0.45">
      <c r="A7" s="5"/>
      <c r="B7" s="30"/>
      <c r="C7" s="134">
        <v>1</v>
      </c>
      <c r="D7" s="135">
        <v>45</v>
      </c>
      <c r="E7" s="136">
        <f>'표점등급&amp;절평인원 입력 기능'!D229</f>
        <v>90</v>
      </c>
      <c r="F7" s="137">
        <f>E7/$J$3</f>
        <v>0.19313304721030042</v>
      </c>
      <c r="G7" s="138">
        <f>SUM($E$7:E7)</f>
        <v>90</v>
      </c>
      <c r="H7" s="139">
        <f>G7/$J$3</f>
        <v>0.19313304721030042</v>
      </c>
      <c r="I7" s="20"/>
      <c r="J7" s="20"/>
      <c r="K7" s="31"/>
      <c r="L7" s="5"/>
    </row>
    <row r="8" spans="1:12" ht="25" customHeight="1" x14ac:dyDescent="0.45">
      <c r="A8" s="5"/>
      <c r="B8" s="30"/>
      <c r="C8" s="140">
        <v>2</v>
      </c>
      <c r="D8" s="141">
        <v>40</v>
      </c>
      <c r="E8" s="142">
        <f>'표점등급&amp;절평인원 입력 기능'!D230</f>
        <v>102</v>
      </c>
      <c r="F8" s="143">
        <f t="shared" ref="F8:F15" si="0">E8/$J$3</f>
        <v>0.21888412017167383</v>
      </c>
      <c r="G8" s="144">
        <f>SUM($E$7:E8)</f>
        <v>192</v>
      </c>
      <c r="H8" s="145">
        <f t="shared" ref="H8:H15" si="1">G8/$J$3</f>
        <v>0.41201716738197425</v>
      </c>
      <c r="I8" s="20"/>
      <c r="J8" s="20"/>
      <c r="K8" s="31"/>
      <c r="L8" s="5"/>
    </row>
    <row r="9" spans="1:12" ht="25" customHeight="1" x14ac:dyDescent="0.45">
      <c r="A9" s="5"/>
      <c r="B9" s="30"/>
      <c r="C9" s="140">
        <v>3</v>
      </c>
      <c r="D9" s="141">
        <v>35</v>
      </c>
      <c r="E9" s="142">
        <f>'표점등급&amp;절평인원 입력 기능'!D231</f>
        <v>77</v>
      </c>
      <c r="F9" s="143">
        <f t="shared" si="0"/>
        <v>0.16523605150214593</v>
      </c>
      <c r="G9" s="144">
        <f>SUM($E$7:E9)</f>
        <v>269</v>
      </c>
      <c r="H9" s="145">
        <f t="shared" si="1"/>
        <v>0.57725321888412018</v>
      </c>
      <c r="I9" s="20"/>
      <c r="J9" s="20"/>
      <c r="K9" s="31"/>
      <c r="L9" s="5"/>
    </row>
    <row r="10" spans="1:12" ht="25" customHeight="1" x14ac:dyDescent="0.45">
      <c r="A10" s="5"/>
      <c r="B10" s="30"/>
      <c r="C10" s="140">
        <v>4</v>
      </c>
      <c r="D10" s="141">
        <v>30</v>
      </c>
      <c r="E10" s="142">
        <f>'표점등급&amp;절평인원 입력 기능'!D232</f>
        <v>55</v>
      </c>
      <c r="F10" s="143">
        <f t="shared" si="0"/>
        <v>0.11802575107296137</v>
      </c>
      <c r="G10" s="144">
        <f>SUM($E$7:E10)</f>
        <v>324</v>
      </c>
      <c r="H10" s="145">
        <f t="shared" si="1"/>
        <v>0.69527896995708149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40">
        <v>5</v>
      </c>
      <c r="D11" s="141">
        <v>25</v>
      </c>
      <c r="E11" s="142">
        <f>'표점등급&amp;절평인원 입력 기능'!D233</f>
        <v>45</v>
      </c>
      <c r="F11" s="143">
        <f t="shared" si="0"/>
        <v>9.6566523605150209E-2</v>
      </c>
      <c r="G11" s="144">
        <f>SUM($E$7:E11)</f>
        <v>369</v>
      </c>
      <c r="H11" s="145">
        <f t="shared" si="1"/>
        <v>0.79184549356223177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40">
        <v>6</v>
      </c>
      <c r="D12" s="141">
        <v>20</v>
      </c>
      <c r="E12" s="142">
        <f>'표점등급&amp;절평인원 입력 기능'!D234</f>
        <v>40</v>
      </c>
      <c r="F12" s="143">
        <f t="shared" si="0"/>
        <v>8.5836909871244635E-2</v>
      </c>
      <c r="G12" s="144">
        <f>SUM($E$7:E12)</f>
        <v>409</v>
      </c>
      <c r="H12" s="145">
        <f t="shared" si="1"/>
        <v>0.87768240343347637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40">
        <v>7</v>
      </c>
      <c r="D13" s="141">
        <v>15</v>
      </c>
      <c r="E13" s="142">
        <f>'표점등급&amp;절평인원 입력 기능'!D235</f>
        <v>28</v>
      </c>
      <c r="F13" s="143">
        <f t="shared" si="0"/>
        <v>6.0085836909871244E-2</v>
      </c>
      <c r="G13" s="144">
        <f>SUM($E$7:E13)</f>
        <v>437</v>
      </c>
      <c r="H13" s="145">
        <f t="shared" si="1"/>
        <v>0.9377682403433476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40">
        <v>8</v>
      </c>
      <c r="D14" s="141">
        <v>10</v>
      </c>
      <c r="E14" s="142">
        <f>'표점등급&amp;절평인원 입력 기능'!D236</f>
        <v>25</v>
      </c>
      <c r="F14" s="143">
        <f t="shared" si="0"/>
        <v>5.3648068669527899E-2</v>
      </c>
      <c r="G14" s="144">
        <f>SUM($E$7:E14)</f>
        <v>462</v>
      </c>
      <c r="H14" s="145">
        <f t="shared" si="1"/>
        <v>0.99141630901287559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46">
        <v>9</v>
      </c>
      <c r="D15" s="147">
        <v>0</v>
      </c>
      <c r="E15" s="148">
        <f>'표점등급&amp;절평인원 입력 기능'!D237</f>
        <v>4</v>
      </c>
      <c r="F15" s="149">
        <f t="shared" si="0"/>
        <v>8.5836909871244635E-3</v>
      </c>
      <c r="G15" s="150">
        <f>SUM($E$7:E15)</f>
        <v>466</v>
      </c>
      <c r="H15" s="151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2">
    <mergeCell ref="D3:F3"/>
    <mergeCell ref="D4:F4"/>
  </mergeCells>
  <phoneticPr fontId="1" type="noConversion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6AA01-2400-473B-A1E4-51FC3A2400A3}">
  <sheetPr codeName="Sheet33"/>
  <dimension ref="A1:L16"/>
  <sheetViews>
    <sheetView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기능'!D30</f>
        <v>32.5216240070609</v>
      </c>
      <c r="I3" s="21" t="s">
        <v>117</v>
      </c>
      <c r="J3" s="58">
        <f>'통계 및 응시자 수 입력 기능'!C30</f>
        <v>1133</v>
      </c>
      <c r="K3" s="31"/>
    </row>
    <row r="4" spans="1:12" ht="25" customHeight="1" thickBot="1" x14ac:dyDescent="0.5">
      <c r="A4" s="5"/>
      <c r="B4" s="30"/>
      <c r="C4" s="59" t="s">
        <v>118</v>
      </c>
      <c r="D4" s="207" t="s">
        <v>110</v>
      </c>
      <c r="E4" s="192"/>
      <c r="F4" s="193"/>
      <c r="G4" s="60" t="s">
        <v>120</v>
      </c>
      <c r="H4" s="61">
        <f>'통계 및 응시자 수 입력 기능'!E30</f>
        <v>10.858583883939099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0"/>
      <c r="J5" s="20"/>
      <c r="K5" s="31"/>
    </row>
    <row r="6" spans="1:12" ht="25" customHeight="1" thickBot="1" x14ac:dyDescent="0.5">
      <c r="A6" s="5"/>
      <c r="B6" s="30"/>
      <c r="C6" s="62" t="s">
        <v>186</v>
      </c>
      <c r="D6" s="132" t="s">
        <v>187</v>
      </c>
      <c r="E6" s="133" t="s">
        <v>188</v>
      </c>
      <c r="F6" s="63" t="s">
        <v>189</v>
      </c>
      <c r="G6" s="63" t="s">
        <v>190</v>
      </c>
      <c r="H6" s="65" t="s">
        <v>191</v>
      </c>
      <c r="I6" s="20"/>
      <c r="J6" s="20"/>
      <c r="K6" s="31"/>
      <c r="L6" s="5"/>
    </row>
    <row r="7" spans="1:12" ht="25" customHeight="1" x14ac:dyDescent="0.45">
      <c r="A7" s="5"/>
      <c r="B7" s="30"/>
      <c r="C7" s="134">
        <v>1</v>
      </c>
      <c r="D7" s="135">
        <v>45</v>
      </c>
      <c r="E7" s="136">
        <f>'표점등급&amp;절평인원 입력 기능'!D238</f>
        <v>133</v>
      </c>
      <c r="F7" s="137">
        <f>E7/$J$3</f>
        <v>0.11738746690203</v>
      </c>
      <c r="G7" s="138">
        <f>SUM($E$7:E7)</f>
        <v>133</v>
      </c>
      <c r="H7" s="139">
        <f>G7/$J$3</f>
        <v>0.11738746690203</v>
      </c>
      <c r="I7" s="20"/>
      <c r="J7" s="20"/>
      <c r="K7" s="31"/>
      <c r="L7" s="5"/>
    </row>
    <row r="8" spans="1:12" ht="25" customHeight="1" x14ac:dyDescent="0.45">
      <c r="A8" s="5"/>
      <c r="B8" s="30"/>
      <c r="C8" s="140">
        <v>2</v>
      </c>
      <c r="D8" s="141">
        <v>40</v>
      </c>
      <c r="E8" s="142">
        <f>'표점등급&amp;절평인원 입력 기능'!D239</f>
        <v>240</v>
      </c>
      <c r="F8" s="143">
        <f t="shared" ref="F8:F15" si="0">E8/$J$3</f>
        <v>0.21182700794351281</v>
      </c>
      <c r="G8" s="144">
        <f>SUM($E$7:E8)</f>
        <v>373</v>
      </c>
      <c r="H8" s="145">
        <f t="shared" ref="H8:H15" si="1">G8/$J$3</f>
        <v>0.32921447484554278</v>
      </c>
      <c r="I8" s="20"/>
      <c r="J8" s="20"/>
      <c r="K8" s="31"/>
      <c r="L8" s="5"/>
    </row>
    <row r="9" spans="1:12" ht="25" customHeight="1" x14ac:dyDescent="0.45">
      <c r="A9" s="5"/>
      <c r="B9" s="30"/>
      <c r="C9" s="140">
        <v>3</v>
      </c>
      <c r="D9" s="141">
        <v>35</v>
      </c>
      <c r="E9" s="142">
        <f>'표점등급&amp;절평인원 입력 기능'!D240</f>
        <v>186</v>
      </c>
      <c r="F9" s="143">
        <f t="shared" si="0"/>
        <v>0.16416593115622241</v>
      </c>
      <c r="G9" s="144">
        <f>SUM($E$7:E9)</f>
        <v>559</v>
      </c>
      <c r="H9" s="145">
        <f t="shared" si="1"/>
        <v>0.49338040600176525</v>
      </c>
      <c r="I9" s="20"/>
      <c r="J9" s="20"/>
      <c r="K9" s="31"/>
      <c r="L9" s="5"/>
    </row>
    <row r="10" spans="1:12" ht="25" customHeight="1" x14ac:dyDescent="0.45">
      <c r="A10" s="5"/>
      <c r="B10" s="30"/>
      <c r="C10" s="140">
        <v>4</v>
      </c>
      <c r="D10" s="141">
        <v>30</v>
      </c>
      <c r="E10" s="142">
        <f>'표점등급&amp;절평인원 입력 기능'!D241</f>
        <v>177</v>
      </c>
      <c r="F10" s="143">
        <f t="shared" si="0"/>
        <v>0.15622241835834069</v>
      </c>
      <c r="G10" s="144">
        <f>SUM($E$7:E10)</f>
        <v>736</v>
      </c>
      <c r="H10" s="145">
        <f t="shared" si="1"/>
        <v>0.64960282436010597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40">
        <v>5</v>
      </c>
      <c r="D11" s="141">
        <v>25</v>
      </c>
      <c r="E11" s="142">
        <f>'표점등급&amp;절평인원 입력 기능'!D242</f>
        <v>127</v>
      </c>
      <c r="F11" s="143">
        <f t="shared" si="0"/>
        <v>0.11209179170344219</v>
      </c>
      <c r="G11" s="144">
        <f>SUM($E$7:E11)</f>
        <v>863</v>
      </c>
      <c r="H11" s="145">
        <f t="shared" si="1"/>
        <v>0.76169461606354816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40">
        <v>6</v>
      </c>
      <c r="D12" s="141">
        <v>20</v>
      </c>
      <c r="E12" s="142">
        <f>'표점등급&amp;절평인원 입력 기능'!D243</f>
        <v>99</v>
      </c>
      <c r="F12" s="143">
        <f t="shared" si="0"/>
        <v>8.7378640776699032E-2</v>
      </c>
      <c r="G12" s="144">
        <f>SUM($E$7:E12)</f>
        <v>962</v>
      </c>
      <c r="H12" s="145">
        <f t="shared" si="1"/>
        <v>0.84907325684024715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40">
        <v>7</v>
      </c>
      <c r="D13" s="141">
        <v>15</v>
      </c>
      <c r="E13" s="142">
        <f>'표점등급&amp;절평인원 입력 기능'!D244</f>
        <v>78</v>
      </c>
      <c r="F13" s="143">
        <f t="shared" si="0"/>
        <v>6.884377758164166E-2</v>
      </c>
      <c r="G13" s="144">
        <f>SUM($E$7:E13)</f>
        <v>1040</v>
      </c>
      <c r="H13" s="145">
        <f t="shared" si="1"/>
        <v>0.91791703442188877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40">
        <v>8</v>
      </c>
      <c r="D14" s="141">
        <v>10</v>
      </c>
      <c r="E14" s="142">
        <f>'표점등급&amp;절평인원 입력 기능'!D245</f>
        <v>69</v>
      </c>
      <c r="F14" s="143">
        <f t="shared" si="0"/>
        <v>6.0900264783759928E-2</v>
      </c>
      <c r="G14" s="144">
        <f>SUM($E$7:E14)</f>
        <v>1109</v>
      </c>
      <c r="H14" s="145">
        <f t="shared" si="1"/>
        <v>0.97881729920564875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46">
        <v>9</v>
      </c>
      <c r="D15" s="147">
        <v>0</v>
      </c>
      <c r="E15" s="148">
        <f>'표점등급&amp;절평인원 입력 기능'!D246</f>
        <v>24</v>
      </c>
      <c r="F15" s="149">
        <f t="shared" si="0"/>
        <v>2.1182700794351281E-2</v>
      </c>
      <c r="G15" s="150">
        <f>SUM($E$7:E15)</f>
        <v>1133</v>
      </c>
      <c r="H15" s="151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2">
    <mergeCell ref="D3:F3"/>
    <mergeCell ref="D4:F4"/>
  </mergeCells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5102-27E8-48EF-A367-B3DDC8D8FE89}">
  <sheetPr codeName="Sheet34"/>
  <dimension ref="A1:L16"/>
  <sheetViews>
    <sheetView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기능'!D31</f>
        <v>28.560283687943201</v>
      </c>
      <c r="I3" s="21" t="s">
        <v>117</v>
      </c>
      <c r="J3" s="58">
        <f>'통계 및 응시자 수 입력 기능'!C31</f>
        <v>846</v>
      </c>
      <c r="K3" s="31"/>
    </row>
    <row r="4" spans="1:12" ht="25" customHeight="1" thickBot="1" x14ac:dyDescent="0.5">
      <c r="A4" s="5"/>
      <c r="B4" s="30"/>
      <c r="C4" s="59" t="s">
        <v>118</v>
      </c>
      <c r="D4" s="207" t="s">
        <v>109</v>
      </c>
      <c r="E4" s="192"/>
      <c r="F4" s="193"/>
      <c r="G4" s="60" t="s">
        <v>120</v>
      </c>
      <c r="H4" s="61">
        <f>'통계 및 응시자 수 입력 기능'!E31</f>
        <v>13.3669976406165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0"/>
      <c r="J5" s="20"/>
      <c r="K5" s="31"/>
    </row>
    <row r="6" spans="1:12" ht="25" customHeight="1" thickBot="1" x14ac:dyDescent="0.5">
      <c r="A6" s="5"/>
      <c r="B6" s="30"/>
      <c r="C6" s="62" t="s">
        <v>186</v>
      </c>
      <c r="D6" s="132" t="s">
        <v>187</v>
      </c>
      <c r="E6" s="133" t="s">
        <v>188</v>
      </c>
      <c r="F6" s="63" t="s">
        <v>189</v>
      </c>
      <c r="G6" s="63" t="s">
        <v>190</v>
      </c>
      <c r="H6" s="65" t="s">
        <v>191</v>
      </c>
      <c r="I6" s="20"/>
      <c r="J6" s="20"/>
      <c r="K6" s="31"/>
      <c r="L6" s="5"/>
    </row>
    <row r="7" spans="1:12" ht="25" customHeight="1" x14ac:dyDescent="0.45">
      <c r="A7" s="5"/>
      <c r="B7" s="30"/>
      <c r="C7" s="134">
        <v>1</v>
      </c>
      <c r="D7" s="135">
        <v>45</v>
      </c>
      <c r="E7" s="136">
        <f>'표점등급&amp;절평인원 입력 기능'!D247</f>
        <v>117</v>
      </c>
      <c r="F7" s="137">
        <f>E7/$J$3</f>
        <v>0.13829787234042554</v>
      </c>
      <c r="G7" s="138">
        <f>SUM($E$7:E7)</f>
        <v>117</v>
      </c>
      <c r="H7" s="139">
        <f>G7/$J$3</f>
        <v>0.13829787234042554</v>
      </c>
      <c r="I7" s="20"/>
      <c r="J7" s="20"/>
      <c r="K7" s="31"/>
      <c r="L7" s="5"/>
    </row>
    <row r="8" spans="1:12" ht="25" customHeight="1" x14ac:dyDescent="0.45">
      <c r="A8" s="5"/>
      <c r="B8" s="30"/>
      <c r="C8" s="140">
        <v>2</v>
      </c>
      <c r="D8" s="141">
        <v>40</v>
      </c>
      <c r="E8" s="142">
        <f>'표점등급&amp;절평인원 입력 기능'!D248</f>
        <v>132</v>
      </c>
      <c r="F8" s="143">
        <f t="shared" ref="F8:F15" si="0">E8/$J$3</f>
        <v>0.15602836879432624</v>
      </c>
      <c r="G8" s="144">
        <f>SUM($E$7:E8)</f>
        <v>249</v>
      </c>
      <c r="H8" s="145">
        <f t="shared" ref="H8:H15" si="1">G8/$J$3</f>
        <v>0.29432624113475175</v>
      </c>
      <c r="I8" s="20"/>
      <c r="J8" s="20"/>
      <c r="K8" s="31"/>
      <c r="L8" s="5"/>
    </row>
    <row r="9" spans="1:12" ht="25" customHeight="1" x14ac:dyDescent="0.45">
      <c r="A9" s="5"/>
      <c r="B9" s="30"/>
      <c r="C9" s="140">
        <v>3</v>
      </c>
      <c r="D9" s="141">
        <v>35</v>
      </c>
      <c r="E9" s="142">
        <f>'표점등급&amp;절평인원 입력 기능'!D249</f>
        <v>85</v>
      </c>
      <c r="F9" s="143">
        <f t="shared" si="0"/>
        <v>0.10047281323877069</v>
      </c>
      <c r="G9" s="144">
        <f>SUM($E$7:E9)</f>
        <v>334</v>
      </c>
      <c r="H9" s="145">
        <f t="shared" si="1"/>
        <v>0.39479905437352247</v>
      </c>
      <c r="I9" s="20"/>
      <c r="J9" s="20"/>
      <c r="K9" s="31"/>
      <c r="L9" s="5"/>
    </row>
    <row r="10" spans="1:12" ht="25" customHeight="1" x14ac:dyDescent="0.45">
      <c r="A10" s="5"/>
      <c r="B10" s="30"/>
      <c r="C10" s="140">
        <v>4</v>
      </c>
      <c r="D10" s="141">
        <v>30</v>
      </c>
      <c r="E10" s="142">
        <f>'표점등급&amp;절평인원 입력 기능'!D250</f>
        <v>82</v>
      </c>
      <c r="F10" s="143">
        <f t="shared" si="0"/>
        <v>9.6926713947990545E-2</v>
      </c>
      <c r="G10" s="144">
        <f>SUM($E$7:E10)</f>
        <v>416</v>
      </c>
      <c r="H10" s="145">
        <f t="shared" si="1"/>
        <v>0.49172576832151299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40">
        <v>5</v>
      </c>
      <c r="D11" s="141">
        <v>25</v>
      </c>
      <c r="E11" s="142">
        <f>'표점등급&amp;절평인원 입력 기능'!D251</f>
        <v>72</v>
      </c>
      <c r="F11" s="143">
        <f t="shared" si="0"/>
        <v>8.5106382978723402E-2</v>
      </c>
      <c r="G11" s="144">
        <f>SUM($E$7:E11)</f>
        <v>488</v>
      </c>
      <c r="H11" s="145">
        <f t="shared" si="1"/>
        <v>0.57683215130023646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40">
        <v>6</v>
      </c>
      <c r="D12" s="141">
        <v>20</v>
      </c>
      <c r="E12" s="142">
        <f>'표점등급&amp;절평인원 입력 기능'!D252</f>
        <v>81</v>
      </c>
      <c r="F12" s="143">
        <f t="shared" si="0"/>
        <v>9.5744680851063829E-2</v>
      </c>
      <c r="G12" s="144">
        <f>SUM($E$7:E12)</f>
        <v>569</v>
      </c>
      <c r="H12" s="145">
        <f t="shared" si="1"/>
        <v>0.67257683215130026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40">
        <v>7</v>
      </c>
      <c r="D13" s="141">
        <v>15</v>
      </c>
      <c r="E13" s="142">
        <f>'표점등급&amp;절평인원 입력 기능'!D253</f>
        <v>114</v>
      </c>
      <c r="F13" s="143">
        <f t="shared" si="0"/>
        <v>0.13475177304964539</v>
      </c>
      <c r="G13" s="144">
        <f>SUM($E$7:E13)</f>
        <v>683</v>
      </c>
      <c r="H13" s="145">
        <f t="shared" si="1"/>
        <v>0.80732860520094563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40">
        <v>8</v>
      </c>
      <c r="D14" s="141">
        <v>10</v>
      </c>
      <c r="E14" s="142">
        <f>'표점등급&amp;절평인원 입력 기능'!D254</f>
        <v>99</v>
      </c>
      <c r="F14" s="143">
        <f t="shared" si="0"/>
        <v>0.11702127659574468</v>
      </c>
      <c r="G14" s="144">
        <f>SUM($E$7:E14)</f>
        <v>782</v>
      </c>
      <c r="H14" s="145">
        <f t="shared" si="1"/>
        <v>0.92434988179669031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46">
        <v>9</v>
      </c>
      <c r="D15" s="147">
        <v>0</v>
      </c>
      <c r="E15" s="148">
        <f>'표점등급&amp;절평인원 입력 기능'!D255</f>
        <v>64</v>
      </c>
      <c r="F15" s="149">
        <f t="shared" si="0"/>
        <v>7.5650118203309691E-2</v>
      </c>
      <c r="G15" s="150">
        <f>SUM($E$7:E15)</f>
        <v>846</v>
      </c>
      <c r="H15" s="151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2">
    <mergeCell ref="D3:F3"/>
    <mergeCell ref="D4:F4"/>
  </mergeCells>
  <phoneticPr fontId="1" type="noConversion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2F0A8-C55F-47D0-B0B6-D643EA30905F}">
  <sheetPr codeName="Sheet35"/>
  <dimension ref="A1:L16"/>
  <sheetViews>
    <sheetView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기능'!D32</f>
        <v>27.352173913043401</v>
      </c>
      <c r="I3" s="21" t="s">
        <v>117</v>
      </c>
      <c r="J3" s="58">
        <f>'통계 및 응시자 수 입력 기능'!C32</f>
        <v>230</v>
      </c>
      <c r="K3" s="31"/>
    </row>
    <row r="4" spans="1:12" ht="25" customHeight="1" thickBot="1" x14ac:dyDescent="0.5">
      <c r="A4" s="5"/>
      <c r="B4" s="30"/>
      <c r="C4" s="59" t="s">
        <v>118</v>
      </c>
      <c r="D4" s="207" t="s">
        <v>111</v>
      </c>
      <c r="E4" s="192"/>
      <c r="F4" s="193"/>
      <c r="G4" s="60" t="s">
        <v>120</v>
      </c>
      <c r="H4" s="61">
        <f>'통계 및 응시자 수 입력 기능'!E32</f>
        <v>13.944684808361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0"/>
      <c r="J5" s="20"/>
      <c r="K5" s="31"/>
    </row>
    <row r="6" spans="1:12" ht="25" customHeight="1" thickBot="1" x14ac:dyDescent="0.5">
      <c r="A6" s="5"/>
      <c r="B6" s="30"/>
      <c r="C6" s="62" t="s">
        <v>186</v>
      </c>
      <c r="D6" s="132" t="s">
        <v>187</v>
      </c>
      <c r="E6" s="133" t="s">
        <v>188</v>
      </c>
      <c r="F6" s="63" t="s">
        <v>189</v>
      </c>
      <c r="G6" s="63" t="s">
        <v>190</v>
      </c>
      <c r="H6" s="65" t="s">
        <v>191</v>
      </c>
      <c r="I6" s="20"/>
      <c r="J6" s="20"/>
      <c r="K6" s="31"/>
      <c r="L6" s="5"/>
    </row>
    <row r="7" spans="1:12" ht="25" customHeight="1" x14ac:dyDescent="0.45">
      <c r="A7" s="5"/>
      <c r="B7" s="30"/>
      <c r="C7" s="134">
        <v>1</v>
      </c>
      <c r="D7" s="135">
        <v>45</v>
      </c>
      <c r="E7" s="136">
        <f>'표점등급&amp;절평인원 입력 기능'!D256</f>
        <v>26</v>
      </c>
      <c r="F7" s="137">
        <f>E7/$J$3</f>
        <v>0.11304347826086956</v>
      </c>
      <c r="G7" s="138">
        <f>SUM($E$7:E7)</f>
        <v>26</v>
      </c>
      <c r="H7" s="139">
        <f>G7/$J$3</f>
        <v>0.11304347826086956</v>
      </c>
      <c r="I7" s="20"/>
      <c r="J7" s="20"/>
      <c r="K7" s="31"/>
      <c r="L7" s="5"/>
    </row>
    <row r="8" spans="1:12" ht="25" customHeight="1" x14ac:dyDescent="0.45">
      <c r="A8" s="5"/>
      <c r="B8" s="30"/>
      <c r="C8" s="140">
        <v>2</v>
      </c>
      <c r="D8" s="141">
        <v>40</v>
      </c>
      <c r="E8" s="142">
        <f>'표점등급&amp;절평인원 입력 기능'!D257</f>
        <v>35</v>
      </c>
      <c r="F8" s="143">
        <f t="shared" ref="F8:F15" si="0">E8/$J$3</f>
        <v>0.15217391304347827</v>
      </c>
      <c r="G8" s="144">
        <f>SUM($E$7:E8)</f>
        <v>61</v>
      </c>
      <c r="H8" s="145">
        <f t="shared" ref="H8:H15" si="1">G8/$J$3</f>
        <v>0.26521739130434785</v>
      </c>
      <c r="I8" s="20"/>
      <c r="J8" s="20"/>
      <c r="K8" s="31"/>
      <c r="L8" s="5"/>
    </row>
    <row r="9" spans="1:12" ht="25" customHeight="1" x14ac:dyDescent="0.45">
      <c r="A9" s="5"/>
      <c r="B9" s="30"/>
      <c r="C9" s="140">
        <v>3</v>
      </c>
      <c r="D9" s="141">
        <v>35</v>
      </c>
      <c r="E9" s="142">
        <f>'표점등급&amp;절평인원 입력 기능'!D258</f>
        <v>32</v>
      </c>
      <c r="F9" s="143">
        <f t="shared" si="0"/>
        <v>0.1391304347826087</v>
      </c>
      <c r="G9" s="144">
        <f>SUM($E$7:E9)</f>
        <v>93</v>
      </c>
      <c r="H9" s="145">
        <f t="shared" si="1"/>
        <v>0.40434782608695652</v>
      </c>
      <c r="I9" s="20"/>
      <c r="J9" s="20"/>
      <c r="K9" s="31"/>
      <c r="L9" s="5"/>
    </row>
    <row r="10" spans="1:12" ht="25" customHeight="1" x14ac:dyDescent="0.45">
      <c r="A10" s="5"/>
      <c r="B10" s="30"/>
      <c r="C10" s="140">
        <v>4</v>
      </c>
      <c r="D10" s="141">
        <v>30</v>
      </c>
      <c r="E10" s="142">
        <f>'표점등급&amp;절평인원 입력 기능'!D259</f>
        <v>24</v>
      </c>
      <c r="F10" s="143">
        <f t="shared" si="0"/>
        <v>0.10434782608695652</v>
      </c>
      <c r="G10" s="144">
        <f>SUM($E$7:E10)</f>
        <v>117</v>
      </c>
      <c r="H10" s="145">
        <f t="shared" si="1"/>
        <v>0.50869565217391299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40">
        <v>5</v>
      </c>
      <c r="D11" s="141">
        <v>25</v>
      </c>
      <c r="E11" s="142">
        <f>'표점등급&amp;절평인원 입력 기능'!D260</f>
        <v>12</v>
      </c>
      <c r="F11" s="143">
        <f t="shared" si="0"/>
        <v>5.2173913043478258E-2</v>
      </c>
      <c r="G11" s="144">
        <f>SUM($E$7:E11)</f>
        <v>129</v>
      </c>
      <c r="H11" s="145">
        <f t="shared" si="1"/>
        <v>0.56086956521739129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40">
        <v>6</v>
      </c>
      <c r="D12" s="141">
        <v>20</v>
      </c>
      <c r="E12" s="142">
        <f>'표점등급&amp;절평인원 입력 기능'!D261</f>
        <v>19</v>
      </c>
      <c r="F12" s="143">
        <f t="shared" si="0"/>
        <v>8.2608695652173908E-2</v>
      </c>
      <c r="G12" s="144">
        <f>SUM($E$7:E12)</f>
        <v>148</v>
      </c>
      <c r="H12" s="145">
        <f t="shared" si="1"/>
        <v>0.64347826086956517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40">
        <v>7</v>
      </c>
      <c r="D13" s="141">
        <v>15</v>
      </c>
      <c r="E13" s="142">
        <f>'표점등급&amp;절평인원 입력 기능'!D262</f>
        <v>18</v>
      </c>
      <c r="F13" s="143">
        <f t="shared" si="0"/>
        <v>7.8260869565217397E-2</v>
      </c>
      <c r="G13" s="144">
        <f>SUM($E$7:E13)</f>
        <v>166</v>
      </c>
      <c r="H13" s="145">
        <f t="shared" si="1"/>
        <v>0.72173913043478266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40">
        <v>8</v>
      </c>
      <c r="D14" s="141">
        <v>10</v>
      </c>
      <c r="E14" s="142">
        <f>'표점등급&amp;절평인원 입력 기능'!D263</f>
        <v>28</v>
      </c>
      <c r="F14" s="143">
        <f t="shared" si="0"/>
        <v>0.12173913043478261</v>
      </c>
      <c r="G14" s="144">
        <f>SUM($E$7:E14)</f>
        <v>194</v>
      </c>
      <c r="H14" s="145">
        <f t="shared" si="1"/>
        <v>0.84347826086956523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46">
        <v>9</v>
      </c>
      <c r="D15" s="147">
        <v>0</v>
      </c>
      <c r="E15" s="148">
        <f>'표점등급&amp;절평인원 입력 기능'!D264</f>
        <v>36</v>
      </c>
      <c r="F15" s="149">
        <f t="shared" si="0"/>
        <v>0.15652173913043479</v>
      </c>
      <c r="G15" s="150">
        <f>SUM($E$7:E15)</f>
        <v>230</v>
      </c>
      <c r="H15" s="151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2">
    <mergeCell ref="D3:F3"/>
    <mergeCell ref="D4:F4"/>
  </mergeCells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72BD6-599F-4171-8780-18DBDF84382B}">
  <sheetPr codeName="Sheet36"/>
  <dimension ref="A1:L16"/>
  <sheetViews>
    <sheetView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49" t="s">
        <v>115</v>
      </c>
      <c r="D3" s="188" t="s">
        <v>107</v>
      </c>
      <c r="E3" s="189"/>
      <c r="F3" s="190"/>
      <c r="G3" s="49" t="s">
        <v>116</v>
      </c>
      <c r="H3" s="57">
        <f>'통계 및 응시자 수 입력 기능'!D33</f>
        <v>28.475409836065499</v>
      </c>
      <c r="I3" s="21" t="s">
        <v>117</v>
      </c>
      <c r="J3" s="58">
        <f>'통계 및 응시자 수 입력 기능'!C33</f>
        <v>122</v>
      </c>
      <c r="K3" s="31"/>
    </row>
    <row r="4" spans="1:12" ht="25" customHeight="1" thickBot="1" x14ac:dyDescent="0.5">
      <c r="A4" s="5"/>
      <c r="B4" s="30"/>
      <c r="C4" s="59" t="s">
        <v>118</v>
      </c>
      <c r="D4" s="207" t="s">
        <v>112</v>
      </c>
      <c r="E4" s="192"/>
      <c r="F4" s="193"/>
      <c r="G4" s="60" t="s">
        <v>120</v>
      </c>
      <c r="H4" s="61">
        <f>'통계 및 응시자 수 입력 기능'!E33</f>
        <v>11.3283433271133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0"/>
      <c r="J5" s="20"/>
      <c r="K5" s="31"/>
    </row>
    <row r="6" spans="1:12" ht="25" customHeight="1" thickBot="1" x14ac:dyDescent="0.5">
      <c r="A6" s="5"/>
      <c r="B6" s="30"/>
      <c r="C6" s="62" t="s">
        <v>186</v>
      </c>
      <c r="D6" s="132" t="s">
        <v>187</v>
      </c>
      <c r="E6" s="133" t="s">
        <v>188</v>
      </c>
      <c r="F6" s="63" t="s">
        <v>189</v>
      </c>
      <c r="G6" s="63" t="s">
        <v>190</v>
      </c>
      <c r="H6" s="65" t="s">
        <v>191</v>
      </c>
      <c r="I6" s="20"/>
      <c r="J6" s="20"/>
      <c r="K6" s="31"/>
      <c r="L6" s="5"/>
    </row>
    <row r="7" spans="1:12" ht="25" customHeight="1" x14ac:dyDescent="0.45">
      <c r="A7" s="5"/>
      <c r="B7" s="30"/>
      <c r="C7" s="134">
        <v>1</v>
      </c>
      <c r="D7" s="135">
        <v>45</v>
      </c>
      <c r="E7" s="136">
        <f>'표점등급&amp;절평인원 입력 기능'!D265</f>
        <v>13</v>
      </c>
      <c r="F7" s="137">
        <f>E7/$J$3</f>
        <v>0.10655737704918032</v>
      </c>
      <c r="G7" s="138">
        <f>SUM($E$7:E7)</f>
        <v>13</v>
      </c>
      <c r="H7" s="139">
        <f>G7/$J$3</f>
        <v>0.10655737704918032</v>
      </c>
      <c r="I7" s="20"/>
      <c r="J7" s="20"/>
      <c r="K7" s="31"/>
      <c r="L7" s="5"/>
    </row>
    <row r="8" spans="1:12" ht="25" customHeight="1" x14ac:dyDescent="0.45">
      <c r="A8" s="5"/>
      <c r="B8" s="30"/>
      <c r="C8" s="140">
        <v>2</v>
      </c>
      <c r="D8" s="141">
        <v>40</v>
      </c>
      <c r="E8" s="142">
        <f>'표점등급&amp;절평인원 입력 기능'!D266</f>
        <v>11</v>
      </c>
      <c r="F8" s="143">
        <f t="shared" ref="F8:F15" si="0">E8/$J$3</f>
        <v>9.0163934426229511E-2</v>
      </c>
      <c r="G8" s="144">
        <f>SUM($E$7:E8)</f>
        <v>24</v>
      </c>
      <c r="H8" s="145">
        <f t="shared" ref="H8:H15" si="1">G8/$J$3</f>
        <v>0.19672131147540983</v>
      </c>
      <c r="I8" s="20"/>
      <c r="J8" s="20"/>
      <c r="K8" s="31"/>
      <c r="L8" s="5"/>
    </row>
    <row r="9" spans="1:12" ht="25" customHeight="1" x14ac:dyDescent="0.45">
      <c r="A9" s="5"/>
      <c r="B9" s="30"/>
      <c r="C9" s="140">
        <v>3</v>
      </c>
      <c r="D9" s="141">
        <v>35</v>
      </c>
      <c r="E9" s="142">
        <f>'표점등급&amp;절평인원 입력 기능'!D267</f>
        <v>12</v>
      </c>
      <c r="F9" s="143">
        <f t="shared" si="0"/>
        <v>9.8360655737704916E-2</v>
      </c>
      <c r="G9" s="144">
        <f>SUM($E$7:E9)</f>
        <v>36</v>
      </c>
      <c r="H9" s="145">
        <f t="shared" si="1"/>
        <v>0.29508196721311475</v>
      </c>
      <c r="I9" s="20"/>
      <c r="J9" s="20"/>
      <c r="K9" s="31"/>
      <c r="L9" s="5"/>
    </row>
    <row r="10" spans="1:12" ht="25" customHeight="1" x14ac:dyDescent="0.45">
      <c r="A10" s="5"/>
      <c r="B10" s="30"/>
      <c r="C10" s="140">
        <v>4</v>
      </c>
      <c r="D10" s="141">
        <v>30</v>
      </c>
      <c r="E10" s="142">
        <f>'표점등급&amp;절평인원 입력 기능'!D268</f>
        <v>22</v>
      </c>
      <c r="F10" s="143">
        <f t="shared" si="0"/>
        <v>0.18032786885245902</v>
      </c>
      <c r="G10" s="144">
        <f>SUM($E$7:E10)</f>
        <v>58</v>
      </c>
      <c r="H10" s="145">
        <f t="shared" si="1"/>
        <v>0.47540983606557374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40">
        <v>5</v>
      </c>
      <c r="D11" s="141">
        <v>25</v>
      </c>
      <c r="E11" s="142">
        <f>'표점등급&amp;절평인원 입력 기능'!D269</f>
        <v>19</v>
      </c>
      <c r="F11" s="143">
        <f t="shared" si="0"/>
        <v>0.15573770491803279</v>
      </c>
      <c r="G11" s="144">
        <f>SUM($E$7:E11)</f>
        <v>77</v>
      </c>
      <c r="H11" s="145">
        <f t="shared" si="1"/>
        <v>0.63114754098360659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40">
        <v>6</v>
      </c>
      <c r="D12" s="141">
        <v>20</v>
      </c>
      <c r="E12" s="142">
        <f>'표점등급&amp;절평인원 입력 기능'!D270</f>
        <v>17</v>
      </c>
      <c r="F12" s="143">
        <f t="shared" si="0"/>
        <v>0.13934426229508196</v>
      </c>
      <c r="G12" s="144">
        <f>SUM($E$7:E12)</f>
        <v>94</v>
      </c>
      <c r="H12" s="145">
        <f t="shared" si="1"/>
        <v>0.77049180327868849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40">
        <v>7</v>
      </c>
      <c r="D13" s="141">
        <v>15</v>
      </c>
      <c r="E13" s="142">
        <f>'표점등급&amp;절평인원 입력 기능'!D271</f>
        <v>12</v>
      </c>
      <c r="F13" s="143">
        <f t="shared" si="0"/>
        <v>9.8360655737704916E-2</v>
      </c>
      <c r="G13" s="144">
        <f>SUM($E$7:E13)</f>
        <v>106</v>
      </c>
      <c r="H13" s="145">
        <f t="shared" si="1"/>
        <v>0.86885245901639341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40">
        <v>8</v>
      </c>
      <c r="D14" s="141">
        <v>10</v>
      </c>
      <c r="E14" s="142">
        <f>'표점등급&amp;절평인원 입력 기능'!D272</f>
        <v>9</v>
      </c>
      <c r="F14" s="143">
        <f t="shared" si="0"/>
        <v>7.3770491803278687E-2</v>
      </c>
      <c r="G14" s="144">
        <f>SUM($E$7:E14)</f>
        <v>115</v>
      </c>
      <c r="H14" s="145">
        <f t="shared" si="1"/>
        <v>0.94262295081967218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46">
        <v>9</v>
      </c>
      <c r="D15" s="147">
        <v>0</v>
      </c>
      <c r="E15" s="148">
        <f>'표점등급&amp;절평인원 입력 기능'!D273</f>
        <v>7</v>
      </c>
      <c r="F15" s="149">
        <f t="shared" si="0"/>
        <v>5.737704918032787E-2</v>
      </c>
      <c r="G15" s="150">
        <f>SUM($E$7:E15)</f>
        <v>122</v>
      </c>
      <c r="H15" s="151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2">
    <mergeCell ref="D3:F3"/>
    <mergeCell ref="D4:F4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36</vt:i4>
      </vt:variant>
    </vt:vector>
  </HeadingPairs>
  <TitlesOfParts>
    <vt:vector size="36" baseType="lpstr">
      <vt:lpstr>통계 및 응시자 수 입력 기능</vt:lpstr>
      <vt:lpstr>표점등급&amp;절평인원 입력 기능</vt:lpstr>
      <vt:lpstr>인원 입력 기능(국수)</vt:lpstr>
      <vt:lpstr>인원 입력 기능(사과탐)</vt:lpstr>
      <vt:lpstr>인원 입력 기능(직탐)</vt:lpstr>
      <vt:lpstr>국어</vt:lpstr>
      <vt:lpstr>수학</vt:lpstr>
      <vt:lpstr>영어</vt:lpstr>
      <vt:lpstr>한국사</vt:lpstr>
      <vt:lpstr>생활과 윤리</vt:lpstr>
      <vt:lpstr>윤리와 사상</vt:lpstr>
      <vt:lpstr>한국지리</vt:lpstr>
      <vt:lpstr>세계지리</vt:lpstr>
      <vt:lpstr>동아시아사</vt:lpstr>
      <vt:lpstr>세계사</vt:lpstr>
      <vt:lpstr>경제</vt:lpstr>
      <vt:lpstr>정치와 법</vt:lpstr>
      <vt:lpstr>사회∙문화</vt:lpstr>
      <vt:lpstr>물리학Ⅰ</vt:lpstr>
      <vt:lpstr>화학Ⅰ</vt:lpstr>
      <vt:lpstr>생명과학Ⅰ</vt:lpstr>
      <vt:lpstr>지구과학Ⅰ</vt:lpstr>
      <vt:lpstr>성공적인 직업생활</vt:lpstr>
      <vt:lpstr>농업 기초 기술</vt:lpstr>
      <vt:lpstr>공업 일반</vt:lpstr>
      <vt:lpstr>상업 경제</vt:lpstr>
      <vt:lpstr>수산∙해운 산업 기초</vt:lpstr>
      <vt:lpstr>인간 발달</vt:lpstr>
      <vt:lpstr>등급컷 모아보기</vt:lpstr>
      <vt:lpstr>독일어Ⅰ</vt:lpstr>
      <vt:lpstr>프랑스어Ⅰ</vt:lpstr>
      <vt:lpstr>스페인어Ⅰ</vt:lpstr>
      <vt:lpstr>중국어Ⅰ</vt:lpstr>
      <vt:lpstr>일본어Ⅰ</vt:lpstr>
      <vt:lpstr>러시아어Ⅰ</vt:lpstr>
      <vt:lpstr>한문Ⅰ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윤승혁</cp:lastModifiedBy>
  <dcterms:created xsi:type="dcterms:W3CDTF">2018-04-21T04:34:05Z</dcterms:created>
  <dcterms:modified xsi:type="dcterms:W3CDTF">2024-03-18T08:53:21Z</dcterms:modified>
</cp:coreProperties>
</file>