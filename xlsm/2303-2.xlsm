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Desktop\모의고사&amp;수능 관련\2023\고2\"/>
    </mc:Choice>
  </mc:AlternateContent>
  <xr:revisionPtr revIDLastSave="0" documentId="13_ncr:1_{E204F2E4-5121-49E4-B8C4-E17C3A4FB320}" xr6:coauthVersionLast="47" xr6:coauthVersionMax="47" xr10:uidLastSave="{00000000-0000-0000-0000-000000000000}"/>
  <bookViews>
    <workbookView xWindow="-110" yWindow="-110" windowWidth="19420" windowHeight="11620" firstSheet="6" activeTab="8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국어" sheetId="2" r:id="rId5"/>
    <sheet name="수학" sheetId="5" r:id="rId6"/>
    <sheet name="영어" sheetId="6" r:id="rId7"/>
    <sheet name="한국사" sheetId="25" r:id="rId8"/>
    <sheet name="생활과 윤리" sheetId="3" r:id="rId9"/>
    <sheet name="윤리와 사상" sheetId="26" r:id="rId10"/>
    <sheet name="한국지리" sheetId="27" r:id="rId11"/>
    <sheet name="세계지리" sheetId="28" r:id="rId12"/>
    <sheet name="동아시아사" sheetId="29" r:id="rId13"/>
    <sheet name="세계사" sheetId="30" r:id="rId14"/>
    <sheet name="경제" sheetId="31" r:id="rId15"/>
    <sheet name="정치와 법" sheetId="32" r:id="rId16"/>
    <sheet name="사회∙문화" sheetId="33" r:id="rId17"/>
    <sheet name="물리학Ⅰ" sheetId="34" r:id="rId18"/>
    <sheet name="화학Ⅰ" sheetId="35" r:id="rId19"/>
    <sheet name="생명과학Ⅰ" sheetId="36" r:id="rId20"/>
    <sheet name="지구과학Ⅰ" sheetId="37" r:id="rId21"/>
    <sheet name="등급컷 모아보기" sheetId="79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5" i="3" l="1"/>
  <c r="E45" i="3"/>
  <c r="G45" i="3"/>
  <c r="H45" i="3"/>
  <c r="I45" i="3"/>
  <c r="F45" i="3" s="1"/>
  <c r="J45" i="3"/>
  <c r="D44" i="3"/>
  <c r="D9" i="32"/>
  <c r="G9" i="32" s="1"/>
  <c r="E9" i="32"/>
  <c r="G10" i="32"/>
  <c r="H10" i="32" s="1"/>
  <c r="E10" i="32"/>
  <c r="D12" i="32"/>
  <c r="G12" i="32" s="1"/>
  <c r="H12" i="32" s="1"/>
  <c r="D13" i="32"/>
  <c r="G13" i="32" s="1"/>
  <c r="H13" i="32" s="1"/>
  <c r="D54" i="26"/>
  <c r="H3" i="3"/>
  <c r="H3" i="26"/>
  <c r="H4" i="3"/>
  <c r="H9" i="32" l="1"/>
  <c r="I10" i="32"/>
  <c r="J10" i="32" s="1"/>
  <c r="I9" i="32"/>
  <c r="E12" i="32"/>
  <c r="E13" i="32"/>
  <c r="J3" i="2"/>
  <c r="J3" i="5"/>
  <c r="F9" i="32" l="1"/>
  <c r="J9" i="32"/>
  <c r="F10" i="32"/>
  <c r="I13" i="32"/>
  <c r="J13" i="32" s="1"/>
  <c r="I12" i="32"/>
  <c r="E15" i="25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F12" i="32" l="1"/>
  <c r="J12" i="32"/>
  <c r="F13" i="32"/>
  <c r="Q8" i="26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F14" i="6" l="1"/>
  <c r="G35" i="79"/>
  <c r="E37" i="79"/>
  <c r="E33" i="79"/>
  <c r="D36" i="79"/>
  <c r="D32" i="79"/>
  <c r="L24" i="79"/>
  <c r="J26" i="79"/>
  <c r="J22" i="79"/>
  <c r="I25" i="79"/>
  <c r="I21" i="79"/>
  <c r="F26" i="79"/>
  <c r="F22" i="79"/>
  <c r="E25" i="79"/>
  <c r="E21" i="79"/>
  <c r="F13" i="25"/>
  <c r="E36" i="79"/>
  <c r="E32" i="79"/>
  <c r="D35" i="79"/>
  <c r="J25" i="79"/>
  <c r="J21" i="79"/>
  <c r="I24" i="79"/>
  <c r="F25" i="79"/>
  <c r="F21" i="79"/>
  <c r="E24" i="79"/>
  <c r="F10" i="6"/>
  <c r="F15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D107" i="2"/>
  <c r="G107" i="2" s="1"/>
  <c r="H107" i="2" s="1"/>
  <c r="D102" i="2"/>
  <c r="L102" i="2" s="1"/>
  <c r="D102" i="5"/>
  <c r="L102" i="5" s="1"/>
  <c r="L107" i="2" l="1"/>
  <c r="E102" i="2"/>
  <c r="E102" i="5"/>
  <c r="D15" i="34"/>
  <c r="L15" i="34" s="1"/>
  <c r="E15" i="34" l="1"/>
  <c r="D13" i="28" l="1"/>
  <c r="L13" i="28" s="1"/>
  <c r="L14" i="28"/>
  <c r="D15" i="28"/>
  <c r="L15" i="28" s="1"/>
  <c r="D16" i="28"/>
  <c r="L16" i="28" s="1"/>
  <c r="D17" i="28"/>
  <c r="L17" i="28" s="1"/>
  <c r="D18" i="28"/>
  <c r="L18" i="28" s="1"/>
  <c r="D19" i="28"/>
  <c r="L19" i="28" s="1"/>
  <c r="D20" i="28"/>
  <c r="L20" i="28" s="1"/>
  <c r="D21" i="28"/>
  <c r="L21" i="28" s="1"/>
  <c r="L22" i="28"/>
  <c r="D23" i="28"/>
  <c r="L23" i="28" s="1"/>
  <c r="D24" i="28"/>
  <c r="L24" i="28" s="1"/>
  <c r="D25" i="28"/>
  <c r="L25" i="28" s="1"/>
  <c r="D26" i="28"/>
  <c r="L26" i="28" s="1"/>
  <c r="D27" i="28"/>
  <c r="L27" i="28" s="1"/>
  <c r="D28" i="28"/>
  <c r="L28" i="28" s="1"/>
  <c r="D29" i="28"/>
  <c r="L29" i="28" s="1"/>
  <c r="L30" i="28"/>
  <c r="D31" i="28"/>
  <c r="L31" i="28" s="1"/>
  <c r="D32" i="28"/>
  <c r="L32" i="28" s="1"/>
  <c r="D33" i="28"/>
  <c r="L33" i="28" s="1"/>
  <c r="D34" i="28"/>
  <c r="L34" i="28" s="1"/>
  <c r="D35" i="28"/>
  <c r="L35" i="28" s="1"/>
  <c r="D36" i="28"/>
  <c r="L36" i="28" s="1"/>
  <c r="D37" i="28"/>
  <c r="L37" i="28" s="1"/>
  <c r="L38" i="28"/>
  <c r="D39" i="28"/>
  <c r="L39" i="28" s="1"/>
  <c r="D40" i="28"/>
  <c r="L40" i="28" s="1"/>
  <c r="D41" i="28"/>
  <c r="L41" i="28" s="1"/>
  <c r="D42" i="28"/>
  <c r="L42" i="28" s="1"/>
  <c r="D43" i="28"/>
  <c r="L43" i="28" s="1"/>
  <c r="D44" i="28"/>
  <c r="L44" i="28" s="1"/>
  <c r="D45" i="28"/>
  <c r="L45" i="28" s="1"/>
  <c r="L46" i="28"/>
  <c r="D47" i="28"/>
  <c r="L47" i="28" s="1"/>
  <c r="D48" i="28"/>
  <c r="L48" i="28" s="1"/>
  <c r="D49" i="28"/>
  <c r="L49" i="28" s="1"/>
  <c r="D50" i="28"/>
  <c r="D51" i="28"/>
  <c r="L51" i="28" s="1"/>
  <c r="D52" i="28"/>
  <c r="L52" i="28" s="1"/>
  <c r="D53" i="28"/>
  <c r="L53" i="28" s="1"/>
  <c r="D54" i="28"/>
  <c r="L55" i="28"/>
  <c r="D57" i="28"/>
  <c r="G57" i="28" l="1"/>
  <c r="H57" i="28" s="1"/>
  <c r="L57" i="28"/>
  <c r="G54" i="28"/>
  <c r="H54" i="28" s="1"/>
  <c r="L54" i="28"/>
  <c r="G50" i="28"/>
  <c r="H50" i="28" s="1"/>
  <c r="L50" i="28"/>
  <c r="G51" i="28"/>
  <c r="H51" i="28" s="1"/>
  <c r="G47" i="28"/>
  <c r="H47" i="28" s="1"/>
  <c r="G43" i="28"/>
  <c r="H43" i="28" s="1"/>
  <c r="G39" i="28"/>
  <c r="H39" i="28" s="1"/>
  <c r="G35" i="28"/>
  <c r="H35" i="28" s="1"/>
  <c r="G31" i="28"/>
  <c r="H31" i="28" s="1"/>
  <c r="G27" i="28"/>
  <c r="H27" i="28" s="1"/>
  <c r="G23" i="28"/>
  <c r="H23" i="28" s="1"/>
  <c r="G19" i="28"/>
  <c r="H19" i="28" s="1"/>
  <c r="G15" i="28"/>
  <c r="H15" i="28" s="1"/>
  <c r="G52" i="28"/>
  <c r="H52" i="28" s="1"/>
  <c r="G48" i="28"/>
  <c r="H48" i="28" s="1"/>
  <c r="G44" i="28"/>
  <c r="H44" i="28" s="1"/>
  <c r="G40" i="28"/>
  <c r="H40" i="28" s="1"/>
  <c r="G36" i="28"/>
  <c r="H36" i="28" s="1"/>
  <c r="G32" i="28"/>
  <c r="H32" i="28" s="1"/>
  <c r="G28" i="28"/>
  <c r="H28" i="28" s="1"/>
  <c r="G24" i="28"/>
  <c r="H24" i="28" s="1"/>
  <c r="G20" i="28"/>
  <c r="H20" i="28" s="1"/>
  <c r="G16" i="28"/>
  <c r="H16" i="28" s="1"/>
  <c r="G42" i="28"/>
  <c r="H42" i="28" s="1"/>
  <c r="G34" i="28"/>
  <c r="H34" i="28" s="1"/>
  <c r="G26" i="28"/>
  <c r="H26" i="28" s="1"/>
  <c r="G18" i="28"/>
  <c r="H18" i="28" s="1"/>
  <c r="G53" i="28"/>
  <c r="H53" i="28" s="1"/>
  <c r="G49" i="28"/>
  <c r="H49" i="28" s="1"/>
  <c r="G45" i="28"/>
  <c r="H45" i="28" s="1"/>
  <c r="G41" i="28"/>
  <c r="H41" i="28" s="1"/>
  <c r="G37" i="28"/>
  <c r="H37" i="28" s="1"/>
  <c r="G33" i="28"/>
  <c r="H33" i="28" s="1"/>
  <c r="G29" i="28"/>
  <c r="H29" i="28" s="1"/>
  <c r="G25" i="28"/>
  <c r="H25" i="28" s="1"/>
  <c r="G21" i="28"/>
  <c r="H21" i="28" s="1"/>
  <c r="G17" i="28"/>
  <c r="H17" i="28" s="1"/>
  <c r="D57" i="37"/>
  <c r="D55" i="37"/>
  <c r="L55" i="37" s="1"/>
  <c r="D54" i="37"/>
  <c r="L54" i="37" s="1"/>
  <c r="D53" i="37"/>
  <c r="L53" i="37" s="1"/>
  <c r="D52" i="37"/>
  <c r="L52" i="37" s="1"/>
  <c r="D51" i="37"/>
  <c r="L51" i="37" s="1"/>
  <c r="D50" i="37"/>
  <c r="L50" i="37" s="1"/>
  <c r="D49" i="37"/>
  <c r="L49" i="37" s="1"/>
  <c r="D48" i="37"/>
  <c r="L47" i="37"/>
  <c r="D46" i="37"/>
  <c r="L46" i="37" s="1"/>
  <c r="D45" i="37"/>
  <c r="L45" i="37" s="1"/>
  <c r="D44" i="37"/>
  <c r="D43" i="37"/>
  <c r="L43" i="37" s="1"/>
  <c r="D42" i="37"/>
  <c r="L42" i="37" s="1"/>
  <c r="D41" i="37"/>
  <c r="L41" i="37" s="1"/>
  <c r="D40" i="37"/>
  <c r="L40" i="37" s="1"/>
  <c r="D39" i="37"/>
  <c r="L39" i="37" s="1"/>
  <c r="D38" i="37"/>
  <c r="L38" i="37" s="1"/>
  <c r="D37" i="37"/>
  <c r="L37" i="37" s="1"/>
  <c r="D36" i="37"/>
  <c r="L36" i="37" s="1"/>
  <c r="D35" i="37"/>
  <c r="L35" i="37" s="1"/>
  <c r="D34" i="37"/>
  <c r="L34" i="37" s="1"/>
  <c r="D33" i="37"/>
  <c r="L33" i="37" s="1"/>
  <c r="D32" i="37"/>
  <c r="L32" i="37" s="1"/>
  <c r="D31" i="37"/>
  <c r="L31" i="37" s="1"/>
  <c r="D30" i="37"/>
  <c r="L30" i="37" s="1"/>
  <c r="D29" i="37"/>
  <c r="L29" i="37" s="1"/>
  <c r="D28" i="37"/>
  <c r="L28" i="37" s="1"/>
  <c r="D27" i="37"/>
  <c r="L27" i="37" s="1"/>
  <c r="D26" i="37"/>
  <c r="L26" i="37" s="1"/>
  <c r="L25" i="37"/>
  <c r="D24" i="37"/>
  <c r="L24" i="37" s="1"/>
  <c r="D23" i="37"/>
  <c r="L23" i="37" s="1"/>
  <c r="D22" i="37"/>
  <c r="L22" i="37" s="1"/>
  <c r="D21" i="37"/>
  <c r="L21" i="37" s="1"/>
  <c r="D20" i="37"/>
  <c r="L20" i="37" s="1"/>
  <c r="D19" i="37"/>
  <c r="L19" i="37" s="1"/>
  <c r="D18" i="37"/>
  <c r="L18" i="37" s="1"/>
  <c r="D17" i="37"/>
  <c r="L17" i="37" s="1"/>
  <c r="D16" i="37"/>
  <c r="L16" i="37" s="1"/>
  <c r="D15" i="37"/>
  <c r="L15" i="37" s="1"/>
  <c r="D14" i="37"/>
  <c r="L14" i="37" s="1"/>
  <c r="D13" i="37"/>
  <c r="L13" i="37" s="1"/>
  <c r="D12" i="37"/>
  <c r="L12" i="37" s="1"/>
  <c r="D11" i="37"/>
  <c r="L11" i="37" s="1"/>
  <c r="D10" i="37"/>
  <c r="L10" i="37" s="1"/>
  <c r="D9" i="37"/>
  <c r="D7" i="37"/>
  <c r="D57" i="36"/>
  <c r="D55" i="36"/>
  <c r="L55" i="36" s="1"/>
  <c r="D54" i="36"/>
  <c r="L54" i="36" s="1"/>
  <c r="D53" i="36"/>
  <c r="L53" i="36" s="1"/>
  <c r="D52" i="36"/>
  <c r="L52" i="36" s="1"/>
  <c r="D51" i="36"/>
  <c r="L51" i="36" s="1"/>
  <c r="D50" i="36"/>
  <c r="L50" i="36" s="1"/>
  <c r="L49" i="36"/>
  <c r="D48" i="36"/>
  <c r="L48" i="36" s="1"/>
  <c r="D47" i="36"/>
  <c r="L47" i="36" s="1"/>
  <c r="D46" i="36"/>
  <c r="L46" i="36" s="1"/>
  <c r="D45" i="36"/>
  <c r="L45" i="36" s="1"/>
  <c r="D44" i="36"/>
  <c r="L44" i="36" s="1"/>
  <c r="L43" i="36"/>
  <c r="D42" i="36"/>
  <c r="L42" i="36" s="1"/>
  <c r="D41" i="36"/>
  <c r="L41" i="36" s="1"/>
  <c r="D40" i="36"/>
  <c r="L40" i="36" s="1"/>
  <c r="D39" i="36"/>
  <c r="L39" i="36" s="1"/>
  <c r="D38" i="36"/>
  <c r="L38" i="36" s="1"/>
  <c r="D37" i="36"/>
  <c r="L37" i="36" s="1"/>
  <c r="L36" i="36"/>
  <c r="D35" i="36"/>
  <c r="L35" i="36" s="1"/>
  <c r="D34" i="36"/>
  <c r="L34" i="36" s="1"/>
  <c r="D33" i="36"/>
  <c r="L33" i="36" s="1"/>
  <c r="D32" i="36"/>
  <c r="L32" i="36" s="1"/>
  <c r="D31" i="36"/>
  <c r="L31" i="36" s="1"/>
  <c r="D30" i="36"/>
  <c r="L30" i="36" s="1"/>
  <c r="L29" i="36"/>
  <c r="D28" i="36"/>
  <c r="L28" i="36" s="1"/>
  <c r="D27" i="36"/>
  <c r="L27" i="36" s="1"/>
  <c r="D26" i="36"/>
  <c r="L26" i="36" s="1"/>
  <c r="D25" i="36"/>
  <c r="L25" i="36" s="1"/>
  <c r="D24" i="36"/>
  <c r="L24" i="36" s="1"/>
  <c r="D23" i="36"/>
  <c r="L23" i="36" s="1"/>
  <c r="L22" i="36"/>
  <c r="D21" i="36"/>
  <c r="L21" i="36" s="1"/>
  <c r="D20" i="36"/>
  <c r="L20" i="36" s="1"/>
  <c r="D19" i="36"/>
  <c r="L19" i="36" s="1"/>
  <c r="D18" i="36"/>
  <c r="L18" i="36" s="1"/>
  <c r="D17" i="36"/>
  <c r="L17" i="36" s="1"/>
  <c r="D16" i="36"/>
  <c r="L16" i="36" s="1"/>
  <c r="L15" i="36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D48" i="35"/>
  <c r="L48" i="35" s="1"/>
  <c r="D47" i="35"/>
  <c r="L47" i="35" s="1"/>
  <c r="D46" i="35"/>
  <c r="L46" i="35" s="1"/>
  <c r="D45" i="35"/>
  <c r="L45" i="35" s="1"/>
  <c r="L44" i="35"/>
  <c r="D43" i="35"/>
  <c r="L43" i="35" s="1"/>
  <c r="D42" i="35"/>
  <c r="L42" i="35" s="1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L30" i="35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D22" i="35"/>
  <c r="L22" i="35" s="1"/>
  <c r="D21" i="35"/>
  <c r="L21" i="35" s="1"/>
  <c r="D20" i="35"/>
  <c r="L20" i="35" s="1"/>
  <c r="D19" i="35"/>
  <c r="L19" i="35" s="1"/>
  <c r="D18" i="35"/>
  <c r="L18" i="35" s="1"/>
  <c r="D17" i="35"/>
  <c r="L17" i="35" s="1"/>
  <c r="L16" i="35"/>
  <c r="D15" i="35"/>
  <c r="L15" i="35" s="1"/>
  <c r="D14" i="35"/>
  <c r="L14" i="35" s="1"/>
  <c r="D13" i="35"/>
  <c r="L13" i="35" s="1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D53" i="34"/>
  <c r="L53" i="34" s="1"/>
  <c r="D52" i="34"/>
  <c r="L52" i="34" s="1"/>
  <c r="D51" i="34"/>
  <c r="L51" i="34" s="1"/>
  <c r="D50" i="34"/>
  <c r="L50" i="34" s="1"/>
  <c r="D49" i="34"/>
  <c r="L49" i="34" s="1"/>
  <c r="D48" i="34"/>
  <c r="L48" i="34" s="1"/>
  <c r="D47" i="34"/>
  <c r="L47" i="34" s="1"/>
  <c r="D46" i="34"/>
  <c r="L46" i="34" s="1"/>
  <c r="D45" i="34"/>
  <c r="L45" i="34" s="1"/>
  <c r="D44" i="34"/>
  <c r="L44" i="34" s="1"/>
  <c r="D43" i="34"/>
  <c r="L43" i="34" s="1"/>
  <c r="D42" i="34"/>
  <c r="L42" i="34" s="1"/>
  <c r="L41" i="34"/>
  <c r="D40" i="34"/>
  <c r="L40" i="34" s="1"/>
  <c r="D39" i="34"/>
  <c r="L39" i="34" s="1"/>
  <c r="D38" i="34"/>
  <c r="L38" i="34" s="1"/>
  <c r="D37" i="34"/>
  <c r="L37" i="34" s="1"/>
  <c r="D36" i="34"/>
  <c r="L36" i="34" s="1"/>
  <c r="D35" i="34"/>
  <c r="L35" i="34" s="1"/>
  <c r="D34" i="34"/>
  <c r="L34" i="34" s="1"/>
  <c r="D33" i="34"/>
  <c r="L33" i="34" s="1"/>
  <c r="D32" i="34"/>
  <c r="L32" i="34" s="1"/>
  <c r="D31" i="34"/>
  <c r="L31" i="34" s="1"/>
  <c r="D30" i="34"/>
  <c r="L30" i="34" s="1"/>
  <c r="D29" i="34"/>
  <c r="L29" i="34" s="1"/>
  <c r="D28" i="34"/>
  <c r="L28" i="34" s="1"/>
  <c r="D27" i="34"/>
  <c r="L27" i="34" s="1"/>
  <c r="D26" i="34"/>
  <c r="L26" i="34" s="1"/>
  <c r="D25" i="34"/>
  <c r="L25" i="34" s="1"/>
  <c r="D24" i="34"/>
  <c r="L24" i="34" s="1"/>
  <c r="D23" i="34"/>
  <c r="L23" i="34" s="1"/>
  <c r="L22" i="34"/>
  <c r="D21" i="34"/>
  <c r="L21" i="34" s="1"/>
  <c r="D20" i="34"/>
  <c r="L20" i="34" s="1"/>
  <c r="D19" i="34"/>
  <c r="L19" i="34" s="1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D11" i="34"/>
  <c r="L11" i="34" s="1"/>
  <c r="D10" i="34"/>
  <c r="L10" i="34" s="1"/>
  <c r="D9" i="34"/>
  <c r="D7" i="34"/>
  <c r="D57" i="33"/>
  <c r="D55" i="33"/>
  <c r="L55" i="33" s="1"/>
  <c r="D54" i="33"/>
  <c r="L54" i="33" s="1"/>
  <c r="D53" i="33"/>
  <c r="L53" i="33" s="1"/>
  <c r="D52" i="33"/>
  <c r="L52" i="33" s="1"/>
  <c r="D51" i="33"/>
  <c r="L51" i="33" s="1"/>
  <c r="D50" i="33"/>
  <c r="L50" i="33" s="1"/>
  <c r="D49" i="33"/>
  <c r="L49" i="33" s="1"/>
  <c r="D48" i="33"/>
  <c r="L48" i="33" s="1"/>
  <c r="D47" i="33"/>
  <c r="L47" i="33" s="1"/>
  <c r="D46" i="33"/>
  <c r="L46" i="33" s="1"/>
  <c r="D45" i="33"/>
  <c r="L45" i="33" s="1"/>
  <c r="D44" i="33"/>
  <c r="L44" i="33" s="1"/>
  <c r="D43" i="33"/>
  <c r="L43" i="33" s="1"/>
  <c r="D42" i="33"/>
  <c r="L42" i="33" s="1"/>
  <c r="D41" i="33"/>
  <c r="L41" i="33" s="1"/>
  <c r="D40" i="33"/>
  <c r="L40" i="33" s="1"/>
  <c r="D39" i="33"/>
  <c r="L39" i="33" s="1"/>
  <c r="D38" i="33"/>
  <c r="L38" i="33" s="1"/>
  <c r="D37" i="33"/>
  <c r="L37" i="33" s="1"/>
  <c r="D36" i="33"/>
  <c r="L36" i="33" s="1"/>
  <c r="D35" i="33"/>
  <c r="L35" i="33" s="1"/>
  <c r="D34" i="33"/>
  <c r="L34" i="33" s="1"/>
  <c r="D33" i="33"/>
  <c r="L33" i="33" s="1"/>
  <c r="D32" i="33"/>
  <c r="L32" i="33" s="1"/>
  <c r="D31" i="33"/>
  <c r="L31" i="33" s="1"/>
  <c r="D30" i="33"/>
  <c r="L30" i="33" s="1"/>
  <c r="D29" i="33"/>
  <c r="L29" i="33" s="1"/>
  <c r="D28" i="33"/>
  <c r="L28" i="33" s="1"/>
  <c r="D27" i="33"/>
  <c r="L27" i="33" s="1"/>
  <c r="D26" i="33"/>
  <c r="L26" i="33" s="1"/>
  <c r="D25" i="33"/>
  <c r="L25" i="33" s="1"/>
  <c r="D24" i="33"/>
  <c r="L24" i="33" s="1"/>
  <c r="D23" i="33"/>
  <c r="L23" i="33" s="1"/>
  <c r="D22" i="33"/>
  <c r="L22" i="33" s="1"/>
  <c r="D21" i="33"/>
  <c r="L21" i="33" s="1"/>
  <c r="D20" i="33"/>
  <c r="L20" i="33" s="1"/>
  <c r="D19" i="33"/>
  <c r="L19" i="33" s="1"/>
  <c r="D18" i="33"/>
  <c r="L18" i="33" s="1"/>
  <c r="D17" i="33"/>
  <c r="L17" i="33" s="1"/>
  <c r="D16" i="33"/>
  <c r="L16" i="33" s="1"/>
  <c r="D15" i="33"/>
  <c r="L15" i="33" s="1"/>
  <c r="D14" i="33"/>
  <c r="L14" i="33" s="1"/>
  <c r="D13" i="33"/>
  <c r="L13" i="33" s="1"/>
  <c r="D12" i="33"/>
  <c r="L12" i="33" s="1"/>
  <c r="D11" i="33"/>
  <c r="L11" i="33" s="1"/>
  <c r="D10" i="33"/>
  <c r="L10" i="33" s="1"/>
  <c r="D9" i="33"/>
  <c r="D7" i="33"/>
  <c r="D57" i="32"/>
  <c r="D55" i="32"/>
  <c r="L55" i="32" s="1"/>
  <c r="D54" i="32"/>
  <c r="L54" i="32" s="1"/>
  <c r="L53" i="32"/>
  <c r="D52" i="32"/>
  <c r="L52" i="32" s="1"/>
  <c r="D51" i="32"/>
  <c r="L51" i="32" s="1"/>
  <c r="D50" i="32"/>
  <c r="L50" i="32" s="1"/>
  <c r="D49" i="32"/>
  <c r="L49" i="32" s="1"/>
  <c r="D48" i="32"/>
  <c r="L48" i="32" s="1"/>
  <c r="D47" i="32"/>
  <c r="L47" i="32" s="1"/>
  <c r="D46" i="32"/>
  <c r="L46" i="32" s="1"/>
  <c r="L45" i="32"/>
  <c r="D44" i="32"/>
  <c r="L44" i="32" s="1"/>
  <c r="D43" i="32"/>
  <c r="L43" i="32" s="1"/>
  <c r="D42" i="32"/>
  <c r="L42" i="32" s="1"/>
  <c r="D41" i="32"/>
  <c r="L41" i="32" s="1"/>
  <c r="D40" i="32"/>
  <c r="L40" i="32" s="1"/>
  <c r="D39" i="32"/>
  <c r="L39" i="32" s="1"/>
  <c r="D38" i="32"/>
  <c r="L38" i="32" s="1"/>
  <c r="D37" i="32"/>
  <c r="L37" i="32" s="1"/>
  <c r="L36" i="32"/>
  <c r="D35" i="32"/>
  <c r="L35" i="32" s="1"/>
  <c r="D34" i="32"/>
  <c r="L34" i="32" s="1"/>
  <c r="D33" i="32"/>
  <c r="L33" i="32" s="1"/>
  <c r="D32" i="32"/>
  <c r="L32" i="32" s="1"/>
  <c r="D31" i="32"/>
  <c r="L31" i="32" s="1"/>
  <c r="D30" i="32"/>
  <c r="L30" i="32" s="1"/>
  <c r="D29" i="32"/>
  <c r="L29" i="32" s="1"/>
  <c r="L28" i="32"/>
  <c r="D27" i="32"/>
  <c r="L27" i="32" s="1"/>
  <c r="D26" i="32"/>
  <c r="L26" i="32" s="1"/>
  <c r="D25" i="32"/>
  <c r="L25" i="32" s="1"/>
  <c r="D24" i="32"/>
  <c r="L24" i="32" s="1"/>
  <c r="D23" i="32"/>
  <c r="L23" i="32" s="1"/>
  <c r="D22" i="32"/>
  <c r="L22" i="32" s="1"/>
  <c r="D21" i="32"/>
  <c r="L21" i="32" s="1"/>
  <c r="D20" i="32"/>
  <c r="L20" i="32" s="1"/>
  <c r="L19" i="32"/>
  <c r="D18" i="32"/>
  <c r="L18" i="32" s="1"/>
  <c r="D17" i="32"/>
  <c r="L17" i="32" s="1"/>
  <c r="D16" i="32"/>
  <c r="L16" i="32" s="1"/>
  <c r="D15" i="32"/>
  <c r="L15" i="32" s="1"/>
  <c r="D14" i="32"/>
  <c r="L14" i="32" s="1"/>
  <c r="L13" i="32"/>
  <c r="L12" i="32"/>
  <c r="L11" i="32"/>
  <c r="L10" i="32"/>
  <c r="D7" i="32"/>
  <c r="D57" i="31"/>
  <c r="D55" i="31"/>
  <c r="L55" i="31" s="1"/>
  <c r="D54" i="31"/>
  <c r="L54" i="31" s="1"/>
  <c r="D53" i="31"/>
  <c r="L53" i="31" s="1"/>
  <c r="L52" i="31"/>
  <c r="D51" i="31"/>
  <c r="L51" i="31" s="1"/>
  <c r="D50" i="31"/>
  <c r="L50" i="31" s="1"/>
  <c r="D49" i="31"/>
  <c r="L49" i="31" s="1"/>
  <c r="D48" i="31"/>
  <c r="L48" i="31" s="1"/>
  <c r="D47" i="31"/>
  <c r="L47" i="31" s="1"/>
  <c r="L46" i="31"/>
  <c r="D45" i="31"/>
  <c r="L45" i="31" s="1"/>
  <c r="D44" i="31"/>
  <c r="L44" i="31" s="1"/>
  <c r="D43" i="31"/>
  <c r="L43" i="31" s="1"/>
  <c r="D42" i="31"/>
  <c r="L42" i="31" s="1"/>
  <c r="L41" i="31"/>
  <c r="D40" i="31"/>
  <c r="L40" i="31" s="1"/>
  <c r="D39" i="31"/>
  <c r="L39" i="31" s="1"/>
  <c r="D38" i="31"/>
  <c r="L38" i="31" s="1"/>
  <c r="D37" i="31"/>
  <c r="L37" i="31" s="1"/>
  <c r="D36" i="31"/>
  <c r="L36" i="31" s="1"/>
  <c r="L35" i="31"/>
  <c r="D34" i="31"/>
  <c r="L34" i="31" s="1"/>
  <c r="D33" i="31"/>
  <c r="L33" i="31" s="1"/>
  <c r="D32" i="31"/>
  <c r="L32" i="31" s="1"/>
  <c r="D31" i="31"/>
  <c r="L31" i="31" s="1"/>
  <c r="D30" i="31"/>
  <c r="L30" i="31" s="1"/>
  <c r="L29" i="31"/>
  <c r="D28" i="31"/>
  <c r="L28" i="31" s="1"/>
  <c r="D27" i="31"/>
  <c r="L27" i="31" s="1"/>
  <c r="D26" i="31"/>
  <c r="L26" i="31" s="1"/>
  <c r="D25" i="31"/>
  <c r="L25" i="31" s="1"/>
  <c r="D24" i="31"/>
  <c r="L24" i="31" s="1"/>
  <c r="L23" i="31"/>
  <c r="D22" i="31"/>
  <c r="L22" i="31" s="1"/>
  <c r="D21" i="31"/>
  <c r="L21" i="31" s="1"/>
  <c r="D20" i="31"/>
  <c r="L20" i="31" s="1"/>
  <c r="D19" i="31"/>
  <c r="L19" i="31" s="1"/>
  <c r="D18" i="31"/>
  <c r="L18" i="31" s="1"/>
  <c r="L17" i="31"/>
  <c r="D16" i="31"/>
  <c r="L16" i="31" s="1"/>
  <c r="D15" i="31"/>
  <c r="L15" i="31" s="1"/>
  <c r="D14" i="31"/>
  <c r="L14" i="31" s="1"/>
  <c r="D13" i="31"/>
  <c r="L13" i="31" s="1"/>
  <c r="D12" i="31"/>
  <c r="L12" i="31" s="1"/>
  <c r="L11" i="31"/>
  <c r="D10" i="31"/>
  <c r="L10" i="31" s="1"/>
  <c r="D9" i="31"/>
  <c r="D7" i="31"/>
  <c r="D57" i="30"/>
  <c r="D55" i="30"/>
  <c r="L55" i="30" s="1"/>
  <c r="D54" i="30"/>
  <c r="L54" i="30" s="1"/>
  <c r="D53" i="30"/>
  <c r="L53" i="30" s="1"/>
  <c r="D52" i="30"/>
  <c r="L52" i="30" s="1"/>
  <c r="D51" i="30"/>
  <c r="L51" i="30" s="1"/>
  <c r="D50" i="30"/>
  <c r="L50" i="30" s="1"/>
  <c r="D49" i="30"/>
  <c r="L49" i="30" s="1"/>
  <c r="D48" i="30"/>
  <c r="L48" i="30" s="1"/>
  <c r="D47" i="30"/>
  <c r="L47" i="30" s="1"/>
  <c r="D46" i="30"/>
  <c r="L46" i="30" s="1"/>
  <c r="D45" i="30"/>
  <c r="L45" i="30" s="1"/>
  <c r="D44" i="30"/>
  <c r="L44" i="30" s="1"/>
  <c r="D43" i="30"/>
  <c r="L43" i="30" s="1"/>
  <c r="D42" i="30"/>
  <c r="L42" i="30" s="1"/>
  <c r="D41" i="30"/>
  <c r="L41" i="30" s="1"/>
  <c r="D40" i="30"/>
  <c r="L40" i="30" s="1"/>
  <c r="D39" i="30"/>
  <c r="L39" i="30" s="1"/>
  <c r="D38" i="30"/>
  <c r="L38" i="30" s="1"/>
  <c r="D37" i="30"/>
  <c r="L37" i="30" s="1"/>
  <c r="D36" i="30"/>
  <c r="L36" i="30" s="1"/>
  <c r="D35" i="30"/>
  <c r="L35" i="30" s="1"/>
  <c r="D34" i="30"/>
  <c r="L34" i="30" s="1"/>
  <c r="D33" i="30"/>
  <c r="L33" i="30" s="1"/>
  <c r="D32" i="30"/>
  <c r="L32" i="30" s="1"/>
  <c r="D31" i="30"/>
  <c r="L31" i="30" s="1"/>
  <c r="D30" i="30"/>
  <c r="L30" i="30" s="1"/>
  <c r="D29" i="30"/>
  <c r="L29" i="30" s="1"/>
  <c r="D28" i="30"/>
  <c r="L28" i="30" s="1"/>
  <c r="D27" i="30"/>
  <c r="L27" i="30" s="1"/>
  <c r="D26" i="30"/>
  <c r="L26" i="30" s="1"/>
  <c r="L25" i="30"/>
  <c r="D24" i="30"/>
  <c r="L24" i="30" s="1"/>
  <c r="D23" i="30"/>
  <c r="L23" i="30" s="1"/>
  <c r="D22" i="30"/>
  <c r="L22" i="30" s="1"/>
  <c r="D21" i="30"/>
  <c r="L21" i="30" s="1"/>
  <c r="D20" i="30"/>
  <c r="L20" i="30" s="1"/>
  <c r="D19" i="30"/>
  <c r="L19" i="30" s="1"/>
  <c r="D18" i="30"/>
  <c r="L18" i="30" s="1"/>
  <c r="D17" i="30"/>
  <c r="L17" i="30" s="1"/>
  <c r="D16" i="30"/>
  <c r="L16" i="30" s="1"/>
  <c r="D15" i="30"/>
  <c r="L15" i="30" s="1"/>
  <c r="D14" i="30"/>
  <c r="L14" i="30" s="1"/>
  <c r="D13" i="30"/>
  <c r="L13" i="30" s="1"/>
  <c r="D12" i="30"/>
  <c r="L12" i="30" s="1"/>
  <c r="D11" i="30"/>
  <c r="L11" i="30" s="1"/>
  <c r="D10" i="30"/>
  <c r="L10" i="30" s="1"/>
  <c r="D9" i="30"/>
  <c r="D7" i="30"/>
  <c r="D57" i="29"/>
  <c r="D55" i="29"/>
  <c r="L55" i="29" s="1"/>
  <c r="D54" i="29"/>
  <c r="L54" i="29" s="1"/>
  <c r="D53" i="29"/>
  <c r="L53" i="29" s="1"/>
  <c r="D52" i="29"/>
  <c r="L52" i="29" s="1"/>
  <c r="D51" i="29"/>
  <c r="L51" i="29" s="1"/>
  <c r="D50" i="29"/>
  <c r="L50" i="29" s="1"/>
  <c r="D49" i="29"/>
  <c r="L49" i="29" s="1"/>
  <c r="D48" i="29"/>
  <c r="L48" i="29" s="1"/>
  <c r="D47" i="29"/>
  <c r="L47" i="29" s="1"/>
  <c r="D46" i="29"/>
  <c r="L46" i="29" s="1"/>
  <c r="D45" i="29"/>
  <c r="L45" i="29" s="1"/>
  <c r="D44" i="29"/>
  <c r="L44" i="29" s="1"/>
  <c r="D43" i="29"/>
  <c r="L43" i="29" s="1"/>
  <c r="D42" i="29"/>
  <c r="L42" i="29" s="1"/>
  <c r="D41" i="29"/>
  <c r="L41" i="29" s="1"/>
  <c r="D40" i="29"/>
  <c r="L40" i="29" s="1"/>
  <c r="D39" i="29"/>
  <c r="L39" i="29" s="1"/>
  <c r="D38" i="29"/>
  <c r="L38" i="29" s="1"/>
  <c r="D37" i="29"/>
  <c r="L37" i="29" s="1"/>
  <c r="D36" i="29"/>
  <c r="L36" i="29" s="1"/>
  <c r="D35" i="29"/>
  <c r="L35" i="29" s="1"/>
  <c r="D34" i="29"/>
  <c r="L34" i="29" s="1"/>
  <c r="D33" i="29"/>
  <c r="L33" i="29" s="1"/>
  <c r="D32" i="29"/>
  <c r="L32" i="29" s="1"/>
  <c r="D31" i="29"/>
  <c r="L31" i="29" s="1"/>
  <c r="D30" i="29"/>
  <c r="L30" i="29" s="1"/>
  <c r="D29" i="29"/>
  <c r="L29" i="29" s="1"/>
  <c r="D28" i="29"/>
  <c r="L28" i="29" s="1"/>
  <c r="D27" i="29"/>
  <c r="L27" i="29" s="1"/>
  <c r="D26" i="29"/>
  <c r="L26" i="29" s="1"/>
  <c r="D25" i="29"/>
  <c r="L25" i="29" s="1"/>
  <c r="D24" i="29"/>
  <c r="L24" i="29" s="1"/>
  <c r="D23" i="29"/>
  <c r="L23" i="29" s="1"/>
  <c r="D22" i="29"/>
  <c r="L22" i="29" s="1"/>
  <c r="D21" i="29"/>
  <c r="L21" i="29" s="1"/>
  <c r="D20" i="29"/>
  <c r="L20" i="29" s="1"/>
  <c r="D19" i="29"/>
  <c r="L19" i="29" s="1"/>
  <c r="D18" i="29"/>
  <c r="L18" i="29" s="1"/>
  <c r="D17" i="29"/>
  <c r="L17" i="29" s="1"/>
  <c r="D16" i="29"/>
  <c r="L16" i="29" s="1"/>
  <c r="D15" i="29"/>
  <c r="L15" i="29" s="1"/>
  <c r="D14" i="29"/>
  <c r="L14" i="29" s="1"/>
  <c r="D13" i="29"/>
  <c r="L13" i="29" s="1"/>
  <c r="D12" i="29"/>
  <c r="L12" i="29" s="1"/>
  <c r="D11" i="29"/>
  <c r="L11" i="29" s="1"/>
  <c r="D10" i="29"/>
  <c r="L10" i="29" s="1"/>
  <c r="D9" i="29"/>
  <c r="D7" i="29"/>
  <c r="E57" i="28"/>
  <c r="E54" i="28"/>
  <c r="E53" i="28"/>
  <c r="E52" i="28"/>
  <c r="E51" i="28"/>
  <c r="E50" i="28"/>
  <c r="E49" i="28"/>
  <c r="E48" i="28"/>
  <c r="E47" i="28"/>
  <c r="E45" i="28"/>
  <c r="E44" i="28"/>
  <c r="E43" i="28"/>
  <c r="E42" i="28"/>
  <c r="E41" i="28"/>
  <c r="E40" i="28"/>
  <c r="E39" i="28"/>
  <c r="E37" i="28"/>
  <c r="E36" i="28"/>
  <c r="E35" i="28"/>
  <c r="E34" i="28"/>
  <c r="E33" i="28"/>
  <c r="E32" i="28"/>
  <c r="E31" i="28"/>
  <c r="E29" i="28"/>
  <c r="E28" i="28"/>
  <c r="E27" i="28"/>
  <c r="E26" i="28"/>
  <c r="E25" i="28"/>
  <c r="E24" i="28"/>
  <c r="E23" i="28"/>
  <c r="E21" i="28"/>
  <c r="E20" i="28"/>
  <c r="E19" i="28"/>
  <c r="E18" i="28"/>
  <c r="E17" i="28"/>
  <c r="E16" i="28"/>
  <c r="E15" i="28"/>
  <c r="E13" i="28"/>
  <c r="D12" i="28"/>
  <c r="L12" i="28" s="1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D51" i="27"/>
  <c r="L51" i="27" s="1"/>
  <c r="D50" i="27"/>
  <c r="L50" i="27" s="1"/>
  <c r="L49" i="27"/>
  <c r="D48" i="27"/>
  <c r="L48" i="27" s="1"/>
  <c r="D47" i="27"/>
  <c r="L47" i="27" s="1"/>
  <c r="D46" i="27"/>
  <c r="L46" i="27" s="1"/>
  <c r="D45" i="27"/>
  <c r="L45" i="27" s="1"/>
  <c r="D44" i="27"/>
  <c r="L44" i="27" s="1"/>
  <c r="D43" i="27"/>
  <c r="L43" i="27" s="1"/>
  <c r="D42" i="27"/>
  <c r="L42" i="27" s="1"/>
  <c r="D41" i="27"/>
  <c r="L41" i="27" s="1"/>
  <c r="D40" i="27"/>
  <c r="L40" i="27" s="1"/>
  <c r="L39" i="27"/>
  <c r="D38" i="27"/>
  <c r="L38" i="27" s="1"/>
  <c r="D37" i="27"/>
  <c r="L37" i="27" s="1"/>
  <c r="D36" i="27"/>
  <c r="L36" i="27" s="1"/>
  <c r="D35" i="27"/>
  <c r="L35" i="27" s="1"/>
  <c r="D34" i="27"/>
  <c r="L34" i="27" s="1"/>
  <c r="D33" i="27"/>
  <c r="L33" i="27" s="1"/>
  <c r="D32" i="27"/>
  <c r="L32" i="27" s="1"/>
  <c r="D31" i="27"/>
  <c r="L31" i="27" s="1"/>
  <c r="L30" i="27"/>
  <c r="D29" i="27"/>
  <c r="L29" i="27" s="1"/>
  <c r="D28" i="27"/>
  <c r="L28" i="27" s="1"/>
  <c r="D27" i="27"/>
  <c r="L27" i="27" s="1"/>
  <c r="D26" i="27"/>
  <c r="L26" i="27" s="1"/>
  <c r="D25" i="27"/>
  <c r="L25" i="27" s="1"/>
  <c r="D24" i="27"/>
  <c r="L24" i="27" s="1"/>
  <c r="D23" i="27"/>
  <c r="L23" i="27" s="1"/>
  <c r="D22" i="27"/>
  <c r="L22" i="27" s="1"/>
  <c r="D21" i="27"/>
  <c r="L21" i="27" s="1"/>
  <c r="L20" i="27"/>
  <c r="D19" i="27"/>
  <c r="L19" i="27" s="1"/>
  <c r="D18" i="27"/>
  <c r="L18" i="27" s="1"/>
  <c r="D17" i="27"/>
  <c r="L17" i="27" s="1"/>
  <c r="D16" i="27"/>
  <c r="L16" i="27" s="1"/>
  <c r="D15" i="27"/>
  <c r="L15" i="27" s="1"/>
  <c r="D14" i="27"/>
  <c r="L14" i="27" s="1"/>
  <c r="D13" i="27"/>
  <c r="L13" i="27" s="1"/>
  <c r="D12" i="27"/>
  <c r="L12" i="27" s="1"/>
  <c r="D11" i="27"/>
  <c r="L11" i="27" s="1"/>
  <c r="L10" i="27"/>
  <c r="D9" i="27"/>
  <c r="D7" i="27"/>
  <c r="D57" i="26"/>
  <c r="D55" i="26"/>
  <c r="L55" i="26" s="1"/>
  <c r="L54" i="26"/>
  <c r="L53" i="26"/>
  <c r="D52" i="26"/>
  <c r="L52" i="26" s="1"/>
  <c r="D51" i="26"/>
  <c r="L51" i="26" s="1"/>
  <c r="D50" i="26"/>
  <c r="L50" i="26" s="1"/>
  <c r="D49" i="26"/>
  <c r="L49" i="26" s="1"/>
  <c r="D48" i="26"/>
  <c r="L48" i="26" s="1"/>
  <c r="L47" i="26"/>
  <c r="D46" i="26"/>
  <c r="L46" i="26" s="1"/>
  <c r="D45" i="26"/>
  <c r="L45" i="26" s="1"/>
  <c r="D44" i="26"/>
  <c r="L44" i="26" s="1"/>
  <c r="D43" i="26"/>
  <c r="L43" i="26" s="1"/>
  <c r="D42" i="26"/>
  <c r="L42" i="26" s="1"/>
  <c r="L41" i="26"/>
  <c r="D40" i="26"/>
  <c r="L40" i="26" s="1"/>
  <c r="D39" i="26"/>
  <c r="L39" i="26" s="1"/>
  <c r="D38" i="26"/>
  <c r="L38" i="26" s="1"/>
  <c r="D37" i="26"/>
  <c r="L37" i="26" s="1"/>
  <c r="D36" i="26"/>
  <c r="L36" i="26" s="1"/>
  <c r="L35" i="26"/>
  <c r="D34" i="26"/>
  <c r="L34" i="26" s="1"/>
  <c r="D33" i="26"/>
  <c r="L33" i="26" s="1"/>
  <c r="D32" i="26"/>
  <c r="L32" i="26" s="1"/>
  <c r="D31" i="26"/>
  <c r="L31" i="26" s="1"/>
  <c r="D30" i="26"/>
  <c r="L30" i="26" s="1"/>
  <c r="L29" i="26"/>
  <c r="D28" i="26"/>
  <c r="L28" i="26" s="1"/>
  <c r="D27" i="26"/>
  <c r="L27" i="26" s="1"/>
  <c r="D26" i="26"/>
  <c r="L26" i="26" s="1"/>
  <c r="D25" i="26"/>
  <c r="L25" i="26" s="1"/>
  <c r="D24" i="26"/>
  <c r="L24" i="26" s="1"/>
  <c r="L23" i="26"/>
  <c r="D22" i="26"/>
  <c r="L22" i="26" s="1"/>
  <c r="D21" i="26"/>
  <c r="L21" i="26" s="1"/>
  <c r="D20" i="26"/>
  <c r="L20" i="26" s="1"/>
  <c r="D19" i="26"/>
  <c r="L19" i="26" s="1"/>
  <c r="D18" i="26"/>
  <c r="L18" i="26" s="1"/>
  <c r="L17" i="26"/>
  <c r="D16" i="26"/>
  <c r="L16" i="26" s="1"/>
  <c r="D15" i="26"/>
  <c r="L15" i="26" s="1"/>
  <c r="D14" i="26"/>
  <c r="L14" i="26" s="1"/>
  <c r="D13" i="26"/>
  <c r="L13" i="26" s="1"/>
  <c r="D12" i="26"/>
  <c r="L12" i="26" s="1"/>
  <c r="L11" i="26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0" i="26"/>
  <c r="H20" i="26" s="1"/>
  <c r="G24" i="26"/>
  <c r="H24" i="26" s="1"/>
  <c r="G28" i="26"/>
  <c r="H28" i="26" s="1"/>
  <c r="G32" i="26"/>
  <c r="H32" i="26" s="1"/>
  <c r="G36" i="26"/>
  <c r="H36" i="26" s="1"/>
  <c r="G40" i="26"/>
  <c r="H40" i="26" s="1"/>
  <c r="G44" i="26"/>
  <c r="H44" i="26" s="1"/>
  <c r="G48" i="26"/>
  <c r="H48" i="26" s="1"/>
  <c r="G52" i="26"/>
  <c r="H52" i="26" s="1"/>
  <c r="G11" i="27"/>
  <c r="H11" i="27" s="1"/>
  <c r="G15" i="27"/>
  <c r="H15" i="27" s="1"/>
  <c r="G19" i="27"/>
  <c r="H19" i="27" s="1"/>
  <c r="G23" i="27"/>
  <c r="H23" i="27" s="1"/>
  <c r="G27" i="27"/>
  <c r="H27" i="27" s="1"/>
  <c r="G31" i="27"/>
  <c r="H31" i="27" s="1"/>
  <c r="G35" i="27"/>
  <c r="H35" i="27" s="1"/>
  <c r="G43" i="27"/>
  <c r="H43" i="27" s="1"/>
  <c r="G47" i="27"/>
  <c r="H47" i="27" s="1"/>
  <c r="G51" i="27"/>
  <c r="H51" i="27" s="1"/>
  <c r="G55" i="27"/>
  <c r="H55" i="27" s="1"/>
  <c r="G10" i="28"/>
  <c r="H10" i="28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37" i="29"/>
  <c r="H37" i="29" s="1"/>
  <c r="G41" i="29"/>
  <c r="H41" i="29" s="1"/>
  <c r="G45" i="29"/>
  <c r="H45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36" i="30"/>
  <c r="H36" i="30" s="1"/>
  <c r="G40" i="30"/>
  <c r="H40" i="30" s="1"/>
  <c r="G44" i="30"/>
  <c r="H44" i="30" s="1"/>
  <c r="G48" i="30"/>
  <c r="H48" i="30" s="1"/>
  <c r="G52" i="30"/>
  <c r="H52" i="30" s="1"/>
  <c r="G12" i="35"/>
  <c r="H12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8" i="35"/>
  <c r="H48" i="35" s="1"/>
  <c r="G52" i="35"/>
  <c r="H52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5" i="36"/>
  <c r="H25" i="36" s="1"/>
  <c r="G33" i="36"/>
  <c r="H33" i="36" s="1"/>
  <c r="G37" i="36"/>
  <c r="H37" i="36" s="1"/>
  <c r="G41" i="36"/>
  <c r="H41" i="36" s="1"/>
  <c r="G45" i="36"/>
  <c r="H45" i="36" s="1"/>
  <c r="G53" i="36"/>
  <c r="H53" i="36" s="1"/>
  <c r="G12" i="37"/>
  <c r="H12" i="37" s="1"/>
  <c r="G16" i="37"/>
  <c r="H16" i="37" s="1"/>
  <c r="G20" i="37"/>
  <c r="H20" i="37" s="1"/>
  <c r="G24" i="37"/>
  <c r="H24" i="37" s="1"/>
  <c r="G28" i="37"/>
  <c r="H28" i="37" s="1"/>
  <c r="G32" i="37"/>
  <c r="H32" i="37" s="1"/>
  <c r="G36" i="37"/>
  <c r="H36" i="37" s="1"/>
  <c r="G40" i="37"/>
  <c r="H40" i="37" s="1"/>
  <c r="G52" i="37"/>
  <c r="H52" i="37" s="1"/>
  <c r="G12" i="27"/>
  <c r="H12" i="27" s="1"/>
  <c r="G16" i="27"/>
  <c r="H16" i="27" s="1"/>
  <c r="G24" i="27"/>
  <c r="H24" i="27" s="1"/>
  <c r="G28" i="27"/>
  <c r="H28" i="27" s="1"/>
  <c r="G32" i="27"/>
  <c r="H32" i="27" s="1"/>
  <c r="G36" i="27"/>
  <c r="H36" i="27" s="1"/>
  <c r="G40" i="27"/>
  <c r="H40" i="27" s="1"/>
  <c r="G44" i="27"/>
  <c r="H44" i="27" s="1"/>
  <c r="G48" i="27"/>
  <c r="H48" i="27" s="1"/>
  <c r="G52" i="27"/>
  <c r="H52" i="27" s="1"/>
  <c r="G11" i="28"/>
  <c r="H11" i="28" s="1"/>
  <c r="G10" i="29"/>
  <c r="H10" i="29" s="1"/>
  <c r="G14" i="29"/>
  <c r="H14" i="29" s="1"/>
  <c r="G18" i="29"/>
  <c r="H18" i="29" s="1"/>
  <c r="G22" i="29"/>
  <c r="H22" i="29" s="1"/>
  <c r="G26" i="29"/>
  <c r="H26" i="29" s="1"/>
  <c r="G30" i="29"/>
  <c r="H30" i="29" s="1"/>
  <c r="G34" i="29"/>
  <c r="H34" i="29" s="1"/>
  <c r="G38" i="29"/>
  <c r="H38" i="29" s="1"/>
  <c r="G42" i="29"/>
  <c r="H42" i="29" s="1"/>
  <c r="G46" i="29"/>
  <c r="H46" i="29" s="1"/>
  <c r="G50" i="29"/>
  <c r="H50" i="29" s="1"/>
  <c r="G54" i="29"/>
  <c r="H54" i="29" s="1"/>
  <c r="G13" i="30"/>
  <c r="H13" i="30" s="1"/>
  <c r="G25" i="26"/>
  <c r="H25" i="26" s="1"/>
  <c r="G33" i="26"/>
  <c r="H33" i="26" s="1"/>
  <c r="G49" i="26"/>
  <c r="H49" i="26" s="1"/>
  <c r="G13" i="26"/>
  <c r="H13" i="26" s="1"/>
  <c r="G21" i="26"/>
  <c r="H21" i="26" s="1"/>
  <c r="G37" i="26"/>
  <c r="H37" i="26" s="1"/>
  <c r="G45" i="26"/>
  <c r="H45" i="26" s="1"/>
  <c r="G17" i="30"/>
  <c r="H17" i="30" s="1"/>
  <c r="G21" i="30"/>
  <c r="H21" i="30" s="1"/>
  <c r="G29" i="30"/>
  <c r="H29" i="30" s="1"/>
  <c r="G33" i="30"/>
  <c r="H33" i="30" s="1"/>
  <c r="G37" i="30"/>
  <c r="H37" i="30" s="1"/>
  <c r="G41" i="30"/>
  <c r="H41" i="30" s="1"/>
  <c r="G45" i="30"/>
  <c r="H45" i="30" s="1"/>
  <c r="G49" i="30"/>
  <c r="H49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0" i="31"/>
  <c r="H40" i="31" s="1"/>
  <c r="G44" i="31"/>
  <c r="H44" i="31" s="1"/>
  <c r="G48" i="31"/>
  <c r="H48" i="31" s="1"/>
  <c r="G15" i="32"/>
  <c r="H15" i="32" s="1"/>
  <c r="G23" i="32"/>
  <c r="H23" i="32" s="1"/>
  <c r="G27" i="32"/>
  <c r="H27" i="32" s="1"/>
  <c r="G31" i="32"/>
  <c r="H31" i="32" s="1"/>
  <c r="G35" i="32"/>
  <c r="H35" i="32" s="1"/>
  <c r="G39" i="32"/>
  <c r="H39" i="32" s="1"/>
  <c r="G43" i="32"/>
  <c r="H43" i="32" s="1"/>
  <c r="G47" i="32"/>
  <c r="H47" i="32" s="1"/>
  <c r="G51" i="32"/>
  <c r="H51" i="32" s="1"/>
  <c r="G55" i="32"/>
  <c r="H55" i="32" s="1"/>
  <c r="G10" i="33"/>
  <c r="H10" i="33" s="1"/>
  <c r="G14" i="33"/>
  <c r="H14" i="33" s="1"/>
  <c r="G18" i="33"/>
  <c r="H18" i="33" s="1"/>
  <c r="G22" i="33"/>
  <c r="H22" i="33" s="1"/>
  <c r="G26" i="33"/>
  <c r="H26" i="33" s="1"/>
  <c r="G30" i="33"/>
  <c r="H30" i="33" s="1"/>
  <c r="G34" i="33"/>
  <c r="H34" i="33" s="1"/>
  <c r="G38" i="33"/>
  <c r="H38" i="33" s="1"/>
  <c r="G42" i="33"/>
  <c r="H42" i="33" s="1"/>
  <c r="G46" i="33"/>
  <c r="H46" i="33" s="1"/>
  <c r="G50" i="33"/>
  <c r="H50" i="33" s="1"/>
  <c r="G54" i="33"/>
  <c r="H54" i="33" s="1"/>
  <c r="G13" i="34"/>
  <c r="H13" i="34" s="1"/>
  <c r="G18" i="34"/>
  <c r="H18" i="34" s="1"/>
  <c r="G26" i="34"/>
  <c r="H26" i="34" s="1"/>
  <c r="G30" i="34"/>
  <c r="H30" i="34" s="1"/>
  <c r="G34" i="34"/>
  <c r="H34" i="34" s="1"/>
  <c r="G38" i="34"/>
  <c r="H38" i="34" s="1"/>
  <c r="G42" i="34"/>
  <c r="H42" i="34" s="1"/>
  <c r="G46" i="34"/>
  <c r="H46" i="34" s="1"/>
  <c r="G50" i="34"/>
  <c r="H50" i="34" s="1"/>
  <c r="G54" i="34"/>
  <c r="H54" i="34" s="1"/>
  <c r="G13" i="35"/>
  <c r="H13" i="35" s="1"/>
  <c r="G17" i="35"/>
  <c r="H17" i="35" s="1"/>
  <c r="G21" i="35"/>
  <c r="H21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16" i="36"/>
  <c r="H16" i="36" s="1"/>
  <c r="G20" i="36"/>
  <c r="H20" i="36" s="1"/>
  <c r="G24" i="36"/>
  <c r="H24" i="36" s="1"/>
  <c r="G28" i="36"/>
  <c r="H28" i="36" s="1"/>
  <c r="G32" i="36"/>
  <c r="H32" i="36" s="1"/>
  <c r="G40" i="36"/>
  <c r="H40" i="36" s="1"/>
  <c r="G15" i="37"/>
  <c r="H15" i="37" s="1"/>
  <c r="G19" i="37"/>
  <c r="H19" i="37" s="1"/>
  <c r="G23" i="37"/>
  <c r="H23" i="37" s="1"/>
  <c r="G27" i="37"/>
  <c r="H27" i="37" s="1"/>
  <c r="G31" i="37"/>
  <c r="H31" i="37" s="1"/>
  <c r="G35" i="37"/>
  <c r="H35" i="37" s="1"/>
  <c r="G39" i="37"/>
  <c r="H39" i="37" s="1"/>
  <c r="G43" i="37"/>
  <c r="H43" i="37" s="1"/>
  <c r="G51" i="37"/>
  <c r="H51" i="37" s="1"/>
  <c r="G55" i="37"/>
  <c r="H55" i="37" s="1"/>
  <c r="G10" i="26"/>
  <c r="H10" i="26" s="1"/>
  <c r="G14" i="26"/>
  <c r="H14" i="26" s="1"/>
  <c r="G18" i="26"/>
  <c r="H18" i="26" s="1"/>
  <c r="G22" i="26"/>
  <c r="H22" i="26" s="1"/>
  <c r="G26" i="26"/>
  <c r="H26" i="26" s="1"/>
  <c r="G30" i="26"/>
  <c r="H30" i="26" s="1"/>
  <c r="G34" i="26"/>
  <c r="H34" i="26" s="1"/>
  <c r="G38" i="26"/>
  <c r="H38" i="26" s="1"/>
  <c r="G42" i="26"/>
  <c r="H42" i="26" s="1"/>
  <c r="G46" i="26"/>
  <c r="H46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5" i="27"/>
  <c r="H45" i="27" s="1"/>
  <c r="G53" i="27"/>
  <c r="H53" i="27" s="1"/>
  <c r="G12" i="28"/>
  <c r="H12" i="28" s="1"/>
  <c r="G11" i="29"/>
  <c r="H11" i="29" s="1"/>
  <c r="G15" i="29"/>
  <c r="H15" i="29" s="1"/>
  <c r="G19" i="29"/>
  <c r="H19" i="29" s="1"/>
  <c r="G23" i="29"/>
  <c r="H23" i="29" s="1"/>
  <c r="G27" i="29"/>
  <c r="H27" i="29" s="1"/>
  <c r="G31" i="29"/>
  <c r="H31" i="29" s="1"/>
  <c r="G35" i="29"/>
  <c r="H35" i="29" s="1"/>
  <c r="G39" i="29"/>
  <c r="H39" i="29" s="1"/>
  <c r="G43" i="29"/>
  <c r="H43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54" i="30"/>
  <c r="H54" i="30" s="1"/>
  <c r="G13" i="31"/>
  <c r="H13" i="31" s="1"/>
  <c r="G21" i="31"/>
  <c r="H21" i="31" s="1"/>
  <c r="G25" i="31"/>
  <c r="H25" i="31" s="1"/>
  <c r="G33" i="31"/>
  <c r="H33" i="31" s="1"/>
  <c r="G37" i="31"/>
  <c r="H37" i="31" s="1"/>
  <c r="G45" i="31"/>
  <c r="H45" i="31" s="1"/>
  <c r="G49" i="31"/>
  <c r="H49" i="31" s="1"/>
  <c r="G53" i="31"/>
  <c r="H53" i="31" s="1"/>
  <c r="G16" i="32"/>
  <c r="H16" i="32" s="1"/>
  <c r="G20" i="32"/>
  <c r="H20" i="32" s="1"/>
  <c r="G24" i="32"/>
  <c r="H24" i="32" s="1"/>
  <c r="G32" i="32"/>
  <c r="H32" i="32" s="1"/>
  <c r="G40" i="32"/>
  <c r="H40" i="32" s="1"/>
  <c r="G44" i="32"/>
  <c r="H44" i="32" s="1"/>
  <c r="G48" i="32"/>
  <c r="H48" i="32" s="1"/>
  <c r="G52" i="32"/>
  <c r="H52" i="32" s="1"/>
  <c r="G11" i="33"/>
  <c r="H11" i="33" s="1"/>
  <c r="G15" i="33"/>
  <c r="H15" i="33" s="1"/>
  <c r="G19" i="33"/>
  <c r="H19" i="33" s="1"/>
  <c r="G23" i="33"/>
  <c r="H23" i="33" s="1"/>
  <c r="G27" i="33"/>
  <c r="H27" i="33" s="1"/>
  <c r="G31" i="33"/>
  <c r="H31" i="33" s="1"/>
  <c r="G35" i="33"/>
  <c r="H35" i="33" s="1"/>
  <c r="G39" i="33"/>
  <c r="H39" i="33" s="1"/>
  <c r="G43" i="33"/>
  <c r="H43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3" i="34"/>
  <c r="H23" i="34" s="1"/>
  <c r="G27" i="34"/>
  <c r="H27" i="34" s="1"/>
  <c r="G31" i="34"/>
  <c r="H31" i="34" s="1"/>
  <c r="G35" i="34"/>
  <c r="H35" i="34" s="1"/>
  <c r="G39" i="34"/>
  <c r="H39" i="34" s="1"/>
  <c r="G43" i="34"/>
  <c r="H43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4" i="35"/>
  <c r="H34" i="35" s="1"/>
  <c r="G38" i="35"/>
  <c r="H38" i="35" s="1"/>
  <c r="G42" i="35"/>
  <c r="H42" i="35" s="1"/>
  <c r="G46" i="35"/>
  <c r="H46" i="35" s="1"/>
  <c r="G13" i="28"/>
  <c r="H13" i="28" s="1"/>
  <c r="G15" i="26"/>
  <c r="H15" i="26" s="1"/>
  <c r="G19" i="26"/>
  <c r="H19" i="26" s="1"/>
  <c r="G27" i="26"/>
  <c r="H27" i="26" s="1"/>
  <c r="G31" i="26"/>
  <c r="H31" i="26" s="1"/>
  <c r="G39" i="26"/>
  <c r="H39" i="26" s="1"/>
  <c r="G43" i="26"/>
  <c r="H43" i="26" s="1"/>
  <c r="G51" i="26"/>
  <c r="H51" i="26" s="1"/>
  <c r="G55" i="26"/>
  <c r="H55" i="26" s="1"/>
  <c r="G14" i="27"/>
  <c r="H14" i="27" s="1"/>
  <c r="G18" i="27"/>
  <c r="H18" i="27" s="1"/>
  <c r="G22" i="27"/>
  <c r="H22" i="27" s="1"/>
  <c r="G26" i="27"/>
  <c r="H26" i="27" s="1"/>
  <c r="G34" i="27"/>
  <c r="H34" i="27" s="1"/>
  <c r="G38" i="27"/>
  <c r="H38" i="27" s="1"/>
  <c r="G42" i="27"/>
  <c r="H42" i="27" s="1"/>
  <c r="G46" i="27"/>
  <c r="H46" i="27" s="1"/>
  <c r="G50" i="27"/>
  <c r="H50" i="27" s="1"/>
  <c r="G54" i="27"/>
  <c r="H54" i="27" s="1"/>
  <c r="G12" i="29"/>
  <c r="H12" i="29" s="1"/>
  <c r="G16" i="29"/>
  <c r="H16" i="29" s="1"/>
  <c r="G20" i="29"/>
  <c r="H20" i="29" s="1"/>
  <c r="G24" i="29"/>
  <c r="H24" i="29" s="1"/>
  <c r="G28" i="29"/>
  <c r="H28" i="29" s="1"/>
  <c r="G32" i="29"/>
  <c r="H32" i="29" s="1"/>
  <c r="G36" i="29"/>
  <c r="H36" i="29" s="1"/>
  <c r="G40" i="29"/>
  <c r="H40" i="29" s="1"/>
  <c r="G44" i="29"/>
  <c r="H44" i="29" s="1"/>
  <c r="G48" i="29"/>
  <c r="H48" i="29" s="1"/>
  <c r="G52" i="29"/>
  <c r="H52" i="29" s="1"/>
  <c r="G11" i="30"/>
  <c r="H11" i="30" s="1"/>
  <c r="G15" i="30"/>
  <c r="H15" i="30" s="1"/>
  <c r="G19" i="30"/>
  <c r="H19" i="30" s="1"/>
  <c r="G23" i="30"/>
  <c r="H23" i="30" s="1"/>
  <c r="G27" i="30"/>
  <c r="H27" i="30" s="1"/>
  <c r="G31" i="30"/>
  <c r="H31" i="30" s="1"/>
  <c r="G35" i="30"/>
  <c r="H35" i="30" s="1"/>
  <c r="G39" i="30"/>
  <c r="H39" i="30" s="1"/>
  <c r="G43" i="30"/>
  <c r="H43" i="30" s="1"/>
  <c r="G47" i="30"/>
  <c r="H47" i="30" s="1"/>
  <c r="G51" i="30"/>
  <c r="H51" i="30" s="1"/>
  <c r="G55" i="30"/>
  <c r="H55" i="30" s="1"/>
  <c r="G10" i="31"/>
  <c r="H10" i="31" s="1"/>
  <c r="G14" i="31"/>
  <c r="H14" i="31" s="1"/>
  <c r="G18" i="31"/>
  <c r="H18" i="31" s="1"/>
  <c r="G22" i="31"/>
  <c r="H22" i="31" s="1"/>
  <c r="G26" i="31"/>
  <c r="H26" i="31" s="1"/>
  <c r="G30" i="31"/>
  <c r="H30" i="31" s="1"/>
  <c r="G34" i="31"/>
  <c r="H34" i="31" s="1"/>
  <c r="G38" i="31"/>
  <c r="H38" i="31" s="1"/>
  <c r="G42" i="31"/>
  <c r="H42" i="31" s="1"/>
  <c r="G50" i="31"/>
  <c r="H50" i="31" s="1"/>
  <c r="G54" i="31"/>
  <c r="H54" i="31" s="1"/>
  <c r="G17" i="32"/>
  <c r="H17" i="32" s="1"/>
  <c r="G21" i="32"/>
  <c r="H21" i="32" s="1"/>
  <c r="G25" i="32"/>
  <c r="H25" i="32" s="1"/>
  <c r="G29" i="32"/>
  <c r="H29" i="32" s="1"/>
  <c r="G33" i="32"/>
  <c r="H33" i="32" s="1"/>
  <c r="G37" i="32"/>
  <c r="H37" i="32" s="1"/>
  <c r="G41" i="32"/>
  <c r="H41" i="32" s="1"/>
  <c r="G49" i="32"/>
  <c r="H49" i="32" s="1"/>
  <c r="G12" i="33"/>
  <c r="H12" i="33" s="1"/>
  <c r="G16" i="33"/>
  <c r="H16" i="33" s="1"/>
  <c r="G20" i="33"/>
  <c r="H20" i="33" s="1"/>
  <c r="G24" i="33"/>
  <c r="H24" i="33" s="1"/>
  <c r="G28" i="33"/>
  <c r="H28" i="33" s="1"/>
  <c r="G32" i="33"/>
  <c r="H32" i="33" s="1"/>
  <c r="G36" i="33"/>
  <c r="H36" i="33" s="1"/>
  <c r="G40" i="33"/>
  <c r="H40" i="33" s="1"/>
  <c r="G44" i="33"/>
  <c r="H44" i="33" s="1"/>
  <c r="G48" i="33"/>
  <c r="H48" i="33" s="1"/>
  <c r="G52" i="33"/>
  <c r="H52" i="33" s="1"/>
  <c r="G11" i="34"/>
  <c r="H11" i="34" s="1"/>
  <c r="G20" i="34"/>
  <c r="H20" i="34" s="1"/>
  <c r="G24" i="34"/>
  <c r="H24" i="34" s="1"/>
  <c r="G28" i="34"/>
  <c r="H28" i="34" s="1"/>
  <c r="G32" i="34"/>
  <c r="H32" i="34" s="1"/>
  <c r="G36" i="34"/>
  <c r="H36" i="34" s="1"/>
  <c r="G40" i="34"/>
  <c r="H40" i="34" s="1"/>
  <c r="G44" i="34"/>
  <c r="H44" i="34" s="1"/>
  <c r="G48" i="34"/>
  <c r="H48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5" i="35"/>
  <c r="H35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14" i="36"/>
  <c r="H14" i="36" s="1"/>
  <c r="G18" i="36"/>
  <c r="H18" i="36" s="1"/>
  <c r="G26" i="36"/>
  <c r="H26" i="36" s="1"/>
  <c r="G30" i="36"/>
  <c r="H30" i="36" s="1"/>
  <c r="G34" i="36"/>
  <c r="H34" i="36" s="1"/>
  <c r="G38" i="36"/>
  <c r="H38" i="36" s="1"/>
  <c r="G42" i="36"/>
  <c r="H42" i="36" s="1"/>
  <c r="G46" i="36"/>
  <c r="H46" i="36" s="1"/>
  <c r="G50" i="36"/>
  <c r="H50" i="36" s="1"/>
  <c r="G54" i="36"/>
  <c r="H54" i="36" s="1"/>
  <c r="G13" i="37"/>
  <c r="H13" i="37" s="1"/>
  <c r="G17" i="37"/>
  <c r="H17" i="37" s="1"/>
  <c r="G21" i="37"/>
  <c r="H21" i="37" s="1"/>
  <c r="G29" i="37"/>
  <c r="H29" i="37" s="1"/>
  <c r="G33" i="37"/>
  <c r="H33" i="37" s="1"/>
  <c r="G37" i="37"/>
  <c r="H37" i="37" s="1"/>
  <c r="G41" i="37"/>
  <c r="H41" i="37" s="1"/>
  <c r="G45" i="37"/>
  <c r="H45" i="37" s="1"/>
  <c r="G49" i="37"/>
  <c r="H49" i="37" s="1"/>
  <c r="G53" i="37"/>
  <c r="H53" i="37" s="1"/>
  <c r="G15" i="31"/>
  <c r="H15" i="31" s="1"/>
  <c r="G19" i="31"/>
  <c r="H19" i="31" s="1"/>
  <c r="G27" i="31"/>
  <c r="H27" i="31" s="1"/>
  <c r="G31" i="31"/>
  <c r="H31" i="31" s="1"/>
  <c r="G39" i="31"/>
  <c r="H39" i="31" s="1"/>
  <c r="G43" i="31"/>
  <c r="H43" i="31" s="1"/>
  <c r="G47" i="31"/>
  <c r="H47" i="31" s="1"/>
  <c r="G51" i="31"/>
  <c r="H51" i="31" s="1"/>
  <c r="G55" i="31"/>
  <c r="H55" i="31" s="1"/>
  <c r="G14" i="32"/>
  <c r="H14" i="32" s="1"/>
  <c r="G18" i="32"/>
  <c r="H18" i="32" s="1"/>
  <c r="G22" i="32"/>
  <c r="H22" i="32" s="1"/>
  <c r="G26" i="32"/>
  <c r="H26" i="32" s="1"/>
  <c r="G30" i="32"/>
  <c r="H30" i="32" s="1"/>
  <c r="G34" i="32"/>
  <c r="H34" i="32" s="1"/>
  <c r="G38" i="32"/>
  <c r="H38" i="32" s="1"/>
  <c r="G42" i="32"/>
  <c r="H42" i="32" s="1"/>
  <c r="G46" i="32"/>
  <c r="H46" i="32" s="1"/>
  <c r="G50" i="32"/>
  <c r="H50" i="32" s="1"/>
  <c r="G54" i="32"/>
  <c r="H54" i="32" s="1"/>
  <c r="G13" i="33"/>
  <c r="H13" i="33" s="1"/>
  <c r="G17" i="33"/>
  <c r="H17" i="33" s="1"/>
  <c r="G21" i="33"/>
  <c r="H21" i="33" s="1"/>
  <c r="G25" i="33"/>
  <c r="H25" i="33" s="1"/>
  <c r="G29" i="33"/>
  <c r="H29" i="33" s="1"/>
  <c r="G33" i="33"/>
  <c r="H33" i="33" s="1"/>
  <c r="G37" i="33"/>
  <c r="H37" i="33" s="1"/>
  <c r="G41" i="33"/>
  <c r="H41" i="33" s="1"/>
  <c r="G45" i="33"/>
  <c r="H45" i="33" s="1"/>
  <c r="G49" i="33"/>
  <c r="H49" i="33" s="1"/>
  <c r="G53" i="33"/>
  <c r="H53" i="33" s="1"/>
  <c r="G12" i="34"/>
  <c r="H12" i="34" s="1"/>
  <c r="G17" i="34"/>
  <c r="H17" i="34" s="1"/>
  <c r="G21" i="34"/>
  <c r="H21" i="34" s="1"/>
  <c r="G25" i="34"/>
  <c r="H25" i="34" s="1"/>
  <c r="G29" i="34"/>
  <c r="H29" i="34" s="1"/>
  <c r="G33" i="34"/>
  <c r="H33" i="34" s="1"/>
  <c r="G37" i="34"/>
  <c r="H37" i="34" s="1"/>
  <c r="G45" i="34"/>
  <c r="H45" i="34" s="1"/>
  <c r="G49" i="34"/>
  <c r="H49" i="34" s="1"/>
  <c r="G53" i="34"/>
  <c r="H53" i="34" s="1"/>
  <c r="G11" i="36"/>
  <c r="H11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0" i="37"/>
  <c r="H30" i="37" s="1"/>
  <c r="G34" i="37"/>
  <c r="H34" i="37" s="1"/>
  <c r="G38" i="37"/>
  <c r="H38" i="37" s="1"/>
  <c r="G42" i="37"/>
  <c r="H42" i="37" s="1"/>
  <c r="G46" i="37"/>
  <c r="H46" i="37" s="1"/>
  <c r="G50" i="37"/>
  <c r="H50" i="37" s="1"/>
  <c r="E25" i="26"/>
  <c r="E55" i="32"/>
  <c r="E17" i="27"/>
  <c r="E21" i="27"/>
  <c r="E33" i="27"/>
  <c r="E37" i="27"/>
  <c r="E43" i="29"/>
  <c r="E16" i="32"/>
  <c r="E23" i="32"/>
  <c r="E39" i="32"/>
  <c r="E16" i="33"/>
  <c r="E32" i="33"/>
  <c r="E19" i="35"/>
  <c r="E51" i="35"/>
  <c r="E21" i="37"/>
  <c r="E37" i="37"/>
  <c r="E53" i="37"/>
  <c r="E21" i="26"/>
  <c r="E37" i="26"/>
  <c r="E35" i="36"/>
  <c r="I38" i="29"/>
  <c r="E31" i="31"/>
  <c r="E39" i="31"/>
  <c r="E43" i="31"/>
  <c r="E47" i="31"/>
  <c r="E51" i="31"/>
  <c r="E7" i="32"/>
  <c r="E15" i="32"/>
  <c r="E41" i="32"/>
  <c r="E10" i="33"/>
  <c r="E34" i="33"/>
  <c r="E50" i="33"/>
  <c r="E16" i="36"/>
  <c r="E25" i="36"/>
  <c r="E53" i="36"/>
  <c r="E42" i="37"/>
  <c r="E7" i="31"/>
  <c r="E10" i="31"/>
  <c r="E14" i="31"/>
  <c r="E18" i="31"/>
  <c r="E22" i="31"/>
  <c r="E26" i="31"/>
  <c r="E30" i="31"/>
  <c r="E34" i="31"/>
  <c r="E38" i="31"/>
  <c r="E42" i="31"/>
  <c r="E50" i="31"/>
  <c r="E54" i="31"/>
  <c r="E57" i="31"/>
  <c r="E14" i="32"/>
  <c r="E20" i="32"/>
  <c r="E32" i="32"/>
  <c r="E34" i="32"/>
  <c r="E38" i="32"/>
  <c r="E47" i="32"/>
  <c r="E49" i="32"/>
  <c r="E51" i="32"/>
  <c r="E9" i="33"/>
  <c r="E14" i="33"/>
  <c r="E19" i="33"/>
  <c r="E23" i="33"/>
  <c r="E24" i="33"/>
  <c r="E28" i="33"/>
  <c r="E33" i="33"/>
  <c r="E36" i="33"/>
  <c r="E40" i="33"/>
  <c r="E46" i="33"/>
  <c r="E53" i="33"/>
  <c r="E16" i="34"/>
  <c r="E21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7" i="31"/>
  <c r="E24" i="32"/>
  <c r="E30" i="32"/>
  <c r="E43" i="32"/>
  <c r="E7" i="33"/>
  <c r="E15" i="33"/>
  <c r="E20" i="33"/>
  <c r="E44" i="33"/>
  <c r="E10" i="34"/>
  <c r="E33" i="34"/>
  <c r="E30" i="36"/>
  <c r="E44" i="36"/>
  <c r="E9" i="37"/>
  <c r="E9" i="31"/>
  <c r="E13" i="31"/>
  <c r="E21" i="31"/>
  <c r="E25" i="31"/>
  <c r="E33" i="31"/>
  <c r="E37" i="31"/>
  <c r="E45" i="31"/>
  <c r="E49" i="31"/>
  <c r="E53" i="31"/>
  <c r="E25" i="32"/>
  <c r="E27" i="32"/>
  <c r="E29" i="32"/>
  <c r="E40" i="32"/>
  <c r="E42" i="32"/>
  <c r="E44" i="32"/>
  <c r="E46" i="32"/>
  <c r="E57" i="32"/>
  <c r="E13" i="33"/>
  <c r="E18" i="33"/>
  <c r="E22" i="33"/>
  <c r="E27" i="33"/>
  <c r="E31" i="33"/>
  <c r="E39" i="33"/>
  <c r="E42" i="33"/>
  <c r="E45" i="33"/>
  <c r="E49" i="33"/>
  <c r="E55" i="33"/>
  <c r="E7" i="34"/>
  <c r="E11" i="34"/>
  <c r="E14" i="34"/>
  <c r="E25" i="34"/>
  <c r="E50" i="34"/>
  <c r="E57" i="34"/>
  <c r="E18" i="35"/>
  <c r="E23" i="35"/>
  <c r="E32" i="35"/>
  <c r="E41" i="35"/>
  <c r="E46" i="35"/>
  <c r="E10" i="37"/>
  <c r="E31" i="37"/>
  <c r="E36" i="37"/>
  <c r="E41" i="37"/>
  <c r="E15" i="31"/>
  <c r="E19" i="31"/>
  <c r="E55" i="31"/>
  <c r="E21" i="32"/>
  <c r="E26" i="32"/>
  <c r="E25" i="33"/>
  <c r="E29" i="33"/>
  <c r="E37" i="33"/>
  <c r="E42" i="34"/>
  <c r="E12" i="31"/>
  <c r="E16" i="31"/>
  <c r="E20" i="31"/>
  <c r="E24" i="31"/>
  <c r="E28" i="31"/>
  <c r="E32" i="31"/>
  <c r="E36" i="31"/>
  <c r="E40" i="31"/>
  <c r="E44" i="31"/>
  <c r="E48" i="31"/>
  <c r="E17" i="32"/>
  <c r="E18" i="32"/>
  <c r="E22" i="32"/>
  <c r="E31" i="32"/>
  <c r="E33" i="32"/>
  <c r="E35" i="32"/>
  <c r="E37" i="32"/>
  <c r="E48" i="32"/>
  <c r="E50" i="32"/>
  <c r="E52" i="32"/>
  <c r="E54" i="32"/>
  <c r="E11" i="33"/>
  <c r="E12" i="33"/>
  <c r="E17" i="33"/>
  <c r="E21" i="33"/>
  <c r="E26" i="33"/>
  <c r="E30" i="33"/>
  <c r="E35" i="33"/>
  <c r="E41" i="33"/>
  <c r="E48" i="33"/>
  <c r="E51" i="33"/>
  <c r="E54" i="33"/>
  <c r="E17" i="34"/>
  <c r="E29" i="34"/>
  <c r="E54" i="34"/>
  <c r="E27" i="35"/>
  <c r="E50" i="35"/>
  <c r="E55" i="35"/>
  <c r="E12" i="36"/>
  <c r="E21" i="36"/>
  <c r="E26" i="37"/>
  <c r="E52" i="37"/>
  <c r="E20" i="34"/>
  <c r="E24" i="34"/>
  <c r="E28" i="34"/>
  <c r="E32" i="34"/>
  <c r="E36" i="34"/>
  <c r="E40" i="34"/>
  <c r="E45" i="34"/>
  <c r="E49" i="34"/>
  <c r="E53" i="34"/>
  <c r="E13" i="35"/>
  <c r="E17" i="35"/>
  <c r="E22" i="35"/>
  <c r="E26" i="35"/>
  <c r="E31" i="35"/>
  <c r="E36" i="35"/>
  <c r="E40" i="35"/>
  <c r="E45" i="35"/>
  <c r="E49" i="35"/>
  <c r="E54" i="35"/>
  <c r="E7" i="36"/>
  <c r="E10" i="36"/>
  <c r="E20" i="36"/>
  <c r="E24" i="36"/>
  <c r="E33" i="36"/>
  <c r="E38" i="36"/>
  <c r="E42" i="36"/>
  <c r="E47" i="36"/>
  <c r="E52" i="36"/>
  <c r="E14" i="37"/>
  <c r="E19" i="37"/>
  <c r="E24" i="37"/>
  <c r="E30" i="37"/>
  <c r="E35" i="37"/>
  <c r="E40" i="37"/>
  <c r="E46" i="37"/>
  <c r="E51" i="37"/>
  <c r="E57" i="33"/>
  <c r="E9" i="34"/>
  <c r="E13" i="34"/>
  <c r="E19" i="34"/>
  <c r="E23" i="34"/>
  <c r="E27" i="34"/>
  <c r="E31" i="34"/>
  <c r="E35" i="34"/>
  <c r="E39" i="34"/>
  <c r="E44" i="34"/>
  <c r="E48" i="34"/>
  <c r="E52" i="34"/>
  <c r="E12" i="35"/>
  <c r="E21" i="35"/>
  <c r="E25" i="35"/>
  <c r="E34" i="35"/>
  <c r="E35" i="35"/>
  <c r="E39" i="35"/>
  <c r="E48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1" i="36"/>
  <c r="E55" i="36"/>
  <c r="E7" i="37"/>
  <c r="E12" i="37"/>
  <c r="E13" i="37"/>
  <c r="E18" i="37"/>
  <c r="E23" i="37"/>
  <c r="E28" i="37"/>
  <c r="E29" i="37"/>
  <c r="E34" i="37"/>
  <c r="E39" i="37"/>
  <c r="E44" i="37"/>
  <c r="E45" i="37"/>
  <c r="E50" i="37"/>
  <c r="E55" i="37"/>
  <c r="E38" i="33"/>
  <c r="E43" i="33"/>
  <c r="E47" i="33"/>
  <c r="E52" i="33"/>
  <c r="E12" i="34"/>
  <c r="E18" i="34"/>
  <c r="E26" i="34"/>
  <c r="E30" i="34"/>
  <c r="E34" i="34"/>
  <c r="E38" i="34"/>
  <c r="E43" i="34"/>
  <c r="E47" i="34"/>
  <c r="E51" i="34"/>
  <c r="E55" i="34"/>
  <c r="E7" i="35"/>
  <c r="E10" i="35"/>
  <c r="E11" i="35"/>
  <c r="E15" i="35"/>
  <c r="E20" i="35"/>
  <c r="E24" i="35"/>
  <c r="E29" i="35"/>
  <c r="E33" i="35"/>
  <c r="E38" i="35"/>
  <c r="E42" i="35"/>
  <c r="E43" i="35"/>
  <c r="E47" i="35"/>
  <c r="E52" i="35"/>
  <c r="E13" i="36"/>
  <c r="E17" i="36"/>
  <c r="E26" i="36"/>
  <c r="E27" i="36"/>
  <c r="E31" i="36"/>
  <c r="E40" i="36"/>
  <c r="E45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49" i="37"/>
  <c r="E54" i="37"/>
  <c r="E57" i="37"/>
  <c r="E15" i="27"/>
  <c r="E14" i="29"/>
  <c r="E22" i="29"/>
  <c r="E30" i="29"/>
  <c r="E38" i="29"/>
  <c r="E42" i="29"/>
  <c r="E47" i="29"/>
  <c r="E7" i="30"/>
  <c r="E14" i="30"/>
  <c r="E18" i="30"/>
  <c r="E50" i="30"/>
  <c r="E54" i="30"/>
  <c r="E19" i="27"/>
  <c r="E24" i="27"/>
  <c r="E35" i="27"/>
  <c r="E40" i="27"/>
  <c r="E46" i="27"/>
  <c r="E51" i="27"/>
  <c r="E13" i="29"/>
  <c r="E17" i="29"/>
  <c r="E21" i="29"/>
  <c r="E25" i="29"/>
  <c r="E29" i="29"/>
  <c r="E33" i="29"/>
  <c r="E37" i="29"/>
  <c r="E41" i="29"/>
  <c r="E46" i="29"/>
  <c r="E50" i="29"/>
  <c r="E54" i="29"/>
  <c r="E57" i="29"/>
  <c r="E9" i="30"/>
  <c r="E17" i="30"/>
  <c r="E33" i="30"/>
  <c r="E41" i="30"/>
  <c r="E45" i="30"/>
  <c r="E49" i="30"/>
  <c r="E53" i="30"/>
  <c r="E7" i="27"/>
  <c r="E12" i="27"/>
  <c r="E13" i="27"/>
  <c r="E18" i="27"/>
  <c r="E23" i="27"/>
  <c r="E28" i="27"/>
  <c r="E29" i="27"/>
  <c r="E34" i="27"/>
  <c r="E44" i="27"/>
  <c r="E45" i="27"/>
  <c r="E50" i="27"/>
  <c r="E54" i="27"/>
  <c r="E57" i="27"/>
  <c r="E9" i="28"/>
  <c r="E10" i="28"/>
  <c r="E12" i="29"/>
  <c r="E16" i="29"/>
  <c r="E20" i="29"/>
  <c r="E24" i="29"/>
  <c r="E28" i="29"/>
  <c r="E32" i="29"/>
  <c r="E36" i="29"/>
  <c r="E40" i="29"/>
  <c r="E45" i="29"/>
  <c r="E49" i="29"/>
  <c r="E53" i="29"/>
  <c r="E12" i="30"/>
  <c r="E16" i="30"/>
  <c r="E20" i="30"/>
  <c r="E24" i="30"/>
  <c r="E28" i="30"/>
  <c r="E32" i="30"/>
  <c r="E36" i="30"/>
  <c r="E40" i="30"/>
  <c r="E44" i="30"/>
  <c r="E48" i="30"/>
  <c r="E52" i="30"/>
  <c r="E26" i="27"/>
  <c r="E31" i="27"/>
  <c r="E36" i="27"/>
  <c r="E42" i="27"/>
  <c r="E47" i="27"/>
  <c r="E52" i="27"/>
  <c r="E12" i="28"/>
  <c r="E9" i="29"/>
  <c r="E18" i="29"/>
  <c r="E26" i="29"/>
  <c r="E34" i="29"/>
  <c r="E51" i="29"/>
  <c r="E55" i="29"/>
  <c r="E10" i="30"/>
  <c r="E22" i="30"/>
  <c r="E26" i="30"/>
  <c r="E30" i="30"/>
  <c r="E34" i="30"/>
  <c r="E38" i="30"/>
  <c r="E42" i="30"/>
  <c r="E46" i="30"/>
  <c r="E57" i="30"/>
  <c r="E9" i="27"/>
  <c r="E14" i="27"/>
  <c r="E25" i="27"/>
  <c r="E41" i="27"/>
  <c r="E55" i="27"/>
  <c r="E7" i="28"/>
  <c r="E11" i="28"/>
  <c r="E13" i="30"/>
  <c r="E21" i="30"/>
  <c r="E29" i="30"/>
  <c r="E37" i="30"/>
  <c r="E11" i="27"/>
  <c r="E16" i="27"/>
  <c r="E22" i="27"/>
  <c r="E27" i="27"/>
  <c r="E32" i="27"/>
  <c r="E38" i="27"/>
  <c r="E43" i="27"/>
  <c r="E48" i="27"/>
  <c r="E53" i="27"/>
  <c r="E7" i="29"/>
  <c r="E10" i="29"/>
  <c r="E11" i="29"/>
  <c r="E15" i="29"/>
  <c r="E19" i="29"/>
  <c r="E23" i="29"/>
  <c r="E27" i="29"/>
  <c r="E31" i="29"/>
  <c r="E35" i="29"/>
  <c r="E39" i="29"/>
  <c r="E44" i="29"/>
  <c r="E48" i="29"/>
  <c r="E52" i="29"/>
  <c r="E11" i="30"/>
  <c r="E15" i="30"/>
  <c r="E19" i="30"/>
  <c r="E23" i="30"/>
  <c r="E27" i="30"/>
  <c r="E31" i="30"/>
  <c r="E35" i="30"/>
  <c r="E39" i="30"/>
  <c r="E43" i="30"/>
  <c r="E47" i="30"/>
  <c r="E51" i="30"/>
  <c r="E55" i="30"/>
  <c r="E9" i="26"/>
  <c r="E30" i="26"/>
  <c r="E40" i="26"/>
  <c r="E7" i="26"/>
  <c r="E12" i="26"/>
  <c r="E13" i="26"/>
  <c r="E18" i="26"/>
  <c r="E28" i="26"/>
  <c r="E34" i="26"/>
  <c r="E39" i="26"/>
  <c r="E44" i="26"/>
  <c r="E45" i="26"/>
  <c r="E50" i="26"/>
  <c r="E55" i="26"/>
  <c r="E16" i="26"/>
  <c r="E22" i="26"/>
  <c r="E27" i="26"/>
  <c r="E32" i="26"/>
  <c r="E33" i="26"/>
  <c r="E38" i="26"/>
  <c r="E43" i="26"/>
  <c r="E48" i="26"/>
  <c r="E49" i="26"/>
  <c r="E54" i="26"/>
  <c r="E57" i="26"/>
  <c r="E14" i="26"/>
  <c r="E19" i="26"/>
  <c r="E24" i="26"/>
  <c r="E46" i="26"/>
  <c r="E51" i="26"/>
  <c r="E10" i="26"/>
  <c r="E15" i="26"/>
  <c r="E20" i="26"/>
  <c r="E26" i="26"/>
  <c r="E31" i="26"/>
  <c r="E36" i="26"/>
  <c r="E42" i="26"/>
  <c r="E52" i="26"/>
  <c r="J38" i="29" l="1"/>
  <c r="I35" i="29"/>
  <c r="I48" i="29"/>
  <c r="I54" i="29"/>
  <c r="I13" i="29"/>
  <c r="I39" i="29"/>
  <c r="I9" i="29"/>
  <c r="I12" i="29"/>
  <c r="I18" i="29"/>
  <c r="I20" i="29"/>
  <c r="I7" i="29"/>
  <c r="J7" i="29" s="1"/>
  <c r="I32" i="29"/>
  <c r="I24" i="29"/>
  <c r="I33" i="29"/>
  <c r="I25" i="29"/>
  <c r="I51" i="29"/>
  <c r="I47" i="29"/>
  <c r="I37" i="29"/>
  <c r="I43" i="29"/>
  <c r="I44" i="29"/>
  <c r="I45" i="29"/>
  <c r="I36" i="29"/>
  <c r="I28" i="29"/>
  <c r="I16" i="29"/>
  <c r="I50" i="29"/>
  <c r="I31" i="29"/>
  <c r="I34" i="29"/>
  <c r="I27" i="29"/>
  <c r="I22" i="29"/>
  <c r="I49" i="29"/>
  <c r="I57" i="29"/>
  <c r="J57" i="29" s="1"/>
  <c r="Q17" i="29" s="1"/>
  <c r="I41" i="29"/>
  <c r="I21" i="29"/>
  <c r="I15" i="29"/>
  <c r="I26" i="29"/>
  <c r="J26" i="29" s="1"/>
  <c r="I11" i="29"/>
  <c r="I55" i="29"/>
  <c r="J55" i="29" s="1"/>
  <c r="I53" i="29"/>
  <c r="I40" i="29"/>
  <c r="I46" i="29"/>
  <c r="I29" i="29"/>
  <c r="I17" i="29"/>
  <c r="I23" i="29"/>
  <c r="I42" i="29"/>
  <c r="I10" i="29"/>
  <c r="I52" i="29"/>
  <c r="I19" i="29"/>
  <c r="I30" i="29"/>
  <c r="I14" i="29"/>
  <c r="J14" i="29" s="1"/>
  <c r="I57" i="35"/>
  <c r="J57" i="35" s="1"/>
  <c r="Q17" i="35" s="1"/>
  <c r="I53" i="35"/>
  <c r="I48" i="35"/>
  <c r="I39" i="35"/>
  <c r="I35" i="35"/>
  <c r="I34" i="35"/>
  <c r="I25" i="35"/>
  <c r="I21" i="35"/>
  <c r="I12" i="35"/>
  <c r="I54" i="35"/>
  <c r="I49" i="35"/>
  <c r="I45" i="35"/>
  <c r="I40" i="35"/>
  <c r="I36" i="35"/>
  <c r="I31" i="35"/>
  <c r="I27" i="35"/>
  <c r="I26" i="35"/>
  <c r="I22" i="35"/>
  <c r="I17" i="35"/>
  <c r="I13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42" i="35"/>
  <c r="I33" i="35"/>
  <c r="I24" i="35"/>
  <c r="I7" i="35"/>
  <c r="J7" i="35" s="1"/>
  <c r="I43" i="35"/>
  <c r="I38" i="35"/>
  <c r="I29" i="35"/>
  <c r="I20" i="35"/>
  <c r="I15" i="35"/>
  <c r="I10" i="35"/>
  <c r="I55" i="37"/>
  <c r="I50" i="37"/>
  <c r="I45" i="37"/>
  <c r="I44" i="37"/>
  <c r="I39" i="37"/>
  <c r="I34" i="37"/>
  <c r="I29" i="37"/>
  <c r="I28" i="37"/>
  <c r="I23" i="37"/>
  <c r="I18" i="37"/>
  <c r="I13" i="37"/>
  <c r="I12" i="37"/>
  <c r="I7" i="37"/>
  <c r="J7" i="37" s="1"/>
  <c r="I51" i="37"/>
  <c r="I46" i="37"/>
  <c r="I41" i="37"/>
  <c r="I40" i="37"/>
  <c r="I35" i="37"/>
  <c r="I30" i="37"/>
  <c r="I24" i="37"/>
  <c r="I19" i="37"/>
  <c r="I14" i="37"/>
  <c r="I9" i="37"/>
  <c r="I53" i="37"/>
  <c r="I52" i="37"/>
  <c r="I42" i="37"/>
  <c r="I37" i="37"/>
  <c r="I36" i="37"/>
  <c r="I31" i="37"/>
  <c r="I26" i="37"/>
  <c r="I21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49" i="37"/>
  <c r="I32" i="37"/>
  <c r="I11" i="37"/>
  <c r="I53" i="31"/>
  <c r="I49" i="31"/>
  <c r="I45" i="31"/>
  <c r="I37" i="31"/>
  <c r="I33" i="31"/>
  <c r="I25" i="31"/>
  <c r="I21" i="31"/>
  <c r="I13" i="31"/>
  <c r="I9" i="31"/>
  <c r="I24" i="31"/>
  <c r="I20" i="31"/>
  <c r="I16" i="31"/>
  <c r="I12" i="31"/>
  <c r="I57" i="31"/>
  <c r="J57" i="31" s="1"/>
  <c r="Q17" i="31" s="1"/>
  <c r="I54" i="31"/>
  <c r="I50" i="31"/>
  <c r="I42" i="31"/>
  <c r="I38" i="31"/>
  <c r="I34" i="31"/>
  <c r="I30" i="31"/>
  <c r="I26" i="31"/>
  <c r="I22" i="31"/>
  <c r="I18" i="31"/>
  <c r="I14" i="31"/>
  <c r="I10" i="31"/>
  <c r="I7" i="31"/>
  <c r="J7" i="31" s="1"/>
  <c r="I28" i="31"/>
  <c r="I55" i="31"/>
  <c r="I51" i="31"/>
  <c r="I47" i="31"/>
  <c r="I43" i="31"/>
  <c r="I39" i="31"/>
  <c r="I31" i="31"/>
  <c r="I27" i="31"/>
  <c r="I19" i="31"/>
  <c r="I15" i="31"/>
  <c r="I48" i="31"/>
  <c r="I44" i="31"/>
  <c r="I40" i="31"/>
  <c r="I36" i="31"/>
  <c r="I32" i="31"/>
  <c r="I55" i="36"/>
  <c r="I51" i="36"/>
  <c r="I50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2" i="36"/>
  <c r="I38" i="36"/>
  <c r="I33" i="36"/>
  <c r="I24" i="36"/>
  <c r="I20" i="36"/>
  <c r="I11" i="36"/>
  <c r="I10" i="36"/>
  <c r="I7" i="36"/>
  <c r="J7" i="36" s="1"/>
  <c r="I53" i="36"/>
  <c r="I48" i="36"/>
  <c r="I44" i="36"/>
  <c r="I39" i="36"/>
  <c r="I35" i="36"/>
  <c r="I34" i="36"/>
  <c r="I30" i="36"/>
  <c r="I25" i="36"/>
  <c r="I21" i="36"/>
  <c r="I16" i="36"/>
  <c r="I12" i="36"/>
  <c r="I54" i="36"/>
  <c r="I45" i="36"/>
  <c r="I31" i="36"/>
  <c r="I26" i="36"/>
  <c r="I17" i="36"/>
  <c r="I57" i="36"/>
  <c r="J57" i="36" s="1"/>
  <c r="Q17" i="36" s="1"/>
  <c r="I27" i="36"/>
  <c r="I13" i="36"/>
  <c r="I40" i="36"/>
  <c r="I18" i="32"/>
  <c r="I17" i="32"/>
  <c r="I20" i="32"/>
  <c r="I14" i="32"/>
  <c r="I16" i="32"/>
  <c r="I15" i="32"/>
  <c r="I7" i="32"/>
  <c r="J7" i="32" s="1"/>
  <c r="I15" i="34"/>
  <c r="I52" i="34"/>
  <c r="I48" i="34"/>
  <c r="I44" i="34"/>
  <c r="I39" i="34"/>
  <c r="I35" i="34"/>
  <c r="I31" i="34"/>
  <c r="I27" i="34"/>
  <c r="I23" i="34"/>
  <c r="I19" i="34"/>
  <c r="I13" i="34"/>
  <c r="I9" i="34"/>
  <c r="I53" i="34"/>
  <c r="I49" i="34"/>
  <c r="I45" i="34"/>
  <c r="I40" i="34"/>
  <c r="I36" i="34"/>
  <c r="I32" i="34"/>
  <c r="I28" i="34"/>
  <c r="I24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33" i="34"/>
  <c r="I29" i="34"/>
  <c r="I25" i="34"/>
  <c r="I21" i="34"/>
  <c r="I43" i="34"/>
  <c r="I34" i="34"/>
  <c r="I18" i="34"/>
  <c r="I11" i="34"/>
  <c r="I17" i="34"/>
  <c r="I55" i="34"/>
  <c r="I30" i="34"/>
  <c r="I12" i="34"/>
  <c r="I47" i="34"/>
  <c r="I38" i="34"/>
  <c r="I51" i="34"/>
  <c r="I26" i="34"/>
  <c r="I57" i="33"/>
  <c r="J57" i="33" s="1"/>
  <c r="Q17" i="33" s="1"/>
  <c r="I53" i="33"/>
  <c r="I49" i="33"/>
  <c r="I44" i="33"/>
  <c r="I40" i="33"/>
  <c r="I39" i="33"/>
  <c r="I35" i="33"/>
  <c r="I55" i="33"/>
  <c r="I52" i="33"/>
  <c r="I45" i="33"/>
  <c r="I42" i="33"/>
  <c r="I32" i="33"/>
  <c r="I31" i="33"/>
  <c r="I27" i="33"/>
  <c r="I22" i="33"/>
  <c r="I18" i="33"/>
  <c r="I13" i="33"/>
  <c r="I54" i="33"/>
  <c r="I41" i="33"/>
  <c r="I38" i="33"/>
  <c r="I30" i="33"/>
  <c r="I46" i="33"/>
  <c r="I43" i="33"/>
  <c r="I36" i="33"/>
  <c r="I33" i="33"/>
  <c r="I28" i="33"/>
  <c r="I24" i="33"/>
  <c r="I23" i="33"/>
  <c r="I19" i="33"/>
  <c r="I14" i="33"/>
  <c r="I9" i="33"/>
  <c r="I48" i="33"/>
  <c r="I21" i="33"/>
  <c r="I17" i="33"/>
  <c r="I12" i="33"/>
  <c r="I11" i="33"/>
  <c r="I50" i="33"/>
  <c r="I47" i="33"/>
  <c r="I37" i="33"/>
  <c r="I34" i="33"/>
  <c r="I29" i="33"/>
  <c r="I25" i="33"/>
  <c r="I20" i="33"/>
  <c r="I16" i="33"/>
  <c r="I15" i="33"/>
  <c r="I10" i="33"/>
  <c r="I7" i="33"/>
  <c r="J7" i="33" s="1"/>
  <c r="I51" i="33"/>
  <c r="I26" i="33"/>
  <c r="I52" i="30"/>
  <c r="I48" i="30"/>
  <c r="I44" i="30"/>
  <c r="I40" i="30"/>
  <c r="I36" i="30"/>
  <c r="I32" i="30"/>
  <c r="I28" i="30"/>
  <c r="I24" i="30"/>
  <c r="I20" i="30"/>
  <c r="I16" i="30"/>
  <c r="I12" i="30"/>
  <c r="I46" i="30"/>
  <c r="I38" i="30"/>
  <c r="I30" i="30"/>
  <c r="I22" i="30"/>
  <c r="I14" i="30"/>
  <c r="I47" i="30"/>
  <c r="I43" i="30"/>
  <c r="I39" i="30"/>
  <c r="I35" i="30"/>
  <c r="I31" i="30"/>
  <c r="I27" i="30"/>
  <c r="I23" i="30"/>
  <c r="I11" i="30"/>
  <c r="I53" i="30"/>
  <c r="I49" i="30"/>
  <c r="I45" i="30"/>
  <c r="I41" i="30"/>
  <c r="I37" i="30"/>
  <c r="I33" i="30"/>
  <c r="I29" i="30"/>
  <c r="I21" i="30"/>
  <c r="I17" i="30"/>
  <c r="I13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5" i="30"/>
  <c r="I51" i="30"/>
  <c r="I19" i="30"/>
  <c r="I15" i="30"/>
  <c r="I50" i="28"/>
  <c r="I42" i="28"/>
  <c r="I34" i="28"/>
  <c r="I26" i="28"/>
  <c r="I18" i="28"/>
  <c r="I10" i="28"/>
  <c r="I9" i="28"/>
  <c r="I24" i="28"/>
  <c r="I20" i="28"/>
  <c r="I12" i="28"/>
  <c r="I45" i="28"/>
  <c r="I37" i="28"/>
  <c r="I29" i="28"/>
  <c r="I21" i="28"/>
  <c r="I13" i="28"/>
  <c r="I52" i="28"/>
  <c r="I51" i="28"/>
  <c r="I47" i="28"/>
  <c r="I43" i="28"/>
  <c r="I39" i="28"/>
  <c r="I35" i="28"/>
  <c r="I31" i="28"/>
  <c r="I27" i="28"/>
  <c r="I23" i="28"/>
  <c r="I19" i="28"/>
  <c r="I15" i="28"/>
  <c r="I11" i="28"/>
  <c r="I7" i="28"/>
  <c r="J7" i="28" s="1"/>
  <c r="I53" i="28"/>
  <c r="I48" i="28"/>
  <c r="I44" i="28"/>
  <c r="I40" i="28"/>
  <c r="I36" i="28"/>
  <c r="I32" i="28"/>
  <c r="I28" i="28"/>
  <c r="I16" i="28"/>
  <c r="I57" i="28"/>
  <c r="J57" i="28" s="1"/>
  <c r="Q17" i="28" s="1"/>
  <c r="I54" i="28"/>
  <c r="I49" i="28"/>
  <c r="I41" i="28"/>
  <c r="I33" i="28"/>
  <c r="I25" i="28"/>
  <c r="I17" i="28"/>
  <c r="I57" i="27"/>
  <c r="J57" i="27" s="1"/>
  <c r="Q17" i="27" s="1"/>
  <c r="I54" i="27"/>
  <c r="I50" i="27"/>
  <c r="I45" i="27"/>
  <c r="I44" i="27"/>
  <c r="I34" i="27"/>
  <c r="I29" i="27"/>
  <c r="I28" i="27"/>
  <c r="I23" i="27"/>
  <c r="I18" i="27"/>
  <c r="I13" i="27"/>
  <c r="I12" i="27"/>
  <c r="I7" i="27"/>
  <c r="J7" i="27" s="1"/>
  <c r="I42" i="27"/>
  <c r="I31" i="27"/>
  <c r="I15" i="27"/>
  <c r="I53" i="27"/>
  <c r="I48" i="27"/>
  <c r="I43" i="27"/>
  <c r="I38" i="27"/>
  <c r="I33" i="27"/>
  <c r="I32" i="27"/>
  <c r="I27" i="27"/>
  <c r="I22" i="27"/>
  <c r="I11" i="27"/>
  <c r="I55" i="27"/>
  <c r="I51" i="27"/>
  <c r="I46" i="27"/>
  <c r="I41" i="27"/>
  <c r="I40" i="27"/>
  <c r="I35" i="27"/>
  <c r="I25" i="27"/>
  <c r="I24" i="27"/>
  <c r="I19" i="27"/>
  <c r="I14" i="27"/>
  <c r="I9" i="27"/>
  <c r="I52" i="27"/>
  <c r="I47" i="27"/>
  <c r="I37" i="27"/>
  <c r="I36" i="27"/>
  <c r="I26" i="27"/>
  <c r="I21" i="27"/>
  <c r="I17" i="27"/>
  <c r="I16" i="27"/>
  <c r="I57" i="26"/>
  <c r="J57" i="26" s="1"/>
  <c r="Q17" i="26" s="1"/>
  <c r="I54" i="26"/>
  <c r="I49" i="26"/>
  <c r="I48" i="26"/>
  <c r="I43" i="26"/>
  <c r="I38" i="26"/>
  <c r="I33" i="26"/>
  <c r="I32" i="26"/>
  <c r="I27" i="26"/>
  <c r="I22" i="26"/>
  <c r="I16" i="26"/>
  <c r="I52" i="26"/>
  <c r="I42" i="26"/>
  <c r="I26" i="26"/>
  <c r="I21" i="26"/>
  <c r="I20" i="26"/>
  <c r="I15" i="26"/>
  <c r="I55" i="26"/>
  <c r="I50" i="26"/>
  <c r="I45" i="26"/>
  <c r="I44" i="26"/>
  <c r="I39" i="26"/>
  <c r="I34" i="26"/>
  <c r="I28" i="26"/>
  <c r="I18" i="26"/>
  <c r="I13" i="26"/>
  <c r="I12" i="26"/>
  <c r="I7" i="26"/>
  <c r="J7" i="26" s="1"/>
  <c r="I51" i="26"/>
  <c r="I46" i="26"/>
  <c r="I40" i="26"/>
  <c r="I30" i="26"/>
  <c r="I25" i="26"/>
  <c r="I24" i="26"/>
  <c r="I19" i="26"/>
  <c r="I14" i="26"/>
  <c r="I9" i="26"/>
  <c r="I37" i="26"/>
  <c r="I36" i="26"/>
  <c r="I31" i="26"/>
  <c r="I10" i="26"/>
  <c r="F39" i="29" l="1"/>
  <c r="F20" i="26"/>
  <c r="J19" i="26"/>
  <c r="J34" i="26"/>
  <c r="J52" i="26"/>
  <c r="F50" i="26"/>
  <c r="J49" i="26"/>
  <c r="J9" i="27"/>
  <c r="F40" i="26"/>
  <c r="J39" i="26"/>
  <c r="F54" i="26"/>
  <c r="F39" i="26"/>
  <c r="J38" i="26"/>
  <c r="F21" i="27"/>
  <c r="F31" i="27"/>
  <c r="F23" i="27"/>
  <c r="J22" i="27"/>
  <c r="F54" i="27"/>
  <c r="J53" i="27"/>
  <c r="F35" i="27"/>
  <c r="J34" i="27"/>
  <c r="J54" i="28"/>
  <c r="F48" i="28"/>
  <c r="J47" i="28"/>
  <c r="F32" i="26"/>
  <c r="J31" i="26"/>
  <c r="F15" i="26"/>
  <c r="J14" i="26"/>
  <c r="F31" i="26"/>
  <c r="J30" i="26"/>
  <c r="J46" i="26"/>
  <c r="F14" i="26"/>
  <c r="J13" i="26"/>
  <c r="F30" i="26"/>
  <c r="F46" i="26"/>
  <c r="J45" i="26"/>
  <c r="F21" i="26"/>
  <c r="J20" i="26"/>
  <c r="F48" i="26"/>
  <c r="J16" i="26"/>
  <c r="F33" i="26"/>
  <c r="J32" i="26"/>
  <c r="F49" i="26"/>
  <c r="J48" i="26"/>
  <c r="F17" i="27"/>
  <c r="J16" i="27"/>
  <c r="F27" i="27"/>
  <c r="J26" i="27"/>
  <c r="F53" i="27"/>
  <c r="J52" i="27"/>
  <c r="F25" i="27"/>
  <c r="J24" i="27"/>
  <c r="F41" i="27"/>
  <c r="J40" i="27"/>
  <c r="F57" i="27"/>
  <c r="J55" i="27"/>
  <c r="F33" i="27"/>
  <c r="J32" i="27"/>
  <c r="J48" i="27"/>
  <c r="F16" i="27"/>
  <c r="J15" i="27"/>
  <c r="F13" i="27"/>
  <c r="J12" i="27"/>
  <c r="F29" i="27"/>
  <c r="J28" i="27"/>
  <c r="F45" i="27"/>
  <c r="J44" i="27"/>
  <c r="F42" i="28"/>
  <c r="J41" i="28"/>
  <c r="F17" i="28"/>
  <c r="J16" i="28"/>
  <c r="F41" i="28"/>
  <c r="J40" i="28"/>
  <c r="F24" i="28"/>
  <c r="J23" i="28"/>
  <c r="F40" i="28"/>
  <c r="J39" i="28"/>
  <c r="F53" i="28"/>
  <c r="J52" i="28"/>
  <c r="J37" i="28"/>
  <c r="F25" i="28"/>
  <c r="J24" i="28"/>
  <c r="F19" i="28"/>
  <c r="J18" i="28"/>
  <c r="F35" i="28"/>
  <c r="J34" i="28"/>
  <c r="F51" i="28"/>
  <c r="J50" i="28"/>
  <c r="F52" i="30"/>
  <c r="J51" i="30"/>
  <c r="F19" i="30"/>
  <c r="J18" i="30"/>
  <c r="F51" i="30"/>
  <c r="J50" i="30"/>
  <c r="F14" i="30"/>
  <c r="J13" i="30"/>
  <c r="F30" i="30"/>
  <c r="J29" i="30"/>
  <c r="F46" i="30"/>
  <c r="J45" i="30"/>
  <c r="F24" i="30"/>
  <c r="J23" i="30"/>
  <c r="F40" i="30"/>
  <c r="J39" i="30"/>
  <c r="F23" i="30"/>
  <c r="J22" i="30"/>
  <c r="F13" i="30"/>
  <c r="J12" i="30"/>
  <c r="F29" i="30"/>
  <c r="J28" i="30"/>
  <c r="F45" i="30"/>
  <c r="J44" i="30"/>
  <c r="F52" i="33"/>
  <c r="J51" i="33"/>
  <c r="F17" i="33"/>
  <c r="J16" i="33"/>
  <c r="F35" i="33"/>
  <c r="J34" i="33"/>
  <c r="F12" i="33"/>
  <c r="J11" i="33"/>
  <c r="F49" i="33"/>
  <c r="J48" i="33"/>
  <c r="F24" i="33"/>
  <c r="J23" i="33"/>
  <c r="F37" i="33"/>
  <c r="J36" i="33"/>
  <c r="F39" i="33"/>
  <c r="J38" i="33"/>
  <c r="F19" i="33"/>
  <c r="J18" i="33"/>
  <c r="F33" i="33"/>
  <c r="J32" i="33"/>
  <c r="F57" i="33"/>
  <c r="J55" i="33"/>
  <c r="F45" i="33"/>
  <c r="J44" i="33"/>
  <c r="F27" i="34"/>
  <c r="J26" i="34"/>
  <c r="F48" i="34"/>
  <c r="J47" i="34"/>
  <c r="F18" i="34"/>
  <c r="J17" i="34"/>
  <c r="F44" i="34"/>
  <c r="J43" i="34"/>
  <c r="F34" i="34"/>
  <c r="J33" i="34"/>
  <c r="F51" i="34"/>
  <c r="J50" i="34"/>
  <c r="F11" i="34"/>
  <c r="J10" i="34"/>
  <c r="F25" i="34"/>
  <c r="J24" i="34"/>
  <c r="J40" i="34"/>
  <c r="F54" i="34"/>
  <c r="J53" i="34"/>
  <c r="F24" i="34"/>
  <c r="J23" i="34"/>
  <c r="F40" i="34"/>
  <c r="J39" i="34"/>
  <c r="F16" i="34"/>
  <c r="J15" i="34"/>
  <c r="F16" i="32"/>
  <c r="J15" i="32"/>
  <c r="J20" i="32"/>
  <c r="F14" i="32"/>
  <c r="F14" i="36"/>
  <c r="J13" i="36"/>
  <c r="F18" i="36"/>
  <c r="J17" i="36"/>
  <c r="F46" i="36"/>
  <c r="J45" i="36"/>
  <c r="J21" i="36"/>
  <c r="J35" i="36"/>
  <c r="F54" i="36"/>
  <c r="J53" i="36"/>
  <c r="F16" i="36"/>
  <c r="F34" i="36"/>
  <c r="J33" i="36"/>
  <c r="F48" i="36"/>
  <c r="J47" i="36"/>
  <c r="F19" i="36"/>
  <c r="J18" i="36"/>
  <c r="F33" i="36"/>
  <c r="J32" i="36"/>
  <c r="F51" i="36"/>
  <c r="J50" i="36"/>
  <c r="F37" i="31"/>
  <c r="J36" i="31"/>
  <c r="F53" i="31"/>
  <c r="F24" i="31"/>
  <c r="F40" i="31"/>
  <c r="J39" i="31"/>
  <c r="F57" i="31"/>
  <c r="J55" i="31"/>
  <c r="F15" i="31"/>
  <c r="J14" i="31"/>
  <c r="F31" i="31"/>
  <c r="J30" i="31"/>
  <c r="F47" i="31"/>
  <c r="F13" i="31"/>
  <c r="J12" i="31"/>
  <c r="F10" i="31"/>
  <c r="J9" i="31"/>
  <c r="F26" i="31"/>
  <c r="J25" i="31"/>
  <c r="F42" i="31"/>
  <c r="F12" i="37"/>
  <c r="J11" i="37"/>
  <c r="F17" i="37"/>
  <c r="J16" i="37"/>
  <c r="F28" i="37"/>
  <c r="J27" i="37"/>
  <c r="F44" i="37"/>
  <c r="J43" i="37"/>
  <c r="F22" i="37"/>
  <c r="J21" i="37"/>
  <c r="F38" i="37"/>
  <c r="J37" i="37"/>
  <c r="F54" i="37"/>
  <c r="J53" i="37"/>
  <c r="J24" i="37"/>
  <c r="F41" i="37"/>
  <c r="J40" i="37"/>
  <c r="F24" i="37"/>
  <c r="J23" i="37"/>
  <c r="F40" i="37"/>
  <c r="J39" i="37"/>
  <c r="F57" i="37"/>
  <c r="J55" i="37"/>
  <c r="J29" i="35"/>
  <c r="F25" i="35"/>
  <c r="J24" i="35"/>
  <c r="F53" i="35"/>
  <c r="J52" i="35"/>
  <c r="F19" i="35"/>
  <c r="J18" i="35"/>
  <c r="F33" i="35"/>
  <c r="J32" i="35"/>
  <c r="F51" i="35"/>
  <c r="J50" i="35"/>
  <c r="F18" i="35"/>
  <c r="J17" i="35"/>
  <c r="F32" i="35"/>
  <c r="J31" i="35"/>
  <c r="F50" i="35"/>
  <c r="J49" i="35"/>
  <c r="F22" i="35"/>
  <c r="J21" i="35"/>
  <c r="F36" i="35"/>
  <c r="J35" i="35"/>
  <c r="F54" i="35"/>
  <c r="J53" i="35"/>
  <c r="F20" i="29"/>
  <c r="J19" i="29"/>
  <c r="F24" i="29"/>
  <c r="J23" i="29"/>
  <c r="F41" i="29"/>
  <c r="J40" i="29"/>
  <c r="F35" i="29"/>
  <c r="J34" i="29"/>
  <c r="F29" i="29"/>
  <c r="J28" i="29"/>
  <c r="F44" i="29"/>
  <c r="J43" i="29"/>
  <c r="F26" i="29"/>
  <c r="J25" i="29"/>
  <c r="F10" i="29"/>
  <c r="J9" i="29"/>
  <c r="F49" i="29"/>
  <c r="J48" i="29"/>
  <c r="F52" i="26"/>
  <c r="J51" i="26"/>
  <c r="F18" i="26"/>
  <c r="F18" i="27"/>
  <c r="J17" i="27"/>
  <c r="F37" i="27"/>
  <c r="J36" i="27"/>
  <c r="F42" i="27"/>
  <c r="J41" i="27"/>
  <c r="F12" i="27"/>
  <c r="J11" i="27"/>
  <c r="F34" i="27"/>
  <c r="J33" i="27"/>
  <c r="F50" i="27"/>
  <c r="F32" i="27"/>
  <c r="J31" i="27"/>
  <c r="F14" i="27"/>
  <c r="J13" i="27"/>
  <c r="J29" i="27"/>
  <c r="F46" i="27"/>
  <c r="J45" i="27"/>
  <c r="F18" i="28"/>
  <c r="J17" i="28"/>
  <c r="F50" i="28"/>
  <c r="J49" i="28"/>
  <c r="F29" i="28"/>
  <c r="J28" i="28"/>
  <c r="F45" i="28"/>
  <c r="J44" i="28"/>
  <c r="F12" i="28"/>
  <c r="J11" i="28"/>
  <c r="F28" i="28"/>
  <c r="J27" i="28"/>
  <c r="F44" i="28"/>
  <c r="J43" i="28"/>
  <c r="J13" i="28"/>
  <c r="J45" i="28"/>
  <c r="F10" i="28"/>
  <c r="J9" i="28"/>
  <c r="F23" i="28"/>
  <c r="F39" i="28"/>
  <c r="F57" i="28"/>
  <c r="F57" i="30"/>
  <c r="J55" i="30"/>
  <c r="F27" i="30"/>
  <c r="J26" i="30"/>
  <c r="F55" i="30"/>
  <c r="J54" i="30"/>
  <c r="F18" i="30"/>
  <c r="J17" i="30"/>
  <c r="F34" i="30"/>
  <c r="J33" i="30"/>
  <c r="F50" i="30"/>
  <c r="J49" i="30"/>
  <c r="F28" i="30"/>
  <c r="J27" i="30"/>
  <c r="F44" i="30"/>
  <c r="J43" i="30"/>
  <c r="F31" i="30"/>
  <c r="J30" i="30"/>
  <c r="F17" i="30"/>
  <c r="J16" i="30"/>
  <c r="F33" i="30"/>
  <c r="J32" i="30"/>
  <c r="F49" i="30"/>
  <c r="J48" i="30"/>
  <c r="F21" i="33"/>
  <c r="J20" i="33"/>
  <c r="F38" i="33"/>
  <c r="J37" i="33"/>
  <c r="F13" i="33"/>
  <c r="J12" i="33"/>
  <c r="F10" i="33"/>
  <c r="J9" i="33"/>
  <c r="F25" i="33"/>
  <c r="J24" i="33"/>
  <c r="F44" i="33"/>
  <c r="J43" i="33"/>
  <c r="F42" i="33"/>
  <c r="J41" i="33"/>
  <c r="F23" i="33"/>
  <c r="J22" i="33"/>
  <c r="F43" i="33"/>
  <c r="J42" i="33"/>
  <c r="F36" i="33"/>
  <c r="J35" i="33"/>
  <c r="F50" i="33"/>
  <c r="J49" i="33"/>
  <c r="F52" i="34"/>
  <c r="J51" i="34"/>
  <c r="F13" i="34"/>
  <c r="J12" i="34"/>
  <c r="F12" i="34"/>
  <c r="J11" i="34"/>
  <c r="J21" i="34"/>
  <c r="F38" i="34"/>
  <c r="J37" i="34"/>
  <c r="F55" i="34"/>
  <c r="J54" i="34"/>
  <c r="F15" i="34"/>
  <c r="J14" i="34"/>
  <c r="F29" i="34"/>
  <c r="J28" i="34"/>
  <c r="F42" i="34"/>
  <c r="F10" i="34"/>
  <c r="J9" i="34"/>
  <c r="F28" i="34"/>
  <c r="J27" i="34"/>
  <c r="F45" i="34"/>
  <c r="J44" i="34"/>
  <c r="F17" i="32"/>
  <c r="J16" i="32"/>
  <c r="F18" i="32"/>
  <c r="J17" i="32"/>
  <c r="F20" i="32"/>
  <c r="F23" i="36"/>
  <c r="F27" i="36"/>
  <c r="J26" i="36"/>
  <c r="F55" i="36"/>
  <c r="J54" i="36"/>
  <c r="F26" i="36"/>
  <c r="J25" i="36"/>
  <c r="F40" i="36"/>
  <c r="J39" i="36"/>
  <c r="F21" i="36"/>
  <c r="J20" i="36"/>
  <c r="F39" i="36"/>
  <c r="J38" i="36"/>
  <c r="F53" i="36"/>
  <c r="J52" i="36"/>
  <c r="F20" i="36"/>
  <c r="J19" i="36"/>
  <c r="F38" i="36"/>
  <c r="J37" i="36"/>
  <c r="F52" i="36"/>
  <c r="J51" i="36"/>
  <c r="J40" i="31"/>
  <c r="F12" i="31"/>
  <c r="F28" i="31"/>
  <c r="J27" i="31"/>
  <c r="F44" i="31"/>
  <c r="J43" i="31"/>
  <c r="J28" i="31"/>
  <c r="F19" i="31"/>
  <c r="J18" i="31"/>
  <c r="J34" i="31"/>
  <c r="F51" i="31"/>
  <c r="J50" i="31"/>
  <c r="J16" i="31"/>
  <c r="F14" i="31"/>
  <c r="J13" i="31"/>
  <c r="F30" i="31"/>
  <c r="J45" i="31"/>
  <c r="F33" i="37"/>
  <c r="J32" i="37"/>
  <c r="F34" i="37"/>
  <c r="J33" i="37"/>
  <c r="F49" i="37"/>
  <c r="J48" i="37"/>
  <c r="F11" i="37"/>
  <c r="J10" i="37"/>
  <c r="F27" i="37"/>
  <c r="J26" i="37"/>
  <c r="F43" i="37"/>
  <c r="J42" i="37"/>
  <c r="F10" i="37"/>
  <c r="J9" i="37"/>
  <c r="F26" i="37"/>
  <c r="F42" i="37"/>
  <c r="J41" i="37"/>
  <c r="F13" i="37"/>
  <c r="J12" i="37"/>
  <c r="F29" i="37"/>
  <c r="J28" i="37"/>
  <c r="F45" i="37"/>
  <c r="J44" i="37"/>
  <c r="F11" i="35"/>
  <c r="J10" i="35"/>
  <c r="F39" i="35"/>
  <c r="J38" i="35"/>
  <c r="F34" i="35"/>
  <c r="J33" i="35"/>
  <c r="F12" i="35"/>
  <c r="J11" i="35"/>
  <c r="F20" i="35"/>
  <c r="J19" i="35"/>
  <c r="F38" i="35"/>
  <c r="J37" i="35"/>
  <c r="F52" i="35"/>
  <c r="J51" i="35"/>
  <c r="F23" i="35"/>
  <c r="J22" i="35"/>
  <c r="F37" i="35"/>
  <c r="J36" i="35"/>
  <c r="F55" i="35"/>
  <c r="J54" i="35"/>
  <c r="F26" i="35"/>
  <c r="J25" i="35"/>
  <c r="F40" i="35"/>
  <c r="J39" i="35"/>
  <c r="F53" i="29"/>
  <c r="J52" i="29"/>
  <c r="F18" i="29"/>
  <c r="J17" i="29"/>
  <c r="F54" i="29"/>
  <c r="J53" i="29"/>
  <c r="F16" i="29"/>
  <c r="J15" i="29"/>
  <c r="F50" i="29"/>
  <c r="J49" i="29"/>
  <c r="F32" i="29"/>
  <c r="J31" i="29"/>
  <c r="F37" i="29"/>
  <c r="J36" i="29"/>
  <c r="F38" i="29"/>
  <c r="J37" i="29"/>
  <c r="F34" i="29"/>
  <c r="J33" i="29"/>
  <c r="F21" i="29"/>
  <c r="J20" i="29"/>
  <c r="F40" i="29"/>
  <c r="J39" i="29"/>
  <c r="F36" i="29"/>
  <c r="J35" i="29"/>
  <c r="F36" i="26"/>
  <c r="F51" i="26"/>
  <c r="J50" i="26"/>
  <c r="F38" i="26"/>
  <c r="J37" i="26"/>
  <c r="F27" i="26"/>
  <c r="J26" i="26"/>
  <c r="F15" i="27"/>
  <c r="J14" i="27"/>
  <c r="F19" i="27"/>
  <c r="J18" i="27"/>
  <c r="F26" i="28"/>
  <c r="J25" i="28"/>
  <c r="F49" i="28"/>
  <c r="J48" i="28"/>
  <c r="F32" i="28"/>
  <c r="J31" i="28"/>
  <c r="J21" i="28"/>
  <c r="F13" i="28"/>
  <c r="J12" i="28"/>
  <c r="F11" i="28"/>
  <c r="J10" i="28"/>
  <c r="F27" i="28"/>
  <c r="J26" i="28"/>
  <c r="F43" i="28"/>
  <c r="J42" i="28"/>
  <c r="F16" i="30"/>
  <c r="J15" i="30"/>
  <c r="F35" i="30"/>
  <c r="J34" i="30"/>
  <c r="F22" i="30"/>
  <c r="J21" i="30"/>
  <c r="F38" i="30"/>
  <c r="J37" i="30"/>
  <c r="F54" i="30"/>
  <c r="J53" i="30"/>
  <c r="F32" i="30"/>
  <c r="J31" i="30"/>
  <c r="F48" i="30"/>
  <c r="J47" i="30"/>
  <c r="F39" i="30"/>
  <c r="J38" i="30"/>
  <c r="F21" i="30"/>
  <c r="J20" i="30"/>
  <c r="F37" i="30"/>
  <c r="J36" i="30"/>
  <c r="F53" i="30"/>
  <c r="J52" i="30"/>
  <c r="F11" i="33"/>
  <c r="J10" i="33"/>
  <c r="F26" i="33"/>
  <c r="J25" i="33"/>
  <c r="F48" i="33"/>
  <c r="J47" i="33"/>
  <c r="F18" i="33"/>
  <c r="J17" i="33"/>
  <c r="F15" i="33"/>
  <c r="J14" i="33"/>
  <c r="F29" i="33"/>
  <c r="J28" i="33"/>
  <c r="F47" i="33"/>
  <c r="J46" i="33"/>
  <c r="F55" i="33"/>
  <c r="J54" i="33"/>
  <c r="F28" i="33"/>
  <c r="J27" i="33"/>
  <c r="F46" i="33"/>
  <c r="J45" i="33"/>
  <c r="F40" i="33"/>
  <c r="J39" i="33"/>
  <c r="F54" i="33"/>
  <c r="J53" i="33"/>
  <c r="F23" i="34"/>
  <c r="F31" i="34"/>
  <c r="J30" i="34"/>
  <c r="F19" i="34"/>
  <c r="J18" i="34"/>
  <c r="F26" i="34"/>
  <c r="J25" i="34"/>
  <c r="F43" i="34"/>
  <c r="J42" i="34"/>
  <c r="F17" i="34"/>
  <c r="J16" i="34"/>
  <c r="F33" i="34"/>
  <c r="J32" i="34"/>
  <c r="F46" i="34"/>
  <c r="J45" i="34"/>
  <c r="F14" i="34"/>
  <c r="J13" i="34"/>
  <c r="F32" i="34"/>
  <c r="J31" i="34"/>
  <c r="F49" i="34"/>
  <c r="J48" i="34"/>
  <c r="J18" i="32"/>
  <c r="F41" i="36"/>
  <c r="J40" i="36"/>
  <c r="F28" i="36"/>
  <c r="J27" i="36"/>
  <c r="F32" i="36"/>
  <c r="J31" i="36"/>
  <c r="F13" i="36"/>
  <c r="J12" i="36"/>
  <c r="F31" i="36"/>
  <c r="J30" i="36"/>
  <c r="F45" i="36"/>
  <c r="J44" i="36"/>
  <c r="F11" i="36"/>
  <c r="J10" i="36"/>
  <c r="F25" i="36"/>
  <c r="J24" i="36"/>
  <c r="J42" i="36"/>
  <c r="F10" i="36"/>
  <c r="J9" i="36"/>
  <c r="F24" i="36"/>
  <c r="J23" i="36"/>
  <c r="F42" i="36"/>
  <c r="J41" i="36"/>
  <c r="F57" i="36"/>
  <c r="J55" i="36"/>
  <c r="F45" i="31"/>
  <c r="J44" i="31"/>
  <c r="F16" i="31"/>
  <c r="J15" i="31"/>
  <c r="F32" i="31"/>
  <c r="J31" i="31"/>
  <c r="F48" i="31"/>
  <c r="J47" i="31"/>
  <c r="J22" i="31"/>
  <c r="F39" i="31"/>
  <c r="J38" i="31"/>
  <c r="F55" i="31"/>
  <c r="J54" i="31"/>
  <c r="F21" i="31"/>
  <c r="J20" i="31"/>
  <c r="F18" i="31"/>
  <c r="F34" i="31"/>
  <c r="J33" i="31"/>
  <c r="F50" i="31"/>
  <c r="J49" i="31"/>
  <c r="F50" i="37"/>
  <c r="J49" i="37"/>
  <c r="F39" i="37"/>
  <c r="J38" i="37"/>
  <c r="F18" i="37"/>
  <c r="J17" i="37"/>
  <c r="F16" i="37"/>
  <c r="J15" i="37"/>
  <c r="F32" i="37"/>
  <c r="J31" i="37"/>
  <c r="F48" i="37"/>
  <c r="F15" i="37"/>
  <c r="J14" i="37"/>
  <c r="F31" i="37"/>
  <c r="J30" i="37"/>
  <c r="J46" i="37"/>
  <c r="F14" i="37"/>
  <c r="J13" i="37"/>
  <c r="F30" i="37"/>
  <c r="J29" i="37"/>
  <c r="F46" i="37"/>
  <c r="J45" i="37"/>
  <c r="J15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F13" i="35"/>
  <c r="J12" i="35"/>
  <c r="F31" i="35"/>
  <c r="F45" i="35"/>
  <c r="F11" i="29"/>
  <c r="J10" i="29"/>
  <c r="F30" i="29"/>
  <c r="J29" i="29"/>
  <c r="F22" i="29"/>
  <c r="J21" i="29"/>
  <c r="F23" i="29"/>
  <c r="J22" i="29"/>
  <c r="F51" i="29"/>
  <c r="J50" i="29"/>
  <c r="F46" i="29"/>
  <c r="J45" i="29"/>
  <c r="F48" i="29"/>
  <c r="J47" i="29"/>
  <c r="F25" i="29"/>
  <c r="J24" i="29"/>
  <c r="F19" i="29"/>
  <c r="J18" i="29"/>
  <c r="F14" i="29"/>
  <c r="J13" i="29"/>
  <c r="F37" i="26"/>
  <c r="J36" i="26"/>
  <c r="F19" i="26"/>
  <c r="J18" i="26"/>
  <c r="F22" i="26"/>
  <c r="J21" i="26"/>
  <c r="F34" i="26"/>
  <c r="J33" i="26"/>
  <c r="F26" i="27"/>
  <c r="J25" i="27"/>
  <c r="F25" i="26"/>
  <c r="J24" i="26"/>
  <c r="J40" i="26"/>
  <c r="F24" i="26"/>
  <c r="F57" i="26"/>
  <c r="J55" i="26"/>
  <c r="J22" i="26"/>
  <c r="F55" i="26"/>
  <c r="J54" i="26"/>
  <c r="F38" i="27"/>
  <c r="J37" i="27"/>
  <c r="F47" i="27"/>
  <c r="J46" i="27"/>
  <c r="J38" i="27"/>
  <c r="F43" i="27"/>
  <c r="J42" i="27"/>
  <c r="F51" i="27"/>
  <c r="J50" i="27"/>
  <c r="F33" i="28"/>
  <c r="J32" i="28"/>
  <c r="F16" i="28"/>
  <c r="J15" i="28"/>
  <c r="J10" i="26"/>
  <c r="F10" i="26"/>
  <c r="J9" i="26"/>
  <c r="F26" i="26"/>
  <c r="J25" i="26"/>
  <c r="F42" i="26"/>
  <c r="F13" i="26"/>
  <c r="J12" i="26"/>
  <c r="J28" i="26"/>
  <c r="F45" i="26"/>
  <c r="J44" i="26"/>
  <c r="F16" i="26"/>
  <c r="J15" i="26"/>
  <c r="F43" i="26"/>
  <c r="J42" i="26"/>
  <c r="F12" i="26"/>
  <c r="F28" i="26"/>
  <c r="J27" i="26"/>
  <c r="F44" i="26"/>
  <c r="J43" i="26"/>
  <c r="F22" i="27"/>
  <c r="J21" i="27"/>
  <c r="F48" i="27"/>
  <c r="J47" i="27"/>
  <c r="J19" i="27"/>
  <c r="F36" i="27"/>
  <c r="J35" i="27"/>
  <c r="F52" i="27"/>
  <c r="J51" i="27"/>
  <c r="F28" i="27"/>
  <c r="J27" i="27"/>
  <c r="F44" i="27"/>
  <c r="J43" i="27"/>
  <c r="F11" i="27"/>
  <c r="F24" i="27"/>
  <c r="J23" i="27"/>
  <c r="F40" i="27"/>
  <c r="F55" i="27"/>
  <c r="J54" i="27"/>
  <c r="F34" i="28"/>
  <c r="J33" i="28"/>
  <c r="F37" i="28"/>
  <c r="J36" i="28"/>
  <c r="F54" i="28"/>
  <c r="J53" i="28"/>
  <c r="F20" i="28"/>
  <c r="J19" i="28"/>
  <c r="F36" i="28"/>
  <c r="J35" i="28"/>
  <c r="F52" i="28"/>
  <c r="J51" i="28"/>
  <c r="J29" i="28"/>
  <c r="F21" i="28"/>
  <c r="J20" i="28"/>
  <c r="F15" i="28"/>
  <c r="F31" i="28"/>
  <c r="F47" i="28"/>
  <c r="F20" i="30"/>
  <c r="J19" i="30"/>
  <c r="F11" i="30"/>
  <c r="J10" i="30"/>
  <c r="F43" i="30"/>
  <c r="J42" i="30"/>
  <c r="F10" i="30"/>
  <c r="J9" i="30"/>
  <c r="F26" i="30"/>
  <c r="F42" i="30"/>
  <c r="J41" i="30"/>
  <c r="F12" i="30"/>
  <c r="J11" i="30"/>
  <c r="F36" i="30"/>
  <c r="J35" i="30"/>
  <c r="F15" i="30"/>
  <c r="J14" i="30"/>
  <c r="F47" i="30"/>
  <c r="J46" i="30"/>
  <c r="J24" i="30"/>
  <c r="F41" i="30"/>
  <c r="J40" i="30"/>
  <c r="F27" i="33"/>
  <c r="J26" i="33"/>
  <c r="F16" i="33"/>
  <c r="J15" i="33"/>
  <c r="F30" i="33"/>
  <c r="J29" i="33"/>
  <c r="F51" i="33"/>
  <c r="J50" i="33"/>
  <c r="F22" i="33"/>
  <c r="J21" i="33"/>
  <c r="F20" i="33"/>
  <c r="J19" i="33"/>
  <c r="F34" i="33"/>
  <c r="J33" i="33"/>
  <c r="F31" i="33"/>
  <c r="J30" i="33"/>
  <c r="F14" i="33"/>
  <c r="J13" i="33"/>
  <c r="F32" i="33"/>
  <c r="J31" i="33"/>
  <c r="F53" i="33"/>
  <c r="J52" i="33"/>
  <c r="F41" i="33"/>
  <c r="J40" i="33"/>
  <c r="F39" i="34"/>
  <c r="J38" i="34"/>
  <c r="F57" i="34"/>
  <c r="J55" i="34"/>
  <c r="F35" i="34"/>
  <c r="J34" i="34"/>
  <c r="F30" i="34"/>
  <c r="J29" i="34"/>
  <c r="F47" i="34"/>
  <c r="J46" i="34"/>
  <c r="F21" i="34"/>
  <c r="J20" i="34"/>
  <c r="F37" i="34"/>
  <c r="J36" i="34"/>
  <c r="F50" i="34"/>
  <c r="J49" i="34"/>
  <c r="F20" i="34"/>
  <c r="J19" i="34"/>
  <c r="F36" i="34"/>
  <c r="J35" i="34"/>
  <c r="F53" i="34"/>
  <c r="J52" i="34"/>
  <c r="F15" i="32"/>
  <c r="J14" i="32"/>
  <c r="F50" i="36"/>
  <c r="F37" i="36"/>
  <c r="F17" i="36"/>
  <c r="J16" i="36"/>
  <c r="F35" i="36"/>
  <c r="J34" i="36"/>
  <c r="J48" i="36"/>
  <c r="F12" i="36"/>
  <c r="J11" i="36"/>
  <c r="F30" i="36"/>
  <c r="F44" i="36"/>
  <c r="J14" i="36"/>
  <c r="J28" i="36"/>
  <c r="F47" i="36"/>
  <c r="J46" i="36"/>
  <c r="F33" i="31"/>
  <c r="J32" i="31"/>
  <c r="F49" i="31"/>
  <c r="J48" i="31"/>
  <c r="F20" i="31"/>
  <c r="J19" i="31"/>
  <c r="F36" i="31"/>
  <c r="J51" i="31"/>
  <c r="J10" i="31"/>
  <c r="F27" i="31"/>
  <c r="J26" i="31"/>
  <c r="F43" i="31"/>
  <c r="J42" i="31"/>
  <c r="F25" i="31"/>
  <c r="J24" i="31"/>
  <c r="F22" i="31"/>
  <c r="J21" i="31"/>
  <c r="F38" i="31"/>
  <c r="J37" i="31"/>
  <c r="F54" i="31"/>
  <c r="J53" i="31"/>
  <c r="F55" i="37"/>
  <c r="J54" i="37"/>
  <c r="F23" i="37"/>
  <c r="J22" i="37"/>
  <c r="F21" i="37"/>
  <c r="J20" i="37"/>
  <c r="F37" i="37"/>
  <c r="J36" i="37"/>
  <c r="F53" i="37"/>
  <c r="J52" i="37"/>
  <c r="F20" i="37"/>
  <c r="J19" i="37"/>
  <c r="F36" i="37"/>
  <c r="J35" i="37"/>
  <c r="F52" i="37"/>
  <c r="J51" i="37"/>
  <c r="F19" i="37"/>
  <c r="J18" i="37"/>
  <c r="F35" i="37"/>
  <c r="J34" i="37"/>
  <c r="F51" i="37"/>
  <c r="J50" i="37"/>
  <c r="F21" i="35"/>
  <c r="J20" i="35"/>
  <c r="F48" i="35"/>
  <c r="J47" i="35"/>
  <c r="F15" i="35"/>
  <c r="J14" i="35"/>
  <c r="F29" i="35"/>
  <c r="J28" i="35"/>
  <c r="F47" i="35"/>
  <c r="J46" i="35"/>
  <c r="F14" i="35"/>
  <c r="J13" i="35"/>
  <c r="F28" i="35"/>
  <c r="J27" i="35"/>
  <c r="F46" i="35"/>
  <c r="J45" i="35"/>
  <c r="F17" i="35"/>
  <c r="F35" i="35"/>
  <c r="J34" i="35"/>
  <c r="F49" i="35"/>
  <c r="J48" i="35"/>
  <c r="F31" i="29"/>
  <c r="J30" i="29"/>
  <c r="F43" i="29"/>
  <c r="J42" i="29"/>
  <c r="F47" i="29"/>
  <c r="J46" i="29"/>
  <c r="F12" i="29"/>
  <c r="J11" i="29"/>
  <c r="F42" i="29"/>
  <c r="J41" i="29"/>
  <c r="F28" i="29"/>
  <c r="J27" i="29"/>
  <c r="F17" i="29"/>
  <c r="J16" i="29"/>
  <c r="F45" i="29"/>
  <c r="J44" i="29"/>
  <c r="F52" i="29"/>
  <c r="J51" i="29"/>
  <c r="F33" i="29"/>
  <c r="J32" i="29"/>
  <c r="F13" i="29"/>
  <c r="J12" i="29"/>
  <c r="F55" i="29"/>
  <c r="J54" i="29"/>
  <c r="F9" i="29"/>
  <c r="F7" i="29"/>
  <c r="F27" i="29"/>
  <c r="F15" i="29"/>
  <c r="F57" i="29"/>
  <c r="F9" i="33"/>
  <c r="F7" i="33"/>
  <c r="F9" i="37"/>
  <c r="F7" i="37"/>
  <c r="F9" i="27"/>
  <c r="F7" i="27"/>
  <c r="F9" i="28"/>
  <c r="F7" i="28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L10" i="3"/>
  <c r="D11" i="3"/>
  <c r="D12" i="3"/>
  <c r="L12" i="3" s="1"/>
  <c r="D13" i="3"/>
  <c r="L13" i="3" s="1"/>
  <c r="D14" i="3"/>
  <c r="L14" i="3" s="1"/>
  <c r="D15" i="3"/>
  <c r="L16" i="3"/>
  <c r="D17" i="3"/>
  <c r="L17" i="3" s="1"/>
  <c r="D18" i="3"/>
  <c r="L18" i="3" s="1"/>
  <c r="D19" i="3"/>
  <c r="D20" i="3"/>
  <c r="L20" i="3" s="1"/>
  <c r="D21" i="3"/>
  <c r="L21" i="3" s="1"/>
  <c r="L22" i="3"/>
  <c r="D23" i="3"/>
  <c r="D24" i="3"/>
  <c r="L24" i="3" s="1"/>
  <c r="D25" i="3"/>
  <c r="L25" i="3" s="1"/>
  <c r="D26" i="3"/>
  <c r="L26" i="3" s="1"/>
  <c r="D27" i="3"/>
  <c r="L28" i="3"/>
  <c r="D29" i="3"/>
  <c r="L29" i="3" s="1"/>
  <c r="D30" i="3"/>
  <c r="L30" i="3" s="1"/>
  <c r="D31" i="3"/>
  <c r="D32" i="3"/>
  <c r="L32" i="3" s="1"/>
  <c r="D33" i="3"/>
  <c r="L33" i="3" s="1"/>
  <c r="L34" i="3"/>
  <c r="D35" i="3"/>
  <c r="D36" i="3"/>
  <c r="L36" i="3" s="1"/>
  <c r="D37" i="3"/>
  <c r="L37" i="3" s="1"/>
  <c r="D38" i="3"/>
  <c r="L38" i="3" s="1"/>
  <c r="D39" i="3"/>
  <c r="L40" i="3"/>
  <c r="D41" i="3"/>
  <c r="L41" i="3" s="1"/>
  <c r="D42" i="3"/>
  <c r="L42" i="3" s="1"/>
  <c r="D43" i="3"/>
  <c r="L44" i="3"/>
  <c r="L45" i="3"/>
  <c r="L46" i="3"/>
  <c r="D47" i="3"/>
  <c r="D48" i="3"/>
  <c r="L48" i="3" s="1"/>
  <c r="D49" i="3"/>
  <c r="L49" i="3" s="1"/>
  <c r="D50" i="3"/>
  <c r="L50" i="3" s="1"/>
  <c r="D51" i="3"/>
  <c r="L52" i="3"/>
  <c r="D53" i="3"/>
  <c r="L53" i="3" s="1"/>
  <c r="D54" i="3"/>
  <c r="L54" i="3" s="1"/>
  <c r="D55" i="3"/>
  <c r="D9" i="3"/>
  <c r="D7" i="3"/>
  <c r="D107" i="5"/>
  <c r="D10" i="5"/>
  <c r="L10" i="5" s="1"/>
  <c r="D11" i="5"/>
  <c r="L11" i="5" s="1"/>
  <c r="D12" i="5"/>
  <c r="L12" i="5" s="1"/>
  <c r="D13" i="5"/>
  <c r="L13" i="5" s="1"/>
  <c r="D14" i="5"/>
  <c r="L14" i="5" s="1"/>
  <c r="L15" i="5"/>
  <c r="D16" i="5"/>
  <c r="L16" i="5" s="1"/>
  <c r="D17" i="5"/>
  <c r="L17" i="5" s="1"/>
  <c r="D18" i="5"/>
  <c r="L18" i="5" s="1"/>
  <c r="D19" i="5"/>
  <c r="L19" i="5" s="1"/>
  <c r="D20" i="5"/>
  <c r="L20" i="5" s="1"/>
  <c r="D21" i="5"/>
  <c r="L21" i="5" s="1"/>
  <c r="D22" i="5"/>
  <c r="L22" i="5" s="1"/>
  <c r="D23" i="5"/>
  <c r="L23" i="5" s="1"/>
  <c r="D24" i="5"/>
  <c r="L24" i="5" s="1"/>
  <c r="D25" i="5"/>
  <c r="L25" i="5" s="1"/>
  <c r="L26" i="5"/>
  <c r="D27" i="5"/>
  <c r="L27" i="5" s="1"/>
  <c r="D28" i="5"/>
  <c r="L28" i="5" s="1"/>
  <c r="D29" i="5"/>
  <c r="L29" i="5" s="1"/>
  <c r="D30" i="5"/>
  <c r="L30" i="5" s="1"/>
  <c r="D31" i="5"/>
  <c r="L31" i="5" s="1"/>
  <c r="D32" i="5"/>
  <c r="L32" i="5" s="1"/>
  <c r="D33" i="5"/>
  <c r="L33" i="5" s="1"/>
  <c r="D34" i="5"/>
  <c r="L34" i="5" s="1"/>
  <c r="D35" i="5"/>
  <c r="L35" i="5" s="1"/>
  <c r="D36" i="5"/>
  <c r="L36" i="5" s="1"/>
  <c r="L37" i="5"/>
  <c r="D38" i="5"/>
  <c r="L38" i="5" s="1"/>
  <c r="D39" i="5"/>
  <c r="L39" i="5" s="1"/>
  <c r="D40" i="5"/>
  <c r="L40" i="5" s="1"/>
  <c r="D41" i="5"/>
  <c r="L41" i="5" s="1"/>
  <c r="D42" i="5"/>
  <c r="L42" i="5" s="1"/>
  <c r="D43" i="5"/>
  <c r="L43" i="5" s="1"/>
  <c r="D44" i="5"/>
  <c r="L44" i="5" s="1"/>
  <c r="D45" i="5"/>
  <c r="L45" i="5" s="1"/>
  <c r="D46" i="5"/>
  <c r="L46" i="5" s="1"/>
  <c r="L47" i="5"/>
  <c r="D48" i="5"/>
  <c r="L48" i="5" s="1"/>
  <c r="D49" i="5"/>
  <c r="L49" i="5" s="1"/>
  <c r="D50" i="5"/>
  <c r="L50" i="5" s="1"/>
  <c r="D51" i="5"/>
  <c r="L51" i="5" s="1"/>
  <c r="D52" i="5"/>
  <c r="L52" i="5" s="1"/>
  <c r="D53" i="5"/>
  <c r="L53" i="5" s="1"/>
  <c r="D54" i="5"/>
  <c r="L54" i="5" s="1"/>
  <c r="D55" i="5"/>
  <c r="L55" i="5" s="1"/>
  <c r="D56" i="5"/>
  <c r="L56" i="5" s="1"/>
  <c r="D57" i="5"/>
  <c r="L57" i="5" s="1"/>
  <c r="L58" i="5"/>
  <c r="D59" i="5"/>
  <c r="L59" i="5" s="1"/>
  <c r="D60" i="5"/>
  <c r="L60" i="5" s="1"/>
  <c r="D61" i="5"/>
  <c r="L61" i="5" s="1"/>
  <c r="D62" i="5"/>
  <c r="L62" i="5" s="1"/>
  <c r="D63" i="5"/>
  <c r="L63" i="5" s="1"/>
  <c r="D64" i="5"/>
  <c r="L64" i="5" s="1"/>
  <c r="D65" i="5"/>
  <c r="L65" i="5" s="1"/>
  <c r="D66" i="5"/>
  <c r="L66" i="5" s="1"/>
  <c r="D67" i="5"/>
  <c r="L67" i="5" s="1"/>
  <c r="L68" i="5"/>
  <c r="D69" i="5"/>
  <c r="L69" i="5" s="1"/>
  <c r="D70" i="5"/>
  <c r="L70" i="5" s="1"/>
  <c r="D71" i="5"/>
  <c r="L71" i="5" s="1"/>
  <c r="D72" i="5"/>
  <c r="L72" i="5" s="1"/>
  <c r="D73" i="5"/>
  <c r="L73" i="5" s="1"/>
  <c r="D74" i="5"/>
  <c r="L74" i="5" s="1"/>
  <c r="D75" i="5"/>
  <c r="L75" i="5" s="1"/>
  <c r="D76" i="5"/>
  <c r="L76" i="5" s="1"/>
  <c r="D77" i="5"/>
  <c r="L77" i="5" s="1"/>
  <c r="D78" i="5"/>
  <c r="L78" i="5" s="1"/>
  <c r="L79" i="5"/>
  <c r="D80" i="5"/>
  <c r="L80" i="5" s="1"/>
  <c r="D81" i="5"/>
  <c r="L81" i="5" s="1"/>
  <c r="D82" i="5"/>
  <c r="L82" i="5" s="1"/>
  <c r="D83" i="5"/>
  <c r="L83" i="5" s="1"/>
  <c r="D84" i="5"/>
  <c r="L84" i="5" s="1"/>
  <c r="D85" i="5"/>
  <c r="L85" i="5" s="1"/>
  <c r="D86" i="5"/>
  <c r="L86" i="5" s="1"/>
  <c r="D87" i="5"/>
  <c r="L87" i="5" s="1"/>
  <c r="D88" i="5"/>
  <c r="L88" i="5" s="1"/>
  <c r="D89" i="5"/>
  <c r="L89" i="5" s="1"/>
  <c r="L90" i="5"/>
  <c r="D91" i="5"/>
  <c r="L91" i="5" s="1"/>
  <c r="D92" i="5"/>
  <c r="L92" i="5" s="1"/>
  <c r="D93" i="5"/>
  <c r="L93" i="5" s="1"/>
  <c r="D94" i="5"/>
  <c r="L94" i="5" s="1"/>
  <c r="D95" i="5"/>
  <c r="L95" i="5" s="1"/>
  <c r="D96" i="5"/>
  <c r="L96" i="5" s="1"/>
  <c r="D97" i="5"/>
  <c r="L97" i="5" s="1"/>
  <c r="D98" i="5"/>
  <c r="L98" i="5" s="1"/>
  <c r="D99" i="5"/>
  <c r="L99" i="5" s="1"/>
  <c r="L100" i="5"/>
  <c r="D101" i="5"/>
  <c r="L101" i="5" s="1"/>
  <c r="D103" i="5"/>
  <c r="D104" i="5"/>
  <c r="L104" i="5" s="1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G27" i="3"/>
  <c r="H27" i="3" s="1"/>
  <c r="L27" i="3"/>
  <c r="G23" i="3"/>
  <c r="H23" i="3" s="1"/>
  <c r="L23" i="3"/>
  <c r="G19" i="3"/>
  <c r="H19" i="3" s="1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96" i="5"/>
  <c r="H96" i="5" s="1"/>
  <c r="G92" i="5"/>
  <c r="H92" i="5" s="1"/>
  <c r="G88" i="5"/>
  <c r="H88" i="5" s="1"/>
  <c r="G84" i="5"/>
  <c r="H84" i="5" s="1"/>
  <c r="G80" i="5"/>
  <c r="H80" i="5" s="1"/>
  <c r="G76" i="5"/>
  <c r="H76" i="5" s="1"/>
  <c r="G72" i="5"/>
  <c r="H72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12" i="5"/>
  <c r="H12" i="5" s="1"/>
  <c r="G98" i="5"/>
  <c r="H98" i="5" s="1"/>
  <c r="G94" i="5"/>
  <c r="H94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2" i="5"/>
  <c r="H22" i="5" s="1"/>
  <c r="G18" i="5"/>
  <c r="H18" i="5" s="1"/>
  <c r="G14" i="5"/>
  <c r="H14" i="5" s="1"/>
  <c r="G53" i="3"/>
  <c r="H53" i="3" s="1"/>
  <c r="G49" i="3"/>
  <c r="H49" i="3" s="1"/>
  <c r="G97" i="5"/>
  <c r="H97" i="5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9" i="5"/>
  <c r="H69" i="5" s="1"/>
  <c r="G65" i="5"/>
  <c r="H65" i="5" s="1"/>
  <c r="G61" i="5"/>
  <c r="H61" i="5" s="1"/>
  <c r="G57" i="5"/>
  <c r="H57" i="5" s="1"/>
  <c r="G53" i="5"/>
  <c r="H53" i="5" s="1"/>
  <c r="G49" i="5"/>
  <c r="H49" i="5" s="1"/>
  <c r="G45" i="5"/>
  <c r="H45" i="5" s="1"/>
  <c r="G41" i="5"/>
  <c r="H41" i="5" s="1"/>
  <c r="G33" i="5"/>
  <c r="H33" i="5" s="1"/>
  <c r="G29" i="5"/>
  <c r="H29" i="5" s="1"/>
  <c r="G25" i="5"/>
  <c r="H25" i="5" s="1"/>
  <c r="G41" i="3"/>
  <c r="H41" i="3" s="1"/>
  <c r="G37" i="3"/>
  <c r="H37" i="3" s="1"/>
  <c r="G33" i="3"/>
  <c r="H33" i="3" s="1"/>
  <c r="G29" i="3"/>
  <c r="H29" i="3" s="1"/>
  <c r="G25" i="3"/>
  <c r="H25" i="3" s="1"/>
  <c r="G21" i="3"/>
  <c r="H21" i="3" s="1"/>
  <c r="G17" i="3"/>
  <c r="H17" i="3" s="1"/>
  <c r="G13" i="3"/>
  <c r="H13" i="3" s="1"/>
  <c r="G21" i="5"/>
  <c r="H21" i="5" s="1"/>
  <c r="G17" i="5"/>
  <c r="H17" i="5" s="1"/>
  <c r="G13" i="5"/>
  <c r="H13" i="5" s="1"/>
  <c r="G48" i="3"/>
  <c r="H48" i="3" s="1"/>
  <c r="G44" i="3"/>
  <c r="H44" i="3" s="1"/>
  <c r="G36" i="3"/>
  <c r="H36" i="3" s="1"/>
  <c r="G32" i="3"/>
  <c r="H32" i="3" s="1"/>
  <c r="G24" i="3"/>
  <c r="H24" i="3" s="1"/>
  <c r="G20" i="3"/>
  <c r="H20" i="3" s="1"/>
  <c r="G12" i="3"/>
  <c r="H12" i="3" s="1"/>
  <c r="G101" i="5"/>
  <c r="H101" i="5" s="1"/>
  <c r="G102" i="5"/>
  <c r="H102" i="5" s="1"/>
  <c r="G104" i="5"/>
  <c r="H104" i="5" s="1"/>
  <c r="G99" i="5"/>
  <c r="H99" i="5" s="1"/>
  <c r="G95" i="5"/>
  <c r="H95" i="5" s="1"/>
  <c r="G91" i="5"/>
  <c r="H91" i="5" s="1"/>
  <c r="G87" i="5"/>
  <c r="H87" i="5" s="1"/>
  <c r="G83" i="5"/>
  <c r="H83" i="5" s="1"/>
  <c r="G75" i="5"/>
  <c r="H75" i="5" s="1"/>
  <c r="G71" i="5"/>
  <c r="H71" i="5" s="1"/>
  <c r="G67" i="5"/>
  <c r="H67" i="5" s="1"/>
  <c r="G63" i="5"/>
  <c r="H63" i="5" s="1"/>
  <c r="G59" i="5"/>
  <c r="H59" i="5" s="1"/>
  <c r="G55" i="5"/>
  <c r="H55" i="5" s="1"/>
  <c r="G51" i="5"/>
  <c r="H51" i="5" s="1"/>
  <c r="G43" i="5"/>
  <c r="H43" i="5" s="1"/>
  <c r="G39" i="5"/>
  <c r="H39" i="5" s="1"/>
  <c r="G35" i="5"/>
  <c r="H35" i="5" s="1"/>
  <c r="G31" i="5"/>
  <c r="H31" i="5" s="1"/>
  <c r="G27" i="5"/>
  <c r="H27" i="5" s="1"/>
  <c r="G23" i="5"/>
  <c r="H23" i="5" s="1"/>
  <c r="G19" i="5"/>
  <c r="H19" i="5" s="1"/>
  <c r="G11" i="5"/>
  <c r="H11" i="5" s="1"/>
  <c r="G54" i="3"/>
  <c r="H54" i="3" s="1"/>
  <c r="G50" i="3"/>
  <c r="H50" i="3" s="1"/>
  <c r="G42" i="3"/>
  <c r="H42" i="3" s="1"/>
  <c r="G38" i="3"/>
  <c r="H38" i="3" s="1"/>
  <c r="G30" i="3"/>
  <c r="H30" i="3" s="1"/>
  <c r="G26" i="3"/>
  <c r="H26" i="3" s="1"/>
  <c r="G18" i="3"/>
  <c r="H18" i="3" s="1"/>
  <c r="G14" i="3"/>
  <c r="H14" i="3" s="1"/>
  <c r="G10" i="5"/>
  <c r="H10" i="5" s="1"/>
  <c r="I7" i="3"/>
  <c r="J7" i="3" s="1"/>
  <c r="E96" i="5"/>
  <c r="E84" i="5"/>
  <c r="E72" i="5"/>
  <c r="E60" i="5"/>
  <c r="E48" i="5"/>
  <c r="E36" i="5"/>
  <c r="E24" i="5"/>
  <c r="E12" i="5"/>
  <c r="E7" i="5"/>
  <c r="E103" i="5"/>
  <c r="E99" i="5"/>
  <c r="E95" i="5"/>
  <c r="E91" i="5"/>
  <c r="E87" i="5"/>
  <c r="E83" i="5"/>
  <c r="E75" i="5"/>
  <c r="E71" i="5"/>
  <c r="E67" i="5"/>
  <c r="E63" i="5"/>
  <c r="E59" i="5"/>
  <c r="E55" i="5"/>
  <c r="E51" i="5"/>
  <c r="E43" i="5"/>
  <c r="E39" i="5"/>
  <c r="E35" i="5"/>
  <c r="E31" i="5"/>
  <c r="E27" i="5"/>
  <c r="E23" i="5"/>
  <c r="E19" i="5"/>
  <c r="E11" i="5"/>
  <c r="E104" i="5"/>
  <c r="E92" i="5"/>
  <c r="E76" i="5"/>
  <c r="E64" i="5"/>
  <c r="E52" i="5"/>
  <c r="E40" i="5"/>
  <c r="E28" i="5"/>
  <c r="E16" i="5"/>
  <c r="E9" i="5"/>
  <c r="E98" i="5"/>
  <c r="E94" i="5"/>
  <c r="E86" i="5"/>
  <c r="E82" i="5"/>
  <c r="E78" i="5"/>
  <c r="E74" i="5"/>
  <c r="E70" i="5"/>
  <c r="E66" i="5"/>
  <c r="E62" i="5"/>
  <c r="E54" i="5"/>
  <c r="E50" i="5"/>
  <c r="E46" i="5"/>
  <c r="E42" i="5"/>
  <c r="E38" i="5"/>
  <c r="E34" i="5"/>
  <c r="E30" i="5"/>
  <c r="E22" i="5"/>
  <c r="E18" i="5"/>
  <c r="E14" i="5"/>
  <c r="E10" i="5"/>
  <c r="E88" i="5"/>
  <c r="E80" i="5"/>
  <c r="E56" i="5"/>
  <c r="E44" i="5"/>
  <c r="E32" i="5"/>
  <c r="E20" i="5"/>
  <c r="E105" i="5"/>
  <c r="E101" i="5"/>
  <c r="E97" i="5"/>
  <c r="E93" i="5"/>
  <c r="E89" i="5"/>
  <c r="E85" i="5"/>
  <c r="E81" i="5"/>
  <c r="E77" i="5"/>
  <c r="E73" i="5"/>
  <c r="E69" i="5"/>
  <c r="E65" i="5"/>
  <c r="E61" i="5"/>
  <c r="E57" i="5"/>
  <c r="E53" i="5"/>
  <c r="E49" i="5"/>
  <c r="E45" i="5"/>
  <c r="E41" i="5"/>
  <c r="E33" i="5"/>
  <c r="E29" i="5"/>
  <c r="E25" i="5"/>
  <c r="E21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I102" i="5" l="1"/>
  <c r="J102" i="5" s="1"/>
  <c r="I29" i="3"/>
  <c r="J29" i="3" s="1"/>
  <c r="I48" i="3"/>
  <c r="I36" i="3"/>
  <c r="J36" i="3" s="1"/>
  <c r="F17" i="3"/>
  <c r="I49" i="3"/>
  <c r="J49" i="3" s="1"/>
  <c r="I43" i="3"/>
  <c r="J43" i="3" s="1"/>
  <c r="I47" i="3"/>
  <c r="J47" i="3" s="1"/>
  <c r="I54" i="3"/>
  <c r="I21" i="3"/>
  <c r="I39" i="3"/>
  <c r="J39" i="3" s="1"/>
  <c r="I38" i="3"/>
  <c r="J38" i="3" s="1"/>
  <c r="I25" i="3"/>
  <c r="J25" i="3" s="1"/>
  <c r="I15" i="3"/>
  <c r="J15" i="3" s="1"/>
  <c r="I9" i="3"/>
  <c r="I32" i="3"/>
  <c r="J32" i="3" s="1"/>
  <c r="I35" i="3"/>
  <c r="J35" i="3" s="1"/>
  <c r="I17" i="3"/>
  <c r="I53" i="3"/>
  <c r="J53" i="3" s="1"/>
  <c r="I20" i="3"/>
  <c r="I11" i="3"/>
  <c r="F12" i="3" s="1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4" i="3"/>
  <c r="I12" i="3"/>
  <c r="I27" i="3"/>
  <c r="I50" i="3"/>
  <c r="I18" i="3"/>
  <c r="J18" i="3" s="1"/>
  <c r="I41" i="3"/>
  <c r="I31" i="3"/>
  <c r="I13" i="3"/>
  <c r="I33" i="3"/>
  <c r="J33" i="3" s="1"/>
  <c r="I55" i="3"/>
  <c r="J55" i="3" s="1"/>
  <c r="I23" i="3"/>
  <c r="J23" i="3" s="1"/>
  <c r="I37" i="3"/>
  <c r="J37" i="3" s="1"/>
  <c r="I24" i="3"/>
  <c r="I51" i="3"/>
  <c r="I19" i="3"/>
  <c r="I30" i="3"/>
  <c r="I14" i="3"/>
  <c r="J14" i="3" s="1"/>
  <c r="I42" i="3"/>
  <c r="I26" i="3"/>
  <c r="J21" i="3"/>
  <c r="J9" i="3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73" i="2"/>
  <c r="H73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16" i="2"/>
  <c r="H16" i="2" s="1"/>
  <c r="G12" i="2"/>
  <c r="H12" i="2" s="1"/>
  <c r="G104" i="2"/>
  <c r="H104" i="2" s="1"/>
  <c r="G99" i="2"/>
  <c r="H99" i="2" s="1"/>
  <c r="G95" i="2"/>
  <c r="H95" i="2" s="1"/>
  <c r="G91" i="2"/>
  <c r="H91" i="2" s="1"/>
  <c r="G11" i="2"/>
  <c r="H11" i="2" s="1"/>
  <c r="G20" i="2"/>
  <c r="H20" i="2" s="1"/>
  <c r="G101" i="2"/>
  <c r="H101" i="2" s="1"/>
  <c r="G102" i="2"/>
  <c r="H102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9" i="3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49" i="3" l="1"/>
  <c r="F39" i="3"/>
  <c r="F26" i="3"/>
  <c r="F41" i="3"/>
  <c r="J48" i="3"/>
  <c r="J11" i="3"/>
  <c r="F21" i="3"/>
  <c r="F25" i="3"/>
  <c r="F50" i="3"/>
  <c r="F54" i="3"/>
  <c r="F32" i="3"/>
  <c r="F11" i="3"/>
  <c r="F48" i="3"/>
  <c r="J20" i="3"/>
  <c r="F15" i="3"/>
  <c r="F47" i="3"/>
  <c r="F20" i="3"/>
  <c r="F13" i="3"/>
  <c r="F24" i="3"/>
  <c r="F29" i="3"/>
  <c r="J54" i="3"/>
  <c r="J51" i="3"/>
  <c r="F14" i="3"/>
  <c r="J44" i="3"/>
  <c r="F55" i="3"/>
  <c r="F53" i="3"/>
  <c r="F23" i="3"/>
  <c r="F44" i="3"/>
  <c r="F42" i="3"/>
  <c r="F30" i="3"/>
  <c r="J31" i="3"/>
  <c r="F33" i="3"/>
  <c r="F57" i="3"/>
  <c r="F31" i="3"/>
  <c r="F51" i="3"/>
  <c r="I102" i="2"/>
  <c r="J102" i="2" s="1"/>
  <c r="F18" i="3"/>
  <c r="J27" i="3"/>
  <c r="J17" i="3"/>
  <c r="F27" i="3"/>
  <c r="J30" i="3"/>
  <c r="J24" i="3"/>
  <c r="J50" i="3"/>
  <c r="J13" i="3"/>
  <c r="J26" i="3"/>
  <c r="F35" i="3"/>
  <c r="F38" i="3"/>
  <c r="J12" i="3"/>
  <c r="J41" i="3"/>
  <c r="J42" i="3"/>
  <c r="J19" i="3"/>
  <c r="F19" i="3"/>
  <c r="F43" i="3"/>
  <c r="F37" i="3"/>
  <c r="F36" i="3"/>
  <c r="I14" i="2"/>
  <c r="I27" i="2"/>
  <c r="I107" i="5"/>
  <c r="J107" i="5" s="1"/>
  <c r="Q17" i="5" s="1"/>
  <c r="I105" i="5"/>
  <c r="I104" i="5"/>
  <c r="I103" i="5"/>
  <c r="I101" i="5"/>
  <c r="I99" i="5"/>
  <c r="I98" i="5"/>
  <c r="I97" i="5"/>
  <c r="I96" i="5"/>
  <c r="I95" i="5"/>
  <c r="I94" i="5"/>
  <c r="I93" i="5"/>
  <c r="I92" i="5"/>
  <c r="I91" i="5"/>
  <c r="I89" i="5"/>
  <c r="I88" i="5"/>
  <c r="I87" i="5"/>
  <c r="I86" i="5"/>
  <c r="I85" i="5"/>
  <c r="I84" i="5"/>
  <c r="I83" i="5"/>
  <c r="I82" i="5"/>
  <c r="I81" i="5"/>
  <c r="I80" i="5"/>
  <c r="I78" i="5"/>
  <c r="I77" i="5"/>
  <c r="I76" i="5"/>
  <c r="I75" i="5"/>
  <c r="I74" i="5"/>
  <c r="I73" i="5"/>
  <c r="I72" i="5"/>
  <c r="I71" i="5"/>
  <c r="I70" i="5"/>
  <c r="I69" i="5"/>
  <c r="I67" i="5"/>
  <c r="I66" i="5"/>
  <c r="I65" i="5"/>
  <c r="I64" i="5"/>
  <c r="I63" i="5"/>
  <c r="I62" i="5"/>
  <c r="I61" i="5"/>
  <c r="I60" i="5"/>
  <c r="I59" i="5"/>
  <c r="I57" i="5"/>
  <c r="I56" i="5"/>
  <c r="I55" i="5"/>
  <c r="I54" i="5"/>
  <c r="I53" i="5"/>
  <c r="I52" i="5"/>
  <c r="I51" i="5"/>
  <c r="I50" i="5"/>
  <c r="I49" i="5"/>
  <c r="I48" i="5"/>
  <c r="I46" i="5"/>
  <c r="I45" i="5"/>
  <c r="I44" i="5"/>
  <c r="I43" i="5"/>
  <c r="I42" i="5"/>
  <c r="I41" i="5"/>
  <c r="I40" i="5"/>
  <c r="I39" i="5"/>
  <c r="I38" i="5"/>
  <c r="I36" i="5"/>
  <c r="I35" i="5"/>
  <c r="I34" i="5"/>
  <c r="I33" i="5"/>
  <c r="I32" i="5"/>
  <c r="I31" i="5"/>
  <c r="I30" i="5"/>
  <c r="I29" i="5"/>
  <c r="I28" i="5"/>
  <c r="I27" i="5"/>
  <c r="I25" i="5"/>
  <c r="I24" i="5"/>
  <c r="I23" i="5"/>
  <c r="I22" i="5"/>
  <c r="I21" i="5"/>
  <c r="I20" i="5"/>
  <c r="I19" i="5"/>
  <c r="I18" i="5"/>
  <c r="I17" i="5"/>
  <c r="I16" i="5"/>
  <c r="I14" i="5"/>
  <c r="I13" i="5"/>
  <c r="I12" i="5"/>
  <c r="I11" i="5"/>
  <c r="I10" i="5"/>
  <c r="I9" i="5"/>
  <c r="I7" i="5"/>
  <c r="E7" i="3"/>
  <c r="E9" i="3"/>
  <c r="E11" i="3"/>
  <c r="E12" i="3"/>
  <c r="E13" i="3"/>
  <c r="E14" i="3"/>
  <c r="E15" i="3"/>
  <c r="E17" i="3"/>
  <c r="E18" i="3"/>
  <c r="E19" i="3"/>
  <c r="E20" i="3"/>
  <c r="E21" i="3"/>
  <c r="E23" i="3"/>
  <c r="E24" i="3"/>
  <c r="E25" i="3"/>
  <c r="E26" i="3"/>
  <c r="E27" i="3"/>
  <c r="E29" i="3"/>
  <c r="E30" i="3"/>
  <c r="E31" i="3"/>
  <c r="E32" i="3"/>
  <c r="E33" i="3"/>
  <c r="E35" i="3"/>
  <c r="E36" i="3"/>
  <c r="E37" i="3"/>
  <c r="E38" i="3"/>
  <c r="E39" i="3"/>
  <c r="E41" i="3"/>
  <c r="E42" i="3"/>
  <c r="E43" i="3"/>
  <c r="E44" i="3"/>
  <c r="E47" i="3"/>
  <c r="E48" i="3"/>
  <c r="E49" i="3"/>
  <c r="E50" i="3"/>
  <c r="E51" i="3"/>
  <c r="E53" i="3"/>
  <c r="E54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5" i="2"/>
  <c r="I15" i="2"/>
  <c r="E16" i="2"/>
  <c r="I16" i="2"/>
  <c r="E17" i="2"/>
  <c r="I17" i="2"/>
  <c r="E18" i="2"/>
  <c r="I18" i="2"/>
  <c r="E19" i="2"/>
  <c r="I19" i="2"/>
  <c r="E20" i="2"/>
  <c r="I20" i="2"/>
  <c r="E21" i="2"/>
  <c r="I21" i="2"/>
  <c r="E22" i="2"/>
  <c r="I22" i="2"/>
  <c r="E23" i="2"/>
  <c r="I23" i="2"/>
  <c r="E24" i="2"/>
  <c r="I24" i="2"/>
  <c r="E25" i="2"/>
  <c r="I25" i="2"/>
  <c r="E26" i="2"/>
  <c r="I26" i="2"/>
  <c r="E27" i="2"/>
  <c r="E28" i="2"/>
  <c r="I28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6" i="2"/>
  <c r="I36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7" i="2"/>
  <c r="I47" i="2"/>
  <c r="E48" i="2"/>
  <c r="I48" i="2"/>
  <c r="E49" i="2"/>
  <c r="I49" i="2"/>
  <c r="E50" i="2"/>
  <c r="I50" i="2"/>
  <c r="E51" i="2"/>
  <c r="I51" i="2"/>
  <c r="E52" i="2"/>
  <c r="I52" i="2"/>
  <c r="E53" i="2"/>
  <c r="I53" i="2"/>
  <c r="E54" i="2"/>
  <c r="I54" i="2"/>
  <c r="E55" i="2"/>
  <c r="I55" i="2"/>
  <c r="E56" i="2"/>
  <c r="I56" i="2"/>
  <c r="E57" i="2"/>
  <c r="I57" i="2"/>
  <c r="E58" i="2"/>
  <c r="I58" i="2"/>
  <c r="E59" i="2"/>
  <c r="I59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7" i="2"/>
  <c r="I67" i="2"/>
  <c r="E68" i="2"/>
  <c r="I68" i="2"/>
  <c r="E69" i="2"/>
  <c r="I69" i="2"/>
  <c r="E70" i="2"/>
  <c r="I70" i="2"/>
  <c r="E71" i="2"/>
  <c r="I71" i="2"/>
  <c r="E72" i="2"/>
  <c r="I72" i="2"/>
  <c r="E73" i="2"/>
  <c r="I73" i="2"/>
  <c r="E74" i="2"/>
  <c r="I74" i="2"/>
  <c r="E75" i="2"/>
  <c r="I75" i="2"/>
  <c r="E76" i="2"/>
  <c r="I76" i="2"/>
  <c r="E77" i="2"/>
  <c r="I77" i="2"/>
  <c r="E78" i="2"/>
  <c r="I78" i="2"/>
  <c r="E79" i="2"/>
  <c r="I79" i="2"/>
  <c r="E80" i="2"/>
  <c r="I80" i="2"/>
  <c r="E81" i="2"/>
  <c r="I81" i="2"/>
  <c r="E82" i="2"/>
  <c r="I82" i="2"/>
  <c r="E83" i="2"/>
  <c r="I83" i="2"/>
  <c r="E84" i="2"/>
  <c r="I84" i="2"/>
  <c r="E85" i="2"/>
  <c r="I85" i="2"/>
  <c r="E86" i="2"/>
  <c r="I86" i="2"/>
  <c r="E87" i="2"/>
  <c r="I87" i="2"/>
  <c r="E88" i="2"/>
  <c r="I88" i="2"/>
  <c r="E89" i="2"/>
  <c r="I89" i="2"/>
  <c r="E90" i="2"/>
  <c r="I90" i="2"/>
  <c r="E91" i="2"/>
  <c r="I91" i="2"/>
  <c r="E92" i="2"/>
  <c r="I92" i="2"/>
  <c r="E93" i="2"/>
  <c r="I93" i="2"/>
  <c r="E94" i="2"/>
  <c r="I94" i="2"/>
  <c r="E95" i="2"/>
  <c r="I95" i="2"/>
  <c r="E96" i="2"/>
  <c r="I96" i="2"/>
  <c r="E97" i="2"/>
  <c r="I97" i="2"/>
  <c r="E98" i="2"/>
  <c r="I98" i="2"/>
  <c r="E99" i="2"/>
  <c r="I99" i="2"/>
  <c r="E100" i="2"/>
  <c r="I100" i="2"/>
  <c r="E101" i="2"/>
  <c r="I101" i="2"/>
  <c r="E103" i="2"/>
  <c r="I103" i="2"/>
  <c r="F103" i="2" s="1"/>
  <c r="E104" i="2"/>
  <c r="I104" i="2"/>
  <c r="E105" i="2"/>
  <c r="I105" i="2"/>
  <c r="E107" i="2"/>
  <c r="I107" i="2"/>
  <c r="J107" i="2" s="1"/>
  <c r="Q17" i="2" s="1"/>
  <c r="F103" i="5" l="1"/>
  <c r="F105" i="2"/>
  <c r="J104" i="2"/>
  <c r="F98" i="2"/>
  <c r="J97" i="2"/>
  <c r="F92" i="2"/>
  <c r="J91" i="2"/>
  <c r="F88" i="2"/>
  <c r="J87" i="2"/>
  <c r="F82" i="2"/>
  <c r="J81" i="2"/>
  <c r="F78" i="2"/>
  <c r="J77" i="2"/>
  <c r="F72" i="2"/>
  <c r="J71" i="2"/>
  <c r="F68" i="2"/>
  <c r="J67" i="2"/>
  <c r="F64" i="2"/>
  <c r="J63" i="2"/>
  <c r="F58" i="2"/>
  <c r="J57" i="2"/>
  <c r="F54" i="2"/>
  <c r="J53" i="2"/>
  <c r="F50" i="2"/>
  <c r="J49" i="2"/>
  <c r="F44" i="2"/>
  <c r="J43" i="2"/>
  <c r="F40" i="2"/>
  <c r="J39" i="2"/>
  <c r="F36" i="2"/>
  <c r="J35" i="2"/>
  <c r="F32" i="2"/>
  <c r="J31" i="2"/>
  <c r="F13" i="2"/>
  <c r="J12" i="2"/>
  <c r="F7" i="2"/>
  <c r="J7" i="2"/>
  <c r="F14" i="5"/>
  <c r="J13" i="5"/>
  <c r="F22" i="5"/>
  <c r="J21" i="5"/>
  <c r="F30" i="5"/>
  <c r="J29" i="5"/>
  <c r="F38" i="5"/>
  <c r="F46" i="5"/>
  <c r="J45" i="5"/>
  <c r="F54" i="5"/>
  <c r="J53" i="5"/>
  <c r="J57" i="5"/>
  <c r="F66" i="5"/>
  <c r="J65" i="5"/>
  <c r="F74" i="5"/>
  <c r="J73" i="5"/>
  <c r="F78" i="5"/>
  <c r="J77" i="5"/>
  <c r="F82" i="5"/>
  <c r="J81" i="5"/>
  <c r="F86" i="5"/>
  <c r="J85" i="5"/>
  <c r="J89" i="5"/>
  <c r="F94" i="5"/>
  <c r="J93" i="5"/>
  <c r="F98" i="5"/>
  <c r="J97" i="5"/>
  <c r="F102" i="5"/>
  <c r="J101" i="5"/>
  <c r="F27" i="2"/>
  <c r="J26" i="2"/>
  <c r="F25" i="2"/>
  <c r="J24" i="2"/>
  <c r="F23" i="2"/>
  <c r="J22" i="2"/>
  <c r="F21" i="2"/>
  <c r="J20" i="2"/>
  <c r="F19" i="2"/>
  <c r="J18" i="2"/>
  <c r="F17" i="2"/>
  <c r="J16" i="2"/>
  <c r="F11" i="5"/>
  <c r="J10" i="5"/>
  <c r="J14" i="5"/>
  <c r="F19" i="5"/>
  <c r="J18" i="5"/>
  <c r="F23" i="5"/>
  <c r="J22" i="5"/>
  <c r="F27" i="5"/>
  <c r="F31" i="5"/>
  <c r="J30" i="5"/>
  <c r="F35" i="5"/>
  <c r="J34" i="5"/>
  <c r="F39" i="5"/>
  <c r="J38" i="5"/>
  <c r="F43" i="5"/>
  <c r="J42" i="5"/>
  <c r="J46" i="5"/>
  <c r="F51" i="5"/>
  <c r="J50" i="5"/>
  <c r="F55" i="5"/>
  <c r="J54" i="5"/>
  <c r="F59" i="5"/>
  <c r="F63" i="5"/>
  <c r="J62" i="5"/>
  <c r="F67" i="5"/>
  <c r="J66" i="5"/>
  <c r="F71" i="5"/>
  <c r="J70" i="5"/>
  <c r="F75" i="5"/>
  <c r="J74" i="5"/>
  <c r="J78" i="5"/>
  <c r="F83" i="5"/>
  <c r="J82" i="5"/>
  <c r="F87" i="5"/>
  <c r="J86" i="5"/>
  <c r="F91" i="5"/>
  <c r="F95" i="5"/>
  <c r="J94" i="5"/>
  <c r="F99" i="5"/>
  <c r="J98" i="5"/>
  <c r="F104" i="5"/>
  <c r="J103" i="5"/>
  <c r="F28" i="2"/>
  <c r="J27" i="2"/>
  <c r="F100" i="2"/>
  <c r="J99" i="2"/>
  <c r="F96" i="2"/>
  <c r="J95" i="2"/>
  <c r="F90" i="2"/>
  <c r="J89" i="2"/>
  <c r="F86" i="2"/>
  <c r="J85" i="2"/>
  <c r="F80" i="2"/>
  <c r="J79" i="2"/>
  <c r="F76" i="2"/>
  <c r="J75" i="2"/>
  <c r="F70" i="2"/>
  <c r="J69" i="2"/>
  <c r="F66" i="2"/>
  <c r="J65" i="2"/>
  <c r="F60" i="2"/>
  <c r="J59" i="2"/>
  <c r="F56" i="2"/>
  <c r="J55" i="2"/>
  <c r="F52" i="2"/>
  <c r="J51" i="2"/>
  <c r="F48" i="2"/>
  <c r="J47" i="2"/>
  <c r="F42" i="2"/>
  <c r="J41" i="2"/>
  <c r="F38" i="2"/>
  <c r="J37" i="2"/>
  <c r="F34" i="2"/>
  <c r="J33" i="2"/>
  <c r="F30" i="2"/>
  <c r="J29" i="2"/>
  <c r="F11" i="2"/>
  <c r="J10" i="2"/>
  <c r="F10" i="5"/>
  <c r="J9" i="5"/>
  <c r="F18" i="5"/>
  <c r="J17" i="5"/>
  <c r="J25" i="5"/>
  <c r="F34" i="5"/>
  <c r="J33" i="5"/>
  <c r="F42" i="5"/>
  <c r="J41" i="5"/>
  <c r="F50" i="5"/>
  <c r="J49" i="5"/>
  <c r="F62" i="5"/>
  <c r="J61" i="5"/>
  <c r="F70" i="5"/>
  <c r="J69" i="5"/>
  <c r="F107" i="2"/>
  <c r="J105" i="2"/>
  <c r="F104" i="2"/>
  <c r="J103" i="2"/>
  <c r="F101" i="2"/>
  <c r="J100" i="2"/>
  <c r="F99" i="2"/>
  <c r="J98" i="2"/>
  <c r="F97" i="2"/>
  <c r="J96" i="2"/>
  <c r="F95" i="2"/>
  <c r="J94" i="2"/>
  <c r="F93" i="2"/>
  <c r="J92" i="2"/>
  <c r="F91" i="2"/>
  <c r="J90" i="2"/>
  <c r="F89" i="2"/>
  <c r="J88" i="2"/>
  <c r="F87" i="2"/>
  <c r="J86" i="2"/>
  <c r="F85" i="2"/>
  <c r="J84" i="2"/>
  <c r="F83" i="2"/>
  <c r="J82" i="2"/>
  <c r="F81" i="2"/>
  <c r="J80" i="2"/>
  <c r="F79" i="2"/>
  <c r="J78" i="2"/>
  <c r="F77" i="2"/>
  <c r="J76" i="2"/>
  <c r="F75" i="2"/>
  <c r="J74" i="2"/>
  <c r="F73" i="2"/>
  <c r="J72" i="2"/>
  <c r="F71" i="2"/>
  <c r="J70" i="2"/>
  <c r="F69" i="2"/>
  <c r="J68" i="2"/>
  <c r="F67" i="2"/>
  <c r="J66" i="2"/>
  <c r="F65" i="2"/>
  <c r="J64" i="2"/>
  <c r="F63" i="2"/>
  <c r="J62" i="2"/>
  <c r="F61" i="2"/>
  <c r="J60" i="2"/>
  <c r="F59" i="2"/>
  <c r="J58" i="2"/>
  <c r="F57" i="2"/>
  <c r="J56" i="2"/>
  <c r="F55" i="2"/>
  <c r="J54" i="2"/>
  <c r="F53" i="2"/>
  <c r="J52" i="2"/>
  <c r="F51" i="2"/>
  <c r="J50" i="2"/>
  <c r="F49" i="2"/>
  <c r="J48" i="2"/>
  <c r="F47" i="2"/>
  <c r="J46" i="2"/>
  <c r="F45" i="2"/>
  <c r="J44" i="2"/>
  <c r="F43" i="2"/>
  <c r="J42" i="2"/>
  <c r="F41" i="2"/>
  <c r="J40" i="2"/>
  <c r="F39" i="2"/>
  <c r="J38" i="2"/>
  <c r="F37" i="2"/>
  <c r="J36" i="2"/>
  <c r="F35" i="2"/>
  <c r="J34" i="2"/>
  <c r="F33" i="2"/>
  <c r="J32" i="2"/>
  <c r="F31" i="2"/>
  <c r="J30" i="2"/>
  <c r="F29" i="2"/>
  <c r="J28" i="2"/>
  <c r="F14" i="2"/>
  <c r="J13" i="2"/>
  <c r="F12" i="2"/>
  <c r="J11" i="2"/>
  <c r="F10" i="2"/>
  <c r="J9" i="2"/>
  <c r="F12" i="5"/>
  <c r="J11" i="5"/>
  <c r="F16" i="5"/>
  <c r="F20" i="5"/>
  <c r="J19" i="5"/>
  <c r="F24" i="5"/>
  <c r="J23" i="5"/>
  <c r="F28" i="5"/>
  <c r="J27" i="5"/>
  <c r="F32" i="5"/>
  <c r="J31" i="5"/>
  <c r="F36" i="5"/>
  <c r="J35" i="5"/>
  <c r="F40" i="5"/>
  <c r="J39" i="5"/>
  <c r="F44" i="5"/>
  <c r="J43" i="5"/>
  <c r="F48" i="5"/>
  <c r="F52" i="5"/>
  <c r="J51" i="5"/>
  <c r="F56" i="5"/>
  <c r="J55" i="5"/>
  <c r="F60" i="5"/>
  <c r="J59" i="5"/>
  <c r="F64" i="5"/>
  <c r="J63" i="5"/>
  <c r="J67" i="5"/>
  <c r="F72" i="5"/>
  <c r="J71" i="5"/>
  <c r="F76" i="5"/>
  <c r="J75" i="5"/>
  <c r="F80" i="5"/>
  <c r="F84" i="5"/>
  <c r="J83" i="5"/>
  <c r="F88" i="5"/>
  <c r="J87" i="5"/>
  <c r="F92" i="5"/>
  <c r="J91" i="5"/>
  <c r="F96" i="5"/>
  <c r="J95" i="5"/>
  <c r="J99" i="5"/>
  <c r="F105" i="5"/>
  <c r="J104" i="5"/>
  <c r="F15" i="2"/>
  <c r="J14" i="2"/>
  <c r="F102" i="2"/>
  <c r="J101" i="2"/>
  <c r="F94" i="2"/>
  <c r="J93" i="2"/>
  <c r="F84" i="2"/>
  <c r="J83" i="2"/>
  <c r="F74" i="2"/>
  <c r="J73" i="2"/>
  <c r="F62" i="2"/>
  <c r="J61" i="2"/>
  <c r="F46" i="2"/>
  <c r="J45" i="2"/>
  <c r="F26" i="2"/>
  <c r="J25" i="2"/>
  <c r="F24" i="2"/>
  <c r="J23" i="2"/>
  <c r="F22" i="2"/>
  <c r="J21" i="2"/>
  <c r="F20" i="2"/>
  <c r="J19" i="2"/>
  <c r="F18" i="2"/>
  <c r="J17" i="2"/>
  <c r="F16" i="2"/>
  <c r="J15" i="2"/>
  <c r="F7" i="5"/>
  <c r="J7" i="5"/>
  <c r="F13" i="5"/>
  <c r="J12" i="5"/>
  <c r="F17" i="5"/>
  <c r="J16" i="5"/>
  <c r="F21" i="5"/>
  <c r="J20" i="5"/>
  <c r="F25" i="5"/>
  <c r="J24" i="5"/>
  <c r="F29" i="5"/>
  <c r="J28" i="5"/>
  <c r="F33" i="5"/>
  <c r="J32" i="5"/>
  <c r="J36" i="5"/>
  <c r="F41" i="5"/>
  <c r="J40" i="5"/>
  <c r="F45" i="5"/>
  <c r="J44" i="5"/>
  <c r="F49" i="5"/>
  <c r="J48" i="5"/>
  <c r="F53" i="5"/>
  <c r="J52" i="5"/>
  <c r="F57" i="5"/>
  <c r="J56" i="5"/>
  <c r="F61" i="5"/>
  <c r="J60" i="5"/>
  <c r="F65" i="5"/>
  <c r="J64" i="5"/>
  <c r="F69" i="5"/>
  <c r="F73" i="5"/>
  <c r="J72" i="5"/>
  <c r="F77" i="5"/>
  <c r="J76" i="5"/>
  <c r="F81" i="5"/>
  <c r="J80" i="5"/>
  <c r="F85" i="5"/>
  <c r="J84" i="5"/>
  <c r="F89" i="5"/>
  <c r="J88" i="5"/>
  <c r="F93" i="5"/>
  <c r="J92" i="5"/>
  <c r="F97" i="5"/>
  <c r="J96" i="5"/>
  <c r="F101" i="5"/>
  <c r="F107" i="5"/>
  <c r="J105" i="5"/>
  <c r="F9" i="2"/>
  <c r="F9" i="5"/>
  <c r="I52" i="32"/>
  <c r="I46" i="32"/>
  <c r="I42" i="32"/>
  <c r="I38" i="32"/>
  <c r="I34" i="32"/>
  <c r="I30" i="32"/>
  <c r="I26" i="32"/>
  <c r="I22" i="32"/>
  <c r="I43" i="32"/>
  <c r="I33" i="32"/>
  <c r="I29" i="32"/>
  <c r="I51" i="32"/>
  <c r="I39" i="32"/>
  <c r="I50" i="32"/>
  <c r="I54" i="32"/>
  <c r="I48" i="32"/>
  <c r="I44" i="32"/>
  <c r="I40" i="32"/>
  <c r="I32" i="32"/>
  <c r="I24" i="32"/>
  <c r="I57" i="32"/>
  <c r="J57" i="32" s="1"/>
  <c r="Q17" i="32" s="1"/>
  <c r="I41" i="32"/>
  <c r="I31" i="32"/>
  <c r="I27" i="32"/>
  <c r="I55" i="32"/>
  <c r="I49" i="32"/>
  <c r="I37" i="32"/>
  <c r="I23" i="32"/>
  <c r="I25" i="32"/>
  <c r="I47" i="32"/>
  <c r="I21" i="32"/>
  <c r="F21" i="32" s="1"/>
  <c r="I35" i="32"/>
  <c r="J27" i="32" l="1"/>
  <c r="F25" i="32"/>
  <c r="J24" i="32"/>
  <c r="F41" i="32"/>
  <c r="J40" i="32"/>
  <c r="F51" i="32"/>
  <c r="J50" i="32"/>
  <c r="F34" i="32"/>
  <c r="J33" i="32"/>
  <c r="F31" i="32"/>
  <c r="J30" i="32"/>
  <c r="F47" i="32"/>
  <c r="J46" i="32"/>
  <c r="F48" i="32"/>
  <c r="J47" i="32"/>
  <c r="F38" i="32"/>
  <c r="J37" i="32"/>
  <c r="J44" i="32"/>
  <c r="F40" i="32"/>
  <c r="J39" i="32"/>
  <c r="F44" i="32"/>
  <c r="J43" i="32"/>
  <c r="F35" i="32"/>
  <c r="J34" i="32"/>
  <c r="J52" i="32"/>
  <c r="F24" i="32"/>
  <c r="J23" i="32"/>
  <c r="F32" i="32"/>
  <c r="J31" i="32"/>
  <c r="F50" i="32"/>
  <c r="J49" i="32"/>
  <c r="F33" i="32"/>
  <c r="J32" i="32"/>
  <c r="F52" i="32"/>
  <c r="J51" i="32"/>
  <c r="F23" i="32"/>
  <c r="J22" i="32"/>
  <c r="F39" i="32"/>
  <c r="J38" i="32"/>
  <c r="F54" i="32"/>
  <c r="F29" i="32"/>
  <c r="J35" i="32"/>
  <c r="F26" i="32"/>
  <c r="J25" i="32"/>
  <c r="F42" i="32"/>
  <c r="J41" i="32"/>
  <c r="F49" i="32"/>
  <c r="J48" i="32"/>
  <c r="F22" i="32"/>
  <c r="J21" i="32"/>
  <c r="F46" i="32"/>
  <c r="F57" i="32"/>
  <c r="J55" i="32"/>
  <c r="F37" i="32"/>
  <c r="F55" i="32"/>
  <c r="J54" i="32"/>
  <c r="F30" i="32"/>
  <c r="J29" i="32"/>
  <c r="F27" i="32"/>
  <c r="J26" i="32"/>
  <c r="F43" i="32"/>
  <c r="J42" i="32"/>
</calcChain>
</file>

<file path=xl/sharedStrings.xml><?xml version="1.0" encoding="utf-8"?>
<sst xmlns="http://schemas.openxmlformats.org/spreadsheetml/2006/main" count="638" uniqueCount="168">
  <si>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</si>
  <si>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</si>
  <si>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</si>
  <si>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</si>
  <si>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</si>
  <si>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</si>
  <si>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</si>
  <si>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</si>
  <si>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</si>
  <si>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</si>
  <si>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</si>
  <si>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</si>
  <si>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</si>
  <si>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</si>
  <si>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</si>
  <si>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</si>
  <si>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</si>
  <si>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</si>
  <si>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</si>
  <si>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</si>
  <si>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</si>
  <si>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</si>
  <si>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</si>
  <si>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</si>
  <si>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</si>
  <si>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</si>
  <si>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</si>
  <si>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</si>
  <si>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</si>
  <si>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</si>
  <si>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</si>
  <si>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</si>
  <si>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</si>
  <si>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</si>
  <si>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</si>
  <si>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</si>
  <si>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</si>
  <si>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</si>
  <si>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</si>
  <si>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</si>
  <si>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</si>
  <si>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</si>
  <si>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</si>
  <si>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</si>
  <si>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</si>
  <si>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</si>
  <si>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</si>
  <si>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</si>
  <si>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</si>
  <si>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</si>
  <si>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</si>
  <si>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</si>
  <si>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</si>
  <si>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</si>
  <si>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</si>
  <si>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</si>
  <si>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</si>
  <si>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</si>
  <si>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</si>
  <si>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</si>
  <si>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</si>
  <si>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</si>
  <si>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</si>
  <si>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</si>
  <si>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</si>
  <si>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</si>
  <si>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</si>
  <si>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B3:M39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</si>
  <si>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</si>
  <si>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</si>
  <si>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</si>
  <si>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</si>
  <si>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</si>
  <si>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</si>
  <si>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</si>
  <si>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</si>
  <si>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</si>
  <si>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</si>
  <si>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</si>
  <si>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</si>
  <si>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</si>
  <si>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</si>
  <si>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</si>
  <si>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</si>
  <si>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</si>
  <si>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</si>
  <si>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</si>
  <si>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</si>
  <si>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</si>
  <si>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</si>
  <si>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</si>
  <si>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</si>
  <si>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</si>
  <si>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</si>
  <si>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</si>
  <si>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</si>
  <si>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</si>
  <si>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</si>
  <si>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</si>
  <si>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</si>
  <si>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</si>
  <si>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</si>
  <si>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</si>
  <si>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</si>
  <si>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</si>
  <si>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</si>
  <si>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</si>
  <si>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</si>
  <si>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</si>
  <si>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</si>
  <si>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</si>
  <si>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</si>
  <si>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</si>
  <si>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</si>
  <si>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</si>
  <si>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</si>
  <si>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</si>
  <si>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</si>
  <si>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</si>
  <si>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</si>
  <si>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</si>
  <si>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</si>
  <si>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</si>
  <si>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</si>
  <si>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</si>
  <si>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</si>
  <si>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</si>
  <si>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</si>
  <si>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</si>
  <si>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</si>
  <si>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</si>
  <si>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</si>
  <si>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t>2023학년도 3월 고2 전국연합학력평가</t>
  </si>
  <si>
    <t>B2:K16</t>
    <phoneticPr fontId="1" type="noConversion"/>
  </si>
  <si>
    <t>B2:K58</t>
    <phoneticPr fontId="1" type="noConversion"/>
  </si>
  <si>
    <t>45.72</t>
  </si>
  <si>
    <t>18.67</t>
  </si>
  <si>
    <t>38.44</t>
  </si>
  <si>
    <t>22.08</t>
  </si>
  <si>
    <t>55.51</t>
  </si>
  <si>
    <t>21.17</t>
  </si>
  <si>
    <t>31.76</t>
  </si>
  <si>
    <t>11.17</t>
  </si>
  <si>
    <t>29.47</t>
  </si>
  <si>
    <t>12.00</t>
  </si>
  <si>
    <t>29.76</t>
  </si>
  <si>
    <t>11.98</t>
  </si>
  <si>
    <t>28.57</t>
  </si>
  <si>
    <t>29.78</t>
  </si>
  <si>
    <t>11.39</t>
  </si>
  <si>
    <t>20.37</t>
  </si>
  <si>
    <t xml:space="preserve"> 9.24</t>
  </si>
  <si>
    <t>20.24</t>
  </si>
  <si>
    <t>10.22</t>
  </si>
  <si>
    <t>24.84</t>
  </si>
  <si>
    <t>12.05</t>
  </si>
  <si>
    <t>26.05</t>
  </si>
  <si>
    <t>11.32</t>
  </si>
  <si>
    <t>28.11</t>
  </si>
  <si>
    <t xml:space="preserve"> 9.26</t>
  </si>
  <si>
    <t>27.07</t>
  </si>
  <si>
    <t>10.54</t>
  </si>
  <si>
    <t>25.34</t>
  </si>
  <si>
    <t>10.76</t>
  </si>
  <si>
    <t>32.02</t>
  </si>
  <si>
    <t>11.73</t>
  </si>
  <si>
    <t>24.13</t>
  </si>
  <si>
    <t>10.47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</si>
</sst>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_ "/>
    <numFmt numFmtId="177" formatCode="#,##0_ "/>
    <numFmt numFmtId="178" formatCode="0.00_);[Red]\(0.00\)"/>
  </numFmts>
  <fonts count="4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rgb="FFD4D4D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0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</cellStyleXfs>
  <cellXfs count="19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6" xfId="0" applyFont="1" applyFill="1" applyBorder="1">
      <alignment vertical="center"/>
    </xf>
    <xf numFmtId="0" fontId="29" fillId="6" borderId="67" xfId="0" applyFont="1" applyFill="1" applyBorder="1" applyAlignment="1">
      <alignment horizontal="center" vertical="center"/>
    </xf>
    <xf numFmtId="0" fontId="29" fillId="6" borderId="67" xfId="0" applyFont="1" applyFill="1" applyBorder="1">
      <alignment vertical="center"/>
    </xf>
    <xf numFmtId="0" fontId="25" fillId="6" borderId="68" xfId="0" applyFont="1" applyFill="1" applyBorder="1">
      <alignment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9" fillId="5" borderId="21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2" fillId="5" borderId="15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32" fillId="5" borderId="13" xfId="0" applyFont="1" applyFill="1" applyBorder="1" applyAlignment="1">
      <alignment horizontal="center" vertical="center"/>
    </xf>
    <xf numFmtId="0" fontId="32" fillId="5" borderId="12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" xfId="1" applyNumberFormat="1" applyFont="1" applyBorder="1" applyAlignment="1">
      <alignment horizontal="center" vertical="center"/>
    </xf>
    <xf numFmtId="177" fontId="32" fillId="0" borderId="10" xfId="0" applyNumberFormat="1" applyFont="1" applyBorder="1" applyAlignment="1">
      <alignment horizontal="center" vertical="center"/>
    </xf>
    <xf numFmtId="10" fontId="34" fillId="0" borderId="5" xfId="1" applyNumberFormat="1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4" borderId="8" xfId="0" applyFont="1" applyFill="1" applyBorder="1" applyAlignment="1">
      <alignment horizontal="center" vertical="center"/>
    </xf>
    <xf numFmtId="178" fontId="32" fillId="4" borderId="8" xfId="0" applyNumberFormat="1" applyFont="1" applyFill="1" applyBorder="1" applyAlignment="1">
      <alignment horizontal="center" vertical="center"/>
    </xf>
    <xf numFmtId="0" fontId="32" fillId="4" borderId="6" xfId="0" applyFont="1" applyFill="1" applyBorder="1">
      <alignment vertical="center"/>
    </xf>
    <xf numFmtId="0" fontId="34" fillId="4" borderId="7" xfId="1" applyFont="1" applyFill="1" applyBorder="1" applyAlignment="1">
      <alignment horizontal="center" vertical="center"/>
    </xf>
    <xf numFmtId="177" fontId="32" fillId="4" borderId="8" xfId="0" applyNumberFormat="1" applyFont="1" applyFill="1" applyBorder="1" applyAlignment="1">
      <alignment horizontal="center" vertical="center"/>
    </xf>
    <xf numFmtId="176" fontId="34" fillId="4" borderId="5" xfId="1" applyNumberFormat="1" applyFont="1" applyFill="1" applyBorder="1" applyAlignment="1">
      <alignment horizontal="center" vertical="center"/>
    </xf>
    <xf numFmtId="177" fontId="32" fillId="0" borderId="6" xfId="0" applyNumberFormat="1" applyFont="1" applyBorder="1" applyAlignment="1">
      <alignment horizontal="center" vertical="center"/>
    </xf>
    <xf numFmtId="0" fontId="32" fillId="6" borderId="9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7" fontId="32" fillId="6" borderId="6" xfId="0" applyNumberFormat="1" applyFont="1" applyFill="1" applyBorder="1" applyAlignment="1">
      <alignment horizontal="center" vertical="center"/>
    </xf>
    <xf numFmtId="177" fontId="32" fillId="4" borderId="6" xfId="0" applyNumberFormat="1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178" fontId="32" fillId="2" borderId="2" xfId="0" applyNumberFormat="1" applyFont="1" applyFill="1" applyBorder="1" applyAlignment="1">
      <alignment horizontal="center" vertical="center"/>
    </xf>
    <xf numFmtId="177" fontId="34" fillId="2" borderId="2" xfId="1" applyNumberFormat="1" applyFont="1" applyFill="1" applyBorder="1" applyAlignment="1">
      <alignment horizontal="center" vertical="center"/>
    </xf>
    <xf numFmtId="10" fontId="34" fillId="2" borderId="2" xfId="1" applyNumberFormat="1" applyFont="1" applyFill="1" applyBorder="1" applyAlignment="1">
      <alignment horizontal="center" vertical="center"/>
    </xf>
    <xf numFmtId="177" fontId="32" fillId="2" borderId="2" xfId="0" applyNumberFormat="1" applyFont="1" applyFill="1" applyBorder="1" applyAlignment="1">
      <alignment horizontal="center" vertical="center"/>
    </xf>
    <xf numFmtId="10" fontId="34" fillId="2" borderId="1" xfId="1" applyNumberFormat="1" applyFont="1" applyFill="1" applyBorder="1" applyAlignment="1">
      <alignment horizontal="center" vertical="center"/>
    </xf>
    <xf numFmtId="0" fontId="32" fillId="5" borderId="19" xfId="0" applyFont="1" applyFill="1" applyBorder="1" applyAlignment="1">
      <alignment horizontal="center" vertical="center"/>
    </xf>
    <xf numFmtId="0" fontId="32" fillId="5" borderId="46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3" fontId="32" fillId="0" borderId="48" xfId="0" applyNumberFormat="1" applyFont="1" applyBorder="1" applyAlignment="1">
      <alignment horizontal="center" vertical="center"/>
    </xf>
    <xf numFmtId="10" fontId="32" fillId="0" borderId="10" xfId="0" applyNumberFormat="1" applyFont="1" applyBorder="1" applyAlignment="1">
      <alignment horizontal="center" vertical="center"/>
    </xf>
    <xf numFmtId="3" fontId="32" fillId="0" borderId="10" xfId="0" applyNumberFormat="1" applyFont="1" applyBorder="1" applyAlignment="1">
      <alignment horizontal="center" vertical="center"/>
    </xf>
    <xf numFmtId="10" fontId="32" fillId="0" borderId="42" xfId="0" applyNumberFormat="1" applyFont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59" xfId="0" applyFont="1" applyFill="1" applyBorder="1" applyAlignment="1">
      <alignment horizontal="center" vertical="center"/>
    </xf>
    <xf numFmtId="3" fontId="32" fillId="0" borderId="57" xfId="0" applyNumberFormat="1" applyFont="1" applyBorder="1" applyAlignment="1">
      <alignment horizontal="center" vertical="center"/>
    </xf>
    <xf numFmtId="10" fontId="32" fillId="0" borderId="8" xfId="0" applyNumberFormat="1" applyFont="1" applyBorder="1" applyAlignment="1">
      <alignment horizontal="center" vertical="center"/>
    </xf>
    <xf numFmtId="3" fontId="32" fillId="0" borderId="6" xfId="0" applyNumberFormat="1" applyFont="1" applyBorder="1" applyAlignment="1">
      <alignment horizontal="center" vertical="center"/>
    </xf>
    <xf numFmtId="10" fontId="32" fillId="0" borderId="25" xfId="0" applyNumberFormat="1" applyFont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3" fontId="32" fillId="0" borderId="58" xfId="0" applyNumberFormat="1" applyFont="1" applyBorder="1" applyAlignment="1">
      <alignment horizontal="center" vertical="center"/>
    </xf>
    <xf numFmtId="10" fontId="32" fillId="0" borderId="24" xfId="0" applyNumberFormat="1" applyFont="1" applyBorder="1" applyAlignment="1">
      <alignment horizontal="center" vertical="center"/>
    </xf>
    <xf numFmtId="3" fontId="32" fillId="0" borderId="2" xfId="0" applyNumberFormat="1" applyFont="1" applyBorder="1" applyAlignment="1">
      <alignment horizontal="center" vertical="center"/>
    </xf>
    <xf numFmtId="10" fontId="32" fillId="0" borderId="43" xfId="0" applyNumberFormat="1" applyFont="1" applyBorder="1" applyAlignment="1">
      <alignment horizontal="center" vertical="center"/>
    </xf>
    <xf numFmtId="0" fontId="37" fillId="39" borderId="22" xfId="0" applyFont="1" applyFill="1" applyBorder="1" applyAlignment="1">
      <alignment horizontal="center" vertical="center"/>
    </xf>
    <xf numFmtId="0" fontId="37" fillId="39" borderId="9" xfId="0" applyFont="1" applyFill="1" applyBorder="1" applyAlignment="1">
      <alignment horizontal="center" vertical="center"/>
    </xf>
    <xf numFmtId="0" fontId="37" fillId="39" borderId="59" xfId="0" applyFont="1" applyFill="1" applyBorder="1" applyAlignment="1">
      <alignment horizontal="center" vertical="center"/>
    </xf>
    <xf numFmtId="0" fontId="37" fillId="39" borderId="4" xfId="0" applyFont="1" applyFill="1" applyBorder="1" applyAlignment="1">
      <alignment horizontal="center" vertical="center"/>
    </xf>
    <xf numFmtId="0" fontId="37" fillId="39" borderId="1" xfId="0" applyFont="1" applyFill="1" applyBorder="1" applyAlignment="1">
      <alignment horizontal="center" vertical="center"/>
    </xf>
    <xf numFmtId="176" fontId="34" fillId="4" borderId="7" xfId="1" applyNumberFormat="1" applyFont="1" applyFill="1" applyBorder="1" applyAlignment="1">
      <alignment horizontal="center" vertical="center"/>
    </xf>
    <xf numFmtId="0" fontId="32" fillId="6" borderId="11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177" fontId="34" fillId="2" borderId="24" xfId="1" applyNumberFormat="1" applyFont="1" applyFill="1" applyBorder="1" applyAlignment="1">
      <alignment horizontal="center" vertical="center"/>
    </xf>
    <xf numFmtId="10" fontId="34" fillId="2" borderId="16" xfId="1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8" fillId="6" borderId="0" xfId="0" applyFont="1" applyFill="1">
      <alignment vertical="center"/>
    </xf>
    <xf numFmtId="0" fontId="38" fillId="6" borderId="64" xfId="0" applyFont="1" applyFill="1" applyBorder="1">
      <alignment vertical="center"/>
    </xf>
    <xf numFmtId="0" fontId="38" fillId="6" borderId="65" xfId="0" applyFont="1" applyFill="1" applyBorder="1">
      <alignment vertical="center"/>
    </xf>
    <xf numFmtId="0" fontId="38" fillId="0" borderId="0" xfId="0" applyFont="1">
      <alignment vertical="center"/>
    </xf>
    <xf numFmtId="0" fontId="39" fillId="6" borderId="0" xfId="0" applyFont="1" applyFill="1">
      <alignment vertical="center"/>
    </xf>
    <xf numFmtId="0" fontId="39" fillId="6" borderId="64" xfId="0" applyFont="1" applyFill="1" applyBorder="1">
      <alignment vertical="center"/>
    </xf>
    <xf numFmtId="0" fontId="36" fillId="39" borderId="45" xfId="0" applyFont="1" applyFill="1" applyBorder="1" applyAlignment="1">
      <alignment horizontal="center" vertical="center"/>
    </xf>
    <xf numFmtId="0" fontId="36" fillId="39" borderId="46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32" fillId="6" borderId="0" xfId="0" applyFont="1" applyFill="1">
      <alignment vertical="center"/>
    </xf>
    <xf numFmtId="0" fontId="39" fillId="6" borderId="65" xfId="0" applyFont="1" applyFill="1" applyBorder="1">
      <alignment vertical="center"/>
    </xf>
    <xf numFmtId="0" fontId="39" fillId="0" borderId="0" xfId="0" applyFont="1">
      <alignment vertical="center"/>
    </xf>
    <xf numFmtId="0" fontId="36" fillId="39" borderId="47" xfId="0" applyFont="1" applyFill="1" applyBorder="1" applyAlignment="1">
      <alignment horizontal="center" vertical="center"/>
    </xf>
    <xf numFmtId="0" fontId="32" fillId="6" borderId="21" xfId="0" applyFont="1" applyFill="1" applyBorder="1" applyAlignment="1">
      <alignment horizontal="center" vertical="center"/>
    </xf>
    <xf numFmtId="0" fontId="32" fillId="6" borderId="22" xfId="0" applyFont="1" applyFill="1" applyBorder="1" applyAlignment="1">
      <alignment horizontal="center" vertical="center"/>
    </xf>
    <xf numFmtId="0" fontId="36" fillId="39" borderId="49" xfId="0" applyFont="1" applyFill="1" applyBorder="1" applyAlignment="1">
      <alignment horizontal="center" vertical="center"/>
    </xf>
    <xf numFmtId="0" fontId="32" fillId="6" borderId="5" xfId="0" applyFont="1" applyFill="1" applyBorder="1" applyAlignment="1">
      <alignment horizontal="center" vertical="center"/>
    </xf>
    <xf numFmtId="0" fontId="36" fillId="39" borderId="51" xfId="0" applyFont="1" applyFill="1" applyBorder="1" applyAlignment="1">
      <alignment horizontal="center" vertical="center"/>
    </xf>
    <xf numFmtId="0" fontId="32" fillId="6" borderId="17" xfId="0" applyFont="1" applyFill="1" applyBorder="1" applyAlignment="1">
      <alignment horizontal="center" vertical="center"/>
    </xf>
    <xf numFmtId="0" fontId="32" fillId="6" borderId="16" xfId="0" applyFont="1" applyFill="1" applyBorder="1" applyAlignment="1">
      <alignment horizontal="center" vertical="center"/>
    </xf>
    <xf numFmtId="0" fontId="36" fillId="39" borderId="60" xfId="0" applyFont="1" applyFill="1" applyBorder="1" applyAlignment="1">
      <alignment horizontal="center" vertical="center"/>
    </xf>
    <xf numFmtId="0" fontId="36" fillId="39" borderId="15" xfId="0" applyFont="1" applyFill="1" applyBorder="1" applyAlignment="1">
      <alignment horizontal="center" vertical="center"/>
    </xf>
    <xf numFmtId="0" fontId="36" fillId="39" borderId="14" xfId="0" applyFont="1" applyFill="1" applyBorder="1" applyAlignment="1">
      <alignment horizontal="center" vertical="center"/>
    </xf>
    <xf numFmtId="0" fontId="36" fillId="39" borderId="53" xfId="0" applyFont="1" applyFill="1" applyBorder="1" applyAlignment="1">
      <alignment horizontal="center" vertical="center"/>
    </xf>
    <xf numFmtId="0" fontId="32" fillId="6" borderId="25" xfId="0" applyFont="1" applyFill="1" applyBorder="1" applyAlignment="1">
      <alignment horizontal="center" vertical="center"/>
    </xf>
    <xf numFmtId="0" fontId="36" fillId="39" borderId="54" xfId="0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6" borderId="55" xfId="0" applyFont="1" applyFill="1" applyBorder="1" applyAlignment="1">
      <alignment horizontal="center" vertical="center"/>
    </xf>
    <xf numFmtId="0" fontId="36" fillId="39" borderId="56" xfId="0" applyFont="1" applyFill="1" applyBorder="1" applyAlignment="1">
      <alignment horizontal="center" vertical="center"/>
    </xf>
    <xf numFmtId="0" fontId="32" fillId="6" borderId="4" xfId="0" applyFont="1" applyFill="1" applyBorder="1" applyAlignment="1">
      <alignment horizontal="center" vertical="center"/>
    </xf>
    <xf numFmtId="0" fontId="32" fillId="6" borderId="2" xfId="0" applyFont="1" applyFill="1" applyBorder="1" applyAlignment="1">
      <alignment horizontal="center" vertical="center"/>
    </xf>
    <xf numFmtId="0" fontId="32" fillId="6" borderId="44" xfId="0" applyFont="1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0" fontId="32" fillId="6" borderId="50" xfId="0" applyFont="1" applyFill="1" applyBorder="1" applyAlignment="1">
      <alignment horizontal="center" vertical="center"/>
    </xf>
    <xf numFmtId="0" fontId="32" fillId="6" borderId="52" xfId="0" applyFont="1" applyFill="1" applyBorder="1" applyAlignment="1">
      <alignment horizontal="center" vertical="center"/>
    </xf>
    <xf numFmtId="0" fontId="42" fillId="6" borderId="0" xfId="0" applyFont="1" applyFill="1" applyAlignment="1">
      <alignment vertical="center" wrapText="1"/>
    </xf>
    <xf numFmtId="0" fontId="37" fillId="39" borderId="11" xfId="0" applyFont="1" applyFill="1" applyBorder="1" applyAlignment="1">
      <alignment horizontal="center" vertical="center"/>
    </xf>
    <xf numFmtId="0" fontId="36" fillId="39" borderId="11" xfId="0" applyFont="1" applyFill="1" applyBorder="1" applyAlignment="1">
      <alignment horizontal="center" vertical="center"/>
    </xf>
    <xf numFmtId="0" fontId="28" fillId="6" borderId="69" xfId="0" applyFont="1" applyFill="1" applyBorder="1">
      <alignment vertical="center"/>
    </xf>
    <xf numFmtId="0" fontId="0" fillId="6" borderId="69" xfId="0" applyFill="1" applyBorder="1">
      <alignment vertical="center"/>
    </xf>
    <xf numFmtId="0" fontId="42" fillId="6" borderId="67" xfId="0" applyFont="1" applyFill="1" applyBorder="1" applyAlignment="1">
      <alignment vertical="center" wrapText="1"/>
    </xf>
    <xf numFmtId="0" fontId="42" fillId="6" borderId="65" xfId="0" applyFont="1" applyFill="1" applyBorder="1" applyAlignment="1">
      <alignment vertical="center" wrapText="1"/>
    </xf>
    <xf numFmtId="0" fontId="36" fillId="39" borderId="70" xfId="0" applyFont="1" applyFill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7" fillId="39" borderId="70" xfId="0" applyFont="1" applyFill="1" applyBorder="1" applyAlignment="1">
      <alignment horizontal="center" vertical="center"/>
    </xf>
    <xf numFmtId="0" fontId="43" fillId="0" borderId="6" xfId="45" applyFont="1" applyBorder="1" applyAlignment="1">
      <alignment horizontal="center" vertical="center"/>
    </xf>
    <xf numFmtId="177" fontId="43" fillId="0" borderId="6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71" xfId="45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71" xfId="34" applyFont="1" applyBorder="1" applyAlignment="1">
      <alignment horizontal="center" vertical="center"/>
    </xf>
    <xf numFmtId="38" fontId="43" fillId="0" borderId="71" xfId="34" applyNumberFormat="1" applyFont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42" fillId="6" borderId="40" xfId="0" applyFont="1" applyFill="1" applyBorder="1" applyAlignment="1">
      <alignment horizontal="center" vertical="center" wrapText="1"/>
    </xf>
    <xf numFmtId="0" fontId="42" fillId="6" borderId="40" xfId="0" applyFont="1" applyFill="1" applyBorder="1" applyAlignment="1">
      <alignment horizontal="center" vertical="center"/>
    </xf>
    <xf numFmtId="0" fontId="42" fillId="6" borderId="41" xfId="0" applyFont="1" applyFill="1" applyBorder="1" applyAlignment="1">
      <alignment horizontal="center" vertical="center"/>
    </xf>
    <xf numFmtId="177" fontId="32" fillId="6" borderId="72" xfId="0" applyNumberFormat="1" applyFont="1" applyFill="1" applyBorder="1" applyAlignment="1">
      <alignment horizontal="center" vertical="center"/>
    </xf>
    <xf numFmtId="177" fontId="32" fillId="6" borderId="8" xfId="0" applyNumberFormat="1" applyFont="1" applyFill="1" applyBorder="1" applyAlignment="1">
      <alignment horizontal="center" vertical="center"/>
    </xf>
    <xf numFmtId="10" fontId="34" fillId="0" borderId="73" xfId="1" applyNumberFormat="1" applyFont="1" applyBorder="1" applyAlignment="1">
      <alignment horizontal="center" vertical="center"/>
    </xf>
    <xf numFmtId="10" fontId="34" fillId="0" borderId="25" xfId="1" applyNumberFormat="1" applyFont="1" applyBorder="1" applyAlignment="1">
      <alignment horizontal="center" vertical="center"/>
    </xf>
    <xf numFmtId="0" fontId="32" fillId="6" borderId="72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8" fontId="32" fillId="0" borderId="72" xfId="0" applyNumberFormat="1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72" xfId="1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2" xfId="1" applyNumberFormat="1" applyFont="1" applyBorder="1" applyAlignment="1">
      <alignment horizontal="center" vertical="center"/>
    </xf>
    <xf numFmtId="10" fontId="34" fillId="0" borderId="8" xfId="1" applyNumberFormat="1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77" fontId="32" fillId="0" borderId="72" xfId="0" applyNumberFormat="1" applyFont="1" applyBorder="1" applyAlignment="1">
      <alignment horizontal="center" vertical="center"/>
    </xf>
    <xf numFmtId="177" fontId="32" fillId="0" borderId="8" xfId="0" applyNumberFormat="1" applyFont="1" applyBorder="1" applyAlignment="1">
      <alignment horizontal="center" vertical="center"/>
    </xf>
    <xf numFmtId="0" fontId="42" fillId="6" borderId="0" xfId="0" applyFont="1" applyFill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</cellXfs>
  <cellStyles count="50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64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4786" y="104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70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6600" y="2197100"/>
          <a:ext cx="64770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46125" y="88741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746125" y="41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38909" y="902854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38909" y="1387763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0"/>
  <sheetViews>
    <sheetView zoomScale="115" zoomScaleNormal="115" workbookViewId="0">
      <selection activeCell="C4" sqref="C4:E20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x14ac:dyDescent="0.45">
      <c r="C3" s="1" t="s">
        <v>1</v>
      </c>
      <c r="D3" s="1" t="s">
        <v>2</v>
      </c>
      <c r="E3" s="1" t="s">
        <v>0</v>
      </c>
    </row>
    <row r="4" spans="2:5" x14ac:dyDescent="0.45">
      <c r="B4" s="11" t="s">
        <v>3</v>
      </c>
      <c r="C4" s="158">
        <v>336202</v>
      </c>
      <c r="D4" s="157" t="s">
        <v>135</v>
      </c>
      <c r="E4" s="157" t="s">
        <v>136</v>
      </c>
    </row>
    <row r="5" spans="2:5" x14ac:dyDescent="0.45">
      <c r="B5" s="11" t="s">
        <v>59</v>
      </c>
      <c r="C5" s="158">
        <v>334494</v>
      </c>
      <c r="D5" s="157" t="s">
        <v>137</v>
      </c>
      <c r="E5" s="157" t="s">
        <v>138</v>
      </c>
    </row>
    <row r="6" spans="2:5" x14ac:dyDescent="0.45">
      <c r="B6" s="11" t="s">
        <v>4</v>
      </c>
      <c r="C6" s="158">
        <v>332370</v>
      </c>
      <c r="D6" s="157" t="s">
        <v>139</v>
      </c>
      <c r="E6" s="157" t="s">
        <v>140</v>
      </c>
    </row>
    <row r="7" spans="2:5" x14ac:dyDescent="0.45">
      <c r="B7" s="11" t="s">
        <v>5</v>
      </c>
      <c r="C7" s="158">
        <v>329892</v>
      </c>
      <c r="D7" s="157" t="s">
        <v>141</v>
      </c>
      <c r="E7" s="157" t="s">
        <v>142</v>
      </c>
    </row>
    <row r="8" spans="2:5" x14ac:dyDescent="0.45">
      <c r="B8" s="11" t="s">
        <v>9</v>
      </c>
      <c r="C8" s="158">
        <v>71898</v>
      </c>
      <c r="D8" s="157" t="s">
        <v>143</v>
      </c>
      <c r="E8" s="157" t="s">
        <v>144</v>
      </c>
    </row>
    <row r="9" spans="2:5" x14ac:dyDescent="0.45">
      <c r="B9" s="11" t="s">
        <v>10</v>
      </c>
      <c r="C9" s="158">
        <v>48836</v>
      </c>
      <c r="D9" s="157" t="s">
        <v>145</v>
      </c>
      <c r="E9" s="157" t="s">
        <v>146</v>
      </c>
    </row>
    <row r="10" spans="2:5" x14ac:dyDescent="0.45">
      <c r="B10" s="11" t="s">
        <v>11</v>
      </c>
      <c r="C10" s="158">
        <v>26194</v>
      </c>
      <c r="D10" s="157" t="s">
        <v>147</v>
      </c>
      <c r="E10" s="157" t="s">
        <v>142</v>
      </c>
    </row>
    <row r="11" spans="2:5" x14ac:dyDescent="0.45">
      <c r="B11" s="11" t="s">
        <v>12</v>
      </c>
      <c r="C11" s="158">
        <v>22010</v>
      </c>
      <c r="D11" s="157" t="s">
        <v>148</v>
      </c>
      <c r="E11" s="157" t="s">
        <v>149</v>
      </c>
    </row>
    <row r="12" spans="2:5" x14ac:dyDescent="0.45">
      <c r="B12" s="11" t="s">
        <v>13</v>
      </c>
      <c r="C12" s="158">
        <v>10874</v>
      </c>
      <c r="D12" s="157" t="s">
        <v>150</v>
      </c>
      <c r="E12" s="157" t="s">
        <v>151</v>
      </c>
    </row>
    <row r="13" spans="2:5" x14ac:dyDescent="0.45">
      <c r="B13" s="11" t="s">
        <v>14</v>
      </c>
      <c r="C13" s="158">
        <v>19683</v>
      </c>
      <c r="D13" s="157" t="s">
        <v>152</v>
      </c>
      <c r="E13" s="157" t="s">
        <v>153</v>
      </c>
    </row>
    <row r="14" spans="2:5" x14ac:dyDescent="0.45">
      <c r="B14" s="11" t="s">
        <v>58</v>
      </c>
      <c r="C14" s="158">
        <v>14528</v>
      </c>
      <c r="D14" s="157" t="s">
        <v>154</v>
      </c>
      <c r="E14" s="157" t="s">
        <v>155</v>
      </c>
    </row>
    <row r="15" spans="2:5" x14ac:dyDescent="0.45">
      <c r="B15" s="11" t="s">
        <v>15</v>
      </c>
      <c r="C15" s="158">
        <v>40417</v>
      </c>
      <c r="D15" s="157" t="s">
        <v>156</v>
      </c>
      <c r="E15" s="157" t="s">
        <v>157</v>
      </c>
    </row>
    <row r="16" spans="2:5" x14ac:dyDescent="0.45">
      <c r="B16" s="11" t="s">
        <v>16</v>
      </c>
      <c r="C16" s="158">
        <v>59231</v>
      </c>
      <c r="D16" s="157" t="s">
        <v>158</v>
      </c>
      <c r="E16" s="157" t="s">
        <v>159</v>
      </c>
    </row>
    <row r="17" spans="2:5" x14ac:dyDescent="0.45">
      <c r="B17" s="11" t="s">
        <v>57</v>
      </c>
      <c r="C17" s="158">
        <v>62774</v>
      </c>
      <c r="D17" s="157" t="s">
        <v>160</v>
      </c>
      <c r="E17" s="157" t="s">
        <v>161</v>
      </c>
    </row>
    <row r="18" spans="2:5" x14ac:dyDescent="0.45">
      <c r="B18" s="11" t="s">
        <v>17</v>
      </c>
      <c r="C18" s="158">
        <v>90016</v>
      </c>
      <c r="D18" s="157" t="s">
        <v>162</v>
      </c>
      <c r="E18" s="157" t="s">
        <v>163</v>
      </c>
    </row>
    <row r="19" spans="2:5" x14ac:dyDescent="0.45">
      <c r="B19" s="11" t="s">
        <v>18</v>
      </c>
      <c r="C19" s="158">
        <v>117747</v>
      </c>
      <c r="D19" s="157" t="s">
        <v>164</v>
      </c>
      <c r="E19" s="157" t="s">
        <v>165</v>
      </c>
    </row>
    <row r="20" spans="2:5" x14ac:dyDescent="0.45">
      <c r="B20" s="11" t="s">
        <v>19</v>
      </c>
      <c r="C20" s="158">
        <v>72203</v>
      </c>
      <c r="D20" s="157" t="s">
        <v>166</v>
      </c>
      <c r="E20" s="157" t="s">
        <v>167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156"/>
  <sheetViews>
    <sheetView workbookViewId="0">
      <selection activeCell="C4" sqref="C4:D156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x14ac:dyDescent="0.45">
      <c r="C3" s="164" t="s">
        <v>55</v>
      </c>
      <c r="D3" s="164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23</v>
      </c>
      <c r="P3" s="1" t="s">
        <v>17</v>
      </c>
      <c r="Q3" s="1" t="s">
        <v>18</v>
      </c>
      <c r="R3" s="1" t="s">
        <v>19</v>
      </c>
      <c r="S3" s="1" t="s">
        <v>24</v>
      </c>
      <c r="T3" s="1" t="s">
        <v>20</v>
      </c>
      <c r="U3" s="1" t="s">
        <v>21</v>
      </c>
      <c r="V3" s="1" t="s">
        <v>22</v>
      </c>
    </row>
    <row r="4" spans="1:22" x14ac:dyDescent="0.45">
      <c r="A4" t="s">
        <v>43</v>
      </c>
      <c r="B4" s="1" t="s">
        <v>25</v>
      </c>
      <c r="C4" s="157">
        <v>136</v>
      </c>
      <c r="D4" s="159">
        <v>13689</v>
      </c>
      <c r="E4" s="159">
        <v>13689</v>
      </c>
    </row>
    <row r="5" spans="1:22" x14ac:dyDescent="0.45">
      <c r="B5" s="1" t="s">
        <v>26</v>
      </c>
      <c r="C5" s="157">
        <v>126</v>
      </c>
      <c r="D5" s="159">
        <v>26630</v>
      </c>
      <c r="E5" s="159">
        <v>26630</v>
      </c>
    </row>
    <row r="6" spans="1:22" x14ac:dyDescent="0.45">
      <c r="B6" s="1" t="s">
        <v>27</v>
      </c>
      <c r="C6" s="157">
        <v>116</v>
      </c>
      <c r="D6" s="159">
        <v>40950</v>
      </c>
      <c r="E6" s="159">
        <v>40950</v>
      </c>
    </row>
    <row r="7" spans="1:22" x14ac:dyDescent="0.45">
      <c r="B7" s="1" t="s">
        <v>28</v>
      </c>
      <c r="C7" s="157">
        <v>106</v>
      </c>
      <c r="D7" s="159">
        <v>54949</v>
      </c>
      <c r="E7" s="159">
        <v>54949</v>
      </c>
    </row>
    <row r="8" spans="1:22" x14ac:dyDescent="0.45">
      <c r="B8" s="1" t="s">
        <v>29</v>
      </c>
      <c r="C8" s="157">
        <v>93</v>
      </c>
      <c r="D8" s="159">
        <v>69140</v>
      </c>
      <c r="E8" s="159">
        <v>69140</v>
      </c>
    </row>
    <row r="9" spans="1:22" x14ac:dyDescent="0.45">
      <c r="B9" s="1" t="s">
        <v>30</v>
      </c>
      <c r="C9" s="157">
        <v>82</v>
      </c>
      <c r="D9" s="159">
        <v>57503</v>
      </c>
      <c r="E9" s="159">
        <v>57503</v>
      </c>
    </row>
    <row r="10" spans="1:22" x14ac:dyDescent="0.45">
      <c r="B10" s="1" t="s">
        <v>31</v>
      </c>
      <c r="C10" s="157">
        <v>75</v>
      </c>
      <c r="D10" s="159">
        <v>38191</v>
      </c>
      <c r="E10" s="159">
        <v>38191</v>
      </c>
    </row>
    <row r="11" spans="1:22" x14ac:dyDescent="0.45">
      <c r="B11" s="1" t="s">
        <v>32</v>
      </c>
      <c r="C11" s="157">
        <v>70</v>
      </c>
      <c r="D11" s="159">
        <v>22292</v>
      </c>
      <c r="E11" s="159">
        <v>22292</v>
      </c>
    </row>
    <row r="12" spans="1:22" x14ac:dyDescent="0.45">
      <c r="B12" s="1" t="s">
        <v>34</v>
      </c>
      <c r="C12" s="157">
        <v>51</v>
      </c>
      <c r="D12" s="159">
        <v>12858</v>
      </c>
      <c r="E12" s="159">
        <v>12858</v>
      </c>
    </row>
    <row r="13" spans="1:22" x14ac:dyDescent="0.45">
      <c r="A13" t="s">
        <v>61</v>
      </c>
      <c r="B13" s="1" t="s">
        <v>35</v>
      </c>
      <c r="C13" s="157">
        <v>139</v>
      </c>
      <c r="D13" s="159">
        <v>14137</v>
      </c>
      <c r="E13" s="159">
        <v>14137</v>
      </c>
    </row>
    <row r="14" spans="1:22" x14ac:dyDescent="0.45">
      <c r="B14" s="1" t="s">
        <v>36</v>
      </c>
      <c r="C14" s="157">
        <v>128</v>
      </c>
      <c r="D14" s="159">
        <v>24287</v>
      </c>
      <c r="E14" s="159">
        <v>24287</v>
      </c>
    </row>
    <row r="15" spans="1:22" x14ac:dyDescent="0.45">
      <c r="B15" s="1" t="s">
        <v>37</v>
      </c>
      <c r="C15" s="157">
        <v>117</v>
      </c>
      <c r="D15" s="159">
        <v>38724</v>
      </c>
      <c r="E15" s="159">
        <v>38724</v>
      </c>
    </row>
    <row r="16" spans="1:22" x14ac:dyDescent="0.45">
      <c r="B16" s="1" t="s">
        <v>38</v>
      </c>
      <c r="C16" s="157">
        <v>103</v>
      </c>
      <c r="D16" s="159">
        <v>59193</v>
      </c>
      <c r="E16" s="159">
        <v>59193</v>
      </c>
    </row>
    <row r="17" spans="1:5" x14ac:dyDescent="0.45">
      <c r="B17" s="1" t="s">
        <v>39</v>
      </c>
      <c r="C17" s="157">
        <v>91</v>
      </c>
      <c r="D17" s="159">
        <v>67132</v>
      </c>
      <c r="E17" s="159">
        <v>67132</v>
      </c>
    </row>
    <row r="18" spans="1:5" x14ac:dyDescent="0.45">
      <c r="B18" s="1" t="s">
        <v>40</v>
      </c>
      <c r="C18" s="157">
        <v>81</v>
      </c>
      <c r="D18" s="159">
        <v>67544</v>
      </c>
      <c r="E18" s="159">
        <v>67544</v>
      </c>
    </row>
    <row r="19" spans="1:5" x14ac:dyDescent="0.45">
      <c r="B19" s="1" t="s">
        <v>41</v>
      </c>
      <c r="C19" s="157">
        <v>77</v>
      </c>
      <c r="D19" s="159">
        <v>27057</v>
      </c>
      <c r="E19" s="159">
        <v>27057</v>
      </c>
    </row>
    <row r="20" spans="1:5" x14ac:dyDescent="0.45">
      <c r="B20" s="1" t="s">
        <v>42</v>
      </c>
      <c r="C20" s="157">
        <v>74</v>
      </c>
      <c r="D20" s="159">
        <v>25550</v>
      </c>
      <c r="E20" s="159">
        <v>25550</v>
      </c>
    </row>
    <row r="21" spans="1:5" x14ac:dyDescent="0.45">
      <c r="B21" s="1" t="s">
        <v>33</v>
      </c>
      <c r="C21" s="157">
        <v>65</v>
      </c>
      <c r="D21" s="159">
        <v>10870</v>
      </c>
      <c r="E21" s="159">
        <v>10870</v>
      </c>
    </row>
    <row r="22" spans="1:5" x14ac:dyDescent="0.45">
      <c r="A22" t="s">
        <v>62</v>
      </c>
      <c r="B22" s="1" t="s">
        <v>25</v>
      </c>
      <c r="C22" s="157">
        <v>90</v>
      </c>
      <c r="D22" s="159">
        <v>18751</v>
      </c>
      <c r="E22" s="159">
        <v>18751</v>
      </c>
    </row>
    <row r="23" spans="1:5" x14ac:dyDescent="0.45">
      <c r="B23" s="1" t="s">
        <v>26</v>
      </c>
      <c r="C23" s="157">
        <v>80</v>
      </c>
      <c r="D23" s="159">
        <v>29826</v>
      </c>
      <c r="E23" s="159">
        <v>29826</v>
      </c>
    </row>
    <row r="24" spans="1:5" x14ac:dyDescent="0.45">
      <c r="B24" s="1" t="s">
        <v>27</v>
      </c>
      <c r="C24" s="157">
        <v>70</v>
      </c>
      <c r="D24" s="159">
        <v>44512</v>
      </c>
      <c r="E24" s="159">
        <v>44512</v>
      </c>
    </row>
    <row r="25" spans="1:5" x14ac:dyDescent="0.45">
      <c r="B25" s="1" t="s">
        <v>28</v>
      </c>
      <c r="C25" s="157">
        <v>60</v>
      </c>
      <c r="D25" s="159">
        <v>54348</v>
      </c>
      <c r="E25" s="159">
        <v>54348</v>
      </c>
    </row>
    <row r="26" spans="1:5" x14ac:dyDescent="0.45">
      <c r="B26" s="1" t="s">
        <v>29</v>
      </c>
      <c r="C26" s="157">
        <v>50</v>
      </c>
      <c r="D26" s="159">
        <v>52623</v>
      </c>
      <c r="E26" s="159">
        <v>52623</v>
      </c>
    </row>
    <row r="27" spans="1:5" x14ac:dyDescent="0.45">
      <c r="B27" s="1" t="s">
        <v>30</v>
      </c>
      <c r="C27" s="157">
        <v>40</v>
      </c>
      <c r="D27" s="159">
        <v>46622</v>
      </c>
      <c r="E27" s="159">
        <v>46622</v>
      </c>
    </row>
    <row r="28" spans="1:5" x14ac:dyDescent="0.45">
      <c r="B28" s="1" t="s">
        <v>31</v>
      </c>
      <c r="C28" s="157">
        <v>30</v>
      </c>
      <c r="D28" s="159">
        <v>40743</v>
      </c>
      <c r="E28" s="159">
        <v>40743</v>
      </c>
    </row>
    <row r="29" spans="1:5" x14ac:dyDescent="0.45">
      <c r="B29" s="1" t="s">
        <v>32</v>
      </c>
      <c r="C29" s="157">
        <v>20</v>
      </c>
      <c r="D29" s="159">
        <v>35406</v>
      </c>
      <c r="E29" s="159">
        <v>35406</v>
      </c>
    </row>
    <row r="30" spans="1:5" x14ac:dyDescent="0.45">
      <c r="B30" s="1" t="s">
        <v>34</v>
      </c>
      <c r="C30" s="157">
        <v>0</v>
      </c>
      <c r="D30" s="159">
        <v>9539</v>
      </c>
      <c r="E30" s="159">
        <v>9539</v>
      </c>
    </row>
    <row r="31" spans="1:5" x14ac:dyDescent="0.45">
      <c r="A31" t="s">
        <v>63</v>
      </c>
      <c r="B31" s="1" t="s">
        <v>25</v>
      </c>
      <c r="C31" s="157">
        <v>40</v>
      </c>
      <c r="D31" s="159">
        <v>90018</v>
      </c>
      <c r="E31" s="159">
        <v>90018</v>
      </c>
    </row>
    <row r="32" spans="1:5" x14ac:dyDescent="0.45">
      <c r="B32" s="1" t="s">
        <v>26</v>
      </c>
      <c r="C32" s="157">
        <v>35</v>
      </c>
      <c r="D32" s="159">
        <v>60511</v>
      </c>
      <c r="E32" s="159">
        <v>60511</v>
      </c>
    </row>
    <row r="33" spans="1:5" x14ac:dyDescent="0.45">
      <c r="B33" s="1" t="s">
        <v>27</v>
      </c>
      <c r="C33" s="157">
        <v>30</v>
      </c>
      <c r="D33" s="159">
        <v>54948</v>
      </c>
      <c r="E33" s="159">
        <v>54948</v>
      </c>
    </row>
    <row r="34" spans="1:5" x14ac:dyDescent="0.45">
      <c r="B34" s="1" t="s">
        <v>28</v>
      </c>
      <c r="C34" s="157">
        <v>25</v>
      </c>
      <c r="D34" s="159">
        <v>41119</v>
      </c>
      <c r="E34" s="159">
        <v>41119</v>
      </c>
    </row>
    <row r="35" spans="1:5" x14ac:dyDescent="0.45">
      <c r="B35" s="1" t="s">
        <v>29</v>
      </c>
      <c r="C35" s="157">
        <v>20</v>
      </c>
      <c r="D35" s="159">
        <v>28248</v>
      </c>
      <c r="E35" s="159">
        <v>28248</v>
      </c>
    </row>
    <row r="36" spans="1:5" x14ac:dyDescent="0.45">
      <c r="B36" s="1" t="s">
        <v>30</v>
      </c>
      <c r="C36" s="157">
        <v>15</v>
      </c>
      <c r="D36" s="159">
        <v>20666</v>
      </c>
      <c r="E36" s="159">
        <v>20666</v>
      </c>
    </row>
    <row r="37" spans="1:5" x14ac:dyDescent="0.45">
      <c r="B37" s="1" t="s">
        <v>31</v>
      </c>
      <c r="C37" s="157">
        <v>10</v>
      </c>
      <c r="D37" s="159">
        <v>25380</v>
      </c>
      <c r="E37" s="159">
        <v>25380</v>
      </c>
    </row>
    <row r="38" spans="1:5" x14ac:dyDescent="0.45">
      <c r="B38" s="1" t="s">
        <v>32</v>
      </c>
      <c r="C38" s="157">
        <v>5</v>
      </c>
      <c r="D38" s="159">
        <v>7324</v>
      </c>
      <c r="E38" s="159">
        <v>7324</v>
      </c>
    </row>
    <row r="39" spans="1:5" x14ac:dyDescent="0.45">
      <c r="B39" s="1" t="s">
        <v>34</v>
      </c>
      <c r="C39" s="157">
        <v>0</v>
      </c>
      <c r="D39" s="159">
        <v>1678</v>
      </c>
      <c r="E39" s="159">
        <v>1678</v>
      </c>
    </row>
    <row r="40" spans="1:5" x14ac:dyDescent="0.45">
      <c r="A40" t="s">
        <v>44</v>
      </c>
      <c r="B40" s="1" t="s">
        <v>35</v>
      </c>
      <c r="C40" s="157">
        <v>65</v>
      </c>
      <c r="D40" s="159">
        <v>2984</v>
      </c>
      <c r="E40" s="159">
        <v>2984</v>
      </c>
    </row>
    <row r="41" spans="1:5" x14ac:dyDescent="0.45">
      <c r="B41" s="1" t="s">
        <v>36</v>
      </c>
      <c r="C41" s="157">
        <v>62</v>
      </c>
      <c r="D41" s="159">
        <v>5322</v>
      </c>
      <c r="E41" s="159">
        <v>5322</v>
      </c>
    </row>
    <row r="42" spans="1:5" x14ac:dyDescent="0.45">
      <c r="B42" s="1" t="s">
        <v>37</v>
      </c>
      <c r="C42" s="157">
        <v>59</v>
      </c>
      <c r="D42" s="159">
        <v>9452</v>
      </c>
      <c r="E42" s="159">
        <v>9452</v>
      </c>
    </row>
    <row r="43" spans="1:5" x14ac:dyDescent="0.45">
      <c r="B43" s="1" t="s">
        <v>38</v>
      </c>
      <c r="C43" s="157">
        <v>55</v>
      </c>
      <c r="D43" s="159">
        <v>12701</v>
      </c>
      <c r="E43" s="159">
        <v>12701</v>
      </c>
    </row>
    <row r="44" spans="1:5" x14ac:dyDescent="0.45">
      <c r="B44" s="1" t="s">
        <v>39</v>
      </c>
      <c r="C44" s="157">
        <v>49</v>
      </c>
      <c r="D44" s="159">
        <v>13183</v>
      </c>
      <c r="E44" s="159">
        <v>13183</v>
      </c>
    </row>
    <row r="45" spans="1:5" x14ac:dyDescent="0.45">
      <c r="B45" s="1" t="s">
        <v>40</v>
      </c>
      <c r="C45" s="157">
        <v>41</v>
      </c>
      <c r="D45" s="159">
        <v>11868</v>
      </c>
      <c r="E45" s="159">
        <v>11868</v>
      </c>
    </row>
    <row r="46" spans="1:5" x14ac:dyDescent="0.45">
      <c r="B46" s="1" t="s">
        <v>41</v>
      </c>
      <c r="C46" s="157">
        <v>35</v>
      </c>
      <c r="D46" s="159">
        <v>8708</v>
      </c>
      <c r="E46" s="159">
        <v>8708</v>
      </c>
    </row>
    <row r="47" spans="1:5" x14ac:dyDescent="0.45">
      <c r="B47" s="1" t="s">
        <v>42</v>
      </c>
      <c r="C47" s="157">
        <v>32</v>
      </c>
      <c r="D47" s="159">
        <v>5562</v>
      </c>
      <c r="E47" s="159">
        <v>5562</v>
      </c>
    </row>
    <row r="48" spans="1:5" x14ac:dyDescent="0.45">
      <c r="B48" s="1" t="s">
        <v>33</v>
      </c>
      <c r="C48" s="157">
        <v>25</v>
      </c>
      <c r="D48" s="159">
        <v>2118</v>
      </c>
      <c r="E48" s="159">
        <v>2118</v>
      </c>
    </row>
    <row r="49" spans="1:5" x14ac:dyDescent="0.45">
      <c r="A49" t="s">
        <v>45</v>
      </c>
      <c r="B49" s="1" t="s">
        <v>25</v>
      </c>
      <c r="C49" s="157">
        <v>64</v>
      </c>
      <c r="D49" s="159">
        <v>2611</v>
      </c>
      <c r="E49" s="159">
        <v>2611</v>
      </c>
    </row>
    <row r="50" spans="1:5" x14ac:dyDescent="0.45">
      <c r="B50" s="1" t="s">
        <v>26</v>
      </c>
      <c r="C50" s="157">
        <v>61</v>
      </c>
      <c r="D50" s="159">
        <v>4451</v>
      </c>
      <c r="E50" s="159">
        <v>4451</v>
      </c>
    </row>
    <row r="51" spans="1:5" x14ac:dyDescent="0.45">
      <c r="B51" s="1" t="s">
        <v>27</v>
      </c>
      <c r="C51" s="157">
        <v>59</v>
      </c>
      <c r="D51" s="159">
        <v>5256</v>
      </c>
      <c r="E51" s="159">
        <v>5256</v>
      </c>
    </row>
    <row r="52" spans="1:5" x14ac:dyDescent="0.45">
      <c r="B52" s="1" t="s">
        <v>28</v>
      </c>
      <c r="C52" s="157">
        <v>54</v>
      </c>
      <c r="D52" s="159">
        <v>9970</v>
      </c>
      <c r="E52" s="159">
        <v>9970</v>
      </c>
    </row>
    <row r="53" spans="1:5" x14ac:dyDescent="0.45">
      <c r="B53" s="1" t="s">
        <v>29</v>
      </c>
      <c r="C53" s="157">
        <v>49</v>
      </c>
      <c r="D53" s="159">
        <v>8027</v>
      </c>
      <c r="E53" s="159">
        <v>8027</v>
      </c>
    </row>
    <row r="54" spans="1:5" x14ac:dyDescent="0.45">
      <c r="B54" s="1" t="s">
        <v>30</v>
      </c>
      <c r="C54" s="157">
        <v>41</v>
      </c>
      <c r="D54" s="159">
        <v>8072</v>
      </c>
      <c r="E54" s="159">
        <v>8072</v>
      </c>
    </row>
    <row r="55" spans="1:5" x14ac:dyDescent="0.45">
      <c r="B55" s="1" t="s">
        <v>31</v>
      </c>
      <c r="C55" s="157">
        <v>35</v>
      </c>
      <c r="D55" s="159">
        <v>5440</v>
      </c>
      <c r="E55" s="159">
        <v>5440</v>
      </c>
    </row>
    <row r="56" spans="1:5" x14ac:dyDescent="0.45">
      <c r="B56" s="1" t="s">
        <v>32</v>
      </c>
      <c r="C56" s="157">
        <v>30</v>
      </c>
      <c r="D56" s="159">
        <v>4477</v>
      </c>
      <c r="E56" s="159">
        <v>4477</v>
      </c>
    </row>
    <row r="57" spans="1:5" x14ac:dyDescent="0.45">
      <c r="B57" s="1" t="s">
        <v>34</v>
      </c>
      <c r="C57" s="157">
        <v>25</v>
      </c>
      <c r="D57" s="159">
        <v>532</v>
      </c>
      <c r="E57" s="159">
        <v>532</v>
      </c>
    </row>
    <row r="58" spans="1:5" x14ac:dyDescent="0.45">
      <c r="A58" t="s">
        <v>46</v>
      </c>
      <c r="B58" s="1" t="s">
        <v>35</v>
      </c>
      <c r="C58" s="157">
        <v>65</v>
      </c>
      <c r="D58" s="159">
        <v>1125</v>
      </c>
      <c r="E58" s="159">
        <v>1125</v>
      </c>
    </row>
    <row r="59" spans="1:5" x14ac:dyDescent="0.45">
      <c r="B59" s="1" t="s">
        <v>36</v>
      </c>
      <c r="C59" s="157">
        <v>62</v>
      </c>
      <c r="D59" s="159">
        <v>1782</v>
      </c>
      <c r="E59" s="159">
        <v>1782</v>
      </c>
    </row>
    <row r="60" spans="1:5" x14ac:dyDescent="0.45">
      <c r="B60" s="1" t="s">
        <v>37</v>
      </c>
      <c r="C60" s="157">
        <v>58</v>
      </c>
      <c r="D60" s="159">
        <v>4380</v>
      </c>
      <c r="E60" s="159">
        <v>4380</v>
      </c>
    </row>
    <row r="61" spans="1:5" x14ac:dyDescent="0.45">
      <c r="B61" s="1" t="s">
        <v>38</v>
      </c>
      <c r="C61" s="157">
        <v>54</v>
      </c>
      <c r="D61" s="159">
        <v>4086</v>
      </c>
      <c r="E61" s="159">
        <v>4086</v>
      </c>
    </row>
    <row r="62" spans="1:5" x14ac:dyDescent="0.45">
      <c r="B62" s="1" t="s">
        <v>39</v>
      </c>
      <c r="C62" s="157">
        <v>49</v>
      </c>
      <c r="D62" s="159">
        <v>5090</v>
      </c>
      <c r="E62" s="159">
        <v>5090</v>
      </c>
    </row>
    <row r="63" spans="1:5" x14ac:dyDescent="0.45">
      <c r="B63" s="1" t="s">
        <v>40</v>
      </c>
      <c r="C63" s="157">
        <v>41</v>
      </c>
      <c r="D63" s="159">
        <v>4380</v>
      </c>
      <c r="E63" s="159">
        <v>4380</v>
      </c>
    </row>
    <row r="64" spans="1:5" x14ac:dyDescent="0.45">
      <c r="B64" s="1" t="s">
        <v>41</v>
      </c>
      <c r="C64" s="157">
        <v>34</v>
      </c>
      <c r="D64" s="159">
        <v>3176</v>
      </c>
      <c r="E64" s="159">
        <v>3176</v>
      </c>
    </row>
    <row r="65" spans="1:5" x14ac:dyDescent="0.45">
      <c r="B65" s="1" t="s">
        <v>42</v>
      </c>
      <c r="C65" s="157">
        <v>32</v>
      </c>
      <c r="D65" s="159">
        <v>1331</v>
      </c>
      <c r="E65" s="159">
        <v>1331</v>
      </c>
    </row>
    <row r="66" spans="1:5" x14ac:dyDescent="0.45">
      <c r="B66" s="1" t="s">
        <v>33</v>
      </c>
      <c r="C66" s="157">
        <v>24</v>
      </c>
      <c r="D66" s="159">
        <v>844</v>
      </c>
      <c r="E66" s="159">
        <v>844</v>
      </c>
    </row>
    <row r="67" spans="1:5" x14ac:dyDescent="0.45">
      <c r="A67" t="s">
        <v>47</v>
      </c>
      <c r="B67" s="1" t="s">
        <v>25</v>
      </c>
      <c r="C67" s="157">
        <v>65</v>
      </c>
      <c r="D67" s="159">
        <v>1287</v>
      </c>
      <c r="E67" s="159">
        <v>1287</v>
      </c>
    </row>
    <row r="68" spans="1:5" x14ac:dyDescent="0.45">
      <c r="B68" s="1" t="s">
        <v>26</v>
      </c>
      <c r="C68" s="157">
        <v>62</v>
      </c>
      <c r="D68" s="159">
        <v>1852</v>
      </c>
      <c r="E68" s="159">
        <v>1852</v>
      </c>
    </row>
    <row r="69" spans="1:5" x14ac:dyDescent="0.45">
      <c r="B69" s="1" t="s">
        <v>27</v>
      </c>
      <c r="C69" s="157">
        <v>58</v>
      </c>
      <c r="D69" s="159">
        <v>2356</v>
      </c>
      <c r="E69" s="159">
        <v>2356</v>
      </c>
    </row>
    <row r="70" spans="1:5" x14ac:dyDescent="0.45">
      <c r="B70" s="1" t="s">
        <v>28</v>
      </c>
      <c r="C70" s="157">
        <v>54</v>
      </c>
      <c r="D70" s="159">
        <v>3543</v>
      </c>
      <c r="E70" s="159">
        <v>3543</v>
      </c>
    </row>
    <row r="71" spans="1:5" x14ac:dyDescent="0.45">
      <c r="B71" s="1" t="s">
        <v>29</v>
      </c>
      <c r="C71" s="157">
        <v>48</v>
      </c>
      <c r="D71" s="159">
        <v>5045</v>
      </c>
      <c r="E71" s="159">
        <v>5045</v>
      </c>
    </row>
    <row r="72" spans="1:5" x14ac:dyDescent="0.45">
      <c r="B72" s="1" t="s">
        <v>30</v>
      </c>
      <c r="C72" s="157">
        <v>42</v>
      </c>
      <c r="D72" s="159">
        <v>3037</v>
      </c>
      <c r="E72" s="159">
        <v>3037</v>
      </c>
    </row>
    <row r="73" spans="1:5" x14ac:dyDescent="0.45">
      <c r="B73" s="1" t="s">
        <v>31</v>
      </c>
      <c r="C73" s="157">
        <v>35</v>
      </c>
      <c r="D73" s="159">
        <v>2597</v>
      </c>
      <c r="E73" s="159">
        <v>2597</v>
      </c>
    </row>
    <row r="74" spans="1:5" x14ac:dyDescent="0.45">
      <c r="B74" s="1" t="s">
        <v>32</v>
      </c>
      <c r="C74" s="157">
        <v>32</v>
      </c>
      <c r="D74" s="159">
        <v>1454</v>
      </c>
      <c r="E74" s="159">
        <v>1454</v>
      </c>
    </row>
    <row r="75" spans="1:5" x14ac:dyDescent="0.45">
      <c r="B75" s="1" t="s">
        <v>34</v>
      </c>
      <c r="C75" s="157">
        <v>24</v>
      </c>
      <c r="D75" s="159">
        <v>839</v>
      </c>
      <c r="E75" s="159">
        <v>839</v>
      </c>
    </row>
    <row r="76" spans="1:5" x14ac:dyDescent="0.45">
      <c r="A76" t="s">
        <v>48</v>
      </c>
      <c r="B76" s="1" t="s">
        <v>35</v>
      </c>
      <c r="C76" s="157">
        <v>71</v>
      </c>
      <c r="D76" s="159">
        <v>496</v>
      </c>
      <c r="E76" s="159">
        <v>496</v>
      </c>
    </row>
    <row r="77" spans="1:5" x14ac:dyDescent="0.45">
      <c r="B77" s="1" t="s">
        <v>36</v>
      </c>
      <c r="C77" s="157">
        <v>63</v>
      </c>
      <c r="D77" s="159">
        <v>854</v>
      </c>
      <c r="E77" s="159">
        <v>854</v>
      </c>
    </row>
    <row r="78" spans="1:5" x14ac:dyDescent="0.45">
      <c r="B78" s="1" t="s">
        <v>37</v>
      </c>
      <c r="C78" s="157">
        <v>56</v>
      </c>
      <c r="D78" s="159">
        <v>1368</v>
      </c>
      <c r="E78" s="159">
        <v>1368</v>
      </c>
    </row>
    <row r="79" spans="1:5" x14ac:dyDescent="0.45">
      <c r="B79" s="1" t="s">
        <v>38</v>
      </c>
      <c r="C79" s="157">
        <v>51</v>
      </c>
      <c r="D79" s="159">
        <v>1930</v>
      </c>
      <c r="E79" s="159">
        <v>1930</v>
      </c>
    </row>
    <row r="80" spans="1:5" x14ac:dyDescent="0.45">
      <c r="B80" s="1" t="s">
        <v>39</v>
      </c>
      <c r="C80" s="157">
        <v>46</v>
      </c>
      <c r="D80" s="159">
        <v>2007</v>
      </c>
      <c r="E80" s="159">
        <v>2007</v>
      </c>
    </row>
    <row r="81" spans="1:5" x14ac:dyDescent="0.45">
      <c r="B81" s="1" t="s">
        <v>40</v>
      </c>
      <c r="C81" s="157">
        <v>42</v>
      </c>
      <c r="D81" s="159">
        <v>1985</v>
      </c>
      <c r="E81" s="159">
        <v>1985</v>
      </c>
    </row>
    <row r="82" spans="1:5" x14ac:dyDescent="0.45">
      <c r="B82" s="1" t="s">
        <v>41</v>
      </c>
      <c r="C82" s="157">
        <v>39</v>
      </c>
      <c r="D82" s="159">
        <v>1459</v>
      </c>
      <c r="E82" s="159">
        <v>1459</v>
      </c>
    </row>
    <row r="83" spans="1:5" x14ac:dyDescent="0.45">
      <c r="B83" s="1" t="s">
        <v>42</v>
      </c>
      <c r="C83" s="157">
        <v>37</v>
      </c>
      <c r="D83" s="159">
        <v>370</v>
      </c>
      <c r="E83" s="159">
        <v>370</v>
      </c>
    </row>
    <row r="84" spans="1:5" x14ac:dyDescent="0.45">
      <c r="B84" s="1" t="s">
        <v>33</v>
      </c>
      <c r="C84" s="157">
        <v>28</v>
      </c>
      <c r="D84" s="159">
        <v>405</v>
      </c>
      <c r="E84" s="159">
        <v>405</v>
      </c>
    </row>
    <row r="85" spans="1:5" x14ac:dyDescent="0.45">
      <c r="A85" t="s">
        <v>47</v>
      </c>
      <c r="B85" s="1" t="s">
        <v>25</v>
      </c>
      <c r="C85" s="157">
        <v>71</v>
      </c>
      <c r="D85" s="159">
        <v>847</v>
      </c>
      <c r="E85" s="159">
        <v>847</v>
      </c>
    </row>
    <row r="86" spans="1:5" x14ac:dyDescent="0.45">
      <c r="B86" s="1" t="s">
        <v>26</v>
      </c>
      <c r="C86" s="157">
        <v>63</v>
      </c>
      <c r="D86" s="159">
        <v>1564</v>
      </c>
      <c r="E86" s="159">
        <v>1564</v>
      </c>
    </row>
    <row r="87" spans="1:5" x14ac:dyDescent="0.45">
      <c r="B87" s="1" t="s">
        <v>27</v>
      </c>
      <c r="C87" s="157">
        <v>57</v>
      </c>
      <c r="D87" s="159">
        <v>2442</v>
      </c>
      <c r="E87" s="159">
        <v>2442</v>
      </c>
    </row>
    <row r="88" spans="1:5" x14ac:dyDescent="0.45">
      <c r="B88" s="1" t="s">
        <v>28</v>
      </c>
      <c r="C88" s="157">
        <v>51</v>
      </c>
      <c r="D88" s="159">
        <v>3411</v>
      </c>
      <c r="E88" s="159">
        <v>3411</v>
      </c>
    </row>
    <row r="89" spans="1:5" x14ac:dyDescent="0.45">
      <c r="B89" s="1" t="s">
        <v>29</v>
      </c>
      <c r="C89" s="157">
        <v>46</v>
      </c>
      <c r="D89" s="159">
        <v>3664</v>
      </c>
      <c r="E89" s="159">
        <v>3664</v>
      </c>
    </row>
    <row r="90" spans="1:5" x14ac:dyDescent="0.45">
      <c r="B90" s="1" t="s">
        <v>30</v>
      </c>
      <c r="C90" s="157">
        <v>42</v>
      </c>
      <c r="D90" s="159">
        <v>3947</v>
      </c>
      <c r="E90" s="159">
        <v>3947</v>
      </c>
    </row>
    <row r="91" spans="1:5" x14ac:dyDescent="0.45">
      <c r="B91" s="1" t="s">
        <v>31</v>
      </c>
      <c r="C91" s="157">
        <v>39</v>
      </c>
      <c r="D91" s="159">
        <v>2270</v>
      </c>
      <c r="E91" s="159">
        <v>2270</v>
      </c>
    </row>
    <row r="92" spans="1:5" x14ac:dyDescent="0.45">
      <c r="B92" s="1" t="s">
        <v>32</v>
      </c>
      <c r="C92" s="157">
        <v>37</v>
      </c>
      <c r="D92" s="159">
        <v>888</v>
      </c>
      <c r="E92" s="159">
        <v>888</v>
      </c>
    </row>
    <row r="93" spans="1:5" x14ac:dyDescent="0.45">
      <c r="B93" s="1" t="s">
        <v>34</v>
      </c>
      <c r="C93" s="157">
        <v>30</v>
      </c>
      <c r="D93" s="159">
        <v>650</v>
      </c>
      <c r="E93" s="159">
        <v>650</v>
      </c>
    </row>
    <row r="94" spans="1:5" x14ac:dyDescent="0.45">
      <c r="A94" t="s">
        <v>60</v>
      </c>
      <c r="B94" s="1" t="s">
        <v>35</v>
      </c>
      <c r="C94" s="157">
        <v>67</v>
      </c>
      <c r="D94" s="159">
        <v>849</v>
      </c>
      <c r="E94" s="159">
        <v>849</v>
      </c>
    </row>
    <row r="95" spans="1:5" x14ac:dyDescent="0.45">
      <c r="B95" s="1" t="s">
        <v>36</v>
      </c>
      <c r="C95" s="157">
        <v>63</v>
      </c>
      <c r="D95" s="159">
        <v>1233</v>
      </c>
      <c r="E95" s="159">
        <v>1233</v>
      </c>
    </row>
    <row r="96" spans="1:5" x14ac:dyDescent="0.45">
      <c r="B96" s="1" t="s">
        <v>37</v>
      </c>
      <c r="C96" s="157">
        <v>58</v>
      </c>
      <c r="D96" s="159">
        <v>1932</v>
      </c>
      <c r="E96" s="159">
        <v>1932</v>
      </c>
    </row>
    <row r="97" spans="1:5" x14ac:dyDescent="0.45">
      <c r="B97" s="1" t="s">
        <v>38</v>
      </c>
      <c r="C97" s="157">
        <v>53</v>
      </c>
      <c r="D97" s="159">
        <v>2020</v>
      </c>
      <c r="E97" s="159">
        <v>2020</v>
      </c>
    </row>
    <row r="98" spans="1:5" x14ac:dyDescent="0.45">
      <c r="B98" s="1" t="s">
        <v>39</v>
      </c>
      <c r="C98" s="157">
        <v>46</v>
      </c>
      <c r="D98" s="159">
        <v>2921</v>
      </c>
      <c r="E98" s="159">
        <v>2921</v>
      </c>
    </row>
    <row r="99" spans="1:5" x14ac:dyDescent="0.45">
      <c r="B99" s="1" t="s">
        <v>40</v>
      </c>
      <c r="C99" s="157">
        <v>41</v>
      </c>
      <c r="D99" s="159">
        <v>2363</v>
      </c>
      <c r="E99" s="159">
        <v>2363</v>
      </c>
    </row>
    <row r="100" spans="1:5" x14ac:dyDescent="0.45">
      <c r="B100" s="1" t="s">
        <v>41</v>
      </c>
      <c r="C100" s="157">
        <v>38</v>
      </c>
      <c r="D100" s="159">
        <v>1634</v>
      </c>
      <c r="E100" s="159">
        <v>1634</v>
      </c>
    </row>
    <row r="101" spans="1:5" x14ac:dyDescent="0.45">
      <c r="B101" s="1" t="s">
        <v>42</v>
      </c>
      <c r="C101" s="157">
        <v>35</v>
      </c>
      <c r="D101" s="159">
        <v>1160</v>
      </c>
      <c r="E101" s="159">
        <v>1160</v>
      </c>
    </row>
    <row r="102" spans="1:5" x14ac:dyDescent="0.45">
      <c r="B102" s="1" t="s">
        <v>33</v>
      </c>
      <c r="C102" s="157">
        <v>29</v>
      </c>
      <c r="D102" s="159">
        <v>416</v>
      </c>
      <c r="E102" s="159">
        <v>416</v>
      </c>
    </row>
    <row r="103" spans="1:5" x14ac:dyDescent="0.45">
      <c r="A103" t="s">
        <v>49</v>
      </c>
      <c r="B103" s="1" t="s">
        <v>25</v>
      </c>
      <c r="C103" s="157">
        <v>67</v>
      </c>
      <c r="D103" s="159">
        <v>1787</v>
      </c>
      <c r="E103" s="159">
        <v>1787</v>
      </c>
    </row>
    <row r="104" spans="1:5" x14ac:dyDescent="0.45">
      <c r="B104" s="1" t="s">
        <v>26</v>
      </c>
      <c r="C104" s="157">
        <v>63</v>
      </c>
      <c r="D104" s="159">
        <v>3331</v>
      </c>
      <c r="E104" s="159">
        <v>3331</v>
      </c>
    </row>
    <row r="105" spans="1:5" x14ac:dyDescent="0.45">
      <c r="B105" s="1" t="s">
        <v>27</v>
      </c>
      <c r="C105" s="157">
        <v>59</v>
      </c>
      <c r="D105" s="159">
        <v>4692</v>
      </c>
      <c r="E105" s="159">
        <v>4692</v>
      </c>
    </row>
    <row r="106" spans="1:5" x14ac:dyDescent="0.45">
      <c r="B106" s="1" t="s">
        <v>28</v>
      </c>
      <c r="C106" s="157">
        <v>53</v>
      </c>
      <c r="D106" s="159">
        <v>7485</v>
      </c>
      <c r="E106" s="159">
        <v>7485</v>
      </c>
    </row>
    <row r="107" spans="1:5" x14ac:dyDescent="0.45">
      <c r="B107" s="1" t="s">
        <v>29</v>
      </c>
      <c r="C107" s="157">
        <v>46</v>
      </c>
      <c r="D107" s="159">
        <v>9044</v>
      </c>
      <c r="E107" s="159">
        <v>9044</v>
      </c>
    </row>
    <row r="108" spans="1:5" x14ac:dyDescent="0.45">
      <c r="B108" s="1" t="s">
        <v>30</v>
      </c>
      <c r="C108" s="157">
        <v>41</v>
      </c>
      <c r="D108" s="159">
        <v>5234</v>
      </c>
      <c r="E108" s="159">
        <v>5234</v>
      </c>
    </row>
    <row r="109" spans="1:5" x14ac:dyDescent="0.45">
      <c r="B109" s="1" t="s">
        <v>31</v>
      </c>
      <c r="C109" s="157">
        <v>37</v>
      </c>
      <c r="D109" s="159">
        <v>4893</v>
      </c>
      <c r="E109" s="159">
        <v>4893</v>
      </c>
    </row>
    <row r="110" spans="1:5" x14ac:dyDescent="0.45">
      <c r="B110" s="1" t="s">
        <v>32</v>
      </c>
      <c r="C110" s="157">
        <v>34</v>
      </c>
      <c r="D110" s="159">
        <v>2470</v>
      </c>
      <c r="E110" s="159">
        <v>2470</v>
      </c>
    </row>
    <row r="111" spans="1:5" x14ac:dyDescent="0.45">
      <c r="B111" s="1" t="s">
        <v>34</v>
      </c>
      <c r="C111" s="157">
        <v>27</v>
      </c>
      <c r="D111" s="159">
        <v>1481</v>
      </c>
      <c r="E111" s="159">
        <v>1481</v>
      </c>
    </row>
    <row r="112" spans="1:5" x14ac:dyDescent="0.45">
      <c r="A112" t="s">
        <v>50</v>
      </c>
      <c r="B112" s="1" t="s">
        <v>35</v>
      </c>
      <c r="C112" s="157">
        <v>65</v>
      </c>
      <c r="D112" s="159">
        <v>3389</v>
      </c>
      <c r="E112" s="159">
        <v>3389</v>
      </c>
    </row>
    <row r="113" spans="1:5" x14ac:dyDescent="0.45">
      <c r="B113" s="1" t="s">
        <v>36</v>
      </c>
      <c r="C113" s="157">
        <v>62</v>
      </c>
      <c r="D113" s="159">
        <v>4025</v>
      </c>
      <c r="E113" s="159">
        <v>4025</v>
      </c>
    </row>
    <row r="114" spans="1:5" x14ac:dyDescent="0.45">
      <c r="B114" s="1" t="s">
        <v>37</v>
      </c>
      <c r="C114" s="157">
        <v>57</v>
      </c>
      <c r="D114" s="159">
        <v>7533</v>
      </c>
      <c r="E114" s="159">
        <v>7533</v>
      </c>
    </row>
    <row r="115" spans="1:5" x14ac:dyDescent="0.45">
      <c r="B115" s="1" t="s">
        <v>38</v>
      </c>
      <c r="C115" s="157">
        <v>53</v>
      </c>
      <c r="D115" s="159">
        <v>11360</v>
      </c>
      <c r="E115" s="159">
        <v>11360</v>
      </c>
    </row>
    <row r="116" spans="1:5" x14ac:dyDescent="0.45">
      <c r="B116" s="1" t="s">
        <v>39</v>
      </c>
      <c r="C116" s="157">
        <v>49</v>
      </c>
      <c r="D116" s="159">
        <v>9836</v>
      </c>
      <c r="E116" s="159">
        <v>9836</v>
      </c>
    </row>
    <row r="117" spans="1:5" x14ac:dyDescent="0.45">
      <c r="B117" s="1" t="s">
        <v>40</v>
      </c>
      <c r="C117" s="157">
        <v>43</v>
      </c>
      <c r="D117" s="159">
        <v>9853</v>
      </c>
      <c r="E117" s="159">
        <v>9853</v>
      </c>
    </row>
    <row r="118" spans="1:5" x14ac:dyDescent="0.45">
      <c r="B118" s="1" t="s">
        <v>41</v>
      </c>
      <c r="C118" s="157">
        <v>36</v>
      </c>
      <c r="D118" s="159">
        <v>7060</v>
      </c>
      <c r="E118" s="159">
        <v>7060</v>
      </c>
    </row>
    <row r="119" spans="1:5" x14ac:dyDescent="0.45">
      <c r="B119" s="1" t="s">
        <v>42</v>
      </c>
      <c r="C119" s="157">
        <v>30</v>
      </c>
      <c r="D119" s="159">
        <v>4242</v>
      </c>
      <c r="E119" s="159">
        <v>4242</v>
      </c>
    </row>
    <row r="120" spans="1:5" x14ac:dyDescent="0.45">
      <c r="B120" s="1" t="s">
        <v>33</v>
      </c>
      <c r="C120" s="157">
        <v>20</v>
      </c>
      <c r="D120" s="159">
        <v>1933</v>
      </c>
      <c r="E120" s="159">
        <v>1933</v>
      </c>
    </row>
    <row r="121" spans="1:5" x14ac:dyDescent="0.45">
      <c r="A121" t="s">
        <v>51</v>
      </c>
      <c r="B121" s="1" t="s">
        <v>25</v>
      </c>
      <c r="C121" s="157">
        <v>67</v>
      </c>
      <c r="D121" s="159">
        <v>3286</v>
      </c>
      <c r="E121" s="159">
        <v>3286</v>
      </c>
    </row>
    <row r="122" spans="1:5" x14ac:dyDescent="0.45">
      <c r="B122" s="1" t="s">
        <v>26</v>
      </c>
      <c r="C122" s="157">
        <v>63</v>
      </c>
      <c r="D122" s="159">
        <v>4159</v>
      </c>
      <c r="E122" s="159">
        <v>4159</v>
      </c>
    </row>
    <row r="123" spans="1:5" x14ac:dyDescent="0.45">
      <c r="B123" s="1" t="s">
        <v>27</v>
      </c>
      <c r="C123" s="157">
        <v>58</v>
      </c>
      <c r="D123" s="159">
        <v>8557</v>
      </c>
      <c r="E123" s="159">
        <v>8557</v>
      </c>
    </row>
    <row r="124" spans="1:5" x14ac:dyDescent="0.45">
      <c r="B124" s="1" t="s">
        <v>28</v>
      </c>
      <c r="C124" s="157">
        <v>53</v>
      </c>
      <c r="D124" s="159">
        <v>9678</v>
      </c>
      <c r="E124" s="159">
        <v>9678</v>
      </c>
    </row>
    <row r="125" spans="1:5" x14ac:dyDescent="0.45">
      <c r="B125" s="1" t="s">
        <v>29</v>
      </c>
      <c r="C125" s="157">
        <v>47</v>
      </c>
      <c r="D125" s="159">
        <v>13244</v>
      </c>
      <c r="E125" s="159">
        <v>13244</v>
      </c>
    </row>
    <row r="126" spans="1:5" x14ac:dyDescent="0.45">
      <c r="B126" s="1" t="s">
        <v>30</v>
      </c>
      <c r="C126" s="157">
        <v>42</v>
      </c>
      <c r="D126" s="159">
        <v>9622</v>
      </c>
      <c r="E126" s="159">
        <v>9622</v>
      </c>
    </row>
    <row r="127" spans="1:5" x14ac:dyDescent="0.45">
      <c r="B127" s="1" t="s">
        <v>31</v>
      </c>
      <c r="C127" s="157">
        <v>37</v>
      </c>
      <c r="D127" s="159">
        <v>7927</v>
      </c>
      <c r="E127" s="159">
        <v>7927</v>
      </c>
    </row>
    <row r="128" spans="1:5" x14ac:dyDescent="0.45">
      <c r="B128" s="1" t="s">
        <v>32</v>
      </c>
      <c r="C128" s="157">
        <v>34</v>
      </c>
      <c r="D128" s="159">
        <v>3812</v>
      </c>
      <c r="E128" s="159">
        <v>3812</v>
      </c>
    </row>
    <row r="129" spans="1:5" x14ac:dyDescent="0.45">
      <c r="B129" s="1" t="s">
        <v>34</v>
      </c>
      <c r="C129" s="157">
        <v>24</v>
      </c>
      <c r="D129" s="159">
        <v>2489</v>
      </c>
      <c r="E129" s="159">
        <v>2489</v>
      </c>
    </row>
    <row r="130" spans="1:5" x14ac:dyDescent="0.45">
      <c r="A130" t="s">
        <v>52</v>
      </c>
      <c r="B130" s="1" t="s">
        <v>35</v>
      </c>
      <c r="C130" s="157">
        <v>68</v>
      </c>
      <c r="D130" s="159">
        <v>4473</v>
      </c>
      <c r="E130" s="159">
        <v>4473</v>
      </c>
    </row>
    <row r="131" spans="1:5" x14ac:dyDescent="0.45">
      <c r="B131" s="1" t="s">
        <v>36</v>
      </c>
      <c r="C131" s="157">
        <v>64</v>
      </c>
      <c r="D131" s="159">
        <v>6073</v>
      </c>
      <c r="E131" s="159">
        <v>6073</v>
      </c>
    </row>
    <row r="132" spans="1:5" x14ac:dyDescent="0.45">
      <c r="B132" s="1" t="s">
        <v>37</v>
      </c>
      <c r="C132" s="157">
        <v>58</v>
      </c>
      <c r="D132" s="159">
        <v>11324</v>
      </c>
      <c r="E132" s="159">
        <v>11324</v>
      </c>
    </row>
    <row r="133" spans="1:5" x14ac:dyDescent="0.45">
      <c r="B133" s="1" t="s">
        <v>38</v>
      </c>
      <c r="C133" s="157">
        <v>52</v>
      </c>
      <c r="D133" s="159">
        <v>17329</v>
      </c>
      <c r="E133" s="159">
        <v>17329</v>
      </c>
    </row>
    <row r="134" spans="1:5" x14ac:dyDescent="0.45">
      <c r="B134" s="1" t="s">
        <v>39</v>
      </c>
      <c r="C134" s="157">
        <v>46</v>
      </c>
      <c r="D134" s="159">
        <v>17563</v>
      </c>
      <c r="E134" s="159">
        <v>17563</v>
      </c>
    </row>
    <row r="135" spans="1:5" x14ac:dyDescent="0.45">
      <c r="B135" s="1" t="s">
        <v>40</v>
      </c>
      <c r="C135" s="157">
        <v>41</v>
      </c>
      <c r="D135" s="159">
        <v>14704</v>
      </c>
      <c r="E135" s="159">
        <v>14704</v>
      </c>
    </row>
    <row r="136" spans="1:5" x14ac:dyDescent="0.45">
      <c r="B136" s="1" t="s">
        <v>41</v>
      </c>
      <c r="C136" s="157">
        <v>38</v>
      </c>
      <c r="D136" s="159">
        <v>10102</v>
      </c>
      <c r="E136" s="159">
        <v>10102</v>
      </c>
    </row>
    <row r="137" spans="1:5" x14ac:dyDescent="0.45">
      <c r="B137" s="1" t="s">
        <v>42</v>
      </c>
      <c r="C137" s="157">
        <v>34</v>
      </c>
      <c r="D137" s="159">
        <v>6162</v>
      </c>
      <c r="E137" s="159">
        <v>6162</v>
      </c>
    </row>
    <row r="138" spans="1:5" x14ac:dyDescent="0.45">
      <c r="B138" s="1" t="s">
        <v>33</v>
      </c>
      <c r="C138" s="157">
        <v>26</v>
      </c>
      <c r="D138" s="159">
        <v>2286</v>
      </c>
      <c r="E138" s="159">
        <v>2286</v>
      </c>
    </row>
    <row r="139" spans="1:5" x14ac:dyDescent="0.45">
      <c r="A139" t="s">
        <v>53</v>
      </c>
      <c r="B139" s="1" t="s">
        <v>25</v>
      </c>
      <c r="C139" s="157">
        <v>65</v>
      </c>
      <c r="D139" s="159">
        <v>5320</v>
      </c>
      <c r="E139" s="159">
        <v>5320</v>
      </c>
    </row>
    <row r="140" spans="1:5" x14ac:dyDescent="0.45">
      <c r="B140" s="1" t="s">
        <v>26</v>
      </c>
      <c r="C140" s="157">
        <v>62</v>
      </c>
      <c r="D140" s="159">
        <v>9421</v>
      </c>
      <c r="E140" s="159">
        <v>9421</v>
      </c>
    </row>
    <row r="141" spans="1:5" x14ac:dyDescent="0.45">
      <c r="B141" s="1" t="s">
        <v>27</v>
      </c>
      <c r="C141" s="157">
        <v>59</v>
      </c>
      <c r="D141" s="159">
        <v>14849</v>
      </c>
      <c r="E141" s="159">
        <v>14849</v>
      </c>
    </row>
    <row r="142" spans="1:5" x14ac:dyDescent="0.45">
      <c r="B142" s="1" t="s">
        <v>28</v>
      </c>
      <c r="C142" s="157">
        <v>54</v>
      </c>
      <c r="D142" s="159">
        <v>18755</v>
      </c>
      <c r="E142" s="159">
        <v>18755</v>
      </c>
    </row>
    <row r="143" spans="1:5" x14ac:dyDescent="0.45">
      <c r="B143" s="1" t="s">
        <v>29</v>
      </c>
      <c r="C143" s="157">
        <v>48</v>
      </c>
      <c r="D143" s="159">
        <v>24345</v>
      </c>
      <c r="E143" s="159">
        <v>24345</v>
      </c>
    </row>
    <row r="144" spans="1:5" x14ac:dyDescent="0.45">
      <c r="B144" s="1" t="s">
        <v>30</v>
      </c>
      <c r="C144" s="157">
        <v>42</v>
      </c>
      <c r="D144" s="159">
        <v>18339</v>
      </c>
      <c r="E144" s="159">
        <v>18339</v>
      </c>
    </row>
    <row r="145" spans="1:5" x14ac:dyDescent="0.45">
      <c r="B145" s="1" t="s">
        <v>31</v>
      </c>
      <c r="C145" s="157">
        <v>35</v>
      </c>
      <c r="D145" s="159">
        <v>15710</v>
      </c>
      <c r="E145" s="159">
        <v>15710</v>
      </c>
    </row>
    <row r="146" spans="1:5" x14ac:dyDescent="0.45">
      <c r="B146" s="1" t="s">
        <v>32</v>
      </c>
      <c r="C146" s="157">
        <v>31</v>
      </c>
      <c r="D146" s="159">
        <v>7148</v>
      </c>
      <c r="E146" s="159">
        <v>7148</v>
      </c>
    </row>
    <row r="147" spans="1:5" x14ac:dyDescent="0.45">
      <c r="B147" s="1" t="s">
        <v>34</v>
      </c>
      <c r="C147" s="157">
        <v>23</v>
      </c>
      <c r="D147" s="159">
        <v>3860</v>
      </c>
      <c r="E147" s="159">
        <v>3860</v>
      </c>
    </row>
    <row r="148" spans="1:5" x14ac:dyDescent="0.45">
      <c r="A148" t="s">
        <v>54</v>
      </c>
      <c r="B148" s="1" t="s">
        <v>35</v>
      </c>
      <c r="C148" s="157">
        <v>68</v>
      </c>
      <c r="D148" s="159">
        <v>3643</v>
      </c>
      <c r="E148" s="159">
        <v>3643</v>
      </c>
    </row>
    <row r="149" spans="1:5" x14ac:dyDescent="0.45">
      <c r="B149" s="1" t="s">
        <v>36</v>
      </c>
      <c r="C149" s="157">
        <v>63</v>
      </c>
      <c r="D149" s="159">
        <v>5093</v>
      </c>
      <c r="E149" s="159">
        <v>5093</v>
      </c>
    </row>
    <row r="150" spans="1:5" x14ac:dyDescent="0.45">
      <c r="B150" s="1" t="s">
        <v>37</v>
      </c>
      <c r="C150" s="157">
        <v>58</v>
      </c>
      <c r="D150" s="159">
        <v>9728</v>
      </c>
      <c r="E150" s="159">
        <v>9728</v>
      </c>
    </row>
    <row r="151" spans="1:5" x14ac:dyDescent="0.45">
      <c r="B151" s="1" t="s">
        <v>38</v>
      </c>
      <c r="C151" s="157">
        <v>53</v>
      </c>
      <c r="D151" s="159">
        <v>10698</v>
      </c>
      <c r="E151" s="159">
        <v>10698</v>
      </c>
    </row>
    <row r="152" spans="1:5" x14ac:dyDescent="0.45">
      <c r="B152" s="1" t="s">
        <v>39</v>
      </c>
      <c r="C152" s="157">
        <v>46</v>
      </c>
      <c r="D152" s="159">
        <v>16743</v>
      </c>
      <c r="E152" s="159">
        <v>16743</v>
      </c>
    </row>
    <row r="153" spans="1:5" x14ac:dyDescent="0.45">
      <c r="B153" s="1" t="s">
        <v>40</v>
      </c>
      <c r="C153" s="157">
        <v>41</v>
      </c>
      <c r="D153" s="159">
        <v>11218</v>
      </c>
      <c r="E153" s="159">
        <v>11218</v>
      </c>
    </row>
    <row r="154" spans="1:5" x14ac:dyDescent="0.45">
      <c r="B154" s="1" t="s">
        <v>41</v>
      </c>
      <c r="C154" s="157">
        <v>37</v>
      </c>
      <c r="D154" s="159">
        <v>8611</v>
      </c>
      <c r="E154" s="159">
        <v>8611</v>
      </c>
    </row>
    <row r="155" spans="1:5" x14ac:dyDescent="0.45">
      <c r="B155" s="1" t="s">
        <v>42</v>
      </c>
      <c r="C155" s="157">
        <v>35</v>
      </c>
      <c r="D155" s="159">
        <v>4164</v>
      </c>
      <c r="E155" s="159">
        <v>4164</v>
      </c>
    </row>
    <row r="156" spans="1:5" x14ac:dyDescent="0.45">
      <c r="B156" s="1" t="s">
        <v>33</v>
      </c>
      <c r="C156" s="157">
        <v>27</v>
      </c>
      <c r="D156" s="159">
        <v>2305</v>
      </c>
      <c r="E156" s="159">
        <v>2305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I103"/>
  <sheetViews>
    <sheetView workbookViewId="0">
      <selection activeCell="F18" sqref="F18"/>
    </sheetView>
  </sheetViews>
  <sheetFormatPr defaultRowHeight="17" x14ac:dyDescent="0.45"/>
  <sheetData>
    <row r="1" spans="1:9" x14ac:dyDescent="0.45">
      <c r="A1" s="10"/>
    </row>
    <row r="2" spans="1:9" ht="17.5" thickBot="1" x14ac:dyDescent="0.5"/>
    <row r="3" spans="1:9" x14ac:dyDescent="0.45">
      <c r="A3" s="40" t="s">
        <v>8</v>
      </c>
      <c r="B3" s="41"/>
      <c r="C3" s="41"/>
      <c r="D3" s="42"/>
      <c r="F3" s="40" t="s">
        <v>59</v>
      </c>
      <c r="G3" s="41"/>
      <c r="H3" s="41"/>
      <c r="I3" s="42"/>
    </row>
    <row r="4" spans="1:9" x14ac:dyDescent="0.4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</row>
    <row r="5" spans="1:9" x14ac:dyDescent="0.45">
      <c r="A5" s="160">
        <v>158</v>
      </c>
      <c r="B5" s="161">
        <v>10</v>
      </c>
      <c r="C5" s="161">
        <v>9</v>
      </c>
      <c r="D5" s="161">
        <v>19</v>
      </c>
      <c r="E5" s="161">
        <v>19</v>
      </c>
      <c r="F5" s="160">
        <v>156</v>
      </c>
      <c r="G5" s="161">
        <v>692</v>
      </c>
      <c r="H5" s="161">
        <v>198</v>
      </c>
      <c r="I5" s="161">
        <v>901</v>
      </c>
    </row>
    <row r="6" spans="1:9" x14ac:dyDescent="0.45">
      <c r="A6" s="160">
        <v>156</v>
      </c>
      <c r="B6" s="161">
        <v>33</v>
      </c>
      <c r="C6" s="161">
        <v>24</v>
      </c>
      <c r="D6" s="161">
        <v>59</v>
      </c>
      <c r="E6" s="161">
        <v>78</v>
      </c>
      <c r="F6" s="160">
        <v>154</v>
      </c>
      <c r="G6" s="161">
        <v>25</v>
      </c>
      <c r="H6" s="161">
        <v>7</v>
      </c>
      <c r="I6" s="161">
        <v>32</v>
      </c>
    </row>
    <row r="7" spans="1:9" x14ac:dyDescent="0.45">
      <c r="A7" s="160">
        <v>155</v>
      </c>
      <c r="B7" s="161">
        <v>8</v>
      </c>
      <c r="C7" s="161">
        <v>8</v>
      </c>
      <c r="D7" s="161">
        <v>16</v>
      </c>
      <c r="E7" s="161">
        <v>94</v>
      </c>
      <c r="F7" s="160">
        <v>153</v>
      </c>
      <c r="G7" s="161">
        <v>78</v>
      </c>
      <c r="H7" s="161">
        <v>25</v>
      </c>
      <c r="I7" s="161">
        <v>105</v>
      </c>
    </row>
    <row r="8" spans="1:9" x14ac:dyDescent="0.45">
      <c r="A8" s="160">
        <v>154</v>
      </c>
      <c r="B8" s="161">
        <v>65</v>
      </c>
      <c r="C8" s="161">
        <v>74</v>
      </c>
      <c r="D8" s="161">
        <v>143</v>
      </c>
      <c r="E8" s="161">
        <v>237</v>
      </c>
      <c r="F8" s="160">
        <v>152</v>
      </c>
      <c r="G8" s="161">
        <v>828</v>
      </c>
      <c r="H8" s="161">
        <v>357</v>
      </c>
      <c r="I8" s="161">
        <v>1206</v>
      </c>
    </row>
    <row r="9" spans="1:9" x14ac:dyDescent="0.45">
      <c r="A9" s="160">
        <v>153</v>
      </c>
      <c r="B9" s="161">
        <v>26</v>
      </c>
      <c r="C9" s="161">
        <v>24</v>
      </c>
      <c r="D9" s="161">
        <v>52</v>
      </c>
      <c r="E9" s="161">
        <v>289</v>
      </c>
      <c r="F9" s="160">
        <v>151</v>
      </c>
      <c r="G9" s="161">
        <v>3</v>
      </c>
      <c r="H9" s="161">
        <v>2</v>
      </c>
      <c r="I9" s="161">
        <v>5</v>
      </c>
    </row>
    <row r="10" spans="1:9" x14ac:dyDescent="0.45">
      <c r="A10" s="160">
        <v>152</v>
      </c>
      <c r="B10" s="161">
        <v>100</v>
      </c>
      <c r="C10" s="161">
        <v>119</v>
      </c>
      <c r="D10" s="161">
        <v>222</v>
      </c>
      <c r="E10" s="161">
        <v>511</v>
      </c>
      <c r="F10" s="160">
        <v>150</v>
      </c>
      <c r="G10" s="161">
        <v>72</v>
      </c>
      <c r="H10" s="161">
        <v>17</v>
      </c>
      <c r="I10" s="161">
        <v>92</v>
      </c>
    </row>
    <row r="11" spans="1:9" x14ac:dyDescent="0.45">
      <c r="A11" s="160">
        <v>151</v>
      </c>
      <c r="B11" s="161">
        <v>64</v>
      </c>
      <c r="C11" s="161">
        <v>65</v>
      </c>
      <c r="D11" s="161">
        <v>129</v>
      </c>
      <c r="E11" s="161">
        <v>640</v>
      </c>
      <c r="F11" s="160">
        <v>149</v>
      </c>
      <c r="G11" s="161">
        <v>1386</v>
      </c>
      <c r="H11" s="161">
        <v>577</v>
      </c>
      <c r="I11" s="161">
        <v>1991</v>
      </c>
    </row>
    <row r="12" spans="1:9" x14ac:dyDescent="0.45">
      <c r="A12" s="160">
        <v>150</v>
      </c>
      <c r="B12" s="161">
        <v>153</v>
      </c>
      <c r="C12" s="161">
        <v>132</v>
      </c>
      <c r="D12" s="161">
        <v>291</v>
      </c>
      <c r="E12" s="161">
        <v>931</v>
      </c>
      <c r="F12" s="160">
        <v>148</v>
      </c>
      <c r="G12" s="161">
        <v>12</v>
      </c>
      <c r="H12" s="161">
        <v>2</v>
      </c>
      <c r="I12" s="161">
        <v>14</v>
      </c>
    </row>
    <row r="13" spans="1:9" x14ac:dyDescent="0.45">
      <c r="A13" s="160">
        <v>149</v>
      </c>
      <c r="B13" s="161">
        <v>134</v>
      </c>
      <c r="C13" s="161">
        <v>117</v>
      </c>
      <c r="D13" s="161">
        <v>255</v>
      </c>
      <c r="E13" s="161">
        <v>1186</v>
      </c>
      <c r="F13" s="160">
        <v>147</v>
      </c>
      <c r="G13" s="161">
        <v>69</v>
      </c>
      <c r="H13" s="161">
        <v>37</v>
      </c>
      <c r="I13" s="161">
        <v>111</v>
      </c>
    </row>
    <row r="14" spans="1:9" x14ac:dyDescent="0.45">
      <c r="A14" s="160">
        <v>147</v>
      </c>
      <c r="B14" s="161">
        <v>226</v>
      </c>
      <c r="C14" s="161">
        <v>260</v>
      </c>
      <c r="D14" s="161">
        <v>495</v>
      </c>
      <c r="E14" s="161">
        <v>1681</v>
      </c>
      <c r="F14" s="160">
        <v>146</v>
      </c>
      <c r="G14" s="161">
        <v>299</v>
      </c>
      <c r="H14" s="161">
        <v>130</v>
      </c>
      <c r="I14" s="161">
        <v>435</v>
      </c>
    </row>
    <row r="15" spans="1:9" x14ac:dyDescent="0.45">
      <c r="A15" s="160">
        <v>146</v>
      </c>
      <c r="B15" s="161">
        <v>202</v>
      </c>
      <c r="C15" s="161">
        <v>217</v>
      </c>
      <c r="D15" s="161">
        <v>423</v>
      </c>
      <c r="E15" s="161">
        <v>2104</v>
      </c>
      <c r="F15" s="160">
        <v>145</v>
      </c>
      <c r="G15" s="161">
        <v>1725</v>
      </c>
      <c r="H15" s="161">
        <v>985</v>
      </c>
      <c r="I15" s="161">
        <v>2757</v>
      </c>
    </row>
    <row r="16" spans="1:9" x14ac:dyDescent="0.45">
      <c r="A16" s="160">
        <v>145</v>
      </c>
      <c r="B16" s="161">
        <v>252</v>
      </c>
      <c r="C16" s="161">
        <v>291</v>
      </c>
      <c r="D16" s="161">
        <v>548</v>
      </c>
      <c r="E16" s="161">
        <v>2652</v>
      </c>
      <c r="F16" s="160">
        <v>144</v>
      </c>
      <c r="G16" s="161">
        <v>40</v>
      </c>
      <c r="H16" s="161">
        <v>12</v>
      </c>
      <c r="I16" s="161">
        <v>53</v>
      </c>
    </row>
    <row r="17" spans="1:9" x14ac:dyDescent="0.45">
      <c r="A17" s="160">
        <v>144</v>
      </c>
      <c r="B17" s="161">
        <v>331</v>
      </c>
      <c r="C17" s="161">
        <v>371</v>
      </c>
      <c r="D17" s="161">
        <v>720</v>
      </c>
      <c r="E17" s="161">
        <v>3372</v>
      </c>
      <c r="F17" s="160">
        <v>143</v>
      </c>
      <c r="G17" s="161">
        <v>161</v>
      </c>
      <c r="H17" s="161">
        <v>76</v>
      </c>
      <c r="I17" s="161">
        <v>241</v>
      </c>
    </row>
    <row r="18" spans="1:9" x14ac:dyDescent="0.45">
      <c r="A18" s="160">
        <v>143</v>
      </c>
      <c r="B18" s="161">
        <v>290</v>
      </c>
      <c r="C18" s="161">
        <v>368</v>
      </c>
      <c r="D18" s="161">
        <v>671</v>
      </c>
      <c r="E18" s="161">
        <v>4043</v>
      </c>
      <c r="F18" s="160">
        <v>142</v>
      </c>
      <c r="G18" s="161">
        <v>606</v>
      </c>
      <c r="H18" s="161">
        <v>307</v>
      </c>
      <c r="I18" s="161">
        <v>935</v>
      </c>
    </row>
    <row r="19" spans="1:9" x14ac:dyDescent="0.45">
      <c r="A19" s="160">
        <v>142</v>
      </c>
      <c r="B19" s="161">
        <v>405</v>
      </c>
      <c r="C19" s="161">
        <v>516</v>
      </c>
      <c r="D19" s="161">
        <v>942</v>
      </c>
      <c r="E19" s="161">
        <v>4985</v>
      </c>
      <c r="F19" s="160">
        <v>141</v>
      </c>
      <c r="G19" s="161">
        <v>2024</v>
      </c>
      <c r="H19" s="161">
        <v>1330</v>
      </c>
      <c r="I19" s="161">
        <v>3413</v>
      </c>
    </row>
    <row r="20" spans="1:9" x14ac:dyDescent="0.45">
      <c r="A20" s="160">
        <v>141</v>
      </c>
      <c r="B20" s="161">
        <v>424</v>
      </c>
      <c r="C20" s="161">
        <v>542</v>
      </c>
      <c r="D20" s="161">
        <v>980</v>
      </c>
      <c r="E20" s="161">
        <v>5965</v>
      </c>
      <c r="F20" s="160">
        <v>140</v>
      </c>
      <c r="G20" s="161">
        <v>57</v>
      </c>
      <c r="H20" s="161">
        <v>33</v>
      </c>
      <c r="I20" s="161">
        <v>90</v>
      </c>
    </row>
    <row r="21" spans="1:9" x14ac:dyDescent="0.45">
      <c r="A21" s="160">
        <v>140</v>
      </c>
      <c r="B21" s="161">
        <v>534</v>
      </c>
      <c r="C21" s="161">
        <v>716</v>
      </c>
      <c r="D21" s="161">
        <v>1277</v>
      </c>
      <c r="E21" s="161">
        <v>7242</v>
      </c>
      <c r="F21" s="160">
        <v>139</v>
      </c>
      <c r="G21" s="161">
        <v>1126</v>
      </c>
      <c r="H21" s="161">
        <v>597</v>
      </c>
      <c r="I21" s="161">
        <v>1756</v>
      </c>
    </row>
    <row r="22" spans="1:9" x14ac:dyDescent="0.45">
      <c r="A22" s="160">
        <v>139</v>
      </c>
      <c r="B22" s="161">
        <v>596</v>
      </c>
      <c r="C22" s="161">
        <v>682</v>
      </c>
      <c r="D22" s="161">
        <v>1299</v>
      </c>
      <c r="E22" s="161">
        <v>8541</v>
      </c>
      <c r="F22" s="160">
        <v>138</v>
      </c>
      <c r="G22" s="161">
        <v>2145</v>
      </c>
      <c r="H22" s="161">
        <v>1580</v>
      </c>
      <c r="I22" s="161">
        <v>3789</v>
      </c>
    </row>
    <row r="23" spans="1:9" x14ac:dyDescent="0.45">
      <c r="A23" s="160">
        <v>138</v>
      </c>
      <c r="B23" s="161">
        <v>675</v>
      </c>
      <c r="C23" s="161">
        <v>842</v>
      </c>
      <c r="D23" s="161">
        <v>1546</v>
      </c>
      <c r="E23" s="161">
        <v>10087</v>
      </c>
      <c r="F23" s="160">
        <v>137</v>
      </c>
      <c r="G23" s="161">
        <v>104</v>
      </c>
      <c r="H23" s="161">
        <v>55</v>
      </c>
      <c r="I23" s="161">
        <v>164</v>
      </c>
    </row>
    <row r="24" spans="1:9" x14ac:dyDescent="0.45">
      <c r="A24" s="160">
        <v>137</v>
      </c>
      <c r="B24" s="161">
        <v>768</v>
      </c>
      <c r="C24" s="161">
        <v>922</v>
      </c>
      <c r="D24" s="161">
        <v>1728</v>
      </c>
      <c r="E24" s="161">
        <v>11815</v>
      </c>
      <c r="F24" s="160">
        <v>136</v>
      </c>
      <c r="G24" s="161">
        <v>403</v>
      </c>
      <c r="H24" s="161">
        <v>234</v>
      </c>
      <c r="I24" s="161">
        <v>650</v>
      </c>
    </row>
    <row r="25" spans="1:9" x14ac:dyDescent="0.45">
      <c r="A25" s="160">
        <v>136</v>
      </c>
      <c r="B25" s="161">
        <v>782</v>
      </c>
      <c r="C25" s="161">
        <v>1054</v>
      </c>
      <c r="D25" s="161">
        <v>1874</v>
      </c>
      <c r="E25" s="161">
        <v>13689</v>
      </c>
      <c r="F25" s="160">
        <v>135</v>
      </c>
      <c r="G25" s="161">
        <v>1252</v>
      </c>
      <c r="H25" s="161">
        <v>785</v>
      </c>
      <c r="I25" s="161">
        <v>2091</v>
      </c>
    </row>
    <row r="26" spans="1:9" x14ac:dyDescent="0.45">
      <c r="A26" s="160">
        <v>135</v>
      </c>
      <c r="B26" s="161">
        <v>951</v>
      </c>
      <c r="C26" s="161">
        <v>1188</v>
      </c>
      <c r="D26" s="161">
        <v>2197</v>
      </c>
      <c r="E26" s="161">
        <v>15886</v>
      </c>
      <c r="F26" s="160">
        <v>134</v>
      </c>
      <c r="G26" s="161">
        <v>2251</v>
      </c>
      <c r="H26" s="161">
        <v>1761</v>
      </c>
      <c r="I26" s="161">
        <v>4077</v>
      </c>
    </row>
    <row r="27" spans="1:9" x14ac:dyDescent="0.45">
      <c r="A27" s="160">
        <v>134</v>
      </c>
      <c r="B27" s="161">
        <v>947</v>
      </c>
      <c r="C27" s="161">
        <v>1239</v>
      </c>
      <c r="D27" s="161">
        <v>2245</v>
      </c>
      <c r="E27" s="161">
        <v>18131</v>
      </c>
      <c r="F27" s="160">
        <v>133</v>
      </c>
      <c r="G27" s="161">
        <v>156</v>
      </c>
      <c r="H27" s="161">
        <v>82</v>
      </c>
      <c r="I27" s="161">
        <v>243</v>
      </c>
    </row>
    <row r="28" spans="1:9" x14ac:dyDescent="0.45">
      <c r="A28" s="160">
        <v>132</v>
      </c>
      <c r="B28" s="161">
        <v>1072</v>
      </c>
      <c r="C28" s="161">
        <v>1483</v>
      </c>
      <c r="D28" s="161">
        <v>2606</v>
      </c>
      <c r="E28" s="161">
        <v>20737</v>
      </c>
      <c r="F28" s="160">
        <v>132</v>
      </c>
      <c r="G28" s="161">
        <v>569</v>
      </c>
      <c r="H28" s="161">
        <v>387</v>
      </c>
      <c r="I28" s="161">
        <v>977</v>
      </c>
    </row>
    <row r="29" spans="1:9" x14ac:dyDescent="0.45">
      <c r="A29" s="160">
        <v>131</v>
      </c>
      <c r="B29" s="161">
        <v>1126</v>
      </c>
      <c r="C29" s="161">
        <v>1498</v>
      </c>
      <c r="D29" s="161">
        <v>2677</v>
      </c>
      <c r="E29" s="161">
        <v>23414</v>
      </c>
      <c r="F29" s="160">
        <v>131</v>
      </c>
      <c r="G29" s="161">
        <v>1559</v>
      </c>
      <c r="H29" s="161">
        <v>1144</v>
      </c>
      <c r="I29" s="161">
        <v>2758</v>
      </c>
    </row>
    <row r="30" spans="1:9" x14ac:dyDescent="0.45">
      <c r="A30" s="160">
        <v>130</v>
      </c>
      <c r="B30" s="161">
        <v>1252</v>
      </c>
      <c r="C30" s="161">
        <v>1740</v>
      </c>
      <c r="D30" s="161">
        <v>3068</v>
      </c>
      <c r="E30" s="161">
        <v>26482</v>
      </c>
      <c r="F30" s="160">
        <v>130</v>
      </c>
      <c r="G30" s="161">
        <v>2133</v>
      </c>
      <c r="H30" s="161">
        <v>1839</v>
      </c>
      <c r="I30" s="161">
        <v>4073</v>
      </c>
    </row>
    <row r="31" spans="1:9" x14ac:dyDescent="0.45">
      <c r="A31" s="160">
        <v>129</v>
      </c>
      <c r="B31" s="161">
        <v>1295</v>
      </c>
      <c r="C31" s="161">
        <v>1780</v>
      </c>
      <c r="D31" s="161">
        <v>3151</v>
      </c>
      <c r="E31" s="161">
        <v>29633</v>
      </c>
      <c r="F31" s="160">
        <v>129</v>
      </c>
      <c r="G31" s="161">
        <v>1053</v>
      </c>
      <c r="H31" s="161">
        <v>783</v>
      </c>
      <c r="I31" s="161">
        <v>1886</v>
      </c>
    </row>
    <row r="32" spans="1:9" x14ac:dyDescent="0.45">
      <c r="A32" s="160">
        <v>128</v>
      </c>
      <c r="B32" s="161">
        <v>1376</v>
      </c>
      <c r="C32" s="161">
        <v>1938</v>
      </c>
      <c r="D32" s="161">
        <v>3385</v>
      </c>
      <c r="E32" s="161">
        <v>33018</v>
      </c>
      <c r="F32" s="160">
        <v>128</v>
      </c>
      <c r="G32" s="161">
        <v>1915</v>
      </c>
      <c r="H32" s="161">
        <v>1609</v>
      </c>
      <c r="I32" s="161">
        <v>3579</v>
      </c>
    </row>
    <row r="33" spans="1:9" x14ac:dyDescent="0.45">
      <c r="A33" s="160">
        <v>127</v>
      </c>
      <c r="B33" s="161">
        <v>1474</v>
      </c>
      <c r="C33" s="161">
        <v>2033</v>
      </c>
      <c r="D33" s="161">
        <v>3584</v>
      </c>
      <c r="E33" s="161">
        <v>36602</v>
      </c>
      <c r="F33" s="160">
        <v>127</v>
      </c>
      <c r="G33" s="161">
        <v>2051</v>
      </c>
      <c r="H33" s="161">
        <v>1851</v>
      </c>
      <c r="I33" s="161">
        <v>3990</v>
      </c>
    </row>
    <row r="34" spans="1:9" x14ac:dyDescent="0.45">
      <c r="A34" s="160">
        <v>126</v>
      </c>
      <c r="B34" s="161">
        <v>1526</v>
      </c>
      <c r="C34" s="161">
        <v>2119</v>
      </c>
      <c r="D34" s="161">
        <v>3717</v>
      </c>
      <c r="E34" s="161">
        <v>40319</v>
      </c>
      <c r="F34" s="160">
        <v>126</v>
      </c>
      <c r="G34" s="161">
        <v>420</v>
      </c>
      <c r="H34" s="161">
        <v>291</v>
      </c>
      <c r="I34" s="161">
        <v>729</v>
      </c>
    </row>
    <row r="35" spans="1:9" x14ac:dyDescent="0.45">
      <c r="A35" s="160">
        <v>125</v>
      </c>
      <c r="B35" s="161">
        <v>1625</v>
      </c>
      <c r="C35" s="161">
        <v>2218</v>
      </c>
      <c r="D35" s="161">
        <v>3923</v>
      </c>
      <c r="E35" s="161">
        <v>44242</v>
      </c>
      <c r="F35" s="160">
        <v>125</v>
      </c>
      <c r="G35" s="161">
        <v>1204</v>
      </c>
      <c r="H35" s="161">
        <v>1000</v>
      </c>
      <c r="I35" s="161">
        <v>2249</v>
      </c>
    </row>
    <row r="36" spans="1:9" x14ac:dyDescent="0.45">
      <c r="A36" s="160">
        <v>124</v>
      </c>
      <c r="B36" s="161">
        <v>1718</v>
      </c>
      <c r="C36" s="161">
        <v>2233</v>
      </c>
      <c r="D36" s="161">
        <v>4037</v>
      </c>
      <c r="E36" s="161">
        <v>48279</v>
      </c>
      <c r="F36" s="160">
        <v>124</v>
      </c>
      <c r="G36" s="161">
        <v>2356</v>
      </c>
      <c r="H36" s="161">
        <v>2138</v>
      </c>
      <c r="I36" s="161">
        <v>4582</v>
      </c>
    </row>
    <row r="37" spans="1:9" x14ac:dyDescent="0.45">
      <c r="A37" s="160">
        <v>123</v>
      </c>
      <c r="B37" s="161">
        <v>1734</v>
      </c>
      <c r="C37" s="161">
        <v>2443</v>
      </c>
      <c r="D37" s="161">
        <v>4260</v>
      </c>
      <c r="E37" s="161">
        <v>52539</v>
      </c>
      <c r="F37" s="160">
        <v>123</v>
      </c>
      <c r="G37" s="161">
        <v>1752</v>
      </c>
      <c r="H37" s="161">
        <v>1677</v>
      </c>
      <c r="I37" s="161">
        <v>3501</v>
      </c>
    </row>
    <row r="38" spans="1:9" x14ac:dyDescent="0.45">
      <c r="A38" s="160">
        <v>122</v>
      </c>
      <c r="B38" s="161">
        <v>1844</v>
      </c>
      <c r="C38" s="161">
        <v>2427</v>
      </c>
      <c r="D38" s="161">
        <v>4378</v>
      </c>
      <c r="E38" s="161">
        <v>56917</v>
      </c>
      <c r="F38" s="160">
        <v>122</v>
      </c>
      <c r="G38" s="161">
        <v>676</v>
      </c>
      <c r="H38" s="161">
        <v>534</v>
      </c>
      <c r="I38" s="161">
        <v>1240</v>
      </c>
    </row>
    <row r="39" spans="1:9" x14ac:dyDescent="0.45">
      <c r="A39" s="160">
        <v>121</v>
      </c>
      <c r="B39" s="161">
        <v>1867</v>
      </c>
      <c r="C39" s="161">
        <v>2649</v>
      </c>
      <c r="D39" s="161">
        <v>4602</v>
      </c>
      <c r="E39" s="161">
        <v>61519</v>
      </c>
      <c r="F39" s="160">
        <v>121</v>
      </c>
      <c r="G39" s="161">
        <v>1765</v>
      </c>
      <c r="H39" s="161">
        <v>1523</v>
      </c>
      <c r="I39" s="161">
        <v>3364</v>
      </c>
    </row>
    <row r="40" spans="1:9" x14ac:dyDescent="0.45">
      <c r="A40" s="160">
        <v>120</v>
      </c>
      <c r="B40" s="161">
        <v>2017</v>
      </c>
      <c r="C40" s="161">
        <v>2633</v>
      </c>
      <c r="D40" s="161">
        <v>4747</v>
      </c>
      <c r="E40" s="161">
        <v>66266</v>
      </c>
      <c r="F40" s="160">
        <v>120</v>
      </c>
      <c r="G40" s="161">
        <v>3857</v>
      </c>
      <c r="H40" s="161">
        <v>3732</v>
      </c>
      <c r="I40" s="161">
        <v>7750</v>
      </c>
    </row>
    <row r="41" spans="1:9" x14ac:dyDescent="0.45">
      <c r="A41" s="160">
        <v>119</v>
      </c>
      <c r="B41" s="161">
        <v>2000</v>
      </c>
      <c r="C41" s="161">
        <v>2699</v>
      </c>
      <c r="D41" s="161">
        <v>4808</v>
      </c>
      <c r="E41" s="161">
        <v>71074</v>
      </c>
      <c r="F41" s="160">
        <v>119</v>
      </c>
      <c r="G41" s="161">
        <v>1103</v>
      </c>
      <c r="H41" s="161">
        <v>989</v>
      </c>
      <c r="I41" s="161">
        <v>2137</v>
      </c>
    </row>
    <row r="42" spans="1:9" x14ac:dyDescent="0.45">
      <c r="A42" s="160">
        <v>117</v>
      </c>
      <c r="B42" s="161">
        <v>2147</v>
      </c>
      <c r="C42" s="161">
        <v>2833</v>
      </c>
      <c r="D42" s="161">
        <v>5095</v>
      </c>
      <c r="E42" s="161">
        <v>76169</v>
      </c>
      <c r="F42" s="160">
        <v>118</v>
      </c>
      <c r="G42" s="161">
        <v>2247</v>
      </c>
      <c r="H42" s="161">
        <v>2146</v>
      </c>
      <c r="I42" s="161">
        <v>4473</v>
      </c>
    </row>
    <row r="43" spans="1:9" x14ac:dyDescent="0.45">
      <c r="A43" s="160">
        <v>116</v>
      </c>
      <c r="B43" s="161">
        <v>2154</v>
      </c>
      <c r="C43" s="161">
        <v>2857</v>
      </c>
      <c r="D43" s="161">
        <v>5100</v>
      </c>
      <c r="E43" s="161">
        <v>81269</v>
      </c>
      <c r="F43" s="160">
        <v>117</v>
      </c>
      <c r="G43" s="161">
        <v>2264</v>
      </c>
      <c r="H43" s="161">
        <v>2343</v>
      </c>
      <c r="I43" s="161">
        <v>4709</v>
      </c>
    </row>
    <row r="44" spans="1:9" x14ac:dyDescent="0.45">
      <c r="A44" s="160">
        <v>115</v>
      </c>
      <c r="B44" s="161">
        <v>2196</v>
      </c>
      <c r="C44" s="161">
        <v>2897</v>
      </c>
      <c r="D44" s="161">
        <v>5216</v>
      </c>
      <c r="E44" s="161">
        <v>86485</v>
      </c>
      <c r="F44" s="160">
        <v>116</v>
      </c>
      <c r="G44" s="161">
        <v>1269</v>
      </c>
      <c r="H44" s="161">
        <v>1200</v>
      </c>
      <c r="I44" s="161">
        <v>2522</v>
      </c>
    </row>
    <row r="45" spans="1:9" x14ac:dyDescent="0.45">
      <c r="A45" s="160">
        <v>114</v>
      </c>
      <c r="B45" s="161">
        <v>2240</v>
      </c>
      <c r="C45" s="161">
        <v>2972</v>
      </c>
      <c r="D45" s="161">
        <v>5334</v>
      </c>
      <c r="E45" s="161">
        <v>91819</v>
      </c>
      <c r="F45" s="160">
        <v>115</v>
      </c>
      <c r="G45" s="161">
        <v>1803</v>
      </c>
      <c r="H45" s="161">
        <v>1698</v>
      </c>
      <c r="I45" s="161">
        <v>3570</v>
      </c>
    </row>
    <row r="46" spans="1:9" x14ac:dyDescent="0.45">
      <c r="A46" s="160">
        <v>113</v>
      </c>
      <c r="B46" s="161">
        <v>2313</v>
      </c>
      <c r="C46" s="161">
        <v>2957</v>
      </c>
      <c r="D46" s="161">
        <v>5374</v>
      </c>
      <c r="E46" s="161">
        <v>97193</v>
      </c>
      <c r="F46" s="160">
        <v>114</v>
      </c>
      <c r="G46" s="161">
        <v>2512</v>
      </c>
      <c r="H46" s="161">
        <v>2506</v>
      </c>
      <c r="I46" s="161">
        <v>5116</v>
      </c>
    </row>
    <row r="47" spans="1:9" x14ac:dyDescent="0.45">
      <c r="A47" s="160">
        <v>112</v>
      </c>
      <c r="B47" s="161">
        <v>2316</v>
      </c>
      <c r="C47" s="161">
        <v>3067</v>
      </c>
      <c r="D47" s="161">
        <v>5527</v>
      </c>
      <c r="E47" s="161">
        <v>102720</v>
      </c>
      <c r="F47" s="160">
        <v>113</v>
      </c>
      <c r="G47" s="161">
        <v>1745</v>
      </c>
      <c r="H47" s="161">
        <v>1840</v>
      </c>
      <c r="I47" s="161">
        <v>3651</v>
      </c>
    </row>
    <row r="48" spans="1:9" x14ac:dyDescent="0.45">
      <c r="A48" s="160">
        <v>111</v>
      </c>
      <c r="B48" s="161">
        <v>2229</v>
      </c>
      <c r="C48" s="161">
        <v>2912</v>
      </c>
      <c r="D48" s="161">
        <v>5271</v>
      </c>
      <c r="E48" s="161">
        <v>107991</v>
      </c>
      <c r="F48" s="160">
        <v>112</v>
      </c>
      <c r="G48" s="161">
        <v>1465</v>
      </c>
      <c r="H48" s="161">
        <v>1469</v>
      </c>
      <c r="I48" s="161">
        <v>3002</v>
      </c>
    </row>
    <row r="49" spans="1:9" x14ac:dyDescent="0.45">
      <c r="A49" s="160">
        <v>110</v>
      </c>
      <c r="B49" s="161">
        <v>2356</v>
      </c>
      <c r="C49" s="161">
        <v>3049</v>
      </c>
      <c r="D49" s="161">
        <v>5542</v>
      </c>
      <c r="E49" s="161">
        <v>113533</v>
      </c>
      <c r="F49" s="160">
        <v>111</v>
      </c>
      <c r="G49" s="161">
        <v>2263</v>
      </c>
      <c r="H49" s="161">
        <v>2225</v>
      </c>
      <c r="I49" s="161">
        <v>4579</v>
      </c>
    </row>
    <row r="50" spans="1:9" x14ac:dyDescent="0.45">
      <c r="A50" s="160">
        <v>109</v>
      </c>
      <c r="B50" s="161">
        <v>2473</v>
      </c>
      <c r="C50" s="161">
        <v>3053</v>
      </c>
      <c r="D50" s="161">
        <v>5643</v>
      </c>
      <c r="E50" s="161">
        <v>119176</v>
      </c>
      <c r="F50" s="160">
        <v>110</v>
      </c>
      <c r="G50" s="161">
        <v>3656</v>
      </c>
      <c r="H50" s="161">
        <v>3834</v>
      </c>
      <c r="I50" s="161">
        <v>7649</v>
      </c>
    </row>
    <row r="51" spans="1:9" x14ac:dyDescent="0.45">
      <c r="A51" s="160">
        <v>108</v>
      </c>
      <c r="B51" s="161">
        <v>2468</v>
      </c>
      <c r="C51" s="161">
        <v>3056</v>
      </c>
      <c r="D51" s="161">
        <v>5651</v>
      </c>
      <c r="E51" s="161">
        <v>124827</v>
      </c>
      <c r="F51" s="160">
        <v>109</v>
      </c>
      <c r="G51" s="161">
        <v>2034</v>
      </c>
      <c r="H51" s="161">
        <v>2145</v>
      </c>
      <c r="I51" s="161">
        <v>4264</v>
      </c>
    </row>
    <row r="52" spans="1:9" x14ac:dyDescent="0.45">
      <c r="A52" s="160">
        <v>107</v>
      </c>
      <c r="B52" s="161">
        <v>2503</v>
      </c>
      <c r="C52" s="161">
        <v>3034</v>
      </c>
      <c r="D52" s="161">
        <v>5683</v>
      </c>
      <c r="E52" s="161">
        <v>130510</v>
      </c>
      <c r="F52" s="160">
        <v>108</v>
      </c>
      <c r="G52" s="161">
        <v>2191</v>
      </c>
      <c r="H52" s="161">
        <v>2488</v>
      </c>
      <c r="I52" s="161">
        <v>4772</v>
      </c>
    </row>
    <row r="53" spans="1:9" x14ac:dyDescent="0.45">
      <c r="A53" s="160">
        <v>106</v>
      </c>
      <c r="B53" s="161">
        <v>2526</v>
      </c>
      <c r="C53" s="161">
        <v>3056</v>
      </c>
      <c r="D53" s="161">
        <v>5708</v>
      </c>
      <c r="E53" s="161">
        <v>136218</v>
      </c>
      <c r="F53" s="160">
        <v>107</v>
      </c>
      <c r="G53" s="161">
        <v>1696</v>
      </c>
      <c r="H53" s="161">
        <v>1890</v>
      </c>
      <c r="I53" s="161">
        <v>3649</v>
      </c>
    </row>
    <row r="54" spans="1:9" x14ac:dyDescent="0.45">
      <c r="A54" s="160">
        <v>105</v>
      </c>
      <c r="B54" s="161">
        <v>2514</v>
      </c>
      <c r="C54" s="161">
        <v>3081</v>
      </c>
      <c r="D54" s="161">
        <v>5722</v>
      </c>
      <c r="E54" s="161">
        <v>141940</v>
      </c>
      <c r="F54" s="160">
        <v>106</v>
      </c>
      <c r="G54" s="161">
        <v>1727</v>
      </c>
      <c r="H54" s="161">
        <v>1890</v>
      </c>
      <c r="I54" s="161">
        <v>3703</v>
      </c>
    </row>
    <row r="55" spans="1:9" x14ac:dyDescent="0.45">
      <c r="A55" s="160">
        <v>104</v>
      </c>
      <c r="B55" s="161">
        <v>2471</v>
      </c>
      <c r="C55" s="161">
        <v>3003</v>
      </c>
      <c r="D55" s="161">
        <v>5605</v>
      </c>
      <c r="E55" s="161">
        <v>147545</v>
      </c>
      <c r="F55" s="160">
        <v>105</v>
      </c>
      <c r="G55" s="161">
        <v>2270</v>
      </c>
      <c r="H55" s="161">
        <v>2576</v>
      </c>
      <c r="I55" s="161">
        <v>4940</v>
      </c>
    </row>
    <row r="56" spans="1:9" x14ac:dyDescent="0.45">
      <c r="A56" s="160">
        <v>102</v>
      </c>
      <c r="B56" s="161">
        <v>2570</v>
      </c>
      <c r="C56" s="161">
        <v>3052</v>
      </c>
      <c r="D56" s="161">
        <v>5755</v>
      </c>
      <c r="E56" s="161">
        <v>153300</v>
      </c>
      <c r="F56" s="160">
        <v>104</v>
      </c>
      <c r="G56" s="161">
        <v>1910</v>
      </c>
      <c r="H56" s="161">
        <v>2039</v>
      </c>
      <c r="I56" s="161">
        <v>4025</v>
      </c>
    </row>
    <row r="57" spans="1:9" x14ac:dyDescent="0.45">
      <c r="A57" s="160">
        <v>101</v>
      </c>
      <c r="B57" s="161">
        <v>2597</v>
      </c>
      <c r="C57" s="161">
        <v>2961</v>
      </c>
      <c r="D57" s="161">
        <v>5706</v>
      </c>
      <c r="E57" s="161">
        <v>159006</v>
      </c>
      <c r="F57" s="160">
        <v>103</v>
      </c>
      <c r="G57" s="161">
        <v>1719</v>
      </c>
      <c r="H57" s="161">
        <v>1956</v>
      </c>
      <c r="I57" s="161">
        <v>3751</v>
      </c>
    </row>
    <row r="58" spans="1:9" x14ac:dyDescent="0.45">
      <c r="A58" s="160">
        <v>100</v>
      </c>
      <c r="B58" s="161">
        <v>2596</v>
      </c>
      <c r="C58" s="161">
        <v>2948</v>
      </c>
      <c r="D58" s="161">
        <v>5697</v>
      </c>
      <c r="E58" s="161">
        <v>164703</v>
      </c>
      <c r="F58" s="160">
        <v>102</v>
      </c>
      <c r="G58" s="161">
        <v>2210</v>
      </c>
      <c r="H58" s="161">
        <v>2487</v>
      </c>
      <c r="I58" s="161">
        <v>4784</v>
      </c>
    </row>
    <row r="59" spans="1:9" x14ac:dyDescent="0.45">
      <c r="A59" s="160">
        <v>99</v>
      </c>
      <c r="B59" s="161">
        <v>2646</v>
      </c>
      <c r="C59" s="161">
        <v>3033</v>
      </c>
      <c r="D59" s="161">
        <v>5809</v>
      </c>
      <c r="E59" s="161">
        <v>170512</v>
      </c>
      <c r="F59" s="160">
        <v>101</v>
      </c>
      <c r="G59" s="161">
        <v>3716</v>
      </c>
      <c r="H59" s="161">
        <v>4286</v>
      </c>
      <c r="I59" s="161">
        <v>8173</v>
      </c>
    </row>
    <row r="60" spans="1:9" x14ac:dyDescent="0.45">
      <c r="A60" s="160">
        <v>98</v>
      </c>
      <c r="B60" s="161">
        <v>2686</v>
      </c>
      <c r="C60" s="161">
        <v>3085</v>
      </c>
      <c r="D60" s="161">
        <v>5934</v>
      </c>
      <c r="E60" s="161">
        <v>176446</v>
      </c>
      <c r="F60" s="160">
        <v>100</v>
      </c>
      <c r="G60" s="161">
        <v>2133</v>
      </c>
      <c r="H60" s="161">
        <v>2520</v>
      </c>
      <c r="I60" s="161">
        <v>4773</v>
      </c>
    </row>
    <row r="61" spans="1:9" x14ac:dyDescent="0.45">
      <c r="A61" s="160">
        <v>97</v>
      </c>
      <c r="B61" s="161">
        <v>2590</v>
      </c>
      <c r="C61" s="161">
        <v>2997</v>
      </c>
      <c r="D61" s="161">
        <v>5717</v>
      </c>
      <c r="E61" s="161">
        <v>182163</v>
      </c>
      <c r="F61" s="160">
        <v>99</v>
      </c>
      <c r="G61" s="161">
        <v>2198</v>
      </c>
      <c r="H61" s="161">
        <v>2609</v>
      </c>
      <c r="I61" s="161">
        <v>4902</v>
      </c>
    </row>
    <row r="62" spans="1:9" x14ac:dyDescent="0.45">
      <c r="A62" s="160">
        <v>96</v>
      </c>
      <c r="B62" s="161">
        <v>2720</v>
      </c>
      <c r="C62" s="161">
        <v>2997</v>
      </c>
      <c r="D62" s="161">
        <v>5892</v>
      </c>
      <c r="E62" s="161">
        <v>188055</v>
      </c>
      <c r="F62" s="160">
        <v>98</v>
      </c>
      <c r="G62" s="161">
        <v>1721</v>
      </c>
      <c r="H62" s="161">
        <v>2093</v>
      </c>
      <c r="I62" s="161">
        <v>3910</v>
      </c>
    </row>
    <row r="63" spans="1:9" x14ac:dyDescent="0.45">
      <c r="A63" s="160">
        <v>95</v>
      </c>
      <c r="B63" s="161">
        <v>2692</v>
      </c>
      <c r="C63" s="161">
        <v>2941</v>
      </c>
      <c r="D63" s="161">
        <v>5773</v>
      </c>
      <c r="E63" s="161">
        <v>193828</v>
      </c>
      <c r="F63" s="160">
        <v>97</v>
      </c>
      <c r="G63" s="161">
        <v>2136</v>
      </c>
      <c r="H63" s="161">
        <v>2568</v>
      </c>
      <c r="I63" s="161">
        <v>4790</v>
      </c>
    </row>
    <row r="64" spans="1:9" x14ac:dyDescent="0.45">
      <c r="A64" s="160">
        <v>94</v>
      </c>
      <c r="B64" s="161">
        <v>2760</v>
      </c>
      <c r="C64" s="161">
        <v>2944</v>
      </c>
      <c r="D64" s="161">
        <v>5877</v>
      </c>
      <c r="E64" s="161">
        <v>199705</v>
      </c>
      <c r="F64" s="160">
        <v>96</v>
      </c>
      <c r="G64" s="161">
        <v>2208</v>
      </c>
      <c r="H64" s="161">
        <v>2780</v>
      </c>
      <c r="I64" s="161">
        <v>5120</v>
      </c>
    </row>
    <row r="65" spans="1:9" x14ac:dyDescent="0.45">
      <c r="A65" s="160">
        <v>93</v>
      </c>
      <c r="B65" s="161">
        <v>2735</v>
      </c>
      <c r="C65" s="161">
        <v>2765</v>
      </c>
      <c r="D65" s="161">
        <v>5653</v>
      </c>
      <c r="E65" s="161">
        <v>205358</v>
      </c>
      <c r="F65" s="160">
        <v>95</v>
      </c>
      <c r="G65" s="161">
        <v>1827</v>
      </c>
      <c r="H65" s="161">
        <v>2239</v>
      </c>
      <c r="I65" s="161">
        <v>4170</v>
      </c>
    </row>
    <row r="66" spans="1:9" x14ac:dyDescent="0.45">
      <c r="A66" s="160">
        <v>92</v>
      </c>
      <c r="B66" s="161">
        <v>2724</v>
      </c>
      <c r="C66" s="161">
        <v>2775</v>
      </c>
      <c r="D66" s="161">
        <v>5671</v>
      </c>
      <c r="E66" s="161">
        <v>211029</v>
      </c>
      <c r="F66" s="160">
        <v>94</v>
      </c>
      <c r="G66" s="161">
        <v>2212</v>
      </c>
      <c r="H66" s="161">
        <v>2781</v>
      </c>
      <c r="I66" s="161">
        <v>5109</v>
      </c>
    </row>
    <row r="67" spans="1:9" x14ac:dyDescent="0.45">
      <c r="A67" s="160">
        <v>91</v>
      </c>
      <c r="B67" s="161">
        <v>2713</v>
      </c>
      <c r="C67" s="161">
        <v>2866</v>
      </c>
      <c r="D67" s="161">
        <v>5763</v>
      </c>
      <c r="E67" s="161">
        <v>216792</v>
      </c>
      <c r="F67" s="160">
        <v>93</v>
      </c>
      <c r="G67" s="161">
        <v>2395</v>
      </c>
      <c r="H67" s="161">
        <v>2973</v>
      </c>
      <c r="I67" s="161">
        <v>5507</v>
      </c>
    </row>
    <row r="68" spans="1:9" x14ac:dyDescent="0.45">
      <c r="A68" s="160">
        <v>90</v>
      </c>
      <c r="B68" s="161">
        <v>2868</v>
      </c>
      <c r="C68" s="161">
        <v>2728</v>
      </c>
      <c r="D68" s="161">
        <v>5769</v>
      </c>
      <c r="E68" s="161">
        <v>222561</v>
      </c>
      <c r="F68" s="160">
        <v>92</v>
      </c>
      <c r="G68" s="161">
        <v>2027</v>
      </c>
      <c r="H68" s="161">
        <v>2414</v>
      </c>
      <c r="I68" s="161">
        <v>4540</v>
      </c>
    </row>
    <row r="69" spans="1:9" x14ac:dyDescent="0.45">
      <c r="A69" s="160">
        <v>89</v>
      </c>
      <c r="B69" s="161">
        <v>2852</v>
      </c>
      <c r="C69" s="161">
        <v>2646</v>
      </c>
      <c r="D69" s="161">
        <v>5675</v>
      </c>
      <c r="E69" s="161">
        <v>228236</v>
      </c>
      <c r="F69" s="160">
        <v>91</v>
      </c>
      <c r="G69" s="161">
        <v>4976</v>
      </c>
      <c r="H69" s="161">
        <v>6125</v>
      </c>
      <c r="I69" s="161">
        <v>11354</v>
      </c>
    </row>
    <row r="70" spans="1:9" x14ac:dyDescent="0.45">
      <c r="A70" s="160">
        <v>87</v>
      </c>
      <c r="B70" s="161">
        <v>2928</v>
      </c>
      <c r="C70" s="161">
        <v>2647</v>
      </c>
      <c r="D70" s="161">
        <v>5747</v>
      </c>
      <c r="E70" s="161">
        <v>233983</v>
      </c>
      <c r="F70" s="160">
        <v>90</v>
      </c>
      <c r="G70" s="161">
        <v>2076</v>
      </c>
      <c r="H70" s="161">
        <v>2600</v>
      </c>
      <c r="I70" s="161">
        <v>4792</v>
      </c>
    </row>
    <row r="71" spans="1:9" x14ac:dyDescent="0.45">
      <c r="A71" s="160">
        <v>86</v>
      </c>
      <c r="B71" s="161">
        <v>2948</v>
      </c>
      <c r="C71" s="161">
        <v>2643</v>
      </c>
      <c r="D71" s="161">
        <v>5775</v>
      </c>
      <c r="E71" s="161">
        <v>239758</v>
      </c>
      <c r="F71" s="160">
        <v>89</v>
      </c>
      <c r="G71" s="161">
        <v>2362</v>
      </c>
      <c r="H71" s="161">
        <v>2926</v>
      </c>
      <c r="I71" s="161">
        <v>5441</v>
      </c>
    </row>
    <row r="72" spans="1:9" x14ac:dyDescent="0.45">
      <c r="A72" s="160">
        <v>85</v>
      </c>
      <c r="B72" s="161">
        <v>3064</v>
      </c>
      <c r="C72" s="161">
        <v>2527</v>
      </c>
      <c r="D72" s="161">
        <v>5803</v>
      </c>
      <c r="E72" s="161">
        <v>245561</v>
      </c>
      <c r="F72" s="160">
        <v>88</v>
      </c>
      <c r="G72" s="161">
        <v>2938</v>
      </c>
      <c r="H72" s="161">
        <v>3313</v>
      </c>
      <c r="I72" s="161">
        <v>6427</v>
      </c>
    </row>
    <row r="73" spans="1:9" x14ac:dyDescent="0.45">
      <c r="A73" s="160">
        <v>84</v>
      </c>
      <c r="B73" s="161">
        <v>3017</v>
      </c>
      <c r="C73" s="161">
        <v>2558</v>
      </c>
      <c r="D73" s="161">
        <v>5798</v>
      </c>
      <c r="E73" s="161">
        <v>251359</v>
      </c>
      <c r="F73" s="160">
        <v>87</v>
      </c>
      <c r="G73" s="161">
        <v>2359</v>
      </c>
      <c r="H73" s="161">
        <v>2735</v>
      </c>
      <c r="I73" s="161">
        <v>5231</v>
      </c>
    </row>
    <row r="74" spans="1:9" x14ac:dyDescent="0.45">
      <c r="A74" s="160">
        <v>83</v>
      </c>
      <c r="B74" s="161">
        <v>3079</v>
      </c>
      <c r="C74" s="161">
        <v>2442</v>
      </c>
      <c r="D74" s="161">
        <v>5715</v>
      </c>
      <c r="E74" s="161">
        <v>257074</v>
      </c>
      <c r="F74" s="160">
        <v>86</v>
      </c>
      <c r="G74" s="161">
        <v>2635</v>
      </c>
      <c r="H74" s="161">
        <v>3159</v>
      </c>
      <c r="I74" s="161">
        <v>5994</v>
      </c>
    </row>
    <row r="75" spans="1:9" x14ac:dyDescent="0.45">
      <c r="A75" s="160">
        <v>82</v>
      </c>
      <c r="B75" s="161">
        <v>3136</v>
      </c>
      <c r="C75" s="161">
        <v>2431</v>
      </c>
      <c r="D75" s="161">
        <v>5787</v>
      </c>
      <c r="E75" s="161">
        <v>262861</v>
      </c>
      <c r="F75" s="160">
        <v>85</v>
      </c>
      <c r="G75" s="161">
        <v>3199</v>
      </c>
      <c r="H75" s="161">
        <v>3486</v>
      </c>
      <c r="I75" s="161">
        <v>6882</v>
      </c>
    </row>
    <row r="76" spans="1:9" x14ac:dyDescent="0.45">
      <c r="A76" s="160">
        <v>81</v>
      </c>
      <c r="B76" s="161">
        <v>3060</v>
      </c>
      <c r="C76" s="161">
        <v>2226</v>
      </c>
      <c r="D76" s="161">
        <v>5503</v>
      </c>
      <c r="E76" s="161">
        <v>268364</v>
      </c>
      <c r="F76" s="160">
        <v>84</v>
      </c>
      <c r="G76" s="161">
        <v>2448</v>
      </c>
      <c r="H76" s="161">
        <v>2916</v>
      </c>
      <c r="I76" s="161">
        <v>5517</v>
      </c>
    </row>
    <row r="77" spans="1:9" x14ac:dyDescent="0.45">
      <c r="A77" s="160">
        <v>80</v>
      </c>
      <c r="B77" s="161">
        <v>3311</v>
      </c>
      <c r="C77" s="161">
        <v>2283</v>
      </c>
      <c r="D77" s="161">
        <v>5839</v>
      </c>
      <c r="E77" s="161">
        <v>274203</v>
      </c>
      <c r="F77" s="160">
        <v>83</v>
      </c>
      <c r="G77" s="161">
        <v>3097</v>
      </c>
      <c r="H77" s="161">
        <v>3480</v>
      </c>
      <c r="I77" s="161">
        <v>6770</v>
      </c>
    </row>
    <row r="78" spans="1:9" x14ac:dyDescent="0.45">
      <c r="A78" s="160">
        <v>79</v>
      </c>
      <c r="B78" s="161">
        <v>2973</v>
      </c>
      <c r="C78" s="161">
        <v>2114</v>
      </c>
      <c r="D78" s="161">
        <v>5320</v>
      </c>
      <c r="E78" s="161">
        <v>279523</v>
      </c>
      <c r="F78" s="160">
        <v>82</v>
      </c>
      <c r="G78" s="161">
        <v>3067</v>
      </c>
      <c r="H78" s="161">
        <v>3372</v>
      </c>
      <c r="I78" s="161">
        <v>6616</v>
      </c>
    </row>
    <row r="79" spans="1:9" x14ac:dyDescent="0.45">
      <c r="A79" s="160">
        <v>78</v>
      </c>
      <c r="B79" s="161">
        <v>3489</v>
      </c>
      <c r="C79" s="161">
        <v>2191</v>
      </c>
      <c r="D79" s="161">
        <v>5967</v>
      </c>
      <c r="E79" s="161">
        <v>285490</v>
      </c>
      <c r="F79" s="160">
        <v>81</v>
      </c>
      <c r="G79" s="161">
        <v>6521</v>
      </c>
      <c r="H79" s="161">
        <v>6851</v>
      </c>
      <c r="I79" s="161">
        <v>13874</v>
      </c>
    </row>
    <row r="80" spans="1:9" x14ac:dyDescent="0.45">
      <c r="A80" s="160">
        <v>77</v>
      </c>
      <c r="B80" s="161">
        <v>2944</v>
      </c>
      <c r="C80" s="161">
        <v>1742</v>
      </c>
      <c r="D80" s="161">
        <v>4901</v>
      </c>
      <c r="E80" s="161">
        <v>290391</v>
      </c>
      <c r="F80" s="160">
        <v>80</v>
      </c>
      <c r="G80" s="161">
        <v>3623</v>
      </c>
      <c r="H80" s="161">
        <v>3514</v>
      </c>
      <c r="I80" s="161">
        <v>7403</v>
      </c>
    </row>
    <row r="81" spans="1:9" x14ac:dyDescent="0.45">
      <c r="A81" s="160">
        <v>76</v>
      </c>
      <c r="B81" s="161">
        <v>3654</v>
      </c>
      <c r="C81" s="161">
        <v>2032</v>
      </c>
      <c r="D81" s="161">
        <v>6012</v>
      </c>
      <c r="E81" s="161">
        <v>296403</v>
      </c>
      <c r="F81" s="160">
        <v>79</v>
      </c>
      <c r="G81" s="161">
        <v>3190</v>
      </c>
      <c r="H81" s="161">
        <v>3419</v>
      </c>
      <c r="I81" s="161">
        <v>6862</v>
      </c>
    </row>
    <row r="82" spans="1:9" x14ac:dyDescent="0.45">
      <c r="A82" s="160">
        <v>75</v>
      </c>
      <c r="B82" s="161">
        <v>2797</v>
      </c>
      <c r="C82" s="161">
        <v>1612</v>
      </c>
      <c r="D82" s="161">
        <v>4649</v>
      </c>
      <c r="E82" s="161">
        <v>301052</v>
      </c>
      <c r="F82" s="160">
        <v>78</v>
      </c>
      <c r="G82" s="161">
        <v>4071</v>
      </c>
      <c r="H82" s="161">
        <v>3822</v>
      </c>
      <c r="I82" s="161">
        <v>8211</v>
      </c>
    </row>
    <row r="83" spans="1:9" x14ac:dyDescent="0.45">
      <c r="A83" s="160">
        <v>74</v>
      </c>
      <c r="B83" s="161">
        <v>2728</v>
      </c>
      <c r="C83" s="161">
        <v>1558</v>
      </c>
      <c r="D83" s="161">
        <v>4519</v>
      </c>
      <c r="E83" s="161">
        <v>305571</v>
      </c>
      <c r="F83" s="160">
        <v>77</v>
      </c>
      <c r="G83" s="161">
        <v>2206</v>
      </c>
      <c r="H83" s="161">
        <v>2223</v>
      </c>
      <c r="I83" s="161">
        <v>4581</v>
      </c>
    </row>
    <row r="84" spans="1:9" x14ac:dyDescent="0.45">
      <c r="A84" s="160">
        <v>72</v>
      </c>
      <c r="B84" s="161">
        <v>7120</v>
      </c>
      <c r="C84" s="161">
        <v>2811</v>
      </c>
      <c r="D84" s="161">
        <v>10917</v>
      </c>
      <c r="E84" s="161">
        <v>316488</v>
      </c>
      <c r="F84" s="160">
        <v>76</v>
      </c>
      <c r="G84" s="161">
        <v>10197</v>
      </c>
      <c r="H84" s="161">
        <v>7331</v>
      </c>
      <c r="I84" s="161">
        <v>18585</v>
      </c>
    </row>
    <row r="85" spans="1:9" x14ac:dyDescent="0.45">
      <c r="A85" s="160">
        <v>71</v>
      </c>
      <c r="B85" s="161">
        <v>2225</v>
      </c>
      <c r="C85" s="161">
        <v>1177</v>
      </c>
      <c r="D85" s="161">
        <v>3576</v>
      </c>
      <c r="E85" s="161">
        <v>320064</v>
      </c>
      <c r="F85" s="160">
        <v>75</v>
      </c>
      <c r="G85" s="161">
        <v>1730</v>
      </c>
      <c r="H85" s="161">
        <v>1620</v>
      </c>
      <c r="I85" s="161">
        <v>3453</v>
      </c>
    </row>
    <row r="86" spans="1:9" x14ac:dyDescent="0.45">
      <c r="A86" s="160">
        <v>70</v>
      </c>
      <c r="B86" s="161">
        <v>2052</v>
      </c>
      <c r="C86" s="161">
        <v>1023</v>
      </c>
      <c r="D86" s="161">
        <v>3280</v>
      </c>
      <c r="E86" s="161">
        <v>323344</v>
      </c>
      <c r="F86" s="160">
        <v>74</v>
      </c>
      <c r="G86" s="161">
        <v>1782</v>
      </c>
      <c r="H86" s="161">
        <v>1593</v>
      </c>
      <c r="I86" s="161">
        <v>3512</v>
      </c>
    </row>
    <row r="87" spans="1:9" x14ac:dyDescent="0.45">
      <c r="A87" s="160">
        <v>69</v>
      </c>
      <c r="B87" s="161">
        <v>1960</v>
      </c>
      <c r="C87" s="161">
        <v>907</v>
      </c>
      <c r="D87" s="161">
        <v>3040</v>
      </c>
      <c r="E87" s="161">
        <v>326384</v>
      </c>
      <c r="F87" s="160">
        <v>73</v>
      </c>
      <c r="G87" s="161">
        <v>1366</v>
      </c>
      <c r="H87" s="161">
        <v>1281</v>
      </c>
      <c r="I87" s="161">
        <v>2751</v>
      </c>
    </row>
    <row r="88" spans="1:9" x14ac:dyDescent="0.45">
      <c r="A88" s="160">
        <v>68</v>
      </c>
      <c r="B88" s="161">
        <v>1320</v>
      </c>
      <c r="C88" s="161">
        <v>603</v>
      </c>
      <c r="D88" s="161">
        <v>2054</v>
      </c>
      <c r="E88" s="161">
        <v>328438</v>
      </c>
      <c r="F88" s="160">
        <v>72</v>
      </c>
      <c r="G88" s="161">
        <v>1891</v>
      </c>
      <c r="H88" s="161">
        <v>1650</v>
      </c>
      <c r="I88" s="161">
        <v>3684</v>
      </c>
    </row>
    <row r="89" spans="1:9" x14ac:dyDescent="0.45">
      <c r="A89" s="160">
        <v>67</v>
      </c>
      <c r="B89" s="161">
        <v>1098</v>
      </c>
      <c r="C89" s="161">
        <v>458</v>
      </c>
      <c r="D89" s="161">
        <v>1666</v>
      </c>
      <c r="E89" s="161">
        <v>330104</v>
      </c>
      <c r="F89" s="160">
        <v>71</v>
      </c>
      <c r="G89" s="161">
        <v>660</v>
      </c>
      <c r="H89" s="161">
        <v>567</v>
      </c>
      <c r="I89" s="161">
        <v>1282</v>
      </c>
    </row>
    <row r="90" spans="1:9" x14ac:dyDescent="0.45">
      <c r="A90" s="160">
        <v>66</v>
      </c>
      <c r="B90" s="161">
        <v>864</v>
      </c>
      <c r="C90" s="161">
        <v>366</v>
      </c>
      <c r="D90" s="161">
        <v>1305</v>
      </c>
      <c r="E90" s="161">
        <v>331409</v>
      </c>
      <c r="F90" s="160">
        <v>70</v>
      </c>
      <c r="G90" s="161">
        <v>417</v>
      </c>
      <c r="H90" s="161">
        <v>392</v>
      </c>
      <c r="I90" s="161">
        <v>851</v>
      </c>
    </row>
    <row r="91" spans="1:9" x14ac:dyDescent="0.45">
      <c r="A91" s="160">
        <v>65</v>
      </c>
      <c r="B91" s="161">
        <v>675</v>
      </c>
      <c r="C91" s="161">
        <v>287</v>
      </c>
      <c r="D91" s="161">
        <v>1020</v>
      </c>
      <c r="E91" s="161">
        <v>332429</v>
      </c>
      <c r="F91" s="160">
        <v>69</v>
      </c>
      <c r="G91" s="161">
        <v>286</v>
      </c>
      <c r="H91" s="161">
        <v>197</v>
      </c>
      <c r="I91" s="161">
        <v>510</v>
      </c>
    </row>
    <row r="92" spans="1:9" x14ac:dyDescent="0.45">
      <c r="A92" s="160">
        <v>64</v>
      </c>
      <c r="B92" s="161">
        <v>548</v>
      </c>
      <c r="C92" s="161">
        <v>245</v>
      </c>
      <c r="D92" s="161">
        <v>844</v>
      </c>
      <c r="E92" s="161">
        <v>333273</v>
      </c>
      <c r="F92" s="160">
        <v>68</v>
      </c>
      <c r="G92" s="161">
        <v>231</v>
      </c>
      <c r="H92" s="161">
        <v>161</v>
      </c>
      <c r="I92" s="161">
        <v>406</v>
      </c>
    </row>
    <row r="93" spans="1:9" x14ac:dyDescent="0.45">
      <c r="A93" s="160">
        <v>63</v>
      </c>
      <c r="B93" s="161">
        <v>340</v>
      </c>
      <c r="C93" s="161">
        <v>164</v>
      </c>
      <c r="D93" s="161">
        <v>539</v>
      </c>
      <c r="E93" s="161">
        <v>333812</v>
      </c>
      <c r="F93" s="160">
        <v>67</v>
      </c>
      <c r="G93" s="161">
        <v>196</v>
      </c>
      <c r="H93" s="161">
        <v>155</v>
      </c>
      <c r="I93" s="161">
        <v>367</v>
      </c>
    </row>
    <row r="94" spans="1:9" x14ac:dyDescent="0.45">
      <c r="A94" s="160">
        <v>62</v>
      </c>
      <c r="B94" s="161">
        <v>262</v>
      </c>
      <c r="C94" s="161">
        <v>109</v>
      </c>
      <c r="D94" s="161">
        <v>402</v>
      </c>
      <c r="E94" s="161">
        <v>334214</v>
      </c>
      <c r="F94" s="160">
        <v>65</v>
      </c>
      <c r="G94" s="161">
        <v>658</v>
      </c>
      <c r="H94" s="161">
        <v>264</v>
      </c>
      <c r="I94" s="161">
        <v>1019</v>
      </c>
    </row>
    <row r="95" spans="1:9" x14ac:dyDescent="0.45">
      <c r="A95" s="160">
        <v>61</v>
      </c>
      <c r="B95" s="161">
        <v>160</v>
      </c>
      <c r="C95" s="161">
        <v>78</v>
      </c>
      <c r="D95" s="161">
        <v>259</v>
      </c>
      <c r="E95" s="161">
        <v>334473</v>
      </c>
      <c r="F95" s="160"/>
      <c r="G95" s="161"/>
      <c r="H95" s="161"/>
      <c r="I95" s="161"/>
    </row>
    <row r="96" spans="1:9" x14ac:dyDescent="0.45">
      <c r="A96" s="160">
        <v>60</v>
      </c>
      <c r="B96" s="161">
        <v>164</v>
      </c>
      <c r="C96" s="161">
        <v>58</v>
      </c>
      <c r="D96" s="161">
        <v>236</v>
      </c>
      <c r="E96" s="161">
        <v>334709</v>
      </c>
      <c r="F96" s="160"/>
      <c r="G96" s="161"/>
      <c r="H96" s="161"/>
      <c r="I96" s="161"/>
    </row>
    <row r="97" spans="1:9" x14ac:dyDescent="0.45">
      <c r="A97" s="160">
        <v>59</v>
      </c>
      <c r="B97" s="161">
        <v>109</v>
      </c>
      <c r="C97" s="161">
        <v>49</v>
      </c>
      <c r="D97" s="161">
        <v>169</v>
      </c>
      <c r="E97" s="161">
        <v>334878</v>
      </c>
      <c r="F97" s="160"/>
      <c r="G97" s="161"/>
      <c r="H97" s="161"/>
      <c r="I97" s="161"/>
    </row>
    <row r="98" spans="1:9" x14ac:dyDescent="0.45">
      <c r="A98" s="160">
        <v>57</v>
      </c>
      <c r="B98" s="161">
        <v>78</v>
      </c>
      <c r="C98" s="161">
        <v>33</v>
      </c>
      <c r="D98" s="161">
        <v>122</v>
      </c>
      <c r="E98" s="161">
        <v>335000</v>
      </c>
      <c r="F98" s="160"/>
      <c r="G98" s="161"/>
      <c r="H98" s="161"/>
      <c r="I98" s="161"/>
    </row>
    <row r="99" spans="1:9" x14ac:dyDescent="0.45">
      <c r="A99" s="160">
        <v>56</v>
      </c>
      <c r="B99" s="161">
        <v>54</v>
      </c>
      <c r="C99" s="161">
        <v>22</v>
      </c>
      <c r="D99" s="161">
        <v>84</v>
      </c>
      <c r="E99" s="161">
        <v>335084</v>
      </c>
      <c r="F99" s="160"/>
      <c r="G99" s="161"/>
      <c r="H99" s="161"/>
      <c r="I99" s="161"/>
    </row>
    <row r="100" spans="1:9" x14ac:dyDescent="0.45">
      <c r="A100" s="160">
        <v>55</v>
      </c>
      <c r="B100" s="161">
        <v>43</v>
      </c>
      <c r="C100" s="161">
        <v>17</v>
      </c>
      <c r="D100" s="161">
        <v>63</v>
      </c>
      <c r="E100" s="161">
        <v>335147</v>
      </c>
      <c r="F100" s="160"/>
      <c r="G100" s="161"/>
      <c r="H100" s="161"/>
      <c r="I100" s="161"/>
    </row>
    <row r="101" spans="1:9" x14ac:dyDescent="0.45">
      <c r="A101" s="160">
        <v>54</v>
      </c>
      <c r="B101" s="161">
        <v>18</v>
      </c>
      <c r="C101" s="161">
        <v>4</v>
      </c>
      <c r="D101" s="161">
        <v>24</v>
      </c>
      <c r="E101" s="161">
        <v>335171</v>
      </c>
      <c r="F101" s="160"/>
      <c r="G101" s="161"/>
      <c r="H101" s="161"/>
      <c r="I101" s="161"/>
    </row>
    <row r="102" spans="1:9" x14ac:dyDescent="0.45">
      <c r="A102" s="160">
        <v>53</v>
      </c>
      <c r="B102" s="161">
        <v>50</v>
      </c>
      <c r="C102" s="161">
        <v>11</v>
      </c>
      <c r="D102" s="161">
        <v>70</v>
      </c>
      <c r="E102" s="161">
        <v>335241</v>
      </c>
      <c r="F102" s="162"/>
      <c r="G102" s="163"/>
      <c r="H102" s="163"/>
      <c r="I102" s="163"/>
    </row>
    <row r="103" spans="1:9" x14ac:dyDescent="0.45">
      <c r="A103" s="160">
        <v>51</v>
      </c>
      <c r="B103" s="161">
        <v>622</v>
      </c>
      <c r="C103" s="161">
        <v>217</v>
      </c>
      <c r="D103" s="161">
        <v>961</v>
      </c>
      <c r="E103" s="161">
        <v>336202</v>
      </c>
      <c r="F103" s="162"/>
      <c r="G103" s="163"/>
      <c r="H103" s="163"/>
      <c r="I103" s="16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S224"/>
  <sheetViews>
    <sheetView topLeftCell="A153" workbookViewId="0">
      <selection activeCell="A177" sqref="A177:S223"/>
    </sheetView>
  </sheetViews>
  <sheetFormatPr defaultRowHeight="17" x14ac:dyDescent="0.45"/>
  <sheetData>
    <row r="1" spans="1:19" x14ac:dyDescent="0.45">
      <c r="A1" s="10"/>
    </row>
    <row r="2" spans="1:19" ht="17.5" thickBot="1" x14ac:dyDescent="0.5"/>
    <row r="3" spans="1:19" x14ac:dyDescent="0.45">
      <c r="A3" s="40" t="s">
        <v>9</v>
      </c>
      <c r="B3" s="41"/>
      <c r="C3" s="41"/>
      <c r="D3" s="42"/>
      <c r="F3" s="40" t="s">
        <v>10</v>
      </c>
      <c r="G3" s="41"/>
      <c r="H3" s="41"/>
      <c r="I3" s="42"/>
      <c r="K3" s="40" t="s">
        <v>11</v>
      </c>
      <c r="L3" s="41"/>
      <c r="M3" s="41"/>
      <c r="N3" s="42"/>
      <c r="P3" s="40" t="s">
        <v>12</v>
      </c>
      <c r="Q3" s="41"/>
      <c r="R3" s="41"/>
      <c r="S3" s="42"/>
    </row>
    <row r="4" spans="1:19" x14ac:dyDescent="0.4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  <c r="K4" s="6" t="s">
        <v>6</v>
      </c>
      <c r="L4" s="1"/>
      <c r="M4" s="1"/>
      <c r="N4" s="7" t="s">
        <v>7</v>
      </c>
      <c r="P4" s="6" t="s">
        <v>6</v>
      </c>
      <c r="Q4" s="1"/>
      <c r="R4" s="1"/>
      <c r="S4" s="7" t="s">
        <v>7</v>
      </c>
    </row>
    <row r="5" spans="1:19" x14ac:dyDescent="0.45">
      <c r="A5" s="160">
        <v>67</v>
      </c>
      <c r="B5" s="161">
        <v>81</v>
      </c>
      <c r="C5" s="161">
        <v>178</v>
      </c>
      <c r="D5" s="161">
        <v>262</v>
      </c>
      <c r="E5" s="161">
        <v>262</v>
      </c>
      <c r="F5" s="160">
        <v>67</v>
      </c>
      <c r="G5" s="161">
        <v>171</v>
      </c>
      <c r="H5" s="161">
        <v>370</v>
      </c>
      <c r="I5" s="161">
        <v>547</v>
      </c>
      <c r="J5" s="161">
        <v>547</v>
      </c>
      <c r="K5" s="160">
        <v>69</v>
      </c>
      <c r="L5" s="161">
        <v>91</v>
      </c>
      <c r="M5" s="161">
        <v>35</v>
      </c>
      <c r="N5" s="161">
        <v>126</v>
      </c>
      <c r="O5" s="161">
        <v>126</v>
      </c>
      <c r="P5" s="160">
        <v>68</v>
      </c>
      <c r="Q5" s="161">
        <v>317</v>
      </c>
      <c r="R5" s="161">
        <v>147</v>
      </c>
      <c r="S5" s="161">
        <v>468</v>
      </c>
    </row>
    <row r="6" spans="1:19" x14ac:dyDescent="0.45">
      <c r="A6" s="160">
        <v>65</v>
      </c>
      <c r="B6" s="161">
        <v>886</v>
      </c>
      <c r="C6" s="161">
        <v>1807</v>
      </c>
      <c r="D6" s="161">
        <v>2722</v>
      </c>
      <c r="E6" s="161">
        <v>2984</v>
      </c>
      <c r="F6" s="160">
        <v>65</v>
      </c>
      <c r="G6" s="161">
        <v>218</v>
      </c>
      <c r="H6" s="161">
        <v>409</v>
      </c>
      <c r="I6" s="161">
        <v>640</v>
      </c>
      <c r="J6" s="161">
        <v>1187</v>
      </c>
      <c r="K6" s="160">
        <v>67</v>
      </c>
      <c r="L6" s="161">
        <v>301</v>
      </c>
      <c r="M6" s="161">
        <v>182</v>
      </c>
      <c r="N6" s="161">
        <v>490</v>
      </c>
      <c r="O6" s="161">
        <v>616</v>
      </c>
      <c r="P6" s="160">
        <v>66</v>
      </c>
      <c r="Q6" s="161">
        <v>229</v>
      </c>
      <c r="R6" s="161">
        <v>156</v>
      </c>
      <c r="S6" s="161">
        <v>389</v>
      </c>
    </row>
    <row r="7" spans="1:19" x14ac:dyDescent="0.45">
      <c r="A7" s="160">
        <v>64</v>
      </c>
      <c r="B7" s="161">
        <v>27</v>
      </c>
      <c r="C7" s="161">
        <v>74</v>
      </c>
      <c r="D7" s="161">
        <v>102</v>
      </c>
      <c r="E7" s="161">
        <v>3086</v>
      </c>
      <c r="F7" s="160">
        <v>64</v>
      </c>
      <c r="G7" s="161">
        <v>422</v>
      </c>
      <c r="H7" s="161">
        <v>983</v>
      </c>
      <c r="I7" s="161">
        <v>1424</v>
      </c>
      <c r="J7" s="161">
        <v>2611</v>
      </c>
      <c r="K7" s="160">
        <v>66</v>
      </c>
      <c r="L7" s="161">
        <v>17</v>
      </c>
      <c r="M7" s="161">
        <v>35</v>
      </c>
      <c r="N7" s="161">
        <v>53</v>
      </c>
      <c r="O7" s="161">
        <v>669</v>
      </c>
      <c r="P7" s="160">
        <v>65</v>
      </c>
      <c r="Q7" s="161">
        <v>320</v>
      </c>
      <c r="R7" s="161">
        <v>109</v>
      </c>
      <c r="S7" s="161">
        <v>430</v>
      </c>
    </row>
    <row r="8" spans="1:19" x14ac:dyDescent="0.45">
      <c r="A8" s="160">
        <v>63</v>
      </c>
      <c r="B8" s="161">
        <v>654</v>
      </c>
      <c r="C8" s="161">
        <v>1457</v>
      </c>
      <c r="D8" s="161">
        <v>2134</v>
      </c>
      <c r="E8" s="161">
        <v>5220</v>
      </c>
      <c r="F8" s="160">
        <v>63</v>
      </c>
      <c r="G8" s="161">
        <v>622</v>
      </c>
      <c r="H8" s="161">
        <v>1239</v>
      </c>
      <c r="I8" s="161">
        <v>1880</v>
      </c>
      <c r="J8" s="161">
        <v>4491</v>
      </c>
      <c r="K8" s="160">
        <v>65</v>
      </c>
      <c r="L8" s="161">
        <v>202</v>
      </c>
      <c r="M8" s="161">
        <v>242</v>
      </c>
      <c r="N8" s="161">
        <v>456</v>
      </c>
      <c r="O8" s="161">
        <v>1125</v>
      </c>
      <c r="P8" s="160">
        <v>64</v>
      </c>
      <c r="Q8" s="161">
        <v>131</v>
      </c>
      <c r="R8" s="161">
        <v>149</v>
      </c>
      <c r="S8" s="161">
        <v>281</v>
      </c>
    </row>
    <row r="9" spans="1:19" x14ac:dyDescent="0.45">
      <c r="A9" s="160">
        <v>62</v>
      </c>
      <c r="B9" s="161">
        <v>906</v>
      </c>
      <c r="C9" s="161">
        <v>2156</v>
      </c>
      <c r="D9" s="161">
        <v>3086</v>
      </c>
      <c r="E9" s="161">
        <v>8306</v>
      </c>
      <c r="F9" s="160">
        <v>62</v>
      </c>
      <c r="G9" s="161">
        <v>288</v>
      </c>
      <c r="H9" s="161">
        <v>562</v>
      </c>
      <c r="I9" s="161">
        <v>858</v>
      </c>
      <c r="J9" s="161">
        <v>5349</v>
      </c>
      <c r="K9" s="160">
        <v>64</v>
      </c>
      <c r="L9" s="161">
        <v>343</v>
      </c>
      <c r="M9" s="161">
        <v>240</v>
      </c>
      <c r="N9" s="161">
        <v>591</v>
      </c>
      <c r="O9" s="161">
        <v>1716</v>
      </c>
      <c r="P9" s="160">
        <v>63</v>
      </c>
      <c r="Q9" s="161">
        <v>369</v>
      </c>
      <c r="R9" s="161">
        <v>210</v>
      </c>
      <c r="S9" s="161">
        <v>586</v>
      </c>
    </row>
    <row r="10" spans="1:19" x14ac:dyDescent="0.45">
      <c r="A10" s="160">
        <v>61</v>
      </c>
      <c r="B10" s="161">
        <v>330</v>
      </c>
      <c r="C10" s="161">
        <v>760</v>
      </c>
      <c r="D10" s="161">
        <v>1108</v>
      </c>
      <c r="E10" s="161">
        <v>9414</v>
      </c>
      <c r="F10" s="160">
        <v>61</v>
      </c>
      <c r="G10" s="161">
        <v>537</v>
      </c>
      <c r="H10" s="161">
        <v>1150</v>
      </c>
      <c r="I10" s="161">
        <v>1713</v>
      </c>
      <c r="J10" s="161">
        <v>7062</v>
      </c>
      <c r="K10" s="160">
        <v>63</v>
      </c>
      <c r="L10" s="161">
        <v>122</v>
      </c>
      <c r="M10" s="161">
        <v>172</v>
      </c>
      <c r="N10" s="161">
        <v>301</v>
      </c>
      <c r="O10" s="161">
        <v>2017</v>
      </c>
      <c r="P10" s="160">
        <v>62</v>
      </c>
      <c r="Q10" s="161">
        <v>537</v>
      </c>
      <c r="R10" s="161">
        <v>437</v>
      </c>
      <c r="S10" s="161">
        <v>985</v>
      </c>
    </row>
    <row r="11" spans="1:19" x14ac:dyDescent="0.45">
      <c r="A11" s="160">
        <v>60</v>
      </c>
      <c r="B11" s="161">
        <v>1805</v>
      </c>
      <c r="C11" s="161">
        <v>3980</v>
      </c>
      <c r="D11" s="161">
        <v>5848</v>
      </c>
      <c r="E11" s="161">
        <v>15262</v>
      </c>
      <c r="F11" s="160">
        <v>60</v>
      </c>
      <c r="G11" s="161">
        <v>536</v>
      </c>
      <c r="H11" s="161">
        <v>1229</v>
      </c>
      <c r="I11" s="161">
        <v>1789</v>
      </c>
      <c r="J11" s="161">
        <v>8851</v>
      </c>
      <c r="K11" s="160">
        <v>62</v>
      </c>
      <c r="L11" s="161">
        <v>404</v>
      </c>
      <c r="M11" s="161">
        <v>475</v>
      </c>
      <c r="N11" s="161">
        <v>890</v>
      </c>
      <c r="O11" s="161">
        <v>2907</v>
      </c>
      <c r="P11" s="160">
        <v>61</v>
      </c>
      <c r="Q11" s="161">
        <v>306</v>
      </c>
      <c r="R11" s="161">
        <v>238</v>
      </c>
      <c r="S11" s="161">
        <v>547</v>
      </c>
    </row>
    <row r="12" spans="1:19" x14ac:dyDescent="0.45">
      <c r="A12" s="160">
        <v>59</v>
      </c>
      <c r="B12" s="161">
        <v>767</v>
      </c>
      <c r="C12" s="161">
        <v>1695</v>
      </c>
      <c r="D12" s="161">
        <v>2496</v>
      </c>
      <c r="E12" s="161">
        <v>17758</v>
      </c>
      <c r="F12" s="160">
        <v>59</v>
      </c>
      <c r="G12" s="161">
        <v>1156</v>
      </c>
      <c r="H12" s="161">
        <v>2269</v>
      </c>
      <c r="I12" s="161">
        <v>3467</v>
      </c>
      <c r="J12" s="161">
        <v>12318</v>
      </c>
      <c r="K12" s="160">
        <v>61</v>
      </c>
      <c r="L12" s="161">
        <v>348</v>
      </c>
      <c r="M12" s="161">
        <v>304</v>
      </c>
      <c r="N12" s="161">
        <v>661</v>
      </c>
      <c r="O12" s="161">
        <v>3568</v>
      </c>
      <c r="P12" s="160">
        <v>60</v>
      </c>
      <c r="Q12" s="161">
        <v>280</v>
      </c>
      <c r="R12" s="161">
        <v>287</v>
      </c>
      <c r="S12" s="161">
        <v>571</v>
      </c>
    </row>
    <row r="13" spans="1:19" x14ac:dyDescent="0.45">
      <c r="A13" s="160">
        <v>58</v>
      </c>
      <c r="B13" s="161">
        <v>997</v>
      </c>
      <c r="C13" s="161">
        <v>2224</v>
      </c>
      <c r="D13" s="161">
        <v>3263</v>
      </c>
      <c r="E13" s="161">
        <v>21021</v>
      </c>
      <c r="F13" s="160">
        <v>58</v>
      </c>
      <c r="G13" s="161">
        <v>489</v>
      </c>
      <c r="H13" s="161">
        <v>1016</v>
      </c>
      <c r="I13" s="161">
        <v>1516</v>
      </c>
      <c r="J13" s="161">
        <v>13834</v>
      </c>
      <c r="K13" s="160">
        <v>60</v>
      </c>
      <c r="L13" s="161">
        <v>265</v>
      </c>
      <c r="M13" s="161">
        <v>409</v>
      </c>
      <c r="N13" s="161">
        <v>685</v>
      </c>
      <c r="O13" s="161">
        <v>4253</v>
      </c>
      <c r="P13" s="160">
        <v>59</v>
      </c>
      <c r="Q13" s="161">
        <v>306</v>
      </c>
      <c r="R13" s="161">
        <v>323</v>
      </c>
      <c r="S13" s="161">
        <v>639</v>
      </c>
    </row>
    <row r="14" spans="1:19" x14ac:dyDescent="0.45">
      <c r="A14" s="160">
        <v>57</v>
      </c>
      <c r="B14" s="161">
        <v>673</v>
      </c>
      <c r="C14" s="161">
        <v>1321</v>
      </c>
      <c r="D14" s="161">
        <v>2026</v>
      </c>
      <c r="E14" s="161">
        <v>23047</v>
      </c>
      <c r="F14" s="160">
        <v>57</v>
      </c>
      <c r="G14" s="161">
        <v>541</v>
      </c>
      <c r="H14" s="161">
        <v>1139</v>
      </c>
      <c r="I14" s="161">
        <v>1705</v>
      </c>
      <c r="J14" s="161">
        <v>15539</v>
      </c>
      <c r="K14" s="160">
        <v>59</v>
      </c>
      <c r="L14" s="161">
        <v>524</v>
      </c>
      <c r="M14" s="161">
        <v>619</v>
      </c>
      <c r="N14" s="161">
        <v>1157</v>
      </c>
      <c r="O14" s="161">
        <v>5410</v>
      </c>
      <c r="P14" s="160">
        <v>58</v>
      </c>
      <c r="Q14" s="161">
        <v>300</v>
      </c>
      <c r="R14" s="161">
        <v>295</v>
      </c>
      <c r="S14" s="161">
        <v>599</v>
      </c>
    </row>
    <row r="15" spans="1:19" x14ac:dyDescent="0.45">
      <c r="A15" s="160">
        <v>56</v>
      </c>
      <c r="B15" s="161">
        <v>927</v>
      </c>
      <c r="C15" s="161">
        <v>1925</v>
      </c>
      <c r="D15" s="161">
        <v>2886</v>
      </c>
      <c r="E15" s="161">
        <v>25933</v>
      </c>
      <c r="F15" s="160">
        <v>56</v>
      </c>
      <c r="G15" s="161">
        <v>674</v>
      </c>
      <c r="H15" s="161">
        <v>1259</v>
      </c>
      <c r="I15" s="161">
        <v>1957</v>
      </c>
      <c r="J15" s="161">
        <v>17496</v>
      </c>
      <c r="K15" s="160">
        <v>58</v>
      </c>
      <c r="L15" s="161">
        <v>852</v>
      </c>
      <c r="M15" s="161">
        <v>1005</v>
      </c>
      <c r="N15" s="161">
        <v>1877</v>
      </c>
      <c r="O15" s="161">
        <v>7287</v>
      </c>
      <c r="P15" s="160">
        <v>57</v>
      </c>
      <c r="Q15" s="161">
        <v>301</v>
      </c>
      <c r="R15" s="161">
        <v>380</v>
      </c>
      <c r="S15" s="161">
        <v>687</v>
      </c>
    </row>
    <row r="16" spans="1:19" x14ac:dyDescent="0.45">
      <c r="A16" s="160">
        <v>55</v>
      </c>
      <c r="B16" s="161">
        <v>1467</v>
      </c>
      <c r="C16" s="161">
        <v>2985</v>
      </c>
      <c r="D16" s="161">
        <v>4526</v>
      </c>
      <c r="E16" s="161">
        <v>30459</v>
      </c>
      <c r="F16" s="160">
        <v>55</v>
      </c>
      <c r="G16" s="161">
        <v>454</v>
      </c>
      <c r="H16" s="161">
        <v>907</v>
      </c>
      <c r="I16" s="161">
        <v>1385</v>
      </c>
      <c r="J16" s="161">
        <v>18881</v>
      </c>
      <c r="K16" s="160">
        <v>57</v>
      </c>
      <c r="L16" s="161">
        <v>499</v>
      </c>
      <c r="M16" s="161">
        <v>572</v>
      </c>
      <c r="N16" s="161">
        <v>1087</v>
      </c>
      <c r="O16" s="161">
        <v>8374</v>
      </c>
      <c r="P16" s="160">
        <v>56</v>
      </c>
      <c r="Q16" s="161">
        <v>322</v>
      </c>
      <c r="R16" s="161">
        <v>394</v>
      </c>
      <c r="S16" s="161">
        <v>725</v>
      </c>
    </row>
    <row r="17" spans="1:19" x14ac:dyDescent="0.45">
      <c r="A17" s="160">
        <v>54</v>
      </c>
      <c r="B17" s="161">
        <v>776</v>
      </c>
      <c r="C17" s="161">
        <v>1549</v>
      </c>
      <c r="D17" s="161">
        <v>2364</v>
      </c>
      <c r="E17" s="161">
        <v>32823</v>
      </c>
      <c r="F17" s="160">
        <v>54</v>
      </c>
      <c r="G17" s="161">
        <v>1162</v>
      </c>
      <c r="H17" s="161">
        <v>2201</v>
      </c>
      <c r="I17" s="161">
        <v>3407</v>
      </c>
      <c r="J17" s="161">
        <v>22288</v>
      </c>
      <c r="K17" s="160">
        <v>56</v>
      </c>
      <c r="L17" s="161">
        <v>336</v>
      </c>
      <c r="M17" s="161">
        <v>504</v>
      </c>
      <c r="N17" s="161">
        <v>851</v>
      </c>
      <c r="O17" s="161">
        <v>9225</v>
      </c>
      <c r="P17" s="160">
        <v>55</v>
      </c>
      <c r="Q17" s="161">
        <v>658</v>
      </c>
      <c r="R17" s="161">
        <v>787</v>
      </c>
      <c r="S17" s="161">
        <v>1458</v>
      </c>
    </row>
    <row r="18" spans="1:19" x14ac:dyDescent="0.45">
      <c r="A18" s="160">
        <v>53</v>
      </c>
      <c r="B18" s="161">
        <v>639</v>
      </c>
      <c r="C18" s="161">
        <v>1233</v>
      </c>
      <c r="D18" s="161">
        <v>1902</v>
      </c>
      <c r="E18" s="161">
        <v>34725</v>
      </c>
      <c r="F18" s="160">
        <v>53</v>
      </c>
      <c r="G18" s="161">
        <v>496</v>
      </c>
      <c r="H18" s="161">
        <v>880</v>
      </c>
      <c r="I18" s="161">
        <v>1401</v>
      </c>
      <c r="J18" s="161">
        <v>23689</v>
      </c>
      <c r="K18" s="160">
        <v>55</v>
      </c>
      <c r="L18" s="161">
        <v>498</v>
      </c>
      <c r="M18" s="161">
        <v>678</v>
      </c>
      <c r="N18" s="161">
        <v>1200</v>
      </c>
      <c r="O18" s="161">
        <v>10425</v>
      </c>
      <c r="P18" s="160">
        <v>54</v>
      </c>
      <c r="Q18" s="161">
        <v>276</v>
      </c>
      <c r="R18" s="161">
        <v>393</v>
      </c>
      <c r="S18" s="161">
        <v>673</v>
      </c>
    </row>
    <row r="19" spans="1:19" x14ac:dyDescent="0.45">
      <c r="A19" s="160">
        <v>52</v>
      </c>
      <c r="B19" s="161">
        <v>703</v>
      </c>
      <c r="C19" s="161">
        <v>1347</v>
      </c>
      <c r="D19" s="161">
        <v>2081</v>
      </c>
      <c r="E19" s="161">
        <v>36806</v>
      </c>
      <c r="F19" s="160">
        <v>52</v>
      </c>
      <c r="G19" s="161">
        <v>613</v>
      </c>
      <c r="H19" s="161">
        <v>1079</v>
      </c>
      <c r="I19" s="161">
        <v>1713</v>
      </c>
      <c r="J19" s="161">
        <v>25402</v>
      </c>
      <c r="K19" s="160">
        <v>54</v>
      </c>
      <c r="L19" s="161">
        <v>407</v>
      </c>
      <c r="M19" s="161">
        <v>525</v>
      </c>
      <c r="N19" s="161">
        <v>948</v>
      </c>
      <c r="O19" s="161">
        <v>11373</v>
      </c>
      <c r="P19" s="160">
        <v>53</v>
      </c>
      <c r="Q19" s="161">
        <v>333</v>
      </c>
      <c r="R19" s="161">
        <v>477</v>
      </c>
      <c r="S19" s="161">
        <v>814</v>
      </c>
    </row>
    <row r="20" spans="1:19" x14ac:dyDescent="0.45">
      <c r="A20" s="160">
        <v>51</v>
      </c>
      <c r="B20" s="161">
        <v>608</v>
      </c>
      <c r="C20" s="161">
        <v>1211</v>
      </c>
      <c r="D20" s="161">
        <v>1845</v>
      </c>
      <c r="E20" s="161">
        <v>38651</v>
      </c>
      <c r="F20" s="160">
        <v>51</v>
      </c>
      <c r="G20" s="161">
        <v>404</v>
      </c>
      <c r="H20" s="161">
        <v>747</v>
      </c>
      <c r="I20" s="161">
        <v>1165</v>
      </c>
      <c r="J20" s="161">
        <v>26567</v>
      </c>
      <c r="K20" s="160">
        <v>53</v>
      </c>
      <c r="L20" s="161">
        <v>383</v>
      </c>
      <c r="M20" s="161">
        <v>529</v>
      </c>
      <c r="N20" s="161">
        <v>935</v>
      </c>
      <c r="O20" s="161">
        <v>12308</v>
      </c>
      <c r="P20" s="160">
        <v>52</v>
      </c>
      <c r="Q20" s="161">
        <v>284</v>
      </c>
      <c r="R20" s="161">
        <v>433</v>
      </c>
      <c r="S20" s="161">
        <v>721</v>
      </c>
    </row>
    <row r="21" spans="1:19" x14ac:dyDescent="0.45">
      <c r="A21" s="160">
        <v>50</v>
      </c>
      <c r="B21" s="161">
        <v>1145</v>
      </c>
      <c r="C21" s="161">
        <v>2253</v>
      </c>
      <c r="D21" s="161">
        <v>3454</v>
      </c>
      <c r="E21" s="161">
        <v>42105</v>
      </c>
      <c r="F21" s="160">
        <v>50</v>
      </c>
      <c r="G21" s="161">
        <v>476</v>
      </c>
      <c r="H21" s="161">
        <v>895</v>
      </c>
      <c r="I21" s="161">
        <v>1386</v>
      </c>
      <c r="J21" s="161">
        <v>27953</v>
      </c>
      <c r="K21" s="160">
        <v>52</v>
      </c>
      <c r="L21" s="161">
        <v>436</v>
      </c>
      <c r="M21" s="161">
        <v>627</v>
      </c>
      <c r="N21" s="161">
        <v>1072</v>
      </c>
      <c r="O21" s="161">
        <v>13380</v>
      </c>
      <c r="P21" s="160">
        <v>51</v>
      </c>
      <c r="Q21" s="161">
        <v>278</v>
      </c>
      <c r="R21" s="161">
        <v>429</v>
      </c>
      <c r="S21" s="161">
        <v>712</v>
      </c>
    </row>
    <row r="22" spans="1:19" x14ac:dyDescent="0.45">
      <c r="A22" s="160">
        <v>49</v>
      </c>
      <c r="B22" s="161">
        <v>506</v>
      </c>
      <c r="C22" s="161">
        <v>1010</v>
      </c>
      <c r="D22" s="161">
        <v>1537</v>
      </c>
      <c r="E22" s="161">
        <v>43642</v>
      </c>
      <c r="F22" s="160">
        <v>49</v>
      </c>
      <c r="G22" s="161">
        <v>831</v>
      </c>
      <c r="H22" s="161">
        <v>1510</v>
      </c>
      <c r="I22" s="161">
        <v>2362</v>
      </c>
      <c r="J22" s="161">
        <v>30315</v>
      </c>
      <c r="K22" s="160">
        <v>51</v>
      </c>
      <c r="L22" s="161">
        <v>345</v>
      </c>
      <c r="M22" s="161">
        <v>399</v>
      </c>
      <c r="N22" s="161">
        <v>764</v>
      </c>
      <c r="O22" s="161">
        <v>14144</v>
      </c>
      <c r="P22" s="160">
        <v>50</v>
      </c>
      <c r="Q22" s="161">
        <v>307</v>
      </c>
      <c r="R22" s="161">
        <v>432</v>
      </c>
      <c r="S22" s="161">
        <v>745</v>
      </c>
    </row>
    <row r="23" spans="1:19" x14ac:dyDescent="0.45">
      <c r="A23" s="160">
        <v>48</v>
      </c>
      <c r="B23" s="161">
        <v>550</v>
      </c>
      <c r="C23" s="161">
        <v>1046</v>
      </c>
      <c r="D23" s="161">
        <v>1619</v>
      </c>
      <c r="E23" s="161">
        <v>45261</v>
      </c>
      <c r="F23" s="160">
        <v>48</v>
      </c>
      <c r="G23" s="161">
        <v>463</v>
      </c>
      <c r="H23" s="161">
        <v>746</v>
      </c>
      <c r="I23" s="161">
        <v>1231</v>
      </c>
      <c r="J23" s="161">
        <v>31546</v>
      </c>
      <c r="K23" s="160">
        <v>50</v>
      </c>
      <c r="L23" s="161">
        <v>379</v>
      </c>
      <c r="M23" s="161">
        <v>519</v>
      </c>
      <c r="N23" s="161">
        <v>913</v>
      </c>
      <c r="O23" s="161">
        <v>15057</v>
      </c>
      <c r="P23" s="160">
        <v>49</v>
      </c>
      <c r="Q23" s="161">
        <v>264</v>
      </c>
      <c r="R23" s="161">
        <v>401</v>
      </c>
      <c r="S23" s="161">
        <v>671</v>
      </c>
    </row>
    <row r="24" spans="1:19" x14ac:dyDescent="0.45">
      <c r="A24" s="160">
        <v>47</v>
      </c>
      <c r="B24" s="161">
        <v>525</v>
      </c>
      <c r="C24" s="161">
        <v>953</v>
      </c>
      <c r="D24" s="161">
        <v>1505</v>
      </c>
      <c r="E24" s="161">
        <v>46766</v>
      </c>
      <c r="F24" s="160">
        <v>47</v>
      </c>
      <c r="G24" s="161">
        <v>334</v>
      </c>
      <c r="H24" s="161">
        <v>598</v>
      </c>
      <c r="I24" s="161">
        <v>944</v>
      </c>
      <c r="J24" s="161">
        <v>32490</v>
      </c>
      <c r="K24" s="160">
        <v>49</v>
      </c>
      <c r="L24" s="161">
        <v>599</v>
      </c>
      <c r="M24" s="161">
        <v>780</v>
      </c>
      <c r="N24" s="161">
        <v>1406</v>
      </c>
      <c r="O24" s="161">
        <v>16463</v>
      </c>
      <c r="P24" s="160">
        <v>48</v>
      </c>
      <c r="Q24" s="161">
        <v>554</v>
      </c>
      <c r="R24" s="161">
        <v>818</v>
      </c>
      <c r="S24" s="161">
        <v>1382</v>
      </c>
    </row>
    <row r="25" spans="1:19" x14ac:dyDescent="0.45">
      <c r="A25" s="160">
        <v>46</v>
      </c>
      <c r="B25" s="161">
        <v>496</v>
      </c>
      <c r="C25" s="161">
        <v>863</v>
      </c>
      <c r="D25" s="161">
        <v>1380</v>
      </c>
      <c r="E25" s="161">
        <v>48146</v>
      </c>
      <c r="F25" s="160">
        <v>46</v>
      </c>
      <c r="G25" s="161">
        <v>368</v>
      </c>
      <c r="H25" s="161">
        <v>611</v>
      </c>
      <c r="I25" s="161">
        <v>993</v>
      </c>
      <c r="J25" s="161">
        <v>33483</v>
      </c>
      <c r="K25" s="160">
        <v>48</v>
      </c>
      <c r="L25" s="161">
        <v>304</v>
      </c>
      <c r="M25" s="161">
        <v>377</v>
      </c>
      <c r="N25" s="161">
        <v>686</v>
      </c>
      <c r="O25" s="161">
        <v>17149</v>
      </c>
      <c r="P25" s="160">
        <v>47</v>
      </c>
      <c r="Q25" s="161">
        <v>230</v>
      </c>
      <c r="R25" s="161">
        <v>341</v>
      </c>
      <c r="S25" s="161">
        <v>577</v>
      </c>
    </row>
    <row r="26" spans="1:19" x14ac:dyDescent="0.45">
      <c r="A26" s="160">
        <v>45</v>
      </c>
      <c r="B26" s="161">
        <v>960</v>
      </c>
      <c r="C26" s="161">
        <v>1605</v>
      </c>
      <c r="D26" s="161">
        <v>2610</v>
      </c>
      <c r="E26" s="161">
        <v>50756</v>
      </c>
      <c r="F26" s="160">
        <v>45</v>
      </c>
      <c r="G26" s="161">
        <v>393</v>
      </c>
      <c r="H26" s="161">
        <v>604</v>
      </c>
      <c r="I26" s="161">
        <v>1007</v>
      </c>
      <c r="J26" s="161">
        <v>34490</v>
      </c>
      <c r="K26" s="160">
        <v>47</v>
      </c>
      <c r="L26" s="161">
        <v>239</v>
      </c>
      <c r="M26" s="161">
        <v>322</v>
      </c>
      <c r="N26" s="161">
        <v>563</v>
      </c>
      <c r="O26" s="161">
        <v>17712</v>
      </c>
      <c r="P26" s="160">
        <v>46</v>
      </c>
      <c r="Q26" s="161">
        <v>241</v>
      </c>
      <c r="R26" s="161">
        <v>347</v>
      </c>
      <c r="S26" s="161">
        <v>598</v>
      </c>
    </row>
    <row r="27" spans="1:19" x14ac:dyDescent="0.45">
      <c r="A27" s="160">
        <v>44</v>
      </c>
      <c r="B27" s="161">
        <v>454</v>
      </c>
      <c r="C27" s="161">
        <v>807</v>
      </c>
      <c r="D27" s="161">
        <v>1280</v>
      </c>
      <c r="E27" s="161">
        <v>52036</v>
      </c>
      <c r="F27" s="160">
        <v>44</v>
      </c>
      <c r="G27" s="161">
        <v>625</v>
      </c>
      <c r="H27" s="161">
        <v>935</v>
      </c>
      <c r="I27" s="161">
        <v>1587</v>
      </c>
      <c r="J27" s="161">
        <v>36077</v>
      </c>
      <c r="K27" s="160">
        <v>46</v>
      </c>
      <c r="L27" s="161">
        <v>234</v>
      </c>
      <c r="M27" s="161">
        <v>279</v>
      </c>
      <c r="N27" s="161">
        <v>520</v>
      </c>
      <c r="O27" s="161">
        <v>18232</v>
      </c>
      <c r="P27" s="160">
        <v>45</v>
      </c>
      <c r="Q27" s="161">
        <v>206</v>
      </c>
      <c r="R27" s="161">
        <v>309</v>
      </c>
      <c r="S27" s="161">
        <v>523</v>
      </c>
    </row>
    <row r="28" spans="1:19" x14ac:dyDescent="0.45">
      <c r="A28" s="160">
        <v>43</v>
      </c>
      <c r="B28" s="161">
        <v>441</v>
      </c>
      <c r="C28" s="161">
        <v>665</v>
      </c>
      <c r="D28" s="161">
        <v>1131</v>
      </c>
      <c r="E28" s="161">
        <v>53167</v>
      </c>
      <c r="F28" s="160">
        <v>43</v>
      </c>
      <c r="G28" s="161">
        <v>291</v>
      </c>
      <c r="H28" s="161">
        <v>460</v>
      </c>
      <c r="I28" s="161">
        <v>758</v>
      </c>
      <c r="J28" s="161">
        <v>36835</v>
      </c>
      <c r="K28" s="160">
        <v>45</v>
      </c>
      <c r="L28" s="161">
        <v>215</v>
      </c>
      <c r="M28" s="161">
        <v>301</v>
      </c>
      <c r="N28" s="161">
        <v>524</v>
      </c>
      <c r="O28" s="161">
        <v>18756</v>
      </c>
      <c r="P28" s="160">
        <v>44</v>
      </c>
      <c r="Q28" s="161">
        <v>197</v>
      </c>
      <c r="R28" s="161">
        <v>278</v>
      </c>
      <c r="S28" s="161">
        <v>479</v>
      </c>
    </row>
    <row r="29" spans="1:19" x14ac:dyDescent="0.45">
      <c r="A29" s="160">
        <v>42</v>
      </c>
      <c r="B29" s="161">
        <v>483</v>
      </c>
      <c r="C29" s="161">
        <v>677</v>
      </c>
      <c r="D29" s="161">
        <v>1184</v>
      </c>
      <c r="E29" s="161">
        <v>54351</v>
      </c>
      <c r="F29" s="160">
        <v>42</v>
      </c>
      <c r="G29" s="161">
        <v>316</v>
      </c>
      <c r="H29" s="161">
        <v>419</v>
      </c>
      <c r="I29" s="161">
        <v>747</v>
      </c>
      <c r="J29" s="161">
        <v>37582</v>
      </c>
      <c r="K29" s="160">
        <v>44</v>
      </c>
      <c r="L29" s="161">
        <v>208</v>
      </c>
      <c r="M29" s="161">
        <v>240</v>
      </c>
      <c r="N29" s="161">
        <v>450</v>
      </c>
      <c r="O29" s="161">
        <v>19206</v>
      </c>
      <c r="P29" s="160">
        <v>43</v>
      </c>
      <c r="Q29" s="161">
        <v>205</v>
      </c>
      <c r="R29" s="161">
        <v>270</v>
      </c>
      <c r="S29" s="161">
        <v>479</v>
      </c>
    </row>
    <row r="30" spans="1:19" x14ac:dyDescent="0.45">
      <c r="A30" s="160">
        <v>41</v>
      </c>
      <c r="B30" s="161">
        <v>462</v>
      </c>
      <c r="C30" s="161">
        <v>669</v>
      </c>
      <c r="D30" s="161">
        <v>1159</v>
      </c>
      <c r="E30" s="161">
        <v>55510</v>
      </c>
      <c r="F30" s="160">
        <v>41</v>
      </c>
      <c r="G30" s="161">
        <v>365</v>
      </c>
      <c r="H30" s="161">
        <v>430</v>
      </c>
      <c r="I30" s="161">
        <v>805</v>
      </c>
      <c r="J30" s="161">
        <v>38387</v>
      </c>
      <c r="K30" s="160">
        <v>43</v>
      </c>
      <c r="L30" s="161">
        <v>201</v>
      </c>
      <c r="M30" s="161">
        <v>250</v>
      </c>
      <c r="N30" s="161">
        <v>463</v>
      </c>
      <c r="O30" s="161">
        <v>19669</v>
      </c>
      <c r="P30" s="160">
        <v>42</v>
      </c>
      <c r="Q30" s="161">
        <v>165</v>
      </c>
      <c r="R30" s="161">
        <v>212</v>
      </c>
      <c r="S30" s="161">
        <v>381</v>
      </c>
    </row>
    <row r="31" spans="1:19" x14ac:dyDescent="0.45">
      <c r="A31" s="160">
        <v>40</v>
      </c>
      <c r="B31" s="161">
        <v>939</v>
      </c>
      <c r="C31" s="161">
        <v>1192</v>
      </c>
      <c r="D31" s="161">
        <v>2188</v>
      </c>
      <c r="E31" s="161">
        <v>57698</v>
      </c>
      <c r="F31" s="160">
        <v>40</v>
      </c>
      <c r="G31" s="161">
        <v>295</v>
      </c>
      <c r="H31" s="161">
        <v>350</v>
      </c>
      <c r="I31" s="161">
        <v>654</v>
      </c>
      <c r="J31" s="161">
        <v>39041</v>
      </c>
      <c r="K31" s="160">
        <v>42</v>
      </c>
      <c r="L31" s="161">
        <v>177</v>
      </c>
      <c r="M31" s="161">
        <v>187</v>
      </c>
      <c r="N31" s="161">
        <v>374</v>
      </c>
      <c r="O31" s="161">
        <v>20043</v>
      </c>
      <c r="P31" s="160">
        <v>41</v>
      </c>
      <c r="Q31" s="161">
        <v>376</v>
      </c>
      <c r="R31" s="161">
        <v>431</v>
      </c>
      <c r="S31" s="161">
        <v>817</v>
      </c>
    </row>
    <row r="32" spans="1:19" x14ac:dyDescent="0.45">
      <c r="A32" s="160">
        <v>39</v>
      </c>
      <c r="B32" s="161">
        <v>450</v>
      </c>
      <c r="C32" s="161">
        <v>490</v>
      </c>
      <c r="D32" s="161">
        <v>956</v>
      </c>
      <c r="E32" s="161">
        <v>58654</v>
      </c>
      <c r="F32" s="160">
        <v>39</v>
      </c>
      <c r="G32" s="161">
        <v>747</v>
      </c>
      <c r="H32" s="161">
        <v>725</v>
      </c>
      <c r="I32" s="161">
        <v>1493</v>
      </c>
      <c r="J32" s="161">
        <v>40534</v>
      </c>
      <c r="K32" s="160">
        <v>41</v>
      </c>
      <c r="L32" s="161">
        <v>370</v>
      </c>
      <c r="M32" s="161">
        <v>422</v>
      </c>
      <c r="N32" s="161">
        <v>800</v>
      </c>
      <c r="O32" s="161">
        <v>20843</v>
      </c>
      <c r="P32" s="160">
        <v>40</v>
      </c>
      <c r="Q32" s="161">
        <v>171</v>
      </c>
      <c r="R32" s="161">
        <v>162</v>
      </c>
      <c r="S32" s="161">
        <v>339</v>
      </c>
    </row>
    <row r="33" spans="1:19" x14ac:dyDescent="0.45">
      <c r="A33" s="160">
        <v>38</v>
      </c>
      <c r="B33" s="161">
        <v>575</v>
      </c>
      <c r="C33" s="161">
        <v>623</v>
      </c>
      <c r="D33" s="161">
        <v>1228</v>
      </c>
      <c r="E33" s="161">
        <v>59882</v>
      </c>
      <c r="F33" s="160">
        <v>38</v>
      </c>
      <c r="G33" s="161">
        <v>333</v>
      </c>
      <c r="H33" s="161">
        <v>290</v>
      </c>
      <c r="I33" s="161">
        <v>631</v>
      </c>
      <c r="J33" s="161">
        <v>41165</v>
      </c>
      <c r="K33" s="160">
        <v>40</v>
      </c>
      <c r="L33" s="161">
        <v>150</v>
      </c>
      <c r="M33" s="161">
        <v>178</v>
      </c>
      <c r="N33" s="161">
        <v>332</v>
      </c>
      <c r="O33" s="161">
        <v>21175</v>
      </c>
      <c r="P33" s="160">
        <v>39</v>
      </c>
      <c r="Q33" s="161">
        <v>170</v>
      </c>
      <c r="R33" s="161">
        <v>178</v>
      </c>
      <c r="S33" s="161">
        <v>353</v>
      </c>
    </row>
    <row r="34" spans="1:19" x14ac:dyDescent="0.45">
      <c r="A34" s="160">
        <v>37</v>
      </c>
      <c r="B34" s="161">
        <v>551</v>
      </c>
      <c r="C34" s="161">
        <v>527</v>
      </c>
      <c r="D34" s="161">
        <v>1099</v>
      </c>
      <c r="E34" s="161">
        <v>60981</v>
      </c>
      <c r="F34" s="160">
        <v>37</v>
      </c>
      <c r="G34" s="161">
        <v>461</v>
      </c>
      <c r="H34" s="161">
        <v>373</v>
      </c>
      <c r="I34" s="161">
        <v>857</v>
      </c>
      <c r="J34" s="161">
        <v>42022</v>
      </c>
      <c r="K34" s="160">
        <v>39</v>
      </c>
      <c r="L34" s="161">
        <v>192</v>
      </c>
      <c r="M34" s="161">
        <v>147</v>
      </c>
      <c r="N34" s="161">
        <v>346</v>
      </c>
      <c r="O34" s="161">
        <v>21521</v>
      </c>
      <c r="P34" s="160">
        <v>38</v>
      </c>
      <c r="Q34" s="161">
        <v>147</v>
      </c>
      <c r="R34" s="161">
        <v>134</v>
      </c>
      <c r="S34" s="161">
        <v>283</v>
      </c>
    </row>
    <row r="35" spans="1:19" x14ac:dyDescent="0.45">
      <c r="A35" s="160">
        <v>36</v>
      </c>
      <c r="B35" s="161">
        <v>707</v>
      </c>
      <c r="C35" s="161">
        <v>548</v>
      </c>
      <c r="D35" s="161">
        <v>1276</v>
      </c>
      <c r="E35" s="161">
        <v>62257</v>
      </c>
      <c r="F35" s="160">
        <v>36</v>
      </c>
      <c r="G35" s="161">
        <v>317</v>
      </c>
      <c r="H35" s="161">
        <v>262</v>
      </c>
      <c r="I35" s="161">
        <v>589</v>
      </c>
      <c r="J35" s="161">
        <v>42611</v>
      </c>
      <c r="K35" s="160">
        <v>38</v>
      </c>
      <c r="L35" s="161">
        <v>173</v>
      </c>
      <c r="M35" s="161">
        <v>136</v>
      </c>
      <c r="N35" s="161">
        <v>319</v>
      </c>
      <c r="O35" s="161">
        <v>21840</v>
      </c>
      <c r="P35" s="160">
        <v>37</v>
      </c>
      <c r="Q35" s="161">
        <v>156</v>
      </c>
      <c r="R35" s="161">
        <v>134</v>
      </c>
      <c r="S35" s="161">
        <v>293</v>
      </c>
    </row>
    <row r="36" spans="1:19" x14ac:dyDescent="0.45">
      <c r="A36" s="160">
        <v>35</v>
      </c>
      <c r="B36" s="161">
        <v>997</v>
      </c>
      <c r="C36" s="161">
        <v>905</v>
      </c>
      <c r="D36" s="161">
        <v>1961</v>
      </c>
      <c r="E36" s="161">
        <v>64218</v>
      </c>
      <c r="F36" s="160">
        <v>35</v>
      </c>
      <c r="G36" s="161">
        <v>712</v>
      </c>
      <c r="H36" s="161">
        <v>493</v>
      </c>
      <c r="I36" s="161">
        <v>1216</v>
      </c>
      <c r="J36" s="161">
        <v>43827</v>
      </c>
      <c r="K36" s="160">
        <v>37</v>
      </c>
      <c r="L36" s="161">
        <v>192</v>
      </c>
      <c r="M36" s="161">
        <v>161</v>
      </c>
      <c r="N36" s="161">
        <v>357</v>
      </c>
      <c r="O36" s="161">
        <v>22197</v>
      </c>
      <c r="P36" s="160">
        <v>36</v>
      </c>
      <c r="Q36" s="161">
        <v>152</v>
      </c>
      <c r="R36" s="161">
        <v>122</v>
      </c>
      <c r="S36" s="161">
        <v>276</v>
      </c>
    </row>
    <row r="37" spans="1:19" x14ac:dyDescent="0.45">
      <c r="A37" s="160">
        <v>34</v>
      </c>
      <c r="B37" s="161">
        <v>1977</v>
      </c>
      <c r="C37" s="161">
        <v>1128</v>
      </c>
      <c r="D37" s="161">
        <v>3213</v>
      </c>
      <c r="E37" s="161">
        <v>67431</v>
      </c>
      <c r="F37" s="160">
        <v>34</v>
      </c>
      <c r="G37" s="161">
        <v>918</v>
      </c>
      <c r="H37" s="161">
        <v>659</v>
      </c>
      <c r="I37" s="161">
        <v>1601</v>
      </c>
      <c r="J37" s="161">
        <v>45428</v>
      </c>
      <c r="K37" s="160">
        <v>36</v>
      </c>
      <c r="L37" s="161">
        <v>245</v>
      </c>
      <c r="M37" s="161">
        <v>167</v>
      </c>
      <c r="N37" s="161">
        <v>418</v>
      </c>
      <c r="O37" s="161">
        <v>22615</v>
      </c>
      <c r="P37" s="160">
        <v>35</v>
      </c>
      <c r="Q37" s="161">
        <v>136</v>
      </c>
      <c r="R37" s="161">
        <v>100</v>
      </c>
      <c r="S37" s="161">
        <v>236</v>
      </c>
    </row>
    <row r="38" spans="1:19" x14ac:dyDescent="0.45">
      <c r="A38" s="160">
        <v>33</v>
      </c>
      <c r="B38" s="161">
        <v>918</v>
      </c>
      <c r="C38" s="161">
        <v>592</v>
      </c>
      <c r="D38" s="161">
        <v>1565</v>
      </c>
      <c r="E38" s="161">
        <v>68996</v>
      </c>
      <c r="F38" s="160">
        <v>33</v>
      </c>
      <c r="G38" s="161">
        <v>285</v>
      </c>
      <c r="H38" s="161">
        <v>193</v>
      </c>
      <c r="I38" s="161">
        <v>489</v>
      </c>
      <c r="J38" s="161">
        <v>45917</v>
      </c>
      <c r="K38" s="160">
        <v>35</v>
      </c>
      <c r="L38" s="161">
        <v>201</v>
      </c>
      <c r="M38" s="161">
        <v>98</v>
      </c>
      <c r="N38" s="161">
        <v>311</v>
      </c>
      <c r="O38" s="161">
        <v>22926</v>
      </c>
      <c r="P38" s="160">
        <v>34</v>
      </c>
      <c r="Q38" s="161">
        <v>669</v>
      </c>
      <c r="R38" s="161">
        <v>294</v>
      </c>
      <c r="S38" s="161">
        <v>982</v>
      </c>
    </row>
    <row r="39" spans="1:19" x14ac:dyDescent="0.45">
      <c r="A39" s="160">
        <v>32</v>
      </c>
      <c r="B39" s="161">
        <v>446</v>
      </c>
      <c r="C39" s="161">
        <v>323</v>
      </c>
      <c r="D39" s="161">
        <v>784</v>
      </c>
      <c r="E39" s="161">
        <v>69780</v>
      </c>
      <c r="F39" s="160">
        <v>32</v>
      </c>
      <c r="G39" s="161">
        <v>273</v>
      </c>
      <c r="H39" s="161">
        <v>180</v>
      </c>
      <c r="I39" s="161">
        <v>462</v>
      </c>
      <c r="J39" s="161">
        <v>46379</v>
      </c>
      <c r="K39" s="160">
        <v>34</v>
      </c>
      <c r="L39" s="161">
        <v>774</v>
      </c>
      <c r="M39" s="161">
        <v>302</v>
      </c>
      <c r="N39" s="161">
        <v>1093</v>
      </c>
      <c r="O39" s="161">
        <v>24019</v>
      </c>
      <c r="P39" s="160">
        <v>33</v>
      </c>
      <c r="Q39" s="161">
        <v>180</v>
      </c>
      <c r="R39" s="161">
        <v>115</v>
      </c>
      <c r="S39" s="161">
        <v>304</v>
      </c>
    </row>
    <row r="40" spans="1:19" x14ac:dyDescent="0.45">
      <c r="A40" s="160">
        <v>31</v>
      </c>
      <c r="B40" s="161">
        <v>353</v>
      </c>
      <c r="C40" s="161">
        <v>263</v>
      </c>
      <c r="D40" s="161">
        <v>643</v>
      </c>
      <c r="E40" s="161">
        <v>70423</v>
      </c>
      <c r="F40" s="160">
        <v>31</v>
      </c>
      <c r="G40" s="161">
        <v>257</v>
      </c>
      <c r="H40" s="161">
        <v>162</v>
      </c>
      <c r="I40" s="161">
        <v>425</v>
      </c>
      <c r="J40" s="161">
        <v>46804</v>
      </c>
      <c r="K40" s="160">
        <v>33</v>
      </c>
      <c r="L40" s="161">
        <v>291</v>
      </c>
      <c r="M40" s="161">
        <v>152</v>
      </c>
      <c r="N40" s="161">
        <v>450</v>
      </c>
      <c r="O40" s="161">
        <v>24469</v>
      </c>
      <c r="P40" s="160">
        <v>32</v>
      </c>
      <c r="Q40" s="161">
        <v>106</v>
      </c>
      <c r="R40" s="161">
        <v>59</v>
      </c>
      <c r="S40" s="161">
        <v>168</v>
      </c>
    </row>
    <row r="41" spans="1:19" x14ac:dyDescent="0.45">
      <c r="A41" s="160">
        <v>30</v>
      </c>
      <c r="B41" s="161">
        <v>571</v>
      </c>
      <c r="C41" s="161">
        <v>291</v>
      </c>
      <c r="D41" s="161">
        <v>893</v>
      </c>
      <c r="E41" s="161">
        <v>71316</v>
      </c>
      <c r="F41" s="160">
        <v>30</v>
      </c>
      <c r="G41" s="161">
        <v>1005</v>
      </c>
      <c r="H41" s="161">
        <v>457</v>
      </c>
      <c r="I41" s="161">
        <v>1500</v>
      </c>
      <c r="J41" s="161">
        <v>48304</v>
      </c>
      <c r="K41" s="160">
        <v>32</v>
      </c>
      <c r="L41" s="161">
        <v>542</v>
      </c>
      <c r="M41" s="161">
        <v>320</v>
      </c>
      <c r="N41" s="161">
        <v>881</v>
      </c>
      <c r="O41" s="161">
        <v>25350</v>
      </c>
      <c r="P41" s="160">
        <v>31</v>
      </c>
      <c r="Q41" s="161">
        <v>74</v>
      </c>
      <c r="R41" s="161">
        <v>51</v>
      </c>
      <c r="S41" s="161">
        <v>130</v>
      </c>
    </row>
    <row r="42" spans="1:19" x14ac:dyDescent="0.45">
      <c r="A42" s="160">
        <v>29</v>
      </c>
      <c r="B42" s="161">
        <v>136</v>
      </c>
      <c r="C42" s="161">
        <v>92</v>
      </c>
      <c r="D42" s="161">
        <v>233</v>
      </c>
      <c r="E42" s="161">
        <v>71549</v>
      </c>
      <c r="F42" s="160">
        <v>29</v>
      </c>
      <c r="G42" s="161">
        <v>182</v>
      </c>
      <c r="H42" s="161">
        <v>148</v>
      </c>
      <c r="I42" s="161">
        <v>340</v>
      </c>
      <c r="J42" s="161">
        <v>48644</v>
      </c>
      <c r="K42" s="160">
        <v>31</v>
      </c>
      <c r="L42" s="161">
        <v>226</v>
      </c>
      <c r="M42" s="161">
        <v>110</v>
      </c>
      <c r="N42" s="161">
        <v>345</v>
      </c>
      <c r="O42" s="161">
        <v>25695</v>
      </c>
      <c r="P42" s="160">
        <v>30</v>
      </c>
      <c r="Q42" s="161">
        <v>93</v>
      </c>
      <c r="R42" s="161">
        <v>59</v>
      </c>
      <c r="S42" s="161">
        <v>155</v>
      </c>
    </row>
    <row r="43" spans="1:19" x14ac:dyDescent="0.45">
      <c r="A43" s="160">
        <v>28</v>
      </c>
      <c r="B43" s="161">
        <v>76</v>
      </c>
      <c r="C43" s="161">
        <v>43</v>
      </c>
      <c r="D43" s="161">
        <v>122</v>
      </c>
      <c r="E43" s="161">
        <v>71671</v>
      </c>
      <c r="F43" s="160">
        <v>28</v>
      </c>
      <c r="G43" s="161">
        <v>41</v>
      </c>
      <c r="H43" s="161">
        <v>17</v>
      </c>
      <c r="I43" s="161">
        <v>59</v>
      </c>
      <c r="J43" s="161">
        <v>48703</v>
      </c>
      <c r="K43" s="160">
        <v>30</v>
      </c>
      <c r="L43" s="161">
        <v>92</v>
      </c>
      <c r="M43" s="161">
        <v>53</v>
      </c>
      <c r="N43" s="161">
        <v>151</v>
      </c>
      <c r="O43" s="161">
        <v>25846</v>
      </c>
      <c r="P43" s="160">
        <v>29</v>
      </c>
      <c r="Q43" s="161">
        <v>221</v>
      </c>
      <c r="R43" s="161">
        <v>73</v>
      </c>
      <c r="S43" s="161">
        <v>302</v>
      </c>
    </row>
    <row r="44" spans="1:19" x14ac:dyDescent="0.45">
      <c r="A44" s="160">
        <v>27</v>
      </c>
      <c r="B44" s="161">
        <v>92</v>
      </c>
      <c r="C44" s="161">
        <v>63</v>
      </c>
      <c r="D44" s="161">
        <v>164</v>
      </c>
      <c r="E44" s="161">
        <v>71835</v>
      </c>
      <c r="F44" s="160">
        <v>27</v>
      </c>
      <c r="G44" s="161">
        <v>58</v>
      </c>
      <c r="H44" s="161">
        <v>36</v>
      </c>
      <c r="I44" s="161">
        <v>98</v>
      </c>
      <c r="J44" s="161">
        <v>48801</v>
      </c>
      <c r="K44" s="160">
        <v>29</v>
      </c>
      <c r="L44" s="161">
        <v>107</v>
      </c>
      <c r="M44" s="161">
        <v>42</v>
      </c>
      <c r="N44" s="161">
        <v>151</v>
      </c>
      <c r="O44" s="161">
        <v>25997</v>
      </c>
      <c r="P44" s="160">
        <v>28</v>
      </c>
      <c r="Q44" s="161">
        <v>59</v>
      </c>
      <c r="R44" s="161">
        <v>30</v>
      </c>
      <c r="S44" s="161">
        <v>92</v>
      </c>
    </row>
    <row r="45" spans="1:19" x14ac:dyDescent="0.45">
      <c r="A45" s="160">
        <v>25</v>
      </c>
      <c r="B45" s="161">
        <v>38</v>
      </c>
      <c r="C45" s="161">
        <v>23</v>
      </c>
      <c r="D45" s="161">
        <v>63</v>
      </c>
      <c r="E45" s="161">
        <v>71898</v>
      </c>
      <c r="F45" s="160">
        <v>25</v>
      </c>
      <c r="G45" s="161">
        <v>26</v>
      </c>
      <c r="H45" s="161">
        <v>8</v>
      </c>
      <c r="I45" s="161">
        <v>35</v>
      </c>
      <c r="J45" s="161">
        <v>48836</v>
      </c>
      <c r="K45" s="160">
        <v>28</v>
      </c>
      <c r="L45" s="161">
        <v>62</v>
      </c>
      <c r="M45" s="161">
        <v>31</v>
      </c>
      <c r="N45" s="161">
        <v>94</v>
      </c>
      <c r="O45" s="161">
        <v>26091</v>
      </c>
      <c r="P45" s="160">
        <v>27</v>
      </c>
      <c r="Q45" s="161">
        <v>32</v>
      </c>
      <c r="R45" s="161">
        <v>16</v>
      </c>
      <c r="S45" s="161">
        <v>48</v>
      </c>
    </row>
    <row r="46" spans="1:19" x14ac:dyDescent="0.45">
      <c r="A46" s="160"/>
      <c r="B46" s="161"/>
      <c r="C46" s="161"/>
      <c r="D46" s="161"/>
      <c r="E46" s="161"/>
      <c r="F46" s="160"/>
      <c r="G46" s="161"/>
      <c r="H46" s="161"/>
      <c r="I46" s="161"/>
      <c r="J46" s="161"/>
      <c r="K46" s="160">
        <v>27</v>
      </c>
      <c r="L46" s="161">
        <v>32</v>
      </c>
      <c r="M46" s="161">
        <v>15</v>
      </c>
      <c r="N46" s="161">
        <v>47</v>
      </c>
      <c r="O46" s="161">
        <v>26138</v>
      </c>
      <c r="P46" s="160">
        <v>26</v>
      </c>
      <c r="Q46" s="161">
        <v>66</v>
      </c>
      <c r="R46" s="161">
        <v>31</v>
      </c>
      <c r="S46" s="161">
        <v>99</v>
      </c>
    </row>
    <row r="47" spans="1:19" x14ac:dyDescent="0.45">
      <c r="A47" s="160"/>
      <c r="B47" s="161"/>
      <c r="C47" s="161"/>
      <c r="D47" s="161"/>
      <c r="E47" s="161"/>
      <c r="F47" s="160"/>
      <c r="G47" s="161"/>
      <c r="H47" s="161"/>
      <c r="I47" s="161"/>
      <c r="J47" s="161"/>
      <c r="K47" s="160">
        <v>26</v>
      </c>
      <c r="L47" s="161">
        <v>23</v>
      </c>
      <c r="M47" s="161">
        <v>12</v>
      </c>
      <c r="N47" s="161">
        <v>36</v>
      </c>
      <c r="O47" s="161">
        <v>26174</v>
      </c>
      <c r="P47" s="160">
        <v>24</v>
      </c>
      <c r="Q47" s="161">
        <v>11</v>
      </c>
      <c r="R47" s="161">
        <v>2</v>
      </c>
      <c r="S47" s="161">
        <v>13</v>
      </c>
    </row>
    <row r="48" spans="1:19" x14ac:dyDescent="0.45">
      <c r="A48" s="160"/>
      <c r="B48" s="161"/>
      <c r="C48" s="161"/>
      <c r="D48" s="161"/>
      <c r="E48" s="161"/>
      <c r="F48" s="160"/>
      <c r="G48" s="161"/>
      <c r="H48" s="161"/>
      <c r="I48" s="161"/>
      <c r="J48" s="161"/>
      <c r="K48" s="160">
        <v>24</v>
      </c>
      <c r="L48" s="161">
        <v>15</v>
      </c>
      <c r="M48" s="161">
        <v>5</v>
      </c>
      <c r="N48" s="161">
        <v>20</v>
      </c>
      <c r="O48" s="161">
        <v>26194</v>
      </c>
      <c r="P48" s="160"/>
      <c r="Q48" s="161"/>
      <c r="R48" s="161"/>
      <c r="S48" s="161"/>
    </row>
    <row r="49" spans="1:19" x14ac:dyDescent="0.45">
      <c r="A49" s="6"/>
      <c r="B49" s="1"/>
      <c r="C49" s="1"/>
      <c r="D49" s="7"/>
      <c r="F49" s="6"/>
      <c r="G49" s="1"/>
      <c r="H49" s="1"/>
      <c r="I49" s="7"/>
      <c r="K49" s="6"/>
      <c r="L49" s="1"/>
      <c r="M49" s="1"/>
      <c r="N49" s="7"/>
      <c r="P49" s="6"/>
      <c r="Q49" s="1"/>
      <c r="R49" s="1"/>
      <c r="S49" s="7"/>
    </row>
    <row r="50" spans="1:19" x14ac:dyDescent="0.45">
      <c r="A50" s="6"/>
      <c r="B50" s="1"/>
      <c r="C50" s="1"/>
      <c r="D50" s="7"/>
      <c r="F50" s="6"/>
      <c r="G50" s="1"/>
      <c r="H50" s="1"/>
      <c r="I50" s="7"/>
      <c r="K50" s="6"/>
      <c r="L50" s="1"/>
      <c r="M50" s="1"/>
      <c r="N50" s="7"/>
      <c r="P50" s="6"/>
      <c r="Q50" s="1"/>
      <c r="R50" s="1"/>
      <c r="S50" s="7"/>
    </row>
    <row r="51" spans="1:19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19" ht="17.5" thickBot="1" x14ac:dyDescent="0.5">
      <c r="A52" s="8"/>
      <c r="B52" s="9"/>
      <c r="C52" s="9"/>
      <c r="D52" s="2"/>
      <c r="F52" s="8"/>
      <c r="G52" s="9"/>
      <c r="H52" s="9"/>
      <c r="I52" s="2"/>
      <c r="K52" s="8"/>
      <c r="L52" s="9"/>
      <c r="M52" s="9"/>
      <c r="N52" s="2"/>
      <c r="P52" s="8"/>
      <c r="Q52" s="9"/>
      <c r="R52" s="9"/>
      <c r="S52" s="2"/>
    </row>
    <row r="61" spans="1:19" ht="17.5" thickBot="1" x14ac:dyDescent="0.5"/>
    <row r="62" spans="1:19" x14ac:dyDescent="0.45">
      <c r="A62" s="40" t="s">
        <v>13</v>
      </c>
      <c r="B62" s="41"/>
      <c r="C62" s="41"/>
      <c r="D62" s="42"/>
      <c r="F62" s="40" t="s">
        <v>14</v>
      </c>
      <c r="G62" s="41"/>
      <c r="H62" s="41"/>
      <c r="I62" s="42"/>
      <c r="K62" s="40" t="s">
        <v>15</v>
      </c>
      <c r="L62" s="41"/>
      <c r="M62" s="41"/>
      <c r="N62" s="42"/>
      <c r="P62" s="40" t="s">
        <v>58</v>
      </c>
      <c r="Q62" s="41"/>
      <c r="R62" s="41"/>
      <c r="S62" s="42"/>
    </row>
    <row r="63" spans="1:19" x14ac:dyDescent="0.45">
      <c r="A63" s="6" t="s">
        <v>6</v>
      </c>
      <c r="B63" s="1"/>
      <c r="C63" s="1"/>
      <c r="D63" s="7" t="s">
        <v>7</v>
      </c>
      <c r="F63" s="6" t="s">
        <v>6</v>
      </c>
      <c r="G63" s="1"/>
      <c r="H63" s="1"/>
      <c r="I63" s="7" t="s">
        <v>7</v>
      </c>
      <c r="K63" s="6" t="s">
        <v>6</v>
      </c>
      <c r="L63" s="1"/>
      <c r="M63" s="1"/>
      <c r="N63" s="7" t="s">
        <v>7</v>
      </c>
      <c r="P63" s="6" t="s">
        <v>6</v>
      </c>
      <c r="Q63" s="1"/>
      <c r="R63" s="1"/>
      <c r="S63" s="7" t="s">
        <v>7</v>
      </c>
    </row>
    <row r="64" spans="1:19" x14ac:dyDescent="0.45">
      <c r="A64" s="160">
        <v>82</v>
      </c>
      <c r="B64" s="161">
        <v>66</v>
      </c>
      <c r="C64" s="161">
        <v>4</v>
      </c>
      <c r="D64" s="161">
        <v>70</v>
      </c>
      <c r="E64" s="161">
        <v>70</v>
      </c>
      <c r="F64" s="160">
        <v>79</v>
      </c>
      <c r="G64" s="161">
        <v>156</v>
      </c>
      <c r="H64" s="161">
        <v>8</v>
      </c>
      <c r="I64" s="161">
        <v>168</v>
      </c>
      <c r="J64" s="161">
        <v>168</v>
      </c>
      <c r="K64" s="160">
        <v>71</v>
      </c>
      <c r="L64" s="161">
        <v>150</v>
      </c>
      <c r="M64" s="161">
        <v>42</v>
      </c>
      <c r="N64" s="161">
        <v>196</v>
      </c>
      <c r="O64" s="161">
        <v>196</v>
      </c>
      <c r="P64" s="160">
        <v>71</v>
      </c>
      <c r="Q64" s="161">
        <v>126</v>
      </c>
      <c r="R64" s="161">
        <v>123</v>
      </c>
      <c r="S64" s="161">
        <v>250</v>
      </c>
    </row>
    <row r="65" spans="1:19" x14ac:dyDescent="0.45">
      <c r="A65" s="160">
        <v>80</v>
      </c>
      <c r="B65" s="161">
        <v>23</v>
      </c>
      <c r="C65" s="161">
        <v>3</v>
      </c>
      <c r="D65" s="161">
        <v>26</v>
      </c>
      <c r="E65" s="161">
        <v>96</v>
      </c>
      <c r="F65" s="160">
        <v>77</v>
      </c>
      <c r="G65" s="161">
        <v>37</v>
      </c>
      <c r="H65" s="161">
        <v>3</v>
      </c>
      <c r="I65" s="161">
        <v>44</v>
      </c>
      <c r="J65" s="161">
        <v>212</v>
      </c>
      <c r="K65" s="160">
        <v>69</v>
      </c>
      <c r="L65" s="161">
        <v>70</v>
      </c>
      <c r="M65" s="161">
        <v>30</v>
      </c>
      <c r="N65" s="161">
        <v>103</v>
      </c>
      <c r="O65" s="161">
        <v>299</v>
      </c>
      <c r="P65" s="160">
        <v>69</v>
      </c>
      <c r="Q65" s="161">
        <v>42</v>
      </c>
      <c r="R65" s="161">
        <v>46</v>
      </c>
      <c r="S65" s="161">
        <v>89</v>
      </c>
    </row>
    <row r="66" spans="1:19" x14ac:dyDescent="0.45">
      <c r="A66" s="160">
        <v>79</v>
      </c>
      <c r="B66" s="161">
        <v>50</v>
      </c>
      <c r="C66" s="161">
        <v>5</v>
      </c>
      <c r="D66" s="161">
        <v>56</v>
      </c>
      <c r="E66" s="161">
        <v>152</v>
      </c>
      <c r="F66" s="160">
        <v>76</v>
      </c>
      <c r="G66" s="161">
        <v>147</v>
      </c>
      <c r="H66" s="161">
        <v>14</v>
      </c>
      <c r="I66" s="161">
        <v>162</v>
      </c>
      <c r="J66" s="161">
        <v>374</v>
      </c>
      <c r="K66" s="160">
        <v>68</v>
      </c>
      <c r="L66" s="161">
        <v>196</v>
      </c>
      <c r="M66" s="161">
        <v>77</v>
      </c>
      <c r="N66" s="161">
        <v>274</v>
      </c>
      <c r="O66" s="161">
        <v>573</v>
      </c>
      <c r="P66" s="160">
        <v>68</v>
      </c>
      <c r="Q66" s="161">
        <v>467</v>
      </c>
      <c r="R66" s="161">
        <v>522</v>
      </c>
      <c r="S66" s="161">
        <v>1002</v>
      </c>
    </row>
    <row r="67" spans="1:19" x14ac:dyDescent="0.45">
      <c r="A67" s="160">
        <v>78</v>
      </c>
      <c r="B67" s="161">
        <v>12</v>
      </c>
      <c r="C67" s="161">
        <v>0</v>
      </c>
      <c r="D67" s="161">
        <v>12</v>
      </c>
      <c r="E67" s="161">
        <v>164</v>
      </c>
      <c r="F67" s="160">
        <v>75</v>
      </c>
      <c r="G67" s="161">
        <v>14</v>
      </c>
      <c r="H67" s="161">
        <v>2</v>
      </c>
      <c r="I67" s="161">
        <v>16</v>
      </c>
      <c r="J67" s="161">
        <v>390</v>
      </c>
      <c r="K67" s="160">
        <v>67</v>
      </c>
      <c r="L67" s="161">
        <v>166</v>
      </c>
      <c r="M67" s="161">
        <v>108</v>
      </c>
      <c r="N67" s="161">
        <v>276</v>
      </c>
      <c r="O67" s="161">
        <v>849</v>
      </c>
      <c r="P67" s="160">
        <v>67</v>
      </c>
      <c r="Q67" s="161">
        <v>193</v>
      </c>
      <c r="R67" s="161">
        <v>242</v>
      </c>
      <c r="S67" s="161">
        <v>446</v>
      </c>
    </row>
    <row r="68" spans="1:19" x14ac:dyDescent="0.45">
      <c r="A68" s="160">
        <v>77</v>
      </c>
      <c r="B68" s="161">
        <v>45</v>
      </c>
      <c r="C68" s="161">
        <v>6</v>
      </c>
      <c r="D68" s="161">
        <v>52</v>
      </c>
      <c r="E68" s="161">
        <v>216</v>
      </c>
      <c r="F68" s="160">
        <v>74</v>
      </c>
      <c r="G68" s="161">
        <v>93</v>
      </c>
      <c r="H68" s="161">
        <v>15</v>
      </c>
      <c r="I68" s="161">
        <v>108</v>
      </c>
      <c r="J68" s="161">
        <v>498</v>
      </c>
      <c r="K68" s="160">
        <v>66</v>
      </c>
      <c r="L68" s="161">
        <v>132</v>
      </c>
      <c r="M68" s="161">
        <v>67</v>
      </c>
      <c r="N68" s="161">
        <v>202</v>
      </c>
      <c r="O68" s="161">
        <v>1051</v>
      </c>
      <c r="P68" s="160">
        <v>66</v>
      </c>
      <c r="Q68" s="161">
        <v>506</v>
      </c>
      <c r="R68" s="161">
        <v>684</v>
      </c>
      <c r="S68" s="161">
        <v>1205</v>
      </c>
    </row>
    <row r="69" spans="1:19" x14ac:dyDescent="0.45">
      <c r="A69" s="160">
        <v>76</v>
      </c>
      <c r="B69" s="161">
        <v>36</v>
      </c>
      <c r="C69" s="161">
        <v>12</v>
      </c>
      <c r="D69" s="161">
        <v>49</v>
      </c>
      <c r="E69" s="161">
        <v>265</v>
      </c>
      <c r="F69" s="160">
        <v>73</v>
      </c>
      <c r="G69" s="161">
        <v>122</v>
      </c>
      <c r="H69" s="161">
        <v>21</v>
      </c>
      <c r="I69" s="161">
        <v>143</v>
      </c>
      <c r="J69" s="161">
        <v>641</v>
      </c>
      <c r="K69" s="160">
        <v>65</v>
      </c>
      <c r="L69" s="161">
        <v>136</v>
      </c>
      <c r="M69" s="161">
        <v>73</v>
      </c>
      <c r="N69" s="161">
        <v>213</v>
      </c>
      <c r="O69" s="161">
        <v>1264</v>
      </c>
      <c r="P69" s="160">
        <v>65</v>
      </c>
      <c r="Q69" s="161">
        <v>68</v>
      </c>
      <c r="R69" s="161">
        <v>93</v>
      </c>
      <c r="S69" s="161">
        <v>166</v>
      </c>
    </row>
    <row r="70" spans="1:19" x14ac:dyDescent="0.45">
      <c r="A70" s="160">
        <v>74</v>
      </c>
      <c r="B70" s="161">
        <v>42</v>
      </c>
      <c r="C70" s="161">
        <v>2</v>
      </c>
      <c r="D70" s="161">
        <v>44</v>
      </c>
      <c r="E70" s="161">
        <v>309</v>
      </c>
      <c r="F70" s="160">
        <v>72</v>
      </c>
      <c r="G70" s="161">
        <v>40</v>
      </c>
      <c r="H70" s="161">
        <v>8</v>
      </c>
      <c r="I70" s="161">
        <v>48</v>
      </c>
      <c r="J70" s="161">
        <v>689</v>
      </c>
      <c r="K70" s="160">
        <v>64</v>
      </c>
      <c r="L70" s="161">
        <v>191</v>
      </c>
      <c r="M70" s="161">
        <v>113</v>
      </c>
      <c r="N70" s="161">
        <v>309</v>
      </c>
      <c r="O70" s="161">
        <v>1573</v>
      </c>
      <c r="P70" s="160">
        <v>64</v>
      </c>
      <c r="Q70" s="161">
        <v>343</v>
      </c>
      <c r="R70" s="161">
        <v>498</v>
      </c>
      <c r="S70" s="161">
        <v>853</v>
      </c>
    </row>
    <row r="71" spans="1:19" x14ac:dyDescent="0.45">
      <c r="A71" s="160">
        <v>73</v>
      </c>
      <c r="B71" s="161">
        <v>58</v>
      </c>
      <c r="C71" s="161">
        <v>8</v>
      </c>
      <c r="D71" s="161">
        <v>66</v>
      </c>
      <c r="E71" s="161">
        <v>375</v>
      </c>
      <c r="F71" s="160">
        <v>71</v>
      </c>
      <c r="G71" s="161">
        <v>131</v>
      </c>
      <c r="H71" s="161">
        <v>24</v>
      </c>
      <c r="I71" s="161">
        <v>158</v>
      </c>
      <c r="J71" s="161">
        <v>847</v>
      </c>
      <c r="K71" s="160">
        <v>63</v>
      </c>
      <c r="L71" s="161">
        <v>313</v>
      </c>
      <c r="M71" s="161">
        <v>191</v>
      </c>
      <c r="N71" s="161">
        <v>509</v>
      </c>
      <c r="O71" s="161">
        <v>2082</v>
      </c>
      <c r="P71" s="160">
        <v>63</v>
      </c>
      <c r="Q71" s="161">
        <v>437</v>
      </c>
      <c r="R71" s="161">
        <v>656</v>
      </c>
      <c r="S71" s="161">
        <v>1107</v>
      </c>
    </row>
    <row r="72" spans="1:19" x14ac:dyDescent="0.45">
      <c r="A72" s="160">
        <v>72</v>
      </c>
      <c r="B72" s="161">
        <v>40</v>
      </c>
      <c r="C72" s="161">
        <v>9</v>
      </c>
      <c r="D72" s="161">
        <v>49</v>
      </c>
      <c r="E72" s="161">
        <v>424</v>
      </c>
      <c r="F72" s="160">
        <v>70</v>
      </c>
      <c r="G72" s="161">
        <v>126</v>
      </c>
      <c r="H72" s="161">
        <v>38</v>
      </c>
      <c r="I72" s="161">
        <v>164</v>
      </c>
      <c r="J72" s="161">
        <v>1011</v>
      </c>
      <c r="K72" s="160">
        <v>62</v>
      </c>
      <c r="L72" s="161">
        <v>198</v>
      </c>
      <c r="M72" s="161">
        <v>120</v>
      </c>
      <c r="N72" s="161">
        <v>323</v>
      </c>
      <c r="O72" s="161">
        <v>2405</v>
      </c>
      <c r="P72" s="160">
        <v>62</v>
      </c>
      <c r="Q72" s="161">
        <v>156</v>
      </c>
      <c r="R72" s="161">
        <v>256</v>
      </c>
      <c r="S72" s="161">
        <v>418</v>
      </c>
    </row>
    <row r="73" spans="1:19" x14ac:dyDescent="0.45">
      <c r="A73" s="160">
        <v>71</v>
      </c>
      <c r="B73" s="161">
        <v>60</v>
      </c>
      <c r="C73" s="161">
        <v>11</v>
      </c>
      <c r="D73" s="161">
        <v>72</v>
      </c>
      <c r="E73" s="161">
        <v>496</v>
      </c>
      <c r="F73" s="160">
        <v>69</v>
      </c>
      <c r="G73" s="161">
        <v>86</v>
      </c>
      <c r="H73" s="161">
        <v>19</v>
      </c>
      <c r="I73" s="161">
        <v>106</v>
      </c>
      <c r="J73" s="161">
        <v>1117</v>
      </c>
      <c r="K73" s="160">
        <v>61</v>
      </c>
      <c r="L73" s="161">
        <v>155</v>
      </c>
      <c r="M73" s="161">
        <v>101</v>
      </c>
      <c r="N73" s="161">
        <v>264</v>
      </c>
      <c r="O73" s="161">
        <v>2669</v>
      </c>
      <c r="P73" s="160">
        <v>61</v>
      </c>
      <c r="Q73" s="161">
        <v>857</v>
      </c>
      <c r="R73" s="161">
        <v>1312</v>
      </c>
      <c r="S73" s="161">
        <v>2195</v>
      </c>
    </row>
    <row r="74" spans="1:19" x14ac:dyDescent="0.45">
      <c r="A74" s="160">
        <v>70</v>
      </c>
      <c r="B74" s="161">
        <v>54</v>
      </c>
      <c r="C74" s="161">
        <v>17</v>
      </c>
      <c r="D74" s="161">
        <v>74</v>
      </c>
      <c r="E74" s="161">
        <v>570</v>
      </c>
      <c r="F74" s="160">
        <v>68</v>
      </c>
      <c r="G74" s="161">
        <v>160</v>
      </c>
      <c r="H74" s="161">
        <v>36</v>
      </c>
      <c r="I74" s="161">
        <v>197</v>
      </c>
      <c r="J74" s="161">
        <v>1314</v>
      </c>
      <c r="K74" s="160">
        <v>60</v>
      </c>
      <c r="L74" s="161">
        <v>209</v>
      </c>
      <c r="M74" s="161">
        <v>137</v>
      </c>
      <c r="N74" s="161">
        <v>359</v>
      </c>
      <c r="O74" s="161">
        <v>3028</v>
      </c>
      <c r="P74" s="160">
        <v>60</v>
      </c>
      <c r="Q74" s="161">
        <v>315</v>
      </c>
      <c r="R74" s="161">
        <v>471</v>
      </c>
      <c r="S74" s="161">
        <v>798</v>
      </c>
    </row>
    <row r="75" spans="1:19" x14ac:dyDescent="0.45">
      <c r="A75" s="160">
        <v>69</v>
      </c>
      <c r="B75" s="161">
        <v>49</v>
      </c>
      <c r="C75" s="161">
        <v>6</v>
      </c>
      <c r="D75" s="161">
        <v>56</v>
      </c>
      <c r="E75" s="161">
        <v>626</v>
      </c>
      <c r="F75" s="160">
        <v>67</v>
      </c>
      <c r="G75" s="161">
        <v>137</v>
      </c>
      <c r="H75" s="161">
        <v>55</v>
      </c>
      <c r="I75" s="161">
        <v>196</v>
      </c>
      <c r="J75" s="161">
        <v>1510</v>
      </c>
      <c r="K75" s="160">
        <v>59</v>
      </c>
      <c r="L75" s="161">
        <v>177</v>
      </c>
      <c r="M75" s="161">
        <v>107</v>
      </c>
      <c r="N75" s="161">
        <v>290</v>
      </c>
      <c r="O75" s="161">
        <v>3318</v>
      </c>
      <c r="P75" s="160">
        <v>59</v>
      </c>
      <c r="Q75" s="161">
        <v>444</v>
      </c>
      <c r="R75" s="161">
        <v>820</v>
      </c>
      <c r="S75" s="161">
        <v>1281</v>
      </c>
    </row>
    <row r="76" spans="1:19" x14ac:dyDescent="0.45">
      <c r="A76" s="160">
        <v>68</v>
      </c>
      <c r="B76" s="161">
        <v>75</v>
      </c>
      <c r="C76" s="161">
        <v>25</v>
      </c>
      <c r="D76" s="161">
        <v>101</v>
      </c>
      <c r="E76" s="161">
        <v>727</v>
      </c>
      <c r="F76" s="160">
        <v>66</v>
      </c>
      <c r="G76" s="161">
        <v>136</v>
      </c>
      <c r="H76" s="161">
        <v>41</v>
      </c>
      <c r="I76" s="161">
        <v>180</v>
      </c>
      <c r="J76" s="161">
        <v>1690</v>
      </c>
      <c r="K76" s="160">
        <v>58</v>
      </c>
      <c r="L76" s="161">
        <v>396</v>
      </c>
      <c r="M76" s="161">
        <v>292</v>
      </c>
      <c r="N76" s="161">
        <v>696</v>
      </c>
      <c r="O76" s="161">
        <v>4014</v>
      </c>
      <c r="P76" s="160">
        <v>58</v>
      </c>
      <c r="Q76" s="161">
        <v>329</v>
      </c>
      <c r="R76" s="161">
        <v>570</v>
      </c>
      <c r="S76" s="161">
        <v>909</v>
      </c>
    </row>
    <row r="77" spans="1:19" x14ac:dyDescent="0.45">
      <c r="A77" s="160">
        <v>67</v>
      </c>
      <c r="B77" s="161">
        <v>57</v>
      </c>
      <c r="C77" s="161">
        <v>24</v>
      </c>
      <c r="D77" s="161">
        <v>83</v>
      </c>
      <c r="E77" s="161">
        <v>810</v>
      </c>
      <c r="F77" s="160">
        <v>65</v>
      </c>
      <c r="G77" s="161">
        <v>195</v>
      </c>
      <c r="H77" s="161">
        <v>53</v>
      </c>
      <c r="I77" s="161">
        <v>252</v>
      </c>
      <c r="J77" s="161">
        <v>1942</v>
      </c>
      <c r="K77" s="160">
        <v>57</v>
      </c>
      <c r="L77" s="161">
        <v>177</v>
      </c>
      <c r="M77" s="161">
        <v>110</v>
      </c>
      <c r="N77" s="161">
        <v>292</v>
      </c>
      <c r="O77" s="161">
        <v>4306</v>
      </c>
      <c r="P77" s="160">
        <v>57</v>
      </c>
      <c r="Q77" s="161">
        <v>410</v>
      </c>
      <c r="R77" s="161">
        <v>660</v>
      </c>
      <c r="S77" s="161">
        <v>1084</v>
      </c>
    </row>
    <row r="78" spans="1:19" x14ac:dyDescent="0.45">
      <c r="A78" s="160">
        <v>66</v>
      </c>
      <c r="B78" s="161">
        <v>85</v>
      </c>
      <c r="C78" s="161">
        <v>37</v>
      </c>
      <c r="D78" s="161">
        <v>122</v>
      </c>
      <c r="E78" s="161">
        <v>932</v>
      </c>
      <c r="F78" s="160">
        <v>64</v>
      </c>
      <c r="G78" s="161">
        <v>145</v>
      </c>
      <c r="H78" s="161">
        <v>57</v>
      </c>
      <c r="I78" s="161">
        <v>203</v>
      </c>
      <c r="J78" s="161">
        <v>2145</v>
      </c>
      <c r="K78" s="160">
        <v>56</v>
      </c>
      <c r="L78" s="161">
        <v>210</v>
      </c>
      <c r="M78" s="161">
        <v>153</v>
      </c>
      <c r="N78" s="161">
        <v>367</v>
      </c>
      <c r="O78" s="161">
        <v>4673</v>
      </c>
      <c r="P78" s="160">
        <v>56</v>
      </c>
      <c r="Q78" s="161">
        <v>380</v>
      </c>
      <c r="R78" s="161">
        <v>755</v>
      </c>
      <c r="S78" s="161">
        <v>1152</v>
      </c>
    </row>
    <row r="79" spans="1:19" x14ac:dyDescent="0.45">
      <c r="A79" s="160">
        <v>65</v>
      </c>
      <c r="B79" s="161">
        <v>98</v>
      </c>
      <c r="C79" s="161">
        <v>34</v>
      </c>
      <c r="D79" s="161">
        <v>133</v>
      </c>
      <c r="E79" s="161">
        <v>1065</v>
      </c>
      <c r="F79" s="160">
        <v>63</v>
      </c>
      <c r="G79" s="161">
        <v>174</v>
      </c>
      <c r="H79" s="161">
        <v>86</v>
      </c>
      <c r="I79" s="161">
        <v>266</v>
      </c>
      <c r="J79" s="161">
        <v>2411</v>
      </c>
      <c r="K79" s="160">
        <v>55</v>
      </c>
      <c r="L79" s="161">
        <v>216</v>
      </c>
      <c r="M79" s="161">
        <v>128</v>
      </c>
      <c r="N79" s="161">
        <v>351</v>
      </c>
      <c r="O79" s="161">
        <v>5024</v>
      </c>
      <c r="P79" s="160">
        <v>55</v>
      </c>
      <c r="Q79" s="161">
        <v>371</v>
      </c>
      <c r="R79" s="161">
        <v>575</v>
      </c>
      <c r="S79" s="161">
        <v>957</v>
      </c>
    </row>
    <row r="80" spans="1:19" x14ac:dyDescent="0.45">
      <c r="A80" s="160">
        <v>64</v>
      </c>
      <c r="B80" s="161">
        <v>72</v>
      </c>
      <c r="C80" s="161">
        <v>41</v>
      </c>
      <c r="D80" s="161">
        <v>114</v>
      </c>
      <c r="E80" s="161">
        <v>1179</v>
      </c>
      <c r="F80" s="160">
        <v>62</v>
      </c>
      <c r="G80" s="161">
        <v>328</v>
      </c>
      <c r="H80" s="161">
        <v>194</v>
      </c>
      <c r="I80" s="161">
        <v>525</v>
      </c>
      <c r="J80" s="161">
        <v>2936</v>
      </c>
      <c r="K80" s="160">
        <v>54</v>
      </c>
      <c r="L80" s="161">
        <v>201</v>
      </c>
      <c r="M80" s="161">
        <v>125</v>
      </c>
      <c r="N80" s="161">
        <v>332</v>
      </c>
      <c r="O80" s="161">
        <v>5356</v>
      </c>
      <c r="P80" s="160">
        <v>54</v>
      </c>
      <c r="Q80" s="161">
        <v>411</v>
      </c>
      <c r="R80" s="161">
        <v>773</v>
      </c>
      <c r="S80" s="161">
        <v>1201</v>
      </c>
    </row>
    <row r="81" spans="1:19" x14ac:dyDescent="0.45">
      <c r="A81" s="160">
        <v>63</v>
      </c>
      <c r="B81" s="161">
        <v>103</v>
      </c>
      <c r="C81" s="161">
        <v>68</v>
      </c>
      <c r="D81" s="161">
        <v>171</v>
      </c>
      <c r="E81" s="161">
        <v>1350</v>
      </c>
      <c r="F81" s="160">
        <v>61</v>
      </c>
      <c r="G81" s="161">
        <v>195</v>
      </c>
      <c r="H81" s="161">
        <v>137</v>
      </c>
      <c r="I81" s="161">
        <v>337</v>
      </c>
      <c r="J81" s="161">
        <v>3273</v>
      </c>
      <c r="K81" s="160">
        <v>53</v>
      </c>
      <c r="L81" s="161">
        <v>429</v>
      </c>
      <c r="M81" s="161">
        <v>242</v>
      </c>
      <c r="N81" s="161">
        <v>678</v>
      </c>
      <c r="O81" s="161">
        <v>6034</v>
      </c>
      <c r="P81" s="160">
        <v>53</v>
      </c>
      <c r="Q81" s="161">
        <v>770</v>
      </c>
      <c r="R81" s="161">
        <v>1381</v>
      </c>
      <c r="S81" s="161">
        <v>2182</v>
      </c>
    </row>
    <row r="82" spans="1:19" x14ac:dyDescent="0.45">
      <c r="A82" s="160">
        <v>62</v>
      </c>
      <c r="B82" s="161">
        <v>88</v>
      </c>
      <c r="C82" s="161">
        <v>68</v>
      </c>
      <c r="D82" s="161">
        <v>157</v>
      </c>
      <c r="E82" s="161">
        <v>1507</v>
      </c>
      <c r="F82" s="160">
        <v>60</v>
      </c>
      <c r="G82" s="161">
        <v>200</v>
      </c>
      <c r="H82" s="161">
        <v>140</v>
      </c>
      <c r="I82" s="161">
        <v>342</v>
      </c>
      <c r="J82" s="161">
        <v>3615</v>
      </c>
      <c r="K82" s="160">
        <v>52</v>
      </c>
      <c r="L82" s="161">
        <v>219</v>
      </c>
      <c r="M82" s="161">
        <v>138</v>
      </c>
      <c r="N82" s="161">
        <v>362</v>
      </c>
      <c r="O82" s="161">
        <v>6396</v>
      </c>
      <c r="P82" s="160">
        <v>52</v>
      </c>
      <c r="Q82" s="161">
        <v>443</v>
      </c>
      <c r="R82" s="161">
        <v>741</v>
      </c>
      <c r="S82" s="161">
        <v>1204</v>
      </c>
    </row>
    <row r="83" spans="1:19" x14ac:dyDescent="0.45">
      <c r="A83" s="160">
        <v>60</v>
      </c>
      <c r="B83" s="161">
        <v>119</v>
      </c>
      <c r="C83" s="161">
        <v>73</v>
      </c>
      <c r="D83" s="161">
        <v>195</v>
      </c>
      <c r="E83" s="161">
        <v>1702</v>
      </c>
      <c r="F83" s="160">
        <v>59</v>
      </c>
      <c r="G83" s="161">
        <v>221</v>
      </c>
      <c r="H83" s="161">
        <v>154</v>
      </c>
      <c r="I83" s="161">
        <v>379</v>
      </c>
      <c r="J83" s="161">
        <v>3994</v>
      </c>
      <c r="K83" s="160">
        <v>51</v>
      </c>
      <c r="L83" s="161">
        <v>226</v>
      </c>
      <c r="M83" s="161">
        <v>138</v>
      </c>
      <c r="N83" s="161">
        <v>371</v>
      </c>
      <c r="O83" s="161">
        <v>6767</v>
      </c>
      <c r="P83" s="160">
        <v>51</v>
      </c>
      <c r="Q83" s="161">
        <v>395</v>
      </c>
      <c r="R83" s="161">
        <v>715</v>
      </c>
      <c r="S83" s="161">
        <v>1123</v>
      </c>
    </row>
    <row r="84" spans="1:19" x14ac:dyDescent="0.45">
      <c r="A84" s="160">
        <v>59</v>
      </c>
      <c r="B84" s="161">
        <v>143</v>
      </c>
      <c r="C84" s="161">
        <v>100</v>
      </c>
      <c r="D84" s="161">
        <v>245</v>
      </c>
      <c r="E84" s="161">
        <v>1947</v>
      </c>
      <c r="F84" s="160">
        <v>58</v>
      </c>
      <c r="G84" s="161">
        <v>258</v>
      </c>
      <c r="H84" s="161">
        <v>167</v>
      </c>
      <c r="I84" s="161">
        <v>429</v>
      </c>
      <c r="J84" s="161">
        <v>4423</v>
      </c>
      <c r="K84" s="160">
        <v>50</v>
      </c>
      <c r="L84" s="161">
        <v>206</v>
      </c>
      <c r="M84" s="161">
        <v>147</v>
      </c>
      <c r="N84" s="161">
        <v>358</v>
      </c>
      <c r="O84" s="161">
        <v>7125</v>
      </c>
      <c r="P84" s="160">
        <v>50</v>
      </c>
      <c r="Q84" s="161">
        <v>402</v>
      </c>
      <c r="R84" s="161">
        <v>736</v>
      </c>
      <c r="S84" s="161">
        <v>1156</v>
      </c>
    </row>
    <row r="85" spans="1:19" x14ac:dyDescent="0.45">
      <c r="A85" s="160">
        <v>58</v>
      </c>
      <c r="B85" s="161">
        <v>103</v>
      </c>
      <c r="C85" s="161">
        <v>76</v>
      </c>
      <c r="D85" s="161">
        <v>179</v>
      </c>
      <c r="E85" s="161">
        <v>2126</v>
      </c>
      <c r="F85" s="160">
        <v>57</v>
      </c>
      <c r="G85" s="161">
        <v>230</v>
      </c>
      <c r="H85" s="161">
        <v>196</v>
      </c>
      <c r="I85" s="161">
        <v>430</v>
      </c>
      <c r="J85" s="161">
        <v>4853</v>
      </c>
      <c r="K85" s="160">
        <v>49</v>
      </c>
      <c r="L85" s="161">
        <v>240</v>
      </c>
      <c r="M85" s="161">
        <v>146</v>
      </c>
      <c r="N85" s="161">
        <v>399</v>
      </c>
      <c r="O85" s="161">
        <v>7524</v>
      </c>
      <c r="P85" s="160">
        <v>49</v>
      </c>
      <c r="Q85" s="161">
        <v>387</v>
      </c>
      <c r="R85" s="161">
        <v>677</v>
      </c>
      <c r="S85" s="161">
        <v>1078</v>
      </c>
    </row>
    <row r="86" spans="1:19" x14ac:dyDescent="0.45">
      <c r="A86" s="160">
        <v>57</v>
      </c>
      <c r="B86" s="161">
        <v>168</v>
      </c>
      <c r="C86" s="161">
        <v>124</v>
      </c>
      <c r="D86" s="161">
        <v>294</v>
      </c>
      <c r="E86" s="161">
        <v>2420</v>
      </c>
      <c r="F86" s="160">
        <v>56</v>
      </c>
      <c r="G86" s="161">
        <v>296</v>
      </c>
      <c r="H86" s="161">
        <v>215</v>
      </c>
      <c r="I86" s="161">
        <v>515</v>
      </c>
      <c r="J86" s="161">
        <v>5368</v>
      </c>
      <c r="K86" s="160">
        <v>48</v>
      </c>
      <c r="L86" s="161">
        <v>414</v>
      </c>
      <c r="M86" s="161">
        <v>234</v>
      </c>
      <c r="N86" s="161">
        <v>656</v>
      </c>
      <c r="O86" s="161">
        <v>8180</v>
      </c>
      <c r="P86" s="160">
        <v>48</v>
      </c>
      <c r="Q86" s="161">
        <v>419</v>
      </c>
      <c r="R86" s="161">
        <v>691</v>
      </c>
      <c r="S86" s="161">
        <v>1130</v>
      </c>
    </row>
    <row r="87" spans="1:19" x14ac:dyDescent="0.45">
      <c r="A87" s="160">
        <v>56</v>
      </c>
      <c r="B87" s="161">
        <v>151</v>
      </c>
      <c r="C87" s="161">
        <v>141</v>
      </c>
      <c r="D87" s="161">
        <v>298</v>
      </c>
      <c r="E87" s="161">
        <v>2718</v>
      </c>
      <c r="F87" s="160">
        <v>55</v>
      </c>
      <c r="G87" s="161">
        <v>281</v>
      </c>
      <c r="H87" s="161">
        <v>234</v>
      </c>
      <c r="I87" s="161">
        <v>519</v>
      </c>
      <c r="J87" s="161">
        <v>5887</v>
      </c>
      <c r="K87" s="160">
        <v>47</v>
      </c>
      <c r="L87" s="161">
        <v>250</v>
      </c>
      <c r="M87" s="161">
        <v>149</v>
      </c>
      <c r="N87" s="161">
        <v>407</v>
      </c>
      <c r="O87" s="161">
        <v>8587</v>
      </c>
      <c r="P87" s="160">
        <v>47</v>
      </c>
      <c r="Q87" s="161">
        <v>402</v>
      </c>
      <c r="R87" s="161">
        <v>734</v>
      </c>
      <c r="S87" s="161">
        <v>1149</v>
      </c>
    </row>
    <row r="88" spans="1:19" x14ac:dyDescent="0.45">
      <c r="A88" s="160">
        <v>55</v>
      </c>
      <c r="B88" s="161">
        <v>147</v>
      </c>
      <c r="C88" s="161">
        <v>149</v>
      </c>
      <c r="D88" s="161">
        <v>299</v>
      </c>
      <c r="E88" s="161">
        <v>3017</v>
      </c>
      <c r="F88" s="160">
        <v>54</v>
      </c>
      <c r="G88" s="161">
        <v>259</v>
      </c>
      <c r="H88" s="161">
        <v>256</v>
      </c>
      <c r="I88" s="161">
        <v>520</v>
      </c>
      <c r="J88" s="161">
        <v>6407</v>
      </c>
      <c r="K88" s="160">
        <v>46</v>
      </c>
      <c r="L88" s="161">
        <v>221</v>
      </c>
      <c r="M88" s="161">
        <v>139</v>
      </c>
      <c r="N88" s="161">
        <v>368</v>
      </c>
      <c r="O88" s="161">
        <v>8955</v>
      </c>
      <c r="P88" s="160">
        <v>46</v>
      </c>
      <c r="Q88" s="161">
        <v>815</v>
      </c>
      <c r="R88" s="161">
        <v>1356</v>
      </c>
      <c r="S88" s="161">
        <v>2204</v>
      </c>
    </row>
    <row r="89" spans="1:19" x14ac:dyDescent="0.45">
      <c r="A89" s="160">
        <v>54</v>
      </c>
      <c r="B89" s="161">
        <v>178</v>
      </c>
      <c r="C89" s="161">
        <v>197</v>
      </c>
      <c r="D89" s="161">
        <v>381</v>
      </c>
      <c r="E89" s="161">
        <v>3398</v>
      </c>
      <c r="F89" s="160">
        <v>53</v>
      </c>
      <c r="G89" s="161">
        <v>309</v>
      </c>
      <c r="H89" s="161">
        <v>281</v>
      </c>
      <c r="I89" s="161">
        <v>597</v>
      </c>
      <c r="J89" s="161">
        <v>7004</v>
      </c>
      <c r="K89" s="160">
        <v>45</v>
      </c>
      <c r="L89" s="161">
        <v>263</v>
      </c>
      <c r="M89" s="161">
        <v>128</v>
      </c>
      <c r="N89" s="161">
        <v>399</v>
      </c>
      <c r="O89" s="161">
        <v>9354</v>
      </c>
      <c r="P89" s="160">
        <v>45</v>
      </c>
      <c r="Q89" s="161">
        <v>424</v>
      </c>
      <c r="R89" s="161">
        <v>657</v>
      </c>
      <c r="S89" s="161">
        <v>1092</v>
      </c>
    </row>
    <row r="90" spans="1:19" x14ac:dyDescent="0.45">
      <c r="A90" s="160">
        <v>53</v>
      </c>
      <c r="B90" s="161">
        <v>183</v>
      </c>
      <c r="C90" s="161">
        <v>193</v>
      </c>
      <c r="D90" s="161">
        <v>380</v>
      </c>
      <c r="E90" s="161">
        <v>3778</v>
      </c>
      <c r="F90" s="160">
        <v>52</v>
      </c>
      <c r="G90" s="161">
        <v>303</v>
      </c>
      <c r="H90" s="161">
        <v>301</v>
      </c>
      <c r="I90" s="161">
        <v>609</v>
      </c>
      <c r="J90" s="161">
        <v>7613</v>
      </c>
      <c r="K90" s="160">
        <v>44</v>
      </c>
      <c r="L90" s="161">
        <v>223</v>
      </c>
      <c r="M90" s="161">
        <v>129</v>
      </c>
      <c r="N90" s="161">
        <v>359</v>
      </c>
      <c r="O90" s="161">
        <v>9713</v>
      </c>
      <c r="P90" s="160">
        <v>44</v>
      </c>
      <c r="Q90" s="161">
        <v>398</v>
      </c>
      <c r="R90" s="161">
        <v>631</v>
      </c>
      <c r="S90" s="161">
        <v>1040</v>
      </c>
    </row>
    <row r="91" spans="1:19" x14ac:dyDescent="0.45">
      <c r="A91" s="160">
        <v>52</v>
      </c>
      <c r="B91" s="161">
        <v>177</v>
      </c>
      <c r="C91" s="161">
        <v>246</v>
      </c>
      <c r="D91" s="161">
        <v>428</v>
      </c>
      <c r="E91" s="161">
        <v>4206</v>
      </c>
      <c r="F91" s="160">
        <v>51</v>
      </c>
      <c r="G91" s="161">
        <v>317</v>
      </c>
      <c r="H91" s="161">
        <v>327</v>
      </c>
      <c r="I91" s="161">
        <v>651</v>
      </c>
      <c r="J91" s="161">
        <v>8264</v>
      </c>
      <c r="K91" s="160">
        <v>43</v>
      </c>
      <c r="L91" s="161">
        <v>532</v>
      </c>
      <c r="M91" s="161">
        <v>289</v>
      </c>
      <c r="N91" s="161">
        <v>835</v>
      </c>
      <c r="O91" s="161">
        <v>10548</v>
      </c>
      <c r="P91" s="160">
        <v>43</v>
      </c>
      <c r="Q91" s="161">
        <v>451</v>
      </c>
      <c r="R91" s="161">
        <v>660</v>
      </c>
      <c r="S91" s="161">
        <v>1129</v>
      </c>
    </row>
    <row r="92" spans="1:19" x14ac:dyDescent="0.45">
      <c r="A92" s="160">
        <v>51</v>
      </c>
      <c r="B92" s="161">
        <v>207</v>
      </c>
      <c r="C92" s="161">
        <v>231</v>
      </c>
      <c r="D92" s="161">
        <v>442</v>
      </c>
      <c r="E92" s="161">
        <v>4648</v>
      </c>
      <c r="F92" s="160">
        <v>50</v>
      </c>
      <c r="G92" s="161">
        <v>314</v>
      </c>
      <c r="H92" s="161">
        <v>313</v>
      </c>
      <c r="I92" s="161">
        <v>636</v>
      </c>
      <c r="J92" s="161">
        <v>8900</v>
      </c>
      <c r="K92" s="160">
        <v>42</v>
      </c>
      <c r="L92" s="161">
        <v>224</v>
      </c>
      <c r="M92" s="161">
        <v>134</v>
      </c>
      <c r="N92" s="161">
        <v>360</v>
      </c>
      <c r="O92" s="161">
        <v>10908</v>
      </c>
      <c r="P92" s="160">
        <v>42</v>
      </c>
      <c r="Q92" s="161">
        <v>400</v>
      </c>
      <c r="R92" s="161">
        <v>553</v>
      </c>
      <c r="S92" s="161">
        <v>975</v>
      </c>
    </row>
    <row r="93" spans="1:19" x14ac:dyDescent="0.45">
      <c r="A93" s="160">
        <v>50</v>
      </c>
      <c r="B93" s="161">
        <v>174</v>
      </c>
      <c r="C93" s="161">
        <v>253</v>
      </c>
      <c r="D93" s="161">
        <v>431</v>
      </c>
      <c r="E93" s="161">
        <v>5079</v>
      </c>
      <c r="F93" s="160">
        <v>49</v>
      </c>
      <c r="G93" s="161">
        <v>342</v>
      </c>
      <c r="H93" s="161">
        <v>370</v>
      </c>
      <c r="I93" s="161">
        <v>722</v>
      </c>
      <c r="J93" s="161">
        <v>9622</v>
      </c>
      <c r="K93" s="160">
        <v>41</v>
      </c>
      <c r="L93" s="161">
        <v>254</v>
      </c>
      <c r="M93" s="161">
        <v>144</v>
      </c>
      <c r="N93" s="161">
        <v>410</v>
      </c>
      <c r="O93" s="161">
        <v>11318</v>
      </c>
      <c r="P93" s="160">
        <v>41</v>
      </c>
      <c r="Q93" s="161">
        <v>395</v>
      </c>
      <c r="R93" s="161">
        <v>582</v>
      </c>
      <c r="S93" s="161">
        <v>998</v>
      </c>
    </row>
    <row r="94" spans="1:19" x14ac:dyDescent="0.45">
      <c r="A94" s="160">
        <v>49</v>
      </c>
      <c r="B94" s="161">
        <v>231</v>
      </c>
      <c r="C94" s="161">
        <v>278</v>
      </c>
      <c r="D94" s="161">
        <v>514</v>
      </c>
      <c r="E94" s="161">
        <v>5593</v>
      </c>
      <c r="F94" s="160">
        <v>48</v>
      </c>
      <c r="G94" s="161">
        <v>327</v>
      </c>
      <c r="H94" s="161">
        <v>364</v>
      </c>
      <c r="I94" s="161">
        <v>696</v>
      </c>
      <c r="J94" s="161">
        <v>10318</v>
      </c>
      <c r="K94" s="160">
        <v>40</v>
      </c>
      <c r="L94" s="161">
        <v>236</v>
      </c>
      <c r="M94" s="161">
        <v>103</v>
      </c>
      <c r="N94" s="161">
        <v>350</v>
      </c>
      <c r="O94" s="161">
        <v>11668</v>
      </c>
      <c r="P94" s="160">
        <v>40</v>
      </c>
      <c r="Q94" s="161">
        <v>385</v>
      </c>
      <c r="R94" s="161">
        <v>505</v>
      </c>
      <c r="S94" s="161">
        <v>911</v>
      </c>
    </row>
    <row r="95" spans="1:19" x14ac:dyDescent="0.45">
      <c r="A95" s="160">
        <v>47</v>
      </c>
      <c r="B95" s="161">
        <v>210</v>
      </c>
      <c r="C95" s="161">
        <v>293</v>
      </c>
      <c r="D95" s="161">
        <v>511</v>
      </c>
      <c r="E95" s="161">
        <v>6104</v>
      </c>
      <c r="F95" s="160">
        <v>47</v>
      </c>
      <c r="G95" s="161">
        <v>353</v>
      </c>
      <c r="H95" s="161">
        <v>418</v>
      </c>
      <c r="I95" s="161">
        <v>780</v>
      </c>
      <c r="J95" s="161">
        <v>11098</v>
      </c>
      <c r="K95" s="160">
        <v>39</v>
      </c>
      <c r="L95" s="161">
        <v>654</v>
      </c>
      <c r="M95" s="161">
        <v>272</v>
      </c>
      <c r="N95" s="161">
        <v>945</v>
      </c>
      <c r="O95" s="161">
        <v>12613</v>
      </c>
      <c r="P95" s="160">
        <v>39</v>
      </c>
      <c r="Q95" s="161">
        <v>816</v>
      </c>
      <c r="R95" s="161">
        <v>747</v>
      </c>
      <c r="S95" s="161">
        <v>1585</v>
      </c>
    </row>
    <row r="96" spans="1:19" x14ac:dyDescent="0.45">
      <c r="A96" s="160">
        <v>46</v>
      </c>
      <c r="B96" s="161">
        <v>221</v>
      </c>
      <c r="C96" s="161">
        <v>325</v>
      </c>
      <c r="D96" s="161">
        <v>551</v>
      </c>
      <c r="E96" s="161">
        <v>6655</v>
      </c>
      <c r="F96" s="160">
        <v>46</v>
      </c>
      <c r="G96" s="161">
        <v>397</v>
      </c>
      <c r="H96" s="161">
        <v>423</v>
      </c>
      <c r="I96" s="161">
        <v>830</v>
      </c>
      <c r="J96" s="161">
        <v>11928</v>
      </c>
      <c r="K96" s="160">
        <v>38</v>
      </c>
      <c r="L96" s="161">
        <v>228</v>
      </c>
      <c r="M96" s="161">
        <v>105</v>
      </c>
      <c r="N96" s="161">
        <v>339</v>
      </c>
      <c r="O96" s="161">
        <v>12952</v>
      </c>
      <c r="P96" s="160">
        <v>38</v>
      </c>
      <c r="Q96" s="161">
        <v>763</v>
      </c>
      <c r="R96" s="161">
        <v>834</v>
      </c>
      <c r="S96" s="161">
        <v>1623</v>
      </c>
    </row>
    <row r="97" spans="1:19" x14ac:dyDescent="0.45">
      <c r="A97" s="160">
        <v>45</v>
      </c>
      <c r="B97" s="161">
        <v>215</v>
      </c>
      <c r="C97" s="161">
        <v>269</v>
      </c>
      <c r="D97" s="161">
        <v>492</v>
      </c>
      <c r="E97" s="161">
        <v>7147</v>
      </c>
      <c r="F97" s="160">
        <v>45</v>
      </c>
      <c r="G97" s="161">
        <v>363</v>
      </c>
      <c r="H97" s="161">
        <v>375</v>
      </c>
      <c r="I97" s="161">
        <v>744</v>
      </c>
      <c r="J97" s="161">
        <v>12672</v>
      </c>
      <c r="K97" s="160">
        <v>37</v>
      </c>
      <c r="L97" s="161">
        <v>259</v>
      </c>
      <c r="M97" s="161">
        <v>121</v>
      </c>
      <c r="N97" s="161">
        <v>384</v>
      </c>
      <c r="O97" s="161">
        <v>13336</v>
      </c>
      <c r="P97" s="160">
        <v>37</v>
      </c>
      <c r="Q97" s="161">
        <v>390</v>
      </c>
      <c r="R97" s="161">
        <v>372</v>
      </c>
      <c r="S97" s="161">
        <v>774</v>
      </c>
    </row>
    <row r="98" spans="1:19" x14ac:dyDescent="0.45">
      <c r="A98" s="160">
        <v>44</v>
      </c>
      <c r="B98" s="161">
        <v>226</v>
      </c>
      <c r="C98" s="161">
        <v>296</v>
      </c>
      <c r="D98" s="161">
        <v>529</v>
      </c>
      <c r="E98" s="161">
        <v>7676</v>
      </c>
      <c r="F98" s="160">
        <v>44</v>
      </c>
      <c r="G98" s="161">
        <v>459</v>
      </c>
      <c r="H98" s="161">
        <v>450</v>
      </c>
      <c r="I98" s="161">
        <v>921</v>
      </c>
      <c r="J98" s="161">
        <v>13593</v>
      </c>
      <c r="K98" s="160">
        <v>36</v>
      </c>
      <c r="L98" s="161">
        <v>138</v>
      </c>
      <c r="M98" s="161">
        <v>45</v>
      </c>
      <c r="N98" s="161">
        <v>185</v>
      </c>
      <c r="O98" s="161">
        <v>13521</v>
      </c>
      <c r="P98" s="160">
        <v>36</v>
      </c>
      <c r="Q98" s="161">
        <v>374</v>
      </c>
      <c r="R98" s="161">
        <v>241</v>
      </c>
      <c r="S98" s="161">
        <v>622</v>
      </c>
    </row>
    <row r="99" spans="1:19" x14ac:dyDescent="0.45">
      <c r="A99" s="160">
        <v>43</v>
      </c>
      <c r="B99" s="161">
        <v>225</v>
      </c>
      <c r="C99" s="161">
        <v>281</v>
      </c>
      <c r="D99" s="161">
        <v>512</v>
      </c>
      <c r="E99" s="161">
        <v>8188</v>
      </c>
      <c r="F99" s="160">
        <v>43</v>
      </c>
      <c r="G99" s="161">
        <v>353</v>
      </c>
      <c r="H99" s="161">
        <v>396</v>
      </c>
      <c r="I99" s="161">
        <v>754</v>
      </c>
      <c r="J99" s="161">
        <v>14347</v>
      </c>
      <c r="K99" s="160">
        <v>35</v>
      </c>
      <c r="L99" s="161">
        <v>460</v>
      </c>
      <c r="M99" s="161">
        <v>122</v>
      </c>
      <c r="N99" s="161">
        <v>591</v>
      </c>
      <c r="O99" s="161">
        <v>14112</v>
      </c>
      <c r="P99" s="160">
        <v>35</v>
      </c>
      <c r="Q99" s="161">
        <v>898</v>
      </c>
      <c r="R99" s="161">
        <v>514</v>
      </c>
      <c r="S99" s="161">
        <v>1431</v>
      </c>
    </row>
    <row r="100" spans="1:19" x14ac:dyDescent="0.45">
      <c r="A100" s="160">
        <v>42</v>
      </c>
      <c r="B100" s="161">
        <v>203</v>
      </c>
      <c r="C100" s="161">
        <v>243</v>
      </c>
      <c r="D100" s="161">
        <v>452</v>
      </c>
      <c r="E100" s="161">
        <v>8640</v>
      </c>
      <c r="F100" s="160">
        <v>42</v>
      </c>
      <c r="G100" s="161">
        <v>897</v>
      </c>
      <c r="H100" s="161">
        <v>605</v>
      </c>
      <c r="I100" s="161">
        <v>1528</v>
      </c>
      <c r="J100" s="161">
        <v>15875</v>
      </c>
      <c r="K100" s="160">
        <v>34</v>
      </c>
      <c r="L100" s="161">
        <v>156</v>
      </c>
      <c r="M100" s="161">
        <v>74</v>
      </c>
      <c r="N100" s="161">
        <v>236</v>
      </c>
      <c r="O100" s="161">
        <v>14348</v>
      </c>
      <c r="P100" s="160">
        <v>34</v>
      </c>
      <c r="Q100" s="161">
        <v>232</v>
      </c>
      <c r="R100" s="161">
        <v>179</v>
      </c>
      <c r="S100" s="161">
        <v>417</v>
      </c>
    </row>
    <row r="101" spans="1:19" x14ac:dyDescent="0.45">
      <c r="A101" s="160">
        <v>41</v>
      </c>
      <c r="B101" s="161">
        <v>214</v>
      </c>
      <c r="C101" s="161">
        <v>289</v>
      </c>
      <c r="D101" s="161">
        <v>511</v>
      </c>
      <c r="E101" s="161">
        <v>9151</v>
      </c>
      <c r="F101" s="160">
        <v>41</v>
      </c>
      <c r="G101" s="161">
        <v>334</v>
      </c>
      <c r="H101" s="161">
        <v>375</v>
      </c>
      <c r="I101" s="161">
        <v>718</v>
      </c>
      <c r="J101" s="161">
        <v>16593</v>
      </c>
      <c r="K101" s="160">
        <v>33</v>
      </c>
      <c r="L101" s="161">
        <v>46</v>
      </c>
      <c r="M101" s="161">
        <v>24</v>
      </c>
      <c r="N101" s="161">
        <v>70</v>
      </c>
      <c r="O101" s="161">
        <v>14418</v>
      </c>
      <c r="P101" s="160">
        <v>33</v>
      </c>
      <c r="Q101" s="161">
        <v>380</v>
      </c>
      <c r="R101" s="161">
        <v>235</v>
      </c>
      <c r="S101" s="161">
        <v>628</v>
      </c>
    </row>
    <row r="102" spans="1:19" x14ac:dyDescent="0.45">
      <c r="A102" s="160">
        <v>40</v>
      </c>
      <c r="B102" s="161">
        <v>122</v>
      </c>
      <c r="C102" s="161">
        <v>149</v>
      </c>
      <c r="D102" s="161">
        <v>276</v>
      </c>
      <c r="E102" s="161">
        <v>9427</v>
      </c>
      <c r="F102" s="160">
        <v>40</v>
      </c>
      <c r="G102" s="161">
        <v>319</v>
      </c>
      <c r="H102" s="161">
        <v>340</v>
      </c>
      <c r="I102" s="161">
        <v>672</v>
      </c>
      <c r="J102" s="161">
        <v>17265</v>
      </c>
      <c r="K102" s="160">
        <v>32</v>
      </c>
      <c r="L102" s="161">
        <v>29</v>
      </c>
      <c r="M102" s="161">
        <v>9</v>
      </c>
      <c r="N102" s="161">
        <v>39</v>
      </c>
      <c r="O102" s="161">
        <v>14457</v>
      </c>
      <c r="P102" s="160">
        <v>32</v>
      </c>
      <c r="Q102" s="161">
        <v>172</v>
      </c>
      <c r="R102" s="161">
        <v>119</v>
      </c>
      <c r="S102" s="161">
        <v>291</v>
      </c>
    </row>
    <row r="103" spans="1:19" x14ac:dyDescent="0.45">
      <c r="A103" s="160">
        <v>39</v>
      </c>
      <c r="B103" s="161">
        <v>412</v>
      </c>
      <c r="C103" s="161">
        <v>245</v>
      </c>
      <c r="D103" s="161">
        <v>672</v>
      </c>
      <c r="E103" s="161">
        <v>10099</v>
      </c>
      <c r="F103" s="160">
        <v>39</v>
      </c>
      <c r="G103" s="161">
        <v>476</v>
      </c>
      <c r="H103" s="161">
        <v>392</v>
      </c>
      <c r="I103" s="161">
        <v>880</v>
      </c>
      <c r="J103" s="161">
        <v>18145</v>
      </c>
      <c r="K103" s="160">
        <v>31</v>
      </c>
      <c r="L103" s="161">
        <v>32</v>
      </c>
      <c r="M103" s="161">
        <v>15</v>
      </c>
      <c r="N103" s="161">
        <v>48</v>
      </c>
      <c r="O103" s="161">
        <v>14505</v>
      </c>
      <c r="P103" s="160">
        <v>31</v>
      </c>
      <c r="Q103" s="161">
        <v>218</v>
      </c>
      <c r="R103" s="161">
        <v>160</v>
      </c>
      <c r="S103" s="161">
        <v>386</v>
      </c>
    </row>
    <row r="104" spans="1:19" x14ac:dyDescent="0.45">
      <c r="A104" s="160">
        <v>38</v>
      </c>
      <c r="B104" s="161">
        <v>99</v>
      </c>
      <c r="C104" s="161">
        <v>115</v>
      </c>
      <c r="D104" s="161">
        <v>220</v>
      </c>
      <c r="E104" s="161">
        <v>10319</v>
      </c>
      <c r="F104" s="160">
        <v>38</v>
      </c>
      <c r="G104" s="161">
        <v>185</v>
      </c>
      <c r="H104" s="161">
        <v>208</v>
      </c>
      <c r="I104" s="161">
        <v>396</v>
      </c>
      <c r="J104" s="161">
        <v>18541</v>
      </c>
      <c r="K104" s="160">
        <v>29</v>
      </c>
      <c r="L104" s="161">
        <v>14</v>
      </c>
      <c r="M104" s="161">
        <v>8</v>
      </c>
      <c r="N104" s="161">
        <v>23</v>
      </c>
      <c r="O104" s="161">
        <v>14528</v>
      </c>
      <c r="P104" s="160">
        <v>30</v>
      </c>
      <c r="Q104" s="161">
        <v>52</v>
      </c>
      <c r="R104" s="161">
        <v>26</v>
      </c>
      <c r="S104" s="161">
        <v>78</v>
      </c>
    </row>
    <row r="105" spans="1:19" x14ac:dyDescent="0.45">
      <c r="A105" s="160">
        <v>37</v>
      </c>
      <c r="B105" s="161">
        <v>76</v>
      </c>
      <c r="C105" s="161">
        <v>72</v>
      </c>
      <c r="D105" s="161">
        <v>150</v>
      </c>
      <c r="E105" s="161">
        <v>10469</v>
      </c>
      <c r="F105" s="160">
        <v>37</v>
      </c>
      <c r="G105" s="161">
        <v>251</v>
      </c>
      <c r="H105" s="161">
        <v>238</v>
      </c>
      <c r="I105" s="161">
        <v>492</v>
      </c>
      <c r="J105" s="161">
        <v>19033</v>
      </c>
      <c r="K105" s="160"/>
      <c r="L105" s="161"/>
      <c r="M105" s="161"/>
      <c r="N105" s="161"/>
      <c r="O105" s="161"/>
      <c r="P105" s="160">
        <v>29</v>
      </c>
      <c r="Q105" s="161">
        <v>41</v>
      </c>
      <c r="R105" s="161">
        <v>39</v>
      </c>
      <c r="S105" s="161">
        <v>81</v>
      </c>
    </row>
    <row r="106" spans="1:19" x14ac:dyDescent="0.45">
      <c r="A106" s="160">
        <v>36</v>
      </c>
      <c r="B106" s="161">
        <v>76</v>
      </c>
      <c r="C106" s="161">
        <v>72</v>
      </c>
      <c r="D106" s="161">
        <v>148</v>
      </c>
      <c r="E106" s="161">
        <v>10617</v>
      </c>
      <c r="F106" s="160">
        <v>36</v>
      </c>
      <c r="G106" s="161">
        <v>93</v>
      </c>
      <c r="H106" s="161">
        <v>110</v>
      </c>
      <c r="I106" s="161">
        <v>204</v>
      </c>
      <c r="J106" s="161">
        <v>19237</v>
      </c>
      <c r="K106" s="160"/>
      <c r="L106" s="161"/>
      <c r="M106" s="161"/>
      <c r="N106" s="161"/>
      <c r="O106" s="161"/>
      <c r="P106" s="160">
        <v>27</v>
      </c>
      <c r="Q106" s="161">
        <v>12</v>
      </c>
      <c r="R106" s="161">
        <v>4</v>
      </c>
      <c r="S106" s="161">
        <v>17</v>
      </c>
    </row>
    <row r="107" spans="1:19" x14ac:dyDescent="0.45">
      <c r="A107" s="160">
        <v>34</v>
      </c>
      <c r="B107" s="161">
        <v>70</v>
      </c>
      <c r="C107" s="161">
        <v>39</v>
      </c>
      <c r="D107" s="161">
        <v>111</v>
      </c>
      <c r="E107" s="161">
        <v>10728</v>
      </c>
      <c r="F107" s="160">
        <v>35</v>
      </c>
      <c r="G107" s="161">
        <v>102</v>
      </c>
      <c r="H107" s="161">
        <v>86</v>
      </c>
      <c r="I107" s="161">
        <v>189</v>
      </c>
      <c r="J107" s="161">
        <v>19426</v>
      </c>
      <c r="K107" s="160"/>
      <c r="L107" s="161"/>
      <c r="M107" s="161"/>
      <c r="N107" s="161"/>
      <c r="O107" s="161"/>
      <c r="P107" s="160"/>
      <c r="Q107" s="161"/>
      <c r="R107" s="161"/>
      <c r="S107" s="161"/>
    </row>
    <row r="108" spans="1:19" x14ac:dyDescent="0.45">
      <c r="A108" s="160">
        <v>33</v>
      </c>
      <c r="B108" s="161">
        <v>22</v>
      </c>
      <c r="C108" s="161">
        <v>30</v>
      </c>
      <c r="D108" s="161">
        <v>53</v>
      </c>
      <c r="E108" s="161">
        <v>10781</v>
      </c>
      <c r="F108" s="160">
        <v>34</v>
      </c>
      <c r="G108" s="161">
        <v>46</v>
      </c>
      <c r="H108" s="161">
        <v>49</v>
      </c>
      <c r="I108" s="161">
        <v>97</v>
      </c>
      <c r="J108" s="161">
        <v>19523</v>
      </c>
      <c r="K108" s="160"/>
      <c r="L108" s="161"/>
      <c r="M108" s="161"/>
      <c r="N108" s="161"/>
      <c r="O108" s="161"/>
      <c r="P108" s="160"/>
      <c r="Q108" s="161"/>
      <c r="R108" s="161"/>
      <c r="S108" s="161"/>
    </row>
    <row r="109" spans="1:19" x14ac:dyDescent="0.45">
      <c r="A109" s="160">
        <v>32</v>
      </c>
      <c r="B109" s="161">
        <v>37</v>
      </c>
      <c r="C109" s="161">
        <v>21</v>
      </c>
      <c r="D109" s="161">
        <v>59</v>
      </c>
      <c r="E109" s="161">
        <v>10840</v>
      </c>
      <c r="F109" s="160">
        <v>33</v>
      </c>
      <c r="G109" s="161">
        <v>32</v>
      </c>
      <c r="H109" s="161">
        <v>27</v>
      </c>
      <c r="I109" s="161">
        <v>59</v>
      </c>
      <c r="J109" s="161">
        <v>19582</v>
      </c>
      <c r="K109" s="160"/>
      <c r="L109" s="161"/>
      <c r="M109" s="161"/>
      <c r="N109" s="161"/>
      <c r="O109" s="161"/>
      <c r="P109" s="160"/>
      <c r="Q109" s="161"/>
      <c r="R109" s="161"/>
      <c r="S109" s="161"/>
    </row>
    <row r="110" spans="1:19" x14ac:dyDescent="0.45">
      <c r="A110" s="160">
        <v>31</v>
      </c>
      <c r="B110" s="161">
        <v>5</v>
      </c>
      <c r="C110" s="161">
        <v>4</v>
      </c>
      <c r="D110" s="161">
        <v>9</v>
      </c>
      <c r="E110" s="161">
        <v>10849</v>
      </c>
      <c r="F110" s="160">
        <v>32</v>
      </c>
      <c r="G110" s="161">
        <v>36</v>
      </c>
      <c r="H110" s="161">
        <v>41</v>
      </c>
      <c r="I110" s="161">
        <v>78</v>
      </c>
      <c r="J110" s="161">
        <v>19660</v>
      </c>
      <c r="K110" s="160"/>
      <c r="L110" s="161"/>
      <c r="M110" s="161"/>
      <c r="N110" s="161"/>
      <c r="O110" s="161"/>
      <c r="P110" s="160"/>
      <c r="Q110" s="161"/>
      <c r="R110" s="161"/>
      <c r="S110" s="161"/>
    </row>
    <row r="111" spans="1:19" x14ac:dyDescent="0.45">
      <c r="A111" s="160">
        <v>30</v>
      </c>
      <c r="B111" s="161">
        <v>8</v>
      </c>
      <c r="C111" s="161">
        <v>9</v>
      </c>
      <c r="D111" s="161">
        <v>18</v>
      </c>
      <c r="E111" s="161">
        <v>10867</v>
      </c>
      <c r="F111" s="160">
        <v>30</v>
      </c>
      <c r="G111" s="161">
        <v>14</v>
      </c>
      <c r="H111" s="161">
        <v>9</v>
      </c>
      <c r="I111" s="161">
        <v>23</v>
      </c>
      <c r="J111" s="161">
        <v>19683</v>
      </c>
      <c r="K111" s="160"/>
      <c r="L111" s="161"/>
      <c r="M111" s="161"/>
      <c r="N111" s="161"/>
      <c r="O111" s="161"/>
      <c r="P111" s="160"/>
      <c r="Q111" s="161"/>
      <c r="R111" s="161"/>
      <c r="S111" s="161"/>
    </row>
    <row r="112" spans="1:19" x14ac:dyDescent="0.45">
      <c r="A112" s="161">
        <v>28</v>
      </c>
      <c r="B112" s="161">
        <v>3</v>
      </c>
      <c r="C112" s="161">
        <v>4</v>
      </c>
      <c r="D112" s="161">
        <v>7</v>
      </c>
      <c r="E112" s="161">
        <v>10874</v>
      </c>
      <c r="F112" s="160"/>
      <c r="G112" s="161"/>
      <c r="H112" s="161"/>
      <c r="I112" s="161"/>
      <c r="J112" s="161"/>
      <c r="K112" s="160"/>
      <c r="L112" s="161"/>
      <c r="M112" s="161"/>
      <c r="N112" s="161"/>
      <c r="O112" s="161"/>
      <c r="P112" s="160"/>
      <c r="Q112" s="161"/>
      <c r="R112" s="161"/>
      <c r="S112" s="161"/>
    </row>
    <row r="118" spans="1:4" ht="17.5" thickBot="1" x14ac:dyDescent="0.5"/>
    <row r="119" spans="1:4" x14ac:dyDescent="0.45">
      <c r="A119" s="40" t="s">
        <v>16</v>
      </c>
      <c r="B119" s="41"/>
      <c r="C119" s="41"/>
      <c r="D119" s="42"/>
    </row>
    <row r="120" spans="1:4" x14ac:dyDescent="0.45">
      <c r="A120" s="6" t="s">
        <v>6</v>
      </c>
      <c r="B120" s="1"/>
      <c r="C120" s="1"/>
      <c r="D120" s="7" t="s">
        <v>7</v>
      </c>
    </row>
    <row r="121" spans="1:4" x14ac:dyDescent="0.45">
      <c r="A121" s="160">
        <v>74</v>
      </c>
      <c r="B121" s="161">
        <v>94</v>
      </c>
      <c r="C121" s="161">
        <v>111</v>
      </c>
      <c r="D121" s="161">
        <v>206</v>
      </c>
    </row>
    <row r="122" spans="1:4" x14ac:dyDescent="0.45">
      <c r="A122" s="160">
        <v>71</v>
      </c>
      <c r="B122" s="161">
        <v>63</v>
      </c>
      <c r="C122" s="161">
        <v>94</v>
      </c>
      <c r="D122" s="161">
        <v>158</v>
      </c>
    </row>
    <row r="123" spans="1:4" x14ac:dyDescent="0.45">
      <c r="A123" s="160">
        <v>70</v>
      </c>
      <c r="B123" s="161">
        <v>119</v>
      </c>
      <c r="C123" s="161">
        <v>230</v>
      </c>
      <c r="D123" s="161">
        <v>351</v>
      </c>
    </row>
    <row r="124" spans="1:4" x14ac:dyDescent="0.45">
      <c r="A124" s="160">
        <v>69</v>
      </c>
      <c r="B124" s="161">
        <v>14</v>
      </c>
      <c r="C124" s="161">
        <v>17</v>
      </c>
      <c r="D124" s="161">
        <v>31</v>
      </c>
    </row>
    <row r="125" spans="1:4" x14ac:dyDescent="0.45">
      <c r="A125" s="160">
        <v>68</v>
      </c>
      <c r="B125" s="161">
        <v>179</v>
      </c>
      <c r="C125" s="161">
        <v>338</v>
      </c>
      <c r="D125" s="161">
        <v>524</v>
      </c>
    </row>
    <row r="126" spans="1:4" x14ac:dyDescent="0.45">
      <c r="A126" s="160">
        <v>67</v>
      </c>
      <c r="B126" s="161">
        <v>174</v>
      </c>
      <c r="C126" s="161">
        <v>421</v>
      </c>
      <c r="D126" s="161">
        <v>601</v>
      </c>
    </row>
    <row r="127" spans="1:4" x14ac:dyDescent="0.45">
      <c r="A127" s="160">
        <v>66</v>
      </c>
      <c r="B127" s="161">
        <v>97</v>
      </c>
      <c r="C127" s="161">
        <v>167</v>
      </c>
      <c r="D127" s="161">
        <v>264</v>
      </c>
    </row>
    <row r="128" spans="1:4" x14ac:dyDescent="0.45">
      <c r="A128" s="160">
        <v>65</v>
      </c>
      <c r="B128" s="161">
        <v>407</v>
      </c>
      <c r="C128" s="161">
        <v>835</v>
      </c>
      <c r="D128" s="161">
        <v>1254</v>
      </c>
    </row>
    <row r="129" spans="1:4" x14ac:dyDescent="0.45">
      <c r="A129" s="160">
        <v>64</v>
      </c>
      <c r="B129" s="161">
        <v>285</v>
      </c>
      <c r="C129" s="161">
        <v>658</v>
      </c>
      <c r="D129" s="161">
        <v>953</v>
      </c>
    </row>
    <row r="130" spans="1:4" x14ac:dyDescent="0.45">
      <c r="A130" s="160">
        <v>63</v>
      </c>
      <c r="B130" s="161">
        <v>260</v>
      </c>
      <c r="C130" s="161">
        <v>541</v>
      </c>
      <c r="D130" s="161">
        <v>805</v>
      </c>
    </row>
    <row r="131" spans="1:4" x14ac:dyDescent="0.45">
      <c r="A131" s="160">
        <v>62</v>
      </c>
      <c r="B131" s="161">
        <v>663</v>
      </c>
      <c r="C131" s="161">
        <v>1583</v>
      </c>
      <c r="D131" s="161">
        <v>2267</v>
      </c>
    </row>
    <row r="132" spans="1:4" x14ac:dyDescent="0.45">
      <c r="A132" s="160">
        <v>61</v>
      </c>
      <c r="B132" s="161">
        <v>320</v>
      </c>
      <c r="C132" s="161">
        <v>812</v>
      </c>
      <c r="D132" s="161">
        <v>1149</v>
      </c>
    </row>
    <row r="133" spans="1:4" x14ac:dyDescent="0.45">
      <c r="A133" s="160">
        <v>60</v>
      </c>
      <c r="B133" s="161">
        <v>552</v>
      </c>
      <c r="C133" s="161">
        <v>1360</v>
      </c>
      <c r="D133" s="161">
        <v>1931</v>
      </c>
    </row>
    <row r="134" spans="1:4" x14ac:dyDescent="0.45">
      <c r="A134" s="160">
        <v>59</v>
      </c>
      <c r="B134" s="161">
        <v>817</v>
      </c>
      <c r="C134" s="161">
        <v>2052</v>
      </c>
      <c r="D134" s="161">
        <v>2895</v>
      </c>
    </row>
    <row r="135" spans="1:4" x14ac:dyDescent="0.45">
      <c r="A135" s="160">
        <v>57</v>
      </c>
      <c r="B135" s="161">
        <v>459</v>
      </c>
      <c r="C135" s="161">
        <v>1084</v>
      </c>
      <c r="D135" s="161">
        <v>1558</v>
      </c>
    </row>
    <row r="136" spans="1:4" x14ac:dyDescent="0.45">
      <c r="A136" s="160">
        <v>56</v>
      </c>
      <c r="B136" s="161">
        <v>890</v>
      </c>
      <c r="C136" s="161">
        <v>2102</v>
      </c>
      <c r="D136" s="161">
        <v>3029</v>
      </c>
    </row>
    <row r="137" spans="1:4" x14ac:dyDescent="0.45">
      <c r="A137" s="160">
        <v>55</v>
      </c>
      <c r="B137" s="161">
        <v>817</v>
      </c>
      <c r="C137" s="161">
        <v>1825</v>
      </c>
      <c r="D137" s="161">
        <v>2661</v>
      </c>
    </row>
    <row r="138" spans="1:4" x14ac:dyDescent="0.45">
      <c r="A138" s="160">
        <v>54</v>
      </c>
      <c r="B138" s="161">
        <v>675</v>
      </c>
      <c r="C138" s="161">
        <v>1597</v>
      </c>
      <c r="D138" s="161">
        <v>2306</v>
      </c>
    </row>
    <row r="139" spans="1:4" x14ac:dyDescent="0.45">
      <c r="A139" s="160">
        <v>53</v>
      </c>
      <c r="B139" s="161">
        <v>985</v>
      </c>
      <c r="C139" s="161">
        <v>2346</v>
      </c>
      <c r="D139" s="161">
        <v>3364</v>
      </c>
    </row>
    <row r="140" spans="1:4" x14ac:dyDescent="0.45">
      <c r="A140" s="160">
        <v>52</v>
      </c>
      <c r="B140" s="161">
        <v>708</v>
      </c>
      <c r="C140" s="161">
        <v>1521</v>
      </c>
      <c r="D140" s="161">
        <v>2252</v>
      </c>
    </row>
    <row r="141" spans="1:4" x14ac:dyDescent="0.45">
      <c r="A141" s="160">
        <v>51</v>
      </c>
      <c r="B141" s="161">
        <v>889</v>
      </c>
      <c r="C141" s="161">
        <v>1874</v>
      </c>
      <c r="D141" s="161">
        <v>2795</v>
      </c>
    </row>
    <row r="142" spans="1:4" x14ac:dyDescent="0.45">
      <c r="A142" s="160">
        <v>50</v>
      </c>
      <c r="B142" s="161">
        <v>859</v>
      </c>
      <c r="C142" s="161">
        <v>1843</v>
      </c>
      <c r="D142" s="161">
        <v>2739</v>
      </c>
    </row>
    <row r="143" spans="1:4" x14ac:dyDescent="0.45">
      <c r="A143" s="160">
        <v>49</v>
      </c>
      <c r="B143" s="161">
        <v>708</v>
      </c>
      <c r="C143" s="161">
        <v>1324</v>
      </c>
      <c r="D143" s="161">
        <v>2050</v>
      </c>
    </row>
    <row r="144" spans="1:4" x14ac:dyDescent="0.45">
      <c r="A144" s="160">
        <v>48</v>
      </c>
      <c r="B144" s="161">
        <v>793</v>
      </c>
      <c r="C144" s="161">
        <v>1687</v>
      </c>
      <c r="D144" s="161">
        <v>2522</v>
      </c>
    </row>
    <row r="145" spans="1:4" x14ac:dyDescent="0.45">
      <c r="A145" s="160">
        <v>47</v>
      </c>
      <c r="B145" s="161">
        <v>649</v>
      </c>
      <c r="C145" s="161">
        <v>1248</v>
      </c>
      <c r="D145" s="161">
        <v>1922</v>
      </c>
    </row>
    <row r="146" spans="1:4" x14ac:dyDescent="0.45">
      <c r="A146" s="160">
        <v>46</v>
      </c>
      <c r="B146" s="161">
        <v>690</v>
      </c>
      <c r="C146" s="161">
        <v>1252</v>
      </c>
      <c r="D146" s="161">
        <v>1980</v>
      </c>
    </row>
    <row r="147" spans="1:4" x14ac:dyDescent="0.45">
      <c r="A147" s="160">
        <v>44</v>
      </c>
      <c r="B147" s="161">
        <v>662</v>
      </c>
      <c r="C147" s="161">
        <v>1244</v>
      </c>
      <c r="D147" s="161">
        <v>1940</v>
      </c>
    </row>
    <row r="148" spans="1:4" x14ac:dyDescent="0.45">
      <c r="A148" s="160">
        <v>43</v>
      </c>
      <c r="B148" s="161">
        <v>548</v>
      </c>
      <c r="C148" s="161">
        <v>913</v>
      </c>
      <c r="D148" s="161">
        <v>1489</v>
      </c>
    </row>
    <row r="149" spans="1:4" x14ac:dyDescent="0.45">
      <c r="A149" s="160">
        <v>42</v>
      </c>
      <c r="B149" s="161">
        <v>509</v>
      </c>
      <c r="C149" s="161">
        <v>1009</v>
      </c>
      <c r="D149" s="161">
        <v>1545</v>
      </c>
    </row>
    <row r="150" spans="1:4" x14ac:dyDescent="0.45">
      <c r="A150" s="160">
        <v>41</v>
      </c>
      <c r="B150" s="161">
        <v>450</v>
      </c>
      <c r="C150" s="161">
        <v>730</v>
      </c>
      <c r="D150" s="161">
        <v>1200</v>
      </c>
    </row>
    <row r="151" spans="1:4" x14ac:dyDescent="0.45">
      <c r="A151" s="160">
        <v>40</v>
      </c>
      <c r="B151" s="161">
        <v>461</v>
      </c>
      <c r="C151" s="161">
        <v>672</v>
      </c>
      <c r="D151" s="161">
        <v>1153</v>
      </c>
    </row>
    <row r="152" spans="1:4" x14ac:dyDescent="0.45">
      <c r="A152" s="160">
        <v>39</v>
      </c>
      <c r="B152" s="161">
        <v>389</v>
      </c>
      <c r="C152" s="161">
        <v>549</v>
      </c>
      <c r="D152" s="161">
        <v>958</v>
      </c>
    </row>
    <row r="153" spans="1:4" x14ac:dyDescent="0.45">
      <c r="A153" s="160">
        <v>38</v>
      </c>
      <c r="B153" s="161">
        <v>353</v>
      </c>
      <c r="C153" s="161">
        <v>461</v>
      </c>
      <c r="D153" s="161">
        <v>830</v>
      </c>
    </row>
    <row r="154" spans="1:4" x14ac:dyDescent="0.45">
      <c r="A154" s="160">
        <v>37</v>
      </c>
      <c r="B154" s="161">
        <v>327</v>
      </c>
      <c r="C154" s="161">
        <v>409</v>
      </c>
      <c r="D154" s="161">
        <v>749</v>
      </c>
    </row>
    <row r="155" spans="1:4" x14ac:dyDescent="0.45">
      <c r="A155" s="160">
        <v>36</v>
      </c>
      <c r="B155" s="161">
        <v>290</v>
      </c>
      <c r="C155" s="161">
        <v>315</v>
      </c>
      <c r="D155" s="161">
        <v>625</v>
      </c>
    </row>
    <row r="156" spans="1:4" x14ac:dyDescent="0.45">
      <c r="A156" s="160">
        <v>35</v>
      </c>
      <c r="B156" s="161">
        <v>287</v>
      </c>
      <c r="C156" s="161">
        <v>290</v>
      </c>
      <c r="D156" s="161">
        <v>595</v>
      </c>
    </row>
    <row r="157" spans="1:4" x14ac:dyDescent="0.45">
      <c r="A157" s="160">
        <v>34</v>
      </c>
      <c r="B157" s="161">
        <v>270</v>
      </c>
      <c r="C157" s="161">
        <v>268</v>
      </c>
      <c r="D157" s="161">
        <v>554</v>
      </c>
    </row>
    <row r="158" spans="1:4" x14ac:dyDescent="0.45">
      <c r="A158" s="160">
        <v>33</v>
      </c>
      <c r="B158" s="161">
        <v>591</v>
      </c>
      <c r="C158" s="161">
        <v>542</v>
      </c>
      <c r="D158" s="161">
        <v>1167</v>
      </c>
    </row>
    <row r="159" spans="1:4" x14ac:dyDescent="0.45">
      <c r="A159" s="160">
        <v>32</v>
      </c>
      <c r="B159" s="161">
        <v>242</v>
      </c>
      <c r="C159" s="161">
        <v>229</v>
      </c>
      <c r="D159" s="161">
        <v>485</v>
      </c>
    </row>
    <row r="160" spans="1:4" x14ac:dyDescent="0.45">
      <c r="A160" s="160">
        <v>30</v>
      </c>
      <c r="B160" s="161">
        <v>828</v>
      </c>
      <c r="C160" s="161">
        <v>559</v>
      </c>
      <c r="D160" s="161">
        <v>1441</v>
      </c>
    </row>
    <row r="161" spans="1:19" x14ac:dyDescent="0.45">
      <c r="A161" s="160">
        <v>29</v>
      </c>
      <c r="B161" s="161">
        <v>270</v>
      </c>
      <c r="C161" s="161">
        <v>216</v>
      </c>
      <c r="D161" s="161">
        <v>510</v>
      </c>
    </row>
    <row r="162" spans="1:19" x14ac:dyDescent="0.45">
      <c r="A162" s="160">
        <v>28</v>
      </c>
      <c r="B162" s="161">
        <v>288</v>
      </c>
      <c r="C162" s="161">
        <v>190</v>
      </c>
      <c r="D162" s="161">
        <v>498</v>
      </c>
    </row>
    <row r="163" spans="1:19" x14ac:dyDescent="0.45">
      <c r="A163" s="160">
        <v>27</v>
      </c>
      <c r="B163" s="161">
        <v>157</v>
      </c>
      <c r="C163" s="161">
        <v>109</v>
      </c>
      <c r="D163" s="161">
        <v>270</v>
      </c>
    </row>
    <row r="164" spans="1:19" x14ac:dyDescent="0.45">
      <c r="A164" s="160">
        <v>26</v>
      </c>
      <c r="B164" s="161">
        <v>109</v>
      </c>
      <c r="C164" s="161">
        <v>65</v>
      </c>
      <c r="D164" s="161">
        <v>177</v>
      </c>
    </row>
    <row r="165" spans="1:19" x14ac:dyDescent="0.45">
      <c r="A165" s="161">
        <v>25</v>
      </c>
      <c r="B165" s="161">
        <v>112</v>
      </c>
      <c r="C165" s="161">
        <v>77</v>
      </c>
      <c r="D165" s="161">
        <v>198</v>
      </c>
    </row>
    <row r="166" spans="1:19" x14ac:dyDescent="0.45">
      <c r="A166" s="161">
        <v>24</v>
      </c>
      <c r="B166" s="161">
        <v>73</v>
      </c>
      <c r="C166" s="161">
        <v>45</v>
      </c>
      <c r="D166" s="161">
        <v>125</v>
      </c>
    </row>
    <row r="167" spans="1:19" x14ac:dyDescent="0.45">
      <c r="A167" s="160">
        <v>23</v>
      </c>
      <c r="B167" s="161">
        <v>42</v>
      </c>
      <c r="C167" s="161">
        <v>22</v>
      </c>
      <c r="D167" s="161">
        <v>65</v>
      </c>
    </row>
    <row r="168" spans="1:19" x14ac:dyDescent="0.45">
      <c r="A168" s="162">
        <v>22</v>
      </c>
      <c r="B168" s="163">
        <v>36</v>
      </c>
      <c r="C168" s="163">
        <v>32</v>
      </c>
      <c r="D168" s="163">
        <v>71</v>
      </c>
    </row>
    <row r="169" spans="1:19" x14ac:dyDescent="0.45">
      <c r="A169" s="162">
        <v>20</v>
      </c>
      <c r="B169" s="163">
        <v>13</v>
      </c>
      <c r="C169" s="163">
        <v>5</v>
      </c>
      <c r="D169" s="163">
        <v>19</v>
      </c>
    </row>
    <row r="174" spans="1:19" ht="17.5" thickBot="1" x14ac:dyDescent="0.5"/>
    <row r="175" spans="1:19" x14ac:dyDescent="0.45">
      <c r="A175" s="40" t="s">
        <v>57</v>
      </c>
      <c r="B175" s="41"/>
      <c r="C175" s="41"/>
      <c r="D175" s="42"/>
      <c r="F175" s="40" t="s">
        <v>17</v>
      </c>
      <c r="G175" s="41"/>
      <c r="H175" s="41"/>
      <c r="I175" s="42"/>
      <c r="K175" s="40" t="s">
        <v>18</v>
      </c>
      <c r="L175" s="41"/>
      <c r="M175" s="41"/>
      <c r="N175" s="42"/>
      <c r="P175" s="40" t="s">
        <v>19</v>
      </c>
      <c r="Q175" s="41"/>
      <c r="R175" s="41"/>
      <c r="S175" s="42"/>
    </row>
    <row r="176" spans="1:19" x14ac:dyDescent="0.45">
      <c r="A176" s="6" t="s">
        <v>6</v>
      </c>
      <c r="B176" s="1"/>
      <c r="C176" s="1"/>
      <c r="D176" s="7" t="s">
        <v>7</v>
      </c>
      <c r="F176" s="6" t="s">
        <v>6</v>
      </c>
      <c r="G176" s="1"/>
      <c r="H176" s="1"/>
      <c r="I176" s="7" t="s">
        <v>7</v>
      </c>
      <c r="K176" s="6" t="s">
        <v>6</v>
      </c>
      <c r="L176" s="1"/>
      <c r="M176" s="1"/>
      <c r="N176" s="7" t="s">
        <v>7</v>
      </c>
      <c r="P176" s="6" t="s">
        <v>6</v>
      </c>
      <c r="Q176" s="1"/>
      <c r="R176" s="1"/>
      <c r="S176" s="7" t="s">
        <v>7</v>
      </c>
    </row>
    <row r="177" spans="1:19" x14ac:dyDescent="0.45">
      <c r="A177" s="160">
        <v>72</v>
      </c>
      <c r="B177" s="161">
        <v>595</v>
      </c>
      <c r="C177" s="161">
        <v>98</v>
      </c>
      <c r="D177" s="161">
        <v>694</v>
      </c>
      <c r="E177" s="161">
        <v>694</v>
      </c>
      <c r="F177" s="160">
        <v>73</v>
      </c>
      <c r="G177" s="161">
        <v>639</v>
      </c>
      <c r="H177" s="161">
        <v>261</v>
      </c>
      <c r="I177" s="161">
        <v>915</v>
      </c>
      <c r="J177" s="161">
        <v>915</v>
      </c>
      <c r="K177" s="160">
        <v>65</v>
      </c>
      <c r="L177" s="161">
        <v>2485</v>
      </c>
      <c r="M177" s="161">
        <v>2756</v>
      </c>
      <c r="N177" s="161">
        <v>5320</v>
      </c>
      <c r="O177" s="161">
        <v>5320</v>
      </c>
      <c r="P177" s="160">
        <v>75</v>
      </c>
      <c r="Q177" s="161">
        <v>245</v>
      </c>
      <c r="R177" s="161">
        <v>83</v>
      </c>
      <c r="S177" s="161">
        <v>331</v>
      </c>
    </row>
    <row r="178" spans="1:19" x14ac:dyDescent="0.45">
      <c r="A178" s="160">
        <v>70</v>
      </c>
      <c r="B178" s="161">
        <v>306</v>
      </c>
      <c r="C178" s="161">
        <v>74</v>
      </c>
      <c r="D178" s="161">
        <v>383</v>
      </c>
      <c r="E178" s="161">
        <v>1077</v>
      </c>
      <c r="F178" s="160">
        <v>71</v>
      </c>
      <c r="G178" s="161">
        <v>456</v>
      </c>
      <c r="H178" s="161">
        <v>204</v>
      </c>
      <c r="I178" s="161">
        <v>669</v>
      </c>
      <c r="J178" s="161">
        <v>1584</v>
      </c>
      <c r="K178" s="160">
        <v>64</v>
      </c>
      <c r="L178" s="161">
        <v>1662</v>
      </c>
      <c r="M178" s="161">
        <v>1866</v>
      </c>
      <c r="N178" s="161">
        <v>3563</v>
      </c>
      <c r="O178" s="161">
        <v>8883</v>
      </c>
      <c r="P178" s="160">
        <v>73</v>
      </c>
      <c r="Q178" s="161">
        <v>353</v>
      </c>
      <c r="R178" s="161">
        <v>138</v>
      </c>
      <c r="S178" s="161">
        <v>494</v>
      </c>
    </row>
    <row r="179" spans="1:19" x14ac:dyDescent="0.45">
      <c r="A179" s="160">
        <v>69</v>
      </c>
      <c r="B179" s="161">
        <v>914</v>
      </c>
      <c r="C179" s="161">
        <v>195</v>
      </c>
      <c r="D179" s="161">
        <v>1123</v>
      </c>
      <c r="E179" s="161">
        <v>2200</v>
      </c>
      <c r="F179" s="160">
        <v>70</v>
      </c>
      <c r="G179" s="161">
        <v>866</v>
      </c>
      <c r="H179" s="161">
        <v>461</v>
      </c>
      <c r="I179" s="161">
        <v>1346</v>
      </c>
      <c r="J179" s="161">
        <v>2930</v>
      </c>
      <c r="K179" s="160">
        <v>63</v>
      </c>
      <c r="L179" s="161">
        <v>1712</v>
      </c>
      <c r="M179" s="161">
        <v>2067</v>
      </c>
      <c r="N179" s="161">
        <v>3823</v>
      </c>
      <c r="O179" s="161">
        <v>12706</v>
      </c>
      <c r="P179" s="160">
        <v>72</v>
      </c>
      <c r="Q179" s="161">
        <v>254</v>
      </c>
      <c r="R179" s="161">
        <v>96</v>
      </c>
      <c r="S179" s="161">
        <v>354</v>
      </c>
    </row>
    <row r="180" spans="1:19" x14ac:dyDescent="0.45">
      <c r="A180" s="160">
        <v>68</v>
      </c>
      <c r="B180" s="161">
        <v>92</v>
      </c>
      <c r="C180" s="161">
        <v>16</v>
      </c>
      <c r="D180" s="161">
        <v>108</v>
      </c>
      <c r="E180" s="161">
        <v>2308</v>
      </c>
      <c r="F180" s="160">
        <v>69</v>
      </c>
      <c r="G180" s="161">
        <v>137</v>
      </c>
      <c r="H180" s="161">
        <v>72</v>
      </c>
      <c r="I180" s="161">
        <v>210</v>
      </c>
      <c r="J180" s="161">
        <v>3140</v>
      </c>
      <c r="K180" s="160">
        <v>62</v>
      </c>
      <c r="L180" s="161">
        <v>901</v>
      </c>
      <c r="M180" s="161">
        <v>1109</v>
      </c>
      <c r="N180" s="161">
        <v>2035</v>
      </c>
      <c r="O180" s="161">
        <v>14741</v>
      </c>
      <c r="P180" s="160">
        <v>71</v>
      </c>
      <c r="Q180" s="161">
        <v>246</v>
      </c>
      <c r="R180" s="161">
        <v>113</v>
      </c>
      <c r="S180" s="161">
        <v>366</v>
      </c>
    </row>
    <row r="181" spans="1:19" x14ac:dyDescent="0.45">
      <c r="A181" s="160">
        <v>67</v>
      </c>
      <c r="B181" s="161">
        <v>792</v>
      </c>
      <c r="C181" s="161">
        <v>175</v>
      </c>
      <c r="D181" s="161">
        <v>978</v>
      </c>
      <c r="E181" s="161">
        <v>3286</v>
      </c>
      <c r="F181" s="160">
        <v>68</v>
      </c>
      <c r="G181" s="161">
        <v>871</v>
      </c>
      <c r="H181" s="161">
        <v>443</v>
      </c>
      <c r="I181" s="161">
        <v>1333</v>
      </c>
      <c r="J181" s="161">
        <v>4473</v>
      </c>
      <c r="K181" s="160">
        <v>61</v>
      </c>
      <c r="L181" s="161">
        <v>1992</v>
      </c>
      <c r="M181" s="161">
        <v>2373</v>
      </c>
      <c r="N181" s="161">
        <v>4417</v>
      </c>
      <c r="O181" s="161">
        <v>19158</v>
      </c>
      <c r="P181" s="160">
        <v>70</v>
      </c>
      <c r="Q181" s="161">
        <v>518</v>
      </c>
      <c r="R181" s="161">
        <v>233</v>
      </c>
      <c r="S181" s="161">
        <v>758</v>
      </c>
    </row>
    <row r="182" spans="1:19" x14ac:dyDescent="0.45">
      <c r="A182" s="160">
        <v>66</v>
      </c>
      <c r="B182" s="161">
        <v>917</v>
      </c>
      <c r="C182" s="161">
        <v>231</v>
      </c>
      <c r="D182" s="161">
        <v>1162</v>
      </c>
      <c r="E182" s="161">
        <v>4448</v>
      </c>
      <c r="F182" s="160">
        <v>67</v>
      </c>
      <c r="G182" s="161">
        <v>769</v>
      </c>
      <c r="H182" s="161">
        <v>478</v>
      </c>
      <c r="I182" s="161">
        <v>1269</v>
      </c>
      <c r="J182" s="161">
        <v>5742</v>
      </c>
      <c r="K182" s="160">
        <v>60</v>
      </c>
      <c r="L182" s="161">
        <v>1287</v>
      </c>
      <c r="M182" s="161">
        <v>1505</v>
      </c>
      <c r="N182" s="161">
        <v>2825</v>
      </c>
      <c r="O182" s="161">
        <v>21983</v>
      </c>
      <c r="P182" s="160">
        <v>69</v>
      </c>
      <c r="Q182" s="161">
        <v>326</v>
      </c>
      <c r="R182" s="161">
        <v>149</v>
      </c>
      <c r="S182" s="161">
        <v>479</v>
      </c>
    </row>
    <row r="183" spans="1:19" x14ac:dyDescent="0.45">
      <c r="A183" s="160">
        <v>65</v>
      </c>
      <c r="B183" s="161">
        <v>333</v>
      </c>
      <c r="C183" s="161">
        <v>88</v>
      </c>
      <c r="D183" s="161">
        <v>425</v>
      </c>
      <c r="E183" s="161">
        <v>4873</v>
      </c>
      <c r="F183" s="160">
        <v>66</v>
      </c>
      <c r="G183" s="161">
        <v>383</v>
      </c>
      <c r="H183" s="161">
        <v>204</v>
      </c>
      <c r="I183" s="161">
        <v>589</v>
      </c>
      <c r="J183" s="161">
        <v>6331</v>
      </c>
      <c r="K183" s="160">
        <v>59</v>
      </c>
      <c r="L183" s="161">
        <v>3334</v>
      </c>
      <c r="M183" s="161">
        <v>4172</v>
      </c>
      <c r="N183" s="161">
        <v>7607</v>
      </c>
      <c r="O183" s="161">
        <v>29590</v>
      </c>
      <c r="P183" s="160">
        <v>68</v>
      </c>
      <c r="Q183" s="161">
        <v>551</v>
      </c>
      <c r="R183" s="161">
        <v>301</v>
      </c>
      <c r="S183" s="161">
        <v>861</v>
      </c>
    </row>
    <row r="184" spans="1:19" x14ac:dyDescent="0.45">
      <c r="A184" s="160">
        <v>64</v>
      </c>
      <c r="B184" s="161">
        <v>1268</v>
      </c>
      <c r="C184" s="161">
        <v>288</v>
      </c>
      <c r="D184" s="161">
        <v>1578</v>
      </c>
      <c r="E184" s="161">
        <v>6451</v>
      </c>
      <c r="F184" s="160">
        <v>65</v>
      </c>
      <c r="G184" s="161">
        <v>1794</v>
      </c>
      <c r="H184" s="161">
        <v>1219</v>
      </c>
      <c r="I184" s="161">
        <v>3053</v>
      </c>
      <c r="J184" s="161">
        <v>9384</v>
      </c>
      <c r="K184" s="160">
        <v>58</v>
      </c>
      <c r="L184" s="161">
        <v>1511</v>
      </c>
      <c r="M184" s="161">
        <v>1909</v>
      </c>
      <c r="N184" s="161">
        <v>3469</v>
      </c>
      <c r="O184" s="161">
        <v>33059</v>
      </c>
      <c r="P184" s="160">
        <v>67</v>
      </c>
      <c r="Q184" s="161">
        <v>548</v>
      </c>
      <c r="R184" s="161">
        <v>309</v>
      </c>
      <c r="S184" s="161">
        <v>868</v>
      </c>
    </row>
    <row r="185" spans="1:19" x14ac:dyDescent="0.45">
      <c r="A185" s="160">
        <v>63</v>
      </c>
      <c r="B185" s="161">
        <v>770</v>
      </c>
      <c r="C185" s="161">
        <v>214</v>
      </c>
      <c r="D185" s="161">
        <v>994</v>
      </c>
      <c r="E185" s="161">
        <v>7445</v>
      </c>
      <c r="F185" s="160">
        <v>64</v>
      </c>
      <c r="G185" s="161">
        <v>706</v>
      </c>
      <c r="H185" s="161">
        <v>440</v>
      </c>
      <c r="I185" s="161">
        <v>1162</v>
      </c>
      <c r="J185" s="161">
        <v>10546</v>
      </c>
      <c r="K185" s="160">
        <v>57</v>
      </c>
      <c r="L185" s="161">
        <v>1725</v>
      </c>
      <c r="M185" s="161">
        <v>2346</v>
      </c>
      <c r="N185" s="161">
        <v>4119</v>
      </c>
      <c r="O185" s="161">
        <v>37178</v>
      </c>
      <c r="P185" s="160">
        <v>66</v>
      </c>
      <c r="Q185" s="161">
        <v>512</v>
      </c>
      <c r="R185" s="161">
        <v>306</v>
      </c>
      <c r="S185" s="161">
        <v>825</v>
      </c>
    </row>
    <row r="186" spans="1:19" x14ac:dyDescent="0.45">
      <c r="A186" s="160">
        <v>62</v>
      </c>
      <c r="B186" s="161">
        <v>819</v>
      </c>
      <c r="C186" s="161">
        <v>207</v>
      </c>
      <c r="D186" s="161">
        <v>1037</v>
      </c>
      <c r="E186" s="161">
        <v>8482</v>
      </c>
      <c r="F186" s="160">
        <v>63</v>
      </c>
      <c r="G186" s="161">
        <v>1283</v>
      </c>
      <c r="H186" s="161">
        <v>829</v>
      </c>
      <c r="I186" s="161">
        <v>2138</v>
      </c>
      <c r="J186" s="161">
        <v>12684</v>
      </c>
      <c r="K186" s="160">
        <v>56</v>
      </c>
      <c r="L186" s="161">
        <v>1507</v>
      </c>
      <c r="M186" s="161">
        <v>1949</v>
      </c>
      <c r="N186" s="161">
        <v>3498</v>
      </c>
      <c r="O186" s="161">
        <v>40676</v>
      </c>
      <c r="P186" s="160">
        <v>65</v>
      </c>
      <c r="Q186" s="161">
        <v>705</v>
      </c>
      <c r="R186" s="161">
        <v>377</v>
      </c>
      <c r="S186" s="161">
        <v>1098</v>
      </c>
    </row>
    <row r="187" spans="1:19" x14ac:dyDescent="0.45">
      <c r="A187" s="160">
        <v>61</v>
      </c>
      <c r="B187" s="161">
        <v>1421</v>
      </c>
      <c r="C187" s="161">
        <v>394</v>
      </c>
      <c r="D187" s="161">
        <v>1837</v>
      </c>
      <c r="E187" s="161">
        <v>10319</v>
      </c>
      <c r="F187" s="160">
        <v>62</v>
      </c>
      <c r="G187" s="161">
        <v>756</v>
      </c>
      <c r="H187" s="161">
        <v>542</v>
      </c>
      <c r="I187" s="161">
        <v>1311</v>
      </c>
      <c r="J187" s="161">
        <v>13995</v>
      </c>
      <c r="K187" s="160">
        <v>55</v>
      </c>
      <c r="L187" s="161">
        <v>1715</v>
      </c>
      <c r="M187" s="161">
        <v>2275</v>
      </c>
      <c r="N187" s="161">
        <v>4041</v>
      </c>
      <c r="O187" s="161">
        <v>44717</v>
      </c>
      <c r="P187" s="160">
        <v>64</v>
      </c>
      <c r="Q187" s="161">
        <v>606</v>
      </c>
      <c r="R187" s="161">
        <v>336</v>
      </c>
      <c r="S187" s="161">
        <v>952</v>
      </c>
    </row>
    <row r="188" spans="1:19" x14ac:dyDescent="0.45">
      <c r="A188" s="160">
        <v>60</v>
      </c>
      <c r="B188" s="161">
        <v>796</v>
      </c>
      <c r="C188" s="161">
        <v>208</v>
      </c>
      <c r="D188" s="161">
        <v>1021</v>
      </c>
      <c r="E188" s="161">
        <v>11340</v>
      </c>
      <c r="F188" s="160">
        <v>61</v>
      </c>
      <c r="G188" s="161">
        <v>1008</v>
      </c>
      <c r="H188" s="161">
        <v>699</v>
      </c>
      <c r="I188" s="161">
        <v>1742</v>
      </c>
      <c r="J188" s="161">
        <v>15737</v>
      </c>
      <c r="K188" s="160">
        <v>54</v>
      </c>
      <c r="L188" s="161">
        <v>1514</v>
      </c>
      <c r="M188" s="161">
        <v>2059</v>
      </c>
      <c r="N188" s="161">
        <v>3628</v>
      </c>
      <c r="O188" s="161">
        <v>48345</v>
      </c>
      <c r="P188" s="160">
        <v>63</v>
      </c>
      <c r="Q188" s="161">
        <v>840</v>
      </c>
      <c r="R188" s="161">
        <v>487</v>
      </c>
      <c r="S188" s="161">
        <v>1350</v>
      </c>
    </row>
    <row r="189" spans="1:19" x14ac:dyDescent="0.45">
      <c r="A189" s="160">
        <v>59</v>
      </c>
      <c r="B189" s="161">
        <v>1202</v>
      </c>
      <c r="C189" s="161">
        <v>372</v>
      </c>
      <c r="D189" s="161">
        <v>1591</v>
      </c>
      <c r="E189" s="161">
        <v>12931</v>
      </c>
      <c r="F189" s="160">
        <v>60</v>
      </c>
      <c r="G189" s="161">
        <v>1227</v>
      </c>
      <c r="H189" s="161">
        <v>984</v>
      </c>
      <c r="I189" s="161">
        <v>2238</v>
      </c>
      <c r="J189" s="161">
        <v>17975</v>
      </c>
      <c r="K189" s="160">
        <v>53</v>
      </c>
      <c r="L189" s="161">
        <v>3065</v>
      </c>
      <c r="M189" s="161">
        <v>4135</v>
      </c>
      <c r="N189" s="161">
        <v>7292</v>
      </c>
      <c r="O189" s="161">
        <v>55637</v>
      </c>
      <c r="P189" s="160">
        <v>62</v>
      </c>
      <c r="Q189" s="161">
        <v>842</v>
      </c>
      <c r="R189" s="161">
        <v>434</v>
      </c>
      <c r="S189" s="161">
        <v>1295</v>
      </c>
    </row>
    <row r="190" spans="1:19" x14ac:dyDescent="0.45">
      <c r="A190" s="160">
        <v>58</v>
      </c>
      <c r="B190" s="161">
        <v>2271</v>
      </c>
      <c r="C190" s="161">
        <v>759</v>
      </c>
      <c r="D190" s="161">
        <v>3071</v>
      </c>
      <c r="E190" s="161">
        <v>16002</v>
      </c>
      <c r="F190" s="160">
        <v>59</v>
      </c>
      <c r="G190" s="161">
        <v>855</v>
      </c>
      <c r="H190" s="161">
        <v>693</v>
      </c>
      <c r="I190" s="161">
        <v>1567</v>
      </c>
      <c r="J190" s="161">
        <v>19542</v>
      </c>
      <c r="K190" s="160">
        <v>52</v>
      </c>
      <c r="L190" s="161">
        <v>1407</v>
      </c>
      <c r="M190" s="161">
        <v>1933</v>
      </c>
      <c r="N190" s="161">
        <v>3391</v>
      </c>
      <c r="O190" s="161">
        <v>59028</v>
      </c>
      <c r="P190" s="160">
        <v>61</v>
      </c>
      <c r="Q190" s="161">
        <v>891</v>
      </c>
      <c r="R190" s="161">
        <v>523</v>
      </c>
      <c r="S190" s="161">
        <v>1434</v>
      </c>
    </row>
    <row r="191" spans="1:19" x14ac:dyDescent="0.45">
      <c r="A191" s="160">
        <v>57</v>
      </c>
      <c r="B191" s="161">
        <v>1653</v>
      </c>
      <c r="C191" s="161">
        <v>497</v>
      </c>
      <c r="D191" s="161">
        <v>2177</v>
      </c>
      <c r="E191" s="161">
        <v>18179</v>
      </c>
      <c r="F191" s="160">
        <v>58</v>
      </c>
      <c r="G191" s="161">
        <v>1341</v>
      </c>
      <c r="H191" s="161">
        <v>968</v>
      </c>
      <c r="I191" s="161">
        <v>2328</v>
      </c>
      <c r="J191" s="161">
        <v>21870</v>
      </c>
      <c r="K191" s="160">
        <v>51</v>
      </c>
      <c r="L191" s="161">
        <v>1615</v>
      </c>
      <c r="M191" s="161">
        <v>2151</v>
      </c>
      <c r="N191" s="161">
        <v>3810</v>
      </c>
      <c r="O191" s="161">
        <v>62838</v>
      </c>
      <c r="P191" s="160">
        <v>60</v>
      </c>
      <c r="Q191" s="161">
        <v>1007</v>
      </c>
      <c r="R191" s="161">
        <v>627</v>
      </c>
      <c r="S191" s="161">
        <v>1657</v>
      </c>
    </row>
    <row r="192" spans="1:19" x14ac:dyDescent="0.45">
      <c r="A192" s="160">
        <v>56</v>
      </c>
      <c r="B192" s="161">
        <v>1266</v>
      </c>
      <c r="C192" s="161">
        <v>393</v>
      </c>
      <c r="D192" s="161">
        <v>1676</v>
      </c>
      <c r="E192" s="161">
        <v>19855</v>
      </c>
      <c r="F192" s="160">
        <v>57</v>
      </c>
      <c r="G192" s="161">
        <v>1231</v>
      </c>
      <c r="H192" s="161">
        <v>989</v>
      </c>
      <c r="I192" s="161">
        <v>2244</v>
      </c>
      <c r="J192" s="161">
        <v>24114</v>
      </c>
      <c r="K192" s="160">
        <v>50</v>
      </c>
      <c r="L192" s="161">
        <v>1410</v>
      </c>
      <c r="M192" s="161">
        <v>1872</v>
      </c>
      <c r="N192" s="161">
        <v>3341</v>
      </c>
      <c r="O192" s="161">
        <v>66179</v>
      </c>
      <c r="P192" s="160">
        <v>59</v>
      </c>
      <c r="Q192" s="161">
        <v>927</v>
      </c>
      <c r="R192" s="161">
        <v>619</v>
      </c>
      <c r="S192" s="161">
        <v>1567</v>
      </c>
    </row>
    <row r="193" spans="1:19" x14ac:dyDescent="0.45">
      <c r="A193" s="160">
        <v>55</v>
      </c>
      <c r="B193" s="161">
        <v>1300</v>
      </c>
      <c r="C193" s="161">
        <v>455</v>
      </c>
      <c r="D193" s="161">
        <v>1776</v>
      </c>
      <c r="E193" s="161">
        <v>21631</v>
      </c>
      <c r="F193" s="160">
        <v>56</v>
      </c>
      <c r="G193" s="161">
        <v>976</v>
      </c>
      <c r="H193" s="161">
        <v>825</v>
      </c>
      <c r="I193" s="161">
        <v>1829</v>
      </c>
      <c r="J193" s="161">
        <v>25943</v>
      </c>
      <c r="K193" s="160">
        <v>49</v>
      </c>
      <c r="L193" s="161">
        <v>1407</v>
      </c>
      <c r="M193" s="161">
        <v>1856</v>
      </c>
      <c r="N193" s="161">
        <v>3311</v>
      </c>
      <c r="O193" s="161">
        <v>69490</v>
      </c>
      <c r="P193" s="160">
        <v>58</v>
      </c>
      <c r="Q193" s="161">
        <v>2260</v>
      </c>
      <c r="R193" s="161">
        <v>1473</v>
      </c>
      <c r="S193" s="161">
        <v>3775</v>
      </c>
    </row>
    <row r="194" spans="1:19" x14ac:dyDescent="0.45">
      <c r="A194" s="160">
        <v>54</v>
      </c>
      <c r="B194" s="161">
        <v>1766</v>
      </c>
      <c r="C194" s="161">
        <v>591</v>
      </c>
      <c r="D194" s="161">
        <v>2383</v>
      </c>
      <c r="E194" s="161">
        <v>24014</v>
      </c>
      <c r="F194" s="160">
        <v>55</v>
      </c>
      <c r="G194" s="161">
        <v>1562</v>
      </c>
      <c r="H194" s="161">
        <v>1330</v>
      </c>
      <c r="I194" s="161">
        <v>2934</v>
      </c>
      <c r="J194" s="161">
        <v>28877</v>
      </c>
      <c r="K194" s="160">
        <v>48</v>
      </c>
      <c r="L194" s="161">
        <v>1339</v>
      </c>
      <c r="M194" s="161">
        <v>1815</v>
      </c>
      <c r="N194" s="161">
        <v>3200</v>
      </c>
      <c r="O194" s="161">
        <v>72690</v>
      </c>
      <c r="P194" s="160">
        <v>57</v>
      </c>
      <c r="Q194" s="161">
        <v>1062</v>
      </c>
      <c r="R194" s="161">
        <v>778</v>
      </c>
      <c r="S194" s="161">
        <v>1864</v>
      </c>
    </row>
    <row r="195" spans="1:19" x14ac:dyDescent="0.45">
      <c r="A195" s="160">
        <v>53</v>
      </c>
      <c r="B195" s="161">
        <v>1246</v>
      </c>
      <c r="C195" s="161">
        <v>403</v>
      </c>
      <c r="D195" s="161">
        <v>1666</v>
      </c>
      <c r="E195" s="161">
        <v>25680</v>
      </c>
      <c r="F195" s="160">
        <v>54</v>
      </c>
      <c r="G195" s="161">
        <v>1239</v>
      </c>
      <c r="H195" s="161">
        <v>986</v>
      </c>
      <c r="I195" s="161">
        <v>2255</v>
      </c>
      <c r="J195" s="161">
        <v>31132</v>
      </c>
      <c r="K195" s="160">
        <v>47</v>
      </c>
      <c r="L195" s="161">
        <v>2463</v>
      </c>
      <c r="M195" s="161">
        <v>3404</v>
      </c>
      <c r="N195" s="161">
        <v>5937</v>
      </c>
      <c r="O195" s="161">
        <v>78627</v>
      </c>
      <c r="P195" s="160">
        <v>56</v>
      </c>
      <c r="Q195" s="161">
        <v>1258</v>
      </c>
      <c r="R195" s="161">
        <v>869</v>
      </c>
      <c r="S195" s="161">
        <v>2155</v>
      </c>
    </row>
    <row r="196" spans="1:19" x14ac:dyDescent="0.45">
      <c r="A196" s="160">
        <v>52</v>
      </c>
      <c r="B196" s="161">
        <v>1718</v>
      </c>
      <c r="C196" s="161">
        <v>583</v>
      </c>
      <c r="D196" s="161">
        <v>2335</v>
      </c>
      <c r="E196" s="161">
        <v>28015</v>
      </c>
      <c r="F196" s="160">
        <v>53</v>
      </c>
      <c r="G196" s="161">
        <v>1364</v>
      </c>
      <c r="H196" s="161">
        <v>1233</v>
      </c>
      <c r="I196" s="161">
        <v>2626</v>
      </c>
      <c r="J196" s="161">
        <v>33758</v>
      </c>
      <c r="K196" s="160">
        <v>46</v>
      </c>
      <c r="L196" s="161">
        <v>1162</v>
      </c>
      <c r="M196" s="161">
        <v>1466</v>
      </c>
      <c r="N196" s="161">
        <v>2663</v>
      </c>
      <c r="O196" s="161">
        <v>81290</v>
      </c>
      <c r="P196" s="160">
        <v>55</v>
      </c>
      <c r="Q196" s="161">
        <v>1196</v>
      </c>
      <c r="R196" s="161">
        <v>822</v>
      </c>
      <c r="S196" s="161">
        <v>2046</v>
      </c>
    </row>
    <row r="197" spans="1:19" x14ac:dyDescent="0.45">
      <c r="A197" s="160">
        <v>51</v>
      </c>
      <c r="B197" s="161">
        <v>1596</v>
      </c>
      <c r="C197" s="161">
        <v>551</v>
      </c>
      <c r="D197" s="161">
        <v>2170</v>
      </c>
      <c r="E197" s="161">
        <v>30185</v>
      </c>
      <c r="F197" s="160">
        <v>52</v>
      </c>
      <c r="G197" s="161">
        <v>2886</v>
      </c>
      <c r="H197" s="161">
        <v>2478</v>
      </c>
      <c r="I197" s="161">
        <v>5441</v>
      </c>
      <c r="J197" s="161">
        <v>39199</v>
      </c>
      <c r="K197" s="160">
        <v>45</v>
      </c>
      <c r="L197" s="161">
        <v>1089</v>
      </c>
      <c r="M197" s="161">
        <v>1472</v>
      </c>
      <c r="N197" s="161">
        <v>2598</v>
      </c>
      <c r="O197" s="161">
        <v>83888</v>
      </c>
      <c r="P197" s="160">
        <v>54</v>
      </c>
      <c r="Q197" s="161">
        <v>1391</v>
      </c>
      <c r="R197" s="161">
        <v>912</v>
      </c>
      <c r="S197" s="161">
        <v>2334</v>
      </c>
    </row>
    <row r="198" spans="1:19" x14ac:dyDescent="0.45">
      <c r="A198" s="160">
        <v>50</v>
      </c>
      <c r="B198" s="161">
        <v>1422</v>
      </c>
      <c r="C198" s="161">
        <v>543</v>
      </c>
      <c r="D198" s="161">
        <v>2001</v>
      </c>
      <c r="E198" s="161">
        <v>32186</v>
      </c>
      <c r="F198" s="160">
        <v>51</v>
      </c>
      <c r="G198" s="161">
        <v>1487</v>
      </c>
      <c r="H198" s="161">
        <v>1467</v>
      </c>
      <c r="I198" s="161">
        <v>2984</v>
      </c>
      <c r="J198" s="161">
        <v>42183</v>
      </c>
      <c r="K198" s="160">
        <v>44</v>
      </c>
      <c r="L198" s="161">
        <v>1072</v>
      </c>
      <c r="M198" s="161">
        <v>1382</v>
      </c>
      <c r="N198" s="161">
        <v>2494</v>
      </c>
      <c r="O198" s="161">
        <v>86382</v>
      </c>
      <c r="P198" s="160">
        <v>53</v>
      </c>
      <c r="Q198" s="161">
        <v>1336</v>
      </c>
      <c r="R198" s="161">
        <v>943</v>
      </c>
      <c r="S198" s="161">
        <v>2299</v>
      </c>
    </row>
    <row r="199" spans="1:19" x14ac:dyDescent="0.45">
      <c r="A199" s="160">
        <v>49</v>
      </c>
      <c r="B199" s="161">
        <v>1770</v>
      </c>
      <c r="C199" s="161">
        <v>703</v>
      </c>
      <c r="D199" s="161">
        <v>2497</v>
      </c>
      <c r="E199" s="161">
        <v>34683</v>
      </c>
      <c r="F199" s="160">
        <v>50</v>
      </c>
      <c r="G199" s="161">
        <v>1414</v>
      </c>
      <c r="H199" s="161">
        <v>1294</v>
      </c>
      <c r="I199" s="161">
        <v>2741</v>
      </c>
      <c r="J199" s="161">
        <v>44924</v>
      </c>
      <c r="K199" s="160">
        <v>43</v>
      </c>
      <c r="L199" s="161">
        <v>959</v>
      </c>
      <c r="M199" s="161">
        <v>1267</v>
      </c>
      <c r="N199" s="161">
        <v>2258</v>
      </c>
      <c r="O199" s="161">
        <v>88640</v>
      </c>
      <c r="P199" s="160">
        <v>52</v>
      </c>
      <c r="Q199" s="161">
        <v>1253</v>
      </c>
      <c r="R199" s="161">
        <v>922</v>
      </c>
      <c r="S199" s="161">
        <v>2197</v>
      </c>
    </row>
    <row r="200" spans="1:19" x14ac:dyDescent="0.45">
      <c r="A200" s="160">
        <v>48</v>
      </c>
      <c r="B200" s="161">
        <v>1385</v>
      </c>
      <c r="C200" s="161">
        <v>550</v>
      </c>
      <c r="D200" s="161">
        <v>1961</v>
      </c>
      <c r="E200" s="161">
        <v>36644</v>
      </c>
      <c r="F200" s="160">
        <v>49</v>
      </c>
      <c r="G200" s="161">
        <v>1379</v>
      </c>
      <c r="H200" s="161">
        <v>1311</v>
      </c>
      <c r="I200" s="161">
        <v>2728</v>
      </c>
      <c r="J200" s="161">
        <v>47652</v>
      </c>
      <c r="K200" s="160">
        <v>42</v>
      </c>
      <c r="L200" s="161">
        <v>1032</v>
      </c>
      <c r="M200" s="161">
        <v>1318</v>
      </c>
      <c r="N200" s="161">
        <v>2389</v>
      </c>
      <c r="O200" s="161">
        <v>91029</v>
      </c>
      <c r="P200" s="160">
        <v>51</v>
      </c>
      <c r="Q200" s="161">
        <v>1405</v>
      </c>
      <c r="R200" s="161">
        <v>1017</v>
      </c>
      <c r="S200" s="161">
        <v>2458</v>
      </c>
    </row>
    <row r="201" spans="1:19" x14ac:dyDescent="0.45">
      <c r="A201" s="160">
        <v>47</v>
      </c>
      <c r="B201" s="161">
        <v>1601</v>
      </c>
      <c r="C201" s="161">
        <v>642</v>
      </c>
      <c r="D201" s="161">
        <v>2280</v>
      </c>
      <c r="E201" s="161">
        <v>38924</v>
      </c>
      <c r="F201" s="160">
        <v>48</v>
      </c>
      <c r="G201" s="161">
        <v>1595</v>
      </c>
      <c r="H201" s="161">
        <v>1540</v>
      </c>
      <c r="I201" s="161">
        <v>3185</v>
      </c>
      <c r="J201" s="161">
        <v>50837</v>
      </c>
      <c r="K201" s="160">
        <v>41</v>
      </c>
      <c r="L201" s="161">
        <v>1812</v>
      </c>
      <c r="M201" s="161">
        <v>2197</v>
      </c>
      <c r="N201" s="161">
        <v>4071</v>
      </c>
      <c r="O201" s="161">
        <v>95100</v>
      </c>
      <c r="P201" s="160">
        <v>50</v>
      </c>
      <c r="Q201" s="161">
        <v>1255</v>
      </c>
      <c r="R201" s="161">
        <v>954</v>
      </c>
      <c r="S201" s="161">
        <v>2246</v>
      </c>
    </row>
    <row r="202" spans="1:19" x14ac:dyDescent="0.45">
      <c r="A202" s="160">
        <v>46</v>
      </c>
      <c r="B202" s="161">
        <v>1548</v>
      </c>
      <c r="C202" s="161">
        <v>560</v>
      </c>
      <c r="D202" s="161">
        <v>2138</v>
      </c>
      <c r="E202" s="161">
        <v>41062</v>
      </c>
      <c r="F202" s="160">
        <v>47</v>
      </c>
      <c r="G202" s="161">
        <v>1402</v>
      </c>
      <c r="H202" s="161">
        <v>1377</v>
      </c>
      <c r="I202" s="161">
        <v>2812</v>
      </c>
      <c r="J202" s="161">
        <v>53649</v>
      </c>
      <c r="K202" s="160">
        <v>40</v>
      </c>
      <c r="L202" s="161">
        <v>920</v>
      </c>
      <c r="M202" s="161">
        <v>1062</v>
      </c>
      <c r="N202" s="161">
        <v>2009</v>
      </c>
      <c r="O202" s="161">
        <v>97109</v>
      </c>
      <c r="P202" s="160">
        <v>49</v>
      </c>
      <c r="Q202" s="161">
        <v>1454</v>
      </c>
      <c r="R202" s="161">
        <v>1030</v>
      </c>
      <c r="S202" s="161">
        <v>2510</v>
      </c>
    </row>
    <row r="203" spans="1:19" x14ac:dyDescent="0.45">
      <c r="A203" s="160">
        <v>45</v>
      </c>
      <c r="B203" s="161">
        <v>1328</v>
      </c>
      <c r="C203" s="161">
        <v>512</v>
      </c>
      <c r="D203" s="161">
        <v>1859</v>
      </c>
      <c r="E203" s="161">
        <v>42921</v>
      </c>
      <c r="F203" s="160">
        <v>46</v>
      </c>
      <c r="G203" s="161">
        <v>1572</v>
      </c>
      <c r="H203" s="161">
        <v>1506</v>
      </c>
      <c r="I203" s="161">
        <v>3113</v>
      </c>
      <c r="J203" s="161">
        <v>56762</v>
      </c>
      <c r="K203" s="160">
        <v>39</v>
      </c>
      <c r="L203" s="161">
        <v>735</v>
      </c>
      <c r="M203" s="161">
        <v>889</v>
      </c>
      <c r="N203" s="161">
        <v>1646</v>
      </c>
      <c r="O203" s="161">
        <v>98755</v>
      </c>
      <c r="P203" s="160">
        <v>48</v>
      </c>
      <c r="Q203" s="161">
        <v>1318</v>
      </c>
      <c r="R203" s="161">
        <v>1045</v>
      </c>
      <c r="S203" s="161">
        <v>2397</v>
      </c>
    </row>
    <row r="204" spans="1:19" x14ac:dyDescent="0.45">
      <c r="A204" s="160">
        <v>44</v>
      </c>
      <c r="B204" s="161">
        <v>1593</v>
      </c>
      <c r="C204" s="161">
        <v>599</v>
      </c>
      <c r="D204" s="161">
        <v>2221</v>
      </c>
      <c r="E204" s="161">
        <v>45142</v>
      </c>
      <c r="F204" s="160">
        <v>45</v>
      </c>
      <c r="G204" s="161">
        <v>1430</v>
      </c>
      <c r="H204" s="161">
        <v>1464</v>
      </c>
      <c r="I204" s="161">
        <v>2931</v>
      </c>
      <c r="J204" s="161">
        <v>59693</v>
      </c>
      <c r="K204" s="160">
        <v>38</v>
      </c>
      <c r="L204" s="161">
        <v>824</v>
      </c>
      <c r="M204" s="161">
        <v>947</v>
      </c>
      <c r="N204" s="161">
        <v>1795</v>
      </c>
      <c r="O204" s="161">
        <v>100550</v>
      </c>
      <c r="P204" s="160">
        <v>47</v>
      </c>
      <c r="Q204" s="161">
        <v>1308</v>
      </c>
      <c r="R204" s="161">
        <v>983</v>
      </c>
      <c r="S204" s="161">
        <v>2321</v>
      </c>
    </row>
    <row r="205" spans="1:19" x14ac:dyDescent="0.45">
      <c r="A205" s="160">
        <v>43</v>
      </c>
      <c r="B205" s="161">
        <v>1116</v>
      </c>
      <c r="C205" s="161">
        <v>431</v>
      </c>
      <c r="D205" s="161">
        <v>1563</v>
      </c>
      <c r="E205" s="161">
        <v>46705</v>
      </c>
      <c r="F205" s="160">
        <v>44</v>
      </c>
      <c r="G205" s="161">
        <v>1465</v>
      </c>
      <c r="H205" s="161">
        <v>1442</v>
      </c>
      <c r="I205" s="161">
        <v>2950</v>
      </c>
      <c r="J205" s="161">
        <v>62643</v>
      </c>
      <c r="K205" s="160">
        <v>37</v>
      </c>
      <c r="L205" s="161">
        <v>814</v>
      </c>
      <c r="M205" s="161">
        <v>832</v>
      </c>
      <c r="N205" s="161">
        <v>1666</v>
      </c>
      <c r="O205" s="161">
        <v>102216</v>
      </c>
      <c r="P205" s="160">
        <v>46</v>
      </c>
      <c r="Q205" s="161">
        <v>1410</v>
      </c>
      <c r="R205" s="161">
        <v>1163</v>
      </c>
      <c r="S205" s="161">
        <v>2614</v>
      </c>
    </row>
    <row r="206" spans="1:19" x14ac:dyDescent="0.45">
      <c r="A206" s="160">
        <v>42</v>
      </c>
      <c r="B206" s="161">
        <v>1340</v>
      </c>
      <c r="C206" s="161">
        <v>475</v>
      </c>
      <c r="D206" s="161">
        <v>1841</v>
      </c>
      <c r="E206" s="161">
        <v>48546</v>
      </c>
      <c r="F206" s="160">
        <v>43</v>
      </c>
      <c r="G206" s="161">
        <v>1519</v>
      </c>
      <c r="H206" s="161">
        <v>1503</v>
      </c>
      <c r="I206" s="161">
        <v>3067</v>
      </c>
      <c r="J206" s="161">
        <v>65710</v>
      </c>
      <c r="K206" s="160">
        <v>36</v>
      </c>
      <c r="L206" s="161">
        <v>707</v>
      </c>
      <c r="M206" s="161">
        <v>738</v>
      </c>
      <c r="N206" s="161">
        <v>1466</v>
      </c>
      <c r="O206" s="161">
        <v>103682</v>
      </c>
      <c r="P206" s="160">
        <v>45</v>
      </c>
      <c r="Q206" s="161">
        <v>1256</v>
      </c>
      <c r="R206" s="161">
        <v>906</v>
      </c>
      <c r="S206" s="161">
        <v>2191</v>
      </c>
    </row>
    <row r="207" spans="1:19" x14ac:dyDescent="0.45">
      <c r="A207" s="160">
        <v>41</v>
      </c>
      <c r="B207" s="161">
        <v>1137</v>
      </c>
      <c r="C207" s="161">
        <v>404</v>
      </c>
      <c r="D207" s="161">
        <v>1558</v>
      </c>
      <c r="E207" s="161">
        <v>50104</v>
      </c>
      <c r="F207" s="160">
        <v>42</v>
      </c>
      <c r="G207" s="161">
        <v>1382</v>
      </c>
      <c r="H207" s="161">
        <v>1313</v>
      </c>
      <c r="I207" s="161">
        <v>2729</v>
      </c>
      <c r="J207" s="161">
        <v>68439</v>
      </c>
      <c r="K207" s="160">
        <v>35</v>
      </c>
      <c r="L207" s="161">
        <v>1572</v>
      </c>
      <c r="M207" s="161">
        <v>1430</v>
      </c>
      <c r="N207" s="161">
        <v>3057</v>
      </c>
      <c r="O207" s="161">
        <v>106739</v>
      </c>
      <c r="P207" s="160">
        <v>44</v>
      </c>
      <c r="Q207" s="161">
        <v>1353</v>
      </c>
      <c r="R207" s="161">
        <v>1002</v>
      </c>
      <c r="S207" s="161">
        <v>2393</v>
      </c>
    </row>
    <row r="208" spans="1:19" x14ac:dyDescent="0.45">
      <c r="A208" s="160">
        <v>40</v>
      </c>
      <c r="B208" s="161">
        <v>2206</v>
      </c>
      <c r="C208" s="161">
        <v>723</v>
      </c>
      <c r="D208" s="161">
        <v>2971</v>
      </c>
      <c r="E208" s="161">
        <v>53075</v>
      </c>
      <c r="F208" s="160">
        <v>41</v>
      </c>
      <c r="G208" s="161">
        <v>1559</v>
      </c>
      <c r="H208" s="161">
        <v>1433</v>
      </c>
      <c r="I208" s="161">
        <v>3027</v>
      </c>
      <c r="J208" s="161">
        <v>71466</v>
      </c>
      <c r="K208" s="160">
        <v>34</v>
      </c>
      <c r="L208" s="161">
        <v>1654</v>
      </c>
      <c r="M208" s="161">
        <v>896</v>
      </c>
      <c r="N208" s="161">
        <v>2597</v>
      </c>
      <c r="O208" s="161">
        <v>109336</v>
      </c>
      <c r="P208" s="160">
        <v>43</v>
      </c>
      <c r="Q208" s="161">
        <v>1293</v>
      </c>
      <c r="R208" s="161">
        <v>991</v>
      </c>
      <c r="S208" s="161">
        <v>2325</v>
      </c>
    </row>
    <row r="209" spans="1:19" x14ac:dyDescent="0.45">
      <c r="A209" s="160">
        <v>39</v>
      </c>
      <c r="B209" s="161">
        <v>926</v>
      </c>
      <c r="C209" s="161">
        <v>293</v>
      </c>
      <c r="D209" s="161">
        <v>1239</v>
      </c>
      <c r="E209" s="161">
        <v>54314</v>
      </c>
      <c r="F209" s="160">
        <v>40</v>
      </c>
      <c r="G209" s="161">
        <v>1330</v>
      </c>
      <c r="H209" s="161">
        <v>1214</v>
      </c>
      <c r="I209" s="161">
        <v>2589</v>
      </c>
      <c r="J209" s="161">
        <v>74055</v>
      </c>
      <c r="K209" s="160">
        <v>33</v>
      </c>
      <c r="L209" s="161">
        <v>741</v>
      </c>
      <c r="M209" s="161">
        <v>590</v>
      </c>
      <c r="N209" s="161">
        <v>1356</v>
      </c>
      <c r="O209" s="161">
        <v>110692</v>
      </c>
      <c r="P209" s="160">
        <v>42</v>
      </c>
      <c r="Q209" s="161">
        <v>1176</v>
      </c>
      <c r="R209" s="161">
        <v>844</v>
      </c>
      <c r="S209" s="161">
        <v>2049</v>
      </c>
    </row>
    <row r="210" spans="1:19" x14ac:dyDescent="0.45">
      <c r="A210" s="160">
        <v>38</v>
      </c>
      <c r="B210" s="161">
        <v>908</v>
      </c>
      <c r="C210" s="161">
        <v>275</v>
      </c>
      <c r="D210" s="161">
        <v>1198</v>
      </c>
      <c r="E210" s="161">
        <v>55512</v>
      </c>
      <c r="F210" s="160">
        <v>39</v>
      </c>
      <c r="G210" s="161">
        <v>3107</v>
      </c>
      <c r="H210" s="161">
        <v>2270</v>
      </c>
      <c r="I210" s="161">
        <v>5448</v>
      </c>
      <c r="J210" s="161">
        <v>79503</v>
      </c>
      <c r="K210" s="160">
        <v>32</v>
      </c>
      <c r="L210" s="161">
        <v>572</v>
      </c>
      <c r="M210" s="161">
        <v>392</v>
      </c>
      <c r="N210" s="161">
        <v>979</v>
      </c>
      <c r="O210" s="161">
        <v>111671</v>
      </c>
      <c r="P210" s="160">
        <v>41</v>
      </c>
      <c r="Q210" s="161">
        <v>1300</v>
      </c>
      <c r="R210" s="161">
        <v>924</v>
      </c>
      <c r="S210" s="161">
        <v>2260</v>
      </c>
    </row>
    <row r="211" spans="1:19" x14ac:dyDescent="0.45">
      <c r="A211" s="160">
        <v>37</v>
      </c>
      <c r="B211" s="161">
        <v>722</v>
      </c>
      <c r="C211" s="161">
        <v>234</v>
      </c>
      <c r="D211" s="161">
        <v>961</v>
      </c>
      <c r="E211" s="161">
        <v>56473</v>
      </c>
      <c r="F211" s="160">
        <v>38</v>
      </c>
      <c r="G211" s="161">
        <v>1102</v>
      </c>
      <c r="H211" s="161">
        <v>937</v>
      </c>
      <c r="I211" s="161">
        <v>2065</v>
      </c>
      <c r="J211" s="161">
        <v>81568</v>
      </c>
      <c r="K211" s="160">
        <v>31</v>
      </c>
      <c r="L211" s="161">
        <v>1395</v>
      </c>
      <c r="M211" s="161">
        <v>784</v>
      </c>
      <c r="N211" s="161">
        <v>2216</v>
      </c>
      <c r="O211" s="161">
        <v>113887</v>
      </c>
      <c r="P211" s="160">
        <v>40</v>
      </c>
      <c r="Q211" s="161">
        <v>1103</v>
      </c>
      <c r="R211" s="161">
        <v>744</v>
      </c>
      <c r="S211" s="161">
        <v>1866</v>
      </c>
    </row>
    <row r="212" spans="1:19" x14ac:dyDescent="0.45">
      <c r="A212" s="160">
        <v>36</v>
      </c>
      <c r="B212" s="161">
        <v>889</v>
      </c>
      <c r="C212" s="161">
        <v>250</v>
      </c>
      <c r="D212" s="161">
        <v>1153</v>
      </c>
      <c r="E212" s="161">
        <v>57626</v>
      </c>
      <c r="F212" s="160">
        <v>37</v>
      </c>
      <c r="G212" s="161">
        <v>1074</v>
      </c>
      <c r="H212" s="161">
        <v>833</v>
      </c>
      <c r="I212" s="161">
        <v>1926</v>
      </c>
      <c r="J212" s="161">
        <v>83494</v>
      </c>
      <c r="K212" s="160">
        <v>30</v>
      </c>
      <c r="L212" s="161">
        <v>924</v>
      </c>
      <c r="M212" s="161">
        <v>624</v>
      </c>
      <c r="N212" s="161">
        <v>1569</v>
      </c>
      <c r="O212" s="161">
        <v>115456</v>
      </c>
      <c r="P212" s="160">
        <v>39</v>
      </c>
      <c r="Q212" s="161">
        <v>1220</v>
      </c>
      <c r="R212" s="161">
        <v>735</v>
      </c>
      <c r="S212" s="161">
        <v>1981</v>
      </c>
    </row>
    <row r="213" spans="1:19" x14ac:dyDescent="0.45">
      <c r="A213" s="160">
        <v>35</v>
      </c>
      <c r="B213" s="161">
        <v>695</v>
      </c>
      <c r="C213" s="161">
        <v>183</v>
      </c>
      <c r="D213" s="161">
        <v>888</v>
      </c>
      <c r="E213" s="161">
        <v>58514</v>
      </c>
      <c r="F213" s="160">
        <v>36</v>
      </c>
      <c r="G213" s="161">
        <v>850</v>
      </c>
      <c r="H213" s="161">
        <v>644</v>
      </c>
      <c r="I213" s="161">
        <v>1512</v>
      </c>
      <c r="J213" s="161">
        <v>85006</v>
      </c>
      <c r="K213" s="160">
        <v>29</v>
      </c>
      <c r="L213" s="161">
        <v>600</v>
      </c>
      <c r="M213" s="161">
        <v>312</v>
      </c>
      <c r="N213" s="161">
        <v>930</v>
      </c>
      <c r="O213" s="161">
        <v>116386</v>
      </c>
      <c r="P213" s="160">
        <v>38</v>
      </c>
      <c r="Q213" s="161">
        <v>1004</v>
      </c>
      <c r="R213" s="161">
        <v>666</v>
      </c>
      <c r="S213" s="161">
        <v>1705</v>
      </c>
    </row>
    <row r="214" spans="1:19" x14ac:dyDescent="0.45">
      <c r="A214" s="160">
        <v>34</v>
      </c>
      <c r="B214" s="161">
        <v>1476</v>
      </c>
      <c r="C214" s="161">
        <v>270</v>
      </c>
      <c r="D214" s="161">
        <v>1771</v>
      </c>
      <c r="E214" s="161">
        <v>60285</v>
      </c>
      <c r="F214" s="160">
        <v>35</v>
      </c>
      <c r="G214" s="161">
        <v>715</v>
      </c>
      <c r="H214" s="161">
        <v>579</v>
      </c>
      <c r="I214" s="161">
        <v>1316</v>
      </c>
      <c r="J214" s="161">
        <v>86322</v>
      </c>
      <c r="K214" s="160">
        <v>28</v>
      </c>
      <c r="L214" s="161">
        <v>206</v>
      </c>
      <c r="M214" s="161">
        <v>129</v>
      </c>
      <c r="N214" s="161">
        <v>340</v>
      </c>
      <c r="O214" s="161">
        <v>116726</v>
      </c>
      <c r="P214" s="160">
        <v>37</v>
      </c>
      <c r="Q214" s="161">
        <v>2158</v>
      </c>
      <c r="R214" s="161">
        <v>847</v>
      </c>
      <c r="S214" s="161">
        <v>3059</v>
      </c>
    </row>
    <row r="215" spans="1:19" x14ac:dyDescent="0.45">
      <c r="A215" s="160">
        <v>33</v>
      </c>
      <c r="B215" s="161">
        <v>591</v>
      </c>
      <c r="C215" s="161">
        <v>154</v>
      </c>
      <c r="D215" s="161">
        <v>751</v>
      </c>
      <c r="E215" s="161">
        <v>61036</v>
      </c>
      <c r="F215" s="160">
        <v>34</v>
      </c>
      <c r="G215" s="161">
        <v>943</v>
      </c>
      <c r="H215" s="161">
        <v>451</v>
      </c>
      <c r="I215" s="161">
        <v>1408</v>
      </c>
      <c r="J215" s="161">
        <v>87730</v>
      </c>
      <c r="K215" s="160">
        <v>27</v>
      </c>
      <c r="L215" s="161">
        <v>276</v>
      </c>
      <c r="M215" s="161">
        <v>143</v>
      </c>
      <c r="N215" s="161">
        <v>423</v>
      </c>
      <c r="O215" s="161">
        <v>117149</v>
      </c>
      <c r="P215" s="160">
        <v>36</v>
      </c>
      <c r="Q215" s="161">
        <v>2004</v>
      </c>
      <c r="R215" s="161">
        <v>1051</v>
      </c>
      <c r="S215" s="161">
        <v>3111</v>
      </c>
    </row>
    <row r="216" spans="1:19" x14ac:dyDescent="0.45">
      <c r="A216" s="160">
        <v>32</v>
      </c>
      <c r="B216" s="161">
        <v>420</v>
      </c>
      <c r="C216" s="161">
        <v>107</v>
      </c>
      <c r="D216" s="161">
        <v>538</v>
      </c>
      <c r="E216" s="161">
        <v>61574</v>
      </c>
      <c r="F216" s="160">
        <v>33</v>
      </c>
      <c r="G216" s="161">
        <v>471</v>
      </c>
      <c r="H216" s="161">
        <v>313</v>
      </c>
      <c r="I216" s="161">
        <v>796</v>
      </c>
      <c r="J216" s="161">
        <v>88526</v>
      </c>
      <c r="K216" s="160">
        <v>26</v>
      </c>
      <c r="L216" s="161">
        <v>145</v>
      </c>
      <c r="M216" s="161">
        <v>88</v>
      </c>
      <c r="N216" s="161">
        <v>236</v>
      </c>
      <c r="O216" s="161">
        <v>117385</v>
      </c>
      <c r="P216" s="160">
        <v>35</v>
      </c>
      <c r="Q216" s="161">
        <v>724</v>
      </c>
      <c r="R216" s="161">
        <v>314</v>
      </c>
      <c r="S216" s="161">
        <v>1053</v>
      </c>
    </row>
    <row r="217" spans="1:19" x14ac:dyDescent="0.45">
      <c r="A217" s="160">
        <v>31</v>
      </c>
      <c r="B217" s="161">
        <v>321</v>
      </c>
      <c r="C217" s="161">
        <v>71</v>
      </c>
      <c r="D217" s="161">
        <v>399</v>
      </c>
      <c r="E217" s="161">
        <v>61973</v>
      </c>
      <c r="F217" s="160">
        <v>32</v>
      </c>
      <c r="G217" s="161">
        <v>305</v>
      </c>
      <c r="H217" s="161">
        <v>194</v>
      </c>
      <c r="I217" s="161">
        <v>504</v>
      </c>
      <c r="J217" s="161">
        <v>89030</v>
      </c>
      <c r="K217" s="160">
        <v>25</v>
      </c>
      <c r="L217" s="161">
        <v>88</v>
      </c>
      <c r="M217" s="161">
        <v>37</v>
      </c>
      <c r="N217" s="161">
        <v>128</v>
      </c>
      <c r="O217" s="161">
        <v>117513</v>
      </c>
      <c r="P217" s="160">
        <v>34</v>
      </c>
      <c r="Q217" s="161">
        <v>495</v>
      </c>
      <c r="R217" s="161">
        <v>297</v>
      </c>
      <c r="S217" s="161">
        <v>802</v>
      </c>
    </row>
    <row r="218" spans="1:19" x14ac:dyDescent="0.45">
      <c r="A218" s="160">
        <v>30</v>
      </c>
      <c r="B218" s="161">
        <v>184</v>
      </c>
      <c r="C218" s="161">
        <v>44</v>
      </c>
      <c r="D218" s="161">
        <v>233</v>
      </c>
      <c r="E218" s="161">
        <v>62206</v>
      </c>
      <c r="F218" s="160">
        <v>31</v>
      </c>
      <c r="G218" s="161">
        <v>263</v>
      </c>
      <c r="H218" s="161">
        <v>191</v>
      </c>
      <c r="I218" s="161">
        <v>459</v>
      </c>
      <c r="J218" s="161">
        <v>89489</v>
      </c>
      <c r="K218" s="160">
        <v>24</v>
      </c>
      <c r="L218" s="161">
        <v>119</v>
      </c>
      <c r="M218" s="161">
        <v>51</v>
      </c>
      <c r="N218" s="161">
        <v>174</v>
      </c>
      <c r="O218" s="161">
        <v>117687</v>
      </c>
      <c r="P218" s="160">
        <v>33</v>
      </c>
      <c r="Q218" s="161">
        <v>267</v>
      </c>
      <c r="R218" s="161">
        <v>150</v>
      </c>
      <c r="S218" s="161">
        <v>424</v>
      </c>
    </row>
    <row r="219" spans="1:19" x14ac:dyDescent="0.45">
      <c r="A219" s="160">
        <v>29</v>
      </c>
      <c r="B219" s="161">
        <v>188</v>
      </c>
      <c r="C219" s="161">
        <v>34</v>
      </c>
      <c r="D219" s="161">
        <v>226</v>
      </c>
      <c r="E219" s="161">
        <v>62432</v>
      </c>
      <c r="F219" s="160">
        <v>30</v>
      </c>
      <c r="G219" s="161">
        <v>130</v>
      </c>
      <c r="H219" s="161">
        <v>94</v>
      </c>
      <c r="I219" s="161">
        <v>225</v>
      </c>
      <c r="J219" s="161">
        <v>89714</v>
      </c>
      <c r="K219" s="160">
        <v>23</v>
      </c>
      <c r="L219" s="161">
        <v>41</v>
      </c>
      <c r="M219" s="161">
        <v>17</v>
      </c>
      <c r="N219" s="161">
        <v>60</v>
      </c>
      <c r="O219" s="161">
        <v>117747</v>
      </c>
      <c r="P219" s="160">
        <v>32</v>
      </c>
      <c r="Q219" s="161">
        <v>315</v>
      </c>
      <c r="R219" s="161">
        <v>146</v>
      </c>
      <c r="S219" s="161">
        <v>471</v>
      </c>
    </row>
    <row r="220" spans="1:19" x14ac:dyDescent="0.45">
      <c r="A220" s="160">
        <v>28</v>
      </c>
      <c r="B220" s="161">
        <v>110</v>
      </c>
      <c r="C220" s="161">
        <v>26</v>
      </c>
      <c r="D220" s="161">
        <v>139</v>
      </c>
      <c r="E220" s="161">
        <v>62571</v>
      </c>
      <c r="F220" s="160">
        <v>29</v>
      </c>
      <c r="G220" s="161">
        <v>68</v>
      </c>
      <c r="H220" s="161">
        <v>46</v>
      </c>
      <c r="I220" s="161">
        <v>115</v>
      </c>
      <c r="J220" s="161">
        <v>89829</v>
      </c>
      <c r="K220" s="160"/>
      <c r="L220" s="161"/>
      <c r="M220" s="161"/>
      <c r="N220" s="161"/>
      <c r="O220" s="161"/>
      <c r="P220" s="160">
        <v>31</v>
      </c>
      <c r="Q220" s="161">
        <v>170</v>
      </c>
      <c r="R220" s="161">
        <v>69</v>
      </c>
      <c r="S220" s="161">
        <v>243</v>
      </c>
    </row>
    <row r="221" spans="1:19" x14ac:dyDescent="0.45">
      <c r="A221" s="160">
        <v>27</v>
      </c>
      <c r="B221" s="161">
        <v>62</v>
      </c>
      <c r="C221" s="161">
        <v>18</v>
      </c>
      <c r="D221" s="161">
        <v>80</v>
      </c>
      <c r="E221" s="161">
        <v>62651</v>
      </c>
      <c r="F221" s="160">
        <v>28</v>
      </c>
      <c r="G221" s="161">
        <v>96</v>
      </c>
      <c r="H221" s="161">
        <v>49</v>
      </c>
      <c r="I221" s="161">
        <v>145</v>
      </c>
      <c r="J221" s="161">
        <v>89974</v>
      </c>
      <c r="K221" s="160"/>
      <c r="L221" s="161"/>
      <c r="M221" s="161"/>
      <c r="N221" s="161"/>
      <c r="O221" s="161"/>
      <c r="P221" s="160">
        <v>30</v>
      </c>
      <c r="Q221" s="161">
        <v>109</v>
      </c>
      <c r="R221" s="161">
        <v>28</v>
      </c>
      <c r="S221" s="161">
        <v>138</v>
      </c>
    </row>
    <row r="222" spans="1:19" x14ac:dyDescent="0.45">
      <c r="A222" s="160">
        <v>26</v>
      </c>
      <c r="B222" s="161">
        <v>62</v>
      </c>
      <c r="C222" s="161">
        <v>19</v>
      </c>
      <c r="D222" s="161">
        <v>83</v>
      </c>
      <c r="E222" s="161">
        <v>62734</v>
      </c>
      <c r="F222" s="160">
        <v>26</v>
      </c>
      <c r="G222" s="161">
        <v>24</v>
      </c>
      <c r="H222" s="161">
        <v>18</v>
      </c>
      <c r="I222" s="161">
        <v>42</v>
      </c>
      <c r="J222" s="161">
        <v>90016</v>
      </c>
      <c r="K222" s="160"/>
      <c r="L222" s="161"/>
      <c r="M222" s="161"/>
      <c r="N222" s="161"/>
      <c r="O222" s="161"/>
      <c r="P222" s="160">
        <v>29</v>
      </c>
      <c r="Q222" s="161">
        <v>117</v>
      </c>
      <c r="R222" s="161">
        <v>42</v>
      </c>
      <c r="S222" s="161">
        <v>164</v>
      </c>
    </row>
    <row r="223" spans="1:19" x14ac:dyDescent="0.45">
      <c r="A223" s="160">
        <v>24</v>
      </c>
      <c r="B223" s="161">
        <v>35</v>
      </c>
      <c r="C223" s="161">
        <v>3</v>
      </c>
      <c r="D223" s="161">
        <v>40</v>
      </c>
      <c r="E223" s="161">
        <v>62774</v>
      </c>
      <c r="F223" s="160"/>
      <c r="G223" s="161"/>
      <c r="H223" s="161"/>
      <c r="I223" s="161"/>
      <c r="J223" s="161"/>
      <c r="K223" s="160"/>
      <c r="L223" s="161"/>
      <c r="M223" s="161"/>
      <c r="N223" s="161"/>
      <c r="O223" s="161"/>
      <c r="P223" s="160">
        <v>27</v>
      </c>
      <c r="Q223" s="161">
        <v>46</v>
      </c>
      <c r="R223" s="161">
        <v>17</v>
      </c>
      <c r="S223" s="161">
        <v>63</v>
      </c>
    </row>
    <row r="224" spans="1:19" ht="17.5" thickBot="1" x14ac:dyDescent="0.5">
      <c r="A224" s="8"/>
      <c r="B224" s="9"/>
      <c r="C224" s="9"/>
      <c r="D224" s="2"/>
      <c r="F224" s="8"/>
      <c r="G224" s="9"/>
      <c r="H224" s="9"/>
      <c r="I224" s="2"/>
      <c r="K224" s="8"/>
      <c r="L224" s="9"/>
      <c r="M224" s="9"/>
      <c r="N224" s="2"/>
      <c r="P224" s="8"/>
      <c r="Q224" s="9"/>
      <c r="R224" s="9"/>
      <c r="S224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66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1:17" ht="25" customHeight="1" thickBot="1" x14ac:dyDescent="0.5">
      <c r="A3" s="5"/>
      <c r="B3" s="25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기능'!D4</f>
        <v>45.72</v>
      </c>
      <c r="I3" s="16" t="s">
        <v>70</v>
      </c>
      <c r="J3" s="45">
        <f>'통계 및 응시자 수 입력 기능'!C4</f>
        <v>336202</v>
      </c>
      <c r="K3" s="26"/>
      <c r="L3" s="5"/>
    </row>
    <row r="4" spans="1:17" ht="25" customHeight="1" thickBot="1" x14ac:dyDescent="0.5">
      <c r="A4" s="5"/>
      <c r="B4" s="25"/>
      <c r="C4" s="46" t="s">
        <v>71</v>
      </c>
      <c r="D4" s="168" t="s">
        <v>72</v>
      </c>
      <c r="E4" s="169"/>
      <c r="F4" s="170"/>
      <c r="G4" s="47" t="s">
        <v>73</v>
      </c>
      <c r="H4" s="48" t="str">
        <f>'통계 및 응시자 수 입력 기능'!E4</f>
        <v>18.67</v>
      </c>
      <c r="I4" s="171"/>
      <c r="J4" s="172"/>
      <c r="K4" s="26"/>
    </row>
    <row r="5" spans="1:17" ht="25" customHeight="1" thickBot="1" x14ac:dyDescent="0.5">
      <c r="A5" s="5"/>
      <c r="B5" s="25"/>
      <c r="C5" s="14"/>
      <c r="D5" s="14"/>
      <c r="E5" s="14"/>
      <c r="F5" s="14"/>
      <c r="G5" s="14"/>
      <c r="H5" s="15"/>
      <c r="I5" s="173"/>
      <c r="J5" s="173"/>
      <c r="K5" s="26"/>
      <c r="L5" s="5"/>
    </row>
    <row r="6" spans="1:17" ht="25" customHeight="1" thickBot="1" x14ac:dyDescent="0.5">
      <c r="A6" s="5"/>
      <c r="B6" s="25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1" t="s">
        <v>80</v>
      </c>
      <c r="I6" s="51" t="s">
        <v>81</v>
      </c>
      <c r="J6" s="52" t="s">
        <v>82</v>
      </c>
      <c r="K6" s="26"/>
      <c r="L6" s="3" t="s">
        <v>65</v>
      </c>
      <c r="M6" s="3"/>
      <c r="N6" s="4"/>
    </row>
    <row r="7" spans="1:17" ht="25" customHeight="1" x14ac:dyDescent="0.45">
      <c r="A7" s="5"/>
      <c r="B7" s="25"/>
      <c r="C7" s="53">
        <v>100</v>
      </c>
      <c r="D7" s="54">
        <f>ROUND(20*(C7-$H$3)/$H$4+100,0)</f>
        <v>158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100</v>
      </c>
      <c r="G7" s="56">
        <f>_xlfn.IFNA(VLOOKUP(D7,'인원 입력 기능(국수)'!$A$5:$D$103,4,FALSE),0)</f>
        <v>19</v>
      </c>
      <c r="H7" s="57">
        <f>G7/$J$3</f>
        <v>5.6513643583321929E-5</v>
      </c>
      <c r="I7" s="58">
        <f>G7</f>
        <v>19</v>
      </c>
      <c r="J7" s="59">
        <f>I7/$J$3</f>
        <v>5.6513643583321929E-5</v>
      </c>
      <c r="K7" s="26"/>
      <c r="L7" s="15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136</v>
      </c>
    </row>
    <row r="8" spans="1:17" ht="25" customHeight="1" x14ac:dyDescent="0.45">
      <c r="A8" s="5"/>
      <c r="B8" s="25"/>
      <c r="C8" s="60">
        <v>99</v>
      </c>
      <c r="D8" s="61" t="s">
        <v>56</v>
      </c>
      <c r="E8" s="61"/>
      <c r="F8" s="62"/>
      <c r="G8" s="63"/>
      <c r="H8" s="64"/>
      <c r="I8" s="65"/>
      <c r="J8" s="66"/>
      <c r="K8" s="26"/>
      <c r="L8" s="15"/>
      <c r="N8" s="1"/>
      <c r="P8" s="1">
        <v>2</v>
      </c>
      <c r="Q8" s="1">
        <f>'표점등급&amp;절평인원 입력 기능'!C5</f>
        <v>126</v>
      </c>
    </row>
    <row r="9" spans="1:17" ht="25" customHeight="1" x14ac:dyDescent="0.45">
      <c r="A9" s="5"/>
      <c r="B9" s="25"/>
      <c r="C9" s="60">
        <v>98</v>
      </c>
      <c r="D9" s="54">
        <f>ROUND(20*(C9-$H$3)/$H$4+100,0)</f>
        <v>156</v>
      </c>
      <c r="E9" s="54">
        <f t="shared" si="0"/>
        <v>1</v>
      </c>
      <c r="F9" s="55">
        <f>IF(I8=0,ROUND(100*(1-(I7+I9)/2/$J$3),2),ROUND(100*(1-(I8+I9)/2/$J$3),2))</f>
        <v>99.99</v>
      </c>
      <c r="G9" s="56">
        <f>_xlfn.IFNA(VLOOKUP(D9,'인원 입력 기능(국수)'!$A$5:$D$103,4,FALSE),0)</f>
        <v>59</v>
      </c>
      <c r="H9" s="57">
        <f>G9/$J$3</f>
        <v>1.7548973533768389E-4</v>
      </c>
      <c r="I9" s="67">
        <f>SUM($G$7:G9)</f>
        <v>78</v>
      </c>
      <c r="J9" s="59">
        <f>I9/$J$3</f>
        <v>2.3200337892100581E-4</v>
      </c>
      <c r="K9" s="26"/>
      <c r="L9" s="15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116</v>
      </c>
    </row>
    <row r="10" spans="1:17" ht="25" customHeight="1" x14ac:dyDescent="0.45">
      <c r="A10" s="5"/>
      <c r="B10" s="25"/>
      <c r="C10" s="60">
        <v>97</v>
      </c>
      <c r="D10" s="54">
        <f t="shared" ref="D10:D73" si="2">ROUND(20*(C10-$H$3)/$H$4+100,0)</f>
        <v>155</v>
      </c>
      <c r="E10" s="54">
        <f t="shared" si="0"/>
        <v>1</v>
      </c>
      <c r="F10" s="55">
        <f t="shared" ref="F10:F73" si="3">IF(I9=0,ROUND(100*(1-(I8+I10)/2/$J$3),2),ROUND(100*(1-(I9+I10)/2/$J$3),2))</f>
        <v>99.97</v>
      </c>
      <c r="G10" s="56">
        <f>IF(D10=D9,"",_xlfn.IFNA(VLOOKUP(D10,'인원 입력 기능(국수)'!$A$5:$D$103,4,FALSE),0))</f>
        <v>16</v>
      </c>
      <c r="H10" s="57">
        <f t="shared" ref="H10:H73" si="4">G10/$J$3</f>
        <v>4.7590436701744783E-5</v>
      </c>
      <c r="I10" s="67">
        <f>SUM($G$7:G10)</f>
        <v>94</v>
      </c>
      <c r="J10" s="59">
        <f t="shared" ref="J10:J73" si="5">I10/$J$3</f>
        <v>2.7959381562275062E-4</v>
      </c>
      <c r="K10" s="26"/>
      <c r="L10" s="15" t="str">
        <f t="shared" si="1"/>
        <v/>
      </c>
      <c r="N10" s="1"/>
      <c r="P10" s="1">
        <v>4</v>
      </c>
      <c r="Q10" s="1">
        <f>'표점등급&amp;절평인원 입력 기능'!C7</f>
        <v>106</v>
      </c>
    </row>
    <row r="11" spans="1:17" ht="25" customHeight="1" x14ac:dyDescent="0.45">
      <c r="A11" s="5"/>
      <c r="B11" s="25"/>
      <c r="C11" s="60">
        <v>96</v>
      </c>
      <c r="D11" s="54">
        <f t="shared" si="2"/>
        <v>154</v>
      </c>
      <c r="E11" s="54">
        <f t="shared" si="0"/>
        <v>1</v>
      </c>
      <c r="F11" s="55">
        <f t="shared" si="3"/>
        <v>99.95</v>
      </c>
      <c r="G11" s="56">
        <f>IF(D11=D10,"",_xlfn.IFNA(VLOOKUP(D11,'인원 입력 기능(국수)'!$A$5:$D$103,4,FALSE),0))</f>
        <v>143</v>
      </c>
      <c r="H11" s="57">
        <f t="shared" si="4"/>
        <v>4.2533952802184402E-4</v>
      </c>
      <c r="I11" s="67">
        <f>SUM($G$7:G11)</f>
        <v>237</v>
      </c>
      <c r="J11" s="59">
        <f t="shared" si="5"/>
        <v>7.0493334364459459E-4</v>
      </c>
      <c r="K11" s="26"/>
      <c r="L11" s="15" t="str">
        <f t="shared" si="1"/>
        <v/>
      </c>
      <c r="N11" s="1"/>
      <c r="P11" s="1">
        <v>5</v>
      </c>
      <c r="Q11" s="1">
        <f>'표점등급&amp;절평인원 입력 기능'!C8</f>
        <v>93</v>
      </c>
    </row>
    <row r="12" spans="1:17" ht="25" customHeight="1" x14ac:dyDescent="0.45">
      <c r="A12" s="5"/>
      <c r="B12" s="25"/>
      <c r="C12" s="60">
        <v>95</v>
      </c>
      <c r="D12" s="54">
        <f t="shared" si="2"/>
        <v>153</v>
      </c>
      <c r="E12" s="54">
        <f t="shared" si="0"/>
        <v>1</v>
      </c>
      <c r="F12" s="55">
        <f t="shared" si="3"/>
        <v>99.92</v>
      </c>
      <c r="G12" s="56">
        <f>IF(D12=D11,"",_xlfn.IFNA(VLOOKUP(D12,'인원 입력 기능(국수)'!$A$5:$D$103,4,FALSE),0))</f>
        <v>52</v>
      </c>
      <c r="H12" s="57">
        <f t="shared" si="4"/>
        <v>1.5466891928067055E-4</v>
      </c>
      <c r="I12" s="67">
        <f>SUM($G$7:G12)</f>
        <v>289</v>
      </c>
      <c r="J12" s="59">
        <f t="shared" si="5"/>
        <v>8.5960226292526522E-4</v>
      </c>
      <c r="K12" s="26"/>
      <c r="L12" s="15" t="str">
        <f t="shared" si="1"/>
        <v/>
      </c>
      <c r="N12" s="1"/>
      <c r="P12" s="1">
        <v>6</v>
      </c>
      <c r="Q12" s="1">
        <f>'표점등급&amp;절평인원 입력 기능'!C9</f>
        <v>82</v>
      </c>
    </row>
    <row r="13" spans="1:17" ht="25" customHeight="1" x14ac:dyDescent="0.45">
      <c r="A13" s="5"/>
      <c r="B13" s="25"/>
      <c r="C13" s="60">
        <v>94</v>
      </c>
      <c r="D13" s="54">
        <f t="shared" si="2"/>
        <v>152</v>
      </c>
      <c r="E13" s="54">
        <f t="shared" si="0"/>
        <v>1</v>
      </c>
      <c r="F13" s="55">
        <f t="shared" si="3"/>
        <v>99.88</v>
      </c>
      <c r="G13" s="56">
        <f>IF(D13=D12,"",_xlfn.IFNA(VLOOKUP(D13,'인원 입력 기능(국수)'!$A$5:$D$103,4,FALSE),0))</f>
        <v>222</v>
      </c>
      <c r="H13" s="57">
        <f t="shared" si="4"/>
        <v>6.6031730923670883E-4</v>
      </c>
      <c r="I13" s="67">
        <f>SUM($G$7:G13)</f>
        <v>511</v>
      </c>
      <c r="J13" s="59">
        <f t="shared" si="5"/>
        <v>1.5199195721619741E-3</v>
      </c>
      <c r="K13" s="26"/>
      <c r="L13" s="15" t="str">
        <f t="shared" si="1"/>
        <v/>
      </c>
      <c r="N13" s="1"/>
      <c r="P13" s="1">
        <v>7</v>
      </c>
      <c r="Q13" s="1">
        <f>'표점등급&amp;절평인원 입력 기능'!C10</f>
        <v>75</v>
      </c>
    </row>
    <row r="14" spans="1:17" ht="25" customHeight="1" x14ac:dyDescent="0.45">
      <c r="A14" s="5"/>
      <c r="B14" s="25"/>
      <c r="C14" s="60">
        <v>93</v>
      </c>
      <c r="D14" s="54">
        <f t="shared" si="2"/>
        <v>151</v>
      </c>
      <c r="E14" s="54">
        <f t="shared" si="0"/>
        <v>1</v>
      </c>
      <c r="F14" s="55">
        <f t="shared" si="3"/>
        <v>99.83</v>
      </c>
      <c r="G14" s="56">
        <f>IF(D14=D13,"",_xlfn.IFNA(VLOOKUP(D14,'인원 입력 기능(국수)'!$A$5:$D$103,4,FALSE),0))</f>
        <v>129</v>
      </c>
      <c r="H14" s="57">
        <f t="shared" si="4"/>
        <v>3.8369789590781734E-4</v>
      </c>
      <c r="I14" s="67">
        <f>SUM($G$7:G14)</f>
        <v>640</v>
      </c>
      <c r="J14" s="59">
        <f t="shared" si="5"/>
        <v>1.9036174680697913E-3</v>
      </c>
      <c r="K14" s="26"/>
      <c r="L14" s="15" t="str">
        <f t="shared" si="1"/>
        <v/>
      </c>
      <c r="N14" s="1"/>
      <c r="P14" s="1">
        <v>8</v>
      </c>
      <c r="Q14" s="1">
        <f>'표점등급&amp;절평인원 입력 기능'!C11</f>
        <v>70</v>
      </c>
    </row>
    <row r="15" spans="1:17" ht="25" customHeight="1" x14ac:dyDescent="0.45">
      <c r="A15" s="5"/>
      <c r="B15" s="25"/>
      <c r="C15" s="60">
        <v>92</v>
      </c>
      <c r="D15" s="54">
        <f t="shared" si="2"/>
        <v>150</v>
      </c>
      <c r="E15" s="54">
        <f t="shared" si="0"/>
        <v>1</v>
      </c>
      <c r="F15" s="55">
        <f t="shared" si="3"/>
        <v>99.77</v>
      </c>
      <c r="G15" s="56">
        <f>IF(D15=D14,"",_xlfn.IFNA(VLOOKUP(D15,'인원 입력 기능(국수)'!$A$5:$D$103,4,FALSE),0))</f>
        <v>291</v>
      </c>
      <c r="H15" s="57">
        <f t="shared" si="4"/>
        <v>8.6555106751298326E-4</v>
      </c>
      <c r="I15" s="67">
        <f>SUM($G$7:G15)</f>
        <v>931</v>
      </c>
      <c r="J15" s="59">
        <f t="shared" si="5"/>
        <v>2.7691685355827745E-3</v>
      </c>
      <c r="K15" s="26"/>
      <c r="L15" s="15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25"/>
      <c r="C16" s="68">
        <v>91</v>
      </c>
      <c r="D16" s="54">
        <f t="shared" si="2"/>
        <v>149</v>
      </c>
      <c r="E16" s="69">
        <f t="shared" si="0"/>
        <v>1</v>
      </c>
      <c r="F16" s="55">
        <f t="shared" si="3"/>
        <v>99.69</v>
      </c>
      <c r="G16" s="56">
        <f>IF(D16=D15,"",_xlfn.IFNA(VLOOKUP(D16,'인원 입력 기능(국수)'!$A$5:$D$103,4,FALSE),0))</f>
        <v>255</v>
      </c>
      <c r="H16" s="57">
        <f t="shared" si="4"/>
        <v>7.5847258493405751E-4</v>
      </c>
      <c r="I16" s="70">
        <f>SUM($G$7:G16)</f>
        <v>1186</v>
      </c>
      <c r="J16" s="59">
        <f t="shared" si="5"/>
        <v>3.527641120516832E-3</v>
      </c>
      <c r="K16" s="26"/>
      <c r="L16" s="15" t="str">
        <f t="shared" si="1"/>
        <v>경고</v>
      </c>
      <c r="N16" s="1"/>
    </row>
    <row r="17" spans="1:17" ht="25" customHeight="1" x14ac:dyDescent="0.45">
      <c r="A17" s="5"/>
      <c r="B17" s="25"/>
      <c r="C17" s="68">
        <v>90</v>
      </c>
      <c r="D17" s="54">
        <f t="shared" si="2"/>
        <v>147</v>
      </c>
      <c r="E17" s="69">
        <f t="shared" si="0"/>
        <v>1</v>
      </c>
      <c r="F17" s="55">
        <f t="shared" si="3"/>
        <v>99.57</v>
      </c>
      <c r="G17" s="56">
        <f>IF(D17=D16,"",_xlfn.IFNA(VLOOKUP(D17,'인원 입력 기능(국수)'!$A$5:$D$103,4,FALSE),0))</f>
        <v>495</v>
      </c>
      <c r="H17" s="57">
        <f t="shared" si="4"/>
        <v>1.4723291354602293E-3</v>
      </c>
      <c r="I17" s="70">
        <f>SUM($G$7:G17)</f>
        <v>1681</v>
      </c>
      <c r="J17" s="59">
        <f t="shared" si="5"/>
        <v>4.999970255977061E-3</v>
      </c>
      <c r="K17" s="26"/>
      <c r="L17" s="15" t="str">
        <f t="shared" si="1"/>
        <v/>
      </c>
      <c r="N17" s="1"/>
      <c r="Q17" s="1">
        <f>Q7*H3*H4*J3*IFERROR(IF(J107=1, 1, 0), 0)</f>
        <v>39029208200.812805</v>
      </c>
    </row>
    <row r="18" spans="1:17" ht="25" customHeight="1" x14ac:dyDescent="0.45">
      <c r="A18" s="5"/>
      <c r="B18" s="25"/>
      <c r="C18" s="68">
        <v>89</v>
      </c>
      <c r="D18" s="54">
        <f t="shared" si="2"/>
        <v>146</v>
      </c>
      <c r="E18" s="69">
        <f t="shared" si="0"/>
        <v>1</v>
      </c>
      <c r="F18" s="55">
        <f t="shared" si="3"/>
        <v>99.44</v>
      </c>
      <c r="G18" s="56">
        <f>IF(D18=D17,"",_xlfn.IFNA(VLOOKUP(D18,'인원 입력 기능(국수)'!$A$5:$D$103,4,FALSE),0))</f>
        <v>423</v>
      </c>
      <c r="H18" s="57">
        <f t="shared" si="4"/>
        <v>1.2581721703023778E-3</v>
      </c>
      <c r="I18" s="70">
        <f>SUM($G$7:G18)</f>
        <v>2104</v>
      </c>
      <c r="J18" s="59">
        <f t="shared" si="5"/>
        <v>6.2581424262794392E-3</v>
      </c>
      <c r="K18" s="26"/>
      <c r="L18" s="15" t="str">
        <f t="shared" si="1"/>
        <v/>
      </c>
      <c r="N18" s="1"/>
    </row>
    <row r="19" spans="1:17" ht="25" customHeight="1" x14ac:dyDescent="0.45">
      <c r="A19" s="5"/>
      <c r="B19" s="25"/>
      <c r="C19" s="68">
        <v>88</v>
      </c>
      <c r="D19" s="54">
        <f t="shared" si="2"/>
        <v>145</v>
      </c>
      <c r="E19" s="69">
        <f t="shared" si="0"/>
        <v>1</v>
      </c>
      <c r="F19" s="55">
        <f t="shared" si="3"/>
        <v>99.29</v>
      </c>
      <c r="G19" s="56">
        <f>IF(D19=D18,"",_xlfn.IFNA(VLOOKUP(D19,'인원 입력 기능(국수)'!$A$5:$D$103,4,FALSE),0))</f>
        <v>548</v>
      </c>
      <c r="H19" s="57">
        <f t="shared" si="4"/>
        <v>1.6299724570347589E-3</v>
      </c>
      <c r="I19" s="70">
        <f>SUM($G$7:G19)</f>
        <v>2652</v>
      </c>
      <c r="J19" s="59">
        <f t="shared" si="5"/>
        <v>7.8881148833141977E-3</v>
      </c>
      <c r="K19" s="26"/>
      <c r="L19" s="15" t="str">
        <f t="shared" si="1"/>
        <v/>
      </c>
      <c r="N19" s="1"/>
    </row>
    <row r="20" spans="1:17" ht="25" customHeight="1" x14ac:dyDescent="0.45">
      <c r="A20" s="5"/>
      <c r="B20" s="25"/>
      <c r="C20" s="68">
        <v>87</v>
      </c>
      <c r="D20" s="54">
        <f t="shared" si="2"/>
        <v>144</v>
      </c>
      <c r="E20" s="69">
        <f t="shared" si="0"/>
        <v>1</v>
      </c>
      <c r="F20" s="55">
        <f t="shared" si="3"/>
        <v>99.1</v>
      </c>
      <c r="G20" s="56">
        <f>IF(D20=D19,"",_xlfn.IFNA(VLOOKUP(D20,'인원 입력 기능(국수)'!$A$5:$D$103,4,FALSE),0))</f>
        <v>720</v>
      </c>
      <c r="H20" s="57">
        <f t="shared" si="4"/>
        <v>2.1415696515785154E-3</v>
      </c>
      <c r="I20" s="70">
        <f>SUM($G$7:G20)</f>
        <v>3372</v>
      </c>
      <c r="J20" s="59">
        <f t="shared" si="5"/>
        <v>1.0029684534892714E-2</v>
      </c>
      <c r="K20" s="26"/>
      <c r="L20" s="15" t="str">
        <f t="shared" si="1"/>
        <v/>
      </c>
      <c r="N20" s="1"/>
    </row>
    <row r="21" spans="1:17" ht="25" customHeight="1" x14ac:dyDescent="0.45">
      <c r="A21" s="5"/>
      <c r="B21" s="25"/>
      <c r="C21" s="68">
        <v>86</v>
      </c>
      <c r="D21" s="54">
        <f t="shared" si="2"/>
        <v>143</v>
      </c>
      <c r="E21" s="69">
        <f t="shared" si="0"/>
        <v>1</v>
      </c>
      <c r="F21" s="55">
        <f t="shared" si="3"/>
        <v>98.9</v>
      </c>
      <c r="G21" s="56">
        <f>IF(D21=D20,"",_xlfn.IFNA(VLOOKUP(D21,'인원 입력 기능(국수)'!$A$5:$D$103,4,FALSE),0))</f>
        <v>671</v>
      </c>
      <c r="H21" s="57">
        <f t="shared" si="4"/>
        <v>1.995823939179422E-3</v>
      </c>
      <c r="I21" s="70">
        <f>SUM($G$7:G21)</f>
        <v>4043</v>
      </c>
      <c r="J21" s="59">
        <f t="shared" si="5"/>
        <v>1.2025508474072135E-2</v>
      </c>
      <c r="K21" s="26"/>
      <c r="L21" s="15" t="str">
        <f t="shared" si="1"/>
        <v/>
      </c>
      <c r="N21" s="1"/>
    </row>
    <row r="22" spans="1:17" ht="25" customHeight="1" x14ac:dyDescent="0.45">
      <c r="A22" s="5"/>
      <c r="B22" s="25"/>
      <c r="C22" s="68">
        <v>85</v>
      </c>
      <c r="D22" s="54">
        <f t="shared" si="2"/>
        <v>142</v>
      </c>
      <c r="E22" s="69">
        <f t="shared" si="0"/>
        <v>1</v>
      </c>
      <c r="F22" s="55">
        <f t="shared" si="3"/>
        <v>98.66</v>
      </c>
      <c r="G22" s="56">
        <f>IF(D22=D21,"",_xlfn.IFNA(VLOOKUP(D22,'인원 입력 기능(국수)'!$A$5:$D$103,4,FALSE),0))</f>
        <v>942</v>
      </c>
      <c r="H22" s="57">
        <f t="shared" si="4"/>
        <v>2.8018869608152242E-3</v>
      </c>
      <c r="I22" s="70">
        <f>SUM($G$7:G22)</f>
        <v>4985</v>
      </c>
      <c r="J22" s="59">
        <f t="shared" si="5"/>
        <v>1.4827395434887359E-2</v>
      </c>
      <c r="K22" s="26"/>
      <c r="L22" s="15" t="str">
        <f t="shared" si="1"/>
        <v/>
      </c>
      <c r="N22" s="1"/>
    </row>
    <row r="23" spans="1:17" ht="25" customHeight="1" x14ac:dyDescent="0.45">
      <c r="A23" s="5"/>
      <c r="B23" s="25"/>
      <c r="C23" s="68">
        <v>84</v>
      </c>
      <c r="D23" s="54">
        <f t="shared" si="2"/>
        <v>141</v>
      </c>
      <c r="E23" s="69">
        <f t="shared" si="0"/>
        <v>1</v>
      </c>
      <c r="F23" s="55">
        <f t="shared" si="3"/>
        <v>98.37</v>
      </c>
      <c r="G23" s="56">
        <f>IF(D23=D22,"",_xlfn.IFNA(VLOOKUP(D23,'인원 입력 기능(국수)'!$A$5:$D$103,4,FALSE),0))</f>
        <v>980</v>
      </c>
      <c r="H23" s="57">
        <f t="shared" si="4"/>
        <v>2.9149142479818679E-3</v>
      </c>
      <c r="I23" s="70">
        <f>SUM($G$7:G23)</f>
        <v>5965</v>
      </c>
      <c r="J23" s="59">
        <f t="shared" si="5"/>
        <v>1.7742309682869228E-2</v>
      </c>
      <c r="K23" s="26"/>
      <c r="L23" s="15" t="str">
        <f t="shared" si="1"/>
        <v/>
      </c>
      <c r="N23" s="1"/>
    </row>
    <row r="24" spans="1:17" ht="25" customHeight="1" x14ac:dyDescent="0.45">
      <c r="A24" s="5"/>
      <c r="B24" s="25"/>
      <c r="C24" s="68">
        <v>83</v>
      </c>
      <c r="D24" s="54">
        <f t="shared" si="2"/>
        <v>140</v>
      </c>
      <c r="E24" s="69">
        <f t="shared" si="0"/>
        <v>1</v>
      </c>
      <c r="F24" s="55">
        <f t="shared" si="3"/>
        <v>98.04</v>
      </c>
      <c r="G24" s="56">
        <f>IF(D24=D23,"",_xlfn.IFNA(VLOOKUP(D24,'인원 입력 기능(국수)'!$A$5:$D$103,4,FALSE),0))</f>
        <v>1277</v>
      </c>
      <c r="H24" s="57">
        <f t="shared" si="4"/>
        <v>3.7983117292580055E-3</v>
      </c>
      <c r="I24" s="70">
        <f>SUM($G$7:G24)</f>
        <v>7242</v>
      </c>
      <c r="J24" s="59">
        <f t="shared" si="5"/>
        <v>2.1540621412127234E-2</v>
      </c>
      <c r="K24" s="26"/>
      <c r="L24" s="15" t="str">
        <f t="shared" si="1"/>
        <v/>
      </c>
      <c r="N24" s="1"/>
    </row>
    <row r="25" spans="1:17" ht="25" customHeight="1" x14ac:dyDescent="0.45">
      <c r="A25" s="5"/>
      <c r="B25" s="25"/>
      <c r="C25" s="68">
        <v>82</v>
      </c>
      <c r="D25" s="54">
        <f t="shared" si="2"/>
        <v>139</v>
      </c>
      <c r="E25" s="69">
        <f t="shared" si="0"/>
        <v>1</v>
      </c>
      <c r="F25" s="55">
        <f t="shared" si="3"/>
        <v>97.65</v>
      </c>
      <c r="G25" s="56">
        <f>IF(D25=D24,"",_xlfn.IFNA(VLOOKUP(D25,'인원 입력 기능(국수)'!$A$5:$D$103,4,FALSE),0))</f>
        <v>1299</v>
      </c>
      <c r="H25" s="57">
        <f t="shared" si="4"/>
        <v>3.8637485797229048E-3</v>
      </c>
      <c r="I25" s="70">
        <f>SUM($G$7:G25)</f>
        <v>8541</v>
      </c>
      <c r="J25" s="59">
        <f t="shared" si="5"/>
        <v>2.5404369991850136E-2</v>
      </c>
      <c r="K25" s="26"/>
      <c r="L25" s="15" t="str">
        <f t="shared" si="1"/>
        <v/>
      </c>
      <c r="N25" s="1"/>
    </row>
    <row r="26" spans="1:17" ht="25" customHeight="1" x14ac:dyDescent="0.45">
      <c r="A26" s="5"/>
      <c r="B26" s="25"/>
      <c r="C26" s="68">
        <v>81</v>
      </c>
      <c r="D26" s="54">
        <f t="shared" si="2"/>
        <v>138</v>
      </c>
      <c r="E26" s="69">
        <f t="shared" si="0"/>
        <v>1</v>
      </c>
      <c r="F26" s="55">
        <f t="shared" si="3"/>
        <v>97.23</v>
      </c>
      <c r="G26" s="56">
        <f>IF(D26=D25,"",_xlfn.IFNA(VLOOKUP(D26,'인원 입력 기능(국수)'!$A$5:$D$103,4,FALSE),0))</f>
        <v>1546</v>
      </c>
      <c r="H26" s="57">
        <f t="shared" si="4"/>
        <v>4.5984259463060896E-3</v>
      </c>
      <c r="I26" s="70">
        <f>SUM($G$7:G26)</f>
        <v>10087</v>
      </c>
      <c r="J26" s="59">
        <f t="shared" si="5"/>
        <v>3.0002795938156229E-2</v>
      </c>
      <c r="K26" s="26"/>
      <c r="L26" s="15" t="str">
        <f t="shared" si="1"/>
        <v/>
      </c>
      <c r="N26" s="1"/>
    </row>
    <row r="27" spans="1:17" ht="25" customHeight="1" x14ac:dyDescent="0.45">
      <c r="A27" s="5"/>
      <c r="B27" s="25"/>
      <c r="C27" s="68">
        <v>80</v>
      </c>
      <c r="D27" s="54">
        <f t="shared" si="2"/>
        <v>137</v>
      </c>
      <c r="E27" s="69">
        <f t="shared" si="0"/>
        <v>1</v>
      </c>
      <c r="F27" s="55">
        <f t="shared" si="3"/>
        <v>96.74</v>
      </c>
      <c r="G27" s="56">
        <f>IF(D27=D26,"",_xlfn.IFNA(VLOOKUP(D27,'인원 입력 기능(국수)'!$A$5:$D$103,4,FALSE),0))</f>
        <v>1728</v>
      </c>
      <c r="H27" s="57">
        <f t="shared" si="4"/>
        <v>5.1397671637884368E-3</v>
      </c>
      <c r="I27" s="70">
        <f>SUM($G$7:G27)</f>
        <v>11815</v>
      </c>
      <c r="J27" s="59">
        <f t="shared" si="5"/>
        <v>3.5142563101944663E-2</v>
      </c>
      <c r="K27" s="26"/>
      <c r="L27" s="15" t="str">
        <f t="shared" si="1"/>
        <v/>
      </c>
      <c r="N27" s="1"/>
    </row>
    <row r="28" spans="1:17" ht="25" customHeight="1" x14ac:dyDescent="0.45">
      <c r="A28" s="5"/>
      <c r="B28" s="25"/>
      <c r="C28" s="68">
        <v>79</v>
      </c>
      <c r="D28" s="54">
        <f t="shared" si="2"/>
        <v>136</v>
      </c>
      <c r="E28" s="69">
        <f t="shared" si="0"/>
        <v>1</v>
      </c>
      <c r="F28" s="55">
        <f t="shared" si="3"/>
        <v>96.21</v>
      </c>
      <c r="G28" s="56">
        <f>IF(D28=D27,"",_xlfn.IFNA(VLOOKUP(D28,'인원 입력 기능(국수)'!$A$5:$D$103,4,FALSE),0))</f>
        <v>1874</v>
      </c>
      <c r="H28" s="57">
        <f t="shared" si="4"/>
        <v>5.5740298986918582E-3</v>
      </c>
      <c r="I28" s="70">
        <f>SUM($G$7:G28)</f>
        <v>13689</v>
      </c>
      <c r="J28" s="59">
        <f t="shared" si="5"/>
        <v>4.0716593000636521E-2</v>
      </c>
      <c r="K28" s="26"/>
      <c r="L28" s="15" t="str">
        <f t="shared" si="1"/>
        <v/>
      </c>
      <c r="N28" s="1"/>
    </row>
    <row r="29" spans="1:17" ht="25" customHeight="1" x14ac:dyDescent="0.45">
      <c r="A29" s="5"/>
      <c r="B29" s="25"/>
      <c r="C29" s="68">
        <v>78</v>
      </c>
      <c r="D29" s="54">
        <f t="shared" si="2"/>
        <v>135</v>
      </c>
      <c r="E29" s="69">
        <f t="shared" si="0"/>
        <v>2</v>
      </c>
      <c r="F29" s="55">
        <f t="shared" si="3"/>
        <v>95.6</v>
      </c>
      <c r="G29" s="56">
        <f>IF(D29=D28,"",_xlfn.IFNA(VLOOKUP(D29,'인원 입력 기능(국수)'!$A$5:$D$103,4,FALSE),0))</f>
        <v>2197</v>
      </c>
      <c r="H29" s="57">
        <f t="shared" si="4"/>
        <v>6.5347618396083308E-3</v>
      </c>
      <c r="I29" s="70">
        <f>SUM($G$7:G29)</f>
        <v>15886</v>
      </c>
      <c r="J29" s="59">
        <f t="shared" si="5"/>
        <v>4.7251354840244855E-2</v>
      </c>
      <c r="K29" s="26"/>
      <c r="L29" s="15" t="str">
        <f t="shared" si="1"/>
        <v/>
      </c>
      <c r="N29" s="1"/>
    </row>
    <row r="30" spans="1:17" ht="25" customHeight="1" x14ac:dyDescent="0.45">
      <c r="A30" s="5"/>
      <c r="B30" s="25"/>
      <c r="C30" s="68">
        <v>77</v>
      </c>
      <c r="D30" s="54">
        <f t="shared" si="2"/>
        <v>134</v>
      </c>
      <c r="E30" s="69">
        <f t="shared" si="0"/>
        <v>2</v>
      </c>
      <c r="F30" s="55">
        <f t="shared" si="3"/>
        <v>94.94</v>
      </c>
      <c r="G30" s="56">
        <f>IF(D30=D29,"",_xlfn.IFNA(VLOOKUP(D30,'인원 입력 기능(국수)'!$A$5:$D$103,4,FALSE),0))</f>
        <v>2245</v>
      </c>
      <c r="H30" s="57">
        <f t="shared" si="4"/>
        <v>6.6775331497135647E-3</v>
      </c>
      <c r="I30" s="70">
        <f>SUM($G$7:G30)</f>
        <v>18131</v>
      </c>
      <c r="J30" s="59">
        <f t="shared" si="5"/>
        <v>5.3928887989958416E-2</v>
      </c>
      <c r="K30" s="26"/>
      <c r="L30" s="15" t="str">
        <f t="shared" si="1"/>
        <v>경고</v>
      </c>
      <c r="N30" s="1"/>
    </row>
    <row r="31" spans="1:17" ht="25" customHeight="1" x14ac:dyDescent="0.45">
      <c r="A31" s="5"/>
      <c r="B31" s="25"/>
      <c r="C31" s="68">
        <v>76</v>
      </c>
      <c r="D31" s="54">
        <f t="shared" si="2"/>
        <v>132</v>
      </c>
      <c r="E31" s="69">
        <f t="shared" si="0"/>
        <v>2</v>
      </c>
      <c r="F31" s="55">
        <f t="shared" si="3"/>
        <v>94.22</v>
      </c>
      <c r="G31" s="56">
        <f>IF(D31=D30,"",_xlfn.IFNA(VLOOKUP(D31,'인원 입력 기능(국수)'!$A$5:$D$103,4,FALSE),0))</f>
        <v>2606</v>
      </c>
      <c r="H31" s="57">
        <f t="shared" si="4"/>
        <v>7.7512923777966819E-3</v>
      </c>
      <c r="I31" s="70">
        <f>SUM($G$7:G31)</f>
        <v>20737</v>
      </c>
      <c r="J31" s="59">
        <f t="shared" si="5"/>
        <v>6.1680180367755098E-2</v>
      </c>
      <c r="K31" s="26"/>
      <c r="L31" s="15" t="str">
        <f t="shared" si="1"/>
        <v/>
      </c>
      <c r="N31" s="1"/>
    </row>
    <row r="32" spans="1:17" ht="25" customHeight="1" x14ac:dyDescent="0.45">
      <c r="A32" s="5"/>
      <c r="B32" s="25"/>
      <c r="C32" s="68">
        <v>75</v>
      </c>
      <c r="D32" s="54">
        <f t="shared" si="2"/>
        <v>131</v>
      </c>
      <c r="E32" s="69">
        <f t="shared" si="0"/>
        <v>2</v>
      </c>
      <c r="F32" s="55">
        <f t="shared" si="3"/>
        <v>93.43</v>
      </c>
      <c r="G32" s="56">
        <f>IF(D32=D31,"",_xlfn.IFNA(VLOOKUP(D32,'인원 입력 기능(국수)'!$A$5:$D$103,4,FALSE),0))</f>
        <v>2677</v>
      </c>
      <c r="H32" s="57">
        <f t="shared" si="4"/>
        <v>7.962474940660675E-3</v>
      </c>
      <c r="I32" s="70">
        <f>SUM($G$7:G32)</f>
        <v>23414</v>
      </c>
      <c r="J32" s="59">
        <f t="shared" si="5"/>
        <v>6.9642655308415777E-2</v>
      </c>
      <c r="K32" s="26"/>
      <c r="L32" s="15" t="str">
        <f t="shared" si="1"/>
        <v/>
      </c>
      <c r="N32" s="1"/>
    </row>
    <row r="33" spans="1:14" ht="25" customHeight="1" x14ac:dyDescent="0.45">
      <c r="A33" s="5"/>
      <c r="B33" s="25"/>
      <c r="C33" s="68">
        <v>74</v>
      </c>
      <c r="D33" s="54">
        <f t="shared" si="2"/>
        <v>130</v>
      </c>
      <c r="E33" s="69">
        <f t="shared" si="0"/>
        <v>2</v>
      </c>
      <c r="F33" s="55">
        <f t="shared" si="3"/>
        <v>92.58</v>
      </c>
      <c r="G33" s="56">
        <f>IF(D33=D32,"",_xlfn.IFNA(VLOOKUP(D33,'인원 입력 기능(국수)'!$A$5:$D$103,4,FALSE),0))</f>
        <v>3068</v>
      </c>
      <c r="H33" s="57">
        <f t="shared" si="4"/>
        <v>9.1254662375595628E-3</v>
      </c>
      <c r="I33" s="70">
        <f>SUM($G$7:G33)</f>
        <v>26482</v>
      </c>
      <c r="J33" s="59">
        <f t="shared" si="5"/>
        <v>7.8768121545975331E-2</v>
      </c>
      <c r="K33" s="26"/>
      <c r="L33" s="15" t="str">
        <f t="shared" si="1"/>
        <v/>
      </c>
      <c r="N33" s="1"/>
    </row>
    <row r="34" spans="1:14" ht="25" customHeight="1" x14ac:dyDescent="0.45">
      <c r="A34" s="5"/>
      <c r="B34" s="25"/>
      <c r="C34" s="68">
        <v>73</v>
      </c>
      <c r="D34" s="54">
        <f t="shared" si="2"/>
        <v>129</v>
      </c>
      <c r="E34" s="69">
        <f t="shared" si="0"/>
        <v>2</v>
      </c>
      <c r="F34" s="55">
        <f t="shared" si="3"/>
        <v>91.65</v>
      </c>
      <c r="G34" s="56">
        <f>IF(D34=D33,"",_xlfn.IFNA(VLOOKUP(D34,'인원 입력 기능(국수)'!$A$5:$D$103,4,FALSE),0))</f>
        <v>3151</v>
      </c>
      <c r="H34" s="57">
        <f t="shared" si="4"/>
        <v>9.3723416279498633E-3</v>
      </c>
      <c r="I34" s="70">
        <f>SUM($G$7:G34)</f>
        <v>29633</v>
      </c>
      <c r="J34" s="59">
        <f t="shared" si="5"/>
        <v>8.8140463173925196E-2</v>
      </c>
      <c r="K34" s="26"/>
      <c r="L34" s="15" t="str">
        <f t="shared" si="1"/>
        <v/>
      </c>
      <c r="N34" s="1"/>
    </row>
    <row r="35" spans="1:14" ht="25" customHeight="1" x14ac:dyDescent="0.45">
      <c r="A35" s="5"/>
      <c r="B35" s="25"/>
      <c r="C35" s="68">
        <v>72</v>
      </c>
      <c r="D35" s="54">
        <f t="shared" si="2"/>
        <v>128</v>
      </c>
      <c r="E35" s="69">
        <f t="shared" si="0"/>
        <v>2</v>
      </c>
      <c r="F35" s="55">
        <f t="shared" si="3"/>
        <v>90.68</v>
      </c>
      <c r="G35" s="56">
        <f>IF(D35=D34,"",_xlfn.IFNA(VLOOKUP(D35,'인원 입력 기능(국수)'!$A$5:$D$103,4,FALSE),0))</f>
        <v>3385</v>
      </c>
      <c r="H35" s="57">
        <f t="shared" si="4"/>
        <v>1.0068351764712881E-2</v>
      </c>
      <c r="I35" s="70">
        <f>SUM($G$7:G35)</f>
        <v>33018</v>
      </c>
      <c r="J35" s="59">
        <f t="shared" si="5"/>
        <v>9.8208814938638075E-2</v>
      </c>
      <c r="K35" s="26"/>
      <c r="L35" s="15" t="str">
        <f t="shared" si="1"/>
        <v/>
      </c>
      <c r="N35" s="1"/>
    </row>
    <row r="36" spans="1:14" ht="25" customHeight="1" x14ac:dyDescent="0.45">
      <c r="A36" s="5"/>
      <c r="B36" s="25"/>
      <c r="C36" s="68">
        <v>71</v>
      </c>
      <c r="D36" s="54">
        <f t="shared" si="2"/>
        <v>127</v>
      </c>
      <c r="E36" s="69">
        <f t="shared" si="0"/>
        <v>2</v>
      </c>
      <c r="F36" s="55">
        <f t="shared" si="3"/>
        <v>89.65</v>
      </c>
      <c r="G36" s="56">
        <f>IF(D36=D35,"",_xlfn.IFNA(VLOOKUP(D36,'인원 입력 기능(국수)'!$A$5:$D$103,4,FALSE),0))</f>
        <v>3584</v>
      </c>
      <c r="H36" s="57">
        <f t="shared" si="4"/>
        <v>1.0660257821190832E-2</v>
      </c>
      <c r="I36" s="70">
        <f>SUM($G$7:G36)</f>
        <v>36602</v>
      </c>
      <c r="J36" s="59">
        <f t="shared" si="5"/>
        <v>0.10886907275982892</v>
      </c>
      <c r="K36" s="26"/>
      <c r="L36" s="15" t="str">
        <f t="shared" si="1"/>
        <v/>
      </c>
      <c r="N36" s="1"/>
    </row>
    <row r="37" spans="1:14" ht="25" customHeight="1" x14ac:dyDescent="0.45">
      <c r="A37" s="5"/>
      <c r="B37" s="25"/>
      <c r="C37" s="68">
        <v>70</v>
      </c>
      <c r="D37" s="54">
        <f t="shared" si="2"/>
        <v>126</v>
      </c>
      <c r="E37" s="69">
        <f t="shared" si="0"/>
        <v>2</v>
      </c>
      <c r="F37" s="55">
        <f t="shared" si="3"/>
        <v>88.56</v>
      </c>
      <c r="G37" s="56">
        <f>IF(D37=D36,"",_xlfn.IFNA(VLOOKUP(D37,'인원 입력 기능(국수)'!$A$5:$D$103,4,FALSE),0))</f>
        <v>3717</v>
      </c>
      <c r="H37" s="57">
        <f t="shared" si="4"/>
        <v>1.1055853326274085E-2</v>
      </c>
      <c r="I37" s="70">
        <f>SUM($G$7:G37)</f>
        <v>40319</v>
      </c>
      <c r="J37" s="59">
        <f t="shared" si="5"/>
        <v>0.119924926086103</v>
      </c>
      <c r="K37" s="26"/>
      <c r="L37" s="15" t="str">
        <f t="shared" si="1"/>
        <v/>
      </c>
      <c r="N37" s="1"/>
    </row>
    <row r="38" spans="1:14" ht="25" customHeight="1" x14ac:dyDescent="0.45">
      <c r="A38" s="5"/>
      <c r="B38" s="25"/>
      <c r="C38" s="68">
        <v>69</v>
      </c>
      <c r="D38" s="54">
        <f t="shared" si="2"/>
        <v>125</v>
      </c>
      <c r="E38" s="69">
        <f t="shared" si="0"/>
        <v>3</v>
      </c>
      <c r="F38" s="55">
        <f t="shared" si="3"/>
        <v>87.42</v>
      </c>
      <c r="G38" s="56">
        <f>IF(D38=D37,"",_xlfn.IFNA(VLOOKUP(D38,'인원 입력 기능(국수)'!$A$5:$D$103,4,FALSE),0))</f>
        <v>3923</v>
      </c>
      <c r="H38" s="57">
        <f t="shared" si="4"/>
        <v>1.1668580198809049E-2</v>
      </c>
      <c r="I38" s="70">
        <f>SUM($G$7:G38)</f>
        <v>44242</v>
      </c>
      <c r="J38" s="59">
        <f t="shared" si="5"/>
        <v>0.13159350628491204</v>
      </c>
      <c r="K38" s="26"/>
      <c r="L38" s="15" t="str">
        <f t="shared" si="1"/>
        <v/>
      </c>
      <c r="N38" s="1"/>
    </row>
    <row r="39" spans="1:14" ht="25" customHeight="1" x14ac:dyDescent="0.45">
      <c r="A39" s="5"/>
      <c r="B39" s="25"/>
      <c r="C39" s="68">
        <v>68</v>
      </c>
      <c r="D39" s="54">
        <f t="shared" si="2"/>
        <v>124</v>
      </c>
      <c r="E39" s="69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55">
        <f t="shared" si="3"/>
        <v>86.24</v>
      </c>
      <c r="G39" s="56">
        <f>IF(D39=D38,"",_xlfn.IFNA(VLOOKUP(D39,'인원 입력 기능(국수)'!$A$5:$D$103,4,FALSE),0))</f>
        <v>4037</v>
      </c>
      <c r="H39" s="57">
        <f t="shared" si="4"/>
        <v>1.2007662060308981E-2</v>
      </c>
      <c r="I39" s="70">
        <f>SUM($G$7:G39)</f>
        <v>48279</v>
      </c>
      <c r="J39" s="59">
        <f t="shared" si="5"/>
        <v>0.14360116834522102</v>
      </c>
      <c r="K39" s="26"/>
      <c r="L39" s="15" t="str">
        <f t="shared" si="1"/>
        <v/>
      </c>
      <c r="N39" s="1"/>
    </row>
    <row r="40" spans="1:14" ht="25" customHeight="1" x14ac:dyDescent="0.45">
      <c r="A40" s="5"/>
      <c r="B40" s="25"/>
      <c r="C40" s="68">
        <v>67</v>
      </c>
      <c r="D40" s="54">
        <f t="shared" si="2"/>
        <v>123</v>
      </c>
      <c r="E40" s="69">
        <f t="shared" si="6"/>
        <v>3</v>
      </c>
      <c r="F40" s="55">
        <f t="shared" si="3"/>
        <v>85.01</v>
      </c>
      <c r="G40" s="56">
        <f>IF(D40=D39,"",_xlfn.IFNA(VLOOKUP(D40,'인원 입력 기능(국수)'!$A$5:$D$103,4,FALSE),0))</f>
        <v>4260</v>
      </c>
      <c r="H40" s="57">
        <f t="shared" si="4"/>
        <v>1.2670953771839549E-2</v>
      </c>
      <c r="I40" s="70">
        <f>SUM($G$7:G40)</f>
        <v>52539</v>
      </c>
      <c r="J40" s="59">
        <f t="shared" si="5"/>
        <v>0.15627212211706057</v>
      </c>
      <c r="K40" s="26"/>
      <c r="L40" s="15" t="str">
        <f t="shared" si="1"/>
        <v/>
      </c>
      <c r="N40" s="1"/>
    </row>
    <row r="41" spans="1:14" ht="25" customHeight="1" x14ac:dyDescent="0.45">
      <c r="A41" s="5"/>
      <c r="B41" s="25"/>
      <c r="C41" s="68">
        <v>66</v>
      </c>
      <c r="D41" s="54">
        <f t="shared" si="2"/>
        <v>122</v>
      </c>
      <c r="E41" s="69">
        <f t="shared" si="6"/>
        <v>3</v>
      </c>
      <c r="F41" s="55">
        <f t="shared" si="3"/>
        <v>83.72</v>
      </c>
      <c r="G41" s="56">
        <f>IF(D41=D40,"",_xlfn.IFNA(VLOOKUP(D41,'인원 입력 기능(국수)'!$A$5:$D$103,4,FALSE),0))</f>
        <v>4378</v>
      </c>
      <c r="H41" s="57">
        <f t="shared" si="4"/>
        <v>1.3021933242514917E-2</v>
      </c>
      <c r="I41" s="70">
        <f>SUM($G$7:G41)</f>
        <v>56917</v>
      </c>
      <c r="J41" s="59">
        <f t="shared" si="5"/>
        <v>0.16929405535957551</v>
      </c>
      <c r="K41" s="26"/>
      <c r="L41" s="15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25"/>
      <c r="C42" s="68">
        <v>65</v>
      </c>
      <c r="D42" s="54">
        <f t="shared" si="2"/>
        <v>121</v>
      </c>
      <c r="E42" s="69">
        <f t="shared" si="6"/>
        <v>3</v>
      </c>
      <c r="F42" s="55">
        <f t="shared" si="3"/>
        <v>82.39</v>
      </c>
      <c r="G42" s="56">
        <f>IF(D42=D41,"",_xlfn.IFNA(VLOOKUP(D42,'인원 입력 기능(국수)'!$A$5:$D$103,4,FALSE),0))</f>
        <v>4602</v>
      </c>
      <c r="H42" s="57">
        <f t="shared" si="4"/>
        <v>1.3688199356339343E-2</v>
      </c>
      <c r="I42" s="70">
        <f>SUM($G$7:G42)</f>
        <v>61519</v>
      </c>
      <c r="J42" s="59">
        <f t="shared" si="5"/>
        <v>0.18298225471591484</v>
      </c>
      <c r="K42" s="26"/>
      <c r="L42" s="15" t="str">
        <f t="shared" si="7"/>
        <v/>
      </c>
      <c r="N42" s="1"/>
    </row>
    <row r="43" spans="1:14" ht="25" customHeight="1" x14ac:dyDescent="0.45">
      <c r="A43" s="5"/>
      <c r="B43" s="25"/>
      <c r="C43" s="68">
        <v>64</v>
      </c>
      <c r="D43" s="54">
        <f t="shared" si="2"/>
        <v>120</v>
      </c>
      <c r="E43" s="69">
        <f t="shared" si="6"/>
        <v>3</v>
      </c>
      <c r="F43" s="55">
        <f t="shared" si="3"/>
        <v>81</v>
      </c>
      <c r="G43" s="56">
        <f>IF(D43=D42,"",_xlfn.IFNA(VLOOKUP(D43,'인원 입력 기능(국수)'!$A$5:$D$103,4,FALSE),0))</f>
        <v>4747</v>
      </c>
      <c r="H43" s="57">
        <f t="shared" si="4"/>
        <v>1.4119487688948905E-2</v>
      </c>
      <c r="I43" s="70">
        <f>SUM($G$7:G43)</f>
        <v>66266</v>
      </c>
      <c r="J43" s="59">
        <f t="shared" si="5"/>
        <v>0.19710174240486375</v>
      </c>
      <c r="K43" s="26"/>
      <c r="L43" s="15" t="str">
        <f t="shared" si="7"/>
        <v/>
      </c>
      <c r="N43" s="1"/>
    </row>
    <row r="44" spans="1:14" ht="25" customHeight="1" x14ac:dyDescent="0.45">
      <c r="A44" s="5"/>
      <c r="B44" s="25"/>
      <c r="C44" s="68">
        <v>63</v>
      </c>
      <c r="D44" s="54">
        <f t="shared" si="2"/>
        <v>119</v>
      </c>
      <c r="E44" s="69">
        <f t="shared" si="6"/>
        <v>3</v>
      </c>
      <c r="F44" s="55">
        <f t="shared" si="3"/>
        <v>79.569999999999993</v>
      </c>
      <c r="G44" s="56">
        <f>IF(D44=D43,"",_xlfn.IFNA(VLOOKUP(D44,'인원 입력 기능(국수)'!$A$5:$D$103,4,FALSE),0))</f>
        <v>4808</v>
      </c>
      <c r="H44" s="57">
        <f t="shared" si="4"/>
        <v>1.4300926228874307E-2</v>
      </c>
      <c r="I44" s="70">
        <f>SUM($G$7:G44)</f>
        <v>71074</v>
      </c>
      <c r="J44" s="59">
        <f t="shared" si="5"/>
        <v>0.21140266863373805</v>
      </c>
      <c r="K44" s="26"/>
      <c r="L44" s="15" t="str">
        <f t="shared" si="7"/>
        <v/>
      </c>
      <c r="N44" s="1"/>
    </row>
    <row r="45" spans="1:14" ht="25" customHeight="1" x14ac:dyDescent="0.45">
      <c r="A45" s="5"/>
      <c r="B45" s="25"/>
      <c r="C45" s="68">
        <v>62</v>
      </c>
      <c r="D45" s="54">
        <f t="shared" si="2"/>
        <v>117</v>
      </c>
      <c r="E45" s="69">
        <f t="shared" si="6"/>
        <v>3</v>
      </c>
      <c r="F45" s="55">
        <f t="shared" si="3"/>
        <v>78.099999999999994</v>
      </c>
      <c r="G45" s="56">
        <f>IF(D45=D44,"",_xlfn.IFNA(VLOOKUP(D45,'인원 입력 기능(국수)'!$A$5:$D$103,4,FALSE),0))</f>
        <v>5095</v>
      </c>
      <c r="H45" s="57">
        <f t="shared" si="4"/>
        <v>1.5154579687211855E-2</v>
      </c>
      <c r="I45" s="70">
        <f>SUM($G$7:G45)</f>
        <v>76169</v>
      </c>
      <c r="J45" s="59">
        <f t="shared" si="5"/>
        <v>0.22655724832094989</v>
      </c>
      <c r="K45" s="26"/>
      <c r="L45" s="15" t="str">
        <f t="shared" si="7"/>
        <v/>
      </c>
      <c r="N45" s="1"/>
    </row>
    <row r="46" spans="1:14" ht="25" customHeight="1" x14ac:dyDescent="0.45">
      <c r="A46" s="5"/>
      <c r="B46" s="25"/>
      <c r="C46" s="68">
        <v>61</v>
      </c>
      <c r="D46" s="54">
        <f t="shared" si="2"/>
        <v>116</v>
      </c>
      <c r="E46" s="69">
        <f t="shared" si="6"/>
        <v>3</v>
      </c>
      <c r="F46" s="55">
        <f t="shared" si="3"/>
        <v>76.59</v>
      </c>
      <c r="G46" s="56">
        <f>IF(D46=D45,"",_xlfn.IFNA(VLOOKUP(D46,'인원 입력 기능(국수)'!$A$5:$D$103,4,FALSE),0))</f>
        <v>5100</v>
      </c>
      <c r="H46" s="57">
        <f t="shared" si="4"/>
        <v>1.516945169868115E-2</v>
      </c>
      <c r="I46" s="70">
        <f>SUM($G$7:G46)</f>
        <v>81269</v>
      </c>
      <c r="J46" s="59">
        <f t="shared" si="5"/>
        <v>0.24172670001963106</v>
      </c>
      <c r="K46" s="26"/>
      <c r="L46" s="15" t="str">
        <f t="shared" si="7"/>
        <v/>
      </c>
      <c r="N46" s="1"/>
    </row>
    <row r="47" spans="1:14" ht="25" customHeight="1" x14ac:dyDescent="0.45">
      <c r="A47" s="5"/>
      <c r="B47" s="25"/>
      <c r="C47" s="68">
        <v>60</v>
      </c>
      <c r="D47" s="54">
        <f t="shared" si="2"/>
        <v>115</v>
      </c>
      <c r="E47" s="69">
        <f t="shared" si="6"/>
        <v>4</v>
      </c>
      <c r="F47" s="55">
        <f t="shared" si="3"/>
        <v>75.05</v>
      </c>
      <c r="G47" s="56">
        <f>IF(D47=D46,"",_xlfn.IFNA(VLOOKUP(D47,'인원 입력 기능(국수)'!$A$5:$D$103,4,FALSE),0))</f>
        <v>5216</v>
      </c>
      <c r="H47" s="57">
        <f t="shared" si="4"/>
        <v>1.55144823647688E-2</v>
      </c>
      <c r="I47" s="70">
        <f>SUM($G$7:G47)</f>
        <v>86485</v>
      </c>
      <c r="J47" s="59">
        <f t="shared" si="5"/>
        <v>0.25724118238439986</v>
      </c>
      <c r="K47" s="26"/>
      <c r="L47" s="15" t="str">
        <f t="shared" si="7"/>
        <v/>
      </c>
      <c r="N47" s="1"/>
    </row>
    <row r="48" spans="1:14" ht="25" customHeight="1" x14ac:dyDescent="0.45">
      <c r="A48" s="5"/>
      <c r="B48" s="25"/>
      <c r="C48" s="68">
        <v>59</v>
      </c>
      <c r="D48" s="54">
        <f t="shared" si="2"/>
        <v>114</v>
      </c>
      <c r="E48" s="69">
        <f t="shared" si="6"/>
        <v>4</v>
      </c>
      <c r="F48" s="55">
        <f t="shared" si="3"/>
        <v>73.48</v>
      </c>
      <c r="G48" s="56">
        <f>IF(D48=D47,"",_xlfn.IFNA(VLOOKUP(D48,'인원 입력 기능(국수)'!$A$5:$D$103,4,FALSE),0))</f>
        <v>5334</v>
      </c>
      <c r="H48" s="57">
        <f t="shared" si="4"/>
        <v>1.5865461835444166E-2</v>
      </c>
      <c r="I48" s="70">
        <f>SUM($G$7:G48)</f>
        <v>91819</v>
      </c>
      <c r="J48" s="59">
        <f t="shared" si="5"/>
        <v>0.27310664421984404</v>
      </c>
      <c r="K48" s="26"/>
      <c r="L48" s="15" t="str">
        <f t="shared" si="7"/>
        <v/>
      </c>
      <c r="N48" s="1"/>
    </row>
    <row r="49" spans="1:14" ht="25" customHeight="1" x14ac:dyDescent="0.45">
      <c r="A49" s="5"/>
      <c r="B49" s="25"/>
      <c r="C49" s="68">
        <v>58</v>
      </c>
      <c r="D49" s="54">
        <f t="shared" si="2"/>
        <v>113</v>
      </c>
      <c r="E49" s="69">
        <f t="shared" si="6"/>
        <v>4</v>
      </c>
      <c r="F49" s="55">
        <f t="shared" si="3"/>
        <v>71.89</v>
      </c>
      <c r="G49" s="56">
        <f>IF(D49=D48,"",_xlfn.IFNA(VLOOKUP(D49,'인원 입력 기능(국수)'!$A$5:$D$103,4,FALSE),0))</f>
        <v>5374</v>
      </c>
      <c r="H49" s="57">
        <f t="shared" si="4"/>
        <v>1.598443792719853E-2</v>
      </c>
      <c r="I49" s="70">
        <f>SUM($G$7:G49)</f>
        <v>97193</v>
      </c>
      <c r="J49" s="59">
        <f t="shared" si="5"/>
        <v>0.28909108214704254</v>
      </c>
      <c r="K49" s="26"/>
      <c r="L49" s="15" t="str">
        <f t="shared" si="7"/>
        <v/>
      </c>
      <c r="N49" s="1"/>
    </row>
    <row r="50" spans="1:14" ht="25" customHeight="1" x14ac:dyDescent="0.45">
      <c r="A50" s="5"/>
      <c r="B50" s="25"/>
      <c r="C50" s="68">
        <v>57</v>
      </c>
      <c r="D50" s="54">
        <f t="shared" si="2"/>
        <v>112</v>
      </c>
      <c r="E50" s="69">
        <f t="shared" si="6"/>
        <v>4</v>
      </c>
      <c r="F50" s="55">
        <f t="shared" si="3"/>
        <v>70.27</v>
      </c>
      <c r="G50" s="56">
        <f>IF(D50=D49,"",_xlfn.IFNA(VLOOKUP(D50,'인원 입력 기능(국수)'!$A$5:$D$103,4,FALSE),0))</f>
        <v>5527</v>
      </c>
      <c r="H50" s="57">
        <f t="shared" si="4"/>
        <v>1.6439521478158962E-2</v>
      </c>
      <c r="I50" s="70">
        <f>SUM($G$7:G50)</f>
        <v>102720</v>
      </c>
      <c r="J50" s="59">
        <f t="shared" si="5"/>
        <v>0.30553060362520151</v>
      </c>
      <c r="K50" s="26"/>
      <c r="L50" s="15" t="str">
        <f t="shared" si="7"/>
        <v/>
      </c>
      <c r="N50" s="1"/>
    </row>
    <row r="51" spans="1:14" ht="25" customHeight="1" x14ac:dyDescent="0.45">
      <c r="A51" s="5"/>
      <c r="B51" s="25"/>
      <c r="C51" s="68">
        <v>56</v>
      </c>
      <c r="D51" s="54">
        <f t="shared" si="2"/>
        <v>111</v>
      </c>
      <c r="E51" s="69">
        <f t="shared" si="6"/>
        <v>4</v>
      </c>
      <c r="F51" s="55">
        <f t="shared" si="3"/>
        <v>68.66</v>
      </c>
      <c r="G51" s="56">
        <f>IF(D51=D50,"",_xlfn.IFNA(VLOOKUP(D51,'인원 입력 기능(국수)'!$A$5:$D$103,4,FALSE),0))</f>
        <v>5271</v>
      </c>
      <c r="H51" s="57">
        <f t="shared" si="4"/>
        <v>1.5678074490931046E-2</v>
      </c>
      <c r="I51" s="70">
        <f>SUM($G$7:G51)</f>
        <v>107991</v>
      </c>
      <c r="J51" s="59">
        <f t="shared" si="5"/>
        <v>0.32120867811613257</v>
      </c>
      <c r="K51" s="26"/>
      <c r="L51" s="15" t="str">
        <f t="shared" si="7"/>
        <v/>
      </c>
      <c r="N51" s="1"/>
    </row>
    <row r="52" spans="1:14" ht="25" customHeight="1" x14ac:dyDescent="0.45">
      <c r="A52" s="5"/>
      <c r="B52" s="25"/>
      <c r="C52" s="68">
        <v>55</v>
      </c>
      <c r="D52" s="54">
        <f t="shared" si="2"/>
        <v>110</v>
      </c>
      <c r="E52" s="69">
        <f t="shared" si="6"/>
        <v>4</v>
      </c>
      <c r="F52" s="55">
        <f t="shared" si="3"/>
        <v>67.05</v>
      </c>
      <c r="G52" s="56">
        <f>IF(D52=D51,"",_xlfn.IFNA(VLOOKUP(D52,'인원 입력 기능(국수)'!$A$5:$D$103,4,FALSE),0))</f>
        <v>5542</v>
      </c>
      <c r="H52" s="57">
        <f t="shared" si="4"/>
        <v>1.6484137512566849E-2</v>
      </c>
      <c r="I52" s="70">
        <f>SUM($G$7:G52)</f>
        <v>113533</v>
      </c>
      <c r="J52" s="59">
        <f t="shared" si="5"/>
        <v>0.33769281562869941</v>
      </c>
      <c r="K52" s="26"/>
      <c r="L52" s="15" t="str">
        <f t="shared" si="7"/>
        <v/>
      </c>
      <c r="N52" s="1"/>
    </row>
    <row r="53" spans="1:14" ht="25" customHeight="1" x14ac:dyDescent="0.45">
      <c r="A53" s="5"/>
      <c r="B53" s="25"/>
      <c r="C53" s="68">
        <v>54</v>
      </c>
      <c r="D53" s="54">
        <f t="shared" si="2"/>
        <v>109</v>
      </c>
      <c r="E53" s="69">
        <f t="shared" si="6"/>
        <v>4</v>
      </c>
      <c r="F53" s="55">
        <f t="shared" si="3"/>
        <v>65.39</v>
      </c>
      <c r="G53" s="56">
        <f>IF(D53=D52,"",_xlfn.IFNA(VLOOKUP(D53,'인원 입력 기능(국수)'!$A$5:$D$103,4,FALSE),0))</f>
        <v>5643</v>
      </c>
      <c r="H53" s="57">
        <f t="shared" si="4"/>
        <v>1.6784552144246612E-2</v>
      </c>
      <c r="I53" s="70">
        <f>SUM($G$7:G53)</f>
        <v>119176</v>
      </c>
      <c r="J53" s="59">
        <f t="shared" si="5"/>
        <v>0.35447736777294603</v>
      </c>
      <c r="K53" s="26"/>
      <c r="L53" s="15" t="str">
        <f t="shared" si="7"/>
        <v/>
      </c>
      <c r="N53" s="1"/>
    </row>
    <row r="54" spans="1:14" ht="25" customHeight="1" x14ac:dyDescent="0.45">
      <c r="A54" s="5"/>
      <c r="B54" s="25"/>
      <c r="C54" s="68">
        <v>53</v>
      </c>
      <c r="D54" s="54">
        <f t="shared" si="2"/>
        <v>108</v>
      </c>
      <c r="E54" s="69">
        <f t="shared" si="6"/>
        <v>4</v>
      </c>
      <c r="F54" s="55">
        <f t="shared" si="3"/>
        <v>63.71</v>
      </c>
      <c r="G54" s="56">
        <f>IF(D54=D53,"",_xlfn.IFNA(VLOOKUP(D54,'인원 입력 기능(국수)'!$A$5:$D$103,4,FALSE),0))</f>
        <v>5651</v>
      </c>
      <c r="H54" s="57">
        <f t="shared" si="4"/>
        <v>1.6808347362597485E-2</v>
      </c>
      <c r="I54" s="70">
        <f>SUM($G$7:G54)</f>
        <v>124827</v>
      </c>
      <c r="J54" s="59">
        <f t="shared" si="5"/>
        <v>0.37128571513554354</v>
      </c>
      <c r="K54" s="26"/>
      <c r="L54" s="15" t="str">
        <f t="shared" si="7"/>
        <v/>
      </c>
      <c r="N54" s="1"/>
    </row>
    <row r="55" spans="1:14" ht="25" customHeight="1" x14ac:dyDescent="0.45">
      <c r="A55" s="5"/>
      <c r="B55" s="25"/>
      <c r="C55" s="68">
        <v>52</v>
      </c>
      <c r="D55" s="54">
        <f t="shared" si="2"/>
        <v>107</v>
      </c>
      <c r="E55" s="69">
        <f t="shared" si="6"/>
        <v>4</v>
      </c>
      <c r="F55" s="55">
        <f t="shared" si="3"/>
        <v>62.03</v>
      </c>
      <c r="G55" s="56">
        <f>IF(D55=D54,"",_xlfn.IFNA(VLOOKUP(D55,'인원 입력 기능(국수)'!$A$5:$D$103,4,FALSE),0))</f>
        <v>5683</v>
      </c>
      <c r="H55" s="57">
        <f t="shared" si="4"/>
        <v>1.6903528236000977E-2</v>
      </c>
      <c r="I55" s="70">
        <f>SUM($G$7:G55)</f>
        <v>130510</v>
      </c>
      <c r="J55" s="59">
        <f t="shared" si="5"/>
        <v>0.38818924337154448</v>
      </c>
      <c r="K55" s="26"/>
      <c r="L55" s="15" t="str">
        <f t="shared" si="7"/>
        <v/>
      </c>
      <c r="N55" s="1"/>
    </row>
    <row r="56" spans="1:14" ht="25" customHeight="1" x14ac:dyDescent="0.45">
      <c r="A56" s="5"/>
      <c r="B56" s="25"/>
      <c r="C56" s="68">
        <v>51</v>
      </c>
      <c r="D56" s="54">
        <f t="shared" si="2"/>
        <v>106</v>
      </c>
      <c r="E56" s="69">
        <f t="shared" si="6"/>
        <v>4</v>
      </c>
      <c r="F56" s="55">
        <f t="shared" si="3"/>
        <v>60.33</v>
      </c>
      <c r="G56" s="56">
        <f>IF(D56=D55,"",_xlfn.IFNA(VLOOKUP(D56,'인원 입력 기능(국수)'!$A$5:$D$103,4,FALSE),0))</f>
        <v>5708</v>
      </c>
      <c r="H56" s="57">
        <f t="shared" si="4"/>
        <v>1.6977888293347451E-2</v>
      </c>
      <c r="I56" s="70">
        <f>SUM($G$7:G56)</f>
        <v>136218</v>
      </c>
      <c r="J56" s="59">
        <f t="shared" si="5"/>
        <v>0.40516713166489193</v>
      </c>
      <c r="K56" s="26"/>
      <c r="L56" s="15" t="str">
        <f t="shared" si="7"/>
        <v/>
      </c>
      <c r="N56" s="1"/>
    </row>
    <row r="57" spans="1:14" ht="25" customHeight="1" x14ac:dyDescent="0.45">
      <c r="A57" s="5"/>
      <c r="B57" s="25"/>
      <c r="C57" s="68">
        <v>50</v>
      </c>
      <c r="D57" s="54">
        <f t="shared" si="2"/>
        <v>105</v>
      </c>
      <c r="E57" s="69">
        <f t="shared" si="6"/>
        <v>5</v>
      </c>
      <c r="F57" s="55">
        <f t="shared" si="3"/>
        <v>58.63</v>
      </c>
      <c r="G57" s="56">
        <f>IF(D57=D56,"",_xlfn.IFNA(VLOOKUP(D57,'인원 입력 기능(국수)'!$A$5:$D$103,4,FALSE),0))</f>
        <v>5722</v>
      </c>
      <c r="H57" s="57">
        <f t="shared" si="4"/>
        <v>1.7019529925461477E-2</v>
      </c>
      <c r="I57" s="70">
        <f>SUM($G$7:G57)</f>
        <v>141940</v>
      </c>
      <c r="J57" s="59">
        <f t="shared" si="5"/>
        <v>0.4221866615903534</v>
      </c>
      <c r="K57" s="26"/>
      <c r="L57" s="15" t="str">
        <f t="shared" si="7"/>
        <v/>
      </c>
      <c r="N57" s="1"/>
    </row>
    <row r="58" spans="1:14" ht="25" customHeight="1" x14ac:dyDescent="0.45">
      <c r="A58" s="5"/>
      <c r="B58" s="25"/>
      <c r="C58" s="68">
        <v>49</v>
      </c>
      <c r="D58" s="54">
        <f t="shared" si="2"/>
        <v>104</v>
      </c>
      <c r="E58" s="69">
        <f t="shared" si="6"/>
        <v>5</v>
      </c>
      <c r="F58" s="55">
        <f t="shared" si="3"/>
        <v>56.95</v>
      </c>
      <c r="G58" s="56">
        <f>IF(D58=D57,"",_xlfn.IFNA(VLOOKUP(D58,'인원 입력 기능(국수)'!$A$5:$D$103,4,FALSE),0))</f>
        <v>5605</v>
      </c>
      <c r="H58" s="57">
        <f t="shared" si="4"/>
        <v>1.667152485707997E-2</v>
      </c>
      <c r="I58" s="70">
        <f>SUM($G$7:G58)</f>
        <v>147545</v>
      </c>
      <c r="J58" s="59">
        <f t="shared" si="5"/>
        <v>0.43885818644743341</v>
      </c>
      <c r="K58" s="26"/>
      <c r="L58" s="15" t="str">
        <f t="shared" si="7"/>
        <v/>
      </c>
      <c r="N58" s="1"/>
    </row>
    <row r="59" spans="1:14" ht="25" customHeight="1" x14ac:dyDescent="0.45">
      <c r="A59" s="5"/>
      <c r="B59" s="25"/>
      <c r="C59" s="68">
        <v>48</v>
      </c>
      <c r="D59" s="54">
        <f t="shared" si="2"/>
        <v>102</v>
      </c>
      <c r="E59" s="69">
        <f t="shared" si="6"/>
        <v>5</v>
      </c>
      <c r="F59" s="55">
        <f t="shared" si="3"/>
        <v>55.26</v>
      </c>
      <c r="G59" s="56">
        <f>IF(D59=D58,"",_xlfn.IFNA(VLOOKUP(D59,'인원 입력 기능(국수)'!$A$5:$D$103,4,FALSE),0))</f>
        <v>5755</v>
      </c>
      <c r="H59" s="57">
        <f t="shared" si="4"/>
        <v>1.7117685201158826E-2</v>
      </c>
      <c r="I59" s="70">
        <f>SUM($G$7:G59)</f>
        <v>153300</v>
      </c>
      <c r="J59" s="59">
        <f t="shared" si="5"/>
        <v>0.45597587164859221</v>
      </c>
      <c r="K59" s="26"/>
      <c r="L59" s="15" t="str">
        <f t="shared" si="7"/>
        <v/>
      </c>
      <c r="N59" s="1"/>
    </row>
    <row r="60" spans="1:14" ht="25" customHeight="1" x14ac:dyDescent="0.45">
      <c r="A60" s="5"/>
      <c r="B60" s="25"/>
      <c r="C60" s="68">
        <v>47</v>
      </c>
      <c r="D60" s="54">
        <f t="shared" si="2"/>
        <v>101</v>
      </c>
      <c r="E60" s="69">
        <f t="shared" si="6"/>
        <v>5</v>
      </c>
      <c r="F60" s="55">
        <f t="shared" si="3"/>
        <v>53.55</v>
      </c>
      <c r="G60" s="56">
        <f>IF(D60=D59,"",_xlfn.IFNA(VLOOKUP(D60,'인원 입력 기능(국수)'!$A$5:$D$103,4,FALSE),0))</f>
        <v>5706</v>
      </c>
      <c r="H60" s="57">
        <f t="shared" si="4"/>
        <v>1.6971939488759732E-2</v>
      </c>
      <c r="I60" s="70">
        <f>SUM($G$7:G60)</f>
        <v>159006</v>
      </c>
      <c r="J60" s="59">
        <f t="shared" si="5"/>
        <v>0.47294781113735196</v>
      </c>
      <c r="K60" s="26"/>
      <c r="L60" s="15" t="str">
        <f t="shared" si="7"/>
        <v/>
      </c>
      <c r="N60" s="1"/>
    </row>
    <row r="61" spans="1:14" ht="25" customHeight="1" x14ac:dyDescent="0.45">
      <c r="A61" s="5"/>
      <c r="B61" s="25"/>
      <c r="C61" s="68">
        <v>46</v>
      </c>
      <c r="D61" s="54">
        <f t="shared" si="2"/>
        <v>100</v>
      </c>
      <c r="E61" s="69">
        <f t="shared" si="6"/>
        <v>5</v>
      </c>
      <c r="F61" s="55">
        <f t="shared" si="3"/>
        <v>51.86</v>
      </c>
      <c r="G61" s="56">
        <f>IF(D61=D60,"",_xlfn.IFNA(VLOOKUP(D61,'인원 입력 기능(국수)'!$A$5:$D$103,4,FALSE),0))</f>
        <v>5697</v>
      </c>
      <c r="H61" s="57">
        <f t="shared" si="4"/>
        <v>1.6945169868115003E-2</v>
      </c>
      <c r="I61" s="70">
        <f>SUM($G$7:G61)</f>
        <v>164703</v>
      </c>
      <c r="J61" s="59">
        <f t="shared" si="5"/>
        <v>0.48989298100546697</v>
      </c>
      <c r="K61" s="26"/>
      <c r="L61" s="15" t="str">
        <f t="shared" si="7"/>
        <v/>
      </c>
      <c r="N61" s="1"/>
    </row>
    <row r="62" spans="1:14" ht="25" customHeight="1" x14ac:dyDescent="0.45">
      <c r="A62" s="5"/>
      <c r="B62" s="25"/>
      <c r="C62" s="68">
        <v>45</v>
      </c>
      <c r="D62" s="54">
        <f t="shared" si="2"/>
        <v>99</v>
      </c>
      <c r="E62" s="69">
        <f t="shared" si="6"/>
        <v>5</v>
      </c>
      <c r="F62" s="55">
        <f t="shared" si="3"/>
        <v>50.15</v>
      </c>
      <c r="G62" s="56">
        <f>IF(D62=D61,"",_xlfn.IFNA(VLOOKUP(D62,'인원 입력 기능(국수)'!$A$5:$D$103,4,FALSE),0))</f>
        <v>5809</v>
      </c>
      <c r="H62" s="57">
        <f t="shared" si="4"/>
        <v>1.7278302925027217E-2</v>
      </c>
      <c r="I62" s="70">
        <f>SUM($G$7:G62)</f>
        <v>170512</v>
      </c>
      <c r="J62" s="59">
        <f t="shared" si="5"/>
        <v>0.50717128393049415</v>
      </c>
      <c r="K62" s="26"/>
      <c r="L62" s="15" t="str">
        <f t="shared" si="7"/>
        <v/>
      </c>
      <c r="N62" s="1"/>
    </row>
    <row r="63" spans="1:14" ht="25" customHeight="1" x14ac:dyDescent="0.45">
      <c r="A63" s="5"/>
      <c r="B63" s="25"/>
      <c r="C63" s="68">
        <v>44</v>
      </c>
      <c r="D63" s="54">
        <f t="shared" si="2"/>
        <v>98</v>
      </c>
      <c r="E63" s="69">
        <f t="shared" si="6"/>
        <v>5</v>
      </c>
      <c r="F63" s="55">
        <f t="shared" si="3"/>
        <v>48.4</v>
      </c>
      <c r="G63" s="56">
        <f>IF(D63=D62,"",_xlfn.IFNA(VLOOKUP(D63,'인원 입력 기능(국수)'!$A$5:$D$103,4,FALSE),0))</f>
        <v>5934</v>
      </c>
      <c r="H63" s="57">
        <f t="shared" si="4"/>
        <v>1.7650103211759596E-2</v>
      </c>
      <c r="I63" s="70">
        <f>SUM($G$7:G63)</f>
        <v>176446</v>
      </c>
      <c r="J63" s="59">
        <f t="shared" si="5"/>
        <v>0.52482138714225379</v>
      </c>
      <c r="K63" s="26"/>
      <c r="L63" s="15" t="str">
        <f t="shared" si="7"/>
        <v/>
      </c>
      <c r="N63" s="1"/>
    </row>
    <row r="64" spans="1:14" ht="25" customHeight="1" x14ac:dyDescent="0.45">
      <c r="A64" s="5"/>
      <c r="B64" s="25"/>
      <c r="C64" s="68">
        <v>43</v>
      </c>
      <c r="D64" s="54">
        <f t="shared" si="2"/>
        <v>97</v>
      </c>
      <c r="E64" s="69">
        <f t="shared" si="6"/>
        <v>5</v>
      </c>
      <c r="F64" s="55">
        <f t="shared" si="3"/>
        <v>46.67</v>
      </c>
      <c r="G64" s="56">
        <f>IF(D64=D63,"",_xlfn.IFNA(VLOOKUP(D64,'인원 입력 기능(국수)'!$A$5:$D$103,4,FALSE),0))</f>
        <v>5717</v>
      </c>
      <c r="H64" s="57">
        <f t="shared" si="4"/>
        <v>1.7004657913992183E-2</v>
      </c>
      <c r="I64" s="70">
        <f>SUM($G$7:G64)</f>
        <v>182163</v>
      </c>
      <c r="J64" s="59">
        <f t="shared" si="5"/>
        <v>0.54182604505624599</v>
      </c>
      <c r="K64" s="26"/>
      <c r="L64" s="15" t="str">
        <f t="shared" si="7"/>
        <v/>
      </c>
      <c r="N64" s="1"/>
    </row>
    <row r="65" spans="1:14" ht="25" customHeight="1" x14ac:dyDescent="0.45">
      <c r="A65" s="5"/>
      <c r="B65" s="25"/>
      <c r="C65" s="68">
        <v>42</v>
      </c>
      <c r="D65" s="54">
        <f t="shared" si="2"/>
        <v>96</v>
      </c>
      <c r="E65" s="69">
        <f t="shared" si="6"/>
        <v>5</v>
      </c>
      <c r="F65" s="55">
        <f t="shared" si="3"/>
        <v>44.94</v>
      </c>
      <c r="G65" s="56">
        <f>IF(D65=D64,"",_xlfn.IFNA(VLOOKUP(D65,'인원 입력 기능(국수)'!$A$5:$D$103,4,FALSE),0))</f>
        <v>5892</v>
      </c>
      <c r="H65" s="57">
        <f t="shared" si="4"/>
        <v>1.7525178315417517E-2</v>
      </c>
      <c r="I65" s="70">
        <f>SUM($G$7:G65)</f>
        <v>188055</v>
      </c>
      <c r="J65" s="59">
        <f t="shared" si="5"/>
        <v>0.55935122337166343</v>
      </c>
      <c r="K65" s="26"/>
      <c r="L65" s="15" t="str">
        <f t="shared" si="7"/>
        <v/>
      </c>
      <c r="N65" s="1"/>
    </row>
    <row r="66" spans="1:14" ht="25" customHeight="1" x14ac:dyDescent="0.45">
      <c r="A66" s="5"/>
      <c r="B66" s="25"/>
      <c r="C66" s="68">
        <v>41</v>
      </c>
      <c r="D66" s="54">
        <f t="shared" si="2"/>
        <v>95</v>
      </c>
      <c r="E66" s="69">
        <f t="shared" si="6"/>
        <v>5</v>
      </c>
      <c r="F66" s="55">
        <f t="shared" si="3"/>
        <v>43.21</v>
      </c>
      <c r="G66" s="56">
        <f>IF(D66=D65,"",_xlfn.IFNA(VLOOKUP(D66,'인원 입력 기능(국수)'!$A$5:$D$103,4,FALSE),0))</f>
        <v>5773</v>
      </c>
      <c r="H66" s="57">
        <f t="shared" si="4"/>
        <v>1.7171224442448289E-2</v>
      </c>
      <c r="I66" s="70">
        <f>SUM($G$7:G66)</f>
        <v>193828</v>
      </c>
      <c r="J66" s="59">
        <f t="shared" si="5"/>
        <v>0.57652244781411177</v>
      </c>
      <c r="K66" s="26"/>
      <c r="L66" s="15" t="str">
        <f t="shared" si="7"/>
        <v/>
      </c>
      <c r="N66" s="1"/>
    </row>
    <row r="67" spans="1:14" ht="25" customHeight="1" x14ac:dyDescent="0.45">
      <c r="A67" s="5"/>
      <c r="B67" s="25"/>
      <c r="C67" s="68">
        <v>40</v>
      </c>
      <c r="D67" s="54">
        <f t="shared" si="2"/>
        <v>94</v>
      </c>
      <c r="E67" s="69">
        <f t="shared" si="6"/>
        <v>5</v>
      </c>
      <c r="F67" s="55">
        <f t="shared" si="3"/>
        <v>41.47</v>
      </c>
      <c r="G67" s="56">
        <f>IF(D67=D66,"",_xlfn.IFNA(VLOOKUP(D67,'인원 입력 기능(국수)'!$A$5:$D$103,4,FALSE),0))</f>
        <v>5877</v>
      </c>
      <c r="H67" s="57">
        <f t="shared" si="4"/>
        <v>1.748056228100963E-2</v>
      </c>
      <c r="I67" s="70">
        <f>SUM($G$7:G67)</f>
        <v>199705</v>
      </c>
      <c r="J67" s="59">
        <f t="shared" si="5"/>
        <v>0.59400301009512135</v>
      </c>
      <c r="K67" s="26"/>
      <c r="L67" s="15" t="str">
        <f t="shared" si="7"/>
        <v/>
      </c>
      <c r="N67" s="1"/>
    </row>
    <row r="68" spans="1:14" ht="25" customHeight="1" x14ac:dyDescent="0.45">
      <c r="A68" s="5"/>
      <c r="B68" s="25"/>
      <c r="C68" s="68">
        <v>39</v>
      </c>
      <c r="D68" s="54">
        <f t="shared" si="2"/>
        <v>93</v>
      </c>
      <c r="E68" s="69">
        <f t="shared" si="6"/>
        <v>5</v>
      </c>
      <c r="F68" s="55">
        <f t="shared" si="3"/>
        <v>39.76</v>
      </c>
      <c r="G68" s="56">
        <f>IF(D68=D67,"",_xlfn.IFNA(VLOOKUP(D68,'인원 입력 기능(국수)'!$A$5:$D$103,4,FALSE),0))</f>
        <v>5653</v>
      </c>
      <c r="H68" s="57">
        <f t="shared" si="4"/>
        <v>1.6814296167185203E-2</v>
      </c>
      <c r="I68" s="70">
        <f>SUM($G$7:G68)</f>
        <v>205358</v>
      </c>
      <c r="J68" s="59">
        <f t="shared" si="5"/>
        <v>0.61081730626230657</v>
      </c>
      <c r="K68" s="26"/>
      <c r="L68" s="15" t="str">
        <f t="shared" si="7"/>
        <v/>
      </c>
      <c r="N68" s="1"/>
    </row>
    <row r="69" spans="1:14" ht="25" customHeight="1" x14ac:dyDescent="0.45">
      <c r="A69" s="5"/>
      <c r="B69" s="25"/>
      <c r="C69" s="68">
        <v>38</v>
      </c>
      <c r="D69" s="54">
        <f t="shared" si="2"/>
        <v>92</v>
      </c>
      <c r="E69" s="69">
        <f t="shared" si="6"/>
        <v>6</v>
      </c>
      <c r="F69" s="55">
        <f t="shared" si="3"/>
        <v>38.07</v>
      </c>
      <c r="G69" s="56">
        <f>IF(D69=D68,"",_xlfn.IFNA(VLOOKUP(D69,'인원 입력 기능(국수)'!$A$5:$D$103,4,FALSE),0))</f>
        <v>5671</v>
      </c>
      <c r="H69" s="57">
        <f t="shared" si="4"/>
        <v>1.6867835408474668E-2</v>
      </c>
      <c r="I69" s="70">
        <f>SUM($G$7:G69)</f>
        <v>211029</v>
      </c>
      <c r="J69" s="59">
        <f t="shared" si="5"/>
        <v>0.62768514167078127</v>
      </c>
      <c r="K69" s="26"/>
      <c r="L69" s="15" t="str">
        <f t="shared" si="7"/>
        <v/>
      </c>
      <c r="N69" s="1"/>
    </row>
    <row r="70" spans="1:14" ht="25" customHeight="1" x14ac:dyDescent="0.45">
      <c r="A70" s="5"/>
      <c r="B70" s="25"/>
      <c r="C70" s="68">
        <v>37</v>
      </c>
      <c r="D70" s="54">
        <f t="shared" si="2"/>
        <v>91</v>
      </c>
      <c r="E70" s="69">
        <f t="shared" si="6"/>
        <v>6</v>
      </c>
      <c r="F70" s="55">
        <f t="shared" si="3"/>
        <v>36.369999999999997</v>
      </c>
      <c r="G70" s="56">
        <f>IF(D70=D69,"",_xlfn.IFNA(VLOOKUP(D70,'인원 입력 기능(국수)'!$A$5:$D$103,4,FALSE),0))</f>
        <v>5763</v>
      </c>
      <c r="H70" s="57">
        <f t="shared" si="4"/>
        <v>1.7141480419509698E-2</v>
      </c>
      <c r="I70" s="70">
        <f>SUM($G$7:G70)</f>
        <v>216792</v>
      </c>
      <c r="J70" s="59">
        <f t="shared" si="5"/>
        <v>0.64482662209029096</v>
      </c>
      <c r="K70" s="26"/>
      <c r="L70" s="15" t="str">
        <f t="shared" si="7"/>
        <v/>
      </c>
      <c r="N70" s="1"/>
    </row>
    <row r="71" spans="1:14" ht="25" customHeight="1" x14ac:dyDescent="0.45">
      <c r="A71" s="5"/>
      <c r="B71" s="25"/>
      <c r="C71" s="68">
        <v>36</v>
      </c>
      <c r="D71" s="54">
        <f t="shared" si="2"/>
        <v>90</v>
      </c>
      <c r="E71" s="69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5">
        <f t="shared" si="3"/>
        <v>34.659999999999997</v>
      </c>
      <c r="G71" s="56">
        <f>IF(D71=D70,"",_xlfn.IFNA(VLOOKUP(D71,'인원 입력 기능(국수)'!$A$5:$D$103,4,FALSE),0))</f>
        <v>5769</v>
      </c>
      <c r="H71" s="57">
        <f t="shared" si="4"/>
        <v>1.7159326833272853E-2</v>
      </c>
      <c r="I71" s="70">
        <f>SUM($G$7:G71)</f>
        <v>222561</v>
      </c>
      <c r="J71" s="59">
        <f t="shared" si="5"/>
        <v>0.66198594892356377</v>
      </c>
      <c r="K71" s="26"/>
      <c r="L71" s="15" t="str">
        <f t="shared" si="7"/>
        <v/>
      </c>
      <c r="N71" s="1"/>
    </row>
    <row r="72" spans="1:14" ht="25" customHeight="1" x14ac:dyDescent="0.45">
      <c r="A72" s="5"/>
      <c r="B72" s="25"/>
      <c r="C72" s="68">
        <v>35</v>
      </c>
      <c r="D72" s="54">
        <f t="shared" si="2"/>
        <v>89</v>
      </c>
      <c r="E72" s="69">
        <f t="shared" si="8"/>
        <v>6</v>
      </c>
      <c r="F72" s="55">
        <f t="shared" si="3"/>
        <v>32.96</v>
      </c>
      <c r="G72" s="56">
        <f>IF(D72=D71,"",_xlfn.IFNA(VLOOKUP(D72,'인원 입력 기능(국수)'!$A$5:$D$103,4,FALSE),0))</f>
        <v>5675</v>
      </c>
      <c r="H72" s="57">
        <f t="shared" si="4"/>
        <v>1.6879733017650105E-2</v>
      </c>
      <c r="I72" s="70">
        <f>SUM($G$7:G72)</f>
        <v>228236</v>
      </c>
      <c r="J72" s="59">
        <f t="shared" si="5"/>
        <v>0.67886568194121388</v>
      </c>
      <c r="K72" s="26"/>
      <c r="L72" s="15" t="str">
        <f t="shared" si="7"/>
        <v/>
      </c>
      <c r="N72" s="1"/>
    </row>
    <row r="73" spans="1:14" ht="25" customHeight="1" x14ac:dyDescent="0.45">
      <c r="A73" s="5"/>
      <c r="B73" s="25"/>
      <c r="C73" s="68">
        <v>34</v>
      </c>
      <c r="D73" s="54">
        <f t="shared" si="2"/>
        <v>87</v>
      </c>
      <c r="E73" s="69">
        <f t="shared" si="8"/>
        <v>6</v>
      </c>
      <c r="F73" s="55">
        <f t="shared" si="3"/>
        <v>31.26</v>
      </c>
      <c r="G73" s="56">
        <f>IF(D73=D72,"",_xlfn.IFNA(VLOOKUP(D73,'인원 입력 기능(국수)'!$A$5:$D$103,4,FALSE),0))</f>
        <v>5747</v>
      </c>
      <c r="H73" s="57">
        <f t="shared" si="4"/>
        <v>1.7093889982807954E-2</v>
      </c>
      <c r="I73" s="70">
        <f>SUM($G$7:G73)</f>
        <v>233983</v>
      </c>
      <c r="J73" s="59">
        <f t="shared" si="5"/>
        <v>0.69595957192402191</v>
      </c>
      <c r="K73" s="26"/>
      <c r="L73" s="15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25"/>
      <c r="C74" s="68">
        <v>33</v>
      </c>
      <c r="D74" s="54">
        <f t="shared" ref="D74:D105" si="10">ROUND(20*(C74-$H$3)/$H$4+100,0)</f>
        <v>86</v>
      </c>
      <c r="E74" s="69">
        <f t="shared" si="8"/>
        <v>6</v>
      </c>
      <c r="F74" s="55">
        <f t="shared" ref="F74:F105" si="11">IF(I73=0,ROUND(100*(1-(I72+I74)/2/$J$3),2),ROUND(100*(1-(I73+I74)/2/$J$3),2))</f>
        <v>29.55</v>
      </c>
      <c r="G74" s="56">
        <f>IF(D74=D73,"",_xlfn.IFNA(VLOOKUP(D74,'인원 입력 기능(국수)'!$A$5:$D$103,4,FALSE),0))</f>
        <v>5775</v>
      </c>
      <c r="H74" s="57">
        <f t="shared" ref="H74:H105" si="12">G74/$J$3</f>
        <v>1.7177173247036007E-2</v>
      </c>
      <c r="I74" s="70">
        <f>SUM($G$7:G74)</f>
        <v>239758</v>
      </c>
      <c r="J74" s="59">
        <f t="shared" ref="J74:J105" si="13">I74/$J$3</f>
        <v>0.71313674517105785</v>
      </c>
      <c r="K74" s="26"/>
      <c r="L74" s="15" t="str">
        <f t="shared" si="9"/>
        <v/>
      </c>
      <c r="N74" s="1"/>
    </row>
    <row r="75" spans="1:14" ht="25" customHeight="1" x14ac:dyDescent="0.45">
      <c r="A75" s="5"/>
      <c r="B75" s="25"/>
      <c r="C75" s="68">
        <v>32</v>
      </c>
      <c r="D75" s="54">
        <f t="shared" si="10"/>
        <v>85</v>
      </c>
      <c r="E75" s="69">
        <f t="shared" si="8"/>
        <v>6</v>
      </c>
      <c r="F75" s="55">
        <f t="shared" si="11"/>
        <v>27.82</v>
      </c>
      <c r="G75" s="56">
        <f>IF(D75=D74,"",_xlfn.IFNA(VLOOKUP(D75,'인원 입력 기능(국수)'!$A$5:$D$103,4,FALSE),0))</f>
        <v>5803</v>
      </c>
      <c r="H75" s="57">
        <f t="shared" si="12"/>
        <v>1.7260456511264063E-2</v>
      </c>
      <c r="I75" s="70">
        <f>SUM($G$7:G75)</f>
        <v>245561</v>
      </c>
      <c r="J75" s="59">
        <f t="shared" si="13"/>
        <v>0.73039720168232192</v>
      </c>
      <c r="K75" s="26"/>
      <c r="L75" s="15" t="str">
        <f t="shared" si="9"/>
        <v/>
      </c>
      <c r="N75" s="1"/>
    </row>
    <row r="76" spans="1:14" ht="25" customHeight="1" x14ac:dyDescent="0.45">
      <c r="A76" s="5"/>
      <c r="B76" s="25"/>
      <c r="C76" s="68">
        <v>31</v>
      </c>
      <c r="D76" s="54">
        <f t="shared" si="10"/>
        <v>84</v>
      </c>
      <c r="E76" s="69">
        <f t="shared" si="8"/>
        <v>6</v>
      </c>
      <c r="F76" s="55">
        <f t="shared" si="11"/>
        <v>26.1</v>
      </c>
      <c r="G76" s="56">
        <f>IF(D76=D75,"",_xlfn.IFNA(VLOOKUP(D76,'인원 입력 기능(국수)'!$A$5:$D$103,4,FALSE),0))</f>
        <v>5798</v>
      </c>
      <c r="H76" s="57">
        <f t="shared" si="12"/>
        <v>1.7245584499794766E-2</v>
      </c>
      <c r="I76" s="70">
        <f>SUM($G$7:G76)</f>
        <v>251359</v>
      </c>
      <c r="J76" s="59">
        <f t="shared" si="13"/>
        <v>0.74764278618211666</v>
      </c>
      <c r="K76" s="26"/>
      <c r="L76" s="15" t="str">
        <f t="shared" si="9"/>
        <v/>
      </c>
      <c r="N76" s="1"/>
    </row>
    <row r="77" spans="1:14" ht="25" customHeight="1" x14ac:dyDescent="0.45">
      <c r="A77" s="5"/>
      <c r="B77" s="25"/>
      <c r="C77" s="68">
        <v>30</v>
      </c>
      <c r="D77" s="54">
        <f t="shared" si="10"/>
        <v>83</v>
      </c>
      <c r="E77" s="69">
        <f t="shared" si="8"/>
        <v>6</v>
      </c>
      <c r="F77" s="55">
        <f t="shared" si="11"/>
        <v>24.39</v>
      </c>
      <c r="G77" s="56">
        <f>IF(D77=D76,"",_xlfn.IFNA(VLOOKUP(D77,'인원 입력 기능(국수)'!$A$5:$D$103,4,FALSE),0))</f>
        <v>5715</v>
      </c>
      <c r="H77" s="57">
        <f t="shared" si="12"/>
        <v>1.6998709109404465E-2</v>
      </c>
      <c r="I77" s="70">
        <f>SUM($G$7:G77)</f>
        <v>257074</v>
      </c>
      <c r="J77" s="59">
        <f t="shared" si="13"/>
        <v>0.76464149529152114</v>
      </c>
      <c r="K77" s="26"/>
      <c r="L77" s="15" t="str">
        <f t="shared" si="9"/>
        <v/>
      </c>
      <c r="N77" s="1"/>
    </row>
    <row r="78" spans="1:14" ht="25" customHeight="1" x14ac:dyDescent="0.45">
      <c r="A78" s="5"/>
      <c r="B78" s="25"/>
      <c r="C78" s="68">
        <v>29</v>
      </c>
      <c r="D78" s="54">
        <f t="shared" si="10"/>
        <v>82</v>
      </c>
      <c r="E78" s="69">
        <f t="shared" si="8"/>
        <v>6</v>
      </c>
      <c r="F78" s="55">
        <f t="shared" si="11"/>
        <v>22.68</v>
      </c>
      <c r="G78" s="56">
        <f>IF(D78=D77,"",_xlfn.IFNA(VLOOKUP(D78,'인원 입력 기능(국수)'!$A$5:$D$103,4,FALSE),0))</f>
        <v>5787</v>
      </c>
      <c r="H78" s="57">
        <f t="shared" si="12"/>
        <v>1.7212866074562318E-2</v>
      </c>
      <c r="I78" s="70">
        <f>SUM($G$7:G78)</f>
        <v>262861</v>
      </c>
      <c r="J78" s="59">
        <f t="shared" si="13"/>
        <v>0.78185436136608344</v>
      </c>
      <c r="K78" s="26"/>
      <c r="L78" s="15" t="str">
        <f t="shared" si="9"/>
        <v/>
      </c>
      <c r="N78" s="1"/>
    </row>
    <row r="79" spans="1:14" ht="25" customHeight="1" x14ac:dyDescent="0.45">
      <c r="A79" s="5"/>
      <c r="B79" s="25"/>
      <c r="C79" s="68">
        <v>28</v>
      </c>
      <c r="D79" s="54">
        <f t="shared" si="10"/>
        <v>81</v>
      </c>
      <c r="E79" s="69">
        <f t="shared" si="8"/>
        <v>7</v>
      </c>
      <c r="F79" s="55">
        <f t="shared" si="11"/>
        <v>21</v>
      </c>
      <c r="G79" s="56">
        <f>IF(D79=D78,"",_xlfn.IFNA(VLOOKUP(D79,'인원 입력 기능(국수)'!$A$5:$D$103,4,FALSE),0))</f>
        <v>5503</v>
      </c>
      <c r="H79" s="57">
        <f t="shared" si="12"/>
        <v>1.6368135823106346E-2</v>
      </c>
      <c r="I79" s="70">
        <f>SUM($G$7:G79)</f>
        <v>268364</v>
      </c>
      <c r="J79" s="59">
        <f t="shared" si="13"/>
        <v>0.79822249718918981</v>
      </c>
      <c r="K79" s="26"/>
      <c r="L79" s="15" t="str">
        <f t="shared" si="9"/>
        <v/>
      </c>
      <c r="N79" s="1"/>
    </row>
    <row r="80" spans="1:14" ht="25" customHeight="1" x14ac:dyDescent="0.45">
      <c r="A80" s="5"/>
      <c r="B80" s="25"/>
      <c r="C80" s="68">
        <v>27</v>
      </c>
      <c r="D80" s="54">
        <f t="shared" si="10"/>
        <v>80</v>
      </c>
      <c r="E80" s="69">
        <f t="shared" si="8"/>
        <v>7</v>
      </c>
      <c r="F80" s="55">
        <f t="shared" si="11"/>
        <v>19.309999999999999</v>
      </c>
      <c r="G80" s="56">
        <f>IF(D80=D79,"",_xlfn.IFNA(VLOOKUP(D80,'인원 입력 기능(국수)'!$A$5:$D$103,4,FALSE),0))</f>
        <v>5839</v>
      </c>
      <c r="H80" s="57">
        <f t="shared" si="12"/>
        <v>1.7367534993842988E-2</v>
      </c>
      <c r="I80" s="70">
        <f>SUM($G$7:G80)</f>
        <v>274203</v>
      </c>
      <c r="J80" s="59">
        <f t="shared" si="13"/>
        <v>0.81559003218303283</v>
      </c>
      <c r="K80" s="26"/>
      <c r="L80" s="15" t="str">
        <f t="shared" si="9"/>
        <v/>
      </c>
      <c r="N80" s="1"/>
    </row>
    <row r="81" spans="1:14" ht="25" customHeight="1" x14ac:dyDescent="0.45">
      <c r="A81" s="5"/>
      <c r="B81" s="25"/>
      <c r="C81" s="68">
        <v>26</v>
      </c>
      <c r="D81" s="54">
        <f t="shared" si="10"/>
        <v>79</v>
      </c>
      <c r="E81" s="69">
        <f t="shared" si="8"/>
        <v>7</v>
      </c>
      <c r="F81" s="55">
        <f t="shared" si="11"/>
        <v>17.649999999999999</v>
      </c>
      <c r="G81" s="56">
        <f>IF(D81=D80,"",_xlfn.IFNA(VLOOKUP(D81,'인원 입력 기능(국수)'!$A$5:$D$103,4,FALSE),0))</f>
        <v>5320</v>
      </c>
      <c r="H81" s="57">
        <f t="shared" si="12"/>
        <v>1.582382020333014E-2</v>
      </c>
      <c r="I81" s="70">
        <f>SUM($G$7:G81)</f>
        <v>279523</v>
      </c>
      <c r="J81" s="59">
        <f t="shared" si="13"/>
        <v>0.83141385238636301</v>
      </c>
      <c r="K81" s="26"/>
      <c r="L81" s="15" t="str">
        <f t="shared" si="9"/>
        <v/>
      </c>
      <c r="N81" s="1"/>
    </row>
    <row r="82" spans="1:14" ht="25" customHeight="1" x14ac:dyDescent="0.45">
      <c r="A82" s="5"/>
      <c r="B82" s="25"/>
      <c r="C82" s="68">
        <v>25</v>
      </c>
      <c r="D82" s="54">
        <f t="shared" si="10"/>
        <v>78</v>
      </c>
      <c r="E82" s="69">
        <f t="shared" si="8"/>
        <v>7</v>
      </c>
      <c r="F82" s="55">
        <f t="shared" si="11"/>
        <v>15.97</v>
      </c>
      <c r="G82" s="56">
        <f>IF(D82=D81,"",_xlfn.IFNA(VLOOKUP(D82,'인원 입력 기능(국수)'!$A$5:$D$103,4,FALSE),0))</f>
        <v>5967</v>
      </c>
      <c r="H82" s="57">
        <f t="shared" si="12"/>
        <v>1.7748258487456946E-2</v>
      </c>
      <c r="I82" s="70">
        <f>SUM($G$7:G82)</f>
        <v>285490</v>
      </c>
      <c r="J82" s="59">
        <f t="shared" si="13"/>
        <v>0.84916211087381988</v>
      </c>
      <c r="K82" s="26"/>
      <c r="L82" s="15" t="str">
        <f t="shared" si="9"/>
        <v/>
      </c>
      <c r="N82" s="1"/>
    </row>
    <row r="83" spans="1:14" ht="25" customHeight="1" x14ac:dyDescent="0.45">
      <c r="A83" s="5"/>
      <c r="B83" s="25"/>
      <c r="C83" s="68">
        <v>24</v>
      </c>
      <c r="D83" s="54">
        <f t="shared" si="10"/>
        <v>77</v>
      </c>
      <c r="E83" s="69">
        <f t="shared" si="8"/>
        <v>7</v>
      </c>
      <c r="F83" s="55">
        <f t="shared" si="11"/>
        <v>14.35</v>
      </c>
      <c r="G83" s="56">
        <f>IF(D83=D82,"",_xlfn.IFNA(VLOOKUP(D83,'인원 입력 기능(국수)'!$A$5:$D$103,4,FALSE),0))</f>
        <v>4901</v>
      </c>
      <c r="H83" s="57">
        <f t="shared" si="12"/>
        <v>1.4577545642203199E-2</v>
      </c>
      <c r="I83" s="70">
        <f>SUM($G$7:G83)</f>
        <v>290391</v>
      </c>
      <c r="J83" s="59">
        <f t="shared" si="13"/>
        <v>0.86373965651602314</v>
      </c>
      <c r="K83" s="26"/>
      <c r="L83" s="15" t="str">
        <f t="shared" si="9"/>
        <v/>
      </c>
      <c r="N83" s="1"/>
    </row>
    <row r="84" spans="1:14" ht="25" customHeight="1" x14ac:dyDescent="0.45">
      <c r="A84" s="5"/>
      <c r="B84" s="25"/>
      <c r="C84" s="68">
        <v>23</v>
      </c>
      <c r="D84" s="54">
        <f t="shared" si="10"/>
        <v>76</v>
      </c>
      <c r="E84" s="69">
        <f t="shared" si="8"/>
        <v>7</v>
      </c>
      <c r="F84" s="55">
        <f t="shared" si="11"/>
        <v>12.73</v>
      </c>
      <c r="G84" s="56">
        <f>IF(D84=D83,"",_xlfn.IFNA(VLOOKUP(D84,'인원 입력 기능(국수)'!$A$5:$D$103,4,FALSE),0))</f>
        <v>6012</v>
      </c>
      <c r="H84" s="57">
        <f t="shared" si="12"/>
        <v>1.7882106590680603E-2</v>
      </c>
      <c r="I84" s="70">
        <f>SUM($G$7:G84)</f>
        <v>296403</v>
      </c>
      <c r="J84" s="59">
        <f t="shared" si="13"/>
        <v>0.8816217631067037</v>
      </c>
      <c r="K84" s="26"/>
      <c r="L84" s="15" t="str">
        <f t="shared" si="9"/>
        <v/>
      </c>
      <c r="N84" s="1"/>
    </row>
    <row r="85" spans="1:14" ht="25" customHeight="1" x14ac:dyDescent="0.45">
      <c r="A85" s="5"/>
      <c r="B85" s="25"/>
      <c r="C85" s="68">
        <v>22</v>
      </c>
      <c r="D85" s="54">
        <f t="shared" si="10"/>
        <v>75</v>
      </c>
      <c r="E85" s="69">
        <f t="shared" si="8"/>
        <v>7</v>
      </c>
      <c r="F85" s="55">
        <f t="shared" si="11"/>
        <v>11.15</v>
      </c>
      <c r="G85" s="56">
        <f>IF(D85=D84,"",_xlfn.IFNA(VLOOKUP(D85,'인원 입력 기능(국수)'!$A$5:$D$103,4,FALSE),0))</f>
        <v>4649</v>
      </c>
      <c r="H85" s="57">
        <f t="shared" si="12"/>
        <v>1.3827996264150719E-2</v>
      </c>
      <c r="I85" s="70">
        <f>SUM($G$7:G85)</f>
        <v>301052</v>
      </c>
      <c r="J85" s="59">
        <f t="shared" si="13"/>
        <v>0.89544975937085447</v>
      </c>
      <c r="K85" s="26"/>
      <c r="L85" s="15" t="str">
        <f t="shared" si="9"/>
        <v/>
      </c>
      <c r="N85" s="1"/>
    </row>
    <row r="86" spans="1:14" ht="25" customHeight="1" x14ac:dyDescent="0.45">
      <c r="A86" s="5"/>
      <c r="B86" s="25"/>
      <c r="C86" s="68">
        <v>21</v>
      </c>
      <c r="D86" s="54">
        <f t="shared" si="10"/>
        <v>74</v>
      </c>
      <c r="E86" s="69">
        <f t="shared" si="8"/>
        <v>8</v>
      </c>
      <c r="F86" s="55">
        <f t="shared" si="11"/>
        <v>9.7799999999999994</v>
      </c>
      <c r="G86" s="56">
        <f>IF(D86=D85,"",_xlfn.IFNA(VLOOKUP(D86,'인원 입력 기능(국수)'!$A$5:$D$103,4,FALSE),0))</f>
        <v>4519</v>
      </c>
      <c r="H86" s="57">
        <f t="shared" si="12"/>
        <v>1.3441323965949043E-2</v>
      </c>
      <c r="I86" s="70">
        <f>SUM($G$7:G86)</f>
        <v>305571</v>
      </c>
      <c r="J86" s="59">
        <f t="shared" si="13"/>
        <v>0.90889108333680346</v>
      </c>
      <c r="K86" s="26"/>
      <c r="L86" s="15" t="str">
        <f t="shared" si="9"/>
        <v/>
      </c>
      <c r="N86" s="1"/>
    </row>
    <row r="87" spans="1:14" ht="25" customHeight="1" x14ac:dyDescent="0.45">
      <c r="A87" s="5"/>
      <c r="B87" s="25"/>
      <c r="C87" s="68">
        <v>20</v>
      </c>
      <c r="D87" s="54">
        <f t="shared" si="10"/>
        <v>72</v>
      </c>
      <c r="E87" s="69">
        <f t="shared" si="8"/>
        <v>8</v>
      </c>
      <c r="F87" s="55">
        <f t="shared" si="11"/>
        <v>7.49</v>
      </c>
      <c r="G87" s="56">
        <f>IF(D87=D86,"",_xlfn.IFNA(VLOOKUP(D87,'인원 입력 기능(국수)'!$A$5:$D$103,4,FALSE),0))</f>
        <v>10917</v>
      </c>
      <c r="H87" s="57">
        <f t="shared" si="12"/>
        <v>3.2471549842059237E-2</v>
      </c>
      <c r="I87" s="70">
        <f>SUM($G$7:G87)</f>
        <v>316488</v>
      </c>
      <c r="J87" s="59">
        <f t="shared" si="13"/>
        <v>0.94136263317886271</v>
      </c>
      <c r="K87" s="26"/>
      <c r="L87" s="15" t="str">
        <f t="shared" si="9"/>
        <v/>
      </c>
      <c r="N87" s="1"/>
    </row>
    <row r="88" spans="1:14" ht="25" customHeight="1" x14ac:dyDescent="0.45">
      <c r="A88" s="5"/>
      <c r="B88" s="25"/>
      <c r="C88" s="68">
        <v>19</v>
      </c>
      <c r="D88" s="54">
        <f t="shared" si="10"/>
        <v>71</v>
      </c>
      <c r="E88" s="69">
        <f t="shared" si="8"/>
        <v>8</v>
      </c>
      <c r="F88" s="55">
        <f t="shared" si="11"/>
        <v>5.33</v>
      </c>
      <c r="G88" s="56">
        <f>IF(D88=D87,"",_xlfn.IFNA(VLOOKUP(D88,'인원 입력 기능(국수)'!$A$5:$D$103,4,FALSE),0))</f>
        <v>3576</v>
      </c>
      <c r="H88" s="57">
        <f t="shared" si="12"/>
        <v>1.063646260283996E-2</v>
      </c>
      <c r="I88" s="70">
        <f>SUM($G$7:G88)</f>
        <v>320064</v>
      </c>
      <c r="J88" s="59">
        <f t="shared" si="13"/>
        <v>0.95199909578170272</v>
      </c>
      <c r="K88" s="26"/>
      <c r="L88" s="15" t="str">
        <f t="shared" si="9"/>
        <v/>
      </c>
      <c r="N88" s="1"/>
    </row>
    <row r="89" spans="1:14" ht="25" customHeight="1" x14ac:dyDescent="0.45">
      <c r="A89" s="5"/>
      <c r="B89" s="25"/>
      <c r="C89" s="68">
        <v>18</v>
      </c>
      <c r="D89" s="54">
        <f t="shared" si="10"/>
        <v>70</v>
      </c>
      <c r="E89" s="69">
        <f t="shared" si="8"/>
        <v>8</v>
      </c>
      <c r="F89" s="55">
        <f t="shared" si="11"/>
        <v>4.3099999999999996</v>
      </c>
      <c r="G89" s="56">
        <f>IF(D89=D88,"",_xlfn.IFNA(VLOOKUP(D89,'인원 입력 기능(국수)'!$A$5:$D$103,4,FALSE),0))</f>
        <v>3280</v>
      </c>
      <c r="H89" s="57">
        <f t="shared" si="12"/>
        <v>9.7560395238576805E-3</v>
      </c>
      <c r="I89" s="70">
        <f>SUM($G$7:G89)</f>
        <v>323344</v>
      </c>
      <c r="J89" s="59">
        <f t="shared" si="13"/>
        <v>0.96175513530556034</v>
      </c>
      <c r="K89" s="26"/>
      <c r="L89" s="15" t="str">
        <f t="shared" si="9"/>
        <v/>
      </c>
      <c r="N89" s="1"/>
    </row>
    <row r="90" spans="1:14" ht="25" customHeight="1" x14ac:dyDescent="0.45">
      <c r="A90" s="5"/>
      <c r="B90" s="25"/>
      <c r="C90" s="68">
        <v>17</v>
      </c>
      <c r="D90" s="54">
        <f t="shared" si="10"/>
        <v>69</v>
      </c>
      <c r="E90" s="69">
        <f t="shared" si="8"/>
        <v>9</v>
      </c>
      <c r="F90" s="55">
        <f t="shared" si="11"/>
        <v>3.37</v>
      </c>
      <c r="G90" s="56">
        <f>IF(D90=D89,"",_xlfn.IFNA(VLOOKUP(D90,'인원 입력 기능(국수)'!$A$5:$D$103,4,FALSE),0))</f>
        <v>3040</v>
      </c>
      <c r="H90" s="57">
        <f t="shared" si="12"/>
        <v>9.0421829733315084E-3</v>
      </c>
      <c r="I90" s="70">
        <f>SUM($G$7:G90)</f>
        <v>326384</v>
      </c>
      <c r="J90" s="59">
        <f t="shared" si="13"/>
        <v>0.97079731827889182</v>
      </c>
      <c r="K90" s="26"/>
      <c r="L90" s="15" t="str">
        <f t="shared" si="9"/>
        <v/>
      </c>
      <c r="N90" s="1"/>
    </row>
    <row r="91" spans="1:14" ht="25" customHeight="1" x14ac:dyDescent="0.45">
      <c r="A91" s="5"/>
      <c r="B91" s="25"/>
      <c r="C91" s="68">
        <v>16</v>
      </c>
      <c r="D91" s="54">
        <f t="shared" si="10"/>
        <v>68</v>
      </c>
      <c r="E91" s="69">
        <f t="shared" si="8"/>
        <v>9</v>
      </c>
      <c r="F91" s="55">
        <f t="shared" si="11"/>
        <v>2.61</v>
      </c>
      <c r="G91" s="56">
        <f>IF(D91=D90,"",_xlfn.IFNA(VLOOKUP(D91,'인원 입력 기능(국수)'!$A$5:$D$103,4,FALSE),0))</f>
        <v>2054</v>
      </c>
      <c r="H91" s="57">
        <f t="shared" si="12"/>
        <v>6.1094223115864864E-3</v>
      </c>
      <c r="I91" s="70">
        <f>SUM($G$7:G91)</f>
        <v>328438</v>
      </c>
      <c r="J91" s="59">
        <f t="shared" si="13"/>
        <v>0.97690674059047833</v>
      </c>
      <c r="K91" s="26"/>
      <c r="L91" s="15" t="str">
        <f t="shared" si="9"/>
        <v/>
      </c>
      <c r="N91" s="1"/>
    </row>
    <row r="92" spans="1:14" ht="25" customHeight="1" x14ac:dyDescent="0.45">
      <c r="A92" s="5"/>
      <c r="B92" s="25"/>
      <c r="C92" s="68">
        <v>15</v>
      </c>
      <c r="D92" s="54">
        <f t="shared" si="10"/>
        <v>67</v>
      </c>
      <c r="E92" s="69">
        <f t="shared" si="8"/>
        <v>9</v>
      </c>
      <c r="F92" s="55">
        <f t="shared" si="11"/>
        <v>2.06</v>
      </c>
      <c r="G92" s="56">
        <f>IF(D92=D91,"",_xlfn.IFNA(VLOOKUP(D92,'인원 입력 기능(국수)'!$A$5:$D$103,4,FALSE),0))</f>
        <v>1666</v>
      </c>
      <c r="H92" s="57">
        <f t="shared" si="12"/>
        <v>4.9553542215691757E-3</v>
      </c>
      <c r="I92" s="70">
        <f>SUM($G$7:G92)</f>
        <v>330104</v>
      </c>
      <c r="J92" s="59">
        <f t="shared" si="13"/>
        <v>0.98186209481204756</v>
      </c>
      <c r="K92" s="26"/>
      <c r="L92" s="15" t="str">
        <f t="shared" si="9"/>
        <v/>
      </c>
      <c r="N92" s="1"/>
    </row>
    <row r="93" spans="1:14" ht="25" customHeight="1" x14ac:dyDescent="0.45">
      <c r="A93" s="5"/>
      <c r="B93" s="25"/>
      <c r="C93" s="68">
        <v>14</v>
      </c>
      <c r="D93" s="54">
        <f t="shared" si="10"/>
        <v>66</v>
      </c>
      <c r="E93" s="69">
        <f t="shared" si="8"/>
        <v>9</v>
      </c>
      <c r="F93" s="55">
        <f t="shared" si="11"/>
        <v>1.62</v>
      </c>
      <c r="G93" s="56">
        <f>IF(D93=D92,"",_xlfn.IFNA(VLOOKUP(D93,'인원 입력 기능(국수)'!$A$5:$D$103,4,FALSE),0))</f>
        <v>1305</v>
      </c>
      <c r="H93" s="57">
        <f t="shared" si="12"/>
        <v>3.881594993486059E-3</v>
      </c>
      <c r="I93" s="70">
        <f>SUM($G$7:G93)</f>
        <v>331409</v>
      </c>
      <c r="J93" s="59">
        <f t="shared" si="13"/>
        <v>0.98574368980553362</v>
      </c>
      <c r="K93" s="26"/>
      <c r="L93" s="15" t="str">
        <f t="shared" si="9"/>
        <v/>
      </c>
      <c r="N93" s="1"/>
    </row>
    <row r="94" spans="1:14" ht="25" customHeight="1" x14ac:dyDescent="0.45">
      <c r="A94" s="5"/>
      <c r="B94" s="25"/>
      <c r="C94" s="68">
        <v>13</v>
      </c>
      <c r="D94" s="54">
        <f t="shared" si="10"/>
        <v>65</v>
      </c>
      <c r="E94" s="69">
        <f t="shared" si="8"/>
        <v>9</v>
      </c>
      <c r="F94" s="55">
        <f t="shared" si="11"/>
        <v>1.27</v>
      </c>
      <c r="G94" s="56">
        <f>IF(D94=D93,"",_xlfn.IFNA(VLOOKUP(D94,'인원 입력 기능(국수)'!$A$5:$D$103,4,FALSE),0))</f>
        <v>1020</v>
      </c>
      <c r="H94" s="57">
        <f t="shared" si="12"/>
        <v>3.0338903397362301E-3</v>
      </c>
      <c r="I94" s="70">
        <f>SUM($G$7:G94)</f>
        <v>332429</v>
      </c>
      <c r="J94" s="59">
        <f t="shared" si="13"/>
        <v>0.98877758014526984</v>
      </c>
      <c r="K94" s="26"/>
      <c r="L94" s="15" t="str">
        <f t="shared" si="9"/>
        <v/>
      </c>
      <c r="N94" s="1"/>
    </row>
    <row r="95" spans="1:14" ht="25" customHeight="1" x14ac:dyDescent="0.45">
      <c r="A95" s="5"/>
      <c r="B95" s="25"/>
      <c r="C95" s="68">
        <v>12</v>
      </c>
      <c r="D95" s="54">
        <f t="shared" si="10"/>
        <v>64</v>
      </c>
      <c r="E95" s="69">
        <f t="shared" si="8"/>
        <v>9</v>
      </c>
      <c r="F95" s="55">
        <f t="shared" si="11"/>
        <v>1</v>
      </c>
      <c r="G95" s="56">
        <f>IF(D95=D94,"",_xlfn.IFNA(VLOOKUP(D95,'인원 입력 기능(국수)'!$A$5:$D$103,4,FALSE),0))</f>
        <v>844</v>
      </c>
      <c r="H95" s="57">
        <f t="shared" si="12"/>
        <v>2.5103955360170375E-3</v>
      </c>
      <c r="I95" s="70">
        <f>SUM($G$7:G95)</f>
        <v>333273</v>
      </c>
      <c r="J95" s="59">
        <f t="shared" si="13"/>
        <v>0.99128797568128679</v>
      </c>
      <c r="K95" s="26"/>
      <c r="L95" s="15" t="str">
        <f t="shared" si="9"/>
        <v/>
      </c>
      <c r="N95" s="1"/>
    </row>
    <row r="96" spans="1:14" ht="25" customHeight="1" x14ac:dyDescent="0.45">
      <c r="A96" s="5"/>
      <c r="B96" s="25"/>
      <c r="C96" s="68">
        <v>11</v>
      </c>
      <c r="D96" s="54">
        <f t="shared" si="10"/>
        <v>63</v>
      </c>
      <c r="E96" s="69">
        <f t="shared" si="8"/>
        <v>9</v>
      </c>
      <c r="F96" s="55">
        <f t="shared" si="11"/>
        <v>0.79</v>
      </c>
      <c r="G96" s="56">
        <f>IF(D96=D95,"",_xlfn.IFNA(VLOOKUP(D96,'인원 입력 기능(국수)'!$A$5:$D$103,4,FALSE),0))</f>
        <v>539</v>
      </c>
      <c r="H96" s="57">
        <f t="shared" si="12"/>
        <v>1.6032028363900275E-3</v>
      </c>
      <c r="I96" s="70">
        <f>SUM($G$7:G96)</f>
        <v>333812</v>
      </c>
      <c r="J96" s="59">
        <f t="shared" si="13"/>
        <v>0.99289117851767683</v>
      </c>
      <c r="K96" s="26"/>
      <c r="L96" s="15" t="str">
        <f t="shared" si="9"/>
        <v/>
      </c>
      <c r="N96" s="1"/>
    </row>
    <row r="97" spans="1:14" ht="25" customHeight="1" x14ac:dyDescent="0.45">
      <c r="A97" s="5"/>
      <c r="B97" s="25"/>
      <c r="C97" s="68">
        <v>10</v>
      </c>
      <c r="D97" s="54">
        <f t="shared" si="10"/>
        <v>62</v>
      </c>
      <c r="E97" s="69">
        <f t="shared" si="8"/>
        <v>9</v>
      </c>
      <c r="F97" s="55">
        <f t="shared" si="11"/>
        <v>0.65</v>
      </c>
      <c r="G97" s="56">
        <f>IF(D97=D96,"",_xlfn.IFNA(VLOOKUP(D97,'인원 입력 기능(국수)'!$A$5:$D$103,4,FALSE),0))</f>
        <v>402</v>
      </c>
      <c r="H97" s="57">
        <f t="shared" si="12"/>
        <v>1.1957097221313377E-3</v>
      </c>
      <c r="I97" s="70">
        <f>SUM($G$7:G97)</f>
        <v>334214</v>
      </c>
      <c r="J97" s="59">
        <f t="shared" si="13"/>
        <v>0.99408688823980818</v>
      </c>
      <c r="K97" s="26"/>
      <c r="L97" s="15" t="str">
        <f t="shared" si="9"/>
        <v/>
      </c>
      <c r="N97" s="1"/>
    </row>
    <row r="98" spans="1:14" ht="25" customHeight="1" x14ac:dyDescent="0.45">
      <c r="A98" s="5"/>
      <c r="B98" s="25"/>
      <c r="C98" s="68">
        <v>9</v>
      </c>
      <c r="D98" s="54">
        <f t="shared" si="10"/>
        <v>61</v>
      </c>
      <c r="E98" s="69">
        <f t="shared" si="8"/>
        <v>9</v>
      </c>
      <c r="F98" s="55">
        <f t="shared" si="11"/>
        <v>0.55000000000000004</v>
      </c>
      <c r="G98" s="56">
        <f>IF(D98=D97,"",_xlfn.IFNA(VLOOKUP(D98,'인원 입력 기능(국수)'!$A$5:$D$103,4,FALSE),0))</f>
        <v>259</v>
      </c>
      <c r="H98" s="57">
        <f t="shared" si="12"/>
        <v>7.7037019410949371E-4</v>
      </c>
      <c r="I98" s="70">
        <f>SUM($G$7:G98)</f>
        <v>334473</v>
      </c>
      <c r="J98" s="59">
        <f t="shared" si="13"/>
        <v>0.9948572584339177</v>
      </c>
      <c r="K98" s="26"/>
      <c r="L98" s="15" t="str">
        <f t="shared" si="9"/>
        <v/>
      </c>
      <c r="N98" s="1"/>
    </row>
    <row r="99" spans="1:14" ht="25" customHeight="1" x14ac:dyDescent="0.45">
      <c r="A99" s="5"/>
      <c r="B99" s="25"/>
      <c r="C99" s="68">
        <v>8</v>
      </c>
      <c r="D99" s="54">
        <f t="shared" si="10"/>
        <v>60</v>
      </c>
      <c r="E99" s="69">
        <f t="shared" si="8"/>
        <v>9</v>
      </c>
      <c r="F99" s="55">
        <f t="shared" si="11"/>
        <v>0.48</v>
      </c>
      <c r="G99" s="56">
        <f>IF(D99=D98,"",_xlfn.IFNA(VLOOKUP(D99,'인원 입력 기능(국수)'!$A$5:$D$103,4,FALSE),0))</f>
        <v>236</v>
      </c>
      <c r="H99" s="57">
        <f t="shared" si="12"/>
        <v>7.0195894135073557E-4</v>
      </c>
      <c r="I99" s="70">
        <f>SUM($G$7:G99)</f>
        <v>334709</v>
      </c>
      <c r="J99" s="59">
        <f t="shared" si="13"/>
        <v>0.99555921737526842</v>
      </c>
      <c r="K99" s="26"/>
      <c r="L99" s="15" t="str">
        <f t="shared" si="9"/>
        <v/>
      </c>
      <c r="N99" s="1"/>
    </row>
    <row r="100" spans="1:14" ht="25" customHeight="1" x14ac:dyDescent="0.45">
      <c r="A100" s="5"/>
      <c r="B100" s="25"/>
      <c r="C100" s="68">
        <v>7</v>
      </c>
      <c r="D100" s="54">
        <f t="shared" si="10"/>
        <v>59</v>
      </c>
      <c r="E100" s="69">
        <f t="shared" si="8"/>
        <v>9</v>
      </c>
      <c r="F100" s="55">
        <f t="shared" si="11"/>
        <v>0.42</v>
      </c>
      <c r="G100" s="56">
        <f>IF(D100=D99,"",_xlfn.IFNA(VLOOKUP(D100,'인원 입력 기능(국수)'!$A$5:$D$103,4,FALSE),0))</f>
        <v>169</v>
      </c>
      <c r="H100" s="57">
        <f t="shared" si="12"/>
        <v>5.0267398766217929E-4</v>
      </c>
      <c r="I100" s="70">
        <f>SUM($G$7:G100)</f>
        <v>334878</v>
      </c>
      <c r="J100" s="59">
        <f t="shared" si="13"/>
        <v>0.99606189136293066</v>
      </c>
      <c r="K100" s="26"/>
      <c r="L100" s="15" t="str">
        <f t="shared" si="9"/>
        <v/>
      </c>
      <c r="N100" s="1"/>
    </row>
    <row r="101" spans="1:14" ht="25" customHeight="1" x14ac:dyDescent="0.45">
      <c r="A101" s="5"/>
      <c r="B101" s="25"/>
      <c r="C101" s="60">
        <v>6</v>
      </c>
      <c r="D101" s="54">
        <f t="shared" si="10"/>
        <v>57</v>
      </c>
      <c r="E101" s="54">
        <f t="shared" si="8"/>
        <v>9</v>
      </c>
      <c r="F101" s="55">
        <f t="shared" si="11"/>
        <v>0.38</v>
      </c>
      <c r="G101" s="56">
        <f>IF(D101=D100,"",_xlfn.IFNA(VLOOKUP(D101,'인원 입력 기능(국수)'!$A$5:$D$103,4,FALSE),0))</f>
        <v>122</v>
      </c>
      <c r="H101" s="57">
        <f t="shared" si="12"/>
        <v>3.6287707985080398E-4</v>
      </c>
      <c r="I101" s="67">
        <f>SUM($G$7:G101)</f>
        <v>335000</v>
      </c>
      <c r="J101" s="59">
        <f t="shared" si="13"/>
        <v>0.99642476844278138</v>
      </c>
      <c r="K101" s="26"/>
      <c r="L101" s="15" t="str">
        <f t="shared" si="9"/>
        <v/>
      </c>
      <c r="N101" s="1"/>
    </row>
    <row r="102" spans="1:14" ht="25" customHeight="1" x14ac:dyDescent="0.45">
      <c r="A102" s="5"/>
      <c r="B102" s="25"/>
      <c r="C102" s="60">
        <v>5</v>
      </c>
      <c r="D102" s="54">
        <f t="shared" si="10"/>
        <v>56</v>
      </c>
      <c r="E102" s="54">
        <f t="shared" si="8"/>
        <v>9</v>
      </c>
      <c r="F102" s="55">
        <f t="shared" si="11"/>
        <v>0.35</v>
      </c>
      <c r="G102" s="56">
        <f>IF(D102=D101,"",_xlfn.IFNA(VLOOKUP(D102,'인원 입력 기능(국수)'!$A$5:$D$103,4,FALSE),0))</f>
        <v>84</v>
      </c>
      <c r="H102" s="57">
        <f t="shared" si="12"/>
        <v>2.4984979268416013E-4</v>
      </c>
      <c r="I102" s="67">
        <f>SUM($G$7:G102)</f>
        <v>335084</v>
      </c>
      <c r="J102" s="59">
        <f t="shared" si="13"/>
        <v>0.99667461823546555</v>
      </c>
      <c r="K102" s="26"/>
      <c r="L102" s="15" t="str">
        <f t="shared" si="9"/>
        <v/>
      </c>
      <c r="N102" s="1"/>
    </row>
    <row r="103" spans="1:14" ht="25" customHeight="1" x14ac:dyDescent="0.45">
      <c r="A103" s="5"/>
      <c r="B103" s="25"/>
      <c r="C103" s="60">
        <v>4</v>
      </c>
      <c r="D103" s="54">
        <f t="shared" si="10"/>
        <v>55</v>
      </c>
      <c r="E103" s="54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5">
        <f t="shared" si="11"/>
        <v>0.32</v>
      </c>
      <c r="G103" s="56">
        <f>IF(D103=D102,"",_xlfn.IFNA(VLOOKUP(D103,'인원 입력 기능(국수)'!$A$5:$D$103,4,FALSE),0))</f>
        <v>63</v>
      </c>
      <c r="H103" s="57">
        <f t="shared" si="12"/>
        <v>1.8738734451312009E-4</v>
      </c>
      <c r="I103" s="67">
        <f>SUM($G$7:G103)</f>
        <v>335147</v>
      </c>
      <c r="J103" s="59">
        <f t="shared" si="13"/>
        <v>0.99686200557997873</v>
      </c>
      <c r="K103" s="26"/>
      <c r="L103" s="15" t="str">
        <f t="shared" si="9"/>
        <v/>
      </c>
      <c r="N103" s="1"/>
    </row>
    <row r="104" spans="1:14" ht="25" customHeight="1" x14ac:dyDescent="0.45">
      <c r="A104" s="5"/>
      <c r="B104" s="25"/>
      <c r="C104" s="60">
        <v>3</v>
      </c>
      <c r="D104" s="54">
        <f t="shared" si="10"/>
        <v>54</v>
      </c>
      <c r="E104" s="54">
        <f t="shared" si="14"/>
        <v>9</v>
      </c>
      <c r="F104" s="55">
        <f t="shared" si="11"/>
        <v>0.31</v>
      </c>
      <c r="G104" s="56">
        <f>IF(D104=D103,"",_xlfn.IFNA(VLOOKUP(D104,'인원 입력 기능(국수)'!$A$5:$D$103,4,FALSE),0))</f>
        <v>24</v>
      </c>
      <c r="H104" s="57">
        <f t="shared" si="12"/>
        <v>7.1385655052617179E-5</v>
      </c>
      <c r="I104" s="67">
        <f>SUM($G$7:G104)</f>
        <v>335171</v>
      </c>
      <c r="J104" s="59">
        <f t="shared" si="13"/>
        <v>0.99693339123503133</v>
      </c>
      <c r="K104" s="26"/>
      <c r="L104" s="15" t="str">
        <f t="shared" si="9"/>
        <v/>
      </c>
      <c r="N104" s="1"/>
    </row>
    <row r="105" spans="1:14" ht="25" customHeight="1" x14ac:dyDescent="0.45">
      <c r="A105" s="5"/>
      <c r="B105" s="25"/>
      <c r="C105" s="60">
        <v>2</v>
      </c>
      <c r="D105" s="54">
        <f t="shared" si="10"/>
        <v>53</v>
      </c>
      <c r="E105" s="54">
        <f t="shared" si="14"/>
        <v>9</v>
      </c>
      <c r="F105" s="55">
        <f t="shared" si="11"/>
        <v>0.3</v>
      </c>
      <c r="G105" s="56">
        <f>IF(D105=D104,"",_xlfn.IFNA(VLOOKUP(D105,'인원 입력 기능(국수)'!$A$5:$D$103,4,FALSE),0))</f>
        <v>70</v>
      </c>
      <c r="H105" s="57">
        <f t="shared" si="12"/>
        <v>2.0820816057013343E-4</v>
      </c>
      <c r="I105" s="67">
        <f>SUM($G$7:G105)</f>
        <v>335241</v>
      </c>
      <c r="J105" s="59">
        <f t="shared" si="13"/>
        <v>0.99714159939560143</v>
      </c>
      <c r="K105" s="26"/>
      <c r="L105" s="15" t="str">
        <f t="shared" si="9"/>
        <v/>
      </c>
      <c r="N105" s="1"/>
    </row>
    <row r="106" spans="1:14" ht="25" customHeight="1" x14ac:dyDescent="0.45">
      <c r="A106" s="5"/>
      <c r="B106" s="25"/>
      <c r="C106" s="60">
        <v>1</v>
      </c>
      <c r="D106" s="61" t="s">
        <v>56</v>
      </c>
      <c r="E106" s="61"/>
      <c r="F106" s="62"/>
      <c r="G106" s="63"/>
      <c r="H106" s="64"/>
      <c r="I106" s="71"/>
      <c r="J106" s="66"/>
      <c r="K106" s="26"/>
      <c r="L106" s="15"/>
    </row>
    <row r="107" spans="1:14" ht="25" customHeight="1" thickBot="1" x14ac:dyDescent="0.5">
      <c r="A107" s="5"/>
      <c r="B107" s="25"/>
      <c r="C107" s="72">
        <v>0</v>
      </c>
      <c r="D107" s="73">
        <f>ROUND(20*(C107-$H$3)/$H$4+100,0)</f>
        <v>51</v>
      </c>
      <c r="E107" s="73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4">
        <f>IF(I105=0,ROUND(100*(1-(I104+I107)/2/$J$3),2),ROUND(100*(1-(I105+I107)/2/$J$3),2))</f>
        <v>0.14000000000000001</v>
      </c>
      <c r="G107" s="75">
        <f>_xlfn.IFNA(VLOOKUP(D107,'인원 입력 기능(국수)'!$A$5:$D$103,4,FALSE),0)</f>
        <v>961</v>
      </c>
      <c r="H107" s="76">
        <f>G107/$J$3</f>
        <v>2.8584006043985461E-3</v>
      </c>
      <c r="I107" s="77">
        <f>SUM($G$7:G107)</f>
        <v>336202</v>
      </c>
      <c r="J107" s="78">
        <f>I107/$J$3</f>
        <v>1</v>
      </c>
      <c r="K107" s="26"/>
      <c r="L107" s="15" t="str">
        <f>IF(ABS((C107-$H$3)/$H$4*20+100-D107)&gt;0.49, "경고", "")</f>
        <v/>
      </c>
    </row>
    <row r="108" spans="1:14" s="5" customFormat="1" ht="6" customHeight="1" x14ac:dyDescent="0.45">
      <c r="B108" s="27"/>
      <c r="C108" s="28"/>
      <c r="D108" s="28"/>
      <c r="E108" s="28"/>
      <c r="F108" s="28"/>
      <c r="G108" s="28"/>
      <c r="H108" s="28"/>
      <c r="I108" s="28"/>
      <c r="J108" s="28"/>
      <c r="K108" s="29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3">
    <mergeCell ref="D3:F3"/>
    <mergeCell ref="D4:F4"/>
    <mergeCell ref="I4:J5"/>
  </mergeCells>
  <phoneticPr fontId="1" type="noConversion"/>
  <conditionalFormatting sqref="C7:C106">
    <cfRule type="expression" dxfId="63" priority="2">
      <formula>OR(AND($D7=0,OR($D6=$Q$7:$Q$14)),AND($D8&gt;0,OR($D7=$Q$7:$Q$14)))</formula>
    </cfRule>
  </conditionalFormatting>
  <conditionalFormatting sqref="D7:J107">
    <cfRule type="expression" dxfId="62" priority="3">
      <formula>OR($D7=$Q$7:$Q$14)</formula>
    </cfRule>
  </conditionalFormatting>
  <conditionalFormatting sqref="D7:D106">
    <cfRule type="expression" dxfId="61" priority="1">
      <formula>$D7=$D8</formula>
    </cfRule>
  </conditionalFormatting>
  <conditionalFormatting sqref="C107">
    <cfRule type="expression" dxfId="60" priority="7">
      <formula>OR(AND($D107=0,OR($D106=$Q$7:$Q$14)),AND($D109&gt;0,OR($D107=$Q$7:$Q$14)))</formula>
    </cfRule>
  </conditionalFormatting>
  <conditionalFormatting sqref="D107">
    <cfRule type="expression" dxfId="59" priority="9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147" t="s">
        <v>66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ht="25" customHeight="1" thickBot="1" x14ac:dyDescent="0.5">
      <c r="A3" s="5"/>
      <c r="B3" s="151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기능'!D5</f>
        <v>38.44</v>
      </c>
      <c r="I3" s="16" t="s">
        <v>70</v>
      </c>
      <c r="J3" s="45">
        <f>'통계 및 응시자 수 입력 기능'!C5</f>
        <v>334494</v>
      </c>
      <c r="K3" s="26"/>
      <c r="L3" s="5"/>
    </row>
    <row r="4" spans="1:17" ht="25" customHeight="1" thickBot="1" x14ac:dyDescent="0.5">
      <c r="A4" s="5"/>
      <c r="B4" s="25"/>
      <c r="C4" s="46" t="s">
        <v>71</v>
      </c>
      <c r="D4" s="168" t="s">
        <v>74</v>
      </c>
      <c r="E4" s="169"/>
      <c r="F4" s="170"/>
      <c r="G4" s="47" t="s">
        <v>73</v>
      </c>
      <c r="H4" s="48" t="str">
        <f>'통계 및 응시자 수 입력 기능'!E5</f>
        <v>22.08</v>
      </c>
      <c r="I4" s="171"/>
      <c r="J4" s="172"/>
      <c r="K4" s="26"/>
      <c r="L4" s="5"/>
    </row>
    <row r="5" spans="1:17" ht="25" customHeight="1" thickBot="1" x14ac:dyDescent="0.5">
      <c r="A5" s="5"/>
      <c r="B5" s="25"/>
      <c r="C5" s="14"/>
      <c r="D5" s="14"/>
      <c r="E5" s="14"/>
      <c r="F5" s="14"/>
      <c r="G5" s="14"/>
      <c r="H5" s="15"/>
      <c r="I5" s="173"/>
      <c r="J5" s="173"/>
      <c r="K5" s="26"/>
      <c r="L5" s="5"/>
    </row>
    <row r="6" spans="1:17" ht="25" customHeight="1" thickBot="1" x14ac:dyDescent="0.5">
      <c r="A6" s="5"/>
      <c r="B6" s="25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1" t="s">
        <v>80</v>
      </c>
      <c r="I6" s="51" t="s">
        <v>81</v>
      </c>
      <c r="J6" s="52" t="s">
        <v>82</v>
      </c>
      <c r="K6" s="26"/>
      <c r="L6" s="3" t="s">
        <v>65</v>
      </c>
      <c r="M6" s="3"/>
      <c r="N6" s="4"/>
    </row>
    <row r="7" spans="1:17" ht="25" customHeight="1" x14ac:dyDescent="0.45">
      <c r="A7" s="5"/>
      <c r="B7" s="25"/>
      <c r="C7" s="155">
        <v>100</v>
      </c>
      <c r="D7" s="54">
        <f>ROUND(20*(C7-$H$3)/$H$4+100,0)</f>
        <v>156</v>
      </c>
      <c r="E7" s="54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99.87</v>
      </c>
      <c r="G7" s="56">
        <f>_xlfn.IFNA(VLOOKUP(D7,'인원 입력 기능(국수)'!$F$5:$I$103,4,FALSE),0)</f>
        <v>901</v>
      </c>
      <c r="H7" s="57">
        <f>G7/$J$3</f>
        <v>2.6936208123314619E-3</v>
      </c>
      <c r="I7" s="58">
        <f>G7</f>
        <v>901</v>
      </c>
      <c r="J7" s="59">
        <f>I7/$J$3</f>
        <v>2.6936208123314619E-3</v>
      </c>
      <c r="K7" s="26"/>
      <c r="L7" s="15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139</v>
      </c>
    </row>
    <row r="8" spans="1:17" ht="25" customHeight="1" x14ac:dyDescent="0.45">
      <c r="A8" s="5"/>
      <c r="B8" s="25"/>
      <c r="C8" s="53">
        <v>99</v>
      </c>
      <c r="D8" s="61" t="s">
        <v>56</v>
      </c>
      <c r="E8" s="61"/>
      <c r="F8" s="62"/>
      <c r="G8" s="63"/>
      <c r="H8" s="64"/>
      <c r="I8" s="65"/>
      <c r="J8" s="66"/>
      <c r="K8" s="26"/>
      <c r="L8" s="15"/>
      <c r="N8" s="1"/>
      <c r="P8" s="1">
        <v>2</v>
      </c>
      <c r="Q8" s="1">
        <f>'표점등급&amp;절평인원 입력 기능'!C14</f>
        <v>128</v>
      </c>
    </row>
    <row r="9" spans="1:17" ht="25" customHeight="1" x14ac:dyDescent="0.45">
      <c r="A9" s="5"/>
      <c r="B9" s="25"/>
      <c r="C9" s="60">
        <v>98</v>
      </c>
      <c r="D9" s="54">
        <f t="shared" ref="D9:D40" si="1">ROUND(20*(C9-$H$3)/$H$4+100,0)</f>
        <v>154</v>
      </c>
      <c r="E9" s="54">
        <f t="shared" si="0"/>
        <v>1</v>
      </c>
      <c r="F9" s="55">
        <f>IF(I8=0,ROUND(100*(1-(I7+I9)/2/$J$3),2),ROUND(100*(1-(I8+I9)/2/$J$3),2))</f>
        <v>99.73</v>
      </c>
      <c r="G9" s="56">
        <f>_xlfn.IFNA(VLOOKUP(D9,'인원 입력 기능(국수)'!$F$5:$I$103,4,FALSE),0)</f>
        <v>32</v>
      </c>
      <c r="H9" s="57">
        <f>G9/$J$3</f>
        <v>9.5666887896344923E-5</v>
      </c>
      <c r="I9" s="67">
        <f>SUM($G$7:G9)</f>
        <v>933</v>
      </c>
      <c r="J9" s="59">
        <f>I9/$J$3</f>
        <v>2.7892877002278068E-3</v>
      </c>
      <c r="K9" s="26"/>
      <c r="L9" s="15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117</v>
      </c>
    </row>
    <row r="10" spans="1:17" ht="25" customHeight="1" x14ac:dyDescent="0.45">
      <c r="A10" s="5"/>
      <c r="B10" s="25"/>
      <c r="C10" s="60">
        <v>97</v>
      </c>
      <c r="D10" s="54">
        <f t="shared" si="1"/>
        <v>153</v>
      </c>
      <c r="E10" s="54">
        <f t="shared" si="0"/>
        <v>1</v>
      </c>
      <c r="F10" s="55">
        <f t="shared" ref="F10:F73" si="3">IF(I9=0,ROUND(100*(1-(I8+I10)/2/$J$3),2),ROUND(100*(1-(I9+I10)/2/$J$3),2))</f>
        <v>99.71</v>
      </c>
      <c r="G10" s="56">
        <f>IF(D10=D9,"",_xlfn.IFNA(VLOOKUP(D10,'인원 입력 기능(국수)'!$F$5:$I$103,4,FALSE),0))</f>
        <v>105</v>
      </c>
      <c r="H10" s="57">
        <f t="shared" ref="H10:H73" si="4">G10/$J$3</f>
        <v>3.139069759098818E-4</v>
      </c>
      <c r="I10" s="67">
        <f>SUM($G$7:G10)</f>
        <v>1038</v>
      </c>
      <c r="J10" s="59">
        <f t="shared" ref="J10:J73" si="5">I10/$J$3</f>
        <v>3.1031946761376885E-3</v>
      </c>
      <c r="K10" s="26"/>
      <c r="L10" s="15" t="str">
        <f t="shared" si="2"/>
        <v/>
      </c>
      <c r="N10" s="1"/>
      <c r="P10" s="1">
        <v>4</v>
      </c>
      <c r="Q10" s="1">
        <f>'표점등급&amp;절평인원 입력 기능'!C16</f>
        <v>103</v>
      </c>
    </row>
    <row r="11" spans="1:17" ht="25" customHeight="1" x14ac:dyDescent="0.45">
      <c r="A11" s="5"/>
      <c r="B11" s="25"/>
      <c r="C11" s="60">
        <v>96</v>
      </c>
      <c r="D11" s="54">
        <f t="shared" si="1"/>
        <v>152</v>
      </c>
      <c r="E11" s="54">
        <f t="shared" si="0"/>
        <v>1</v>
      </c>
      <c r="F11" s="55">
        <f t="shared" si="3"/>
        <v>99.51</v>
      </c>
      <c r="G11" s="56">
        <f>IF(D11=D10,"",_xlfn.IFNA(VLOOKUP(D11,'인원 입력 기능(국수)'!$F$5:$I$103,4,FALSE),0))</f>
        <v>1206</v>
      </c>
      <c r="H11" s="57">
        <f t="shared" si="4"/>
        <v>3.6054458375934994E-3</v>
      </c>
      <c r="I11" s="67">
        <f>SUM($G$7:G11)</f>
        <v>2244</v>
      </c>
      <c r="J11" s="59">
        <f t="shared" si="5"/>
        <v>6.7086405137311879E-3</v>
      </c>
      <c r="K11" s="26"/>
      <c r="L11" s="15" t="str">
        <f t="shared" si="2"/>
        <v/>
      </c>
      <c r="N11" s="1"/>
      <c r="P11" s="1">
        <v>5</v>
      </c>
      <c r="Q11" s="1">
        <f>'표점등급&amp;절평인원 입력 기능'!C17</f>
        <v>91</v>
      </c>
    </row>
    <row r="12" spans="1:17" ht="25" customHeight="1" x14ac:dyDescent="0.45">
      <c r="A12" s="5"/>
      <c r="B12" s="25"/>
      <c r="C12" s="60">
        <v>95</v>
      </c>
      <c r="D12" s="54">
        <f t="shared" si="1"/>
        <v>151</v>
      </c>
      <c r="E12" s="54">
        <f t="shared" si="0"/>
        <v>1</v>
      </c>
      <c r="F12" s="55">
        <f t="shared" si="3"/>
        <v>99.33</v>
      </c>
      <c r="G12" s="56">
        <f>IF(D12=D11,"",_xlfn.IFNA(VLOOKUP(D12,'인원 입력 기능(국수)'!$F$5:$I$103,4,FALSE),0))</f>
        <v>5</v>
      </c>
      <c r="H12" s="57">
        <f t="shared" si="4"/>
        <v>1.4947951233803895E-5</v>
      </c>
      <c r="I12" s="67">
        <f>SUM($G$7:G12)</f>
        <v>2249</v>
      </c>
      <c r="J12" s="59">
        <f t="shared" si="5"/>
        <v>6.7235884649649918E-3</v>
      </c>
      <c r="K12" s="26"/>
      <c r="L12" s="15" t="str">
        <f t="shared" si="2"/>
        <v/>
      </c>
      <c r="N12" s="1"/>
      <c r="P12" s="1">
        <v>6</v>
      </c>
      <c r="Q12" s="1">
        <f>'표점등급&amp;절평인원 입력 기능'!C18</f>
        <v>81</v>
      </c>
    </row>
    <row r="13" spans="1:17" ht="25" customHeight="1" x14ac:dyDescent="0.45">
      <c r="A13" s="5"/>
      <c r="B13" s="25"/>
      <c r="C13" s="60">
        <v>94</v>
      </c>
      <c r="D13" s="54">
        <f t="shared" si="1"/>
        <v>150</v>
      </c>
      <c r="E13" s="54">
        <f t="shared" si="0"/>
        <v>1</v>
      </c>
      <c r="F13" s="55">
        <f t="shared" si="3"/>
        <v>99.31</v>
      </c>
      <c r="G13" s="56">
        <f>IF(D13=D12,"",_xlfn.IFNA(VLOOKUP(D13,'인원 입력 기능(국수)'!$F$5:$I$103,4,FALSE),0))</f>
        <v>92</v>
      </c>
      <c r="H13" s="57">
        <f t="shared" si="4"/>
        <v>2.7504230270199165E-4</v>
      </c>
      <c r="I13" s="67">
        <f>SUM($G$7:G13)</f>
        <v>2341</v>
      </c>
      <c r="J13" s="59">
        <f t="shared" si="5"/>
        <v>6.9986307676669834E-3</v>
      </c>
      <c r="K13" s="26"/>
      <c r="L13" s="15" t="str">
        <f t="shared" si="2"/>
        <v/>
      </c>
      <c r="N13" s="1"/>
      <c r="P13" s="1">
        <v>7</v>
      </c>
      <c r="Q13" s="1">
        <f>'표점등급&amp;절평인원 입력 기능'!C19</f>
        <v>77</v>
      </c>
    </row>
    <row r="14" spans="1:17" ht="25" customHeight="1" x14ac:dyDescent="0.45">
      <c r="A14" s="5"/>
      <c r="B14" s="25"/>
      <c r="C14" s="60">
        <v>93</v>
      </c>
      <c r="D14" s="186">
        <f t="shared" si="1"/>
        <v>149</v>
      </c>
      <c r="E14" s="186">
        <f t="shared" si="0"/>
        <v>1</v>
      </c>
      <c r="F14" s="180">
        <f t="shared" si="3"/>
        <v>99</v>
      </c>
      <c r="G14" s="182">
        <f>IF(D14=D13,"",_xlfn.IFNA(VLOOKUP(D14,'인원 입력 기능(국수)'!$F$5:$I$103,4,FALSE),0))</f>
        <v>1991</v>
      </c>
      <c r="H14" s="184">
        <f t="shared" si="4"/>
        <v>5.952274181300711E-3</v>
      </c>
      <c r="I14" s="188">
        <f>SUM($G$7:G14)</f>
        <v>4332</v>
      </c>
      <c r="J14" s="176">
        <f t="shared" si="5"/>
        <v>1.2950904948967695E-2</v>
      </c>
      <c r="K14" s="26"/>
      <c r="L14" s="15" t="str">
        <f t="shared" si="2"/>
        <v/>
      </c>
      <c r="N14" s="1"/>
      <c r="P14" s="1">
        <v>8</v>
      </c>
      <c r="Q14" s="1">
        <f>'표점등급&amp;절평인원 입력 기능'!C20</f>
        <v>74</v>
      </c>
    </row>
    <row r="15" spans="1:17" ht="25" customHeight="1" x14ac:dyDescent="0.45">
      <c r="A15" s="5"/>
      <c r="B15" s="25"/>
      <c r="C15" s="60">
        <v>92</v>
      </c>
      <c r="D15" s="187"/>
      <c r="E15" s="187"/>
      <c r="F15" s="181"/>
      <c r="G15" s="183"/>
      <c r="H15" s="185"/>
      <c r="I15" s="189"/>
      <c r="J15" s="177"/>
      <c r="K15" s="26"/>
      <c r="L15" s="15" t="str">
        <f t="shared" si="2"/>
        <v>경고</v>
      </c>
      <c r="N15" s="1"/>
      <c r="P15" s="1">
        <v>9</v>
      </c>
    </row>
    <row r="16" spans="1:17" ht="25" customHeight="1" x14ac:dyDescent="0.45">
      <c r="A16" s="5"/>
      <c r="B16" s="25"/>
      <c r="C16" s="60">
        <v>91</v>
      </c>
      <c r="D16" s="54">
        <f t="shared" si="1"/>
        <v>148</v>
      </c>
      <c r="E16" s="54">
        <f t="shared" si="0"/>
        <v>1</v>
      </c>
      <c r="F16" s="55">
        <f t="shared" si="3"/>
        <v>98.7</v>
      </c>
      <c r="G16" s="56">
        <f>IF(D16=D15,"",_xlfn.IFNA(VLOOKUP(D16,'인원 입력 기능(국수)'!$F$5:$I$103,4,FALSE),0))</f>
        <v>14</v>
      </c>
      <c r="H16" s="57">
        <f t="shared" si="4"/>
        <v>4.1854263454650907E-5</v>
      </c>
      <c r="I16" s="67">
        <f>SUM($G$7:G16)</f>
        <v>4346</v>
      </c>
      <c r="J16" s="59">
        <f t="shared" si="5"/>
        <v>1.2992759212422345E-2</v>
      </c>
      <c r="K16" s="26"/>
      <c r="L16" s="15" t="str">
        <f t="shared" si="2"/>
        <v/>
      </c>
      <c r="N16" s="1"/>
    </row>
    <row r="17" spans="1:17" ht="25" customHeight="1" x14ac:dyDescent="0.45">
      <c r="A17" s="5"/>
      <c r="B17" s="25"/>
      <c r="C17" s="60">
        <v>90</v>
      </c>
      <c r="D17" s="54">
        <f t="shared" si="1"/>
        <v>147</v>
      </c>
      <c r="E17" s="54">
        <f t="shared" si="0"/>
        <v>1</v>
      </c>
      <c r="F17" s="55">
        <f t="shared" si="3"/>
        <v>98.68</v>
      </c>
      <c r="G17" s="56">
        <f>IF(D17=D16,"",_xlfn.IFNA(VLOOKUP(D17,'인원 입력 기능(국수)'!$F$5:$I$103,4,FALSE),0))</f>
        <v>111</v>
      </c>
      <c r="H17" s="57">
        <f t="shared" si="4"/>
        <v>3.3184451739044649E-4</v>
      </c>
      <c r="I17" s="67">
        <f>SUM($G$7:G17)</f>
        <v>4457</v>
      </c>
      <c r="J17" s="59">
        <f t="shared" si="5"/>
        <v>1.3324603729812793E-2</v>
      </c>
      <c r="K17" s="26"/>
      <c r="L17" s="15" t="str">
        <f t="shared" si="2"/>
        <v/>
      </c>
      <c r="N17" s="1"/>
      <c r="Q17" s="1">
        <f>Q7*H3*H4*J3*IFERROR(IF(J107=1, 1, 0), 0)</f>
        <v>39462589539.763199</v>
      </c>
    </row>
    <row r="18" spans="1:17" ht="25" customHeight="1" x14ac:dyDescent="0.45">
      <c r="A18" s="5"/>
      <c r="B18" s="25"/>
      <c r="C18" s="60">
        <v>89</v>
      </c>
      <c r="D18" s="54">
        <f t="shared" si="1"/>
        <v>146</v>
      </c>
      <c r="E18" s="54">
        <f t="shared" si="0"/>
        <v>1</v>
      </c>
      <c r="F18" s="55">
        <f t="shared" si="3"/>
        <v>98.6</v>
      </c>
      <c r="G18" s="56">
        <f>IF(D18=D17,"",_xlfn.IFNA(VLOOKUP(D18,'인원 입력 기능(국수)'!$F$5:$I$103,4,FALSE),0))</f>
        <v>435</v>
      </c>
      <c r="H18" s="57">
        <f t="shared" si="4"/>
        <v>1.3004717573409388E-3</v>
      </c>
      <c r="I18" s="67">
        <f>SUM($G$7:G18)</f>
        <v>4892</v>
      </c>
      <c r="J18" s="59">
        <f t="shared" si="5"/>
        <v>1.462507548715373E-2</v>
      </c>
      <c r="K18" s="26"/>
      <c r="L18" s="15" t="str">
        <f t="shared" si="2"/>
        <v/>
      </c>
      <c r="N18" s="1"/>
    </row>
    <row r="19" spans="1:17" ht="25" customHeight="1" x14ac:dyDescent="0.45">
      <c r="A19" s="5"/>
      <c r="B19" s="25"/>
      <c r="C19" s="60">
        <v>88</v>
      </c>
      <c r="D19" s="54">
        <f t="shared" si="1"/>
        <v>145</v>
      </c>
      <c r="E19" s="69">
        <f t="shared" si="0"/>
        <v>1</v>
      </c>
      <c r="F19" s="55">
        <f t="shared" si="3"/>
        <v>98.13</v>
      </c>
      <c r="G19" s="56">
        <f>IF(D19=D18,"",_xlfn.IFNA(VLOOKUP(D19,'인원 입력 기능(국수)'!$F$5:$I$103,4,FALSE),0))</f>
        <v>2757</v>
      </c>
      <c r="H19" s="57">
        <f t="shared" si="4"/>
        <v>8.2423003103194673E-3</v>
      </c>
      <c r="I19" s="67">
        <f>SUM($G$7:G19)</f>
        <v>7649</v>
      </c>
      <c r="J19" s="59">
        <f t="shared" si="5"/>
        <v>2.2867375797473197E-2</v>
      </c>
      <c r="K19" s="26"/>
      <c r="L19" s="15" t="str">
        <f t="shared" si="2"/>
        <v/>
      </c>
      <c r="N19" s="1"/>
    </row>
    <row r="20" spans="1:17" ht="25" customHeight="1" x14ac:dyDescent="0.45">
      <c r="A20" s="5"/>
      <c r="B20" s="25"/>
      <c r="C20" s="60">
        <v>87</v>
      </c>
      <c r="D20" s="54">
        <f t="shared" si="1"/>
        <v>144</v>
      </c>
      <c r="E20" s="69">
        <f t="shared" si="0"/>
        <v>1</v>
      </c>
      <c r="F20" s="55">
        <f t="shared" si="3"/>
        <v>97.71</v>
      </c>
      <c r="G20" s="56">
        <f>IF(D20=D19,"",_xlfn.IFNA(VLOOKUP(D20,'인원 입력 기능(국수)'!$F$5:$I$103,4,FALSE),0))</f>
        <v>53</v>
      </c>
      <c r="H20" s="57">
        <f t="shared" si="4"/>
        <v>1.5844828307832128E-4</v>
      </c>
      <c r="I20" s="67">
        <f>SUM($G$7:G20)</f>
        <v>7702</v>
      </c>
      <c r="J20" s="59">
        <f t="shared" si="5"/>
        <v>2.3025824080551521E-2</v>
      </c>
      <c r="K20" s="26"/>
      <c r="L20" s="15" t="str">
        <f t="shared" si="2"/>
        <v/>
      </c>
      <c r="N20" s="1"/>
    </row>
    <row r="21" spans="1:17" ht="25" customHeight="1" x14ac:dyDescent="0.45">
      <c r="A21" s="5"/>
      <c r="B21" s="25"/>
      <c r="C21" s="60">
        <v>86</v>
      </c>
      <c r="D21" s="54">
        <f t="shared" si="1"/>
        <v>143</v>
      </c>
      <c r="E21" s="69">
        <f t="shared" si="0"/>
        <v>1</v>
      </c>
      <c r="F21" s="55">
        <f t="shared" si="3"/>
        <v>97.66</v>
      </c>
      <c r="G21" s="56">
        <f>IF(D21=D20,"",_xlfn.IFNA(VLOOKUP(D21,'인원 입력 기능(국수)'!$F$5:$I$103,4,FALSE),0))</f>
        <v>241</v>
      </c>
      <c r="H21" s="57">
        <f t="shared" si="4"/>
        <v>7.2049124946934771E-4</v>
      </c>
      <c r="I21" s="67">
        <f>SUM($G$7:G21)</f>
        <v>7943</v>
      </c>
      <c r="J21" s="59">
        <f t="shared" si="5"/>
        <v>2.3746315330020869E-2</v>
      </c>
      <c r="K21" s="26"/>
      <c r="L21" s="15" t="str">
        <f t="shared" si="2"/>
        <v/>
      </c>
      <c r="N21" s="1"/>
    </row>
    <row r="22" spans="1:17" ht="25" customHeight="1" x14ac:dyDescent="0.45">
      <c r="A22" s="5"/>
      <c r="B22" s="25"/>
      <c r="C22" s="60">
        <v>85</v>
      </c>
      <c r="D22" s="54">
        <f t="shared" si="1"/>
        <v>142</v>
      </c>
      <c r="E22" s="69">
        <f t="shared" si="0"/>
        <v>1</v>
      </c>
      <c r="F22" s="55">
        <f t="shared" si="3"/>
        <v>97.49</v>
      </c>
      <c r="G22" s="56">
        <f>IF(D22=D21,"",_xlfn.IFNA(VLOOKUP(D22,'인원 입력 기능(국수)'!$F$5:$I$103,4,FALSE),0))</f>
        <v>935</v>
      </c>
      <c r="H22" s="57">
        <f t="shared" si="4"/>
        <v>2.7952668807213281E-3</v>
      </c>
      <c r="I22" s="67">
        <f>SUM($G$7:G22)</f>
        <v>8878</v>
      </c>
      <c r="J22" s="59">
        <f t="shared" si="5"/>
        <v>2.6541582210742196E-2</v>
      </c>
      <c r="K22" s="26"/>
      <c r="L22" s="15" t="str">
        <f t="shared" si="2"/>
        <v/>
      </c>
      <c r="N22" s="1"/>
    </row>
    <row r="23" spans="1:17" ht="25" customHeight="1" x14ac:dyDescent="0.45">
      <c r="A23" s="5"/>
      <c r="B23" s="25"/>
      <c r="C23" s="60">
        <v>84</v>
      </c>
      <c r="D23" s="54">
        <f t="shared" si="1"/>
        <v>141</v>
      </c>
      <c r="E23" s="69">
        <f t="shared" si="0"/>
        <v>1</v>
      </c>
      <c r="F23" s="55">
        <f t="shared" si="3"/>
        <v>96.84</v>
      </c>
      <c r="G23" s="56">
        <f>IF(D23=D22,"",_xlfn.IFNA(VLOOKUP(D23,'인원 입력 기능(국수)'!$F$5:$I$103,4,FALSE),0))</f>
        <v>3413</v>
      </c>
      <c r="H23" s="57">
        <f t="shared" si="4"/>
        <v>1.0203471512194539E-2</v>
      </c>
      <c r="I23" s="67">
        <f>SUM($G$7:G23)</f>
        <v>12291</v>
      </c>
      <c r="J23" s="59">
        <f t="shared" si="5"/>
        <v>3.6745053722936731E-2</v>
      </c>
      <c r="K23" s="26"/>
      <c r="L23" s="15" t="str">
        <f t="shared" si="2"/>
        <v/>
      </c>
      <c r="N23" s="1"/>
    </row>
    <row r="24" spans="1:17" ht="25" customHeight="1" x14ac:dyDescent="0.45">
      <c r="A24" s="5"/>
      <c r="B24" s="25"/>
      <c r="C24" s="68">
        <v>83</v>
      </c>
      <c r="D24" s="69">
        <f t="shared" si="1"/>
        <v>140</v>
      </c>
      <c r="E24" s="69">
        <f t="shared" si="0"/>
        <v>1</v>
      </c>
      <c r="F24" s="55">
        <f t="shared" si="3"/>
        <v>96.31</v>
      </c>
      <c r="G24" s="56">
        <f>IF(D24=D23,"",_xlfn.IFNA(VLOOKUP(D24,'인원 입력 기능(국수)'!$F$5:$I$103,4,FALSE),0))</f>
        <v>90</v>
      </c>
      <c r="H24" s="57">
        <f t="shared" si="4"/>
        <v>2.6906312220847012E-4</v>
      </c>
      <c r="I24" s="70">
        <f>SUM($G$7:G24)</f>
        <v>12381</v>
      </c>
      <c r="J24" s="59">
        <f t="shared" si="5"/>
        <v>3.7014116845145204E-2</v>
      </c>
      <c r="K24" s="26"/>
      <c r="L24" s="15" t="str">
        <f t="shared" si="2"/>
        <v/>
      </c>
      <c r="N24" s="1"/>
    </row>
    <row r="25" spans="1:17" ht="25" customHeight="1" x14ac:dyDescent="0.45">
      <c r="A25" s="5"/>
      <c r="B25" s="25"/>
      <c r="C25" s="68">
        <v>82</v>
      </c>
      <c r="D25" s="178">
        <f t="shared" si="1"/>
        <v>139</v>
      </c>
      <c r="E25" s="178">
        <f t="shared" si="0"/>
        <v>1</v>
      </c>
      <c r="F25" s="180">
        <f t="shared" si="3"/>
        <v>96.04</v>
      </c>
      <c r="G25" s="182">
        <f>IF(D25=D24,"",_xlfn.IFNA(VLOOKUP(D25,'인원 입력 기능(국수)'!$F$5:$I$103,4,FALSE),0))</f>
        <v>1756</v>
      </c>
      <c r="H25" s="184">
        <f t="shared" si="4"/>
        <v>5.2497204733119281E-3</v>
      </c>
      <c r="I25" s="174">
        <f>SUM($G$7:G25)</f>
        <v>14137</v>
      </c>
      <c r="J25" s="176">
        <f t="shared" si="5"/>
        <v>4.2263837318457134E-2</v>
      </c>
      <c r="K25" s="26"/>
      <c r="L25" s="15" t="str">
        <f t="shared" si="2"/>
        <v/>
      </c>
      <c r="N25" s="1"/>
    </row>
    <row r="26" spans="1:17" ht="25" customHeight="1" x14ac:dyDescent="0.45">
      <c r="A26" s="5"/>
      <c r="B26" s="25"/>
      <c r="C26" s="68">
        <v>81</v>
      </c>
      <c r="D26" s="179"/>
      <c r="E26" s="179"/>
      <c r="F26" s="181"/>
      <c r="G26" s="183"/>
      <c r="H26" s="185"/>
      <c r="I26" s="175"/>
      <c r="J26" s="177"/>
      <c r="K26" s="26"/>
      <c r="L26" s="15" t="str">
        <f t="shared" si="2"/>
        <v>경고</v>
      </c>
      <c r="N26" s="1"/>
    </row>
    <row r="27" spans="1:17" ht="25" customHeight="1" x14ac:dyDescent="0.45">
      <c r="A27" s="5"/>
      <c r="B27" s="25"/>
      <c r="C27" s="68">
        <v>80</v>
      </c>
      <c r="D27" s="69">
        <f t="shared" si="1"/>
        <v>138</v>
      </c>
      <c r="E27" s="69">
        <f t="shared" si="0"/>
        <v>2</v>
      </c>
      <c r="F27" s="55">
        <f t="shared" si="3"/>
        <v>95.21</v>
      </c>
      <c r="G27" s="56">
        <f>IF(D27=D26,"",_xlfn.IFNA(VLOOKUP(D27,'인원 입력 기능(국수)'!$F$5:$I$103,4,FALSE),0))</f>
        <v>3789</v>
      </c>
      <c r="H27" s="57">
        <f t="shared" si="4"/>
        <v>1.1327557444976592E-2</v>
      </c>
      <c r="I27" s="70">
        <f>SUM($G$7:G27)</f>
        <v>17926</v>
      </c>
      <c r="J27" s="59">
        <f t="shared" si="5"/>
        <v>5.3591394763433726E-2</v>
      </c>
      <c r="K27" s="26"/>
      <c r="L27" s="15" t="str">
        <f t="shared" si="2"/>
        <v/>
      </c>
      <c r="N27" s="1"/>
    </row>
    <row r="28" spans="1:17" ht="25" customHeight="1" x14ac:dyDescent="0.45">
      <c r="A28" s="5"/>
      <c r="B28" s="25"/>
      <c r="C28" s="68">
        <v>79</v>
      </c>
      <c r="D28" s="69">
        <f t="shared" si="1"/>
        <v>137</v>
      </c>
      <c r="E28" s="69">
        <f t="shared" si="0"/>
        <v>2</v>
      </c>
      <c r="F28" s="55">
        <f t="shared" si="3"/>
        <v>94.62</v>
      </c>
      <c r="G28" s="56">
        <f>IF(D28=D27,"",_xlfn.IFNA(VLOOKUP(D28,'인원 입력 기능(국수)'!$F$5:$I$103,4,FALSE),0))</f>
        <v>164</v>
      </c>
      <c r="H28" s="57">
        <f t="shared" si="4"/>
        <v>4.902928004687678E-4</v>
      </c>
      <c r="I28" s="70">
        <f>SUM($G$7:G28)</f>
        <v>18090</v>
      </c>
      <c r="J28" s="59">
        <f t="shared" si="5"/>
        <v>5.408168756390249E-2</v>
      </c>
      <c r="K28" s="26"/>
      <c r="L28" s="15" t="str">
        <f t="shared" si="2"/>
        <v/>
      </c>
      <c r="N28" s="1"/>
    </row>
    <row r="29" spans="1:17" ht="25" customHeight="1" x14ac:dyDescent="0.45">
      <c r="A29" s="5"/>
      <c r="B29" s="25"/>
      <c r="C29" s="68">
        <v>78</v>
      </c>
      <c r="D29" s="69">
        <f t="shared" si="1"/>
        <v>136</v>
      </c>
      <c r="E29" s="69">
        <f t="shared" si="0"/>
        <v>2</v>
      </c>
      <c r="F29" s="55">
        <f t="shared" si="3"/>
        <v>94.49</v>
      </c>
      <c r="G29" s="56">
        <f>IF(D29=D28,"",_xlfn.IFNA(VLOOKUP(D29,'인원 입력 기능(국수)'!$F$5:$I$103,4,FALSE),0))</f>
        <v>650</v>
      </c>
      <c r="H29" s="57">
        <f t="shared" si="4"/>
        <v>1.9432336603945064E-3</v>
      </c>
      <c r="I29" s="70">
        <f>SUM($G$7:G29)</f>
        <v>18740</v>
      </c>
      <c r="J29" s="59">
        <f t="shared" si="5"/>
        <v>5.6024921224296996E-2</v>
      </c>
      <c r="K29" s="26"/>
      <c r="L29" s="15" t="str">
        <f t="shared" si="2"/>
        <v/>
      </c>
      <c r="N29" s="1"/>
    </row>
    <row r="30" spans="1:17" ht="25" customHeight="1" x14ac:dyDescent="0.45">
      <c r="A30" s="5"/>
      <c r="B30" s="25"/>
      <c r="C30" s="68">
        <v>77</v>
      </c>
      <c r="D30" s="69">
        <f t="shared" si="1"/>
        <v>135</v>
      </c>
      <c r="E30" s="69">
        <f t="shared" si="0"/>
        <v>2</v>
      </c>
      <c r="F30" s="55">
        <f t="shared" si="3"/>
        <v>94.08</v>
      </c>
      <c r="G30" s="56">
        <f>IF(D30=D29,"",_xlfn.IFNA(VLOOKUP(D30,'인원 입력 기능(국수)'!$F$5:$I$103,4,FALSE),0))</f>
        <v>2091</v>
      </c>
      <c r="H30" s="57">
        <f t="shared" si="4"/>
        <v>6.2512332059767887E-3</v>
      </c>
      <c r="I30" s="70">
        <f>SUM($G$7:G30)</f>
        <v>20831</v>
      </c>
      <c r="J30" s="59">
        <f t="shared" si="5"/>
        <v>6.2276154430273789E-2</v>
      </c>
      <c r="K30" s="26"/>
      <c r="L30" s="15" t="str">
        <f t="shared" si="2"/>
        <v/>
      </c>
      <c r="N30" s="1"/>
    </row>
    <row r="31" spans="1:17" ht="25" customHeight="1" x14ac:dyDescent="0.45">
      <c r="A31" s="5"/>
      <c r="B31" s="25"/>
      <c r="C31" s="68">
        <v>76</v>
      </c>
      <c r="D31" s="69">
        <f t="shared" si="1"/>
        <v>134</v>
      </c>
      <c r="E31" s="69">
        <f t="shared" si="0"/>
        <v>2</v>
      </c>
      <c r="F31" s="55">
        <f t="shared" si="3"/>
        <v>93.16</v>
      </c>
      <c r="G31" s="56">
        <f>IF(D31=D30,"",_xlfn.IFNA(VLOOKUP(D31,'인원 입력 기능(국수)'!$F$5:$I$103,4,FALSE),0))</f>
        <v>4077</v>
      </c>
      <c r="H31" s="57">
        <f t="shared" si="4"/>
        <v>1.2188559436043696E-2</v>
      </c>
      <c r="I31" s="70">
        <f>SUM($G$7:G31)</f>
        <v>24908</v>
      </c>
      <c r="J31" s="59">
        <f t="shared" si="5"/>
        <v>7.4464713866317478E-2</v>
      </c>
      <c r="K31" s="26"/>
      <c r="L31" s="15" t="str">
        <f t="shared" si="2"/>
        <v/>
      </c>
      <c r="N31" s="1"/>
    </row>
    <row r="32" spans="1:17" ht="25" customHeight="1" x14ac:dyDescent="0.45">
      <c r="A32" s="5"/>
      <c r="B32" s="25"/>
      <c r="C32" s="68">
        <v>75</v>
      </c>
      <c r="D32" s="69">
        <f t="shared" si="1"/>
        <v>133</v>
      </c>
      <c r="E32" s="69">
        <f t="shared" si="0"/>
        <v>2</v>
      </c>
      <c r="F32" s="55">
        <f t="shared" si="3"/>
        <v>92.52</v>
      </c>
      <c r="G32" s="56">
        <f>IF(D32=D31,"",_xlfn.IFNA(VLOOKUP(D32,'인원 입력 기능(국수)'!$F$5:$I$103,4,FALSE),0))</f>
        <v>243</v>
      </c>
      <c r="H32" s="57">
        <f t="shared" si="4"/>
        <v>7.2647042996286924E-4</v>
      </c>
      <c r="I32" s="70">
        <f>SUM($G$7:G32)</f>
        <v>25151</v>
      </c>
      <c r="J32" s="59">
        <f t="shared" si="5"/>
        <v>7.5191184296280356E-2</v>
      </c>
      <c r="K32" s="26"/>
      <c r="L32" s="15" t="str">
        <f t="shared" si="2"/>
        <v/>
      </c>
      <c r="N32" s="1"/>
    </row>
    <row r="33" spans="1:14" ht="25" customHeight="1" x14ac:dyDescent="0.45">
      <c r="A33" s="5"/>
      <c r="B33" s="25"/>
      <c r="C33" s="68">
        <v>74</v>
      </c>
      <c r="D33" s="69">
        <f t="shared" si="1"/>
        <v>132</v>
      </c>
      <c r="E33" s="69">
        <f t="shared" si="0"/>
        <v>2</v>
      </c>
      <c r="F33" s="55">
        <f t="shared" si="3"/>
        <v>92.33</v>
      </c>
      <c r="G33" s="56">
        <f>IF(D33=D32,"",_xlfn.IFNA(VLOOKUP(D33,'인원 입력 기능(국수)'!$F$5:$I$103,4,FALSE),0))</f>
        <v>977</v>
      </c>
      <c r="H33" s="57">
        <f t="shared" si="4"/>
        <v>2.9208296710852809E-3</v>
      </c>
      <c r="I33" s="70">
        <f>SUM($G$7:G33)</f>
        <v>26128</v>
      </c>
      <c r="J33" s="59">
        <f t="shared" si="5"/>
        <v>7.8112013967365626E-2</v>
      </c>
      <c r="K33" s="26"/>
      <c r="L33" s="15" t="str">
        <f t="shared" si="2"/>
        <v/>
      </c>
      <c r="N33" s="1"/>
    </row>
    <row r="34" spans="1:14" ht="25" customHeight="1" x14ac:dyDescent="0.45">
      <c r="A34" s="5"/>
      <c r="B34" s="25"/>
      <c r="C34" s="68">
        <v>73</v>
      </c>
      <c r="D34" s="69">
        <f t="shared" si="1"/>
        <v>131</v>
      </c>
      <c r="E34" s="69">
        <f t="shared" si="0"/>
        <v>2</v>
      </c>
      <c r="F34" s="55">
        <f t="shared" si="3"/>
        <v>91.78</v>
      </c>
      <c r="G34" s="56">
        <f>IF(D34=D33,"",_xlfn.IFNA(VLOOKUP(D34,'인원 입력 기능(국수)'!$F$5:$I$103,4,FALSE),0))</f>
        <v>2758</v>
      </c>
      <c r="H34" s="57">
        <f t="shared" si="4"/>
        <v>8.2452899005662286E-3</v>
      </c>
      <c r="I34" s="70">
        <f>SUM($G$7:G34)</f>
        <v>28886</v>
      </c>
      <c r="J34" s="59">
        <f t="shared" si="5"/>
        <v>8.6357303867931862E-2</v>
      </c>
      <c r="K34" s="26"/>
      <c r="L34" s="15" t="str">
        <f t="shared" si="2"/>
        <v/>
      </c>
      <c r="N34" s="1"/>
    </row>
    <row r="35" spans="1:14" ht="25" customHeight="1" x14ac:dyDescent="0.45">
      <c r="A35" s="5"/>
      <c r="B35" s="25"/>
      <c r="C35" s="68">
        <v>72</v>
      </c>
      <c r="D35" s="69">
        <f t="shared" si="1"/>
        <v>130</v>
      </c>
      <c r="E35" s="69">
        <f t="shared" si="0"/>
        <v>2</v>
      </c>
      <c r="F35" s="55">
        <f t="shared" si="3"/>
        <v>90.76</v>
      </c>
      <c r="G35" s="56">
        <f>IF(D35=D34,"",_xlfn.IFNA(VLOOKUP(D35,'인원 입력 기능(국수)'!$F$5:$I$103,4,FALSE),0))</f>
        <v>4073</v>
      </c>
      <c r="H35" s="57">
        <f t="shared" si="4"/>
        <v>1.2176601075056652E-2</v>
      </c>
      <c r="I35" s="70">
        <f>SUM($G$7:G35)</f>
        <v>32959</v>
      </c>
      <c r="J35" s="59">
        <f t="shared" si="5"/>
        <v>9.8533904942988512E-2</v>
      </c>
      <c r="K35" s="26"/>
      <c r="L35" s="15" t="str">
        <f t="shared" si="2"/>
        <v/>
      </c>
      <c r="N35" s="1"/>
    </row>
    <row r="36" spans="1:14" ht="25" customHeight="1" x14ac:dyDescent="0.45">
      <c r="A36" s="5"/>
      <c r="B36" s="25"/>
      <c r="C36" s="68">
        <v>71</v>
      </c>
      <c r="D36" s="178">
        <f t="shared" si="1"/>
        <v>129</v>
      </c>
      <c r="E36" s="178">
        <f t="shared" si="0"/>
        <v>2</v>
      </c>
      <c r="F36" s="180">
        <f t="shared" si="3"/>
        <v>89.86</v>
      </c>
      <c r="G36" s="182">
        <f>IF(D36=D35,"",_xlfn.IFNA(VLOOKUP(D36,'인원 입력 기능(국수)'!$F$5:$I$103,4,FALSE),0))</f>
        <v>1886</v>
      </c>
      <c r="H36" s="184">
        <f t="shared" si="4"/>
        <v>5.6383672053908294E-3</v>
      </c>
      <c r="I36" s="174">
        <f>SUM($G$7:G36)</f>
        <v>34845</v>
      </c>
      <c r="J36" s="176">
        <f t="shared" si="5"/>
        <v>0.10417227214837935</v>
      </c>
      <c r="K36" s="26"/>
      <c r="L36" s="15" t="str">
        <f t="shared" si="2"/>
        <v>경고</v>
      </c>
      <c r="N36" s="1"/>
    </row>
    <row r="37" spans="1:14" ht="25" customHeight="1" x14ac:dyDescent="0.45">
      <c r="A37" s="5"/>
      <c r="B37" s="25"/>
      <c r="C37" s="68">
        <v>70</v>
      </c>
      <c r="D37" s="179"/>
      <c r="E37" s="179"/>
      <c r="F37" s="181"/>
      <c r="G37" s="183"/>
      <c r="H37" s="185"/>
      <c r="I37" s="175"/>
      <c r="J37" s="177"/>
      <c r="K37" s="26"/>
      <c r="L37" s="15" t="str">
        <f t="shared" si="2"/>
        <v>경고</v>
      </c>
      <c r="N37" s="1"/>
    </row>
    <row r="38" spans="1:14" ht="25" customHeight="1" x14ac:dyDescent="0.45">
      <c r="A38" s="5"/>
      <c r="B38" s="25"/>
      <c r="C38" s="68">
        <v>69</v>
      </c>
      <c r="D38" s="69">
        <f t="shared" si="1"/>
        <v>128</v>
      </c>
      <c r="E38" s="69">
        <f t="shared" si="0"/>
        <v>2</v>
      </c>
      <c r="F38" s="55">
        <f t="shared" si="3"/>
        <v>89.05</v>
      </c>
      <c r="G38" s="56">
        <f>IF(D38=D37,"",_xlfn.IFNA(VLOOKUP(D38,'인원 입력 기능(국수)'!$F$5:$I$103,4,FALSE),0))</f>
        <v>3579</v>
      </c>
      <c r="H38" s="57">
        <f t="shared" si="4"/>
        <v>1.0699743493156827E-2</v>
      </c>
      <c r="I38" s="70">
        <f>SUM($G$7:G38)</f>
        <v>38424</v>
      </c>
      <c r="J38" s="59">
        <f t="shared" si="5"/>
        <v>0.11487201564153617</v>
      </c>
      <c r="K38" s="26"/>
      <c r="L38" s="15" t="str">
        <f t="shared" si="2"/>
        <v/>
      </c>
      <c r="N38" s="1"/>
    </row>
    <row r="39" spans="1:14" ht="25" customHeight="1" x14ac:dyDescent="0.45">
      <c r="A39" s="5"/>
      <c r="B39" s="25"/>
      <c r="C39" s="68">
        <v>68</v>
      </c>
      <c r="D39" s="69">
        <f t="shared" si="1"/>
        <v>127</v>
      </c>
      <c r="E39" s="69">
        <f t="shared" si="0"/>
        <v>3</v>
      </c>
      <c r="F39" s="55">
        <f t="shared" si="3"/>
        <v>87.92</v>
      </c>
      <c r="G39" s="56">
        <f>IF(D39=D38,"",_xlfn.IFNA(VLOOKUP(D39,'인원 입력 기능(국수)'!$F$5:$I$103,4,FALSE),0))</f>
        <v>3990</v>
      </c>
      <c r="H39" s="57">
        <f t="shared" si="4"/>
        <v>1.1928465084575507E-2</v>
      </c>
      <c r="I39" s="70">
        <f>SUM($G$7:G39)</f>
        <v>42414</v>
      </c>
      <c r="J39" s="59">
        <f t="shared" si="5"/>
        <v>0.12680048072611169</v>
      </c>
      <c r="K39" s="26"/>
      <c r="L39" s="15" t="str">
        <f t="shared" si="2"/>
        <v/>
      </c>
      <c r="N39" s="1"/>
    </row>
    <row r="40" spans="1:14" ht="25" customHeight="1" x14ac:dyDescent="0.45">
      <c r="A40" s="5"/>
      <c r="B40" s="25"/>
      <c r="C40" s="68">
        <v>67</v>
      </c>
      <c r="D40" s="69">
        <f t="shared" si="1"/>
        <v>126</v>
      </c>
      <c r="E40" s="69">
        <f t="shared" si="0"/>
        <v>3</v>
      </c>
      <c r="F40" s="55">
        <f t="shared" si="3"/>
        <v>87.21</v>
      </c>
      <c r="G40" s="56">
        <f>IF(D40=D39,"",_xlfn.IFNA(VLOOKUP(D40,'인원 입력 기능(국수)'!$F$5:$I$103,4,FALSE),0))</f>
        <v>729</v>
      </c>
      <c r="H40" s="57">
        <f t="shared" si="4"/>
        <v>2.1794112898886079E-3</v>
      </c>
      <c r="I40" s="70">
        <f>SUM($G$7:G40)</f>
        <v>43143</v>
      </c>
      <c r="J40" s="59">
        <f t="shared" si="5"/>
        <v>0.1289798920160003</v>
      </c>
      <c r="K40" s="26"/>
      <c r="L40" s="15" t="str">
        <f t="shared" si="2"/>
        <v/>
      </c>
      <c r="N40" s="1"/>
    </row>
    <row r="41" spans="1:14" ht="25" customHeight="1" x14ac:dyDescent="0.45">
      <c r="A41" s="5"/>
      <c r="B41" s="25"/>
      <c r="C41" s="68">
        <v>66</v>
      </c>
      <c r="D41" s="69">
        <f t="shared" ref="D41:D72" si="6">ROUND(20*(C41-$H$3)/$H$4+100,0)</f>
        <v>125</v>
      </c>
      <c r="E41" s="69">
        <f t="shared" si="0"/>
        <v>3</v>
      </c>
      <c r="F41" s="55">
        <f t="shared" si="3"/>
        <v>86.77</v>
      </c>
      <c r="G41" s="56">
        <f>IF(D41=D40,"",_xlfn.IFNA(VLOOKUP(D41,'인원 입력 기능(국수)'!$F$5:$I$103,4,FALSE),0))</f>
        <v>2249</v>
      </c>
      <c r="H41" s="57">
        <f t="shared" si="4"/>
        <v>6.7235884649649918E-3</v>
      </c>
      <c r="I41" s="70">
        <f>SUM($G$7:G41)</f>
        <v>45392</v>
      </c>
      <c r="J41" s="59">
        <f t="shared" si="5"/>
        <v>0.13570348048096528</v>
      </c>
      <c r="K41" s="26"/>
      <c r="L41" s="15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25"/>
      <c r="C42" s="68">
        <v>65</v>
      </c>
      <c r="D42" s="69">
        <f t="shared" si="6"/>
        <v>124</v>
      </c>
      <c r="E42" s="69">
        <f t="shared" si="0"/>
        <v>3</v>
      </c>
      <c r="F42" s="55">
        <f t="shared" si="3"/>
        <v>85.74</v>
      </c>
      <c r="G42" s="56">
        <f>IF(D42=D41,"",_xlfn.IFNA(VLOOKUP(D42,'인원 입력 기능(국수)'!$F$5:$I$103,4,FALSE),0))</f>
        <v>4582</v>
      </c>
      <c r="H42" s="57">
        <f t="shared" si="4"/>
        <v>1.369830251065789E-2</v>
      </c>
      <c r="I42" s="70">
        <f>SUM($G$7:G42)</f>
        <v>49974</v>
      </c>
      <c r="J42" s="59">
        <f t="shared" si="5"/>
        <v>0.14940178299162316</v>
      </c>
      <c r="K42" s="26"/>
      <c r="L42" s="15" t="str">
        <f t="shared" si="7"/>
        <v/>
      </c>
      <c r="N42" s="1"/>
    </row>
    <row r="43" spans="1:14" ht="25" customHeight="1" x14ac:dyDescent="0.45">
      <c r="A43" s="5"/>
      <c r="B43" s="25"/>
      <c r="C43" s="68">
        <v>64</v>
      </c>
      <c r="D43" s="69">
        <f t="shared" si="6"/>
        <v>123</v>
      </c>
      <c r="E43" s="69">
        <f t="shared" si="0"/>
        <v>3</v>
      </c>
      <c r="F43" s="55">
        <f t="shared" si="3"/>
        <v>84.54</v>
      </c>
      <c r="G43" s="56">
        <f>IF(D43=D42,"",_xlfn.IFNA(VLOOKUP(D43,'인원 입력 기능(국수)'!$F$5:$I$103,4,FALSE),0))</f>
        <v>3501</v>
      </c>
      <c r="H43" s="57">
        <f t="shared" si="4"/>
        <v>1.0466555453909487E-2</v>
      </c>
      <c r="I43" s="70">
        <f>SUM($G$7:G43)</f>
        <v>53475</v>
      </c>
      <c r="J43" s="59">
        <f t="shared" si="5"/>
        <v>0.15986833844553267</v>
      </c>
      <c r="K43" s="26"/>
      <c r="L43" s="15" t="str">
        <f t="shared" si="7"/>
        <v/>
      </c>
      <c r="N43" s="1"/>
    </row>
    <row r="44" spans="1:14" ht="25" customHeight="1" x14ac:dyDescent="0.45">
      <c r="A44" s="5"/>
      <c r="B44" s="25"/>
      <c r="C44" s="68">
        <v>63</v>
      </c>
      <c r="D44" s="69">
        <f t="shared" si="6"/>
        <v>122</v>
      </c>
      <c r="E44" s="69">
        <f t="shared" si="0"/>
        <v>3</v>
      </c>
      <c r="F44" s="55">
        <f t="shared" si="3"/>
        <v>83.83</v>
      </c>
      <c r="G44" s="56">
        <f>IF(D44=D43,"",_xlfn.IFNA(VLOOKUP(D44,'인원 입력 기능(국수)'!$F$5:$I$103,4,FALSE),0))</f>
        <v>1240</v>
      </c>
      <c r="H44" s="57">
        <f t="shared" si="4"/>
        <v>3.7070919059833661E-3</v>
      </c>
      <c r="I44" s="70">
        <f>SUM($G$7:G44)</f>
        <v>54715</v>
      </c>
      <c r="J44" s="59">
        <f t="shared" si="5"/>
        <v>0.16357543035151603</v>
      </c>
      <c r="K44" s="26"/>
      <c r="L44" s="15" t="str">
        <f t="shared" si="7"/>
        <v/>
      </c>
      <c r="N44" s="1"/>
    </row>
    <row r="45" spans="1:14" ht="25" customHeight="1" x14ac:dyDescent="0.45">
      <c r="A45" s="5"/>
      <c r="B45" s="25"/>
      <c r="C45" s="68">
        <v>62</v>
      </c>
      <c r="D45" s="69">
        <f t="shared" si="6"/>
        <v>121</v>
      </c>
      <c r="E45" s="69">
        <f t="shared" si="0"/>
        <v>3</v>
      </c>
      <c r="F45" s="55">
        <f t="shared" si="3"/>
        <v>83.14</v>
      </c>
      <c r="G45" s="56">
        <f>IF(D45=D44,"",_xlfn.IFNA(VLOOKUP(D45,'인원 입력 기능(국수)'!$F$5:$I$103,4,FALSE),0))</f>
        <v>3364</v>
      </c>
      <c r="H45" s="57">
        <f t="shared" si="4"/>
        <v>1.0056981590103261E-2</v>
      </c>
      <c r="I45" s="70">
        <f>SUM($G$7:G45)</f>
        <v>58079</v>
      </c>
      <c r="J45" s="59">
        <f t="shared" si="5"/>
        <v>0.17363241194161927</v>
      </c>
      <c r="K45" s="26"/>
      <c r="L45" s="15" t="str">
        <f t="shared" si="7"/>
        <v/>
      </c>
      <c r="N45" s="1"/>
    </row>
    <row r="46" spans="1:14" ht="25" customHeight="1" x14ac:dyDescent="0.45">
      <c r="A46" s="5"/>
      <c r="B46" s="25"/>
      <c r="C46" s="68">
        <v>61</v>
      </c>
      <c r="D46" s="178">
        <f t="shared" si="6"/>
        <v>120</v>
      </c>
      <c r="E46" s="178">
        <f t="shared" si="0"/>
        <v>3</v>
      </c>
      <c r="F46" s="180">
        <f t="shared" si="3"/>
        <v>81.48</v>
      </c>
      <c r="G46" s="182">
        <f>IF(D46=D45,"",_xlfn.IFNA(VLOOKUP(D46,'인원 입력 기능(국수)'!$F$5:$I$103,4,FALSE),0))</f>
        <v>7750</v>
      </c>
      <c r="H46" s="184">
        <f t="shared" si="4"/>
        <v>2.3169324412396036E-2</v>
      </c>
      <c r="I46" s="174">
        <f>SUM($G$7:G46)</f>
        <v>65829</v>
      </c>
      <c r="J46" s="176">
        <f t="shared" si="5"/>
        <v>0.19680173635401532</v>
      </c>
      <c r="K46" s="26"/>
      <c r="L46" s="15" t="str">
        <f t="shared" si="7"/>
        <v/>
      </c>
      <c r="N46" s="1"/>
    </row>
    <row r="47" spans="1:14" ht="25" customHeight="1" x14ac:dyDescent="0.45">
      <c r="A47" s="5"/>
      <c r="B47" s="25"/>
      <c r="C47" s="68">
        <v>60</v>
      </c>
      <c r="D47" s="179"/>
      <c r="E47" s="179"/>
      <c r="F47" s="181"/>
      <c r="G47" s="183"/>
      <c r="H47" s="185"/>
      <c r="I47" s="175"/>
      <c r="J47" s="177"/>
      <c r="K47" s="26"/>
      <c r="L47" s="15" t="str">
        <f t="shared" si="7"/>
        <v>경고</v>
      </c>
      <c r="N47" s="1"/>
    </row>
    <row r="48" spans="1:14" ht="25" customHeight="1" x14ac:dyDescent="0.45">
      <c r="A48" s="5"/>
      <c r="B48" s="25"/>
      <c r="C48" s="68">
        <v>59</v>
      </c>
      <c r="D48" s="69">
        <f t="shared" si="6"/>
        <v>119</v>
      </c>
      <c r="E48" s="69">
        <f t="shared" si="0"/>
        <v>3</v>
      </c>
      <c r="F48" s="55">
        <f t="shared" si="3"/>
        <v>80</v>
      </c>
      <c r="G48" s="56">
        <f>IF(D48=D47,"",_xlfn.IFNA(VLOOKUP(D48,'인원 입력 기능(국수)'!$F$5:$I$103,4,FALSE),0))</f>
        <v>2137</v>
      </c>
      <c r="H48" s="57">
        <f t="shared" si="4"/>
        <v>6.3887543573277845E-3</v>
      </c>
      <c r="I48" s="70">
        <f>SUM($G$7:G48)</f>
        <v>67966</v>
      </c>
      <c r="J48" s="59">
        <f t="shared" si="5"/>
        <v>0.2031904907113431</v>
      </c>
      <c r="K48" s="26"/>
      <c r="L48" s="15" t="str">
        <f t="shared" si="7"/>
        <v/>
      </c>
      <c r="N48" s="1"/>
    </row>
    <row r="49" spans="1:14" ht="25" customHeight="1" x14ac:dyDescent="0.45">
      <c r="A49" s="5"/>
      <c r="B49" s="25"/>
      <c r="C49" s="68">
        <v>58</v>
      </c>
      <c r="D49" s="69">
        <f t="shared" si="6"/>
        <v>118</v>
      </c>
      <c r="E49" s="69">
        <f t="shared" si="0"/>
        <v>3</v>
      </c>
      <c r="F49" s="55">
        <f t="shared" si="3"/>
        <v>79.010000000000005</v>
      </c>
      <c r="G49" s="56">
        <f>IF(D49=D48,"",_xlfn.IFNA(VLOOKUP(D49,'인원 입력 기능(국수)'!$F$5:$I$103,4,FALSE),0))</f>
        <v>4473</v>
      </c>
      <c r="H49" s="57">
        <f t="shared" si="4"/>
        <v>1.3372437173760965E-2</v>
      </c>
      <c r="I49" s="70">
        <f>SUM($G$7:G49)</f>
        <v>72439</v>
      </c>
      <c r="J49" s="59">
        <f t="shared" si="5"/>
        <v>0.21656292788510406</v>
      </c>
      <c r="K49" s="26"/>
      <c r="L49" s="15" t="str">
        <f t="shared" si="7"/>
        <v/>
      </c>
      <c r="N49" s="1"/>
    </row>
    <row r="50" spans="1:14" ht="25" customHeight="1" x14ac:dyDescent="0.45">
      <c r="A50" s="5"/>
      <c r="B50" s="25"/>
      <c r="C50" s="68">
        <v>57</v>
      </c>
      <c r="D50" s="69">
        <f t="shared" si="6"/>
        <v>117</v>
      </c>
      <c r="E50" s="69">
        <f t="shared" si="0"/>
        <v>3</v>
      </c>
      <c r="F50" s="55">
        <f t="shared" si="3"/>
        <v>77.64</v>
      </c>
      <c r="G50" s="56">
        <f>IF(D50=D49,"",_xlfn.IFNA(VLOOKUP(D50,'인원 입력 기능(국수)'!$F$5:$I$103,4,FALSE),0))</f>
        <v>4709</v>
      </c>
      <c r="H50" s="57">
        <f t="shared" si="4"/>
        <v>1.4077980471996508E-2</v>
      </c>
      <c r="I50" s="70">
        <f>SUM($G$7:G50)</f>
        <v>77148</v>
      </c>
      <c r="J50" s="59">
        <f t="shared" si="5"/>
        <v>0.23064090835710058</v>
      </c>
      <c r="K50" s="26"/>
      <c r="L50" s="15" t="str">
        <f t="shared" si="7"/>
        <v/>
      </c>
      <c r="N50" s="1"/>
    </row>
    <row r="51" spans="1:14" ht="25" customHeight="1" x14ac:dyDescent="0.45">
      <c r="A51" s="5"/>
      <c r="B51" s="25"/>
      <c r="C51" s="68">
        <v>56</v>
      </c>
      <c r="D51" s="69">
        <f t="shared" si="6"/>
        <v>116</v>
      </c>
      <c r="E51" s="69">
        <f t="shared" si="0"/>
        <v>4</v>
      </c>
      <c r="F51" s="55">
        <f t="shared" si="3"/>
        <v>76.56</v>
      </c>
      <c r="G51" s="56">
        <f>IF(D51=D50,"",_xlfn.IFNA(VLOOKUP(D51,'인원 입력 기능(국수)'!$F$5:$I$103,4,FALSE),0))</f>
        <v>2522</v>
      </c>
      <c r="H51" s="57">
        <f t="shared" si="4"/>
        <v>7.5397466023306844E-3</v>
      </c>
      <c r="I51" s="70">
        <f>SUM($G$7:G51)</f>
        <v>79670</v>
      </c>
      <c r="J51" s="59">
        <f t="shared" si="5"/>
        <v>0.23818065495943125</v>
      </c>
      <c r="K51" s="26"/>
      <c r="L51" s="15" t="str">
        <f t="shared" si="7"/>
        <v/>
      </c>
      <c r="N51" s="1"/>
    </row>
    <row r="52" spans="1:14" ht="25" customHeight="1" x14ac:dyDescent="0.45">
      <c r="A52" s="5"/>
      <c r="B52" s="25"/>
      <c r="C52" s="68">
        <v>55</v>
      </c>
      <c r="D52" s="69">
        <f t="shared" si="6"/>
        <v>115</v>
      </c>
      <c r="E52" s="69">
        <f t="shared" si="0"/>
        <v>4</v>
      </c>
      <c r="F52" s="55">
        <f t="shared" si="3"/>
        <v>75.650000000000006</v>
      </c>
      <c r="G52" s="56">
        <f>IF(D52=D51,"",_xlfn.IFNA(VLOOKUP(D52,'인원 입력 기능(국수)'!$F$5:$I$103,4,FALSE),0))</f>
        <v>3570</v>
      </c>
      <c r="H52" s="57">
        <f t="shared" si="4"/>
        <v>1.0672837180935981E-2</v>
      </c>
      <c r="I52" s="70">
        <f>SUM($G$7:G52)</f>
        <v>83240</v>
      </c>
      <c r="J52" s="59">
        <f t="shared" si="5"/>
        <v>0.24885349214036726</v>
      </c>
      <c r="K52" s="26"/>
      <c r="L52" s="15" t="str">
        <f t="shared" si="7"/>
        <v/>
      </c>
      <c r="N52" s="1"/>
    </row>
    <row r="53" spans="1:14" ht="25" customHeight="1" x14ac:dyDescent="0.45">
      <c r="A53" s="5"/>
      <c r="B53" s="25"/>
      <c r="C53" s="68">
        <v>54</v>
      </c>
      <c r="D53" s="69">
        <f t="shared" si="6"/>
        <v>114</v>
      </c>
      <c r="E53" s="69">
        <f t="shared" si="0"/>
        <v>4</v>
      </c>
      <c r="F53" s="55">
        <f t="shared" si="3"/>
        <v>74.349999999999994</v>
      </c>
      <c r="G53" s="56">
        <f>IF(D53=D52,"",_xlfn.IFNA(VLOOKUP(D53,'인원 입력 기능(국수)'!$F$5:$I$103,4,FALSE),0))</f>
        <v>5116</v>
      </c>
      <c r="H53" s="57">
        <f t="shared" si="4"/>
        <v>1.5294743702428145E-2</v>
      </c>
      <c r="I53" s="70">
        <f>SUM($G$7:G53)</f>
        <v>88356</v>
      </c>
      <c r="J53" s="59">
        <f t="shared" si="5"/>
        <v>0.2641482358427954</v>
      </c>
      <c r="K53" s="26"/>
      <c r="L53" s="15" t="str">
        <f t="shared" si="7"/>
        <v/>
      </c>
      <c r="N53" s="1"/>
    </row>
    <row r="54" spans="1:14" ht="25" customHeight="1" x14ac:dyDescent="0.45">
      <c r="A54" s="5"/>
      <c r="B54" s="25"/>
      <c r="C54" s="68">
        <v>53</v>
      </c>
      <c r="D54" s="69">
        <f t="shared" si="6"/>
        <v>113</v>
      </c>
      <c r="E54" s="69">
        <f t="shared" si="0"/>
        <v>4</v>
      </c>
      <c r="F54" s="55">
        <f t="shared" si="3"/>
        <v>73.040000000000006</v>
      </c>
      <c r="G54" s="56">
        <f>IF(D54=D53,"",_xlfn.IFNA(VLOOKUP(D54,'인원 입력 기능(국수)'!$F$5:$I$103,4,FALSE),0))</f>
        <v>3651</v>
      </c>
      <c r="H54" s="57">
        <f t="shared" si="4"/>
        <v>1.0914993990923603E-2</v>
      </c>
      <c r="I54" s="70">
        <f>SUM($G$7:G54)</f>
        <v>92007</v>
      </c>
      <c r="J54" s="59">
        <f t="shared" si="5"/>
        <v>0.275063229833719</v>
      </c>
      <c r="K54" s="26"/>
      <c r="L54" s="15" t="str">
        <f t="shared" si="7"/>
        <v/>
      </c>
      <c r="N54" s="1"/>
    </row>
    <row r="55" spans="1:14" ht="25" customHeight="1" x14ac:dyDescent="0.45">
      <c r="A55" s="5"/>
      <c r="B55" s="25"/>
      <c r="C55" s="68">
        <v>52</v>
      </c>
      <c r="D55" s="69">
        <f t="shared" si="6"/>
        <v>112</v>
      </c>
      <c r="E55" s="69">
        <f t="shared" si="0"/>
        <v>4</v>
      </c>
      <c r="F55" s="55">
        <f t="shared" si="3"/>
        <v>72.040000000000006</v>
      </c>
      <c r="G55" s="56">
        <f>IF(D55=D54,"",_xlfn.IFNA(VLOOKUP(D55,'인원 입력 기능(국수)'!$F$5:$I$103,4,FALSE),0))</f>
        <v>3002</v>
      </c>
      <c r="H55" s="57">
        <f t="shared" si="4"/>
        <v>8.974749920775859E-3</v>
      </c>
      <c r="I55" s="70">
        <f>SUM($G$7:G55)</f>
        <v>95009</v>
      </c>
      <c r="J55" s="59">
        <f t="shared" si="5"/>
        <v>0.28403797975449485</v>
      </c>
      <c r="K55" s="26"/>
      <c r="L55" s="15" t="str">
        <f t="shared" si="7"/>
        <v/>
      </c>
      <c r="N55" s="1"/>
    </row>
    <row r="56" spans="1:14" ht="25" customHeight="1" x14ac:dyDescent="0.45">
      <c r="A56" s="5"/>
      <c r="B56" s="25"/>
      <c r="C56" s="68">
        <v>51</v>
      </c>
      <c r="D56" s="69">
        <f t="shared" si="6"/>
        <v>111</v>
      </c>
      <c r="E56" s="69">
        <f t="shared" si="0"/>
        <v>4</v>
      </c>
      <c r="F56" s="55">
        <f t="shared" si="3"/>
        <v>70.91</v>
      </c>
      <c r="G56" s="56">
        <f>IF(D56=D55,"",_xlfn.IFNA(VLOOKUP(D56,'인원 입력 기능(국수)'!$F$5:$I$103,4,FALSE),0))</f>
        <v>4579</v>
      </c>
      <c r="H56" s="57">
        <f t="shared" si="4"/>
        <v>1.3689333739917606E-2</v>
      </c>
      <c r="I56" s="70">
        <f>SUM($G$7:G56)</f>
        <v>99588</v>
      </c>
      <c r="J56" s="59">
        <f t="shared" si="5"/>
        <v>0.29772731349441245</v>
      </c>
      <c r="K56" s="26"/>
      <c r="L56" s="15" t="str">
        <f t="shared" si="7"/>
        <v/>
      </c>
      <c r="N56" s="1"/>
    </row>
    <row r="57" spans="1:14" ht="25" customHeight="1" x14ac:dyDescent="0.45">
      <c r="A57" s="5"/>
      <c r="B57" s="25"/>
      <c r="C57" s="68">
        <v>50</v>
      </c>
      <c r="D57" s="178">
        <f t="shared" si="6"/>
        <v>110</v>
      </c>
      <c r="E57" s="178">
        <f t="shared" si="0"/>
        <v>4</v>
      </c>
      <c r="F57" s="180">
        <f t="shared" si="3"/>
        <v>69.08</v>
      </c>
      <c r="G57" s="182">
        <f>IF(D57=D56,"",_xlfn.IFNA(VLOOKUP(D57,'인원 입력 기능(국수)'!$F$5:$I$103,4,FALSE),0))</f>
        <v>7649</v>
      </c>
      <c r="H57" s="184">
        <f t="shared" si="4"/>
        <v>2.2867375797473197E-2</v>
      </c>
      <c r="I57" s="174">
        <f>SUM($G$7:G57)</f>
        <v>107237</v>
      </c>
      <c r="J57" s="176">
        <f t="shared" si="5"/>
        <v>0.32059468929188567</v>
      </c>
      <c r="K57" s="26"/>
      <c r="L57" s="15" t="str">
        <f t="shared" si="7"/>
        <v/>
      </c>
      <c r="N57" s="1"/>
    </row>
    <row r="58" spans="1:14" ht="25" customHeight="1" x14ac:dyDescent="0.45">
      <c r="A58" s="5"/>
      <c r="B58" s="25"/>
      <c r="C58" s="68">
        <v>49</v>
      </c>
      <c r="D58" s="179"/>
      <c r="E58" s="179"/>
      <c r="F58" s="181"/>
      <c r="G58" s="183"/>
      <c r="H58" s="185"/>
      <c r="I58" s="175"/>
      <c r="J58" s="177"/>
      <c r="K58" s="26"/>
      <c r="L58" s="15" t="str">
        <f t="shared" si="7"/>
        <v>경고</v>
      </c>
      <c r="N58" s="1"/>
    </row>
    <row r="59" spans="1:14" ht="25" customHeight="1" x14ac:dyDescent="0.45">
      <c r="A59" s="5"/>
      <c r="B59" s="25"/>
      <c r="C59" s="68">
        <v>48</v>
      </c>
      <c r="D59" s="69">
        <f t="shared" si="6"/>
        <v>109</v>
      </c>
      <c r="E59" s="69">
        <f t="shared" si="0"/>
        <v>4</v>
      </c>
      <c r="F59" s="55">
        <f t="shared" si="3"/>
        <v>67.3</v>
      </c>
      <c r="G59" s="56">
        <f>IF(D59=D58,"",_xlfn.IFNA(VLOOKUP(D59,'인원 입력 기능(국수)'!$F$5:$I$103,4,FALSE),0))</f>
        <v>4264</v>
      </c>
      <c r="H59" s="57">
        <f t="shared" si="4"/>
        <v>1.2747612812187961E-2</v>
      </c>
      <c r="I59" s="70">
        <f>SUM($G$7:G59)</f>
        <v>111501</v>
      </c>
      <c r="J59" s="59">
        <f t="shared" si="5"/>
        <v>0.33334230210407362</v>
      </c>
      <c r="K59" s="26"/>
      <c r="L59" s="15" t="str">
        <f t="shared" si="7"/>
        <v/>
      </c>
      <c r="N59" s="1"/>
    </row>
    <row r="60" spans="1:14" ht="25" customHeight="1" x14ac:dyDescent="0.45">
      <c r="A60" s="5"/>
      <c r="B60" s="25"/>
      <c r="C60" s="68">
        <v>47</v>
      </c>
      <c r="D60" s="69">
        <f t="shared" si="6"/>
        <v>108</v>
      </c>
      <c r="E60" s="69">
        <f t="shared" si="0"/>
        <v>4</v>
      </c>
      <c r="F60" s="55">
        <f t="shared" si="3"/>
        <v>65.95</v>
      </c>
      <c r="G60" s="56">
        <f>IF(D60=D59,"",_xlfn.IFNA(VLOOKUP(D60,'인원 입력 기능(국수)'!$F$5:$I$103,4,FALSE),0))</f>
        <v>4772</v>
      </c>
      <c r="H60" s="57">
        <f t="shared" si="4"/>
        <v>1.4266324657542438E-2</v>
      </c>
      <c r="I60" s="70">
        <f>SUM($G$7:G60)</f>
        <v>116273</v>
      </c>
      <c r="J60" s="59">
        <f t="shared" si="5"/>
        <v>0.34760862676161608</v>
      </c>
      <c r="K60" s="26"/>
      <c r="L60" s="15" t="str">
        <f t="shared" si="7"/>
        <v/>
      </c>
      <c r="N60" s="1"/>
    </row>
    <row r="61" spans="1:14" ht="25" customHeight="1" x14ac:dyDescent="0.45">
      <c r="A61" s="5"/>
      <c r="B61" s="25"/>
      <c r="C61" s="68">
        <v>46</v>
      </c>
      <c r="D61" s="69">
        <f t="shared" si="6"/>
        <v>107</v>
      </c>
      <c r="E61" s="69">
        <f t="shared" si="0"/>
        <v>4</v>
      </c>
      <c r="F61" s="55">
        <f t="shared" si="3"/>
        <v>64.69</v>
      </c>
      <c r="G61" s="56">
        <f>IF(D61=D60,"",_xlfn.IFNA(VLOOKUP(D61,'인원 입력 기능(국수)'!$F$5:$I$103,4,FALSE),0))</f>
        <v>3649</v>
      </c>
      <c r="H61" s="57">
        <f t="shared" si="4"/>
        <v>1.0909014810430082E-2</v>
      </c>
      <c r="I61" s="70">
        <f>SUM($G$7:G61)</f>
        <v>119922</v>
      </c>
      <c r="J61" s="59">
        <f t="shared" si="5"/>
        <v>0.35851764157204613</v>
      </c>
      <c r="K61" s="26"/>
      <c r="L61" s="15" t="str">
        <f t="shared" si="7"/>
        <v/>
      </c>
      <c r="N61" s="1"/>
    </row>
    <row r="62" spans="1:14" ht="25" customHeight="1" x14ac:dyDescent="0.45">
      <c r="A62" s="5"/>
      <c r="B62" s="25"/>
      <c r="C62" s="68">
        <v>45</v>
      </c>
      <c r="D62" s="69">
        <f t="shared" si="6"/>
        <v>106</v>
      </c>
      <c r="E62" s="69">
        <f t="shared" si="0"/>
        <v>4</v>
      </c>
      <c r="F62" s="55">
        <f t="shared" si="3"/>
        <v>63.59</v>
      </c>
      <c r="G62" s="56">
        <f>IF(D62=D61,"",_xlfn.IFNA(VLOOKUP(D62,'인원 입력 기능(국수)'!$F$5:$I$103,4,FALSE),0))</f>
        <v>3703</v>
      </c>
      <c r="H62" s="57">
        <f t="shared" si="4"/>
        <v>1.1070452683755165E-2</v>
      </c>
      <c r="I62" s="70">
        <f>SUM($G$7:G62)</f>
        <v>123625</v>
      </c>
      <c r="J62" s="59">
        <f t="shared" si="5"/>
        <v>0.3695880942558013</v>
      </c>
      <c r="K62" s="26"/>
      <c r="L62" s="15" t="str">
        <f t="shared" si="7"/>
        <v/>
      </c>
      <c r="N62" s="1"/>
    </row>
    <row r="63" spans="1:14" ht="25" customHeight="1" x14ac:dyDescent="0.45">
      <c r="A63" s="5"/>
      <c r="B63" s="25"/>
      <c r="C63" s="68">
        <v>44</v>
      </c>
      <c r="D63" s="69">
        <f t="shared" si="6"/>
        <v>105</v>
      </c>
      <c r="E63" s="69">
        <f t="shared" si="0"/>
        <v>4</v>
      </c>
      <c r="F63" s="55">
        <f t="shared" si="3"/>
        <v>62.3</v>
      </c>
      <c r="G63" s="56">
        <f>IF(D63=D62,"",_xlfn.IFNA(VLOOKUP(D63,'인원 입력 기능(국수)'!$F$5:$I$103,4,FALSE),0))</f>
        <v>4940</v>
      </c>
      <c r="H63" s="57">
        <f t="shared" si="4"/>
        <v>1.4768575818998248E-2</v>
      </c>
      <c r="I63" s="70">
        <f>SUM($G$7:G63)</f>
        <v>128565</v>
      </c>
      <c r="J63" s="59">
        <f t="shared" si="5"/>
        <v>0.38435667007479957</v>
      </c>
      <c r="K63" s="26"/>
      <c r="L63" s="15" t="str">
        <f t="shared" si="7"/>
        <v/>
      </c>
      <c r="N63" s="1"/>
    </row>
    <row r="64" spans="1:14" ht="25" customHeight="1" x14ac:dyDescent="0.45">
      <c r="A64" s="5"/>
      <c r="B64" s="25"/>
      <c r="C64" s="68">
        <v>43</v>
      </c>
      <c r="D64" s="69">
        <f t="shared" si="6"/>
        <v>104</v>
      </c>
      <c r="E64" s="69">
        <f t="shared" si="0"/>
        <v>4</v>
      </c>
      <c r="F64" s="55">
        <f t="shared" si="3"/>
        <v>60.96</v>
      </c>
      <c r="G64" s="56">
        <f>IF(D64=D63,"",_xlfn.IFNA(VLOOKUP(D64,'인원 입력 기능(국수)'!$F$5:$I$103,4,FALSE),0))</f>
        <v>4025</v>
      </c>
      <c r="H64" s="57">
        <f t="shared" si="4"/>
        <v>1.2033100743212136E-2</v>
      </c>
      <c r="I64" s="70">
        <f>SUM($G$7:G64)</f>
        <v>132590</v>
      </c>
      <c r="J64" s="59">
        <f t="shared" si="5"/>
        <v>0.39638977081801169</v>
      </c>
      <c r="K64" s="26"/>
      <c r="L64" s="15" t="str">
        <f t="shared" si="7"/>
        <v/>
      </c>
      <c r="N64" s="1"/>
    </row>
    <row r="65" spans="1:14" ht="25" customHeight="1" x14ac:dyDescent="0.45">
      <c r="A65" s="5"/>
      <c r="B65" s="25"/>
      <c r="C65" s="68">
        <v>42</v>
      </c>
      <c r="D65" s="69">
        <f t="shared" si="6"/>
        <v>103</v>
      </c>
      <c r="E65" s="69">
        <f t="shared" si="0"/>
        <v>4</v>
      </c>
      <c r="F65" s="55">
        <f t="shared" si="3"/>
        <v>59.8</v>
      </c>
      <c r="G65" s="56">
        <f>IF(D65=D64,"",_xlfn.IFNA(VLOOKUP(D65,'인원 입력 기능(국수)'!$F$5:$I$103,4,FALSE),0))</f>
        <v>3751</v>
      </c>
      <c r="H65" s="57">
        <f t="shared" si="4"/>
        <v>1.1213953015599682E-2</v>
      </c>
      <c r="I65" s="70">
        <f>SUM($G$7:G65)</f>
        <v>136341</v>
      </c>
      <c r="J65" s="59">
        <f t="shared" si="5"/>
        <v>0.40760372383361138</v>
      </c>
      <c r="K65" s="26"/>
      <c r="L65" s="15" t="str">
        <f t="shared" si="7"/>
        <v/>
      </c>
      <c r="N65" s="1"/>
    </row>
    <row r="66" spans="1:14" ht="25" customHeight="1" x14ac:dyDescent="0.45">
      <c r="A66" s="5"/>
      <c r="B66" s="25"/>
      <c r="C66" s="68">
        <v>41</v>
      </c>
      <c r="D66" s="69">
        <f t="shared" si="6"/>
        <v>102</v>
      </c>
      <c r="E66" s="69">
        <f t="shared" si="0"/>
        <v>5</v>
      </c>
      <c r="F66" s="55">
        <f t="shared" si="3"/>
        <v>58.52</v>
      </c>
      <c r="G66" s="56">
        <f>IF(D66=D65,"",_xlfn.IFNA(VLOOKUP(D66,'인원 입력 기능(국수)'!$F$5:$I$103,4,FALSE),0))</f>
        <v>4784</v>
      </c>
      <c r="H66" s="57">
        <f t="shared" si="4"/>
        <v>1.4302199740503566E-2</v>
      </c>
      <c r="I66" s="70">
        <f>SUM($G$7:G66)</f>
        <v>141125</v>
      </c>
      <c r="J66" s="59">
        <f t="shared" si="5"/>
        <v>0.42190592357411494</v>
      </c>
      <c r="K66" s="26"/>
      <c r="L66" s="15" t="str">
        <f t="shared" si="7"/>
        <v/>
      </c>
      <c r="N66" s="1"/>
    </row>
    <row r="67" spans="1:14" ht="25" customHeight="1" x14ac:dyDescent="0.45">
      <c r="A67" s="5"/>
      <c r="B67" s="25"/>
      <c r="C67" s="68">
        <v>40</v>
      </c>
      <c r="D67" s="178">
        <f t="shared" si="6"/>
        <v>101</v>
      </c>
      <c r="E67" s="178">
        <f t="shared" si="0"/>
        <v>5</v>
      </c>
      <c r="F67" s="180">
        <f t="shared" si="3"/>
        <v>56.59</v>
      </c>
      <c r="G67" s="182">
        <f>IF(D67=D66,"",_xlfn.IFNA(VLOOKUP(D67,'인원 입력 기능(국수)'!$F$5:$I$103,4,FALSE),0))</f>
        <v>8173</v>
      </c>
      <c r="H67" s="184">
        <f t="shared" si="4"/>
        <v>2.4433921086775848E-2</v>
      </c>
      <c r="I67" s="174">
        <f>SUM($G$7:G67)</f>
        <v>149298</v>
      </c>
      <c r="J67" s="176">
        <f t="shared" si="5"/>
        <v>0.44633984466089077</v>
      </c>
      <c r="K67" s="26"/>
      <c r="L67" s="15" t="str">
        <f t="shared" si="7"/>
        <v/>
      </c>
      <c r="N67" s="1"/>
    </row>
    <row r="68" spans="1:14" ht="25" customHeight="1" x14ac:dyDescent="0.45">
      <c r="A68" s="5"/>
      <c r="B68" s="25"/>
      <c r="C68" s="68">
        <v>39</v>
      </c>
      <c r="D68" s="179"/>
      <c r="E68" s="179"/>
      <c r="F68" s="181"/>
      <c r="G68" s="183"/>
      <c r="H68" s="185"/>
      <c r="I68" s="175"/>
      <c r="J68" s="177"/>
      <c r="K68" s="26"/>
      <c r="L68" s="15" t="str">
        <f t="shared" si="7"/>
        <v>경고</v>
      </c>
      <c r="N68" s="1"/>
    </row>
    <row r="69" spans="1:14" ht="25" customHeight="1" x14ac:dyDescent="0.45">
      <c r="A69" s="5"/>
      <c r="B69" s="25"/>
      <c r="C69" s="68">
        <v>38</v>
      </c>
      <c r="D69" s="69">
        <f t="shared" si="6"/>
        <v>100</v>
      </c>
      <c r="E69" s="69">
        <f t="shared" si="0"/>
        <v>5</v>
      </c>
      <c r="F69" s="55">
        <f t="shared" si="3"/>
        <v>54.65</v>
      </c>
      <c r="G69" s="56">
        <f>IF(D69=D68,"",_xlfn.IFNA(VLOOKUP(D69,'인원 입력 기능(국수)'!$F$5:$I$103,4,FALSE),0))</f>
        <v>4773</v>
      </c>
      <c r="H69" s="57">
        <f t="shared" si="4"/>
        <v>1.4269314247789199E-2</v>
      </c>
      <c r="I69" s="70">
        <f>SUM($G$7:G69)</f>
        <v>154071</v>
      </c>
      <c r="J69" s="59">
        <f t="shared" si="5"/>
        <v>0.46060915890867998</v>
      </c>
      <c r="K69" s="26"/>
      <c r="L69" s="15" t="str">
        <f t="shared" si="7"/>
        <v/>
      </c>
      <c r="N69" s="1"/>
    </row>
    <row r="70" spans="1:14" ht="25" customHeight="1" x14ac:dyDescent="0.45">
      <c r="A70" s="5"/>
      <c r="B70" s="25"/>
      <c r="C70" s="68">
        <v>37</v>
      </c>
      <c r="D70" s="69">
        <f t="shared" si="6"/>
        <v>99</v>
      </c>
      <c r="E70" s="69">
        <f t="shared" si="0"/>
        <v>5</v>
      </c>
      <c r="F70" s="55">
        <f t="shared" si="3"/>
        <v>53.21</v>
      </c>
      <c r="G70" s="56">
        <f>IF(D70=D69,"",_xlfn.IFNA(VLOOKUP(D70,'인원 입력 기능(국수)'!$F$5:$I$103,4,FALSE),0))</f>
        <v>4902</v>
      </c>
      <c r="H70" s="57">
        <f t="shared" si="4"/>
        <v>1.4654971389621338E-2</v>
      </c>
      <c r="I70" s="70">
        <f>SUM($G$7:G70)</f>
        <v>158973</v>
      </c>
      <c r="J70" s="59">
        <f t="shared" si="5"/>
        <v>0.47526413029830133</v>
      </c>
      <c r="K70" s="26"/>
      <c r="L70" s="15" t="str">
        <f t="shared" si="7"/>
        <v/>
      </c>
      <c r="N70" s="1"/>
    </row>
    <row r="71" spans="1:14" ht="25" customHeight="1" x14ac:dyDescent="0.45">
      <c r="A71" s="5"/>
      <c r="B71" s="25"/>
      <c r="C71" s="68">
        <v>36</v>
      </c>
      <c r="D71" s="69">
        <f t="shared" si="6"/>
        <v>98</v>
      </c>
      <c r="E71" s="69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55">
        <f t="shared" si="3"/>
        <v>51.89</v>
      </c>
      <c r="G71" s="56">
        <f>IF(D71=D70,"",_xlfn.IFNA(VLOOKUP(D71,'인원 입력 기능(국수)'!$F$5:$I$103,4,FALSE),0))</f>
        <v>3910</v>
      </c>
      <c r="H71" s="57">
        <f t="shared" si="4"/>
        <v>1.1689297864834646E-2</v>
      </c>
      <c r="I71" s="70">
        <f>SUM($G$7:G71)</f>
        <v>162883</v>
      </c>
      <c r="J71" s="59">
        <f t="shared" si="5"/>
        <v>0.48695342816313597</v>
      </c>
      <c r="K71" s="26"/>
      <c r="L71" s="15" t="str">
        <f t="shared" si="7"/>
        <v/>
      </c>
      <c r="N71" s="1"/>
    </row>
    <row r="72" spans="1:14" ht="25" customHeight="1" x14ac:dyDescent="0.45">
      <c r="A72" s="5"/>
      <c r="B72" s="25"/>
      <c r="C72" s="68">
        <v>35</v>
      </c>
      <c r="D72" s="69">
        <f t="shared" si="6"/>
        <v>97</v>
      </c>
      <c r="E72" s="69">
        <f t="shared" si="8"/>
        <v>5</v>
      </c>
      <c r="F72" s="55">
        <f t="shared" si="3"/>
        <v>50.59</v>
      </c>
      <c r="G72" s="56">
        <f>IF(D72=D71,"",_xlfn.IFNA(VLOOKUP(D72,'인원 입력 기능(국수)'!$F$5:$I$103,4,FALSE),0))</f>
        <v>4790</v>
      </c>
      <c r="H72" s="57">
        <f t="shared" si="4"/>
        <v>1.4320137281984131E-2</v>
      </c>
      <c r="I72" s="70">
        <f>SUM($G$7:G72)</f>
        <v>167673</v>
      </c>
      <c r="J72" s="59">
        <f t="shared" si="5"/>
        <v>0.50127356544512014</v>
      </c>
      <c r="K72" s="26"/>
      <c r="L72" s="15" t="str">
        <f t="shared" si="7"/>
        <v/>
      </c>
      <c r="N72" s="1"/>
    </row>
    <row r="73" spans="1:14" ht="25" customHeight="1" x14ac:dyDescent="0.45">
      <c r="A73" s="5"/>
      <c r="B73" s="25"/>
      <c r="C73" s="68">
        <v>34</v>
      </c>
      <c r="D73" s="69">
        <f t="shared" ref="D73:D104" si="9">ROUND(20*(C73-$H$3)/$H$4+100,0)</f>
        <v>96</v>
      </c>
      <c r="E73" s="69">
        <f t="shared" si="8"/>
        <v>5</v>
      </c>
      <c r="F73" s="55">
        <f t="shared" si="3"/>
        <v>49.11</v>
      </c>
      <c r="G73" s="56">
        <f>IF(D73=D72,"",_xlfn.IFNA(VLOOKUP(D73,'인원 입력 기능(국수)'!$F$5:$I$103,4,FALSE),0))</f>
        <v>5120</v>
      </c>
      <c r="H73" s="57">
        <f t="shared" si="4"/>
        <v>1.5306702063415188E-2</v>
      </c>
      <c r="I73" s="70">
        <f>SUM($G$7:G73)</f>
        <v>172793</v>
      </c>
      <c r="J73" s="59">
        <f t="shared" si="5"/>
        <v>0.51658026750853525</v>
      </c>
      <c r="K73" s="26"/>
      <c r="L73" s="15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25"/>
      <c r="C74" s="68">
        <v>33</v>
      </c>
      <c r="D74" s="69">
        <f t="shared" si="9"/>
        <v>95</v>
      </c>
      <c r="E74" s="69">
        <f t="shared" si="8"/>
        <v>5</v>
      </c>
      <c r="F74" s="55">
        <f t="shared" ref="F74:F105" si="11">IF(I73=0,ROUND(100*(1-(I72+I74)/2/$J$3),2),ROUND(100*(1-(I73+I74)/2/$J$3),2))</f>
        <v>47.72</v>
      </c>
      <c r="G74" s="56">
        <f>IF(D74=D73,"",_xlfn.IFNA(VLOOKUP(D74,'인원 입력 기능(국수)'!$F$5:$I$103,4,FALSE),0))</f>
        <v>4170</v>
      </c>
      <c r="H74" s="57">
        <f t="shared" ref="H74:H105" si="12">G74/$J$3</f>
        <v>1.2466591328992449E-2</v>
      </c>
      <c r="I74" s="70">
        <f>SUM($G$7:G74)</f>
        <v>176963</v>
      </c>
      <c r="J74" s="59">
        <f t="shared" ref="J74:J105" si="13">I74/$J$3</f>
        <v>0.52904685883752778</v>
      </c>
      <c r="K74" s="26"/>
      <c r="L74" s="15" t="str">
        <f t="shared" si="10"/>
        <v/>
      </c>
      <c r="N74" s="1"/>
    </row>
    <row r="75" spans="1:14" ht="25" customHeight="1" x14ac:dyDescent="0.45">
      <c r="A75" s="5"/>
      <c r="B75" s="25"/>
      <c r="C75" s="68">
        <v>32</v>
      </c>
      <c r="D75" s="69">
        <f t="shared" si="9"/>
        <v>94</v>
      </c>
      <c r="E75" s="69">
        <f t="shared" si="8"/>
        <v>5</v>
      </c>
      <c r="F75" s="55">
        <f t="shared" si="11"/>
        <v>46.33</v>
      </c>
      <c r="G75" s="56">
        <f>IF(D75=D74,"",_xlfn.IFNA(VLOOKUP(D75,'인원 입력 기능(국수)'!$F$5:$I$103,4,FALSE),0))</f>
        <v>5109</v>
      </c>
      <c r="H75" s="57">
        <f t="shared" si="12"/>
        <v>1.5273816570700819E-2</v>
      </c>
      <c r="I75" s="70">
        <f>SUM($G$7:G75)</f>
        <v>182072</v>
      </c>
      <c r="J75" s="59">
        <f t="shared" si="13"/>
        <v>0.54432067540822859</v>
      </c>
      <c r="K75" s="26"/>
      <c r="L75" s="15" t="str">
        <f t="shared" si="10"/>
        <v/>
      </c>
      <c r="N75" s="1"/>
    </row>
    <row r="76" spans="1:14" ht="25" customHeight="1" x14ac:dyDescent="0.45">
      <c r="A76" s="5"/>
      <c r="B76" s="25"/>
      <c r="C76" s="68">
        <v>31</v>
      </c>
      <c r="D76" s="69">
        <f t="shared" si="9"/>
        <v>93</v>
      </c>
      <c r="E76" s="69">
        <f t="shared" si="8"/>
        <v>5</v>
      </c>
      <c r="F76" s="55">
        <f t="shared" si="11"/>
        <v>44.74</v>
      </c>
      <c r="G76" s="56">
        <f>IF(D76=D75,"",_xlfn.IFNA(VLOOKUP(D76,'인원 입력 기능(국수)'!$F$5:$I$103,4,FALSE),0))</f>
        <v>5507</v>
      </c>
      <c r="H76" s="57">
        <f t="shared" si="12"/>
        <v>1.6463673488911611E-2</v>
      </c>
      <c r="I76" s="70">
        <f>SUM($G$7:G76)</f>
        <v>187579</v>
      </c>
      <c r="J76" s="59">
        <f t="shared" si="13"/>
        <v>0.56078434889714013</v>
      </c>
      <c r="K76" s="26"/>
      <c r="L76" s="15" t="str">
        <f t="shared" si="10"/>
        <v/>
      </c>
      <c r="N76" s="1"/>
    </row>
    <row r="77" spans="1:14" ht="25" customHeight="1" x14ac:dyDescent="0.45">
      <c r="A77" s="5"/>
      <c r="B77" s="25"/>
      <c r="C77" s="68">
        <v>30</v>
      </c>
      <c r="D77" s="69">
        <f t="shared" si="9"/>
        <v>92</v>
      </c>
      <c r="E77" s="69">
        <f t="shared" si="8"/>
        <v>5</v>
      </c>
      <c r="F77" s="55">
        <f t="shared" si="11"/>
        <v>43.24</v>
      </c>
      <c r="G77" s="56">
        <f>IF(D77=D76,"",_xlfn.IFNA(VLOOKUP(D77,'인원 입력 기능(국수)'!$F$5:$I$103,4,FALSE),0))</f>
        <v>4540</v>
      </c>
      <c r="H77" s="57">
        <f t="shared" si="12"/>
        <v>1.3572739720293936E-2</v>
      </c>
      <c r="I77" s="70">
        <f>SUM($G$7:G77)</f>
        <v>192119</v>
      </c>
      <c r="J77" s="59">
        <f t="shared" si="13"/>
        <v>0.57435708861743406</v>
      </c>
      <c r="K77" s="26"/>
      <c r="L77" s="15" t="str">
        <f t="shared" si="10"/>
        <v/>
      </c>
      <c r="N77" s="1"/>
    </row>
    <row r="78" spans="1:14" ht="25" customHeight="1" x14ac:dyDescent="0.45">
      <c r="A78" s="5"/>
      <c r="B78" s="25"/>
      <c r="C78" s="68">
        <v>29</v>
      </c>
      <c r="D78" s="178">
        <f t="shared" si="9"/>
        <v>91</v>
      </c>
      <c r="E78" s="178">
        <f t="shared" si="8"/>
        <v>5</v>
      </c>
      <c r="F78" s="180">
        <f t="shared" si="11"/>
        <v>40.869999999999997</v>
      </c>
      <c r="G78" s="182">
        <f>IF(D78=D77,"",_xlfn.IFNA(VLOOKUP(D78,'인원 입력 기능(국수)'!$F$5:$I$103,4,FALSE),0))</f>
        <v>11354</v>
      </c>
      <c r="H78" s="184">
        <f t="shared" si="12"/>
        <v>3.3943807661721885E-2</v>
      </c>
      <c r="I78" s="174">
        <f>SUM($G$7:G78)</f>
        <v>203473</v>
      </c>
      <c r="J78" s="176">
        <f t="shared" si="13"/>
        <v>0.60830089627915596</v>
      </c>
      <c r="K78" s="26"/>
      <c r="L78" s="15" t="str">
        <f t="shared" si="10"/>
        <v/>
      </c>
      <c r="N78" s="1"/>
    </row>
    <row r="79" spans="1:14" ht="25" customHeight="1" x14ac:dyDescent="0.45">
      <c r="A79" s="5"/>
      <c r="B79" s="25"/>
      <c r="C79" s="68">
        <v>28</v>
      </c>
      <c r="D79" s="179"/>
      <c r="E79" s="179"/>
      <c r="F79" s="181"/>
      <c r="G79" s="183"/>
      <c r="H79" s="185"/>
      <c r="I79" s="175"/>
      <c r="J79" s="177"/>
      <c r="K79" s="26"/>
      <c r="L79" s="15" t="str">
        <f t="shared" si="10"/>
        <v>경고</v>
      </c>
      <c r="N79" s="1"/>
    </row>
    <row r="80" spans="1:14" ht="25" customHeight="1" x14ac:dyDescent="0.45">
      <c r="A80" s="5"/>
      <c r="B80" s="25"/>
      <c r="C80" s="68">
        <v>27</v>
      </c>
      <c r="D80" s="69">
        <f t="shared" si="9"/>
        <v>90</v>
      </c>
      <c r="E80" s="69">
        <f t="shared" si="8"/>
        <v>6</v>
      </c>
      <c r="F80" s="55">
        <f t="shared" si="11"/>
        <v>38.450000000000003</v>
      </c>
      <c r="G80" s="56">
        <f>IF(D80=D79,"",_xlfn.IFNA(VLOOKUP(D80,'인원 입력 기능(국수)'!$F$5:$I$103,4,FALSE),0))</f>
        <v>4792</v>
      </c>
      <c r="H80" s="57">
        <f t="shared" si="12"/>
        <v>1.4326116462477653E-2</v>
      </c>
      <c r="I80" s="70">
        <f>SUM($G$7:G80)</f>
        <v>208265</v>
      </c>
      <c r="J80" s="59">
        <f t="shared" si="13"/>
        <v>0.62262701274163368</v>
      </c>
      <c r="K80" s="26"/>
      <c r="L80" s="15" t="str">
        <f t="shared" si="10"/>
        <v/>
      </c>
      <c r="N80" s="1"/>
    </row>
    <row r="81" spans="1:14" ht="25" customHeight="1" x14ac:dyDescent="0.45">
      <c r="A81" s="5"/>
      <c r="B81" s="25"/>
      <c r="C81" s="68">
        <v>26</v>
      </c>
      <c r="D81" s="69">
        <f t="shared" si="9"/>
        <v>89</v>
      </c>
      <c r="E81" s="69">
        <f t="shared" si="8"/>
        <v>6</v>
      </c>
      <c r="F81" s="55">
        <f t="shared" si="11"/>
        <v>36.92</v>
      </c>
      <c r="G81" s="56">
        <f>IF(D81=D80,"",_xlfn.IFNA(VLOOKUP(D81,'인원 입력 기능(국수)'!$F$5:$I$103,4,FALSE),0))</f>
        <v>5441</v>
      </c>
      <c r="H81" s="57">
        <f t="shared" si="12"/>
        <v>1.6266360532625399E-2</v>
      </c>
      <c r="I81" s="70">
        <f>SUM($G$7:G81)</f>
        <v>213706</v>
      </c>
      <c r="J81" s="59">
        <f t="shared" si="13"/>
        <v>0.63889337327425899</v>
      </c>
      <c r="K81" s="26"/>
      <c r="L81" s="15" t="str">
        <f t="shared" si="10"/>
        <v/>
      </c>
      <c r="N81" s="1"/>
    </row>
    <row r="82" spans="1:14" ht="25" customHeight="1" x14ac:dyDescent="0.45">
      <c r="A82" s="5"/>
      <c r="B82" s="25"/>
      <c r="C82" s="68">
        <v>25</v>
      </c>
      <c r="D82" s="69">
        <f t="shared" si="9"/>
        <v>88</v>
      </c>
      <c r="E82" s="69">
        <f t="shared" si="8"/>
        <v>6</v>
      </c>
      <c r="F82" s="55">
        <f t="shared" si="11"/>
        <v>35.15</v>
      </c>
      <c r="G82" s="56">
        <f>IF(D82=D81,"",_xlfn.IFNA(VLOOKUP(D82,'인원 입력 기능(국수)'!$F$5:$I$103,4,FALSE),0))</f>
        <v>6427</v>
      </c>
      <c r="H82" s="57">
        <f t="shared" si="12"/>
        <v>1.9214096515931527E-2</v>
      </c>
      <c r="I82" s="70">
        <f>SUM($G$7:G82)</f>
        <v>220133</v>
      </c>
      <c r="J82" s="59">
        <f t="shared" si="13"/>
        <v>0.65810746979019052</v>
      </c>
      <c r="K82" s="26"/>
      <c r="L82" s="15" t="str">
        <f t="shared" si="10"/>
        <v/>
      </c>
      <c r="N82" s="1"/>
    </row>
    <row r="83" spans="1:14" ht="25" customHeight="1" x14ac:dyDescent="0.45">
      <c r="A83" s="5"/>
      <c r="B83" s="25"/>
      <c r="C83" s="68">
        <v>24</v>
      </c>
      <c r="D83" s="69">
        <f t="shared" si="9"/>
        <v>87</v>
      </c>
      <c r="E83" s="69">
        <f t="shared" si="8"/>
        <v>6</v>
      </c>
      <c r="F83" s="55">
        <f t="shared" si="11"/>
        <v>33.409999999999997</v>
      </c>
      <c r="G83" s="56">
        <f>IF(D83=D82,"",_xlfn.IFNA(VLOOKUP(D83,'인원 입력 기능(국수)'!$F$5:$I$103,4,FALSE),0))</f>
        <v>5231</v>
      </c>
      <c r="H83" s="57">
        <f t="shared" si="12"/>
        <v>1.5638546580805636E-2</v>
      </c>
      <c r="I83" s="70">
        <f>SUM($G$7:G83)</f>
        <v>225364</v>
      </c>
      <c r="J83" s="59">
        <f t="shared" si="13"/>
        <v>0.67374601637099618</v>
      </c>
      <c r="K83" s="26"/>
      <c r="L83" s="15" t="str">
        <f t="shared" si="10"/>
        <v/>
      </c>
      <c r="N83" s="1"/>
    </row>
    <row r="84" spans="1:14" ht="25" customHeight="1" x14ac:dyDescent="0.45">
      <c r="A84" s="5"/>
      <c r="B84" s="25"/>
      <c r="C84" s="68">
        <v>23</v>
      </c>
      <c r="D84" s="69">
        <f t="shared" si="9"/>
        <v>86</v>
      </c>
      <c r="E84" s="69">
        <f t="shared" si="8"/>
        <v>6</v>
      </c>
      <c r="F84" s="55">
        <f t="shared" si="11"/>
        <v>31.73</v>
      </c>
      <c r="G84" s="56">
        <f>IF(D84=D83,"",_xlfn.IFNA(VLOOKUP(D84,'인원 입력 기능(국수)'!$F$5:$I$103,4,FALSE),0))</f>
        <v>5994</v>
      </c>
      <c r="H84" s="57">
        <f t="shared" si="12"/>
        <v>1.7919603939084108E-2</v>
      </c>
      <c r="I84" s="70">
        <f>SUM($G$7:G84)</f>
        <v>231358</v>
      </c>
      <c r="J84" s="59">
        <f t="shared" si="13"/>
        <v>0.69166562031008028</v>
      </c>
      <c r="K84" s="26"/>
      <c r="L84" s="15" t="str">
        <f t="shared" si="10"/>
        <v/>
      </c>
      <c r="N84" s="1"/>
    </row>
    <row r="85" spans="1:14" ht="25" customHeight="1" x14ac:dyDescent="0.45">
      <c r="A85" s="5"/>
      <c r="B85" s="25"/>
      <c r="C85" s="68">
        <v>22</v>
      </c>
      <c r="D85" s="69">
        <f t="shared" si="9"/>
        <v>85</v>
      </c>
      <c r="E85" s="69">
        <f t="shared" si="8"/>
        <v>6</v>
      </c>
      <c r="F85" s="55">
        <f t="shared" si="11"/>
        <v>29.8</v>
      </c>
      <c r="G85" s="56">
        <f>IF(D85=D84,"",_xlfn.IFNA(VLOOKUP(D85,'인원 입력 기능(국수)'!$F$5:$I$103,4,FALSE),0))</f>
        <v>6882</v>
      </c>
      <c r="H85" s="57">
        <f t="shared" si="12"/>
        <v>2.057436007820768E-2</v>
      </c>
      <c r="I85" s="70">
        <f>SUM($G$7:G85)</f>
        <v>238240</v>
      </c>
      <c r="J85" s="59">
        <f t="shared" si="13"/>
        <v>0.71223998038828795</v>
      </c>
      <c r="K85" s="26"/>
      <c r="L85" s="15" t="str">
        <f t="shared" si="10"/>
        <v/>
      </c>
      <c r="N85" s="1"/>
    </row>
    <row r="86" spans="1:14" ht="25" customHeight="1" x14ac:dyDescent="0.45">
      <c r="A86" s="5"/>
      <c r="B86" s="25"/>
      <c r="C86" s="68">
        <v>21</v>
      </c>
      <c r="D86" s="69">
        <f t="shared" si="9"/>
        <v>84</v>
      </c>
      <c r="E86" s="69">
        <f t="shared" si="8"/>
        <v>6</v>
      </c>
      <c r="F86" s="55">
        <f t="shared" si="11"/>
        <v>27.95</v>
      </c>
      <c r="G86" s="56">
        <f>IF(D86=D85,"",_xlfn.IFNA(VLOOKUP(D86,'인원 입력 기능(국수)'!$F$5:$I$103,4,FALSE),0))</f>
        <v>5517</v>
      </c>
      <c r="H86" s="57">
        <f t="shared" si="12"/>
        <v>1.6493569391379217E-2</v>
      </c>
      <c r="I86" s="70">
        <f>SUM($G$7:G86)</f>
        <v>243757</v>
      </c>
      <c r="J86" s="59">
        <f t="shared" si="13"/>
        <v>0.7287335497796672</v>
      </c>
      <c r="K86" s="26"/>
      <c r="L86" s="15" t="str">
        <f t="shared" si="10"/>
        <v/>
      </c>
      <c r="N86" s="1"/>
    </row>
    <row r="87" spans="1:14" ht="25" customHeight="1" x14ac:dyDescent="0.45">
      <c r="A87" s="5"/>
      <c r="B87" s="25"/>
      <c r="C87" s="68">
        <v>20</v>
      </c>
      <c r="D87" s="69">
        <f t="shared" si="9"/>
        <v>83</v>
      </c>
      <c r="E87" s="69">
        <f t="shared" si="8"/>
        <v>6</v>
      </c>
      <c r="F87" s="55">
        <f t="shared" si="11"/>
        <v>26.11</v>
      </c>
      <c r="G87" s="56">
        <f>IF(D87=D86,"",_xlfn.IFNA(VLOOKUP(D87,'인원 입력 기능(국수)'!$F$5:$I$103,4,FALSE),0))</f>
        <v>6770</v>
      </c>
      <c r="H87" s="57">
        <f t="shared" si="12"/>
        <v>2.0239525970570472E-2</v>
      </c>
      <c r="I87" s="70">
        <f>SUM($G$7:G87)</f>
        <v>250527</v>
      </c>
      <c r="J87" s="59">
        <f t="shared" si="13"/>
        <v>0.74897307575023764</v>
      </c>
      <c r="K87" s="26"/>
      <c r="L87" s="15" t="str">
        <f t="shared" si="10"/>
        <v/>
      </c>
      <c r="N87" s="1"/>
    </row>
    <row r="88" spans="1:14" ht="25" customHeight="1" x14ac:dyDescent="0.45">
      <c r="A88" s="5"/>
      <c r="B88" s="25"/>
      <c r="C88" s="68">
        <v>19</v>
      </c>
      <c r="D88" s="69">
        <f t="shared" si="9"/>
        <v>82</v>
      </c>
      <c r="E88" s="69">
        <f t="shared" si="8"/>
        <v>6</v>
      </c>
      <c r="F88" s="55">
        <f t="shared" si="11"/>
        <v>24.11</v>
      </c>
      <c r="G88" s="56">
        <f>IF(D88=D87,"",_xlfn.IFNA(VLOOKUP(D88,'인원 입력 기능(국수)'!$F$5:$I$103,4,FALSE),0))</f>
        <v>6616</v>
      </c>
      <c r="H88" s="57">
        <f t="shared" si="12"/>
        <v>1.9779129072569315E-2</v>
      </c>
      <c r="I88" s="70">
        <f>SUM($G$7:G88)</f>
        <v>257143</v>
      </c>
      <c r="J88" s="59">
        <f t="shared" si="13"/>
        <v>0.76875220482280704</v>
      </c>
      <c r="K88" s="26"/>
      <c r="L88" s="15" t="str">
        <f t="shared" si="10"/>
        <v/>
      </c>
      <c r="N88" s="1"/>
    </row>
    <row r="89" spans="1:14" ht="25" customHeight="1" x14ac:dyDescent="0.45">
      <c r="A89" s="5"/>
      <c r="B89" s="25"/>
      <c r="C89" s="68">
        <v>18</v>
      </c>
      <c r="D89" s="178">
        <f t="shared" si="9"/>
        <v>81</v>
      </c>
      <c r="E89" s="178">
        <f t="shared" si="8"/>
        <v>6</v>
      </c>
      <c r="F89" s="180">
        <f t="shared" si="11"/>
        <v>21.05</v>
      </c>
      <c r="G89" s="182">
        <f>IF(D89=D88,"",_xlfn.IFNA(VLOOKUP(D89,'인원 입력 기능(국수)'!$F$5:$I$103,4,FALSE),0))</f>
        <v>13874</v>
      </c>
      <c r="H89" s="184">
        <f t="shared" si="12"/>
        <v>4.1477575083559044E-2</v>
      </c>
      <c r="I89" s="174">
        <f>SUM($G$7:G89)</f>
        <v>271017</v>
      </c>
      <c r="J89" s="176">
        <f t="shared" si="13"/>
        <v>0.81022977990636602</v>
      </c>
      <c r="K89" s="26"/>
      <c r="L89" s="15" t="str">
        <f t="shared" si="10"/>
        <v/>
      </c>
      <c r="N89" s="1"/>
    </row>
    <row r="90" spans="1:14" ht="25" customHeight="1" x14ac:dyDescent="0.45">
      <c r="A90" s="5"/>
      <c r="B90" s="25"/>
      <c r="C90" s="68">
        <v>17</v>
      </c>
      <c r="D90" s="179"/>
      <c r="E90" s="179"/>
      <c r="F90" s="181"/>
      <c r="G90" s="183"/>
      <c r="H90" s="185"/>
      <c r="I90" s="175"/>
      <c r="J90" s="177"/>
      <c r="K90" s="26"/>
      <c r="L90" s="15" t="str">
        <f t="shared" si="10"/>
        <v>경고</v>
      </c>
      <c r="N90" s="1"/>
    </row>
    <row r="91" spans="1:14" ht="25" customHeight="1" x14ac:dyDescent="0.45">
      <c r="A91" s="5"/>
      <c r="B91" s="25"/>
      <c r="C91" s="68">
        <v>16</v>
      </c>
      <c r="D91" s="69">
        <f t="shared" si="9"/>
        <v>80</v>
      </c>
      <c r="E91" s="69">
        <f t="shared" si="8"/>
        <v>7</v>
      </c>
      <c r="F91" s="55">
        <f t="shared" si="11"/>
        <v>17.87</v>
      </c>
      <c r="G91" s="56">
        <f>IF(D91=D90,"",_xlfn.IFNA(VLOOKUP(D91,'인원 입력 기능(국수)'!$F$5:$I$103,4,FALSE),0))</f>
        <v>7403</v>
      </c>
      <c r="H91" s="57">
        <f t="shared" si="12"/>
        <v>2.2131936596770048E-2</v>
      </c>
      <c r="I91" s="70">
        <f>SUM($G$7:G91)</f>
        <v>278420</v>
      </c>
      <c r="J91" s="59">
        <f t="shared" si="13"/>
        <v>0.83236171650313606</v>
      </c>
      <c r="K91" s="26"/>
      <c r="L91" s="15" t="str">
        <f t="shared" si="10"/>
        <v/>
      </c>
      <c r="N91" s="1"/>
    </row>
    <row r="92" spans="1:14" ht="25" customHeight="1" x14ac:dyDescent="0.45">
      <c r="A92" s="5"/>
      <c r="B92" s="25"/>
      <c r="C92" s="68">
        <v>15</v>
      </c>
      <c r="D92" s="69">
        <f t="shared" si="9"/>
        <v>79</v>
      </c>
      <c r="E92" s="69">
        <f t="shared" si="8"/>
        <v>7</v>
      </c>
      <c r="F92" s="55">
        <f t="shared" si="11"/>
        <v>15.74</v>
      </c>
      <c r="G92" s="56">
        <f>IF(D92=D91,"",_xlfn.IFNA(VLOOKUP(D92,'인원 입력 기능(국수)'!$F$5:$I$103,4,FALSE),0))</f>
        <v>6862</v>
      </c>
      <c r="H92" s="57">
        <f t="shared" si="12"/>
        <v>2.0514568273272464E-2</v>
      </c>
      <c r="I92" s="70">
        <f>SUM($G$7:G92)</f>
        <v>285282</v>
      </c>
      <c r="J92" s="59">
        <f t="shared" si="13"/>
        <v>0.85287628477640853</v>
      </c>
      <c r="K92" s="26"/>
      <c r="L92" s="15" t="str">
        <f t="shared" si="10"/>
        <v/>
      </c>
      <c r="N92" s="1"/>
    </row>
    <row r="93" spans="1:14" ht="25" customHeight="1" x14ac:dyDescent="0.45">
      <c r="A93" s="5"/>
      <c r="B93" s="25"/>
      <c r="C93" s="68">
        <v>14</v>
      </c>
      <c r="D93" s="69">
        <f t="shared" si="9"/>
        <v>78</v>
      </c>
      <c r="E93" s="69">
        <f t="shared" si="8"/>
        <v>7</v>
      </c>
      <c r="F93" s="55">
        <f t="shared" si="11"/>
        <v>13.48</v>
      </c>
      <c r="G93" s="56">
        <f>IF(D93=D92,"",_xlfn.IFNA(VLOOKUP(D93,'인원 입력 기능(국수)'!$F$5:$I$103,4,FALSE),0))</f>
        <v>8211</v>
      </c>
      <c r="H93" s="57">
        <f t="shared" si="12"/>
        <v>2.4547525516152757E-2</v>
      </c>
      <c r="I93" s="70">
        <f>SUM($G$7:G93)</f>
        <v>293493</v>
      </c>
      <c r="J93" s="59">
        <f t="shared" si="13"/>
        <v>0.87742381029256133</v>
      </c>
      <c r="K93" s="26"/>
      <c r="L93" s="15" t="str">
        <f t="shared" si="10"/>
        <v/>
      </c>
      <c r="N93" s="1"/>
    </row>
    <row r="94" spans="1:14" ht="25" customHeight="1" x14ac:dyDescent="0.45">
      <c r="A94" s="5"/>
      <c r="B94" s="25"/>
      <c r="C94" s="68">
        <v>13</v>
      </c>
      <c r="D94" s="69">
        <f t="shared" si="9"/>
        <v>77</v>
      </c>
      <c r="E94" s="69">
        <f t="shared" si="8"/>
        <v>7</v>
      </c>
      <c r="F94" s="55">
        <f t="shared" si="11"/>
        <v>11.57</v>
      </c>
      <c r="G94" s="56">
        <f>IF(D94=D93,"",_xlfn.IFNA(VLOOKUP(D94,'인원 입력 기능(국수)'!$F$5:$I$103,4,FALSE),0))</f>
        <v>4581</v>
      </c>
      <c r="H94" s="57">
        <f t="shared" si="12"/>
        <v>1.3695312920411129E-2</v>
      </c>
      <c r="I94" s="70">
        <f>SUM($G$7:G94)</f>
        <v>298074</v>
      </c>
      <c r="J94" s="59">
        <f t="shared" si="13"/>
        <v>0.89111912321297237</v>
      </c>
      <c r="K94" s="26"/>
      <c r="L94" s="15" t="str">
        <f t="shared" si="10"/>
        <v/>
      </c>
      <c r="N94" s="1"/>
    </row>
    <row r="95" spans="1:14" ht="25" customHeight="1" x14ac:dyDescent="0.45">
      <c r="A95" s="5"/>
      <c r="B95" s="25"/>
      <c r="C95" s="68">
        <v>12</v>
      </c>
      <c r="D95" s="69">
        <f t="shared" si="9"/>
        <v>76</v>
      </c>
      <c r="E95" s="69">
        <f t="shared" si="8"/>
        <v>8</v>
      </c>
      <c r="F95" s="55">
        <f t="shared" si="11"/>
        <v>8.11</v>
      </c>
      <c r="G95" s="56">
        <f>IF(D95=D94,"",_xlfn.IFNA(VLOOKUP(D95,'인원 입력 기능(국수)'!$F$5:$I$103,4,FALSE),0))</f>
        <v>18585</v>
      </c>
      <c r="H95" s="57">
        <f t="shared" si="12"/>
        <v>5.5561534736049079E-2</v>
      </c>
      <c r="I95" s="70">
        <f>SUM($G$7:G95)</f>
        <v>316659</v>
      </c>
      <c r="J95" s="59">
        <f t="shared" si="13"/>
        <v>0.94668065794902145</v>
      </c>
      <c r="K95" s="26"/>
      <c r="L95" s="15" t="str">
        <f t="shared" si="10"/>
        <v/>
      </c>
      <c r="N95" s="1"/>
    </row>
    <row r="96" spans="1:14" ht="25" customHeight="1" x14ac:dyDescent="0.45">
      <c r="A96" s="5"/>
      <c r="B96" s="25"/>
      <c r="C96" s="68">
        <v>11</v>
      </c>
      <c r="D96" s="69">
        <f t="shared" si="9"/>
        <v>75</v>
      </c>
      <c r="E96" s="69">
        <f t="shared" si="8"/>
        <v>8</v>
      </c>
      <c r="F96" s="55">
        <f t="shared" si="11"/>
        <v>4.82</v>
      </c>
      <c r="G96" s="56">
        <f>IF(D96=D95,"",_xlfn.IFNA(VLOOKUP(D96,'인원 입력 기능(국수)'!$F$5:$I$103,4,FALSE),0))</f>
        <v>3453</v>
      </c>
      <c r="H96" s="57">
        <f t="shared" si="12"/>
        <v>1.032305512206497E-2</v>
      </c>
      <c r="I96" s="70">
        <f>SUM($G$7:G96)</f>
        <v>320112</v>
      </c>
      <c r="J96" s="59">
        <f t="shared" si="13"/>
        <v>0.95700371307108645</v>
      </c>
      <c r="K96" s="26"/>
      <c r="L96" s="15" t="str">
        <f t="shared" si="10"/>
        <v/>
      </c>
      <c r="N96" s="1"/>
    </row>
    <row r="97" spans="1:14" ht="25" customHeight="1" x14ac:dyDescent="0.45">
      <c r="A97" s="5"/>
      <c r="B97" s="25"/>
      <c r="C97" s="68">
        <v>10</v>
      </c>
      <c r="D97" s="69">
        <f t="shared" si="9"/>
        <v>74</v>
      </c>
      <c r="E97" s="69">
        <f t="shared" si="8"/>
        <v>8</v>
      </c>
      <c r="F97" s="55">
        <f t="shared" si="11"/>
        <v>3.77</v>
      </c>
      <c r="G97" s="56">
        <f>IF(D97=D96,"",_xlfn.IFNA(VLOOKUP(D97,'인원 입력 기능(국수)'!$F$5:$I$103,4,FALSE),0))</f>
        <v>3512</v>
      </c>
      <c r="H97" s="57">
        <f t="shared" si="12"/>
        <v>1.0499440946623856E-2</v>
      </c>
      <c r="I97" s="70">
        <f>SUM($G$7:G97)</f>
        <v>323624</v>
      </c>
      <c r="J97" s="59">
        <f t="shared" si="13"/>
        <v>0.96750315401771037</v>
      </c>
      <c r="K97" s="26"/>
      <c r="L97" s="15" t="str">
        <f t="shared" si="10"/>
        <v/>
      </c>
      <c r="N97" s="1"/>
    </row>
    <row r="98" spans="1:14" ht="25" customHeight="1" x14ac:dyDescent="0.45">
      <c r="A98" s="5"/>
      <c r="B98" s="25"/>
      <c r="C98" s="68">
        <v>9</v>
      </c>
      <c r="D98" s="69">
        <f t="shared" si="9"/>
        <v>73</v>
      </c>
      <c r="E98" s="69">
        <f t="shared" si="8"/>
        <v>9</v>
      </c>
      <c r="F98" s="55">
        <f t="shared" si="11"/>
        <v>2.84</v>
      </c>
      <c r="G98" s="56">
        <f>IF(D98=D97,"",_xlfn.IFNA(VLOOKUP(D98,'인원 입력 기능(국수)'!$F$5:$I$103,4,FALSE),0))</f>
        <v>2751</v>
      </c>
      <c r="H98" s="57">
        <f t="shared" si="12"/>
        <v>8.224362768838903E-3</v>
      </c>
      <c r="I98" s="70">
        <f>SUM($G$7:G98)</f>
        <v>326375</v>
      </c>
      <c r="J98" s="59">
        <f t="shared" si="13"/>
        <v>0.97572751678654923</v>
      </c>
      <c r="K98" s="26"/>
      <c r="L98" s="15" t="str">
        <f t="shared" si="10"/>
        <v/>
      </c>
      <c r="N98" s="1"/>
    </row>
    <row r="99" spans="1:14" ht="25" customHeight="1" x14ac:dyDescent="0.45">
      <c r="A99" s="5"/>
      <c r="B99" s="25"/>
      <c r="C99" s="68">
        <v>8</v>
      </c>
      <c r="D99" s="178">
        <f t="shared" si="9"/>
        <v>72</v>
      </c>
      <c r="E99" s="178">
        <f t="shared" si="8"/>
        <v>9</v>
      </c>
      <c r="F99" s="180">
        <f t="shared" si="11"/>
        <v>1.88</v>
      </c>
      <c r="G99" s="182">
        <f>IF(D99=D98,"",_xlfn.IFNA(VLOOKUP(D99,'인원 입력 기능(국수)'!$F$5:$I$103,4,FALSE),0))</f>
        <v>3684</v>
      </c>
      <c r="H99" s="184">
        <f t="shared" si="12"/>
        <v>1.1013650469066709E-2</v>
      </c>
      <c r="I99" s="174">
        <f>SUM($G$7:G99)</f>
        <v>330059</v>
      </c>
      <c r="J99" s="176">
        <f t="shared" si="13"/>
        <v>0.98674116725561589</v>
      </c>
      <c r="K99" s="26"/>
      <c r="L99" s="15" t="str">
        <f t="shared" si="10"/>
        <v/>
      </c>
      <c r="N99" s="1"/>
    </row>
    <row r="100" spans="1:14" ht="25" customHeight="1" x14ac:dyDescent="0.45">
      <c r="A100" s="5"/>
      <c r="B100" s="25"/>
      <c r="C100" s="68">
        <v>7</v>
      </c>
      <c r="D100" s="179"/>
      <c r="E100" s="179"/>
      <c r="F100" s="181"/>
      <c r="G100" s="183"/>
      <c r="H100" s="185"/>
      <c r="I100" s="175"/>
      <c r="J100" s="177"/>
      <c r="K100" s="26"/>
      <c r="L100" s="15" t="str">
        <f t="shared" si="10"/>
        <v>경고</v>
      </c>
      <c r="N100" s="1"/>
    </row>
    <row r="101" spans="1:14" ht="25" customHeight="1" x14ac:dyDescent="0.45">
      <c r="A101" s="5"/>
      <c r="B101" s="25"/>
      <c r="C101" s="60">
        <v>6</v>
      </c>
      <c r="D101" s="54">
        <f t="shared" si="9"/>
        <v>71</v>
      </c>
      <c r="E101" s="69">
        <f t="shared" si="8"/>
        <v>9</v>
      </c>
      <c r="F101" s="55">
        <f t="shared" si="11"/>
        <v>1.1299999999999999</v>
      </c>
      <c r="G101" s="56">
        <f>IF(D101=D100,"",_xlfn.IFNA(VLOOKUP(D101,'인원 입력 기능(국수)'!$F$5:$I$103,4,FALSE),0))</f>
        <v>1282</v>
      </c>
      <c r="H101" s="57">
        <f t="shared" si="12"/>
        <v>3.8326546963473188E-3</v>
      </c>
      <c r="I101" s="67">
        <f>SUM($G$7:G101)</f>
        <v>331341</v>
      </c>
      <c r="J101" s="59">
        <f t="shared" si="13"/>
        <v>0.99057382195196331</v>
      </c>
      <c r="K101" s="26"/>
      <c r="L101" s="15" t="str">
        <f t="shared" si="10"/>
        <v/>
      </c>
      <c r="N101" s="1"/>
    </row>
    <row r="102" spans="1:14" ht="25" customHeight="1" x14ac:dyDescent="0.45">
      <c r="A102" s="5"/>
      <c r="B102" s="25"/>
      <c r="C102" s="60">
        <v>5</v>
      </c>
      <c r="D102" s="54">
        <f t="shared" si="9"/>
        <v>70</v>
      </c>
      <c r="E102" s="69">
        <f t="shared" si="8"/>
        <v>9</v>
      </c>
      <c r="F102" s="55">
        <f t="shared" si="11"/>
        <v>0.82</v>
      </c>
      <c r="G102" s="56">
        <f>IF(D102=D101,"",_xlfn.IFNA(VLOOKUP(D102,'인원 입력 기능(국수)'!$F$5:$I$103,4,FALSE),0))</f>
        <v>851</v>
      </c>
      <c r="H102" s="57">
        <f t="shared" si="12"/>
        <v>2.5441412999934231E-3</v>
      </c>
      <c r="I102" s="67">
        <f>SUM($G$7:G102)</f>
        <v>332192</v>
      </c>
      <c r="J102" s="59">
        <f t="shared" si="13"/>
        <v>0.99311796325195667</v>
      </c>
      <c r="K102" s="26"/>
      <c r="L102" s="15" t="str">
        <f t="shared" si="10"/>
        <v/>
      </c>
      <c r="N102" s="1"/>
    </row>
    <row r="103" spans="1:14" ht="25" customHeight="1" x14ac:dyDescent="0.45">
      <c r="A103" s="5"/>
      <c r="B103" s="25"/>
      <c r="C103" s="60">
        <v>4</v>
      </c>
      <c r="D103" s="54">
        <f t="shared" si="9"/>
        <v>69</v>
      </c>
      <c r="E103" s="69">
        <f t="shared" si="8"/>
        <v>9</v>
      </c>
      <c r="F103" s="55">
        <f t="shared" si="11"/>
        <v>0.61</v>
      </c>
      <c r="G103" s="56">
        <f>IF(D103=D102,"",_xlfn.IFNA(VLOOKUP(D103,'인원 입력 기능(국수)'!$F$5:$I$103,4,FALSE),0))</f>
        <v>510</v>
      </c>
      <c r="H103" s="57">
        <f t="shared" si="12"/>
        <v>1.5246910258479972E-3</v>
      </c>
      <c r="I103" s="67">
        <f>SUM($G$7:G103)</f>
        <v>332702</v>
      </c>
      <c r="J103" s="59">
        <f t="shared" si="13"/>
        <v>0.99464265427780474</v>
      </c>
      <c r="K103" s="26"/>
      <c r="L103" s="15" t="str">
        <f t="shared" si="10"/>
        <v/>
      </c>
      <c r="N103" s="1"/>
    </row>
    <row r="104" spans="1:14" ht="25" customHeight="1" x14ac:dyDescent="0.45">
      <c r="A104" s="5"/>
      <c r="B104" s="25"/>
      <c r="C104" s="60">
        <v>3</v>
      </c>
      <c r="D104" s="54">
        <f t="shared" si="9"/>
        <v>68</v>
      </c>
      <c r="E104" s="54">
        <f t="shared" si="8"/>
        <v>9</v>
      </c>
      <c r="F104" s="55">
        <f t="shared" si="11"/>
        <v>0.48</v>
      </c>
      <c r="G104" s="56">
        <f>IF(D104=D103,"",_xlfn.IFNA(VLOOKUP(D104,'인원 입력 기능(국수)'!$F$5:$I$103,4,FALSE),0))</f>
        <v>406</v>
      </c>
      <c r="H104" s="57">
        <f t="shared" si="12"/>
        <v>1.2137736401848763E-3</v>
      </c>
      <c r="I104" s="67">
        <f>SUM($G$7:G104)</f>
        <v>333108</v>
      </c>
      <c r="J104" s="59">
        <f t="shared" si="13"/>
        <v>0.99585642791798956</v>
      </c>
      <c r="K104" s="26"/>
      <c r="L104" s="15" t="str">
        <f t="shared" si="10"/>
        <v/>
      </c>
      <c r="N104" s="1"/>
    </row>
    <row r="105" spans="1:14" ht="25" customHeight="1" x14ac:dyDescent="0.45">
      <c r="A105" s="5"/>
      <c r="B105" s="25"/>
      <c r="C105" s="60">
        <v>2</v>
      </c>
      <c r="D105" s="54">
        <f t="shared" ref="D105" si="14">ROUND(20*(C105-$H$3)/$H$4+100,0)</f>
        <v>67</v>
      </c>
      <c r="E105" s="54">
        <f t="shared" si="8"/>
        <v>9</v>
      </c>
      <c r="F105" s="55">
        <f t="shared" si="11"/>
        <v>0.36</v>
      </c>
      <c r="G105" s="56">
        <f>IF(D105=D104,"",_xlfn.IFNA(VLOOKUP(D105,'인원 입력 기능(국수)'!$F$5:$I$103,4,FALSE),0))</f>
        <v>367</v>
      </c>
      <c r="H105" s="57">
        <f t="shared" si="12"/>
        <v>1.0971796205612059E-3</v>
      </c>
      <c r="I105" s="67">
        <f>SUM($G$7:G105)</f>
        <v>333475</v>
      </c>
      <c r="J105" s="59">
        <f t="shared" si="13"/>
        <v>0.99695360753855078</v>
      </c>
      <c r="K105" s="26"/>
      <c r="L105" s="15" t="str">
        <f t="shared" si="10"/>
        <v/>
      </c>
      <c r="N105" s="1"/>
    </row>
    <row r="106" spans="1:14" ht="25" customHeight="1" x14ac:dyDescent="0.45">
      <c r="A106" s="5"/>
      <c r="B106" s="25"/>
      <c r="C106" s="60">
        <v>1</v>
      </c>
      <c r="D106" s="61" t="s">
        <v>56</v>
      </c>
      <c r="E106" s="61"/>
      <c r="F106" s="62"/>
      <c r="G106" s="63"/>
      <c r="H106" s="64"/>
      <c r="I106" s="71"/>
      <c r="J106" s="66"/>
      <c r="K106" s="26"/>
      <c r="L106" s="15"/>
    </row>
    <row r="107" spans="1:14" ht="25" customHeight="1" thickBot="1" x14ac:dyDescent="0.5">
      <c r="A107" s="5"/>
      <c r="B107" s="25"/>
      <c r="C107" s="72">
        <v>0</v>
      </c>
      <c r="D107" s="73">
        <f>ROUND(20*(C107-$H$3)/$H$4+100,0)</f>
        <v>65</v>
      </c>
      <c r="E107" s="73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4">
        <f>IF(I105=0,ROUND(100*(1-(I104+I107)/2/$J$3),2),ROUND(100*(1-(I105+I107)/2/$J$3),2))</f>
        <v>0.15</v>
      </c>
      <c r="G107" s="75">
        <f>_xlfn.IFNA(VLOOKUP(D107,'인원 입력 기능(국수)'!$F$5:$I$103,4,FALSE),0)</f>
        <v>1019</v>
      </c>
      <c r="H107" s="76">
        <f>G107/$J$3</f>
        <v>3.0463924614492336E-3</v>
      </c>
      <c r="I107" s="77">
        <f>SUM($G$7:G107)</f>
        <v>334494</v>
      </c>
      <c r="J107" s="78">
        <f>I107/$J$3</f>
        <v>1</v>
      </c>
      <c r="K107" s="26"/>
      <c r="L107" s="15" t="str">
        <f>IF(ABS((C107-$H$3)/$H$4*20+100-D107)&gt;0.49, "경고", "")</f>
        <v/>
      </c>
    </row>
    <row r="108" spans="1:14" s="5" customFormat="1" ht="6" customHeight="1" x14ac:dyDescent="0.45">
      <c r="B108" s="27"/>
      <c r="C108" s="28"/>
      <c r="D108" s="28"/>
      <c r="E108" s="28"/>
      <c r="F108" s="28"/>
      <c r="G108" s="28"/>
      <c r="H108" s="28"/>
      <c r="I108" s="28"/>
      <c r="J108" s="28"/>
      <c r="K108" s="29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66">
    <mergeCell ref="D3:F3"/>
    <mergeCell ref="D4:F4"/>
    <mergeCell ref="I4:J5"/>
    <mergeCell ref="D14:D15"/>
    <mergeCell ref="E14:E15"/>
    <mergeCell ref="F14:F15"/>
    <mergeCell ref="G14:G15"/>
    <mergeCell ref="H14:H15"/>
    <mergeCell ref="I14:I15"/>
    <mergeCell ref="J14:J15"/>
    <mergeCell ref="I25:I26"/>
    <mergeCell ref="J25:J26"/>
    <mergeCell ref="D36:D37"/>
    <mergeCell ref="E36:E37"/>
    <mergeCell ref="F36:F37"/>
    <mergeCell ref="G36:G37"/>
    <mergeCell ref="H36:H37"/>
    <mergeCell ref="I36:I37"/>
    <mergeCell ref="J36:J37"/>
    <mergeCell ref="D25:D26"/>
    <mergeCell ref="E25:E26"/>
    <mergeCell ref="F25:F26"/>
    <mergeCell ref="G25:G26"/>
    <mergeCell ref="H25:H26"/>
    <mergeCell ref="I46:I47"/>
    <mergeCell ref="J46:J47"/>
    <mergeCell ref="D57:D58"/>
    <mergeCell ref="E57:E58"/>
    <mergeCell ref="F57:F58"/>
    <mergeCell ref="G57:G58"/>
    <mergeCell ref="H57:H58"/>
    <mergeCell ref="I57:I58"/>
    <mergeCell ref="J57:J58"/>
    <mergeCell ref="D46:D47"/>
    <mergeCell ref="E46:E47"/>
    <mergeCell ref="F46:F47"/>
    <mergeCell ref="G46:G47"/>
    <mergeCell ref="H46:H47"/>
    <mergeCell ref="I67:I68"/>
    <mergeCell ref="J67:J68"/>
    <mergeCell ref="D78:D79"/>
    <mergeCell ref="E78:E79"/>
    <mergeCell ref="F78:F79"/>
    <mergeCell ref="G78:G79"/>
    <mergeCell ref="H78:H79"/>
    <mergeCell ref="I78:I79"/>
    <mergeCell ref="J78:J79"/>
    <mergeCell ref="D67:D68"/>
    <mergeCell ref="E67:E68"/>
    <mergeCell ref="F67:F68"/>
    <mergeCell ref="G67:G68"/>
    <mergeCell ref="H67:H68"/>
    <mergeCell ref="I89:I90"/>
    <mergeCell ref="J89:J90"/>
    <mergeCell ref="D99:D100"/>
    <mergeCell ref="E99:E100"/>
    <mergeCell ref="F99:F100"/>
    <mergeCell ref="G99:G100"/>
    <mergeCell ref="H99:H100"/>
    <mergeCell ref="I99:I100"/>
    <mergeCell ref="J99:J100"/>
    <mergeCell ref="D89:D90"/>
    <mergeCell ref="E89:E90"/>
    <mergeCell ref="F89:F90"/>
    <mergeCell ref="G89:G90"/>
    <mergeCell ref="H89:H90"/>
  </mergeCells>
  <phoneticPr fontId="1" type="noConversion"/>
  <conditionalFormatting sqref="D7:G14 I7:J14 D16:G25 I16:J25 D27:G36 I27:J36 D38:G46 I38:J46 D48:G57 I48:J57 D59:G67 I59:J67 D69:G78 I69:J78 D80:G89 I80:J89 D91:G99 I91:J99 D101:G107 I101:J107">
    <cfRule type="expression" dxfId="58" priority="4">
      <formula>OR($D7=$Q$7:$Q$14)</formula>
    </cfRule>
  </conditionalFormatting>
  <conditionalFormatting sqref="C7:C106">
    <cfRule type="expression" dxfId="57" priority="3">
      <formula>OR(AND($D7=0,OR($D6=$Q$7:$Q$14)),AND($D8&gt;0,OR($D7=$Q$7:$Q$14)))</formula>
    </cfRule>
  </conditionalFormatting>
  <conditionalFormatting sqref="D7:D14 D16:D25 D27:D36 D38:D46 D48:D57 D59:D67 D69:D78 D80:D89 D91:D99 D101:D106">
    <cfRule type="expression" dxfId="56" priority="2">
      <formula>$D7=$D8</formula>
    </cfRule>
  </conditionalFormatting>
  <conditionalFormatting sqref="H7:H14 H16:H25 H27:H36 H38:H46 H48:H57 H59:H67 H69:H78 H80:H89 H91:H99 H101:H107">
    <cfRule type="expression" dxfId="55" priority="1">
      <formula>OR($D7=$Q$7:$Q$14)</formula>
    </cfRule>
  </conditionalFormatting>
  <conditionalFormatting sqref="C107">
    <cfRule type="expression" dxfId="54" priority="11">
      <formula>OR(AND($D107=0,OR($D106=$Q$7:$Q$14)),AND($D109&gt;0,OR($D107=$Q$7:$Q$14)))</formula>
    </cfRule>
  </conditionalFormatting>
  <conditionalFormatting sqref="D107">
    <cfRule type="expression" dxfId="53" priority="13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47" t="s">
        <v>133</v>
      </c>
      <c r="B1" s="152"/>
      <c r="C1" s="28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2" ht="25" customHeight="1" thickBot="1" x14ac:dyDescent="0.5">
      <c r="A3" s="5"/>
      <c r="B3" s="151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기능'!D6</f>
        <v>55.51</v>
      </c>
      <c r="I3" s="16" t="s">
        <v>70</v>
      </c>
      <c r="J3" s="45">
        <f>'통계 및 응시자 수 입력 기능'!C6</f>
        <v>332370</v>
      </c>
      <c r="K3" s="26"/>
    </row>
    <row r="4" spans="1:12" ht="25" customHeight="1" thickBot="1" x14ac:dyDescent="0.5">
      <c r="A4" s="5"/>
      <c r="B4" s="25"/>
      <c r="C4" s="46" t="s">
        <v>71</v>
      </c>
      <c r="D4" s="168" t="s">
        <v>83</v>
      </c>
      <c r="E4" s="169"/>
      <c r="F4" s="170"/>
      <c r="G4" s="47" t="s">
        <v>73</v>
      </c>
      <c r="H4" s="48" t="str">
        <f>'통계 및 응시자 수 입력 기능'!E6</f>
        <v>21.17</v>
      </c>
      <c r="I4" s="171"/>
      <c r="J4" s="172"/>
      <c r="K4" s="26"/>
    </row>
    <row r="5" spans="1:12" ht="25" customHeight="1" thickBot="1" x14ac:dyDescent="0.5">
      <c r="A5" s="5"/>
      <c r="B5" s="25"/>
      <c r="C5" s="15"/>
      <c r="D5" s="15"/>
      <c r="E5" s="15"/>
      <c r="F5" s="15"/>
      <c r="G5" s="15"/>
      <c r="H5" s="15"/>
      <c r="I5" s="190"/>
      <c r="J5" s="190"/>
      <c r="K5" s="26"/>
    </row>
    <row r="6" spans="1:12" ht="25" customHeight="1" thickBot="1" x14ac:dyDescent="0.5">
      <c r="A6" s="5"/>
      <c r="B6" s="25"/>
      <c r="C6" s="49" t="s">
        <v>85</v>
      </c>
      <c r="D6" s="79" t="s">
        <v>86</v>
      </c>
      <c r="E6" s="80" t="s">
        <v>87</v>
      </c>
      <c r="F6" s="50" t="s">
        <v>88</v>
      </c>
      <c r="G6" s="50" t="s">
        <v>89</v>
      </c>
      <c r="H6" s="52" t="s">
        <v>90</v>
      </c>
      <c r="I6" s="15"/>
      <c r="J6" s="15"/>
      <c r="K6" s="26"/>
      <c r="L6" s="5"/>
    </row>
    <row r="7" spans="1:12" ht="25" customHeight="1" x14ac:dyDescent="0.45">
      <c r="A7" s="5"/>
      <c r="B7" s="25"/>
      <c r="C7" s="154">
        <v>1</v>
      </c>
      <c r="D7" s="81">
        <v>90</v>
      </c>
      <c r="E7" s="82">
        <f>'표점등급&amp;절평인원 입력 기능'!D22</f>
        <v>18751</v>
      </c>
      <c r="F7" s="83">
        <f>E7/$J$3</f>
        <v>5.6416042362427414E-2</v>
      </c>
      <c r="G7" s="84">
        <f>SUM($E$7:E7)</f>
        <v>18751</v>
      </c>
      <c r="H7" s="85">
        <f>G7/$J$3</f>
        <v>5.6416042362427414E-2</v>
      </c>
      <c r="I7" s="15"/>
      <c r="J7" s="15"/>
      <c r="K7" s="26"/>
      <c r="L7" s="5"/>
    </row>
    <row r="8" spans="1:12" ht="25" customHeight="1" x14ac:dyDescent="0.45">
      <c r="A8" s="5"/>
      <c r="B8" s="25"/>
      <c r="C8" s="149">
        <v>2</v>
      </c>
      <c r="D8" s="87">
        <v>80</v>
      </c>
      <c r="E8" s="88">
        <f>'표점등급&amp;절평인원 입력 기능'!D23</f>
        <v>29826</v>
      </c>
      <c r="F8" s="89">
        <f t="shared" ref="F8:F15" si="0">E8/$J$3</f>
        <v>8.9737340915245059E-2</v>
      </c>
      <c r="G8" s="90">
        <f>SUM($E$7:E8)</f>
        <v>48577</v>
      </c>
      <c r="H8" s="91">
        <f t="shared" ref="H8:H15" si="1">G8/$J$3</f>
        <v>0.14615338327767247</v>
      </c>
      <c r="I8" s="15"/>
      <c r="J8" s="15"/>
      <c r="K8" s="26"/>
      <c r="L8" s="5"/>
    </row>
    <row r="9" spans="1:12" ht="25" customHeight="1" x14ac:dyDescent="0.45">
      <c r="A9" s="5"/>
      <c r="B9" s="25"/>
      <c r="C9" s="86">
        <v>3</v>
      </c>
      <c r="D9" s="87">
        <v>70</v>
      </c>
      <c r="E9" s="88">
        <f>'표점등급&amp;절평인원 입력 기능'!D24</f>
        <v>44512</v>
      </c>
      <c r="F9" s="89">
        <f t="shared" si="0"/>
        <v>0.13392303757860216</v>
      </c>
      <c r="G9" s="90">
        <f>SUM($E$7:E9)</f>
        <v>93089</v>
      </c>
      <c r="H9" s="91">
        <f t="shared" si="1"/>
        <v>0.28007642085627465</v>
      </c>
      <c r="I9" s="15"/>
      <c r="J9" s="15"/>
      <c r="K9" s="26"/>
      <c r="L9" s="5"/>
    </row>
    <row r="10" spans="1:12" ht="25" customHeight="1" x14ac:dyDescent="0.45">
      <c r="A10" s="5"/>
      <c r="B10" s="25"/>
      <c r="C10" s="86">
        <v>4</v>
      </c>
      <c r="D10" s="87">
        <v>60</v>
      </c>
      <c r="E10" s="88">
        <f>'표점등급&amp;절평인원 입력 기능'!D25</f>
        <v>54348</v>
      </c>
      <c r="F10" s="89">
        <f t="shared" si="0"/>
        <v>0.16351656286668473</v>
      </c>
      <c r="G10" s="90">
        <f>SUM($E$7:E10)</f>
        <v>147437</v>
      </c>
      <c r="H10" s="91">
        <f t="shared" si="1"/>
        <v>0.44359298372295936</v>
      </c>
      <c r="I10" s="15"/>
      <c r="J10" s="15"/>
      <c r="K10" s="26"/>
      <c r="L10" s="5"/>
    </row>
    <row r="11" spans="1:12" ht="25" customHeight="1" x14ac:dyDescent="0.45">
      <c r="A11" s="5"/>
      <c r="B11" s="25"/>
      <c r="C11" s="86">
        <v>5</v>
      </c>
      <c r="D11" s="87">
        <v>50</v>
      </c>
      <c r="E11" s="88">
        <f>'표점등급&amp;절평인원 입력 기능'!D26</f>
        <v>52623</v>
      </c>
      <c r="F11" s="89">
        <f t="shared" si="0"/>
        <v>0.15832656376929324</v>
      </c>
      <c r="G11" s="90">
        <f>SUM($E$7:E11)</f>
        <v>200060</v>
      </c>
      <c r="H11" s="91">
        <f t="shared" si="1"/>
        <v>0.60191954749225263</v>
      </c>
      <c r="I11" s="15"/>
      <c r="J11" s="15"/>
      <c r="K11" s="26"/>
      <c r="L11" s="5"/>
    </row>
    <row r="12" spans="1:12" ht="25" customHeight="1" x14ac:dyDescent="0.45">
      <c r="A12" s="5"/>
      <c r="B12" s="25"/>
      <c r="C12" s="86">
        <v>6</v>
      </c>
      <c r="D12" s="87">
        <v>40</v>
      </c>
      <c r="E12" s="88">
        <f>'표점등급&amp;절평인원 입력 기능'!D27</f>
        <v>46622</v>
      </c>
      <c r="F12" s="89">
        <f t="shared" si="0"/>
        <v>0.14027138430062883</v>
      </c>
      <c r="G12" s="90">
        <f>SUM($E$7:E12)</f>
        <v>246682</v>
      </c>
      <c r="H12" s="91">
        <f t="shared" si="1"/>
        <v>0.74219093179288143</v>
      </c>
      <c r="I12" s="15"/>
      <c r="J12" s="15"/>
      <c r="K12" s="26"/>
      <c r="L12" s="5"/>
    </row>
    <row r="13" spans="1:12" ht="25" customHeight="1" x14ac:dyDescent="0.45">
      <c r="A13" s="5"/>
      <c r="B13" s="25"/>
      <c r="C13" s="86">
        <v>7</v>
      </c>
      <c r="D13" s="87">
        <v>30</v>
      </c>
      <c r="E13" s="88">
        <f>'표점등급&amp;절평인원 입력 기능'!D28</f>
        <v>40743</v>
      </c>
      <c r="F13" s="89">
        <f t="shared" si="0"/>
        <v>0.12258326563769294</v>
      </c>
      <c r="G13" s="90">
        <f>SUM($E$7:E13)</f>
        <v>287425</v>
      </c>
      <c r="H13" s="91">
        <f t="shared" si="1"/>
        <v>0.86477419743057438</v>
      </c>
      <c r="I13" s="15"/>
      <c r="J13" s="15"/>
      <c r="K13" s="26"/>
      <c r="L13" s="5"/>
    </row>
    <row r="14" spans="1:12" ht="25" customHeight="1" x14ac:dyDescent="0.45">
      <c r="A14" s="5"/>
      <c r="B14" s="25"/>
      <c r="C14" s="86">
        <v>8</v>
      </c>
      <c r="D14" s="87">
        <v>20</v>
      </c>
      <c r="E14" s="88">
        <f>'표점등급&amp;절평인원 입력 기능'!D29</f>
        <v>35406</v>
      </c>
      <c r="F14" s="89">
        <f t="shared" si="0"/>
        <v>0.10652585973463309</v>
      </c>
      <c r="G14" s="90">
        <f>SUM($E$7:E14)</f>
        <v>322831</v>
      </c>
      <c r="H14" s="91">
        <f t="shared" si="1"/>
        <v>0.9713000571652074</v>
      </c>
      <c r="I14" s="15"/>
      <c r="J14" s="15"/>
      <c r="K14" s="26"/>
      <c r="L14" s="5"/>
    </row>
    <row r="15" spans="1:12" ht="25" customHeight="1" thickBot="1" x14ac:dyDescent="0.5">
      <c r="A15" s="5"/>
      <c r="B15" s="25"/>
      <c r="C15" s="92">
        <v>9</v>
      </c>
      <c r="D15" s="93">
        <v>0</v>
      </c>
      <c r="E15" s="94">
        <f>'표점등급&amp;절평인원 입력 기능'!D30</f>
        <v>9539</v>
      </c>
      <c r="F15" s="95">
        <f t="shared" si="0"/>
        <v>2.869994283479255E-2</v>
      </c>
      <c r="G15" s="96">
        <f>SUM($E$7:E15)</f>
        <v>332370</v>
      </c>
      <c r="H15" s="97">
        <f t="shared" si="1"/>
        <v>1</v>
      </c>
      <c r="I15" s="15"/>
      <c r="J15" s="15"/>
      <c r="K15" s="26"/>
      <c r="L15" s="5"/>
    </row>
    <row r="16" spans="1:12" ht="6" customHeight="1" x14ac:dyDescent="0.45">
      <c r="A16" s="5"/>
      <c r="B16" s="27"/>
      <c r="C16" s="28"/>
      <c r="D16" s="28"/>
      <c r="E16" s="28"/>
      <c r="F16" s="28"/>
      <c r="G16" s="28"/>
      <c r="H16" s="28"/>
      <c r="I16" s="28"/>
      <c r="J16" s="28"/>
      <c r="K16" s="29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47" t="s">
        <v>133</v>
      </c>
      <c r="B1" s="152"/>
      <c r="C1" s="28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2" ht="25" customHeight="1" thickBot="1" x14ac:dyDescent="0.5">
      <c r="A3" s="5"/>
      <c r="B3" s="151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기능'!D7</f>
        <v>31.76</v>
      </c>
      <c r="I3" s="16" t="s">
        <v>70</v>
      </c>
      <c r="J3" s="45">
        <f>'통계 및 응시자 수 입력 기능'!C7</f>
        <v>329892</v>
      </c>
      <c r="K3" s="26"/>
    </row>
    <row r="4" spans="1:12" ht="25" customHeight="1" thickBot="1" x14ac:dyDescent="0.5">
      <c r="A4" s="5"/>
      <c r="B4" s="25"/>
      <c r="C4" s="46" t="s">
        <v>71</v>
      </c>
      <c r="D4" s="168" t="s">
        <v>84</v>
      </c>
      <c r="E4" s="169"/>
      <c r="F4" s="170"/>
      <c r="G4" s="47" t="s">
        <v>73</v>
      </c>
      <c r="H4" s="48" t="str">
        <f>'통계 및 응시자 수 입력 기능'!E7</f>
        <v>11.17</v>
      </c>
      <c r="I4" s="171"/>
      <c r="J4" s="172"/>
      <c r="K4" s="26"/>
    </row>
    <row r="5" spans="1:12" ht="25" customHeight="1" thickBot="1" x14ac:dyDescent="0.5">
      <c r="A5" s="5"/>
      <c r="B5" s="25"/>
      <c r="C5" s="15"/>
      <c r="D5" s="15"/>
      <c r="E5" s="15"/>
      <c r="F5" s="15"/>
      <c r="G5" s="15"/>
      <c r="H5" s="15"/>
      <c r="I5" s="190"/>
      <c r="J5" s="190"/>
      <c r="K5" s="26"/>
    </row>
    <row r="6" spans="1:12" ht="25" customHeight="1" thickBot="1" x14ac:dyDescent="0.5">
      <c r="A6" s="5"/>
      <c r="B6" s="25"/>
      <c r="C6" s="49" t="s">
        <v>85</v>
      </c>
      <c r="D6" s="79" t="s">
        <v>86</v>
      </c>
      <c r="E6" s="80" t="s">
        <v>87</v>
      </c>
      <c r="F6" s="50" t="s">
        <v>88</v>
      </c>
      <c r="G6" s="50" t="s">
        <v>89</v>
      </c>
      <c r="H6" s="52" t="s">
        <v>90</v>
      </c>
      <c r="I6" s="15"/>
      <c r="J6" s="15"/>
      <c r="K6" s="26"/>
      <c r="L6" s="5"/>
    </row>
    <row r="7" spans="1:12" ht="25" customHeight="1" x14ac:dyDescent="0.45">
      <c r="A7" s="5"/>
      <c r="B7" s="25"/>
      <c r="C7" s="156">
        <v>1</v>
      </c>
      <c r="D7" s="98">
        <v>40</v>
      </c>
      <c r="E7" s="82">
        <f>'표점등급&amp;절평인원 입력 기능'!D31</f>
        <v>90018</v>
      </c>
      <c r="F7" s="83">
        <f>E7/$J$3</f>
        <v>0.27287112145793169</v>
      </c>
      <c r="G7" s="84">
        <f>SUM($E$7:E7)</f>
        <v>90018</v>
      </c>
      <c r="H7" s="85">
        <f>G7/$J$3</f>
        <v>0.27287112145793169</v>
      </c>
      <c r="I7" s="15"/>
      <c r="J7" s="15"/>
      <c r="K7" s="26"/>
      <c r="L7" s="5"/>
    </row>
    <row r="8" spans="1:12" ht="25" customHeight="1" x14ac:dyDescent="0.45">
      <c r="A8" s="5"/>
      <c r="B8" s="25"/>
      <c r="C8" s="148">
        <v>2</v>
      </c>
      <c r="D8" s="100">
        <v>35</v>
      </c>
      <c r="E8" s="88">
        <f>'표점등급&amp;절평인원 입력 기능'!D32</f>
        <v>60511</v>
      </c>
      <c r="F8" s="89">
        <f t="shared" ref="F8:F15" si="0">E8/$J$3</f>
        <v>0.18342669722212118</v>
      </c>
      <c r="G8" s="90">
        <f>SUM($E$7:E8)</f>
        <v>150529</v>
      </c>
      <c r="H8" s="91">
        <f t="shared" ref="H8:H15" si="1">G8/$J$3</f>
        <v>0.45629781868005287</v>
      </c>
      <c r="I8" s="15"/>
      <c r="J8" s="15"/>
      <c r="K8" s="26"/>
      <c r="L8" s="5"/>
    </row>
    <row r="9" spans="1:12" ht="25" customHeight="1" x14ac:dyDescent="0.45">
      <c r="A9" s="5"/>
      <c r="B9" s="25"/>
      <c r="C9" s="99">
        <v>3</v>
      </c>
      <c r="D9" s="100">
        <v>30</v>
      </c>
      <c r="E9" s="88">
        <f>'표점등급&amp;절평인원 입력 기능'!D33</f>
        <v>54948</v>
      </c>
      <c r="F9" s="89">
        <f t="shared" si="0"/>
        <v>0.16656360263358919</v>
      </c>
      <c r="G9" s="90">
        <f>SUM($E$7:E9)</f>
        <v>205477</v>
      </c>
      <c r="H9" s="91">
        <f t="shared" si="1"/>
        <v>0.62286142131364208</v>
      </c>
      <c r="I9" s="15"/>
      <c r="J9" s="15"/>
      <c r="K9" s="26"/>
      <c r="L9" s="5"/>
    </row>
    <row r="10" spans="1:12" ht="25" customHeight="1" x14ac:dyDescent="0.45">
      <c r="A10" s="5"/>
      <c r="B10" s="25"/>
      <c r="C10" s="99">
        <v>4</v>
      </c>
      <c r="D10" s="100">
        <v>25</v>
      </c>
      <c r="E10" s="88">
        <f>'표점등급&amp;절평인원 입력 기능'!D34</f>
        <v>41119</v>
      </c>
      <c r="F10" s="89">
        <f t="shared" si="0"/>
        <v>0.12464382282686455</v>
      </c>
      <c r="G10" s="90">
        <f>SUM($E$7:E10)</f>
        <v>246596</v>
      </c>
      <c r="H10" s="91">
        <f t="shared" si="1"/>
        <v>0.74750524414050656</v>
      </c>
      <c r="I10" s="15"/>
      <c r="J10" s="15"/>
      <c r="K10" s="26"/>
      <c r="L10" s="5"/>
    </row>
    <row r="11" spans="1:12" ht="25" customHeight="1" x14ac:dyDescent="0.45">
      <c r="A11" s="5"/>
      <c r="B11" s="25"/>
      <c r="C11" s="99">
        <v>5</v>
      </c>
      <c r="D11" s="100">
        <v>20</v>
      </c>
      <c r="E11" s="88">
        <f>'표점등급&amp;절평인원 입력 기능'!D35</f>
        <v>28248</v>
      </c>
      <c r="F11" s="89">
        <f t="shared" si="0"/>
        <v>8.5628023716852783E-2</v>
      </c>
      <c r="G11" s="90">
        <f>SUM($E$7:E11)</f>
        <v>274844</v>
      </c>
      <c r="H11" s="91">
        <f t="shared" si="1"/>
        <v>0.83313326785735942</v>
      </c>
      <c r="I11" s="15"/>
      <c r="J11" s="15"/>
      <c r="K11" s="26"/>
      <c r="L11" s="5"/>
    </row>
    <row r="12" spans="1:12" ht="25" customHeight="1" x14ac:dyDescent="0.45">
      <c r="A12" s="5"/>
      <c r="B12" s="25"/>
      <c r="C12" s="99">
        <v>6</v>
      </c>
      <c r="D12" s="100">
        <v>15</v>
      </c>
      <c r="E12" s="88">
        <f>'표점등급&amp;절평인원 입력 기능'!D36</f>
        <v>20666</v>
      </c>
      <c r="F12" s="89">
        <f t="shared" si="0"/>
        <v>6.2644744340572073E-2</v>
      </c>
      <c r="G12" s="90">
        <f>SUM($E$7:E12)</f>
        <v>295510</v>
      </c>
      <c r="H12" s="91">
        <f t="shared" si="1"/>
        <v>0.89577801219793141</v>
      </c>
      <c r="I12" s="15"/>
      <c r="J12" s="15"/>
      <c r="K12" s="26"/>
      <c r="L12" s="5"/>
    </row>
    <row r="13" spans="1:12" ht="25" customHeight="1" x14ac:dyDescent="0.45">
      <c r="A13" s="5"/>
      <c r="B13" s="25"/>
      <c r="C13" s="99">
        <v>7</v>
      </c>
      <c r="D13" s="100">
        <v>10</v>
      </c>
      <c r="E13" s="88">
        <f>'표점등급&amp;절평인원 입력 기능'!D37</f>
        <v>25380</v>
      </c>
      <c r="F13" s="89">
        <f t="shared" si="0"/>
        <v>7.6934269397257282E-2</v>
      </c>
      <c r="G13" s="90">
        <f>SUM($E$7:E13)</f>
        <v>320890</v>
      </c>
      <c r="H13" s="91">
        <f t="shared" si="1"/>
        <v>0.97271228159518874</v>
      </c>
      <c r="I13" s="15"/>
      <c r="J13" s="15"/>
      <c r="K13" s="26"/>
      <c r="L13" s="5"/>
    </row>
    <row r="14" spans="1:12" ht="25" customHeight="1" x14ac:dyDescent="0.45">
      <c r="A14" s="5"/>
      <c r="B14" s="25"/>
      <c r="C14" s="99">
        <v>8</v>
      </c>
      <c r="D14" s="100">
        <v>5</v>
      </c>
      <c r="E14" s="88">
        <f>'표점등급&amp;절평인원 입력 기능'!D38</f>
        <v>7324</v>
      </c>
      <c r="F14" s="89">
        <f t="shared" si="0"/>
        <v>2.2201205242927988E-2</v>
      </c>
      <c r="G14" s="90">
        <f>SUM($E$7:E14)</f>
        <v>328214</v>
      </c>
      <c r="H14" s="91">
        <f t="shared" si="1"/>
        <v>0.99491348683811676</v>
      </c>
      <c r="I14" s="15"/>
      <c r="J14" s="15"/>
      <c r="K14" s="26"/>
      <c r="L14" s="5"/>
    </row>
    <row r="15" spans="1:12" ht="25" customHeight="1" thickBot="1" x14ac:dyDescent="0.5">
      <c r="A15" s="5"/>
      <c r="B15" s="25"/>
      <c r="C15" s="101">
        <v>9</v>
      </c>
      <c r="D15" s="102">
        <v>0</v>
      </c>
      <c r="E15" s="94">
        <f>'표점등급&amp;절평인원 입력 기능'!D39</f>
        <v>1678</v>
      </c>
      <c r="F15" s="95">
        <f t="shared" si="0"/>
        <v>5.0865131618832828E-3</v>
      </c>
      <c r="G15" s="96">
        <f>SUM($E$7:E15)</f>
        <v>329892</v>
      </c>
      <c r="H15" s="97">
        <f t="shared" si="1"/>
        <v>1</v>
      </c>
      <c r="I15" s="15"/>
      <c r="J15" s="15"/>
      <c r="K15" s="26"/>
      <c r="L15" s="5"/>
    </row>
    <row r="16" spans="1:12" ht="6" customHeight="1" x14ac:dyDescent="0.45">
      <c r="A16" s="5"/>
      <c r="B16" s="27"/>
      <c r="C16" s="28"/>
      <c r="D16" s="28"/>
      <c r="E16" s="28"/>
      <c r="F16" s="28"/>
      <c r="G16" s="28"/>
      <c r="H16" s="28"/>
      <c r="I16" s="28"/>
      <c r="J16" s="28"/>
      <c r="K16" s="29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tabSelected="1" topLeftCell="A38" zoomScaleNormal="100" workbookViewId="0">
      <selection activeCell="D45" sqref="D45:J4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기능'!D8</f>
        <v>29.47</v>
      </c>
      <c r="I3" s="16" t="s">
        <v>70</v>
      </c>
      <c r="J3" s="45">
        <f>'통계 및 응시자 수 입력 기능'!C8</f>
        <v>71898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91</v>
      </c>
      <c r="E4" s="169"/>
      <c r="F4" s="170"/>
      <c r="G4" s="47" t="s">
        <v>73</v>
      </c>
      <c r="H4" s="48" t="str">
        <f>'통계 및 응시자 수 입력 기능'!E8</f>
        <v>12.00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67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99.82</v>
      </c>
      <c r="G7" s="56">
        <f>_xlfn.IFNA(VLOOKUP(D7,'인원 입력 기능(사과탐)'!$A$5:$D$59,4,FALSE),0)</f>
        <v>262</v>
      </c>
      <c r="H7" s="57">
        <f>G7/$J$3</f>
        <v>3.6440512948899832E-3</v>
      </c>
      <c r="I7" s="58">
        <f>G7</f>
        <v>262</v>
      </c>
      <c r="J7" s="59">
        <f>I7/$J$3</f>
        <v>3.6440512948899832E-3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기능'!C40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기능'!C41</f>
        <v>62</v>
      </c>
    </row>
    <row r="9" spans="1:17" s="17" customFormat="1" ht="25" customHeight="1" x14ac:dyDescent="0.45">
      <c r="A9" s="15"/>
      <c r="B9" s="30"/>
      <c r="C9" s="53">
        <v>48</v>
      </c>
      <c r="D9" s="186">
        <f>ROUND(10*(C9-$H$3)/$H$4+50,0)</f>
        <v>65</v>
      </c>
      <c r="E9" s="186">
        <f t="shared" si="0"/>
        <v>1</v>
      </c>
      <c r="F9" s="180">
        <f>IF(I8=0,ROUND(100*(1-(I7+I9)/2/$J$3),2),ROUND(100*(1-(I8+I9)/2/$J$3),2))</f>
        <v>97.74</v>
      </c>
      <c r="G9" s="182">
        <f>_xlfn.IFNA(VLOOKUP(D9,'인원 입력 기능(사과탐)'!$A$5:$D$59,4,FALSE),0)</f>
        <v>2722</v>
      </c>
      <c r="H9" s="184">
        <f t="shared" ref="H9:H55" si="1">G9/$J$3</f>
        <v>3.7859189407215776E-2</v>
      </c>
      <c r="I9" s="188">
        <f>SUM($G$7:G9)</f>
        <v>2984</v>
      </c>
      <c r="J9" s="176">
        <f>I9/$J$3</f>
        <v>4.1503240702105759E-2</v>
      </c>
      <c r="K9" s="31"/>
      <c r="L9" s="15" t="str">
        <f t="shared" ref="L9:L55" si="2">IF(ABS((C9-$H$3)/$H$4*10+50-D9)&gt;0.49, "경고", "")</f>
        <v/>
      </c>
      <c r="N9" s="19"/>
      <c r="P9" s="19">
        <v>3</v>
      </c>
      <c r="Q9" s="19">
        <f>'표점등급&amp;절평인원 입력 기능'!C42</f>
        <v>59</v>
      </c>
    </row>
    <row r="10" spans="1:17" s="17" customFormat="1" ht="25" customHeight="1" x14ac:dyDescent="0.45">
      <c r="A10" s="15"/>
      <c r="B10" s="30"/>
      <c r="C10" s="60">
        <v>47</v>
      </c>
      <c r="D10" s="187"/>
      <c r="E10" s="187"/>
      <c r="F10" s="181"/>
      <c r="G10" s="183"/>
      <c r="H10" s="185"/>
      <c r="I10" s="189"/>
      <c r="J10" s="177"/>
      <c r="K10" s="31"/>
      <c r="L10" s="15" t="str">
        <f t="shared" si="2"/>
        <v>경고</v>
      </c>
      <c r="N10" s="19"/>
      <c r="P10" s="19">
        <v>4</v>
      </c>
      <c r="Q10" s="19">
        <f>'표점등급&amp;절평인원 입력 기능'!C43</f>
        <v>55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ref="D11:D55" si="3">ROUND(10*(C11-$H$3)/$H$4+50,0)</f>
        <v>64</v>
      </c>
      <c r="E11" s="54">
        <f t="shared" si="0"/>
        <v>2</v>
      </c>
      <c r="F11" s="55">
        <f t="shared" ref="F11:F55" si="4">IF(I10=0,ROUND(100*(1-(I9+I11)/2/$J$3),2),ROUND(100*(1-(I10+I11)/2/$J$3),2))</f>
        <v>95.78</v>
      </c>
      <c r="G11" s="56">
        <f>IF(D11=D10,"",_xlfn.IFNA(VLOOKUP(D11,'인원 입력 기능(사과탐)'!$A$5:$D$59,4,FALSE),0))</f>
        <v>102</v>
      </c>
      <c r="H11" s="57">
        <f t="shared" si="1"/>
        <v>1.4186764583159475E-3</v>
      </c>
      <c r="I11" s="67">
        <f>SUM($G$7:G11)</f>
        <v>3086</v>
      </c>
      <c r="J11" s="59">
        <f t="shared" ref="J11:J55" si="5">I11/$J$3</f>
        <v>4.2921917160421708E-2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기능'!C44</f>
        <v>49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63</v>
      </c>
      <c r="E12" s="54">
        <f t="shared" si="0"/>
        <v>2</v>
      </c>
      <c r="F12" s="55">
        <f t="shared" si="4"/>
        <v>94.22</v>
      </c>
      <c r="G12" s="56">
        <f>IF(D12=D11,"",_xlfn.IFNA(VLOOKUP(D12,'인원 입력 기능(사과탐)'!$A$5:$D$59,4,FALSE),0))</f>
        <v>2134</v>
      </c>
      <c r="H12" s="57">
        <f t="shared" si="1"/>
        <v>2.9680936882806198E-2</v>
      </c>
      <c r="I12" s="67">
        <f>SUM($G$7:G12)</f>
        <v>5220</v>
      </c>
      <c r="J12" s="59">
        <f t="shared" si="5"/>
        <v>7.2602854043227902E-2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기능'!C45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62</v>
      </c>
      <c r="E13" s="54">
        <f t="shared" si="0"/>
        <v>2</v>
      </c>
      <c r="F13" s="55">
        <f t="shared" si="4"/>
        <v>90.59</v>
      </c>
      <c r="G13" s="56">
        <f>IF(D13=D12,"",_xlfn.IFNA(VLOOKUP(D13,'인원 입력 기능(사과탐)'!$A$5:$D$59,4,FALSE),0))</f>
        <v>3086</v>
      </c>
      <c r="H13" s="57">
        <f t="shared" si="1"/>
        <v>4.2921917160421708E-2</v>
      </c>
      <c r="I13" s="67">
        <f>SUM($G$7:G13)</f>
        <v>8306</v>
      </c>
      <c r="J13" s="59">
        <f t="shared" si="5"/>
        <v>0.11552477120364961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기능'!C46</f>
        <v>35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61</v>
      </c>
      <c r="E14" s="54">
        <f t="shared" si="0"/>
        <v>3</v>
      </c>
      <c r="F14" s="55">
        <f t="shared" si="4"/>
        <v>87.68</v>
      </c>
      <c r="G14" s="56">
        <f>IF(D14=D13,"",_xlfn.IFNA(VLOOKUP(D14,'인원 입력 기능(사과탐)'!$A$5:$D$59,4,FALSE),0))</f>
        <v>1108</v>
      </c>
      <c r="H14" s="57">
        <f t="shared" si="1"/>
        <v>1.5410720743275196E-2</v>
      </c>
      <c r="I14" s="67">
        <f>SUM($G$7:G14)</f>
        <v>9414</v>
      </c>
      <c r="J14" s="59">
        <f t="shared" si="5"/>
        <v>0.1309354919469248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기능'!C47</f>
        <v>32</v>
      </c>
    </row>
    <row r="15" spans="1:17" s="17" customFormat="1" ht="25" customHeight="1" x14ac:dyDescent="0.45">
      <c r="A15" s="15"/>
      <c r="B15" s="30"/>
      <c r="C15" s="53">
        <v>42</v>
      </c>
      <c r="D15" s="186">
        <f t="shared" si="3"/>
        <v>60</v>
      </c>
      <c r="E15" s="186">
        <f t="shared" si="0"/>
        <v>3</v>
      </c>
      <c r="F15" s="180">
        <f t="shared" si="4"/>
        <v>82.84</v>
      </c>
      <c r="G15" s="182">
        <f>IF(D15=D14,"",_xlfn.IFNA(VLOOKUP(D15,'인원 입력 기능(사과탐)'!$A$5:$D$59,4,FALSE),0))</f>
        <v>5848</v>
      </c>
      <c r="H15" s="184">
        <f t="shared" si="1"/>
        <v>8.1337450276780993E-2</v>
      </c>
      <c r="I15" s="188">
        <f>SUM($G$7:G15)</f>
        <v>15262</v>
      </c>
      <c r="J15" s="176">
        <f t="shared" si="5"/>
        <v>0.2122729422237058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187"/>
      <c r="E16" s="187"/>
      <c r="F16" s="181"/>
      <c r="G16" s="183"/>
      <c r="H16" s="185"/>
      <c r="I16" s="189"/>
      <c r="J16" s="177"/>
      <c r="K16" s="31"/>
      <c r="L16" s="15" t="str">
        <f t="shared" si="2"/>
        <v>경고</v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59</v>
      </c>
      <c r="E17" s="54">
        <f t="shared" si="0"/>
        <v>3</v>
      </c>
      <c r="F17" s="55">
        <f t="shared" si="4"/>
        <v>77.040000000000006</v>
      </c>
      <c r="G17" s="56">
        <f>IF(D17=D16,"",_xlfn.IFNA(VLOOKUP(D17,'인원 입력 기능(사과탐)'!$A$5:$D$59,4,FALSE),0))</f>
        <v>2496</v>
      </c>
      <c r="H17" s="57">
        <f t="shared" si="1"/>
        <v>3.4715847450554956E-2</v>
      </c>
      <c r="I17" s="67">
        <f>SUM($G$7:G17)</f>
        <v>17758</v>
      </c>
      <c r="J17" s="59">
        <f t="shared" si="5"/>
        <v>0.24698878967426074</v>
      </c>
      <c r="K17" s="31"/>
      <c r="L17" s="15" t="str">
        <f t="shared" si="2"/>
        <v/>
      </c>
      <c r="N17" s="19"/>
      <c r="Q17" s="19">
        <f>Q7*H3*H4*J3*IFERROR(IF(J57=1, 1, 0), 0)</f>
        <v>1652690566.8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58</v>
      </c>
      <c r="E18" s="54">
        <f t="shared" si="0"/>
        <v>4</v>
      </c>
      <c r="F18" s="55">
        <f t="shared" si="4"/>
        <v>73.03</v>
      </c>
      <c r="G18" s="56">
        <f>IF(D18=D17,"",_xlfn.IFNA(VLOOKUP(D18,'인원 입력 기능(사과탐)'!$A$5:$D$59,4,FALSE),0))</f>
        <v>3263</v>
      </c>
      <c r="H18" s="57">
        <f t="shared" si="1"/>
        <v>4.5383738073381738E-2</v>
      </c>
      <c r="I18" s="67">
        <f>SUM($G$7:G18)</f>
        <v>21021</v>
      </c>
      <c r="J18" s="59">
        <f t="shared" si="5"/>
        <v>0.2923725277476425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57</v>
      </c>
      <c r="E19" s="54">
        <f t="shared" si="0"/>
        <v>4</v>
      </c>
      <c r="F19" s="55">
        <f t="shared" si="4"/>
        <v>69.349999999999994</v>
      </c>
      <c r="G19" s="56">
        <f>IF(D19=D18,"",_xlfn.IFNA(VLOOKUP(D19,'인원 입력 기능(사과탐)'!$A$5:$D$59,4,FALSE),0))</f>
        <v>2026</v>
      </c>
      <c r="H19" s="57">
        <f t="shared" si="1"/>
        <v>2.8178808868118722E-2</v>
      </c>
      <c r="I19" s="67">
        <f>SUM($G$7:G19)</f>
        <v>23047</v>
      </c>
      <c r="J19" s="59">
        <f t="shared" si="5"/>
        <v>0.32055133661576124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56</v>
      </c>
      <c r="E20" s="54">
        <f t="shared" si="0"/>
        <v>4</v>
      </c>
      <c r="F20" s="55">
        <f t="shared" si="4"/>
        <v>65.94</v>
      </c>
      <c r="G20" s="56">
        <f>IF(D20=D19,"",_xlfn.IFNA(VLOOKUP(D20,'인원 입력 기능(사과탐)'!$A$5:$D$59,4,FALSE),0))</f>
        <v>2886</v>
      </c>
      <c r="H20" s="57">
        <f t="shared" si="1"/>
        <v>4.0140198614704165E-2</v>
      </c>
      <c r="I20" s="67">
        <f>SUM($G$7:G20)</f>
        <v>25933</v>
      </c>
      <c r="J20" s="59">
        <f t="shared" si="5"/>
        <v>0.36069153523046538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178">
        <f t="shared" si="3"/>
        <v>55</v>
      </c>
      <c r="E21" s="178">
        <f t="shared" si="0"/>
        <v>4</v>
      </c>
      <c r="F21" s="180">
        <f t="shared" si="4"/>
        <v>60.78</v>
      </c>
      <c r="G21" s="182">
        <f>IF(D21=D20,"",_xlfn.IFNA(VLOOKUP(D21,'인원 입력 기능(사과탐)'!$A$5:$D$59,4,FALSE),0))</f>
        <v>4526</v>
      </c>
      <c r="H21" s="184">
        <f t="shared" si="1"/>
        <v>6.2950290689588032E-2</v>
      </c>
      <c r="I21" s="188">
        <f>SUM($G$7:G21)</f>
        <v>30459</v>
      </c>
      <c r="J21" s="176">
        <f t="shared" si="5"/>
        <v>0.42364182592005339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79"/>
      <c r="E22" s="179"/>
      <c r="F22" s="181"/>
      <c r="G22" s="183"/>
      <c r="H22" s="185"/>
      <c r="I22" s="189"/>
      <c r="J22" s="177"/>
      <c r="K22" s="31"/>
      <c r="L22" s="15" t="str">
        <f t="shared" si="2"/>
        <v>경고</v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54</v>
      </c>
      <c r="E23" s="69">
        <f t="shared" si="0"/>
        <v>5</v>
      </c>
      <c r="F23" s="55">
        <f t="shared" si="4"/>
        <v>55.99</v>
      </c>
      <c r="G23" s="56">
        <f>IF(D23=D22,"",_xlfn.IFNA(VLOOKUP(D23,'인원 입력 기능(사과탐)'!$A$5:$D$59,4,FALSE),0))</f>
        <v>2364</v>
      </c>
      <c r="H23" s="57">
        <f t="shared" si="1"/>
        <v>3.2879913210381376E-2</v>
      </c>
      <c r="I23" s="67">
        <f>SUM($G$7:G23)</f>
        <v>32823</v>
      </c>
      <c r="J23" s="59">
        <f t="shared" si="5"/>
        <v>0.45652173913043476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53</v>
      </c>
      <c r="E24" s="69">
        <f t="shared" si="0"/>
        <v>5</v>
      </c>
      <c r="F24" s="55">
        <f t="shared" si="4"/>
        <v>53.03</v>
      </c>
      <c r="G24" s="56">
        <f>IF(D24=D23,"",_xlfn.IFNA(VLOOKUP(D24,'인원 입력 기능(사과탐)'!$A$5:$D$59,4,FALSE),0))</f>
        <v>1902</v>
      </c>
      <c r="H24" s="57">
        <f t="shared" si="1"/>
        <v>2.6454143369773846E-2</v>
      </c>
      <c r="I24" s="67">
        <f>SUM($G$7:G24)</f>
        <v>34725</v>
      </c>
      <c r="J24" s="59">
        <f t="shared" si="5"/>
        <v>0.48297588250020862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52</v>
      </c>
      <c r="E25" s="69">
        <f t="shared" si="0"/>
        <v>5</v>
      </c>
      <c r="F25" s="55">
        <f t="shared" si="4"/>
        <v>50.26</v>
      </c>
      <c r="G25" s="56">
        <f>IF(D25=D24,"",_xlfn.IFNA(VLOOKUP(D25,'인원 입력 기능(사과탐)'!$A$5:$D$59,4,FALSE),0))</f>
        <v>2081</v>
      </c>
      <c r="H25" s="57">
        <f t="shared" si="1"/>
        <v>2.8943781468191047E-2</v>
      </c>
      <c r="I25" s="67">
        <f>SUM($G$7:G25)</f>
        <v>36806</v>
      </c>
      <c r="J25" s="59">
        <f t="shared" si="5"/>
        <v>0.51191966396839972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51</v>
      </c>
      <c r="E26" s="69">
        <f t="shared" si="0"/>
        <v>5</v>
      </c>
      <c r="F26" s="55">
        <f t="shared" si="4"/>
        <v>47.52</v>
      </c>
      <c r="G26" s="56">
        <f>IF(D26=D25,"",_xlfn.IFNA(VLOOKUP(D26,'인원 입력 기능(사과탐)'!$A$5:$D$59,4,FALSE),0))</f>
        <v>1845</v>
      </c>
      <c r="H26" s="57">
        <f t="shared" si="1"/>
        <v>2.5661353584244345E-2</v>
      </c>
      <c r="I26" s="67">
        <f>SUM($G$7:G26)</f>
        <v>38651</v>
      </c>
      <c r="J26" s="59">
        <f t="shared" si="5"/>
        <v>0.53758101755264398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178">
        <f t="shared" si="3"/>
        <v>50</v>
      </c>
      <c r="E27" s="178">
        <f t="shared" si="0"/>
        <v>5</v>
      </c>
      <c r="F27" s="180">
        <f t="shared" si="4"/>
        <v>43.84</v>
      </c>
      <c r="G27" s="182">
        <f>IF(D27=D26,"",_xlfn.IFNA(VLOOKUP(D27,'인원 입력 기능(사과탐)'!$A$5:$D$59,4,FALSE),0))</f>
        <v>3454</v>
      </c>
      <c r="H27" s="184">
        <f t="shared" si="1"/>
        <v>4.8040279284541992E-2</v>
      </c>
      <c r="I27" s="188">
        <f>SUM($G$7:G27)</f>
        <v>42105</v>
      </c>
      <c r="J27" s="176">
        <f t="shared" si="5"/>
        <v>0.585621296837186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79"/>
      <c r="E28" s="179"/>
      <c r="F28" s="181"/>
      <c r="G28" s="183"/>
      <c r="H28" s="185"/>
      <c r="I28" s="189"/>
      <c r="J28" s="177"/>
      <c r="K28" s="31"/>
      <c r="L28" s="15" t="str">
        <f t="shared" si="2"/>
        <v>경고</v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49</v>
      </c>
      <c r="E29" s="69">
        <f t="shared" si="0"/>
        <v>5</v>
      </c>
      <c r="F29" s="55">
        <f t="shared" si="4"/>
        <v>40.369999999999997</v>
      </c>
      <c r="G29" s="56">
        <f>IF(D29=D28,"",_xlfn.IFNA(VLOOKUP(D29,'인원 입력 기능(사과탐)'!$A$5:$D$59,4,FALSE),0))</f>
        <v>1537</v>
      </c>
      <c r="H29" s="57">
        <f t="shared" si="1"/>
        <v>2.1377507023839327E-2</v>
      </c>
      <c r="I29" s="67">
        <f>SUM($G$7:G29)</f>
        <v>43642</v>
      </c>
      <c r="J29" s="59">
        <f t="shared" si="5"/>
        <v>0.60699880386102534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48</v>
      </c>
      <c r="E30" s="69">
        <f t="shared" si="0"/>
        <v>6</v>
      </c>
      <c r="F30" s="55">
        <f t="shared" si="4"/>
        <v>38.17</v>
      </c>
      <c r="G30" s="56">
        <f>IF(D30=D29,"",_xlfn.IFNA(VLOOKUP(D30,'인원 입력 기능(사과탐)'!$A$5:$D$59,4,FALSE),0))</f>
        <v>1619</v>
      </c>
      <c r="H30" s="57">
        <f t="shared" si="1"/>
        <v>2.2518011627583521E-2</v>
      </c>
      <c r="I30" s="67">
        <f>SUM($G$7:G30)</f>
        <v>45261</v>
      </c>
      <c r="J30" s="59">
        <f t="shared" si="5"/>
        <v>0.62951681548860883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47</v>
      </c>
      <c r="E31" s="69">
        <f t="shared" si="0"/>
        <v>6</v>
      </c>
      <c r="F31" s="55">
        <f t="shared" si="4"/>
        <v>36</v>
      </c>
      <c r="G31" s="56">
        <f>IF(D31=D30,"",_xlfn.IFNA(VLOOKUP(D31,'인원 입력 기능(사과탐)'!$A$5:$D$59,4,FALSE),0))</f>
        <v>1505</v>
      </c>
      <c r="H31" s="57">
        <f t="shared" si="1"/>
        <v>2.0932432056524522E-2</v>
      </c>
      <c r="I31" s="67">
        <f>SUM($G$7:G31)</f>
        <v>46766</v>
      </c>
      <c r="J31" s="59">
        <f t="shared" si="5"/>
        <v>0.65044924754513334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46</v>
      </c>
      <c r="E32" s="69">
        <f t="shared" si="0"/>
        <v>6</v>
      </c>
      <c r="F32" s="55">
        <f t="shared" si="4"/>
        <v>34</v>
      </c>
      <c r="G32" s="56">
        <f>IF(D32=D31,"",_xlfn.IFNA(VLOOKUP(D32,'인원 입력 기능(사과탐)'!$A$5:$D$59,4,FALSE),0))</f>
        <v>1380</v>
      </c>
      <c r="H32" s="57">
        <f t="shared" si="1"/>
        <v>1.9193857965451054E-2</v>
      </c>
      <c r="I32" s="67">
        <f>SUM($G$7:G32)</f>
        <v>48146</v>
      </c>
      <c r="J32" s="59">
        <f t="shared" si="5"/>
        <v>0.66964310551058448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178">
        <f t="shared" si="3"/>
        <v>45</v>
      </c>
      <c r="E33" s="178">
        <f t="shared" si="0"/>
        <v>6</v>
      </c>
      <c r="F33" s="180">
        <f t="shared" si="4"/>
        <v>31.22</v>
      </c>
      <c r="G33" s="182">
        <f>IF(D33=D32,"",_xlfn.IFNA(VLOOKUP(D33,'인원 입력 기능(사과탐)'!$A$5:$D$59,4,FALSE),0))</f>
        <v>2610</v>
      </c>
      <c r="H33" s="184">
        <f t="shared" si="1"/>
        <v>3.6301427021613951E-2</v>
      </c>
      <c r="I33" s="188">
        <f>SUM($G$7:G33)</f>
        <v>50756</v>
      </c>
      <c r="J33" s="176">
        <f t="shared" si="5"/>
        <v>0.70594453253219835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179"/>
      <c r="E34" s="179"/>
      <c r="F34" s="181"/>
      <c r="G34" s="183"/>
      <c r="H34" s="185"/>
      <c r="I34" s="189"/>
      <c r="J34" s="177"/>
      <c r="K34" s="31"/>
      <c r="L34" s="15" t="str">
        <f t="shared" si="2"/>
        <v>경고</v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44</v>
      </c>
      <c r="E35" s="69">
        <f t="shared" si="0"/>
        <v>6</v>
      </c>
      <c r="F35" s="55">
        <f t="shared" si="4"/>
        <v>28.52</v>
      </c>
      <c r="G35" s="56">
        <f>IF(D35=D34,"",_xlfn.IFNA(VLOOKUP(D35,'인원 입력 기능(사과탐)'!$A$5:$D$59,4,FALSE),0))</f>
        <v>1280</v>
      </c>
      <c r="H35" s="57">
        <f t="shared" si="1"/>
        <v>1.7802998692592283E-2</v>
      </c>
      <c r="I35" s="67">
        <f>SUM($G$7:G35)</f>
        <v>52036</v>
      </c>
      <c r="J35" s="59">
        <f t="shared" si="5"/>
        <v>0.72374753122479063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43</v>
      </c>
      <c r="E36" s="69">
        <f t="shared" si="0"/>
        <v>6</v>
      </c>
      <c r="F36" s="55">
        <f t="shared" si="4"/>
        <v>26.84</v>
      </c>
      <c r="G36" s="56">
        <f>IF(D36=D35,"",_xlfn.IFNA(VLOOKUP(D36,'인원 입력 기능(사과탐)'!$A$5:$D$59,4,FALSE),0))</f>
        <v>1131</v>
      </c>
      <c r="H36" s="57">
        <f t="shared" si="1"/>
        <v>1.5730618376032714E-2</v>
      </c>
      <c r="I36" s="67">
        <f>SUM($G$7:G36)</f>
        <v>53167</v>
      </c>
      <c r="J36" s="59">
        <f t="shared" si="5"/>
        <v>0.73947814960082336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42</v>
      </c>
      <c r="E37" s="69">
        <f t="shared" si="0"/>
        <v>6</v>
      </c>
      <c r="F37" s="55">
        <f t="shared" si="4"/>
        <v>25.23</v>
      </c>
      <c r="G37" s="56">
        <f>IF(D37=D36,"",_xlfn.IFNA(VLOOKUP(D37,'인원 입력 기능(사과탐)'!$A$5:$D$59,4,FALSE),0))</f>
        <v>1184</v>
      </c>
      <c r="H37" s="57">
        <f t="shared" si="1"/>
        <v>1.6467773790647861E-2</v>
      </c>
      <c r="I37" s="67">
        <f>SUM($G$7:G37)</f>
        <v>54351</v>
      </c>
      <c r="J37" s="59">
        <f t="shared" si="5"/>
        <v>0.75594592339147126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41</v>
      </c>
      <c r="E38" s="69">
        <f t="shared" si="0"/>
        <v>6</v>
      </c>
      <c r="F38" s="55">
        <f t="shared" si="4"/>
        <v>23.6</v>
      </c>
      <c r="G38" s="56">
        <f>IF(D38=D37,"",_xlfn.IFNA(VLOOKUP(D38,'인원 입력 기능(사과탐)'!$A$5:$D$59,4,FALSE),0))</f>
        <v>1159</v>
      </c>
      <c r="H38" s="57">
        <f t="shared" si="1"/>
        <v>1.6120058972433168E-2</v>
      </c>
      <c r="I38" s="67">
        <f>SUM($G$7:G38)</f>
        <v>55510</v>
      </c>
      <c r="J38" s="59">
        <f t="shared" si="5"/>
        <v>0.77206598236390445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178">
        <f t="shared" si="3"/>
        <v>40</v>
      </c>
      <c r="E39" s="17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180">
        <f t="shared" si="4"/>
        <v>21.27</v>
      </c>
      <c r="G39" s="182">
        <f>IF(D39=D38,"",_xlfn.IFNA(VLOOKUP(D39,'인원 입력 기능(사과탐)'!$A$5:$D$59,4,FALSE),0))</f>
        <v>2188</v>
      </c>
      <c r="H39" s="184">
        <f t="shared" si="1"/>
        <v>3.0432000890149934E-2</v>
      </c>
      <c r="I39" s="188">
        <f>SUM($G$7:G39)</f>
        <v>57698</v>
      </c>
      <c r="J39" s="176">
        <f t="shared" si="5"/>
        <v>0.8024979832540543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179"/>
      <c r="E40" s="179"/>
      <c r="F40" s="181"/>
      <c r="G40" s="183"/>
      <c r="H40" s="185"/>
      <c r="I40" s="189"/>
      <c r="J40" s="177"/>
      <c r="K40" s="31"/>
      <c r="L40" s="15" t="str">
        <f t="shared" si="2"/>
        <v>경고</v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39</v>
      </c>
      <c r="E41" s="69">
        <f t="shared" si="6"/>
        <v>7</v>
      </c>
      <c r="F41" s="55">
        <f t="shared" si="4"/>
        <v>19.09</v>
      </c>
      <c r="G41" s="56">
        <f>IF(D41=D40,"",_xlfn.IFNA(VLOOKUP(D41,'인원 입력 기능(사과탐)'!$A$5:$D$59,4,FALSE),0))</f>
        <v>956</v>
      </c>
      <c r="H41" s="57">
        <f t="shared" si="1"/>
        <v>1.3296614648529862E-2</v>
      </c>
      <c r="I41" s="67">
        <f>SUM($G$7:G41)</f>
        <v>58654</v>
      </c>
      <c r="J41" s="59">
        <f t="shared" si="5"/>
        <v>0.81579459790258424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38</v>
      </c>
      <c r="E42" s="69">
        <f t="shared" si="6"/>
        <v>7</v>
      </c>
      <c r="F42" s="55">
        <f t="shared" si="4"/>
        <v>17.57</v>
      </c>
      <c r="G42" s="56">
        <f>IF(D42=D41,"",_xlfn.IFNA(VLOOKUP(D42,'인원 입력 기능(사과탐)'!$A$5:$D$59,4,FALSE),0))</f>
        <v>1228</v>
      </c>
      <c r="H42" s="57">
        <f t="shared" si="1"/>
        <v>1.7079751870705723E-2</v>
      </c>
      <c r="I42" s="67">
        <f>SUM($G$7:G42)</f>
        <v>59882</v>
      </c>
      <c r="J42" s="59">
        <f t="shared" si="5"/>
        <v>0.83287434977328989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37</v>
      </c>
      <c r="E43" s="69">
        <f t="shared" si="6"/>
        <v>7</v>
      </c>
      <c r="F43" s="55">
        <f t="shared" si="4"/>
        <v>15.95</v>
      </c>
      <c r="G43" s="56">
        <f>IF(D43=D42,"",_xlfn.IFNA(VLOOKUP(D43,'인원 입력 기능(사과탐)'!$A$5:$D$59,4,FALSE),0))</f>
        <v>1099</v>
      </c>
      <c r="H43" s="57">
        <f t="shared" si="1"/>
        <v>1.5285543408717905E-2</v>
      </c>
      <c r="I43" s="67">
        <f>SUM($G$7:G43)</f>
        <v>60981</v>
      </c>
      <c r="J43" s="59">
        <f t="shared" si="5"/>
        <v>0.8481598931820078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>ROUND(10*(C44-$H$3)/$H$4+50,0)</f>
        <v>36</v>
      </c>
      <c r="E44" s="69">
        <f t="shared" si="6"/>
        <v>7</v>
      </c>
      <c r="F44" s="55">
        <f t="shared" si="4"/>
        <v>14.3</v>
      </c>
      <c r="G44" s="56">
        <f>IF(D44=D43,"",_xlfn.IFNA(VLOOKUP(D44,'인원 입력 기능(사과탐)'!$A$5:$D$59,4,FALSE),0))</f>
        <v>1276</v>
      </c>
      <c r="H44" s="57">
        <f t="shared" si="1"/>
        <v>1.7747364321677932E-2</v>
      </c>
      <c r="I44" s="67">
        <f>SUM($G$7:G44)</f>
        <v>62257</v>
      </c>
      <c r="J44" s="59">
        <f t="shared" si="5"/>
        <v>0.8659072575036858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178">
        <f t="shared" si="3"/>
        <v>35</v>
      </c>
      <c r="E45" s="178">
        <f t="shared" si="6"/>
        <v>7</v>
      </c>
      <c r="F45" s="180">
        <f t="shared" si="4"/>
        <v>12.05</v>
      </c>
      <c r="G45" s="182">
        <f>IF(D45=D44,"",_xlfn.IFNA(VLOOKUP(D45,'인원 입력 기능(사과탐)'!$A$5:$D$59,4,FALSE),0))</f>
        <v>1961</v>
      </c>
      <c r="H45" s="184">
        <f t="shared" si="1"/>
        <v>2.7274750340760521E-2</v>
      </c>
      <c r="I45" s="188">
        <f>SUM($G$7:G45)</f>
        <v>64218</v>
      </c>
      <c r="J45" s="176">
        <f t="shared" si="5"/>
        <v>0.89318200784444635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79"/>
      <c r="E46" s="179"/>
      <c r="F46" s="181"/>
      <c r="G46" s="183"/>
      <c r="H46" s="185"/>
      <c r="I46" s="189"/>
      <c r="J46" s="177"/>
      <c r="K46" s="31"/>
      <c r="L46" s="15" t="str">
        <f t="shared" si="2"/>
        <v>경고</v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34</v>
      </c>
      <c r="E47" s="69">
        <f t="shared" si="6"/>
        <v>8</v>
      </c>
      <c r="F47" s="55">
        <f t="shared" si="4"/>
        <v>8.4499999999999993</v>
      </c>
      <c r="G47" s="56">
        <f>IF(D47=D46,"",_xlfn.IFNA(VLOOKUP(D47,'인원 입력 기능(사과탐)'!$A$5:$D$59,4,FALSE),0))</f>
        <v>3213</v>
      </c>
      <c r="H47" s="57">
        <f t="shared" si="1"/>
        <v>4.4688308436952352E-2</v>
      </c>
      <c r="I47" s="67">
        <f>SUM($G$7:G47)</f>
        <v>67431</v>
      </c>
      <c r="J47" s="59">
        <f t="shared" si="5"/>
        <v>0.93787031628139861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33</v>
      </c>
      <c r="E48" s="69">
        <f t="shared" si="6"/>
        <v>8</v>
      </c>
      <c r="F48" s="55">
        <f t="shared" si="4"/>
        <v>5.12</v>
      </c>
      <c r="G48" s="56">
        <f>IF(D48=D47,"",_xlfn.IFNA(VLOOKUP(D48,'인원 입력 기능(사과탐)'!$A$5:$D$59,4,FALSE),0))</f>
        <v>1565</v>
      </c>
      <c r="H48" s="57">
        <f t="shared" si="1"/>
        <v>2.1766947620239785E-2</v>
      </c>
      <c r="I48" s="67">
        <f>SUM($G$7:G48)</f>
        <v>68996</v>
      </c>
      <c r="J48" s="59">
        <f t="shared" si="5"/>
        <v>0.95963726390163839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32</v>
      </c>
      <c r="E49" s="69">
        <f t="shared" si="6"/>
        <v>8</v>
      </c>
      <c r="F49" s="55">
        <f t="shared" si="4"/>
        <v>3.49</v>
      </c>
      <c r="G49" s="56">
        <f>IF(D49=D48,"",_xlfn.IFNA(VLOOKUP(D49,'인원 입력 기능(사과탐)'!$A$5:$D$59,4,FALSE),0))</f>
        <v>784</v>
      </c>
      <c r="H49" s="57">
        <f t="shared" si="1"/>
        <v>1.0904336699212773E-2</v>
      </c>
      <c r="I49" s="67">
        <f>SUM($G$7:G49)</f>
        <v>69780</v>
      </c>
      <c r="J49" s="59">
        <f t="shared" si="5"/>
        <v>0.97054160060085115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31</v>
      </c>
      <c r="E50" s="69">
        <f t="shared" si="6"/>
        <v>9</v>
      </c>
      <c r="F50" s="55">
        <f t="shared" si="4"/>
        <v>2.5</v>
      </c>
      <c r="G50" s="56">
        <f>IF(D50=D49,"",_xlfn.IFNA(VLOOKUP(D50,'인원 입력 기능(사과탐)'!$A$5:$D$59,4,FALSE),0))</f>
        <v>643</v>
      </c>
      <c r="H50" s="57">
        <f t="shared" si="1"/>
        <v>8.9432251244819048E-3</v>
      </c>
      <c r="I50" s="67">
        <f>SUM($G$7:G50)</f>
        <v>70423</v>
      </c>
      <c r="J50" s="59">
        <f t="shared" si="5"/>
        <v>0.97948482572533313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178">
        <f t="shared" si="3"/>
        <v>30</v>
      </c>
      <c r="E51" s="178">
        <f t="shared" si="6"/>
        <v>9</v>
      </c>
      <c r="F51" s="180">
        <f t="shared" si="4"/>
        <v>1.43</v>
      </c>
      <c r="G51" s="182">
        <f>IF(D51=D50,"",_xlfn.IFNA(VLOOKUP(D51,'인원 입력 기능(사과탐)'!$A$5:$D$59,4,FALSE),0))</f>
        <v>893</v>
      </c>
      <c r="H51" s="184">
        <f t="shared" si="1"/>
        <v>1.2420373306628835E-2</v>
      </c>
      <c r="I51" s="188">
        <f>SUM($G$7:G51)</f>
        <v>71316</v>
      </c>
      <c r="J51" s="176">
        <f t="shared" si="5"/>
        <v>0.99190519903196195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179"/>
      <c r="E52" s="179"/>
      <c r="F52" s="181"/>
      <c r="G52" s="183"/>
      <c r="H52" s="185"/>
      <c r="I52" s="189"/>
      <c r="J52" s="177"/>
      <c r="K52" s="31"/>
      <c r="L52" s="15" t="str">
        <f t="shared" si="2"/>
        <v>경고</v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29</v>
      </c>
      <c r="E53" s="54">
        <f t="shared" si="6"/>
        <v>9</v>
      </c>
      <c r="F53" s="55">
        <f t="shared" si="4"/>
        <v>0.65</v>
      </c>
      <c r="G53" s="56">
        <f>IF(D53=D52,"",_xlfn.IFNA(VLOOKUP(D53,'인원 입력 기능(사과탐)'!$A$5:$D$59,4,FALSE),0))</f>
        <v>233</v>
      </c>
      <c r="H53" s="57">
        <f t="shared" si="1"/>
        <v>3.2407021057609393E-3</v>
      </c>
      <c r="I53" s="67">
        <f>SUM($G$7:G53)</f>
        <v>71549</v>
      </c>
      <c r="J53" s="59">
        <f t="shared" si="5"/>
        <v>0.99514590113772283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28</v>
      </c>
      <c r="E54" s="54">
        <f t="shared" si="6"/>
        <v>9</v>
      </c>
      <c r="F54" s="55">
        <f t="shared" si="4"/>
        <v>0.4</v>
      </c>
      <c r="G54" s="56">
        <f>IF(D54=D53,"",_xlfn.IFNA(VLOOKUP(D54,'인원 입력 기능(사과탐)'!$A$5:$D$59,4,FALSE),0))</f>
        <v>122</v>
      </c>
      <c r="H54" s="57">
        <f t="shared" si="1"/>
        <v>1.696848312887702E-3</v>
      </c>
      <c r="I54" s="67">
        <f>SUM($G$7:G54)</f>
        <v>71671</v>
      </c>
      <c r="J54" s="59">
        <f t="shared" si="5"/>
        <v>0.99684274945061058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27</v>
      </c>
      <c r="E55" s="54">
        <f t="shared" si="6"/>
        <v>9</v>
      </c>
      <c r="F55" s="55">
        <f t="shared" si="4"/>
        <v>0.2</v>
      </c>
      <c r="G55" s="56">
        <f>IF(D55=D54,"",_xlfn.IFNA(VLOOKUP(D55,'인원 입력 기능(사과탐)'!$A$5:$D$59,4,FALSE),0))</f>
        <v>164</v>
      </c>
      <c r="H55" s="57">
        <f t="shared" si="1"/>
        <v>2.2810092074883864E-3</v>
      </c>
      <c r="I55" s="67">
        <f>SUM($G$7:G55)</f>
        <v>71835</v>
      </c>
      <c r="J55" s="59">
        <f t="shared" si="5"/>
        <v>0.99912375865809899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25</v>
      </c>
      <c r="E57" s="107">
        <f t="shared" si="6"/>
        <v>9</v>
      </c>
      <c r="F57" s="74">
        <f>IF(I55=0,ROUND(100*(1-(I54+I57)/2/$J$3),2),ROUND(100*(1-(I55+I57)/2/$J$3),2))</f>
        <v>0.04</v>
      </c>
      <c r="G57" s="108">
        <f>_xlfn.IFNA(VLOOKUP(D57,'인원 입력 기능(사과탐)'!$A$5:$D$59,4,FALSE),0)</f>
        <v>63</v>
      </c>
      <c r="H57" s="76">
        <f>G57/$J$3</f>
        <v>8.7624134190102641E-4</v>
      </c>
      <c r="I57" s="77">
        <f>SUM($G$7:G57)</f>
        <v>71898</v>
      </c>
      <c r="J57" s="109">
        <f>I57/$J$3</f>
        <v>1</v>
      </c>
      <c r="K57" s="31"/>
      <c r="L57" s="15" t="str">
        <f>IF(ABS((C57-$H$3)/$H$4*10+50-D57)&gt;0.49, "경고", "")</f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D3:F3"/>
    <mergeCell ref="D4:F4"/>
    <mergeCell ref="I4:J5"/>
    <mergeCell ref="D9:D10"/>
    <mergeCell ref="E9:E10"/>
    <mergeCell ref="F9:F10"/>
    <mergeCell ref="G9:G10"/>
    <mergeCell ref="H9:H10"/>
    <mergeCell ref="I9:I10"/>
    <mergeCell ref="J9:J10"/>
    <mergeCell ref="I15:I16"/>
    <mergeCell ref="J15:J16"/>
    <mergeCell ref="D21:D22"/>
    <mergeCell ref="E21:E22"/>
    <mergeCell ref="F21:F22"/>
    <mergeCell ref="G21:G22"/>
    <mergeCell ref="H21:H22"/>
    <mergeCell ref="I21:I22"/>
    <mergeCell ref="J21:J22"/>
    <mergeCell ref="D15:D16"/>
    <mergeCell ref="E15:E16"/>
    <mergeCell ref="F15:F16"/>
    <mergeCell ref="G15:G16"/>
    <mergeCell ref="H15:H16"/>
    <mergeCell ref="I27:I28"/>
    <mergeCell ref="J27:J28"/>
    <mergeCell ref="D33:D34"/>
    <mergeCell ref="E33:E34"/>
    <mergeCell ref="F33:F34"/>
    <mergeCell ref="G33:G34"/>
    <mergeCell ref="H33:H34"/>
    <mergeCell ref="I33:I34"/>
    <mergeCell ref="J33:J34"/>
    <mergeCell ref="D27:D28"/>
    <mergeCell ref="E27:E28"/>
    <mergeCell ref="F27:F28"/>
    <mergeCell ref="G27:G28"/>
    <mergeCell ref="H27:H28"/>
    <mergeCell ref="I39:I40"/>
    <mergeCell ref="J39:J40"/>
    <mergeCell ref="D45:D46"/>
    <mergeCell ref="E45:E46"/>
    <mergeCell ref="F45:F46"/>
    <mergeCell ref="G45:G46"/>
    <mergeCell ref="H45:H46"/>
    <mergeCell ref="I45:I46"/>
    <mergeCell ref="J45:J46"/>
    <mergeCell ref="D39:D40"/>
    <mergeCell ref="E39:E40"/>
    <mergeCell ref="F39:F40"/>
    <mergeCell ref="G39:G40"/>
    <mergeCell ref="H39:H40"/>
    <mergeCell ref="I51:I52"/>
    <mergeCell ref="J51:J52"/>
    <mergeCell ref="D51:D52"/>
    <mergeCell ref="E51:E52"/>
    <mergeCell ref="F51:F52"/>
    <mergeCell ref="G51:G52"/>
    <mergeCell ref="H51:H52"/>
  </mergeCells>
  <phoneticPr fontId="1" type="noConversion"/>
  <conditionalFormatting sqref="D7:J9 D11:J15 D17:J21 D23:J27 D29:J33 D35:J39 D41:J45 D47:J51 D53:J57">
    <cfRule type="expression" dxfId="1" priority="3">
      <formula>OR($D7=$Q$7:$Q$14)</formula>
    </cfRule>
  </conditionalFormatting>
  <conditionalFormatting sqref="C7:C57">
    <cfRule type="expression" dxfId="51" priority="2">
      <formula>OR(AND($D7=0,OR($D6=$Q$7:$Q$14)),AND($D8&gt;0,OR($D7=$Q$7:$Q$14)))</formula>
    </cfRule>
  </conditionalFormatting>
  <conditionalFormatting sqref="D7:D9 D11:D15 D17:D21 D23:D27 D29:D33 D35:D39 D41:D45 D47:D51 D53:D57">
    <cfRule type="expression" dxfId="0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기능'!D9</f>
        <v>29.76</v>
      </c>
      <c r="I3" s="16" t="s">
        <v>70</v>
      </c>
      <c r="J3" s="45">
        <f>'통계 및 응시자 수 입력 기능'!C9</f>
        <v>48836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103</v>
      </c>
      <c r="E4" s="169"/>
      <c r="F4" s="170"/>
      <c r="G4" s="47" t="s">
        <v>73</v>
      </c>
      <c r="H4" s="48" t="str">
        <f>'통계 및 응시자 수 입력 기능'!E9</f>
        <v>11.98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67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99.44</v>
      </c>
      <c r="G7" s="56">
        <f>_xlfn.IFNA(VLOOKUP(D7,'인원 입력 기능(사과탐)'!$F$5:$I$59,4,FALSE),0)</f>
        <v>547</v>
      </c>
      <c r="H7" s="57">
        <f>G7/$J$3</f>
        <v>1.1200753542468671E-2</v>
      </c>
      <c r="I7" s="58">
        <f>G7</f>
        <v>547</v>
      </c>
      <c r="J7" s="59">
        <f>I7/$J$3</f>
        <v>1.1200753542468671E-2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기능'!C49</f>
        <v>64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기능'!C50</f>
        <v>61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65</v>
      </c>
      <c r="E9" s="54">
        <f t="shared" si="0"/>
        <v>1</v>
      </c>
      <c r="F9" s="55">
        <f>IF(I8=0,ROUND(100*(1-(I7+I9)/2/$J$3),2),ROUND(100*(1-(I8+I9)/2/$J$3),2))</f>
        <v>98.22</v>
      </c>
      <c r="G9" s="56">
        <f>_xlfn.IFNA(VLOOKUP(D9,'인원 입력 기능(사과탐)'!$F$5:$I$59,4,FALSE),0)</f>
        <v>640</v>
      </c>
      <c r="H9" s="57">
        <f t="shared" ref="H9:H55" si="1">G9/$J$3</f>
        <v>1.3105086411663526E-2</v>
      </c>
      <c r="I9" s="67">
        <f>SUM($G$7:G9)</f>
        <v>1187</v>
      </c>
      <c r="J9" s="59">
        <f>I9/$J$3</f>
        <v>2.4305839954132196E-2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기능'!C51</f>
        <v>59</v>
      </c>
    </row>
    <row r="10" spans="1:17" s="17" customFormat="1" ht="25" customHeight="1" x14ac:dyDescent="0.45">
      <c r="A10" s="15"/>
      <c r="B10" s="30"/>
      <c r="C10" s="60">
        <v>47</v>
      </c>
      <c r="D10" s="186">
        <f t="shared" ref="D10:D55" si="3">ROUND(10*(C10-$H$3)/$H$4+50,0)</f>
        <v>64</v>
      </c>
      <c r="E10" s="186">
        <f t="shared" si="0"/>
        <v>1</v>
      </c>
      <c r="F10" s="180">
        <f t="shared" ref="F10:F55" si="4">IF(I9=0,ROUND(100*(1-(I8+I10)/2/$J$3),2),ROUND(100*(1-(I9+I10)/2/$J$3),2))</f>
        <v>96.11</v>
      </c>
      <c r="G10" s="182">
        <f>IF(D10=D9,"",_xlfn.IFNA(VLOOKUP(D10,'인원 입력 기능(사과탐)'!$F$5:$I$59,4,FALSE),0))</f>
        <v>1424</v>
      </c>
      <c r="H10" s="184">
        <f t="shared" si="1"/>
        <v>2.9158817265951348E-2</v>
      </c>
      <c r="I10" s="188">
        <f>SUM($G$7:G10)</f>
        <v>2611</v>
      </c>
      <c r="J10" s="176">
        <f t="shared" ref="J10:J55" si="5">I10/$J$3</f>
        <v>5.3464657220083547E-2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기능'!C52</f>
        <v>54</v>
      </c>
    </row>
    <row r="11" spans="1:17" s="17" customFormat="1" ht="25" customHeight="1" x14ac:dyDescent="0.45">
      <c r="A11" s="15"/>
      <c r="B11" s="30"/>
      <c r="C11" s="53">
        <v>46</v>
      </c>
      <c r="D11" s="187"/>
      <c r="E11" s="187"/>
      <c r="F11" s="181"/>
      <c r="G11" s="183"/>
      <c r="H11" s="185"/>
      <c r="I11" s="189"/>
      <c r="J11" s="177"/>
      <c r="K11" s="31"/>
      <c r="L11" s="15" t="str">
        <f t="shared" si="2"/>
        <v>경고</v>
      </c>
      <c r="N11" s="19"/>
      <c r="P11" s="19">
        <v>5</v>
      </c>
      <c r="Q11" s="19">
        <f>'표점등급&amp;절평인원 입력 기능'!C53</f>
        <v>49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63</v>
      </c>
      <c r="E12" s="54">
        <f t="shared" si="0"/>
        <v>2</v>
      </c>
      <c r="F12" s="55">
        <f t="shared" si="4"/>
        <v>92.73</v>
      </c>
      <c r="G12" s="56">
        <f>IF(D12=D11,"",_xlfn.IFNA(VLOOKUP(D12,'인원 입력 기능(사과탐)'!$F$5:$I$59,4,FALSE),0))</f>
        <v>1880</v>
      </c>
      <c r="H12" s="57">
        <f t="shared" si="1"/>
        <v>3.849619133426161E-2</v>
      </c>
      <c r="I12" s="67">
        <f>SUM($G$7:G12)</f>
        <v>4491</v>
      </c>
      <c r="J12" s="59">
        <f t="shared" si="5"/>
        <v>9.1960848554345151E-2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기능'!C54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62</v>
      </c>
      <c r="E13" s="54">
        <f t="shared" si="0"/>
        <v>2</v>
      </c>
      <c r="F13" s="55">
        <f t="shared" si="4"/>
        <v>89.93</v>
      </c>
      <c r="G13" s="56">
        <f>IF(D13=D12,"",_xlfn.IFNA(VLOOKUP(D13,'인원 입력 기능(사과탐)'!$F$5:$I$59,4,FALSE),0))</f>
        <v>858</v>
      </c>
      <c r="H13" s="57">
        <f t="shared" si="1"/>
        <v>1.7569006470636417E-2</v>
      </c>
      <c r="I13" s="67">
        <f>SUM($G$7:G13)</f>
        <v>5349</v>
      </c>
      <c r="J13" s="59">
        <f t="shared" si="5"/>
        <v>0.10952985502498157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기능'!C55</f>
        <v>35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61</v>
      </c>
      <c r="E14" s="54">
        <f t="shared" si="0"/>
        <v>2</v>
      </c>
      <c r="F14" s="55">
        <f t="shared" si="4"/>
        <v>87.29</v>
      </c>
      <c r="G14" s="56">
        <f>IF(D14=D13,"",_xlfn.IFNA(VLOOKUP(D14,'인원 입력 기능(사과탐)'!$F$5:$I$59,4,FALSE),0))</f>
        <v>1713</v>
      </c>
      <c r="H14" s="57">
        <f t="shared" si="1"/>
        <v>3.507658284871816E-2</v>
      </c>
      <c r="I14" s="67">
        <f>SUM($G$7:G14)</f>
        <v>7062</v>
      </c>
      <c r="J14" s="59">
        <f t="shared" si="5"/>
        <v>0.14460643787369973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기능'!C56</f>
        <v>30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60</v>
      </c>
      <c r="E15" s="54">
        <f t="shared" si="0"/>
        <v>3</v>
      </c>
      <c r="F15" s="55">
        <f t="shared" si="4"/>
        <v>83.71</v>
      </c>
      <c r="G15" s="56">
        <f>IF(D15=D14,"",_xlfn.IFNA(VLOOKUP(D15,'인원 입력 기능(사과탐)'!$F$5:$I$59,4,FALSE),0))</f>
        <v>1789</v>
      </c>
      <c r="H15" s="57">
        <f t="shared" si="1"/>
        <v>3.6632811860103205E-2</v>
      </c>
      <c r="I15" s="67">
        <f>SUM($G$7:G15)</f>
        <v>8851</v>
      </c>
      <c r="J15" s="59">
        <f t="shared" si="5"/>
        <v>0.18123924973380293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186">
        <f t="shared" si="3"/>
        <v>59</v>
      </c>
      <c r="E16" s="186">
        <f t="shared" si="0"/>
        <v>3</v>
      </c>
      <c r="F16" s="180">
        <f t="shared" si="4"/>
        <v>78.33</v>
      </c>
      <c r="G16" s="182">
        <f>IF(D16=D15,"",_xlfn.IFNA(VLOOKUP(D16,'인원 입력 기능(사과탐)'!$F$5:$I$59,4,FALSE),0))</f>
        <v>3467</v>
      </c>
      <c r="H16" s="184">
        <f t="shared" si="1"/>
        <v>7.0992710295683506E-2</v>
      </c>
      <c r="I16" s="188">
        <f>SUM($G$7:G16)</f>
        <v>12318</v>
      </c>
      <c r="J16" s="176">
        <f t="shared" si="5"/>
        <v>0.25223196002948645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187"/>
      <c r="E17" s="187"/>
      <c r="F17" s="181"/>
      <c r="G17" s="183"/>
      <c r="H17" s="185"/>
      <c r="I17" s="189"/>
      <c r="J17" s="177"/>
      <c r="K17" s="31"/>
      <c r="L17" s="15" t="str">
        <f t="shared" si="2"/>
        <v>경고</v>
      </c>
      <c r="N17" s="19"/>
      <c r="Q17" s="19">
        <f>Q7*H3*H4*J3*IFERROR(IF(J57=1, 1, 0), 0)</f>
        <v>1114319688.4992001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58</v>
      </c>
      <c r="E18" s="54">
        <f t="shared" si="0"/>
        <v>4</v>
      </c>
      <c r="F18" s="55">
        <f t="shared" si="4"/>
        <v>73.22</v>
      </c>
      <c r="G18" s="56">
        <f>IF(D18=D17,"",_xlfn.IFNA(VLOOKUP(D18,'인원 입력 기능(사과탐)'!$F$5:$I$59,4,FALSE),0))</f>
        <v>1516</v>
      </c>
      <c r="H18" s="57">
        <f t="shared" si="1"/>
        <v>3.1042673437627979E-2</v>
      </c>
      <c r="I18" s="67">
        <f>SUM($G$7:G18)</f>
        <v>13834</v>
      </c>
      <c r="J18" s="59">
        <f t="shared" si="5"/>
        <v>0.2832746334671144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57</v>
      </c>
      <c r="E19" s="54">
        <f t="shared" si="0"/>
        <v>4</v>
      </c>
      <c r="F19" s="55">
        <f t="shared" si="4"/>
        <v>69.930000000000007</v>
      </c>
      <c r="G19" s="56">
        <f>IF(D19=D18,"",_xlfn.IFNA(VLOOKUP(D19,'인원 입력 기능(사과탐)'!$F$5:$I$59,4,FALSE),0))</f>
        <v>1705</v>
      </c>
      <c r="H19" s="57">
        <f t="shared" si="1"/>
        <v>3.4912769268572362E-2</v>
      </c>
      <c r="I19" s="67">
        <f>SUM($G$7:G19)</f>
        <v>15539</v>
      </c>
      <c r="J19" s="59">
        <f t="shared" si="5"/>
        <v>0.3181874027356868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56</v>
      </c>
      <c r="E20" s="54">
        <f t="shared" si="0"/>
        <v>4</v>
      </c>
      <c r="F20" s="55">
        <f t="shared" si="4"/>
        <v>66.180000000000007</v>
      </c>
      <c r="G20" s="56">
        <f>IF(D20=D19,"",_xlfn.IFNA(VLOOKUP(D20,'인원 입력 기능(사과탐)'!$F$5:$I$59,4,FALSE),0))</f>
        <v>1957</v>
      </c>
      <c r="H20" s="57">
        <f t="shared" si="1"/>
        <v>4.0072897043164878E-2</v>
      </c>
      <c r="I20" s="67">
        <f>SUM($G$7:G20)</f>
        <v>17496</v>
      </c>
      <c r="J20" s="59">
        <f t="shared" si="5"/>
        <v>0.35826029977885165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55</v>
      </c>
      <c r="E21" s="69">
        <f t="shared" si="0"/>
        <v>4</v>
      </c>
      <c r="F21" s="55">
        <f t="shared" si="4"/>
        <v>62.76</v>
      </c>
      <c r="G21" s="56">
        <f>IF(D21=D20,"",_xlfn.IFNA(VLOOKUP(D21,'인원 입력 기능(사과탐)'!$F$5:$I$59,4,FALSE),0))</f>
        <v>1385</v>
      </c>
      <c r="H21" s="57">
        <f t="shared" si="1"/>
        <v>2.83602260627406E-2</v>
      </c>
      <c r="I21" s="67">
        <f>SUM($G$7:G21)</f>
        <v>18881</v>
      </c>
      <c r="J21" s="59">
        <f t="shared" si="5"/>
        <v>0.38662052584159229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78">
        <f t="shared" si="3"/>
        <v>54</v>
      </c>
      <c r="E22" s="178">
        <f t="shared" si="0"/>
        <v>4</v>
      </c>
      <c r="F22" s="180">
        <f t="shared" si="4"/>
        <v>57.85</v>
      </c>
      <c r="G22" s="182">
        <f>IF(D22=D21,"",_xlfn.IFNA(VLOOKUP(D22,'인원 입력 기능(사과탐)'!$F$5:$I$59,4,FALSE),0))</f>
        <v>3407</v>
      </c>
      <c r="H22" s="184">
        <f t="shared" si="1"/>
        <v>6.9764108444590051E-2</v>
      </c>
      <c r="I22" s="188">
        <f>SUM($G$7:G22)</f>
        <v>22288</v>
      </c>
      <c r="J22" s="176">
        <f t="shared" si="5"/>
        <v>0.45638463428618231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179"/>
      <c r="E23" s="179"/>
      <c r="F23" s="181"/>
      <c r="G23" s="183"/>
      <c r="H23" s="185"/>
      <c r="I23" s="189"/>
      <c r="J23" s="177"/>
      <c r="K23" s="31"/>
      <c r="L23" s="15" t="str">
        <f t="shared" si="2"/>
        <v>경고</v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53</v>
      </c>
      <c r="E24" s="69">
        <f t="shared" si="0"/>
        <v>5</v>
      </c>
      <c r="F24" s="55">
        <f t="shared" si="4"/>
        <v>52.93</v>
      </c>
      <c r="G24" s="56">
        <f>IF(D24=D23,"",_xlfn.IFNA(VLOOKUP(D24,'인원 입력 기능(사과탐)'!$F$5:$I$59,4,FALSE),0))</f>
        <v>1401</v>
      </c>
      <c r="H24" s="57">
        <f t="shared" si="1"/>
        <v>2.8687853223032189E-2</v>
      </c>
      <c r="I24" s="67">
        <f>SUM($G$7:G24)</f>
        <v>23689</v>
      </c>
      <c r="J24" s="59">
        <f t="shared" si="5"/>
        <v>0.4850724875092145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52</v>
      </c>
      <c r="E25" s="69">
        <f t="shared" si="0"/>
        <v>5</v>
      </c>
      <c r="F25" s="55">
        <f t="shared" si="4"/>
        <v>49.74</v>
      </c>
      <c r="G25" s="56">
        <f>IF(D25=D24,"",_xlfn.IFNA(VLOOKUP(D25,'인원 입력 기능(사과탐)'!$F$5:$I$59,4,FALSE),0))</f>
        <v>1713</v>
      </c>
      <c r="H25" s="57">
        <f t="shared" si="1"/>
        <v>3.507658284871816E-2</v>
      </c>
      <c r="I25" s="67">
        <f>SUM($G$7:G25)</f>
        <v>25402</v>
      </c>
      <c r="J25" s="59">
        <f t="shared" si="5"/>
        <v>0.52014907035793267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51</v>
      </c>
      <c r="E26" s="69">
        <f t="shared" si="0"/>
        <v>5</v>
      </c>
      <c r="F26" s="55">
        <f t="shared" si="4"/>
        <v>46.79</v>
      </c>
      <c r="G26" s="56">
        <f>IF(D26=D25,"",_xlfn.IFNA(VLOOKUP(D26,'인원 입력 기능(사과탐)'!$F$5:$I$59,4,FALSE),0))</f>
        <v>1165</v>
      </c>
      <c r="H26" s="57">
        <f t="shared" si="1"/>
        <v>2.3855352608731263E-2</v>
      </c>
      <c r="I26" s="67">
        <f>SUM($G$7:G26)</f>
        <v>26567</v>
      </c>
      <c r="J26" s="59">
        <f t="shared" si="5"/>
        <v>0.54400442296666396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50</v>
      </c>
      <c r="E27" s="69">
        <f t="shared" si="0"/>
        <v>5</v>
      </c>
      <c r="F27" s="55">
        <f t="shared" si="4"/>
        <v>44.18</v>
      </c>
      <c r="G27" s="56">
        <f>IF(D27=D26,"",_xlfn.IFNA(VLOOKUP(D27,'인원 입력 기능(사과탐)'!$F$5:$I$59,4,FALSE),0))</f>
        <v>1386</v>
      </c>
      <c r="H27" s="57">
        <f t="shared" si="1"/>
        <v>2.8380702760258825E-2</v>
      </c>
      <c r="I27" s="67">
        <f>SUM($G$7:G27)</f>
        <v>27953</v>
      </c>
      <c r="J27" s="59">
        <f t="shared" si="5"/>
        <v>0.57238512572692279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78">
        <f t="shared" si="3"/>
        <v>49</v>
      </c>
      <c r="E28" s="178">
        <f t="shared" si="0"/>
        <v>5</v>
      </c>
      <c r="F28" s="180">
        <f t="shared" si="4"/>
        <v>40.340000000000003</v>
      </c>
      <c r="G28" s="182">
        <f>IF(D28=D27,"",_xlfn.IFNA(VLOOKUP(D28,'인원 입력 기능(사과탐)'!$F$5:$I$59,4,FALSE),0))</f>
        <v>2362</v>
      </c>
      <c r="H28" s="184">
        <f t="shared" si="1"/>
        <v>4.8365959538045705E-2</v>
      </c>
      <c r="I28" s="188">
        <f>SUM($G$7:G28)</f>
        <v>30315</v>
      </c>
      <c r="J28" s="176">
        <f t="shared" si="5"/>
        <v>0.62075108526496847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79"/>
      <c r="E29" s="179"/>
      <c r="F29" s="181"/>
      <c r="G29" s="183"/>
      <c r="H29" s="185"/>
      <c r="I29" s="189"/>
      <c r="J29" s="177"/>
      <c r="K29" s="31"/>
      <c r="L29" s="15" t="str">
        <f t="shared" si="2"/>
        <v>경고</v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48</v>
      </c>
      <c r="E30" s="69">
        <f t="shared" si="0"/>
        <v>6</v>
      </c>
      <c r="F30" s="55">
        <f t="shared" si="4"/>
        <v>36.659999999999997</v>
      </c>
      <c r="G30" s="56">
        <f>IF(D30=D29,"",_xlfn.IFNA(VLOOKUP(D30,'인원 입력 기능(사과탐)'!$F$5:$I$59,4,FALSE),0))</f>
        <v>1231</v>
      </c>
      <c r="H30" s="57">
        <f t="shared" si="1"/>
        <v>2.5206814644934065E-2</v>
      </c>
      <c r="I30" s="67">
        <f>SUM($G$7:G30)</f>
        <v>31546</v>
      </c>
      <c r="J30" s="59">
        <f t="shared" si="5"/>
        <v>0.64595789990990249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47</v>
      </c>
      <c r="E31" s="69">
        <f t="shared" si="0"/>
        <v>6</v>
      </c>
      <c r="F31" s="55">
        <f t="shared" si="4"/>
        <v>34.44</v>
      </c>
      <c r="G31" s="56">
        <f>IF(D31=D30,"",_xlfn.IFNA(VLOOKUP(D31,'인원 입력 기능(사과탐)'!$F$5:$I$59,4,FALSE),0))</f>
        <v>944</v>
      </c>
      <c r="H31" s="57">
        <f t="shared" si="1"/>
        <v>1.9330002457203701E-2</v>
      </c>
      <c r="I31" s="67">
        <f>SUM($G$7:G31)</f>
        <v>32490</v>
      </c>
      <c r="J31" s="59">
        <f t="shared" si="5"/>
        <v>0.66528790236710622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46</v>
      </c>
      <c r="E32" s="69">
        <f t="shared" si="0"/>
        <v>6</v>
      </c>
      <c r="F32" s="55">
        <f t="shared" si="4"/>
        <v>32.450000000000003</v>
      </c>
      <c r="G32" s="56">
        <f>IF(D32=D31,"",_xlfn.IFNA(VLOOKUP(D32,'인원 입력 기능(사과탐)'!$F$5:$I$59,4,FALSE),0))</f>
        <v>993</v>
      </c>
      <c r="H32" s="57">
        <f t="shared" si="1"/>
        <v>2.0333360635596692E-2</v>
      </c>
      <c r="I32" s="67">
        <f>SUM($G$7:G32)</f>
        <v>33483</v>
      </c>
      <c r="J32" s="59">
        <f t="shared" si="5"/>
        <v>0.68562126300270287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45</v>
      </c>
      <c r="E33" s="69">
        <f t="shared" si="0"/>
        <v>6</v>
      </c>
      <c r="F33" s="55">
        <f t="shared" si="4"/>
        <v>30.41</v>
      </c>
      <c r="G33" s="56">
        <f>IF(D33=D32,"",_xlfn.IFNA(VLOOKUP(D33,'인원 입력 기능(사과탐)'!$F$5:$I$59,4,FALSE),0))</f>
        <v>1007</v>
      </c>
      <c r="H33" s="57">
        <f t="shared" si="1"/>
        <v>2.062003440085183E-2</v>
      </c>
      <c r="I33" s="67">
        <f>SUM($G$7:G33)</f>
        <v>34490</v>
      </c>
      <c r="J33" s="59">
        <f t="shared" si="5"/>
        <v>0.70624129740355479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178">
        <f t="shared" si="3"/>
        <v>44</v>
      </c>
      <c r="E34" s="178">
        <f t="shared" si="0"/>
        <v>6</v>
      </c>
      <c r="F34" s="180">
        <f t="shared" si="4"/>
        <v>27.75</v>
      </c>
      <c r="G34" s="182">
        <f>IF(D34=D33,"",_xlfn.IFNA(VLOOKUP(D34,'인원 입력 기능(사과탐)'!$F$5:$I$59,4,FALSE),0))</f>
        <v>1587</v>
      </c>
      <c r="H34" s="184">
        <f t="shared" si="1"/>
        <v>3.2496518961421902E-2</v>
      </c>
      <c r="I34" s="188">
        <f>SUM($G$7:G34)</f>
        <v>36077</v>
      </c>
      <c r="J34" s="176">
        <f t="shared" si="5"/>
        <v>0.73873781636497671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179"/>
      <c r="E35" s="179"/>
      <c r="F35" s="181"/>
      <c r="G35" s="183"/>
      <c r="H35" s="185"/>
      <c r="I35" s="189"/>
      <c r="J35" s="177"/>
      <c r="K35" s="31"/>
      <c r="L35" s="15" t="str">
        <f t="shared" si="2"/>
        <v>경고</v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43</v>
      </c>
      <c r="E36" s="69">
        <f t="shared" si="0"/>
        <v>6</v>
      </c>
      <c r="F36" s="55">
        <f t="shared" si="4"/>
        <v>25.35</v>
      </c>
      <c r="G36" s="56">
        <f>IF(D36=D35,"",_xlfn.IFNA(VLOOKUP(D36,'인원 입력 기능(사과탐)'!$F$5:$I$59,4,FALSE),0))</f>
        <v>758</v>
      </c>
      <c r="H36" s="57">
        <f t="shared" si="1"/>
        <v>1.5521336718813989E-2</v>
      </c>
      <c r="I36" s="67">
        <f>SUM($G$7:G36)</f>
        <v>36835</v>
      </c>
      <c r="J36" s="59">
        <f t="shared" si="5"/>
        <v>0.75425915308379066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42</v>
      </c>
      <c r="E37" s="69">
        <f t="shared" si="0"/>
        <v>6</v>
      </c>
      <c r="F37" s="55">
        <f t="shared" si="4"/>
        <v>23.81</v>
      </c>
      <c r="G37" s="56">
        <f>IF(D37=D36,"",_xlfn.IFNA(VLOOKUP(D37,'인원 입력 기능(사과탐)'!$F$5:$I$59,4,FALSE),0))</f>
        <v>747</v>
      </c>
      <c r="H37" s="57">
        <f t="shared" si="1"/>
        <v>1.5296093046113523E-2</v>
      </c>
      <c r="I37" s="67">
        <f>SUM($G$7:G37)</f>
        <v>37582</v>
      </c>
      <c r="J37" s="59">
        <f t="shared" si="5"/>
        <v>0.76955524612990411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41</v>
      </c>
      <c r="E38" s="69">
        <f t="shared" si="0"/>
        <v>6</v>
      </c>
      <c r="F38" s="55">
        <f t="shared" si="4"/>
        <v>22.22</v>
      </c>
      <c r="G38" s="56">
        <f>IF(D38=D37,"",_xlfn.IFNA(VLOOKUP(D38,'인원 입력 기능(사과탐)'!$F$5:$I$59,4,FALSE),0))</f>
        <v>805</v>
      </c>
      <c r="H38" s="57">
        <f t="shared" si="1"/>
        <v>1.6483741502170531E-2</v>
      </c>
      <c r="I38" s="67">
        <f>SUM($G$7:G38)</f>
        <v>38387</v>
      </c>
      <c r="J38" s="59">
        <f t="shared" si="5"/>
        <v>0.78603898763207469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40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20.73</v>
      </c>
      <c r="G39" s="56">
        <f>IF(D39=D38,"",_xlfn.IFNA(VLOOKUP(D39,'인원 입력 기능(사과탐)'!$F$5:$I$59,4,FALSE),0))</f>
        <v>654</v>
      </c>
      <c r="H39" s="57">
        <f t="shared" si="1"/>
        <v>1.3391760176918666E-2</v>
      </c>
      <c r="I39" s="67">
        <f>SUM($G$7:G39)</f>
        <v>39041</v>
      </c>
      <c r="J39" s="59">
        <f t="shared" si="5"/>
        <v>0.79943074780899337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178">
        <f t="shared" si="3"/>
        <v>39</v>
      </c>
      <c r="E40" s="178">
        <f t="shared" si="6"/>
        <v>7</v>
      </c>
      <c r="F40" s="180">
        <f t="shared" si="4"/>
        <v>18.53</v>
      </c>
      <c r="G40" s="182">
        <f>IF(D40=D39,"",_xlfn.IFNA(VLOOKUP(D40,'인원 입력 기능(사과탐)'!$F$5:$I$59,4,FALSE),0))</f>
        <v>1493</v>
      </c>
      <c r="H40" s="184">
        <f t="shared" si="1"/>
        <v>3.057170939470882E-2</v>
      </c>
      <c r="I40" s="188">
        <f>SUM($G$7:G40)</f>
        <v>40534</v>
      </c>
      <c r="J40" s="176">
        <f t="shared" si="5"/>
        <v>0.83000245720370214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179"/>
      <c r="E41" s="179"/>
      <c r="F41" s="181"/>
      <c r="G41" s="183"/>
      <c r="H41" s="185"/>
      <c r="I41" s="189"/>
      <c r="J41" s="177"/>
      <c r="K41" s="31"/>
      <c r="L41" s="15" t="str">
        <f t="shared" si="2"/>
        <v>경고</v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38</v>
      </c>
      <c r="E42" s="69">
        <f t="shared" si="6"/>
        <v>7</v>
      </c>
      <c r="F42" s="55">
        <f t="shared" si="4"/>
        <v>16.350000000000001</v>
      </c>
      <c r="G42" s="56">
        <f>IF(D42=D41,"",_xlfn.IFNA(VLOOKUP(D42,'인원 입력 기능(사과탐)'!$F$5:$I$59,4,FALSE),0))</f>
        <v>631</v>
      </c>
      <c r="H42" s="57">
        <f t="shared" si="1"/>
        <v>1.2920796133999509E-2</v>
      </c>
      <c r="I42" s="67">
        <f>SUM($G$7:G42)</f>
        <v>41165</v>
      </c>
      <c r="J42" s="59">
        <f t="shared" si="5"/>
        <v>0.84292325333770168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37</v>
      </c>
      <c r="E43" s="69">
        <f t="shared" si="6"/>
        <v>7</v>
      </c>
      <c r="F43" s="55">
        <f t="shared" si="4"/>
        <v>14.83</v>
      </c>
      <c r="G43" s="56">
        <f>IF(D43=D42,"",_xlfn.IFNA(VLOOKUP(D43,'인원 입력 기능(사과탐)'!$F$5:$I$59,4,FALSE),0))</f>
        <v>857</v>
      </c>
      <c r="H43" s="57">
        <f t="shared" si="1"/>
        <v>1.7548529773118191E-2</v>
      </c>
      <c r="I43" s="67">
        <f>SUM($G$7:G43)</f>
        <v>42022</v>
      </c>
      <c r="J43" s="59">
        <f t="shared" si="5"/>
        <v>0.86047178311081984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36</v>
      </c>
      <c r="E44" s="69">
        <f t="shared" si="6"/>
        <v>7</v>
      </c>
      <c r="F44" s="55">
        <f t="shared" si="4"/>
        <v>13.35</v>
      </c>
      <c r="G44" s="56">
        <f>IF(D44=D43,"",_xlfn.IFNA(VLOOKUP(D44,'인원 입력 기능(사과탐)'!$F$5:$I$59,4,FALSE),0))</f>
        <v>589</v>
      </c>
      <c r="H44" s="57">
        <f t="shared" si="1"/>
        <v>1.206077483823409E-2</v>
      </c>
      <c r="I44" s="67">
        <f>SUM($G$7:G44)</f>
        <v>42611</v>
      </c>
      <c r="J44" s="59">
        <f t="shared" si="5"/>
        <v>0.87253255794905393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35</v>
      </c>
      <c r="E45" s="69">
        <f t="shared" si="6"/>
        <v>7</v>
      </c>
      <c r="F45" s="55">
        <f t="shared" si="4"/>
        <v>11.5</v>
      </c>
      <c r="G45" s="56">
        <f>IF(D45=D44,"",_xlfn.IFNA(VLOOKUP(D45,'인원 입력 기능(사과탐)'!$F$5:$I$59,4,FALSE),0))</f>
        <v>1216</v>
      </c>
      <c r="H45" s="57">
        <f t="shared" si="1"/>
        <v>2.4899664182160702E-2</v>
      </c>
      <c r="I45" s="67">
        <f>SUM($G$7:G45)</f>
        <v>43827</v>
      </c>
      <c r="J45" s="59">
        <f t="shared" si="5"/>
        <v>0.89743222213121465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78">
        <f t="shared" si="3"/>
        <v>34</v>
      </c>
      <c r="E46" s="178">
        <f t="shared" si="6"/>
        <v>8</v>
      </c>
      <c r="F46" s="180">
        <f t="shared" si="4"/>
        <v>8.6199999999999992</v>
      </c>
      <c r="G46" s="182">
        <f>IF(D46=D45,"",_xlfn.IFNA(VLOOKUP(D46,'인원 입력 기능(사과탐)'!$F$5:$I$59,4,FALSE),0))</f>
        <v>1601</v>
      </c>
      <c r="H46" s="184">
        <f t="shared" si="1"/>
        <v>3.2783192726677041E-2</v>
      </c>
      <c r="I46" s="188">
        <f>SUM($G$7:G46)</f>
        <v>45428</v>
      </c>
      <c r="J46" s="176">
        <f t="shared" si="5"/>
        <v>0.93021541485789172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179"/>
      <c r="E47" s="179"/>
      <c r="F47" s="181"/>
      <c r="G47" s="183"/>
      <c r="H47" s="185"/>
      <c r="I47" s="189"/>
      <c r="J47" s="177"/>
      <c r="K47" s="31"/>
      <c r="L47" s="15" t="str">
        <f t="shared" si="2"/>
        <v>경고</v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33</v>
      </c>
      <c r="E48" s="69">
        <f t="shared" si="6"/>
        <v>8</v>
      </c>
      <c r="F48" s="55">
        <f t="shared" si="4"/>
        <v>6.48</v>
      </c>
      <c r="G48" s="56">
        <f>IF(D48=D47,"",_xlfn.IFNA(VLOOKUP(D48,'인원 입력 기능(사과탐)'!$F$5:$I$59,4,FALSE),0))</f>
        <v>489</v>
      </c>
      <c r="H48" s="57">
        <f t="shared" si="1"/>
        <v>1.0013105086411664E-2</v>
      </c>
      <c r="I48" s="67">
        <f>SUM($G$7:G48)</f>
        <v>45917</v>
      </c>
      <c r="J48" s="59">
        <f t="shared" si="5"/>
        <v>0.94022851994430334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32</v>
      </c>
      <c r="E49" s="69">
        <f t="shared" si="6"/>
        <v>8</v>
      </c>
      <c r="F49" s="55">
        <f t="shared" si="4"/>
        <v>5.5</v>
      </c>
      <c r="G49" s="56">
        <f>IF(D49=D48,"",_xlfn.IFNA(VLOOKUP(D49,'인원 입력 기능(사과탐)'!$F$5:$I$59,4,FALSE),0))</f>
        <v>462</v>
      </c>
      <c r="H49" s="57">
        <f t="shared" si="1"/>
        <v>9.4602342534196079E-3</v>
      </c>
      <c r="I49" s="67">
        <f>SUM($G$7:G49)</f>
        <v>46379</v>
      </c>
      <c r="J49" s="59">
        <f t="shared" si="5"/>
        <v>0.94968875419772303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31</v>
      </c>
      <c r="E50" s="69">
        <f t="shared" si="6"/>
        <v>8</v>
      </c>
      <c r="F50" s="55">
        <f t="shared" si="4"/>
        <v>4.5999999999999996</v>
      </c>
      <c r="G50" s="56">
        <f>IF(D50=D49,"",_xlfn.IFNA(VLOOKUP(D50,'인원 입력 기능(사과탐)'!$F$5:$I$59,4,FALSE),0))</f>
        <v>425</v>
      </c>
      <c r="H50" s="57">
        <f t="shared" si="1"/>
        <v>8.702596445245311E-3</v>
      </c>
      <c r="I50" s="67">
        <f>SUM($G$7:G50)</f>
        <v>46804</v>
      </c>
      <c r="J50" s="59">
        <f t="shared" si="5"/>
        <v>0.95839135064296832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30</v>
      </c>
      <c r="E51" s="69">
        <f t="shared" si="6"/>
        <v>8</v>
      </c>
      <c r="F51" s="55">
        <f t="shared" si="4"/>
        <v>2.63</v>
      </c>
      <c r="G51" s="56">
        <f>IF(D51=D50,"",_xlfn.IFNA(VLOOKUP(D51,'인원 입력 기능(사과탐)'!$F$5:$I$59,4,FALSE),0))</f>
        <v>1500</v>
      </c>
      <c r="H51" s="57">
        <f t="shared" si="1"/>
        <v>3.0715046277336393E-2</v>
      </c>
      <c r="I51" s="67">
        <f>SUM($G$7:G51)</f>
        <v>48304</v>
      </c>
      <c r="J51" s="59">
        <f t="shared" si="5"/>
        <v>0.98910639692030466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178">
        <f t="shared" si="3"/>
        <v>29</v>
      </c>
      <c r="E52" s="178">
        <f t="shared" si="6"/>
        <v>9</v>
      </c>
      <c r="F52" s="180">
        <f t="shared" si="4"/>
        <v>0.74</v>
      </c>
      <c r="G52" s="182">
        <f>IF(D52=D51,"",_xlfn.IFNA(VLOOKUP(D52,'인원 입력 기능(사과탐)'!$F$5:$I$59,4,FALSE),0))</f>
        <v>340</v>
      </c>
      <c r="H52" s="184">
        <f t="shared" si="1"/>
        <v>6.9620771561962483E-3</v>
      </c>
      <c r="I52" s="188">
        <f>SUM($G$7:G52)</f>
        <v>48644</v>
      </c>
      <c r="J52" s="176">
        <f t="shared" si="5"/>
        <v>0.9960684740765009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179"/>
      <c r="E53" s="179"/>
      <c r="F53" s="181"/>
      <c r="G53" s="183"/>
      <c r="H53" s="185"/>
      <c r="I53" s="189"/>
      <c r="J53" s="177"/>
      <c r="K53" s="31"/>
      <c r="L53" s="15" t="str">
        <f t="shared" si="2"/>
        <v>경고</v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28</v>
      </c>
      <c r="E54" s="54">
        <f t="shared" si="6"/>
        <v>9</v>
      </c>
      <c r="F54" s="55">
        <f t="shared" si="4"/>
        <v>0.33</v>
      </c>
      <c r="G54" s="56">
        <f>IF(D54=D53,"",_xlfn.IFNA(VLOOKUP(D54,'인원 입력 기능(사과탐)'!$F$5:$I$59,4,FALSE),0))</f>
        <v>59</v>
      </c>
      <c r="H54" s="57">
        <f t="shared" si="1"/>
        <v>1.2081251535752313E-3</v>
      </c>
      <c r="I54" s="67">
        <f>SUM($G$7:G54)</f>
        <v>48703</v>
      </c>
      <c r="J54" s="59">
        <f t="shared" si="5"/>
        <v>0.99727659923007617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27</v>
      </c>
      <c r="E55" s="54">
        <f t="shared" si="6"/>
        <v>9</v>
      </c>
      <c r="F55" s="55">
        <f t="shared" si="4"/>
        <v>0.17</v>
      </c>
      <c r="G55" s="56">
        <f>IF(D55=D54,"",_xlfn.IFNA(VLOOKUP(D55,'인원 입력 기능(사과탐)'!$F$5:$I$59,4,FALSE),0))</f>
        <v>98</v>
      </c>
      <c r="H55" s="57">
        <f t="shared" si="1"/>
        <v>2.0067163567859775E-3</v>
      </c>
      <c r="I55" s="67">
        <f>SUM($G$7:G55)</f>
        <v>48801</v>
      </c>
      <c r="J55" s="59">
        <f t="shared" si="5"/>
        <v>0.99928331558686212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25</v>
      </c>
      <c r="E57" s="107">
        <f t="shared" si="6"/>
        <v>9</v>
      </c>
      <c r="F57" s="74">
        <f>IF(I55=0,ROUND(100*(1-(I54+I57)/2/$J$3),2),ROUND(100*(1-(I55+I57)/2/$J$3),2))</f>
        <v>0.04</v>
      </c>
      <c r="G57" s="108">
        <f>_xlfn.IFNA(VLOOKUP(D57,'인원 입력 기능(사과탐)'!$F$5:$I$59,4,FALSE),0)</f>
        <v>35</v>
      </c>
      <c r="H57" s="76">
        <f>G57/$J$3</f>
        <v>7.1668441313784911E-4</v>
      </c>
      <c r="I57" s="77">
        <f>SUM($G$7:G57)</f>
        <v>48836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  <mergeCell ref="I16:I17"/>
    <mergeCell ref="J16:J17"/>
    <mergeCell ref="D22:D23"/>
    <mergeCell ref="E22:E23"/>
    <mergeCell ref="F22:F23"/>
    <mergeCell ref="G22:G23"/>
    <mergeCell ref="H22:H23"/>
    <mergeCell ref="I22:I23"/>
    <mergeCell ref="J22:J23"/>
    <mergeCell ref="D16:D17"/>
    <mergeCell ref="E16:E17"/>
    <mergeCell ref="F16:F17"/>
    <mergeCell ref="G16:G17"/>
    <mergeCell ref="H16:H17"/>
    <mergeCell ref="I28:I29"/>
    <mergeCell ref="J28:J29"/>
    <mergeCell ref="D34:D35"/>
    <mergeCell ref="E34:E35"/>
    <mergeCell ref="F34:F35"/>
    <mergeCell ref="G34:G35"/>
    <mergeCell ref="H34:H35"/>
    <mergeCell ref="I34:I35"/>
    <mergeCell ref="J34:J35"/>
    <mergeCell ref="D28:D29"/>
    <mergeCell ref="E28:E29"/>
    <mergeCell ref="F28:F29"/>
    <mergeCell ref="G28:G29"/>
    <mergeCell ref="H28:H29"/>
    <mergeCell ref="I40:I41"/>
    <mergeCell ref="J40:J41"/>
    <mergeCell ref="D46:D47"/>
    <mergeCell ref="E46:E47"/>
    <mergeCell ref="F46:F47"/>
    <mergeCell ref="G46:G47"/>
    <mergeCell ref="H46:H47"/>
    <mergeCell ref="I46:I47"/>
    <mergeCell ref="J46:J47"/>
    <mergeCell ref="D40:D41"/>
    <mergeCell ref="E40:E41"/>
    <mergeCell ref="F40:F41"/>
    <mergeCell ref="G40:G41"/>
    <mergeCell ref="H40:H41"/>
    <mergeCell ref="I52:I53"/>
    <mergeCell ref="J52:J53"/>
    <mergeCell ref="D52:D53"/>
    <mergeCell ref="E52:E53"/>
    <mergeCell ref="F52:F53"/>
    <mergeCell ref="G52:G53"/>
    <mergeCell ref="H52:H53"/>
  </mergeCells>
  <phoneticPr fontId="1" type="noConversion"/>
  <conditionalFormatting sqref="D7:G10 I7:J10 D12:G16 I12:J16 D18:G22 I18:J22 D24:G28 I24:J28 D30:G34 I30:J34 D36:G40 I36:J40 D42:G46 I42:J46 D48:G52 I48:J52 D54:G57 I54:J57">
    <cfRule type="expression" dxfId="49" priority="4">
      <formula>OR($D7=$Q$7:$Q$14)</formula>
    </cfRule>
  </conditionalFormatting>
  <conditionalFormatting sqref="C7:C57">
    <cfRule type="expression" dxfId="48" priority="3">
      <formula>OR(AND($D7=0,OR($D6=$Q$7:$Q$14)),AND($D8&gt;0,OR($D7=$Q$7:$Q$14)))</formula>
    </cfRule>
  </conditionalFormatting>
  <conditionalFormatting sqref="D7:D10 D12:D16 D18:D22 D24:D28 D30:D34 D36:D40 D42:D46 D48:D52 D54:D57">
    <cfRule type="expression" dxfId="47" priority="2">
      <formula>$D7=$D8</formula>
    </cfRule>
  </conditionalFormatting>
  <conditionalFormatting sqref="H7:H10 H12:H16 H18:H22 H24:H28 H30:H34 H36:H40 H42:H46 H48:H52 H54:H57">
    <cfRule type="expression" dxfId="4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기능'!D10</f>
        <v>28.57</v>
      </c>
      <c r="I3" s="16" t="s">
        <v>70</v>
      </c>
      <c r="J3" s="45">
        <f>'통계 및 응시자 수 입력 기능'!C10</f>
        <v>26194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102</v>
      </c>
      <c r="E4" s="169"/>
      <c r="F4" s="170"/>
      <c r="G4" s="47" t="s">
        <v>73</v>
      </c>
      <c r="H4" s="48" t="str">
        <f>'통계 및 응시자 수 입력 기능'!E10</f>
        <v>11.17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69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99.76</v>
      </c>
      <c r="G7" s="56">
        <f>_xlfn.IFNA(VLOOKUP(D7,'인원 입력 기능(사과탐)'!$K$5:$N$59,4,FALSE),0)</f>
        <v>126</v>
      </c>
      <c r="H7" s="57">
        <f>G7/$J$3</f>
        <v>4.8102618920363438E-3</v>
      </c>
      <c r="I7" s="58">
        <f>G7</f>
        <v>126</v>
      </c>
      <c r="J7" s="59">
        <f>I7/$J$3</f>
        <v>4.8102618920363438E-3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기능'!C58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기능'!C59</f>
        <v>62</v>
      </c>
    </row>
    <row r="9" spans="1:17" s="17" customFormat="1" ht="25" customHeight="1" x14ac:dyDescent="0.45">
      <c r="A9" s="15"/>
      <c r="B9" s="30"/>
      <c r="C9" s="53">
        <v>48</v>
      </c>
      <c r="D9" s="186">
        <f>ROUND(10*(C9-$H$3)/$H$4+50,0)</f>
        <v>67</v>
      </c>
      <c r="E9" s="186">
        <f t="shared" si="0"/>
        <v>1</v>
      </c>
      <c r="F9" s="180">
        <f>IF(I8=0,ROUND(100*(1-(I7+I9)/2/$J$3),2),ROUND(100*(1-(I8+I9)/2/$J$3),2))</f>
        <v>98.58</v>
      </c>
      <c r="G9" s="182">
        <f>_xlfn.IFNA(VLOOKUP(D9,'인원 입력 기능(사과탐)'!$K$5:$N$59,4,FALSE),0)</f>
        <v>490</v>
      </c>
      <c r="H9" s="184">
        <f t="shared" ref="H9:H55" si="1">G9/$J$3</f>
        <v>1.8706574024585781E-2</v>
      </c>
      <c r="I9" s="188">
        <f>SUM($G$7:G9)</f>
        <v>616</v>
      </c>
      <c r="J9" s="176">
        <f>I9/$J$3</f>
        <v>2.3516835916622129E-2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기능'!C60</f>
        <v>58</v>
      </c>
    </row>
    <row r="10" spans="1:17" s="17" customFormat="1" ht="25" customHeight="1" x14ac:dyDescent="0.45">
      <c r="A10" s="15"/>
      <c r="B10" s="30"/>
      <c r="C10" s="60">
        <v>47</v>
      </c>
      <c r="D10" s="187"/>
      <c r="E10" s="187"/>
      <c r="F10" s="181"/>
      <c r="G10" s="183"/>
      <c r="H10" s="185"/>
      <c r="I10" s="189"/>
      <c r="J10" s="177"/>
      <c r="K10" s="31"/>
      <c r="L10" s="15" t="str">
        <f t="shared" si="2"/>
        <v>경고</v>
      </c>
      <c r="N10" s="19"/>
      <c r="P10" s="19">
        <v>4</v>
      </c>
      <c r="Q10" s="19">
        <f>'표점등급&amp;절평인원 입력 기능'!C61</f>
        <v>54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ref="D11:D55" si="3">ROUND(10*(C11-$H$3)/$H$4+50,0)</f>
        <v>66</v>
      </c>
      <c r="E11" s="54">
        <f t="shared" si="0"/>
        <v>1</v>
      </c>
      <c r="F11" s="55">
        <f t="shared" ref="F11:F55" si="4">IF(I10=0,ROUND(100*(1-(I9+I11)/2/$J$3),2),ROUND(100*(1-(I10+I11)/2/$J$3),2))</f>
        <v>97.55</v>
      </c>
      <c r="G11" s="56">
        <f>IF(D11=D10,"",_xlfn.IFNA(VLOOKUP(D11,'인원 입력 기능(사과탐)'!$K$5:$N$59,4,FALSE),0))</f>
        <v>53</v>
      </c>
      <c r="H11" s="57">
        <f t="shared" si="1"/>
        <v>2.0233641291898907E-3</v>
      </c>
      <c r="I11" s="67">
        <f>SUM($G$7:G11)</f>
        <v>669</v>
      </c>
      <c r="J11" s="59">
        <f t="shared" ref="J11:J55" si="5">I11/$J$3</f>
        <v>2.5540200045812016E-2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기능'!C62</f>
        <v>49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65</v>
      </c>
      <c r="E12" s="54">
        <f t="shared" si="0"/>
        <v>1</v>
      </c>
      <c r="F12" s="55">
        <f t="shared" si="4"/>
        <v>96.58</v>
      </c>
      <c r="G12" s="56">
        <f>IF(D12=D11,"",_xlfn.IFNA(VLOOKUP(D12,'인원 입력 기능(사과탐)'!$K$5:$N$59,4,FALSE),0))</f>
        <v>456</v>
      </c>
      <c r="H12" s="57">
        <f t="shared" si="1"/>
        <v>1.7408566847369626E-2</v>
      </c>
      <c r="I12" s="67">
        <f>SUM($G$7:G12)</f>
        <v>1125</v>
      </c>
      <c r="J12" s="59">
        <f t="shared" si="5"/>
        <v>4.2948766893181646E-2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기능'!C63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64</v>
      </c>
      <c r="E13" s="54">
        <f t="shared" si="0"/>
        <v>2</v>
      </c>
      <c r="F13" s="55">
        <f t="shared" si="4"/>
        <v>94.58</v>
      </c>
      <c r="G13" s="56">
        <f>IF(D13=D12,"",_xlfn.IFNA(VLOOKUP(D13,'인원 입력 기능(사과탐)'!$K$5:$N$59,4,FALSE),0))</f>
        <v>591</v>
      </c>
      <c r="H13" s="57">
        <f t="shared" si="1"/>
        <v>2.2562418874551425E-2</v>
      </c>
      <c r="I13" s="67">
        <f>SUM($G$7:G13)</f>
        <v>1716</v>
      </c>
      <c r="J13" s="59">
        <f t="shared" si="5"/>
        <v>6.5511185767733071E-2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기능'!C64</f>
        <v>34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63</v>
      </c>
      <c r="E14" s="54">
        <f t="shared" si="0"/>
        <v>2</v>
      </c>
      <c r="F14" s="55">
        <f t="shared" si="4"/>
        <v>92.87</v>
      </c>
      <c r="G14" s="56">
        <f>IF(D14=D13,"",_xlfn.IFNA(VLOOKUP(D14,'인원 입력 기능(사과탐)'!$K$5:$N$59,4,FALSE),0))</f>
        <v>301</v>
      </c>
      <c r="H14" s="57">
        <f t="shared" si="1"/>
        <v>1.1491181186531267E-2</v>
      </c>
      <c r="I14" s="67">
        <f>SUM($G$7:G14)</f>
        <v>2017</v>
      </c>
      <c r="J14" s="59">
        <f t="shared" si="5"/>
        <v>7.7002366954264337E-2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기능'!C65</f>
        <v>32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62</v>
      </c>
      <c r="E15" s="54">
        <f t="shared" si="0"/>
        <v>2</v>
      </c>
      <c r="F15" s="55">
        <f t="shared" si="4"/>
        <v>90.6</v>
      </c>
      <c r="G15" s="56">
        <f>IF(D15=D14,"",_xlfn.IFNA(VLOOKUP(D15,'인원 입력 기능(사과탐)'!$K$5:$N$59,4,FALSE),0))</f>
        <v>890</v>
      </c>
      <c r="H15" s="57">
        <f t="shared" si="1"/>
        <v>3.3977246697717033E-2</v>
      </c>
      <c r="I15" s="67">
        <f>SUM($G$7:G15)</f>
        <v>2907</v>
      </c>
      <c r="J15" s="59">
        <f t="shared" si="5"/>
        <v>0.11097961365198138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61</v>
      </c>
      <c r="E16" s="54">
        <f t="shared" si="0"/>
        <v>3</v>
      </c>
      <c r="F16" s="55">
        <f t="shared" si="4"/>
        <v>87.64</v>
      </c>
      <c r="G16" s="56">
        <f>IF(D16=D15,"",_xlfn.IFNA(VLOOKUP(D16,'인원 입력 기능(사과탐)'!$K$5:$N$59,4,FALSE),0))</f>
        <v>661</v>
      </c>
      <c r="H16" s="57">
        <f t="shared" si="1"/>
        <v>2.5234786592349394E-2</v>
      </c>
      <c r="I16" s="67">
        <f>SUM($G$7:G16)</f>
        <v>3568</v>
      </c>
      <c r="J16" s="59">
        <f t="shared" si="5"/>
        <v>0.13621440024433076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60</v>
      </c>
      <c r="E17" s="54">
        <f t="shared" si="0"/>
        <v>3</v>
      </c>
      <c r="F17" s="55">
        <f t="shared" si="4"/>
        <v>85.07</v>
      </c>
      <c r="G17" s="56">
        <f>IF(D17=D16,"",_xlfn.IFNA(VLOOKUP(D17,'인원 입력 기능(사과탐)'!$K$5:$N$59,4,FALSE),0))</f>
        <v>685</v>
      </c>
      <c r="H17" s="57">
        <f t="shared" si="1"/>
        <v>2.6151026952737268E-2</v>
      </c>
      <c r="I17" s="67">
        <f>SUM($G$7:G17)</f>
        <v>4253</v>
      </c>
      <c r="J17" s="59">
        <f t="shared" si="5"/>
        <v>0.16236542719706804</v>
      </c>
      <c r="K17" s="31"/>
      <c r="L17" s="15" t="str">
        <f t="shared" si="2"/>
        <v/>
      </c>
      <c r="N17" s="19"/>
      <c r="Q17" s="19">
        <f>Q7*H3*H4*J3*IFERROR(IF(J57=1, 1, 0), 0)</f>
        <v>543348651.20899999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59</v>
      </c>
      <c r="E18" s="54">
        <f t="shared" si="0"/>
        <v>3</v>
      </c>
      <c r="F18" s="55">
        <f t="shared" si="4"/>
        <v>81.55</v>
      </c>
      <c r="G18" s="56">
        <f>IF(D18=D17,"",_xlfn.IFNA(VLOOKUP(D18,'인원 입력 기능(사과탐)'!$K$5:$N$59,4,FALSE),0))</f>
        <v>1157</v>
      </c>
      <c r="H18" s="57">
        <f t="shared" si="1"/>
        <v>4.4170420707032143E-2</v>
      </c>
      <c r="I18" s="67">
        <f>SUM($G$7:G18)</f>
        <v>5410</v>
      </c>
      <c r="J18" s="59">
        <f t="shared" si="5"/>
        <v>0.20653584790410018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186">
        <f t="shared" si="3"/>
        <v>58</v>
      </c>
      <c r="E19" s="186">
        <f t="shared" si="0"/>
        <v>3</v>
      </c>
      <c r="F19" s="180">
        <f t="shared" si="4"/>
        <v>75.760000000000005</v>
      </c>
      <c r="G19" s="182">
        <f>IF(D19=D18,"",_xlfn.IFNA(VLOOKUP(D19,'인원 입력 기능(사과탐)'!$K$5:$N$59,4,FALSE),0))</f>
        <v>1877</v>
      </c>
      <c r="H19" s="184">
        <f t="shared" si="1"/>
        <v>7.1657631518668399E-2</v>
      </c>
      <c r="I19" s="188">
        <f>SUM($G$7:G19)</f>
        <v>7287</v>
      </c>
      <c r="J19" s="176">
        <f t="shared" si="5"/>
        <v>0.27819347942276856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187"/>
      <c r="E20" s="187"/>
      <c r="F20" s="181"/>
      <c r="G20" s="183"/>
      <c r="H20" s="185"/>
      <c r="I20" s="189"/>
      <c r="J20" s="177"/>
      <c r="K20" s="31"/>
      <c r="L20" s="15" t="str">
        <f t="shared" si="2"/>
        <v>경고</v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57</v>
      </c>
      <c r="E21" s="69">
        <f t="shared" si="0"/>
        <v>4</v>
      </c>
      <c r="F21" s="55">
        <f t="shared" si="4"/>
        <v>70.11</v>
      </c>
      <c r="G21" s="56">
        <f>IF(D21=D20,"",_xlfn.IFNA(VLOOKUP(D21,'인원 입력 기능(사과탐)'!$K$5:$N$59,4,FALSE),0))</f>
        <v>1087</v>
      </c>
      <c r="H21" s="57">
        <f t="shared" si="1"/>
        <v>4.1498052989234174E-2</v>
      </c>
      <c r="I21" s="67">
        <f>SUM($G$7:G21)</f>
        <v>8374</v>
      </c>
      <c r="J21" s="59">
        <f t="shared" si="5"/>
        <v>0.31969153241200277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56</v>
      </c>
      <c r="E22" s="69">
        <f t="shared" si="0"/>
        <v>4</v>
      </c>
      <c r="F22" s="55">
        <f t="shared" si="4"/>
        <v>66.41</v>
      </c>
      <c r="G22" s="56">
        <f>IF(D22=D21,"",_xlfn.IFNA(VLOOKUP(D22,'인원 입력 기능(사과탐)'!$K$5:$N$59,4,FALSE),0))</f>
        <v>851</v>
      </c>
      <c r="H22" s="57">
        <f t="shared" si="1"/>
        <v>3.2488356112086739E-2</v>
      </c>
      <c r="I22" s="67">
        <f>SUM($G$7:G22)</f>
        <v>9225</v>
      </c>
      <c r="J22" s="59">
        <f t="shared" si="5"/>
        <v>0.35217988852408949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55</v>
      </c>
      <c r="E23" s="69">
        <f t="shared" si="0"/>
        <v>4</v>
      </c>
      <c r="F23" s="55">
        <f t="shared" si="4"/>
        <v>62.49</v>
      </c>
      <c r="G23" s="56">
        <f>IF(D23=D22,"",_xlfn.IFNA(VLOOKUP(D23,'인원 입력 기능(사과탐)'!$K$5:$N$59,4,FALSE),0))</f>
        <v>1200</v>
      </c>
      <c r="H23" s="57">
        <f t="shared" si="1"/>
        <v>4.5812018019393753E-2</v>
      </c>
      <c r="I23" s="67">
        <f>SUM($G$7:G23)</f>
        <v>10425</v>
      </c>
      <c r="J23" s="59">
        <f t="shared" si="5"/>
        <v>0.39799190654348326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54</v>
      </c>
      <c r="E24" s="69">
        <f t="shared" si="0"/>
        <v>4</v>
      </c>
      <c r="F24" s="55">
        <f t="shared" si="4"/>
        <v>58.39</v>
      </c>
      <c r="G24" s="56">
        <f>IF(D24=D23,"",_xlfn.IFNA(VLOOKUP(D24,'인원 입력 기능(사과탐)'!$K$5:$N$59,4,FALSE),0))</f>
        <v>948</v>
      </c>
      <c r="H24" s="57">
        <f t="shared" si="1"/>
        <v>3.6191494235321066E-2</v>
      </c>
      <c r="I24" s="67">
        <f>SUM($G$7:G24)</f>
        <v>11373</v>
      </c>
      <c r="J24" s="59">
        <f t="shared" si="5"/>
        <v>0.4341834007788043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53</v>
      </c>
      <c r="E25" s="69">
        <f t="shared" si="0"/>
        <v>5</v>
      </c>
      <c r="F25" s="55">
        <f t="shared" si="4"/>
        <v>54.8</v>
      </c>
      <c r="G25" s="56">
        <f>IF(D25=D24,"",_xlfn.IFNA(VLOOKUP(D25,'인원 입력 기능(사과탐)'!$K$5:$N$59,4,FALSE),0))</f>
        <v>935</v>
      </c>
      <c r="H25" s="57">
        <f t="shared" si="1"/>
        <v>3.5695197373444301E-2</v>
      </c>
      <c r="I25" s="67">
        <f>SUM($G$7:G25)</f>
        <v>12308</v>
      </c>
      <c r="J25" s="59">
        <f t="shared" si="5"/>
        <v>0.46987859815224858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52</v>
      </c>
      <c r="E26" s="69">
        <f t="shared" si="0"/>
        <v>5</v>
      </c>
      <c r="F26" s="55">
        <f t="shared" si="4"/>
        <v>50.97</v>
      </c>
      <c r="G26" s="56">
        <f>IF(D26=D25,"",_xlfn.IFNA(VLOOKUP(D26,'인원 입력 기능(사과탐)'!$K$5:$N$59,4,FALSE),0))</f>
        <v>1072</v>
      </c>
      <c r="H26" s="57">
        <f t="shared" si="1"/>
        <v>4.0925402763991751E-2</v>
      </c>
      <c r="I26" s="67">
        <f>SUM($G$7:G26)</f>
        <v>13380</v>
      </c>
      <c r="J26" s="59">
        <f t="shared" si="5"/>
        <v>0.51080400091624034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51</v>
      </c>
      <c r="E27" s="69">
        <f t="shared" si="0"/>
        <v>5</v>
      </c>
      <c r="F27" s="55">
        <f t="shared" si="4"/>
        <v>47.46</v>
      </c>
      <c r="G27" s="56">
        <f>IF(D27=D26,"",_xlfn.IFNA(VLOOKUP(D27,'인원 입력 기능(사과탐)'!$K$5:$N$59,4,FALSE),0))</f>
        <v>764</v>
      </c>
      <c r="H27" s="57">
        <f t="shared" si="1"/>
        <v>2.9166984805680689E-2</v>
      </c>
      <c r="I27" s="67">
        <f>SUM($G$7:G27)</f>
        <v>14144</v>
      </c>
      <c r="J27" s="59">
        <f t="shared" si="5"/>
        <v>0.53997098572192104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50</v>
      </c>
      <c r="E28" s="69">
        <f t="shared" si="0"/>
        <v>5</v>
      </c>
      <c r="F28" s="55">
        <f t="shared" si="4"/>
        <v>44.26</v>
      </c>
      <c r="G28" s="56">
        <f>IF(D28=D27,"",_xlfn.IFNA(VLOOKUP(D28,'인원 입력 기능(사과탐)'!$K$5:$N$59,4,FALSE),0))</f>
        <v>913</v>
      </c>
      <c r="H28" s="57">
        <f t="shared" si="1"/>
        <v>3.4855310376422081E-2</v>
      </c>
      <c r="I28" s="67">
        <f>SUM($G$7:G28)</f>
        <v>15057</v>
      </c>
      <c r="J28" s="59">
        <f t="shared" si="5"/>
        <v>0.57482629609834313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78">
        <f t="shared" si="3"/>
        <v>49</v>
      </c>
      <c r="E29" s="178">
        <f t="shared" si="0"/>
        <v>5</v>
      </c>
      <c r="F29" s="180">
        <f t="shared" si="4"/>
        <v>39.83</v>
      </c>
      <c r="G29" s="182">
        <f>IF(D29=D28,"",_xlfn.IFNA(VLOOKUP(D29,'인원 입력 기능(사과탐)'!$K$5:$N$59,4,FALSE),0))</f>
        <v>1406</v>
      </c>
      <c r="H29" s="184">
        <f t="shared" si="1"/>
        <v>5.367641444605635E-2</v>
      </c>
      <c r="I29" s="188">
        <f>SUM($G$7:G29)</f>
        <v>16463</v>
      </c>
      <c r="J29" s="176">
        <f t="shared" si="5"/>
        <v>0.62850271054439943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179"/>
      <c r="E30" s="179"/>
      <c r="F30" s="181"/>
      <c r="G30" s="183"/>
      <c r="H30" s="185"/>
      <c r="I30" s="189"/>
      <c r="J30" s="177"/>
      <c r="K30" s="31"/>
      <c r="L30" s="15" t="str">
        <f t="shared" si="2"/>
        <v>경고</v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48</v>
      </c>
      <c r="E31" s="69">
        <f t="shared" si="0"/>
        <v>6</v>
      </c>
      <c r="F31" s="55">
        <f t="shared" si="4"/>
        <v>35.840000000000003</v>
      </c>
      <c r="G31" s="56">
        <f>IF(D31=D30,"",_xlfn.IFNA(VLOOKUP(D31,'인원 입력 기능(사과탐)'!$K$5:$N$59,4,FALSE),0))</f>
        <v>686</v>
      </c>
      <c r="H31" s="57">
        <f t="shared" si="1"/>
        <v>2.6189203634420097E-2</v>
      </c>
      <c r="I31" s="67">
        <f>SUM($G$7:G31)</f>
        <v>17149</v>
      </c>
      <c r="J31" s="59">
        <f t="shared" si="5"/>
        <v>0.65469191417881956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47</v>
      </c>
      <c r="E32" s="69">
        <f t="shared" si="0"/>
        <v>6</v>
      </c>
      <c r="F32" s="55">
        <f t="shared" si="4"/>
        <v>33.46</v>
      </c>
      <c r="G32" s="56">
        <f>IF(D32=D31,"",_xlfn.IFNA(VLOOKUP(D32,'인원 입력 기능(사과탐)'!$K$5:$N$59,4,FALSE),0))</f>
        <v>563</v>
      </c>
      <c r="H32" s="57">
        <f t="shared" si="1"/>
        <v>2.1493471787432238E-2</v>
      </c>
      <c r="I32" s="67">
        <f>SUM($G$7:G32)</f>
        <v>17712</v>
      </c>
      <c r="J32" s="59">
        <f t="shared" si="5"/>
        <v>0.67618538596625177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46</v>
      </c>
      <c r="E33" s="69">
        <f t="shared" si="0"/>
        <v>6</v>
      </c>
      <c r="F33" s="55">
        <f t="shared" si="4"/>
        <v>31.39</v>
      </c>
      <c r="G33" s="56">
        <f>IF(D33=D32,"",_xlfn.IFNA(VLOOKUP(D33,'인원 입력 기능(사과탐)'!$K$5:$N$59,4,FALSE),0))</f>
        <v>520</v>
      </c>
      <c r="H33" s="57">
        <f t="shared" si="1"/>
        <v>1.9851874475070627E-2</v>
      </c>
      <c r="I33" s="67">
        <f>SUM($G$7:G33)</f>
        <v>18232</v>
      </c>
      <c r="J33" s="59">
        <f t="shared" si="5"/>
        <v>0.69603726044132241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45</v>
      </c>
      <c r="E34" s="69">
        <f t="shared" si="0"/>
        <v>6</v>
      </c>
      <c r="F34" s="55">
        <f t="shared" si="4"/>
        <v>29.4</v>
      </c>
      <c r="G34" s="56">
        <f>IF(D34=D33,"",_xlfn.IFNA(VLOOKUP(D34,'인원 입력 기능(사과탐)'!$K$5:$N$59,4,FALSE),0))</f>
        <v>524</v>
      </c>
      <c r="H34" s="57">
        <f t="shared" si="1"/>
        <v>2.000458120180194E-2</v>
      </c>
      <c r="I34" s="67">
        <f>SUM($G$7:G34)</f>
        <v>18756</v>
      </c>
      <c r="J34" s="59">
        <f t="shared" si="5"/>
        <v>0.71604184164312434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44</v>
      </c>
      <c r="E35" s="69">
        <f t="shared" si="0"/>
        <v>6</v>
      </c>
      <c r="F35" s="55">
        <f t="shared" si="4"/>
        <v>27.54</v>
      </c>
      <c r="G35" s="56">
        <f>IF(D35=D34,"",_xlfn.IFNA(VLOOKUP(D35,'인원 입력 기능(사과탐)'!$K$5:$N$59,4,FALSE),0))</f>
        <v>450</v>
      </c>
      <c r="H35" s="57">
        <f t="shared" si="1"/>
        <v>1.7179506757272658E-2</v>
      </c>
      <c r="I35" s="67">
        <f>SUM($G$7:G35)</f>
        <v>19206</v>
      </c>
      <c r="J35" s="59">
        <f t="shared" si="5"/>
        <v>0.73322134840039699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43</v>
      </c>
      <c r="E36" s="69">
        <f t="shared" si="0"/>
        <v>6</v>
      </c>
      <c r="F36" s="55">
        <f t="shared" si="4"/>
        <v>25.79</v>
      </c>
      <c r="G36" s="56">
        <f>IF(D36=D35,"",_xlfn.IFNA(VLOOKUP(D36,'인원 입력 기능(사과탐)'!$K$5:$N$59,4,FALSE),0))</f>
        <v>463</v>
      </c>
      <c r="H36" s="57">
        <f t="shared" si="1"/>
        <v>1.7675803619149423E-2</v>
      </c>
      <c r="I36" s="67">
        <f>SUM($G$7:G36)</f>
        <v>19669</v>
      </c>
      <c r="J36" s="59">
        <f t="shared" si="5"/>
        <v>0.75089715201954643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42</v>
      </c>
      <c r="E37" s="69">
        <f t="shared" si="0"/>
        <v>6</v>
      </c>
      <c r="F37" s="55">
        <f t="shared" si="4"/>
        <v>24.2</v>
      </c>
      <c r="G37" s="56">
        <f>IF(D37=D36,"",_xlfn.IFNA(VLOOKUP(D37,'인원 입력 기능(사과탐)'!$K$5:$N$59,4,FALSE),0))</f>
        <v>374</v>
      </c>
      <c r="H37" s="57">
        <f t="shared" si="1"/>
        <v>1.427807894937772E-2</v>
      </c>
      <c r="I37" s="67">
        <f>SUM($G$7:G37)</f>
        <v>20043</v>
      </c>
      <c r="J37" s="59">
        <f t="shared" si="5"/>
        <v>0.76517523096892415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178">
        <f t="shared" si="3"/>
        <v>41</v>
      </c>
      <c r="E38" s="178">
        <f t="shared" si="0"/>
        <v>6</v>
      </c>
      <c r="F38" s="180">
        <f t="shared" si="4"/>
        <v>21.96</v>
      </c>
      <c r="G38" s="182">
        <f>IF(D38=D37,"",_xlfn.IFNA(VLOOKUP(D38,'인원 입력 기능(사과탐)'!$K$5:$N$59,4,FALSE),0))</f>
        <v>800</v>
      </c>
      <c r="H38" s="184">
        <f t="shared" si="1"/>
        <v>3.0541345346262502E-2</v>
      </c>
      <c r="I38" s="188">
        <f>SUM($G$7:G38)</f>
        <v>20843</v>
      </c>
      <c r="J38" s="176">
        <f t="shared" si="5"/>
        <v>0.79571657631518666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179"/>
      <c r="E39" s="179"/>
      <c r="F39" s="181"/>
      <c r="G39" s="183"/>
      <c r="H39" s="185"/>
      <c r="I39" s="189"/>
      <c r="J39" s="177"/>
      <c r="K39" s="31"/>
      <c r="L39" s="15" t="str">
        <f t="shared" si="2"/>
        <v>경고</v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40</v>
      </c>
      <c r="E40" s="69">
        <f t="shared" ref="E40:E57" si="6">IF(ROUND(D40,0)&gt;=$Q$7,1,IF(ROUND(D40,0)&gt;=$Q$8,2,IF(ROUND(D40,0)&gt;=$Q$9,3,IF(ROUND(D40,0)&gt;=$Q$10,4,IF(ROUND(D40,0)&gt;=$Q$11,5,IF(ROUND(D40,0)&gt;=$Q$12,6,IF(ROUND(D40,0)&gt;=$Q$13,7,IF(ROUND(D40,0)&gt;=$Q$14,8,9))))))))</f>
        <v>7</v>
      </c>
      <c r="F40" s="55">
        <f t="shared" si="4"/>
        <v>19.79</v>
      </c>
      <c r="G40" s="56">
        <f>IF(D40=D39,"",_xlfn.IFNA(VLOOKUP(D40,'인원 입력 기능(사과탐)'!$K$5:$N$59,4,FALSE),0))</f>
        <v>332</v>
      </c>
      <c r="H40" s="57">
        <f t="shared" si="1"/>
        <v>1.2674658318698939E-2</v>
      </c>
      <c r="I40" s="67">
        <f>SUM($G$7:G40)</f>
        <v>21175</v>
      </c>
      <c r="J40" s="59">
        <f t="shared" si="5"/>
        <v>0.80839123463388562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39</v>
      </c>
      <c r="E41" s="69">
        <f t="shared" si="6"/>
        <v>7</v>
      </c>
      <c r="F41" s="55">
        <f t="shared" si="4"/>
        <v>18.5</v>
      </c>
      <c r="G41" s="56">
        <f>IF(D41=D40,"",_xlfn.IFNA(VLOOKUP(D41,'인원 입력 기능(사과탐)'!$K$5:$N$59,4,FALSE),0))</f>
        <v>346</v>
      </c>
      <c r="H41" s="57">
        <f t="shared" si="1"/>
        <v>1.3209131862258533E-2</v>
      </c>
      <c r="I41" s="67">
        <f>SUM($G$7:G41)</f>
        <v>21521</v>
      </c>
      <c r="J41" s="59">
        <f t="shared" si="5"/>
        <v>0.82160036649614421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38</v>
      </c>
      <c r="E42" s="69">
        <f t="shared" si="6"/>
        <v>7</v>
      </c>
      <c r="F42" s="55">
        <f t="shared" si="4"/>
        <v>17.23</v>
      </c>
      <c r="G42" s="56">
        <f>IF(D42=D41,"",_xlfn.IFNA(VLOOKUP(D42,'인원 입력 기능(사과탐)'!$K$5:$N$59,4,FALSE),0))</f>
        <v>319</v>
      </c>
      <c r="H42" s="57">
        <f t="shared" si="1"/>
        <v>1.2178361456822172E-2</v>
      </c>
      <c r="I42" s="67">
        <f>SUM($G$7:G42)</f>
        <v>21840</v>
      </c>
      <c r="J42" s="59">
        <f t="shared" si="5"/>
        <v>0.83377872795296637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37</v>
      </c>
      <c r="E43" s="69">
        <f t="shared" si="6"/>
        <v>7</v>
      </c>
      <c r="F43" s="55">
        <f t="shared" si="4"/>
        <v>15.94</v>
      </c>
      <c r="G43" s="56">
        <f>IF(D43=D42,"",_xlfn.IFNA(VLOOKUP(D43,'인원 입력 기능(사과탐)'!$K$5:$N$59,4,FALSE),0))</f>
        <v>357</v>
      </c>
      <c r="H43" s="57">
        <f t="shared" si="1"/>
        <v>1.3629075360769643E-2</v>
      </c>
      <c r="I43" s="67">
        <f>SUM($G$7:G43)</f>
        <v>22197</v>
      </c>
      <c r="J43" s="59">
        <f t="shared" si="5"/>
        <v>0.847407803313736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36</v>
      </c>
      <c r="E44" s="69">
        <f t="shared" si="6"/>
        <v>7</v>
      </c>
      <c r="F44" s="55">
        <f t="shared" si="4"/>
        <v>14.46</v>
      </c>
      <c r="G44" s="56">
        <f>IF(D44=D43,"",_xlfn.IFNA(VLOOKUP(D44,'인원 입력 기능(사과탐)'!$K$5:$N$59,4,FALSE),0))</f>
        <v>418</v>
      </c>
      <c r="H44" s="57">
        <f t="shared" si="1"/>
        <v>1.5957852943422158E-2</v>
      </c>
      <c r="I44" s="67">
        <f>SUM($G$7:G44)</f>
        <v>22615</v>
      </c>
      <c r="J44" s="59">
        <f t="shared" si="5"/>
        <v>0.86336565625715811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35</v>
      </c>
      <c r="E45" s="69">
        <f t="shared" si="6"/>
        <v>7</v>
      </c>
      <c r="F45" s="55">
        <f t="shared" si="4"/>
        <v>13.07</v>
      </c>
      <c r="G45" s="56">
        <f>IF(D45=D44,"",_xlfn.IFNA(VLOOKUP(D45,'인원 입력 기능(사과탐)'!$K$5:$N$59,4,FALSE),0))</f>
        <v>311</v>
      </c>
      <c r="H45" s="57">
        <f t="shared" si="1"/>
        <v>1.1872948003359548E-2</v>
      </c>
      <c r="I45" s="67">
        <f>SUM($G$7:G45)</f>
        <v>22926</v>
      </c>
      <c r="J45" s="59">
        <f t="shared" si="5"/>
        <v>0.87523860426051769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34</v>
      </c>
      <c r="E46" s="69">
        <f t="shared" si="6"/>
        <v>7</v>
      </c>
      <c r="F46" s="55">
        <f t="shared" si="4"/>
        <v>10.39</v>
      </c>
      <c r="G46" s="56">
        <f>IF(D46=D45,"",_xlfn.IFNA(VLOOKUP(D46,'인원 입력 기능(사과탐)'!$K$5:$N$59,4,FALSE),0))</f>
        <v>1093</v>
      </c>
      <c r="H46" s="57">
        <f t="shared" si="1"/>
        <v>4.1727113079331142E-2</v>
      </c>
      <c r="I46" s="67">
        <f>SUM($G$7:G46)</f>
        <v>24019</v>
      </c>
      <c r="J46" s="59">
        <f t="shared" si="5"/>
        <v>0.91696571733984877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33</v>
      </c>
      <c r="E47" s="69">
        <f t="shared" si="6"/>
        <v>8</v>
      </c>
      <c r="F47" s="55">
        <f t="shared" si="4"/>
        <v>7.44</v>
      </c>
      <c r="G47" s="56">
        <f>IF(D47=D46,"",_xlfn.IFNA(VLOOKUP(D47,'인원 입력 기능(사과탐)'!$K$5:$N$59,4,FALSE),0))</f>
        <v>450</v>
      </c>
      <c r="H47" s="57">
        <f t="shared" si="1"/>
        <v>1.7179506757272658E-2</v>
      </c>
      <c r="I47" s="67">
        <f>SUM($G$7:G47)</f>
        <v>24469</v>
      </c>
      <c r="J47" s="59">
        <f t="shared" si="5"/>
        <v>0.93414522409712153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178">
        <f t="shared" si="3"/>
        <v>32</v>
      </c>
      <c r="E48" s="178">
        <f t="shared" si="6"/>
        <v>8</v>
      </c>
      <c r="F48" s="180">
        <f t="shared" si="4"/>
        <v>4.9000000000000004</v>
      </c>
      <c r="G48" s="182">
        <f>IF(D48=D47,"",_xlfn.IFNA(VLOOKUP(D48,'인원 입력 기능(사과탐)'!$K$5:$N$59,4,FALSE),0))</f>
        <v>881</v>
      </c>
      <c r="H48" s="184">
        <f t="shared" si="1"/>
        <v>3.3633656562571584E-2</v>
      </c>
      <c r="I48" s="188">
        <f>SUM($G$7:G48)</f>
        <v>25350</v>
      </c>
      <c r="J48" s="176">
        <f t="shared" si="5"/>
        <v>0.96777888065969309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179"/>
      <c r="E49" s="179"/>
      <c r="F49" s="181"/>
      <c r="G49" s="183"/>
      <c r="H49" s="185"/>
      <c r="I49" s="189"/>
      <c r="J49" s="177"/>
      <c r="K49" s="31"/>
      <c r="L49" s="15" t="str">
        <f t="shared" si="2"/>
        <v>경고</v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31</v>
      </c>
      <c r="E50" s="69">
        <f t="shared" si="6"/>
        <v>9</v>
      </c>
      <c r="F50" s="55">
        <f t="shared" si="4"/>
        <v>2.56</v>
      </c>
      <c r="G50" s="56">
        <f>IF(D50=D49,"",_xlfn.IFNA(VLOOKUP(D50,'인원 입력 기능(사과탐)'!$K$5:$N$59,4,FALSE),0))</f>
        <v>345</v>
      </c>
      <c r="H50" s="57">
        <f t="shared" si="1"/>
        <v>1.3170955180575704E-2</v>
      </c>
      <c r="I50" s="67">
        <f>SUM($G$7:G50)</f>
        <v>25695</v>
      </c>
      <c r="J50" s="59">
        <f t="shared" si="5"/>
        <v>0.98094983584026874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30</v>
      </c>
      <c r="E51" s="69">
        <f t="shared" si="6"/>
        <v>9</v>
      </c>
      <c r="F51" s="55">
        <f t="shared" si="4"/>
        <v>1.62</v>
      </c>
      <c r="G51" s="56">
        <f>IF(D51=D50,"",_xlfn.IFNA(VLOOKUP(D51,'인원 입력 기능(사과탐)'!$K$5:$N$59,4,FALSE),0))</f>
        <v>151</v>
      </c>
      <c r="H51" s="57">
        <f t="shared" si="1"/>
        <v>5.7646789341070474E-3</v>
      </c>
      <c r="I51" s="67">
        <f>SUM($G$7:G51)</f>
        <v>25846</v>
      </c>
      <c r="J51" s="59">
        <f t="shared" si="5"/>
        <v>0.98671451477437577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29</v>
      </c>
      <c r="E52" s="69">
        <f t="shared" si="6"/>
        <v>9</v>
      </c>
      <c r="F52" s="55">
        <f t="shared" si="4"/>
        <v>1.04</v>
      </c>
      <c r="G52" s="56">
        <f>IF(D52=D51,"",_xlfn.IFNA(VLOOKUP(D52,'인원 입력 기능(사과탐)'!$K$5:$N$59,4,FALSE),0))</f>
        <v>151</v>
      </c>
      <c r="H52" s="57">
        <f t="shared" si="1"/>
        <v>5.7646789341070474E-3</v>
      </c>
      <c r="I52" s="67">
        <f>SUM($G$7:G52)</f>
        <v>25997</v>
      </c>
      <c r="J52" s="59">
        <f t="shared" si="5"/>
        <v>0.99247919370848281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28</v>
      </c>
      <c r="E53" s="54">
        <f t="shared" si="6"/>
        <v>9</v>
      </c>
      <c r="F53" s="55">
        <f t="shared" si="4"/>
        <v>0.56999999999999995</v>
      </c>
      <c r="G53" s="56">
        <f>IF(D53=D52,"",_xlfn.IFNA(VLOOKUP(D53,'인원 입력 기능(사과탐)'!$K$5:$N$59,4,FALSE),0))</f>
        <v>94</v>
      </c>
      <c r="H53" s="57">
        <f t="shared" si="1"/>
        <v>3.5886080781858442E-3</v>
      </c>
      <c r="I53" s="67">
        <f>SUM($G$7:G53)</f>
        <v>26091</v>
      </c>
      <c r="J53" s="59">
        <f t="shared" si="5"/>
        <v>0.99606780178666865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27</v>
      </c>
      <c r="E54" s="54">
        <f t="shared" si="6"/>
        <v>9</v>
      </c>
      <c r="F54" s="55">
        <f t="shared" si="4"/>
        <v>0.3</v>
      </c>
      <c r="G54" s="56">
        <f>IF(D54=D53,"",_xlfn.IFNA(VLOOKUP(D54,'인원 입력 기능(사과탐)'!$K$5:$N$59,4,FALSE),0))</f>
        <v>47</v>
      </c>
      <c r="H54" s="57">
        <f t="shared" si="1"/>
        <v>1.7943040390929221E-3</v>
      </c>
      <c r="I54" s="67">
        <f>SUM($G$7:G54)</f>
        <v>26138</v>
      </c>
      <c r="J54" s="59">
        <f t="shared" si="5"/>
        <v>0.99786210582576162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26</v>
      </c>
      <c r="E55" s="54">
        <f t="shared" si="6"/>
        <v>9</v>
      </c>
      <c r="F55" s="55">
        <f t="shared" si="4"/>
        <v>0.15</v>
      </c>
      <c r="G55" s="56">
        <f>IF(D55=D54,"",_xlfn.IFNA(VLOOKUP(D55,'인원 입력 기능(사과탐)'!$K$5:$N$59,4,FALSE),0))</f>
        <v>36</v>
      </c>
      <c r="H55" s="57">
        <f t="shared" si="1"/>
        <v>1.3743605405818126E-3</v>
      </c>
      <c r="I55" s="67">
        <f>SUM($G$7:G55)</f>
        <v>26174</v>
      </c>
      <c r="J55" s="59">
        <f t="shared" si="5"/>
        <v>0.99923646636634345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24</v>
      </c>
      <c r="E57" s="107">
        <f t="shared" si="6"/>
        <v>9</v>
      </c>
      <c r="F57" s="74">
        <f>IF(I55=0,ROUND(100*(1-(I54+I57)/2/$J$3),2),ROUND(100*(1-(I55+I57)/2/$J$3),2))</f>
        <v>0.04</v>
      </c>
      <c r="G57" s="108">
        <f>_xlfn.IFNA(VLOOKUP(D57,'인원 입력 기능(사과탐)'!$K$5:$N$59,4,FALSE),0)</f>
        <v>20</v>
      </c>
      <c r="H57" s="76">
        <f>G57/$J$3</f>
        <v>7.635336336565626E-4</v>
      </c>
      <c r="I57" s="77">
        <f>SUM($G$7:G57)</f>
        <v>26194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D3:F3"/>
    <mergeCell ref="D4:F4"/>
    <mergeCell ref="I4:J5"/>
    <mergeCell ref="D9:D10"/>
    <mergeCell ref="E9:E10"/>
    <mergeCell ref="F9:F10"/>
    <mergeCell ref="G9:G10"/>
    <mergeCell ref="H9:H10"/>
    <mergeCell ref="I9:I10"/>
    <mergeCell ref="J9:J10"/>
    <mergeCell ref="I19:I20"/>
    <mergeCell ref="J19:J20"/>
    <mergeCell ref="D29:D30"/>
    <mergeCell ref="E29:E30"/>
    <mergeCell ref="F29:F30"/>
    <mergeCell ref="G29:G30"/>
    <mergeCell ref="H29:H30"/>
    <mergeCell ref="I29:I30"/>
    <mergeCell ref="J29:J30"/>
    <mergeCell ref="D19:D20"/>
    <mergeCell ref="E19:E20"/>
    <mergeCell ref="F19:F20"/>
    <mergeCell ref="G19:G20"/>
    <mergeCell ref="H19:H20"/>
    <mergeCell ref="I38:I39"/>
    <mergeCell ref="J38:J39"/>
    <mergeCell ref="D48:D49"/>
    <mergeCell ref="E48:E49"/>
    <mergeCell ref="F48:F49"/>
    <mergeCell ref="G48:G49"/>
    <mergeCell ref="H48:H49"/>
    <mergeCell ref="I48:I49"/>
    <mergeCell ref="J48:J49"/>
    <mergeCell ref="D38:D39"/>
    <mergeCell ref="E38:E39"/>
    <mergeCell ref="F38:F39"/>
    <mergeCell ref="G38:G39"/>
    <mergeCell ref="H38:H39"/>
  </mergeCells>
  <phoneticPr fontId="1" type="noConversion"/>
  <conditionalFormatting sqref="D7:G9 I7:J9 D11:G19 I11:J19 D21:G29 I21:J29 D31:G38 I31:J38 D40:G48 I40:J48 D50:G57 I50:J57">
    <cfRule type="expression" dxfId="45" priority="4">
      <formula>OR($D7=$Q$7:$Q$14)</formula>
    </cfRule>
  </conditionalFormatting>
  <conditionalFormatting sqref="C7:C57">
    <cfRule type="expression" dxfId="44" priority="3">
      <formula>OR(AND($D7=0,OR($D6=$Q$7:$Q$14)),AND($D8&gt;0,OR($D7=$Q$7:$Q$14)))</formula>
    </cfRule>
  </conditionalFormatting>
  <conditionalFormatting sqref="D7:D9 D11:D19 D21:D29 D31:D38 D40:D48 D50:D57">
    <cfRule type="expression" dxfId="43" priority="2">
      <formula>$D7=$D8</formula>
    </cfRule>
  </conditionalFormatting>
  <conditionalFormatting sqref="H7:H9 H11:H19 H21:H29 H31:H38 H40:H48 H50:H57">
    <cfRule type="expression" dxfId="4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기능'!D11</f>
        <v>29.78</v>
      </c>
      <c r="I3" s="16" t="s">
        <v>70</v>
      </c>
      <c r="J3" s="45">
        <f>'통계 및 응시자 수 입력 기능'!C11</f>
        <v>22010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101</v>
      </c>
      <c r="E4" s="169"/>
      <c r="F4" s="170"/>
      <c r="G4" s="47" t="s">
        <v>73</v>
      </c>
      <c r="H4" s="48" t="str">
        <f>'통계 및 응시자 수 입력 기능'!E11</f>
        <v>11.39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68</v>
      </c>
      <c r="E7" s="54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98.94</v>
      </c>
      <c r="G7" s="56">
        <f>_xlfn.IFNA(VLOOKUP(D7,'인원 입력 기능(사과탐)'!$P$5:$S$59,4,FALSE),0)</f>
        <v>468</v>
      </c>
      <c r="H7" s="57">
        <f>G7/$J$3</f>
        <v>2.1263062244434347E-2</v>
      </c>
      <c r="I7" s="58">
        <f>G7</f>
        <v>468</v>
      </c>
      <c r="J7" s="59">
        <f>I7/$J$3</f>
        <v>2.1263062244434347E-2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기능'!C67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기능'!C68</f>
        <v>62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66</v>
      </c>
      <c r="E9" s="54">
        <f t="shared" si="0"/>
        <v>1</v>
      </c>
      <c r="F9" s="55">
        <f>IF(I8=0,ROUND(100*(1-(I7+I9)/2/$J$3),2),ROUND(100*(1-(I8+I9)/2/$J$3),2))</f>
        <v>96.99</v>
      </c>
      <c r="G9" s="56">
        <f>_xlfn.IFNA(VLOOKUP(D9,'인원 입력 기능(사과탐)'!$P$5:$S$59,4,FALSE),0)</f>
        <v>389</v>
      </c>
      <c r="H9" s="57">
        <f t="shared" ref="H9:H54" si="1">G9/$J$3</f>
        <v>1.7673784643343935E-2</v>
      </c>
      <c r="I9" s="67">
        <f>SUM($G$7:G9)</f>
        <v>857</v>
      </c>
      <c r="J9" s="59">
        <f>I9/$J$3</f>
        <v>3.8936846887778286E-2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기능'!C69</f>
        <v>58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4" si="3">ROUND(10*(C10-$H$3)/$H$4+50,0)</f>
        <v>65</v>
      </c>
      <c r="E10" s="54">
        <f t="shared" si="0"/>
        <v>1</v>
      </c>
      <c r="F10" s="55">
        <f t="shared" ref="F10:F54" si="4">IF(I9=0,ROUND(100*(1-(I8+I10)/2/$J$3),2),ROUND(100*(1-(I9+I10)/2/$J$3),2))</f>
        <v>95.13</v>
      </c>
      <c r="G10" s="56">
        <f>IF(D10=D9,"",_xlfn.IFNA(VLOOKUP(D10,'인원 입력 기능(사과탐)'!$P$5:$S$59,4,FALSE),0))</f>
        <v>430</v>
      </c>
      <c r="H10" s="57">
        <f t="shared" si="1"/>
        <v>1.9536574284416176E-2</v>
      </c>
      <c r="I10" s="67">
        <f>SUM($G$7:G10)</f>
        <v>1287</v>
      </c>
      <c r="J10" s="59">
        <f t="shared" ref="J10:J54" si="5">I10/$J$3</f>
        <v>5.8473421172194458E-2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기능'!C70</f>
        <v>54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64</v>
      </c>
      <c r="E11" s="54">
        <f t="shared" si="0"/>
        <v>2</v>
      </c>
      <c r="F11" s="55">
        <f t="shared" si="4"/>
        <v>93.51</v>
      </c>
      <c r="G11" s="56">
        <f>IF(D11=D10,"",_xlfn.IFNA(VLOOKUP(D11,'인원 입력 기능(사과탐)'!$P$5:$S$59,4,FALSE),0))</f>
        <v>281</v>
      </c>
      <c r="H11" s="57">
        <f t="shared" si="1"/>
        <v>1.2766924125397547E-2</v>
      </c>
      <c r="I11" s="67">
        <f>SUM($G$7:G11)</f>
        <v>1568</v>
      </c>
      <c r="J11" s="59">
        <f t="shared" si="5"/>
        <v>7.1240345297592003E-2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기능'!C71</f>
        <v>48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63</v>
      </c>
      <c r="E12" s="54">
        <f t="shared" si="0"/>
        <v>2</v>
      </c>
      <c r="F12" s="55">
        <f t="shared" si="4"/>
        <v>91.54</v>
      </c>
      <c r="G12" s="56">
        <f>IF(D12=D11,"",_xlfn.IFNA(VLOOKUP(D12,'인원 입력 기능(사과탐)'!$P$5:$S$59,4,FALSE),0))</f>
        <v>586</v>
      </c>
      <c r="H12" s="57">
        <f t="shared" si="1"/>
        <v>2.6624261699227623E-2</v>
      </c>
      <c r="I12" s="67">
        <f>SUM($G$7:G12)</f>
        <v>2154</v>
      </c>
      <c r="J12" s="59">
        <f t="shared" si="5"/>
        <v>9.7864606996819634E-2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기능'!C72</f>
        <v>42</v>
      </c>
    </row>
    <row r="13" spans="1:17" s="17" customFormat="1" ht="25" customHeight="1" x14ac:dyDescent="0.45">
      <c r="A13" s="15"/>
      <c r="B13" s="30"/>
      <c r="C13" s="53">
        <v>44</v>
      </c>
      <c r="D13" s="186">
        <f t="shared" si="3"/>
        <v>62</v>
      </c>
      <c r="E13" s="186">
        <f t="shared" si="0"/>
        <v>2</v>
      </c>
      <c r="F13" s="180">
        <f t="shared" si="4"/>
        <v>87.98</v>
      </c>
      <c r="G13" s="182">
        <f>IF(D13=D12,"",_xlfn.IFNA(VLOOKUP(D13,'인원 입력 기능(사과탐)'!$P$5:$S$59,4,FALSE),0))</f>
        <v>985</v>
      </c>
      <c r="H13" s="184">
        <f t="shared" si="1"/>
        <v>4.4752385279418445E-2</v>
      </c>
      <c r="I13" s="188">
        <f>SUM($G$7:G13)</f>
        <v>3139</v>
      </c>
      <c r="J13" s="176">
        <f t="shared" si="5"/>
        <v>0.14261699227623809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기능'!C73</f>
        <v>35</v>
      </c>
    </row>
    <row r="14" spans="1:17" s="17" customFormat="1" ht="25" customHeight="1" x14ac:dyDescent="0.45">
      <c r="A14" s="15"/>
      <c r="B14" s="30"/>
      <c r="C14" s="60">
        <v>43</v>
      </c>
      <c r="D14" s="187"/>
      <c r="E14" s="187"/>
      <c r="F14" s="181"/>
      <c r="G14" s="183"/>
      <c r="H14" s="185"/>
      <c r="I14" s="189"/>
      <c r="J14" s="177"/>
      <c r="K14" s="31"/>
      <c r="L14" s="15" t="str">
        <f t="shared" si="2"/>
        <v>경고</v>
      </c>
      <c r="N14" s="19"/>
      <c r="P14" s="19">
        <v>8</v>
      </c>
      <c r="Q14" s="19">
        <f>'표점등급&amp;절평인원 입력 기능'!C74</f>
        <v>32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61</v>
      </c>
      <c r="E15" s="54">
        <f t="shared" si="0"/>
        <v>3</v>
      </c>
      <c r="F15" s="55">
        <f t="shared" si="4"/>
        <v>84.5</v>
      </c>
      <c r="G15" s="56">
        <f>IF(D15=D14,"",_xlfn.IFNA(VLOOKUP(D15,'인원 입력 기능(사과탐)'!$P$5:$S$59,4,FALSE),0))</f>
        <v>547</v>
      </c>
      <c r="H15" s="57">
        <f t="shared" si="1"/>
        <v>2.4852339845524762E-2</v>
      </c>
      <c r="I15" s="67">
        <f>SUM($G$7:G15)</f>
        <v>3686</v>
      </c>
      <c r="J15" s="59">
        <f t="shared" si="5"/>
        <v>0.16746933212176285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60</v>
      </c>
      <c r="E16" s="54">
        <f t="shared" si="0"/>
        <v>3</v>
      </c>
      <c r="F16" s="55">
        <f t="shared" si="4"/>
        <v>81.96</v>
      </c>
      <c r="G16" s="56">
        <f>IF(D16=D15,"",_xlfn.IFNA(VLOOKUP(D16,'인원 입력 기능(사과탐)'!$P$5:$S$59,4,FALSE),0))</f>
        <v>571</v>
      </c>
      <c r="H16" s="57">
        <f t="shared" si="1"/>
        <v>2.5942753293957291E-2</v>
      </c>
      <c r="I16" s="67">
        <f>SUM($G$7:G16)</f>
        <v>4257</v>
      </c>
      <c r="J16" s="59">
        <f t="shared" si="5"/>
        <v>0.19341208541572014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59</v>
      </c>
      <c r="E17" s="54">
        <f t="shared" si="0"/>
        <v>3</v>
      </c>
      <c r="F17" s="55">
        <f t="shared" si="4"/>
        <v>79.209999999999994</v>
      </c>
      <c r="G17" s="56">
        <f>IF(D17=D16,"",_xlfn.IFNA(VLOOKUP(D17,'인원 입력 기능(사과탐)'!$P$5:$S$59,4,FALSE),0))</f>
        <v>639</v>
      </c>
      <c r="H17" s="57">
        <f t="shared" si="1"/>
        <v>2.903225806451613E-2</v>
      </c>
      <c r="I17" s="67">
        <f>SUM($G$7:G17)</f>
        <v>4896</v>
      </c>
      <c r="J17" s="59">
        <f t="shared" si="5"/>
        <v>0.22244434348023626</v>
      </c>
      <c r="K17" s="31"/>
      <c r="L17" s="15" t="str">
        <f t="shared" si="2"/>
        <v/>
      </c>
      <c r="N17" s="19"/>
      <c r="Q17" s="19">
        <f>Q7*H3*H4*J3*IFERROR(IF(J57=1, 1, 0), 0)</f>
        <v>485268182.23000008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58</v>
      </c>
      <c r="E18" s="54">
        <f t="shared" si="0"/>
        <v>3</v>
      </c>
      <c r="F18" s="55">
        <f t="shared" si="4"/>
        <v>76.39</v>
      </c>
      <c r="G18" s="56">
        <f>IF(D18=D17,"",_xlfn.IFNA(VLOOKUP(D18,'인원 입력 기능(사과탐)'!$P$5:$S$59,4,FALSE),0))</f>
        <v>599</v>
      </c>
      <c r="H18" s="57">
        <f t="shared" si="1"/>
        <v>2.7214902317128579E-2</v>
      </c>
      <c r="I18" s="67">
        <f>SUM($G$7:G18)</f>
        <v>5495</v>
      </c>
      <c r="J18" s="59">
        <f t="shared" si="5"/>
        <v>0.24965924579736484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57</v>
      </c>
      <c r="E19" s="54">
        <f t="shared" si="0"/>
        <v>4</v>
      </c>
      <c r="F19" s="55">
        <f t="shared" si="4"/>
        <v>73.47</v>
      </c>
      <c r="G19" s="56">
        <f>IF(D19=D18,"",_xlfn.IFNA(VLOOKUP(D19,'인원 입력 기능(사과탐)'!$P$5:$S$59,4,FALSE),0))</f>
        <v>687</v>
      </c>
      <c r="H19" s="57">
        <f t="shared" si="1"/>
        <v>3.1213084961381192E-2</v>
      </c>
      <c r="I19" s="67">
        <f>SUM($G$7:G19)</f>
        <v>6182</v>
      </c>
      <c r="J19" s="59">
        <f t="shared" si="5"/>
        <v>0.28087233075874601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56</v>
      </c>
      <c r="E20" s="54">
        <f t="shared" si="0"/>
        <v>4</v>
      </c>
      <c r="F20" s="55">
        <f t="shared" si="4"/>
        <v>70.27</v>
      </c>
      <c r="G20" s="56">
        <f>IF(D20=D19,"",_xlfn.IFNA(VLOOKUP(D20,'인원 입력 기능(사과탐)'!$P$5:$S$59,4,FALSE),0))</f>
        <v>725</v>
      </c>
      <c r="H20" s="57">
        <f t="shared" si="1"/>
        <v>3.2939572921399367E-2</v>
      </c>
      <c r="I20" s="67">
        <f>SUM($G$7:G20)</f>
        <v>6907</v>
      </c>
      <c r="J20" s="59">
        <f t="shared" si="5"/>
        <v>0.31381190368014539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178">
        <f t="shared" si="3"/>
        <v>55</v>
      </c>
      <c r="E21" s="178">
        <f t="shared" si="0"/>
        <v>4</v>
      </c>
      <c r="F21" s="180">
        <f t="shared" si="4"/>
        <v>65.31</v>
      </c>
      <c r="G21" s="182">
        <f>IF(D21=D20,"",_xlfn.IFNA(VLOOKUP(D21,'인원 입력 기능(사과탐)'!$P$5:$S$59,4,FALSE),0))</f>
        <v>1458</v>
      </c>
      <c r="H21" s="184">
        <f t="shared" si="1"/>
        <v>6.6242616992276238E-2</v>
      </c>
      <c r="I21" s="188">
        <f>SUM($G$7:G21)</f>
        <v>8365</v>
      </c>
      <c r="J21" s="176">
        <f t="shared" si="5"/>
        <v>0.38005452067242163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79"/>
      <c r="E22" s="179"/>
      <c r="F22" s="181"/>
      <c r="G22" s="183"/>
      <c r="H22" s="185"/>
      <c r="I22" s="189"/>
      <c r="J22" s="177"/>
      <c r="K22" s="31"/>
      <c r="L22" s="15" t="str">
        <f t="shared" si="2"/>
        <v>경고</v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54</v>
      </c>
      <c r="E23" s="69">
        <f t="shared" si="0"/>
        <v>4</v>
      </c>
      <c r="F23" s="55">
        <f t="shared" si="4"/>
        <v>60.47</v>
      </c>
      <c r="G23" s="56">
        <f>IF(D23=D22,"",_xlfn.IFNA(VLOOKUP(D23,'인원 입력 기능(사과탐)'!$P$5:$S$59,4,FALSE),0))</f>
        <v>673</v>
      </c>
      <c r="H23" s="57">
        <f t="shared" si="1"/>
        <v>3.0577010449795546E-2</v>
      </c>
      <c r="I23" s="67">
        <f>SUM($G$7:G23)</f>
        <v>9038</v>
      </c>
      <c r="J23" s="59">
        <f t="shared" si="5"/>
        <v>0.41063153112221717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53</v>
      </c>
      <c r="E24" s="69">
        <f t="shared" si="0"/>
        <v>5</v>
      </c>
      <c r="F24" s="55">
        <f t="shared" si="4"/>
        <v>57.09</v>
      </c>
      <c r="G24" s="56">
        <f>IF(D24=D23,"",_xlfn.IFNA(VLOOKUP(D24,'인원 입력 기능(사과탐)'!$P$5:$S$59,4,FALSE),0))</f>
        <v>814</v>
      </c>
      <c r="H24" s="57">
        <f t="shared" si="1"/>
        <v>3.6983189459336666E-2</v>
      </c>
      <c r="I24" s="67">
        <f>SUM($G$7:G24)</f>
        <v>9852</v>
      </c>
      <c r="J24" s="59">
        <f t="shared" si="5"/>
        <v>0.44761472058155383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52</v>
      </c>
      <c r="E25" s="69">
        <f t="shared" si="0"/>
        <v>5</v>
      </c>
      <c r="F25" s="55">
        <f t="shared" si="4"/>
        <v>53.6</v>
      </c>
      <c r="G25" s="56">
        <f>IF(D25=D24,"",_xlfn.IFNA(VLOOKUP(D25,'인원 입력 기능(사과탐)'!$P$5:$S$59,4,FALSE),0))</f>
        <v>721</v>
      </c>
      <c r="H25" s="57">
        <f t="shared" si="1"/>
        <v>3.2757837346660608E-2</v>
      </c>
      <c r="I25" s="67">
        <f>SUM($G$7:G25)</f>
        <v>10573</v>
      </c>
      <c r="J25" s="59">
        <f t="shared" si="5"/>
        <v>0.48037255792821443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51</v>
      </c>
      <c r="E26" s="69">
        <f t="shared" si="0"/>
        <v>5</v>
      </c>
      <c r="F26" s="55">
        <f t="shared" si="4"/>
        <v>50.35</v>
      </c>
      <c r="G26" s="56">
        <f>IF(D26=D25,"",_xlfn.IFNA(VLOOKUP(D26,'인원 입력 기능(사과탐)'!$P$5:$S$59,4,FALSE),0))</f>
        <v>712</v>
      </c>
      <c r="H26" s="57">
        <f t="shared" si="1"/>
        <v>3.2348932303498411E-2</v>
      </c>
      <c r="I26" s="67">
        <f>SUM($G$7:G26)</f>
        <v>11285</v>
      </c>
      <c r="J26" s="59">
        <f t="shared" si="5"/>
        <v>0.51272149023171287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50</v>
      </c>
      <c r="E27" s="69">
        <f t="shared" si="0"/>
        <v>5</v>
      </c>
      <c r="F27" s="55">
        <f t="shared" si="4"/>
        <v>47.04</v>
      </c>
      <c r="G27" s="56">
        <f>IF(D27=D26,"",_xlfn.IFNA(VLOOKUP(D27,'인원 입력 기능(사과탐)'!$P$5:$S$59,4,FALSE),0))</f>
        <v>745</v>
      </c>
      <c r="H27" s="57">
        <f t="shared" si="1"/>
        <v>3.384825079509314E-2</v>
      </c>
      <c r="I27" s="67">
        <f>SUM($G$7:G27)</f>
        <v>12030</v>
      </c>
      <c r="J27" s="59">
        <f t="shared" si="5"/>
        <v>0.546569741026806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49</v>
      </c>
      <c r="E28" s="69">
        <f t="shared" si="0"/>
        <v>5</v>
      </c>
      <c r="F28" s="55">
        <f t="shared" si="4"/>
        <v>43.82</v>
      </c>
      <c r="G28" s="56">
        <f>IF(D28=D27,"",_xlfn.IFNA(VLOOKUP(D28,'인원 입력 기능(사과탐)'!$P$5:$S$59,4,FALSE),0))</f>
        <v>671</v>
      </c>
      <c r="H28" s="57">
        <f t="shared" si="1"/>
        <v>3.048614266242617E-2</v>
      </c>
      <c r="I28" s="67">
        <f>SUM($G$7:G28)</f>
        <v>12701</v>
      </c>
      <c r="J28" s="59">
        <f t="shared" si="5"/>
        <v>0.57705588368923222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78">
        <f t="shared" si="3"/>
        <v>48</v>
      </c>
      <c r="E29" s="178">
        <f t="shared" si="0"/>
        <v>5</v>
      </c>
      <c r="F29" s="180">
        <f t="shared" si="4"/>
        <v>39.15</v>
      </c>
      <c r="G29" s="182">
        <f>IF(D29=D28,"",_xlfn.IFNA(VLOOKUP(D29,'인원 입력 기능(사과탐)'!$P$5:$S$59,4,FALSE),0))</f>
        <v>1382</v>
      </c>
      <c r="H29" s="184">
        <f t="shared" si="1"/>
        <v>6.2789641072239888E-2</v>
      </c>
      <c r="I29" s="188">
        <f>SUM($G$7:G29)</f>
        <v>14083</v>
      </c>
      <c r="J29" s="176">
        <f t="shared" si="5"/>
        <v>0.63984552476147205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179"/>
      <c r="E30" s="179"/>
      <c r="F30" s="181"/>
      <c r="G30" s="183"/>
      <c r="H30" s="185"/>
      <c r="I30" s="189"/>
      <c r="J30" s="177"/>
      <c r="K30" s="31"/>
      <c r="L30" s="15" t="str">
        <f t="shared" si="2"/>
        <v>경고</v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47</v>
      </c>
      <c r="E31" s="69">
        <f t="shared" si="0"/>
        <v>6</v>
      </c>
      <c r="F31" s="55">
        <f t="shared" si="4"/>
        <v>34.700000000000003</v>
      </c>
      <c r="G31" s="56">
        <f>IF(D31=D30,"",_xlfn.IFNA(VLOOKUP(D31,'인원 입력 기능(사과탐)'!$P$5:$S$59,4,FALSE),0))</f>
        <v>577</v>
      </c>
      <c r="H31" s="57">
        <f t="shared" si="1"/>
        <v>2.6215356656065426E-2</v>
      </c>
      <c r="I31" s="67">
        <f>SUM($G$7:G31)</f>
        <v>14660</v>
      </c>
      <c r="J31" s="59">
        <f t="shared" si="5"/>
        <v>0.6660608814175375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46</v>
      </c>
      <c r="E32" s="69">
        <f t="shared" si="0"/>
        <v>6</v>
      </c>
      <c r="F32" s="55">
        <f t="shared" si="4"/>
        <v>32.04</v>
      </c>
      <c r="G32" s="56">
        <f>IF(D32=D31,"",_xlfn.IFNA(VLOOKUP(D32,'인원 입력 기능(사과탐)'!$P$5:$S$59,4,FALSE),0))</f>
        <v>598</v>
      </c>
      <c r="H32" s="57">
        <f t="shared" si="1"/>
        <v>2.716946842344389E-2</v>
      </c>
      <c r="I32" s="67">
        <f>SUM($G$7:G32)</f>
        <v>15258</v>
      </c>
      <c r="J32" s="59">
        <f t="shared" si="5"/>
        <v>0.69323034984098142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45</v>
      </c>
      <c r="E33" s="69">
        <f t="shared" si="0"/>
        <v>6</v>
      </c>
      <c r="F33" s="55">
        <f t="shared" si="4"/>
        <v>29.49</v>
      </c>
      <c r="G33" s="56">
        <f>IF(D33=D32,"",_xlfn.IFNA(VLOOKUP(D33,'인원 입력 기능(사과탐)'!$P$5:$S$59,4,FALSE),0))</f>
        <v>523</v>
      </c>
      <c r="H33" s="57">
        <f t="shared" si="1"/>
        <v>2.376192639709223E-2</v>
      </c>
      <c r="I33" s="67">
        <f>SUM($G$7:G33)</f>
        <v>15781</v>
      </c>
      <c r="J33" s="59">
        <f t="shared" si="5"/>
        <v>0.7169922762380736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44</v>
      </c>
      <c r="E34" s="69">
        <f t="shared" si="0"/>
        <v>6</v>
      </c>
      <c r="F34" s="55">
        <f t="shared" si="4"/>
        <v>27.21</v>
      </c>
      <c r="G34" s="56">
        <f>IF(D34=D33,"",_xlfn.IFNA(VLOOKUP(D34,'인원 입력 기능(사과탐)'!$P$5:$S$59,4,FALSE),0))</f>
        <v>479</v>
      </c>
      <c r="H34" s="57">
        <f t="shared" si="1"/>
        <v>2.1762835074965924E-2</v>
      </c>
      <c r="I34" s="67">
        <f>SUM($G$7:G34)</f>
        <v>16260</v>
      </c>
      <c r="J34" s="59">
        <f t="shared" si="5"/>
        <v>0.7387551113130395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43</v>
      </c>
      <c r="E35" s="69">
        <f t="shared" si="0"/>
        <v>6</v>
      </c>
      <c r="F35" s="55">
        <f t="shared" si="4"/>
        <v>25.04</v>
      </c>
      <c r="G35" s="56">
        <f>IF(D35=D34,"",_xlfn.IFNA(VLOOKUP(D35,'인원 입력 기능(사과탐)'!$P$5:$S$59,4,FALSE),0))</f>
        <v>479</v>
      </c>
      <c r="H35" s="57">
        <f t="shared" si="1"/>
        <v>2.1762835074965924E-2</v>
      </c>
      <c r="I35" s="67">
        <f>SUM($G$7:G35)</f>
        <v>16739</v>
      </c>
      <c r="J35" s="59">
        <f t="shared" si="5"/>
        <v>0.76051794638800541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42</v>
      </c>
      <c r="E36" s="69">
        <f t="shared" si="0"/>
        <v>6</v>
      </c>
      <c r="F36" s="55">
        <f t="shared" si="4"/>
        <v>23.08</v>
      </c>
      <c r="G36" s="56">
        <f>IF(D36=D35,"",_xlfn.IFNA(VLOOKUP(D36,'인원 입력 기능(사과탐)'!$P$5:$S$59,4,FALSE),0))</f>
        <v>381</v>
      </c>
      <c r="H36" s="57">
        <f t="shared" si="1"/>
        <v>1.7310313493866424E-2</v>
      </c>
      <c r="I36" s="67">
        <f>SUM($G$7:G36)</f>
        <v>17120</v>
      </c>
      <c r="J36" s="59">
        <f t="shared" si="5"/>
        <v>0.77782825988187188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178">
        <f t="shared" si="3"/>
        <v>41</v>
      </c>
      <c r="E37" s="178">
        <f t="shared" si="0"/>
        <v>7</v>
      </c>
      <c r="F37" s="180">
        <f t="shared" si="4"/>
        <v>20.36</v>
      </c>
      <c r="G37" s="182">
        <f>IF(D37=D36,"",_xlfn.IFNA(VLOOKUP(D37,'인원 입력 기능(사과탐)'!$P$5:$S$59,4,FALSE),0))</f>
        <v>817</v>
      </c>
      <c r="H37" s="184">
        <f t="shared" si="1"/>
        <v>3.7119491140390731E-2</v>
      </c>
      <c r="I37" s="188">
        <f>SUM($G$7:G37)</f>
        <v>17937</v>
      </c>
      <c r="J37" s="176">
        <f t="shared" si="5"/>
        <v>0.81494775102226258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179"/>
      <c r="E38" s="179"/>
      <c r="F38" s="181"/>
      <c r="G38" s="183"/>
      <c r="H38" s="185"/>
      <c r="I38" s="189"/>
      <c r="J38" s="177"/>
      <c r="K38" s="31"/>
      <c r="L38" s="15" t="str">
        <f t="shared" si="2"/>
        <v>경고</v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40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17.739999999999998</v>
      </c>
      <c r="G39" s="56">
        <f>IF(D39=D38,"",_xlfn.IFNA(VLOOKUP(D39,'인원 입력 기능(사과탐)'!$P$5:$S$59,4,FALSE),0))</f>
        <v>339</v>
      </c>
      <c r="H39" s="57">
        <f t="shared" si="1"/>
        <v>1.5402089959109496E-2</v>
      </c>
      <c r="I39" s="67">
        <f>SUM($G$7:G39)</f>
        <v>18276</v>
      </c>
      <c r="J39" s="59">
        <f t="shared" si="5"/>
        <v>0.8303498409813721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39</v>
      </c>
      <c r="E40" s="69">
        <f t="shared" si="6"/>
        <v>7</v>
      </c>
      <c r="F40" s="55">
        <f t="shared" si="4"/>
        <v>16.16</v>
      </c>
      <c r="G40" s="56">
        <f>IF(D40=D39,"",_xlfn.IFNA(VLOOKUP(D40,'인원 입력 기능(사과탐)'!$P$5:$S$59,4,FALSE),0))</f>
        <v>353</v>
      </c>
      <c r="H40" s="57">
        <f t="shared" si="1"/>
        <v>1.603816447069514E-2</v>
      </c>
      <c r="I40" s="67">
        <f>SUM($G$7:G40)</f>
        <v>18629</v>
      </c>
      <c r="J40" s="59">
        <f t="shared" si="5"/>
        <v>0.84638800545206727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38</v>
      </c>
      <c r="E41" s="69">
        <f t="shared" si="6"/>
        <v>7</v>
      </c>
      <c r="F41" s="55">
        <f t="shared" si="4"/>
        <v>14.72</v>
      </c>
      <c r="G41" s="56">
        <f>IF(D41=D40,"",_xlfn.IFNA(VLOOKUP(D41,'인원 입력 기능(사과탐)'!$P$5:$S$59,4,FALSE),0))</f>
        <v>283</v>
      </c>
      <c r="H41" s="57">
        <f t="shared" si="1"/>
        <v>1.2857791912766925E-2</v>
      </c>
      <c r="I41" s="67">
        <f>SUM($G$7:G41)</f>
        <v>18912</v>
      </c>
      <c r="J41" s="59">
        <f t="shared" si="5"/>
        <v>0.8592457973648342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37</v>
      </c>
      <c r="E42" s="69">
        <f t="shared" si="6"/>
        <v>7</v>
      </c>
      <c r="F42" s="55">
        <f t="shared" si="4"/>
        <v>13.41</v>
      </c>
      <c r="G42" s="56">
        <f>IF(D42=D41,"",_xlfn.IFNA(VLOOKUP(D42,'인원 입력 기능(사과탐)'!$P$5:$S$59,4,FALSE),0))</f>
        <v>293</v>
      </c>
      <c r="H42" s="57">
        <f t="shared" si="1"/>
        <v>1.3312130849613812E-2</v>
      </c>
      <c r="I42" s="67">
        <f>SUM($G$7:G42)</f>
        <v>19205</v>
      </c>
      <c r="J42" s="59">
        <f t="shared" si="5"/>
        <v>0.872557928214448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36</v>
      </c>
      <c r="E43" s="69">
        <f t="shared" si="6"/>
        <v>7</v>
      </c>
      <c r="F43" s="55">
        <f t="shared" si="4"/>
        <v>12.12</v>
      </c>
      <c r="G43" s="56">
        <f>IF(D43=D42,"",_xlfn.IFNA(VLOOKUP(D43,'인원 입력 기능(사과탐)'!$P$5:$S$59,4,FALSE),0))</f>
        <v>276</v>
      </c>
      <c r="H43" s="57">
        <f t="shared" si="1"/>
        <v>1.2539754656974102E-2</v>
      </c>
      <c r="I43" s="67">
        <f>SUM($G$7:G43)</f>
        <v>19481</v>
      </c>
      <c r="J43" s="59">
        <f t="shared" si="5"/>
        <v>0.8850976828714221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35</v>
      </c>
      <c r="E44" s="69">
        <f t="shared" si="6"/>
        <v>7</v>
      </c>
      <c r="F44" s="55">
        <f t="shared" si="4"/>
        <v>10.95</v>
      </c>
      <c r="G44" s="56">
        <f>IF(D44=D43,"",_xlfn.IFNA(VLOOKUP(D44,'인원 입력 기능(사과탐)'!$P$5:$S$59,4,FALSE),0))</f>
        <v>236</v>
      </c>
      <c r="H44" s="57">
        <f t="shared" si="1"/>
        <v>1.0722398909586551E-2</v>
      </c>
      <c r="I44" s="67">
        <f>SUM($G$7:G44)</f>
        <v>19717</v>
      </c>
      <c r="J44" s="59">
        <f t="shared" si="5"/>
        <v>0.89582008178100858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178">
        <f t="shared" si="3"/>
        <v>34</v>
      </c>
      <c r="E45" s="178">
        <f t="shared" si="6"/>
        <v>8</v>
      </c>
      <c r="F45" s="180">
        <f t="shared" si="4"/>
        <v>8.19</v>
      </c>
      <c r="G45" s="182">
        <f>IF(D45=D44,"",_xlfn.IFNA(VLOOKUP(D45,'인원 입력 기능(사과탐)'!$P$5:$S$59,4,FALSE),0))</f>
        <v>982</v>
      </c>
      <c r="H45" s="184">
        <f t="shared" si="1"/>
        <v>4.461608359836438E-2</v>
      </c>
      <c r="I45" s="188">
        <f>SUM($G$7:G45)</f>
        <v>20699</v>
      </c>
      <c r="J45" s="176">
        <f t="shared" si="5"/>
        <v>0.94043616537937302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79"/>
      <c r="E46" s="179"/>
      <c r="F46" s="181"/>
      <c r="G46" s="183"/>
      <c r="H46" s="185"/>
      <c r="I46" s="189"/>
      <c r="J46" s="177"/>
      <c r="K46" s="31"/>
      <c r="L46" s="15" t="str">
        <f t="shared" si="2"/>
        <v>경고</v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33</v>
      </c>
      <c r="E47" s="69">
        <f t="shared" si="6"/>
        <v>8</v>
      </c>
      <c r="F47" s="55">
        <f t="shared" si="4"/>
        <v>5.27</v>
      </c>
      <c r="G47" s="56">
        <f>IF(D47=D46,"",_xlfn.IFNA(VLOOKUP(D47,'인원 입력 기능(사과탐)'!$P$5:$S$59,4,FALSE),0))</f>
        <v>304</v>
      </c>
      <c r="H47" s="57">
        <f t="shared" si="1"/>
        <v>1.3811903680145388E-2</v>
      </c>
      <c r="I47" s="67">
        <f>SUM($G$7:G47)</f>
        <v>21003</v>
      </c>
      <c r="J47" s="59">
        <f t="shared" si="5"/>
        <v>0.95424806905951842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32</v>
      </c>
      <c r="E48" s="69">
        <f t="shared" si="6"/>
        <v>8</v>
      </c>
      <c r="F48" s="55">
        <f t="shared" si="4"/>
        <v>4.1900000000000004</v>
      </c>
      <c r="G48" s="56">
        <f>IF(D48=D47,"",_xlfn.IFNA(VLOOKUP(D48,'인원 입력 기능(사과탐)'!$P$5:$S$59,4,FALSE),0))</f>
        <v>168</v>
      </c>
      <c r="H48" s="57">
        <f t="shared" si="1"/>
        <v>7.632894139027715E-3</v>
      </c>
      <c r="I48" s="67">
        <f>SUM($G$7:G48)</f>
        <v>21171</v>
      </c>
      <c r="J48" s="59">
        <f t="shared" si="5"/>
        <v>0.9618809631985461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31</v>
      </c>
      <c r="E49" s="69">
        <f t="shared" si="6"/>
        <v>9</v>
      </c>
      <c r="F49" s="55">
        <f t="shared" si="4"/>
        <v>3.52</v>
      </c>
      <c r="G49" s="56">
        <f>IF(D49=D48,"",_xlfn.IFNA(VLOOKUP(D49,'인원 입력 기능(사과탐)'!$P$5:$S$59,4,FALSE),0))</f>
        <v>130</v>
      </c>
      <c r="H49" s="57">
        <f t="shared" si="1"/>
        <v>5.906406179009541E-3</v>
      </c>
      <c r="I49" s="67">
        <f>SUM($G$7:G49)</f>
        <v>21301</v>
      </c>
      <c r="J49" s="59">
        <f t="shared" si="5"/>
        <v>0.96778736937755561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30</v>
      </c>
      <c r="E50" s="69">
        <f t="shared" si="6"/>
        <v>9</v>
      </c>
      <c r="F50" s="55">
        <f t="shared" si="4"/>
        <v>2.87</v>
      </c>
      <c r="G50" s="56">
        <f>IF(D50=D49,"",_xlfn.IFNA(VLOOKUP(D50,'인원 입력 기능(사과탐)'!$P$5:$S$59,4,FALSE),0))</f>
        <v>155</v>
      </c>
      <c r="H50" s="57">
        <f t="shared" si="1"/>
        <v>7.0422535211267607E-3</v>
      </c>
      <c r="I50" s="67">
        <f>SUM($G$7:G50)</f>
        <v>21456</v>
      </c>
      <c r="J50" s="59">
        <f t="shared" si="5"/>
        <v>0.97482962289868247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29</v>
      </c>
      <c r="E51" s="69">
        <f t="shared" si="6"/>
        <v>9</v>
      </c>
      <c r="F51" s="55">
        <f t="shared" si="4"/>
        <v>1.83</v>
      </c>
      <c r="G51" s="56">
        <f>IF(D51=D50,"",_xlfn.IFNA(VLOOKUP(D51,'인원 입력 기능(사과탐)'!$P$5:$S$59,4,FALSE),0))</f>
        <v>302</v>
      </c>
      <c r="H51" s="57">
        <f t="shared" si="1"/>
        <v>1.3721035892776011E-2</v>
      </c>
      <c r="I51" s="67">
        <f>SUM($G$7:G51)</f>
        <v>21758</v>
      </c>
      <c r="J51" s="59">
        <f t="shared" si="5"/>
        <v>0.98855065879145843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28</v>
      </c>
      <c r="E52" s="69">
        <f t="shared" si="6"/>
        <v>9</v>
      </c>
      <c r="F52" s="55">
        <f t="shared" si="4"/>
        <v>0.94</v>
      </c>
      <c r="G52" s="56">
        <f>IF(D52=D51,"",_xlfn.IFNA(VLOOKUP(D52,'인원 입력 기능(사과탐)'!$P$5:$S$59,4,FALSE),0))</f>
        <v>92</v>
      </c>
      <c r="H52" s="57">
        <f t="shared" si="1"/>
        <v>4.1799182189913679E-3</v>
      </c>
      <c r="I52" s="67">
        <f>SUM($G$7:G52)</f>
        <v>21850</v>
      </c>
      <c r="J52" s="59">
        <f t="shared" si="5"/>
        <v>0.99273057701044976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27</v>
      </c>
      <c r="E53" s="54">
        <f t="shared" si="6"/>
        <v>9</v>
      </c>
      <c r="F53" s="55">
        <f t="shared" si="4"/>
        <v>0.62</v>
      </c>
      <c r="G53" s="56">
        <f>IF(D53=D52,"",_xlfn.IFNA(VLOOKUP(D53,'인원 입력 기능(사과탐)'!$P$5:$S$59,4,FALSE),0))</f>
        <v>48</v>
      </c>
      <c r="H53" s="57">
        <f t="shared" si="1"/>
        <v>2.1808268968650612E-3</v>
      </c>
      <c r="I53" s="67">
        <f>SUM($G$7:G53)</f>
        <v>21898</v>
      </c>
      <c r="J53" s="59">
        <f t="shared" si="5"/>
        <v>0.99491140390731481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186">
        <f t="shared" si="3"/>
        <v>26</v>
      </c>
      <c r="E54" s="186">
        <f t="shared" si="6"/>
        <v>9</v>
      </c>
      <c r="F54" s="180">
        <f t="shared" si="4"/>
        <v>0.28000000000000003</v>
      </c>
      <c r="G54" s="182">
        <f>IF(D54=D53,"",_xlfn.IFNA(VLOOKUP(D54,'인원 입력 기능(사과탐)'!$P$5:$S$59,4,FALSE),0))</f>
        <v>99</v>
      </c>
      <c r="H54" s="184">
        <f t="shared" si="1"/>
        <v>4.4979554747841891E-3</v>
      </c>
      <c r="I54" s="188">
        <f>SUM($G$7:G54)</f>
        <v>21997</v>
      </c>
      <c r="J54" s="176">
        <f t="shared" si="5"/>
        <v>0.99940935938209907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187"/>
      <c r="E55" s="187"/>
      <c r="F55" s="181"/>
      <c r="G55" s="183"/>
      <c r="H55" s="185"/>
      <c r="I55" s="189"/>
      <c r="J55" s="177"/>
      <c r="K55" s="31"/>
      <c r="L55" s="15" t="str">
        <f t="shared" si="2"/>
        <v>경고</v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24</v>
      </c>
      <c r="E57" s="107">
        <f t="shared" si="6"/>
        <v>9</v>
      </c>
      <c r="F57" s="74">
        <f>IF(I55=0,ROUND(100*(1-(I54+I57)/2/$J$3),2),ROUND(100*(1-(I55+I57)/2/$J$3),2))</f>
        <v>0.03</v>
      </c>
      <c r="G57" s="108">
        <f>_xlfn.IFNA(VLOOKUP(D57,'인원 입력 기능(사과탐)'!$P$5:$S$59,4,FALSE),0)</f>
        <v>13</v>
      </c>
      <c r="H57" s="76">
        <f>G57/$J$3</f>
        <v>5.9064061790095406E-4</v>
      </c>
      <c r="I57" s="77">
        <f>SUM($G$7:G57)</f>
        <v>22010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  <mergeCell ref="I21:I22"/>
    <mergeCell ref="J21:J22"/>
    <mergeCell ref="D29:D30"/>
    <mergeCell ref="E29:E30"/>
    <mergeCell ref="F29:F30"/>
    <mergeCell ref="G29:G30"/>
    <mergeCell ref="H29:H30"/>
    <mergeCell ref="I29:I30"/>
    <mergeCell ref="J29:J30"/>
    <mergeCell ref="D21:D22"/>
    <mergeCell ref="E21:E22"/>
    <mergeCell ref="F21:F22"/>
    <mergeCell ref="G21:G22"/>
    <mergeCell ref="H21:H22"/>
    <mergeCell ref="I37:I38"/>
    <mergeCell ref="J37:J38"/>
    <mergeCell ref="D45:D46"/>
    <mergeCell ref="E45:E46"/>
    <mergeCell ref="F45:F46"/>
    <mergeCell ref="G45:G46"/>
    <mergeCell ref="H45:H46"/>
    <mergeCell ref="I45:I46"/>
    <mergeCell ref="J45:J46"/>
    <mergeCell ref="D37:D38"/>
    <mergeCell ref="E37:E38"/>
    <mergeCell ref="F37:F38"/>
    <mergeCell ref="G37:G38"/>
    <mergeCell ref="H37:H38"/>
    <mergeCell ref="I54:I55"/>
    <mergeCell ref="J54:J55"/>
    <mergeCell ref="D54:D55"/>
    <mergeCell ref="E54:E55"/>
    <mergeCell ref="F54:F55"/>
    <mergeCell ref="G54:G55"/>
    <mergeCell ref="H54:H55"/>
  </mergeCells>
  <phoneticPr fontId="1" type="noConversion"/>
  <conditionalFormatting sqref="D7:G13 I7:J13 D15:G21 I15:J21 D23:G29 I23:J29 D31:G37 I31:J37 D39:G45 I39:J45 D47:G54 I47:J54 D56:G57 I56:J57">
    <cfRule type="expression" dxfId="41" priority="4">
      <formula>OR($D7=$Q$7:$Q$14)</formula>
    </cfRule>
  </conditionalFormatting>
  <conditionalFormatting sqref="C7:C57">
    <cfRule type="expression" dxfId="40" priority="3">
      <formula>OR(AND($D7=0,OR($D6=$Q$7:$Q$14)),AND($D8&gt;0,OR($D7=$Q$7:$Q$14)))</formula>
    </cfRule>
  </conditionalFormatting>
  <conditionalFormatting sqref="D7:D13 D15:D21 D23:D29 D31:D37 D39:D45 D47:D54 D56:D57">
    <cfRule type="expression" dxfId="39" priority="2">
      <formula>$D7=$D8</formula>
    </cfRule>
  </conditionalFormatting>
  <conditionalFormatting sqref="H7:H13 H15:H21 H23:H29 H31:H37 H39:H45 H47:H54 H56:H57">
    <cfRule type="expression" dxfId="3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="98" zoomScaleNormal="98" workbookViewId="0">
      <selection activeCell="H13" sqref="H13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기능'!D12</f>
        <v>20.37</v>
      </c>
      <c r="I3" s="16" t="s">
        <v>70</v>
      </c>
      <c r="J3" s="45">
        <f>'통계 및 응시자 수 입력 기능'!C12</f>
        <v>10874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100</v>
      </c>
      <c r="E4" s="169"/>
      <c r="F4" s="170"/>
      <c r="G4" s="47" t="s">
        <v>73</v>
      </c>
      <c r="H4" s="48" t="str">
        <f>'통계 및 응시자 수 입력 기능'!E12</f>
        <v xml:space="preserve"> 9.24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82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99.68</v>
      </c>
      <c r="G7" s="56">
        <f>_xlfn.IFNA(VLOOKUP(D7,'인원 입력 기능(사과탐)'!$A$64:$D$116,4,FALSE),0)</f>
        <v>70</v>
      </c>
      <c r="H7" s="57">
        <f>G7/$J$3</f>
        <v>6.4373735515909506E-3</v>
      </c>
      <c r="I7" s="58">
        <f>G7</f>
        <v>70</v>
      </c>
      <c r="J7" s="59">
        <f>I7/$J$3</f>
        <v>6.4373735515909506E-3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기능'!C76</f>
        <v>71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기능'!C77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80</v>
      </c>
      <c r="E9" s="54">
        <f t="shared" si="0"/>
        <v>1</v>
      </c>
      <c r="F9" s="55">
        <f>IF(I8=0,ROUND(100*(1-(I7+I9)/2/$J$3),2),ROUND(100*(1-(I8+I9)/2/$J$3),2))</f>
        <v>99.24</v>
      </c>
      <c r="G9" s="56">
        <f>_xlfn.IFNA(VLOOKUP(D9,'인원 입력 기능(사과탐)'!$A$64:$D$116,4,FALSE),0)</f>
        <v>26</v>
      </c>
      <c r="H9" s="57">
        <f t="shared" ref="H9:H55" si="1">G9/$J$3</f>
        <v>2.3910244620194959E-3</v>
      </c>
      <c r="I9" s="67">
        <f>SUM($G$7:G9)</f>
        <v>96</v>
      </c>
      <c r="J9" s="59">
        <f>I9/$J$3</f>
        <v>8.8283980136104473E-3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기능'!C78</f>
        <v>56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79</v>
      </c>
      <c r="E10" s="54">
        <f t="shared" si="0"/>
        <v>1</v>
      </c>
      <c r="F10" s="55">
        <f t="shared" ref="F10:F55" si="4">IF(I9=0,ROUND(100*(1-(I8+I10)/2/$J$3),2),ROUND(100*(1-(I9+I10)/2/$J$3),2))</f>
        <v>98.86</v>
      </c>
      <c r="G10" s="56">
        <f>IF(D10=D9,"",_xlfn.IFNA(VLOOKUP(D10,'인원 입력 기능(사과탐)'!$A$64:$D$116,4,FALSE),0))</f>
        <v>56</v>
      </c>
      <c r="H10" s="57">
        <f t="shared" si="1"/>
        <v>5.1498988412727606E-3</v>
      </c>
      <c r="I10" s="67">
        <f>SUM($G$7:G10)</f>
        <v>152</v>
      </c>
      <c r="J10" s="59">
        <f t="shared" ref="J10:J55" si="5">I10/$J$3</f>
        <v>1.3978296854883207E-2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기능'!C79</f>
        <v>51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78</v>
      </c>
      <c r="E11" s="54">
        <f t="shared" si="0"/>
        <v>1</v>
      </c>
      <c r="F11" s="55">
        <f t="shared" si="4"/>
        <v>98.55</v>
      </c>
      <c r="G11" s="56">
        <f>IF(D11=D10,"",_xlfn.IFNA(VLOOKUP(D11,'인원 입력 기능(사과탐)'!$A$64:$D$116,4,FALSE),0))</f>
        <v>12</v>
      </c>
      <c r="H11" s="57">
        <f t="shared" si="1"/>
        <v>1.1035497517013059E-3</v>
      </c>
      <c r="I11" s="67">
        <f>SUM($G$7:G11)</f>
        <v>164</v>
      </c>
      <c r="J11" s="59">
        <f t="shared" si="5"/>
        <v>1.5081846606584513E-2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기능'!C80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77</v>
      </c>
      <c r="E12" s="54">
        <f t="shared" si="0"/>
        <v>1</v>
      </c>
      <c r="F12" s="55">
        <f t="shared" si="4"/>
        <v>98.25</v>
      </c>
      <c r="G12" s="56">
        <f>IF(D12=D11,"",_xlfn.IFNA(VLOOKUP(D12,'인원 입력 기능(사과탐)'!$A$64:$D$116,4,FALSE),0))</f>
        <v>52</v>
      </c>
      <c r="H12" s="57">
        <f t="shared" si="1"/>
        <v>4.7820489240389917E-3</v>
      </c>
      <c r="I12" s="67">
        <f>SUM($G$7:G12)</f>
        <v>216</v>
      </c>
      <c r="J12" s="59">
        <f t="shared" si="5"/>
        <v>1.9863895530623506E-2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기능'!C81</f>
        <v>42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76</v>
      </c>
      <c r="E13" s="54">
        <f t="shared" si="0"/>
        <v>1</v>
      </c>
      <c r="F13" s="55">
        <f t="shared" si="4"/>
        <v>97.79</v>
      </c>
      <c r="G13" s="56">
        <f>IF(D13=D12,"",_xlfn.IFNA(VLOOKUP(D13,'인원 입력 기능(사과탐)'!$A$64:$D$116,4,FALSE),0))</f>
        <v>49</v>
      </c>
      <c r="H13" s="57">
        <f t="shared" si="1"/>
        <v>4.5061614861136657E-3</v>
      </c>
      <c r="I13" s="67">
        <f>SUM($G$7:G13)</f>
        <v>265</v>
      </c>
      <c r="J13" s="59">
        <f t="shared" si="5"/>
        <v>2.4370057016737171E-2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기능'!C82</f>
        <v>39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74</v>
      </c>
      <c r="E14" s="54">
        <f t="shared" si="0"/>
        <v>1</v>
      </c>
      <c r="F14" s="55">
        <f t="shared" si="4"/>
        <v>97.36</v>
      </c>
      <c r="G14" s="56">
        <f>IF(D14=D13,"",_xlfn.IFNA(VLOOKUP(D14,'인원 입력 기능(사과탐)'!$A$64:$D$116,4,FALSE),0))</f>
        <v>44</v>
      </c>
      <c r="H14" s="57">
        <f t="shared" si="1"/>
        <v>4.0463490895714547E-3</v>
      </c>
      <c r="I14" s="67">
        <f>SUM($G$7:G14)</f>
        <v>309</v>
      </c>
      <c r="J14" s="59">
        <f t="shared" si="5"/>
        <v>2.8416406106308627E-2</v>
      </c>
      <c r="K14" s="31"/>
      <c r="L14" s="15" t="str">
        <f t="shared" si="2"/>
        <v>경고</v>
      </c>
      <c r="N14" s="19"/>
      <c r="P14" s="19">
        <v>8</v>
      </c>
      <c r="Q14" s="19">
        <f>'표점등급&amp;절평인원 입력 기능'!C83</f>
        <v>37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73</v>
      </c>
      <c r="E15" s="54">
        <f t="shared" si="0"/>
        <v>1</v>
      </c>
      <c r="F15" s="55">
        <f t="shared" si="4"/>
        <v>96.85</v>
      </c>
      <c r="G15" s="56">
        <f>IF(D15=D14,"",_xlfn.IFNA(VLOOKUP(D15,'인원 입력 기능(사과탐)'!$A$64:$D$116,4,FALSE),0))</f>
        <v>66</v>
      </c>
      <c r="H15" s="57">
        <f t="shared" si="1"/>
        <v>6.0695236343571825E-3</v>
      </c>
      <c r="I15" s="67">
        <f>SUM($G$7:G15)</f>
        <v>375</v>
      </c>
      <c r="J15" s="59">
        <f t="shared" si="5"/>
        <v>3.4485929740665805E-2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72</v>
      </c>
      <c r="E16" s="54">
        <f t="shared" si="0"/>
        <v>1</v>
      </c>
      <c r="F16" s="55">
        <f t="shared" si="4"/>
        <v>96.33</v>
      </c>
      <c r="G16" s="56">
        <f>IF(D16=D15,"",_xlfn.IFNA(VLOOKUP(D16,'인원 입력 기능(사과탐)'!$A$64:$D$116,4,FALSE),0))</f>
        <v>49</v>
      </c>
      <c r="H16" s="57">
        <f t="shared" si="1"/>
        <v>4.5061614861136657E-3</v>
      </c>
      <c r="I16" s="67">
        <f>SUM($G$7:G16)</f>
        <v>424</v>
      </c>
      <c r="J16" s="59">
        <f t="shared" si="5"/>
        <v>3.8992091226779477E-2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71</v>
      </c>
      <c r="E17" s="54">
        <f t="shared" si="0"/>
        <v>1</v>
      </c>
      <c r="F17" s="55">
        <f t="shared" si="4"/>
        <v>95.77</v>
      </c>
      <c r="G17" s="56">
        <f>IF(D17=D16,"",_xlfn.IFNA(VLOOKUP(D17,'인원 입력 기능(사과탐)'!$A$64:$D$116,4,FALSE),0))</f>
        <v>72</v>
      </c>
      <c r="H17" s="57">
        <f t="shared" si="1"/>
        <v>6.6212985102078355E-3</v>
      </c>
      <c r="I17" s="67">
        <f>SUM($G$7:G17)</f>
        <v>496</v>
      </c>
      <c r="J17" s="59">
        <f t="shared" si="5"/>
        <v>4.5613389736987309E-2</v>
      </c>
      <c r="K17" s="31"/>
      <c r="L17" s="15" t="str">
        <f t="shared" si="2"/>
        <v/>
      </c>
      <c r="N17" s="19"/>
      <c r="Q17" s="19">
        <f>Q7*H3*H4*J3*IFERROR(IF(J57=1, 1, 0), 0)</f>
        <v>145315077.4152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70</v>
      </c>
      <c r="E18" s="54">
        <f t="shared" si="0"/>
        <v>2</v>
      </c>
      <c r="F18" s="55">
        <f t="shared" si="4"/>
        <v>95.1</v>
      </c>
      <c r="G18" s="56">
        <f>IF(D18=D17,"",_xlfn.IFNA(VLOOKUP(D18,'인원 입력 기능(사과탐)'!$A$64:$D$116,4,FALSE),0))</f>
        <v>74</v>
      </c>
      <c r="H18" s="57">
        <f t="shared" si="1"/>
        <v>6.8052234688247195E-3</v>
      </c>
      <c r="I18" s="67">
        <f>SUM($G$7:G18)</f>
        <v>570</v>
      </c>
      <c r="J18" s="59">
        <f t="shared" si="5"/>
        <v>5.241861320581203E-2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69</v>
      </c>
      <c r="E19" s="54">
        <f t="shared" si="0"/>
        <v>2</v>
      </c>
      <c r="F19" s="55">
        <f t="shared" si="4"/>
        <v>94.5</v>
      </c>
      <c r="G19" s="56">
        <f>IF(D19=D18,"",_xlfn.IFNA(VLOOKUP(D19,'인원 입력 기능(사과탐)'!$A$64:$D$116,4,FALSE),0))</f>
        <v>56</v>
      </c>
      <c r="H19" s="57">
        <f t="shared" si="1"/>
        <v>5.1498988412727606E-3</v>
      </c>
      <c r="I19" s="67">
        <f>SUM($G$7:G19)</f>
        <v>626</v>
      </c>
      <c r="J19" s="59">
        <f t="shared" si="5"/>
        <v>5.756851204708479E-2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68</v>
      </c>
      <c r="E20" s="54">
        <f t="shared" si="0"/>
        <v>2</v>
      </c>
      <c r="F20" s="55">
        <f t="shared" si="4"/>
        <v>93.78</v>
      </c>
      <c r="G20" s="56">
        <f>IF(D20=D19,"",_xlfn.IFNA(VLOOKUP(D20,'인원 입력 기능(사과탐)'!$A$64:$D$116,4,FALSE),0))</f>
        <v>101</v>
      </c>
      <c r="H20" s="57">
        <f t="shared" si="1"/>
        <v>9.2882104101526582E-3</v>
      </c>
      <c r="I20" s="67">
        <f>SUM($G$7:G20)</f>
        <v>727</v>
      </c>
      <c r="J20" s="59">
        <f t="shared" si="5"/>
        <v>6.685672245723745E-2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67</v>
      </c>
      <c r="E21" s="69">
        <f t="shared" si="0"/>
        <v>2</v>
      </c>
      <c r="F21" s="55">
        <f t="shared" si="4"/>
        <v>92.93</v>
      </c>
      <c r="G21" s="56">
        <f>IF(D21=D20,"",_xlfn.IFNA(VLOOKUP(D21,'인원 입력 기능(사과탐)'!$A$64:$D$116,4,FALSE),0))</f>
        <v>83</v>
      </c>
      <c r="H21" s="57">
        <f t="shared" si="1"/>
        <v>7.6328857826006985E-3</v>
      </c>
      <c r="I21" s="67">
        <f>SUM($G$7:G21)</f>
        <v>810</v>
      </c>
      <c r="J21" s="59">
        <f t="shared" si="5"/>
        <v>7.4489608239838148E-2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66</v>
      </c>
      <c r="E22" s="69">
        <f t="shared" si="0"/>
        <v>2</v>
      </c>
      <c r="F22" s="55">
        <f t="shared" si="4"/>
        <v>91.99</v>
      </c>
      <c r="G22" s="56">
        <f>IF(D22=D21,"",_xlfn.IFNA(VLOOKUP(D22,'인원 입력 기능(사과탐)'!$A$64:$D$116,4,FALSE),0))</f>
        <v>122</v>
      </c>
      <c r="H22" s="57">
        <f t="shared" si="1"/>
        <v>1.1219422475629943E-2</v>
      </c>
      <c r="I22" s="67">
        <f>SUM($G$7:G22)</f>
        <v>932</v>
      </c>
      <c r="J22" s="59">
        <f t="shared" si="5"/>
        <v>8.5709030715468093E-2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65</v>
      </c>
      <c r="E23" s="69">
        <f t="shared" si="0"/>
        <v>2</v>
      </c>
      <c r="F23" s="55">
        <f t="shared" si="4"/>
        <v>90.82</v>
      </c>
      <c r="G23" s="56">
        <f>IF(D23=D22,"",_xlfn.IFNA(VLOOKUP(D23,'인원 입력 기능(사과탐)'!$A$64:$D$116,4,FALSE),0))</f>
        <v>133</v>
      </c>
      <c r="H23" s="57">
        <f t="shared" si="1"/>
        <v>1.2231009748022806E-2</v>
      </c>
      <c r="I23" s="67">
        <f>SUM($G$7:G23)</f>
        <v>1065</v>
      </c>
      <c r="J23" s="59">
        <f t="shared" si="5"/>
        <v>9.7940040463490891E-2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64</v>
      </c>
      <c r="E24" s="69">
        <f t="shared" si="0"/>
        <v>2</v>
      </c>
      <c r="F24" s="55">
        <f t="shared" si="4"/>
        <v>89.68</v>
      </c>
      <c r="G24" s="56">
        <f>IF(D24=D23,"",_xlfn.IFNA(VLOOKUP(D24,'인원 입력 기능(사과탐)'!$A$64:$D$116,4,FALSE),0))</f>
        <v>114</v>
      </c>
      <c r="H24" s="57">
        <f t="shared" si="1"/>
        <v>1.0483722641162405E-2</v>
      </c>
      <c r="I24" s="67">
        <f>SUM($G$7:G24)</f>
        <v>1179</v>
      </c>
      <c r="J24" s="59">
        <f t="shared" si="5"/>
        <v>0.10842376310465331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63</v>
      </c>
      <c r="E25" s="69">
        <f t="shared" si="0"/>
        <v>2</v>
      </c>
      <c r="F25" s="55">
        <f t="shared" si="4"/>
        <v>88.37</v>
      </c>
      <c r="G25" s="56">
        <f>IF(D25=D24,"",_xlfn.IFNA(VLOOKUP(D25,'인원 입력 기능(사과탐)'!$A$64:$D$116,4,FALSE),0))</f>
        <v>171</v>
      </c>
      <c r="H25" s="57">
        <f t="shared" si="1"/>
        <v>1.572558396174361E-2</v>
      </c>
      <c r="I25" s="67">
        <f>SUM($G$7:G25)</f>
        <v>1350</v>
      </c>
      <c r="J25" s="59">
        <f t="shared" si="5"/>
        <v>0.12414934706639691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62</v>
      </c>
      <c r="E26" s="69">
        <f t="shared" si="0"/>
        <v>3</v>
      </c>
      <c r="F26" s="55">
        <f t="shared" si="4"/>
        <v>86.86</v>
      </c>
      <c r="G26" s="56">
        <f>IF(D26=D25,"",_xlfn.IFNA(VLOOKUP(D26,'인원 입력 기능(사과탐)'!$A$64:$D$116,4,FALSE),0))</f>
        <v>157</v>
      </c>
      <c r="H26" s="57">
        <f t="shared" si="1"/>
        <v>1.4438109251425418E-2</v>
      </c>
      <c r="I26" s="67">
        <f>SUM($G$7:G26)</f>
        <v>1507</v>
      </c>
      <c r="J26" s="59">
        <f t="shared" si="5"/>
        <v>0.13858745631782232</v>
      </c>
      <c r="K26" s="31"/>
      <c r="L26" s="15" t="str">
        <f t="shared" si="2"/>
        <v>경고</v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60</v>
      </c>
      <c r="E27" s="69">
        <f t="shared" si="0"/>
        <v>3</v>
      </c>
      <c r="F27" s="55">
        <f t="shared" si="4"/>
        <v>85.24</v>
      </c>
      <c r="G27" s="56">
        <f>IF(D27=D26,"",_xlfn.IFNA(VLOOKUP(D27,'인원 입력 기능(사과탐)'!$A$64:$D$116,4,FALSE),0))</f>
        <v>195</v>
      </c>
      <c r="H27" s="57">
        <f t="shared" si="1"/>
        <v>1.7932683465146221E-2</v>
      </c>
      <c r="I27" s="67">
        <f>SUM($G$7:G27)</f>
        <v>1702</v>
      </c>
      <c r="J27" s="59">
        <f t="shared" si="5"/>
        <v>0.15652013978296855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59</v>
      </c>
      <c r="E28" s="69">
        <f t="shared" si="0"/>
        <v>3</v>
      </c>
      <c r="F28" s="55">
        <f t="shared" si="4"/>
        <v>83.22</v>
      </c>
      <c r="G28" s="56">
        <f>IF(D28=D27,"",_xlfn.IFNA(VLOOKUP(D28,'인원 입력 기능(사과탐)'!$A$64:$D$116,4,FALSE),0))</f>
        <v>245</v>
      </c>
      <c r="H28" s="57">
        <f t="shared" si="1"/>
        <v>2.2530807430568327E-2</v>
      </c>
      <c r="I28" s="67">
        <f>SUM($G$7:G28)</f>
        <v>1947</v>
      </c>
      <c r="J28" s="59">
        <f t="shared" si="5"/>
        <v>0.17905094721353687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58</v>
      </c>
      <c r="E29" s="69">
        <f t="shared" si="0"/>
        <v>3</v>
      </c>
      <c r="F29" s="55">
        <f t="shared" si="4"/>
        <v>81.27</v>
      </c>
      <c r="G29" s="56">
        <f>IF(D29=D28,"",_xlfn.IFNA(VLOOKUP(D29,'인원 입력 기능(사과탐)'!$A$64:$D$116,4,FALSE),0))</f>
        <v>179</v>
      </c>
      <c r="H29" s="57">
        <f t="shared" si="1"/>
        <v>1.6461283796211146E-2</v>
      </c>
      <c r="I29" s="67">
        <f>SUM($G$7:G29)</f>
        <v>2126</v>
      </c>
      <c r="J29" s="59">
        <f t="shared" si="5"/>
        <v>0.19551223100974802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57</v>
      </c>
      <c r="E30" s="69">
        <f t="shared" si="0"/>
        <v>3</v>
      </c>
      <c r="F30" s="55">
        <f t="shared" si="4"/>
        <v>79.099999999999994</v>
      </c>
      <c r="G30" s="56">
        <f>IF(D30=D29,"",_xlfn.IFNA(VLOOKUP(D30,'인원 입력 기능(사과탐)'!$A$64:$D$116,4,FALSE),0))</f>
        <v>294</v>
      </c>
      <c r="H30" s="57">
        <f t="shared" si="1"/>
        <v>2.7036968916681992E-2</v>
      </c>
      <c r="I30" s="67">
        <f>SUM($G$7:G30)</f>
        <v>2420</v>
      </c>
      <c r="J30" s="59">
        <f t="shared" si="5"/>
        <v>0.22254919992643002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56</v>
      </c>
      <c r="E31" s="69">
        <f t="shared" si="0"/>
        <v>3</v>
      </c>
      <c r="F31" s="55">
        <f t="shared" si="4"/>
        <v>76.37</v>
      </c>
      <c r="G31" s="56">
        <f>IF(D31=D30,"",_xlfn.IFNA(VLOOKUP(D31,'인원 입력 기능(사과탐)'!$A$64:$D$116,4,FALSE),0))</f>
        <v>298</v>
      </c>
      <c r="H31" s="57">
        <f t="shared" si="1"/>
        <v>2.7404818833915764E-2</v>
      </c>
      <c r="I31" s="67">
        <f>SUM($G$7:G31)</f>
        <v>2718</v>
      </c>
      <c r="J31" s="59">
        <f t="shared" si="5"/>
        <v>0.24995401876034579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55</v>
      </c>
      <c r="E32" s="69">
        <f t="shared" si="0"/>
        <v>4</v>
      </c>
      <c r="F32" s="55">
        <f t="shared" si="4"/>
        <v>73.63</v>
      </c>
      <c r="G32" s="56">
        <f>IF(D32=D31,"",_xlfn.IFNA(VLOOKUP(D32,'인원 입력 기능(사과탐)'!$A$64:$D$116,4,FALSE),0))</f>
        <v>299</v>
      </c>
      <c r="H32" s="57">
        <f t="shared" si="1"/>
        <v>2.7496781313224205E-2</v>
      </c>
      <c r="I32" s="67">
        <f>SUM($G$7:G32)</f>
        <v>3017</v>
      </c>
      <c r="J32" s="59">
        <f t="shared" si="5"/>
        <v>0.27745080007356998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54</v>
      </c>
      <c r="E33" s="69">
        <f t="shared" si="0"/>
        <v>4</v>
      </c>
      <c r="F33" s="55">
        <f t="shared" si="4"/>
        <v>70.5</v>
      </c>
      <c r="G33" s="56">
        <f>IF(D33=D32,"",_xlfn.IFNA(VLOOKUP(D33,'인원 입력 기능(사과탐)'!$A$64:$D$116,4,FALSE),0))</f>
        <v>381</v>
      </c>
      <c r="H33" s="57">
        <f t="shared" si="1"/>
        <v>3.5037704616516459E-2</v>
      </c>
      <c r="I33" s="67">
        <f>SUM($G$7:G33)</f>
        <v>3398</v>
      </c>
      <c r="J33" s="59">
        <f t="shared" si="5"/>
        <v>0.31248850469008643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53</v>
      </c>
      <c r="E34" s="69">
        <f t="shared" si="0"/>
        <v>4</v>
      </c>
      <c r="F34" s="55">
        <f t="shared" si="4"/>
        <v>67</v>
      </c>
      <c r="G34" s="56">
        <f>IF(D34=D33,"",_xlfn.IFNA(VLOOKUP(D34,'인원 입력 기능(사과탐)'!$A$64:$D$116,4,FALSE),0))</f>
        <v>380</v>
      </c>
      <c r="H34" s="57">
        <f t="shared" si="1"/>
        <v>3.4945742137208018E-2</v>
      </c>
      <c r="I34" s="67">
        <f>SUM($G$7:G34)</f>
        <v>3778</v>
      </c>
      <c r="J34" s="59">
        <f t="shared" si="5"/>
        <v>0.34743424682729446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52</v>
      </c>
      <c r="E35" s="69">
        <f t="shared" si="0"/>
        <v>4</v>
      </c>
      <c r="F35" s="55">
        <f t="shared" si="4"/>
        <v>63.29</v>
      </c>
      <c r="G35" s="56">
        <f>IF(D35=D34,"",_xlfn.IFNA(VLOOKUP(D35,'인원 입력 기능(사과탐)'!$A$64:$D$116,4,FALSE),0))</f>
        <v>428</v>
      </c>
      <c r="H35" s="57">
        <f t="shared" si="1"/>
        <v>3.9359941144013241E-2</v>
      </c>
      <c r="I35" s="67">
        <f>SUM($G$7:G35)</f>
        <v>4206</v>
      </c>
      <c r="J35" s="59">
        <f t="shared" si="5"/>
        <v>0.38679418797130771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51</v>
      </c>
      <c r="E36" s="69">
        <f t="shared" si="0"/>
        <v>4</v>
      </c>
      <c r="F36" s="55">
        <f t="shared" si="4"/>
        <v>59.29</v>
      </c>
      <c r="G36" s="56">
        <f>IF(D36=D35,"",_xlfn.IFNA(VLOOKUP(D36,'인원 입력 기능(사과탐)'!$A$64:$D$116,4,FALSE),0))</f>
        <v>442</v>
      </c>
      <c r="H36" s="57">
        <f t="shared" si="1"/>
        <v>4.0647415854331431E-2</v>
      </c>
      <c r="I36" s="67">
        <f>SUM($G$7:G36)</f>
        <v>4648</v>
      </c>
      <c r="J36" s="59">
        <f t="shared" si="5"/>
        <v>0.42744160382563912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50</v>
      </c>
      <c r="E37" s="69">
        <f t="shared" si="0"/>
        <v>5</v>
      </c>
      <c r="F37" s="55">
        <f t="shared" si="4"/>
        <v>55.27</v>
      </c>
      <c r="G37" s="56">
        <f>IF(D37=D36,"",_xlfn.IFNA(VLOOKUP(D37,'인원 입력 기능(사과탐)'!$A$64:$D$116,4,FALSE),0))</f>
        <v>431</v>
      </c>
      <c r="H37" s="57">
        <f t="shared" si="1"/>
        <v>3.9635828581938572E-2</v>
      </c>
      <c r="I37" s="67">
        <f>SUM($G$7:G37)</f>
        <v>5079</v>
      </c>
      <c r="J37" s="59">
        <f t="shared" si="5"/>
        <v>0.46707743240757771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49</v>
      </c>
      <c r="E38" s="69">
        <f t="shared" si="0"/>
        <v>5</v>
      </c>
      <c r="F38" s="55">
        <f t="shared" si="4"/>
        <v>50.93</v>
      </c>
      <c r="G38" s="56">
        <f>IF(D38=D37,"",_xlfn.IFNA(VLOOKUP(D38,'인원 입력 기능(사과탐)'!$A$64:$D$116,4,FALSE),0))</f>
        <v>514</v>
      </c>
      <c r="H38" s="57">
        <f t="shared" si="1"/>
        <v>4.726871436453927E-2</v>
      </c>
      <c r="I38" s="67">
        <f>SUM($G$7:G38)</f>
        <v>5593</v>
      </c>
      <c r="J38" s="59">
        <f t="shared" si="5"/>
        <v>0.51434614677211699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47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46.22</v>
      </c>
      <c r="G39" s="56">
        <f>IF(D39=D38,"",_xlfn.IFNA(VLOOKUP(D39,'인원 입력 기능(사과탐)'!$A$64:$D$116,4,FALSE),0))</f>
        <v>511</v>
      </c>
      <c r="H39" s="57">
        <f t="shared" si="1"/>
        <v>4.699282692661394E-2</v>
      </c>
      <c r="I39" s="67">
        <f>SUM($G$7:G39)</f>
        <v>6104</v>
      </c>
      <c r="J39" s="59">
        <f t="shared" si="5"/>
        <v>0.56133897369873087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46</v>
      </c>
      <c r="E40" s="69">
        <f t="shared" si="6"/>
        <v>5</v>
      </c>
      <c r="F40" s="55">
        <f t="shared" si="4"/>
        <v>41.33</v>
      </c>
      <c r="G40" s="56">
        <f>IF(D40=D39,"",_xlfn.IFNA(VLOOKUP(D40,'인원 입력 기능(사과탐)'!$A$64:$D$116,4,FALSE),0))</f>
        <v>551</v>
      </c>
      <c r="H40" s="57">
        <f t="shared" si="1"/>
        <v>5.0671326098951627E-2</v>
      </c>
      <c r="I40" s="67">
        <f>SUM($G$7:G40)</f>
        <v>6655</v>
      </c>
      <c r="J40" s="59">
        <f t="shared" si="5"/>
        <v>0.61201029979768251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45</v>
      </c>
      <c r="E41" s="69">
        <f t="shared" si="6"/>
        <v>6</v>
      </c>
      <c r="F41" s="55">
        <f t="shared" si="4"/>
        <v>36.54</v>
      </c>
      <c r="G41" s="56">
        <f>IF(D41=D40,"",_xlfn.IFNA(VLOOKUP(D41,'인원 입력 기능(사과탐)'!$A$64:$D$116,4,FALSE),0))</f>
        <v>492</v>
      </c>
      <c r="H41" s="57">
        <f t="shared" si="1"/>
        <v>4.5245539819753537E-2</v>
      </c>
      <c r="I41" s="67">
        <f>SUM($G$7:G41)</f>
        <v>7147</v>
      </c>
      <c r="J41" s="59">
        <f t="shared" si="5"/>
        <v>0.65725583961743606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44</v>
      </c>
      <c r="E42" s="69">
        <f t="shared" si="6"/>
        <v>6</v>
      </c>
      <c r="F42" s="55">
        <f t="shared" si="4"/>
        <v>31.84</v>
      </c>
      <c r="G42" s="56">
        <f>IF(D42=D41,"",_xlfn.IFNA(VLOOKUP(D42,'인원 입력 기능(사과탐)'!$A$64:$D$116,4,FALSE),0))</f>
        <v>529</v>
      </c>
      <c r="H42" s="57">
        <f t="shared" si="1"/>
        <v>4.8648151554165901E-2</v>
      </c>
      <c r="I42" s="67">
        <f>SUM($G$7:G42)</f>
        <v>7676</v>
      </c>
      <c r="J42" s="59">
        <f t="shared" si="5"/>
        <v>0.70590399117160196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43</v>
      </c>
      <c r="E43" s="69">
        <f t="shared" si="6"/>
        <v>6</v>
      </c>
      <c r="F43" s="55">
        <f t="shared" si="4"/>
        <v>27.06</v>
      </c>
      <c r="G43" s="56">
        <f>IF(D43=D42,"",_xlfn.IFNA(VLOOKUP(D43,'인원 입력 기능(사과탐)'!$A$64:$D$116,4,FALSE),0))</f>
        <v>512</v>
      </c>
      <c r="H43" s="57">
        <f t="shared" si="1"/>
        <v>4.7084789405922381E-2</v>
      </c>
      <c r="I43" s="67">
        <f>SUM($G$7:G43)</f>
        <v>8188</v>
      </c>
      <c r="J43" s="59">
        <f t="shared" si="5"/>
        <v>0.75298878057752439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42</v>
      </c>
      <c r="E44" s="69">
        <f t="shared" si="6"/>
        <v>6</v>
      </c>
      <c r="F44" s="55">
        <f t="shared" si="4"/>
        <v>22.62</v>
      </c>
      <c r="G44" s="56">
        <f>IF(D44=D43,"",_xlfn.IFNA(VLOOKUP(D44,'인원 입력 기능(사과탐)'!$A$64:$D$116,4,FALSE),0))</f>
        <v>452</v>
      </c>
      <c r="H44" s="57">
        <f t="shared" si="1"/>
        <v>4.1567040647415857E-2</v>
      </c>
      <c r="I44" s="67">
        <f>SUM($G$7:G44)</f>
        <v>8640</v>
      </c>
      <c r="J44" s="59">
        <f t="shared" si="5"/>
        <v>0.79455582122494017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41</v>
      </c>
      <c r="E45" s="69">
        <f t="shared" si="6"/>
        <v>7</v>
      </c>
      <c r="F45" s="55">
        <f t="shared" si="4"/>
        <v>18.190000000000001</v>
      </c>
      <c r="G45" s="56">
        <f>IF(D45=D44,"",_xlfn.IFNA(VLOOKUP(D45,'인원 입력 기능(사과탐)'!$A$64:$D$116,4,FALSE),0))</f>
        <v>511</v>
      </c>
      <c r="H45" s="57">
        <f t="shared" si="1"/>
        <v>4.699282692661394E-2</v>
      </c>
      <c r="I45" s="67">
        <f>SUM($G$7:G45)</f>
        <v>9151</v>
      </c>
      <c r="J45" s="59">
        <f t="shared" si="5"/>
        <v>0.84154864815155417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40</v>
      </c>
      <c r="E46" s="69">
        <f t="shared" si="6"/>
        <v>7</v>
      </c>
      <c r="F46" s="55">
        <f t="shared" si="4"/>
        <v>14.58</v>
      </c>
      <c r="G46" s="56">
        <f>IF(D46=D45,"",_xlfn.IFNA(VLOOKUP(D46,'인원 입력 기능(사과탐)'!$A$64:$D$116,4,FALSE),0))</f>
        <v>276</v>
      </c>
      <c r="H46" s="57">
        <f t="shared" si="1"/>
        <v>2.5381644289130034E-2</v>
      </c>
      <c r="I46" s="67">
        <f>SUM($G$7:G46)</f>
        <v>9427</v>
      </c>
      <c r="J46" s="59">
        <f t="shared" si="5"/>
        <v>0.8669302924406842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39</v>
      </c>
      <c r="E47" s="69">
        <f t="shared" si="6"/>
        <v>7</v>
      </c>
      <c r="F47" s="55">
        <f t="shared" si="4"/>
        <v>10.220000000000001</v>
      </c>
      <c r="G47" s="56">
        <f>IF(D47=D46,"",_xlfn.IFNA(VLOOKUP(D47,'인원 입력 기능(사과탐)'!$A$64:$D$116,4,FALSE),0))</f>
        <v>672</v>
      </c>
      <c r="H47" s="57">
        <f t="shared" si="1"/>
        <v>6.1798786095273131E-2</v>
      </c>
      <c r="I47" s="67">
        <f>SUM($G$7:G47)</f>
        <v>10099</v>
      </c>
      <c r="J47" s="59">
        <f t="shared" si="5"/>
        <v>0.92872907853595732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38</v>
      </c>
      <c r="E48" s="69">
        <f t="shared" si="6"/>
        <v>8</v>
      </c>
      <c r="F48" s="55">
        <f t="shared" si="4"/>
        <v>6.12</v>
      </c>
      <c r="G48" s="56">
        <f>IF(D48=D47,"",_xlfn.IFNA(VLOOKUP(D48,'인원 입력 기능(사과탐)'!$A$64:$D$116,4,FALSE),0))</f>
        <v>220</v>
      </c>
      <c r="H48" s="57">
        <f t="shared" si="1"/>
        <v>2.0231745447857274E-2</v>
      </c>
      <c r="I48" s="67">
        <f>SUM($G$7:G48)</f>
        <v>10319</v>
      </c>
      <c r="J48" s="59">
        <f t="shared" si="5"/>
        <v>0.94896082398381465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37</v>
      </c>
      <c r="E49" s="69">
        <f t="shared" si="6"/>
        <v>8</v>
      </c>
      <c r="F49" s="55">
        <f t="shared" si="4"/>
        <v>4.41</v>
      </c>
      <c r="G49" s="56">
        <f>IF(D49=D48,"",_xlfn.IFNA(VLOOKUP(D49,'인원 입력 기능(사과탐)'!$A$64:$D$116,4,FALSE),0))</f>
        <v>150</v>
      </c>
      <c r="H49" s="57">
        <f t="shared" si="1"/>
        <v>1.3794371896266323E-2</v>
      </c>
      <c r="I49" s="67">
        <f>SUM($G$7:G49)</f>
        <v>10469</v>
      </c>
      <c r="J49" s="59">
        <f t="shared" si="5"/>
        <v>0.96275519588008096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36</v>
      </c>
      <c r="E50" s="69">
        <f t="shared" si="6"/>
        <v>9</v>
      </c>
      <c r="F50" s="55">
        <f t="shared" si="4"/>
        <v>3.04</v>
      </c>
      <c r="G50" s="56">
        <f>IF(D50=D49,"",_xlfn.IFNA(VLOOKUP(D50,'인원 입력 기능(사과탐)'!$A$64:$D$116,4,FALSE),0))</f>
        <v>148</v>
      </c>
      <c r="H50" s="57">
        <f t="shared" si="1"/>
        <v>1.3610446937649439E-2</v>
      </c>
      <c r="I50" s="67">
        <f>SUM($G$7:G50)</f>
        <v>10617</v>
      </c>
      <c r="J50" s="59">
        <f t="shared" si="5"/>
        <v>0.97636564281773042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34</v>
      </c>
      <c r="E51" s="69">
        <f t="shared" si="6"/>
        <v>9</v>
      </c>
      <c r="F51" s="55">
        <f t="shared" si="4"/>
        <v>1.85</v>
      </c>
      <c r="G51" s="56">
        <f>IF(D51=D50,"",_xlfn.IFNA(VLOOKUP(D51,'인원 입력 기능(사과탐)'!$A$64:$D$116,4,FALSE),0))</f>
        <v>111</v>
      </c>
      <c r="H51" s="57">
        <f t="shared" si="1"/>
        <v>1.020783520323708E-2</v>
      </c>
      <c r="I51" s="67">
        <f>SUM($G$7:G51)</f>
        <v>10728</v>
      </c>
      <c r="J51" s="59">
        <f t="shared" si="5"/>
        <v>0.9865734780209674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33</v>
      </c>
      <c r="E52" s="69">
        <f t="shared" si="6"/>
        <v>9</v>
      </c>
      <c r="F52" s="55">
        <f t="shared" si="4"/>
        <v>1.1000000000000001</v>
      </c>
      <c r="G52" s="56">
        <f>IF(D52=D51,"",_xlfn.IFNA(VLOOKUP(D52,'인원 입력 기능(사과탐)'!$A$64:$D$116,4,FALSE),0))</f>
        <v>53</v>
      </c>
      <c r="H52" s="57">
        <f t="shared" si="1"/>
        <v>4.8740114033474346E-3</v>
      </c>
      <c r="I52" s="67">
        <f>SUM($G$7:G52)</f>
        <v>10781</v>
      </c>
      <c r="J52" s="59">
        <f t="shared" si="5"/>
        <v>0.99144748942431493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32</v>
      </c>
      <c r="E53" s="54">
        <f t="shared" si="6"/>
        <v>9</v>
      </c>
      <c r="F53" s="55">
        <f t="shared" si="4"/>
        <v>0.57999999999999996</v>
      </c>
      <c r="G53" s="56">
        <f>IF(D53=D52,"",_xlfn.IFNA(VLOOKUP(D53,'인원 입력 기능(사과탐)'!$A$64:$D$116,4,FALSE),0))</f>
        <v>59</v>
      </c>
      <c r="H53" s="57">
        <f t="shared" si="1"/>
        <v>5.4257862791980875E-3</v>
      </c>
      <c r="I53" s="67">
        <f>SUM($G$7:G53)</f>
        <v>10840</v>
      </c>
      <c r="J53" s="59">
        <f t="shared" si="5"/>
        <v>0.99687327570351292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31</v>
      </c>
      <c r="E54" s="54">
        <f t="shared" si="6"/>
        <v>9</v>
      </c>
      <c r="F54" s="55">
        <f t="shared" si="4"/>
        <v>0.27</v>
      </c>
      <c r="G54" s="56">
        <f>IF(D54=D53,"",_xlfn.IFNA(VLOOKUP(D54,'인원 입력 기능(사과탐)'!$A$64:$D$116,4,FALSE),0))</f>
        <v>9</v>
      </c>
      <c r="H54" s="57">
        <f t="shared" si="1"/>
        <v>8.2766231377597943E-4</v>
      </c>
      <c r="I54" s="67">
        <f>SUM($G$7:G54)</f>
        <v>10849</v>
      </c>
      <c r="J54" s="59">
        <f t="shared" si="5"/>
        <v>0.99770093801728899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30</v>
      </c>
      <c r="E55" s="54">
        <f t="shared" si="6"/>
        <v>9</v>
      </c>
      <c r="F55" s="55">
        <f t="shared" si="4"/>
        <v>0.15</v>
      </c>
      <c r="G55" s="56">
        <f>IF(D55=D54,"",_xlfn.IFNA(VLOOKUP(D55,'인원 입력 기능(사과탐)'!$A$64:$D$116,4,FALSE),0))</f>
        <v>18</v>
      </c>
      <c r="H55" s="57">
        <f t="shared" si="1"/>
        <v>1.6553246275519589E-3</v>
      </c>
      <c r="I55" s="67">
        <f>SUM($G$7:G55)</f>
        <v>10867</v>
      </c>
      <c r="J55" s="59">
        <f t="shared" si="5"/>
        <v>0.9993562626448409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28</v>
      </c>
      <c r="E57" s="107">
        <f t="shared" si="6"/>
        <v>9</v>
      </c>
      <c r="F57" s="74">
        <f>IF(I55=0,ROUND(100*(1-(I54+I57)/2/$J$3),2),ROUND(100*(1-(I55+I57)/2/$J$3),2))</f>
        <v>0.03</v>
      </c>
      <c r="G57" s="108">
        <f>_xlfn.IFNA(VLOOKUP(D57,'인원 입력 기능(사과탐)'!$A$64:$D$116,4,FALSE),0)</f>
        <v>7</v>
      </c>
      <c r="H57" s="76">
        <f>G57/$J$3</f>
        <v>6.4373735515909508E-4</v>
      </c>
      <c r="I57" s="77">
        <f>SUM($G$7:G57)</f>
        <v>10874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37" priority="4">
      <formula>OR($D7=$Q$7:$Q$14)</formula>
    </cfRule>
  </conditionalFormatting>
  <conditionalFormatting sqref="C7:C57">
    <cfRule type="expression" dxfId="36" priority="3">
      <formula>OR(AND($D7=0,OR($D6=$Q$7:$Q$14)),AND($D8&gt;0,OR($D7=$Q$7:$Q$14)))</formula>
    </cfRule>
  </conditionalFormatting>
  <conditionalFormatting sqref="D7:D57">
    <cfRule type="expression" dxfId="35" priority="2">
      <formula>$D7=$D8</formula>
    </cfRule>
  </conditionalFormatting>
  <conditionalFormatting sqref="H7:H57">
    <cfRule type="expression" dxfId="3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기능'!D13</f>
        <v>20.24</v>
      </c>
      <c r="I3" s="16" t="s">
        <v>70</v>
      </c>
      <c r="J3" s="45">
        <f>'통계 및 응시자 수 입력 기능'!C13</f>
        <v>19683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99</v>
      </c>
      <c r="E4" s="169"/>
      <c r="F4" s="170"/>
      <c r="G4" s="47" t="s">
        <v>73</v>
      </c>
      <c r="H4" s="48" t="str">
        <f>'통계 및 응시자 수 입력 기능'!E13</f>
        <v>10.22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79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99.57</v>
      </c>
      <c r="G7" s="56">
        <f>_xlfn.IFNA(VLOOKUP(D7,'인원 입력 기능(사과탐)'!$F$64:$I$116,4,FALSE),0)</f>
        <v>168</v>
      </c>
      <c r="H7" s="57">
        <f>G7/$J$3</f>
        <v>8.5352842554488641E-3</v>
      </c>
      <c r="I7" s="58">
        <f>G7</f>
        <v>168</v>
      </c>
      <c r="J7" s="59">
        <f>I7/$J$3</f>
        <v>8.5352842554488641E-3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기능'!C85</f>
        <v>71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기능'!C86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77</v>
      </c>
      <c r="E9" s="54">
        <f t="shared" si="0"/>
        <v>1</v>
      </c>
      <c r="F9" s="55">
        <f>IF(I8=0,ROUND(100*(1-(I7+I9)/2/$J$3),2),ROUND(100*(1-(I8+I9)/2/$J$3),2))</f>
        <v>99.03</v>
      </c>
      <c r="G9" s="56">
        <f>_xlfn.IFNA(VLOOKUP(D9,'인원 입력 기능(사과탐)'!$F$64:$I$116,4,FALSE),0)</f>
        <v>44</v>
      </c>
      <c r="H9" s="57">
        <f t="shared" ref="H9:H55" si="1">G9/$J$3</f>
        <v>2.2354315907127977E-3</v>
      </c>
      <c r="I9" s="67">
        <f>SUM($G$7:G9)</f>
        <v>212</v>
      </c>
      <c r="J9" s="59">
        <f>I9/$J$3</f>
        <v>1.0770715846161662E-2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기능'!C87</f>
        <v>57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76</v>
      </c>
      <c r="E10" s="54">
        <f t="shared" si="0"/>
        <v>1</v>
      </c>
      <c r="F10" s="55">
        <f t="shared" ref="F10:F55" si="4">IF(I9=0,ROUND(100*(1-(I8+I10)/2/$J$3),2),ROUND(100*(1-(I9+I10)/2/$J$3),2))</f>
        <v>98.51</v>
      </c>
      <c r="G10" s="56">
        <f>IF(D10=D9,"",_xlfn.IFNA(VLOOKUP(D10,'인원 입력 기능(사과탐)'!$F$64:$I$116,4,FALSE),0))</f>
        <v>162</v>
      </c>
      <c r="H10" s="57">
        <f t="shared" si="1"/>
        <v>8.23045267489712E-3</v>
      </c>
      <c r="I10" s="67">
        <f>SUM($G$7:G10)</f>
        <v>374</v>
      </c>
      <c r="J10" s="59">
        <f t="shared" ref="J10:J55" si="5">I10/$J$3</f>
        <v>1.9001168521058782E-2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기능'!C88</f>
        <v>51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75</v>
      </c>
      <c r="E11" s="54">
        <f t="shared" si="0"/>
        <v>1</v>
      </c>
      <c r="F11" s="55">
        <f t="shared" si="4"/>
        <v>98.06</v>
      </c>
      <c r="G11" s="56">
        <f>IF(D11=D10,"",_xlfn.IFNA(VLOOKUP(D11,'인원 입력 기능(사과탐)'!$F$64:$I$116,4,FALSE),0))</f>
        <v>16</v>
      </c>
      <c r="H11" s="57">
        <f t="shared" si="1"/>
        <v>8.1288421480465371E-4</v>
      </c>
      <c r="I11" s="67">
        <f>SUM($G$7:G11)</f>
        <v>390</v>
      </c>
      <c r="J11" s="59">
        <f t="shared" si="5"/>
        <v>1.9814052735863435E-2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기능'!C89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74</v>
      </c>
      <c r="E12" s="54">
        <f t="shared" si="0"/>
        <v>1</v>
      </c>
      <c r="F12" s="55">
        <f t="shared" si="4"/>
        <v>97.74</v>
      </c>
      <c r="G12" s="56">
        <f>IF(D12=D11,"",_xlfn.IFNA(VLOOKUP(D12,'인원 입력 기능(사과탐)'!$F$64:$I$116,4,FALSE),0))</f>
        <v>108</v>
      </c>
      <c r="H12" s="57">
        <f t="shared" si="1"/>
        <v>5.4869684499314125E-3</v>
      </c>
      <c r="I12" s="67">
        <f>SUM($G$7:G12)</f>
        <v>498</v>
      </c>
      <c r="J12" s="59">
        <f t="shared" si="5"/>
        <v>2.5301021185794848E-2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기능'!C90</f>
        <v>42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73</v>
      </c>
      <c r="E13" s="54">
        <f t="shared" si="0"/>
        <v>1</v>
      </c>
      <c r="F13" s="55">
        <f t="shared" si="4"/>
        <v>97.11</v>
      </c>
      <c r="G13" s="56">
        <f>IF(D13=D12,"",_xlfn.IFNA(VLOOKUP(D13,'인원 입력 기능(사과탐)'!$F$64:$I$116,4,FALSE),0))</f>
        <v>143</v>
      </c>
      <c r="H13" s="57">
        <f t="shared" si="1"/>
        <v>7.2651526698165932E-3</v>
      </c>
      <c r="I13" s="67">
        <f>SUM($G$7:G13)</f>
        <v>641</v>
      </c>
      <c r="J13" s="59">
        <f t="shared" si="5"/>
        <v>3.256617385561144E-2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기능'!C91</f>
        <v>39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72</v>
      </c>
      <c r="E14" s="54">
        <f t="shared" si="0"/>
        <v>1</v>
      </c>
      <c r="F14" s="55">
        <f t="shared" si="4"/>
        <v>96.62</v>
      </c>
      <c r="G14" s="56">
        <f>IF(D14=D13,"",_xlfn.IFNA(VLOOKUP(D14,'인원 입력 기능(사과탐)'!$F$64:$I$116,4,FALSE),0))</f>
        <v>48</v>
      </c>
      <c r="H14" s="57">
        <f t="shared" si="1"/>
        <v>2.4386526444139613E-3</v>
      </c>
      <c r="I14" s="67">
        <f>SUM($G$7:G14)</f>
        <v>689</v>
      </c>
      <c r="J14" s="59">
        <f t="shared" si="5"/>
        <v>3.5004826500025406E-2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기능'!C92</f>
        <v>37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71</v>
      </c>
      <c r="E15" s="54">
        <f t="shared" si="0"/>
        <v>1</v>
      </c>
      <c r="F15" s="55">
        <f t="shared" si="4"/>
        <v>96.1</v>
      </c>
      <c r="G15" s="56">
        <f>IF(D15=D14,"",_xlfn.IFNA(VLOOKUP(D15,'인원 입력 기능(사과탐)'!$F$64:$I$116,4,FALSE),0))</f>
        <v>158</v>
      </c>
      <c r="H15" s="57">
        <f t="shared" si="1"/>
        <v>8.027231621195955E-3</v>
      </c>
      <c r="I15" s="67">
        <f>SUM($G$7:G15)</f>
        <v>847</v>
      </c>
      <c r="J15" s="59">
        <f t="shared" si="5"/>
        <v>4.3032058121221357E-2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70</v>
      </c>
      <c r="E16" s="54">
        <f t="shared" si="0"/>
        <v>2</v>
      </c>
      <c r="F16" s="55">
        <f t="shared" si="4"/>
        <v>95.28</v>
      </c>
      <c r="G16" s="56">
        <f>IF(D16=D15,"",_xlfn.IFNA(VLOOKUP(D16,'인원 입력 기능(사과탐)'!$F$64:$I$116,4,FALSE),0))</f>
        <v>164</v>
      </c>
      <c r="H16" s="57">
        <f t="shared" si="1"/>
        <v>8.3320632017477008E-3</v>
      </c>
      <c r="I16" s="67">
        <f>SUM($G$7:G16)</f>
        <v>1011</v>
      </c>
      <c r="J16" s="59">
        <f t="shared" si="5"/>
        <v>5.136412132296906E-2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69</v>
      </c>
      <c r="E17" s="54">
        <f t="shared" si="0"/>
        <v>2</v>
      </c>
      <c r="F17" s="55">
        <f t="shared" si="4"/>
        <v>94.59</v>
      </c>
      <c r="G17" s="56">
        <f>IF(D17=D16,"",_xlfn.IFNA(VLOOKUP(D17,'인원 입력 기능(사과탐)'!$F$64:$I$116,4,FALSE),0))</f>
        <v>106</v>
      </c>
      <c r="H17" s="57">
        <f t="shared" si="1"/>
        <v>5.3853579230808309E-3</v>
      </c>
      <c r="I17" s="67">
        <f>SUM($G$7:G17)</f>
        <v>1117</v>
      </c>
      <c r="J17" s="59">
        <f t="shared" si="5"/>
        <v>5.6749479246049887E-2</v>
      </c>
      <c r="K17" s="31"/>
      <c r="L17" s="15" t="str">
        <f t="shared" si="2"/>
        <v/>
      </c>
      <c r="N17" s="19"/>
      <c r="Q17" s="19">
        <f>Q7*H3*H4*J3*IFERROR(IF(J57=1, 1, 0), 0)</f>
        <v>289075340.03040004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68</v>
      </c>
      <c r="E18" s="54">
        <f t="shared" si="0"/>
        <v>2</v>
      </c>
      <c r="F18" s="55">
        <f t="shared" si="4"/>
        <v>93.82</v>
      </c>
      <c r="G18" s="56">
        <f>IF(D18=D17,"",_xlfn.IFNA(VLOOKUP(D18,'인원 입력 기능(사과탐)'!$F$64:$I$116,4,FALSE),0))</f>
        <v>197</v>
      </c>
      <c r="H18" s="57">
        <f t="shared" si="1"/>
        <v>1.00086368947823E-2</v>
      </c>
      <c r="I18" s="67">
        <f>SUM($G$7:G18)</f>
        <v>1314</v>
      </c>
      <c r="J18" s="59">
        <f t="shared" si="5"/>
        <v>6.6758116140832185E-2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67</v>
      </c>
      <c r="E19" s="54">
        <f t="shared" si="0"/>
        <v>2</v>
      </c>
      <c r="F19" s="55">
        <f t="shared" si="4"/>
        <v>92.83</v>
      </c>
      <c r="G19" s="56">
        <f>IF(D19=D18,"",_xlfn.IFNA(VLOOKUP(D19,'인원 입력 기능(사과탐)'!$F$64:$I$116,4,FALSE),0))</f>
        <v>196</v>
      </c>
      <c r="H19" s="57">
        <f t="shared" si="1"/>
        <v>9.9578316313570087E-3</v>
      </c>
      <c r="I19" s="67">
        <f>SUM($G$7:G19)</f>
        <v>1510</v>
      </c>
      <c r="J19" s="59">
        <f t="shared" si="5"/>
        <v>7.6715947772189194E-2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66</v>
      </c>
      <c r="E20" s="54">
        <f t="shared" si="0"/>
        <v>2</v>
      </c>
      <c r="F20" s="55">
        <f t="shared" si="4"/>
        <v>91.87</v>
      </c>
      <c r="G20" s="56">
        <f>IF(D20=D19,"",_xlfn.IFNA(VLOOKUP(D20,'인원 입력 기능(사과탐)'!$F$64:$I$116,4,FALSE),0))</f>
        <v>180</v>
      </c>
      <c r="H20" s="57">
        <f t="shared" si="1"/>
        <v>9.1449474165523556E-3</v>
      </c>
      <c r="I20" s="67">
        <f>SUM($G$7:G20)</f>
        <v>1690</v>
      </c>
      <c r="J20" s="59">
        <f t="shared" si="5"/>
        <v>8.5860895188741557E-2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65</v>
      </c>
      <c r="E21" s="69">
        <f t="shared" si="0"/>
        <v>2</v>
      </c>
      <c r="F21" s="55">
        <f t="shared" si="4"/>
        <v>90.77</v>
      </c>
      <c r="G21" s="56">
        <f>IF(D21=D20,"",_xlfn.IFNA(VLOOKUP(D21,'인원 입력 기능(사과탐)'!$F$64:$I$116,4,FALSE),0))</f>
        <v>252</v>
      </c>
      <c r="H21" s="57">
        <f t="shared" si="1"/>
        <v>1.2802926383173296E-2</v>
      </c>
      <c r="I21" s="67">
        <f>SUM($G$7:G21)</f>
        <v>1942</v>
      </c>
      <c r="J21" s="59">
        <f t="shared" si="5"/>
        <v>9.8663821571914848E-2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64</v>
      </c>
      <c r="E22" s="69">
        <f t="shared" si="0"/>
        <v>2</v>
      </c>
      <c r="F22" s="55">
        <f t="shared" si="4"/>
        <v>89.62</v>
      </c>
      <c r="G22" s="56">
        <f>IF(D22=D21,"",_xlfn.IFNA(VLOOKUP(D22,'인원 입력 기능(사과탐)'!$F$64:$I$116,4,FALSE),0))</f>
        <v>203</v>
      </c>
      <c r="H22" s="57">
        <f t="shared" si="1"/>
        <v>1.0313468475334044E-2</v>
      </c>
      <c r="I22" s="67">
        <f>SUM($G$7:G22)</f>
        <v>2145</v>
      </c>
      <c r="J22" s="59">
        <f t="shared" si="5"/>
        <v>0.10897729004724889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63</v>
      </c>
      <c r="E23" s="69">
        <f t="shared" si="0"/>
        <v>2</v>
      </c>
      <c r="F23" s="55">
        <f t="shared" si="4"/>
        <v>88.43</v>
      </c>
      <c r="G23" s="56">
        <f>IF(D23=D22,"",_xlfn.IFNA(VLOOKUP(D23,'인원 입력 기능(사과탐)'!$F$64:$I$116,4,FALSE),0))</f>
        <v>266</v>
      </c>
      <c r="H23" s="57">
        <f t="shared" si="1"/>
        <v>1.3514200071127368E-2</v>
      </c>
      <c r="I23" s="67">
        <f>SUM($G$7:G23)</f>
        <v>2411</v>
      </c>
      <c r="J23" s="59">
        <f t="shared" si="5"/>
        <v>0.12249149011837626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178">
        <f t="shared" si="3"/>
        <v>62</v>
      </c>
      <c r="E24" s="178">
        <f t="shared" si="0"/>
        <v>3</v>
      </c>
      <c r="F24" s="180">
        <f t="shared" si="4"/>
        <v>86.42</v>
      </c>
      <c r="G24" s="182">
        <f>IF(D24=D23,"",_xlfn.IFNA(VLOOKUP(D24,'인원 입력 기능(사과탐)'!$F$64:$I$116,4,FALSE),0))</f>
        <v>525</v>
      </c>
      <c r="H24" s="184">
        <f t="shared" si="1"/>
        <v>2.6672763298277703E-2</v>
      </c>
      <c r="I24" s="188">
        <f>SUM($G$7:G24)</f>
        <v>2936</v>
      </c>
      <c r="J24" s="176">
        <f t="shared" si="5"/>
        <v>0.14916425341665396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179"/>
      <c r="E25" s="179"/>
      <c r="F25" s="181"/>
      <c r="G25" s="183"/>
      <c r="H25" s="185"/>
      <c r="I25" s="189"/>
      <c r="J25" s="177"/>
      <c r="K25" s="31"/>
      <c r="L25" s="15" t="str">
        <f t="shared" si="2"/>
        <v>경고</v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61</v>
      </c>
      <c r="E26" s="69">
        <f t="shared" si="0"/>
        <v>3</v>
      </c>
      <c r="F26" s="55">
        <f t="shared" si="4"/>
        <v>84.23</v>
      </c>
      <c r="G26" s="56">
        <f>IF(D26=D25,"",_xlfn.IFNA(VLOOKUP(D26,'인원 입력 기능(사과탐)'!$F$64:$I$116,4,FALSE),0))</f>
        <v>337</v>
      </c>
      <c r="H26" s="57">
        <f t="shared" si="1"/>
        <v>1.7121373774323021E-2</v>
      </c>
      <c r="I26" s="67">
        <f>SUM($G$7:G26)</f>
        <v>3273</v>
      </c>
      <c r="J26" s="59">
        <f t="shared" si="5"/>
        <v>0.16628562719097698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60</v>
      </c>
      <c r="E27" s="69">
        <f t="shared" si="0"/>
        <v>3</v>
      </c>
      <c r="F27" s="55">
        <f t="shared" si="4"/>
        <v>82.5</v>
      </c>
      <c r="G27" s="56">
        <f>IF(D27=D26,"",_xlfn.IFNA(VLOOKUP(D27,'인원 입력 기능(사과탐)'!$F$64:$I$116,4,FALSE),0))</f>
        <v>342</v>
      </c>
      <c r="H27" s="57">
        <f t="shared" si="1"/>
        <v>1.7375400091449476E-2</v>
      </c>
      <c r="I27" s="67">
        <f>SUM($G$7:G27)</f>
        <v>3615</v>
      </c>
      <c r="J27" s="59">
        <f t="shared" si="5"/>
        <v>0.18366102728242645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59</v>
      </c>
      <c r="E28" s="69">
        <f t="shared" si="0"/>
        <v>3</v>
      </c>
      <c r="F28" s="55">
        <f t="shared" si="4"/>
        <v>80.67</v>
      </c>
      <c r="G28" s="56">
        <f>IF(D28=D27,"",_xlfn.IFNA(VLOOKUP(D28,'인원 입력 기능(사과탐)'!$F$64:$I$116,4,FALSE),0))</f>
        <v>379</v>
      </c>
      <c r="H28" s="57">
        <f t="shared" si="1"/>
        <v>1.9255194838185236E-2</v>
      </c>
      <c r="I28" s="67">
        <f>SUM($G$7:G28)</f>
        <v>3994</v>
      </c>
      <c r="J28" s="59">
        <f t="shared" si="5"/>
        <v>0.20291622212061169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58</v>
      </c>
      <c r="E29" s="69">
        <f t="shared" si="0"/>
        <v>3</v>
      </c>
      <c r="F29" s="55">
        <f t="shared" si="4"/>
        <v>78.62</v>
      </c>
      <c r="G29" s="56">
        <f>IF(D29=D28,"",_xlfn.IFNA(VLOOKUP(D29,'인원 입력 기능(사과탐)'!$F$64:$I$116,4,FALSE),0))</f>
        <v>429</v>
      </c>
      <c r="H29" s="57">
        <f t="shared" si="1"/>
        <v>2.1795458009449778E-2</v>
      </c>
      <c r="I29" s="67">
        <f>SUM($G$7:G29)</f>
        <v>4423</v>
      </c>
      <c r="J29" s="59">
        <f t="shared" si="5"/>
        <v>0.22471168013006149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57</v>
      </c>
      <c r="E30" s="69">
        <f t="shared" si="0"/>
        <v>3</v>
      </c>
      <c r="F30" s="55">
        <f t="shared" si="4"/>
        <v>76.44</v>
      </c>
      <c r="G30" s="56">
        <f>IF(D30=D29,"",_xlfn.IFNA(VLOOKUP(D30,'인원 입력 기능(사과탐)'!$F$64:$I$116,4,FALSE),0))</f>
        <v>430</v>
      </c>
      <c r="H30" s="57">
        <f t="shared" si="1"/>
        <v>2.1846263272875071E-2</v>
      </c>
      <c r="I30" s="67">
        <f>SUM($G$7:G30)</f>
        <v>4853</v>
      </c>
      <c r="J30" s="59">
        <f t="shared" si="5"/>
        <v>0.24655794340293655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56</v>
      </c>
      <c r="E31" s="69">
        <f t="shared" si="0"/>
        <v>4</v>
      </c>
      <c r="F31" s="55">
        <f t="shared" si="4"/>
        <v>74.040000000000006</v>
      </c>
      <c r="G31" s="56">
        <f>IF(D31=D30,"",_xlfn.IFNA(VLOOKUP(D31,'인원 입력 기능(사과탐)'!$F$64:$I$116,4,FALSE),0))</f>
        <v>515</v>
      </c>
      <c r="H31" s="57">
        <f t="shared" si="1"/>
        <v>2.6164710664024794E-2</v>
      </c>
      <c r="I31" s="67">
        <f>SUM($G$7:G31)</f>
        <v>5368</v>
      </c>
      <c r="J31" s="59">
        <f t="shared" si="5"/>
        <v>0.27272265406696133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55</v>
      </c>
      <c r="E32" s="69">
        <f t="shared" si="0"/>
        <v>4</v>
      </c>
      <c r="F32" s="55">
        <f t="shared" si="4"/>
        <v>71.41</v>
      </c>
      <c r="G32" s="56">
        <f>IF(D32=D31,"",_xlfn.IFNA(VLOOKUP(D32,'인원 입력 기능(사과탐)'!$F$64:$I$116,4,FALSE),0))</f>
        <v>519</v>
      </c>
      <c r="H32" s="57">
        <f t="shared" si="1"/>
        <v>2.6367931717725956E-2</v>
      </c>
      <c r="I32" s="67">
        <f>SUM($G$7:G32)</f>
        <v>5887</v>
      </c>
      <c r="J32" s="59">
        <f t="shared" si="5"/>
        <v>0.29909058578468728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54</v>
      </c>
      <c r="E33" s="69">
        <f t="shared" si="0"/>
        <v>4</v>
      </c>
      <c r="F33" s="55">
        <f t="shared" si="4"/>
        <v>68.77</v>
      </c>
      <c r="G33" s="56">
        <f>IF(D33=D32,"",_xlfn.IFNA(VLOOKUP(D33,'인원 입력 기능(사과탐)'!$F$64:$I$116,4,FALSE),0))</f>
        <v>520</v>
      </c>
      <c r="H33" s="57">
        <f t="shared" si="1"/>
        <v>2.6418736981151249E-2</v>
      </c>
      <c r="I33" s="67">
        <f>SUM($G$7:G33)</f>
        <v>6407</v>
      </c>
      <c r="J33" s="59">
        <f t="shared" si="5"/>
        <v>0.32550932276583855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53</v>
      </c>
      <c r="E34" s="69">
        <f t="shared" si="0"/>
        <v>4</v>
      </c>
      <c r="F34" s="55">
        <f t="shared" si="4"/>
        <v>65.930000000000007</v>
      </c>
      <c r="G34" s="56">
        <f>IF(D34=D33,"",_xlfn.IFNA(VLOOKUP(D34,'인원 입력 기능(사과탐)'!$F$64:$I$116,4,FALSE),0))</f>
        <v>597</v>
      </c>
      <c r="H34" s="57">
        <f t="shared" si="1"/>
        <v>3.0330742264898642E-2</v>
      </c>
      <c r="I34" s="67">
        <f>SUM($G$7:G34)</f>
        <v>7004</v>
      </c>
      <c r="J34" s="59">
        <f t="shared" si="5"/>
        <v>0.35584006503073717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52</v>
      </c>
      <c r="E35" s="69">
        <f t="shared" si="0"/>
        <v>4</v>
      </c>
      <c r="F35" s="55">
        <f t="shared" si="4"/>
        <v>62.87</v>
      </c>
      <c r="G35" s="56">
        <f>IF(D35=D34,"",_xlfn.IFNA(VLOOKUP(D35,'인원 입력 기능(사과탐)'!$F$64:$I$116,4,FALSE),0))</f>
        <v>609</v>
      </c>
      <c r="H35" s="57">
        <f t="shared" si="1"/>
        <v>3.0940405426002134E-2</v>
      </c>
      <c r="I35" s="67">
        <f>SUM($G$7:G35)</f>
        <v>7613</v>
      </c>
      <c r="J35" s="59">
        <f t="shared" si="5"/>
        <v>0.3867804704567393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51</v>
      </c>
      <c r="E36" s="69">
        <f t="shared" si="0"/>
        <v>4</v>
      </c>
      <c r="F36" s="55">
        <f t="shared" si="4"/>
        <v>59.67</v>
      </c>
      <c r="G36" s="56">
        <f>IF(D36=D35,"",_xlfn.IFNA(VLOOKUP(D36,'인원 입력 기능(사과탐)'!$F$64:$I$116,4,FALSE),0))</f>
        <v>651</v>
      </c>
      <c r="H36" s="57">
        <f t="shared" si="1"/>
        <v>3.3074226489864349E-2</v>
      </c>
      <c r="I36" s="67">
        <f>SUM($G$7:G36)</f>
        <v>8264</v>
      </c>
      <c r="J36" s="59">
        <f t="shared" si="5"/>
        <v>0.41985469694660366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50</v>
      </c>
      <c r="E37" s="69">
        <f t="shared" si="0"/>
        <v>5</v>
      </c>
      <c r="F37" s="55">
        <f t="shared" si="4"/>
        <v>56.4</v>
      </c>
      <c r="G37" s="56">
        <f>IF(D37=D36,"",_xlfn.IFNA(VLOOKUP(D37,'인원 입력 기능(사과탐)'!$F$64:$I$116,4,FALSE),0))</f>
        <v>636</v>
      </c>
      <c r="H37" s="57">
        <f t="shared" si="1"/>
        <v>3.2312147538484985E-2</v>
      </c>
      <c r="I37" s="67">
        <f>SUM($G$7:G37)</f>
        <v>8900</v>
      </c>
      <c r="J37" s="59">
        <f t="shared" si="5"/>
        <v>0.45216684448508865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49</v>
      </c>
      <c r="E38" s="69">
        <f t="shared" si="0"/>
        <v>5</v>
      </c>
      <c r="F38" s="55">
        <f t="shared" si="4"/>
        <v>52.95</v>
      </c>
      <c r="G38" s="56">
        <f>IF(D38=D37,"",_xlfn.IFNA(VLOOKUP(D38,'인원 입력 기능(사과탐)'!$F$64:$I$116,4,FALSE),0))</f>
        <v>722</v>
      </c>
      <c r="H38" s="57">
        <f t="shared" si="1"/>
        <v>3.6681400193060001E-2</v>
      </c>
      <c r="I38" s="67">
        <f>SUM($G$7:G38)</f>
        <v>9622</v>
      </c>
      <c r="J38" s="59">
        <f t="shared" si="5"/>
        <v>0.48884824467814864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48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49.35</v>
      </c>
      <c r="G39" s="56">
        <f>IF(D39=D38,"",_xlfn.IFNA(VLOOKUP(D39,'인원 입력 기능(사과탐)'!$F$64:$I$116,4,FALSE),0))</f>
        <v>696</v>
      </c>
      <c r="H39" s="57">
        <f t="shared" si="1"/>
        <v>3.5360463344002439E-2</v>
      </c>
      <c r="I39" s="67">
        <f>SUM($G$7:G39)</f>
        <v>10318</v>
      </c>
      <c r="J39" s="59">
        <f t="shared" si="5"/>
        <v>0.52420870802215114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47</v>
      </c>
      <c r="E40" s="69">
        <f t="shared" si="6"/>
        <v>5</v>
      </c>
      <c r="F40" s="55">
        <f t="shared" si="4"/>
        <v>45.6</v>
      </c>
      <c r="G40" s="56">
        <f>IF(D40=D39,"",_xlfn.IFNA(VLOOKUP(D40,'인원 입력 기능(사과탐)'!$F$64:$I$116,4,FALSE),0))</f>
        <v>780</v>
      </c>
      <c r="H40" s="57">
        <f t="shared" si="1"/>
        <v>3.962810547172687E-2</v>
      </c>
      <c r="I40" s="67">
        <f>SUM($G$7:G40)</f>
        <v>11098</v>
      </c>
      <c r="J40" s="59">
        <f t="shared" si="5"/>
        <v>0.56383681349387793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46</v>
      </c>
      <c r="E41" s="69">
        <f t="shared" si="6"/>
        <v>5</v>
      </c>
      <c r="F41" s="55">
        <f t="shared" si="4"/>
        <v>41.51</v>
      </c>
      <c r="G41" s="56">
        <f>IF(D41=D40,"",_xlfn.IFNA(VLOOKUP(D41,'인원 입력 기능(사과탐)'!$F$64:$I$116,4,FALSE),0))</f>
        <v>830</v>
      </c>
      <c r="H41" s="57">
        <f t="shared" si="1"/>
        <v>4.2168368642991415E-2</v>
      </c>
      <c r="I41" s="67">
        <f>SUM($G$7:G41)</f>
        <v>11928</v>
      </c>
      <c r="J41" s="59">
        <f t="shared" si="5"/>
        <v>0.60600518213686938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45</v>
      </c>
      <c r="E42" s="69">
        <f t="shared" si="6"/>
        <v>6</v>
      </c>
      <c r="F42" s="55">
        <f t="shared" si="4"/>
        <v>37.51</v>
      </c>
      <c r="G42" s="56">
        <f>IF(D42=D41,"",_xlfn.IFNA(VLOOKUP(D42,'인원 입력 기능(사과탐)'!$F$64:$I$116,4,FALSE),0))</f>
        <v>744</v>
      </c>
      <c r="H42" s="57">
        <f t="shared" si="1"/>
        <v>3.7799115988416399E-2</v>
      </c>
      <c r="I42" s="67">
        <f>SUM($G$7:G42)</f>
        <v>12672</v>
      </c>
      <c r="J42" s="59">
        <f t="shared" si="5"/>
        <v>0.64380429812528583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44</v>
      </c>
      <c r="E43" s="69">
        <f t="shared" si="6"/>
        <v>6</v>
      </c>
      <c r="F43" s="55">
        <f t="shared" si="4"/>
        <v>33.28</v>
      </c>
      <c r="G43" s="56">
        <f>IF(D43=D42,"",_xlfn.IFNA(VLOOKUP(D43,'인원 입력 기능(사과탐)'!$F$64:$I$116,4,FALSE),0))</f>
        <v>921</v>
      </c>
      <c r="H43" s="57">
        <f t="shared" si="1"/>
        <v>4.6791647614692886E-2</v>
      </c>
      <c r="I43" s="67">
        <f>SUM($G$7:G43)</f>
        <v>13593</v>
      </c>
      <c r="J43" s="59">
        <f t="shared" si="5"/>
        <v>0.69059594573997862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43</v>
      </c>
      <c r="E44" s="69">
        <f t="shared" si="6"/>
        <v>6</v>
      </c>
      <c r="F44" s="55">
        <f t="shared" si="4"/>
        <v>29.03</v>
      </c>
      <c r="G44" s="56">
        <f>IF(D44=D43,"",_xlfn.IFNA(VLOOKUP(D44,'인원 입력 기능(사과탐)'!$F$64:$I$116,4,FALSE),0))</f>
        <v>754</v>
      </c>
      <c r="H44" s="57">
        <f t="shared" si="1"/>
        <v>3.8307168622669308E-2</v>
      </c>
      <c r="I44" s="67">
        <f>SUM($G$7:G44)</f>
        <v>14347</v>
      </c>
      <c r="J44" s="59">
        <f t="shared" si="5"/>
        <v>0.72890311436264799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42</v>
      </c>
      <c r="E45" s="69">
        <f t="shared" si="6"/>
        <v>6</v>
      </c>
      <c r="F45" s="55">
        <f t="shared" si="4"/>
        <v>23.23</v>
      </c>
      <c r="G45" s="56">
        <f>IF(D45=D44,"",_xlfn.IFNA(VLOOKUP(D45,'인원 입력 기능(사과탐)'!$F$64:$I$116,4,FALSE),0))</f>
        <v>1528</v>
      </c>
      <c r="H45" s="57">
        <f t="shared" si="1"/>
        <v>7.7630442513844433E-2</v>
      </c>
      <c r="I45" s="67">
        <f>SUM($G$7:G45)</f>
        <v>15875</v>
      </c>
      <c r="J45" s="59">
        <f t="shared" si="5"/>
        <v>0.80653355687649242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41</v>
      </c>
      <c r="E46" s="69">
        <f t="shared" si="6"/>
        <v>7</v>
      </c>
      <c r="F46" s="55">
        <f t="shared" si="4"/>
        <v>17.52</v>
      </c>
      <c r="G46" s="56">
        <f>IF(D46=D45,"",_xlfn.IFNA(VLOOKUP(D46,'인원 입력 기능(사과탐)'!$F$64:$I$116,4,FALSE),0))</f>
        <v>718</v>
      </c>
      <c r="H46" s="57">
        <f t="shared" si="1"/>
        <v>3.6478179139358836E-2</v>
      </c>
      <c r="I46" s="67">
        <f>SUM($G$7:G46)</f>
        <v>16593</v>
      </c>
      <c r="J46" s="59">
        <f t="shared" si="5"/>
        <v>0.84301173601585122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40</v>
      </c>
      <c r="E47" s="69">
        <f t="shared" si="6"/>
        <v>7</v>
      </c>
      <c r="F47" s="55">
        <f t="shared" si="4"/>
        <v>13.99</v>
      </c>
      <c r="G47" s="56">
        <f>IF(D47=D46,"",_xlfn.IFNA(VLOOKUP(D47,'인원 입력 기능(사과탐)'!$F$64:$I$116,4,FALSE),0))</f>
        <v>672</v>
      </c>
      <c r="H47" s="57">
        <f t="shared" si="1"/>
        <v>3.4141137021795456E-2</v>
      </c>
      <c r="I47" s="67">
        <f>SUM($G$7:G47)</f>
        <v>17265</v>
      </c>
      <c r="J47" s="59">
        <f t="shared" si="5"/>
        <v>0.87715287303764666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39</v>
      </c>
      <c r="E48" s="69">
        <f t="shared" si="6"/>
        <v>7</v>
      </c>
      <c r="F48" s="55">
        <f t="shared" si="4"/>
        <v>10.050000000000001</v>
      </c>
      <c r="G48" s="56">
        <f>IF(D48=D47,"",_xlfn.IFNA(VLOOKUP(D48,'인원 입력 기능(사과탐)'!$F$64:$I$116,4,FALSE),0))</f>
        <v>880</v>
      </c>
      <c r="H48" s="57">
        <f t="shared" si="1"/>
        <v>4.470863181425596E-2</v>
      </c>
      <c r="I48" s="67">
        <f>SUM($G$7:G48)</f>
        <v>18145</v>
      </c>
      <c r="J48" s="59">
        <f t="shared" si="5"/>
        <v>0.92186150485190266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38</v>
      </c>
      <c r="E49" s="69">
        <f t="shared" si="6"/>
        <v>8</v>
      </c>
      <c r="F49" s="55">
        <f t="shared" si="4"/>
        <v>6.81</v>
      </c>
      <c r="G49" s="56">
        <f>IF(D49=D48,"",_xlfn.IFNA(VLOOKUP(D49,'인원 입력 기능(사과탐)'!$F$64:$I$116,4,FALSE),0))</f>
        <v>396</v>
      </c>
      <c r="H49" s="57">
        <f t="shared" si="1"/>
        <v>2.0118884316415182E-2</v>
      </c>
      <c r="I49" s="67">
        <f>SUM($G$7:G49)</f>
        <v>18541</v>
      </c>
      <c r="J49" s="59">
        <f t="shared" si="5"/>
        <v>0.94198038916831783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37</v>
      </c>
      <c r="E50" s="69">
        <f t="shared" si="6"/>
        <v>8</v>
      </c>
      <c r="F50" s="55">
        <f t="shared" si="4"/>
        <v>4.55</v>
      </c>
      <c r="G50" s="56">
        <f>IF(D50=D49,"",_xlfn.IFNA(VLOOKUP(D50,'인원 입력 기능(사과탐)'!$F$64:$I$116,4,FALSE),0))</f>
        <v>492</v>
      </c>
      <c r="H50" s="57">
        <f t="shared" si="1"/>
        <v>2.4996189605243104E-2</v>
      </c>
      <c r="I50" s="67">
        <f>SUM($G$7:G50)</f>
        <v>19033</v>
      </c>
      <c r="J50" s="59">
        <f t="shared" si="5"/>
        <v>0.96697657877356091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36</v>
      </c>
      <c r="E51" s="69">
        <f t="shared" si="6"/>
        <v>9</v>
      </c>
      <c r="F51" s="55">
        <f t="shared" si="4"/>
        <v>2.78</v>
      </c>
      <c r="G51" s="56">
        <f>IF(D51=D50,"",_xlfn.IFNA(VLOOKUP(D51,'인원 입력 기능(사과탐)'!$F$64:$I$116,4,FALSE),0))</f>
        <v>204</v>
      </c>
      <c r="H51" s="57">
        <f t="shared" si="1"/>
        <v>1.0364273738759335E-2</v>
      </c>
      <c r="I51" s="67">
        <f>SUM($G$7:G51)</f>
        <v>19237</v>
      </c>
      <c r="J51" s="59">
        <f t="shared" si="5"/>
        <v>0.97734085251232028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35</v>
      </c>
      <c r="E52" s="69">
        <f t="shared" si="6"/>
        <v>9</v>
      </c>
      <c r="F52" s="55">
        <f t="shared" si="4"/>
        <v>1.79</v>
      </c>
      <c r="G52" s="56">
        <f>IF(D52=D51,"",_xlfn.IFNA(VLOOKUP(D52,'인원 입력 기능(사과탐)'!$F$64:$I$116,4,FALSE),0))</f>
        <v>189</v>
      </c>
      <c r="H52" s="57">
        <f t="shared" si="1"/>
        <v>9.6021947873799734E-3</v>
      </c>
      <c r="I52" s="67">
        <f>SUM($G$7:G52)</f>
        <v>19426</v>
      </c>
      <c r="J52" s="59">
        <f t="shared" si="5"/>
        <v>0.98694304729970028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34</v>
      </c>
      <c r="E53" s="54">
        <f t="shared" si="6"/>
        <v>9</v>
      </c>
      <c r="F53" s="55">
        <f t="shared" si="4"/>
        <v>1.06</v>
      </c>
      <c r="G53" s="56">
        <f>IF(D53=D52,"",_xlfn.IFNA(VLOOKUP(D53,'인원 입력 기능(사과탐)'!$F$64:$I$116,4,FALSE),0))</f>
        <v>97</v>
      </c>
      <c r="H53" s="57">
        <f t="shared" si="1"/>
        <v>4.9281105522532131E-3</v>
      </c>
      <c r="I53" s="67">
        <f>SUM($G$7:G53)</f>
        <v>19523</v>
      </c>
      <c r="J53" s="59">
        <f t="shared" si="5"/>
        <v>0.99187115785195346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33</v>
      </c>
      <c r="E54" s="54">
        <f t="shared" si="6"/>
        <v>9</v>
      </c>
      <c r="F54" s="55">
        <f t="shared" si="4"/>
        <v>0.66</v>
      </c>
      <c r="G54" s="56">
        <f>IF(D54=D53,"",_xlfn.IFNA(VLOOKUP(D54,'인원 입력 기능(사과탐)'!$F$64:$I$116,4,FALSE),0))</f>
        <v>59</v>
      </c>
      <c r="H54" s="57">
        <f t="shared" si="1"/>
        <v>2.9975105420921608E-3</v>
      </c>
      <c r="I54" s="67">
        <f>SUM($G$7:G54)</f>
        <v>19582</v>
      </c>
      <c r="J54" s="59">
        <f t="shared" si="5"/>
        <v>0.99486866839404564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32</v>
      </c>
      <c r="E55" s="54">
        <f t="shared" si="6"/>
        <v>9</v>
      </c>
      <c r="F55" s="55">
        <f t="shared" si="4"/>
        <v>0.31</v>
      </c>
      <c r="G55" s="56">
        <f>IF(D55=D54,"",_xlfn.IFNA(VLOOKUP(D55,'인원 입력 기능(사과탐)'!$F$64:$I$116,4,FALSE),0))</f>
        <v>78</v>
      </c>
      <c r="H55" s="57">
        <f t="shared" si="1"/>
        <v>3.9628105471726871E-3</v>
      </c>
      <c r="I55" s="67">
        <f>SUM($G$7:G55)</f>
        <v>19660</v>
      </c>
      <c r="J55" s="59">
        <f t="shared" si="5"/>
        <v>0.99883147894121826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30</v>
      </c>
      <c r="E57" s="107">
        <f t="shared" si="6"/>
        <v>9</v>
      </c>
      <c r="F57" s="74">
        <f>IF(I55=0,ROUND(100*(1-(I54+I57)/2/$J$3),2),ROUND(100*(1-(I55+I57)/2/$J$3),2))</f>
        <v>0.06</v>
      </c>
      <c r="G57" s="108">
        <f>_xlfn.IFNA(VLOOKUP(D57,'인원 입력 기능(사과탐)'!$F$64:$I$116,4,FALSE),0)</f>
        <v>23</v>
      </c>
      <c r="H57" s="76">
        <f>G57/$J$3</f>
        <v>1.1685210587816899E-3</v>
      </c>
      <c r="I57" s="77">
        <f>SUM($G$7:G57)</f>
        <v>19683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0">
    <mergeCell ref="D3:F3"/>
    <mergeCell ref="D4:F4"/>
    <mergeCell ref="I4:J5"/>
    <mergeCell ref="D24:D25"/>
    <mergeCell ref="E24:E25"/>
    <mergeCell ref="F24:F25"/>
    <mergeCell ref="G24:G25"/>
    <mergeCell ref="H24:H25"/>
    <mergeCell ref="I24:I25"/>
    <mergeCell ref="J24:J25"/>
  </mergeCells>
  <phoneticPr fontId="1" type="noConversion"/>
  <conditionalFormatting sqref="D7:G24 I7:J24 D26:G57 I26:J57">
    <cfRule type="expression" dxfId="33" priority="4">
      <formula>OR($D7=$Q$7:$Q$14)</formula>
    </cfRule>
  </conditionalFormatting>
  <conditionalFormatting sqref="C7:C57">
    <cfRule type="expression" dxfId="32" priority="3">
      <formula>OR(AND($D7=0,OR($D6=$Q$7:$Q$14)),AND($D8&gt;0,OR($D7=$Q$7:$Q$14)))</formula>
    </cfRule>
  </conditionalFormatting>
  <conditionalFormatting sqref="D7:D24 D26:D57">
    <cfRule type="expression" dxfId="31" priority="2">
      <formula>$D7=$D8</formula>
    </cfRule>
  </conditionalFormatting>
  <conditionalFormatting sqref="H7:H24 H26:H57">
    <cfRule type="expression" dxfId="3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기능'!D14</f>
        <v>24.84</v>
      </c>
      <c r="I3" s="16" t="s">
        <v>70</v>
      </c>
      <c r="J3" s="45">
        <f>'통계 및 응시자 수 입력 기능'!C14</f>
        <v>14528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98</v>
      </c>
      <c r="E4" s="169"/>
      <c r="F4" s="170"/>
      <c r="G4" s="47" t="s">
        <v>73</v>
      </c>
      <c r="H4" s="48" t="str">
        <f>'통계 및 응시자 수 입력 기능'!E14</f>
        <v>12.05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71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99.33</v>
      </c>
      <c r="G7" s="56">
        <f>_xlfn.IFNA(VLOOKUP(D7,'인원 입력 기능(사과탐)'!$K$64:$N$116,4,FALSE),0)</f>
        <v>196</v>
      </c>
      <c r="H7" s="57">
        <f>G7/$J$3</f>
        <v>1.3491189427312776E-2</v>
      </c>
      <c r="I7" s="58">
        <f>G7</f>
        <v>196</v>
      </c>
      <c r="J7" s="59">
        <f>I7/$J$3</f>
        <v>1.3491189427312776E-2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기능'!C94</f>
        <v>67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기능'!C95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69</v>
      </c>
      <c r="E9" s="54">
        <f t="shared" si="0"/>
        <v>1</v>
      </c>
      <c r="F9" s="55">
        <f>IF(I8=0,ROUND(100*(1-(I7+I9)/2/$J$3),2),ROUND(100*(1-(I8+I9)/2/$J$3),2))</f>
        <v>98.3</v>
      </c>
      <c r="G9" s="56">
        <f>_xlfn.IFNA(VLOOKUP(D9,'인원 입력 기능(사과탐)'!$K$64:$N$116,4,FALSE),0)</f>
        <v>103</v>
      </c>
      <c r="H9" s="57">
        <f t="shared" ref="H9:H55" si="1">G9/$J$3</f>
        <v>7.0897577092511009E-3</v>
      </c>
      <c r="I9" s="67">
        <f>SUM($G$7:G9)</f>
        <v>299</v>
      </c>
      <c r="J9" s="59">
        <f>I9/$J$3</f>
        <v>2.0580947136563877E-2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기능'!C96</f>
        <v>58</v>
      </c>
    </row>
    <row r="10" spans="1:17" s="17" customFormat="1" ht="25" customHeight="1" x14ac:dyDescent="0.45">
      <c r="A10" s="15"/>
      <c r="B10" s="30"/>
      <c r="C10" s="60">
        <v>47</v>
      </c>
      <c r="D10" s="186">
        <f t="shared" ref="D10:D55" si="3">ROUND(10*(C10-$H$3)/$H$4+50,0)</f>
        <v>68</v>
      </c>
      <c r="E10" s="186">
        <f t="shared" si="0"/>
        <v>1</v>
      </c>
      <c r="F10" s="180">
        <f t="shared" ref="F10:F55" si="4">IF(I9=0,ROUND(100*(1-(I8+I10)/2/$J$3),2),ROUND(100*(1-(I9+I10)/2/$J$3),2))</f>
        <v>97</v>
      </c>
      <c r="G10" s="182">
        <f>IF(D10=D9,"",_xlfn.IFNA(VLOOKUP(D10,'인원 입력 기능(사과탐)'!$K$64:$N$116,4,FALSE),0))</f>
        <v>274</v>
      </c>
      <c r="H10" s="184">
        <f t="shared" si="1"/>
        <v>1.8860132158590309E-2</v>
      </c>
      <c r="I10" s="188">
        <f>SUM($G$7:G10)</f>
        <v>573</v>
      </c>
      <c r="J10" s="176">
        <f t="shared" ref="J10:J55" si="5">I10/$J$3</f>
        <v>3.9441079295154183E-2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기능'!C97</f>
        <v>53</v>
      </c>
    </row>
    <row r="11" spans="1:17" s="17" customFormat="1" ht="25" customHeight="1" x14ac:dyDescent="0.45">
      <c r="A11" s="15"/>
      <c r="B11" s="30"/>
      <c r="C11" s="53">
        <v>46</v>
      </c>
      <c r="D11" s="187"/>
      <c r="E11" s="187"/>
      <c r="F11" s="181"/>
      <c r="G11" s="183"/>
      <c r="H11" s="185"/>
      <c r="I11" s="189"/>
      <c r="J11" s="177"/>
      <c r="K11" s="31"/>
      <c r="L11" s="15" t="str">
        <f t="shared" si="2"/>
        <v>경고</v>
      </c>
      <c r="N11" s="19"/>
      <c r="P11" s="19">
        <v>5</v>
      </c>
      <c r="Q11" s="19">
        <f>'표점등급&amp;절평인원 입력 기능'!C98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67</v>
      </c>
      <c r="E12" s="54">
        <f t="shared" si="0"/>
        <v>1</v>
      </c>
      <c r="F12" s="55">
        <f t="shared" si="4"/>
        <v>95.11</v>
      </c>
      <c r="G12" s="56">
        <f>IF(D12=D11,"",_xlfn.IFNA(VLOOKUP(D12,'인원 입력 기능(사과탐)'!$K$64:$N$116,4,FALSE),0))</f>
        <v>276</v>
      </c>
      <c r="H12" s="57">
        <f t="shared" si="1"/>
        <v>1.8997797356828192E-2</v>
      </c>
      <c r="I12" s="67">
        <f>SUM($G$7:G12)</f>
        <v>849</v>
      </c>
      <c r="J12" s="59">
        <f t="shared" si="5"/>
        <v>5.8438876651982379E-2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기능'!C99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66</v>
      </c>
      <c r="E13" s="54">
        <f t="shared" si="0"/>
        <v>2</v>
      </c>
      <c r="F13" s="55">
        <f t="shared" si="4"/>
        <v>93.46</v>
      </c>
      <c r="G13" s="56">
        <f>IF(D13=D12,"",_xlfn.IFNA(VLOOKUP(D13,'인원 입력 기능(사과탐)'!$K$64:$N$116,4,FALSE),0))</f>
        <v>202</v>
      </c>
      <c r="H13" s="57">
        <f t="shared" si="1"/>
        <v>1.3904185022026432E-2</v>
      </c>
      <c r="I13" s="67">
        <f>SUM($G$7:G13)</f>
        <v>1051</v>
      </c>
      <c r="J13" s="59">
        <f t="shared" si="5"/>
        <v>7.2343061674008807E-2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기능'!C100</f>
        <v>38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65</v>
      </c>
      <c r="E14" s="54">
        <f t="shared" si="0"/>
        <v>2</v>
      </c>
      <c r="F14" s="55">
        <f t="shared" si="4"/>
        <v>92.03</v>
      </c>
      <c r="G14" s="56">
        <f>IF(D14=D13,"",_xlfn.IFNA(VLOOKUP(D14,'인원 입력 기능(사과탐)'!$K$64:$N$116,4,FALSE),0))</f>
        <v>213</v>
      </c>
      <c r="H14" s="57">
        <f t="shared" si="1"/>
        <v>1.4661343612334801E-2</v>
      </c>
      <c r="I14" s="67">
        <f>SUM($G$7:G14)</f>
        <v>1264</v>
      </c>
      <c r="J14" s="59">
        <f t="shared" si="5"/>
        <v>8.7004405286343608E-2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기능'!C101</f>
        <v>35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64</v>
      </c>
      <c r="E15" s="54">
        <f t="shared" si="0"/>
        <v>2</v>
      </c>
      <c r="F15" s="55">
        <f t="shared" si="4"/>
        <v>90.24</v>
      </c>
      <c r="G15" s="56">
        <f>IF(D15=D14,"",_xlfn.IFNA(VLOOKUP(D15,'인원 입력 기능(사과탐)'!$K$64:$N$116,4,FALSE),0))</f>
        <v>309</v>
      </c>
      <c r="H15" s="57">
        <f t="shared" si="1"/>
        <v>2.1269273127753303E-2</v>
      </c>
      <c r="I15" s="67">
        <f>SUM($G$7:G15)</f>
        <v>1573</v>
      </c>
      <c r="J15" s="59">
        <f t="shared" si="5"/>
        <v>0.10827367841409692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186">
        <f t="shared" si="3"/>
        <v>63</v>
      </c>
      <c r="E16" s="186">
        <f t="shared" si="0"/>
        <v>2</v>
      </c>
      <c r="F16" s="180">
        <f t="shared" si="4"/>
        <v>87.42</v>
      </c>
      <c r="G16" s="182">
        <f>IF(D16=D15,"",_xlfn.IFNA(VLOOKUP(D16,'인원 입력 기능(사과탐)'!$K$64:$N$116,4,FALSE),0))</f>
        <v>509</v>
      </c>
      <c r="H16" s="184">
        <f t="shared" si="1"/>
        <v>3.5035792951541848E-2</v>
      </c>
      <c r="I16" s="188">
        <f>SUM($G$7:G16)</f>
        <v>2082</v>
      </c>
      <c r="J16" s="176">
        <f t="shared" si="5"/>
        <v>0.14330947136563876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187"/>
      <c r="E17" s="187"/>
      <c r="F17" s="181"/>
      <c r="G17" s="183"/>
      <c r="H17" s="185"/>
      <c r="I17" s="189"/>
      <c r="J17" s="177"/>
      <c r="K17" s="31"/>
      <c r="L17" s="15" t="str">
        <f t="shared" si="2"/>
        <v>경고</v>
      </c>
      <c r="N17" s="19"/>
      <c r="Q17" s="19">
        <f>Q7*H3*H4*J3*IFERROR(IF(J57=1, 1, 0), 0)</f>
        <v>291352851.07200003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62</v>
      </c>
      <c r="E18" s="54">
        <f t="shared" si="0"/>
        <v>3</v>
      </c>
      <c r="F18" s="55">
        <f t="shared" si="4"/>
        <v>84.56</v>
      </c>
      <c r="G18" s="56">
        <f>IF(D18=D17,"",_xlfn.IFNA(VLOOKUP(D18,'인원 입력 기능(사과탐)'!$K$64:$N$116,4,FALSE),0))</f>
        <v>323</v>
      </c>
      <c r="H18" s="57">
        <f t="shared" si="1"/>
        <v>2.2232929515418502E-2</v>
      </c>
      <c r="I18" s="67">
        <f>SUM($G$7:G18)</f>
        <v>2405</v>
      </c>
      <c r="J18" s="59">
        <f t="shared" si="5"/>
        <v>0.16554240088105726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61</v>
      </c>
      <c r="E19" s="54">
        <f t="shared" si="0"/>
        <v>3</v>
      </c>
      <c r="F19" s="55">
        <f t="shared" si="4"/>
        <v>82.54</v>
      </c>
      <c r="G19" s="56">
        <f>IF(D19=D18,"",_xlfn.IFNA(VLOOKUP(D19,'인원 입력 기능(사과탐)'!$K$64:$N$116,4,FALSE),0))</f>
        <v>264</v>
      </c>
      <c r="H19" s="57">
        <f t="shared" si="1"/>
        <v>1.817180616740088E-2</v>
      </c>
      <c r="I19" s="67">
        <f>SUM($G$7:G19)</f>
        <v>2669</v>
      </c>
      <c r="J19" s="59">
        <f t="shared" si="5"/>
        <v>0.18371420704845814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60</v>
      </c>
      <c r="E20" s="54">
        <f t="shared" si="0"/>
        <v>3</v>
      </c>
      <c r="F20" s="55">
        <f t="shared" si="4"/>
        <v>80.39</v>
      </c>
      <c r="G20" s="56">
        <f>IF(D20=D19,"",_xlfn.IFNA(VLOOKUP(D20,'인원 입력 기능(사과탐)'!$K$64:$N$116,4,FALSE),0))</f>
        <v>359</v>
      </c>
      <c r="H20" s="57">
        <f t="shared" si="1"/>
        <v>2.4710903083700442E-2</v>
      </c>
      <c r="I20" s="67">
        <f>SUM($G$7:G20)</f>
        <v>3028</v>
      </c>
      <c r="J20" s="59">
        <f t="shared" si="5"/>
        <v>0.20842511013215859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59</v>
      </c>
      <c r="E21" s="69">
        <f t="shared" si="0"/>
        <v>3</v>
      </c>
      <c r="F21" s="55">
        <f t="shared" si="4"/>
        <v>78.16</v>
      </c>
      <c r="G21" s="56">
        <f>IF(D21=D20,"",_xlfn.IFNA(VLOOKUP(D21,'인원 입력 기능(사과탐)'!$K$64:$N$116,4,FALSE),0))</f>
        <v>290</v>
      </c>
      <c r="H21" s="57">
        <f t="shared" si="1"/>
        <v>1.9961453744493391E-2</v>
      </c>
      <c r="I21" s="67">
        <f>SUM($G$7:G21)</f>
        <v>3318</v>
      </c>
      <c r="J21" s="59">
        <f t="shared" si="5"/>
        <v>0.22838656387665199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78">
        <f t="shared" si="3"/>
        <v>58</v>
      </c>
      <c r="E22" s="178">
        <f t="shared" si="0"/>
        <v>3</v>
      </c>
      <c r="F22" s="180">
        <f t="shared" si="4"/>
        <v>74.77</v>
      </c>
      <c r="G22" s="182">
        <f>IF(D22=D21,"",_xlfn.IFNA(VLOOKUP(D22,'인원 입력 기능(사과탐)'!$K$64:$N$116,4,FALSE),0))</f>
        <v>696</v>
      </c>
      <c r="H22" s="184">
        <f t="shared" si="1"/>
        <v>4.7907488986784139E-2</v>
      </c>
      <c r="I22" s="188">
        <f>SUM($G$7:G22)</f>
        <v>4014</v>
      </c>
      <c r="J22" s="176">
        <f t="shared" si="5"/>
        <v>0.27629405286343611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179"/>
      <c r="E23" s="179"/>
      <c r="F23" s="181"/>
      <c r="G23" s="183"/>
      <c r="H23" s="185"/>
      <c r="I23" s="189"/>
      <c r="J23" s="177"/>
      <c r="K23" s="31"/>
      <c r="L23" s="15" t="str">
        <f t="shared" si="2"/>
        <v>경고</v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57</v>
      </c>
      <c r="E24" s="69">
        <f t="shared" si="0"/>
        <v>4</v>
      </c>
      <c r="F24" s="55">
        <f t="shared" si="4"/>
        <v>71.37</v>
      </c>
      <c r="G24" s="56">
        <f>IF(D24=D23,"",_xlfn.IFNA(VLOOKUP(D24,'인원 입력 기능(사과탐)'!$K$64:$N$116,4,FALSE),0))</f>
        <v>292</v>
      </c>
      <c r="H24" s="57">
        <f t="shared" si="1"/>
        <v>2.0099118942731278E-2</v>
      </c>
      <c r="I24" s="67">
        <f>SUM($G$7:G24)</f>
        <v>4306</v>
      </c>
      <c r="J24" s="59">
        <f t="shared" si="5"/>
        <v>0.29639317180616742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56</v>
      </c>
      <c r="E25" s="69">
        <f t="shared" si="0"/>
        <v>4</v>
      </c>
      <c r="F25" s="55">
        <f t="shared" si="4"/>
        <v>69.099999999999994</v>
      </c>
      <c r="G25" s="56">
        <f>IF(D25=D24,"",_xlfn.IFNA(VLOOKUP(D25,'인원 입력 기능(사과탐)'!$K$64:$N$116,4,FALSE),0))</f>
        <v>367</v>
      </c>
      <c r="H25" s="57">
        <f t="shared" si="1"/>
        <v>2.5261563876651981E-2</v>
      </c>
      <c r="I25" s="67">
        <f>SUM($G$7:G25)</f>
        <v>4673</v>
      </c>
      <c r="J25" s="59">
        <f t="shared" si="5"/>
        <v>0.32165473568281938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55</v>
      </c>
      <c r="E26" s="69">
        <f t="shared" si="0"/>
        <v>4</v>
      </c>
      <c r="F26" s="55">
        <f t="shared" si="4"/>
        <v>66.63</v>
      </c>
      <c r="G26" s="56">
        <f>IF(D26=D25,"",_xlfn.IFNA(VLOOKUP(D26,'인원 입력 기능(사과탐)'!$K$64:$N$116,4,FALSE),0))</f>
        <v>351</v>
      </c>
      <c r="H26" s="57">
        <f t="shared" si="1"/>
        <v>2.4160242290748899E-2</v>
      </c>
      <c r="I26" s="67">
        <f>SUM($G$7:G26)</f>
        <v>5024</v>
      </c>
      <c r="J26" s="59">
        <f t="shared" si="5"/>
        <v>0.3458149779735683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54</v>
      </c>
      <c r="E27" s="69">
        <f t="shared" si="0"/>
        <v>4</v>
      </c>
      <c r="F27" s="55">
        <f t="shared" si="4"/>
        <v>64.28</v>
      </c>
      <c r="G27" s="56">
        <f>IF(D27=D26,"",_xlfn.IFNA(VLOOKUP(D27,'인원 입력 기능(사과탐)'!$K$64:$N$116,4,FALSE),0))</f>
        <v>332</v>
      </c>
      <c r="H27" s="57">
        <f t="shared" si="1"/>
        <v>2.2852422907488987E-2</v>
      </c>
      <c r="I27" s="67">
        <f>SUM($G$7:G27)</f>
        <v>5356</v>
      </c>
      <c r="J27" s="59">
        <f t="shared" si="5"/>
        <v>0.36866740088105726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78">
        <f t="shared" si="3"/>
        <v>53</v>
      </c>
      <c r="E28" s="178">
        <f t="shared" si="0"/>
        <v>4</v>
      </c>
      <c r="F28" s="180">
        <f t="shared" si="4"/>
        <v>60.8</v>
      </c>
      <c r="G28" s="182">
        <f>IF(D28=D27,"",_xlfn.IFNA(VLOOKUP(D28,'인원 입력 기능(사과탐)'!$K$64:$N$116,4,FALSE),0))</f>
        <v>678</v>
      </c>
      <c r="H28" s="184">
        <f t="shared" si="1"/>
        <v>4.6668502202643174E-2</v>
      </c>
      <c r="I28" s="188">
        <f>SUM($G$7:G28)</f>
        <v>6034</v>
      </c>
      <c r="J28" s="176">
        <f t="shared" si="5"/>
        <v>0.41533590308370044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79"/>
      <c r="E29" s="179"/>
      <c r="F29" s="181"/>
      <c r="G29" s="183"/>
      <c r="H29" s="185"/>
      <c r="I29" s="189"/>
      <c r="J29" s="177"/>
      <c r="K29" s="31"/>
      <c r="L29" s="15" t="str">
        <f t="shared" si="2"/>
        <v>경고</v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52</v>
      </c>
      <c r="E30" s="69">
        <f t="shared" si="0"/>
        <v>5</v>
      </c>
      <c r="F30" s="55">
        <f t="shared" si="4"/>
        <v>57.22</v>
      </c>
      <c r="G30" s="56">
        <f>IF(D30=D29,"",_xlfn.IFNA(VLOOKUP(D30,'인원 입력 기능(사과탐)'!$K$64:$N$116,4,FALSE),0))</f>
        <v>362</v>
      </c>
      <c r="H30" s="57">
        <f t="shared" si="1"/>
        <v>2.4917400881057268E-2</v>
      </c>
      <c r="I30" s="67">
        <f>SUM($G$7:G30)</f>
        <v>6396</v>
      </c>
      <c r="J30" s="59">
        <f t="shared" si="5"/>
        <v>0.4402533039647577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51</v>
      </c>
      <c r="E31" s="69">
        <f t="shared" si="0"/>
        <v>5</v>
      </c>
      <c r="F31" s="55">
        <f t="shared" si="4"/>
        <v>54.7</v>
      </c>
      <c r="G31" s="56">
        <f>IF(D31=D30,"",_xlfn.IFNA(VLOOKUP(D31,'인원 입력 기능(사과탐)'!$K$64:$N$116,4,FALSE),0))</f>
        <v>371</v>
      </c>
      <c r="H31" s="57">
        <f t="shared" si="1"/>
        <v>2.5536894273127754E-2</v>
      </c>
      <c r="I31" s="67">
        <f>SUM($G$7:G31)</f>
        <v>6767</v>
      </c>
      <c r="J31" s="59">
        <f t="shared" si="5"/>
        <v>0.46579019823788548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50</v>
      </c>
      <c r="E32" s="69">
        <f t="shared" si="0"/>
        <v>5</v>
      </c>
      <c r="F32" s="55">
        <f t="shared" si="4"/>
        <v>52.19</v>
      </c>
      <c r="G32" s="56">
        <f>IF(D32=D31,"",_xlfn.IFNA(VLOOKUP(D32,'인원 입력 기능(사과탐)'!$K$64:$N$116,4,FALSE),0))</f>
        <v>358</v>
      </c>
      <c r="H32" s="57">
        <f t="shared" si="1"/>
        <v>2.4642070484581498E-2</v>
      </c>
      <c r="I32" s="67">
        <f>SUM($G$7:G32)</f>
        <v>7125</v>
      </c>
      <c r="J32" s="59">
        <f t="shared" si="5"/>
        <v>0.49043226872246698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49</v>
      </c>
      <c r="E33" s="69">
        <f t="shared" si="0"/>
        <v>5</v>
      </c>
      <c r="F33" s="55">
        <f t="shared" si="4"/>
        <v>49.58</v>
      </c>
      <c r="G33" s="56">
        <f>IF(D33=D32,"",_xlfn.IFNA(VLOOKUP(D33,'인원 입력 기능(사과탐)'!$K$64:$N$116,4,FALSE),0))</f>
        <v>399</v>
      </c>
      <c r="H33" s="57">
        <f t="shared" si="1"/>
        <v>2.7464207048458148E-2</v>
      </c>
      <c r="I33" s="67">
        <f>SUM($G$7:G33)</f>
        <v>7524</v>
      </c>
      <c r="J33" s="59">
        <f t="shared" si="5"/>
        <v>0.51789647577092512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178">
        <f t="shared" si="3"/>
        <v>48</v>
      </c>
      <c r="E34" s="178">
        <f t="shared" si="0"/>
        <v>5</v>
      </c>
      <c r="F34" s="180">
        <f t="shared" si="4"/>
        <v>45.95</v>
      </c>
      <c r="G34" s="182">
        <f>IF(D34=D33,"",_xlfn.IFNA(VLOOKUP(D34,'인원 입력 기능(사과탐)'!$K$64:$N$116,4,FALSE),0))</f>
        <v>656</v>
      </c>
      <c r="H34" s="184">
        <f t="shared" si="1"/>
        <v>4.5154185022026429E-2</v>
      </c>
      <c r="I34" s="188">
        <f>SUM($G$7:G34)</f>
        <v>8180</v>
      </c>
      <c r="J34" s="176">
        <f t="shared" si="5"/>
        <v>0.56305066079295152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179"/>
      <c r="E35" s="179"/>
      <c r="F35" s="181"/>
      <c r="G35" s="183"/>
      <c r="H35" s="185"/>
      <c r="I35" s="189"/>
      <c r="J35" s="177"/>
      <c r="K35" s="31"/>
      <c r="L35" s="15" t="str">
        <f t="shared" si="2"/>
        <v>경고</v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47</v>
      </c>
      <c r="E36" s="69">
        <f t="shared" si="0"/>
        <v>5</v>
      </c>
      <c r="F36" s="55">
        <f t="shared" si="4"/>
        <v>42.29</v>
      </c>
      <c r="G36" s="56">
        <f>IF(D36=D35,"",_xlfn.IFNA(VLOOKUP(D36,'인원 입력 기능(사과탐)'!$K$64:$N$116,4,FALSE),0))</f>
        <v>407</v>
      </c>
      <c r="H36" s="57">
        <f t="shared" si="1"/>
        <v>2.8014867841409691E-2</v>
      </c>
      <c r="I36" s="67">
        <f>SUM($G$7:G36)</f>
        <v>8587</v>
      </c>
      <c r="J36" s="59">
        <f t="shared" si="5"/>
        <v>0.59106552863436124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46</v>
      </c>
      <c r="E37" s="69">
        <f t="shared" si="0"/>
        <v>5</v>
      </c>
      <c r="F37" s="55">
        <f t="shared" si="4"/>
        <v>39.630000000000003</v>
      </c>
      <c r="G37" s="56">
        <f>IF(D37=D36,"",_xlfn.IFNA(VLOOKUP(D37,'인원 입력 기능(사과탐)'!$K$64:$N$116,4,FALSE),0))</f>
        <v>368</v>
      </c>
      <c r="H37" s="57">
        <f t="shared" si="1"/>
        <v>2.5330396475770924E-2</v>
      </c>
      <c r="I37" s="67">
        <f>SUM($G$7:G37)</f>
        <v>8955</v>
      </c>
      <c r="J37" s="59">
        <f t="shared" si="5"/>
        <v>0.61639592511013219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45</v>
      </c>
      <c r="E38" s="69">
        <f t="shared" si="0"/>
        <v>6</v>
      </c>
      <c r="F38" s="55">
        <f t="shared" si="4"/>
        <v>36.99</v>
      </c>
      <c r="G38" s="56">
        <f>IF(D38=D37,"",_xlfn.IFNA(VLOOKUP(D38,'인원 입력 기능(사과탐)'!$K$64:$N$116,4,FALSE),0))</f>
        <v>399</v>
      </c>
      <c r="H38" s="57">
        <f t="shared" si="1"/>
        <v>2.7464207048458148E-2</v>
      </c>
      <c r="I38" s="67">
        <f>SUM($G$7:G38)</f>
        <v>9354</v>
      </c>
      <c r="J38" s="59">
        <f t="shared" si="5"/>
        <v>0.64386013215859028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44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34.380000000000003</v>
      </c>
      <c r="G39" s="56">
        <f>IF(D39=D38,"",_xlfn.IFNA(VLOOKUP(D39,'인원 입력 기능(사과탐)'!$K$64:$N$116,4,FALSE),0))</f>
        <v>359</v>
      </c>
      <c r="H39" s="57">
        <f t="shared" si="1"/>
        <v>2.4710903083700442E-2</v>
      </c>
      <c r="I39" s="67">
        <f>SUM($G$7:G39)</f>
        <v>9713</v>
      </c>
      <c r="J39" s="59">
        <f t="shared" si="5"/>
        <v>0.66857103524229078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178">
        <f t="shared" si="3"/>
        <v>43</v>
      </c>
      <c r="E40" s="178">
        <f t="shared" si="6"/>
        <v>6</v>
      </c>
      <c r="F40" s="180">
        <f t="shared" si="4"/>
        <v>30.27</v>
      </c>
      <c r="G40" s="182">
        <f>IF(D40=D39,"",_xlfn.IFNA(VLOOKUP(D40,'인원 입력 기능(사과탐)'!$K$64:$N$116,4,FALSE),0))</f>
        <v>835</v>
      </c>
      <c r="H40" s="184">
        <f t="shared" si="1"/>
        <v>5.747522026431718E-2</v>
      </c>
      <c r="I40" s="188">
        <f>SUM($G$7:G40)</f>
        <v>10548</v>
      </c>
      <c r="J40" s="176">
        <f t="shared" si="5"/>
        <v>0.72604625550660795</v>
      </c>
      <c r="K40" s="31"/>
      <c r="L40" s="15" t="str">
        <f t="shared" si="2"/>
        <v>경고</v>
      </c>
      <c r="N40" s="19"/>
    </row>
    <row r="41" spans="1:14" s="17" customFormat="1" ht="25" customHeight="1" x14ac:dyDescent="0.45">
      <c r="A41" s="15"/>
      <c r="B41" s="30"/>
      <c r="C41" s="104">
        <v>16</v>
      </c>
      <c r="D41" s="179"/>
      <c r="E41" s="179"/>
      <c r="F41" s="181"/>
      <c r="G41" s="183"/>
      <c r="H41" s="185"/>
      <c r="I41" s="189"/>
      <c r="J41" s="177"/>
      <c r="K41" s="31"/>
      <c r="L41" s="15" t="str">
        <f t="shared" si="2"/>
        <v>경고</v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42</v>
      </c>
      <c r="E42" s="69">
        <f t="shared" si="6"/>
        <v>6</v>
      </c>
      <c r="F42" s="55">
        <f t="shared" si="4"/>
        <v>26.16</v>
      </c>
      <c r="G42" s="56">
        <f>IF(D42=D41,"",_xlfn.IFNA(VLOOKUP(D42,'인원 입력 기능(사과탐)'!$K$64:$N$116,4,FALSE),0))</f>
        <v>360</v>
      </c>
      <c r="H42" s="57">
        <f t="shared" si="1"/>
        <v>2.4779735682819382E-2</v>
      </c>
      <c r="I42" s="67">
        <f>SUM($G$7:G42)</f>
        <v>10908</v>
      </c>
      <c r="J42" s="59">
        <f t="shared" si="5"/>
        <v>0.75082599118942728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41</v>
      </c>
      <c r="E43" s="69">
        <f t="shared" si="6"/>
        <v>6</v>
      </c>
      <c r="F43" s="55">
        <f t="shared" si="4"/>
        <v>23.51</v>
      </c>
      <c r="G43" s="56">
        <f>IF(D43=D42,"",_xlfn.IFNA(VLOOKUP(D43,'인원 입력 기능(사과탐)'!$K$64:$N$116,4,FALSE),0))</f>
        <v>410</v>
      </c>
      <c r="H43" s="57">
        <f t="shared" si="1"/>
        <v>2.8221365638766521E-2</v>
      </c>
      <c r="I43" s="67">
        <f>SUM($G$7:G43)</f>
        <v>11318</v>
      </c>
      <c r="J43" s="59">
        <f t="shared" si="5"/>
        <v>0.77904735682819382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40</v>
      </c>
      <c r="E44" s="69">
        <f t="shared" si="6"/>
        <v>7</v>
      </c>
      <c r="F44" s="55">
        <f t="shared" si="4"/>
        <v>20.89</v>
      </c>
      <c r="G44" s="56">
        <f>IF(D44=D43,"",_xlfn.IFNA(VLOOKUP(D44,'인원 입력 기능(사과탐)'!$K$64:$N$116,4,FALSE),0))</f>
        <v>350</v>
      </c>
      <c r="H44" s="57">
        <f t="shared" si="1"/>
        <v>2.4091409691629956E-2</v>
      </c>
      <c r="I44" s="67">
        <f>SUM($G$7:G44)</f>
        <v>11668</v>
      </c>
      <c r="J44" s="59">
        <f t="shared" si="5"/>
        <v>0.80313876651982374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178">
        <f t="shared" si="3"/>
        <v>39</v>
      </c>
      <c r="E45" s="178">
        <f t="shared" si="6"/>
        <v>7</v>
      </c>
      <c r="F45" s="180">
        <f t="shared" si="4"/>
        <v>16.43</v>
      </c>
      <c r="G45" s="182">
        <f>IF(D45=D44,"",_xlfn.IFNA(VLOOKUP(D45,'인원 입력 기능(사과탐)'!$K$64:$N$116,4,FALSE),0))</f>
        <v>945</v>
      </c>
      <c r="H45" s="184">
        <f t="shared" si="1"/>
        <v>6.5046806167400884E-2</v>
      </c>
      <c r="I45" s="188">
        <f>SUM($G$7:G45)</f>
        <v>12613</v>
      </c>
      <c r="J45" s="176">
        <f t="shared" si="5"/>
        <v>0.86818557268722463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79"/>
      <c r="E46" s="179"/>
      <c r="F46" s="181"/>
      <c r="G46" s="183"/>
      <c r="H46" s="185"/>
      <c r="I46" s="189"/>
      <c r="J46" s="177"/>
      <c r="K46" s="31"/>
      <c r="L46" s="15" t="str">
        <f t="shared" si="2"/>
        <v>경고</v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38</v>
      </c>
      <c r="E47" s="69">
        <f t="shared" si="6"/>
        <v>7</v>
      </c>
      <c r="F47" s="55">
        <f t="shared" si="4"/>
        <v>12.01</v>
      </c>
      <c r="G47" s="56">
        <f>IF(D47=D46,"",_xlfn.IFNA(VLOOKUP(D47,'인원 입력 기능(사과탐)'!$K$64:$N$116,4,FALSE),0))</f>
        <v>339</v>
      </c>
      <c r="H47" s="57">
        <f t="shared" si="1"/>
        <v>2.3334251101321587E-2</v>
      </c>
      <c r="I47" s="67">
        <f>SUM($G$7:G47)</f>
        <v>12952</v>
      </c>
      <c r="J47" s="59">
        <f t="shared" si="5"/>
        <v>0.89151982378854622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37</v>
      </c>
      <c r="E48" s="69">
        <f t="shared" si="6"/>
        <v>8</v>
      </c>
      <c r="F48" s="55">
        <f t="shared" si="4"/>
        <v>9.5299999999999994</v>
      </c>
      <c r="G48" s="56">
        <f>IF(D48=D47,"",_xlfn.IFNA(VLOOKUP(D48,'인원 입력 기능(사과탐)'!$K$64:$N$116,4,FALSE),0))</f>
        <v>384</v>
      </c>
      <c r="H48" s="57">
        <f t="shared" si="1"/>
        <v>2.643171806167401E-2</v>
      </c>
      <c r="I48" s="67">
        <f>SUM($G$7:G48)</f>
        <v>13336</v>
      </c>
      <c r="J48" s="59">
        <f t="shared" si="5"/>
        <v>0.91795154185022021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36</v>
      </c>
      <c r="E49" s="69">
        <f t="shared" si="6"/>
        <v>8</v>
      </c>
      <c r="F49" s="55">
        <f t="shared" si="4"/>
        <v>7.57</v>
      </c>
      <c r="G49" s="56">
        <f>IF(D49=D48,"",_xlfn.IFNA(VLOOKUP(D49,'인원 입력 기능(사과탐)'!$K$64:$N$116,4,FALSE),0))</f>
        <v>185</v>
      </c>
      <c r="H49" s="57">
        <f t="shared" si="1"/>
        <v>1.2734030837004405E-2</v>
      </c>
      <c r="I49" s="67">
        <f>SUM($G$7:G49)</f>
        <v>13521</v>
      </c>
      <c r="J49" s="59">
        <f t="shared" si="5"/>
        <v>0.93068557268722463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35</v>
      </c>
      <c r="E50" s="69">
        <f t="shared" si="6"/>
        <v>8</v>
      </c>
      <c r="F50" s="55">
        <f t="shared" si="4"/>
        <v>4.9000000000000004</v>
      </c>
      <c r="G50" s="56">
        <f>IF(D50=D49,"",_xlfn.IFNA(VLOOKUP(D50,'인원 입력 기능(사과탐)'!$K$64:$N$116,4,FALSE),0))</f>
        <v>591</v>
      </c>
      <c r="H50" s="57">
        <f t="shared" si="1"/>
        <v>4.0680066079295155E-2</v>
      </c>
      <c r="I50" s="67">
        <f>SUM($G$7:G50)</f>
        <v>14112</v>
      </c>
      <c r="J50" s="59">
        <f t="shared" si="5"/>
        <v>0.97136563876651982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178">
        <f t="shared" si="3"/>
        <v>34</v>
      </c>
      <c r="E51" s="178">
        <f t="shared" si="6"/>
        <v>9</v>
      </c>
      <c r="F51" s="180">
        <f t="shared" si="4"/>
        <v>2.0499999999999998</v>
      </c>
      <c r="G51" s="182">
        <f>IF(D51=D50,"",_xlfn.IFNA(VLOOKUP(D51,'인원 입력 기능(사과탐)'!$K$64:$N$116,4,FALSE),0))</f>
        <v>236</v>
      </c>
      <c r="H51" s="184">
        <f t="shared" si="1"/>
        <v>1.6244493392070486E-2</v>
      </c>
      <c r="I51" s="188">
        <f>SUM($G$7:G51)</f>
        <v>14348</v>
      </c>
      <c r="J51" s="176">
        <f t="shared" si="5"/>
        <v>0.98761013215859028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179"/>
      <c r="E52" s="179"/>
      <c r="F52" s="181"/>
      <c r="G52" s="183"/>
      <c r="H52" s="185"/>
      <c r="I52" s="189"/>
      <c r="J52" s="177"/>
      <c r="K52" s="31"/>
      <c r="L52" s="15" t="str">
        <f t="shared" si="2"/>
        <v>경고</v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33</v>
      </c>
      <c r="E53" s="54">
        <f t="shared" si="6"/>
        <v>9</v>
      </c>
      <c r="F53" s="55">
        <f t="shared" si="4"/>
        <v>1</v>
      </c>
      <c r="G53" s="56">
        <f>IF(D53=D52,"",_xlfn.IFNA(VLOOKUP(D53,'인원 입력 기능(사과탐)'!$K$64:$N$116,4,FALSE),0))</f>
        <v>70</v>
      </c>
      <c r="H53" s="57">
        <f t="shared" si="1"/>
        <v>4.8182819383259913E-3</v>
      </c>
      <c r="I53" s="67">
        <f>SUM($G$7:G53)</f>
        <v>14418</v>
      </c>
      <c r="J53" s="59">
        <f t="shared" si="5"/>
        <v>0.99242841409691629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0.62</v>
      </c>
      <c r="G54" s="56">
        <f>IF(D54=D53,"",_xlfn.IFNA(VLOOKUP(D54,'인원 입력 기능(사과탐)'!$K$64:$N$116,4,FALSE),0))</f>
        <v>39</v>
      </c>
      <c r="H54" s="57">
        <f t="shared" si="1"/>
        <v>2.6844713656387666E-3</v>
      </c>
      <c r="I54" s="67">
        <f>SUM($G$7:G54)</f>
        <v>14457</v>
      </c>
      <c r="J54" s="59">
        <f t="shared" si="5"/>
        <v>0.99511288546255505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0.32</v>
      </c>
      <c r="G55" s="56">
        <f>IF(D55=D54,"",_xlfn.IFNA(VLOOKUP(D55,'인원 입력 기능(사과탐)'!$K$64:$N$116,4,FALSE),0))</f>
        <v>48</v>
      </c>
      <c r="H55" s="57">
        <f t="shared" si="1"/>
        <v>3.3039647577092512E-3</v>
      </c>
      <c r="I55" s="67">
        <f>SUM($G$7:G55)</f>
        <v>14505</v>
      </c>
      <c r="J55" s="59">
        <f t="shared" si="5"/>
        <v>0.99841685022026427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29</v>
      </c>
      <c r="E57" s="107">
        <f t="shared" si="6"/>
        <v>9</v>
      </c>
      <c r="F57" s="74">
        <f>IF(I55=0,ROUND(100*(1-(I54+I57)/2/$J$3),2),ROUND(100*(1-(I55+I57)/2/$J$3),2))</f>
        <v>0.08</v>
      </c>
      <c r="G57" s="108">
        <f>_xlfn.IFNA(VLOOKUP(D57,'인원 입력 기능(사과탐)'!$K$64:$N$116,4,FALSE),0)</f>
        <v>23</v>
      </c>
      <c r="H57" s="76">
        <f>G57/$J$3</f>
        <v>1.5831497797356828E-3</v>
      </c>
      <c r="I57" s="77">
        <f>SUM($G$7:G57)</f>
        <v>14528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  <mergeCell ref="I16:I17"/>
    <mergeCell ref="J16:J17"/>
    <mergeCell ref="D22:D23"/>
    <mergeCell ref="E22:E23"/>
    <mergeCell ref="F22:F23"/>
    <mergeCell ref="G22:G23"/>
    <mergeCell ref="H22:H23"/>
    <mergeCell ref="I22:I23"/>
    <mergeCell ref="J22:J23"/>
    <mergeCell ref="D16:D17"/>
    <mergeCell ref="E16:E17"/>
    <mergeCell ref="F16:F17"/>
    <mergeCell ref="G16:G17"/>
    <mergeCell ref="H16:H17"/>
    <mergeCell ref="I28:I29"/>
    <mergeCell ref="J28:J29"/>
    <mergeCell ref="D34:D35"/>
    <mergeCell ref="E34:E35"/>
    <mergeCell ref="F34:F35"/>
    <mergeCell ref="G34:G35"/>
    <mergeCell ref="H34:H35"/>
    <mergeCell ref="I34:I35"/>
    <mergeCell ref="J34:J35"/>
    <mergeCell ref="D28:D29"/>
    <mergeCell ref="E28:E29"/>
    <mergeCell ref="F28:F29"/>
    <mergeCell ref="G28:G29"/>
    <mergeCell ref="H28:H29"/>
    <mergeCell ref="I40:I41"/>
    <mergeCell ref="J40:J41"/>
    <mergeCell ref="D45:D46"/>
    <mergeCell ref="E45:E46"/>
    <mergeCell ref="F45:F46"/>
    <mergeCell ref="G45:G46"/>
    <mergeCell ref="H45:H46"/>
    <mergeCell ref="I45:I46"/>
    <mergeCell ref="J45:J46"/>
    <mergeCell ref="D40:D41"/>
    <mergeCell ref="E40:E41"/>
    <mergeCell ref="F40:F41"/>
    <mergeCell ref="G40:G41"/>
    <mergeCell ref="H40:H41"/>
    <mergeCell ref="I51:I52"/>
    <mergeCell ref="J51:J52"/>
    <mergeCell ref="D51:D52"/>
    <mergeCell ref="E51:E52"/>
    <mergeCell ref="F51:F52"/>
    <mergeCell ref="G51:G52"/>
    <mergeCell ref="H51:H52"/>
  </mergeCells>
  <phoneticPr fontId="1" type="noConversion"/>
  <conditionalFormatting sqref="D7:G10 I7:J10 D12:G16 I12:J16 D18:G22 I18:J22 D24:G28 I24:J28 D30:G34 I30:J34 D36:G40 I36:J40 D42:G45 I42:J45 D47:G51 I47:J51 D53:G57 I53:J57">
    <cfRule type="expression" dxfId="29" priority="4">
      <formula>OR($D7=$Q$7:$Q$14)</formula>
    </cfRule>
  </conditionalFormatting>
  <conditionalFormatting sqref="C7:C57">
    <cfRule type="expression" dxfId="28" priority="3">
      <formula>OR(AND($D7=0,OR($D6=$Q$7:$Q$14)),AND($D8&gt;0,OR($D7=$Q$7:$Q$14)))</formula>
    </cfRule>
  </conditionalFormatting>
  <conditionalFormatting sqref="D7:D10 D12:D16 D18:D22 D24:D28 D30:D34 D36:D40 D42:D45 D47:D51 D53:D57">
    <cfRule type="expression" dxfId="27" priority="2">
      <formula>$D7=$D8</formula>
    </cfRule>
  </conditionalFormatting>
  <conditionalFormatting sqref="H7:H10 H12:H16 H18:H22 H24:H28 H30:H34 H36:H40 H42:H45 H47:H51 H53:H57">
    <cfRule type="expression" dxfId="2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topLeftCell="A46" zoomScale="98" zoomScaleNormal="98" workbookViewId="0">
      <selection activeCell="I13" sqref="I13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기능'!D15</f>
        <v>26.05</v>
      </c>
      <c r="I3" s="16" t="s">
        <v>70</v>
      </c>
      <c r="J3" s="45">
        <f>'통계 및 응시자 수 입력 기능'!C15</f>
        <v>40417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97</v>
      </c>
      <c r="E4" s="169"/>
      <c r="F4" s="170"/>
      <c r="G4" s="47" t="s">
        <v>73</v>
      </c>
      <c r="H4" s="48" t="str">
        <f>'통계 및 응시자 수 입력 기능'!E15</f>
        <v>11.32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71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99.69</v>
      </c>
      <c r="G7" s="56">
        <f>_xlfn.IFNA(VLOOKUP(D7,'인원 입력 기능(사과탐)'!$P$64:$S$116,4,FALSE),0)</f>
        <v>250</v>
      </c>
      <c r="H7" s="57">
        <f>G7/$J$3</f>
        <v>6.1855159957443654E-3</v>
      </c>
      <c r="I7" s="58">
        <f>G7</f>
        <v>250</v>
      </c>
      <c r="J7" s="59">
        <f>I7/$J$3</f>
        <v>6.1855159957443654E-3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기능'!C103</f>
        <v>67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기능'!C104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 t="shared" ref="D9:D10" si="1">ROUND(10*(C9-$H$3)/$H$4+50,0)</f>
        <v>69</v>
      </c>
      <c r="E9" s="54">
        <f t="shared" ref="E9:E10" si="2">IF(ROUND(D9,0)&gt;=$Q$7,1,IF(ROUND(D9,0)&gt;=$Q$8,2,IF(ROUND(D9,0)&gt;=$Q$9,3,IF(ROUND(D9,0)&gt;=$Q$10,4,IF(ROUND(D9,0)&gt;=$Q$11,5,IF(ROUND(D9,0)&gt;=$Q$12,6,IF(ROUND(D9,0)&gt;=$Q$13,7,IF(ROUND(D9,0)&gt;=$Q$14,8,9))))))))</f>
        <v>1</v>
      </c>
      <c r="F9" s="55">
        <f t="shared" ref="F9:F10" si="3">IF(I8=0,ROUND(100*(1-(I7+I9)/2/$J$3),2),ROUND(100*(1-(I8+I9)/2/$J$3),2))</f>
        <v>99.27</v>
      </c>
      <c r="G9" s="56">
        <f>IF(D9=D8,"",_xlfn.IFNA(VLOOKUP(D9,'인원 입력 기능(사과탐)'!$P$64:$S$116,4,FALSE),0))</f>
        <v>89</v>
      </c>
      <c r="H9" s="57">
        <f t="shared" ref="H9:H10" si="4">G9/$J$3</f>
        <v>2.2020436944849941E-3</v>
      </c>
      <c r="I9" s="67">
        <f>SUM($G$7:G9)</f>
        <v>339</v>
      </c>
      <c r="J9" s="59">
        <f t="shared" ref="J9:J10" si="5">I9/$J$3</f>
        <v>8.3875596902293591E-3</v>
      </c>
      <c r="K9" s="31"/>
      <c r="L9" s="15" t="str">
        <f t="shared" ref="L9:L57" si="6">IF(ABS((C9-$H$3)/$H$4*10+50-D9)&gt;0.49, "경고", "")</f>
        <v/>
      </c>
      <c r="N9" s="19"/>
      <c r="P9" s="19">
        <v>3</v>
      </c>
      <c r="Q9" s="19">
        <f>'표점등급&amp;절평인원 입력 기능'!C105</f>
        <v>59</v>
      </c>
    </row>
    <row r="10" spans="1:17" s="17" customFormat="1" ht="25" customHeight="1" x14ac:dyDescent="0.45">
      <c r="A10" s="15"/>
      <c r="B10" s="30"/>
      <c r="C10" s="60">
        <v>47</v>
      </c>
      <c r="D10" s="186">
        <v>68</v>
      </c>
      <c r="E10" s="186">
        <f t="shared" si="2"/>
        <v>1</v>
      </c>
      <c r="F10" s="180">
        <f t="shared" si="3"/>
        <v>97.92</v>
      </c>
      <c r="G10" s="182">
        <f>IF(D10=D9,"",_xlfn.IFNA(VLOOKUP(D10,'인원 입력 기능(사과탐)'!$P$64:$S$116,4,FALSE),0))</f>
        <v>1002</v>
      </c>
      <c r="H10" s="184">
        <f t="shared" si="4"/>
        <v>2.4791548110943414E-2</v>
      </c>
      <c r="I10" s="188">
        <f>SUM($G$7:G10)</f>
        <v>1341</v>
      </c>
      <c r="J10" s="176">
        <f t="shared" si="5"/>
        <v>3.3179107801172773E-2</v>
      </c>
      <c r="K10" s="31"/>
      <c r="L10" s="15" t="str">
        <f t="shared" si="6"/>
        <v>경고</v>
      </c>
      <c r="N10" s="19"/>
      <c r="P10" s="19">
        <v>4</v>
      </c>
      <c r="Q10" s="19">
        <f>'표점등급&amp;절평인원 입력 기능'!C106</f>
        <v>53</v>
      </c>
    </row>
    <row r="11" spans="1:17" s="17" customFormat="1" ht="25" customHeight="1" x14ac:dyDescent="0.45">
      <c r="A11" s="15"/>
      <c r="B11" s="30"/>
      <c r="C11" s="53">
        <v>46</v>
      </c>
      <c r="D11" s="187"/>
      <c r="E11" s="187"/>
      <c r="F11" s="181"/>
      <c r="G11" s="183"/>
      <c r="H11" s="185"/>
      <c r="I11" s="189"/>
      <c r="J11" s="177"/>
      <c r="K11" s="31"/>
      <c r="L11" s="15" t="str">
        <f t="shared" si="6"/>
        <v>경고</v>
      </c>
      <c r="N11" s="19"/>
      <c r="P11" s="19">
        <v>5</v>
      </c>
      <c r="Q11" s="19">
        <f>'표점등급&amp;절평인원 입력 기능'!C107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ref="D11:D55" si="7">ROUND(10*(C12-$H$3)/$H$4+50,0)</f>
        <v>67</v>
      </c>
      <c r="E12" s="54">
        <f t="shared" si="0"/>
        <v>1</v>
      </c>
      <c r="F12" s="55">
        <f t="shared" ref="F11:F55" si="8">IF(I11=0,ROUND(100*(1-(I10+I12)/2/$J$3),2),ROUND(100*(1-(I11+I12)/2/$J$3),2))</f>
        <v>96.13</v>
      </c>
      <c r="G12" s="56">
        <f>IF(D12=D11,"",_xlfn.IFNA(VLOOKUP(D12,'인원 입력 기능(사과탐)'!$P$64:$S$116,4,FALSE),0))</f>
        <v>446</v>
      </c>
      <c r="H12" s="57">
        <f t="shared" ref="H9:H55" si="9">G12/$J$3</f>
        <v>1.1034960536407947E-2</v>
      </c>
      <c r="I12" s="67">
        <f>SUM($G$7:G12)</f>
        <v>1787</v>
      </c>
      <c r="J12" s="59">
        <f t="shared" ref="J11:J55" si="10">I12/$J$3</f>
        <v>4.4214068337580723E-2</v>
      </c>
      <c r="K12" s="31"/>
      <c r="L12" s="15" t="str">
        <f t="shared" si="6"/>
        <v/>
      </c>
      <c r="N12" s="19"/>
      <c r="P12" s="19">
        <v>6</v>
      </c>
      <c r="Q12" s="19">
        <f>'표점등급&amp;절평인원 입력 기능'!C108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7"/>
        <v>66</v>
      </c>
      <c r="E13" s="54">
        <f t="shared" si="0"/>
        <v>2</v>
      </c>
      <c r="F13" s="55">
        <f t="shared" si="8"/>
        <v>94.09</v>
      </c>
      <c r="G13" s="56">
        <f>IF(D13=D12,"",_xlfn.IFNA(VLOOKUP(D13,'인원 입력 기능(사과탐)'!$P$64:$S$116,4,FALSE),0))</f>
        <v>1205</v>
      </c>
      <c r="H13" s="57">
        <f t="shared" si="9"/>
        <v>2.9814187099487841E-2</v>
      </c>
      <c r="I13" s="67">
        <f>SUM($G$7:G13)</f>
        <v>2992</v>
      </c>
      <c r="J13" s="59">
        <f t="shared" si="10"/>
        <v>7.4028255437068563E-2</v>
      </c>
      <c r="K13" s="31"/>
      <c r="L13" s="15" t="str">
        <f t="shared" si="6"/>
        <v/>
      </c>
      <c r="N13" s="19"/>
      <c r="P13" s="19">
        <v>7</v>
      </c>
      <c r="Q13" s="19">
        <f>'표점등급&amp;절평인원 입력 기능'!C109</f>
        <v>37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7"/>
        <v>65</v>
      </c>
      <c r="E14" s="54">
        <f t="shared" si="0"/>
        <v>2</v>
      </c>
      <c r="F14" s="55">
        <f t="shared" si="8"/>
        <v>92.39</v>
      </c>
      <c r="G14" s="56">
        <f>IF(D14=D13,"",_xlfn.IFNA(VLOOKUP(D14,'인원 입력 기능(사과탐)'!$P$64:$S$116,4,FALSE),0))</f>
        <v>166</v>
      </c>
      <c r="H14" s="57">
        <f t="shared" si="9"/>
        <v>4.1071826211742588E-3</v>
      </c>
      <c r="I14" s="67">
        <f>SUM($G$7:G14)</f>
        <v>3158</v>
      </c>
      <c r="J14" s="59">
        <f t="shared" si="10"/>
        <v>7.8135438058242815E-2</v>
      </c>
      <c r="K14" s="31"/>
      <c r="L14" s="15" t="str">
        <f t="shared" si="6"/>
        <v/>
      </c>
      <c r="N14" s="19"/>
      <c r="P14" s="19">
        <v>8</v>
      </c>
      <c r="Q14" s="19">
        <f>'표점등급&amp;절평인원 입력 기능'!C110</f>
        <v>34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7"/>
        <v>64</v>
      </c>
      <c r="E15" s="54">
        <f t="shared" si="0"/>
        <v>2</v>
      </c>
      <c r="F15" s="55">
        <f t="shared" si="8"/>
        <v>91.13</v>
      </c>
      <c r="G15" s="56">
        <f>IF(D15=D14,"",_xlfn.IFNA(VLOOKUP(D15,'인원 입력 기능(사과탐)'!$P$64:$S$116,4,FALSE),0))</f>
        <v>853</v>
      </c>
      <c r="H15" s="57">
        <f t="shared" si="9"/>
        <v>2.1104980577479775E-2</v>
      </c>
      <c r="I15" s="67">
        <f>SUM($G$7:G15)</f>
        <v>4011</v>
      </c>
      <c r="J15" s="59">
        <f t="shared" si="10"/>
        <v>9.9240418635722596E-2</v>
      </c>
      <c r="K15" s="31"/>
      <c r="L15" s="15" t="str">
        <f t="shared" si="6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7"/>
        <v>63</v>
      </c>
      <c r="E16" s="54">
        <f t="shared" si="0"/>
        <v>2</v>
      </c>
      <c r="F16" s="55">
        <f t="shared" si="8"/>
        <v>88.71</v>
      </c>
      <c r="G16" s="56">
        <f>IF(D16=D15,"",_xlfn.IFNA(VLOOKUP(D16,'인원 입력 기능(사과탐)'!$P$64:$S$116,4,FALSE),0))</f>
        <v>1107</v>
      </c>
      <c r="H16" s="57">
        <f t="shared" si="9"/>
        <v>2.7389464829156048E-2</v>
      </c>
      <c r="I16" s="67">
        <f>SUM($G$7:G16)</f>
        <v>5118</v>
      </c>
      <c r="J16" s="59">
        <f t="shared" si="10"/>
        <v>0.12662988346487863</v>
      </c>
      <c r="K16" s="31"/>
      <c r="L16" s="15" t="str">
        <f t="shared" si="6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7"/>
        <v>62</v>
      </c>
      <c r="E17" s="54">
        <f t="shared" si="0"/>
        <v>3</v>
      </c>
      <c r="F17" s="55">
        <f t="shared" si="8"/>
        <v>86.82</v>
      </c>
      <c r="G17" s="56">
        <f>IF(D17=D16,"",_xlfn.IFNA(VLOOKUP(D17,'인원 입력 기능(사과탐)'!$P$64:$S$116,4,FALSE),0))</f>
        <v>418</v>
      </c>
      <c r="H17" s="57">
        <f t="shared" si="9"/>
        <v>1.0342182744884578E-2</v>
      </c>
      <c r="I17" s="67">
        <f>SUM($G$7:G17)</f>
        <v>5536</v>
      </c>
      <c r="J17" s="59">
        <f t="shared" si="10"/>
        <v>0.13697206620976321</v>
      </c>
      <c r="K17" s="31"/>
      <c r="L17" s="15" t="str">
        <f t="shared" si="6"/>
        <v/>
      </c>
      <c r="N17" s="19"/>
      <c r="Q17" s="19">
        <f>Q7*H3*H4*J3*IFERROR(IF(J57=1, 1, 0), 0)</f>
        <v>798533299.954</v>
      </c>
    </row>
    <row r="18" spans="1:17" s="17" customFormat="1" ht="25" customHeight="1" x14ac:dyDescent="0.45">
      <c r="A18" s="15"/>
      <c r="B18" s="30"/>
      <c r="C18" s="60">
        <v>39</v>
      </c>
      <c r="D18" s="186">
        <f t="shared" si="7"/>
        <v>61</v>
      </c>
      <c r="E18" s="186">
        <f t="shared" si="0"/>
        <v>3</v>
      </c>
      <c r="F18" s="180">
        <f t="shared" si="8"/>
        <v>83.59</v>
      </c>
      <c r="G18" s="182">
        <f>IF(D18=D17,"",_xlfn.IFNA(VLOOKUP(D18,'인원 입력 기능(사과탐)'!$P$64:$S$116,4,FALSE),0))</f>
        <v>2195</v>
      </c>
      <c r="H18" s="184">
        <f t="shared" si="9"/>
        <v>5.4308830442635528E-2</v>
      </c>
      <c r="I18" s="188">
        <f>SUM($G$7:G18)</f>
        <v>7731</v>
      </c>
      <c r="J18" s="176">
        <f t="shared" si="10"/>
        <v>0.19128089665239875</v>
      </c>
      <c r="K18" s="31"/>
      <c r="L18" s="15" t="str">
        <f t="shared" si="6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187"/>
      <c r="E19" s="187"/>
      <c r="F19" s="181"/>
      <c r="G19" s="183"/>
      <c r="H19" s="185"/>
      <c r="I19" s="189"/>
      <c r="J19" s="177"/>
      <c r="K19" s="31"/>
      <c r="L19" s="15" t="str">
        <f t="shared" si="6"/>
        <v>경고</v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7"/>
        <v>60</v>
      </c>
      <c r="E20" s="54">
        <f t="shared" si="0"/>
        <v>3</v>
      </c>
      <c r="F20" s="55">
        <f t="shared" si="8"/>
        <v>79.88</v>
      </c>
      <c r="G20" s="56">
        <f>IF(D20=D19,"",_xlfn.IFNA(VLOOKUP(D20,'인원 입력 기능(사과탐)'!$P$64:$S$116,4,FALSE),0))</f>
        <v>798</v>
      </c>
      <c r="H20" s="57">
        <f t="shared" si="9"/>
        <v>1.9744167058416012E-2</v>
      </c>
      <c r="I20" s="67">
        <f>SUM($G$7:G20)</f>
        <v>8529</v>
      </c>
      <c r="J20" s="59">
        <f t="shared" si="10"/>
        <v>0.21102506371081475</v>
      </c>
      <c r="K20" s="31"/>
      <c r="L20" s="15" t="str">
        <f t="shared" si="6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7"/>
        <v>59</v>
      </c>
      <c r="E21" s="69">
        <f t="shared" si="0"/>
        <v>3</v>
      </c>
      <c r="F21" s="55">
        <f t="shared" si="8"/>
        <v>77.31</v>
      </c>
      <c r="G21" s="56">
        <f>IF(D21=D20,"",_xlfn.IFNA(VLOOKUP(D21,'인원 입력 기능(사과탐)'!$P$64:$S$116,4,FALSE),0))</f>
        <v>1281</v>
      </c>
      <c r="H21" s="57">
        <f t="shared" si="9"/>
        <v>3.1694583962194128E-2</v>
      </c>
      <c r="I21" s="67">
        <f>SUM($G$7:G21)</f>
        <v>9810</v>
      </c>
      <c r="J21" s="59">
        <f t="shared" si="10"/>
        <v>0.24271964767300888</v>
      </c>
      <c r="K21" s="31"/>
      <c r="L21" s="15" t="str">
        <f t="shared" si="6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7"/>
        <v>58</v>
      </c>
      <c r="E22" s="69">
        <f t="shared" si="0"/>
        <v>4</v>
      </c>
      <c r="F22" s="55">
        <f t="shared" si="8"/>
        <v>74.599999999999994</v>
      </c>
      <c r="G22" s="56">
        <f>IF(D22=D21,"",_xlfn.IFNA(VLOOKUP(D22,'인원 입력 기능(사과탐)'!$P$64:$S$116,4,FALSE),0))</f>
        <v>909</v>
      </c>
      <c r="H22" s="57">
        <f t="shared" si="9"/>
        <v>2.2490536160526511E-2</v>
      </c>
      <c r="I22" s="67">
        <f>SUM($G$7:G22)</f>
        <v>10719</v>
      </c>
      <c r="J22" s="59">
        <f t="shared" si="10"/>
        <v>0.2652101838335354</v>
      </c>
      <c r="K22" s="31"/>
      <c r="L22" s="15" t="str">
        <f t="shared" si="6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7"/>
        <v>57</v>
      </c>
      <c r="E23" s="69">
        <f t="shared" si="0"/>
        <v>4</v>
      </c>
      <c r="F23" s="55">
        <f t="shared" si="8"/>
        <v>72.14</v>
      </c>
      <c r="G23" s="56">
        <f>IF(D23=D22,"",_xlfn.IFNA(VLOOKUP(D23,'인원 입력 기능(사과탐)'!$P$64:$S$116,4,FALSE),0))</f>
        <v>1084</v>
      </c>
      <c r="H23" s="57">
        <f t="shared" si="9"/>
        <v>2.6820397357547567E-2</v>
      </c>
      <c r="I23" s="67">
        <f>SUM($G$7:G23)</f>
        <v>11803</v>
      </c>
      <c r="J23" s="59">
        <f t="shared" si="10"/>
        <v>0.29203058119108294</v>
      </c>
      <c r="K23" s="31"/>
      <c r="L23" s="15" t="str">
        <f t="shared" si="6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7"/>
        <v>56</v>
      </c>
      <c r="E24" s="69">
        <f t="shared" si="0"/>
        <v>4</v>
      </c>
      <c r="F24" s="55">
        <f t="shared" si="8"/>
        <v>69.37</v>
      </c>
      <c r="G24" s="56">
        <f>IF(D24=D23,"",_xlfn.IFNA(VLOOKUP(D24,'인원 입력 기능(사과탐)'!$P$64:$S$116,4,FALSE),0))</f>
        <v>1152</v>
      </c>
      <c r="H24" s="57">
        <f t="shared" si="9"/>
        <v>2.8502857708390034E-2</v>
      </c>
      <c r="I24" s="67">
        <f>SUM($G$7:G24)</f>
        <v>12955</v>
      </c>
      <c r="J24" s="59">
        <f t="shared" si="10"/>
        <v>0.320533438899473</v>
      </c>
      <c r="K24" s="31"/>
      <c r="L24" s="15" t="str">
        <f t="shared" si="6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7"/>
        <v>55</v>
      </c>
      <c r="E25" s="69">
        <f t="shared" si="0"/>
        <v>4</v>
      </c>
      <c r="F25" s="55">
        <f t="shared" si="8"/>
        <v>66.760000000000005</v>
      </c>
      <c r="G25" s="56">
        <f>IF(D25=D24,"",_xlfn.IFNA(VLOOKUP(D25,'인원 입력 기능(사과탐)'!$P$64:$S$116,4,FALSE),0))</f>
        <v>957</v>
      </c>
      <c r="H25" s="57">
        <f t="shared" si="9"/>
        <v>2.3678155231709429E-2</v>
      </c>
      <c r="I25" s="67">
        <f>SUM($G$7:G25)</f>
        <v>13912</v>
      </c>
      <c r="J25" s="59">
        <f t="shared" si="10"/>
        <v>0.34421159413118241</v>
      </c>
      <c r="K25" s="31"/>
      <c r="L25" s="15" t="str">
        <f t="shared" si="6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7"/>
        <v>54</v>
      </c>
      <c r="E26" s="69">
        <f t="shared" si="0"/>
        <v>4</v>
      </c>
      <c r="F26" s="55">
        <f t="shared" si="8"/>
        <v>64.09</v>
      </c>
      <c r="G26" s="56">
        <f>IF(D26=D25,"",_xlfn.IFNA(VLOOKUP(D26,'인원 입력 기능(사과탐)'!$P$64:$S$116,4,FALSE),0))</f>
        <v>1201</v>
      </c>
      <c r="H26" s="57">
        <f t="shared" si="9"/>
        <v>2.9715218843555928E-2</v>
      </c>
      <c r="I26" s="67">
        <f>SUM($G$7:G26)</f>
        <v>15113</v>
      </c>
      <c r="J26" s="59">
        <f t="shared" si="10"/>
        <v>0.37392681297473834</v>
      </c>
      <c r="K26" s="31"/>
      <c r="L26" s="15" t="str">
        <f t="shared" si="6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178">
        <f t="shared" si="7"/>
        <v>53</v>
      </c>
      <c r="E27" s="178">
        <f t="shared" si="0"/>
        <v>4</v>
      </c>
      <c r="F27" s="180">
        <f t="shared" si="8"/>
        <v>59.91</v>
      </c>
      <c r="G27" s="182">
        <f>IF(D27=D26,"",_xlfn.IFNA(VLOOKUP(D27,'인원 입력 기능(사과탐)'!$P$64:$S$116,4,FALSE),0))</f>
        <v>2182</v>
      </c>
      <c r="H27" s="184">
        <f t="shared" si="9"/>
        <v>5.3987183610856818E-2</v>
      </c>
      <c r="I27" s="188">
        <f>SUM($G$7:G27)</f>
        <v>17295</v>
      </c>
      <c r="J27" s="176">
        <f t="shared" si="10"/>
        <v>0.42791399658559515</v>
      </c>
      <c r="K27" s="31"/>
      <c r="L27" s="15" t="str">
        <f t="shared" si="6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79"/>
      <c r="E28" s="179"/>
      <c r="F28" s="181"/>
      <c r="G28" s="183"/>
      <c r="H28" s="185"/>
      <c r="I28" s="189"/>
      <c r="J28" s="177"/>
      <c r="K28" s="31"/>
      <c r="L28" s="15" t="str">
        <f t="shared" si="6"/>
        <v>경고</v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7"/>
        <v>52</v>
      </c>
      <c r="E29" s="69">
        <f t="shared" si="0"/>
        <v>5</v>
      </c>
      <c r="F29" s="55">
        <f t="shared" si="8"/>
        <v>55.72</v>
      </c>
      <c r="G29" s="56">
        <f>IF(D29=D28,"",_xlfn.IFNA(VLOOKUP(D29,'인원 입력 기능(사과탐)'!$P$64:$S$116,4,FALSE),0))</f>
        <v>1204</v>
      </c>
      <c r="H29" s="57">
        <f t="shared" si="9"/>
        <v>2.9789445035504861E-2</v>
      </c>
      <c r="I29" s="67">
        <f>SUM($G$7:G29)</f>
        <v>18499</v>
      </c>
      <c r="J29" s="59">
        <f t="shared" si="10"/>
        <v>0.45770344162110005</v>
      </c>
      <c r="K29" s="31"/>
      <c r="L29" s="15" t="str">
        <f t="shared" si="6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7"/>
        <v>51</v>
      </c>
      <c r="E30" s="69">
        <f t="shared" si="0"/>
        <v>5</v>
      </c>
      <c r="F30" s="55">
        <f t="shared" si="8"/>
        <v>52.84</v>
      </c>
      <c r="G30" s="56">
        <f>IF(D30=D29,"",_xlfn.IFNA(VLOOKUP(D30,'인원 입력 기능(사과탐)'!$P$64:$S$116,4,FALSE),0))</f>
        <v>1123</v>
      </c>
      <c r="H30" s="57">
        <f t="shared" si="9"/>
        <v>2.7785337852883688E-2</v>
      </c>
      <c r="I30" s="67">
        <f>SUM($G$7:G30)</f>
        <v>19622</v>
      </c>
      <c r="J30" s="59">
        <f t="shared" si="10"/>
        <v>0.48548877947398372</v>
      </c>
      <c r="K30" s="31"/>
      <c r="L30" s="15" t="str">
        <f t="shared" si="6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7"/>
        <v>50</v>
      </c>
      <c r="E31" s="69">
        <f t="shared" si="0"/>
        <v>5</v>
      </c>
      <c r="F31" s="55">
        <f t="shared" si="8"/>
        <v>50.02</v>
      </c>
      <c r="G31" s="56">
        <f>IF(D31=D30,"",_xlfn.IFNA(VLOOKUP(D31,'인원 입력 기능(사과탐)'!$P$64:$S$116,4,FALSE),0))</f>
        <v>1156</v>
      </c>
      <c r="H31" s="57">
        <f t="shared" si="9"/>
        <v>2.8601825964321943E-2</v>
      </c>
      <c r="I31" s="67">
        <f>SUM($G$7:G31)</f>
        <v>20778</v>
      </c>
      <c r="J31" s="59">
        <f t="shared" si="10"/>
        <v>0.51409060543830565</v>
      </c>
      <c r="K31" s="31"/>
      <c r="L31" s="15" t="str">
        <f t="shared" si="6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7"/>
        <v>49</v>
      </c>
      <c r="E32" s="69">
        <f t="shared" si="0"/>
        <v>5</v>
      </c>
      <c r="F32" s="55">
        <f t="shared" si="8"/>
        <v>47.26</v>
      </c>
      <c r="G32" s="56">
        <f>IF(D32=D31,"",_xlfn.IFNA(VLOOKUP(D32,'인원 입력 기능(사과탐)'!$P$64:$S$116,4,FALSE),0))</f>
        <v>1078</v>
      </c>
      <c r="H32" s="57">
        <f t="shared" si="9"/>
        <v>2.6671944973649702E-2</v>
      </c>
      <c r="I32" s="67">
        <f>SUM($G$7:G32)</f>
        <v>21856</v>
      </c>
      <c r="J32" s="59">
        <f t="shared" si="10"/>
        <v>0.54076255041195531</v>
      </c>
      <c r="K32" s="31"/>
      <c r="L32" s="15" t="str">
        <f t="shared" si="6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7"/>
        <v>48</v>
      </c>
      <c r="E33" s="69">
        <f t="shared" si="0"/>
        <v>5</v>
      </c>
      <c r="F33" s="55">
        <f t="shared" si="8"/>
        <v>44.53</v>
      </c>
      <c r="G33" s="56">
        <f>IF(D33=D32,"",_xlfn.IFNA(VLOOKUP(D33,'인원 입력 기능(사과탐)'!$P$64:$S$116,4,FALSE),0))</f>
        <v>1130</v>
      </c>
      <c r="H33" s="57">
        <f t="shared" si="9"/>
        <v>2.7958532300764529E-2</v>
      </c>
      <c r="I33" s="67">
        <f>SUM($G$7:G33)</f>
        <v>22986</v>
      </c>
      <c r="J33" s="59">
        <f t="shared" si="10"/>
        <v>0.56872108271271993</v>
      </c>
      <c r="K33" s="31"/>
      <c r="L33" s="15" t="str">
        <f t="shared" si="6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7"/>
        <v>47</v>
      </c>
      <c r="E34" s="69">
        <f t="shared" si="0"/>
        <v>5</v>
      </c>
      <c r="F34" s="55">
        <f t="shared" si="8"/>
        <v>41.71</v>
      </c>
      <c r="G34" s="56">
        <f>IF(D34=D33,"",_xlfn.IFNA(VLOOKUP(D34,'인원 입력 기능(사과탐)'!$P$64:$S$116,4,FALSE),0))</f>
        <v>1149</v>
      </c>
      <c r="H34" s="57">
        <f t="shared" si="9"/>
        <v>2.8428631516441101E-2</v>
      </c>
      <c r="I34" s="67">
        <f>SUM($G$7:G34)</f>
        <v>24135</v>
      </c>
      <c r="J34" s="59">
        <f t="shared" si="10"/>
        <v>0.59714971422916097</v>
      </c>
      <c r="K34" s="31"/>
      <c r="L34" s="15" t="str">
        <f t="shared" si="6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178">
        <f t="shared" si="7"/>
        <v>46</v>
      </c>
      <c r="E35" s="178">
        <f t="shared" si="0"/>
        <v>5</v>
      </c>
      <c r="F35" s="180">
        <f t="shared" si="8"/>
        <v>37.56</v>
      </c>
      <c r="G35" s="182">
        <f>IF(D35=D34,"",_xlfn.IFNA(VLOOKUP(D35,'인원 입력 기능(사과탐)'!$P$64:$S$116,4,FALSE),0))</f>
        <v>2204</v>
      </c>
      <c r="H35" s="184">
        <f t="shared" si="9"/>
        <v>5.4531509018482319E-2</v>
      </c>
      <c r="I35" s="188">
        <f>SUM($G$7:G35)</f>
        <v>26339</v>
      </c>
      <c r="J35" s="176">
        <f t="shared" si="10"/>
        <v>0.65168122324764333</v>
      </c>
      <c r="K35" s="31"/>
      <c r="L35" s="15" t="str">
        <f t="shared" si="6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179"/>
      <c r="E36" s="179"/>
      <c r="F36" s="181"/>
      <c r="G36" s="183"/>
      <c r="H36" s="185"/>
      <c r="I36" s="189"/>
      <c r="J36" s="177"/>
      <c r="K36" s="31"/>
      <c r="L36" s="15" t="str">
        <f t="shared" si="6"/>
        <v>경고</v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7"/>
        <v>45</v>
      </c>
      <c r="E37" s="69">
        <f t="shared" si="0"/>
        <v>6</v>
      </c>
      <c r="F37" s="55">
        <f t="shared" si="8"/>
        <v>33.479999999999997</v>
      </c>
      <c r="G37" s="56">
        <f>IF(D37=D36,"",_xlfn.IFNA(VLOOKUP(D37,'인원 입력 기능(사과탐)'!$P$64:$S$116,4,FALSE),0))</f>
        <v>1092</v>
      </c>
      <c r="H37" s="57">
        <f t="shared" si="9"/>
        <v>2.7018333869411385E-2</v>
      </c>
      <c r="I37" s="67">
        <f>SUM($G$7:G37)</f>
        <v>27431</v>
      </c>
      <c r="J37" s="59">
        <f t="shared" si="10"/>
        <v>0.67869955711705465</v>
      </c>
      <c r="K37" s="31"/>
      <c r="L37" s="15" t="str">
        <f t="shared" si="6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7"/>
        <v>44</v>
      </c>
      <c r="E38" s="69">
        <f t="shared" si="0"/>
        <v>6</v>
      </c>
      <c r="F38" s="55">
        <f t="shared" si="8"/>
        <v>30.84</v>
      </c>
      <c r="G38" s="56">
        <f>IF(D38=D37,"",_xlfn.IFNA(VLOOKUP(D38,'인원 입력 기능(사과탐)'!$P$64:$S$116,4,FALSE),0))</f>
        <v>1040</v>
      </c>
      <c r="H38" s="57">
        <f t="shared" si="9"/>
        <v>2.5731746542296558E-2</v>
      </c>
      <c r="I38" s="67">
        <f>SUM($G$7:G38)</f>
        <v>28471</v>
      </c>
      <c r="J38" s="59">
        <f t="shared" si="10"/>
        <v>0.70443130365935125</v>
      </c>
      <c r="K38" s="31"/>
      <c r="L38" s="15" t="str">
        <f t="shared" si="6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7"/>
        <v>43</v>
      </c>
      <c r="E39" s="69">
        <f t="shared" ref="E39:E57" si="11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8"/>
        <v>28.16</v>
      </c>
      <c r="G39" s="56">
        <f>IF(D39=D38,"",_xlfn.IFNA(VLOOKUP(D39,'인원 입력 기능(사과탐)'!$P$64:$S$116,4,FALSE),0))</f>
        <v>1129</v>
      </c>
      <c r="H39" s="57">
        <f t="shared" si="9"/>
        <v>2.7933790236781553E-2</v>
      </c>
      <c r="I39" s="67">
        <f>SUM($G$7:G39)</f>
        <v>29600</v>
      </c>
      <c r="J39" s="59">
        <f t="shared" si="10"/>
        <v>0.7323650938961328</v>
      </c>
      <c r="K39" s="31"/>
      <c r="L39" s="15" t="str">
        <f t="shared" si="6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7"/>
        <v>42</v>
      </c>
      <c r="E40" s="69">
        <f t="shared" si="11"/>
        <v>6</v>
      </c>
      <c r="F40" s="55">
        <f t="shared" si="8"/>
        <v>25.56</v>
      </c>
      <c r="G40" s="56">
        <f>IF(D40=D39,"",_xlfn.IFNA(VLOOKUP(D40,'인원 입력 기능(사과탐)'!$P$64:$S$116,4,FALSE),0))</f>
        <v>975</v>
      </c>
      <c r="H40" s="57">
        <f t="shared" si="9"/>
        <v>2.4123512383403024E-2</v>
      </c>
      <c r="I40" s="67">
        <f>SUM($G$7:G40)</f>
        <v>30575</v>
      </c>
      <c r="J40" s="59">
        <f t="shared" si="10"/>
        <v>0.75648860627953585</v>
      </c>
      <c r="K40" s="31"/>
      <c r="L40" s="15" t="str">
        <f t="shared" si="6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7"/>
        <v>41</v>
      </c>
      <c r="E41" s="69">
        <f t="shared" si="11"/>
        <v>6</v>
      </c>
      <c r="F41" s="55">
        <f t="shared" si="8"/>
        <v>23.12</v>
      </c>
      <c r="G41" s="56">
        <f>IF(D41=D40,"",_xlfn.IFNA(VLOOKUP(D41,'인원 입력 기능(사과탐)'!$P$64:$S$116,4,FALSE),0))</f>
        <v>998</v>
      </c>
      <c r="H41" s="57">
        <f t="shared" si="9"/>
        <v>2.4692579855011505E-2</v>
      </c>
      <c r="I41" s="67">
        <f>SUM($G$7:G41)</f>
        <v>31573</v>
      </c>
      <c r="J41" s="59">
        <f t="shared" si="10"/>
        <v>0.78118118613454735</v>
      </c>
      <c r="K41" s="31"/>
      <c r="L41" s="15" t="str">
        <f t="shared" si="6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7"/>
        <v>40</v>
      </c>
      <c r="E42" s="69">
        <f t="shared" si="11"/>
        <v>7</v>
      </c>
      <c r="F42" s="55">
        <f t="shared" si="8"/>
        <v>20.75</v>
      </c>
      <c r="G42" s="56">
        <f>IF(D42=D41,"",_xlfn.IFNA(VLOOKUP(D42,'인원 입력 기능(사과탐)'!$P$64:$S$116,4,FALSE),0))</f>
        <v>911</v>
      </c>
      <c r="H42" s="57">
        <f t="shared" si="9"/>
        <v>2.2540020288492467E-2</v>
      </c>
      <c r="I42" s="67">
        <f>SUM($G$7:G42)</f>
        <v>32484</v>
      </c>
      <c r="J42" s="59">
        <f t="shared" si="10"/>
        <v>0.80372120642303979</v>
      </c>
      <c r="K42" s="31"/>
      <c r="L42" s="15" t="str">
        <f t="shared" si="6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7"/>
        <v>39</v>
      </c>
      <c r="E43" s="69">
        <f t="shared" si="11"/>
        <v>7</v>
      </c>
      <c r="F43" s="55">
        <f t="shared" si="8"/>
        <v>17.670000000000002</v>
      </c>
      <c r="G43" s="56">
        <f>IF(D43=D42,"",_xlfn.IFNA(VLOOKUP(D43,'인원 입력 기능(사과탐)'!$P$64:$S$116,4,FALSE),0))</f>
        <v>1585</v>
      </c>
      <c r="H43" s="57">
        <f t="shared" si="9"/>
        <v>3.9216171413019273E-2</v>
      </c>
      <c r="I43" s="67">
        <f>SUM($G$7:G43)</f>
        <v>34069</v>
      </c>
      <c r="J43" s="59">
        <f t="shared" si="10"/>
        <v>0.84293737783605904</v>
      </c>
      <c r="K43" s="31"/>
      <c r="L43" s="15" t="str">
        <f t="shared" si="6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178">
        <f t="shared" si="7"/>
        <v>38</v>
      </c>
      <c r="E44" s="178">
        <f t="shared" si="11"/>
        <v>7</v>
      </c>
      <c r="F44" s="180">
        <f t="shared" si="8"/>
        <v>13.7</v>
      </c>
      <c r="G44" s="182">
        <f>IF(D44=D43,"",_xlfn.IFNA(VLOOKUP(D44,'인원 입력 기능(사과탐)'!$P$64:$S$116,4,FALSE),0))</f>
        <v>1623</v>
      </c>
      <c r="H44" s="184">
        <f t="shared" si="9"/>
        <v>4.0156369844372417E-2</v>
      </c>
      <c r="I44" s="188">
        <f>SUM($G$7:G44)</f>
        <v>35692</v>
      </c>
      <c r="J44" s="176">
        <f t="shared" si="10"/>
        <v>0.88309374768043147</v>
      </c>
      <c r="K44" s="31"/>
      <c r="L44" s="15" t="str">
        <f t="shared" si="6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179"/>
      <c r="E45" s="179"/>
      <c r="F45" s="181"/>
      <c r="G45" s="183"/>
      <c r="H45" s="185"/>
      <c r="I45" s="189"/>
      <c r="J45" s="177"/>
      <c r="K45" s="31"/>
      <c r="L45" s="15" t="str">
        <f t="shared" si="6"/>
        <v>경고</v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7"/>
        <v>37</v>
      </c>
      <c r="E46" s="69">
        <f t="shared" si="11"/>
        <v>7</v>
      </c>
      <c r="F46" s="55">
        <f t="shared" si="8"/>
        <v>10.73</v>
      </c>
      <c r="G46" s="56">
        <f>IF(D46=D45,"",_xlfn.IFNA(VLOOKUP(D46,'인원 입력 기능(사과탐)'!$P$64:$S$116,4,FALSE),0))</f>
        <v>774</v>
      </c>
      <c r="H46" s="57">
        <f t="shared" si="9"/>
        <v>1.9150357522824554E-2</v>
      </c>
      <c r="I46" s="67">
        <f>SUM($G$7:G46)</f>
        <v>36466</v>
      </c>
      <c r="J46" s="59">
        <f t="shared" si="10"/>
        <v>0.90224410520325604</v>
      </c>
      <c r="K46" s="31"/>
      <c r="L46" s="15" t="str">
        <f t="shared" si="6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7"/>
        <v>36</v>
      </c>
      <c r="E47" s="69">
        <f t="shared" si="11"/>
        <v>8</v>
      </c>
      <c r="F47" s="55">
        <f t="shared" si="8"/>
        <v>9.01</v>
      </c>
      <c r="G47" s="56">
        <f>IF(D47=D46,"",_xlfn.IFNA(VLOOKUP(D47,'인원 입력 기능(사과탐)'!$P$64:$S$116,4,FALSE),0))</f>
        <v>622</v>
      </c>
      <c r="H47" s="57">
        <f t="shared" si="9"/>
        <v>1.538956379741198E-2</v>
      </c>
      <c r="I47" s="67">
        <f>SUM($G$7:G47)</f>
        <v>37088</v>
      </c>
      <c r="J47" s="59">
        <f t="shared" si="10"/>
        <v>0.91763366900066801</v>
      </c>
      <c r="K47" s="31"/>
      <c r="L47" s="15" t="str">
        <f t="shared" si="6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7"/>
        <v>35</v>
      </c>
      <c r="E48" s="69">
        <f t="shared" si="11"/>
        <v>8</v>
      </c>
      <c r="F48" s="55">
        <f t="shared" si="8"/>
        <v>6.47</v>
      </c>
      <c r="G48" s="56">
        <f>IF(D48=D47,"",_xlfn.IFNA(VLOOKUP(D48,'인원 입력 기능(사과탐)'!$P$64:$S$116,4,FALSE),0))</f>
        <v>1431</v>
      </c>
      <c r="H48" s="57">
        <f t="shared" si="9"/>
        <v>3.5405893559640744E-2</v>
      </c>
      <c r="I48" s="67">
        <f>SUM($G$7:G48)</f>
        <v>38519</v>
      </c>
      <c r="J48" s="59">
        <f t="shared" si="10"/>
        <v>0.95303956256030875</v>
      </c>
      <c r="K48" s="31"/>
      <c r="L48" s="15" t="str">
        <f t="shared" si="6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7"/>
        <v>34</v>
      </c>
      <c r="E49" s="69">
        <f t="shared" si="11"/>
        <v>8</v>
      </c>
      <c r="F49" s="55">
        <f t="shared" si="8"/>
        <v>4.18</v>
      </c>
      <c r="G49" s="56">
        <f>IF(D49=D48,"",_xlfn.IFNA(VLOOKUP(D49,'인원 입력 기능(사과탐)'!$P$64:$S$116,4,FALSE),0))</f>
        <v>417</v>
      </c>
      <c r="H49" s="57">
        <f t="shared" si="9"/>
        <v>1.0317440680901601E-2</v>
      </c>
      <c r="I49" s="67">
        <f>SUM($G$7:G49)</f>
        <v>38936</v>
      </c>
      <c r="J49" s="59">
        <f t="shared" si="10"/>
        <v>0.96335700324121043</v>
      </c>
      <c r="K49" s="31"/>
      <c r="L49" s="15" t="str">
        <f t="shared" si="6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7"/>
        <v>33</v>
      </c>
      <c r="E50" s="69">
        <f t="shared" si="11"/>
        <v>9</v>
      </c>
      <c r="F50" s="55">
        <f t="shared" si="8"/>
        <v>2.89</v>
      </c>
      <c r="G50" s="56">
        <f>IF(D50=D49,"",_xlfn.IFNA(VLOOKUP(D50,'인원 입력 기능(사과탐)'!$P$64:$S$116,4,FALSE),0))</f>
        <v>628</v>
      </c>
      <c r="H50" s="57">
        <f t="shared" si="9"/>
        <v>1.5538016181309846E-2</v>
      </c>
      <c r="I50" s="67">
        <f>SUM($G$7:G50)</f>
        <v>39564</v>
      </c>
      <c r="J50" s="59">
        <f t="shared" si="10"/>
        <v>0.97889501942252022</v>
      </c>
      <c r="K50" s="31"/>
      <c r="L50" s="15" t="str">
        <f t="shared" si="6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7"/>
        <v>32</v>
      </c>
      <c r="E51" s="69">
        <f t="shared" si="11"/>
        <v>9</v>
      </c>
      <c r="F51" s="55">
        <f t="shared" si="8"/>
        <v>1.75</v>
      </c>
      <c r="G51" s="56">
        <f>IF(D51=D50,"",_xlfn.IFNA(VLOOKUP(D51,'인원 입력 기능(사과탐)'!$P$64:$S$116,4,FALSE),0))</f>
        <v>291</v>
      </c>
      <c r="H51" s="57">
        <f t="shared" si="9"/>
        <v>7.199940619046441E-3</v>
      </c>
      <c r="I51" s="67">
        <f>SUM($G$7:G51)</f>
        <v>39855</v>
      </c>
      <c r="J51" s="59">
        <f t="shared" si="10"/>
        <v>0.98609496004156671</v>
      </c>
      <c r="K51" s="31"/>
      <c r="L51" s="15" t="str">
        <f t="shared" si="6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178">
        <f t="shared" si="7"/>
        <v>31</v>
      </c>
      <c r="E52" s="178">
        <f t="shared" si="11"/>
        <v>9</v>
      </c>
      <c r="F52" s="180">
        <f t="shared" si="8"/>
        <v>0.91</v>
      </c>
      <c r="G52" s="182">
        <f>IF(D52=D51,"",_xlfn.IFNA(VLOOKUP(D52,'인원 입력 기능(사과탐)'!$P$64:$S$116,4,FALSE),0))</f>
        <v>386</v>
      </c>
      <c r="H52" s="184">
        <f t="shared" si="9"/>
        <v>9.550436697429299E-3</v>
      </c>
      <c r="I52" s="188">
        <f>SUM($G$7:G52)</f>
        <v>40241</v>
      </c>
      <c r="J52" s="176">
        <f t="shared" si="10"/>
        <v>0.99564539673899599</v>
      </c>
      <c r="K52" s="31"/>
      <c r="L52" s="15" t="str">
        <f t="shared" si="6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179"/>
      <c r="E53" s="179"/>
      <c r="F53" s="181"/>
      <c r="G53" s="183"/>
      <c r="H53" s="185"/>
      <c r="I53" s="189"/>
      <c r="J53" s="177"/>
      <c r="K53" s="31"/>
      <c r="L53" s="15" t="str">
        <f t="shared" si="6"/>
        <v>경고</v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7"/>
        <v>30</v>
      </c>
      <c r="E54" s="54">
        <f t="shared" si="11"/>
        <v>9</v>
      </c>
      <c r="F54" s="55">
        <f t="shared" si="8"/>
        <v>0.34</v>
      </c>
      <c r="G54" s="56">
        <f>IF(D54=D53,"",_xlfn.IFNA(VLOOKUP(D54,'인원 입력 기능(사과탐)'!$P$64:$S$116,4,FALSE),0))</f>
        <v>78</v>
      </c>
      <c r="H54" s="57">
        <f t="shared" si="9"/>
        <v>1.9298809906722419E-3</v>
      </c>
      <c r="I54" s="67">
        <f>SUM($G$7:G54)</f>
        <v>40319</v>
      </c>
      <c r="J54" s="59">
        <f t="shared" si="10"/>
        <v>0.99757527772966825</v>
      </c>
      <c r="K54" s="31"/>
      <c r="L54" s="15" t="str">
        <f t="shared" si="6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7"/>
        <v>29</v>
      </c>
      <c r="E55" s="54">
        <f t="shared" si="11"/>
        <v>9</v>
      </c>
      <c r="F55" s="55">
        <f t="shared" si="8"/>
        <v>0.14000000000000001</v>
      </c>
      <c r="G55" s="56">
        <f>IF(D55=D54,"",_xlfn.IFNA(VLOOKUP(D55,'인원 입력 기능(사과탐)'!$P$64:$S$116,4,FALSE),0))</f>
        <v>81</v>
      </c>
      <c r="H55" s="57">
        <f t="shared" si="9"/>
        <v>2.0041071826211745E-3</v>
      </c>
      <c r="I55" s="67">
        <f>SUM($G$7:G55)</f>
        <v>40400</v>
      </c>
      <c r="J55" s="59">
        <f t="shared" si="10"/>
        <v>0.99957938491228937</v>
      </c>
      <c r="K55" s="31"/>
      <c r="L55" s="15" t="str">
        <f t="shared" si="6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27</v>
      </c>
      <c r="E57" s="107">
        <f t="shared" si="11"/>
        <v>9</v>
      </c>
      <c r="F57" s="74">
        <f>IF(I55=0,ROUND(100*(1-(I54+I57)/2/$J$3),2),ROUND(100*(1-(I55+I57)/2/$J$3),2))</f>
        <v>0.02</v>
      </c>
      <c r="G57" s="108">
        <f>_xlfn.IFNA(VLOOKUP(D57,'인원 입력 기능(사과탐)'!$P$64:$S$116,4,FALSE),0)</f>
        <v>17</v>
      </c>
      <c r="H57" s="76">
        <f>G57/$J$3</f>
        <v>4.2061508771061682E-4</v>
      </c>
      <c r="I57" s="77">
        <f>SUM($G$7:G57)</f>
        <v>40417</v>
      </c>
      <c r="J57" s="109">
        <f>I57/$J$3</f>
        <v>1</v>
      </c>
      <c r="K57" s="31"/>
      <c r="L57" s="15" t="str">
        <f t="shared" si="6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J10:J11"/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I18:I19"/>
    <mergeCell ref="J18:J19"/>
    <mergeCell ref="D27:D28"/>
    <mergeCell ref="E27:E28"/>
    <mergeCell ref="F27:F28"/>
    <mergeCell ref="G27:G28"/>
    <mergeCell ref="H27:H28"/>
    <mergeCell ref="I27:I28"/>
    <mergeCell ref="J27:J28"/>
    <mergeCell ref="D18:D19"/>
    <mergeCell ref="E18:E19"/>
    <mergeCell ref="F18:F19"/>
    <mergeCell ref="G18:G19"/>
    <mergeCell ref="H18:H19"/>
    <mergeCell ref="I35:I36"/>
    <mergeCell ref="J35:J36"/>
    <mergeCell ref="D44:D45"/>
    <mergeCell ref="E44:E45"/>
    <mergeCell ref="F44:F45"/>
    <mergeCell ref="G44:G45"/>
    <mergeCell ref="H44:H45"/>
    <mergeCell ref="I44:I45"/>
    <mergeCell ref="J44:J45"/>
    <mergeCell ref="D35:D36"/>
    <mergeCell ref="E35:E36"/>
    <mergeCell ref="F35:F36"/>
    <mergeCell ref="G35:G36"/>
    <mergeCell ref="H35:H36"/>
    <mergeCell ref="I52:I53"/>
    <mergeCell ref="J52:J53"/>
    <mergeCell ref="D52:D53"/>
    <mergeCell ref="E52:E53"/>
    <mergeCell ref="F52:F53"/>
    <mergeCell ref="G52:G53"/>
    <mergeCell ref="H52:H53"/>
  </mergeCells>
  <phoneticPr fontId="1" type="noConversion"/>
  <conditionalFormatting sqref="D20:G27 I20:J27 D29:G35 I29:J35 D37:G44 I37:J44 D46:G52 I46:J52 D54:G57 I54:J57 D7:G10 I7:J10 D12:G18 I12:J18">
    <cfRule type="expression" dxfId="4" priority="4">
      <formula>OR($D7=$Q$7:$Q$14)</formula>
    </cfRule>
  </conditionalFormatting>
  <conditionalFormatting sqref="C7:C57">
    <cfRule type="expression" dxfId="25" priority="3">
      <formula>OR(AND($D7=0,OR($D6=$Q$7:$Q$14)),AND($D8&gt;0,OR($D7=$Q$7:$Q$14)))</formula>
    </cfRule>
  </conditionalFormatting>
  <conditionalFormatting sqref="D20:D27 D29:D35 D37:D44 D46:D52 D54:D57 D7:D10 D12:D18">
    <cfRule type="expression" dxfId="3" priority="2">
      <formula>$D7=$D8</formula>
    </cfRule>
  </conditionalFormatting>
  <conditionalFormatting sqref="H20:H27 H29:H35 H37:H44 H46:H52 H54:H57 H7:H10 H12:H18">
    <cfRule type="expression" dxfId="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기능'!D16</f>
        <v>28.11</v>
      </c>
      <c r="I3" s="16" t="s">
        <v>70</v>
      </c>
      <c r="J3" s="45">
        <f>'통계 및 응시자 수 입력 기능'!C16</f>
        <v>59231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96</v>
      </c>
      <c r="E4" s="169"/>
      <c r="F4" s="170"/>
      <c r="G4" s="47" t="s">
        <v>73</v>
      </c>
      <c r="H4" s="48" t="str">
        <f>'통계 및 응시자 수 입력 기능'!E16</f>
        <v xml:space="preserve"> 9.26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74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99.83</v>
      </c>
      <c r="G7" s="56">
        <f>_xlfn.IFNA(VLOOKUP(D7,'인원 입력 기능(사과탐)'!$A$121:$D$172,4,FALSE),0)</f>
        <v>206</v>
      </c>
      <c r="H7" s="57">
        <f>G7/$J$3</f>
        <v>3.4779085276291132E-3</v>
      </c>
      <c r="I7" s="58">
        <f>G7</f>
        <v>206</v>
      </c>
      <c r="J7" s="59">
        <f>I7/$J$3</f>
        <v>3.4779085276291132E-3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기능'!C112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기능'!C113</f>
        <v>62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71</v>
      </c>
      <c r="E9" s="54">
        <f t="shared" si="0"/>
        <v>1</v>
      </c>
      <c r="F9" s="55">
        <f>IF(I8=0,ROUND(100*(1-(I7+I9)/2/$J$3),2),ROUND(100*(1-(I8+I9)/2/$J$3),2))</f>
        <v>99.52</v>
      </c>
      <c r="G9" s="56">
        <f>_xlfn.IFNA(VLOOKUP(D9,'인원 입력 기능(사과탐)'!$A$121:$D$172,4,FALSE),0)</f>
        <v>158</v>
      </c>
      <c r="H9" s="57">
        <f t="shared" ref="H9:H55" si="1">G9/$J$3</f>
        <v>2.6675220745893198E-3</v>
      </c>
      <c r="I9" s="67">
        <f>SUM($G$7:G9)</f>
        <v>364</v>
      </c>
      <c r="J9" s="59">
        <f>I9/$J$3</f>
        <v>6.1454306022184326E-3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기능'!C114</f>
        <v>57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70</v>
      </c>
      <c r="E10" s="54">
        <f t="shared" si="0"/>
        <v>1</v>
      </c>
      <c r="F10" s="55">
        <f t="shared" ref="F10:F55" si="4">IF(I9=0,ROUND(100*(1-(I8+I10)/2/$J$3),2),ROUND(100*(1-(I9+I10)/2/$J$3),2))</f>
        <v>99.09</v>
      </c>
      <c r="G10" s="56">
        <f>IF(D10=D9,"",_xlfn.IFNA(VLOOKUP(D10,'인원 입력 기능(사과탐)'!$A$121:$D$172,4,FALSE),0))</f>
        <v>351</v>
      </c>
      <c r="H10" s="57">
        <f t="shared" si="1"/>
        <v>5.9259509378534886E-3</v>
      </c>
      <c r="I10" s="67">
        <f>SUM($G$7:G10)</f>
        <v>715</v>
      </c>
      <c r="J10" s="59">
        <f t="shared" ref="J10:J55" si="5">I10/$J$3</f>
        <v>1.2071381540071922E-2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기능'!C115</f>
        <v>53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69</v>
      </c>
      <c r="E11" s="54">
        <f t="shared" si="0"/>
        <v>1</v>
      </c>
      <c r="F11" s="55">
        <f t="shared" si="4"/>
        <v>98.77</v>
      </c>
      <c r="G11" s="56">
        <f>IF(D11=D10,"",_xlfn.IFNA(VLOOKUP(D11,'인원 입력 기능(사과탐)'!$A$121:$D$172,4,FALSE),0))</f>
        <v>31</v>
      </c>
      <c r="H11" s="57">
        <f t="shared" si="1"/>
        <v>5.2337458425486655E-4</v>
      </c>
      <c r="I11" s="67">
        <f>SUM($G$7:G11)</f>
        <v>746</v>
      </c>
      <c r="J11" s="59">
        <f t="shared" si="5"/>
        <v>1.2594756124326789E-2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기능'!C116</f>
        <v>49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68</v>
      </c>
      <c r="E12" s="54">
        <f t="shared" si="0"/>
        <v>1</v>
      </c>
      <c r="F12" s="55">
        <f t="shared" si="4"/>
        <v>98.3</v>
      </c>
      <c r="G12" s="56">
        <f>IF(D12=D11,"",_xlfn.IFNA(VLOOKUP(D12,'인원 입력 기능(사과탐)'!$A$121:$D$172,4,FALSE),0))</f>
        <v>524</v>
      </c>
      <c r="H12" s="57">
        <f t="shared" si="1"/>
        <v>8.8467187790177444E-3</v>
      </c>
      <c r="I12" s="67">
        <f>SUM($G$7:G12)</f>
        <v>1270</v>
      </c>
      <c r="J12" s="59">
        <f t="shared" si="5"/>
        <v>2.1441474903344533E-2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기능'!C117</f>
        <v>43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67</v>
      </c>
      <c r="E13" s="54">
        <f t="shared" si="0"/>
        <v>1</v>
      </c>
      <c r="F13" s="55">
        <f t="shared" si="4"/>
        <v>97.35</v>
      </c>
      <c r="G13" s="56">
        <f>IF(D13=D12,"",_xlfn.IFNA(VLOOKUP(D13,'인원 입력 기능(사과탐)'!$A$121:$D$172,4,FALSE),0))</f>
        <v>601</v>
      </c>
      <c r="H13" s="57">
        <f t="shared" si="1"/>
        <v>1.0146713714102413E-2</v>
      </c>
      <c r="I13" s="67">
        <f>SUM($G$7:G13)</f>
        <v>1871</v>
      </c>
      <c r="J13" s="59">
        <f t="shared" si="5"/>
        <v>3.1588188617446944E-2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기능'!C118</f>
        <v>36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66</v>
      </c>
      <c r="E14" s="54">
        <f t="shared" si="0"/>
        <v>1</v>
      </c>
      <c r="F14" s="55">
        <f t="shared" si="4"/>
        <v>96.62</v>
      </c>
      <c r="G14" s="56">
        <f>IF(D14=D13,"",_xlfn.IFNA(VLOOKUP(D14,'인원 입력 기능(사과탐)'!$A$121:$D$172,4,FALSE),0))</f>
        <v>264</v>
      </c>
      <c r="H14" s="57">
        <f t="shared" si="1"/>
        <v>4.4571254917188637E-3</v>
      </c>
      <c r="I14" s="67">
        <f>SUM($G$7:G14)</f>
        <v>2135</v>
      </c>
      <c r="J14" s="59">
        <f t="shared" si="5"/>
        <v>3.604531410916581E-2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기능'!C119</f>
        <v>30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65</v>
      </c>
      <c r="E15" s="54">
        <f t="shared" si="0"/>
        <v>1</v>
      </c>
      <c r="F15" s="55">
        <f t="shared" si="4"/>
        <v>95.34</v>
      </c>
      <c r="G15" s="56">
        <f>IF(D15=D14,"",_xlfn.IFNA(VLOOKUP(D15,'인원 입력 기능(사과탐)'!$A$121:$D$172,4,FALSE),0))</f>
        <v>1254</v>
      </c>
      <c r="H15" s="57">
        <f t="shared" si="1"/>
        <v>2.1171346085664601E-2</v>
      </c>
      <c r="I15" s="67">
        <f>SUM($G$7:G15)</f>
        <v>3389</v>
      </c>
      <c r="J15" s="59">
        <f t="shared" si="5"/>
        <v>5.7216660194830411E-2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64</v>
      </c>
      <c r="E16" s="54">
        <f t="shared" si="0"/>
        <v>2</v>
      </c>
      <c r="F16" s="55">
        <f t="shared" si="4"/>
        <v>93.47</v>
      </c>
      <c r="G16" s="56">
        <f>IF(D16=D15,"",_xlfn.IFNA(VLOOKUP(D16,'인원 입력 기능(사과탐)'!$A$121:$D$172,4,FALSE),0))</f>
        <v>953</v>
      </c>
      <c r="H16" s="57">
        <f t="shared" si="1"/>
        <v>1.6089547703060897E-2</v>
      </c>
      <c r="I16" s="67">
        <f>SUM($G$7:G16)</f>
        <v>4342</v>
      </c>
      <c r="J16" s="59">
        <f t="shared" si="5"/>
        <v>7.3306207897891301E-2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63</v>
      </c>
      <c r="E17" s="54">
        <f t="shared" si="0"/>
        <v>2</v>
      </c>
      <c r="F17" s="55">
        <f t="shared" si="4"/>
        <v>91.99</v>
      </c>
      <c r="G17" s="56">
        <f>IF(D17=D16,"",_xlfn.IFNA(VLOOKUP(D17,'인원 입력 기능(사과탐)'!$A$121:$D$172,4,FALSE),0))</f>
        <v>805</v>
      </c>
      <c r="H17" s="57">
        <f t="shared" si="1"/>
        <v>1.3590856139521535E-2</v>
      </c>
      <c r="I17" s="67">
        <f>SUM($G$7:G17)</f>
        <v>5147</v>
      </c>
      <c r="J17" s="59">
        <f t="shared" si="5"/>
        <v>8.6897064037412847E-2</v>
      </c>
      <c r="K17" s="31"/>
      <c r="L17" s="15" t="str">
        <f t="shared" si="2"/>
        <v/>
      </c>
      <c r="N17" s="19"/>
      <c r="Q17" s="19">
        <f>Q7*H3*H4*J3*IFERROR(IF(J57=1, 1, 0), 0)</f>
        <v>1002153514.479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62</v>
      </c>
      <c r="E18" s="54">
        <f t="shared" si="0"/>
        <v>2</v>
      </c>
      <c r="F18" s="55">
        <f t="shared" si="4"/>
        <v>89.4</v>
      </c>
      <c r="G18" s="56">
        <f>IF(D18=D17,"",_xlfn.IFNA(VLOOKUP(D18,'인원 입력 기능(사과탐)'!$A$121:$D$172,4,FALSE),0))</f>
        <v>2267</v>
      </c>
      <c r="H18" s="57">
        <f t="shared" si="1"/>
        <v>3.8273876855025243E-2</v>
      </c>
      <c r="I18" s="67">
        <f>SUM($G$7:G18)</f>
        <v>7414</v>
      </c>
      <c r="J18" s="59">
        <f t="shared" si="5"/>
        <v>0.12517094089243808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61</v>
      </c>
      <c r="E19" s="54">
        <f t="shared" si="0"/>
        <v>3</v>
      </c>
      <c r="F19" s="55">
        <f t="shared" si="4"/>
        <v>86.51</v>
      </c>
      <c r="G19" s="56">
        <f>IF(D19=D18,"",_xlfn.IFNA(VLOOKUP(D19,'인원 입력 기능(사과탐)'!$A$121:$D$172,4,FALSE),0))</f>
        <v>1149</v>
      </c>
      <c r="H19" s="57">
        <f t="shared" si="1"/>
        <v>1.9398625719640055E-2</v>
      </c>
      <c r="I19" s="67">
        <f>SUM($G$7:G19)</f>
        <v>8563</v>
      </c>
      <c r="J19" s="59">
        <f t="shared" si="5"/>
        <v>0.14456956661207815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60</v>
      </c>
      <c r="E20" s="54">
        <f t="shared" si="0"/>
        <v>3</v>
      </c>
      <c r="F20" s="55">
        <f t="shared" si="4"/>
        <v>83.91</v>
      </c>
      <c r="G20" s="56">
        <f>IF(D20=D19,"",_xlfn.IFNA(VLOOKUP(D20,'인원 입력 기능(사과탐)'!$A$121:$D$172,4,FALSE),0))</f>
        <v>1931</v>
      </c>
      <c r="H20" s="57">
        <f t="shared" si="1"/>
        <v>3.2601171683746689E-2</v>
      </c>
      <c r="I20" s="67">
        <f>SUM($G$7:G20)</f>
        <v>10494</v>
      </c>
      <c r="J20" s="59">
        <f t="shared" si="5"/>
        <v>0.17717073829582483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59</v>
      </c>
      <c r="E21" s="69">
        <f t="shared" si="0"/>
        <v>3</v>
      </c>
      <c r="F21" s="55">
        <f t="shared" si="4"/>
        <v>79.84</v>
      </c>
      <c r="G21" s="56">
        <f>IF(D21=D20,"",_xlfn.IFNA(VLOOKUP(D21,'인원 입력 기능(사과탐)'!$A$121:$D$172,4,FALSE),0))</f>
        <v>2895</v>
      </c>
      <c r="H21" s="57">
        <f t="shared" si="1"/>
        <v>4.8876432948962538E-2</v>
      </c>
      <c r="I21" s="67">
        <f>SUM($G$7:G21)</f>
        <v>13389</v>
      </c>
      <c r="J21" s="59">
        <f t="shared" si="5"/>
        <v>0.22604717124478735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57</v>
      </c>
      <c r="E22" s="69">
        <f t="shared" si="0"/>
        <v>3</v>
      </c>
      <c r="F22" s="55">
        <f t="shared" si="4"/>
        <v>76.08</v>
      </c>
      <c r="G22" s="56">
        <f>IF(D22=D21,"",_xlfn.IFNA(VLOOKUP(D22,'인원 입력 기능(사과탐)'!$A$121:$D$172,4,FALSE),0))</f>
        <v>1558</v>
      </c>
      <c r="H22" s="57">
        <f t="shared" si="1"/>
        <v>2.6303793621583294E-2</v>
      </c>
      <c r="I22" s="67">
        <f>SUM($G$7:G22)</f>
        <v>14947</v>
      </c>
      <c r="J22" s="59">
        <f t="shared" si="5"/>
        <v>0.25235096486637065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56</v>
      </c>
      <c r="E23" s="69">
        <f t="shared" si="0"/>
        <v>4</v>
      </c>
      <c r="F23" s="55">
        <f t="shared" si="4"/>
        <v>72.209999999999994</v>
      </c>
      <c r="G23" s="56">
        <f>IF(D23=D22,"",_xlfn.IFNA(VLOOKUP(D23,'인원 입력 기능(사과탐)'!$A$121:$D$172,4,FALSE),0))</f>
        <v>3029</v>
      </c>
      <c r="H23" s="57">
        <f t="shared" si="1"/>
        <v>5.1138761797031959E-2</v>
      </c>
      <c r="I23" s="67">
        <f>SUM($G$7:G23)</f>
        <v>17976</v>
      </c>
      <c r="J23" s="59">
        <f t="shared" si="5"/>
        <v>0.30348972666340263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55</v>
      </c>
      <c r="E24" s="69">
        <f t="shared" si="0"/>
        <v>4</v>
      </c>
      <c r="F24" s="55">
        <f t="shared" si="4"/>
        <v>67.400000000000006</v>
      </c>
      <c r="G24" s="56">
        <f>IF(D24=D23,"",_xlfn.IFNA(VLOOKUP(D24,'인원 입력 기능(사과탐)'!$A$121:$D$172,4,FALSE),0))</f>
        <v>2661</v>
      </c>
      <c r="H24" s="57">
        <f t="shared" si="1"/>
        <v>4.4925798990393541E-2</v>
      </c>
      <c r="I24" s="67">
        <f>SUM($G$7:G24)</f>
        <v>20637</v>
      </c>
      <c r="J24" s="59">
        <f t="shared" si="5"/>
        <v>0.34841552565379613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54</v>
      </c>
      <c r="E25" s="69">
        <f t="shared" si="0"/>
        <v>4</v>
      </c>
      <c r="F25" s="55">
        <f t="shared" si="4"/>
        <v>63.21</v>
      </c>
      <c r="G25" s="56">
        <f>IF(D25=D24,"",_xlfn.IFNA(VLOOKUP(D25,'인원 입력 기능(사과탐)'!$A$121:$D$172,4,FALSE),0))</f>
        <v>2306</v>
      </c>
      <c r="H25" s="57">
        <f t="shared" si="1"/>
        <v>3.8932315848120069E-2</v>
      </c>
      <c r="I25" s="67">
        <f>SUM($G$7:G25)</f>
        <v>22943</v>
      </c>
      <c r="J25" s="59">
        <f t="shared" si="5"/>
        <v>0.3873478415019162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53</v>
      </c>
      <c r="E26" s="69">
        <f t="shared" si="0"/>
        <v>4</v>
      </c>
      <c r="F26" s="55">
        <f t="shared" si="4"/>
        <v>58.43</v>
      </c>
      <c r="G26" s="56">
        <f>IF(D26=D25,"",_xlfn.IFNA(VLOOKUP(D26,'인원 입력 기능(사과탐)'!$A$121:$D$172,4,FALSE),0))</f>
        <v>3364</v>
      </c>
      <c r="H26" s="57">
        <f t="shared" si="1"/>
        <v>5.6794583917205516E-2</v>
      </c>
      <c r="I26" s="67">
        <f>SUM($G$7:G26)</f>
        <v>26307</v>
      </c>
      <c r="J26" s="59">
        <f t="shared" si="5"/>
        <v>0.44414242541912174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52</v>
      </c>
      <c r="E27" s="69">
        <f t="shared" si="0"/>
        <v>5</v>
      </c>
      <c r="F27" s="55">
        <f t="shared" si="4"/>
        <v>53.68</v>
      </c>
      <c r="G27" s="56">
        <f>IF(D27=D26,"",_xlfn.IFNA(VLOOKUP(D27,'인원 입력 기능(사과탐)'!$A$121:$D$172,4,FALSE),0))</f>
        <v>2252</v>
      </c>
      <c r="H27" s="57">
        <f t="shared" si="1"/>
        <v>3.8020631088450302E-2</v>
      </c>
      <c r="I27" s="67">
        <f>SUM($G$7:G27)</f>
        <v>28559</v>
      </c>
      <c r="J27" s="59">
        <f t="shared" si="5"/>
        <v>0.48216305650757207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51</v>
      </c>
      <c r="E28" s="69">
        <f t="shared" si="0"/>
        <v>5</v>
      </c>
      <c r="F28" s="55">
        <f t="shared" si="4"/>
        <v>49.42</v>
      </c>
      <c r="G28" s="56">
        <f>IF(D28=D27,"",_xlfn.IFNA(VLOOKUP(D28,'인원 입력 기능(사과탐)'!$A$121:$D$172,4,FALSE),0))</f>
        <v>2795</v>
      </c>
      <c r="H28" s="57">
        <f t="shared" si="1"/>
        <v>4.7188127838462969E-2</v>
      </c>
      <c r="I28" s="67">
        <f>SUM($G$7:G28)</f>
        <v>31354</v>
      </c>
      <c r="J28" s="59">
        <f t="shared" si="5"/>
        <v>0.52935118434603501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50</v>
      </c>
      <c r="E29" s="69">
        <f t="shared" si="0"/>
        <v>5</v>
      </c>
      <c r="F29" s="55">
        <f t="shared" si="4"/>
        <v>44.75</v>
      </c>
      <c r="G29" s="56">
        <f>IF(D29=D28,"",_xlfn.IFNA(VLOOKUP(D29,'인원 입력 기능(사과탐)'!$A$121:$D$172,4,FALSE),0))</f>
        <v>2739</v>
      </c>
      <c r="H29" s="57">
        <f t="shared" si="1"/>
        <v>4.6242676976583207E-2</v>
      </c>
      <c r="I29" s="67">
        <f>SUM($G$7:G29)</f>
        <v>34093</v>
      </c>
      <c r="J29" s="59">
        <f t="shared" si="5"/>
        <v>0.57559386132261825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49</v>
      </c>
      <c r="E30" s="69">
        <f t="shared" si="0"/>
        <v>5</v>
      </c>
      <c r="F30" s="55">
        <f t="shared" si="4"/>
        <v>40.71</v>
      </c>
      <c r="G30" s="56">
        <f>IF(D30=D29,"",_xlfn.IFNA(VLOOKUP(D30,'인원 입력 기능(사과탐)'!$A$121:$D$172,4,FALSE),0))</f>
        <v>2050</v>
      </c>
      <c r="H30" s="57">
        <f t="shared" si="1"/>
        <v>3.4610254765241176E-2</v>
      </c>
      <c r="I30" s="67">
        <f>SUM($G$7:G30)</f>
        <v>36143</v>
      </c>
      <c r="J30" s="59">
        <f t="shared" si="5"/>
        <v>0.61020411608785941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48</v>
      </c>
      <c r="E31" s="69">
        <f t="shared" si="0"/>
        <v>6</v>
      </c>
      <c r="F31" s="55">
        <f t="shared" si="4"/>
        <v>36.85</v>
      </c>
      <c r="G31" s="56">
        <f>IF(D31=D30,"",_xlfn.IFNA(VLOOKUP(D31,'인원 입력 기능(사과탐)'!$A$121:$D$172,4,FALSE),0))</f>
        <v>2522</v>
      </c>
      <c r="H31" s="57">
        <f t="shared" si="1"/>
        <v>4.2579054886799139E-2</v>
      </c>
      <c r="I31" s="67">
        <f>SUM($G$7:G31)</f>
        <v>38665</v>
      </c>
      <c r="J31" s="59">
        <f t="shared" si="5"/>
        <v>0.65278317097465854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47</v>
      </c>
      <c r="E32" s="69">
        <f t="shared" si="0"/>
        <v>6</v>
      </c>
      <c r="F32" s="55">
        <f t="shared" si="4"/>
        <v>33.1</v>
      </c>
      <c r="G32" s="56">
        <f>IF(D32=D31,"",_xlfn.IFNA(VLOOKUP(D32,'인원 입력 기능(사과탐)'!$A$121:$D$172,4,FALSE),0))</f>
        <v>1922</v>
      </c>
      <c r="H32" s="57">
        <f t="shared" si="1"/>
        <v>3.2449224223801726E-2</v>
      </c>
      <c r="I32" s="67">
        <f>SUM($G$7:G32)</f>
        <v>40587</v>
      </c>
      <c r="J32" s="59">
        <f t="shared" si="5"/>
        <v>0.68523239519846024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46</v>
      </c>
      <c r="E33" s="69">
        <f t="shared" si="0"/>
        <v>6</v>
      </c>
      <c r="F33" s="55">
        <f t="shared" si="4"/>
        <v>29.81</v>
      </c>
      <c r="G33" s="56">
        <f>IF(D33=D32,"",_xlfn.IFNA(VLOOKUP(D33,'인원 입력 기능(사과탐)'!$A$121:$D$172,4,FALSE),0))</f>
        <v>1980</v>
      </c>
      <c r="H33" s="57">
        <f t="shared" si="1"/>
        <v>3.3428441187891476E-2</v>
      </c>
      <c r="I33" s="67">
        <f>SUM($G$7:G33)</f>
        <v>42567</v>
      </c>
      <c r="J33" s="59">
        <f t="shared" si="5"/>
        <v>0.7186608363863517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44</v>
      </c>
      <c r="E34" s="69">
        <f t="shared" si="0"/>
        <v>6</v>
      </c>
      <c r="F34" s="55">
        <f t="shared" si="4"/>
        <v>26.5</v>
      </c>
      <c r="G34" s="56">
        <f>IF(D34=D33,"",_xlfn.IFNA(VLOOKUP(D34,'인원 입력 기능(사과탐)'!$A$121:$D$172,4,FALSE),0))</f>
        <v>1940</v>
      </c>
      <c r="H34" s="57">
        <f t="shared" si="1"/>
        <v>3.2753119143691646E-2</v>
      </c>
      <c r="I34" s="67">
        <f>SUM($G$7:G34)</f>
        <v>44507</v>
      </c>
      <c r="J34" s="59">
        <f t="shared" si="5"/>
        <v>0.75141395553004342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43</v>
      </c>
      <c r="E35" s="69">
        <f t="shared" si="0"/>
        <v>6</v>
      </c>
      <c r="F35" s="55">
        <f t="shared" si="4"/>
        <v>23.6</v>
      </c>
      <c r="G35" s="56">
        <f>IF(D35=D34,"",_xlfn.IFNA(VLOOKUP(D35,'인원 입력 기능(사과탐)'!$A$121:$D$172,4,FALSE),0))</f>
        <v>1489</v>
      </c>
      <c r="H35" s="57">
        <f t="shared" si="1"/>
        <v>2.5138863095338589E-2</v>
      </c>
      <c r="I35" s="67">
        <f>SUM($G$7:G35)</f>
        <v>45996</v>
      </c>
      <c r="J35" s="59">
        <f t="shared" si="5"/>
        <v>0.77655281862538195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42</v>
      </c>
      <c r="E36" s="69">
        <f t="shared" si="0"/>
        <v>7</v>
      </c>
      <c r="F36" s="55">
        <f t="shared" si="4"/>
        <v>21.04</v>
      </c>
      <c r="G36" s="56">
        <f>IF(D36=D35,"",_xlfn.IFNA(VLOOKUP(D36,'인원 입력 기능(사과탐)'!$A$121:$D$172,4,FALSE),0))</f>
        <v>1545</v>
      </c>
      <c r="H36" s="57">
        <f t="shared" si="1"/>
        <v>2.6084313957218348E-2</v>
      </c>
      <c r="I36" s="67">
        <f>SUM($G$7:G36)</f>
        <v>47541</v>
      </c>
      <c r="J36" s="59">
        <f t="shared" si="5"/>
        <v>0.80263713258260028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41</v>
      </c>
      <c r="E37" s="69">
        <f t="shared" si="0"/>
        <v>7</v>
      </c>
      <c r="F37" s="55">
        <f t="shared" si="4"/>
        <v>18.72</v>
      </c>
      <c r="G37" s="56">
        <f>IF(D37=D36,"",_xlfn.IFNA(VLOOKUP(D37,'인원 입력 기능(사과탐)'!$A$121:$D$172,4,FALSE),0))</f>
        <v>1200</v>
      </c>
      <c r="H37" s="57">
        <f t="shared" si="1"/>
        <v>2.0259661325994834E-2</v>
      </c>
      <c r="I37" s="67">
        <f>SUM($G$7:G37)</f>
        <v>48741</v>
      </c>
      <c r="J37" s="59">
        <f t="shared" si="5"/>
        <v>0.82289679390859516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40</v>
      </c>
      <c r="E38" s="69">
        <f t="shared" si="0"/>
        <v>7</v>
      </c>
      <c r="F38" s="55">
        <f t="shared" si="4"/>
        <v>16.739999999999998</v>
      </c>
      <c r="G38" s="56">
        <f>IF(D38=D37,"",_xlfn.IFNA(VLOOKUP(D38,'인원 입력 기능(사과탐)'!$A$121:$D$172,4,FALSE),0))</f>
        <v>1153</v>
      </c>
      <c r="H38" s="57">
        <f t="shared" si="1"/>
        <v>1.9466157924060035E-2</v>
      </c>
      <c r="I38" s="67">
        <f>SUM($G$7:G38)</f>
        <v>49894</v>
      </c>
      <c r="J38" s="59">
        <f t="shared" si="5"/>
        <v>0.84236295183265519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39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14.96</v>
      </c>
      <c r="G39" s="56">
        <f>IF(D39=D38,"",_xlfn.IFNA(VLOOKUP(D39,'인원 입력 기능(사과탐)'!$A$121:$D$172,4,FALSE),0))</f>
        <v>958</v>
      </c>
      <c r="H39" s="57">
        <f t="shared" si="1"/>
        <v>1.6173962958585874E-2</v>
      </c>
      <c r="I39" s="67">
        <f>SUM($G$7:G39)</f>
        <v>50852</v>
      </c>
      <c r="J39" s="59">
        <f t="shared" si="5"/>
        <v>0.85853691479124106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38</v>
      </c>
      <c r="E40" s="69">
        <f t="shared" si="6"/>
        <v>7</v>
      </c>
      <c r="F40" s="55">
        <f t="shared" si="4"/>
        <v>13.45</v>
      </c>
      <c r="G40" s="56">
        <f>IF(D40=D39,"",_xlfn.IFNA(VLOOKUP(D40,'인원 입력 기능(사과탐)'!$A$121:$D$172,4,FALSE),0))</f>
        <v>830</v>
      </c>
      <c r="H40" s="57">
        <f t="shared" si="1"/>
        <v>1.4012932417146427E-2</v>
      </c>
      <c r="I40" s="67">
        <f>SUM($G$7:G40)</f>
        <v>51682</v>
      </c>
      <c r="J40" s="59">
        <f t="shared" si="5"/>
        <v>0.87254984720838746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37</v>
      </c>
      <c r="E41" s="69">
        <f t="shared" si="6"/>
        <v>7</v>
      </c>
      <c r="F41" s="55">
        <f t="shared" si="4"/>
        <v>12.11</v>
      </c>
      <c r="G41" s="56">
        <f>IF(D41=D40,"",_xlfn.IFNA(VLOOKUP(D41,'인원 입력 기능(사과탐)'!$A$121:$D$172,4,FALSE),0))</f>
        <v>749</v>
      </c>
      <c r="H41" s="57">
        <f t="shared" si="1"/>
        <v>1.2645405277641776E-2</v>
      </c>
      <c r="I41" s="67">
        <f>SUM($G$7:G41)</f>
        <v>52431</v>
      </c>
      <c r="J41" s="59">
        <f t="shared" si="5"/>
        <v>0.88519525248602926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36</v>
      </c>
      <c r="E42" s="69">
        <f t="shared" si="6"/>
        <v>7</v>
      </c>
      <c r="F42" s="55">
        <f t="shared" si="4"/>
        <v>10.95</v>
      </c>
      <c r="G42" s="56">
        <f>IF(D42=D41,"",_xlfn.IFNA(VLOOKUP(D42,'인원 입력 기능(사과탐)'!$A$121:$D$172,4,FALSE),0))</f>
        <v>625</v>
      </c>
      <c r="H42" s="57">
        <f t="shared" si="1"/>
        <v>1.0551906940622309E-2</v>
      </c>
      <c r="I42" s="67">
        <f>SUM($G$7:G42)</f>
        <v>53056</v>
      </c>
      <c r="J42" s="59">
        <f t="shared" si="5"/>
        <v>0.89574715942665162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35</v>
      </c>
      <c r="E43" s="69">
        <f t="shared" si="6"/>
        <v>8</v>
      </c>
      <c r="F43" s="55">
        <f t="shared" si="4"/>
        <v>9.92</v>
      </c>
      <c r="G43" s="56">
        <f>IF(D43=D42,"",_xlfn.IFNA(VLOOKUP(D43,'인원 입력 기능(사과탐)'!$A$121:$D$172,4,FALSE),0))</f>
        <v>595</v>
      </c>
      <c r="H43" s="57">
        <f t="shared" si="1"/>
        <v>1.0045415407472438E-2</v>
      </c>
      <c r="I43" s="67">
        <f>SUM($G$7:G43)</f>
        <v>53651</v>
      </c>
      <c r="J43" s="59">
        <f t="shared" si="5"/>
        <v>0.90579257483412401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34</v>
      </c>
      <c r="E44" s="69">
        <f t="shared" si="6"/>
        <v>8</v>
      </c>
      <c r="F44" s="55">
        <f t="shared" si="4"/>
        <v>8.9499999999999993</v>
      </c>
      <c r="G44" s="56">
        <f>IF(D44=D43,"",_xlfn.IFNA(VLOOKUP(D44,'인원 입력 기능(사과탐)'!$A$121:$D$172,4,FALSE),0))</f>
        <v>554</v>
      </c>
      <c r="H44" s="57">
        <f t="shared" si="1"/>
        <v>9.3532103121676154E-3</v>
      </c>
      <c r="I44" s="67">
        <f>SUM($G$7:G44)</f>
        <v>54205</v>
      </c>
      <c r="J44" s="59">
        <f t="shared" si="5"/>
        <v>0.91514578514629163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33</v>
      </c>
      <c r="E45" s="69">
        <f t="shared" si="6"/>
        <v>8</v>
      </c>
      <c r="F45" s="55">
        <f t="shared" si="4"/>
        <v>7.5</v>
      </c>
      <c r="G45" s="56">
        <f>IF(D45=D44,"",_xlfn.IFNA(VLOOKUP(D45,'인원 입력 기능(사과탐)'!$A$121:$D$172,4,FALSE),0))</f>
        <v>1167</v>
      </c>
      <c r="H45" s="57">
        <f t="shared" si="1"/>
        <v>1.9702520639529975E-2</v>
      </c>
      <c r="I45" s="67">
        <f>SUM($G$7:G45)</f>
        <v>55372</v>
      </c>
      <c r="J45" s="59">
        <f t="shared" si="5"/>
        <v>0.93484830578582157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32</v>
      </c>
      <c r="E46" s="69">
        <f t="shared" si="6"/>
        <v>8</v>
      </c>
      <c r="F46" s="55">
        <f t="shared" si="4"/>
        <v>6.11</v>
      </c>
      <c r="G46" s="56">
        <f>IF(D46=D45,"",_xlfn.IFNA(VLOOKUP(D46,'인원 입력 기능(사과탐)'!$A$121:$D$172,4,FALSE),0))</f>
        <v>485</v>
      </c>
      <c r="H46" s="57">
        <f t="shared" si="1"/>
        <v>8.1882797859229115E-3</v>
      </c>
      <c r="I46" s="67">
        <f>SUM($G$7:G46)</f>
        <v>55857</v>
      </c>
      <c r="J46" s="59">
        <f t="shared" si="5"/>
        <v>0.94303658557174452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30</v>
      </c>
      <c r="E47" s="69">
        <f t="shared" si="6"/>
        <v>8</v>
      </c>
      <c r="F47" s="55">
        <f t="shared" si="4"/>
        <v>4.4800000000000004</v>
      </c>
      <c r="G47" s="56">
        <f>IF(D47=D46,"",_xlfn.IFNA(VLOOKUP(D47,'인원 입력 기능(사과탐)'!$A$121:$D$172,4,FALSE),0))</f>
        <v>1441</v>
      </c>
      <c r="H47" s="57">
        <f t="shared" si="1"/>
        <v>2.4328476642298796E-2</v>
      </c>
      <c r="I47" s="67">
        <f>SUM($G$7:G47)</f>
        <v>57298</v>
      </c>
      <c r="J47" s="59">
        <f t="shared" si="5"/>
        <v>0.96736506221404328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29</v>
      </c>
      <c r="E48" s="69">
        <f t="shared" si="6"/>
        <v>9</v>
      </c>
      <c r="F48" s="55">
        <f t="shared" si="4"/>
        <v>2.83</v>
      </c>
      <c r="G48" s="56">
        <f>IF(D48=D47,"",_xlfn.IFNA(VLOOKUP(D48,'인원 입력 기능(사과탐)'!$A$121:$D$172,4,FALSE),0))</f>
        <v>510</v>
      </c>
      <c r="H48" s="57">
        <f t="shared" si="1"/>
        <v>8.6103560635478037E-3</v>
      </c>
      <c r="I48" s="67">
        <f>SUM($G$7:G48)</f>
        <v>57808</v>
      </c>
      <c r="J48" s="59">
        <f t="shared" si="5"/>
        <v>0.97597541827759116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28</v>
      </c>
      <c r="E49" s="69">
        <f t="shared" si="6"/>
        <v>9</v>
      </c>
      <c r="F49" s="55">
        <f t="shared" si="4"/>
        <v>1.98</v>
      </c>
      <c r="G49" s="56">
        <f>IF(D49=D48,"",_xlfn.IFNA(VLOOKUP(D49,'인원 입력 기능(사과탐)'!$A$121:$D$172,4,FALSE),0))</f>
        <v>498</v>
      </c>
      <c r="H49" s="57">
        <f t="shared" si="1"/>
        <v>8.4077594502878564E-3</v>
      </c>
      <c r="I49" s="67">
        <f>SUM($G$7:G49)</f>
        <v>58306</v>
      </c>
      <c r="J49" s="59">
        <f t="shared" si="5"/>
        <v>0.98438317772787898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27</v>
      </c>
      <c r="E50" s="69">
        <f t="shared" si="6"/>
        <v>9</v>
      </c>
      <c r="F50" s="55">
        <f t="shared" si="4"/>
        <v>1.33</v>
      </c>
      <c r="G50" s="56">
        <f>IF(D50=D49,"",_xlfn.IFNA(VLOOKUP(D50,'인원 입력 기능(사과탐)'!$A$121:$D$172,4,FALSE),0))</f>
        <v>270</v>
      </c>
      <c r="H50" s="57">
        <f t="shared" si="1"/>
        <v>4.5584237983488374E-3</v>
      </c>
      <c r="I50" s="67">
        <f>SUM($G$7:G50)</f>
        <v>58576</v>
      </c>
      <c r="J50" s="59">
        <f t="shared" si="5"/>
        <v>0.98894160152622779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26</v>
      </c>
      <c r="E51" s="69">
        <f t="shared" si="6"/>
        <v>9</v>
      </c>
      <c r="F51" s="55">
        <f t="shared" si="4"/>
        <v>0.96</v>
      </c>
      <c r="G51" s="56">
        <f>IF(D51=D50,"",_xlfn.IFNA(VLOOKUP(D51,'인원 입력 기능(사과탐)'!$A$121:$D$172,4,FALSE),0))</f>
        <v>177</v>
      </c>
      <c r="H51" s="57">
        <f t="shared" si="1"/>
        <v>2.9883000455842379E-3</v>
      </c>
      <c r="I51" s="67">
        <f>SUM($G$7:G51)</f>
        <v>58753</v>
      </c>
      <c r="J51" s="59">
        <f t="shared" si="5"/>
        <v>0.99192990157181204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25</v>
      </c>
      <c r="E52" s="69">
        <f t="shared" si="6"/>
        <v>9</v>
      </c>
      <c r="F52" s="55">
        <f t="shared" si="4"/>
        <v>0.64</v>
      </c>
      <c r="G52" s="56">
        <f>IF(D52=D51,"",_xlfn.IFNA(VLOOKUP(D52,'인원 입력 기능(사과탐)'!$A$121:$D$172,4,FALSE),0))</f>
        <v>198</v>
      </c>
      <c r="H52" s="57">
        <f t="shared" si="1"/>
        <v>3.3428441187891476E-3</v>
      </c>
      <c r="I52" s="67">
        <f>SUM($G$7:G52)</f>
        <v>58951</v>
      </c>
      <c r="J52" s="59">
        <f t="shared" si="5"/>
        <v>0.9952727456906012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24</v>
      </c>
      <c r="E53" s="54">
        <f t="shared" si="6"/>
        <v>9</v>
      </c>
      <c r="F53" s="55">
        <f t="shared" si="4"/>
        <v>0.37</v>
      </c>
      <c r="G53" s="56">
        <f>IF(D53=D52,"",_xlfn.IFNA(VLOOKUP(D53,'인원 입력 기능(사과탐)'!$A$121:$D$172,4,FALSE),0))</f>
        <v>125</v>
      </c>
      <c r="H53" s="57">
        <f t="shared" si="1"/>
        <v>2.110381388124462E-3</v>
      </c>
      <c r="I53" s="67">
        <f>SUM($G$7:G53)</f>
        <v>59076</v>
      </c>
      <c r="J53" s="59">
        <f t="shared" si="5"/>
        <v>0.99738312707872567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23</v>
      </c>
      <c r="E54" s="54">
        <f t="shared" si="6"/>
        <v>9</v>
      </c>
      <c r="F54" s="55">
        <f t="shared" si="4"/>
        <v>0.21</v>
      </c>
      <c r="G54" s="56">
        <f>IF(D54=D53,"",_xlfn.IFNA(VLOOKUP(D54,'인원 입력 기능(사과탐)'!$A$121:$D$172,4,FALSE),0))</f>
        <v>65</v>
      </c>
      <c r="H54" s="57">
        <f t="shared" si="1"/>
        <v>1.0973983218247202E-3</v>
      </c>
      <c r="I54" s="67">
        <f>SUM($G$7:G54)</f>
        <v>59141</v>
      </c>
      <c r="J54" s="59">
        <f t="shared" si="5"/>
        <v>0.99848052540055043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22</v>
      </c>
      <c r="E55" s="54">
        <f t="shared" si="6"/>
        <v>9</v>
      </c>
      <c r="F55" s="55">
        <f t="shared" si="4"/>
        <v>0.09</v>
      </c>
      <c r="G55" s="56">
        <f>IF(D55=D54,"",_xlfn.IFNA(VLOOKUP(D55,'인원 입력 기능(사과탐)'!$A$121:$D$172,4,FALSE),0))</f>
        <v>71</v>
      </c>
      <c r="H55" s="57">
        <f t="shared" si="1"/>
        <v>1.1986966284546943E-3</v>
      </c>
      <c r="I55" s="67">
        <f>SUM($G$7:G55)</f>
        <v>59212</v>
      </c>
      <c r="J55" s="59">
        <f t="shared" si="5"/>
        <v>0.99967922202900505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20</v>
      </c>
      <c r="E57" s="107">
        <f t="shared" si="6"/>
        <v>9</v>
      </c>
      <c r="F57" s="74">
        <f>IF(I55=0,ROUND(100*(1-(I54+I57)/2/$J$3),2),ROUND(100*(1-(I55+I57)/2/$J$3),2))</f>
        <v>0.02</v>
      </c>
      <c r="G57" s="108">
        <f>_xlfn.IFNA(VLOOKUP(D57,'인원 입력 기능(사과탐)'!$A$121:$D$172,4,FALSE),0)</f>
        <v>19</v>
      </c>
      <c r="H57" s="76">
        <f>G57/$J$3</f>
        <v>3.2077797099491821E-4</v>
      </c>
      <c r="I57" s="77">
        <f>SUM($G$7:G57)</f>
        <v>59231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24" priority="4">
      <formula>OR($D7=$Q$7:$Q$14)</formula>
    </cfRule>
  </conditionalFormatting>
  <conditionalFormatting sqref="C7:C57">
    <cfRule type="expression" dxfId="23" priority="3">
      <formula>OR(AND($D7=0,OR($D6=$Q$7:$Q$14)),AND($D8&gt;0,OR($D7=$Q$7:$Q$14)))</formula>
    </cfRule>
  </conditionalFormatting>
  <conditionalFormatting sqref="D7:D57">
    <cfRule type="expression" dxfId="22" priority="2">
      <formula>$D7=$D8</formula>
    </cfRule>
  </conditionalFormatting>
  <conditionalFormatting sqref="H7:H57">
    <cfRule type="expression" dxfId="21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기능'!D17</f>
        <v>27.07</v>
      </c>
      <c r="I3" s="16" t="s">
        <v>70</v>
      </c>
      <c r="J3" s="45">
        <f>'통계 및 응시자 수 입력 기능'!C17</f>
        <v>62774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95</v>
      </c>
      <c r="E4" s="169"/>
      <c r="F4" s="170"/>
      <c r="G4" s="47" t="s">
        <v>73</v>
      </c>
      <c r="H4" s="48" t="str">
        <f>'통계 및 응시자 수 입력 기능'!E17</f>
        <v>10.54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72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99.45</v>
      </c>
      <c r="G7" s="56">
        <f>_xlfn.IFNA(VLOOKUP(D7,'인원 입력 기능(사과탐)'!$A$177:$D$231,4,FALSE),0)</f>
        <v>694</v>
      </c>
      <c r="H7" s="57">
        <f>G7/$J$3</f>
        <v>1.1055532545321311E-2</v>
      </c>
      <c r="I7" s="58">
        <f>G7</f>
        <v>694</v>
      </c>
      <c r="J7" s="59">
        <f>I7/$J$3</f>
        <v>1.1055532545321311E-2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기능'!C121</f>
        <v>67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기능'!C122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70</v>
      </c>
      <c r="E9" s="54">
        <f t="shared" si="0"/>
        <v>1</v>
      </c>
      <c r="F9" s="55">
        <f>IF(I8=0,ROUND(100*(1-(I7+I9)/2/$J$3),2),ROUND(100*(1-(I8+I9)/2/$J$3),2))</f>
        <v>98.59</v>
      </c>
      <c r="G9" s="56">
        <f>_xlfn.IFNA(VLOOKUP(D9,'인원 입력 기능(사과탐)'!$A$177:$D$231,4,FALSE),0)</f>
        <v>383</v>
      </c>
      <c r="H9" s="57">
        <f t="shared" ref="H9:H55" si="1">G9/$J$3</f>
        <v>6.1012521107464872E-3</v>
      </c>
      <c r="I9" s="67">
        <f>SUM($G$7:G9)</f>
        <v>1077</v>
      </c>
      <c r="J9" s="59">
        <f>I9/$J$3</f>
        <v>1.7156784656067799E-2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기능'!C123</f>
        <v>58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69</v>
      </c>
      <c r="E10" s="54">
        <f t="shared" si="0"/>
        <v>1</v>
      </c>
      <c r="F10" s="55">
        <f t="shared" ref="F10:F55" si="4">IF(I9=0,ROUND(100*(1-(I8+I10)/2/$J$3),2),ROUND(100*(1-(I9+I10)/2/$J$3),2))</f>
        <v>97.39</v>
      </c>
      <c r="G10" s="56">
        <f>IF(D10=D9,"",_xlfn.IFNA(VLOOKUP(D10,'인원 입력 기능(사과탐)'!$A$177:$D$231,4,FALSE),0))</f>
        <v>1123</v>
      </c>
      <c r="H10" s="57">
        <f t="shared" si="1"/>
        <v>1.7889572115844139E-2</v>
      </c>
      <c r="I10" s="67">
        <f>SUM($G$7:G10)</f>
        <v>2200</v>
      </c>
      <c r="J10" s="59">
        <f t="shared" ref="J10:J55" si="5">I10/$J$3</f>
        <v>3.5046356771911938E-2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기능'!C124</f>
        <v>53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68</v>
      </c>
      <c r="E11" s="54">
        <f t="shared" si="0"/>
        <v>1</v>
      </c>
      <c r="F11" s="55">
        <f t="shared" si="4"/>
        <v>96.41</v>
      </c>
      <c r="G11" s="56">
        <f>IF(D11=D10,"",_xlfn.IFNA(VLOOKUP(D11,'인원 입력 기능(사과탐)'!$A$177:$D$231,4,FALSE),0))</f>
        <v>108</v>
      </c>
      <c r="H11" s="57">
        <f t="shared" si="1"/>
        <v>1.7204575142574952E-3</v>
      </c>
      <c r="I11" s="67">
        <f>SUM($G$7:G11)</f>
        <v>2308</v>
      </c>
      <c r="J11" s="59">
        <f t="shared" si="5"/>
        <v>3.676681428616943E-2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기능'!C125</f>
        <v>47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67</v>
      </c>
      <c r="E12" s="54">
        <f t="shared" si="0"/>
        <v>1</v>
      </c>
      <c r="F12" s="55">
        <f t="shared" si="4"/>
        <v>95.54</v>
      </c>
      <c r="G12" s="56">
        <f>IF(D12=D11,"",_xlfn.IFNA(VLOOKUP(D12,'인원 입력 기능(사과탐)'!$A$177:$D$231,4,FALSE),0))</f>
        <v>978</v>
      </c>
      <c r="H12" s="57">
        <f t="shared" si="1"/>
        <v>1.5579698601331762E-2</v>
      </c>
      <c r="I12" s="67">
        <f>SUM($G$7:G12)</f>
        <v>3286</v>
      </c>
      <c r="J12" s="59">
        <f t="shared" si="5"/>
        <v>5.2346512887501195E-2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기능'!C126</f>
        <v>42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66</v>
      </c>
      <c r="E13" s="54">
        <f t="shared" si="0"/>
        <v>2</v>
      </c>
      <c r="F13" s="55">
        <f t="shared" si="4"/>
        <v>93.84</v>
      </c>
      <c r="G13" s="56">
        <f>IF(D13=D12,"",_xlfn.IFNA(VLOOKUP(D13,'인원 입력 기능(사과탐)'!$A$177:$D$231,4,FALSE),0))</f>
        <v>1162</v>
      </c>
      <c r="H13" s="57">
        <f t="shared" si="1"/>
        <v>1.8510848440437124E-2</v>
      </c>
      <c r="I13" s="67">
        <f>SUM($G$7:G13)</f>
        <v>4448</v>
      </c>
      <c r="J13" s="59">
        <f t="shared" si="5"/>
        <v>7.0857361327938323E-2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기능'!C127</f>
        <v>37</v>
      </c>
    </row>
    <row r="14" spans="1:17" s="17" customFormat="1" ht="25" customHeight="1" x14ac:dyDescent="0.45">
      <c r="A14" s="15"/>
      <c r="B14" s="30"/>
      <c r="C14" s="68">
        <v>43</v>
      </c>
      <c r="D14" s="110">
        <f t="shared" si="3"/>
        <v>65</v>
      </c>
      <c r="E14" s="110">
        <f t="shared" si="0"/>
        <v>2</v>
      </c>
      <c r="F14" s="55">
        <f t="shared" si="4"/>
        <v>92.58</v>
      </c>
      <c r="G14" s="56">
        <f>IF(D14=D13,"",_xlfn.IFNA(VLOOKUP(D14,'인원 입력 기능(사과탐)'!$A$177:$D$231,4,FALSE),0))</f>
        <v>425</v>
      </c>
      <c r="H14" s="57">
        <f t="shared" si="1"/>
        <v>6.7703189218466242E-3</v>
      </c>
      <c r="I14" s="67">
        <f>SUM($G$7:G14)</f>
        <v>4873</v>
      </c>
      <c r="J14" s="59">
        <f t="shared" si="5"/>
        <v>7.7627680249784947E-2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기능'!C128</f>
        <v>34</v>
      </c>
    </row>
    <row r="15" spans="1:17" s="17" customFormat="1" ht="25" customHeight="1" x14ac:dyDescent="0.45">
      <c r="A15" s="15"/>
      <c r="B15" s="30"/>
      <c r="C15" s="53">
        <v>42</v>
      </c>
      <c r="D15" s="110">
        <f t="shared" ref="D15" si="6">ROUND(10*(C15-$H$3)/$H$4+50,0)</f>
        <v>64</v>
      </c>
      <c r="E15" s="110">
        <f t="shared" si="0"/>
        <v>2</v>
      </c>
      <c r="F15" s="55">
        <f t="shared" si="4"/>
        <v>90.98</v>
      </c>
      <c r="G15" s="56">
        <f>IF(D15=D14,"",_xlfn.IFNA(VLOOKUP(D15,'인원 입력 기능(사과탐)'!$A$177:$D$231,4,FALSE),0))</f>
        <v>1578</v>
      </c>
      <c r="H15" s="57">
        <f t="shared" si="1"/>
        <v>2.513779590276229E-2</v>
      </c>
      <c r="I15" s="67">
        <f>SUM($G$7:G15)</f>
        <v>6451</v>
      </c>
      <c r="J15" s="59">
        <f t="shared" si="5"/>
        <v>0.10276547615254723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63</v>
      </c>
      <c r="E16" s="54">
        <f t="shared" si="0"/>
        <v>2</v>
      </c>
      <c r="F16" s="55">
        <f t="shared" si="4"/>
        <v>88.93</v>
      </c>
      <c r="G16" s="56">
        <f>IF(D16=D15,"",_xlfn.IFNA(VLOOKUP(D16,'인원 입력 기능(사과탐)'!$A$177:$D$231,4,FALSE),0))</f>
        <v>994</v>
      </c>
      <c r="H16" s="57">
        <f t="shared" si="1"/>
        <v>1.5834581196036576E-2</v>
      </c>
      <c r="I16" s="67">
        <f>SUM($G$7:G16)</f>
        <v>7445</v>
      </c>
      <c r="J16" s="59">
        <f t="shared" si="5"/>
        <v>0.11860005734858381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62</v>
      </c>
      <c r="E17" s="54">
        <f t="shared" si="0"/>
        <v>3</v>
      </c>
      <c r="F17" s="55">
        <f t="shared" si="4"/>
        <v>87.31</v>
      </c>
      <c r="G17" s="56">
        <f>IF(D17=D16,"",_xlfn.IFNA(VLOOKUP(D17,'인원 입력 기능(사과탐)'!$A$177:$D$231,4,FALSE),0))</f>
        <v>1037</v>
      </c>
      <c r="H17" s="57">
        <f t="shared" si="1"/>
        <v>1.6519578169305764E-2</v>
      </c>
      <c r="I17" s="67">
        <f>SUM($G$7:G17)</f>
        <v>8482</v>
      </c>
      <c r="J17" s="59">
        <f t="shared" si="5"/>
        <v>0.13511963551788958</v>
      </c>
      <c r="K17" s="31"/>
      <c r="L17" s="15" t="str">
        <f t="shared" si="2"/>
        <v/>
      </c>
      <c r="N17" s="19"/>
      <c r="Q17" s="19">
        <f>Q7*H3*H4*J3*IFERROR(IF(J57=1, 1, 0), 0)</f>
        <v>1200006151.6724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61</v>
      </c>
      <c r="E18" s="54">
        <f t="shared" si="0"/>
        <v>3</v>
      </c>
      <c r="F18" s="55">
        <f t="shared" si="4"/>
        <v>85.02</v>
      </c>
      <c r="G18" s="56">
        <f>IF(D18=D17,"",_xlfn.IFNA(VLOOKUP(D18,'인원 입력 기능(사과탐)'!$A$177:$D$231,4,FALSE),0))</f>
        <v>1837</v>
      </c>
      <c r="H18" s="57">
        <f t="shared" si="1"/>
        <v>2.9263707904546469E-2</v>
      </c>
      <c r="I18" s="67">
        <f>SUM($G$7:G18)</f>
        <v>10319</v>
      </c>
      <c r="J18" s="59">
        <f t="shared" si="5"/>
        <v>0.16438334342243605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60</v>
      </c>
      <c r="E19" s="54">
        <f t="shared" si="0"/>
        <v>3</v>
      </c>
      <c r="F19" s="55">
        <f t="shared" si="4"/>
        <v>82.75</v>
      </c>
      <c r="G19" s="56">
        <f>IF(D19=D18,"",_xlfn.IFNA(VLOOKUP(D19,'인원 입력 기능(사과탐)'!$A$177:$D$231,4,FALSE),0))</f>
        <v>1021</v>
      </c>
      <c r="H19" s="57">
        <f t="shared" si="1"/>
        <v>1.6264695574600949E-2</v>
      </c>
      <c r="I19" s="67">
        <f>SUM($G$7:G19)</f>
        <v>11340</v>
      </c>
      <c r="J19" s="59">
        <f t="shared" si="5"/>
        <v>0.18064803899703699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59</v>
      </c>
      <c r="E20" s="54">
        <f t="shared" si="0"/>
        <v>3</v>
      </c>
      <c r="F20" s="55">
        <f t="shared" si="4"/>
        <v>80.67</v>
      </c>
      <c r="G20" s="56">
        <f>IF(D20=D19,"",_xlfn.IFNA(VLOOKUP(D20,'인원 입력 기능(사과탐)'!$A$177:$D$231,4,FALSE),0))</f>
        <v>1591</v>
      </c>
      <c r="H20" s="57">
        <f t="shared" si="1"/>
        <v>2.5344888010959951E-2</v>
      </c>
      <c r="I20" s="67">
        <f>SUM($G$7:G20)</f>
        <v>12931</v>
      </c>
      <c r="J20" s="59">
        <f t="shared" si="5"/>
        <v>0.20599292700799693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178">
        <f t="shared" si="3"/>
        <v>58</v>
      </c>
      <c r="E21" s="178">
        <f t="shared" si="0"/>
        <v>3</v>
      </c>
      <c r="F21" s="180">
        <f t="shared" si="4"/>
        <v>76.95</v>
      </c>
      <c r="G21" s="182">
        <f>IF(D21=D20,"",_xlfn.IFNA(VLOOKUP(D21,'인원 입력 기능(사과탐)'!$A$177:$D$231,4,FALSE),0))</f>
        <v>3071</v>
      </c>
      <c r="H21" s="184">
        <f t="shared" si="1"/>
        <v>4.8921528021155257E-2</v>
      </c>
      <c r="I21" s="188">
        <f>SUM($G$7:G21)</f>
        <v>16002</v>
      </c>
      <c r="J21" s="176">
        <f t="shared" si="5"/>
        <v>0.25491445502915222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79"/>
      <c r="E22" s="179"/>
      <c r="F22" s="181"/>
      <c r="G22" s="183"/>
      <c r="H22" s="185"/>
      <c r="I22" s="189"/>
      <c r="J22" s="177"/>
      <c r="K22" s="31"/>
      <c r="L22" s="15" t="str">
        <f t="shared" si="2"/>
        <v>경고</v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57</v>
      </c>
      <c r="E23" s="69">
        <f t="shared" si="0"/>
        <v>4</v>
      </c>
      <c r="F23" s="55">
        <f t="shared" si="4"/>
        <v>72.77</v>
      </c>
      <c r="G23" s="56">
        <f>IF(D23=D22,"",_xlfn.IFNA(VLOOKUP(D23,'인원 입력 기능(사과탐)'!$A$177:$D$231,4,FALSE),0))</f>
        <v>2177</v>
      </c>
      <c r="H23" s="57">
        <f t="shared" si="1"/>
        <v>3.4679963042023768E-2</v>
      </c>
      <c r="I23" s="67">
        <f>SUM($G$7:G23)</f>
        <v>18179</v>
      </c>
      <c r="J23" s="59">
        <f t="shared" si="5"/>
        <v>0.28959441807117597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56</v>
      </c>
      <c r="E24" s="69">
        <f t="shared" si="0"/>
        <v>4</v>
      </c>
      <c r="F24" s="55">
        <f t="shared" si="4"/>
        <v>69.709999999999994</v>
      </c>
      <c r="G24" s="56">
        <f>IF(D24=D23,"",_xlfn.IFNA(VLOOKUP(D24,'인원 입력 기능(사과탐)'!$A$177:$D$231,4,FALSE),0))</f>
        <v>1676</v>
      </c>
      <c r="H24" s="57">
        <f t="shared" si="1"/>
        <v>2.6698951795329277E-2</v>
      </c>
      <c r="I24" s="67">
        <f>SUM($G$7:G24)</f>
        <v>19855</v>
      </c>
      <c r="J24" s="59">
        <f t="shared" si="5"/>
        <v>0.31629336986650525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55</v>
      </c>
      <c r="E25" s="69">
        <f t="shared" si="0"/>
        <v>4</v>
      </c>
      <c r="F25" s="55">
        <f t="shared" si="4"/>
        <v>66.959999999999994</v>
      </c>
      <c r="G25" s="56">
        <f>IF(D25=D24,"",_xlfn.IFNA(VLOOKUP(D25,'인원 입력 기능(사과탐)'!$A$177:$D$231,4,FALSE),0))</f>
        <v>1776</v>
      </c>
      <c r="H25" s="57">
        <f t="shared" si="1"/>
        <v>2.8291968012234363E-2</v>
      </c>
      <c r="I25" s="67">
        <f>SUM($G$7:G25)</f>
        <v>21631</v>
      </c>
      <c r="J25" s="59">
        <f t="shared" si="5"/>
        <v>0.34458533787873963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54</v>
      </c>
      <c r="E26" s="69">
        <f t="shared" si="0"/>
        <v>4</v>
      </c>
      <c r="F26" s="55">
        <f t="shared" si="4"/>
        <v>63.64</v>
      </c>
      <c r="G26" s="56">
        <f>IF(D26=D25,"",_xlfn.IFNA(VLOOKUP(D26,'인원 입력 기능(사과탐)'!$A$177:$D$231,4,FALSE),0))</f>
        <v>2383</v>
      </c>
      <c r="H26" s="57">
        <f t="shared" si="1"/>
        <v>3.7961576448848247E-2</v>
      </c>
      <c r="I26" s="67">
        <f>SUM($G$7:G26)</f>
        <v>24014</v>
      </c>
      <c r="J26" s="59">
        <f t="shared" si="5"/>
        <v>0.38254691432758786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53</v>
      </c>
      <c r="E27" s="69">
        <f t="shared" si="0"/>
        <v>4</v>
      </c>
      <c r="F27" s="55">
        <f t="shared" si="4"/>
        <v>60.42</v>
      </c>
      <c r="G27" s="56">
        <f>IF(D27=D26,"",_xlfn.IFNA(VLOOKUP(D27,'인원 입력 기능(사과탐)'!$A$177:$D$231,4,FALSE),0))</f>
        <v>1666</v>
      </c>
      <c r="H27" s="57">
        <f t="shared" si="1"/>
        <v>2.6539650173638768E-2</v>
      </c>
      <c r="I27" s="67">
        <f>SUM($G$7:G27)</f>
        <v>25680</v>
      </c>
      <c r="J27" s="59">
        <f t="shared" si="5"/>
        <v>0.4090865645012266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52</v>
      </c>
      <c r="E28" s="69">
        <f t="shared" si="0"/>
        <v>5</v>
      </c>
      <c r="F28" s="55">
        <f t="shared" si="4"/>
        <v>57.23</v>
      </c>
      <c r="G28" s="56">
        <f>IF(D28=D27,"",_xlfn.IFNA(VLOOKUP(D28,'인원 입력 기능(사과탐)'!$A$177:$D$231,4,FALSE),0))</f>
        <v>2335</v>
      </c>
      <c r="H28" s="57">
        <f t="shared" si="1"/>
        <v>3.7196928664733807E-2</v>
      </c>
      <c r="I28" s="67">
        <f>SUM($G$7:G28)</f>
        <v>28015</v>
      </c>
      <c r="J28" s="59">
        <f t="shared" si="5"/>
        <v>0.44628349316596044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51</v>
      </c>
      <c r="E29" s="69">
        <f t="shared" si="0"/>
        <v>5</v>
      </c>
      <c r="F29" s="55">
        <f t="shared" si="4"/>
        <v>53.64</v>
      </c>
      <c r="G29" s="56">
        <f>IF(D29=D28,"",_xlfn.IFNA(VLOOKUP(D29,'인원 입력 기능(사과탐)'!$A$177:$D$231,4,FALSE),0))</f>
        <v>2170</v>
      </c>
      <c r="H29" s="57">
        <f t="shared" si="1"/>
        <v>3.4568451906840408E-2</v>
      </c>
      <c r="I29" s="67">
        <f>SUM($G$7:G29)</f>
        <v>30185</v>
      </c>
      <c r="J29" s="59">
        <f t="shared" si="5"/>
        <v>0.48085194507280082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50</v>
      </c>
      <c r="E30" s="69">
        <f t="shared" si="0"/>
        <v>5</v>
      </c>
      <c r="F30" s="55">
        <f t="shared" si="4"/>
        <v>50.32</v>
      </c>
      <c r="G30" s="56">
        <f>IF(D30=D29,"",_xlfn.IFNA(VLOOKUP(D30,'인원 입력 기능(사과탐)'!$A$177:$D$231,4,FALSE),0))</f>
        <v>2001</v>
      </c>
      <c r="H30" s="57">
        <f t="shared" si="1"/>
        <v>3.1876254500270811E-2</v>
      </c>
      <c r="I30" s="67">
        <f>SUM($G$7:G30)</f>
        <v>32186</v>
      </c>
      <c r="J30" s="59">
        <f t="shared" si="5"/>
        <v>0.5127281995730717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49</v>
      </c>
      <c r="E31" s="69">
        <f t="shared" si="0"/>
        <v>5</v>
      </c>
      <c r="F31" s="55">
        <f t="shared" si="4"/>
        <v>46.74</v>
      </c>
      <c r="G31" s="56">
        <f>IF(D31=D30,"",_xlfn.IFNA(VLOOKUP(D31,'인원 입력 기능(사과탐)'!$A$177:$D$231,4,FALSE),0))</f>
        <v>2497</v>
      </c>
      <c r="H31" s="57">
        <f t="shared" si="1"/>
        <v>3.9777614936120052E-2</v>
      </c>
      <c r="I31" s="67">
        <f>SUM($G$7:G31)</f>
        <v>34683</v>
      </c>
      <c r="J31" s="59">
        <f t="shared" si="5"/>
        <v>0.55250581450919167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48</v>
      </c>
      <c r="E32" s="69">
        <f t="shared" si="0"/>
        <v>5</v>
      </c>
      <c r="F32" s="55">
        <f t="shared" si="4"/>
        <v>43.19</v>
      </c>
      <c r="G32" s="56">
        <f>IF(D32=D31,"",_xlfn.IFNA(VLOOKUP(D32,'인원 입력 기능(사과탐)'!$A$177:$D$231,4,FALSE),0))</f>
        <v>1961</v>
      </c>
      <c r="H32" s="57">
        <f t="shared" si="1"/>
        <v>3.1239048013508776E-2</v>
      </c>
      <c r="I32" s="67">
        <f>SUM($G$7:G32)</f>
        <v>36644</v>
      </c>
      <c r="J32" s="59">
        <f t="shared" si="5"/>
        <v>0.58374486252270052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47</v>
      </c>
      <c r="E33" s="69">
        <f t="shared" si="0"/>
        <v>5</v>
      </c>
      <c r="F33" s="55">
        <f t="shared" si="4"/>
        <v>39.81</v>
      </c>
      <c r="G33" s="56">
        <f>IF(D33=D32,"",_xlfn.IFNA(VLOOKUP(D33,'인원 입력 기능(사과탐)'!$A$177:$D$231,4,FALSE),0))</f>
        <v>2280</v>
      </c>
      <c r="H33" s="57">
        <f t="shared" si="1"/>
        <v>3.6320769745436007E-2</v>
      </c>
      <c r="I33" s="67">
        <f>SUM($G$7:G33)</f>
        <v>38924</v>
      </c>
      <c r="J33" s="59">
        <f t="shared" si="5"/>
        <v>0.62006563226813649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46</v>
      </c>
      <c r="E34" s="69">
        <f t="shared" si="0"/>
        <v>6</v>
      </c>
      <c r="F34" s="55">
        <f t="shared" si="4"/>
        <v>36.29</v>
      </c>
      <c r="G34" s="56">
        <f>IF(D34=D33,"",_xlfn.IFNA(VLOOKUP(D34,'인원 입력 기능(사과탐)'!$A$177:$D$231,4,FALSE),0))</f>
        <v>2138</v>
      </c>
      <c r="H34" s="57">
        <f t="shared" si="1"/>
        <v>3.4058686717430786E-2</v>
      </c>
      <c r="I34" s="67">
        <f>SUM($G$7:G34)</f>
        <v>41062</v>
      </c>
      <c r="J34" s="59">
        <f t="shared" si="5"/>
        <v>0.65412431898556722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45</v>
      </c>
      <c r="E35" s="69">
        <f t="shared" si="0"/>
        <v>6</v>
      </c>
      <c r="F35" s="55">
        <f t="shared" si="4"/>
        <v>33.11</v>
      </c>
      <c r="G35" s="56">
        <f>IF(D35=D34,"",_xlfn.IFNA(VLOOKUP(D35,'인원 입력 기능(사과탐)'!$A$177:$D$231,4,FALSE),0))</f>
        <v>1859</v>
      </c>
      <c r="H35" s="57">
        <f t="shared" si="1"/>
        <v>2.9614171472265589E-2</v>
      </c>
      <c r="I35" s="67">
        <f>SUM($G$7:G35)</f>
        <v>42921</v>
      </c>
      <c r="J35" s="59">
        <f t="shared" si="5"/>
        <v>0.68373849045783286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44</v>
      </c>
      <c r="E36" s="69">
        <f t="shared" si="0"/>
        <v>6</v>
      </c>
      <c r="F36" s="55">
        <f t="shared" si="4"/>
        <v>29.86</v>
      </c>
      <c r="G36" s="56">
        <f>IF(D36=D35,"",_xlfn.IFNA(VLOOKUP(D36,'인원 입력 기능(사과탐)'!$A$177:$D$231,4,FALSE),0))</f>
        <v>2221</v>
      </c>
      <c r="H36" s="57">
        <f t="shared" si="1"/>
        <v>3.5380890177462009E-2</v>
      </c>
      <c r="I36" s="67">
        <f>SUM($G$7:G36)</f>
        <v>45142</v>
      </c>
      <c r="J36" s="59">
        <f t="shared" si="5"/>
        <v>0.7191193806352949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43</v>
      </c>
      <c r="E37" s="69">
        <f t="shared" si="0"/>
        <v>6</v>
      </c>
      <c r="F37" s="55">
        <f t="shared" si="4"/>
        <v>26.84</v>
      </c>
      <c r="G37" s="56">
        <f>IF(D37=D36,"",_xlfn.IFNA(VLOOKUP(D37,'인원 입력 기능(사과탐)'!$A$177:$D$231,4,FALSE),0))</f>
        <v>1563</v>
      </c>
      <c r="H37" s="57">
        <f t="shared" si="1"/>
        <v>2.4898843470226528E-2</v>
      </c>
      <c r="I37" s="67">
        <f>SUM($G$7:G37)</f>
        <v>46705</v>
      </c>
      <c r="J37" s="59">
        <f t="shared" si="5"/>
        <v>0.74401822410552143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42</v>
      </c>
      <c r="E38" s="69">
        <f t="shared" si="0"/>
        <v>6</v>
      </c>
      <c r="F38" s="55">
        <f t="shared" si="4"/>
        <v>24.13</v>
      </c>
      <c r="G38" s="56">
        <f>IF(D38=D37,"",_xlfn.IFNA(VLOOKUP(D38,'인원 입력 기능(사과탐)'!$A$177:$D$231,4,FALSE),0))</f>
        <v>1841</v>
      </c>
      <c r="H38" s="57">
        <f t="shared" si="1"/>
        <v>2.9327428553222672E-2</v>
      </c>
      <c r="I38" s="67">
        <f>SUM($G$7:G38)</f>
        <v>48546</v>
      </c>
      <c r="J38" s="59">
        <f t="shared" si="5"/>
        <v>0.77334565265874411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41</v>
      </c>
      <c r="E39" s="69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21.42</v>
      </c>
      <c r="G39" s="56">
        <f>IF(D39=D38,"",_xlfn.IFNA(VLOOKUP(D39,'인원 입력 기능(사과탐)'!$A$177:$D$231,4,FALSE),0))</f>
        <v>1558</v>
      </c>
      <c r="H39" s="57">
        <f t="shared" si="1"/>
        <v>2.4819192659381272E-2</v>
      </c>
      <c r="I39" s="67">
        <f>SUM($G$7:G39)</f>
        <v>50104</v>
      </c>
      <c r="J39" s="59">
        <f t="shared" si="5"/>
        <v>0.79816484531812537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178">
        <f t="shared" si="3"/>
        <v>40</v>
      </c>
      <c r="E40" s="178">
        <f t="shared" si="7"/>
        <v>7</v>
      </c>
      <c r="F40" s="180">
        <f t="shared" si="4"/>
        <v>17.82</v>
      </c>
      <c r="G40" s="182">
        <f>IF(D40=D39,"",_xlfn.IFNA(VLOOKUP(D40,'인원 입력 기능(사과탐)'!$A$177:$D$231,4,FALSE),0))</f>
        <v>2971</v>
      </c>
      <c r="H40" s="184">
        <f t="shared" si="1"/>
        <v>4.732851180425017E-2</v>
      </c>
      <c r="I40" s="188">
        <f>SUM($G$7:G40)</f>
        <v>53075</v>
      </c>
      <c r="J40" s="176">
        <f t="shared" si="5"/>
        <v>0.8454933571223755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179"/>
      <c r="E41" s="179"/>
      <c r="F41" s="181"/>
      <c r="G41" s="183"/>
      <c r="H41" s="185"/>
      <c r="I41" s="189"/>
      <c r="J41" s="177"/>
      <c r="K41" s="31"/>
      <c r="L41" s="15" t="str">
        <f t="shared" si="2"/>
        <v>경고</v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39</v>
      </c>
      <c r="E42" s="69">
        <f t="shared" si="7"/>
        <v>7</v>
      </c>
      <c r="F42" s="55">
        <f t="shared" si="4"/>
        <v>14.46</v>
      </c>
      <c r="G42" s="56">
        <f>IF(D42=D41,"",_xlfn.IFNA(VLOOKUP(D42,'인원 입력 기능(사과탐)'!$A$177:$D$231,4,FALSE),0))</f>
        <v>1239</v>
      </c>
      <c r="H42" s="57">
        <f t="shared" si="1"/>
        <v>1.9737470927454041E-2</v>
      </c>
      <c r="I42" s="67">
        <f>SUM($G$7:G42)</f>
        <v>54314</v>
      </c>
      <c r="J42" s="59">
        <f t="shared" si="5"/>
        <v>0.86523082804982954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38</v>
      </c>
      <c r="E43" s="69">
        <f t="shared" si="7"/>
        <v>7</v>
      </c>
      <c r="F43" s="55">
        <f t="shared" si="4"/>
        <v>12.52</v>
      </c>
      <c r="G43" s="56">
        <f>IF(D43=D42,"",_xlfn.IFNA(VLOOKUP(D43,'인원 입력 기능(사과탐)'!$A$177:$D$231,4,FALSE),0))</f>
        <v>1198</v>
      </c>
      <c r="H43" s="57">
        <f t="shared" si="1"/>
        <v>1.9084334278522956E-2</v>
      </c>
      <c r="I43" s="67">
        <f>SUM($G$7:G43)</f>
        <v>55512</v>
      </c>
      <c r="J43" s="59">
        <f t="shared" si="5"/>
        <v>0.8843151623283525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37</v>
      </c>
      <c r="E44" s="69">
        <f t="shared" si="7"/>
        <v>7</v>
      </c>
      <c r="F44" s="55">
        <f t="shared" si="4"/>
        <v>10.8</v>
      </c>
      <c r="G44" s="56">
        <f>IF(D44=D43,"",_xlfn.IFNA(VLOOKUP(D44,'인원 입력 기능(사과탐)'!$A$177:$D$231,4,FALSE),0))</f>
        <v>961</v>
      </c>
      <c r="H44" s="57">
        <f t="shared" si="1"/>
        <v>1.5308885844457897E-2</v>
      </c>
      <c r="I44" s="67">
        <f>SUM($G$7:G44)</f>
        <v>56473</v>
      </c>
      <c r="J44" s="59">
        <f t="shared" si="5"/>
        <v>0.89962404817281039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36</v>
      </c>
      <c r="E45" s="69">
        <f t="shared" si="7"/>
        <v>8</v>
      </c>
      <c r="F45" s="55">
        <f t="shared" si="4"/>
        <v>9.1199999999999992</v>
      </c>
      <c r="G45" s="56">
        <f>IF(D45=D44,"",_xlfn.IFNA(VLOOKUP(D45,'인원 입력 기능(사과탐)'!$A$177:$D$231,4,FALSE),0))</f>
        <v>1153</v>
      </c>
      <c r="H45" s="57">
        <f t="shared" si="1"/>
        <v>1.8367476980915665E-2</v>
      </c>
      <c r="I45" s="67">
        <f>SUM($G$7:G45)</f>
        <v>57626</v>
      </c>
      <c r="J45" s="59">
        <f t="shared" si="5"/>
        <v>0.91799152515372606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35</v>
      </c>
      <c r="E46" s="69">
        <f t="shared" si="7"/>
        <v>8</v>
      </c>
      <c r="F46" s="55">
        <f t="shared" si="4"/>
        <v>7.49</v>
      </c>
      <c r="G46" s="56">
        <f>IF(D46=D45,"",_xlfn.IFNA(VLOOKUP(D46,'인원 입력 기능(사과탐)'!$A$177:$D$231,4,FALSE),0))</f>
        <v>888</v>
      </c>
      <c r="H46" s="57">
        <f t="shared" si="1"/>
        <v>1.4145984006117182E-2</v>
      </c>
      <c r="I46" s="67">
        <f>SUM($G$7:G46)</f>
        <v>58514</v>
      </c>
      <c r="J46" s="59">
        <f t="shared" si="5"/>
        <v>0.93213750915984328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34</v>
      </c>
      <c r="E47" s="69">
        <f t="shared" si="7"/>
        <v>8</v>
      </c>
      <c r="F47" s="55">
        <f t="shared" si="4"/>
        <v>5.38</v>
      </c>
      <c r="G47" s="56">
        <f>IF(D47=D46,"",_xlfn.IFNA(VLOOKUP(D47,'인원 입력 기능(사과탐)'!$A$177:$D$231,4,FALSE),0))</f>
        <v>1771</v>
      </c>
      <c r="H47" s="57">
        <f t="shared" si="1"/>
        <v>2.8212317201389111E-2</v>
      </c>
      <c r="I47" s="67">
        <f>SUM($G$7:G47)</f>
        <v>60285</v>
      </c>
      <c r="J47" s="59">
        <f t="shared" si="5"/>
        <v>0.96034982636123234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33</v>
      </c>
      <c r="E48" s="69">
        <f t="shared" si="7"/>
        <v>9</v>
      </c>
      <c r="F48" s="55">
        <f t="shared" si="4"/>
        <v>3.37</v>
      </c>
      <c r="G48" s="56">
        <f>IF(D48=D47,"",_xlfn.IFNA(VLOOKUP(D48,'인원 입력 기능(사과탐)'!$A$177:$D$231,4,FALSE),0))</f>
        <v>751</v>
      </c>
      <c r="H48" s="57">
        <f t="shared" si="1"/>
        <v>1.1963551788957211E-2</v>
      </c>
      <c r="I48" s="67">
        <f>SUM($G$7:G48)</f>
        <v>61036</v>
      </c>
      <c r="J48" s="59">
        <f t="shared" si="5"/>
        <v>0.97231337815018959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32</v>
      </c>
      <c r="E49" s="69">
        <f t="shared" si="7"/>
        <v>9</v>
      </c>
      <c r="F49" s="55">
        <f t="shared" si="4"/>
        <v>2.34</v>
      </c>
      <c r="G49" s="56">
        <f>IF(D49=D48,"",_xlfn.IFNA(VLOOKUP(D49,'인원 입력 기능(사과탐)'!$A$177:$D$231,4,FALSE),0))</f>
        <v>538</v>
      </c>
      <c r="H49" s="57">
        <f t="shared" si="1"/>
        <v>8.5704272469493744E-3</v>
      </c>
      <c r="I49" s="67">
        <f>SUM($G$7:G49)</f>
        <v>61574</v>
      </c>
      <c r="J49" s="59">
        <f t="shared" si="5"/>
        <v>0.98088380539713893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31</v>
      </c>
      <c r="E50" s="69">
        <f t="shared" si="7"/>
        <v>9</v>
      </c>
      <c r="F50" s="55">
        <f t="shared" si="4"/>
        <v>1.59</v>
      </c>
      <c r="G50" s="56">
        <f>IF(D50=D49,"",_xlfn.IFNA(VLOOKUP(D50,'인원 입력 기능(사과탐)'!$A$177:$D$231,4,FALSE),0))</f>
        <v>399</v>
      </c>
      <c r="H50" s="57">
        <f t="shared" si="1"/>
        <v>6.3561347054513018E-3</v>
      </c>
      <c r="I50" s="67">
        <f>SUM($G$7:G50)</f>
        <v>61973</v>
      </c>
      <c r="J50" s="59">
        <f t="shared" si="5"/>
        <v>0.9872399401025902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30</v>
      </c>
      <c r="E51" s="69">
        <f t="shared" si="7"/>
        <v>9</v>
      </c>
      <c r="F51" s="55">
        <f t="shared" si="4"/>
        <v>1.0900000000000001</v>
      </c>
      <c r="G51" s="56">
        <f>IF(D51=D50,"",_xlfn.IFNA(VLOOKUP(D51,'인원 입력 기능(사과탐)'!$A$177:$D$231,4,FALSE),0))</f>
        <v>233</v>
      </c>
      <c r="H51" s="57">
        <f t="shared" si="1"/>
        <v>3.7117277853888552E-3</v>
      </c>
      <c r="I51" s="67">
        <f>SUM($G$7:G51)</f>
        <v>62206</v>
      </c>
      <c r="J51" s="59">
        <f t="shared" si="5"/>
        <v>0.99095166788797906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29</v>
      </c>
      <c r="E52" s="69">
        <f t="shared" si="7"/>
        <v>9</v>
      </c>
      <c r="F52" s="55">
        <f t="shared" si="4"/>
        <v>0.72</v>
      </c>
      <c r="G52" s="56">
        <f>IF(D52=D51,"",_xlfn.IFNA(VLOOKUP(D52,'인원 입력 기능(사과탐)'!$A$177:$D$231,4,FALSE),0))</f>
        <v>226</v>
      </c>
      <c r="H52" s="57">
        <f t="shared" si="1"/>
        <v>3.6002166502054991E-3</v>
      </c>
      <c r="I52" s="67">
        <f>SUM($G$7:G52)</f>
        <v>62432</v>
      </c>
      <c r="J52" s="59">
        <f t="shared" si="5"/>
        <v>0.99455188453818455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104">
        <v>4</v>
      </c>
      <c r="D53" s="54">
        <f t="shared" si="3"/>
        <v>28</v>
      </c>
      <c r="E53" s="54">
        <f t="shared" si="7"/>
        <v>9</v>
      </c>
      <c r="F53" s="55">
        <f t="shared" si="4"/>
        <v>0.43</v>
      </c>
      <c r="G53" s="56">
        <f>IF(D53=D52,"",_xlfn.IFNA(VLOOKUP(D53,'인원 입력 기능(사과탐)'!$A$177:$D$231,4,FALSE),0))</f>
        <v>139</v>
      </c>
      <c r="H53" s="57">
        <f t="shared" si="1"/>
        <v>2.2142925414980726E-3</v>
      </c>
      <c r="I53" s="67">
        <f>SUM($G$7:G53)</f>
        <v>62571</v>
      </c>
      <c r="J53" s="59">
        <f t="shared" si="5"/>
        <v>0.99676617707968262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27</v>
      </c>
      <c r="E54" s="54">
        <f t="shared" si="7"/>
        <v>9</v>
      </c>
      <c r="F54" s="55">
        <f t="shared" si="4"/>
        <v>0.26</v>
      </c>
      <c r="G54" s="56">
        <f>IF(D54=D53,"",_xlfn.IFNA(VLOOKUP(D54,'인원 입력 기능(사과탐)'!$A$177:$D$231,4,FALSE),0))</f>
        <v>80</v>
      </c>
      <c r="H54" s="57">
        <f t="shared" si="1"/>
        <v>1.2744129735240705E-3</v>
      </c>
      <c r="I54" s="67">
        <f>SUM($G$7:G54)</f>
        <v>62651</v>
      </c>
      <c r="J54" s="59">
        <f t="shared" si="5"/>
        <v>0.99804059005320678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26</v>
      </c>
      <c r="E55" s="54">
        <f t="shared" si="7"/>
        <v>9</v>
      </c>
      <c r="F55" s="55">
        <f t="shared" si="4"/>
        <v>0.13</v>
      </c>
      <c r="G55" s="56">
        <f>IF(D55=D54,"",_xlfn.IFNA(VLOOKUP(D55,'인원 입력 기능(사과탐)'!$A$177:$D$231,4,FALSE),0))</f>
        <v>83</v>
      </c>
      <c r="H55" s="57">
        <f t="shared" si="1"/>
        <v>1.3222034600312231E-3</v>
      </c>
      <c r="I55" s="67">
        <f>SUM($G$7:G55)</f>
        <v>62734</v>
      </c>
      <c r="J55" s="59">
        <f t="shared" si="5"/>
        <v>0.99936279351323798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24</v>
      </c>
      <c r="E57" s="107">
        <f t="shared" si="7"/>
        <v>9</v>
      </c>
      <c r="F57" s="74">
        <f>IF(I55=0,ROUND(100*(1-(I54+I57)/2/$J$3),2),ROUND(100*(1-(I55+I57)/2/$J$3),2))</f>
        <v>0.03</v>
      </c>
      <c r="G57" s="108">
        <f>_xlfn.IFNA(VLOOKUP(D57,'인원 입력 기능(사과탐)'!$A$177:$D$231,4,FALSE),0)</f>
        <v>40</v>
      </c>
      <c r="H57" s="76">
        <f>G57/$J$3</f>
        <v>6.3720648676203527E-4</v>
      </c>
      <c r="I57" s="77">
        <f>SUM($G$7:G57)</f>
        <v>62774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D3:F3"/>
    <mergeCell ref="D4:F4"/>
    <mergeCell ref="I4:J5"/>
    <mergeCell ref="D21:D22"/>
    <mergeCell ref="E21:E22"/>
    <mergeCell ref="F21:F22"/>
    <mergeCell ref="G21:G22"/>
    <mergeCell ref="H21:H22"/>
    <mergeCell ref="I21:I22"/>
    <mergeCell ref="J21:J22"/>
    <mergeCell ref="I40:I41"/>
    <mergeCell ref="J40:J41"/>
    <mergeCell ref="D40:D41"/>
    <mergeCell ref="E40:E41"/>
    <mergeCell ref="F40:F41"/>
    <mergeCell ref="G40:G41"/>
    <mergeCell ref="H40:H41"/>
  </mergeCells>
  <phoneticPr fontId="1" type="noConversion"/>
  <conditionalFormatting sqref="D7:G21 I7:J21 D23:G40 I23:J40 D42:G57 I42:J57">
    <cfRule type="expression" dxfId="20" priority="4">
      <formula>OR($D7=$Q$7:$Q$14)</formula>
    </cfRule>
  </conditionalFormatting>
  <conditionalFormatting sqref="C7:C57">
    <cfRule type="expression" dxfId="19" priority="3">
      <formula>OR(AND($D7=0,OR($D6=$Q$7:$Q$14)),AND($D8&gt;0,OR($D7=$Q$7:$Q$14)))</formula>
    </cfRule>
  </conditionalFormatting>
  <conditionalFormatting sqref="D7:D21 D23:D40 D42:D57">
    <cfRule type="expression" dxfId="18" priority="2">
      <formula>$D7=$D8</formula>
    </cfRule>
  </conditionalFormatting>
  <conditionalFormatting sqref="H7:H21 H23:H40 H42:H57">
    <cfRule type="expression" dxfId="1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기능'!D18</f>
        <v>25.34</v>
      </c>
      <c r="I3" s="16" t="s">
        <v>70</v>
      </c>
      <c r="J3" s="45">
        <f>'통계 및 응시자 수 입력 기능'!C18</f>
        <v>90016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94</v>
      </c>
      <c r="E4" s="169"/>
      <c r="F4" s="170"/>
      <c r="G4" s="47" t="s">
        <v>73</v>
      </c>
      <c r="H4" s="48" t="str">
        <f>'통계 및 응시자 수 입력 기능'!E18</f>
        <v>10.76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73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99.49</v>
      </c>
      <c r="G7" s="56">
        <f>_xlfn.IFNA(VLOOKUP(D7,'인원 입력 기능(사과탐)'!$F$177:$I$231,4,FALSE),0)</f>
        <v>915</v>
      </c>
      <c r="H7" s="57">
        <f>G7/$J$3</f>
        <v>1.0164859580519018E-2</v>
      </c>
      <c r="I7" s="58">
        <f>G7</f>
        <v>915</v>
      </c>
      <c r="J7" s="59">
        <f>I7/$J$3</f>
        <v>1.0164859580519018E-2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기능'!C130</f>
        <v>68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기능'!C131</f>
        <v>64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71</v>
      </c>
      <c r="E9" s="54">
        <f t="shared" si="0"/>
        <v>1</v>
      </c>
      <c r="F9" s="55">
        <f>IF(I8=0,ROUND(100*(1-(I7+I9)/2/$J$3),2),ROUND(100*(1-(I8+I9)/2/$J$3),2))</f>
        <v>98.61</v>
      </c>
      <c r="G9" s="56">
        <f>_xlfn.IFNA(VLOOKUP(D9,'인원 입력 기능(사과탐)'!$F$177:$I$231,4,FALSE),0)</f>
        <v>669</v>
      </c>
      <c r="H9" s="57">
        <f t="shared" ref="H9:H55" si="1">G9/$J$3</f>
        <v>7.432012086740135E-3</v>
      </c>
      <c r="I9" s="67">
        <f>SUM($G$7:G9)</f>
        <v>1584</v>
      </c>
      <c r="J9" s="59">
        <f>I9/$J$3</f>
        <v>1.7596871667259154E-2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기능'!C132</f>
        <v>58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70</v>
      </c>
      <c r="E10" s="54">
        <f t="shared" si="0"/>
        <v>1</v>
      </c>
      <c r="F10" s="55">
        <f t="shared" ref="F10:F55" si="4">IF(I9=0,ROUND(100*(1-(I8+I10)/2/$J$3),2),ROUND(100*(1-(I9+I10)/2/$J$3),2))</f>
        <v>97.49</v>
      </c>
      <c r="G10" s="56">
        <f>IF(D10=D9,"",_xlfn.IFNA(VLOOKUP(D10,'인원 입력 기능(사과탐)'!$F$177:$I$231,4,FALSE),0))</f>
        <v>1346</v>
      </c>
      <c r="H10" s="57">
        <f t="shared" si="1"/>
        <v>1.4952897262708851E-2</v>
      </c>
      <c r="I10" s="67">
        <f>SUM($G$7:G10)</f>
        <v>2930</v>
      </c>
      <c r="J10" s="59">
        <f t="shared" ref="J10:J55" si="5">I10/$J$3</f>
        <v>3.2549768929968005E-2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기능'!C133</f>
        <v>52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69</v>
      </c>
      <c r="E11" s="54">
        <f t="shared" si="0"/>
        <v>1</v>
      </c>
      <c r="F11" s="55">
        <f t="shared" si="4"/>
        <v>96.63</v>
      </c>
      <c r="G11" s="56">
        <f>IF(D11=D10,"",_xlfn.IFNA(VLOOKUP(D11,'인원 입력 기능(사과탐)'!$F$177:$I$231,4,FALSE),0))</f>
        <v>210</v>
      </c>
      <c r="H11" s="57">
        <f t="shared" si="1"/>
        <v>2.3329185922502664E-3</v>
      </c>
      <c r="I11" s="67">
        <f>SUM($G$7:G11)</f>
        <v>3140</v>
      </c>
      <c r="J11" s="59">
        <f t="shared" si="5"/>
        <v>3.4882687522218271E-2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기능'!C134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68</v>
      </c>
      <c r="E12" s="54">
        <f t="shared" si="0"/>
        <v>1</v>
      </c>
      <c r="F12" s="55">
        <f t="shared" si="4"/>
        <v>95.77</v>
      </c>
      <c r="G12" s="56">
        <f>IF(D12=D11,"",_xlfn.IFNA(VLOOKUP(D12,'인원 입력 기능(사과탐)'!$F$177:$I$231,4,FALSE),0))</f>
        <v>1333</v>
      </c>
      <c r="H12" s="57">
        <f t="shared" si="1"/>
        <v>1.4808478492712407E-2</v>
      </c>
      <c r="I12" s="67">
        <f>SUM($G$7:G12)</f>
        <v>4473</v>
      </c>
      <c r="J12" s="59">
        <f t="shared" si="5"/>
        <v>4.9691166014930677E-2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기능'!C135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67</v>
      </c>
      <c r="E13" s="54">
        <f t="shared" si="0"/>
        <v>2</v>
      </c>
      <c r="F13" s="55">
        <f t="shared" si="4"/>
        <v>94.33</v>
      </c>
      <c r="G13" s="56">
        <f>IF(D13=D12,"",_xlfn.IFNA(VLOOKUP(D13,'인원 입력 기능(사과탐)'!$F$177:$I$231,4,FALSE),0))</f>
        <v>1269</v>
      </c>
      <c r="H13" s="57">
        <f t="shared" si="1"/>
        <v>1.4097493778883754E-2</v>
      </c>
      <c r="I13" s="67">
        <f>SUM($G$7:G13)</f>
        <v>5742</v>
      </c>
      <c r="J13" s="59">
        <f t="shared" si="5"/>
        <v>6.3788659793814428E-2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기능'!C136</f>
        <v>38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66</v>
      </c>
      <c r="E14" s="54">
        <f t="shared" si="0"/>
        <v>2</v>
      </c>
      <c r="F14" s="55">
        <f t="shared" si="4"/>
        <v>93.29</v>
      </c>
      <c r="G14" s="56">
        <f>IF(D14=D13,"",_xlfn.IFNA(VLOOKUP(D14,'인원 입력 기능(사과탐)'!$F$177:$I$231,4,FALSE),0))</f>
        <v>589</v>
      </c>
      <c r="H14" s="57">
        <f t="shared" si="1"/>
        <v>6.5432811944543196E-3</v>
      </c>
      <c r="I14" s="67">
        <f>SUM($G$7:G14)</f>
        <v>6331</v>
      </c>
      <c r="J14" s="59">
        <f t="shared" si="5"/>
        <v>7.0331940988268754E-2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기능'!C137</f>
        <v>34</v>
      </c>
    </row>
    <row r="15" spans="1:17" s="17" customFormat="1" ht="25" customHeight="1" x14ac:dyDescent="0.45">
      <c r="A15" s="15"/>
      <c r="B15" s="30"/>
      <c r="C15" s="53">
        <v>42</v>
      </c>
      <c r="D15" s="186">
        <f t="shared" si="3"/>
        <v>65</v>
      </c>
      <c r="E15" s="186">
        <f t="shared" si="0"/>
        <v>2</v>
      </c>
      <c r="F15" s="180">
        <f t="shared" si="4"/>
        <v>91.27</v>
      </c>
      <c r="G15" s="182">
        <f>IF(D15=D14,"",_xlfn.IFNA(VLOOKUP(D15,'인원 입력 기능(사과탐)'!$F$177:$I$231,4,FALSE),0))</f>
        <v>3053</v>
      </c>
      <c r="H15" s="184">
        <f t="shared" si="1"/>
        <v>3.391619267685745E-2</v>
      </c>
      <c r="I15" s="188">
        <f>SUM($G$7:G15)</f>
        <v>9384</v>
      </c>
      <c r="J15" s="176">
        <f t="shared" si="5"/>
        <v>0.1042481336651262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187"/>
      <c r="E16" s="187"/>
      <c r="F16" s="181"/>
      <c r="G16" s="183"/>
      <c r="H16" s="185"/>
      <c r="I16" s="189"/>
      <c r="J16" s="177"/>
      <c r="K16" s="31"/>
      <c r="L16" s="15" t="str">
        <f t="shared" si="2"/>
        <v>경고</v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64</v>
      </c>
      <c r="E17" s="54">
        <f t="shared" si="0"/>
        <v>2</v>
      </c>
      <c r="F17" s="55">
        <f t="shared" si="4"/>
        <v>88.93</v>
      </c>
      <c r="G17" s="56">
        <f>IF(D17=D16,"",_xlfn.IFNA(VLOOKUP(D17,'인원 입력 기능(사과탐)'!$F$177:$I$231,4,FALSE),0))</f>
        <v>1162</v>
      </c>
      <c r="H17" s="57">
        <f t="shared" si="1"/>
        <v>1.2908816210451476E-2</v>
      </c>
      <c r="I17" s="67">
        <f>SUM($G$7:G17)</f>
        <v>10546</v>
      </c>
      <c r="J17" s="59">
        <f t="shared" si="5"/>
        <v>0.11715694987557768</v>
      </c>
      <c r="K17" s="31"/>
      <c r="L17" s="15" t="str">
        <f t="shared" si="2"/>
        <v/>
      </c>
      <c r="N17" s="19"/>
      <c r="Q17" s="19">
        <f>Q7*H3*H4*J3*IFERROR(IF(J57=1, 1, 0), 0)</f>
        <v>1668966060.3392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63</v>
      </c>
      <c r="E18" s="54">
        <f t="shared" si="0"/>
        <v>3</v>
      </c>
      <c r="F18" s="55">
        <f t="shared" si="4"/>
        <v>87.1</v>
      </c>
      <c r="G18" s="56">
        <f>IF(D18=D17,"",_xlfn.IFNA(VLOOKUP(D18,'인원 입력 기능(사과탐)'!$F$177:$I$231,4,FALSE),0))</f>
        <v>2138</v>
      </c>
      <c r="H18" s="57">
        <f t="shared" si="1"/>
        <v>2.375133309633843E-2</v>
      </c>
      <c r="I18" s="67">
        <f>SUM($G$7:G18)</f>
        <v>12684</v>
      </c>
      <c r="J18" s="59">
        <f t="shared" si="5"/>
        <v>0.1409082829719161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62</v>
      </c>
      <c r="E19" s="54">
        <f t="shared" si="0"/>
        <v>3</v>
      </c>
      <c r="F19" s="55">
        <f t="shared" si="4"/>
        <v>85.18</v>
      </c>
      <c r="G19" s="56">
        <f>IF(D19=D18,"",_xlfn.IFNA(VLOOKUP(D19,'인원 입력 기능(사과탐)'!$F$177:$I$231,4,FALSE),0))</f>
        <v>1311</v>
      </c>
      <c r="H19" s="57">
        <f t="shared" si="1"/>
        <v>1.4564077497333808E-2</v>
      </c>
      <c r="I19" s="67">
        <f>SUM($G$7:G19)</f>
        <v>13995</v>
      </c>
      <c r="J19" s="59">
        <f t="shared" si="5"/>
        <v>0.15547236046924992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61</v>
      </c>
      <c r="E20" s="54">
        <f t="shared" si="0"/>
        <v>3</v>
      </c>
      <c r="F20" s="55">
        <f t="shared" si="4"/>
        <v>83.49</v>
      </c>
      <c r="G20" s="56">
        <f>IF(D20=D19,"",_xlfn.IFNA(VLOOKUP(D20,'인원 입력 기능(사과탐)'!$F$177:$I$231,4,FALSE),0))</f>
        <v>1742</v>
      </c>
      <c r="H20" s="57">
        <f t="shared" si="1"/>
        <v>1.9352115179523639E-2</v>
      </c>
      <c r="I20" s="67">
        <f>SUM($G$7:G20)</f>
        <v>15737</v>
      </c>
      <c r="J20" s="59">
        <f t="shared" si="5"/>
        <v>0.17482447564877354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60</v>
      </c>
      <c r="E21" s="69">
        <f t="shared" si="0"/>
        <v>3</v>
      </c>
      <c r="F21" s="55">
        <f t="shared" si="4"/>
        <v>81.27</v>
      </c>
      <c r="G21" s="56">
        <f>IF(D21=D20,"",_xlfn.IFNA(VLOOKUP(D21,'인원 입력 기능(사과탐)'!$F$177:$I$231,4,FALSE),0))</f>
        <v>2238</v>
      </c>
      <c r="H21" s="57">
        <f t="shared" si="1"/>
        <v>2.48622467116957E-2</v>
      </c>
      <c r="I21" s="67">
        <f>SUM($G$7:G21)</f>
        <v>17975</v>
      </c>
      <c r="J21" s="59">
        <f t="shared" si="5"/>
        <v>0.19968672236046925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59</v>
      </c>
      <c r="E22" s="69">
        <f t="shared" si="0"/>
        <v>3</v>
      </c>
      <c r="F22" s="55">
        <f t="shared" si="4"/>
        <v>79.16</v>
      </c>
      <c r="G22" s="56">
        <f>IF(D22=D21,"",_xlfn.IFNA(VLOOKUP(D22,'인원 입력 기능(사과탐)'!$F$177:$I$231,4,FALSE),0))</f>
        <v>1567</v>
      </c>
      <c r="H22" s="57">
        <f t="shared" si="1"/>
        <v>1.7408016352648419E-2</v>
      </c>
      <c r="I22" s="67">
        <f>SUM($G$7:G22)</f>
        <v>19542</v>
      </c>
      <c r="J22" s="59">
        <f t="shared" si="5"/>
        <v>0.21709473871311766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58</v>
      </c>
      <c r="E23" s="69">
        <f t="shared" si="0"/>
        <v>3</v>
      </c>
      <c r="F23" s="55">
        <f t="shared" si="4"/>
        <v>77</v>
      </c>
      <c r="G23" s="56">
        <f>IF(D23=D22,"",_xlfn.IFNA(VLOOKUP(D23,'인원 입력 기능(사과탐)'!$F$177:$I$231,4,FALSE),0))</f>
        <v>2328</v>
      </c>
      <c r="H23" s="57">
        <f t="shared" si="1"/>
        <v>2.5862068965517241E-2</v>
      </c>
      <c r="I23" s="67">
        <f>SUM($G$7:G23)</f>
        <v>21870</v>
      </c>
      <c r="J23" s="59">
        <f t="shared" si="5"/>
        <v>0.24295680767863492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57</v>
      </c>
      <c r="E24" s="69">
        <f t="shared" si="0"/>
        <v>4</v>
      </c>
      <c r="F24" s="55">
        <f t="shared" si="4"/>
        <v>74.459999999999994</v>
      </c>
      <c r="G24" s="56">
        <f>IF(D24=D23,"",_xlfn.IFNA(VLOOKUP(D24,'인원 입력 기능(사과탐)'!$F$177:$I$231,4,FALSE),0))</f>
        <v>2244</v>
      </c>
      <c r="H24" s="57">
        <f t="shared" si="1"/>
        <v>2.4928901528617136E-2</v>
      </c>
      <c r="I24" s="67">
        <f>SUM($G$7:G24)</f>
        <v>24114</v>
      </c>
      <c r="J24" s="59">
        <f t="shared" si="5"/>
        <v>0.26788570920725202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56</v>
      </c>
      <c r="E25" s="69">
        <f t="shared" si="0"/>
        <v>4</v>
      </c>
      <c r="F25" s="55">
        <f t="shared" si="4"/>
        <v>72.2</v>
      </c>
      <c r="G25" s="56">
        <f>IF(D25=D24,"",_xlfn.IFNA(VLOOKUP(D25,'인원 입력 기능(사과탐)'!$F$177:$I$231,4,FALSE),0))</f>
        <v>1829</v>
      </c>
      <c r="H25" s="57">
        <f t="shared" si="1"/>
        <v>2.0318610024884463E-2</v>
      </c>
      <c r="I25" s="67">
        <f>SUM($G$7:G25)</f>
        <v>25943</v>
      </c>
      <c r="J25" s="59">
        <f t="shared" si="5"/>
        <v>0.28820431923213652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55</v>
      </c>
      <c r="E26" s="69">
        <f t="shared" si="0"/>
        <v>4</v>
      </c>
      <c r="F26" s="55">
        <f t="shared" si="4"/>
        <v>69.55</v>
      </c>
      <c r="G26" s="56">
        <f>IF(D26=D25,"",_xlfn.IFNA(VLOOKUP(D26,'인원 입력 기능(사과탐)'!$F$177:$I$231,4,FALSE),0))</f>
        <v>2934</v>
      </c>
      <c r="H26" s="57">
        <f t="shared" si="1"/>
        <v>3.2594205474582298E-2</v>
      </c>
      <c r="I26" s="67">
        <f>SUM($G$7:G26)</f>
        <v>28877</v>
      </c>
      <c r="J26" s="59">
        <f t="shared" si="5"/>
        <v>0.32079852470671882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54</v>
      </c>
      <c r="E27" s="69">
        <f t="shared" si="0"/>
        <v>4</v>
      </c>
      <c r="F27" s="55">
        <f t="shared" si="4"/>
        <v>66.67</v>
      </c>
      <c r="G27" s="56">
        <f>IF(D27=D26,"",_xlfn.IFNA(VLOOKUP(D27,'인원 입력 기능(사과탐)'!$F$177:$I$231,4,FALSE),0))</f>
        <v>2255</v>
      </c>
      <c r="H27" s="57">
        <f t="shared" si="1"/>
        <v>2.5051102026306435E-2</v>
      </c>
      <c r="I27" s="67">
        <f>SUM($G$7:G27)</f>
        <v>31132</v>
      </c>
      <c r="J27" s="59">
        <f t="shared" si="5"/>
        <v>0.34584962673302522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53</v>
      </c>
      <c r="E28" s="69">
        <f t="shared" si="0"/>
        <v>4</v>
      </c>
      <c r="F28" s="55">
        <f t="shared" si="4"/>
        <v>63.96</v>
      </c>
      <c r="G28" s="56">
        <f>IF(D28=D27,"",_xlfn.IFNA(VLOOKUP(D28,'인원 입력 기능(사과탐)'!$F$177:$I$231,4,FALSE),0))</f>
        <v>2626</v>
      </c>
      <c r="H28" s="57">
        <f t="shared" si="1"/>
        <v>2.9172591539281905E-2</v>
      </c>
      <c r="I28" s="67">
        <f>SUM($G$7:G28)</f>
        <v>33758</v>
      </c>
      <c r="J28" s="59">
        <f t="shared" si="5"/>
        <v>0.37502221827230714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78">
        <f t="shared" si="3"/>
        <v>52</v>
      </c>
      <c r="E29" s="178">
        <f t="shared" si="0"/>
        <v>4</v>
      </c>
      <c r="F29" s="180">
        <f t="shared" si="4"/>
        <v>59.48</v>
      </c>
      <c r="G29" s="182">
        <f>IF(D29=D28,"",_xlfn.IFNA(VLOOKUP(D29,'인원 입력 기능(사과탐)'!$F$177:$I$231,4,FALSE),0))</f>
        <v>5441</v>
      </c>
      <c r="H29" s="184">
        <f t="shared" si="1"/>
        <v>6.0444809811589048E-2</v>
      </c>
      <c r="I29" s="188">
        <f>SUM($G$7:G29)</f>
        <v>39199</v>
      </c>
      <c r="J29" s="176">
        <f t="shared" si="5"/>
        <v>0.4354670280838962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179"/>
      <c r="E30" s="179"/>
      <c r="F30" s="181"/>
      <c r="G30" s="183"/>
      <c r="H30" s="185"/>
      <c r="I30" s="189"/>
      <c r="J30" s="177"/>
      <c r="K30" s="31"/>
      <c r="L30" s="15" t="str">
        <f t="shared" si="2"/>
        <v>경고</v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51</v>
      </c>
      <c r="E31" s="69">
        <f t="shared" si="0"/>
        <v>5</v>
      </c>
      <c r="F31" s="55">
        <f t="shared" si="4"/>
        <v>54.8</v>
      </c>
      <c r="G31" s="56">
        <f>IF(D31=D30,"",_xlfn.IFNA(VLOOKUP(D31,'인원 입력 기능(사과탐)'!$F$177:$I$231,4,FALSE),0))</f>
        <v>2984</v>
      </c>
      <c r="H31" s="57">
        <f t="shared" si="1"/>
        <v>3.3149662282260933E-2</v>
      </c>
      <c r="I31" s="67">
        <f>SUM($G$7:G31)</f>
        <v>42183</v>
      </c>
      <c r="J31" s="59">
        <f t="shared" si="5"/>
        <v>0.46861669036615711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50</v>
      </c>
      <c r="E32" s="69">
        <f t="shared" si="0"/>
        <v>5</v>
      </c>
      <c r="F32" s="55">
        <f t="shared" si="4"/>
        <v>51.62</v>
      </c>
      <c r="G32" s="56">
        <f>IF(D32=D31,"",_xlfn.IFNA(VLOOKUP(D32,'인원 입력 기능(사과탐)'!$F$177:$I$231,4,FALSE),0))</f>
        <v>2741</v>
      </c>
      <c r="H32" s="57">
        <f t="shared" si="1"/>
        <v>3.0450142196942767E-2</v>
      </c>
      <c r="I32" s="67">
        <f>SUM($G$7:G32)</f>
        <v>44924</v>
      </c>
      <c r="J32" s="59">
        <f t="shared" si="5"/>
        <v>0.49906683256309992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49</v>
      </c>
      <c r="E33" s="69">
        <f t="shared" si="0"/>
        <v>5</v>
      </c>
      <c r="F33" s="55">
        <f t="shared" si="4"/>
        <v>48.58</v>
      </c>
      <c r="G33" s="56">
        <f>IF(D33=D32,"",_xlfn.IFNA(VLOOKUP(D33,'인원 입력 기능(사과탐)'!$F$177:$I$231,4,FALSE),0))</f>
        <v>2728</v>
      </c>
      <c r="H33" s="57">
        <f t="shared" si="1"/>
        <v>3.0305723426946322E-2</v>
      </c>
      <c r="I33" s="67">
        <f>SUM($G$7:G33)</f>
        <v>47652</v>
      </c>
      <c r="J33" s="59">
        <f t="shared" si="5"/>
        <v>0.52937255599004618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48</v>
      </c>
      <c r="E34" s="69">
        <f t="shared" si="0"/>
        <v>5</v>
      </c>
      <c r="F34" s="55">
        <f t="shared" si="4"/>
        <v>45.29</v>
      </c>
      <c r="G34" s="56">
        <f>IF(D34=D33,"",_xlfn.IFNA(VLOOKUP(D34,'인원 입력 기능(사과탐)'!$F$177:$I$231,4,FALSE),0))</f>
        <v>3185</v>
      </c>
      <c r="H34" s="57">
        <f t="shared" si="1"/>
        <v>3.5382598649129043E-2</v>
      </c>
      <c r="I34" s="67">
        <f>SUM($G$7:G34)</f>
        <v>50837</v>
      </c>
      <c r="J34" s="59">
        <f t="shared" si="5"/>
        <v>0.56475515463917525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47</v>
      </c>
      <c r="E35" s="69">
        <f t="shared" si="0"/>
        <v>5</v>
      </c>
      <c r="F35" s="55">
        <f t="shared" si="4"/>
        <v>41.96</v>
      </c>
      <c r="G35" s="56">
        <f>IF(D35=D34,"",_xlfn.IFNA(VLOOKUP(D35,'인원 입력 기능(사과탐)'!$F$177:$I$231,4,FALSE),0))</f>
        <v>2812</v>
      </c>
      <c r="H35" s="57">
        <f t="shared" si="1"/>
        <v>3.1238890863846427E-2</v>
      </c>
      <c r="I35" s="67">
        <f>SUM($G$7:G35)</f>
        <v>53649</v>
      </c>
      <c r="J35" s="59">
        <f t="shared" si="5"/>
        <v>0.59599404550302171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46</v>
      </c>
      <c r="E36" s="69">
        <f t="shared" si="0"/>
        <v>5</v>
      </c>
      <c r="F36" s="55">
        <f t="shared" si="4"/>
        <v>38.67</v>
      </c>
      <c r="G36" s="56">
        <f>IF(D36=D35,"",_xlfn.IFNA(VLOOKUP(D36,'인원 입력 기능(사과탐)'!$F$177:$I$231,4,FALSE),0))</f>
        <v>3113</v>
      </c>
      <c r="H36" s="57">
        <f t="shared" si="1"/>
        <v>3.4582740846071811E-2</v>
      </c>
      <c r="I36" s="67">
        <f>SUM($G$7:G36)</f>
        <v>56762</v>
      </c>
      <c r="J36" s="59">
        <f t="shared" si="5"/>
        <v>0.63057678634909353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45</v>
      </c>
      <c r="E37" s="69">
        <f t="shared" si="0"/>
        <v>6</v>
      </c>
      <c r="F37" s="55">
        <f t="shared" si="4"/>
        <v>35.31</v>
      </c>
      <c r="G37" s="56">
        <f>IF(D37=D36,"",_xlfn.IFNA(VLOOKUP(D37,'인원 입력 기능(사과탐)'!$F$177:$I$231,4,FALSE),0))</f>
        <v>2931</v>
      </c>
      <c r="H37" s="57">
        <f t="shared" si="1"/>
        <v>3.2560878066121575E-2</v>
      </c>
      <c r="I37" s="67">
        <f>SUM($G$7:G37)</f>
        <v>59693</v>
      </c>
      <c r="J37" s="59">
        <f t="shared" si="5"/>
        <v>0.66313766441521504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44</v>
      </c>
      <c r="E38" s="69">
        <f t="shared" si="0"/>
        <v>6</v>
      </c>
      <c r="F38" s="55">
        <f t="shared" si="4"/>
        <v>32.049999999999997</v>
      </c>
      <c r="G38" s="56">
        <f>IF(D38=D37,"",_xlfn.IFNA(VLOOKUP(D38,'인원 입력 기능(사과탐)'!$F$177:$I$231,4,FALSE),0))</f>
        <v>2950</v>
      </c>
      <c r="H38" s="57">
        <f t="shared" si="1"/>
        <v>3.2771951653039456E-2</v>
      </c>
      <c r="I38" s="67">
        <f>SUM($G$7:G38)</f>
        <v>62643</v>
      </c>
      <c r="J38" s="59">
        <f t="shared" si="5"/>
        <v>0.69590961606825452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43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28.71</v>
      </c>
      <c r="G39" s="56">
        <f>IF(D39=D38,"",_xlfn.IFNA(VLOOKUP(D39,'인원 입력 기능(사과탐)'!$F$177:$I$231,4,FALSE),0))</f>
        <v>3067</v>
      </c>
      <c r="H39" s="57">
        <f t="shared" si="1"/>
        <v>3.4071720583007468E-2</v>
      </c>
      <c r="I39" s="67">
        <f>SUM($G$7:G39)</f>
        <v>65710</v>
      </c>
      <c r="J39" s="59">
        <f t="shared" si="5"/>
        <v>0.72998133665126197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42</v>
      </c>
      <c r="E40" s="69">
        <f t="shared" si="6"/>
        <v>6</v>
      </c>
      <c r="F40" s="55">
        <f t="shared" si="4"/>
        <v>25.49</v>
      </c>
      <c r="G40" s="56">
        <f>IF(D40=D39,"",_xlfn.IFNA(VLOOKUP(D40,'인원 입력 기능(사과탐)'!$F$177:$I$231,4,FALSE),0))</f>
        <v>2729</v>
      </c>
      <c r="H40" s="57">
        <f t="shared" si="1"/>
        <v>3.0316832563099895E-2</v>
      </c>
      <c r="I40" s="67">
        <f>SUM($G$7:G40)</f>
        <v>68439</v>
      </c>
      <c r="J40" s="59">
        <f t="shared" si="5"/>
        <v>0.76029816921436189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41</v>
      </c>
      <c r="E41" s="69">
        <f t="shared" si="6"/>
        <v>6</v>
      </c>
      <c r="F41" s="55">
        <f t="shared" si="4"/>
        <v>22.29</v>
      </c>
      <c r="G41" s="56">
        <f>IF(D41=D40,"",_xlfn.IFNA(VLOOKUP(D41,'인원 입력 기능(사과탐)'!$F$177:$I$231,4,FALSE),0))</f>
        <v>3027</v>
      </c>
      <c r="H41" s="57">
        <f t="shared" si="1"/>
        <v>3.3627355136864559E-2</v>
      </c>
      <c r="I41" s="67">
        <f>SUM($G$7:G41)</f>
        <v>71466</v>
      </c>
      <c r="J41" s="59">
        <f t="shared" si="5"/>
        <v>0.79392552435122643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40</v>
      </c>
      <c r="E42" s="69">
        <f t="shared" si="6"/>
        <v>7</v>
      </c>
      <c r="F42" s="55">
        <f t="shared" si="4"/>
        <v>19.170000000000002</v>
      </c>
      <c r="G42" s="56">
        <f>IF(D42=D41,"",_xlfn.IFNA(VLOOKUP(D42,'인원 입력 기능(사과탐)'!$F$177:$I$231,4,FALSE),0))</f>
        <v>2589</v>
      </c>
      <c r="H42" s="57">
        <f t="shared" si="1"/>
        <v>2.8761553501599715E-2</v>
      </c>
      <c r="I42" s="67">
        <f>SUM($G$7:G42)</f>
        <v>74055</v>
      </c>
      <c r="J42" s="59">
        <f t="shared" si="5"/>
        <v>0.82268707785282613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178">
        <f t="shared" si="3"/>
        <v>39</v>
      </c>
      <c r="E43" s="178">
        <f t="shared" si="6"/>
        <v>7</v>
      </c>
      <c r="F43" s="180">
        <f t="shared" si="4"/>
        <v>14.71</v>
      </c>
      <c r="G43" s="182">
        <f>IF(D43=D42,"",_xlfn.IFNA(VLOOKUP(D43,'인원 입력 기능(사과탐)'!$F$177:$I$231,4,FALSE),0))</f>
        <v>5448</v>
      </c>
      <c r="H43" s="184">
        <f t="shared" si="1"/>
        <v>6.0522573764664057E-2</v>
      </c>
      <c r="I43" s="188">
        <f>SUM($G$7:G43)</f>
        <v>79503</v>
      </c>
      <c r="J43" s="176">
        <f t="shared" si="5"/>
        <v>0.88320965161749021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179"/>
      <c r="E44" s="179"/>
      <c r="F44" s="181"/>
      <c r="G44" s="183"/>
      <c r="H44" s="185"/>
      <c r="I44" s="189"/>
      <c r="J44" s="177"/>
      <c r="K44" s="31"/>
      <c r="L44" s="15" t="str">
        <f t="shared" si="2"/>
        <v>경고</v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38</v>
      </c>
      <c r="E45" s="69">
        <f t="shared" si="6"/>
        <v>7</v>
      </c>
      <c r="F45" s="55">
        <f t="shared" si="4"/>
        <v>10.53</v>
      </c>
      <c r="G45" s="56">
        <f>IF(D45=D44,"",_xlfn.IFNA(VLOOKUP(D45,'인원 입력 기능(사과탐)'!$F$177:$I$231,4,FALSE),0))</f>
        <v>2065</v>
      </c>
      <c r="H45" s="57">
        <f t="shared" si="1"/>
        <v>2.294036615712762E-2</v>
      </c>
      <c r="I45" s="67">
        <f>SUM($G$7:G45)</f>
        <v>81568</v>
      </c>
      <c r="J45" s="59">
        <f t="shared" si="5"/>
        <v>0.9061500177746179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37</v>
      </c>
      <c r="E46" s="69">
        <f t="shared" si="6"/>
        <v>8</v>
      </c>
      <c r="F46" s="55">
        <f t="shared" si="4"/>
        <v>8.32</v>
      </c>
      <c r="G46" s="56">
        <f>IF(D46=D45,"",_xlfn.IFNA(VLOOKUP(D46,'인원 입력 기능(사과탐)'!$F$177:$I$231,4,FALSE),0))</f>
        <v>1926</v>
      </c>
      <c r="H46" s="57">
        <f t="shared" si="1"/>
        <v>2.1396196231781017E-2</v>
      </c>
      <c r="I46" s="67">
        <f>SUM($G$7:G46)</f>
        <v>83494</v>
      </c>
      <c r="J46" s="59">
        <f t="shared" si="5"/>
        <v>0.92754621400639892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36</v>
      </c>
      <c r="E47" s="69">
        <f t="shared" si="6"/>
        <v>8</v>
      </c>
      <c r="F47" s="55">
        <f t="shared" si="4"/>
        <v>6.41</v>
      </c>
      <c r="G47" s="56">
        <f>IF(D47=D46,"",_xlfn.IFNA(VLOOKUP(D47,'인원 입력 기능(사과탐)'!$F$177:$I$231,4,FALSE),0))</f>
        <v>1512</v>
      </c>
      <c r="H47" s="57">
        <f t="shared" si="1"/>
        <v>1.6797013864201921E-2</v>
      </c>
      <c r="I47" s="67">
        <f>SUM($G$7:G47)</f>
        <v>85006</v>
      </c>
      <c r="J47" s="59">
        <f t="shared" si="5"/>
        <v>0.94434322787060077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35</v>
      </c>
      <c r="E48" s="69">
        <f t="shared" si="6"/>
        <v>8</v>
      </c>
      <c r="F48" s="55">
        <f t="shared" si="4"/>
        <v>4.83</v>
      </c>
      <c r="G48" s="56">
        <f>IF(D48=D47,"",_xlfn.IFNA(VLOOKUP(D48,'인원 입력 기능(사과탐)'!$F$177:$I$231,4,FALSE),0))</f>
        <v>1316</v>
      </c>
      <c r="H48" s="57">
        <f t="shared" si="1"/>
        <v>1.4619623178101671E-2</v>
      </c>
      <c r="I48" s="67">
        <f>SUM($G$7:G48)</f>
        <v>86322</v>
      </c>
      <c r="J48" s="59">
        <f t="shared" si="5"/>
        <v>0.95896285104870249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34</v>
      </c>
      <c r="E49" s="69">
        <f t="shared" si="6"/>
        <v>8</v>
      </c>
      <c r="F49" s="55">
        <f t="shared" si="4"/>
        <v>3.32</v>
      </c>
      <c r="G49" s="56">
        <f>IF(D49=D48,"",_xlfn.IFNA(VLOOKUP(D49,'인원 입력 기능(사과탐)'!$F$177:$I$231,4,FALSE),0))</f>
        <v>1408</v>
      </c>
      <c r="H49" s="57">
        <f t="shared" si="1"/>
        <v>1.5641663704230358E-2</v>
      </c>
      <c r="I49" s="67">
        <f>SUM($G$7:G49)</f>
        <v>87730</v>
      </c>
      <c r="J49" s="59">
        <f t="shared" si="5"/>
        <v>0.97460451475293286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33</v>
      </c>
      <c r="E50" s="69">
        <f t="shared" si="6"/>
        <v>9</v>
      </c>
      <c r="F50" s="55">
        <f t="shared" si="4"/>
        <v>2.1</v>
      </c>
      <c r="G50" s="56">
        <f>IF(D50=D49,"",_xlfn.IFNA(VLOOKUP(D50,'인원 입력 기능(사과탐)'!$F$177:$I$231,4,FALSE),0))</f>
        <v>796</v>
      </c>
      <c r="H50" s="57">
        <f t="shared" si="1"/>
        <v>8.8428723782438684E-3</v>
      </c>
      <c r="I50" s="67">
        <f>SUM($G$7:G50)</f>
        <v>88526</v>
      </c>
      <c r="J50" s="59">
        <f t="shared" si="5"/>
        <v>0.98344738713117663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32</v>
      </c>
      <c r="E51" s="69">
        <f t="shared" si="6"/>
        <v>9</v>
      </c>
      <c r="F51" s="55">
        <f t="shared" si="4"/>
        <v>1.38</v>
      </c>
      <c r="G51" s="56">
        <f>IF(D51=D50,"",_xlfn.IFNA(VLOOKUP(D51,'인원 입력 기능(사과탐)'!$F$177:$I$231,4,FALSE),0))</f>
        <v>504</v>
      </c>
      <c r="H51" s="57">
        <f t="shared" si="1"/>
        <v>5.5990046214006396E-3</v>
      </c>
      <c r="I51" s="67">
        <f>SUM($G$7:G51)</f>
        <v>89030</v>
      </c>
      <c r="J51" s="59">
        <f t="shared" si="5"/>
        <v>0.98904639175257736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31</v>
      </c>
      <c r="E52" s="69">
        <f t="shared" si="6"/>
        <v>9</v>
      </c>
      <c r="F52" s="55">
        <f t="shared" si="4"/>
        <v>0.84</v>
      </c>
      <c r="G52" s="56">
        <f>IF(D52=D51,"",_xlfn.IFNA(VLOOKUP(D52,'인원 입력 기능(사과탐)'!$F$177:$I$231,4,FALSE),0))</f>
        <v>459</v>
      </c>
      <c r="H52" s="57">
        <f t="shared" si="1"/>
        <v>5.0990934944898682E-3</v>
      </c>
      <c r="I52" s="67">
        <f>SUM($G$7:G52)</f>
        <v>89489</v>
      </c>
      <c r="J52" s="59">
        <f t="shared" si="5"/>
        <v>0.99414548524706714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30</v>
      </c>
      <c r="E53" s="54">
        <f t="shared" si="6"/>
        <v>9</v>
      </c>
      <c r="F53" s="55">
        <f t="shared" si="4"/>
        <v>0.46</v>
      </c>
      <c r="G53" s="56">
        <f>IF(D53=D52,"",_xlfn.IFNA(VLOOKUP(D53,'인원 입력 기능(사과탐)'!$F$177:$I$231,4,FALSE),0))</f>
        <v>225</v>
      </c>
      <c r="H53" s="57">
        <f t="shared" si="1"/>
        <v>2.499555634553857E-3</v>
      </c>
      <c r="I53" s="67">
        <f>SUM($G$7:G53)</f>
        <v>89714</v>
      </c>
      <c r="J53" s="59">
        <f t="shared" si="5"/>
        <v>0.99664504088162109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29</v>
      </c>
      <c r="E54" s="54">
        <f t="shared" si="6"/>
        <v>9</v>
      </c>
      <c r="F54" s="55">
        <f t="shared" si="4"/>
        <v>0.27</v>
      </c>
      <c r="G54" s="56">
        <f>IF(D54=D53,"",_xlfn.IFNA(VLOOKUP(D54,'인원 입력 기능(사과탐)'!$F$177:$I$231,4,FALSE),0))</f>
        <v>115</v>
      </c>
      <c r="H54" s="57">
        <f t="shared" si="1"/>
        <v>1.2775506576608604E-3</v>
      </c>
      <c r="I54" s="67">
        <f>SUM($G$7:G54)</f>
        <v>89829</v>
      </c>
      <c r="J54" s="59">
        <f t="shared" si="5"/>
        <v>0.99792259153928187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28</v>
      </c>
      <c r="E55" s="54">
        <f t="shared" si="6"/>
        <v>9</v>
      </c>
      <c r="F55" s="55">
        <f t="shared" si="4"/>
        <v>0.13</v>
      </c>
      <c r="G55" s="56">
        <f>IF(D55=D54,"",_xlfn.IFNA(VLOOKUP(D55,'인원 입력 기능(사과탐)'!$F$177:$I$231,4,FALSE),0))</f>
        <v>145</v>
      </c>
      <c r="H55" s="57">
        <f t="shared" si="1"/>
        <v>1.6108247422680412E-3</v>
      </c>
      <c r="I55" s="67">
        <f>SUM($G$7:G55)</f>
        <v>89974</v>
      </c>
      <c r="J55" s="59">
        <f t="shared" si="5"/>
        <v>0.9995334162815499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26</v>
      </c>
      <c r="E57" s="107">
        <f t="shared" si="6"/>
        <v>9</v>
      </c>
      <c r="F57" s="74">
        <f>IF(I55=0,ROUND(100*(1-(I54+I57)/2/$J$3),2),ROUND(100*(1-(I55+I57)/2/$J$3),2))</f>
        <v>0.02</v>
      </c>
      <c r="G57" s="108">
        <f>_xlfn.IFNA(VLOOKUP(D57,'인원 입력 기능(사과탐)'!$F$177:$I$231,4,FALSE),0)</f>
        <v>42</v>
      </c>
      <c r="H57" s="76">
        <f>G57/$J$3</f>
        <v>4.6658371845005332E-4</v>
      </c>
      <c r="I57" s="77">
        <f>SUM($G$7:G57)</f>
        <v>90016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D3:F3"/>
    <mergeCell ref="D4:F4"/>
    <mergeCell ref="I4:J5"/>
    <mergeCell ref="D15:D16"/>
    <mergeCell ref="E15:E16"/>
    <mergeCell ref="F15:F16"/>
    <mergeCell ref="G15:G16"/>
    <mergeCell ref="H15:H16"/>
    <mergeCell ref="I15:I16"/>
    <mergeCell ref="J15:J16"/>
    <mergeCell ref="I29:I30"/>
    <mergeCell ref="J29:J30"/>
    <mergeCell ref="D43:D44"/>
    <mergeCell ref="E43:E44"/>
    <mergeCell ref="F43:F44"/>
    <mergeCell ref="G43:G44"/>
    <mergeCell ref="H43:H44"/>
    <mergeCell ref="I43:I44"/>
    <mergeCell ref="J43:J44"/>
    <mergeCell ref="D29:D30"/>
    <mergeCell ref="E29:E30"/>
    <mergeCell ref="F29:F30"/>
    <mergeCell ref="G29:G30"/>
    <mergeCell ref="H29:H30"/>
  </mergeCells>
  <phoneticPr fontId="1" type="noConversion"/>
  <conditionalFormatting sqref="D7:G15 I7:J15 D17:G29 I17:J29 D31:G43 I31:J43 D45:G57 I45:J57">
    <cfRule type="expression" dxfId="16" priority="4">
      <formula>OR($D7=$Q$7:$Q$14)</formula>
    </cfRule>
  </conditionalFormatting>
  <conditionalFormatting sqref="C7:C57">
    <cfRule type="expression" dxfId="15" priority="3">
      <formula>OR(AND($D7=0,OR($D6=$Q$7:$Q$14)),AND($D8&gt;0,OR($D7=$Q$7:$Q$14)))</formula>
    </cfRule>
  </conditionalFormatting>
  <conditionalFormatting sqref="D7:D15 D17:D29 D31:D43 D45:D57">
    <cfRule type="expression" dxfId="14" priority="2">
      <formula>$D7=$D8</formula>
    </cfRule>
  </conditionalFormatting>
  <conditionalFormatting sqref="H7:H15 H17:H29 H31:H43 H45:H57">
    <cfRule type="expression" dxfId="1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기능'!D19</f>
        <v>32.02</v>
      </c>
      <c r="I3" s="16" t="s">
        <v>70</v>
      </c>
      <c r="J3" s="45">
        <f>'통계 및 응시자 수 입력 기능'!C19</f>
        <v>117747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93</v>
      </c>
      <c r="E4" s="169"/>
      <c r="F4" s="170"/>
      <c r="G4" s="47" t="s">
        <v>73</v>
      </c>
      <c r="H4" s="48" t="str">
        <f>'통계 및 응시자 수 입력 기능'!E19</f>
        <v>11.73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65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97.74</v>
      </c>
      <c r="G7" s="56">
        <f>_xlfn.IFNA(VLOOKUP(D7,'인원 입력 기능(사과탐)'!$K$177:$N$231,4,FALSE),0)</f>
        <v>5320</v>
      </c>
      <c r="H7" s="57">
        <f>G7/$J$3</f>
        <v>4.5181618215326083E-2</v>
      </c>
      <c r="I7" s="58">
        <f>G7</f>
        <v>5320</v>
      </c>
      <c r="J7" s="59">
        <f>I7/$J$3</f>
        <v>4.5181618215326083E-2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기능'!C139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기능'!C140</f>
        <v>62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64</v>
      </c>
      <c r="E9" s="54">
        <f t="shared" si="0"/>
        <v>2</v>
      </c>
      <c r="F9" s="55">
        <f>IF(I8=0,ROUND(100*(1-(I7+I9)/2/$J$3),2),ROUND(100*(1-(I8+I9)/2/$J$3),2))</f>
        <v>93.97</v>
      </c>
      <c r="G9" s="56">
        <f>_xlfn.IFNA(VLOOKUP(D9,'인원 입력 기능(사과탐)'!$K$177:$N$231,4,FALSE),0)</f>
        <v>3563</v>
      </c>
      <c r="H9" s="57">
        <f t="shared" ref="H9:H55" si="1">G9/$J$3</f>
        <v>3.0259794304738127E-2</v>
      </c>
      <c r="I9" s="67">
        <f>SUM($G$7:G9)</f>
        <v>8883</v>
      </c>
      <c r="J9" s="59">
        <f>I9/$J$3</f>
        <v>7.5441412520064199E-2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기능'!C141</f>
        <v>59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63</v>
      </c>
      <c r="E10" s="54">
        <f t="shared" si="0"/>
        <v>2</v>
      </c>
      <c r="F10" s="55">
        <f t="shared" ref="F10:F55" si="4">IF(I9=0,ROUND(100*(1-(I8+I10)/2/$J$3),2),ROUND(100*(1-(I9+I10)/2/$J$3),2))</f>
        <v>90.83</v>
      </c>
      <c r="G10" s="56">
        <f>IF(D10=D9,"",_xlfn.IFNA(VLOOKUP(D10,'인원 입력 기능(사과탐)'!$K$177:$N$231,4,FALSE),0))</f>
        <v>3823</v>
      </c>
      <c r="H10" s="57">
        <f t="shared" si="1"/>
        <v>3.2467918503231503E-2</v>
      </c>
      <c r="I10" s="67">
        <f>SUM($G$7:G10)</f>
        <v>12706</v>
      </c>
      <c r="J10" s="59">
        <f t="shared" ref="J10:J55" si="5">I10/$J$3</f>
        <v>0.10790933102329571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기능'!C142</f>
        <v>54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62</v>
      </c>
      <c r="E11" s="54">
        <f t="shared" si="0"/>
        <v>2</v>
      </c>
      <c r="F11" s="55">
        <f t="shared" si="4"/>
        <v>88.34</v>
      </c>
      <c r="G11" s="56">
        <f>IF(D11=D10,"",_xlfn.IFNA(VLOOKUP(D11,'인원 입력 기능(사과탐)'!$K$177:$N$231,4,FALSE),0))</f>
        <v>2035</v>
      </c>
      <c r="H11" s="57">
        <f t="shared" si="1"/>
        <v>1.7282818245900108E-2</v>
      </c>
      <c r="I11" s="67">
        <f>SUM($G$7:G11)</f>
        <v>14741</v>
      </c>
      <c r="J11" s="59">
        <f t="shared" si="5"/>
        <v>0.12519214926919581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기능'!C143</f>
        <v>48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61</v>
      </c>
      <c r="E12" s="54">
        <f t="shared" si="0"/>
        <v>3</v>
      </c>
      <c r="F12" s="55">
        <f t="shared" si="4"/>
        <v>85.61</v>
      </c>
      <c r="G12" s="56">
        <f>IF(D12=D11,"",_xlfn.IFNA(VLOOKUP(D12,'인원 입력 기능(사과탐)'!$K$177:$N$231,4,FALSE),0))</f>
        <v>4417</v>
      </c>
      <c r="H12" s="57">
        <f t="shared" si="1"/>
        <v>3.7512633018250995E-2</v>
      </c>
      <c r="I12" s="67">
        <f>SUM($G$7:G12)</f>
        <v>19158</v>
      </c>
      <c r="J12" s="59">
        <f t="shared" si="5"/>
        <v>0.16270478228744681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기능'!C144</f>
        <v>42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60</v>
      </c>
      <c r="E13" s="54">
        <f t="shared" si="0"/>
        <v>3</v>
      </c>
      <c r="F13" s="55">
        <f t="shared" si="4"/>
        <v>82.53</v>
      </c>
      <c r="G13" s="56">
        <f>IF(D13=D12,"",_xlfn.IFNA(VLOOKUP(D13,'인원 입력 기능(사과탐)'!$K$177:$N$231,4,FALSE),0))</f>
        <v>2825</v>
      </c>
      <c r="H13" s="57">
        <f t="shared" si="1"/>
        <v>2.3992118695168454E-2</v>
      </c>
      <c r="I13" s="67">
        <f>SUM($G$7:G13)</f>
        <v>21983</v>
      </c>
      <c r="J13" s="59">
        <f t="shared" si="5"/>
        <v>0.18669690098261527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기능'!C145</f>
        <v>35</v>
      </c>
    </row>
    <row r="14" spans="1:17" s="17" customFormat="1" ht="25" customHeight="1" x14ac:dyDescent="0.45">
      <c r="A14" s="15"/>
      <c r="B14" s="30"/>
      <c r="C14" s="60">
        <v>43</v>
      </c>
      <c r="D14" s="186">
        <f t="shared" si="3"/>
        <v>59</v>
      </c>
      <c r="E14" s="186">
        <f t="shared" si="0"/>
        <v>3</v>
      </c>
      <c r="F14" s="180">
        <f t="shared" si="4"/>
        <v>78.099999999999994</v>
      </c>
      <c r="G14" s="182">
        <f>IF(D14=D13,"",_xlfn.IFNA(VLOOKUP(D14,'인원 입력 기능(사과탐)'!$K$177:$N$231,4,FALSE),0))</f>
        <v>7607</v>
      </c>
      <c r="H14" s="184">
        <f t="shared" si="1"/>
        <v>6.4604618376689002E-2</v>
      </c>
      <c r="I14" s="188">
        <f>SUM($G$7:G14)</f>
        <v>29590</v>
      </c>
      <c r="J14" s="176">
        <f t="shared" si="5"/>
        <v>0.25130151935930428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기능'!C146</f>
        <v>31</v>
      </c>
    </row>
    <row r="15" spans="1:17" s="17" customFormat="1" ht="25" customHeight="1" x14ac:dyDescent="0.45">
      <c r="A15" s="15"/>
      <c r="B15" s="30"/>
      <c r="C15" s="53">
        <v>42</v>
      </c>
      <c r="D15" s="187"/>
      <c r="E15" s="187"/>
      <c r="F15" s="181"/>
      <c r="G15" s="183"/>
      <c r="H15" s="185"/>
      <c r="I15" s="189"/>
      <c r="J15" s="177"/>
      <c r="K15" s="31"/>
      <c r="L15" s="15" t="str">
        <f t="shared" si="2"/>
        <v>경고</v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58</v>
      </c>
      <c r="E16" s="54">
        <f t="shared" si="0"/>
        <v>4</v>
      </c>
      <c r="F16" s="55">
        <f t="shared" si="4"/>
        <v>73.400000000000006</v>
      </c>
      <c r="G16" s="56">
        <f>IF(D16=D15,"",_xlfn.IFNA(VLOOKUP(D16,'인원 입력 기능(사과탐)'!$K$177:$N$231,4,FALSE),0))</f>
        <v>3469</v>
      </c>
      <c r="H16" s="57">
        <f t="shared" si="1"/>
        <v>2.9461472479128979E-2</v>
      </c>
      <c r="I16" s="67">
        <f>SUM($G$7:G16)</f>
        <v>33059</v>
      </c>
      <c r="J16" s="59">
        <f t="shared" si="5"/>
        <v>0.28076299183843323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57</v>
      </c>
      <c r="E17" s="54">
        <f t="shared" si="0"/>
        <v>4</v>
      </c>
      <c r="F17" s="55">
        <f t="shared" si="4"/>
        <v>70.17</v>
      </c>
      <c r="G17" s="56">
        <f>IF(D17=D16,"",_xlfn.IFNA(VLOOKUP(D17,'인원 입력 기능(사과탐)'!$K$177:$N$231,4,FALSE),0))</f>
        <v>4119</v>
      </c>
      <c r="H17" s="57">
        <f t="shared" si="1"/>
        <v>3.4981782975362433E-2</v>
      </c>
      <c r="I17" s="67">
        <f>SUM($G$7:G17)</f>
        <v>37178</v>
      </c>
      <c r="J17" s="59">
        <f t="shared" si="5"/>
        <v>0.3157447748137957</v>
      </c>
      <c r="K17" s="31"/>
      <c r="L17" s="15" t="str">
        <f t="shared" si="2"/>
        <v/>
      </c>
      <c r="N17" s="19"/>
      <c r="Q17" s="19">
        <f>Q7*H3*H4*J3*IFERROR(IF(J57=1, 1, 0), 0)</f>
        <v>2874633928.803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56</v>
      </c>
      <c r="E18" s="54">
        <f t="shared" si="0"/>
        <v>4</v>
      </c>
      <c r="F18" s="55">
        <f t="shared" si="4"/>
        <v>66.94</v>
      </c>
      <c r="G18" s="56">
        <f>IF(D18=D17,"",_xlfn.IFNA(VLOOKUP(D18,'인원 입력 기능(사과탐)'!$K$177:$N$231,4,FALSE),0))</f>
        <v>3498</v>
      </c>
      <c r="H18" s="57">
        <f t="shared" si="1"/>
        <v>2.9707763255114782E-2</v>
      </c>
      <c r="I18" s="67">
        <f>SUM($G$7:G18)</f>
        <v>40676</v>
      </c>
      <c r="J18" s="59">
        <f t="shared" si="5"/>
        <v>0.34545253806891046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55</v>
      </c>
      <c r="E19" s="54">
        <f t="shared" si="0"/>
        <v>4</v>
      </c>
      <c r="F19" s="55">
        <f t="shared" si="4"/>
        <v>63.74</v>
      </c>
      <c r="G19" s="56">
        <f>IF(D19=D18,"",_xlfn.IFNA(VLOOKUP(D19,'인원 입력 기능(사과탐)'!$K$177:$N$231,4,FALSE),0))</f>
        <v>4041</v>
      </c>
      <c r="H19" s="57">
        <f t="shared" si="1"/>
        <v>3.4319345715814416E-2</v>
      </c>
      <c r="I19" s="67">
        <f>SUM($G$7:G19)</f>
        <v>44717</v>
      </c>
      <c r="J19" s="59">
        <f t="shared" si="5"/>
        <v>0.37977188378472487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54</v>
      </c>
      <c r="E20" s="54">
        <f t="shared" si="0"/>
        <v>4</v>
      </c>
      <c r="F20" s="55">
        <f t="shared" si="4"/>
        <v>60.48</v>
      </c>
      <c r="G20" s="56">
        <f>IF(D20=D19,"",_xlfn.IFNA(VLOOKUP(D20,'인원 입력 기능(사과탐)'!$K$177:$N$231,4,FALSE),0))</f>
        <v>3628</v>
      </c>
      <c r="H20" s="57">
        <f t="shared" si="1"/>
        <v>3.0811825354361468E-2</v>
      </c>
      <c r="I20" s="67">
        <f>SUM($G$7:G20)</f>
        <v>48345</v>
      </c>
      <c r="J20" s="59">
        <f t="shared" si="5"/>
        <v>0.41058370913908637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178">
        <f t="shared" si="3"/>
        <v>53</v>
      </c>
      <c r="E21" s="178">
        <f t="shared" si="0"/>
        <v>5</v>
      </c>
      <c r="F21" s="180">
        <f t="shared" si="4"/>
        <v>55.85</v>
      </c>
      <c r="G21" s="182">
        <f>IF(D21=D20,"",_xlfn.IFNA(VLOOKUP(D21,'인원 입력 기능(사과탐)'!$K$177:$N$231,4,FALSE),0))</f>
        <v>7292</v>
      </c>
      <c r="H21" s="184">
        <f t="shared" si="1"/>
        <v>6.1929390982360485E-2</v>
      </c>
      <c r="I21" s="188">
        <f>SUM($G$7:G21)</f>
        <v>55637</v>
      </c>
      <c r="J21" s="176">
        <f t="shared" si="5"/>
        <v>0.47251310012144682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79"/>
      <c r="E22" s="179"/>
      <c r="F22" s="181"/>
      <c r="G22" s="183"/>
      <c r="H22" s="185"/>
      <c r="I22" s="189"/>
      <c r="J22" s="177"/>
      <c r="K22" s="31"/>
      <c r="L22" s="15" t="str">
        <f t="shared" si="2"/>
        <v>경고</v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52</v>
      </c>
      <c r="E23" s="69">
        <f t="shared" si="0"/>
        <v>5</v>
      </c>
      <c r="F23" s="55">
        <f t="shared" si="4"/>
        <v>51.31</v>
      </c>
      <c r="G23" s="56">
        <f>IF(D23=D22,"",_xlfn.IFNA(VLOOKUP(D23,'인원 입력 기능(사과탐)'!$K$177:$N$231,4,FALSE),0))</f>
        <v>3391</v>
      </c>
      <c r="H23" s="57">
        <f t="shared" si="1"/>
        <v>2.8799035219580965E-2</v>
      </c>
      <c r="I23" s="67">
        <f>SUM($G$7:G23)</f>
        <v>59028</v>
      </c>
      <c r="J23" s="59">
        <f t="shared" si="5"/>
        <v>0.50131213534102781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51</v>
      </c>
      <c r="E24" s="69">
        <f t="shared" si="0"/>
        <v>5</v>
      </c>
      <c r="F24" s="55">
        <f t="shared" si="4"/>
        <v>48.25</v>
      </c>
      <c r="G24" s="56">
        <f>IF(D24=D23,"",_xlfn.IFNA(VLOOKUP(D24,'인원 입력 기능(사과탐)'!$K$177:$N$231,4,FALSE),0))</f>
        <v>3810</v>
      </c>
      <c r="H24" s="57">
        <f t="shared" si="1"/>
        <v>3.2357512293306835E-2</v>
      </c>
      <c r="I24" s="67">
        <f>SUM($G$7:G24)</f>
        <v>62838</v>
      </c>
      <c r="J24" s="59">
        <f t="shared" si="5"/>
        <v>0.53366964763433467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50</v>
      </c>
      <c r="E25" s="69">
        <f t="shared" si="0"/>
        <v>5</v>
      </c>
      <c r="F25" s="55">
        <f t="shared" si="4"/>
        <v>45.21</v>
      </c>
      <c r="G25" s="56">
        <f>IF(D25=D24,"",_xlfn.IFNA(VLOOKUP(D25,'인원 입력 기능(사과탐)'!$K$177:$N$231,4,FALSE),0))</f>
        <v>3341</v>
      </c>
      <c r="H25" s="57">
        <f t="shared" si="1"/>
        <v>2.8374395950639932E-2</v>
      </c>
      <c r="I25" s="67">
        <f>SUM($G$7:G25)</f>
        <v>66179</v>
      </c>
      <c r="J25" s="59">
        <f t="shared" si="5"/>
        <v>0.56204404358497462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49</v>
      </c>
      <c r="E26" s="69">
        <f t="shared" si="0"/>
        <v>5</v>
      </c>
      <c r="F26" s="55">
        <f t="shared" si="4"/>
        <v>42.39</v>
      </c>
      <c r="G26" s="56">
        <f>IF(D26=D25,"",_xlfn.IFNA(VLOOKUP(D26,'인원 입력 기능(사과탐)'!$K$177:$N$231,4,FALSE),0))</f>
        <v>3311</v>
      </c>
      <c r="H26" s="57">
        <f t="shared" si="1"/>
        <v>2.8119612389275312E-2</v>
      </c>
      <c r="I26" s="67">
        <f>SUM($G$7:G26)</f>
        <v>69490</v>
      </c>
      <c r="J26" s="59">
        <f t="shared" si="5"/>
        <v>0.59016365597424991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48</v>
      </c>
      <c r="E27" s="69">
        <f t="shared" si="0"/>
        <v>5</v>
      </c>
      <c r="F27" s="55">
        <f t="shared" si="4"/>
        <v>39.619999999999997</v>
      </c>
      <c r="G27" s="56">
        <f>IF(D27=D26,"",_xlfn.IFNA(VLOOKUP(D27,'인원 입력 기능(사과탐)'!$K$177:$N$231,4,FALSE),0))</f>
        <v>3200</v>
      </c>
      <c r="H27" s="57">
        <f t="shared" si="1"/>
        <v>2.7176913212226213E-2</v>
      </c>
      <c r="I27" s="67">
        <f>SUM($G$7:G27)</f>
        <v>72690</v>
      </c>
      <c r="J27" s="59">
        <f t="shared" si="5"/>
        <v>0.61734056918647606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78">
        <f t="shared" si="3"/>
        <v>47</v>
      </c>
      <c r="E28" s="178">
        <f t="shared" si="0"/>
        <v>6</v>
      </c>
      <c r="F28" s="180">
        <f t="shared" si="4"/>
        <v>35.74</v>
      </c>
      <c r="G28" s="182">
        <f>IF(D28=D27,"",_xlfn.IFNA(VLOOKUP(D28,'인원 입력 기능(사과탐)'!$K$177:$N$231,4,FALSE),0))</f>
        <v>5937</v>
      </c>
      <c r="H28" s="184">
        <f t="shared" si="1"/>
        <v>5.0421666794058448E-2</v>
      </c>
      <c r="I28" s="188">
        <f>SUM($G$7:G28)</f>
        <v>78627</v>
      </c>
      <c r="J28" s="176">
        <f t="shared" si="5"/>
        <v>0.66776223598053452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79"/>
      <c r="E29" s="179"/>
      <c r="F29" s="181"/>
      <c r="G29" s="183"/>
      <c r="H29" s="185"/>
      <c r="I29" s="189"/>
      <c r="J29" s="177"/>
      <c r="K29" s="31"/>
      <c r="L29" s="15" t="str">
        <f t="shared" si="2"/>
        <v>경고</v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46</v>
      </c>
      <c r="E30" s="69">
        <f t="shared" si="0"/>
        <v>6</v>
      </c>
      <c r="F30" s="55">
        <f t="shared" si="4"/>
        <v>32.090000000000003</v>
      </c>
      <c r="G30" s="56">
        <f>IF(D30=D29,"",_xlfn.IFNA(VLOOKUP(D30,'인원 입력 기능(사과탐)'!$K$177:$N$231,4,FALSE),0))</f>
        <v>2663</v>
      </c>
      <c r="H30" s="57">
        <f t="shared" si="1"/>
        <v>2.2616287463799501E-2</v>
      </c>
      <c r="I30" s="67">
        <f>SUM($G$7:G30)</f>
        <v>81290</v>
      </c>
      <c r="J30" s="59">
        <f t="shared" si="5"/>
        <v>0.69037852344433404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45</v>
      </c>
      <c r="E31" s="69">
        <f t="shared" si="0"/>
        <v>6</v>
      </c>
      <c r="F31" s="55">
        <f t="shared" si="4"/>
        <v>29.86</v>
      </c>
      <c r="G31" s="56">
        <f>IF(D31=D30,"",_xlfn.IFNA(VLOOKUP(D31,'인원 입력 기능(사과탐)'!$K$177:$N$231,4,FALSE),0))</f>
        <v>2598</v>
      </c>
      <c r="H31" s="57">
        <f t="shared" si="1"/>
        <v>2.2064256414176156E-2</v>
      </c>
      <c r="I31" s="67">
        <f>SUM($G$7:G31)</f>
        <v>83888</v>
      </c>
      <c r="J31" s="59">
        <f t="shared" si="5"/>
        <v>0.71244277985851023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44</v>
      </c>
      <c r="E32" s="69">
        <f t="shared" si="0"/>
        <v>6</v>
      </c>
      <c r="F32" s="55">
        <f t="shared" si="4"/>
        <v>27.7</v>
      </c>
      <c r="G32" s="56">
        <f>IF(D32=D31,"",_xlfn.IFNA(VLOOKUP(D32,'인원 입력 기능(사과탐)'!$K$177:$N$231,4,FALSE),0))</f>
        <v>2494</v>
      </c>
      <c r="H32" s="57">
        <f t="shared" si="1"/>
        <v>2.1181006734778806E-2</v>
      </c>
      <c r="I32" s="67">
        <f>SUM($G$7:G32)</f>
        <v>86382</v>
      </c>
      <c r="J32" s="59">
        <f t="shared" si="5"/>
        <v>0.73362378659328897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43</v>
      </c>
      <c r="E33" s="69">
        <f t="shared" si="0"/>
        <v>6</v>
      </c>
      <c r="F33" s="55">
        <f t="shared" si="4"/>
        <v>25.68</v>
      </c>
      <c r="G33" s="56">
        <f>IF(D33=D32,"",_xlfn.IFNA(VLOOKUP(D33,'인원 입력 기능(사과탐)'!$K$177:$N$231,4,FALSE),0))</f>
        <v>2258</v>
      </c>
      <c r="H33" s="57">
        <f t="shared" si="1"/>
        <v>1.9176709385377123E-2</v>
      </c>
      <c r="I33" s="67">
        <f>SUM($G$7:G33)</f>
        <v>88640</v>
      </c>
      <c r="J33" s="59">
        <f t="shared" si="5"/>
        <v>0.75280049597866616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42</v>
      </c>
      <c r="E34" s="69">
        <f t="shared" si="0"/>
        <v>6</v>
      </c>
      <c r="F34" s="55">
        <f t="shared" si="4"/>
        <v>23.71</v>
      </c>
      <c r="G34" s="56">
        <f>IF(D34=D33,"",_xlfn.IFNA(VLOOKUP(D34,'인원 입력 기능(사과탐)'!$K$177:$N$231,4,FALSE),0))</f>
        <v>2389</v>
      </c>
      <c r="H34" s="57">
        <f t="shared" si="1"/>
        <v>2.0289264270002633E-2</v>
      </c>
      <c r="I34" s="67">
        <f>SUM($G$7:G34)</f>
        <v>91029</v>
      </c>
      <c r="J34" s="59">
        <f t="shared" si="5"/>
        <v>0.77308976024866871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178">
        <f t="shared" si="3"/>
        <v>41</v>
      </c>
      <c r="E35" s="178">
        <f t="shared" si="0"/>
        <v>7</v>
      </c>
      <c r="F35" s="180">
        <f t="shared" si="4"/>
        <v>20.96</v>
      </c>
      <c r="G35" s="182">
        <f>IF(D35=D34,"",_xlfn.IFNA(VLOOKUP(D35,'인원 입력 기능(사과탐)'!$K$177:$N$231,4,FALSE),0))</f>
        <v>4071</v>
      </c>
      <c r="H35" s="184">
        <f t="shared" si="1"/>
        <v>3.4574129277179039E-2</v>
      </c>
      <c r="I35" s="188">
        <f>SUM($G$7:G35)</f>
        <v>95100</v>
      </c>
      <c r="J35" s="176">
        <f t="shared" si="5"/>
        <v>0.80766388952584778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179"/>
      <c r="E36" s="179"/>
      <c r="F36" s="181"/>
      <c r="G36" s="183"/>
      <c r="H36" s="185"/>
      <c r="I36" s="189"/>
      <c r="J36" s="177"/>
      <c r="K36" s="31"/>
      <c r="L36" s="15" t="str">
        <f t="shared" si="2"/>
        <v>경고</v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40</v>
      </c>
      <c r="E37" s="69">
        <f t="shared" si="0"/>
        <v>7</v>
      </c>
      <c r="F37" s="55">
        <f t="shared" si="4"/>
        <v>18.38</v>
      </c>
      <c r="G37" s="56">
        <f>IF(D37=D36,"",_xlfn.IFNA(VLOOKUP(D37,'인원 입력 기능(사과탐)'!$K$177:$N$231,4,FALSE),0))</f>
        <v>2009</v>
      </c>
      <c r="H37" s="57">
        <f t="shared" si="1"/>
        <v>1.7062005826050771E-2</v>
      </c>
      <c r="I37" s="67">
        <f>SUM($G$7:G37)</f>
        <v>97109</v>
      </c>
      <c r="J37" s="59">
        <f t="shared" si="5"/>
        <v>0.82472589535189855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39</v>
      </c>
      <c r="E38" s="69">
        <f t="shared" si="0"/>
        <v>7</v>
      </c>
      <c r="F38" s="55">
        <f t="shared" si="4"/>
        <v>16.829999999999998</v>
      </c>
      <c r="G38" s="56">
        <f>IF(D38=D37,"",_xlfn.IFNA(VLOOKUP(D38,'인원 입력 기능(사과탐)'!$K$177:$N$231,4,FALSE),0))</f>
        <v>1646</v>
      </c>
      <c r="H38" s="57">
        <f t="shared" si="1"/>
        <v>1.3979124733538859E-2</v>
      </c>
      <c r="I38" s="67">
        <f>SUM($G$7:G38)</f>
        <v>98755</v>
      </c>
      <c r="J38" s="59">
        <f t="shared" si="5"/>
        <v>0.83870502008543746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38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15.37</v>
      </c>
      <c r="G39" s="56">
        <f>IF(D39=D38,"",_xlfn.IFNA(VLOOKUP(D39,'인원 입력 기능(사과탐)'!$K$177:$N$231,4,FALSE),0))</f>
        <v>1795</v>
      </c>
      <c r="H39" s="57">
        <f t="shared" si="1"/>
        <v>1.5244549754983142E-2</v>
      </c>
      <c r="I39" s="67">
        <f>SUM($G$7:G39)</f>
        <v>100550</v>
      </c>
      <c r="J39" s="59">
        <f t="shared" si="5"/>
        <v>0.85394956984042059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37</v>
      </c>
      <c r="E40" s="69">
        <f t="shared" si="6"/>
        <v>7</v>
      </c>
      <c r="F40" s="55">
        <f t="shared" si="4"/>
        <v>13.9</v>
      </c>
      <c r="G40" s="56">
        <f>IF(D40=D39,"",_xlfn.IFNA(VLOOKUP(D40,'인원 입력 기능(사과탐)'!$K$177:$N$231,4,FALSE),0))</f>
        <v>1666</v>
      </c>
      <c r="H40" s="57">
        <f t="shared" si="1"/>
        <v>1.4148980441115273E-2</v>
      </c>
      <c r="I40" s="67">
        <f>SUM($G$7:G40)</f>
        <v>102216</v>
      </c>
      <c r="J40" s="59">
        <f t="shared" si="5"/>
        <v>0.86809855028153582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36</v>
      </c>
      <c r="E41" s="69">
        <f t="shared" si="6"/>
        <v>7</v>
      </c>
      <c r="F41" s="55">
        <f t="shared" si="4"/>
        <v>12.57</v>
      </c>
      <c r="G41" s="56">
        <f>IF(D41=D40,"",_xlfn.IFNA(VLOOKUP(D41,'인원 입력 기능(사과탐)'!$K$177:$N$231,4,FALSE),0))</f>
        <v>1466</v>
      </c>
      <c r="H41" s="57">
        <f t="shared" si="1"/>
        <v>1.2450423365351133E-2</v>
      </c>
      <c r="I41" s="67">
        <f>SUM($G$7:G41)</f>
        <v>103682</v>
      </c>
      <c r="J41" s="59">
        <f t="shared" si="5"/>
        <v>0.880548973646887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178">
        <f t="shared" si="3"/>
        <v>35</v>
      </c>
      <c r="E42" s="178">
        <f t="shared" si="6"/>
        <v>7</v>
      </c>
      <c r="F42" s="180">
        <f t="shared" si="4"/>
        <v>10.65</v>
      </c>
      <c r="G42" s="182">
        <f>IF(D42=D41,"",_xlfn.IFNA(VLOOKUP(D42,'인원 입력 기능(사과탐)'!$K$177:$N$231,4,FALSE),0))</f>
        <v>3057</v>
      </c>
      <c r="H42" s="184">
        <f t="shared" si="1"/>
        <v>2.5962444903054854E-2</v>
      </c>
      <c r="I42" s="188">
        <f>SUM($G$7:G42)</f>
        <v>106739</v>
      </c>
      <c r="J42" s="176">
        <f t="shared" si="5"/>
        <v>0.90651141854994177</v>
      </c>
      <c r="K42" s="31"/>
      <c r="L42" s="15" t="str">
        <f t="shared" si="2"/>
        <v>경고</v>
      </c>
      <c r="N42" s="19"/>
    </row>
    <row r="43" spans="1:14" s="17" customFormat="1" ht="25" customHeight="1" x14ac:dyDescent="0.45">
      <c r="A43" s="15"/>
      <c r="B43" s="30"/>
      <c r="C43" s="104">
        <v>14</v>
      </c>
      <c r="D43" s="179"/>
      <c r="E43" s="179"/>
      <c r="F43" s="181"/>
      <c r="G43" s="183"/>
      <c r="H43" s="185"/>
      <c r="I43" s="189"/>
      <c r="J43" s="177"/>
      <c r="K43" s="31"/>
      <c r="L43" s="15" t="str">
        <f t="shared" si="2"/>
        <v>경고</v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34</v>
      </c>
      <c r="E44" s="69">
        <f t="shared" si="6"/>
        <v>8</v>
      </c>
      <c r="F44" s="55">
        <f t="shared" si="4"/>
        <v>8.25</v>
      </c>
      <c r="G44" s="56">
        <f>IF(D44=D43,"",_xlfn.IFNA(VLOOKUP(D44,'인원 입력 기능(사과탐)'!$K$177:$N$231,4,FALSE),0))</f>
        <v>2597</v>
      </c>
      <c r="H44" s="57">
        <f t="shared" si="1"/>
        <v>2.2055763628797336E-2</v>
      </c>
      <c r="I44" s="67">
        <f>SUM($G$7:G44)</f>
        <v>109336</v>
      </c>
      <c r="J44" s="59">
        <f t="shared" si="5"/>
        <v>0.92856718217873913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33</v>
      </c>
      <c r="E45" s="69">
        <f t="shared" si="6"/>
        <v>8</v>
      </c>
      <c r="F45" s="55">
        <f t="shared" si="4"/>
        <v>6.57</v>
      </c>
      <c r="G45" s="56">
        <f>IF(D45=D44,"",_xlfn.IFNA(VLOOKUP(D45,'인원 입력 기능(사과탐)'!$K$177:$N$231,4,FALSE),0))</f>
        <v>1356</v>
      </c>
      <c r="H45" s="57">
        <f t="shared" si="1"/>
        <v>1.1516216973680857E-2</v>
      </c>
      <c r="I45" s="67">
        <f>SUM($G$7:G45)</f>
        <v>110692</v>
      </c>
      <c r="J45" s="59">
        <f t="shared" si="5"/>
        <v>0.94008339915242001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32</v>
      </c>
      <c r="E46" s="69">
        <f t="shared" si="6"/>
        <v>8</v>
      </c>
      <c r="F46" s="55">
        <f t="shared" si="4"/>
        <v>5.58</v>
      </c>
      <c r="G46" s="56">
        <f>IF(D46=D45,"",_xlfn.IFNA(VLOOKUP(D46,'인원 입력 기능(사과탐)'!$K$177:$N$231,4,FALSE),0))</f>
        <v>979</v>
      </c>
      <c r="H46" s="57">
        <f t="shared" si="1"/>
        <v>8.3144368858654571E-3</v>
      </c>
      <c r="I46" s="67">
        <f>SUM($G$7:G46)</f>
        <v>111671</v>
      </c>
      <c r="J46" s="59">
        <f t="shared" si="5"/>
        <v>0.94839783603828542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31</v>
      </c>
      <c r="E47" s="69">
        <f t="shared" si="6"/>
        <v>8</v>
      </c>
      <c r="F47" s="55">
        <f t="shared" si="4"/>
        <v>4.22</v>
      </c>
      <c r="G47" s="56">
        <f>IF(D47=D46,"",_xlfn.IFNA(VLOOKUP(D47,'인원 입력 기능(사과탐)'!$K$177:$N$231,4,FALSE),0))</f>
        <v>2216</v>
      </c>
      <c r="H47" s="57">
        <f t="shared" si="1"/>
        <v>1.8820012399466655E-2</v>
      </c>
      <c r="I47" s="67">
        <f>SUM($G$7:G47)</f>
        <v>113887</v>
      </c>
      <c r="J47" s="59">
        <f t="shared" si="5"/>
        <v>0.96721784843775216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178">
        <f t="shared" si="3"/>
        <v>30</v>
      </c>
      <c r="E48" s="178">
        <f t="shared" si="6"/>
        <v>9</v>
      </c>
      <c r="F48" s="180">
        <f t="shared" si="4"/>
        <v>2.61</v>
      </c>
      <c r="G48" s="182">
        <f>IF(D48=D47,"",_xlfn.IFNA(VLOOKUP(D48,'인원 입력 기능(사과탐)'!$K$177:$N$231,4,FALSE),0))</f>
        <v>1569</v>
      </c>
      <c r="H48" s="184">
        <f t="shared" si="1"/>
        <v>1.3325180259369665E-2</v>
      </c>
      <c r="I48" s="188">
        <f>SUM($G$7:G48)</f>
        <v>115456</v>
      </c>
      <c r="J48" s="176">
        <f t="shared" si="5"/>
        <v>0.98054302869712184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179"/>
      <c r="E49" s="179"/>
      <c r="F49" s="181"/>
      <c r="G49" s="183"/>
      <c r="H49" s="185"/>
      <c r="I49" s="189"/>
      <c r="J49" s="177"/>
      <c r="K49" s="31"/>
      <c r="L49" s="15" t="str">
        <f t="shared" si="2"/>
        <v>경고</v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29</v>
      </c>
      <c r="E50" s="69">
        <f t="shared" si="6"/>
        <v>9</v>
      </c>
      <c r="F50" s="55">
        <f t="shared" si="4"/>
        <v>1.55</v>
      </c>
      <c r="G50" s="56">
        <f>IF(D50=D49,"",_xlfn.IFNA(VLOOKUP(D50,'인원 입력 기능(사과탐)'!$K$177:$N$231,4,FALSE),0))</f>
        <v>930</v>
      </c>
      <c r="H50" s="57">
        <f t="shared" si="1"/>
        <v>7.8982904023032433E-3</v>
      </c>
      <c r="I50" s="67">
        <f>SUM($G$7:G50)</f>
        <v>116386</v>
      </c>
      <c r="J50" s="59">
        <f t="shared" si="5"/>
        <v>0.98844131909942501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28</v>
      </c>
      <c r="E51" s="69">
        <f t="shared" si="6"/>
        <v>9</v>
      </c>
      <c r="F51" s="55">
        <f t="shared" si="4"/>
        <v>1.01</v>
      </c>
      <c r="G51" s="56">
        <f>IF(D51=D50,"",_xlfn.IFNA(VLOOKUP(D51,'인원 입력 기능(사과탐)'!$K$177:$N$231,4,FALSE),0))</f>
        <v>340</v>
      </c>
      <c r="H51" s="57">
        <f t="shared" si="1"/>
        <v>2.8875470287990351E-3</v>
      </c>
      <c r="I51" s="67">
        <f>SUM($G$7:G51)</f>
        <v>116726</v>
      </c>
      <c r="J51" s="59">
        <f t="shared" si="5"/>
        <v>0.99132886612822413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27</v>
      </c>
      <c r="E52" s="69">
        <f t="shared" si="6"/>
        <v>9</v>
      </c>
      <c r="F52" s="55">
        <f t="shared" si="4"/>
        <v>0.69</v>
      </c>
      <c r="G52" s="56">
        <f>IF(D52=D51,"",_xlfn.IFNA(VLOOKUP(D52,'인원 입력 기능(사과탐)'!$K$177:$N$231,4,FALSE),0))</f>
        <v>423</v>
      </c>
      <c r="H52" s="57">
        <f t="shared" si="1"/>
        <v>3.5924482152411528E-3</v>
      </c>
      <c r="I52" s="67">
        <f>SUM($G$7:G52)</f>
        <v>117149</v>
      </c>
      <c r="J52" s="59">
        <f t="shared" si="5"/>
        <v>0.9949213143434652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26</v>
      </c>
      <c r="E53" s="54">
        <f t="shared" si="6"/>
        <v>9</v>
      </c>
      <c r="F53" s="55">
        <f t="shared" si="4"/>
        <v>0.41</v>
      </c>
      <c r="G53" s="56">
        <f>IF(D53=D52,"",_xlfn.IFNA(VLOOKUP(D53,'인원 입력 기능(사과탐)'!$K$177:$N$231,4,FALSE),0))</f>
        <v>236</v>
      </c>
      <c r="H53" s="57">
        <f t="shared" si="1"/>
        <v>2.0042973494016833E-3</v>
      </c>
      <c r="I53" s="67">
        <f>SUM($G$7:G53)</f>
        <v>117385</v>
      </c>
      <c r="J53" s="59">
        <f t="shared" si="5"/>
        <v>0.99692561169286686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25</v>
      </c>
      <c r="E54" s="54">
        <f t="shared" si="6"/>
        <v>9</v>
      </c>
      <c r="F54" s="55">
        <f t="shared" si="4"/>
        <v>0.25</v>
      </c>
      <c r="G54" s="56">
        <f>IF(D54=D53,"",_xlfn.IFNA(VLOOKUP(D54,'인원 입력 기능(사과탐)'!$K$177:$N$231,4,FALSE),0))</f>
        <v>128</v>
      </c>
      <c r="H54" s="57">
        <f t="shared" si="1"/>
        <v>1.0870765284890485E-3</v>
      </c>
      <c r="I54" s="67">
        <f>SUM($G$7:G54)</f>
        <v>117513</v>
      </c>
      <c r="J54" s="59">
        <f t="shared" si="5"/>
        <v>0.99801268822135591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24</v>
      </c>
      <c r="E55" s="54">
        <f t="shared" si="6"/>
        <v>9</v>
      </c>
      <c r="F55" s="55">
        <f t="shared" si="4"/>
        <v>0.12</v>
      </c>
      <c r="G55" s="56">
        <f>IF(D55=D54,"",_xlfn.IFNA(VLOOKUP(D55,'인원 입력 기능(사과탐)'!$K$177:$N$231,4,FALSE),0))</f>
        <v>174</v>
      </c>
      <c r="H55" s="57">
        <f t="shared" si="1"/>
        <v>1.4777446559148004E-3</v>
      </c>
      <c r="I55" s="67">
        <f>SUM($G$7:G55)</f>
        <v>117687</v>
      </c>
      <c r="J55" s="59">
        <f t="shared" si="5"/>
        <v>0.9994904328772708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23</v>
      </c>
      <c r="E57" s="107">
        <f t="shared" si="6"/>
        <v>9</v>
      </c>
      <c r="F57" s="74">
        <f>IF(I55=0,ROUND(100*(1-(I54+I57)/2/$J$3),2),ROUND(100*(1-(I55+I57)/2/$J$3),2))</f>
        <v>0.03</v>
      </c>
      <c r="G57" s="108">
        <f>_xlfn.IFNA(VLOOKUP(D57,'인원 입력 기능(사과탐)'!$K$177:$N$231,4,FALSE),0)</f>
        <v>60</v>
      </c>
      <c r="H57" s="76">
        <f>G57/$J$3</f>
        <v>5.0956712272924153E-4</v>
      </c>
      <c r="I57" s="77">
        <f>SUM($G$7:G57)</f>
        <v>117747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D3:F3"/>
    <mergeCell ref="D4:F4"/>
    <mergeCell ref="I4:J5"/>
    <mergeCell ref="D14:D15"/>
    <mergeCell ref="E14:E15"/>
    <mergeCell ref="F14:F15"/>
    <mergeCell ref="G14:G15"/>
    <mergeCell ref="H14:H15"/>
    <mergeCell ref="I14:I15"/>
    <mergeCell ref="J14:J15"/>
    <mergeCell ref="I21:I22"/>
    <mergeCell ref="J21:J22"/>
    <mergeCell ref="D28:D29"/>
    <mergeCell ref="E28:E29"/>
    <mergeCell ref="F28:F29"/>
    <mergeCell ref="G28:G29"/>
    <mergeCell ref="H28:H29"/>
    <mergeCell ref="I28:I29"/>
    <mergeCell ref="J28:J29"/>
    <mergeCell ref="D21:D22"/>
    <mergeCell ref="E21:E22"/>
    <mergeCell ref="F21:F22"/>
    <mergeCell ref="G21:G22"/>
    <mergeCell ref="H21:H22"/>
    <mergeCell ref="I35:I36"/>
    <mergeCell ref="J35:J36"/>
    <mergeCell ref="D42:D43"/>
    <mergeCell ref="E42:E43"/>
    <mergeCell ref="F42:F43"/>
    <mergeCell ref="G42:G43"/>
    <mergeCell ref="H42:H43"/>
    <mergeCell ref="I42:I43"/>
    <mergeCell ref="J42:J43"/>
    <mergeCell ref="D35:D36"/>
    <mergeCell ref="E35:E36"/>
    <mergeCell ref="F35:F36"/>
    <mergeCell ref="G35:G36"/>
    <mergeCell ref="H35:H36"/>
    <mergeCell ref="I48:I49"/>
    <mergeCell ref="J48:J49"/>
    <mergeCell ref="D48:D49"/>
    <mergeCell ref="E48:E49"/>
    <mergeCell ref="F48:F49"/>
    <mergeCell ref="G48:G49"/>
    <mergeCell ref="H48:H49"/>
  </mergeCells>
  <phoneticPr fontId="1" type="noConversion"/>
  <conditionalFormatting sqref="D7:G14 I7:J14 D16:G21 I16:J21 D23:G28 I23:J28 D30:G35 I30:J35 D37:G42 I37:J42 D44:G48 I44:J48 D50:G57 I50:J57">
    <cfRule type="expression" dxfId="12" priority="5">
      <formula>OR($D7=$Q$7:$Q$14)</formula>
    </cfRule>
  </conditionalFormatting>
  <conditionalFormatting sqref="C7:C57">
    <cfRule type="expression" dxfId="11" priority="4">
      <formula>OR(AND($D7=0,OR($D6=$Q$7:$Q$14)),AND($D8&gt;0,OR($D7=$Q$7:$Q$14)))</formula>
    </cfRule>
  </conditionalFormatting>
  <conditionalFormatting sqref="D7:D14 D16:D21 D23:D28 D30:D35 D37:D42 D44:D48 D50:D57">
    <cfRule type="expression" dxfId="10" priority="2">
      <formula>$D7=$D8</formula>
    </cfRule>
  </conditionalFormatting>
  <conditionalFormatting sqref="H7:H14 H16:H21 H23:H28 H30:H35 H37:H42 H44:H48 H50:H57">
    <cfRule type="expression" dxfId="9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기능'!D20</f>
        <v>24.13</v>
      </c>
      <c r="I3" s="16" t="s">
        <v>70</v>
      </c>
      <c r="J3" s="45">
        <f>'통계 및 응시자 수 입력 기능'!C20</f>
        <v>72203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92</v>
      </c>
      <c r="E4" s="169"/>
      <c r="F4" s="170"/>
      <c r="G4" s="47" t="s">
        <v>73</v>
      </c>
      <c r="H4" s="48" t="str">
        <f>'통계 및 응시자 수 입력 기능'!E20</f>
        <v>10.47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75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99.77</v>
      </c>
      <c r="G7" s="56">
        <f>_xlfn.IFNA(VLOOKUP(D7,'인원 입력 기능(사과탐)'!$P$177:$S$231,4,FALSE),0)</f>
        <v>331</v>
      </c>
      <c r="H7" s="57">
        <f>G7/$J$3</f>
        <v>4.5842970513690568E-3</v>
      </c>
      <c r="I7" s="58">
        <f>G7</f>
        <v>331</v>
      </c>
      <c r="J7" s="59">
        <f>I7/$J$3</f>
        <v>4.5842970513690568E-3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기능'!C148</f>
        <v>68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기능'!C149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73</v>
      </c>
      <c r="E9" s="54">
        <f t="shared" si="0"/>
        <v>1</v>
      </c>
      <c r="F9" s="55">
        <f>IF(I8=0,ROUND(100*(1-(I7+I9)/2/$J$3),2),ROUND(100*(1-(I8+I9)/2/$J$3),2))</f>
        <v>99.2</v>
      </c>
      <c r="G9" s="56">
        <f>_xlfn.IFNA(VLOOKUP(D9,'인원 입력 기능(사과탐)'!$P$177:$S$231,4,FALSE),0)</f>
        <v>494</v>
      </c>
      <c r="H9" s="57">
        <f t="shared" ref="H9:H55" si="1">G9/$J$3</f>
        <v>6.8418209769677161E-3</v>
      </c>
      <c r="I9" s="67">
        <f>SUM($G$7:G9)</f>
        <v>825</v>
      </c>
      <c r="J9" s="59">
        <f>I9/$J$3</f>
        <v>1.1426118028336773E-2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기능'!C150</f>
        <v>58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72</v>
      </c>
      <c r="E10" s="54">
        <f t="shared" si="0"/>
        <v>1</v>
      </c>
      <c r="F10" s="55">
        <f t="shared" ref="F10:F55" si="4">IF(I9=0,ROUND(100*(1-(I8+I10)/2/$J$3),2),ROUND(100*(1-(I9+I10)/2/$J$3),2))</f>
        <v>98.61</v>
      </c>
      <c r="G10" s="56">
        <f>IF(D10=D9,"",_xlfn.IFNA(VLOOKUP(D10,'인원 입력 기능(사과탐)'!$P$177:$S$231,4,FALSE),0))</f>
        <v>354</v>
      </c>
      <c r="H10" s="57">
        <f t="shared" si="1"/>
        <v>4.9028433721590515E-3</v>
      </c>
      <c r="I10" s="67">
        <f>SUM($G$7:G10)</f>
        <v>1179</v>
      </c>
      <c r="J10" s="59">
        <f t="shared" ref="J10:J55" si="5">I10/$J$3</f>
        <v>1.6328961400495823E-2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기능'!C151</f>
        <v>53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71</v>
      </c>
      <c r="E11" s="54">
        <f t="shared" si="0"/>
        <v>1</v>
      </c>
      <c r="F11" s="55">
        <f t="shared" si="4"/>
        <v>98.11</v>
      </c>
      <c r="G11" s="56">
        <f>IF(D11=D10,"",_xlfn.IFNA(VLOOKUP(D11,'인원 입력 기능(사과탐)'!$P$177:$S$231,4,FALSE),0))</f>
        <v>366</v>
      </c>
      <c r="H11" s="57">
        <f t="shared" si="1"/>
        <v>5.0690414525712225E-3</v>
      </c>
      <c r="I11" s="67">
        <f>SUM($G$7:G11)</f>
        <v>1545</v>
      </c>
      <c r="J11" s="59">
        <f t="shared" si="5"/>
        <v>2.1398002853067047E-2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기능'!C152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70</v>
      </c>
      <c r="E12" s="54">
        <f t="shared" si="0"/>
        <v>1</v>
      </c>
      <c r="F12" s="55">
        <f t="shared" si="4"/>
        <v>97.34</v>
      </c>
      <c r="G12" s="56">
        <f>IF(D12=D11,"",_xlfn.IFNA(VLOOKUP(D12,'인원 입력 기능(사과탐)'!$P$177:$S$231,4,FALSE),0))</f>
        <v>758</v>
      </c>
      <c r="H12" s="57">
        <f t="shared" si="1"/>
        <v>1.0498178746035484E-2</v>
      </c>
      <c r="I12" s="67">
        <f>SUM($G$7:G12)</f>
        <v>2303</v>
      </c>
      <c r="J12" s="59">
        <f t="shared" si="5"/>
        <v>3.1896181599102527E-2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기능'!C153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69</v>
      </c>
      <c r="E13" s="54">
        <f t="shared" si="0"/>
        <v>1</v>
      </c>
      <c r="F13" s="55">
        <f t="shared" si="4"/>
        <v>96.48</v>
      </c>
      <c r="G13" s="56">
        <f>IF(D13=D12,"",_xlfn.IFNA(VLOOKUP(D13,'인원 입력 기능(사과탐)'!$P$177:$S$231,4,FALSE),0))</f>
        <v>479</v>
      </c>
      <c r="H13" s="57">
        <f t="shared" si="1"/>
        <v>6.6340733764525019E-3</v>
      </c>
      <c r="I13" s="67">
        <f>SUM($G$7:G13)</f>
        <v>2782</v>
      </c>
      <c r="J13" s="59">
        <f t="shared" si="5"/>
        <v>3.8530254975555032E-2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기능'!C154</f>
        <v>37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68</v>
      </c>
      <c r="E14" s="54">
        <f t="shared" si="0"/>
        <v>1</v>
      </c>
      <c r="F14" s="55">
        <f t="shared" si="4"/>
        <v>95.55</v>
      </c>
      <c r="G14" s="56">
        <f>IF(D14=D13,"",_xlfn.IFNA(VLOOKUP(D14,'인원 입력 기능(사과탐)'!$P$177:$S$231,4,FALSE),0))</f>
        <v>861</v>
      </c>
      <c r="H14" s="57">
        <f t="shared" si="1"/>
        <v>1.1924712269573286E-2</v>
      </c>
      <c r="I14" s="67">
        <f>SUM($G$7:G14)</f>
        <v>3643</v>
      </c>
      <c r="J14" s="59">
        <f t="shared" si="5"/>
        <v>5.0454967245128317E-2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기능'!C155</f>
        <v>35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67</v>
      </c>
      <c r="E15" s="54">
        <f t="shared" si="0"/>
        <v>2</v>
      </c>
      <c r="F15" s="55">
        <f t="shared" si="4"/>
        <v>94.35</v>
      </c>
      <c r="G15" s="56">
        <f>IF(D15=D14,"",_xlfn.IFNA(VLOOKUP(D15,'인원 입력 기능(사과탐)'!$P$177:$S$231,4,FALSE),0))</f>
        <v>868</v>
      </c>
      <c r="H15" s="57">
        <f t="shared" si="1"/>
        <v>1.202166114981372E-2</v>
      </c>
      <c r="I15" s="67">
        <f>SUM($G$7:G15)</f>
        <v>4511</v>
      </c>
      <c r="J15" s="59">
        <f t="shared" si="5"/>
        <v>6.2476628394942037E-2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66</v>
      </c>
      <c r="E16" s="54">
        <f t="shared" si="0"/>
        <v>2</v>
      </c>
      <c r="F16" s="55">
        <f t="shared" si="4"/>
        <v>93.18</v>
      </c>
      <c r="G16" s="56">
        <f>IF(D16=D15,"",_xlfn.IFNA(VLOOKUP(D16,'인원 입력 기능(사과탐)'!$P$177:$S$231,4,FALSE),0))</f>
        <v>825</v>
      </c>
      <c r="H16" s="57">
        <f t="shared" si="1"/>
        <v>1.1426118028336773E-2</v>
      </c>
      <c r="I16" s="67">
        <f>SUM($G$7:G16)</f>
        <v>5336</v>
      </c>
      <c r="J16" s="59">
        <f t="shared" si="5"/>
        <v>7.3902746423278806E-2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65</v>
      </c>
      <c r="E17" s="54">
        <f t="shared" si="0"/>
        <v>2</v>
      </c>
      <c r="F17" s="55">
        <f t="shared" si="4"/>
        <v>91.85</v>
      </c>
      <c r="G17" s="56">
        <f>IF(D17=D16,"",_xlfn.IFNA(VLOOKUP(D17,'인원 입력 기능(사과탐)'!$P$177:$S$231,4,FALSE),0))</f>
        <v>1098</v>
      </c>
      <c r="H17" s="57">
        <f t="shared" si="1"/>
        <v>1.5207124357713668E-2</v>
      </c>
      <c r="I17" s="67">
        <f>SUM($G$7:G17)</f>
        <v>6434</v>
      </c>
      <c r="J17" s="59">
        <f t="shared" si="5"/>
        <v>8.9109870780992473E-2</v>
      </c>
      <c r="K17" s="31"/>
      <c r="L17" s="15" t="str">
        <f t="shared" si="2"/>
        <v/>
      </c>
      <c r="N17" s="19"/>
      <c r="Q17" s="19">
        <f>Q7*H3*H4*J3*IFERROR(IF(J57=1, 1, 0), 0)</f>
        <v>1240418283.3443999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64</v>
      </c>
      <c r="E18" s="54">
        <f t="shared" si="0"/>
        <v>2</v>
      </c>
      <c r="F18" s="55">
        <f t="shared" si="4"/>
        <v>90.43</v>
      </c>
      <c r="G18" s="56">
        <f>IF(D18=D17,"",_xlfn.IFNA(VLOOKUP(D18,'인원 입력 기능(사과탐)'!$P$177:$S$231,4,FALSE),0))</f>
        <v>952</v>
      </c>
      <c r="H18" s="57">
        <f t="shared" si="1"/>
        <v>1.3185047712698919E-2</v>
      </c>
      <c r="I18" s="67">
        <f>SUM($G$7:G18)</f>
        <v>7386</v>
      </c>
      <c r="J18" s="59">
        <f t="shared" si="5"/>
        <v>0.10229491849369139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63</v>
      </c>
      <c r="E19" s="54">
        <f t="shared" si="0"/>
        <v>2</v>
      </c>
      <c r="F19" s="55">
        <f t="shared" si="4"/>
        <v>88.84</v>
      </c>
      <c r="G19" s="56">
        <f>IF(D19=D18,"",_xlfn.IFNA(VLOOKUP(D19,'인원 입력 기능(사과탐)'!$P$177:$S$231,4,FALSE),0))</f>
        <v>1350</v>
      </c>
      <c r="H19" s="57">
        <f t="shared" si="1"/>
        <v>1.8697284046369264E-2</v>
      </c>
      <c r="I19" s="67">
        <f>SUM($G$7:G19)</f>
        <v>8736</v>
      </c>
      <c r="J19" s="59">
        <f t="shared" si="5"/>
        <v>0.12099220254006066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62</v>
      </c>
      <c r="E20" s="54">
        <f t="shared" si="0"/>
        <v>3</v>
      </c>
      <c r="F20" s="55">
        <f t="shared" si="4"/>
        <v>87</v>
      </c>
      <c r="G20" s="56">
        <f>IF(D20=D19,"",_xlfn.IFNA(VLOOKUP(D20,'인원 입력 기능(사과탐)'!$P$177:$S$231,4,FALSE),0))</f>
        <v>1295</v>
      </c>
      <c r="H20" s="57">
        <f t="shared" si="1"/>
        <v>1.7935542844480148E-2</v>
      </c>
      <c r="I20" s="67">
        <f>SUM($G$7:G20)</f>
        <v>10031</v>
      </c>
      <c r="J20" s="59">
        <f t="shared" si="5"/>
        <v>0.13892774538454081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61</v>
      </c>
      <c r="E21" s="69">
        <f t="shared" si="0"/>
        <v>3</v>
      </c>
      <c r="F21" s="55">
        <f t="shared" si="4"/>
        <v>85.11</v>
      </c>
      <c r="G21" s="56">
        <f>IF(D21=D20,"",_xlfn.IFNA(VLOOKUP(D21,'인원 입력 기능(사과탐)'!$P$177:$S$231,4,FALSE),0))</f>
        <v>1434</v>
      </c>
      <c r="H21" s="57">
        <f t="shared" si="1"/>
        <v>1.9860670609254463E-2</v>
      </c>
      <c r="I21" s="67">
        <f>SUM($G$7:G21)</f>
        <v>11465</v>
      </c>
      <c r="J21" s="59">
        <f t="shared" si="5"/>
        <v>0.15878841599379528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60</v>
      </c>
      <c r="E22" s="69">
        <f t="shared" si="0"/>
        <v>3</v>
      </c>
      <c r="F22" s="55">
        <f t="shared" si="4"/>
        <v>82.97</v>
      </c>
      <c r="G22" s="56">
        <f>IF(D22=D21,"",_xlfn.IFNA(VLOOKUP(D22,'인원 입력 기능(사과탐)'!$P$177:$S$231,4,FALSE),0))</f>
        <v>1657</v>
      </c>
      <c r="H22" s="57">
        <f t="shared" si="1"/>
        <v>2.2949184936913978E-2</v>
      </c>
      <c r="I22" s="67">
        <f>SUM($G$7:G22)</f>
        <v>13122</v>
      </c>
      <c r="J22" s="59">
        <f t="shared" si="5"/>
        <v>0.18173760093070926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59</v>
      </c>
      <c r="E23" s="69">
        <f t="shared" si="0"/>
        <v>3</v>
      </c>
      <c r="F23" s="55">
        <f t="shared" si="4"/>
        <v>80.739999999999995</v>
      </c>
      <c r="G23" s="56">
        <f>IF(D23=D22,"",_xlfn.IFNA(VLOOKUP(D23,'인원 입력 기능(사과탐)'!$P$177:$S$231,4,FALSE),0))</f>
        <v>1567</v>
      </c>
      <c r="H23" s="57">
        <f t="shared" si="1"/>
        <v>2.1702699333822694E-2</v>
      </c>
      <c r="I23" s="67">
        <f>SUM($G$7:G23)</f>
        <v>14689</v>
      </c>
      <c r="J23" s="59">
        <f t="shared" si="5"/>
        <v>0.20344030026453194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178">
        <f t="shared" si="3"/>
        <v>58</v>
      </c>
      <c r="E24" s="178">
        <f t="shared" si="0"/>
        <v>3</v>
      </c>
      <c r="F24" s="180">
        <f t="shared" si="4"/>
        <v>77.040000000000006</v>
      </c>
      <c r="G24" s="182">
        <f>IF(D24=D23,"",_xlfn.IFNA(VLOOKUP(D24,'인원 입력 기능(사과탐)'!$P$177:$S$231,4,FALSE),0))</f>
        <v>3775</v>
      </c>
      <c r="H24" s="184">
        <f t="shared" si="1"/>
        <v>5.22831461296622E-2</v>
      </c>
      <c r="I24" s="188">
        <f>SUM($G$7:G24)</f>
        <v>18464</v>
      </c>
      <c r="J24" s="176">
        <f t="shared" si="5"/>
        <v>0.25572344639419414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179"/>
      <c r="E25" s="179"/>
      <c r="F25" s="181"/>
      <c r="G25" s="183"/>
      <c r="H25" s="185"/>
      <c r="I25" s="189"/>
      <c r="J25" s="177"/>
      <c r="K25" s="31"/>
      <c r="L25" s="15" t="str">
        <f t="shared" si="2"/>
        <v>경고</v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57</v>
      </c>
      <c r="E26" s="69">
        <f t="shared" si="0"/>
        <v>4</v>
      </c>
      <c r="F26" s="55">
        <f t="shared" si="4"/>
        <v>73.14</v>
      </c>
      <c r="G26" s="56">
        <f>IF(D26=D25,"",_xlfn.IFNA(VLOOKUP(D26,'인원 입력 기능(사과탐)'!$P$177:$S$231,4,FALSE),0))</f>
        <v>1864</v>
      </c>
      <c r="H26" s="57">
        <f t="shared" si="1"/>
        <v>2.5816101824023933E-2</v>
      </c>
      <c r="I26" s="67">
        <f>SUM($G$7:G26)</f>
        <v>20328</v>
      </c>
      <c r="J26" s="59">
        <f t="shared" si="5"/>
        <v>0.28153954821821808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56</v>
      </c>
      <c r="E27" s="69">
        <f t="shared" si="0"/>
        <v>4</v>
      </c>
      <c r="F27" s="55">
        <f t="shared" si="4"/>
        <v>70.349999999999994</v>
      </c>
      <c r="G27" s="56">
        <f>IF(D27=D26,"",_xlfn.IFNA(VLOOKUP(D27,'인원 입력 기능(사과탐)'!$P$177:$S$231,4,FALSE),0))</f>
        <v>2155</v>
      </c>
      <c r="H27" s="57">
        <f t="shared" si="1"/>
        <v>2.9846405274019085E-2</v>
      </c>
      <c r="I27" s="67">
        <f>SUM($G$7:G27)</f>
        <v>22483</v>
      </c>
      <c r="J27" s="59">
        <f t="shared" si="5"/>
        <v>0.31138595349223719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55</v>
      </c>
      <c r="E28" s="69">
        <f t="shared" si="0"/>
        <v>4</v>
      </c>
      <c r="F28" s="55">
        <f t="shared" si="4"/>
        <v>67.44</v>
      </c>
      <c r="G28" s="56">
        <f>IF(D28=D27,"",_xlfn.IFNA(VLOOKUP(D28,'인원 입력 기능(사과탐)'!$P$177:$S$231,4,FALSE),0))</f>
        <v>2046</v>
      </c>
      <c r="H28" s="57">
        <f t="shared" si="1"/>
        <v>2.8336772710275196E-2</v>
      </c>
      <c r="I28" s="67">
        <f>SUM($G$7:G28)</f>
        <v>24529</v>
      </c>
      <c r="J28" s="59">
        <f t="shared" si="5"/>
        <v>0.33972272620251237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54</v>
      </c>
      <c r="E29" s="69">
        <f t="shared" si="0"/>
        <v>4</v>
      </c>
      <c r="F29" s="55">
        <f t="shared" si="4"/>
        <v>64.41</v>
      </c>
      <c r="G29" s="56">
        <f>IF(D29=D28,"",_xlfn.IFNA(VLOOKUP(D29,'인원 입력 기능(사과탐)'!$P$177:$S$231,4,FALSE),0))</f>
        <v>2334</v>
      </c>
      <c r="H29" s="57">
        <f t="shared" si="1"/>
        <v>3.2325526640167308E-2</v>
      </c>
      <c r="I29" s="67">
        <f>SUM($G$7:G29)</f>
        <v>26863</v>
      </c>
      <c r="J29" s="59">
        <f t="shared" si="5"/>
        <v>0.37204825284267967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53</v>
      </c>
      <c r="E30" s="69">
        <f t="shared" si="0"/>
        <v>4</v>
      </c>
      <c r="F30" s="55">
        <f t="shared" si="4"/>
        <v>61.2</v>
      </c>
      <c r="G30" s="56">
        <f>IF(D30=D29,"",_xlfn.IFNA(VLOOKUP(D30,'인원 입력 기능(사과탐)'!$P$177:$S$231,4,FALSE),0))</f>
        <v>2299</v>
      </c>
      <c r="H30" s="57">
        <f t="shared" si="1"/>
        <v>3.1840782238965137E-2</v>
      </c>
      <c r="I30" s="67">
        <f>SUM($G$7:G30)</f>
        <v>29162</v>
      </c>
      <c r="J30" s="59">
        <f t="shared" si="5"/>
        <v>0.40388903508164481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52</v>
      </c>
      <c r="E31" s="69">
        <f t="shared" si="0"/>
        <v>5</v>
      </c>
      <c r="F31" s="55">
        <f t="shared" si="4"/>
        <v>58.09</v>
      </c>
      <c r="G31" s="56">
        <f>IF(D31=D30,"",_xlfn.IFNA(VLOOKUP(D31,'인원 입력 기능(사과탐)'!$P$177:$S$231,4,FALSE),0))</f>
        <v>2197</v>
      </c>
      <c r="H31" s="57">
        <f t="shared" si="1"/>
        <v>3.0428098555461684E-2</v>
      </c>
      <c r="I31" s="67">
        <f>SUM($G$7:G31)</f>
        <v>31359</v>
      </c>
      <c r="J31" s="59">
        <f t="shared" si="5"/>
        <v>0.4343171336371065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51</v>
      </c>
      <c r="E32" s="69">
        <f t="shared" si="0"/>
        <v>5</v>
      </c>
      <c r="F32" s="55">
        <f t="shared" si="4"/>
        <v>54.87</v>
      </c>
      <c r="G32" s="56">
        <f>IF(D32=D31,"",_xlfn.IFNA(VLOOKUP(D32,'인원 입력 기능(사과탐)'!$P$177:$S$231,4,FALSE),0))</f>
        <v>2458</v>
      </c>
      <c r="H32" s="57">
        <f t="shared" si="1"/>
        <v>3.4042906804426412E-2</v>
      </c>
      <c r="I32" s="67">
        <f>SUM($G$7:G32)</f>
        <v>33817</v>
      </c>
      <c r="J32" s="59">
        <f t="shared" si="5"/>
        <v>0.4683600404415329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50</v>
      </c>
      <c r="E33" s="69">
        <f t="shared" si="0"/>
        <v>5</v>
      </c>
      <c r="F33" s="55">
        <f t="shared" si="4"/>
        <v>51.61</v>
      </c>
      <c r="G33" s="56">
        <f>IF(D33=D32,"",_xlfn.IFNA(VLOOKUP(D33,'인원 입력 기능(사과탐)'!$P$177:$S$231,4,FALSE),0))</f>
        <v>2246</v>
      </c>
      <c r="H33" s="57">
        <f t="shared" si="1"/>
        <v>3.1106740717144716E-2</v>
      </c>
      <c r="I33" s="67">
        <f>SUM($G$7:G33)</f>
        <v>36063</v>
      </c>
      <c r="J33" s="59">
        <f t="shared" si="5"/>
        <v>0.4994667811586776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49</v>
      </c>
      <c r="E34" s="69">
        <f t="shared" si="0"/>
        <v>5</v>
      </c>
      <c r="F34" s="55">
        <f t="shared" si="4"/>
        <v>48.32</v>
      </c>
      <c r="G34" s="56">
        <f>IF(D34=D33,"",_xlfn.IFNA(VLOOKUP(D34,'인원 입력 기능(사과탐)'!$P$177:$S$231,4,FALSE),0))</f>
        <v>2510</v>
      </c>
      <c r="H34" s="57">
        <f t="shared" si="1"/>
        <v>3.4763098486212486E-2</v>
      </c>
      <c r="I34" s="67">
        <f>SUM($G$7:G34)</f>
        <v>38573</v>
      </c>
      <c r="J34" s="59">
        <f t="shared" si="5"/>
        <v>0.5342298796448901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48</v>
      </c>
      <c r="E35" s="69">
        <f t="shared" si="0"/>
        <v>5</v>
      </c>
      <c r="F35" s="55">
        <f t="shared" si="4"/>
        <v>44.92</v>
      </c>
      <c r="G35" s="56">
        <f>IF(D35=D34,"",_xlfn.IFNA(VLOOKUP(D35,'인원 입력 기능(사과탐)'!$P$177:$S$231,4,FALSE),0))</f>
        <v>2397</v>
      </c>
      <c r="H35" s="57">
        <f t="shared" si="1"/>
        <v>3.3198066562331208E-2</v>
      </c>
      <c r="I35" s="67">
        <f>SUM($G$7:G35)</f>
        <v>40970</v>
      </c>
      <c r="J35" s="59">
        <f t="shared" si="5"/>
        <v>0.56742794620722126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47</v>
      </c>
      <c r="E36" s="69">
        <f t="shared" si="0"/>
        <v>5</v>
      </c>
      <c r="F36" s="55">
        <f t="shared" si="4"/>
        <v>41.65</v>
      </c>
      <c r="G36" s="56">
        <f>IF(D36=D35,"",_xlfn.IFNA(VLOOKUP(D36,'인원 입력 기능(사과탐)'!$P$177:$S$231,4,FALSE),0))</f>
        <v>2321</v>
      </c>
      <c r="H36" s="57">
        <f t="shared" si="1"/>
        <v>3.2145478719720788E-2</v>
      </c>
      <c r="I36" s="67">
        <f>SUM($G$7:G36)</f>
        <v>43291</v>
      </c>
      <c r="J36" s="59">
        <f t="shared" si="5"/>
        <v>0.5995734249269421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46</v>
      </c>
      <c r="E37" s="69">
        <f t="shared" si="0"/>
        <v>5</v>
      </c>
      <c r="F37" s="55">
        <f t="shared" si="4"/>
        <v>38.229999999999997</v>
      </c>
      <c r="G37" s="56">
        <f>IF(D37=D36,"",_xlfn.IFNA(VLOOKUP(D37,'인원 입력 기능(사과탐)'!$P$177:$S$231,4,FALSE),0))</f>
        <v>2614</v>
      </c>
      <c r="H37" s="57">
        <f t="shared" si="1"/>
        <v>3.6203481849784634E-2</v>
      </c>
      <c r="I37" s="67">
        <f>SUM($G$7:G37)</f>
        <v>45905</v>
      </c>
      <c r="J37" s="59">
        <f t="shared" si="5"/>
        <v>0.63577690677672671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45</v>
      </c>
      <c r="E38" s="69">
        <f t="shared" si="0"/>
        <v>6</v>
      </c>
      <c r="F38" s="55">
        <f t="shared" si="4"/>
        <v>34.909999999999997</v>
      </c>
      <c r="G38" s="56">
        <f>IF(D38=D37,"",_xlfn.IFNA(VLOOKUP(D38,'인원 입력 기능(사과탐)'!$P$177:$S$231,4,FALSE),0))</f>
        <v>2191</v>
      </c>
      <c r="H38" s="57">
        <f t="shared" si="1"/>
        <v>3.03449995152556E-2</v>
      </c>
      <c r="I38" s="67">
        <f>SUM($G$7:G38)</f>
        <v>48096</v>
      </c>
      <c r="J38" s="59">
        <f t="shared" si="5"/>
        <v>0.66612190629198231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44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31.73</v>
      </c>
      <c r="G39" s="56">
        <f>IF(D39=D38,"",_xlfn.IFNA(VLOOKUP(D39,'인원 입력 기능(사과탐)'!$P$177:$S$231,4,FALSE),0))</f>
        <v>2393</v>
      </c>
      <c r="H39" s="57">
        <f t="shared" si="1"/>
        <v>3.3142667202193818E-2</v>
      </c>
      <c r="I39" s="67">
        <f>SUM($G$7:G39)</f>
        <v>50489</v>
      </c>
      <c r="J39" s="59">
        <f t="shared" si="5"/>
        <v>0.69926457349417614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43</v>
      </c>
      <c r="E40" s="69">
        <f t="shared" si="6"/>
        <v>6</v>
      </c>
      <c r="F40" s="55">
        <f t="shared" si="4"/>
        <v>28.46</v>
      </c>
      <c r="G40" s="56">
        <f>IF(D40=D39,"",_xlfn.IFNA(VLOOKUP(D40,'인원 입력 기능(사과탐)'!$P$177:$S$231,4,FALSE),0))</f>
        <v>2325</v>
      </c>
      <c r="H40" s="57">
        <f t="shared" si="1"/>
        <v>3.2200878079858178E-2</v>
      </c>
      <c r="I40" s="67">
        <f>SUM($G$7:G40)</f>
        <v>52814</v>
      </c>
      <c r="J40" s="59">
        <f t="shared" si="5"/>
        <v>0.73146545157403431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42</v>
      </c>
      <c r="E41" s="69">
        <f t="shared" si="6"/>
        <v>6</v>
      </c>
      <c r="F41" s="55">
        <f t="shared" si="4"/>
        <v>25.43</v>
      </c>
      <c r="G41" s="56">
        <f>IF(D41=D40,"",_xlfn.IFNA(VLOOKUP(D41,'인원 입력 기능(사과탐)'!$P$177:$S$231,4,FALSE),0))</f>
        <v>2049</v>
      </c>
      <c r="H41" s="57">
        <f t="shared" si="1"/>
        <v>2.8378322230378238E-2</v>
      </c>
      <c r="I41" s="67">
        <f>SUM($G$7:G41)</f>
        <v>54863</v>
      </c>
      <c r="J41" s="59">
        <f t="shared" si="5"/>
        <v>0.75984377380441259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41</v>
      </c>
      <c r="E42" s="69">
        <f t="shared" si="6"/>
        <v>6</v>
      </c>
      <c r="F42" s="55">
        <f t="shared" si="4"/>
        <v>22.45</v>
      </c>
      <c r="G42" s="56">
        <f>IF(D42=D41,"",_xlfn.IFNA(VLOOKUP(D42,'인원 입력 기능(사과탐)'!$P$177:$S$231,4,FALSE),0))</f>
        <v>2260</v>
      </c>
      <c r="H42" s="57">
        <f t="shared" si="1"/>
        <v>3.1300638477625584E-2</v>
      </c>
      <c r="I42" s="67">
        <f>SUM($G$7:G42)</f>
        <v>57123</v>
      </c>
      <c r="J42" s="59">
        <f t="shared" si="5"/>
        <v>0.79114441228203813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40</v>
      </c>
      <c r="E43" s="69">
        <f t="shared" si="6"/>
        <v>7</v>
      </c>
      <c r="F43" s="55">
        <f t="shared" si="4"/>
        <v>19.59</v>
      </c>
      <c r="G43" s="56">
        <f>IF(D43=D42,"",_xlfn.IFNA(VLOOKUP(D43,'인원 입력 기능(사과탐)'!$P$177:$S$231,4,FALSE),0))</f>
        <v>1866</v>
      </c>
      <c r="H43" s="57">
        <f t="shared" si="1"/>
        <v>2.5843801504092628E-2</v>
      </c>
      <c r="I43" s="67">
        <f>SUM($G$7:G43)</f>
        <v>58989</v>
      </c>
      <c r="J43" s="59">
        <f t="shared" si="5"/>
        <v>0.81698821378613073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39</v>
      </c>
      <c r="E44" s="69">
        <f t="shared" si="6"/>
        <v>7</v>
      </c>
      <c r="F44" s="55">
        <f t="shared" si="4"/>
        <v>16.93</v>
      </c>
      <c r="G44" s="56">
        <f>IF(D44=D43,"",_xlfn.IFNA(VLOOKUP(D44,'인원 입력 기능(사과탐)'!$P$177:$S$231,4,FALSE),0))</f>
        <v>1981</v>
      </c>
      <c r="H44" s="57">
        <f t="shared" si="1"/>
        <v>2.7436533108042602E-2</v>
      </c>
      <c r="I44" s="67">
        <f>SUM($G$7:G44)</f>
        <v>60970</v>
      </c>
      <c r="J44" s="59">
        <f t="shared" si="5"/>
        <v>0.84442474689417335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38</v>
      </c>
      <c r="E45" s="69">
        <f t="shared" si="6"/>
        <v>7</v>
      </c>
      <c r="F45" s="55">
        <f t="shared" si="4"/>
        <v>14.38</v>
      </c>
      <c r="G45" s="56">
        <f>IF(D45=D44,"",_xlfn.IFNA(VLOOKUP(D45,'인원 입력 기능(사과탐)'!$P$177:$S$231,4,FALSE),0))</f>
        <v>1705</v>
      </c>
      <c r="H45" s="57">
        <f t="shared" si="1"/>
        <v>2.3613977258562662E-2</v>
      </c>
      <c r="I45" s="67">
        <f>SUM($G$7:G45)</f>
        <v>62675</v>
      </c>
      <c r="J45" s="59">
        <f t="shared" si="5"/>
        <v>0.86803872415273609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78">
        <f t="shared" si="3"/>
        <v>37</v>
      </c>
      <c r="E46" s="178">
        <f t="shared" si="6"/>
        <v>7</v>
      </c>
      <c r="F46" s="180">
        <f t="shared" si="4"/>
        <v>11.08</v>
      </c>
      <c r="G46" s="182">
        <f>IF(D46=D45,"",_xlfn.IFNA(VLOOKUP(D46,'인원 입력 기능(사과탐)'!$P$177:$S$231,4,FALSE),0))</f>
        <v>3059</v>
      </c>
      <c r="H46" s="184">
        <f t="shared" si="1"/>
        <v>4.2366660665069319E-2</v>
      </c>
      <c r="I46" s="188">
        <f>SUM($G$7:G46)</f>
        <v>65734</v>
      </c>
      <c r="J46" s="176">
        <f t="shared" si="5"/>
        <v>0.91040538481780531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179"/>
      <c r="E47" s="179"/>
      <c r="F47" s="181"/>
      <c r="G47" s="183"/>
      <c r="H47" s="185"/>
      <c r="I47" s="189"/>
      <c r="J47" s="177"/>
      <c r="K47" s="31"/>
      <c r="L47" s="15" t="str">
        <f t="shared" si="2"/>
        <v>경고</v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36</v>
      </c>
      <c r="E48" s="69">
        <f t="shared" si="6"/>
        <v>8</v>
      </c>
      <c r="F48" s="55">
        <f t="shared" si="4"/>
        <v>6.81</v>
      </c>
      <c r="G48" s="56">
        <f>IF(D48=D47,"",_xlfn.IFNA(VLOOKUP(D48,'인원 입력 기능(사과탐)'!$P$177:$S$231,4,FALSE),0))</f>
        <v>3111</v>
      </c>
      <c r="H48" s="57">
        <f t="shared" si="1"/>
        <v>4.3086852346855394E-2</v>
      </c>
      <c r="I48" s="67">
        <f>SUM($G$7:G48)</f>
        <v>68845</v>
      </c>
      <c r="J48" s="59">
        <f t="shared" si="5"/>
        <v>0.95349223716466069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35</v>
      </c>
      <c r="E49" s="69">
        <f t="shared" si="6"/>
        <v>8</v>
      </c>
      <c r="F49" s="55">
        <f t="shared" si="4"/>
        <v>3.92</v>
      </c>
      <c r="G49" s="56">
        <f>IF(D49=D48,"",_xlfn.IFNA(VLOOKUP(D49,'인원 입력 기능(사과탐)'!$P$177:$S$231,4,FALSE),0))</f>
        <v>1053</v>
      </c>
      <c r="H49" s="57">
        <f t="shared" si="1"/>
        <v>1.4583881556168026E-2</v>
      </c>
      <c r="I49" s="67">
        <f>SUM($G$7:G49)</f>
        <v>69898</v>
      </c>
      <c r="J49" s="59">
        <f t="shared" si="5"/>
        <v>0.96807611872082877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34</v>
      </c>
      <c r="E50" s="69">
        <f t="shared" si="6"/>
        <v>9</v>
      </c>
      <c r="F50" s="55">
        <f t="shared" si="4"/>
        <v>2.64</v>
      </c>
      <c r="G50" s="56">
        <f>IF(D50=D49,"",_xlfn.IFNA(VLOOKUP(D50,'인원 입력 기능(사과탐)'!$P$177:$S$231,4,FALSE),0))</f>
        <v>802</v>
      </c>
      <c r="H50" s="57">
        <f t="shared" si="1"/>
        <v>1.1107571707546778E-2</v>
      </c>
      <c r="I50" s="67">
        <f>SUM($G$7:G50)</f>
        <v>70700</v>
      </c>
      <c r="J50" s="59">
        <f t="shared" si="5"/>
        <v>0.9791836904283755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33</v>
      </c>
      <c r="E51" s="69">
        <f t="shared" si="6"/>
        <v>9</v>
      </c>
      <c r="F51" s="55">
        <f t="shared" si="4"/>
        <v>1.79</v>
      </c>
      <c r="G51" s="56">
        <f>IF(D51=D50,"",_xlfn.IFNA(VLOOKUP(D51,'인원 입력 기능(사과탐)'!$P$177:$S$231,4,FALSE),0))</f>
        <v>424</v>
      </c>
      <c r="H51" s="57">
        <f t="shared" si="1"/>
        <v>5.8723321745633838E-3</v>
      </c>
      <c r="I51" s="67">
        <f>SUM($G$7:G51)</f>
        <v>71124</v>
      </c>
      <c r="J51" s="59">
        <f t="shared" si="5"/>
        <v>0.9850560226029389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32</v>
      </c>
      <c r="E52" s="69">
        <f t="shared" si="6"/>
        <v>9</v>
      </c>
      <c r="F52" s="55">
        <f t="shared" si="4"/>
        <v>1.17</v>
      </c>
      <c r="G52" s="56">
        <f>IF(D52=D51,"",_xlfn.IFNA(VLOOKUP(D52,'인원 입력 기능(사과탐)'!$P$177:$S$231,4,FALSE),0))</f>
        <v>471</v>
      </c>
      <c r="H52" s="57">
        <f t="shared" si="1"/>
        <v>6.5232746561777214E-3</v>
      </c>
      <c r="I52" s="67">
        <f>SUM($G$7:G52)</f>
        <v>71595</v>
      </c>
      <c r="J52" s="59">
        <f t="shared" si="5"/>
        <v>0.99157929725911664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31</v>
      </c>
      <c r="E53" s="54">
        <f t="shared" si="6"/>
        <v>9</v>
      </c>
      <c r="F53" s="55">
        <f t="shared" si="4"/>
        <v>0.67</v>
      </c>
      <c r="G53" s="56">
        <f>IF(D53=D52,"",_xlfn.IFNA(VLOOKUP(D53,'인원 입력 기능(사과탐)'!$P$177:$S$231,4,FALSE),0))</f>
        <v>243</v>
      </c>
      <c r="H53" s="57">
        <f t="shared" si="1"/>
        <v>3.3655111283464674E-3</v>
      </c>
      <c r="I53" s="67">
        <f>SUM($G$7:G53)</f>
        <v>71838</v>
      </c>
      <c r="J53" s="59">
        <f t="shared" si="5"/>
        <v>0.99494480838746313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30</v>
      </c>
      <c r="E54" s="54">
        <f t="shared" si="6"/>
        <v>9</v>
      </c>
      <c r="F54" s="55">
        <f t="shared" si="4"/>
        <v>0.41</v>
      </c>
      <c r="G54" s="56">
        <f>IF(D54=D53,"",_xlfn.IFNA(VLOOKUP(D54,'인원 입력 기능(사과탐)'!$P$177:$S$231,4,FALSE),0))</f>
        <v>138</v>
      </c>
      <c r="H54" s="57">
        <f t="shared" si="1"/>
        <v>1.9112779247399693E-3</v>
      </c>
      <c r="I54" s="67">
        <f>SUM($G$7:G54)</f>
        <v>71976</v>
      </c>
      <c r="J54" s="59">
        <f t="shared" si="5"/>
        <v>0.99685608631220313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29</v>
      </c>
      <c r="E55" s="54">
        <f t="shared" si="6"/>
        <v>9</v>
      </c>
      <c r="F55" s="55">
        <f t="shared" si="4"/>
        <v>0.2</v>
      </c>
      <c r="G55" s="56">
        <f>IF(D55=D54,"",_xlfn.IFNA(VLOOKUP(D55,'인원 입력 기능(사과탐)'!$P$177:$S$231,4,FALSE),0))</f>
        <v>164</v>
      </c>
      <c r="H55" s="57">
        <f t="shared" si="1"/>
        <v>2.2713737656330068E-3</v>
      </c>
      <c r="I55" s="67">
        <f>SUM($G$7:G55)</f>
        <v>72140</v>
      </c>
      <c r="J55" s="59">
        <f t="shared" si="5"/>
        <v>0.99912746007783615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27</v>
      </c>
      <c r="E57" s="107">
        <f t="shared" si="6"/>
        <v>9</v>
      </c>
      <c r="F57" s="74">
        <f>IF(I55=0,ROUND(100*(1-(I54+I57)/2/$J$3),2),ROUND(100*(1-(I55+I57)/2/$J$3),2))</f>
        <v>0.04</v>
      </c>
      <c r="G57" s="108">
        <f>_xlfn.IFNA(VLOOKUP(D57,'인원 입력 기능(사과탐)'!$P$177:$S$231,4,FALSE),0)</f>
        <v>63</v>
      </c>
      <c r="H57" s="76">
        <f>G57/$J$3</f>
        <v>8.7253992216389904E-4</v>
      </c>
      <c r="I57" s="77">
        <f>SUM($G$7:G57)</f>
        <v>72203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D3:F3"/>
    <mergeCell ref="D4:F4"/>
    <mergeCell ref="I4:J5"/>
    <mergeCell ref="D24:D25"/>
    <mergeCell ref="E24:E25"/>
    <mergeCell ref="F24:F25"/>
    <mergeCell ref="G24:G25"/>
    <mergeCell ref="H24:H25"/>
    <mergeCell ref="I24:I25"/>
    <mergeCell ref="J24:J25"/>
    <mergeCell ref="I46:I47"/>
    <mergeCell ref="J46:J47"/>
    <mergeCell ref="D46:D47"/>
    <mergeCell ref="E46:E47"/>
    <mergeCell ref="F46:F47"/>
    <mergeCell ref="G46:G47"/>
    <mergeCell ref="H46:H47"/>
  </mergeCells>
  <phoneticPr fontId="1" type="noConversion"/>
  <conditionalFormatting sqref="D7:G24 I7:J24 D26:G46 I26:J46 D48:G57 I48:J57">
    <cfRule type="expression" dxfId="8" priority="4">
      <formula>OR($D7=$Q$7:$Q$14)</formula>
    </cfRule>
  </conditionalFormatting>
  <conditionalFormatting sqref="C7:C57">
    <cfRule type="expression" dxfId="7" priority="3">
      <formula>OR(AND($D7=0,OR($D6=$Q$7:$Q$14)),AND($D8&gt;0,OR($D7=$Q$7:$Q$14)))</formula>
    </cfRule>
  </conditionalFormatting>
  <conditionalFormatting sqref="D7:D24 D26:D46 D48:D57">
    <cfRule type="expression" dxfId="6" priority="2">
      <formula>$D7=$D8</formula>
    </cfRule>
  </conditionalFormatting>
  <conditionalFormatting sqref="H7:H24 H26:H46 H48:H57">
    <cfRule type="expression" dxfId="5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M40"/>
  <sheetViews>
    <sheetView zoomScale="85" zoomScaleNormal="85" workbookViewId="0">
      <selection activeCell="B3" sqref="B3:M39"/>
    </sheetView>
  </sheetViews>
  <sheetFormatPr defaultRowHeight="17" x14ac:dyDescent="0.45"/>
  <cols>
    <col min="1" max="1" width="8.6640625" style="5"/>
    <col min="2" max="2" width="1" customWidth="1"/>
    <col min="3" max="3" width="11.4140625" style="13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67</v>
      </c>
      <c r="C1" s="12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2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2"/>
      <c r="C3" s="34"/>
      <c r="D3" s="35"/>
      <c r="E3" s="35"/>
      <c r="F3" s="35"/>
      <c r="G3" s="35"/>
      <c r="H3" s="35"/>
      <c r="I3" s="35"/>
      <c r="J3" s="35"/>
      <c r="K3" s="35"/>
      <c r="L3" s="23"/>
      <c r="M3" s="24"/>
    </row>
    <row r="4" spans="1:13" s="114" customFormat="1" ht="25" customHeight="1" x14ac:dyDescent="0.45">
      <c r="A4" s="111"/>
      <c r="B4" s="112"/>
      <c r="C4" s="43" t="s">
        <v>68</v>
      </c>
      <c r="D4" s="191" t="s">
        <v>132</v>
      </c>
      <c r="E4" s="191"/>
      <c r="F4" s="191"/>
      <c r="G4" s="192"/>
      <c r="H4" s="32"/>
      <c r="I4" s="32"/>
      <c r="J4" s="32"/>
      <c r="K4" s="32"/>
      <c r="L4" s="33"/>
      <c r="M4" s="113"/>
    </row>
    <row r="5" spans="1:13" s="114" customFormat="1" ht="25" customHeight="1" thickBot="1" x14ac:dyDescent="0.5">
      <c r="A5" s="111"/>
      <c r="B5" s="112"/>
      <c r="C5" s="46" t="s">
        <v>104</v>
      </c>
      <c r="D5" s="193" t="s">
        <v>105</v>
      </c>
      <c r="E5" s="193"/>
      <c r="F5" s="193"/>
      <c r="G5" s="194"/>
      <c r="H5" s="32"/>
      <c r="I5" s="32"/>
      <c r="J5" s="32"/>
      <c r="K5" s="32"/>
      <c r="L5" s="33"/>
      <c r="M5" s="113"/>
    </row>
    <row r="6" spans="1:13" ht="25" customHeight="1" x14ac:dyDescent="0.45">
      <c r="B6" s="25"/>
      <c r="C6" s="14"/>
      <c r="D6" s="14"/>
      <c r="E6" s="14"/>
      <c r="F6" s="14"/>
      <c r="G6" s="14"/>
      <c r="H6" s="14"/>
      <c r="I6" s="14"/>
      <c r="J6" s="14"/>
      <c r="K6" s="14"/>
      <c r="L6" s="15"/>
      <c r="M6" s="26"/>
    </row>
    <row r="7" spans="1:13" ht="25" customHeight="1" thickBot="1" x14ac:dyDescent="0.5">
      <c r="B7" s="25"/>
      <c r="C7" s="14"/>
      <c r="D7" s="14"/>
      <c r="E7" s="14"/>
      <c r="F7" s="14"/>
      <c r="G7" s="14"/>
      <c r="H7" s="14"/>
      <c r="I7" s="14"/>
      <c r="J7" s="14"/>
      <c r="K7" s="14"/>
      <c r="L7" s="15"/>
      <c r="M7" s="26"/>
    </row>
    <row r="8" spans="1:13" s="123" customFormat="1" ht="25" customHeight="1" thickBot="1" x14ac:dyDescent="0.5">
      <c r="A8" s="115"/>
      <c r="B8" s="116"/>
      <c r="C8" s="117" t="s">
        <v>106</v>
      </c>
      <c r="D8" s="118" t="s">
        <v>107</v>
      </c>
      <c r="E8" s="119" t="s">
        <v>108</v>
      </c>
      <c r="F8" s="120"/>
      <c r="G8" s="121"/>
      <c r="H8" s="121"/>
      <c r="I8" s="121"/>
      <c r="J8" s="121"/>
      <c r="K8" s="121"/>
      <c r="L8" s="121"/>
      <c r="M8" s="122"/>
    </row>
    <row r="9" spans="1:13" s="123" customFormat="1" ht="25" customHeight="1" x14ac:dyDescent="0.45">
      <c r="A9" s="115"/>
      <c r="B9" s="116"/>
      <c r="C9" s="124" t="s">
        <v>109</v>
      </c>
      <c r="D9" s="125">
        <f>ROUNDUP((국어!$Q7-0.5-100)/20*국어!$H$4+국어!$H$3, 0)</f>
        <v>79</v>
      </c>
      <c r="E9" s="126">
        <f>ROUNDUP((수학!$Q7-0.5-100)/20*수학!$H$4+수학!$H$3, 0)</f>
        <v>81</v>
      </c>
      <c r="F9" s="120"/>
      <c r="G9" s="121"/>
      <c r="H9" s="121"/>
      <c r="I9" s="121"/>
      <c r="J9" s="121"/>
      <c r="K9" s="121"/>
      <c r="L9" s="121"/>
      <c r="M9" s="122"/>
    </row>
    <row r="10" spans="1:13" s="123" customFormat="1" ht="25" customHeight="1" x14ac:dyDescent="0.45">
      <c r="A10" s="115"/>
      <c r="B10" s="116"/>
      <c r="C10" s="127" t="s">
        <v>110</v>
      </c>
      <c r="D10" s="104">
        <f>ROUNDUP((국어!$Q8-0.5-100)/20*국어!$H$4+국어!$H$3, 0)</f>
        <v>70</v>
      </c>
      <c r="E10" s="128">
        <f>ROUNDUP((수학!$Q8-0.5-100)/20*수학!$H$4+수학!$H$3, 0)</f>
        <v>69</v>
      </c>
      <c r="F10" s="120"/>
      <c r="G10" s="121"/>
      <c r="H10" s="121"/>
      <c r="I10" s="121"/>
      <c r="J10" s="121"/>
      <c r="K10" s="121"/>
      <c r="L10" s="121"/>
      <c r="M10" s="122"/>
    </row>
    <row r="11" spans="1:13" s="123" customFormat="1" ht="25" customHeight="1" x14ac:dyDescent="0.45">
      <c r="A11" s="115"/>
      <c r="B11" s="116"/>
      <c r="C11" s="127" t="s">
        <v>111</v>
      </c>
      <c r="D11" s="104">
        <f>ROUNDUP((국어!$Q9-0.5-100)/20*국어!$H$4+국어!$H$3, 0)</f>
        <v>61</v>
      </c>
      <c r="E11" s="128">
        <f>ROUNDUP((수학!$Q9-0.5-100)/20*수학!$H$4+수학!$H$3, 0)</f>
        <v>57</v>
      </c>
      <c r="F11" s="120"/>
      <c r="G11" s="121"/>
      <c r="H11" s="121"/>
      <c r="I11" s="121"/>
      <c r="J11" s="121"/>
      <c r="K11" s="121"/>
      <c r="L11" s="121"/>
      <c r="M11" s="122"/>
    </row>
    <row r="12" spans="1:13" s="123" customFormat="1" ht="25" customHeight="1" x14ac:dyDescent="0.45">
      <c r="A12" s="115"/>
      <c r="B12" s="116"/>
      <c r="C12" s="127" t="s">
        <v>112</v>
      </c>
      <c r="D12" s="104">
        <f>ROUNDUP((국어!$Q10-0.5-100)/20*국어!$H$4+국어!$H$3, 0)</f>
        <v>51</v>
      </c>
      <c r="E12" s="128">
        <f>ROUNDUP((수학!$Q10-0.5-100)/20*수학!$H$4+수학!$H$3, 0)</f>
        <v>42</v>
      </c>
      <c r="F12" s="120"/>
      <c r="G12" s="120"/>
      <c r="H12" s="120"/>
      <c r="I12" s="120"/>
      <c r="J12" s="120"/>
      <c r="K12" s="120"/>
      <c r="L12" s="121"/>
      <c r="M12" s="122"/>
    </row>
    <row r="13" spans="1:13" s="123" customFormat="1" ht="25" customHeight="1" x14ac:dyDescent="0.45">
      <c r="A13" s="115"/>
      <c r="B13" s="116"/>
      <c r="C13" s="127" t="s">
        <v>113</v>
      </c>
      <c r="D13" s="104">
        <f>ROUNDUP((국어!$Q11-0.5-100)/20*국어!$H$4+국어!$H$3, 0)</f>
        <v>39</v>
      </c>
      <c r="E13" s="128">
        <f>ROUNDUP((수학!$Q11-0.5-100)/20*수학!$H$4+수학!$H$3, 0)</f>
        <v>28</v>
      </c>
      <c r="F13" s="120"/>
      <c r="G13" s="120"/>
      <c r="H13" s="120"/>
      <c r="I13" s="120"/>
      <c r="J13" s="120"/>
      <c r="K13" s="120"/>
      <c r="L13" s="121"/>
      <c r="M13" s="122"/>
    </row>
    <row r="14" spans="1:13" s="123" customFormat="1" ht="25" customHeight="1" x14ac:dyDescent="0.45">
      <c r="A14" s="115"/>
      <c r="B14" s="116"/>
      <c r="C14" s="127" t="s">
        <v>114</v>
      </c>
      <c r="D14" s="104">
        <f>ROUNDUP((국어!$Q12-0.5-100)/20*국어!$H$4+국어!$H$3, 0)</f>
        <v>29</v>
      </c>
      <c r="E14" s="128">
        <f>ROUNDUP((수학!$Q12-0.5-100)/20*수학!$H$4+수학!$H$3, 0)</f>
        <v>17</v>
      </c>
      <c r="F14" s="120"/>
      <c r="G14" s="120"/>
      <c r="H14" s="120"/>
      <c r="I14" s="120"/>
      <c r="J14" s="120"/>
      <c r="K14" s="120"/>
      <c r="L14" s="121"/>
      <c r="M14" s="122"/>
    </row>
    <row r="15" spans="1:13" s="123" customFormat="1" ht="25" customHeight="1" x14ac:dyDescent="0.45">
      <c r="A15" s="115"/>
      <c r="B15" s="116"/>
      <c r="C15" s="127" t="s">
        <v>115</v>
      </c>
      <c r="D15" s="104">
        <f>ROUNDUP((국어!$Q13-0.5-100)/20*국어!$H$4+국어!$H$3, 0)</f>
        <v>22</v>
      </c>
      <c r="E15" s="128">
        <f>ROUNDUP((수학!$Q13-0.5-100)/20*수학!$H$4+수학!$H$3, 0)</f>
        <v>13</v>
      </c>
      <c r="F15" s="120"/>
      <c r="G15" s="120"/>
      <c r="H15" s="120"/>
      <c r="I15" s="120"/>
      <c r="J15" s="120"/>
      <c r="K15" s="120"/>
      <c r="L15" s="121"/>
      <c r="M15" s="122"/>
    </row>
    <row r="16" spans="1:13" s="123" customFormat="1" ht="25" customHeight="1" thickBot="1" x14ac:dyDescent="0.5">
      <c r="A16" s="115"/>
      <c r="B16" s="116"/>
      <c r="C16" s="129" t="s">
        <v>116</v>
      </c>
      <c r="D16" s="130">
        <f>ROUNDUP((국어!$Q14-0.5-100)/20*국어!$H$4+국어!$H$3, 0)</f>
        <v>18</v>
      </c>
      <c r="E16" s="131">
        <f>ROUNDUP((수학!$Q14-0.5-100)/20*수학!$H$4+수학!$H$3, 0)</f>
        <v>10</v>
      </c>
      <c r="F16" s="120"/>
      <c r="G16" s="120"/>
      <c r="H16" s="120"/>
      <c r="I16" s="120"/>
      <c r="J16" s="120"/>
      <c r="K16" s="120"/>
      <c r="L16" s="121"/>
      <c r="M16" s="122"/>
    </row>
    <row r="17" spans="1:13" s="123" customFormat="1" ht="25" customHeight="1" x14ac:dyDescent="0.45">
      <c r="A17" s="115"/>
      <c r="B17" s="116"/>
      <c r="C17" s="120"/>
      <c r="D17" s="120"/>
      <c r="E17" s="120"/>
      <c r="F17" s="120"/>
      <c r="G17" s="120"/>
      <c r="H17" s="120"/>
      <c r="I17" s="120"/>
      <c r="J17" s="120"/>
      <c r="K17" s="120"/>
      <c r="L17" s="121"/>
      <c r="M17" s="122"/>
    </row>
    <row r="18" spans="1:13" s="123" customFormat="1" ht="25" customHeight="1" thickBot="1" x14ac:dyDescent="0.5">
      <c r="A18" s="115"/>
      <c r="B18" s="116"/>
      <c r="C18" s="120"/>
      <c r="D18" s="120"/>
      <c r="E18" s="120"/>
      <c r="F18" s="120"/>
      <c r="G18" s="120"/>
      <c r="H18" s="120"/>
      <c r="I18" s="120"/>
      <c r="J18" s="120"/>
      <c r="K18" s="120"/>
      <c r="L18" s="121"/>
      <c r="M18" s="122"/>
    </row>
    <row r="19" spans="1:13" s="123" customFormat="1" ht="25" customHeight="1" thickBot="1" x14ac:dyDescent="0.5">
      <c r="A19" s="115"/>
      <c r="B19" s="116"/>
      <c r="C19" s="132" t="s">
        <v>117</v>
      </c>
      <c r="D19" s="133" t="s">
        <v>118</v>
      </c>
      <c r="E19" s="134" t="s">
        <v>119</v>
      </c>
      <c r="F19" s="134" t="s">
        <v>120</v>
      </c>
      <c r="G19" s="134" t="s">
        <v>121</v>
      </c>
      <c r="H19" s="134" t="s">
        <v>122</v>
      </c>
      <c r="I19" s="134" t="s">
        <v>123</v>
      </c>
      <c r="J19" s="134" t="s">
        <v>124</v>
      </c>
      <c r="K19" s="134" t="s">
        <v>125</v>
      </c>
      <c r="L19" s="119" t="s">
        <v>126</v>
      </c>
      <c r="M19" s="122"/>
    </row>
    <row r="20" spans="1:13" s="123" customFormat="1" ht="25" customHeight="1" x14ac:dyDescent="0.45">
      <c r="A20" s="115"/>
      <c r="B20" s="116"/>
      <c r="C20" s="135" t="s">
        <v>109</v>
      </c>
      <c r="D20" s="104">
        <f>ROUNDUP(('생활과 윤리'!$Q7-0.5-50)/10*'생활과 윤리'!$H$4+'생활과 윤리'!$H$3, 0)</f>
        <v>47</v>
      </c>
      <c r="E20" s="69">
        <f>ROUNDUP(('윤리와 사상'!$Q7-0.5-50)/10*'윤리와 사상'!$H$4+'윤리와 사상'!$H$3, 0)</f>
        <v>46</v>
      </c>
      <c r="F20" s="69">
        <f>ROUNDUP((한국지리!$Q7-0.5-50)/10*한국지리!$H$4+한국지리!$H$3, 0)</f>
        <v>45</v>
      </c>
      <c r="G20" s="69">
        <f>ROUNDUP((세계지리!$Q7-0.5-50)/10*세계지리!$H$4+세계지리!$H$3, 0)</f>
        <v>47</v>
      </c>
      <c r="H20" s="69">
        <f>ROUNDUP((동아시아사!$Q7-0.5-50)/10*동아시아사!$H$4+동아시아사!$H$3, 0)</f>
        <v>40</v>
      </c>
      <c r="I20" s="69">
        <f>ROUNDUP((세계사!$Q7-0.5-50)/10*세계사!$H$4+세계사!$H$3, 0)</f>
        <v>42</v>
      </c>
      <c r="J20" s="69">
        <f>ROUNDUP((경제!$Q7-0.5-50)/10*경제!$H$4+경제!$H$3, 0)</f>
        <v>45</v>
      </c>
      <c r="K20" s="69">
        <f>ROUNDUP(('정치와 법'!$Q7-0.5-50)/10*'정치와 법'!$H$4+'정치와 법'!$H$3, 0)</f>
        <v>45</v>
      </c>
      <c r="L20" s="136">
        <f>ROUNDUP((사회∙문화!$Q7-0.5-50)/10*사회∙문화!$H$4+사회∙문화!$H$3, 0)</f>
        <v>42</v>
      </c>
      <c r="M20" s="122"/>
    </row>
    <row r="21" spans="1:13" s="123" customFormat="1" ht="25" customHeight="1" x14ac:dyDescent="0.45">
      <c r="A21" s="115"/>
      <c r="B21" s="116"/>
      <c r="C21" s="137" t="s">
        <v>110</v>
      </c>
      <c r="D21" s="68">
        <f>ROUNDUP(('생활과 윤리'!$Q8-0.5-50)/10*'생활과 윤리'!$H$4+'생활과 윤리'!$H$3, 0)</f>
        <v>44</v>
      </c>
      <c r="E21" s="138">
        <f>ROUNDUP(('윤리와 사상'!$Q8-0.5-50)/10*'윤리와 사상'!$H$4+'윤리와 사상'!$H$3, 0)</f>
        <v>43</v>
      </c>
      <c r="F21" s="138">
        <f>ROUNDUP((한국지리!$Q8-0.5-50)/10*한국지리!$H$4+한국지리!$H$3, 0)</f>
        <v>42</v>
      </c>
      <c r="G21" s="138">
        <f>ROUNDUP((세계지리!$Q8-0.5-50)/10*세계지리!$H$4+세계지리!$H$3, 0)</f>
        <v>43</v>
      </c>
      <c r="H21" s="138">
        <f>ROUNDUP((동아시아사!$Q8-0.5-50)/10*동아시아사!$H$4+동아시아사!$H$3, 0)</f>
        <v>32</v>
      </c>
      <c r="I21" s="138">
        <f>ROUNDUP((세계사!$Q8-0.5-50)/10*세계사!$H$4+세계사!$H$3, 0)</f>
        <v>34</v>
      </c>
      <c r="J21" s="138">
        <f>ROUNDUP((경제!$Q8-0.5-50)/10*경제!$H$4+경제!$H$3, 0)</f>
        <v>40</v>
      </c>
      <c r="K21" s="138">
        <f>ROUNDUP(('정치와 법'!$Q8-0.5-50)/10*'정치와 법'!$H$4+'정치와 법'!$H$3, 0)</f>
        <v>41</v>
      </c>
      <c r="L21" s="139">
        <f>ROUNDUP((사회∙문화!$Q8-0.5-50)/10*사회∙문화!$H$4+사회∙문화!$H$3, 0)</f>
        <v>39</v>
      </c>
      <c r="M21" s="122"/>
    </row>
    <row r="22" spans="1:13" s="123" customFormat="1" ht="25" customHeight="1" x14ac:dyDescent="0.45">
      <c r="A22" s="115"/>
      <c r="B22" s="116"/>
      <c r="C22" s="137" t="s">
        <v>111</v>
      </c>
      <c r="D22" s="68">
        <f>ROUNDUP(('생활과 윤리'!$Q9-0.5-50)/10*'생활과 윤리'!$H$4+'생활과 윤리'!$H$3, 0)</f>
        <v>40</v>
      </c>
      <c r="E22" s="138">
        <f>ROUNDUP(('윤리와 사상'!$Q9-0.5-50)/10*'윤리와 사상'!$H$4+'윤리와 사상'!$H$3, 0)</f>
        <v>40</v>
      </c>
      <c r="F22" s="138">
        <f>ROUNDUP((한국지리!$Q9-0.5-50)/10*한국지리!$H$4+한국지리!$H$3, 0)</f>
        <v>37</v>
      </c>
      <c r="G22" s="138">
        <f>ROUNDUP((세계지리!$Q9-0.5-50)/10*세계지리!$H$4+세계지리!$H$3, 0)</f>
        <v>39</v>
      </c>
      <c r="H22" s="138">
        <f>ROUNDUP((동아시아사!$Q9-0.5-50)/10*동아시아사!$H$4+동아시아사!$H$3, 0)</f>
        <v>26</v>
      </c>
      <c r="I22" s="138">
        <f>ROUNDUP((세계사!$Q9-0.5-50)/10*세계사!$H$4+세계사!$H$3, 0)</f>
        <v>27</v>
      </c>
      <c r="J22" s="138">
        <f>ROUNDUP((경제!$Q9-0.5-50)/10*경제!$H$4+경제!$H$3, 0)</f>
        <v>34</v>
      </c>
      <c r="K22" s="138">
        <f>ROUNDUP(('정치와 법'!$Q9-0.5-50)/10*'정치와 법'!$H$4+'정치와 법'!$H$3, 0)</f>
        <v>36</v>
      </c>
      <c r="L22" s="139">
        <f>ROUNDUP((사회∙문화!$Q9-0.5-50)/10*사회∙문화!$H$4+사회∙문화!$H$3, 0)</f>
        <v>35</v>
      </c>
      <c r="M22" s="122"/>
    </row>
    <row r="23" spans="1:13" s="123" customFormat="1" ht="25" customHeight="1" x14ac:dyDescent="0.45">
      <c r="A23" s="115"/>
      <c r="B23" s="116"/>
      <c r="C23" s="137" t="s">
        <v>112</v>
      </c>
      <c r="D23" s="68">
        <f>ROUNDUP(('생활과 윤리'!$Q10-0.5-50)/10*'생활과 윤리'!$H$4+'생활과 윤리'!$H$3, 0)</f>
        <v>35</v>
      </c>
      <c r="E23" s="138">
        <f>ROUNDUP(('윤리와 사상'!$Q10-0.5-50)/10*'윤리와 사상'!$H$4+'윤리와 사상'!$H$3, 0)</f>
        <v>34</v>
      </c>
      <c r="F23" s="138">
        <f>ROUNDUP((한국지리!$Q10-0.5-50)/10*한국지리!$H$4+한국지리!$H$3, 0)</f>
        <v>33</v>
      </c>
      <c r="G23" s="138">
        <f>ROUNDUP((세계지리!$Q10-0.5-50)/10*세계지리!$H$4+세계지리!$H$3, 0)</f>
        <v>34</v>
      </c>
      <c r="H23" s="138">
        <f>ROUNDUP((동아시아사!$Q10-0.5-50)/10*동아시아사!$H$4+동아시아사!$H$3, 0)</f>
        <v>21</v>
      </c>
      <c r="I23" s="138">
        <f>ROUNDUP((세계사!$Q10-0.5-50)/10*세계사!$H$4+세계사!$H$3, 0)</f>
        <v>21</v>
      </c>
      <c r="J23" s="138">
        <f>ROUNDUP((경제!$Q10-0.5-50)/10*경제!$H$4+경제!$H$3, 0)</f>
        <v>28</v>
      </c>
      <c r="K23" s="138">
        <f>ROUNDUP(('정치와 법'!$Q10-0.5-50)/10*'정치와 법'!$H$4+'정치와 법'!$H$3, 0)</f>
        <v>29</v>
      </c>
      <c r="L23" s="139">
        <f>ROUNDUP((사회∙문화!$Q10-0.5-50)/10*사회∙문화!$H$4+사회∙문화!$H$3, 0)</f>
        <v>31</v>
      </c>
      <c r="M23" s="122"/>
    </row>
    <row r="24" spans="1:13" s="123" customFormat="1" ht="25" customHeight="1" x14ac:dyDescent="0.45">
      <c r="A24" s="115"/>
      <c r="B24" s="116"/>
      <c r="C24" s="137" t="s">
        <v>113</v>
      </c>
      <c r="D24" s="68">
        <f>ROUNDUP(('생활과 윤리'!$Q11-0.5-50)/10*'생활과 윤리'!$H$4+'생활과 윤리'!$H$3, 0)</f>
        <v>28</v>
      </c>
      <c r="E24" s="138">
        <f>ROUNDUP(('윤리와 사상'!$Q11-0.5-50)/10*'윤리와 사상'!$H$4+'윤리와 사상'!$H$3, 0)</f>
        <v>28</v>
      </c>
      <c r="F24" s="138">
        <f>ROUNDUP((한국지리!$Q11-0.5-50)/10*한국지리!$H$4+한국지리!$H$3, 0)</f>
        <v>27</v>
      </c>
      <c r="G24" s="138">
        <f>ROUNDUP((세계지리!$Q11-0.5-50)/10*세계지리!$H$4+세계지리!$H$3, 0)</f>
        <v>27</v>
      </c>
      <c r="H24" s="138">
        <f>ROUNDUP((동아시아사!$Q11-0.5-50)/10*동아시아사!$H$4+동아시아사!$H$3, 0)</f>
        <v>17</v>
      </c>
      <c r="I24" s="138">
        <f>ROUNDUP((세계사!$Q11-0.5-50)/10*세계사!$H$4+세계사!$H$3, 0)</f>
        <v>16</v>
      </c>
      <c r="J24" s="138">
        <f>ROUNDUP((경제!$Q11-0.5-50)/10*경제!$H$4+경제!$H$3, 0)</f>
        <v>20</v>
      </c>
      <c r="K24" s="138">
        <f>ROUNDUP(('정치와 법'!$Q11-0.5-50)/10*'정치와 법'!$H$4+'정치와 법'!$H$3, 0)</f>
        <v>21</v>
      </c>
      <c r="L24" s="139">
        <f>ROUNDUP((사회∙문화!$Q11-0.5-50)/10*사회∙문화!$H$4+사회∙문화!$H$3, 0)</f>
        <v>27</v>
      </c>
      <c r="M24" s="122"/>
    </row>
    <row r="25" spans="1:13" s="123" customFormat="1" ht="25" customHeight="1" x14ac:dyDescent="0.45">
      <c r="A25" s="115"/>
      <c r="B25" s="116"/>
      <c r="C25" s="137" t="s">
        <v>114</v>
      </c>
      <c r="D25" s="68">
        <f>ROUNDUP(('생활과 윤리'!$Q12-0.5-50)/10*'생활과 윤리'!$H$4+'생활과 윤리'!$H$3, 0)</f>
        <v>19</v>
      </c>
      <c r="E25" s="138">
        <f>ROUNDUP(('윤리와 사상'!$Q12-0.5-50)/10*'윤리와 사상'!$H$4+'윤리와 사상'!$H$3, 0)</f>
        <v>19</v>
      </c>
      <c r="F25" s="138">
        <f>ROUNDUP((한국지리!$Q12-0.5-50)/10*한국지리!$H$4+한국지리!$H$3, 0)</f>
        <v>18</v>
      </c>
      <c r="G25" s="138">
        <f>ROUNDUP((세계지리!$Q12-0.5-50)/10*세계지리!$H$4+세계지리!$H$3, 0)</f>
        <v>21</v>
      </c>
      <c r="H25" s="138">
        <f>ROUNDUP((동아시아사!$Q12-0.5-50)/10*동아시아사!$H$4+동아시아사!$H$3, 0)</f>
        <v>13</v>
      </c>
      <c r="I25" s="138">
        <f>ROUNDUP((세계사!$Q12-0.5-50)/10*세계사!$H$4+세계사!$H$3, 0)</f>
        <v>12</v>
      </c>
      <c r="J25" s="138">
        <f>ROUNDUP((경제!$Q12-0.5-50)/10*경제!$H$4+경제!$H$3, 0)</f>
        <v>14</v>
      </c>
      <c r="K25" s="138">
        <f>ROUNDUP(('정치와 법'!$Q12-0.5-50)/10*'정치와 법'!$H$4+'정치와 법'!$H$3, 0)</f>
        <v>16</v>
      </c>
      <c r="L25" s="139">
        <f>ROUNDUP((사회∙문화!$Q12-0.5-50)/10*사회∙문화!$H$4+사회∙문화!$H$3, 0)</f>
        <v>22</v>
      </c>
      <c r="M25" s="122"/>
    </row>
    <row r="26" spans="1:13" s="123" customFormat="1" ht="25" customHeight="1" x14ac:dyDescent="0.45">
      <c r="A26" s="115"/>
      <c r="B26" s="116"/>
      <c r="C26" s="137" t="s">
        <v>115</v>
      </c>
      <c r="D26" s="68">
        <f>ROUNDUP(('생활과 윤리'!$Q13-0.5-50)/10*'생활과 윤리'!$H$4+'생활과 윤리'!$H$3, 0)</f>
        <v>11</v>
      </c>
      <c r="E26" s="138">
        <f>ROUNDUP(('윤리와 사상'!$Q13-0.5-50)/10*'윤리와 사상'!$H$4+'윤리와 사상'!$H$3, 0)</f>
        <v>12</v>
      </c>
      <c r="F26" s="138">
        <f>ROUNDUP((한국지리!$Q13-0.5-50)/10*한국지리!$H$4+한국지리!$H$3, 0)</f>
        <v>11</v>
      </c>
      <c r="G26" s="138">
        <f>ROUNDUP((세계지리!$Q13-0.5-50)/10*세계지리!$H$4+세계지리!$H$3, 0)</f>
        <v>13</v>
      </c>
      <c r="H26" s="138">
        <f>ROUNDUP((동아시아사!$Q13-0.5-50)/10*동아시아사!$H$4+동아시아사!$H$3, 0)</f>
        <v>10</v>
      </c>
      <c r="I26" s="138">
        <f>ROUNDUP((세계사!$Q13-0.5-50)/10*세계사!$H$4+세계사!$H$3, 0)</f>
        <v>9</v>
      </c>
      <c r="J26" s="138">
        <f>ROUNDUP((경제!$Q13-0.5-50)/10*경제!$H$4+경제!$H$3, 0)</f>
        <v>10</v>
      </c>
      <c r="K26" s="138">
        <f>ROUNDUP(('정치와 법'!$Q13-0.5-50)/10*'정치와 법'!$H$4+'정치와 법'!$H$3, 0)</f>
        <v>11</v>
      </c>
      <c r="L26" s="139">
        <f>ROUNDUP((사회∙문화!$Q13-0.5-50)/10*사회∙문화!$H$4+사회∙문화!$H$3, 0)</f>
        <v>15</v>
      </c>
      <c r="M26" s="122"/>
    </row>
    <row r="27" spans="1:13" s="123" customFormat="1" ht="25" customHeight="1" thickBot="1" x14ac:dyDescent="0.5">
      <c r="A27" s="115"/>
      <c r="B27" s="116"/>
      <c r="C27" s="140" t="s">
        <v>116</v>
      </c>
      <c r="D27" s="141">
        <f>ROUNDUP(('생활과 윤리'!$Q14-0.5-50)/10*'생활과 윤리'!$H$4+'생활과 윤리'!$H$3, 0)</f>
        <v>8</v>
      </c>
      <c r="E27" s="142">
        <f>ROUNDUP(('윤리와 사상'!$Q14-0.5-50)/10*'윤리와 사상'!$H$4+'윤리와 사상'!$H$3, 0)</f>
        <v>6</v>
      </c>
      <c r="F27" s="142">
        <f>ROUNDUP((한국지리!$Q14-0.5-50)/10*한국지리!$H$4+한국지리!$H$3, 0)</f>
        <v>8</v>
      </c>
      <c r="G27" s="142">
        <f>ROUNDUP((세계지리!$Q14-0.5-50)/10*세계지리!$H$4+세계지리!$H$3, 0)</f>
        <v>9</v>
      </c>
      <c r="H27" s="142">
        <f>ROUNDUP((동아시아사!$Q14-0.5-50)/10*동아시아사!$H$4+동아시아사!$H$3, 0)</f>
        <v>8</v>
      </c>
      <c r="I27" s="142">
        <f>ROUNDUP((세계사!$Q14-0.5-50)/10*세계사!$H$4+세계사!$H$3, 0)</f>
        <v>7</v>
      </c>
      <c r="J27" s="142">
        <f>ROUNDUP((경제!$Q14-0.5-50)/10*경제!$H$4+경제!$H$3, 0)</f>
        <v>7</v>
      </c>
      <c r="K27" s="142">
        <f>ROUNDUP(('정치와 법'!$Q14-0.5-50)/10*'정치와 법'!$H$4+'정치와 법'!$H$3, 0)</f>
        <v>8</v>
      </c>
      <c r="L27" s="143">
        <f>ROUNDUP((사회∙문화!$Q14-0.5-50)/10*사회∙문화!$H$4+사회∙문화!$H$3, 0)</f>
        <v>10</v>
      </c>
      <c r="M27" s="122"/>
    </row>
    <row r="28" spans="1:13" s="123" customFormat="1" ht="25" customHeight="1" x14ac:dyDescent="0.45">
      <c r="A28" s="115"/>
      <c r="B28" s="116"/>
      <c r="C28" s="120"/>
      <c r="D28" s="120"/>
      <c r="E28" s="120"/>
      <c r="F28" s="120"/>
      <c r="G28" s="120"/>
      <c r="H28" s="120"/>
      <c r="I28" s="120"/>
      <c r="J28" s="120"/>
      <c r="K28" s="120"/>
      <c r="L28" s="121"/>
      <c r="M28" s="122"/>
    </row>
    <row r="29" spans="1:13" s="123" customFormat="1" ht="25" customHeight="1" thickBot="1" x14ac:dyDescent="0.5">
      <c r="A29" s="115"/>
      <c r="B29" s="116"/>
      <c r="C29" s="120"/>
      <c r="D29" s="120"/>
      <c r="E29" s="120"/>
      <c r="F29" s="120"/>
      <c r="G29" s="120"/>
      <c r="H29" s="120"/>
      <c r="I29" s="120"/>
      <c r="J29" s="120"/>
      <c r="K29" s="120"/>
      <c r="L29" s="121"/>
      <c r="M29" s="122"/>
    </row>
    <row r="30" spans="1:13" s="123" customFormat="1" ht="25" customHeight="1" thickBot="1" x14ac:dyDescent="0.5">
      <c r="A30" s="115"/>
      <c r="B30" s="116"/>
      <c r="C30" s="117" t="s">
        <v>127</v>
      </c>
      <c r="D30" s="118" t="s">
        <v>128</v>
      </c>
      <c r="E30" s="134" t="s">
        <v>129</v>
      </c>
      <c r="F30" s="118" t="s">
        <v>130</v>
      </c>
      <c r="G30" s="119" t="s">
        <v>131</v>
      </c>
      <c r="H30" s="120"/>
      <c r="I30" s="120"/>
      <c r="J30" s="121"/>
      <c r="K30" s="121"/>
      <c r="L30" s="121"/>
      <c r="M30" s="122"/>
    </row>
    <row r="31" spans="1:13" s="123" customFormat="1" ht="25" customHeight="1" x14ac:dyDescent="0.45">
      <c r="A31" s="115"/>
      <c r="B31" s="116"/>
      <c r="C31" s="124" t="s">
        <v>109</v>
      </c>
      <c r="D31" s="144">
        <f>ROUNDUP((물리학Ⅰ!$Q7-0.5-50)/10*물리학Ⅰ!$H$4+물리학Ⅰ!$H$3, 0)</f>
        <v>45</v>
      </c>
      <c r="E31" s="144">
        <f>ROUNDUP((화학Ⅰ!$Q7-0.5-50)/10*화학Ⅰ!$H$4+화학Ⅰ!$H$3, 0)</f>
        <v>45</v>
      </c>
      <c r="F31" s="144">
        <f>ROUNDUP((생명과학Ⅰ!$Q7-0.5-50)/10*생명과학Ⅰ!$H$4+생명과학Ⅰ!$H$3, 0)</f>
        <v>50</v>
      </c>
      <c r="G31" s="126">
        <f>ROUNDUP((지구과학Ⅰ!$Q7-0.5-50)/10*지구과학Ⅰ!$H$4+지구과학Ⅰ!$H$3, 0)</f>
        <v>43</v>
      </c>
      <c r="H31" s="120"/>
      <c r="I31" s="120"/>
      <c r="J31" s="121"/>
      <c r="K31" s="121"/>
      <c r="L31" s="121"/>
      <c r="M31" s="122"/>
    </row>
    <row r="32" spans="1:13" s="123" customFormat="1" ht="25" customHeight="1" x14ac:dyDescent="0.45">
      <c r="A32" s="115"/>
      <c r="B32" s="116"/>
      <c r="C32" s="127" t="s">
        <v>110</v>
      </c>
      <c r="D32" s="145">
        <f>ROUNDUP((물리학Ⅰ!$Q8-0.5-50)/10*물리학Ⅰ!$H$4+물리학Ⅰ!$H$3, 0)</f>
        <v>41</v>
      </c>
      <c r="E32" s="145">
        <f>ROUNDUP((화학Ⅰ!$Q8-0.5-50)/10*화학Ⅰ!$H$4+화학Ⅰ!$H$3, 0)</f>
        <v>40</v>
      </c>
      <c r="F32" s="145">
        <f>ROUNDUP((생명과학Ⅰ!$Q8-0.5-50)/10*생명과학Ⅰ!$H$4+생명과학Ⅰ!$H$3, 0)</f>
        <v>46</v>
      </c>
      <c r="G32" s="128">
        <f>ROUNDUP((지구과학Ⅰ!$Q8-0.5-50)/10*지구과학Ⅰ!$H$4+지구과학Ⅰ!$H$3, 0)</f>
        <v>38</v>
      </c>
      <c r="H32" s="120"/>
      <c r="I32" s="120"/>
      <c r="J32" s="121"/>
      <c r="K32" s="121"/>
      <c r="L32" s="121"/>
      <c r="M32" s="122"/>
    </row>
    <row r="33" spans="1:13" s="123" customFormat="1" ht="25" customHeight="1" x14ac:dyDescent="0.45">
      <c r="A33" s="115"/>
      <c r="B33" s="116"/>
      <c r="C33" s="127" t="s">
        <v>111</v>
      </c>
      <c r="D33" s="145">
        <f>ROUNDUP((물리학Ⅰ!$Q9-0.5-50)/10*물리학Ⅰ!$H$4+물리학Ⅰ!$H$3, 0)</f>
        <v>35</v>
      </c>
      <c r="E33" s="145">
        <f>ROUNDUP((화학Ⅰ!$Q9-0.5-50)/10*화학Ⅰ!$H$4+화학Ⅰ!$H$3, 0)</f>
        <v>34</v>
      </c>
      <c r="F33" s="145">
        <f>ROUNDUP((생명과학Ⅰ!$Q9-0.5-50)/10*생명과학Ⅰ!$H$4+생명과학Ⅰ!$H$3, 0)</f>
        <v>42</v>
      </c>
      <c r="G33" s="128">
        <f>ROUNDUP((지구과학Ⅰ!$Q9-0.5-50)/10*지구과학Ⅰ!$H$4+지구과학Ⅰ!$H$3, 0)</f>
        <v>32</v>
      </c>
      <c r="H33" s="120"/>
      <c r="I33" s="120"/>
      <c r="J33" s="121"/>
      <c r="K33" s="121"/>
      <c r="L33" s="121"/>
      <c r="M33" s="122"/>
    </row>
    <row r="34" spans="1:13" s="123" customFormat="1" ht="25" customHeight="1" x14ac:dyDescent="0.45">
      <c r="A34" s="115"/>
      <c r="B34" s="116"/>
      <c r="C34" s="127" t="s">
        <v>112</v>
      </c>
      <c r="D34" s="145">
        <f>ROUNDUP((물리학Ⅰ!$Q10-0.5-50)/10*물리학Ⅰ!$H$4+물리학Ⅰ!$H$3, 0)</f>
        <v>30</v>
      </c>
      <c r="E34" s="145">
        <f>ROUNDUP((화학Ⅰ!$Q10-0.5-50)/10*화학Ⅰ!$H$4+화학Ⅰ!$H$3, 0)</f>
        <v>27</v>
      </c>
      <c r="F34" s="145">
        <f>ROUNDUP((생명과학Ⅰ!$Q10-0.5-50)/10*생명과학Ⅰ!$H$4+생명과학Ⅰ!$H$3, 0)</f>
        <v>37</v>
      </c>
      <c r="G34" s="128">
        <f>ROUNDUP((지구과학Ⅰ!$Q10-0.5-50)/10*지구과학Ⅰ!$H$4+지구과학Ⅰ!$H$3, 0)</f>
        <v>27</v>
      </c>
      <c r="H34" s="120"/>
      <c r="I34" s="120"/>
      <c r="J34" s="121"/>
      <c r="K34" s="121"/>
      <c r="L34" s="121"/>
      <c r="M34" s="122"/>
    </row>
    <row r="35" spans="1:13" s="123" customFormat="1" ht="25" customHeight="1" x14ac:dyDescent="0.45">
      <c r="A35" s="115"/>
      <c r="B35" s="116"/>
      <c r="C35" s="127" t="s">
        <v>113</v>
      </c>
      <c r="D35" s="145">
        <f>ROUNDUP((물리학Ⅰ!$Q11-0.5-50)/10*물리학Ⅰ!$H$4+물리학Ⅰ!$H$3, 0)</f>
        <v>24</v>
      </c>
      <c r="E35" s="145">
        <f>ROUNDUP((화학Ⅰ!$Q11-0.5-50)/10*화학Ⅰ!$H$4+화학Ⅰ!$H$3, 0)</f>
        <v>21</v>
      </c>
      <c r="F35" s="145">
        <f>ROUNDUP((생명과학Ⅰ!$Q11-0.5-50)/10*생명과학Ⅰ!$H$4+생명과학Ⅰ!$H$3, 0)</f>
        <v>30</v>
      </c>
      <c r="G35" s="128">
        <f>ROUNDUP((지구과학Ⅰ!$Q11-0.5-50)/10*지구과학Ⅰ!$H$4+지구과학Ⅰ!$H$3, 0)</f>
        <v>20</v>
      </c>
      <c r="H35" s="120"/>
      <c r="I35" s="120"/>
      <c r="J35" s="121"/>
      <c r="K35" s="121"/>
      <c r="L35" s="121"/>
      <c r="M35" s="122"/>
    </row>
    <row r="36" spans="1:13" s="123" customFormat="1" ht="25" customHeight="1" x14ac:dyDescent="0.45">
      <c r="A36" s="115"/>
      <c r="B36" s="116"/>
      <c r="C36" s="127" t="s">
        <v>114</v>
      </c>
      <c r="D36" s="145">
        <f>ROUNDUP((물리학Ⅰ!$Q12-0.5-50)/10*물리학Ⅰ!$H$4+물리학Ⅰ!$H$3, 0)</f>
        <v>19</v>
      </c>
      <c r="E36" s="145">
        <f>ROUNDUP((화학Ⅰ!$Q12-0.5-50)/10*화학Ⅰ!$H$4+화학Ⅰ!$H$3, 0)</f>
        <v>16</v>
      </c>
      <c r="F36" s="145">
        <f>ROUNDUP((생명과학Ⅰ!$Q12-0.5-50)/10*생명과학Ⅰ!$H$4+생명과학Ⅰ!$H$3, 0)</f>
        <v>23</v>
      </c>
      <c r="G36" s="128">
        <f>ROUNDUP((지구과학Ⅰ!$Q12-0.5-50)/10*지구과학Ⅰ!$H$4+지구과학Ⅰ!$H$3, 0)</f>
        <v>15</v>
      </c>
      <c r="H36" s="120"/>
      <c r="I36" s="120"/>
      <c r="J36" s="121"/>
      <c r="K36" s="121"/>
      <c r="L36" s="121"/>
      <c r="M36" s="122"/>
    </row>
    <row r="37" spans="1:13" s="123" customFormat="1" ht="25" customHeight="1" x14ac:dyDescent="0.45">
      <c r="A37" s="115"/>
      <c r="B37" s="116"/>
      <c r="C37" s="127" t="s">
        <v>115</v>
      </c>
      <c r="D37" s="145">
        <f>ROUNDUP((물리학Ⅰ!$Q13-0.5-50)/10*물리학Ⅰ!$H$4+물리학Ⅰ!$H$3, 0)</f>
        <v>13</v>
      </c>
      <c r="E37" s="145">
        <f>ROUNDUP((화학Ⅰ!$Q13-0.5-50)/10*화학Ⅰ!$H$4+화학Ⅰ!$H$3, 0)</f>
        <v>12</v>
      </c>
      <c r="F37" s="145">
        <f>ROUNDUP((생명과학Ⅰ!$Q13-0.5-50)/10*생명과학Ⅰ!$H$4+생명과학Ⅰ!$H$3, 0)</f>
        <v>14</v>
      </c>
      <c r="G37" s="128">
        <f>ROUNDUP((지구과학Ⅰ!$Q13-0.5-50)/10*지구과학Ⅰ!$H$4+지구과학Ⅰ!$H$3, 0)</f>
        <v>10</v>
      </c>
      <c r="H37" s="120"/>
      <c r="I37" s="120"/>
      <c r="J37" s="121"/>
      <c r="K37" s="121"/>
      <c r="L37" s="121"/>
      <c r="M37" s="122"/>
    </row>
    <row r="38" spans="1:13" s="123" customFormat="1" ht="25" customHeight="1" thickBot="1" x14ac:dyDescent="0.5">
      <c r="A38" s="115"/>
      <c r="B38" s="116"/>
      <c r="C38" s="129" t="s">
        <v>116</v>
      </c>
      <c r="D38" s="146">
        <f>ROUNDUP((물리학Ⅰ!$Q14-0.5-50)/10*물리학Ⅰ!$H$4+물리학Ⅰ!$H$3, 0)</f>
        <v>10</v>
      </c>
      <c r="E38" s="146">
        <f>ROUNDUP((화학Ⅰ!$Q14-0.5-50)/10*화학Ⅰ!$H$4+화학Ⅰ!$H$3, 0)</f>
        <v>8</v>
      </c>
      <c r="F38" s="146">
        <f>ROUNDUP((생명과학Ⅰ!$Q14-0.5-50)/10*생명과학Ⅰ!$H$4+생명과학Ⅰ!$H$3, 0)</f>
        <v>10</v>
      </c>
      <c r="G38" s="131">
        <f>ROUNDUP((지구과학Ⅰ!$Q14-0.5-50)/10*지구과학Ⅰ!$H$4+지구과학Ⅰ!$H$3, 0)</f>
        <v>8</v>
      </c>
      <c r="H38" s="120"/>
      <c r="I38" s="120"/>
      <c r="J38" s="121"/>
      <c r="K38" s="121"/>
      <c r="L38" s="121"/>
      <c r="M38" s="122"/>
    </row>
    <row r="39" spans="1:13" s="21" customFormat="1" ht="6" customHeight="1" x14ac:dyDescent="0.45">
      <c r="A39" s="20"/>
      <c r="B39" s="36"/>
      <c r="C39" s="37"/>
      <c r="D39" s="37"/>
      <c r="E39" s="37"/>
      <c r="F39" s="37"/>
      <c r="G39" s="37"/>
      <c r="H39" s="37"/>
      <c r="I39" s="37"/>
      <c r="J39" s="37"/>
      <c r="K39" s="37"/>
      <c r="L39" s="38"/>
      <c r="M39" s="39"/>
    </row>
    <row r="40" spans="1:13" x14ac:dyDescent="0.45">
      <c r="B40" s="5"/>
      <c r="C40" s="12"/>
      <c r="D40" s="3"/>
      <c r="E40" s="3"/>
      <c r="F40" s="3"/>
      <c r="G40" s="3"/>
      <c r="H40" s="3"/>
      <c r="I40" s="3"/>
      <c r="J40" s="3"/>
      <c r="K40" s="3"/>
      <c r="L40" s="5"/>
      <c r="M40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2023-04-20T04:59:09Z</dcterms:modified>
</cp:coreProperties>
</file>