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Desktop\모의고사&amp;수능 관련\2022\9월\2학년\"/>
    </mc:Choice>
  </mc:AlternateContent>
  <xr:revisionPtr revIDLastSave="0" documentId="13_ncr:1_{0089FA57-A49A-4593-A5B0-B1957D33C0BD}" xr6:coauthVersionLast="47" xr6:coauthVersionMax="47" xr10:uidLastSave="{00000000-0000-0000-0000-000000000000}"/>
  <bookViews>
    <workbookView xWindow="-110" yWindow="-110" windowWidth="19420" windowHeight="11620" firstSheet="14" activeTab="21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국어" sheetId="2" r:id="rId5"/>
    <sheet name="수학" sheetId="5" r:id="rId6"/>
    <sheet name="영어" sheetId="6" r:id="rId7"/>
    <sheet name="한국사" sheetId="25" r:id="rId8"/>
    <sheet name="생활과 윤리" sheetId="3" r:id="rId9"/>
    <sheet name="윤리와 사상" sheetId="26" r:id="rId10"/>
    <sheet name="한국지리" sheetId="27" r:id="rId11"/>
    <sheet name="세계지리" sheetId="28" r:id="rId12"/>
    <sheet name="동아시아사" sheetId="29" r:id="rId13"/>
    <sheet name="세계사" sheetId="30" r:id="rId14"/>
    <sheet name="경제" sheetId="31" r:id="rId15"/>
    <sheet name="정치와 법" sheetId="32" r:id="rId16"/>
    <sheet name="사회∙문화" sheetId="33" r:id="rId17"/>
    <sheet name="물리학Ⅰ" sheetId="34" r:id="rId18"/>
    <sheet name="화학Ⅰ" sheetId="35" r:id="rId19"/>
    <sheet name="생명과학Ⅰ" sheetId="36" r:id="rId20"/>
    <sheet name="지구과학Ⅰ" sheetId="37" r:id="rId21"/>
    <sheet name="등급컷 모아보기" sheetId="79" r:id="rId22"/>
    <sheet name="Sheet1" sheetId="80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" l="1"/>
  <c r="H3" i="26"/>
  <c r="H4" i="3"/>
  <c r="J3" i="2" l="1"/>
  <c r="J3" i="5"/>
  <c r="E15" i="25" l="1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Q8" i="26" l="1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F14" i="6" l="1"/>
  <c r="G35" i="79"/>
  <c r="E37" i="79"/>
  <c r="E33" i="79"/>
  <c r="D36" i="79"/>
  <c r="D32" i="79"/>
  <c r="L24" i="79"/>
  <c r="J26" i="79"/>
  <c r="J22" i="79"/>
  <c r="I25" i="79"/>
  <c r="I21" i="79"/>
  <c r="F26" i="79"/>
  <c r="F22" i="79"/>
  <c r="E25" i="79"/>
  <c r="E21" i="79"/>
  <c r="F13" i="25"/>
  <c r="E36" i="79"/>
  <c r="E32" i="79"/>
  <c r="D35" i="79"/>
  <c r="J25" i="79"/>
  <c r="J21" i="79"/>
  <c r="I24" i="79"/>
  <c r="F25" i="79"/>
  <c r="F21" i="79"/>
  <c r="E24" i="79"/>
  <c r="F10" i="6"/>
  <c r="F15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D31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D10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D107" i="2"/>
  <c r="G107" i="2" s="1"/>
  <c r="H107" i="2" s="1"/>
  <c r="D102" i="2"/>
  <c r="L102" i="2" s="1"/>
  <c r="D102" i="5"/>
  <c r="L102" i="5" s="1"/>
  <c r="L107" i="2" l="1"/>
  <c r="E102" i="2"/>
  <c r="E102" i="5"/>
  <c r="D15" i="34"/>
  <c r="L15" i="34" s="1"/>
  <c r="E15" i="34" l="1"/>
  <c r="D13" i="28" l="1"/>
  <c r="L13" i="28" s="1"/>
  <c r="D14" i="28"/>
  <c r="L14" i="28" s="1"/>
  <c r="D15" i="28"/>
  <c r="L15" i="28" s="1"/>
  <c r="D16" i="28"/>
  <c r="L16" i="28" s="1"/>
  <c r="D17" i="28"/>
  <c r="L17" i="28" s="1"/>
  <c r="L18" i="28"/>
  <c r="D19" i="28"/>
  <c r="L19" i="28" s="1"/>
  <c r="D20" i="28"/>
  <c r="L20" i="28" s="1"/>
  <c r="D21" i="28"/>
  <c r="L21" i="28" s="1"/>
  <c r="D22" i="28"/>
  <c r="L22" i="28" s="1"/>
  <c r="D23" i="28"/>
  <c r="L23" i="28" s="1"/>
  <c r="D24" i="28"/>
  <c r="L24" i="28" s="1"/>
  <c r="D25" i="28"/>
  <c r="L25" i="28" s="1"/>
  <c r="D26" i="28"/>
  <c r="L26" i="28" s="1"/>
  <c r="D27" i="28"/>
  <c r="L27" i="28" s="1"/>
  <c r="D28" i="28"/>
  <c r="L28" i="28" s="1"/>
  <c r="L29" i="28"/>
  <c r="D30" i="28"/>
  <c r="L30" i="28" s="1"/>
  <c r="D31" i="28"/>
  <c r="L31" i="28" s="1"/>
  <c r="D32" i="28"/>
  <c r="L32" i="28" s="1"/>
  <c r="D33" i="28"/>
  <c r="L33" i="28" s="1"/>
  <c r="D34" i="28"/>
  <c r="L34" i="28" s="1"/>
  <c r="D35" i="28"/>
  <c r="L35" i="28" s="1"/>
  <c r="D36" i="28"/>
  <c r="L36" i="28" s="1"/>
  <c r="D37" i="28"/>
  <c r="L37" i="28" s="1"/>
  <c r="D38" i="28"/>
  <c r="L38" i="28" s="1"/>
  <c r="L39" i="28"/>
  <c r="D40" i="28"/>
  <c r="L40" i="28" s="1"/>
  <c r="D41" i="28"/>
  <c r="L41" i="28" s="1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D48" i="28"/>
  <c r="L48" i="28" s="1"/>
  <c r="D49" i="28"/>
  <c r="L49" i="28" s="1"/>
  <c r="D51" i="28"/>
  <c r="L51" i="28" s="1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L50" i="28"/>
  <c r="G55" i="28"/>
  <c r="H55" i="28" s="1"/>
  <c r="G51" i="28"/>
  <c r="H51" i="28" s="1"/>
  <c r="G47" i="28"/>
  <c r="H47" i="28" s="1"/>
  <c r="G43" i="28"/>
  <c r="H43" i="28" s="1"/>
  <c r="G35" i="28"/>
  <c r="H35" i="28" s="1"/>
  <c r="G31" i="28"/>
  <c r="H31" i="28" s="1"/>
  <c r="G27" i="28"/>
  <c r="H27" i="28" s="1"/>
  <c r="G23" i="28"/>
  <c r="H23" i="28" s="1"/>
  <c r="G19" i="28"/>
  <c r="H19" i="28" s="1"/>
  <c r="G15" i="28"/>
  <c r="H15" i="28" s="1"/>
  <c r="G52" i="28"/>
  <c r="H52" i="28" s="1"/>
  <c r="G48" i="28"/>
  <c r="H48" i="28" s="1"/>
  <c r="G44" i="28"/>
  <c r="H44" i="28" s="1"/>
  <c r="G40" i="28"/>
  <c r="H40" i="28" s="1"/>
  <c r="G36" i="28"/>
  <c r="H36" i="28" s="1"/>
  <c r="G32" i="28"/>
  <c r="H32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4" i="28"/>
  <c r="H14" i="28" s="1"/>
  <c r="G53" i="28"/>
  <c r="H53" i="28" s="1"/>
  <c r="G49" i="28"/>
  <c r="H49" i="28" s="1"/>
  <c r="G45" i="28"/>
  <c r="H45" i="28" s="1"/>
  <c r="G41" i="28"/>
  <c r="H41" i="28" s="1"/>
  <c r="G37" i="28"/>
  <c r="H37" i="28" s="1"/>
  <c r="G33" i="28"/>
  <c r="H33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D53" i="37"/>
  <c r="L53" i="37" s="1"/>
  <c r="D52" i="37"/>
  <c r="L52" i="37" s="1"/>
  <c r="D51" i="37"/>
  <c r="L51" i="37" s="1"/>
  <c r="D50" i="37"/>
  <c r="L50" i="37" s="1"/>
  <c r="D49" i="37"/>
  <c r="L49" i="37" s="1"/>
  <c r="D48" i="37"/>
  <c r="D47" i="37"/>
  <c r="L47" i="37" s="1"/>
  <c r="D46" i="37"/>
  <c r="L46" i="37" s="1"/>
  <c r="D45" i="37"/>
  <c r="L45" i="37" s="1"/>
  <c r="D44" i="37"/>
  <c r="D43" i="37"/>
  <c r="L43" i="37" s="1"/>
  <c r="D42" i="37"/>
  <c r="L42" i="37" s="1"/>
  <c r="D41" i="37"/>
  <c r="L41" i="37" s="1"/>
  <c r="D40" i="37"/>
  <c r="L40" i="37" s="1"/>
  <c r="D39" i="37"/>
  <c r="L39" i="37" s="1"/>
  <c r="D38" i="37"/>
  <c r="L38" i="37" s="1"/>
  <c r="D37" i="37"/>
  <c r="L37" i="37" s="1"/>
  <c r="D36" i="37"/>
  <c r="L36" i="37" s="1"/>
  <c r="D35" i="37"/>
  <c r="L35" i="37" s="1"/>
  <c r="D34" i="37"/>
  <c r="L34" i="37" s="1"/>
  <c r="D33" i="37"/>
  <c r="L33" i="37" s="1"/>
  <c r="D32" i="37"/>
  <c r="L32" i="37" s="1"/>
  <c r="D31" i="37"/>
  <c r="L31" i="37" s="1"/>
  <c r="D30" i="37"/>
  <c r="L30" i="37" s="1"/>
  <c r="D29" i="37"/>
  <c r="L29" i="37" s="1"/>
  <c r="D28" i="37"/>
  <c r="L28" i="37" s="1"/>
  <c r="D27" i="37"/>
  <c r="L27" i="37" s="1"/>
  <c r="D26" i="37"/>
  <c r="L26" i="37" s="1"/>
  <c r="D25" i="37"/>
  <c r="L25" i="37" s="1"/>
  <c r="D24" i="37"/>
  <c r="L24" i="37" s="1"/>
  <c r="D23" i="37"/>
  <c r="L23" i="37" s="1"/>
  <c r="D22" i="37"/>
  <c r="L22" i="37" s="1"/>
  <c r="D21" i="37"/>
  <c r="L21" i="37" s="1"/>
  <c r="D20" i="37"/>
  <c r="L20" i="37" s="1"/>
  <c r="D19" i="37"/>
  <c r="L19" i="37" s="1"/>
  <c r="D18" i="37"/>
  <c r="L18" i="37" s="1"/>
  <c r="D17" i="37"/>
  <c r="L17" i="37" s="1"/>
  <c r="D16" i="37"/>
  <c r="L16" i="37" s="1"/>
  <c r="D15" i="37"/>
  <c r="L15" i="37" s="1"/>
  <c r="D14" i="37"/>
  <c r="L14" i="37" s="1"/>
  <c r="D13" i="37"/>
  <c r="L13" i="37" s="1"/>
  <c r="D12" i="37"/>
  <c r="L12" i="37" s="1"/>
  <c r="D11" i="37"/>
  <c r="L11" i="37" s="1"/>
  <c r="L10" i="37"/>
  <c r="D9" i="37"/>
  <c r="D7" i="37"/>
  <c r="D57" i="36"/>
  <c r="D55" i="36"/>
  <c r="L55" i="36" s="1"/>
  <c r="D54" i="36"/>
  <c r="L54" i="36" s="1"/>
  <c r="L53" i="36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L41" i="36"/>
  <c r="D40" i="36"/>
  <c r="L40" i="36" s="1"/>
  <c r="D39" i="36"/>
  <c r="L39" i="36" s="1"/>
  <c r="D38" i="36"/>
  <c r="L38" i="36" s="1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L28" i="36"/>
  <c r="D27" i="36"/>
  <c r="L27" i="36" s="1"/>
  <c r="D26" i="36"/>
  <c r="L26" i="36" s="1"/>
  <c r="D25" i="36"/>
  <c r="L25" i="36" s="1"/>
  <c r="D24" i="36"/>
  <c r="L24" i="36" s="1"/>
  <c r="D23" i="36"/>
  <c r="L23" i="36" s="1"/>
  <c r="D22" i="36"/>
  <c r="L22" i="36" s="1"/>
  <c r="D21" i="36"/>
  <c r="L21" i="36" s="1"/>
  <c r="D20" i="36"/>
  <c r="L20" i="36" s="1"/>
  <c r="D19" i="36"/>
  <c r="L19" i="36" s="1"/>
  <c r="D18" i="36"/>
  <c r="L18" i="36" s="1"/>
  <c r="D17" i="36"/>
  <c r="L17" i="36" s="1"/>
  <c r="L16" i="36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D49" i="35"/>
  <c r="L49" i="35" s="1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L42" i="35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D35" i="35"/>
  <c r="L35" i="35" s="1"/>
  <c r="D34" i="35"/>
  <c r="L34" i="35" s="1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D21" i="35"/>
  <c r="L21" i="35" s="1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L11" i="35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D51" i="34"/>
  <c r="L51" i="34" s="1"/>
  <c r="D50" i="34"/>
  <c r="L50" i="34" s="1"/>
  <c r="D49" i="34"/>
  <c r="L49" i="34" s="1"/>
  <c r="D48" i="34"/>
  <c r="L48" i="34" s="1"/>
  <c r="D47" i="34"/>
  <c r="L47" i="34" s="1"/>
  <c r="D46" i="34"/>
  <c r="L46" i="34" s="1"/>
  <c r="D45" i="34"/>
  <c r="L45" i="34" s="1"/>
  <c r="D44" i="34"/>
  <c r="L44" i="34" s="1"/>
  <c r="D43" i="34"/>
  <c r="L43" i="34" s="1"/>
  <c r="D42" i="34"/>
  <c r="L42" i="34" s="1"/>
  <c r="D41" i="34"/>
  <c r="L41" i="34" s="1"/>
  <c r="D40" i="34"/>
  <c r="L40" i="34" s="1"/>
  <c r="D39" i="34"/>
  <c r="L39" i="34" s="1"/>
  <c r="D38" i="34"/>
  <c r="L38" i="34" s="1"/>
  <c r="D37" i="34"/>
  <c r="L37" i="34" s="1"/>
  <c r="D36" i="34"/>
  <c r="L36" i="34" s="1"/>
  <c r="D35" i="34"/>
  <c r="L35" i="34" s="1"/>
  <c r="D34" i="34"/>
  <c r="L34" i="34" s="1"/>
  <c r="L33" i="34"/>
  <c r="D32" i="34"/>
  <c r="L32" i="34" s="1"/>
  <c r="D31" i="34"/>
  <c r="L31" i="34" s="1"/>
  <c r="D30" i="34"/>
  <c r="L30" i="34" s="1"/>
  <c r="D29" i="34"/>
  <c r="L29" i="34" s="1"/>
  <c r="D28" i="34"/>
  <c r="L28" i="34" s="1"/>
  <c r="D27" i="34"/>
  <c r="L27" i="34" s="1"/>
  <c r="D26" i="34"/>
  <c r="L26" i="34" s="1"/>
  <c r="D25" i="34"/>
  <c r="L25" i="34" s="1"/>
  <c r="D24" i="34"/>
  <c r="L24" i="34" s="1"/>
  <c r="D23" i="34"/>
  <c r="L23" i="34" s="1"/>
  <c r="D22" i="34"/>
  <c r="L22" i="34" s="1"/>
  <c r="D21" i="34"/>
  <c r="L21" i="34" s="1"/>
  <c r="D20" i="34"/>
  <c r="L20" i="34" s="1"/>
  <c r="D19" i="34"/>
  <c r="L19" i="34" s="1"/>
  <c r="D18" i="34"/>
  <c r="L18" i="34" s="1"/>
  <c r="D17" i="34"/>
  <c r="L17" i="34" s="1"/>
  <c r="D16" i="34"/>
  <c r="D14" i="34"/>
  <c r="L14" i="34" s="1"/>
  <c r="D13" i="34"/>
  <c r="L13" i="34" s="1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D52" i="33"/>
  <c r="L52" i="33" s="1"/>
  <c r="D51" i="33"/>
  <c r="L51" i="33" s="1"/>
  <c r="L50" i="33"/>
  <c r="D49" i="33"/>
  <c r="L49" i="33" s="1"/>
  <c r="D48" i="33"/>
  <c r="L48" i="33" s="1"/>
  <c r="D47" i="33"/>
  <c r="L47" i="33" s="1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D39" i="33"/>
  <c r="L39" i="33" s="1"/>
  <c r="D38" i="33"/>
  <c r="L38" i="33" s="1"/>
  <c r="L37" i="33"/>
  <c r="D36" i="33"/>
  <c r="L36" i="33" s="1"/>
  <c r="D35" i="33"/>
  <c r="L35" i="33" s="1"/>
  <c r="D34" i="33"/>
  <c r="L34" i="33" s="1"/>
  <c r="D33" i="33"/>
  <c r="L33" i="33" s="1"/>
  <c r="D32" i="33"/>
  <c r="L32" i="33" s="1"/>
  <c r="D31" i="33"/>
  <c r="L31" i="33" s="1"/>
  <c r="L30" i="33"/>
  <c r="D29" i="33"/>
  <c r="L29" i="33" s="1"/>
  <c r="D28" i="33"/>
  <c r="L28" i="33" s="1"/>
  <c r="D27" i="33"/>
  <c r="L27" i="33" s="1"/>
  <c r="D26" i="33"/>
  <c r="L26" i="33" s="1"/>
  <c r="D25" i="33"/>
  <c r="L25" i="33" s="1"/>
  <c r="L24" i="33"/>
  <c r="D23" i="33"/>
  <c r="L23" i="33" s="1"/>
  <c r="D22" i="33"/>
  <c r="L22" i="33" s="1"/>
  <c r="D21" i="33"/>
  <c r="L21" i="33" s="1"/>
  <c r="D20" i="33"/>
  <c r="L20" i="33" s="1"/>
  <c r="D19" i="33"/>
  <c r="L19" i="33" s="1"/>
  <c r="D18" i="33"/>
  <c r="L18" i="33" s="1"/>
  <c r="L17" i="33"/>
  <c r="D16" i="33"/>
  <c r="L16" i="33" s="1"/>
  <c r="D15" i="33"/>
  <c r="L15" i="33" s="1"/>
  <c r="D14" i="33"/>
  <c r="L14" i="33" s="1"/>
  <c r="D13" i="33"/>
  <c r="L13" i="33" s="1"/>
  <c r="D12" i="33"/>
  <c r="L12" i="33" s="1"/>
  <c r="L11" i="33"/>
  <c r="D10" i="33"/>
  <c r="L10" i="33" s="1"/>
  <c r="D9" i="33"/>
  <c r="D7" i="33"/>
  <c r="D57" i="32"/>
  <c r="D55" i="32"/>
  <c r="L55" i="32" s="1"/>
  <c r="D54" i="32"/>
  <c r="L54" i="32" s="1"/>
  <c r="D53" i="32"/>
  <c r="L53" i="32" s="1"/>
  <c r="D52" i="32"/>
  <c r="L52" i="32" s="1"/>
  <c r="L51" i="32"/>
  <c r="D50" i="32"/>
  <c r="L50" i="32" s="1"/>
  <c r="D49" i="32"/>
  <c r="L49" i="32" s="1"/>
  <c r="D48" i="32"/>
  <c r="L48" i="32" s="1"/>
  <c r="D47" i="32"/>
  <c r="L47" i="32" s="1"/>
  <c r="D46" i="32"/>
  <c r="L46" i="32" s="1"/>
  <c r="D45" i="32"/>
  <c r="L45" i="32" s="1"/>
  <c r="D44" i="32"/>
  <c r="L44" i="32" s="1"/>
  <c r="D43" i="32"/>
  <c r="L43" i="32" s="1"/>
  <c r="L42" i="32"/>
  <c r="D41" i="32"/>
  <c r="L41" i="32" s="1"/>
  <c r="D40" i="32"/>
  <c r="L40" i="32" s="1"/>
  <c r="D39" i="32"/>
  <c r="L39" i="32" s="1"/>
  <c r="D38" i="32"/>
  <c r="L38" i="32" s="1"/>
  <c r="D37" i="32"/>
  <c r="L37" i="32" s="1"/>
  <c r="D36" i="32"/>
  <c r="L36" i="32" s="1"/>
  <c r="D35" i="32"/>
  <c r="L35" i="32" s="1"/>
  <c r="L34" i="32"/>
  <c r="D33" i="32"/>
  <c r="L33" i="32" s="1"/>
  <c r="D32" i="32"/>
  <c r="L32" i="32" s="1"/>
  <c r="D31" i="32"/>
  <c r="L31" i="32" s="1"/>
  <c r="D30" i="32"/>
  <c r="L30" i="32" s="1"/>
  <c r="D29" i="32"/>
  <c r="L29" i="32" s="1"/>
  <c r="D28" i="32"/>
  <c r="L28" i="32" s="1"/>
  <c r="D27" i="32"/>
  <c r="L27" i="32" s="1"/>
  <c r="L26" i="32"/>
  <c r="D25" i="32"/>
  <c r="L25" i="32" s="1"/>
  <c r="D24" i="32"/>
  <c r="L24" i="32" s="1"/>
  <c r="D23" i="32"/>
  <c r="L23" i="32" s="1"/>
  <c r="D22" i="32"/>
  <c r="L22" i="32" s="1"/>
  <c r="D21" i="32"/>
  <c r="L21" i="32" s="1"/>
  <c r="D20" i="32"/>
  <c r="L20" i="32" s="1"/>
  <c r="D19" i="32"/>
  <c r="L19" i="32" s="1"/>
  <c r="D18" i="32"/>
  <c r="L18" i="32" s="1"/>
  <c r="L17" i="32"/>
  <c r="D16" i="32"/>
  <c r="L16" i="32" s="1"/>
  <c r="D15" i="32"/>
  <c r="L15" i="32" s="1"/>
  <c r="D14" i="32"/>
  <c r="L14" i="32" s="1"/>
  <c r="D13" i="32"/>
  <c r="L13" i="32" s="1"/>
  <c r="D12" i="32"/>
  <c r="L12" i="32" s="1"/>
  <c r="D11" i="32"/>
  <c r="L11" i="32" s="1"/>
  <c r="D10" i="32"/>
  <c r="L10" i="32" s="1"/>
  <c r="D9" i="32"/>
  <c r="D7" i="32"/>
  <c r="D57" i="31"/>
  <c r="D55" i="31"/>
  <c r="L55" i="31" s="1"/>
  <c r="D54" i="31"/>
  <c r="L54" i="31" s="1"/>
  <c r="D53" i="31"/>
  <c r="L53" i="31" s="1"/>
  <c r="D52" i="31"/>
  <c r="L52" i="31" s="1"/>
  <c r="D51" i="31"/>
  <c r="L51" i="31" s="1"/>
  <c r="D50" i="31"/>
  <c r="L50" i="31" s="1"/>
  <c r="D49" i="31"/>
  <c r="L49" i="31" s="1"/>
  <c r="D48" i="31"/>
  <c r="L48" i="31" s="1"/>
  <c r="L47" i="31"/>
  <c r="D46" i="31"/>
  <c r="L46" i="31" s="1"/>
  <c r="D45" i="31"/>
  <c r="L45" i="31" s="1"/>
  <c r="D44" i="31"/>
  <c r="L44" i="31" s="1"/>
  <c r="D43" i="31"/>
  <c r="L43" i="31" s="1"/>
  <c r="D42" i="31"/>
  <c r="L42" i="31" s="1"/>
  <c r="D41" i="31"/>
  <c r="L41" i="31" s="1"/>
  <c r="D40" i="31"/>
  <c r="L40" i="31" s="1"/>
  <c r="D39" i="31"/>
  <c r="L39" i="31" s="1"/>
  <c r="L38" i="31"/>
  <c r="D37" i="31"/>
  <c r="L37" i="31" s="1"/>
  <c r="D36" i="31"/>
  <c r="L36" i="31" s="1"/>
  <c r="D35" i="31"/>
  <c r="L35" i="31" s="1"/>
  <c r="D34" i="31"/>
  <c r="L34" i="31" s="1"/>
  <c r="D33" i="31"/>
  <c r="L33" i="31" s="1"/>
  <c r="D32" i="31"/>
  <c r="L32" i="31" s="1"/>
  <c r="D31" i="31"/>
  <c r="L31" i="31" s="1"/>
  <c r="D30" i="31"/>
  <c r="L30" i="31" s="1"/>
  <c r="L29" i="31"/>
  <c r="D28" i="31"/>
  <c r="L28" i="31" s="1"/>
  <c r="D27" i="31"/>
  <c r="L27" i="31" s="1"/>
  <c r="D26" i="31"/>
  <c r="L26" i="31" s="1"/>
  <c r="D25" i="31"/>
  <c r="L25" i="31" s="1"/>
  <c r="D24" i="31"/>
  <c r="L24" i="31" s="1"/>
  <c r="D23" i="31"/>
  <c r="L23" i="31" s="1"/>
  <c r="D22" i="31"/>
  <c r="L22" i="31" s="1"/>
  <c r="D21" i="31"/>
  <c r="L21" i="31" s="1"/>
  <c r="D20" i="31"/>
  <c r="L20" i="31" s="1"/>
  <c r="L19" i="31"/>
  <c r="D18" i="31"/>
  <c r="L18" i="31" s="1"/>
  <c r="D17" i="31"/>
  <c r="L17" i="31" s="1"/>
  <c r="D16" i="31"/>
  <c r="L16" i="31" s="1"/>
  <c r="D15" i="31"/>
  <c r="L15" i="31" s="1"/>
  <c r="D14" i="31"/>
  <c r="L14" i="31" s="1"/>
  <c r="D13" i="31"/>
  <c r="L13" i="31" s="1"/>
  <c r="D12" i="31"/>
  <c r="L12" i="31" s="1"/>
  <c r="D11" i="31"/>
  <c r="L11" i="31" s="1"/>
  <c r="L10" i="3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D50" i="30"/>
  <c r="L50" i="30" s="1"/>
  <c r="L49" i="30"/>
  <c r="D48" i="30"/>
  <c r="L48" i="30" s="1"/>
  <c r="D47" i="30"/>
  <c r="L47" i="30" s="1"/>
  <c r="D46" i="30"/>
  <c r="L46" i="30" s="1"/>
  <c r="D45" i="30"/>
  <c r="L45" i="30" s="1"/>
  <c r="D44" i="30"/>
  <c r="L44" i="30" s="1"/>
  <c r="D43" i="30"/>
  <c r="L43" i="30" s="1"/>
  <c r="D42" i="30"/>
  <c r="L42" i="30" s="1"/>
  <c r="D41" i="30"/>
  <c r="L41" i="30" s="1"/>
  <c r="L40" i="30"/>
  <c r="D39" i="30"/>
  <c r="L39" i="30" s="1"/>
  <c r="D38" i="30"/>
  <c r="L38" i="30" s="1"/>
  <c r="D37" i="30"/>
  <c r="L37" i="30" s="1"/>
  <c r="D36" i="30"/>
  <c r="L36" i="30" s="1"/>
  <c r="D35" i="30"/>
  <c r="L35" i="30" s="1"/>
  <c r="D34" i="30"/>
  <c r="L34" i="30" s="1"/>
  <c r="D33" i="30"/>
  <c r="L33" i="30" s="1"/>
  <c r="L32" i="30"/>
  <c r="D31" i="30"/>
  <c r="L31" i="30" s="1"/>
  <c r="D30" i="30"/>
  <c r="L30" i="30" s="1"/>
  <c r="D29" i="30"/>
  <c r="L29" i="30" s="1"/>
  <c r="D28" i="30"/>
  <c r="L28" i="30" s="1"/>
  <c r="D27" i="30"/>
  <c r="L27" i="30" s="1"/>
  <c r="D26" i="30"/>
  <c r="L26" i="30" s="1"/>
  <c r="D25" i="30"/>
  <c r="L25" i="30" s="1"/>
  <c r="D24" i="30"/>
  <c r="L24" i="30" s="1"/>
  <c r="L23" i="30"/>
  <c r="D22" i="30"/>
  <c r="L22" i="30" s="1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L15" i="30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L54" i="29"/>
  <c r="D53" i="29"/>
  <c r="L53" i="29" s="1"/>
  <c r="D52" i="29"/>
  <c r="L52" i="29" s="1"/>
  <c r="D51" i="29"/>
  <c r="L51" i="29" s="1"/>
  <c r="D50" i="29"/>
  <c r="L50" i="29" s="1"/>
  <c r="D49" i="29"/>
  <c r="L49" i="29" s="1"/>
  <c r="L48" i="29"/>
  <c r="D47" i="29"/>
  <c r="L47" i="29" s="1"/>
  <c r="D46" i="29"/>
  <c r="L46" i="29" s="1"/>
  <c r="D45" i="29"/>
  <c r="L45" i="29" s="1"/>
  <c r="D44" i="29"/>
  <c r="L44" i="29" s="1"/>
  <c r="L43" i="29"/>
  <c r="D42" i="29"/>
  <c r="L42" i="29" s="1"/>
  <c r="D41" i="29"/>
  <c r="L41" i="29" s="1"/>
  <c r="D40" i="29"/>
  <c r="L40" i="29" s="1"/>
  <c r="D39" i="29"/>
  <c r="L39" i="29" s="1"/>
  <c r="L38" i="29"/>
  <c r="D37" i="29"/>
  <c r="L37" i="29" s="1"/>
  <c r="D36" i="29"/>
  <c r="L36" i="29" s="1"/>
  <c r="D35" i="29"/>
  <c r="L35" i="29" s="1"/>
  <c r="D34" i="29"/>
  <c r="L34" i="29" s="1"/>
  <c r="D33" i="29"/>
  <c r="L33" i="29" s="1"/>
  <c r="L32" i="29"/>
  <c r="D31" i="29"/>
  <c r="L31" i="29" s="1"/>
  <c r="D30" i="29"/>
  <c r="L30" i="29" s="1"/>
  <c r="D29" i="29"/>
  <c r="L29" i="29" s="1"/>
  <c r="D28" i="29"/>
  <c r="L28" i="29" s="1"/>
  <c r="L27" i="29"/>
  <c r="D26" i="29"/>
  <c r="L26" i="29" s="1"/>
  <c r="D25" i="29"/>
  <c r="L25" i="29" s="1"/>
  <c r="D24" i="29"/>
  <c r="L24" i="29" s="1"/>
  <c r="D23" i="29"/>
  <c r="L23" i="29" s="1"/>
  <c r="L22" i="29"/>
  <c r="D21" i="29"/>
  <c r="L21" i="29" s="1"/>
  <c r="D20" i="29"/>
  <c r="L20" i="29" s="1"/>
  <c r="D19" i="29"/>
  <c r="L19" i="29" s="1"/>
  <c r="D18" i="29"/>
  <c r="L18" i="29" s="1"/>
  <c r="D17" i="29"/>
  <c r="L17" i="29" s="1"/>
  <c r="L16" i="29"/>
  <c r="D15" i="29"/>
  <c r="L15" i="29" s="1"/>
  <c r="D14" i="29"/>
  <c r="L14" i="29" s="1"/>
  <c r="D13" i="29"/>
  <c r="L13" i="29" s="1"/>
  <c r="D12" i="29"/>
  <c r="L12" i="29" s="1"/>
  <c r="L11" i="29"/>
  <c r="D10" i="29"/>
  <c r="L10" i="29" s="1"/>
  <c r="D9" i="29"/>
  <c r="D7" i="29"/>
  <c r="E57" i="28"/>
  <c r="E55" i="28"/>
  <c r="E54" i="28"/>
  <c r="E53" i="28"/>
  <c r="E52" i="28"/>
  <c r="E51" i="28"/>
  <c r="E49" i="28"/>
  <c r="E48" i="28"/>
  <c r="E47" i="28"/>
  <c r="E46" i="28"/>
  <c r="E45" i="28"/>
  <c r="E44" i="28"/>
  <c r="E43" i="28"/>
  <c r="E42" i="28"/>
  <c r="E41" i="28"/>
  <c r="E40" i="28"/>
  <c r="E38" i="28"/>
  <c r="E37" i="28"/>
  <c r="E36" i="28"/>
  <c r="E35" i="28"/>
  <c r="E34" i="28"/>
  <c r="E33" i="28"/>
  <c r="E32" i="28"/>
  <c r="E31" i="28"/>
  <c r="E30" i="28"/>
  <c r="E28" i="28"/>
  <c r="E27" i="28"/>
  <c r="E26" i="28"/>
  <c r="E25" i="28"/>
  <c r="E24" i="28"/>
  <c r="E23" i="28"/>
  <c r="E22" i="28"/>
  <c r="E21" i="28"/>
  <c r="E20" i="28"/>
  <c r="E19" i="28"/>
  <c r="E17" i="28"/>
  <c r="E16" i="28"/>
  <c r="E15" i="28"/>
  <c r="E14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L51" i="27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L44" i="27"/>
  <c r="D43" i="27"/>
  <c r="L43" i="27" s="1"/>
  <c r="D42" i="27"/>
  <c r="L42" i="27" s="1"/>
  <c r="D41" i="27"/>
  <c r="L41" i="27" s="1"/>
  <c r="D40" i="27"/>
  <c r="L40" i="27" s="1"/>
  <c r="D39" i="27"/>
  <c r="L39" i="27" s="1"/>
  <c r="L38" i="27"/>
  <c r="D37" i="27"/>
  <c r="L37" i="27" s="1"/>
  <c r="D36" i="27"/>
  <c r="L36" i="27" s="1"/>
  <c r="D35" i="27"/>
  <c r="L35" i="27" s="1"/>
  <c r="D34" i="27"/>
  <c r="L34" i="27" s="1"/>
  <c r="D33" i="27"/>
  <c r="L33" i="27" s="1"/>
  <c r="D32" i="27"/>
  <c r="L32" i="27" s="1"/>
  <c r="L31" i="27"/>
  <c r="D30" i="27"/>
  <c r="L30" i="27" s="1"/>
  <c r="D29" i="27"/>
  <c r="L29" i="27" s="1"/>
  <c r="D28" i="27"/>
  <c r="L28" i="27" s="1"/>
  <c r="D27" i="27"/>
  <c r="L27" i="27" s="1"/>
  <c r="D26" i="27"/>
  <c r="L26" i="27" s="1"/>
  <c r="L25" i="27"/>
  <c r="D24" i="27"/>
  <c r="L24" i="27" s="1"/>
  <c r="D23" i="27"/>
  <c r="L23" i="27" s="1"/>
  <c r="D22" i="27"/>
  <c r="L22" i="27" s="1"/>
  <c r="D21" i="27"/>
  <c r="L21" i="27" s="1"/>
  <c r="D20" i="27"/>
  <c r="L20" i="27" s="1"/>
  <c r="D19" i="27"/>
  <c r="L19" i="27" s="1"/>
  <c r="L18" i="27"/>
  <c r="D17" i="27"/>
  <c r="L17" i="27" s="1"/>
  <c r="D16" i="27"/>
  <c r="L16" i="27" s="1"/>
  <c r="D15" i="27"/>
  <c r="L15" i="27" s="1"/>
  <c r="D14" i="27"/>
  <c r="L14" i="27" s="1"/>
  <c r="D13" i="27"/>
  <c r="L13" i="27" s="1"/>
  <c r="L12" i="27"/>
  <c r="D11" i="27"/>
  <c r="L11" i="27" s="1"/>
  <c r="D10" i="27"/>
  <c r="L10" i="27" s="1"/>
  <c r="D9" i="27"/>
  <c r="D7" i="27"/>
  <c r="D57" i="26"/>
  <c r="L55" i="26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D48" i="26"/>
  <c r="L48" i="26" s="1"/>
  <c r="D47" i="26"/>
  <c r="L47" i="26" s="1"/>
  <c r="D46" i="26"/>
  <c r="L46" i="26" s="1"/>
  <c r="D45" i="26"/>
  <c r="L45" i="26" s="1"/>
  <c r="D44" i="26"/>
  <c r="L44" i="26" s="1"/>
  <c r="D43" i="26"/>
  <c r="L43" i="26" s="1"/>
  <c r="L42" i="26"/>
  <c r="D41" i="26"/>
  <c r="L41" i="26" s="1"/>
  <c r="D40" i="26"/>
  <c r="L40" i="26" s="1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D33" i="26"/>
  <c r="L33" i="26" s="1"/>
  <c r="D32" i="26"/>
  <c r="L32" i="26" s="1"/>
  <c r="D31" i="26"/>
  <c r="L31" i="26" s="1"/>
  <c r="L30" i="26"/>
  <c r="D29" i="26"/>
  <c r="L29" i="26" s="1"/>
  <c r="D28" i="26"/>
  <c r="L28" i="26" s="1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D19" i="26"/>
  <c r="L19" i="26" s="1"/>
  <c r="D18" i="26"/>
  <c r="L18" i="26" s="1"/>
  <c r="L17" i="26"/>
  <c r="D16" i="26"/>
  <c r="L16" i="26" s="1"/>
  <c r="D15" i="26"/>
  <c r="L15" i="26" s="1"/>
  <c r="D14" i="26"/>
  <c r="L14" i="26" s="1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1" i="27"/>
  <c r="H11" i="27" s="1"/>
  <c r="G15" i="27"/>
  <c r="H15" i="27" s="1"/>
  <c r="G19" i="27"/>
  <c r="H19" i="27" s="1"/>
  <c r="G23" i="27"/>
  <c r="H23" i="27" s="1"/>
  <c r="G27" i="27"/>
  <c r="H27" i="27" s="1"/>
  <c r="G35" i="27"/>
  <c r="H35" i="27" s="1"/>
  <c r="G39" i="27"/>
  <c r="H39" i="27" s="1"/>
  <c r="G43" i="27"/>
  <c r="H43" i="27" s="1"/>
  <c r="G47" i="27"/>
  <c r="H47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1" i="29"/>
  <c r="H41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6" i="30"/>
  <c r="H36" i="30" s="1"/>
  <c r="G44" i="30"/>
  <c r="H44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5" i="36"/>
  <c r="H45" i="36" s="1"/>
  <c r="G49" i="36"/>
  <c r="H49" i="36" s="1"/>
  <c r="G12" i="37"/>
  <c r="H12" i="37" s="1"/>
  <c r="G16" i="37"/>
  <c r="H16" i="37" s="1"/>
  <c r="G20" i="37"/>
  <c r="H20" i="37" s="1"/>
  <c r="G24" i="37"/>
  <c r="H24" i="37" s="1"/>
  <c r="G28" i="37"/>
  <c r="H28" i="37" s="1"/>
  <c r="G32" i="37"/>
  <c r="H32" i="37" s="1"/>
  <c r="G36" i="37"/>
  <c r="H36" i="37" s="1"/>
  <c r="G40" i="37"/>
  <c r="H40" i="37" s="1"/>
  <c r="G52" i="37"/>
  <c r="H52" i="37" s="1"/>
  <c r="G16" i="27"/>
  <c r="H16" i="27" s="1"/>
  <c r="G20" i="27"/>
  <c r="H20" i="27" s="1"/>
  <c r="G24" i="27"/>
  <c r="H24" i="27" s="1"/>
  <c r="G28" i="27"/>
  <c r="H28" i="27" s="1"/>
  <c r="G32" i="27"/>
  <c r="H32" i="27" s="1"/>
  <c r="G36" i="27"/>
  <c r="H36" i="27" s="1"/>
  <c r="G40" i="27"/>
  <c r="H40" i="27" s="1"/>
  <c r="G48" i="27"/>
  <c r="H48" i="27" s="1"/>
  <c r="G52" i="27"/>
  <c r="H52" i="27" s="1"/>
  <c r="G11" i="28"/>
  <c r="H11" i="28" s="1"/>
  <c r="G10" i="29"/>
  <c r="H10" i="29" s="1"/>
  <c r="G14" i="29"/>
  <c r="H14" i="29" s="1"/>
  <c r="G18" i="29"/>
  <c r="H18" i="29" s="1"/>
  <c r="G26" i="29"/>
  <c r="H26" i="29" s="1"/>
  <c r="G30" i="29"/>
  <c r="H30" i="29" s="1"/>
  <c r="G34" i="29"/>
  <c r="H34" i="29" s="1"/>
  <c r="G42" i="29"/>
  <c r="H42" i="29" s="1"/>
  <c r="G46" i="29"/>
  <c r="H46" i="29" s="1"/>
  <c r="G50" i="29"/>
  <c r="H50" i="29" s="1"/>
  <c r="G13" i="30"/>
  <c r="H13" i="30" s="1"/>
  <c r="G25" i="26"/>
  <c r="H25" i="26" s="1"/>
  <c r="G33" i="26"/>
  <c r="H33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1" i="30"/>
  <c r="H21" i="30" s="1"/>
  <c r="G25" i="30"/>
  <c r="H25" i="30" s="1"/>
  <c r="G29" i="30"/>
  <c r="H29" i="30" s="1"/>
  <c r="G33" i="30"/>
  <c r="H33" i="30" s="1"/>
  <c r="G37" i="30"/>
  <c r="H37" i="30" s="1"/>
  <c r="G41" i="30"/>
  <c r="H41" i="30" s="1"/>
  <c r="G45" i="30"/>
  <c r="H45" i="30" s="1"/>
  <c r="G53" i="30"/>
  <c r="H53" i="30" s="1"/>
  <c r="G12" i="31"/>
  <c r="H12" i="31" s="1"/>
  <c r="G16" i="31"/>
  <c r="H16" i="31" s="1"/>
  <c r="G20" i="31"/>
  <c r="H20" i="31" s="1"/>
  <c r="G24" i="31"/>
  <c r="H24" i="31" s="1"/>
  <c r="G28" i="31"/>
  <c r="H28" i="31" s="1"/>
  <c r="G32" i="31"/>
  <c r="H32" i="31" s="1"/>
  <c r="G36" i="31"/>
  <c r="H36" i="31" s="1"/>
  <c r="G40" i="31"/>
  <c r="H40" i="31" s="1"/>
  <c r="G44" i="31"/>
  <c r="H44" i="31" s="1"/>
  <c r="G48" i="31"/>
  <c r="H48" i="31" s="1"/>
  <c r="G52" i="31"/>
  <c r="H52" i="31" s="1"/>
  <c r="G11" i="32"/>
  <c r="H11" i="32" s="1"/>
  <c r="G15" i="32"/>
  <c r="H15" i="32" s="1"/>
  <c r="G19" i="32"/>
  <c r="H19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47" i="32"/>
  <c r="H47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4" i="33"/>
  <c r="H34" i="33" s="1"/>
  <c r="G38" i="33"/>
  <c r="H38" i="33" s="1"/>
  <c r="G42" i="33"/>
  <c r="H42" i="33" s="1"/>
  <c r="G46" i="33"/>
  <c r="H46" i="33" s="1"/>
  <c r="G54" i="33"/>
  <c r="H54" i="33" s="1"/>
  <c r="G13" i="34"/>
  <c r="H13" i="34" s="1"/>
  <c r="G18" i="34"/>
  <c r="H18" i="34" s="1"/>
  <c r="G22" i="34"/>
  <c r="H22" i="34" s="1"/>
  <c r="G26" i="34"/>
  <c r="H26" i="34" s="1"/>
  <c r="G30" i="34"/>
  <c r="H30" i="34" s="1"/>
  <c r="G34" i="34"/>
  <c r="H34" i="34" s="1"/>
  <c r="G38" i="34"/>
  <c r="H38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1" i="35"/>
  <c r="H21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49" i="35"/>
  <c r="H49" i="35" s="1"/>
  <c r="G53" i="35"/>
  <c r="H53" i="35" s="1"/>
  <c r="G12" i="36"/>
  <c r="H12" i="36" s="1"/>
  <c r="G20" i="36"/>
  <c r="H20" i="36" s="1"/>
  <c r="G24" i="36"/>
  <c r="H24" i="36" s="1"/>
  <c r="G32" i="36"/>
  <c r="H32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5" i="37"/>
  <c r="H35" i="37" s="1"/>
  <c r="G39" i="37"/>
  <c r="H39" i="37" s="1"/>
  <c r="G43" i="37"/>
  <c r="H43" i="37" s="1"/>
  <c r="G47" i="37"/>
  <c r="H47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4" i="26"/>
  <c r="H34" i="26" s="1"/>
  <c r="G38" i="26"/>
  <c r="H38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5" i="29"/>
  <c r="H15" i="29" s="1"/>
  <c r="G19" i="29"/>
  <c r="H19" i="29" s="1"/>
  <c r="G23" i="29"/>
  <c r="H23" i="29" s="1"/>
  <c r="G31" i="29"/>
  <c r="H31" i="29" s="1"/>
  <c r="G35" i="29"/>
  <c r="H35" i="29" s="1"/>
  <c r="G39" i="29"/>
  <c r="H39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2" i="30"/>
  <c r="H22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54" i="30"/>
  <c r="H54" i="30" s="1"/>
  <c r="G13" i="31"/>
  <c r="H13" i="31" s="1"/>
  <c r="G17" i="31"/>
  <c r="H17" i="31" s="1"/>
  <c r="G21" i="31"/>
  <c r="H21" i="31" s="1"/>
  <c r="G25" i="31"/>
  <c r="H25" i="31" s="1"/>
  <c r="G33" i="31"/>
  <c r="H33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32" i="32"/>
  <c r="H32" i="32" s="1"/>
  <c r="G36" i="32"/>
  <c r="H36" i="32" s="1"/>
  <c r="G40" i="32"/>
  <c r="H40" i="32" s="1"/>
  <c r="G44" i="32"/>
  <c r="H44" i="32" s="1"/>
  <c r="G48" i="32"/>
  <c r="H48" i="32" s="1"/>
  <c r="G52" i="32"/>
  <c r="H52" i="32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39" i="33"/>
  <c r="H39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47" i="26"/>
  <c r="H47" i="26" s="1"/>
  <c r="G51" i="26"/>
  <c r="H51" i="26" s="1"/>
  <c r="G10" i="27"/>
  <c r="H10" i="27" s="1"/>
  <c r="G14" i="27"/>
  <c r="H14" i="27" s="1"/>
  <c r="G22" i="27"/>
  <c r="H22" i="27" s="1"/>
  <c r="G26" i="27"/>
  <c r="H26" i="27" s="1"/>
  <c r="G30" i="27"/>
  <c r="H30" i="27" s="1"/>
  <c r="G34" i="27"/>
  <c r="H34" i="27" s="1"/>
  <c r="G42" i="27"/>
  <c r="H42" i="27" s="1"/>
  <c r="G46" i="27"/>
  <c r="H46" i="27" s="1"/>
  <c r="G50" i="27"/>
  <c r="H50" i="27" s="1"/>
  <c r="G54" i="27"/>
  <c r="H54" i="27" s="1"/>
  <c r="G12" i="29"/>
  <c r="H12" i="29" s="1"/>
  <c r="G20" i="29"/>
  <c r="H20" i="29" s="1"/>
  <c r="G24" i="29"/>
  <c r="H24" i="29" s="1"/>
  <c r="G28" i="29"/>
  <c r="H28" i="29" s="1"/>
  <c r="G36" i="29"/>
  <c r="H36" i="29" s="1"/>
  <c r="G40" i="29"/>
  <c r="H40" i="29" s="1"/>
  <c r="G44" i="29"/>
  <c r="H44" i="29" s="1"/>
  <c r="G52" i="29"/>
  <c r="H52" i="29" s="1"/>
  <c r="G11" i="30"/>
  <c r="H11" i="30" s="1"/>
  <c r="G19" i="30"/>
  <c r="H19" i="30" s="1"/>
  <c r="G27" i="30"/>
  <c r="H27" i="30" s="1"/>
  <c r="G31" i="30"/>
  <c r="H31" i="30" s="1"/>
  <c r="G35" i="30"/>
  <c r="H35" i="30" s="1"/>
  <c r="G39" i="30"/>
  <c r="H39" i="30" s="1"/>
  <c r="G43" i="30"/>
  <c r="H43" i="30" s="1"/>
  <c r="G47" i="30"/>
  <c r="H47" i="30" s="1"/>
  <c r="G51" i="30"/>
  <c r="H51" i="30" s="1"/>
  <c r="G55" i="30"/>
  <c r="H55" i="30" s="1"/>
  <c r="G14" i="31"/>
  <c r="H14" i="31" s="1"/>
  <c r="G18" i="31"/>
  <c r="H18" i="31" s="1"/>
  <c r="G22" i="31"/>
  <c r="H22" i="31" s="1"/>
  <c r="G26" i="31"/>
  <c r="H26" i="31" s="1"/>
  <c r="G30" i="31"/>
  <c r="H30" i="31" s="1"/>
  <c r="G34" i="31"/>
  <c r="H34" i="31" s="1"/>
  <c r="G42" i="31"/>
  <c r="H42" i="31" s="1"/>
  <c r="G46" i="31"/>
  <c r="H46" i="31" s="1"/>
  <c r="G50" i="31"/>
  <c r="H50" i="31" s="1"/>
  <c r="G54" i="31"/>
  <c r="H54" i="31" s="1"/>
  <c r="G13" i="32"/>
  <c r="H13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45" i="32"/>
  <c r="H45" i="32" s="1"/>
  <c r="G49" i="32"/>
  <c r="H49" i="32" s="1"/>
  <c r="G53" i="32"/>
  <c r="H53" i="32" s="1"/>
  <c r="G12" i="33"/>
  <c r="H12" i="33" s="1"/>
  <c r="G16" i="33"/>
  <c r="H16" i="33" s="1"/>
  <c r="G20" i="33"/>
  <c r="H20" i="33" s="1"/>
  <c r="G28" i="33"/>
  <c r="H28" i="33" s="1"/>
  <c r="G32" i="33"/>
  <c r="H32" i="33" s="1"/>
  <c r="G36" i="33"/>
  <c r="H36" i="33" s="1"/>
  <c r="G40" i="33"/>
  <c r="H40" i="33" s="1"/>
  <c r="G44" i="33"/>
  <c r="H44" i="33" s="1"/>
  <c r="G48" i="33"/>
  <c r="H48" i="33" s="1"/>
  <c r="G52" i="33"/>
  <c r="H52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5" i="35"/>
  <c r="H35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2" i="36"/>
  <c r="H22" i="36" s="1"/>
  <c r="G26" i="36"/>
  <c r="H26" i="36" s="1"/>
  <c r="G30" i="36"/>
  <c r="H30" i="36" s="1"/>
  <c r="G34" i="36"/>
  <c r="H34" i="36" s="1"/>
  <c r="G38" i="36"/>
  <c r="H38" i="36" s="1"/>
  <c r="G42" i="36"/>
  <c r="H42" i="36" s="1"/>
  <c r="G46" i="36"/>
  <c r="H46" i="36" s="1"/>
  <c r="G50" i="36"/>
  <c r="H50" i="36" s="1"/>
  <c r="G54" i="36"/>
  <c r="H54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1" i="37"/>
  <c r="H41" i="37" s="1"/>
  <c r="G45" i="37"/>
  <c r="H45" i="37" s="1"/>
  <c r="G49" i="37"/>
  <c r="H49" i="37" s="1"/>
  <c r="G53" i="37"/>
  <c r="H53" i="37" s="1"/>
  <c r="G11" i="31"/>
  <c r="H11" i="31" s="1"/>
  <c r="G15" i="31"/>
  <c r="H15" i="31" s="1"/>
  <c r="G23" i="31"/>
  <c r="H23" i="31" s="1"/>
  <c r="G27" i="31"/>
  <c r="H27" i="31" s="1"/>
  <c r="G31" i="31"/>
  <c r="H31" i="31" s="1"/>
  <c r="G35" i="31"/>
  <c r="H35" i="31" s="1"/>
  <c r="G39" i="31"/>
  <c r="H39" i="31" s="1"/>
  <c r="G43" i="31"/>
  <c r="H43" i="31" s="1"/>
  <c r="G51" i="31"/>
  <c r="H51" i="31" s="1"/>
  <c r="G55" i="31"/>
  <c r="H55" i="31" s="1"/>
  <c r="G10" i="32"/>
  <c r="H10" i="32" s="1"/>
  <c r="G14" i="32"/>
  <c r="H14" i="32" s="1"/>
  <c r="G18" i="32"/>
  <c r="H18" i="32" s="1"/>
  <c r="G22" i="32"/>
  <c r="H22" i="32" s="1"/>
  <c r="G30" i="32"/>
  <c r="H30" i="32" s="1"/>
  <c r="G38" i="32"/>
  <c r="H38" i="32" s="1"/>
  <c r="G46" i="32"/>
  <c r="H46" i="32" s="1"/>
  <c r="G50" i="32"/>
  <c r="H50" i="32" s="1"/>
  <c r="G54" i="32"/>
  <c r="H54" i="32" s="1"/>
  <c r="G13" i="33"/>
  <c r="H13" i="33" s="1"/>
  <c r="G21" i="33"/>
  <c r="H21" i="33" s="1"/>
  <c r="G25" i="33"/>
  <c r="H25" i="33" s="1"/>
  <c r="G29" i="33"/>
  <c r="H29" i="33" s="1"/>
  <c r="G33" i="33"/>
  <c r="H33" i="33" s="1"/>
  <c r="G41" i="33"/>
  <c r="H41" i="33" s="1"/>
  <c r="G45" i="33"/>
  <c r="H45" i="33" s="1"/>
  <c r="G49" i="33"/>
  <c r="H49" i="33" s="1"/>
  <c r="G53" i="33"/>
  <c r="H53" i="33" s="1"/>
  <c r="G12" i="34"/>
  <c r="H12" i="34" s="1"/>
  <c r="G17" i="34"/>
  <c r="H17" i="34" s="1"/>
  <c r="G21" i="34"/>
  <c r="H21" i="34" s="1"/>
  <c r="G25" i="34"/>
  <c r="H25" i="34" s="1"/>
  <c r="G29" i="34"/>
  <c r="H29" i="34" s="1"/>
  <c r="G37" i="34"/>
  <c r="H37" i="34" s="1"/>
  <c r="G41" i="34"/>
  <c r="H41" i="34" s="1"/>
  <c r="G45" i="34"/>
  <c r="H45" i="34" s="1"/>
  <c r="G49" i="34"/>
  <c r="H49" i="34" s="1"/>
  <c r="G53" i="34"/>
  <c r="H53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18" i="37"/>
  <c r="H18" i="37" s="1"/>
  <c r="G22" i="37"/>
  <c r="H22" i="37" s="1"/>
  <c r="G26" i="37"/>
  <c r="H26" i="37" s="1"/>
  <c r="G30" i="37"/>
  <c r="H30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16" i="32"/>
  <c r="E23" i="32"/>
  <c r="E39" i="32"/>
  <c r="E13" i="32"/>
  <c r="E16" i="33"/>
  <c r="E32" i="33"/>
  <c r="E19" i="35"/>
  <c r="E51" i="35"/>
  <c r="E21" i="37"/>
  <c r="E37" i="37"/>
  <c r="E53" i="37"/>
  <c r="E21" i="26"/>
  <c r="E37" i="26"/>
  <c r="E53" i="26"/>
  <c r="E35" i="36"/>
  <c r="E31" i="31"/>
  <c r="E35" i="31"/>
  <c r="E39" i="31"/>
  <c r="E43" i="31"/>
  <c r="E51" i="31"/>
  <c r="E7" i="32"/>
  <c r="E10" i="32"/>
  <c r="E15" i="32"/>
  <c r="E41" i="32"/>
  <c r="E45" i="32"/>
  <c r="E10" i="33"/>
  <c r="E34" i="33"/>
  <c r="E25" i="36"/>
  <c r="E42" i="37"/>
  <c r="E7" i="31"/>
  <c r="E14" i="31"/>
  <c r="E18" i="31"/>
  <c r="E22" i="31"/>
  <c r="E26" i="31"/>
  <c r="E30" i="31"/>
  <c r="E34" i="31"/>
  <c r="E42" i="31"/>
  <c r="E46" i="31"/>
  <c r="E50" i="31"/>
  <c r="E54" i="31"/>
  <c r="E57" i="31"/>
  <c r="E9" i="32"/>
  <c r="E14" i="32"/>
  <c r="E20" i="32"/>
  <c r="E32" i="32"/>
  <c r="E36" i="32"/>
  <c r="E38" i="32"/>
  <c r="E47" i="32"/>
  <c r="E49" i="32"/>
  <c r="E53" i="32"/>
  <c r="E9" i="33"/>
  <c r="E14" i="33"/>
  <c r="E19" i="33"/>
  <c r="E23" i="33"/>
  <c r="E28" i="33"/>
  <c r="E33" i="33"/>
  <c r="E36" i="33"/>
  <c r="E40" i="33"/>
  <c r="E46" i="33"/>
  <c r="E53" i="33"/>
  <c r="E16" i="34"/>
  <c r="E21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43" i="32"/>
  <c r="E7" i="33"/>
  <c r="E15" i="33"/>
  <c r="E20" i="33"/>
  <c r="E44" i="33"/>
  <c r="E10" i="34"/>
  <c r="E30" i="36"/>
  <c r="E44" i="36"/>
  <c r="E9" i="37"/>
  <c r="E9" i="31"/>
  <c r="E13" i="31"/>
  <c r="E17" i="31"/>
  <c r="E21" i="31"/>
  <c r="E25" i="31"/>
  <c r="E33" i="31"/>
  <c r="E37" i="31"/>
  <c r="E41" i="31"/>
  <c r="E45" i="31"/>
  <c r="E49" i="31"/>
  <c r="E53" i="31"/>
  <c r="E12" i="32"/>
  <c r="E19" i="32"/>
  <c r="E25" i="32"/>
  <c r="E27" i="32"/>
  <c r="E29" i="32"/>
  <c r="E40" i="32"/>
  <c r="E44" i="32"/>
  <c r="E46" i="32"/>
  <c r="E57" i="32"/>
  <c r="E13" i="33"/>
  <c r="E18" i="33"/>
  <c r="E22" i="33"/>
  <c r="E27" i="33"/>
  <c r="E31" i="33"/>
  <c r="E39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36" i="37"/>
  <c r="E41" i="37"/>
  <c r="E11" i="31"/>
  <c r="E15" i="31"/>
  <c r="E23" i="31"/>
  <c r="E55" i="31"/>
  <c r="E21" i="32"/>
  <c r="E25" i="33"/>
  <c r="E29" i="33"/>
  <c r="E42" i="34"/>
  <c r="E12" i="31"/>
  <c r="E16" i="31"/>
  <c r="E20" i="31"/>
  <c r="E24" i="31"/>
  <c r="E28" i="31"/>
  <c r="E32" i="31"/>
  <c r="E36" i="31"/>
  <c r="E40" i="31"/>
  <c r="E44" i="31"/>
  <c r="E48" i="31"/>
  <c r="E52" i="31"/>
  <c r="E11" i="32"/>
  <c r="E18" i="32"/>
  <c r="E22" i="32"/>
  <c r="E31" i="32"/>
  <c r="E33" i="32"/>
  <c r="E35" i="32"/>
  <c r="E37" i="32"/>
  <c r="E48" i="32"/>
  <c r="E50" i="32"/>
  <c r="E52" i="32"/>
  <c r="E54" i="32"/>
  <c r="E12" i="33"/>
  <c r="E21" i="33"/>
  <c r="E26" i="33"/>
  <c r="E35" i="33"/>
  <c r="E41" i="33"/>
  <c r="E48" i="33"/>
  <c r="E51" i="33"/>
  <c r="E54" i="33"/>
  <c r="E17" i="34"/>
  <c r="E29" i="34"/>
  <c r="E54" i="34"/>
  <c r="E27" i="35"/>
  <c r="E50" i="35"/>
  <c r="E55" i="35"/>
  <c r="E12" i="36"/>
  <c r="E21" i="36"/>
  <c r="E26" i="37"/>
  <c r="E47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49" i="35"/>
  <c r="E54" i="35"/>
  <c r="E7" i="36"/>
  <c r="E10" i="36"/>
  <c r="E15" i="36"/>
  <c r="E20" i="36"/>
  <c r="E24" i="36"/>
  <c r="E29" i="36"/>
  <c r="E33" i="36"/>
  <c r="E38" i="36"/>
  <c r="E42" i="36"/>
  <c r="E47" i="36"/>
  <c r="E52" i="36"/>
  <c r="E14" i="37"/>
  <c r="E19" i="37"/>
  <c r="E24" i="37"/>
  <c r="E30" i="37"/>
  <c r="E35" i="37"/>
  <c r="E40" i="37"/>
  <c r="E46" i="37"/>
  <c r="E51" i="37"/>
  <c r="E57" i="33"/>
  <c r="E9" i="34"/>
  <c r="E13" i="34"/>
  <c r="E19" i="34"/>
  <c r="E23" i="34"/>
  <c r="E27" i="34"/>
  <c r="E31" i="34"/>
  <c r="E35" i="34"/>
  <c r="E39" i="34"/>
  <c r="E44" i="34"/>
  <c r="E48" i="34"/>
  <c r="E52" i="34"/>
  <c r="E12" i="35"/>
  <c r="E16" i="35"/>
  <c r="E21" i="35"/>
  <c r="E25" i="35"/>
  <c r="E30" i="35"/>
  <c r="E34" i="35"/>
  <c r="E35" i="35"/>
  <c r="E39" i="35"/>
  <c r="E44" i="35"/>
  <c r="E48" i="35"/>
  <c r="E53" i="35"/>
  <c r="E57" i="35"/>
  <c r="E9" i="36"/>
  <c r="E14" i="36"/>
  <c r="E18" i="36"/>
  <c r="E19" i="36"/>
  <c r="E23" i="36"/>
  <c r="E32" i="36"/>
  <c r="E37" i="36"/>
  <c r="E46" i="36"/>
  <c r="E50" i="36"/>
  <c r="E51" i="36"/>
  <c r="E55" i="36"/>
  <c r="E7" i="37"/>
  <c r="E12" i="37"/>
  <c r="E13" i="37"/>
  <c r="E18" i="37"/>
  <c r="E23" i="37"/>
  <c r="E28" i="37"/>
  <c r="E29" i="37"/>
  <c r="E34" i="37"/>
  <c r="E39" i="37"/>
  <c r="E44" i="37"/>
  <c r="E45" i="37"/>
  <c r="E50" i="37"/>
  <c r="E55" i="37"/>
  <c r="E38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2" i="36"/>
  <c r="E26" i="36"/>
  <c r="E27" i="36"/>
  <c r="E31" i="36"/>
  <c r="E36" i="36"/>
  <c r="E40" i="36"/>
  <c r="E45" i="36"/>
  <c r="E49" i="36"/>
  <c r="E54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14" i="29"/>
  <c r="E30" i="29"/>
  <c r="E42" i="29"/>
  <c r="E47" i="29"/>
  <c r="E7" i="30"/>
  <c r="E14" i="30"/>
  <c r="E18" i="30"/>
  <c r="E50" i="30"/>
  <c r="E54" i="30"/>
  <c r="E19" i="27"/>
  <c r="E24" i="27"/>
  <c r="E35" i="27"/>
  <c r="E40" i="27"/>
  <c r="E46" i="27"/>
  <c r="E13" i="29"/>
  <c r="E17" i="29"/>
  <c r="E21" i="29"/>
  <c r="E25" i="29"/>
  <c r="E29" i="29"/>
  <c r="E33" i="29"/>
  <c r="E37" i="29"/>
  <c r="E41" i="29"/>
  <c r="E46" i="29"/>
  <c r="E50" i="29"/>
  <c r="E57" i="29"/>
  <c r="E9" i="30"/>
  <c r="E17" i="30"/>
  <c r="E25" i="30"/>
  <c r="E33" i="30"/>
  <c r="E41" i="30"/>
  <c r="E45" i="30"/>
  <c r="E53" i="30"/>
  <c r="E7" i="27"/>
  <c r="E13" i="27"/>
  <c r="E23" i="27"/>
  <c r="E28" i="27"/>
  <c r="E29" i="27"/>
  <c r="E34" i="27"/>
  <c r="E39" i="27"/>
  <c r="E45" i="27"/>
  <c r="E50" i="27"/>
  <c r="E54" i="27"/>
  <c r="E57" i="27"/>
  <c r="E9" i="28"/>
  <c r="E10" i="28"/>
  <c r="E12" i="29"/>
  <c r="E20" i="29"/>
  <c r="E24" i="29"/>
  <c r="E28" i="29"/>
  <c r="E36" i="29"/>
  <c r="E40" i="29"/>
  <c r="E45" i="29"/>
  <c r="E49" i="29"/>
  <c r="E53" i="29"/>
  <c r="E12" i="30"/>
  <c r="E16" i="30"/>
  <c r="E20" i="30"/>
  <c r="E24" i="30"/>
  <c r="E28" i="30"/>
  <c r="E36" i="30"/>
  <c r="E44" i="30"/>
  <c r="E48" i="30"/>
  <c r="E52" i="30"/>
  <c r="E10" i="27"/>
  <c r="E20" i="27"/>
  <c r="E26" i="27"/>
  <c r="E36" i="27"/>
  <c r="E42" i="27"/>
  <c r="E47" i="27"/>
  <c r="E52" i="27"/>
  <c r="E12" i="28"/>
  <c r="E9" i="29"/>
  <c r="E18" i="29"/>
  <c r="E26" i="29"/>
  <c r="E34" i="29"/>
  <c r="E51" i="29"/>
  <c r="E55" i="29"/>
  <c r="E10" i="30"/>
  <c r="E22" i="30"/>
  <c r="E26" i="30"/>
  <c r="E30" i="30"/>
  <c r="E34" i="30"/>
  <c r="E38" i="30"/>
  <c r="E42" i="30"/>
  <c r="E46" i="30"/>
  <c r="E57" i="30"/>
  <c r="E9" i="27"/>
  <c r="E14" i="27"/>
  <c r="E30" i="27"/>
  <c r="E41" i="27"/>
  <c r="E55" i="27"/>
  <c r="E7" i="28"/>
  <c r="E11" i="28"/>
  <c r="E13" i="30"/>
  <c r="E21" i="30"/>
  <c r="E29" i="30"/>
  <c r="E37" i="30"/>
  <c r="E11" i="27"/>
  <c r="E16" i="27"/>
  <c r="E22" i="27"/>
  <c r="E27" i="27"/>
  <c r="E32" i="27"/>
  <c r="E43" i="27"/>
  <c r="E48" i="27"/>
  <c r="E53" i="27"/>
  <c r="E7" i="29"/>
  <c r="E10" i="29"/>
  <c r="E15" i="29"/>
  <c r="E19" i="29"/>
  <c r="E23" i="29"/>
  <c r="E31" i="29"/>
  <c r="E35" i="29"/>
  <c r="E39" i="29"/>
  <c r="E44" i="29"/>
  <c r="E52" i="29"/>
  <c r="E11" i="30"/>
  <c r="E19" i="30"/>
  <c r="E27" i="30"/>
  <c r="E31" i="30"/>
  <c r="E35" i="30"/>
  <c r="E39" i="30"/>
  <c r="E43" i="30"/>
  <c r="E47" i="30"/>
  <c r="E51" i="30"/>
  <c r="E55" i="30"/>
  <c r="E9" i="26"/>
  <c r="E35" i="26"/>
  <c r="E40" i="26"/>
  <c r="E7" i="26"/>
  <c r="E12" i="26"/>
  <c r="E13" i="26"/>
  <c r="E18" i="26"/>
  <c r="E23" i="26"/>
  <c r="E28" i="26"/>
  <c r="E29" i="26"/>
  <c r="E34" i="26"/>
  <c r="E39" i="26"/>
  <c r="E44" i="26"/>
  <c r="E45" i="26"/>
  <c r="E50" i="26"/>
  <c r="E11" i="26"/>
  <c r="E16" i="26"/>
  <c r="E22" i="26"/>
  <c r="E27" i="26"/>
  <c r="E32" i="26"/>
  <c r="E33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7" i="26"/>
  <c r="E52" i="26"/>
  <c r="I35" i="29" l="1"/>
  <c r="I13" i="29"/>
  <c r="I39" i="29"/>
  <c r="I9" i="29"/>
  <c r="I12" i="29"/>
  <c r="I18" i="29"/>
  <c r="I20" i="29"/>
  <c r="I7" i="29"/>
  <c r="J7" i="29" s="1"/>
  <c r="I24" i="29"/>
  <c r="I33" i="29"/>
  <c r="I25" i="29"/>
  <c r="I51" i="29"/>
  <c r="I47" i="29"/>
  <c r="I37" i="29"/>
  <c r="I44" i="29"/>
  <c r="I45" i="29"/>
  <c r="I36" i="29"/>
  <c r="I28" i="29"/>
  <c r="I50" i="29"/>
  <c r="I31" i="29"/>
  <c r="I34" i="29"/>
  <c r="I49" i="29"/>
  <c r="I57" i="29"/>
  <c r="J57" i="29" s="1"/>
  <c r="Q17" i="29" s="1"/>
  <c r="I41" i="29"/>
  <c r="I21" i="29"/>
  <c r="I15" i="29"/>
  <c r="I26" i="29"/>
  <c r="J26" i="29" s="1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14" i="29"/>
  <c r="J14" i="29" s="1"/>
  <c r="I57" i="35"/>
  <c r="J57" i="35" s="1"/>
  <c r="Q17" i="35" s="1"/>
  <c r="I53" i="35"/>
  <c r="I48" i="35"/>
  <c r="I44" i="35"/>
  <c r="I39" i="35"/>
  <c r="I35" i="35"/>
  <c r="I34" i="35"/>
  <c r="I30" i="35"/>
  <c r="I25" i="35"/>
  <c r="I21" i="35"/>
  <c r="I16" i="35"/>
  <c r="I12" i="35"/>
  <c r="I54" i="35"/>
  <c r="I49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8" i="37"/>
  <c r="I13" i="37"/>
  <c r="I12" i="37"/>
  <c r="I7" i="37"/>
  <c r="J7" i="37" s="1"/>
  <c r="I51" i="37"/>
  <c r="I46" i="37"/>
  <c r="I41" i="37"/>
  <c r="I40" i="37"/>
  <c r="I35" i="37"/>
  <c r="I30" i="37"/>
  <c r="I25" i="37"/>
  <c r="I24" i="37"/>
  <c r="I19" i="37"/>
  <c r="I14" i="37"/>
  <c r="I9" i="37"/>
  <c r="I53" i="37"/>
  <c r="I52" i="37"/>
  <c r="I47" i="37"/>
  <c r="I42" i="37"/>
  <c r="I37" i="37"/>
  <c r="I36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41" i="31"/>
  <c r="I37" i="31"/>
  <c r="I33" i="31"/>
  <c r="I25" i="31"/>
  <c r="I21" i="31"/>
  <c r="I17" i="31"/>
  <c r="I13" i="31"/>
  <c r="I9" i="31"/>
  <c r="I24" i="31"/>
  <c r="I20" i="31"/>
  <c r="I16" i="31"/>
  <c r="I12" i="31"/>
  <c r="I57" i="31"/>
  <c r="J57" i="31" s="1"/>
  <c r="Q17" i="31" s="1"/>
  <c r="I54" i="31"/>
  <c r="I50" i="31"/>
  <c r="I46" i="31"/>
  <c r="I42" i="31"/>
  <c r="I34" i="31"/>
  <c r="I30" i="31"/>
  <c r="I26" i="31"/>
  <c r="I22" i="31"/>
  <c r="I18" i="31"/>
  <c r="I14" i="31"/>
  <c r="I7" i="31"/>
  <c r="J7" i="31" s="1"/>
  <c r="I28" i="31"/>
  <c r="I55" i="31"/>
  <c r="I51" i="31"/>
  <c r="I43" i="31"/>
  <c r="I39" i="31"/>
  <c r="I35" i="31"/>
  <c r="I31" i="31"/>
  <c r="I27" i="31"/>
  <c r="I23" i="31"/>
  <c r="I15" i="31"/>
  <c r="I11" i="31"/>
  <c r="I52" i="31"/>
  <c r="I48" i="31"/>
  <c r="I44" i="31"/>
  <c r="I40" i="31"/>
  <c r="I36" i="31"/>
  <c r="I32" i="31"/>
  <c r="I55" i="36"/>
  <c r="I51" i="36"/>
  <c r="I50" i="36"/>
  <c r="I46" i="36"/>
  <c r="I37" i="36"/>
  <c r="I32" i="36"/>
  <c r="I23" i="36"/>
  <c r="I19" i="36"/>
  <c r="I18" i="36"/>
  <c r="I14" i="36"/>
  <c r="I9" i="36"/>
  <c r="I52" i="36"/>
  <c r="I47" i="36"/>
  <c r="I43" i="36"/>
  <c r="I42" i="36"/>
  <c r="I38" i="36"/>
  <c r="I33" i="36"/>
  <c r="I29" i="36"/>
  <c r="I24" i="36"/>
  <c r="I20" i="36"/>
  <c r="I15" i="36"/>
  <c r="I11" i="36"/>
  <c r="I10" i="36"/>
  <c r="I7" i="36"/>
  <c r="J7" i="36" s="1"/>
  <c r="I48" i="36"/>
  <c r="I44" i="36"/>
  <c r="I39" i="36"/>
  <c r="I35" i="36"/>
  <c r="I34" i="36"/>
  <c r="I30" i="36"/>
  <c r="I25" i="36"/>
  <c r="I21" i="36"/>
  <c r="I12" i="36"/>
  <c r="I54" i="36"/>
  <c r="I45" i="36"/>
  <c r="I36" i="36"/>
  <c r="I31" i="36"/>
  <c r="I26" i="36"/>
  <c r="I17" i="36"/>
  <c r="I57" i="36"/>
  <c r="J57" i="36" s="1"/>
  <c r="Q17" i="36" s="1"/>
  <c r="I27" i="36"/>
  <c r="I22" i="36"/>
  <c r="I13" i="36"/>
  <c r="I49" i="36"/>
  <c r="I40" i="36"/>
  <c r="I19" i="32"/>
  <c r="I13" i="32"/>
  <c r="I12" i="32"/>
  <c r="I18" i="32"/>
  <c r="I20" i="32"/>
  <c r="I14" i="32"/>
  <c r="I9" i="32"/>
  <c r="I16" i="32"/>
  <c r="I15" i="32"/>
  <c r="I10" i="32"/>
  <c r="I7" i="32"/>
  <c r="J7" i="32" s="1"/>
  <c r="I11" i="32"/>
  <c r="I15" i="34"/>
  <c r="I52" i="34"/>
  <c r="I48" i="34"/>
  <c r="I44" i="34"/>
  <c r="I39" i="34"/>
  <c r="I35" i="34"/>
  <c r="I31" i="34"/>
  <c r="I27" i="34"/>
  <c r="I23" i="34"/>
  <c r="I19" i="34"/>
  <c r="I13" i="34"/>
  <c r="I9" i="34"/>
  <c r="I53" i="34"/>
  <c r="I49" i="34"/>
  <c r="I45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29" i="34"/>
  <c r="I25" i="34"/>
  <c r="I21" i="34"/>
  <c r="I43" i="34"/>
  <c r="I34" i="34"/>
  <c r="I18" i="34"/>
  <c r="I11" i="34"/>
  <c r="I17" i="34"/>
  <c r="I55" i="34"/>
  <c r="I30" i="34"/>
  <c r="I12" i="34"/>
  <c r="I47" i="34"/>
  <c r="I38" i="34"/>
  <c r="I22" i="34"/>
  <c r="I51" i="34"/>
  <c r="I26" i="34"/>
  <c r="I57" i="33"/>
  <c r="J57" i="33" s="1"/>
  <c r="Q17" i="33" s="1"/>
  <c r="I53" i="33"/>
  <c r="I49" i="33"/>
  <c r="I44" i="33"/>
  <c r="I40" i="33"/>
  <c r="I39" i="33"/>
  <c r="I35" i="33"/>
  <c r="I55" i="33"/>
  <c r="I52" i="33"/>
  <c r="I45" i="33"/>
  <c r="I42" i="33"/>
  <c r="I32" i="33"/>
  <c r="I31" i="33"/>
  <c r="I27" i="33"/>
  <c r="I22" i="33"/>
  <c r="I18" i="33"/>
  <c r="I13" i="33"/>
  <c r="I54" i="33"/>
  <c r="I41" i="33"/>
  <c r="I38" i="33"/>
  <c r="I46" i="33"/>
  <c r="I36" i="33"/>
  <c r="I33" i="33"/>
  <c r="I28" i="33"/>
  <c r="I23" i="33"/>
  <c r="I19" i="33"/>
  <c r="I14" i="33"/>
  <c r="I9" i="33"/>
  <c r="I48" i="33"/>
  <c r="I21" i="33"/>
  <c r="I12" i="33"/>
  <c r="I47" i="33"/>
  <c r="I34" i="33"/>
  <c r="I29" i="33"/>
  <c r="I25" i="33"/>
  <c r="I20" i="33"/>
  <c r="I16" i="33"/>
  <c r="I15" i="33"/>
  <c r="I10" i="33"/>
  <c r="I7" i="33"/>
  <c r="J7" i="33" s="1"/>
  <c r="I51" i="33"/>
  <c r="I26" i="33"/>
  <c r="I52" i="30"/>
  <c r="I48" i="30"/>
  <c r="I44" i="30"/>
  <c r="I36" i="30"/>
  <c r="I28" i="30"/>
  <c r="I24" i="30"/>
  <c r="I20" i="30"/>
  <c r="I16" i="30"/>
  <c r="I12" i="30"/>
  <c r="I46" i="30"/>
  <c r="I38" i="30"/>
  <c r="I30" i="30"/>
  <c r="I22" i="30"/>
  <c r="I14" i="30"/>
  <c r="I47" i="30"/>
  <c r="I43" i="30"/>
  <c r="I39" i="30"/>
  <c r="I35" i="30"/>
  <c r="I31" i="30"/>
  <c r="I27" i="30"/>
  <c r="I11" i="30"/>
  <c r="I53" i="30"/>
  <c r="I45" i="30"/>
  <c r="I41" i="30"/>
  <c r="I37" i="30"/>
  <c r="I33" i="30"/>
  <c r="I29" i="30"/>
  <c r="I25" i="30"/>
  <c r="I21" i="30"/>
  <c r="I17" i="30"/>
  <c r="I13" i="30"/>
  <c r="I9" i="30"/>
  <c r="I57" i="30"/>
  <c r="J57" i="30" s="1"/>
  <c r="Q17" i="30" s="1"/>
  <c r="I54" i="30"/>
  <c r="I50" i="30"/>
  <c r="I42" i="30"/>
  <c r="I34" i="30"/>
  <c r="I26" i="30"/>
  <c r="I18" i="30"/>
  <c r="I10" i="30"/>
  <c r="I7" i="30"/>
  <c r="J7" i="30" s="1"/>
  <c r="I55" i="30"/>
  <c r="I51" i="30"/>
  <c r="I19" i="30"/>
  <c r="I55" i="28"/>
  <c r="I46" i="28"/>
  <c r="I42" i="28"/>
  <c r="I38" i="28"/>
  <c r="I34" i="28"/>
  <c r="I30" i="28"/>
  <c r="I26" i="28"/>
  <c r="I22" i="28"/>
  <c r="I14" i="28"/>
  <c r="I10" i="28"/>
  <c r="I9" i="28"/>
  <c r="I24" i="28"/>
  <c r="I20" i="28"/>
  <c r="I12" i="28"/>
  <c r="I45" i="28"/>
  <c r="I37" i="28"/>
  <c r="I21" i="28"/>
  <c r="I13" i="28"/>
  <c r="I52" i="28"/>
  <c r="I51" i="28"/>
  <c r="I47" i="28"/>
  <c r="I43" i="28"/>
  <c r="I35" i="28"/>
  <c r="I31" i="28"/>
  <c r="I27" i="28"/>
  <c r="I23" i="28"/>
  <c r="I19" i="28"/>
  <c r="I15" i="28"/>
  <c r="I11" i="28"/>
  <c r="I7" i="28"/>
  <c r="J7" i="28" s="1"/>
  <c r="I53" i="28"/>
  <c r="I48" i="28"/>
  <c r="I44" i="28"/>
  <c r="I40" i="28"/>
  <c r="I36" i="28"/>
  <c r="I32" i="28"/>
  <c r="I28" i="28"/>
  <c r="I16" i="28"/>
  <c r="I57" i="28"/>
  <c r="J57" i="28" s="1"/>
  <c r="Q17" i="28" s="1"/>
  <c r="I54" i="28"/>
  <c r="I49" i="28"/>
  <c r="I41" i="28"/>
  <c r="I33" i="28"/>
  <c r="I25" i="28"/>
  <c r="I17" i="28"/>
  <c r="I57" i="27"/>
  <c r="J57" i="27" s="1"/>
  <c r="Q17" i="27" s="1"/>
  <c r="I54" i="27"/>
  <c r="I50" i="27"/>
  <c r="I45" i="27"/>
  <c r="I39" i="27"/>
  <c r="I34" i="27"/>
  <c r="I29" i="27"/>
  <c r="I28" i="27"/>
  <c r="I23" i="27"/>
  <c r="I13" i="27"/>
  <c r="I7" i="27"/>
  <c r="J7" i="27" s="1"/>
  <c r="I42" i="27"/>
  <c r="I15" i="27"/>
  <c r="I10" i="27"/>
  <c r="I53" i="27"/>
  <c r="I49" i="27"/>
  <c r="I48" i="27"/>
  <c r="I43" i="27"/>
  <c r="I33" i="27"/>
  <c r="I32" i="27"/>
  <c r="I27" i="27"/>
  <c r="I22" i="27"/>
  <c r="I11" i="27"/>
  <c r="I55" i="27"/>
  <c r="I46" i="27"/>
  <c r="I41" i="27"/>
  <c r="I40" i="27"/>
  <c r="I35" i="27"/>
  <c r="I30" i="27"/>
  <c r="I24" i="27"/>
  <c r="I19" i="27"/>
  <c r="I14" i="27"/>
  <c r="I9" i="27"/>
  <c r="I52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6" i="26"/>
  <c r="I11" i="26"/>
  <c r="I53" i="26"/>
  <c r="I52" i="26"/>
  <c r="I47" i="26"/>
  <c r="I26" i="26"/>
  <c r="I21" i="26"/>
  <c r="I20" i="26"/>
  <c r="I15" i="26"/>
  <c r="I50" i="26"/>
  <c r="I45" i="26"/>
  <c r="I44" i="26"/>
  <c r="I39" i="26"/>
  <c r="I34" i="26"/>
  <c r="I29" i="26"/>
  <c r="I28" i="26"/>
  <c r="I23" i="26"/>
  <c r="I18" i="26"/>
  <c r="I13" i="26"/>
  <c r="I12" i="26"/>
  <c r="I7" i="26"/>
  <c r="J7" i="26" s="1"/>
  <c r="I51" i="26"/>
  <c r="I46" i="26"/>
  <c r="I41" i="26"/>
  <c r="I40" i="26"/>
  <c r="I35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J30" i="27"/>
  <c r="F23" i="27"/>
  <c r="J22" i="27"/>
  <c r="F54" i="27"/>
  <c r="J53" i="27"/>
  <c r="F35" i="27"/>
  <c r="J34" i="27"/>
  <c r="F55" i="28"/>
  <c r="J54" i="28"/>
  <c r="F48" i="28"/>
  <c r="J47" i="28"/>
  <c r="F32" i="26"/>
  <c r="J31" i="26"/>
  <c r="F15" i="26"/>
  <c r="J14" i="26"/>
  <c r="F31" i="26"/>
  <c r="F47" i="26"/>
  <c r="J46" i="26"/>
  <c r="F14" i="26"/>
  <c r="J13" i="26"/>
  <c r="J29" i="26"/>
  <c r="F46" i="26"/>
  <c r="J45" i="26"/>
  <c r="F21" i="26"/>
  <c r="J20" i="26"/>
  <c r="F48" i="26"/>
  <c r="J47" i="26"/>
  <c r="J16" i="26"/>
  <c r="F33" i="26"/>
  <c r="J32" i="26"/>
  <c r="F49" i="26"/>
  <c r="J48" i="26"/>
  <c r="F17" i="27"/>
  <c r="J16" i="27"/>
  <c r="F27" i="27"/>
  <c r="J26" i="27"/>
  <c r="F53" i="27"/>
  <c r="J52" i="27"/>
  <c r="J24" i="27"/>
  <c r="F41" i="27"/>
  <c r="J40" i="27"/>
  <c r="F57" i="27"/>
  <c r="J55" i="27"/>
  <c r="F33" i="27"/>
  <c r="J32" i="27"/>
  <c r="F49" i="27"/>
  <c r="J48" i="27"/>
  <c r="F16" i="27"/>
  <c r="J15" i="27"/>
  <c r="F13" i="27"/>
  <c r="F29" i="27"/>
  <c r="J28" i="27"/>
  <c r="F45" i="27"/>
  <c r="F42" i="28"/>
  <c r="J41" i="28"/>
  <c r="F17" i="28"/>
  <c r="J16" i="28"/>
  <c r="F41" i="28"/>
  <c r="J40" i="28"/>
  <c r="F24" i="28"/>
  <c r="J23" i="28"/>
  <c r="F40" i="28"/>
  <c r="F53" i="28"/>
  <c r="J52" i="28"/>
  <c r="F38" i="28"/>
  <c r="J37" i="28"/>
  <c r="F25" i="28"/>
  <c r="J24" i="28"/>
  <c r="F19" i="28"/>
  <c r="F35" i="28"/>
  <c r="J34" i="28"/>
  <c r="F51" i="28"/>
  <c r="F52" i="30"/>
  <c r="J51" i="30"/>
  <c r="F19" i="30"/>
  <c r="J18" i="30"/>
  <c r="F51" i="30"/>
  <c r="J50" i="30"/>
  <c r="F14" i="30"/>
  <c r="J13" i="30"/>
  <c r="F30" i="30"/>
  <c r="J29" i="30"/>
  <c r="F46" i="30"/>
  <c r="J45" i="30"/>
  <c r="F24" i="30"/>
  <c r="J39" i="30"/>
  <c r="J22" i="30"/>
  <c r="F13" i="30"/>
  <c r="J12" i="30"/>
  <c r="F29" i="30"/>
  <c r="J28" i="30"/>
  <c r="F45" i="30"/>
  <c r="J44" i="30"/>
  <c r="F52" i="33"/>
  <c r="J51" i="33"/>
  <c r="J16" i="33"/>
  <c r="F35" i="33"/>
  <c r="J34" i="33"/>
  <c r="F12" i="33"/>
  <c r="F49" i="33"/>
  <c r="J48" i="33"/>
  <c r="J23" i="33"/>
  <c r="J36" i="33"/>
  <c r="F39" i="33"/>
  <c r="J38" i="33"/>
  <c r="F19" i="33"/>
  <c r="J18" i="33"/>
  <c r="F33" i="33"/>
  <c r="J32" i="33"/>
  <c r="F57" i="33"/>
  <c r="J55" i="33"/>
  <c r="F45" i="33"/>
  <c r="J44" i="33"/>
  <c r="F27" i="34"/>
  <c r="J26" i="34"/>
  <c r="F48" i="34"/>
  <c r="J47" i="34"/>
  <c r="F18" i="34"/>
  <c r="J17" i="34"/>
  <c r="F44" i="34"/>
  <c r="J43" i="34"/>
  <c r="F34" i="34"/>
  <c r="F51" i="34"/>
  <c r="J50" i="34"/>
  <c r="F11" i="34"/>
  <c r="J10" i="34"/>
  <c r="F25" i="34"/>
  <c r="J24" i="34"/>
  <c r="F41" i="34"/>
  <c r="J40" i="34"/>
  <c r="F54" i="34"/>
  <c r="J53" i="34"/>
  <c r="F24" i="34"/>
  <c r="J23" i="34"/>
  <c r="F40" i="34"/>
  <c r="J39" i="34"/>
  <c r="F16" i="34"/>
  <c r="J15" i="34"/>
  <c r="F16" i="32"/>
  <c r="J15" i="32"/>
  <c r="J20" i="32"/>
  <c r="F14" i="32"/>
  <c r="J13" i="32"/>
  <c r="F14" i="36"/>
  <c r="J13" i="36"/>
  <c r="F18" i="36"/>
  <c r="J17" i="36"/>
  <c r="F46" i="36"/>
  <c r="J45" i="36"/>
  <c r="F22" i="36"/>
  <c r="J21" i="36"/>
  <c r="F36" i="36"/>
  <c r="J35" i="36"/>
  <c r="F54" i="36"/>
  <c r="J15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J52" i="31"/>
  <c r="F24" i="31"/>
  <c r="J23" i="31"/>
  <c r="F40" i="31"/>
  <c r="J39" i="31"/>
  <c r="F57" i="31"/>
  <c r="J55" i="31"/>
  <c r="F15" i="31"/>
  <c r="J14" i="31"/>
  <c r="F31" i="31"/>
  <c r="J30" i="31"/>
  <c r="J46" i="31"/>
  <c r="F13" i="31"/>
  <c r="J12" i="31"/>
  <c r="J9" i="31"/>
  <c r="F26" i="31"/>
  <c r="J25" i="31"/>
  <c r="F42" i="31"/>
  <c r="J41" i="31"/>
  <c r="F12" i="37"/>
  <c r="J11" i="37"/>
  <c r="F17" i="37"/>
  <c r="J16" i="37"/>
  <c r="F28" i="37"/>
  <c r="J27" i="37"/>
  <c r="F44" i="37"/>
  <c r="J43" i="37"/>
  <c r="F22" i="37"/>
  <c r="J21" i="37"/>
  <c r="F38" i="37"/>
  <c r="J37" i="37"/>
  <c r="F54" i="37"/>
  <c r="J53" i="37"/>
  <c r="F25" i="37"/>
  <c r="J24" i="37"/>
  <c r="F41" i="37"/>
  <c r="J40" i="37"/>
  <c r="F24" i="37"/>
  <c r="J23" i="37"/>
  <c r="F40" i="37"/>
  <c r="J39" i="37"/>
  <c r="F57" i="37"/>
  <c r="J55" i="37"/>
  <c r="F30" i="35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J49" i="35"/>
  <c r="F22" i="35"/>
  <c r="J21" i="35"/>
  <c r="F36" i="35"/>
  <c r="J35" i="35"/>
  <c r="F54" i="35"/>
  <c r="J53" i="35"/>
  <c r="F20" i="29"/>
  <c r="J19" i="29"/>
  <c r="F24" i="29"/>
  <c r="J23" i="29"/>
  <c r="F41" i="29"/>
  <c r="J40" i="29"/>
  <c r="F35" i="29"/>
  <c r="J34" i="29"/>
  <c r="F29" i="29"/>
  <c r="J28" i="29"/>
  <c r="F44" i="29"/>
  <c r="F26" i="29"/>
  <c r="J25" i="29"/>
  <c r="F10" i="29"/>
  <c r="J9" i="29"/>
  <c r="F49" i="29"/>
  <c r="F52" i="26"/>
  <c r="J51" i="26"/>
  <c r="F18" i="26"/>
  <c r="J17" i="27"/>
  <c r="F37" i="27"/>
  <c r="J36" i="27"/>
  <c r="F42" i="27"/>
  <c r="J41" i="27"/>
  <c r="J11" i="27"/>
  <c r="F34" i="27"/>
  <c r="J33" i="27"/>
  <c r="F50" i="27"/>
  <c r="J49" i="27"/>
  <c r="F32" i="27"/>
  <c r="F14" i="27"/>
  <c r="J13" i="27"/>
  <c r="F30" i="27"/>
  <c r="J29" i="27"/>
  <c r="F46" i="27"/>
  <c r="J45" i="27"/>
  <c r="J17" i="28"/>
  <c r="J49" i="28"/>
  <c r="J28" i="28"/>
  <c r="F45" i="28"/>
  <c r="J44" i="28"/>
  <c r="F12" i="28"/>
  <c r="J11" i="28"/>
  <c r="F28" i="28"/>
  <c r="J27" i="28"/>
  <c r="F44" i="28"/>
  <c r="J43" i="28"/>
  <c r="F14" i="28"/>
  <c r="J13" i="28"/>
  <c r="F46" i="28"/>
  <c r="J45" i="28"/>
  <c r="F10" i="28"/>
  <c r="J9" i="28"/>
  <c r="F23" i="28"/>
  <c r="J22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J33" i="30"/>
  <c r="F50" i="30"/>
  <c r="F28" i="30"/>
  <c r="J27" i="30"/>
  <c r="F44" i="30"/>
  <c r="J43" i="30"/>
  <c r="F31" i="30"/>
  <c r="J30" i="30"/>
  <c r="F17" i="30"/>
  <c r="J16" i="30"/>
  <c r="F33" i="30"/>
  <c r="J48" i="30"/>
  <c r="F21" i="33"/>
  <c r="J20" i="33"/>
  <c r="F38" i="33"/>
  <c r="F13" i="33"/>
  <c r="J12" i="33"/>
  <c r="F10" i="33"/>
  <c r="J9" i="33"/>
  <c r="F25" i="33"/>
  <c r="F44" i="33"/>
  <c r="F42" i="33"/>
  <c r="J41" i="33"/>
  <c r="F23" i="33"/>
  <c r="J22" i="33"/>
  <c r="J42" i="33"/>
  <c r="F36" i="33"/>
  <c r="J35" i="33"/>
  <c r="J49" i="33"/>
  <c r="F52" i="34"/>
  <c r="J51" i="34"/>
  <c r="F13" i="34"/>
  <c r="J12" i="34"/>
  <c r="F12" i="34"/>
  <c r="J11" i="34"/>
  <c r="F22" i="34"/>
  <c r="J21" i="34"/>
  <c r="F38" i="34"/>
  <c r="J37" i="34"/>
  <c r="F55" i="34"/>
  <c r="J54" i="34"/>
  <c r="F15" i="34"/>
  <c r="J14" i="34"/>
  <c r="F29" i="34"/>
  <c r="J28" i="34"/>
  <c r="F42" i="34"/>
  <c r="J41" i="34"/>
  <c r="F10" i="34"/>
  <c r="J9" i="34"/>
  <c r="F28" i="34"/>
  <c r="J27" i="34"/>
  <c r="F45" i="34"/>
  <c r="J44" i="34"/>
  <c r="F12" i="32"/>
  <c r="J11" i="32"/>
  <c r="J16" i="32"/>
  <c r="F18" i="32"/>
  <c r="F20" i="32"/>
  <c r="J19" i="32"/>
  <c r="F23" i="36"/>
  <c r="J22" i="36"/>
  <c r="F27" i="36"/>
  <c r="J26" i="36"/>
  <c r="F55" i="36"/>
  <c r="J54" i="36"/>
  <c r="F26" i="36"/>
  <c r="J25" i="36"/>
  <c r="F40" i="36"/>
  <c r="J39" i="36"/>
  <c r="F21" i="36"/>
  <c r="J20" i="36"/>
  <c r="F39" i="36"/>
  <c r="J38" i="36"/>
  <c r="J52" i="36"/>
  <c r="F20" i="36"/>
  <c r="J19" i="36"/>
  <c r="F38" i="36"/>
  <c r="J37" i="36"/>
  <c r="F52" i="36"/>
  <c r="J51" i="36"/>
  <c r="F41" i="31"/>
  <c r="J40" i="31"/>
  <c r="F12" i="31"/>
  <c r="J11" i="31"/>
  <c r="F28" i="31"/>
  <c r="J27" i="31"/>
  <c r="F44" i="31"/>
  <c r="J43" i="31"/>
  <c r="J28" i="31"/>
  <c r="J18" i="31"/>
  <c r="F35" i="31"/>
  <c r="J34" i="31"/>
  <c r="F51" i="31"/>
  <c r="J50" i="31"/>
  <c r="F17" i="31"/>
  <c r="J16" i="31"/>
  <c r="F14" i="31"/>
  <c r="J13" i="31"/>
  <c r="F30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J41" i="37"/>
  <c r="F13" i="37"/>
  <c r="J12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J53" i="29"/>
  <c r="J15" i="29"/>
  <c r="F50" i="29"/>
  <c r="J49" i="29"/>
  <c r="J31" i="29"/>
  <c r="F37" i="29"/>
  <c r="J36" i="29"/>
  <c r="J37" i="29"/>
  <c r="F34" i="29"/>
  <c r="J33" i="29"/>
  <c r="F21" i="29"/>
  <c r="J20" i="29"/>
  <c r="F40" i="29"/>
  <c r="J39" i="29"/>
  <c r="F36" i="29"/>
  <c r="J35" i="29"/>
  <c r="F36" i="26"/>
  <c r="J35" i="26"/>
  <c r="F51" i="26"/>
  <c r="J50" i="26"/>
  <c r="F38" i="26"/>
  <c r="J37" i="26"/>
  <c r="F27" i="26"/>
  <c r="J26" i="26"/>
  <c r="F15" i="27"/>
  <c r="J14" i="27"/>
  <c r="F19" i="27"/>
  <c r="F26" i="28"/>
  <c r="J25" i="28"/>
  <c r="F49" i="28"/>
  <c r="J48" i="28"/>
  <c r="F32" i="28"/>
  <c r="J31" i="28"/>
  <c r="F22" i="28"/>
  <c r="J21" i="28"/>
  <c r="F13" i="28"/>
  <c r="J12" i="28"/>
  <c r="F11" i="28"/>
  <c r="J10" i="28"/>
  <c r="F27" i="28"/>
  <c r="J26" i="28"/>
  <c r="F43" i="28"/>
  <c r="J42" i="28"/>
  <c r="F16" i="30"/>
  <c r="F35" i="30"/>
  <c r="J34" i="30"/>
  <c r="F22" i="30"/>
  <c r="J21" i="30"/>
  <c r="F38" i="30"/>
  <c r="J37" i="30"/>
  <c r="F54" i="30"/>
  <c r="J53" i="30"/>
  <c r="J31" i="30"/>
  <c r="F48" i="30"/>
  <c r="J47" i="30"/>
  <c r="F39" i="30"/>
  <c r="J38" i="30"/>
  <c r="F21" i="30"/>
  <c r="J20" i="30"/>
  <c r="F37" i="30"/>
  <c r="J36" i="30"/>
  <c r="F53" i="30"/>
  <c r="J52" i="30"/>
  <c r="J10" i="33"/>
  <c r="F26" i="33"/>
  <c r="J25" i="33"/>
  <c r="F48" i="33"/>
  <c r="J47" i="33"/>
  <c r="F18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J39" i="33"/>
  <c r="F54" i="33"/>
  <c r="J53" i="33"/>
  <c r="F23" i="34"/>
  <c r="J22" i="34"/>
  <c r="F31" i="34"/>
  <c r="J30" i="34"/>
  <c r="F19" i="34"/>
  <c r="J18" i="34"/>
  <c r="F26" i="34"/>
  <c r="J25" i="34"/>
  <c r="F43" i="34"/>
  <c r="J42" i="34"/>
  <c r="F17" i="34"/>
  <c r="J16" i="34"/>
  <c r="J32" i="34"/>
  <c r="F46" i="34"/>
  <c r="J45" i="34"/>
  <c r="F14" i="34"/>
  <c r="J13" i="34"/>
  <c r="F32" i="34"/>
  <c r="J31" i="34"/>
  <c r="F49" i="34"/>
  <c r="J48" i="34"/>
  <c r="F10" i="32"/>
  <c r="J9" i="32"/>
  <c r="F19" i="32"/>
  <c r="J18" i="32"/>
  <c r="J40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F57" i="36"/>
  <c r="J55" i="36"/>
  <c r="F45" i="31"/>
  <c r="J44" i="31"/>
  <c r="F16" i="31"/>
  <c r="J15" i="31"/>
  <c r="F32" i="31"/>
  <c r="J31" i="31"/>
  <c r="F48" i="31"/>
  <c r="F23" i="31"/>
  <c r="J22" i="31"/>
  <c r="F39" i="31"/>
  <c r="F55" i="31"/>
  <c r="J54" i="31"/>
  <c r="F21" i="31"/>
  <c r="J20" i="31"/>
  <c r="F18" i="31"/>
  <c r="J17" i="31"/>
  <c r="F34" i="31"/>
  <c r="J33" i="31"/>
  <c r="F50" i="31"/>
  <c r="J49" i="31"/>
  <c r="F50" i="37"/>
  <c r="J49" i="37"/>
  <c r="F39" i="37"/>
  <c r="J38" i="37"/>
  <c r="F18" i="37"/>
  <c r="J17" i="37"/>
  <c r="F16" i="37"/>
  <c r="J15" i="37"/>
  <c r="F32" i="37"/>
  <c r="J31" i="37"/>
  <c r="F48" i="37"/>
  <c r="J47" i="37"/>
  <c r="F15" i="37"/>
  <c r="J14" i="37"/>
  <c r="F31" i="37"/>
  <c r="J30" i="37"/>
  <c r="F47" i="37"/>
  <c r="J46" i="37"/>
  <c r="F14" i="37"/>
  <c r="J13" i="37"/>
  <c r="F30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J30" i="35"/>
  <c r="F45" i="35"/>
  <c r="J44" i="35"/>
  <c r="J10" i="29"/>
  <c r="F30" i="29"/>
  <c r="J29" i="29"/>
  <c r="J21" i="29"/>
  <c r="F23" i="29"/>
  <c r="F51" i="29"/>
  <c r="J50" i="29"/>
  <c r="F46" i="29"/>
  <c r="J45" i="29"/>
  <c r="J47" i="29"/>
  <c r="F25" i="29"/>
  <c r="J24" i="29"/>
  <c r="F19" i="29"/>
  <c r="J18" i="29"/>
  <c r="F14" i="29"/>
  <c r="J13" i="29"/>
  <c r="F37" i="26"/>
  <c r="J36" i="26"/>
  <c r="F19" i="26"/>
  <c r="J18" i="26"/>
  <c r="F22" i="26"/>
  <c r="J21" i="26"/>
  <c r="F34" i="26"/>
  <c r="J33" i="26"/>
  <c r="F26" i="27"/>
  <c r="F25" i="26"/>
  <c r="J24" i="26"/>
  <c r="F41" i="26"/>
  <c r="J40" i="26"/>
  <c r="F24" i="26"/>
  <c r="J23" i="26"/>
  <c r="F57" i="26"/>
  <c r="F23" i="26"/>
  <c r="J22" i="26"/>
  <c r="J54" i="26"/>
  <c r="J37" i="27"/>
  <c r="F47" i="27"/>
  <c r="J46" i="27"/>
  <c r="F39" i="27"/>
  <c r="F43" i="27"/>
  <c r="J42" i="27"/>
  <c r="J50" i="27"/>
  <c r="F33" i="28"/>
  <c r="J32" i="28"/>
  <c r="F16" i="28"/>
  <c r="J15" i="28"/>
  <c r="F11" i="26"/>
  <c r="J10" i="26"/>
  <c r="F10" i="26"/>
  <c r="J9" i="26"/>
  <c r="F26" i="26"/>
  <c r="J25" i="26"/>
  <c r="J41" i="26"/>
  <c r="F13" i="26"/>
  <c r="J12" i="26"/>
  <c r="F29" i="26"/>
  <c r="J28" i="26"/>
  <c r="F45" i="26"/>
  <c r="J44" i="26"/>
  <c r="F16" i="26"/>
  <c r="J15" i="26"/>
  <c r="F43" i="26"/>
  <c r="F12" i="26"/>
  <c r="J11" i="26"/>
  <c r="F28" i="26"/>
  <c r="J27" i="26"/>
  <c r="F44" i="26"/>
  <c r="J43" i="26"/>
  <c r="F22" i="27"/>
  <c r="J21" i="27"/>
  <c r="F48" i="27"/>
  <c r="J47" i="27"/>
  <c r="F20" i="27"/>
  <c r="J19" i="27"/>
  <c r="F36" i="27"/>
  <c r="J35" i="27"/>
  <c r="F52" i="27"/>
  <c r="F28" i="27"/>
  <c r="J27" i="27"/>
  <c r="J43" i="27"/>
  <c r="F11" i="27"/>
  <c r="J10" i="27"/>
  <c r="F24" i="27"/>
  <c r="J23" i="27"/>
  <c r="F40" i="27"/>
  <c r="J39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F30" i="28"/>
  <c r="F21" i="28"/>
  <c r="J20" i="28"/>
  <c r="F15" i="28"/>
  <c r="J14" i="28"/>
  <c r="F31" i="28"/>
  <c r="J30" i="28"/>
  <c r="F47" i="28"/>
  <c r="J46" i="28"/>
  <c r="F20" i="30"/>
  <c r="J19" i="30"/>
  <c r="F11" i="30"/>
  <c r="J10" i="30"/>
  <c r="F43" i="30"/>
  <c r="J42" i="30"/>
  <c r="F10" i="30"/>
  <c r="J9" i="30"/>
  <c r="F26" i="30"/>
  <c r="J25" i="30"/>
  <c r="F42" i="30"/>
  <c r="J41" i="30"/>
  <c r="F12" i="30"/>
  <c r="J11" i="30"/>
  <c r="F36" i="30"/>
  <c r="J35" i="30"/>
  <c r="J14" i="30"/>
  <c r="F47" i="30"/>
  <c r="J46" i="30"/>
  <c r="F25" i="30"/>
  <c r="J24" i="30"/>
  <c r="F41" i="30"/>
  <c r="F27" i="33"/>
  <c r="J26" i="33"/>
  <c r="F16" i="33"/>
  <c r="J15" i="33"/>
  <c r="J29" i="33"/>
  <c r="F51" i="33"/>
  <c r="F22" i="33"/>
  <c r="J21" i="33"/>
  <c r="F20" i="33"/>
  <c r="J19" i="33"/>
  <c r="F34" i="33"/>
  <c r="J33" i="33"/>
  <c r="F31" i="33"/>
  <c r="F14" i="33"/>
  <c r="J13" i="33"/>
  <c r="F32" i="33"/>
  <c r="J31" i="33"/>
  <c r="F53" i="33"/>
  <c r="J52" i="33"/>
  <c r="F41" i="33"/>
  <c r="J40" i="33"/>
  <c r="F39" i="34"/>
  <c r="J38" i="34"/>
  <c r="F57" i="34"/>
  <c r="J55" i="34"/>
  <c r="F35" i="34"/>
  <c r="J34" i="34"/>
  <c r="F30" i="34"/>
  <c r="J29" i="34"/>
  <c r="F47" i="34"/>
  <c r="J46" i="34"/>
  <c r="F21" i="34"/>
  <c r="J20" i="34"/>
  <c r="F37" i="34"/>
  <c r="J36" i="34"/>
  <c r="F50" i="34"/>
  <c r="J49" i="34"/>
  <c r="F20" i="34"/>
  <c r="J19" i="34"/>
  <c r="F36" i="34"/>
  <c r="J35" i="34"/>
  <c r="F53" i="34"/>
  <c r="J52" i="34"/>
  <c r="F11" i="32"/>
  <c r="J10" i="32"/>
  <c r="F15" i="32"/>
  <c r="J14" i="32"/>
  <c r="F13" i="32"/>
  <c r="J12" i="32"/>
  <c r="F50" i="36"/>
  <c r="J49" i="36"/>
  <c r="F37" i="36"/>
  <c r="J36" i="36"/>
  <c r="F17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F47" i="36"/>
  <c r="J46" i="36"/>
  <c r="F33" i="31"/>
  <c r="J32" i="31"/>
  <c r="F49" i="31"/>
  <c r="J48" i="31"/>
  <c r="F20" i="31"/>
  <c r="F36" i="31"/>
  <c r="J35" i="31"/>
  <c r="F52" i="31"/>
  <c r="J51" i="31"/>
  <c r="F11" i="31"/>
  <c r="F27" i="31"/>
  <c r="J26" i="31"/>
  <c r="F43" i="31"/>
  <c r="J42" i="31"/>
  <c r="F25" i="31"/>
  <c r="J24" i="31"/>
  <c r="F22" i="31"/>
  <c r="J21" i="31"/>
  <c r="J37" i="31"/>
  <c r="F54" i="31"/>
  <c r="J53" i="31"/>
  <c r="F55" i="37"/>
  <c r="J54" i="37"/>
  <c r="F23" i="37"/>
  <c r="J22" i="37"/>
  <c r="F21" i="37"/>
  <c r="J20" i="37"/>
  <c r="F37" i="37"/>
  <c r="J36" i="37"/>
  <c r="F53" i="37"/>
  <c r="J52" i="37"/>
  <c r="F20" i="37"/>
  <c r="J19" i="37"/>
  <c r="F36" i="37"/>
  <c r="J35" i="37"/>
  <c r="F52" i="37"/>
  <c r="J51" i="37"/>
  <c r="F19" i="37"/>
  <c r="J18" i="37"/>
  <c r="F35" i="37"/>
  <c r="J34" i="37"/>
  <c r="F51" i="37"/>
  <c r="J50" i="37"/>
  <c r="F21" i="35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J16" i="35"/>
  <c r="F35" i="35"/>
  <c r="J34" i="35"/>
  <c r="F49" i="35"/>
  <c r="J48" i="35"/>
  <c r="F31" i="29"/>
  <c r="J30" i="29"/>
  <c r="J42" i="29"/>
  <c r="F47" i="29"/>
  <c r="J46" i="29"/>
  <c r="F12" i="29"/>
  <c r="F42" i="29"/>
  <c r="J41" i="29"/>
  <c r="F28" i="29"/>
  <c r="F17" i="29"/>
  <c r="F45" i="29"/>
  <c r="J44" i="29"/>
  <c r="F52" i="29"/>
  <c r="J51" i="29"/>
  <c r="F33" i="29"/>
  <c r="F13" i="29"/>
  <c r="J12" i="29"/>
  <c r="F55" i="29"/>
  <c r="F9" i="29"/>
  <c r="F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L10" i="3"/>
  <c r="D11" i="3"/>
  <c r="D12" i="3"/>
  <c r="L12" i="3" s="1"/>
  <c r="D13" i="3"/>
  <c r="L13" i="3" s="1"/>
  <c r="D14" i="3"/>
  <c r="L14" i="3" s="1"/>
  <c r="D15" i="3"/>
  <c r="D16" i="3"/>
  <c r="L16" i="3" s="1"/>
  <c r="D17" i="3"/>
  <c r="L17" i="3" s="1"/>
  <c r="D18" i="3"/>
  <c r="L18" i="3" s="1"/>
  <c r="D20" i="3"/>
  <c r="L20" i="3" s="1"/>
  <c r="D21" i="3"/>
  <c r="L21" i="3" s="1"/>
  <c r="D22" i="3"/>
  <c r="L22" i="3" s="1"/>
  <c r="D23" i="3"/>
  <c r="D24" i="3"/>
  <c r="L24" i="3" s="1"/>
  <c r="D25" i="3"/>
  <c r="L25" i="3" s="1"/>
  <c r="D26" i="3"/>
  <c r="L26" i="3" s="1"/>
  <c r="D27" i="3"/>
  <c r="L28" i="3"/>
  <c r="D29" i="3"/>
  <c r="L29" i="3" s="1"/>
  <c r="D30" i="3"/>
  <c r="L30" i="3" s="1"/>
  <c r="D31" i="3"/>
  <c r="D32" i="3"/>
  <c r="L32" i="3" s="1"/>
  <c r="D33" i="3"/>
  <c r="L33" i="3" s="1"/>
  <c r="D34" i="3"/>
  <c r="L34" i="3" s="1"/>
  <c r="D35" i="3"/>
  <c r="L36" i="3"/>
  <c r="D37" i="3"/>
  <c r="L37" i="3" s="1"/>
  <c r="D38" i="3"/>
  <c r="L38" i="3" s="1"/>
  <c r="D39" i="3"/>
  <c r="D40" i="3"/>
  <c r="L40" i="3" s="1"/>
  <c r="D41" i="3"/>
  <c r="L41" i="3" s="1"/>
  <c r="D42" i="3"/>
  <c r="L42" i="3" s="1"/>
  <c r="D43" i="3"/>
  <c r="D44" i="3"/>
  <c r="L44" i="3" s="1"/>
  <c r="L45" i="3"/>
  <c r="D46" i="3"/>
  <c r="L46" i="3" s="1"/>
  <c r="D47" i="3"/>
  <c r="D48" i="3"/>
  <c r="L48" i="3" s="1"/>
  <c r="D49" i="3"/>
  <c r="L49" i="3" s="1"/>
  <c r="D50" i="3"/>
  <c r="L50" i="3" s="1"/>
  <c r="D51" i="3"/>
  <c r="D52" i="3"/>
  <c r="L52" i="3" s="1"/>
  <c r="L53" i="3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L13" i="5"/>
  <c r="D14" i="5"/>
  <c r="L14" i="5" s="1"/>
  <c r="D15" i="5"/>
  <c r="L15" i="5" s="1"/>
  <c r="D16" i="5"/>
  <c r="L16" i="5" s="1"/>
  <c r="D17" i="5"/>
  <c r="L17" i="5" s="1"/>
  <c r="D18" i="5"/>
  <c r="L18" i="5" s="1"/>
  <c r="L19" i="5"/>
  <c r="D20" i="5"/>
  <c r="L20" i="5" s="1"/>
  <c r="D21" i="5"/>
  <c r="L21" i="5" s="1"/>
  <c r="D22" i="5"/>
  <c r="L22" i="5" s="1"/>
  <c r="D23" i="5"/>
  <c r="L23" i="5" s="1"/>
  <c r="D24" i="5"/>
  <c r="L24" i="5" s="1"/>
  <c r="D25" i="5"/>
  <c r="L25" i="5" s="1"/>
  <c r="L26" i="5"/>
  <c r="D27" i="5"/>
  <c r="L27" i="5" s="1"/>
  <c r="D28" i="5"/>
  <c r="L28" i="5" s="1"/>
  <c r="D29" i="5"/>
  <c r="L29" i="5" s="1"/>
  <c r="D30" i="5"/>
  <c r="L30" i="5" s="1"/>
  <c r="D31" i="5"/>
  <c r="L31" i="5" s="1"/>
  <c r="L32" i="5"/>
  <c r="D33" i="5"/>
  <c r="L33" i="5" s="1"/>
  <c r="D34" i="5"/>
  <c r="L34" i="5" s="1"/>
  <c r="D35" i="5"/>
  <c r="L35" i="5" s="1"/>
  <c r="D36" i="5"/>
  <c r="L36" i="5" s="1"/>
  <c r="D37" i="5"/>
  <c r="L37" i="5" s="1"/>
  <c r="L38" i="5"/>
  <c r="D39" i="5"/>
  <c r="L39" i="5" s="1"/>
  <c r="D40" i="5"/>
  <c r="L40" i="5" s="1"/>
  <c r="D41" i="5"/>
  <c r="L41" i="5" s="1"/>
  <c r="D42" i="5"/>
  <c r="L42" i="5" s="1"/>
  <c r="D43" i="5"/>
  <c r="L43" i="5" s="1"/>
  <c r="L44" i="5"/>
  <c r="D45" i="5"/>
  <c r="L45" i="5" s="1"/>
  <c r="D46" i="5"/>
  <c r="L46" i="5" s="1"/>
  <c r="D47" i="5"/>
  <c r="L47" i="5" s="1"/>
  <c r="D48" i="5"/>
  <c r="L48" i="5" s="1"/>
  <c r="D49" i="5"/>
  <c r="L49" i="5" s="1"/>
  <c r="D50" i="5"/>
  <c r="L50" i="5" s="1"/>
  <c r="L51" i="5"/>
  <c r="D52" i="5"/>
  <c r="L52" i="5" s="1"/>
  <c r="D53" i="5"/>
  <c r="L53" i="5" s="1"/>
  <c r="D54" i="5"/>
  <c r="L54" i="5" s="1"/>
  <c r="D55" i="5"/>
  <c r="L55" i="5" s="1"/>
  <c r="D56" i="5"/>
  <c r="L56" i="5" s="1"/>
  <c r="L57" i="5"/>
  <c r="D58" i="5"/>
  <c r="L58" i="5" s="1"/>
  <c r="D59" i="5"/>
  <c r="L59" i="5" s="1"/>
  <c r="D60" i="5"/>
  <c r="L60" i="5" s="1"/>
  <c r="D61" i="5"/>
  <c r="L61" i="5" s="1"/>
  <c r="D62" i="5"/>
  <c r="L62" i="5" s="1"/>
  <c r="L63" i="5"/>
  <c r="D64" i="5"/>
  <c r="L64" i="5" s="1"/>
  <c r="D65" i="5"/>
  <c r="L65" i="5" s="1"/>
  <c r="D66" i="5"/>
  <c r="L66" i="5" s="1"/>
  <c r="D67" i="5"/>
  <c r="L67" i="5" s="1"/>
  <c r="D68" i="5"/>
  <c r="L68" i="5" s="1"/>
  <c r="L69" i="5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L76" i="5"/>
  <c r="D77" i="5"/>
  <c r="L77" i="5" s="1"/>
  <c r="D78" i="5"/>
  <c r="L78" i="5" s="1"/>
  <c r="D79" i="5"/>
  <c r="L79" i="5" s="1"/>
  <c r="D80" i="5"/>
  <c r="L80" i="5" s="1"/>
  <c r="D81" i="5"/>
  <c r="L81" i="5" s="1"/>
  <c r="L82" i="5"/>
  <c r="D83" i="5"/>
  <c r="L83" i="5" s="1"/>
  <c r="D84" i="5"/>
  <c r="L84" i="5" s="1"/>
  <c r="D85" i="5"/>
  <c r="L85" i="5" s="1"/>
  <c r="D86" i="5"/>
  <c r="L86" i="5" s="1"/>
  <c r="D87" i="5"/>
  <c r="L87" i="5" s="1"/>
  <c r="L88" i="5"/>
  <c r="D89" i="5"/>
  <c r="L89" i="5" s="1"/>
  <c r="D90" i="5"/>
  <c r="L90" i="5" s="1"/>
  <c r="D91" i="5"/>
  <c r="L91" i="5" s="1"/>
  <c r="D92" i="5"/>
  <c r="L92" i="5" s="1"/>
  <c r="D93" i="5"/>
  <c r="L93" i="5" s="1"/>
  <c r="L94" i="5"/>
  <c r="D95" i="5"/>
  <c r="L95" i="5" s="1"/>
  <c r="D96" i="5"/>
  <c r="L96" i="5" s="1"/>
  <c r="D97" i="5"/>
  <c r="L97" i="5" s="1"/>
  <c r="D98" i="5"/>
  <c r="L98" i="5" s="1"/>
  <c r="D99" i="5"/>
  <c r="L99" i="5" s="1"/>
  <c r="D100" i="5"/>
  <c r="L100" i="5" s="1"/>
  <c r="L101" i="5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G51" i="3"/>
  <c r="H51" i="3" s="1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4" i="5"/>
  <c r="H84" i="5" s="1"/>
  <c r="G80" i="5"/>
  <c r="H80" i="5" s="1"/>
  <c r="G72" i="5"/>
  <c r="H72" i="5" s="1"/>
  <c r="G68" i="5"/>
  <c r="H68" i="5" s="1"/>
  <c r="G64" i="5"/>
  <c r="H64" i="5" s="1"/>
  <c r="G60" i="5"/>
  <c r="H60" i="5" s="1"/>
  <c r="G56" i="5"/>
  <c r="H56" i="5" s="1"/>
  <c r="G52" i="5"/>
  <c r="H52" i="5" s="1"/>
  <c r="G48" i="5"/>
  <c r="H48" i="5" s="1"/>
  <c r="G40" i="5"/>
  <c r="H40" i="5" s="1"/>
  <c r="G36" i="5"/>
  <c r="H36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86" i="5"/>
  <c r="H86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42" i="5"/>
  <c r="H42" i="5" s="1"/>
  <c r="G34" i="5"/>
  <c r="H34" i="5" s="1"/>
  <c r="G30" i="5"/>
  <c r="H30" i="5" s="1"/>
  <c r="G22" i="5"/>
  <c r="H22" i="5" s="1"/>
  <c r="G18" i="5"/>
  <c r="H18" i="5" s="1"/>
  <c r="G14" i="5"/>
  <c r="H14" i="5" s="1"/>
  <c r="G49" i="3"/>
  <c r="H49" i="3" s="1"/>
  <c r="G97" i="5"/>
  <c r="H97" i="5" s="1"/>
  <c r="G93" i="5"/>
  <c r="H93" i="5" s="1"/>
  <c r="G89" i="5"/>
  <c r="H89" i="5" s="1"/>
  <c r="G85" i="5"/>
  <c r="H85" i="5" s="1"/>
  <c r="G81" i="5"/>
  <c r="H81" i="5" s="1"/>
  <c r="G77" i="5"/>
  <c r="H77" i="5" s="1"/>
  <c r="G73" i="5"/>
  <c r="H73" i="5" s="1"/>
  <c r="G65" i="5"/>
  <c r="H65" i="5" s="1"/>
  <c r="G61" i="5"/>
  <c r="H61" i="5" s="1"/>
  <c r="G53" i="5"/>
  <c r="H53" i="5" s="1"/>
  <c r="G49" i="5"/>
  <c r="H49" i="5" s="1"/>
  <c r="G45" i="5"/>
  <c r="H45" i="5" s="1"/>
  <c r="G41" i="5"/>
  <c r="H41" i="5" s="1"/>
  <c r="G37" i="5"/>
  <c r="H37" i="5" s="1"/>
  <c r="G33" i="5"/>
  <c r="H33" i="5" s="1"/>
  <c r="G29" i="5"/>
  <c r="H29" i="5" s="1"/>
  <c r="G25" i="5"/>
  <c r="H25" i="5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13" i="3"/>
  <c r="H13" i="3" s="1"/>
  <c r="G21" i="5"/>
  <c r="H21" i="5" s="1"/>
  <c r="G17" i="5"/>
  <c r="H17" i="5" s="1"/>
  <c r="G52" i="3"/>
  <c r="H52" i="3" s="1"/>
  <c r="G48" i="3"/>
  <c r="H48" i="3" s="1"/>
  <c r="G44" i="3"/>
  <c r="H44" i="3" s="1"/>
  <c r="G40" i="3"/>
  <c r="H40" i="3" s="1"/>
  <c r="G32" i="3"/>
  <c r="H32" i="3" s="1"/>
  <c r="G24" i="3"/>
  <c r="H24" i="3" s="1"/>
  <c r="G20" i="3"/>
  <c r="H20" i="3" s="1"/>
  <c r="G16" i="3"/>
  <c r="H16" i="3" s="1"/>
  <c r="G12" i="3"/>
  <c r="H12" i="3" s="1"/>
  <c r="G102" i="5"/>
  <c r="H102" i="5" s="1"/>
  <c r="G104" i="5"/>
  <c r="H104" i="5" s="1"/>
  <c r="G99" i="5"/>
  <c r="H99" i="5" s="1"/>
  <c r="G95" i="5"/>
  <c r="H95" i="5" s="1"/>
  <c r="G91" i="5"/>
  <c r="H91" i="5" s="1"/>
  <c r="G87" i="5"/>
  <c r="H87" i="5" s="1"/>
  <c r="G83" i="5"/>
  <c r="H83" i="5" s="1"/>
  <c r="G79" i="5"/>
  <c r="H79" i="5" s="1"/>
  <c r="G75" i="5"/>
  <c r="H75" i="5" s="1"/>
  <c r="G71" i="5"/>
  <c r="H71" i="5" s="1"/>
  <c r="G67" i="5"/>
  <c r="H67" i="5" s="1"/>
  <c r="G59" i="5"/>
  <c r="H59" i="5" s="1"/>
  <c r="G55" i="5"/>
  <c r="H55" i="5" s="1"/>
  <c r="G47" i="5"/>
  <c r="H47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8" i="3"/>
  <c r="H38" i="3" s="1"/>
  <c r="G34" i="3"/>
  <c r="H34" i="3" s="1"/>
  <c r="G30" i="3"/>
  <c r="H30" i="3" s="1"/>
  <c r="G26" i="3"/>
  <c r="H26" i="3" s="1"/>
  <c r="G22" i="3"/>
  <c r="H22" i="3" s="1"/>
  <c r="G18" i="3"/>
  <c r="H18" i="3" s="1"/>
  <c r="G14" i="3"/>
  <c r="H14" i="3" s="1"/>
  <c r="G90" i="5"/>
  <c r="H90" i="5" s="1"/>
  <c r="G10" i="5"/>
  <c r="H10" i="5" s="1"/>
  <c r="I7" i="3"/>
  <c r="J7" i="3" s="1"/>
  <c r="E96" i="5"/>
  <c r="E84" i="5"/>
  <c r="E72" i="5"/>
  <c r="E60" i="5"/>
  <c r="E48" i="5"/>
  <c r="E36" i="5"/>
  <c r="E24" i="5"/>
  <c r="E12" i="5"/>
  <c r="E7" i="5"/>
  <c r="E103" i="5"/>
  <c r="E99" i="5"/>
  <c r="E95" i="5"/>
  <c r="E91" i="5"/>
  <c r="E87" i="5"/>
  <c r="E83" i="5"/>
  <c r="E79" i="5"/>
  <c r="E75" i="5"/>
  <c r="E71" i="5"/>
  <c r="E67" i="5"/>
  <c r="E59" i="5"/>
  <c r="E55" i="5"/>
  <c r="E47" i="5"/>
  <c r="E43" i="5"/>
  <c r="E39" i="5"/>
  <c r="E35" i="5"/>
  <c r="E31" i="5"/>
  <c r="E27" i="5"/>
  <c r="E23" i="5"/>
  <c r="E15" i="5"/>
  <c r="E11" i="5"/>
  <c r="E104" i="5"/>
  <c r="E92" i="5"/>
  <c r="E64" i="5"/>
  <c r="E52" i="5"/>
  <c r="E40" i="5"/>
  <c r="E28" i="5"/>
  <c r="E16" i="5"/>
  <c r="E9" i="5"/>
  <c r="E98" i="5"/>
  <c r="E90" i="5"/>
  <c r="E86" i="5"/>
  <c r="E78" i="5"/>
  <c r="E74" i="5"/>
  <c r="E70" i="5"/>
  <c r="E66" i="5"/>
  <c r="E62" i="5"/>
  <c r="E58" i="5"/>
  <c r="E54" i="5"/>
  <c r="E50" i="5"/>
  <c r="E46" i="5"/>
  <c r="E42" i="5"/>
  <c r="E34" i="5"/>
  <c r="E30" i="5"/>
  <c r="E22" i="5"/>
  <c r="E18" i="5"/>
  <c r="E14" i="5"/>
  <c r="E10" i="5"/>
  <c r="E100" i="5"/>
  <c r="E80" i="5"/>
  <c r="E68" i="5"/>
  <c r="E56" i="5"/>
  <c r="E20" i="5"/>
  <c r="E105" i="5"/>
  <c r="E97" i="5"/>
  <c r="E93" i="5"/>
  <c r="E89" i="5"/>
  <c r="E85" i="5"/>
  <c r="E81" i="5"/>
  <c r="E77" i="5"/>
  <c r="E73" i="5"/>
  <c r="E65" i="5"/>
  <c r="E61" i="5"/>
  <c r="E53" i="5"/>
  <c r="E49" i="5"/>
  <c r="E45" i="5"/>
  <c r="E41" i="5"/>
  <c r="E37" i="5"/>
  <c r="E33" i="5"/>
  <c r="E29" i="5"/>
  <c r="E25" i="5"/>
  <c r="E21" i="5"/>
  <c r="E17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D15" i="2"/>
  <c r="L15" i="2" s="1"/>
  <c r="D16" i="2"/>
  <c r="L16" i="2" s="1"/>
  <c r="D17" i="2"/>
  <c r="L17" i="2" s="1"/>
  <c r="D18" i="2"/>
  <c r="L18" i="2" s="1"/>
  <c r="D19" i="2"/>
  <c r="L19" i="2" s="1"/>
  <c r="L20" i="2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D33" i="2"/>
  <c r="L33" i="2" s="1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L47" i="2"/>
  <c r="D48" i="2"/>
  <c r="L48" i="2" s="1"/>
  <c r="D49" i="2"/>
  <c r="L49" i="2" s="1"/>
  <c r="D50" i="2"/>
  <c r="L50" i="2" s="1"/>
  <c r="D51" i="2"/>
  <c r="L51" i="2" s="1"/>
  <c r="D52" i="2"/>
  <c r="L52" i="2" s="1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D70" i="2"/>
  <c r="L70" i="2" s="1"/>
  <c r="D71" i="2"/>
  <c r="L71" i="2" s="1"/>
  <c r="D72" i="2"/>
  <c r="L72" i="2" s="1"/>
  <c r="D73" i="2"/>
  <c r="L73" i="2" s="1"/>
  <c r="L74" i="2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D89" i="2"/>
  <c r="L89" i="2" s="1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L101" i="2"/>
  <c r="D103" i="2"/>
  <c r="D104" i="2"/>
  <c r="L104" i="2" s="1"/>
  <c r="D105" i="2"/>
  <c r="L105" i="2" s="1"/>
  <c r="D9" i="2"/>
  <c r="D7" i="2"/>
  <c r="I39" i="3" l="1"/>
  <c r="J39" i="3" s="1"/>
  <c r="I29" i="3"/>
  <c r="J29" i="3" s="1"/>
  <c r="I48" i="3"/>
  <c r="J48" i="3" s="1"/>
  <c r="I21" i="3"/>
  <c r="I102" i="5"/>
  <c r="J102" i="5" s="1"/>
  <c r="I38" i="3"/>
  <c r="J38" i="3" s="1"/>
  <c r="I49" i="3"/>
  <c r="J49" i="3" s="1"/>
  <c r="I43" i="3"/>
  <c r="J43" i="3" s="1"/>
  <c r="I16" i="3"/>
  <c r="I47" i="3"/>
  <c r="J47" i="3" s="1"/>
  <c r="I54" i="3"/>
  <c r="I25" i="3"/>
  <c r="I15" i="3"/>
  <c r="F15" i="3" s="1"/>
  <c r="I9" i="3"/>
  <c r="I32" i="3"/>
  <c r="F33" i="3" s="1"/>
  <c r="I35" i="3"/>
  <c r="J35" i="3" s="1"/>
  <c r="I22" i="3"/>
  <c r="J22" i="3" s="1"/>
  <c r="I17" i="3"/>
  <c r="I52" i="3"/>
  <c r="J52" i="3" s="1"/>
  <c r="I20" i="3"/>
  <c r="F21" i="3" s="1"/>
  <c r="I11" i="3"/>
  <c r="F11" i="3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4" i="3"/>
  <c r="I12" i="3"/>
  <c r="I27" i="3"/>
  <c r="I50" i="3"/>
  <c r="I18" i="3"/>
  <c r="J18" i="3" s="1"/>
  <c r="I41" i="3"/>
  <c r="I31" i="3"/>
  <c r="I13" i="3"/>
  <c r="F14" i="3" s="1"/>
  <c r="I34" i="3"/>
  <c r="J34" i="3" s="1"/>
  <c r="I33" i="3"/>
  <c r="J33" i="3" s="1"/>
  <c r="I55" i="3"/>
  <c r="J55" i="3" s="1"/>
  <c r="I23" i="3"/>
  <c r="J23" i="3" s="1"/>
  <c r="I37" i="3"/>
  <c r="J37" i="3" s="1"/>
  <c r="I40" i="3"/>
  <c r="I24" i="3"/>
  <c r="F25" i="3" s="1"/>
  <c r="I51" i="3"/>
  <c r="I46" i="3"/>
  <c r="I30" i="3"/>
  <c r="I14" i="3"/>
  <c r="J14" i="3" s="1"/>
  <c r="I42" i="3"/>
  <c r="I26" i="3"/>
  <c r="J25" i="3"/>
  <c r="J21" i="3"/>
  <c r="J9" i="3"/>
  <c r="J54" i="3"/>
  <c r="G97" i="2"/>
  <c r="H97" i="2" s="1"/>
  <c r="G93" i="2"/>
  <c r="H93" i="2" s="1"/>
  <c r="G89" i="2"/>
  <c r="H89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33" i="2"/>
  <c r="H33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52" i="2"/>
  <c r="H52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15" i="2"/>
  <c r="H15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0" i="2"/>
  <c r="H70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9" i="3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55" i="3" l="1"/>
  <c r="F54" i="3"/>
  <c r="F48" i="3"/>
  <c r="F17" i="3"/>
  <c r="F52" i="3"/>
  <c r="J15" i="3"/>
  <c r="F30" i="3"/>
  <c r="F39" i="3"/>
  <c r="J16" i="3"/>
  <c r="F12" i="3"/>
  <c r="F22" i="3"/>
  <c r="F50" i="3"/>
  <c r="F16" i="3"/>
  <c r="F41" i="3"/>
  <c r="F32" i="3"/>
  <c r="J20" i="3"/>
  <c r="F23" i="3"/>
  <c r="F29" i="3"/>
  <c r="F46" i="3"/>
  <c r="J44" i="3"/>
  <c r="F26" i="3"/>
  <c r="J11" i="3"/>
  <c r="F44" i="3"/>
  <c r="F42" i="3"/>
  <c r="F49" i="3"/>
  <c r="J32" i="3"/>
  <c r="F24" i="3"/>
  <c r="J31" i="3"/>
  <c r="F57" i="3"/>
  <c r="F31" i="3"/>
  <c r="F51" i="3"/>
  <c r="I102" i="2"/>
  <c r="J102" i="2" s="1"/>
  <c r="F40" i="3"/>
  <c r="F47" i="3"/>
  <c r="F18" i="3"/>
  <c r="F20" i="3"/>
  <c r="F13" i="3"/>
  <c r="J51" i="3"/>
  <c r="J27" i="3"/>
  <c r="J17" i="3"/>
  <c r="F27" i="3"/>
  <c r="J30" i="3"/>
  <c r="J46" i="3"/>
  <c r="J24" i="3"/>
  <c r="J50" i="3"/>
  <c r="J13" i="3"/>
  <c r="J26" i="3"/>
  <c r="J40" i="3"/>
  <c r="F35" i="3"/>
  <c r="F38" i="3"/>
  <c r="J12" i="3"/>
  <c r="J41" i="3"/>
  <c r="J42" i="3"/>
  <c r="F43" i="3"/>
  <c r="F37" i="3"/>
  <c r="F34" i="3"/>
  <c r="I14" i="2"/>
  <c r="I27" i="2"/>
  <c r="I107" i="5"/>
  <c r="J107" i="5" s="1"/>
  <c r="Q17" i="5" s="1"/>
  <c r="I105" i="5"/>
  <c r="I104" i="5"/>
  <c r="I103" i="5"/>
  <c r="I100" i="5"/>
  <c r="I99" i="5"/>
  <c r="I98" i="5"/>
  <c r="I97" i="5"/>
  <c r="I96" i="5"/>
  <c r="I95" i="5"/>
  <c r="I93" i="5"/>
  <c r="I92" i="5"/>
  <c r="I91" i="5"/>
  <c r="I90" i="5"/>
  <c r="I89" i="5"/>
  <c r="I87" i="5"/>
  <c r="I86" i="5"/>
  <c r="I85" i="5"/>
  <c r="I84" i="5"/>
  <c r="I83" i="5"/>
  <c r="I81" i="5"/>
  <c r="I80" i="5"/>
  <c r="I79" i="5"/>
  <c r="I78" i="5"/>
  <c r="I77" i="5"/>
  <c r="I75" i="5"/>
  <c r="I74" i="5"/>
  <c r="I73" i="5"/>
  <c r="I72" i="5"/>
  <c r="I71" i="5"/>
  <c r="I70" i="5"/>
  <c r="I68" i="5"/>
  <c r="I67" i="5"/>
  <c r="I66" i="5"/>
  <c r="I65" i="5"/>
  <c r="I64" i="5"/>
  <c r="I62" i="5"/>
  <c r="I61" i="5"/>
  <c r="I60" i="5"/>
  <c r="I59" i="5"/>
  <c r="I58" i="5"/>
  <c r="I56" i="5"/>
  <c r="I55" i="5"/>
  <c r="I54" i="5"/>
  <c r="I53" i="5"/>
  <c r="I52" i="5"/>
  <c r="I50" i="5"/>
  <c r="I49" i="5"/>
  <c r="I48" i="5"/>
  <c r="I47" i="5"/>
  <c r="I46" i="5"/>
  <c r="I45" i="5"/>
  <c r="I43" i="5"/>
  <c r="I42" i="5"/>
  <c r="I41" i="5"/>
  <c r="I40" i="5"/>
  <c r="I39" i="5"/>
  <c r="I37" i="5"/>
  <c r="I36" i="5"/>
  <c r="I35" i="5"/>
  <c r="I34" i="5"/>
  <c r="I33" i="5"/>
  <c r="I31" i="5"/>
  <c r="I30" i="5"/>
  <c r="I29" i="5"/>
  <c r="I28" i="5"/>
  <c r="I27" i="5"/>
  <c r="I25" i="5"/>
  <c r="I24" i="5"/>
  <c r="I23" i="5"/>
  <c r="I22" i="5"/>
  <c r="I21" i="5"/>
  <c r="I20" i="5"/>
  <c r="I18" i="5"/>
  <c r="I17" i="5"/>
  <c r="I16" i="5"/>
  <c r="I15" i="5"/>
  <c r="I14" i="5"/>
  <c r="I12" i="5"/>
  <c r="I11" i="5"/>
  <c r="I10" i="5"/>
  <c r="I9" i="5"/>
  <c r="I7" i="5"/>
  <c r="E7" i="3"/>
  <c r="E9" i="3"/>
  <c r="E11" i="3"/>
  <c r="E12" i="3"/>
  <c r="E13" i="3"/>
  <c r="E14" i="3"/>
  <c r="E15" i="3"/>
  <c r="E16" i="3"/>
  <c r="E17" i="3"/>
  <c r="E18" i="3"/>
  <c r="E20" i="3"/>
  <c r="E21" i="3"/>
  <c r="E22" i="3"/>
  <c r="E23" i="3"/>
  <c r="E24" i="3"/>
  <c r="E25" i="3"/>
  <c r="E26" i="3"/>
  <c r="E27" i="3"/>
  <c r="E29" i="3"/>
  <c r="E30" i="3"/>
  <c r="E31" i="3"/>
  <c r="E32" i="3"/>
  <c r="E33" i="3"/>
  <c r="E34" i="3"/>
  <c r="E35" i="3"/>
  <c r="E37" i="3"/>
  <c r="E38" i="3"/>
  <c r="E39" i="3"/>
  <c r="E40" i="3"/>
  <c r="E41" i="3"/>
  <c r="E42" i="3"/>
  <c r="E43" i="3"/>
  <c r="E44" i="3"/>
  <c r="E46" i="3"/>
  <c r="E47" i="3"/>
  <c r="E48" i="3"/>
  <c r="E49" i="3"/>
  <c r="E50" i="3"/>
  <c r="E51" i="3"/>
  <c r="E52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5" i="2"/>
  <c r="I15" i="2"/>
  <c r="E16" i="2"/>
  <c r="I16" i="2"/>
  <c r="E17" i="2"/>
  <c r="I17" i="2"/>
  <c r="E18" i="2"/>
  <c r="I18" i="2"/>
  <c r="E19" i="2"/>
  <c r="I19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3" i="2"/>
  <c r="I33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8" i="2"/>
  <c r="I48" i="2"/>
  <c r="E49" i="2"/>
  <c r="I49" i="2"/>
  <c r="E50" i="2"/>
  <c r="I50" i="2"/>
  <c r="E51" i="2"/>
  <c r="I51" i="2"/>
  <c r="E52" i="2"/>
  <c r="I52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0" i="2"/>
  <c r="I70" i="2"/>
  <c r="E71" i="2"/>
  <c r="I71" i="2"/>
  <c r="E72" i="2"/>
  <c r="I72" i="2"/>
  <c r="E73" i="2"/>
  <c r="I73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89" i="2"/>
  <c r="I89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3" i="2"/>
  <c r="I103" i="2"/>
  <c r="E104" i="2"/>
  <c r="I104" i="2"/>
  <c r="E105" i="2"/>
  <c r="I105" i="2"/>
  <c r="E107" i="2"/>
  <c r="I107" i="2"/>
  <c r="J107" i="2" s="1"/>
  <c r="Q17" i="2" s="1"/>
  <c r="F103" i="2" l="1"/>
  <c r="F103" i="5"/>
  <c r="F105" i="2"/>
  <c r="J104" i="2"/>
  <c r="F98" i="2"/>
  <c r="J97" i="2"/>
  <c r="F92" i="2"/>
  <c r="J91" i="2"/>
  <c r="F88" i="2"/>
  <c r="J87" i="2"/>
  <c r="F82" i="2"/>
  <c r="J81" i="2"/>
  <c r="F78" i="2"/>
  <c r="J77" i="2"/>
  <c r="F72" i="2"/>
  <c r="J71" i="2"/>
  <c r="F68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F22" i="5"/>
  <c r="J21" i="5"/>
  <c r="F30" i="5"/>
  <c r="J29" i="5"/>
  <c r="J37" i="5"/>
  <c r="F46" i="5"/>
  <c r="J45" i="5"/>
  <c r="F54" i="5"/>
  <c r="J53" i="5"/>
  <c r="F58" i="5"/>
  <c r="F66" i="5"/>
  <c r="J65" i="5"/>
  <c r="F74" i="5"/>
  <c r="J73" i="5"/>
  <c r="F78" i="5"/>
  <c r="J77" i="5"/>
  <c r="J81" i="5"/>
  <c r="F86" i="5"/>
  <c r="J85" i="5"/>
  <c r="F90" i="5"/>
  <c r="J89" i="5"/>
  <c r="J93" i="5"/>
  <c r="F98" i="5"/>
  <c r="J97" i="5"/>
  <c r="F102" i="5"/>
  <c r="F27" i="2"/>
  <c r="J26" i="2"/>
  <c r="F25" i="2"/>
  <c r="J24" i="2"/>
  <c r="F23" i="2"/>
  <c r="J22" i="2"/>
  <c r="F21" i="2"/>
  <c r="F19" i="2"/>
  <c r="J18" i="2"/>
  <c r="F17" i="2"/>
  <c r="J16" i="2"/>
  <c r="F11" i="5"/>
  <c r="J10" i="5"/>
  <c r="F15" i="5"/>
  <c r="J14" i="5"/>
  <c r="J18" i="5"/>
  <c r="F23" i="5"/>
  <c r="J22" i="5"/>
  <c r="F27" i="5"/>
  <c r="F31" i="5"/>
  <c r="J30" i="5"/>
  <c r="F35" i="5"/>
  <c r="J34" i="5"/>
  <c r="F39" i="5"/>
  <c r="F43" i="5"/>
  <c r="J42" i="5"/>
  <c r="F47" i="5"/>
  <c r="J46" i="5"/>
  <c r="J50" i="5"/>
  <c r="F55" i="5"/>
  <c r="J54" i="5"/>
  <c r="F59" i="5"/>
  <c r="J58" i="5"/>
  <c r="J62" i="5"/>
  <c r="F67" i="5"/>
  <c r="J66" i="5"/>
  <c r="F71" i="5"/>
  <c r="J70" i="5"/>
  <c r="F75" i="5"/>
  <c r="J74" i="5"/>
  <c r="F79" i="5"/>
  <c r="J78" i="5"/>
  <c r="F83" i="5"/>
  <c r="F87" i="5"/>
  <c r="J86" i="5"/>
  <c r="F91" i="5"/>
  <c r="J90" i="5"/>
  <c r="F95" i="5"/>
  <c r="F99" i="5"/>
  <c r="J98" i="5"/>
  <c r="F104" i="5"/>
  <c r="J103" i="5"/>
  <c r="F28" i="2"/>
  <c r="J27" i="2"/>
  <c r="F100" i="2"/>
  <c r="J99" i="2"/>
  <c r="F96" i="2"/>
  <c r="J95" i="2"/>
  <c r="F90" i="2"/>
  <c r="J89" i="2"/>
  <c r="F86" i="2"/>
  <c r="J85" i="2"/>
  <c r="F80" i="2"/>
  <c r="J79" i="2"/>
  <c r="F76" i="2"/>
  <c r="J75" i="2"/>
  <c r="F70" i="2"/>
  <c r="J69" i="2"/>
  <c r="F66" i="2"/>
  <c r="J65" i="2"/>
  <c r="F60" i="2"/>
  <c r="J59" i="2"/>
  <c r="F56" i="2"/>
  <c r="J55" i="2"/>
  <c r="F52" i="2"/>
  <c r="J51" i="2"/>
  <c r="F48" i="2"/>
  <c r="F42" i="2"/>
  <c r="J41" i="2"/>
  <c r="F38" i="2"/>
  <c r="J37" i="2"/>
  <c r="F34" i="2"/>
  <c r="J33" i="2"/>
  <c r="F30" i="2"/>
  <c r="J29" i="2"/>
  <c r="F11" i="2"/>
  <c r="J10" i="2"/>
  <c r="F10" i="5"/>
  <c r="J9" i="5"/>
  <c r="F18" i="5"/>
  <c r="J17" i="5"/>
  <c r="J25" i="5"/>
  <c r="F34" i="5"/>
  <c r="J33" i="5"/>
  <c r="F42" i="5"/>
  <c r="J41" i="5"/>
  <c r="F50" i="5"/>
  <c r="J49" i="5"/>
  <c r="F62" i="5"/>
  <c r="J61" i="5"/>
  <c r="F70" i="5"/>
  <c r="F107" i="2"/>
  <c r="J105" i="2"/>
  <c r="F104" i="2"/>
  <c r="J103" i="2"/>
  <c r="J100" i="2"/>
  <c r="F99" i="2"/>
  <c r="J98" i="2"/>
  <c r="F97" i="2"/>
  <c r="J96" i="2"/>
  <c r="F95" i="2"/>
  <c r="J94" i="2"/>
  <c r="F93" i="2"/>
  <c r="J92" i="2"/>
  <c r="F91" i="2"/>
  <c r="J90" i="2"/>
  <c r="F89" i="2"/>
  <c r="J88" i="2"/>
  <c r="F87" i="2"/>
  <c r="J86" i="2"/>
  <c r="F85" i="2"/>
  <c r="J84" i="2"/>
  <c r="F83" i="2"/>
  <c r="J82" i="2"/>
  <c r="F81" i="2"/>
  <c r="J80" i="2"/>
  <c r="F79" i="2"/>
  <c r="J78" i="2"/>
  <c r="F77" i="2"/>
  <c r="J76" i="2"/>
  <c r="F75" i="2"/>
  <c r="F73" i="2"/>
  <c r="J72" i="2"/>
  <c r="F71" i="2"/>
  <c r="J70" i="2"/>
  <c r="F69" i="2"/>
  <c r="J68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J52" i="2"/>
  <c r="F51" i="2"/>
  <c r="J50" i="2"/>
  <c r="F49" i="2"/>
  <c r="J48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F33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J15" i="5"/>
  <c r="F20" i="5"/>
  <c r="F24" i="5"/>
  <c r="J23" i="5"/>
  <c r="F28" i="5"/>
  <c r="J27" i="5"/>
  <c r="J31" i="5"/>
  <c r="F36" i="5"/>
  <c r="J35" i="5"/>
  <c r="F40" i="5"/>
  <c r="J39" i="5"/>
  <c r="J43" i="5"/>
  <c r="F48" i="5"/>
  <c r="J47" i="5"/>
  <c r="F52" i="5"/>
  <c r="F56" i="5"/>
  <c r="J55" i="5"/>
  <c r="F60" i="5"/>
  <c r="J59" i="5"/>
  <c r="F64" i="5"/>
  <c r="F68" i="5"/>
  <c r="J67" i="5"/>
  <c r="F72" i="5"/>
  <c r="J71" i="5"/>
  <c r="J75" i="5"/>
  <c r="F80" i="5"/>
  <c r="J79" i="5"/>
  <c r="F84" i="5"/>
  <c r="J83" i="5"/>
  <c r="J87" i="5"/>
  <c r="F92" i="5"/>
  <c r="J91" i="5"/>
  <c r="F96" i="5"/>
  <c r="J95" i="5"/>
  <c r="F100" i="5"/>
  <c r="J99" i="5"/>
  <c r="F105" i="5"/>
  <c r="J104" i="5"/>
  <c r="F15" i="2"/>
  <c r="J14" i="2"/>
  <c r="F102" i="2"/>
  <c r="F94" i="2"/>
  <c r="J93" i="2"/>
  <c r="F84" i="2"/>
  <c r="J83" i="2"/>
  <c r="J73" i="2"/>
  <c r="F62" i="2"/>
  <c r="J61" i="2"/>
  <c r="F46" i="2"/>
  <c r="J45" i="2"/>
  <c r="F26" i="2"/>
  <c r="J25" i="2"/>
  <c r="F24" i="2"/>
  <c r="J23" i="2"/>
  <c r="F22" i="2"/>
  <c r="J21" i="2"/>
  <c r="J19" i="2"/>
  <c r="F18" i="2"/>
  <c r="J17" i="2"/>
  <c r="F16" i="2"/>
  <c r="J15" i="2"/>
  <c r="F7" i="5"/>
  <c r="J7" i="5"/>
  <c r="J12" i="5"/>
  <c r="F17" i="5"/>
  <c r="J16" i="5"/>
  <c r="F21" i="5"/>
  <c r="J20" i="5"/>
  <c r="F25" i="5"/>
  <c r="J24" i="5"/>
  <c r="F29" i="5"/>
  <c r="J28" i="5"/>
  <c r="F33" i="5"/>
  <c r="F37" i="5"/>
  <c r="J36" i="5"/>
  <c r="F41" i="5"/>
  <c r="J40" i="5"/>
  <c r="F45" i="5"/>
  <c r="F49" i="5"/>
  <c r="J48" i="5"/>
  <c r="F53" i="5"/>
  <c r="J52" i="5"/>
  <c r="J56" i="5"/>
  <c r="F61" i="5"/>
  <c r="J60" i="5"/>
  <c r="F65" i="5"/>
  <c r="J64" i="5"/>
  <c r="J68" i="5"/>
  <c r="F73" i="5"/>
  <c r="J72" i="5"/>
  <c r="F77" i="5"/>
  <c r="F81" i="5"/>
  <c r="J80" i="5"/>
  <c r="F85" i="5"/>
  <c r="J84" i="5"/>
  <c r="F89" i="5"/>
  <c r="F93" i="5"/>
  <c r="J92" i="5"/>
  <c r="F97" i="5"/>
  <c r="J96" i="5"/>
  <c r="J100" i="5"/>
  <c r="F107" i="5"/>
  <c r="J105" i="5"/>
  <c r="F9" i="2"/>
  <c r="F9" i="5"/>
  <c r="I52" i="32"/>
  <c r="I46" i="32"/>
  <c r="I38" i="32"/>
  <c r="I30" i="32"/>
  <c r="I22" i="32"/>
  <c r="I43" i="32"/>
  <c r="I33" i="32"/>
  <c r="I29" i="32"/>
  <c r="I39" i="32"/>
  <c r="I50" i="32"/>
  <c r="I54" i="32"/>
  <c r="I48" i="32"/>
  <c r="I44" i="32"/>
  <c r="I40" i="32"/>
  <c r="I36" i="32"/>
  <c r="I32" i="32"/>
  <c r="I28" i="32"/>
  <c r="I24" i="32"/>
  <c r="I57" i="32"/>
  <c r="J57" i="32" s="1"/>
  <c r="Q17" i="32" s="1"/>
  <c r="I41" i="32"/>
  <c r="I31" i="32"/>
  <c r="I27" i="32"/>
  <c r="I55" i="32"/>
  <c r="I49" i="32"/>
  <c r="I37" i="32"/>
  <c r="I23" i="32"/>
  <c r="I45" i="32"/>
  <c r="I25" i="32"/>
  <c r="I53" i="32"/>
  <c r="I47" i="32"/>
  <c r="I21" i="32"/>
  <c r="F21" i="32" s="1"/>
  <c r="I35" i="32"/>
  <c r="F28" i="32" l="1"/>
  <c r="J27" i="32"/>
  <c r="F25" i="32"/>
  <c r="J24" i="32"/>
  <c r="F41" i="32"/>
  <c r="J40" i="32"/>
  <c r="J50" i="32"/>
  <c r="J33" i="32"/>
  <c r="F31" i="32"/>
  <c r="J30" i="32"/>
  <c r="F47" i="32"/>
  <c r="J46" i="32"/>
  <c r="F48" i="32"/>
  <c r="J47" i="32"/>
  <c r="F38" i="32"/>
  <c r="J37" i="32"/>
  <c r="F45" i="32"/>
  <c r="J44" i="32"/>
  <c r="F40" i="32"/>
  <c r="J39" i="32"/>
  <c r="F44" i="32"/>
  <c r="J43" i="32"/>
  <c r="F35" i="32"/>
  <c r="F53" i="32"/>
  <c r="J52" i="32"/>
  <c r="F24" i="32"/>
  <c r="J23" i="32"/>
  <c r="F32" i="32"/>
  <c r="J31" i="32"/>
  <c r="F50" i="32"/>
  <c r="J49" i="32"/>
  <c r="F33" i="32"/>
  <c r="J32" i="32"/>
  <c r="F52" i="32"/>
  <c r="F23" i="32"/>
  <c r="J22" i="32"/>
  <c r="F39" i="32"/>
  <c r="J38" i="32"/>
  <c r="F54" i="32"/>
  <c r="J53" i="32"/>
  <c r="F29" i="32"/>
  <c r="J28" i="32"/>
  <c r="F36" i="32"/>
  <c r="J35" i="32"/>
  <c r="J25" i="32"/>
  <c r="J41" i="32"/>
  <c r="F49" i="32"/>
  <c r="J48" i="32"/>
  <c r="F22" i="32"/>
  <c r="J21" i="32"/>
  <c r="F46" i="32"/>
  <c r="J45" i="32"/>
  <c r="F57" i="32"/>
  <c r="J55" i="32"/>
  <c r="F37" i="32"/>
  <c r="J36" i="32"/>
  <c r="F55" i="32"/>
  <c r="J54" i="32"/>
  <c r="F30" i="32"/>
  <c r="J29" i="32"/>
  <c r="F27" i="32"/>
  <c r="F43" i="32"/>
</calcChain>
</file>

<file path=xl/sharedStrings.xml><?xml version="1.0" encoding="utf-8"?>
<sst xmlns="http://schemas.openxmlformats.org/spreadsheetml/2006/main" count="638" uniqueCount="169">
  <si>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</si>
  <si>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</si>
  <si>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</si>
  <si>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</si>
  <si>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</si>
  <si>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</si>
  <si>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B2:J57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</si>
  <si>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</si>
  <si>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</si>
  <si>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</si>
  <si>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</si>
  <si>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</si>
  <si>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</si>
  <si>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</si>
  <si>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</si>
  <si>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</si>
  <si>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</si>
  <si>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</si>
  <si>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</si>
  <si>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</si>
  <si>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</si>
  <si>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</si>
  <si>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</si>
  <si>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</si>
  <si>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</si>
  <si>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</si>
  <si>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</si>
  <si>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</si>
  <si>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</si>
  <si>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</si>
  <si>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</si>
  <si>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</si>
  <si>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</si>
  <si>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</si>
  <si>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</si>
  <si>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</si>
  <si>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</si>
  <si>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</si>
  <si>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</si>
  <si>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</si>
  <si>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</si>
  <si>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</si>
  <si>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</si>
  <si>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</si>
  <si>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</si>
  <si>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</si>
  <si>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</si>
  <si>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</si>
  <si>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</si>
  <si>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</si>
  <si>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</si>
  <si>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</si>
  <si>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</si>
  <si>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</si>
  <si>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</si>
  <si>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</si>
  <si>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</si>
  <si>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</si>
  <si>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</si>
  <si>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</si>
  <si>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</si>
  <si>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</si>
  <si>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</si>
  <si>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</si>
  <si>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</si>
  <si>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</si>
  <si>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</si>
  <si>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</si>
  <si>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B2:K16</t>
    <phoneticPr fontId="1" type="noConversion"/>
  </si>
  <si>
    <t>B3:M39</t>
    <phoneticPr fontId="1" type="noConversion"/>
  </si>
  <si>
    <t>2022학년도 9월 고2 전국연합학력평가</t>
  </si>
  <si>
    <t>48.03</t>
  </si>
  <si>
    <t>20.77</t>
  </si>
  <si>
    <t>37.36</t>
  </si>
  <si>
    <t>23.81</t>
  </si>
  <si>
    <t>56.95</t>
  </si>
  <si>
    <t>23.98</t>
  </si>
  <si>
    <t>27.21</t>
  </si>
  <si>
    <t>11.84</t>
  </si>
  <si>
    <t>26.06</t>
  </si>
  <si>
    <t>11.32</t>
  </si>
  <si>
    <t>20.95</t>
  </si>
  <si>
    <t>10.87</t>
  </si>
  <si>
    <t>25.35</t>
  </si>
  <si>
    <t>11.83</t>
  </si>
  <si>
    <t>21.84</t>
  </si>
  <si>
    <t>11.06</t>
  </si>
  <si>
    <t>20.66</t>
  </si>
  <si>
    <t>12.28</t>
  </si>
  <si>
    <t>19.78</t>
  </si>
  <si>
    <t>11.33</t>
  </si>
  <si>
    <t>20.59</t>
  </si>
  <si>
    <t>11.22</t>
  </si>
  <si>
    <t>21.21</t>
  </si>
  <si>
    <t>11.36</t>
  </si>
  <si>
    <t>22.80</t>
  </si>
  <si>
    <t>11.81</t>
  </si>
  <si>
    <t>19.44</t>
  </si>
  <si>
    <t>10.12</t>
  </si>
  <si>
    <t>17.15</t>
  </si>
  <si>
    <t xml:space="preserve"> 8.61</t>
  </si>
  <si>
    <t>23.00</t>
  </si>
  <si>
    <t>10.88</t>
  </si>
  <si>
    <t>18.21</t>
  </si>
  <si>
    <t xml:space="preserve"> 9.44</t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</si>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</sst>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_ "/>
    <numFmt numFmtId="177" formatCode="#,##0_ "/>
    <numFmt numFmtId="178" formatCode="0.00_);[Red]\(0.00\)"/>
  </numFmts>
  <fonts count="4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9"/>
      <name val="돋움"/>
      <family val="3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indexed="8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</fonts>
  <fills count="4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</cellStyleXfs>
  <cellXfs count="2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4" xfId="0" applyFont="1" applyFill="1" applyBorder="1">
      <alignment vertical="center"/>
    </xf>
    <xf numFmtId="0" fontId="25" fillId="6" borderId="65" xfId="0" applyFont="1" applyFill="1" applyBorder="1">
      <alignment vertical="center"/>
    </xf>
    <xf numFmtId="0" fontId="25" fillId="6" borderId="66" xfId="0" applyFont="1" applyFill="1" applyBorder="1">
      <alignment vertical="center"/>
    </xf>
    <xf numFmtId="0" fontId="29" fillId="6" borderId="67" xfId="0" applyFont="1" applyFill="1" applyBorder="1" applyAlignment="1">
      <alignment horizontal="center" vertical="center"/>
    </xf>
    <xf numFmtId="0" fontId="29" fillId="6" borderId="67" xfId="0" applyFont="1" applyFill="1" applyBorder="1">
      <alignment vertical="center"/>
    </xf>
    <xf numFmtId="0" fontId="25" fillId="6" borderId="68" xfId="0" applyFont="1" applyFill="1" applyBorder="1">
      <alignment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33" fillId="0" borderId="69" xfId="45" applyFont="1" applyBorder="1" applyAlignment="1">
      <alignment horizontal="center" vertical="center"/>
    </xf>
    <xf numFmtId="0" fontId="33" fillId="0" borderId="70" xfId="45" applyFont="1" applyBorder="1" applyAlignment="1">
      <alignment horizontal="center" vertical="center"/>
    </xf>
    <xf numFmtId="0" fontId="33" fillId="0" borderId="6" xfId="45" applyFont="1" applyBorder="1" applyAlignment="1">
      <alignment horizontal="center" vertical="center"/>
    </xf>
    <xf numFmtId="0" fontId="33" fillId="0" borderId="55" xfId="45" applyFont="1" applyBorder="1" applyAlignment="1">
      <alignment horizontal="center" vertical="center"/>
    </xf>
    <xf numFmtId="0" fontId="33" fillId="0" borderId="2" xfId="45" applyFont="1" applyBorder="1" applyAlignment="1">
      <alignment horizontal="center" vertical="center"/>
    </xf>
    <xf numFmtId="0" fontId="33" fillId="0" borderId="44" xfId="45" applyFont="1" applyBorder="1" applyAlignment="1">
      <alignment horizontal="center" vertical="center"/>
    </xf>
    <xf numFmtId="177" fontId="33" fillId="0" borderId="69" xfId="45" applyNumberFormat="1" applyFont="1" applyBorder="1" applyAlignment="1">
      <alignment horizontal="center" vertical="center"/>
    </xf>
    <xf numFmtId="177" fontId="33" fillId="0" borderId="6" xfId="45" applyNumberFormat="1" applyFont="1" applyBorder="1" applyAlignment="1">
      <alignment horizontal="center" vertical="center"/>
    </xf>
    <xf numFmtId="177" fontId="33" fillId="0" borderId="2" xfId="45" applyNumberFormat="1" applyFont="1" applyBorder="1" applyAlignment="1">
      <alignment horizontal="center" vertical="center"/>
    </xf>
    <xf numFmtId="38" fontId="33" fillId="0" borderId="6" xfId="45" applyNumberFormat="1" applyFont="1" applyBorder="1" applyAlignment="1">
      <alignment horizontal="center" vertical="center"/>
    </xf>
    <xf numFmtId="38" fontId="33" fillId="0" borderId="8" xfId="45" applyNumberFormat="1" applyFont="1" applyBorder="1" applyAlignment="1">
      <alignment horizontal="center" vertical="center"/>
    </xf>
    <xf numFmtId="0" fontId="33" fillId="0" borderId="8" xfId="45" applyFont="1" applyBorder="1" applyAlignment="1">
      <alignment horizontal="center" vertical="center"/>
    </xf>
    <xf numFmtId="38" fontId="33" fillId="0" borderId="69" xfId="45" applyNumberFormat="1" applyFont="1" applyBorder="1" applyAlignment="1">
      <alignment horizontal="center" vertical="center"/>
    </xf>
    <xf numFmtId="38" fontId="33" fillId="0" borderId="2" xfId="45" applyNumberFormat="1" applyFont="1" applyBorder="1" applyAlignment="1">
      <alignment horizontal="center" vertical="center"/>
    </xf>
    <xf numFmtId="0" fontId="33" fillId="0" borderId="9" xfId="34" applyFont="1" applyBorder="1" applyAlignment="1">
      <alignment horizontal="center" vertical="center"/>
    </xf>
    <xf numFmtId="38" fontId="33" fillId="0" borderId="6" xfId="34" applyNumberFormat="1" applyFont="1" applyBorder="1" applyAlignment="1">
      <alignment horizontal="center" vertical="center"/>
    </xf>
    <xf numFmtId="0" fontId="33" fillId="0" borderId="9" xfId="45" applyFont="1" applyBorder="1" applyAlignment="1">
      <alignment horizontal="center" vertical="center"/>
    </xf>
    <xf numFmtId="38" fontId="33" fillId="0" borderId="55" xfId="45" applyNumberFormat="1" applyFont="1" applyBorder="1" applyAlignment="1">
      <alignment horizontal="center" vertical="center"/>
    </xf>
    <xf numFmtId="38" fontId="33" fillId="0" borderId="55" xfId="34" applyNumberFormat="1" applyFont="1" applyBorder="1" applyAlignment="1">
      <alignment horizontal="center" vertical="center"/>
    </xf>
    <xf numFmtId="0" fontId="33" fillId="0" borderId="57" xfId="45" applyFont="1" applyBorder="1" applyAlignment="1">
      <alignment horizontal="center" vertical="center"/>
    </xf>
    <xf numFmtId="0" fontId="33" fillId="0" borderId="71" xfId="45" applyFont="1" applyBorder="1" applyAlignment="1">
      <alignment horizontal="center" vertical="center"/>
    </xf>
    <xf numFmtId="0" fontId="34" fillId="0" borderId="9" xfId="45" applyFont="1" applyBorder="1" applyAlignment="1">
      <alignment horizontal="center" vertical="center"/>
    </xf>
    <xf numFmtId="38" fontId="34" fillId="0" borderId="6" xfId="45" applyNumberFormat="1" applyFont="1" applyBorder="1" applyAlignment="1">
      <alignment horizontal="center" vertical="center"/>
    </xf>
    <xf numFmtId="0" fontId="34" fillId="0" borderId="71" xfId="45" applyFont="1" applyBorder="1" applyAlignment="1">
      <alignment horizontal="center" vertical="center"/>
    </xf>
    <xf numFmtId="38" fontId="33" fillId="0" borderId="70" xfId="45" applyNumberFormat="1" applyFont="1" applyBorder="1" applyAlignment="1">
      <alignment horizontal="center" vertical="center"/>
    </xf>
    <xf numFmtId="38" fontId="34" fillId="0" borderId="69" xfId="45" applyNumberFormat="1" applyFont="1" applyBorder="1" applyAlignment="1">
      <alignment horizontal="center" vertical="center"/>
    </xf>
    <xf numFmtId="38" fontId="33" fillId="0" borderId="9" xfId="45" applyNumberFormat="1" applyFont="1" applyBorder="1" applyAlignment="1">
      <alignment horizontal="center" vertical="center"/>
    </xf>
    <xf numFmtId="38" fontId="33" fillId="0" borderId="74" xfId="45" applyNumberFormat="1" applyFont="1" applyBorder="1" applyAlignment="1">
      <alignment horizontal="center" vertical="center"/>
    </xf>
    <xf numFmtId="38" fontId="33" fillId="0" borderId="74" xfId="34" applyNumberFormat="1" applyFont="1" applyBorder="1" applyAlignment="1">
      <alignment horizontal="center" vertical="center"/>
    </xf>
    <xf numFmtId="38" fontId="33" fillId="0" borderId="71" xfId="45" applyNumberFormat="1" applyFont="1" applyBorder="1" applyAlignment="1">
      <alignment horizontal="center" vertical="center"/>
    </xf>
    <xf numFmtId="38" fontId="33" fillId="0" borderId="57" xfId="45" applyNumberFormat="1" applyFont="1" applyBorder="1" applyAlignment="1">
      <alignment horizontal="center" vertical="center"/>
    </xf>
    <xf numFmtId="38" fontId="33" fillId="0" borderId="9" xfId="34" applyNumberFormat="1" applyFont="1" applyBorder="1" applyAlignment="1">
      <alignment horizontal="center" vertical="center"/>
    </xf>
    <xf numFmtId="38" fontId="32" fillId="0" borderId="6" xfId="45" applyNumberFormat="1" applyFont="1" applyBorder="1" applyAlignment="1">
      <alignment horizontal="center" vertical="center"/>
    </xf>
    <xf numFmtId="38" fontId="32" fillId="0" borderId="6" xfId="34" applyNumberFormat="1" applyFont="1" applyBorder="1" applyAlignment="1">
      <alignment horizontal="center" vertical="center"/>
    </xf>
    <xf numFmtId="38" fontId="32" fillId="0" borderId="55" xfId="34" applyNumberFormat="1" applyFont="1" applyBorder="1" applyAlignment="1">
      <alignment horizontal="center" vertical="center"/>
    </xf>
    <xf numFmtId="0" fontId="32" fillId="0" borderId="9" xfId="45" applyFont="1" applyBorder="1" applyAlignment="1">
      <alignment horizontal="center" vertical="center"/>
    </xf>
    <xf numFmtId="0" fontId="32" fillId="0" borderId="57" xfId="34" applyFont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5" fillId="5" borderId="15" xfId="0" applyFont="1" applyFill="1" applyBorder="1" applyAlignment="1">
      <alignment horizontal="center" vertical="center"/>
    </xf>
    <xf numFmtId="0" fontId="35" fillId="5" borderId="14" xfId="0" applyFont="1" applyFill="1" applyBorder="1" applyAlignment="1">
      <alignment horizontal="center" vertical="center"/>
    </xf>
    <xf numFmtId="0" fontId="35" fillId="5" borderId="13" xfId="0" applyFont="1" applyFill="1" applyBorder="1" applyAlignment="1">
      <alignment horizontal="center" vertical="center"/>
    </xf>
    <xf numFmtId="0" fontId="35" fillId="5" borderId="12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178" fontId="35" fillId="0" borderId="8" xfId="0" applyNumberFormat="1" applyFont="1" applyBorder="1" applyAlignment="1">
      <alignment horizontal="center" vertical="center"/>
    </xf>
    <xf numFmtId="177" fontId="37" fillId="0" borderId="8" xfId="1" applyNumberFormat="1" applyFont="1" applyBorder="1" applyAlignment="1">
      <alignment horizontal="center" vertical="center"/>
    </xf>
    <xf numFmtId="10" fontId="37" fillId="0" borderId="7" xfId="1" applyNumberFormat="1" applyFont="1" applyBorder="1" applyAlignment="1">
      <alignment horizontal="center" vertical="center"/>
    </xf>
    <xf numFmtId="177" fontId="35" fillId="0" borderId="10" xfId="0" applyNumberFormat="1" applyFont="1" applyBorder="1" applyAlignment="1">
      <alignment horizontal="center" vertical="center"/>
    </xf>
    <xf numFmtId="10" fontId="37" fillId="0" borderId="5" xfId="1" applyNumberFormat="1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178" fontId="35" fillId="4" borderId="8" xfId="0" applyNumberFormat="1" applyFont="1" applyFill="1" applyBorder="1" applyAlignment="1">
      <alignment horizontal="center" vertical="center"/>
    </xf>
    <xf numFmtId="0" fontId="35" fillId="4" borderId="6" xfId="0" applyFont="1" applyFill="1" applyBorder="1">
      <alignment vertical="center"/>
    </xf>
    <xf numFmtId="0" fontId="37" fillId="4" borderId="7" xfId="1" applyFont="1" applyFill="1" applyBorder="1" applyAlignment="1">
      <alignment horizontal="center" vertical="center"/>
    </xf>
    <xf numFmtId="177" fontId="35" fillId="4" borderId="8" xfId="0" applyNumberFormat="1" applyFont="1" applyFill="1" applyBorder="1" applyAlignment="1">
      <alignment horizontal="center" vertical="center"/>
    </xf>
    <xf numFmtId="176" fontId="37" fillId="4" borderId="5" xfId="1" applyNumberFormat="1" applyFont="1" applyFill="1" applyBorder="1" applyAlignment="1">
      <alignment horizontal="center" vertical="center"/>
    </xf>
    <xf numFmtId="177" fontId="35" fillId="0" borderId="6" xfId="0" applyNumberFormat="1" applyFont="1" applyBorder="1" applyAlignment="1">
      <alignment horizontal="center" vertical="center"/>
    </xf>
    <xf numFmtId="0" fontId="35" fillId="6" borderId="9" xfId="0" applyFont="1" applyFill="1" applyBorder="1" applyAlignment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177" fontId="35" fillId="6" borderId="6" xfId="0" applyNumberFormat="1" applyFont="1" applyFill="1" applyBorder="1" applyAlignment="1">
      <alignment horizontal="center" vertical="center"/>
    </xf>
    <xf numFmtId="0" fontId="35" fillId="0" borderId="73" xfId="0" applyFont="1" applyBorder="1" applyAlignment="1">
      <alignment horizontal="center" vertical="center"/>
    </xf>
    <xf numFmtId="0" fontId="35" fillId="6" borderId="73" xfId="0" applyFont="1" applyFill="1" applyBorder="1" applyAlignment="1">
      <alignment horizontal="center" vertical="center"/>
    </xf>
    <xf numFmtId="178" fontId="35" fillId="0" borderId="73" xfId="0" applyNumberFormat="1" applyFont="1" applyBorder="1" applyAlignment="1">
      <alignment horizontal="center" vertical="center"/>
    </xf>
    <xf numFmtId="177" fontId="37" fillId="0" borderId="73" xfId="1" applyNumberFormat="1" applyFont="1" applyBorder="1" applyAlignment="1">
      <alignment horizontal="center" vertical="center"/>
    </xf>
    <xf numFmtId="10" fontId="37" fillId="0" borderId="73" xfId="1" applyNumberFormat="1" applyFont="1" applyBorder="1" applyAlignment="1">
      <alignment horizontal="center" vertical="center"/>
    </xf>
    <xf numFmtId="177" fontId="35" fillId="6" borderId="73" xfId="0" applyNumberFormat="1" applyFont="1" applyFill="1" applyBorder="1" applyAlignment="1">
      <alignment horizontal="center" vertical="center"/>
    </xf>
    <xf numFmtId="10" fontId="37" fillId="0" borderId="72" xfId="1" applyNumberFormat="1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6" borderId="8" xfId="0" applyFont="1" applyFill="1" applyBorder="1" applyAlignment="1">
      <alignment horizontal="center" vertical="center"/>
    </xf>
    <xf numFmtId="178" fontId="35" fillId="0" borderId="8" xfId="0" applyNumberFormat="1" applyFont="1" applyBorder="1" applyAlignment="1">
      <alignment horizontal="center" vertical="center"/>
    </xf>
    <xf numFmtId="177" fontId="37" fillId="0" borderId="8" xfId="1" applyNumberFormat="1" applyFont="1" applyBorder="1" applyAlignment="1">
      <alignment horizontal="center" vertical="center"/>
    </xf>
    <xf numFmtId="10" fontId="37" fillId="0" borderId="8" xfId="1" applyNumberFormat="1" applyFont="1" applyBorder="1" applyAlignment="1">
      <alignment horizontal="center" vertical="center"/>
    </xf>
    <xf numFmtId="177" fontId="35" fillId="6" borderId="8" xfId="0" applyNumberFormat="1" applyFont="1" applyFill="1" applyBorder="1" applyAlignment="1">
      <alignment horizontal="center" vertical="center"/>
    </xf>
    <xf numFmtId="10" fontId="37" fillId="0" borderId="25" xfId="1" applyNumberFormat="1" applyFont="1" applyBorder="1" applyAlignment="1">
      <alignment horizontal="center" vertical="center"/>
    </xf>
    <xf numFmtId="177" fontId="35" fillId="4" borderId="6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178" fontId="35" fillId="2" borderId="2" xfId="0" applyNumberFormat="1" applyFont="1" applyFill="1" applyBorder="1" applyAlignment="1">
      <alignment horizontal="center" vertical="center"/>
    </xf>
    <xf numFmtId="177" fontId="37" fillId="2" borderId="2" xfId="1" applyNumberFormat="1" applyFont="1" applyFill="1" applyBorder="1" applyAlignment="1">
      <alignment horizontal="center" vertical="center"/>
    </xf>
    <xf numFmtId="10" fontId="37" fillId="2" borderId="2" xfId="1" applyNumberFormat="1" applyFont="1" applyFill="1" applyBorder="1" applyAlignment="1">
      <alignment horizontal="center" vertical="center"/>
    </xf>
    <xf numFmtId="177" fontId="35" fillId="2" borderId="2" xfId="0" applyNumberFormat="1" applyFont="1" applyFill="1" applyBorder="1" applyAlignment="1">
      <alignment horizontal="center" vertical="center"/>
    </xf>
    <xf numFmtId="10" fontId="37" fillId="2" borderId="1" xfId="1" applyNumberFormat="1" applyFont="1" applyFill="1" applyBorder="1" applyAlignment="1">
      <alignment horizontal="center" vertical="center"/>
    </xf>
    <xf numFmtId="177" fontId="35" fillId="0" borderId="73" xfId="0" applyNumberFormat="1" applyFont="1" applyBorder="1" applyAlignment="1">
      <alignment horizontal="center" vertical="center"/>
    </xf>
    <xf numFmtId="177" fontId="35" fillId="0" borderId="8" xfId="0" applyNumberFormat="1" applyFont="1" applyBorder="1" applyAlignment="1">
      <alignment horizontal="center" vertical="center"/>
    </xf>
    <xf numFmtId="0" fontId="35" fillId="5" borderId="19" xfId="0" applyFont="1" applyFill="1" applyBorder="1" applyAlignment="1">
      <alignment horizontal="center" vertical="center"/>
    </xf>
    <xf numFmtId="0" fontId="35" fillId="5" borderId="46" xfId="0" applyFont="1" applyFill="1" applyBorder="1" applyAlignment="1">
      <alignment horizontal="center" vertical="center"/>
    </xf>
    <xf numFmtId="0" fontId="39" fillId="39" borderId="21" xfId="0" applyFont="1" applyFill="1" applyBorder="1" applyAlignment="1">
      <alignment horizontal="center" vertical="center"/>
    </xf>
    <xf numFmtId="0" fontId="39" fillId="39" borderId="22" xfId="0" applyFont="1" applyFill="1" applyBorder="1" applyAlignment="1">
      <alignment horizontal="center" vertical="center"/>
    </xf>
    <xf numFmtId="3" fontId="35" fillId="0" borderId="48" xfId="0" applyNumberFormat="1" applyFont="1" applyBorder="1" applyAlignment="1">
      <alignment horizontal="center" vertical="center"/>
    </xf>
    <xf numFmtId="10" fontId="35" fillId="0" borderId="10" xfId="0" applyNumberFormat="1" applyFont="1" applyBorder="1" applyAlignment="1">
      <alignment horizontal="center" vertical="center"/>
    </xf>
    <xf numFmtId="3" fontId="35" fillId="0" borderId="10" xfId="0" applyNumberFormat="1" applyFont="1" applyBorder="1" applyAlignment="1">
      <alignment horizontal="center" vertical="center"/>
    </xf>
    <xf numFmtId="10" fontId="35" fillId="0" borderId="42" xfId="0" applyNumberFormat="1" applyFont="1" applyBorder="1" applyAlignment="1">
      <alignment horizontal="center" vertical="center"/>
    </xf>
    <xf numFmtId="0" fontId="39" fillId="39" borderId="9" xfId="0" applyFont="1" applyFill="1" applyBorder="1" applyAlignment="1">
      <alignment horizontal="center" vertical="center"/>
    </xf>
    <xf numFmtId="0" fontId="39" fillId="39" borderId="59" xfId="0" applyFont="1" applyFill="1" applyBorder="1" applyAlignment="1">
      <alignment horizontal="center" vertical="center"/>
    </xf>
    <xf numFmtId="3" fontId="35" fillId="0" borderId="57" xfId="0" applyNumberFormat="1" applyFont="1" applyBorder="1" applyAlignment="1">
      <alignment horizontal="center" vertical="center"/>
    </xf>
    <xf numFmtId="10" fontId="35" fillId="0" borderId="8" xfId="0" applyNumberFormat="1" applyFont="1" applyBorder="1" applyAlignment="1">
      <alignment horizontal="center" vertical="center"/>
    </xf>
    <xf numFmtId="3" fontId="35" fillId="0" borderId="6" xfId="0" applyNumberFormat="1" applyFont="1" applyBorder="1" applyAlignment="1">
      <alignment horizontal="center" vertical="center"/>
    </xf>
    <xf numFmtId="10" fontId="35" fillId="0" borderId="25" xfId="0" applyNumberFormat="1" applyFont="1" applyBorder="1" applyAlignment="1">
      <alignment horizontal="center" vertical="center"/>
    </xf>
    <xf numFmtId="0" fontId="39" fillId="39" borderId="4" xfId="0" applyFont="1" applyFill="1" applyBorder="1" applyAlignment="1">
      <alignment horizontal="center" vertical="center"/>
    </xf>
    <xf numFmtId="0" fontId="39" fillId="39" borderId="1" xfId="0" applyFont="1" applyFill="1" applyBorder="1" applyAlignment="1">
      <alignment horizontal="center" vertical="center"/>
    </xf>
    <xf numFmtId="3" fontId="35" fillId="0" borderId="58" xfId="0" applyNumberFormat="1" applyFont="1" applyBorder="1" applyAlignment="1">
      <alignment horizontal="center" vertical="center"/>
    </xf>
    <xf numFmtId="10" fontId="35" fillId="0" borderId="24" xfId="0" applyNumberFormat="1" applyFont="1" applyBorder="1" applyAlignment="1">
      <alignment horizontal="center" vertical="center"/>
    </xf>
    <xf numFmtId="3" fontId="35" fillId="0" borderId="2" xfId="0" applyNumberFormat="1" applyFont="1" applyBorder="1" applyAlignment="1">
      <alignment horizontal="center" vertical="center"/>
    </xf>
    <xf numFmtId="10" fontId="35" fillId="0" borderId="43" xfId="0" applyNumberFormat="1" applyFont="1" applyBorder="1" applyAlignment="1">
      <alignment horizontal="center" vertical="center"/>
    </xf>
    <xf numFmtId="0" fontId="40" fillId="39" borderId="21" xfId="0" applyFont="1" applyFill="1" applyBorder="1" applyAlignment="1">
      <alignment horizontal="center" vertical="center"/>
    </xf>
    <xf numFmtId="0" fontId="40" fillId="39" borderId="22" xfId="0" applyFont="1" applyFill="1" applyBorder="1" applyAlignment="1">
      <alignment horizontal="center" vertical="center"/>
    </xf>
    <xf numFmtId="0" fontId="40" fillId="39" borderId="9" xfId="0" applyFont="1" applyFill="1" applyBorder="1" applyAlignment="1">
      <alignment horizontal="center" vertical="center"/>
    </xf>
    <xf numFmtId="0" fontId="40" fillId="39" borderId="59" xfId="0" applyFont="1" applyFill="1" applyBorder="1" applyAlignment="1">
      <alignment horizontal="center" vertical="center"/>
    </xf>
    <xf numFmtId="0" fontId="40" fillId="39" borderId="4" xfId="0" applyFont="1" applyFill="1" applyBorder="1" applyAlignment="1">
      <alignment horizontal="center" vertical="center"/>
    </xf>
    <xf numFmtId="0" fontId="40" fillId="39" borderId="1" xfId="0" applyFont="1" applyFill="1" applyBorder="1" applyAlignment="1">
      <alignment horizontal="center" vertical="center"/>
    </xf>
    <xf numFmtId="176" fontId="37" fillId="4" borderId="7" xfId="1" applyNumberFormat="1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4" borderId="6" xfId="0" applyFont="1" applyFill="1" applyBorder="1" applyAlignment="1">
      <alignment horizontal="center" vertical="center"/>
    </xf>
    <xf numFmtId="0" fontId="35" fillId="2" borderId="17" xfId="0" applyFont="1" applyFill="1" applyBorder="1" applyAlignment="1">
      <alignment horizontal="center" vertical="center"/>
    </xf>
    <xf numFmtId="0" fontId="35" fillId="2" borderId="24" xfId="0" applyFont="1" applyFill="1" applyBorder="1" applyAlignment="1">
      <alignment horizontal="center" vertical="center"/>
    </xf>
    <xf numFmtId="177" fontId="37" fillId="2" borderId="24" xfId="1" applyNumberFormat="1" applyFont="1" applyFill="1" applyBorder="1" applyAlignment="1">
      <alignment horizontal="center" vertical="center"/>
    </xf>
    <xf numFmtId="10" fontId="37" fillId="2" borderId="16" xfId="1" applyNumberFormat="1" applyFont="1" applyFill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0" fontId="39" fillId="39" borderId="45" xfId="0" applyFont="1" applyFill="1" applyBorder="1" applyAlignment="1">
      <alignment horizontal="center" vertical="center"/>
    </xf>
    <xf numFmtId="0" fontId="39" fillId="39" borderId="46" xfId="0" applyFont="1" applyFill="1" applyBorder="1" applyAlignment="1">
      <alignment horizontal="center" vertical="center"/>
    </xf>
    <xf numFmtId="0" fontId="39" fillId="39" borderId="12" xfId="0" applyFont="1" applyFill="1" applyBorder="1" applyAlignment="1">
      <alignment horizontal="center" vertical="center"/>
    </xf>
    <xf numFmtId="0" fontId="39" fillId="39" borderId="47" xfId="0" applyFont="1" applyFill="1" applyBorder="1" applyAlignment="1">
      <alignment horizontal="center" vertical="center"/>
    </xf>
    <xf numFmtId="0" fontId="35" fillId="6" borderId="21" xfId="0" applyFont="1" applyFill="1" applyBorder="1" applyAlignment="1">
      <alignment horizontal="center" vertical="center"/>
    </xf>
    <xf numFmtId="0" fontId="35" fillId="6" borderId="22" xfId="0" applyFont="1" applyFill="1" applyBorder="1" applyAlignment="1">
      <alignment horizontal="center" vertical="center"/>
    </xf>
    <xf numFmtId="0" fontId="39" fillId="39" borderId="49" xfId="0" applyFont="1" applyFill="1" applyBorder="1" applyAlignment="1">
      <alignment horizontal="center" vertical="center"/>
    </xf>
    <xf numFmtId="0" fontId="35" fillId="6" borderId="5" xfId="0" applyFont="1" applyFill="1" applyBorder="1" applyAlignment="1">
      <alignment horizontal="center" vertical="center"/>
    </xf>
    <xf numFmtId="0" fontId="39" fillId="39" borderId="51" xfId="0" applyFont="1" applyFill="1" applyBorder="1" applyAlignment="1">
      <alignment horizontal="center" vertical="center"/>
    </xf>
    <xf numFmtId="0" fontId="35" fillId="6" borderId="17" xfId="0" applyFont="1" applyFill="1" applyBorder="1" applyAlignment="1">
      <alignment horizontal="center" vertical="center"/>
    </xf>
    <xf numFmtId="0" fontId="35" fillId="6" borderId="16" xfId="0" applyFont="1" applyFill="1" applyBorder="1" applyAlignment="1">
      <alignment horizontal="center" vertical="center"/>
    </xf>
    <xf numFmtId="0" fontId="39" fillId="39" borderId="60" xfId="0" applyFont="1" applyFill="1" applyBorder="1" applyAlignment="1">
      <alignment horizontal="center" vertical="center"/>
    </xf>
    <xf numFmtId="0" fontId="39" fillId="39" borderId="15" xfId="0" applyFont="1" applyFill="1" applyBorder="1" applyAlignment="1">
      <alignment horizontal="center" vertical="center"/>
    </xf>
    <xf numFmtId="0" fontId="39" fillId="39" borderId="14" xfId="0" applyFont="1" applyFill="1" applyBorder="1" applyAlignment="1">
      <alignment horizontal="center" vertical="center"/>
    </xf>
    <xf numFmtId="0" fontId="39" fillId="39" borderId="53" xfId="0" applyFont="1" applyFill="1" applyBorder="1" applyAlignment="1">
      <alignment horizontal="center" vertical="center"/>
    </xf>
    <xf numFmtId="0" fontId="35" fillId="6" borderId="25" xfId="0" applyFont="1" applyFill="1" applyBorder="1" applyAlignment="1">
      <alignment horizontal="center" vertical="center"/>
    </xf>
    <xf numFmtId="0" fontId="39" fillId="39" borderId="54" xfId="0" applyFont="1" applyFill="1" applyBorder="1" applyAlignment="1">
      <alignment horizontal="center" vertical="center"/>
    </xf>
    <xf numFmtId="0" fontId="35" fillId="6" borderId="6" xfId="0" applyFont="1" applyFill="1" applyBorder="1" applyAlignment="1">
      <alignment horizontal="center" vertical="center"/>
    </xf>
    <xf numFmtId="0" fontId="35" fillId="6" borderId="55" xfId="0" applyFont="1" applyFill="1" applyBorder="1" applyAlignment="1">
      <alignment horizontal="center" vertical="center"/>
    </xf>
    <xf numFmtId="0" fontId="39" fillId="39" borderId="56" xfId="0" applyFont="1" applyFill="1" applyBorder="1" applyAlignment="1">
      <alignment horizontal="center" vertical="center"/>
    </xf>
    <xf numFmtId="0" fontId="35" fillId="6" borderId="4" xfId="0" applyFont="1" applyFill="1" applyBorder="1" applyAlignment="1">
      <alignment horizontal="center" vertical="center"/>
    </xf>
    <xf numFmtId="0" fontId="35" fillId="6" borderId="2" xfId="0" applyFont="1" applyFill="1" applyBorder="1" applyAlignment="1">
      <alignment horizontal="center" vertical="center"/>
    </xf>
    <xf numFmtId="0" fontId="35" fillId="6" borderId="44" xfId="0" applyFont="1" applyFill="1" applyBorder="1" applyAlignment="1">
      <alignment horizontal="center" vertical="center"/>
    </xf>
    <xf numFmtId="0" fontId="35" fillId="6" borderId="48" xfId="0" applyFont="1" applyFill="1" applyBorder="1" applyAlignment="1">
      <alignment horizontal="center" vertical="center"/>
    </xf>
    <xf numFmtId="0" fontId="35" fillId="6" borderId="50" xfId="0" applyFont="1" applyFill="1" applyBorder="1" applyAlignment="1">
      <alignment horizontal="center" vertical="center"/>
    </xf>
    <xf numFmtId="0" fontId="35" fillId="6" borderId="52" xfId="0" applyFont="1" applyFill="1" applyBorder="1" applyAlignment="1">
      <alignment horizontal="center" vertical="center"/>
    </xf>
  </cellXfs>
  <cellStyles count="50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62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0"/>
  <sheetViews>
    <sheetView zoomScale="115" zoomScaleNormal="115" workbookViewId="0">
      <selection activeCell="C4" sqref="C4:E20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ht="17.5" thickBot="1" x14ac:dyDescent="0.5">
      <c r="C3" s="1" t="s">
        <v>1</v>
      </c>
      <c r="D3" s="1" t="s">
        <v>2</v>
      </c>
      <c r="E3" s="1" t="s">
        <v>0</v>
      </c>
    </row>
    <row r="4" spans="2:5" ht="17.5" thickTop="1" x14ac:dyDescent="0.45">
      <c r="B4" s="16" t="s">
        <v>3</v>
      </c>
      <c r="C4" s="56">
        <v>222742</v>
      </c>
      <c r="D4" s="50" t="s">
        <v>71</v>
      </c>
      <c r="E4" s="51" t="s">
        <v>72</v>
      </c>
    </row>
    <row r="5" spans="2:5" x14ac:dyDescent="0.45">
      <c r="B5" s="16" t="s">
        <v>60</v>
      </c>
      <c r="C5" s="57">
        <v>220597</v>
      </c>
      <c r="D5" s="52" t="s">
        <v>73</v>
      </c>
      <c r="E5" s="53" t="s">
        <v>74</v>
      </c>
    </row>
    <row r="6" spans="2:5" x14ac:dyDescent="0.45">
      <c r="B6" s="16" t="s">
        <v>4</v>
      </c>
      <c r="C6" s="57">
        <v>217982</v>
      </c>
      <c r="D6" s="52" t="s">
        <v>75</v>
      </c>
      <c r="E6" s="53" t="s">
        <v>76</v>
      </c>
    </row>
    <row r="7" spans="2:5" x14ac:dyDescent="0.45">
      <c r="B7" s="16" t="s">
        <v>5</v>
      </c>
      <c r="C7" s="57">
        <v>216407</v>
      </c>
      <c r="D7" s="52" t="s">
        <v>77</v>
      </c>
      <c r="E7" s="53" t="s">
        <v>78</v>
      </c>
    </row>
    <row r="8" spans="2:5" x14ac:dyDescent="0.45">
      <c r="B8" s="16" t="s">
        <v>10</v>
      </c>
      <c r="C8" s="57">
        <v>50633</v>
      </c>
      <c r="D8" s="52" t="s">
        <v>79</v>
      </c>
      <c r="E8" s="53" t="s">
        <v>80</v>
      </c>
    </row>
    <row r="9" spans="2:5" x14ac:dyDescent="0.45">
      <c r="B9" s="16" t="s">
        <v>11</v>
      </c>
      <c r="C9" s="57">
        <v>27743</v>
      </c>
      <c r="D9" s="52" t="s">
        <v>81</v>
      </c>
      <c r="E9" s="53" t="s">
        <v>82</v>
      </c>
    </row>
    <row r="10" spans="2:5" x14ac:dyDescent="0.45">
      <c r="B10" s="16" t="s">
        <v>12</v>
      </c>
      <c r="C10" s="57">
        <v>19923</v>
      </c>
      <c r="D10" s="52" t="s">
        <v>83</v>
      </c>
      <c r="E10" s="53" t="s">
        <v>84</v>
      </c>
    </row>
    <row r="11" spans="2:5" x14ac:dyDescent="0.45">
      <c r="B11" s="16" t="s">
        <v>13</v>
      </c>
      <c r="C11" s="57">
        <v>16534</v>
      </c>
      <c r="D11" s="52" t="s">
        <v>85</v>
      </c>
      <c r="E11" s="53" t="s">
        <v>86</v>
      </c>
    </row>
    <row r="12" spans="2:5" x14ac:dyDescent="0.45">
      <c r="B12" s="16" t="s">
        <v>14</v>
      </c>
      <c r="C12" s="57">
        <v>8542</v>
      </c>
      <c r="D12" s="52" t="s">
        <v>87</v>
      </c>
      <c r="E12" s="53" t="s">
        <v>88</v>
      </c>
    </row>
    <row r="13" spans="2:5" x14ac:dyDescent="0.45">
      <c r="B13" s="16" t="s">
        <v>15</v>
      </c>
      <c r="C13" s="57">
        <v>12660</v>
      </c>
      <c r="D13" s="52" t="s">
        <v>89</v>
      </c>
      <c r="E13" s="53" t="s">
        <v>90</v>
      </c>
    </row>
    <row r="14" spans="2:5" x14ac:dyDescent="0.45">
      <c r="B14" s="16" t="s">
        <v>59</v>
      </c>
      <c r="C14" s="57">
        <v>9582</v>
      </c>
      <c r="D14" s="52" t="s">
        <v>91</v>
      </c>
      <c r="E14" s="53" t="s">
        <v>92</v>
      </c>
    </row>
    <row r="15" spans="2:5" x14ac:dyDescent="0.45">
      <c r="B15" s="16" t="s">
        <v>16</v>
      </c>
      <c r="C15" s="57">
        <v>24110</v>
      </c>
      <c r="D15" s="52" t="s">
        <v>93</v>
      </c>
      <c r="E15" s="53" t="s">
        <v>94</v>
      </c>
    </row>
    <row r="16" spans="2:5" x14ac:dyDescent="0.45">
      <c r="B16" s="16" t="s">
        <v>17</v>
      </c>
      <c r="C16" s="57">
        <v>42903</v>
      </c>
      <c r="D16" s="52" t="s">
        <v>95</v>
      </c>
      <c r="E16" s="53" t="s">
        <v>96</v>
      </c>
    </row>
    <row r="17" spans="2:5" x14ac:dyDescent="0.45">
      <c r="B17" s="16" t="s">
        <v>58</v>
      </c>
      <c r="C17" s="57">
        <v>34939</v>
      </c>
      <c r="D17" s="52" t="s">
        <v>97</v>
      </c>
      <c r="E17" s="53" t="s">
        <v>98</v>
      </c>
    </row>
    <row r="18" spans="2:5" x14ac:dyDescent="0.45">
      <c r="B18" s="16" t="s">
        <v>18</v>
      </c>
      <c r="C18" s="57">
        <v>49563</v>
      </c>
      <c r="D18" s="52" t="s">
        <v>99</v>
      </c>
      <c r="E18" s="53" t="s">
        <v>100</v>
      </c>
    </row>
    <row r="19" spans="2:5" x14ac:dyDescent="0.45">
      <c r="B19" s="16" t="s">
        <v>19</v>
      </c>
      <c r="C19" s="57">
        <v>75175</v>
      </c>
      <c r="D19" s="52" t="s">
        <v>101</v>
      </c>
      <c r="E19" s="53" t="s">
        <v>102</v>
      </c>
    </row>
    <row r="20" spans="2:5" ht="17.5" thickBot="1" x14ac:dyDescent="0.5">
      <c r="B20" s="16" t="s">
        <v>20</v>
      </c>
      <c r="C20" s="58">
        <v>53966</v>
      </c>
      <c r="D20" s="54" t="s">
        <v>103</v>
      </c>
      <c r="E20" s="55" t="s">
        <v>104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156"/>
  <sheetViews>
    <sheetView workbookViewId="0">
      <selection activeCell="C4" sqref="C4:D156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ht="17.5" thickBot="1" x14ac:dyDescent="0.5">
      <c r="C3" s="87" t="s">
        <v>56</v>
      </c>
      <c r="D3" s="87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24</v>
      </c>
      <c r="P3" s="1" t="s">
        <v>18</v>
      </c>
      <c r="Q3" s="1" t="s">
        <v>19</v>
      </c>
      <c r="R3" s="1" t="s">
        <v>20</v>
      </c>
      <c r="S3" s="1" t="s">
        <v>25</v>
      </c>
      <c r="T3" s="1" t="s">
        <v>21</v>
      </c>
      <c r="U3" s="1" t="s">
        <v>22</v>
      </c>
      <c r="V3" s="1" t="s">
        <v>23</v>
      </c>
    </row>
    <row r="4" spans="1:22" ht="17.5" thickTop="1" x14ac:dyDescent="0.45">
      <c r="A4" t="s">
        <v>44</v>
      </c>
      <c r="B4" s="1" t="s">
        <v>26</v>
      </c>
      <c r="C4" s="50">
        <v>136</v>
      </c>
      <c r="D4" s="62">
        <v>9443</v>
      </c>
    </row>
    <row r="5" spans="1:22" x14ac:dyDescent="0.45">
      <c r="B5" s="1" t="s">
        <v>27</v>
      </c>
      <c r="C5" s="52">
        <v>127</v>
      </c>
      <c r="D5" s="59">
        <v>15357</v>
      </c>
    </row>
    <row r="6" spans="1:22" x14ac:dyDescent="0.45">
      <c r="B6" s="1" t="s">
        <v>28</v>
      </c>
      <c r="C6" s="52">
        <v>116</v>
      </c>
      <c r="D6" s="59">
        <v>28835</v>
      </c>
    </row>
    <row r="7" spans="1:22" x14ac:dyDescent="0.45">
      <c r="B7" s="1" t="s">
        <v>29</v>
      </c>
      <c r="C7" s="52">
        <v>106</v>
      </c>
      <c r="D7" s="59">
        <v>36068</v>
      </c>
    </row>
    <row r="8" spans="1:22" x14ac:dyDescent="0.45">
      <c r="B8" s="1" t="s">
        <v>30</v>
      </c>
      <c r="C8" s="52">
        <v>93</v>
      </c>
      <c r="D8" s="59">
        <v>45072</v>
      </c>
    </row>
    <row r="9" spans="1:22" x14ac:dyDescent="0.45">
      <c r="B9" s="1" t="s">
        <v>31</v>
      </c>
      <c r="C9" s="52">
        <v>82</v>
      </c>
      <c r="D9" s="59">
        <v>39918</v>
      </c>
    </row>
    <row r="10" spans="1:22" x14ac:dyDescent="0.45">
      <c r="B10" s="1" t="s">
        <v>32</v>
      </c>
      <c r="C10" s="52">
        <v>75</v>
      </c>
      <c r="D10" s="59">
        <v>24192</v>
      </c>
    </row>
    <row r="11" spans="1:22" x14ac:dyDescent="0.45">
      <c r="B11" s="1" t="s">
        <v>33</v>
      </c>
      <c r="C11" s="52">
        <v>70</v>
      </c>
      <c r="D11" s="59">
        <v>16291</v>
      </c>
    </row>
    <row r="12" spans="1:22" ht="17.5" thickBot="1" x14ac:dyDescent="0.5">
      <c r="B12" s="1" t="s">
        <v>35</v>
      </c>
      <c r="C12" s="54">
        <v>54</v>
      </c>
      <c r="D12" s="63">
        <v>7566</v>
      </c>
    </row>
    <row r="13" spans="1:22" x14ac:dyDescent="0.45">
      <c r="A13" t="s">
        <v>62</v>
      </c>
      <c r="B13" s="1" t="s">
        <v>36</v>
      </c>
      <c r="C13" s="61">
        <v>139</v>
      </c>
      <c r="D13" s="60">
        <v>10056</v>
      </c>
    </row>
    <row r="14" spans="1:22" x14ac:dyDescent="0.45">
      <c r="B14" s="1" t="s">
        <v>37</v>
      </c>
      <c r="C14" s="52">
        <v>129</v>
      </c>
      <c r="D14" s="59">
        <v>17883</v>
      </c>
    </row>
    <row r="15" spans="1:22" x14ac:dyDescent="0.45">
      <c r="B15" s="1" t="s">
        <v>38</v>
      </c>
      <c r="C15" s="52">
        <v>117</v>
      </c>
      <c r="D15" s="59">
        <v>24884</v>
      </c>
    </row>
    <row r="16" spans="1:22" x14ac:dyDescent="0.45">
      <c r="B16" s="1" t="s">
        <v>39</v>
      </c>
      <c r="C16" s="52">
        <v>102</v>
      </c>
      <c r="D16" s="59">
        <v>35762</v>
      </c>
    </row>
    <row r="17" spans="1:4" x14ac:dyDescent="0.45">
      <c r="B17" s="1" t="s">
        <v>40</v>
      </c>
      <c r="C17" s="52">
        <v>89</v>
      </c>
      <c r="D17" s="59">
        <v>43825</v>
      </c>
    </row>
    <row r="18" spans="1:4" x14ac:dyDescent="0.45">
      <c r="B18" s="1" t="s">
        <v>41</v>
      </c>
      <c r="C18" s="52">
        <v>82</v>
      </c>
      <c r="D18" s="59">
        <v>46530</v>
      </c>
    </row>
    <row r="19" spans="1:4" x14ac:dyDescent="0.45">
      <c r="B19" s="1" t="s">
        <v>42</v>
      </c>
      <c r="C19" s="52">
        <v>80</v>
      </c>
      <c r="D19" s="59">
        <v>17438</v>
      </c>
    </row>
    <row r="20" spans="1:4" x14ac:dyDescent="0.45">
      <c r="B20" s="1" t="s">
        <v>43</v>
      </c>
      <c r="C20" s="52">
        <v>76</v>
      </c>
      <c r="D20" s="59">
        <v>16664</v>
      </c>
    </row>
    <row r="21" spans="1:4" ht="17.5" thickBot="1" x14ac:dyDescent="0.5">
      <c r="B21" s="1" t="s">
        <v>34</v>
      </c>
      <c r="C21" s="54">
        <v>69</v>
      </c>
      <c r="D21" s="63">
        <v>7555</v>
      </c>
    </row>
    <row r="22" spans="1:4" x14ac:dyDescent="0.45">
      <c r="A22" t="s">
        <v>63</v>
      </c>
      <c r="B22" s="1" t="s">
        <v>26</v>
      </c>
      <c r="C22" s="61">
        <v>90</v>
      </c>
      <c r="D22" s="60">
        <v>20558</v>
      </c>
    </row>
    <row r="23" spans="1:4" x14ac:dyDescent="0.45">
      <c r="B23" s="1" t="s">
        <v>27</v>
      </c>
      <c r="C23" s="52">
        <v>80</v>
      </c>
      <c r="D23" s="59">
        <v>23077</v>
      </c>
    </row>
    <row r="24" spans="1:4" x14ac:dyDescent="0.45">
      <c r="B24" s="1" t="s">
        <v>28</v>
      </c>
      <c r="C24" s="52">
        <v>70</v>
      </c>
      <c r="D24" s="59">
        <v>30550</v>
      </c>
    </row>
    <row r="25" spans="1:4" x14ac:dyDescent="0.45">
      <c r="B25" s="1" t="s">
        <v>29</v>
      </c>
      <c r="C25" s="52">
        <v>60</v>
      </c>
      <c r="D25" s="59">
        <v>33147</v>
      </c>
    </row>
    <row r="26" spans="1:4" x14ac:dyDescent="0.45">
      <c r="B26" s="1" t="s">
        <v>30</v>
      </c>
      <c r="C26" s="52">
        <v>50</v>
      </c>
      <c r="D26" s="59">
        <v>28969</v>
      </c>
    </row>
    <row r="27" spans="1:4" x14ac:dyDescent="0.45">
      <c r="B27" s="1" t="s">
        <v>31</v>
      </c>
      <c r="C27" s="52">
        <v>40</v>
      </c>
      <c r="D27" s="59">
        <v>22959</v>
      </c>
    </row>
    <row r="28" spans="1:4" x14ac:dyDescent="0.45">
      <c r="B28" s="1" t="s">
        <v>32</v>
      </c>
      <c r="C28" s="52">
        <v>30</v>
      </c>
      <c r="D28" s="59">
        <v>19880</v>
      </c>
    </row>
    <row r="29" spans="1:4" x14ac:dyDescent="0.45">
      <c r="B29" s="1" t="s">
        <v>33</v>
      </c>
      <c r="C29" s="52">
        <v>20</v>
      </c>
      <c r="D29" s="59">
        <v>26289</v>
      </c>
    </row>
    <row r="30" spans="1:4" ht="17.5" thickBot="1" x14ac:dyDescent="0.5">
      <c r="B30" s="1" t="s">
        <v>35</v>
      </c>
      <c r="C30" s="54">
        <v>0</v>
      </c>
      <c r="D30" s="63">
        <v>12553</v>
      </c>
    </row>
    <row r="31" spans="1:4" x14ac:dyDescent="0.45">
      <c r="A31" t="s">
        <v>64</v>
      </c>
      <c r="B31" s="1" t="s">
        <v>26</v>
      </c>
      <c r="C31" s="61">
        <v>40</v>
      </c>
      <c r="D31" s="60">
        <v>36326</v>
      </c>
    </row>
    <row r="32" spans="1:4" x14ac:dyDescent="0.45">
      <c r="B32" s="1" t="s">
        <v>27</v>
      </c>
      <c r="C32" s="52">
        <v>35</v>
      </c>
      <c r="D32" s="59">
        <v>29289</v>
      </c>
    </row>
    <row r="33" spans="1:4" x14ac:dyDescent="0.45">
      <c r="B33" s="1" t="s">
        <v>28</v>
      </c>
      <c r="C33" s="52">
        <v>30</v>
      </c>
      <c r="D33" s="59">
        <v>32946</v>
      </c>
    </row>
    <row r="34" spans="1:4" x14ac:dyDescent="0.45">
      <c r="B34" s="1" t="s">
        <v>29</v>
      </c>
      <c r="C34" s="52">
        <v>25</v>
      </c>
      <c r="D34" s="59">
        <v>30338</v>
      </c>
    </row>
    <row r="35" spans="1:4" x14ac:dyDescent="0.45">
      <c r="B35" s="1" t="s">
        <v>30</v>
      </c>
      <c r="C35" s="52">
        <v>20</v>
      </c>
      <c r="D35" s="59">
        <v>24586</v>
      </c>
    </row>
    <row r="36" spans="1:4" x14ac:dyDescent="0.45">
      <c r="B36" s="1" t="s">
        <v>31</v>
      </c>
      <c r="C36" s="52">
        <v>15</v>
      </c>
      <c r="D36" s="59">
        <v>20254</v>
      </c>
    </row>
    <row r="37" spans="1:4" x14ac:dyDescent="0.45">
      <c r="B37" s="1" t="s">
        <v>32</v>
      </c>
      <c r="C37" s="52">
        <v>10</v>
      </c>
      <c r="D37" s="59">
        <v>27533</v>
      </c>
    </row>
    <row r="38" spans="1:4" x14ac:dyDescent="0.45">
      <c r="B38" s="1" t="s">
        <v>33</v>
      </c>
      <c r="C38" s="52">
        <v>5</v>
      </c>
      <c r="D38" s="59">
        <v>12583</v>
      </c>
    </row>
    <row r="39" spans="1:4" ht="17.5" thickBot="1" x14ac:dyDescent="0.5">
      <c r="B39" s="1" t="s">
        <v>35</v>
      </c>
      <c r="C39" s="54">
        <v>0</v>
      </c>
      <c r="D39" s="63">
        <v>2552</v>
      </c>
    </row>
    <row r="40" spans="1:4" x14ac:dyDescent="0.45">
      <c r="A40" t="s">
        <v>45</v>
      </c>
      <c r="B40" s="1" t="s">
        <v>36</v>
      </c>
      <c r="C40" s="61">
        <v>67</v>
      </c>
      <c r="D40" s="60">
        <v>2224</v>
      </c>
    </row>
    <row r="41" spans="1:4" x14ac:dyDescent="0.45">
      <c r="B41" s="1" t="s">
        <v>37</v>
      </c>
      <c r="C41" s="52">
        <v>62</v>
      </c>
      <c r="D41" s="59">
        <v>3887</v>
      </c>
    </row>
    <row r="42" spans="1:4" x14ac:dyDescent="0.45">
      <c r="B42" s="1" t="s">
        <v>38</v>
      </c>
      <c r="C42" s="52">
        <v>58</v>
      </c>
      <c r="D42" s="59">
        <v>6814</v>
      </c>
    </row>
    <row r="43" spans="1:4" x14ac:dyDescent="0.45">
      <c r="B43" s="1" t="s">
        <v>39</v>
      </c>
      <c r="C43" s="52">
        <v>53</v>
      </c>
      <c r="D43" s="59">
        <v>10036</v>
      </c>
    </row>
    <row r="44" spans="1:4" x14ac:dyDescent="0.45">
      <c r="B44" s="1" t="s">
        <v>40</v>
      </c>
      <c r="C44" s="52">
        <v>47</v>
      </c>
      <c r="D44" s="59">
        <v>8442</v>
      </c>
    </row>
    <row r="45" spans="1:4" x14ac:dyDescent="0.45">
      <c r="B45" s="1" t="s">
        <v>41</v>
      </c>
      <c r="C45" s="52">
        <v>40</v>
      </c>
      <c r="D45" s="59">
        <v>10256</v>
      </c>
    </row>
    <row r="46" spans="1:4" x14ac:dyDescent="0.45">
      <c r="B46" s="1" t="s">
        <v>42</v>
      </c>
      <c r="C46" s="52">
        <v>36</v>
      </c>
      <c r="D46" s="59">
        <v>3854</v>
      </c>
    </row>
    <row r="47" spans="1:4" x14ac:dyDescent="0.45">
      <c r="B47" s="1" t="s">
        <v>43</v>
      </c>
      <c r="C47" s="52">
        <v>34</v>
      </c>
      <c r="D47" s="59">
        <v>3223</v>
      </c>
    </row>
    <row r="48" spans="1:4" x14ac:dyDescent="0.45">
      <c r="B48" s="1" t="s">
        <v>34</v>
      </c>
      <c r="C48" s="52">
        <v>27</v>
      </c>
      <c r="D48" s="59">
        <v>1897</v>
      </c>
    </row>
    <row r="49" spans="1:4" x14ac:dyDescent="0.45">
      <c r="A49" t="s">
        <v>46</v>
      </c>
      <c r="B49" s="1" t="s">
        <v>26</v>
      </c>
      <c r="C49" s="52">
        <v>69</v>
      </c>
      <c r="D49" s="59">
        <v>1298</v>
      </c>
    </row>
    <row r="50" spans="1:4" x14ac:dyDescent="0.45">
      <c r="B50" s="1" t="s">
        <v>27</v>
      </c>
      <c r="C50" s="52">
        <v>64</v>
      </c>
      <c r="D50" s="59">
        <v>1885</v>
      </c>
    </row>
    <row r="51" spans="1:4" x14ac:dyDescent="0.45">
      <c r="B51" s="1" t="s">
        <v>28</v>
      </c>
      <c r="C51" s="52">
        <v>58</v>
      </c>
      <c r="D51" s="59">
        <v>3244</v>
      </c>
    </row>
    <row r="52" spans="1:4" x14ac:dyDescent="0.45">
      <c r="B52" s="1" t="s">
        <v>29</v>
      </c>
      <c r="C52" s="52">
        <v>52</v>
      </c>
      <c r="D52" s="59">
        <v>4976</v>
      </c>
    </row>
    <row r="53" spans="1:4" x14ac:dyDescent="0.45">
      <c r="B53" s="1" t="s">
        <v>30</v>
      </c>
      <c r="C53" s="52">
        <v>45</v>
      </c>
      <c r="D53" s="59">
        <v>6593</v>
      </c>
    </row>
    <row r="54" spans="1:4" x14ac:dyDescent="0.45">
      <c r="B54" s="1" t="s">
        <v>31</v>
      </c>
      <c r="C54" s="52">
        <v>41</v>
      </c>
      <c r="D54" s="59">
        <v>4249</v>
      </c>
    </row>
    <row r="55" spans="1:4" x14ac:dyDescent="0.45">
      <c r="B55" s="1" t="s">
        <v>32</v>
      </c>
      <c r="C55" s="52">
        <v>38</v>
      </c>
      <c r="D55" s="59">
        <v>3746</v>
      </c>
    </row>
    <row r="56" spans="1:4" x14ac:dyDescent="0.45">
      <c r="B56" s="1" t="s">
        <v>33</v>
      </c>
      <c r="C56" s="52">
        <v>36</v>
      </c>
      <c r="D56" s="59">
        <v>1031</v>
      </c>
    </row>
    <row r="57" spans="1:4" x14ac:dyDescent="0.45">
      <c r="B57" s="1" t="s">
        <v>35</v>
      </c>
      <c r="C57" s="52">
        <v>31</v>
      </c>
      <c r="D57" s="59">
        <v>721</v>
      </c>
    </row>
    <row r="58" spans="1:4" x14ac:dyDescent="0.45">
      <c r="A58" t="s">
        <v>47</v>
      </c>
      <c r="B58" s="1" t="s">
        <v>36</v>
      </c>
      <c r="C58" s="52">
        <v>68</v>
      </c>
      <c r="D58" s="59">
        <v>820</v>
      </c>
    </row>
    <row r="59" spans="1:4" x14ac:dyDescent="0.45">
      <c r="B59" s="1" t="s">
        <v>37</v>
      </c>
      <c r="C59" s="52">
        <v>63</v>
      </c>
      <c r="D59" s="59">
        <v>1642</v>
      </c>
    </row>
    <row r="60" spans="1:4" x14ac:dyDescent="0.45">
      <c r="B60" s="1" t="s">
        <v>38</v>
      </c>
      <c r="C60" s="52">
        <v>58</v>
      </c>
      <c r="D60" s="59">
        <v>2544</v>
      </c>
    </row>
    <row r="61" spans="1:4" x14ac:dyDescent="0.45">
      <c r="B61" s="1" t="s">
        <v>39</v>
      </c>
      <c r="C61" s="52">
        <v>53</v>
      </c>
      <c r="D61" s="59">
        <v>3059</v>
      </c>
    </row>
    <row r="62" spans="1:4" x14ac:dyDescent="0.45">
      <c r="B62" s="1" t="s">
        <v>40</v>
      </c>
      <c r="C62" s="52">
        <v>46</v>
      </c>
      <c r="D62" s="59">
        <v>4280</v>
      </c>
    </row>
    <row r="63" spans="1:4" x14ac:dyDescent="0.45">
      <c r="B63" s="1" t="s">
        <v>41</v>
      </c>
      <c r="C63" s="52">
        <v>40</v>
      </c>
      <c r="D63" s="59">
        <v>4076</v>
      </c>
    </row>
    <row r="64" spans="1:4" x14ac:dyDescent="0.45">
      <c r="B64" s="1" t="s">
        <v>42</v>
      </c>
      <c r="C64" s="52">
        <v>37</v>
      </c>
      <c r="D64" s="59">
        <v>2131</v>
      </c>
    </row>
    <row r="65" spans="1:4" x14ac:dyDescent="0.45">
      <c r="B65" s="1" t="s">
        <v>43</v>
      </c>
      <c r="C65" s="52">
        <v>34</v>
      </c>
      <c r="D65" s="59">
        <v>984</v>
      </c>
    </row>
    <row r="66" spans="1:4" x14ac:dyDescent="0.45">
      <c r="B66" s="1" t="s">
        <v>34</v>
      </c>
      <c r="C66" s="52">
        <v>29</v>
      </c>
      <c r="D66" s="59">
        <v>387</v>
      </c>
    </row>
    <row r="67" spans="1:4" x14ac:dyDescent="0.45">
      <c r="A67" t="s">
        <v>48</v>
      </c>
      <c r="B67" s="1" t="s">
        <v>26</v>
      </c>
      <c r="C67" s="52">
        <v>70</v>
      </c>
      <c r="D67" s="59">
        <v>672</v>
      </c>
    </row>
    <row r="68" spans="1:4" x14ac:dyDescent="0.45">
      <c r="B68" s="1" t="s">
        <v>27</v>
      </c>
      <c r="C68" s="52">
        <v>65</v>
      </c>
      <c r="D68" s="59">
        <v>1152</v>
      </c>
    </row>
    <row r="69" spans="1:4" x14ac:dyDescent="0.45">
      <c r="B69" s="1" t="s">
        <v>28</v>
      </c>
      <c r="C69" s="52">
        <v>58</v>
      </c>
      <c r="D69" s="59">
        <v>1996</v>
      </c>
    </row>
    <row r="70" spans="1:4" x14ac:dyDescent="0.45">
      <c r="B70" s="1" t="s">
        <v>29</v>
      </c>
      <c r="C70" s="52">
        <v>51</v>
      </c>
      <c r="D70" s="59">
        <v>3225</v>
      </c>
    </row>
    <row r="71" spans="1:4" x14ac:dyDescent="0.45">
      <c r="B71" s="1" t="s">
        <v>30</v>
      </c>
      <c r="C71" s="52">
        <v>46</v>
      </c>
      <c r="D71" s="59">
        <v>3204</v>
      </c>
    </row>
    <row r="72" spans="1:4" x14ac:dyDescent="0.45">
      <c r="B72" s="1" t="s">
        <v>31</v>
      </c>
      <c r="C72" s="52">
        <v>41</v>
      </c>
      <c r="D72" s="59">
        <v>2803</v>
      </c>
    </row>
    <row r="73" spans="1:4" x14ac:dyDescent="0.45">
      <c r="B73" s="1" t="s">
        <v>32</v>
      </c>
      <c r="C73" s="52">
        <v>38</v>
      </c>
      <c r="D73" s="59">
        <v>2021</v>
      </c>
    </row>
    <row r="74" spans="1:4" x14ac:dyDescent="0.45">
      <c r="B74" s="1" t="s">
        <v>33</v>
      </c>
      <c r="C74" s="52">
        <v>37</v>
      </c>
      <c r="D74" s="59">
        <v>902</v>
      </c>
    </row>
    <row r="75" spans="1:4" x14ac:dyDescent="0.45">
      <c r="B75" s="1" t="s">
        <v>35</v>
      </c>
      <c r="C75" s="52">
        <v>30</v>
      </c>
      <c r="D75" s="59">
        <v>559</v>
      </c>
    </row>
    <row r="76" spans="1:4" x14ac:dyDescent="0.45">
      <c r="A76" t="s">
        <v>49</v>
      </c>
      <c r="B76" s="1" t="s">
        <v>36</v>
      </c>
      <c r="C76" s="52">
        <v>71</v>
      </c>
      <c r="D76" s="59">
        <v>354</v>
      </c>
    </row>
    <row r="77" spans="1:4" x14ac:dyDescent="0.45">
      <c r="B77" s="1" t="s">
        <v>37</v>
      </c>
      <c r="C77" s="52">
        <v>65</v>
      </c>
      <c r="D77" s="59">
        <v>619</v>
      </c>
    </row>
    <row r="78" spans="1:4" x14ac:dyDescent="0.45">
      <c r="B78" s="1" t="s">
        <v>38</v>
      </c>
      <c r="C78" s="52">
        <v>58</v>
      </c>
      <c r="D78" s="59">
        <v>1158</v>
      </c>
    </row>
    <row r="79" spans="1:4" x14ac:dyDescent="0.45">
      <c r="B79" s="1" t="s">
        <v>39</v>
      </c>
      <c r="C79" s="52">
        <v>51</v>
      </c>
      <c r="D79" s="59">
        <v>1323</v>
      </c>
    </row>
    <row r="80" spans="1:4" x14ac:dyDescent="0.45">
      <c r="B80" s="1" t="s">
        <v>40</v>
      </c>
      <c r="C80" s="52">
        <v>45</v>
      </c>
      <c r="D80" s="59">
        <v>1909</v>
      </c>
    </row>
    <row r="81" spans="1:4" x14ac:dyDescent="0.45">
      <c r="B81" s="1" t="s">
        <v>41</v>
      </c>
      <c r="C81" s="52">
        <v>41</v>
      </c>
      <c r="D81" s="59">
        <v>1975</v>
      </c>
    </row>
    <row r="82" spans="1:4" x14ac:dyDescent="0.45">
      <c r="B82" s="1" t="s">
        <v>42</v>
      </c>
      <c r="C82" s="52">
        <v>39</v>
      </c>
      <c r="D82" s="59">
        <v>490</v>
      </c>
    </row>
    <row r="83" spans="1:4" x14ac:dyDescent="0.45">
      <c r="B83" s="1" t="s">
        <v>43</v>
      </c>
      <c r="C83" s="52">
        <v>37</v>
      </c>
      <c r="D83" s="59">
        <v>484</v>
      </c>
    </row>
    <row r="84" spans="1:4" x14ac:dyDescent="0.45">
      <c r="B84" s="1" t="s">
        <v>34</v>
      </c>
      <c r="C84" s="52">
        <v>33</v>
      </c>
      <c r="D84" s="59">
        <v>230</v>
      </c>
    </row>
    <row r="85" spans="1:4" x14ac:dyDescent="0.45">
      <c r="A85" t="s">
        <v>48</v>
      </c>
      <c r="B85" s="1" t="s">
        <v>26</v>
      </c>
      <c r="C85" s="52">
        <v>71</v>
      </c>
      <c r="D85" s="59">
        <v>577</v>
      </c>
    </row>
    <row r="86" spans="1:4" x14ac:dyDescent="0.45">
      <c r="B86" s="1" t="s">
        <v>27</v>
      </c>
      <c r="C86" s="52">
        <v>64</v>
      </c>
      <c r="D86" s="59">
        <v>937</v>
      </c>
    </row>
    <row r="87" spans="1:4" x14ac:dyDescent="0.45">
      <c r="B87" s="1" t="s">
        <v>28</v>
      </c>
      <c r="C87" s="52">
        <v>57</v>
      </c>
      <c r="D87" s="59">
        <v>1403</v>
      </c>
    </row>
    <row r="88" spans="1:4" x14ac:dyDescent="0.45">
      <c r="B88" s="1" t="s">
        <v>29</v>
      </c>
      <c r="C88" s="52">
        <v>50</v>
      </c>
      <c r="D88" s="59">
        <v>2442</v>
      </c>
    </row>
    <row r="89" spans="1:4" x14ac:dyDescent="0.45">
      <c r="B89" s="1" t="s">
        <v>30</v>
      </c>
      <c r="C89" s="52">
        <v>45</v>
      </c>
      <c r="D89" s="59">
        <v>2691</v>
      </c>
    </row>
    <row r="90" spans="1:4" x14ac:dyDescent="0.45">
      <c r="B90" s="1" t="s">
        <v>31</v>
      </c>
      <c r="C90" s="52">
        <v>41</v>
      </c>
      <c r="D90" s="59">
        <v>2173</v>
      </c>
    </row>
    <row r="91" spans="1:4" x14ac:dyDescent="0.45">
      <c r="B91" s="1" t="s">
        <v>32</v>
      </c>
      <c r="C91" s="52">
        <v>39</v>
      </c>
      <c r="D91" s="59">
        <v>1831</v>
      </c>
    </row>
    <row r="92" spans="1:4" x14ac:dyDescent="0.45">
      <c r="B92" s="1" t="s">
        <v>33</v>
      </c>
      <c r="C92" s="52">
        <v>38</v>
      </c>
      <c r="D92" s="59">
        <v>148</v>
      </c>
    </row>
    <row r="93" spans="1:4" x14ac:dyDescent="0.45">
      <c r="B93" s="1" t="s">
        <v>35</v>
      </c>
      <c r="C93" s="52">
        <v>33</v>
      </c>
      <c r="D93" s="59">
        <v>458</v>
      </c>
    </row>
    <row r="94" spans="1:4" x14ac:dyDescent="0.45">
      <c r="A94" t="s">
        <v>61</v>
      </c>
      <c r="B94" s="1" t="s">
        <v>36</v>
      </c>
      <c r="C94" s="52">
        <v>71</v>
      </c>
      <c r="D94" s="59">
        <v>472</v>
      </c>
    </row>
    <row r="95" spans="1:4" x14ac:dyDescent="0.45">
      <c r="B95" s="1" t="s">
        <v>37</v>
      </c>
      <c r="C95" s="52">
        <v>65</v>
      </c>
      <c r="D95" s="59">
        <v>644</v>
      </c>
    </row>
    <row r="96" spans="1:4" x14ac:dyDescent="0.45">
      <c r="B96" s="1" t="s">
        <v>38</v>
      </c>
      <c r="C96" s="52">
        <v>57</v>
      </c>
      <c r="D96" s="59">
        <v>1325</v>
      </c>
    </row>
    <row r="97" spans="1:4" x14ac:dyDescent="0.45">
      <c r="B97" s="1" t="s">
        <v>39</v>
      </c>
      <c r="C97" s="52">
        <v>50</v>
      </c>
      <c r="D97" s="59">
        <v>1636</v>
      </c>
    </row>
    <row r="98" spans="1:4" x14ac:dyDescent="0.45">
      <c r="B98" s="1" t="s">
        <v>40</v>
      </c>
      <c r="C98" s="52">
        <v>45</v>
      </c>
      <c r="D98" s="59">
        <v>1773</v>
      </c>
    </row>
    <row r="99" spans="1:4" x14ac:dyDescent="0.45">
      <c r="B99" s="1" t="s">
        <v>41</v>
      </c>
      <c r="C99" s="52">
        <v>42</v>
      </c>
      <c r="D99" s="59">
        <v>1592</v>
      </c>
    </row>
    <row r="100" spans="1:4" x14ac:dyDescent="0.45">
      <c r="B100" s="1" t="s">
        <v>42</v>
      </c>
      <c r="C100" s="52">
        <v>40</v>
      </c>
      <c r="D100" s="59">
        <v>1367</v>
      </c>
    </row>
    <row r="101" spans="1:4" x14ac:dyDescent="0.45">
      <c r="B101" s="1" t="s">
        <v>43</v>
      </c>
      <c r="C101" s="52">
        <v>37</v>
      </c>
      <c r="D101" s="59">
        <v>490</v>
      </c>
    </row>
    <row r="102" spans="1:4" x14ac:dyDescent="0.45">
      <c r="B102" s="1" t="s">
        <v>34</v>
      </c>
      <c r="C102" s="52">
        <v>32</v>
      </c>
      <c r="D102" s="59">
        <v>283</v>
      </c>
    </row>
    <row r="103" spans="1:4" x14ac:dyDescent="0.45">
      <c r="A103" t="s">
        <v>50</v>
      </c>
      <c r="B103" s="1" t="s">
        <v>26</v>
      </c>
      <c r="C103" s="52">
        <v>70</v>
      </c>
      <c r="D103" s="59">
        <v>1197</v>
      </c>
    </row>
    <row r="104" spans="1:4" x14ac:dyDescent="0.45">
      <c r="B104" s="1" t="s">
        <v>27</v>
      </c>
      <c r="C104" s="52">
        <v>65</v>
      </c>
      <c r="D104" s="59">
        <v>1518</v>
      </c>
    </row>
    <row r="105" spans="1:4" x14ac:dyDescent="0.45">
      <c r="B105" s="1" t="s">
        <v>28</v>
      </c>
      <c r="C105" s="52">
        <v>58</v>
      </c>
      <c r="D105" s="59">
        <v>3038</v>
      </c>
    </row>
    <row r="106" spans="1:4" x14ac:dyDescent="0.45">
      <c r="B106" s="1" t="s">
        <v>29</v>
      </c>
      <c r="C106" s="52">
        <v>51</v>
      </c>
      <c r="D106" s="59">
        <v>4287</v>
      </c>
    </row>
    <row r="107" spans="1:4" x14ac:dyDescent="0.45">
      <c r="B107" s="1" t="s">
        <v>30</v>
      </c>
      <c r="C107" s="52">
        <v>45</v>
      </c>
      <c r="D107" s="59">
        <v>6279</v>
      </c>
    </row>
    <row r="108" spans="1:4" x14ac:dyDescent="0.45">
      <c r="B108" s="1" t="s">
        <v>31</v>
      </c>
      <c r="C108" s="52">
        <v>42</v>
      </c>
      <c r="D108" s="59">
        <v>2414</v>
      </c>
    </row>
    <row r="109" spans="1:4" x14ac:dyDescent="0.45">
      <c r="B109" s="1" t="s">
        <v>32</v>
      </c>
      <c r="C109" s="52">
        <v>39</v>
      </c>
      <c r="D109" s="59">
        <v>3019</v>
      </c>
    </row>
    <row r="110" spans="1:4" x14ac:dyDescent="0.45">
      <c r="B110" s="1" t="s">
        <v>33</v>
      </c>
      <c r="C110" s="52">
        <v>37</v>
      </c>
      <c r="D110" s="59">
        <v>1559</v>
      </c>
    </row>
    <row r="111" spans="1:4" x14ac:dyDescent="0.45">
      <c r="B111" s="1" t="s">
        <v>35</v>
      </c>
      <c r="C111" s="52">
        <v>31</v>
      </c>
      <c r="D111" s="59">
        <v>799</v>
      </c>
    </row>
    <row r="112" spans="1:4" x14ac:dyDescent="0.45">
      <c r="A112" t="s">
        <v>51</v>
      </c>
      <c r="B112" s="1" t="s">
        <v>36</v>
      </c>
      <c r="C112" s="52">
        <v>69</v>
      </c>
      <c r="D112" s="59">
        <v>2188</v>
      </c>
    </row>
    <row r="113" spans="1:4" x14ac:dyDescent="0.45">
      <c r="B113" s="1" t="s">
        <v>37</v>
      </c>
      <c r="C113" s="52">
        <v>65</v>
      </c>
      <c r="D113" s="59">
        <v>2668</v>
      </c>
    </row>
    <row r="114" spans="1:4" x14ac:dyDescent="0.45">
      <c r="B114" s="1" t="s">
        <v>38</v>
      </c>
      <c r="C114" s="52">
        <v>58</v>
      </c>
      <c r="D114" s="59">
        <v>5869</v>
      </c>
    </row>
    <row r="115" spans="1:4" x14ac:dyDescent="0.45">
      <c r="B115" s="1" t="s">
        <v>39</v>
      </c>
      <c r="C115" s="52">
        <v>52</v>
      </c>
      <c r="D115" s="59">
        <v>7027</v>
      </c>
    </row>
    <row r="116" spans="1:4" x14ac:dyDescent="0.45">
      <c r="B116" s="1" t="s">
        <v>40</v>
      </c>
      <c r="C116" s="52">
        <v>46</v>
      </c>
      <c r="D116" s="59">
        <v>8321</v>
      </c>
    </row>
    <row r="117" spans="1:4" x14ac:dyDescent="0.45">
      <c r="B117" s="1" t="s">
        <v>41</v>
      </c>
      <c r="C117" s="52">
        <v>41</v>
      </c>
      <c r="D117" s="59">
        <v>7596</v>
      </c>
    </row>
    <row r="118" spans="1:4" x14ac:dyDescent="0.45">
      <c r="B118" s="1" t="s">
        <v>42</v>
      </c>
      <c r="C118" s="52">
        <v>38</v>
      </c>
      <c r="D118" s="59">
        <v>4862</v>
      </c>
    </row>
    <row r="119" spans="1:4" x14ac:dyDescent="0.45">
      <c r="B119" s="1" t="s">
        <v>43</v>
      </c>
      <c r="C119" s="52">
        <v>37</v>
      </c>
      <c r="D119" s="59">
        <v>2820</v>
      </c>
    </row>
    <row r="120" spans="1:4" ht="17.5" thickBot="1" x14ac:dyDescent="0.5">
      <c r="B120" s="1" t="s">
        <v>34</v>
      </c>
      <c r="C120" s="54">
        <v>31</v>
      </c>
      <c r="D120" s="63">
        <v>1552</v>
      </c>
    </row>
    <row r="121" spans="1:4" x14ac:dyDescent="0.45">
      <c r="A121" t="s">
        <v>52</v>
      </c>
      <c r="B121" s="1" t="s">
        <v>26</v>
      </c>
      <c r="C121" s="61">
        <v>71</v>
      </c>
      <c r="D121" s="60">
        <v>1608</v>
      </c>
    </row>
    <row r="122" spans="1:4" x14ac:dyDescent="0.45">
      <c r="B122" s="1" t="s">
        <v>27</v>
      </c>
      <c r="C122" s="52">
        <v>63</v>
      </c>
      <c r="D122" s="59">
        <v>2677</v>
      </c>
    </row>
    <row r="123" spans="1:4" x14ac:dyDescent="0.45">
      <c r="B123" s="1" t="s">
        <v>28</v>
      </c>
      <c r="C123" s="52">
        <v>56</v>
      </c>
      <c r="D123" s="59">
        <v>4268</v>
      </c>
    </row>
    <row r="124" spans="1:4" x14ac:dyDescent="0.45">
      <c r="B124" s="1" t="s">
        <v>29</v>
      </c>
      <c r="C124" s="52">
        <v>51</v>
      </c>
      <c r="D124" s="59">
        <v>6061</v>
      </c>
    </row>
    <row r="125" spans="1:4" x14ac:dyDescent="0.45">
      <c r="B125" s="1" t="s">
        <v>30</v>
      </c>
      <c r="C125" s="52">
        <v>46</v>
      </c>
      <c r="D125" s="59">
        <v>7069</v>
      </c>
    </row>
    <row r="126" spans="1:4" x14ac:dyDescent="0.45">
      <c r="B126" s="1" t="s">
        <v>31</v>
      </c>
      <c r="C126" s="52">
        <v>42</v>
      </c>
      <c r="D126" s="59">
        <v>6339</v>
      </c>
    </row>
    <row r="127" spans="1:4" x14ac:dyDescent="0.45">
      <c r="B127" s="1" t="s">
        <v>32</v>
      </c>
      <c r="C127" s="52">
        <v>40</v>
      </c>
      <c r="D127" s="59">
        <v>3866</v>
      </c>
    </row>
    <row r="128" spans="1:4" x14ac:dyDescent="0.45">
      <c r="B128" s="1" t="s">
        <v>33</v>
      </c>
      <c r="C128" s="52">
        <v>38</v>
      </c>
      <c r="D128" s="59">
        <v>1663</v>
      </c>
    </row>
    <row r="129" spans="1:4" x14ac:dyDescent="0.45">
      <c r="B129" s="1" t="s">
        <v>35</v>
      </c>
      <c r="C129" s="52">
        <v>31</v>
      </c>
      <c r="D129" s="59">
        <v>1388</v>
      </c>
    </row>
    <row r="130" spans="1:4" x14ac:dyDescent="0.45">
      <c r="A130" t="s">
        <v>53</v>
      </c>
      <c r="B130" s="1" t="s">
        <v>36</v>
      </c>
      <c r="C130" s="52">
        <v>71</v>
      </c>
      <c r="D130" s="59">
        <v>2278</v>
      </c>
    </row>
    <row r="131" spans="1:4" x14ac:dyDescent="0.45">
      <c r="B131" s="1" t="s">
        <v>37</v>
      </c>
      <c r="C131" s="52">
        <v>64</v>
      </c>
      <c r="D131" s="59">
        <v>3423</v>
      </c>
    </row>
    <row r="132" spans="1:4" x14ac:dyDescent="0.45">
      <c r="B132" s="1" t="s">
        <v>38</v>
      </c>
      <c r="C132" s="52">
        <v>57</v>
      </c>
      <c r="D132" s="59">
        <v>6070</v>
      </c>
    </row>
    <row r="133" spans="1:4" x14ac:dyDescent="0.45">
      <c r="B133" s="1" t="s">
        <v>39</v>
      </c>
      <c r="C133" s="52">
        <v>51</v>
      </c>
      <c r="D133" s="59">
        <v>8380</v>
      </c>
    </row>
    <row r="134" spans="1:4" x14ac:dyDescent="0.45">
      <c r="B134" s="1" t="s">
        <v>40</v>
      </c>
      <c r="C134" s="52">
        <v>45</v>
      </c>
      <c r="D134" s="59">
        <v>13031</v>
      </c>
    </row>
    <row r="135" spans="1:4" x14ac:dyDescent="0.45">
      <c r="B135" s="1" t="s">
        <v>41</v>
      </c>
      <c r="C135" s="52">
        <v>43</v>
      </c>
      <c r="D135" s="59">
        <v>5323</v>
      </c>
    </row>
    <row r="136" spans="1:4" x14ac:dyDescent="0.45">
      <c r="B136" s="1" t="s">
        <v>42</v>
      </c>
      <c r="C136" s="52">
        <v>39</v>
      </c>
      <c r="D136" s="59">
        <v>5895</v>
      </c>
    </row>
    <row r="137" spans="1:4" x14ac:dyDescent="0.45">
      <c r="B137" s="1" t="s">
        <v>43</v>
      </c>
      <c r="C137" s="52">
        <v>36</v>
      </c>
      <c r="D137" s="59">
        <v>3854</v>
      </c>
    </row>
    <row r="138" spans="1:4" x14ac:dyDescent="0.45">
      <c r="B138" s="1" t="s">
        <v>34</v>
      </c>
      <c r="C138" s="52">
        <v>30</v>
      </c>
      <c r="D138" s="59">
        <v>1309</v>
      </c>
    </row>
    <row r="139" spans="1:4" x14ac:dyDescent="0.45">
      <c r="A139" t="s">
        <v>54</v>
      </c>
      <c r="B139" s="1" t="s">
        <v>26</v>
      </c>
      <c r="C139" s="52">
        <v>69</v>
      </c>
      <c r="D139" s="59">
        <v>3428</v>
      </c>
    </row>
    <row r="140" spans="1:4" x14ac:dyDescent="0.45">
      <c r="B140" s="1" t="s">
        <v>27</v>
      </c>
      <c r="C140" s="52">
        <v>64</v>
      </c>
      <c r="D140" s="59">
        <v>5762</v>
      </c>
    </row>
    <row r="141" spans="1:4" x14ac:dyDescent="0.45">
      <c r="B141" s="1" t="s">
        <v>28</v>
      </c>
      <c r="C141" s="52">
        <v>57</v>
      </c>
      <c r="D141" s="59">
        <v>9467</v>
      </c>
    </row>
    <row r="142" spans="1:4" x14ac:dyDescent="0.45">
      <c r="B142" s="1" t="s">
        <v>29</v>
      </c>
      <c r="C142" s="52">
        <v>52</v>
      </c>
      <c r="D142" s="59">
        <v>11994</v>
      </c>
    </row>
    <row r="143" spans="1:4" x14ac:dyDescent="0.45">
      <c r="B143" s="1" t="s">
        <v>30</v>
      </c>
      <c r="C143" s="52">
        <v>46</v>
      </c>
      <c r="D143" s="59">
        <v>15009</v>
      </c>
    </row>
    <row r="144" spans="1:4" x14ac:dyDescent="0.45">
      <c r="B144" s="1" t="s">
        <v>31</v>
      </c>
      <c r="C144" s="52">
        <v>42</v>
      </c>
      <c r="D144" s="59">
        <v>12573</v>
      </c>
    </row>
    <row r="145" spans="1:4" x14ac:dyDescent="0.45">
      <c r="B145" s="1" t="s">
        <v>32</v>
      </c>
      <c r="C145" s="52">
        <v>38</v>
      </c>
      <c r="D145" s="59">
        <v>11200</v>
      </c>
    </row>
    <row r="146" spans="1:4" x14ac:dyDescent="0.45">
      <c r="B146" s="1" t="s">
        <v>33</v>
      </c>
      <c r="C146" s="52">
        <v>35</v>
      </c>
      <c r="D146" s="59">
        <v>3301</v>
      </c>
    </row>
    <row r="147" spans="1:4" x14ac:dyDescent="0.45">
      <c r="B147" s="1" t="s">
        <v>35</v>
      </c>
      <c r="C147" s="52">
        <v>29</v>
      </c>
      <c r="D147" s="59">
        <v>2441</v>
      </c>
    </row>
    <row r="148" spans="1:4" x14ac:dyDescent="0.45">
      <c r="A148" t="s">
        <v>55</v>
      </c>
      <c r="B148" s="1" t="s">
        <v>36</v>
      </c>
      <c r="C148" s="52">
        <v>72</v>
      </c>
      <c r="D148" s="59">
        <v>2279</v>
      </c>
    </row>
    <row r="149" spans="1:4" x14ac:dyDescent="0.45">
      <c r="B149" s="1" t="s">
        <v>37</v>
      </c>
      <c r="C149" s="52">
        <v>64</v>
      </c>
      <c r="D149" s="59">
        <v>4356</v>
      </c>
    </row>
    <row r="150" spans="1:4" x14ac:dyDescent="0.45">
      <c r="B150" s="1" t="s">
        <v>38</v>
      </c>
      <c r="C150" s="52">
        <v>56</v>
      </c>
      <c r="D150" s="59">
        <v>6851</v>
      </c>
    </row>
    <row r="151" spans="1:4" x14ac:dyDescent="0.45">
      <c r="B151" s="1" t="s">
        <v>39</v>
      </c>
      <c r="C151" s="52">
        <v>50</v>
      </c>
      <c r="D151" s="59">
        <v>10050</v>
      </c>
    </row>
    <row r="152" spans="1:4" x14ac:dyDescent="0.45">
      <c r="B152" s="1" t="s">
        <v>40</v>
      </c>
      <c r="C152" s="52">
        <v>46</v>
      </c>
      <c r="D152" s="59">
        <v>9517</v>
      </c>
    </row>
    <row r="153" spans="1:4" x14ac:dyDescent="0.45">
      <c r="B153" s="1" t="s">
        <v>41</v>
      </c>
      <c r="C153" s="52">
        <v>42</v>
      </c>
      <c r="D153" s="59">
        <v>9610</v>
      </c>
    </row>
    <row r="154" spans="1:4" x14ac:dyDescent="0.45">
      <c r="B154" s="1" t="s">
        <v>42</v>
      </c>
      <c r="C154" s="52">
        <v>40</v>
      </c>
      <c r="D154" s="59">
        <v>5574</v>
      </c>
    </row>
    <row r="155" spans="1:4" x14ac:dyDescent="0.45">
      <c r="B155" s="1" t="s">
        <v>43</v>
      </c>
      <c r="C155" s="52">
        <v>37</v>
      </c>
      <c r="D155" s="59">
        <v>3963</v>
      </c>
    </row>
    <row r="156" spans="1:4" ht="17.5" thickBot="1" x14ac:dyDescent="0.5">
      <c r="B156" s="1" t="s">
        <v>34</v>
      </c>
      <c r="C156" s="54">
        <v>31</v>
      </c>
      <c r="D156" s="63">
        <v>1766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I102"/>
  <sheetViews>
    <sheetView workbookViewId="0">
      <selection activeCell="A5" sqref="A5:I99"/>
    </sheetView>
  </sheetViews>
  <sheetFormatPr defaultRowHeight="17" x14ac:dyDescent="0.45"/>
  <sheetData>
    <row r="1" spans="1:9" x14ac:dyDescent="0.45">
      <c r="A1" s="15"/>
    </row>
    <row r="2" spans="1:9" ht="17.5" thickBot="1" x14ac:dyDescent="0.5"/>
    <row r="3" spans="1:9" x14ac:dyDescent="0.45">
      <c r="A3" s="47" t="s">
        <v>9</v>
      </c>
      <c r="B3" s="48"/>
      <c r="C3" s="48"/>
      <c r="D3" s="49"/>
      <c r="F3" s="47" t="s">
        <v>60</v>
      </c>
      <c r="G3" s="48"/>
      <c r="H3" s="48"/>
      <c r="I3" s="49"/>
    </row>
    <row r="4" spans="1:9" ht="17.5" thickBot="1" x14ac:dyDescent="0.5">
      <c r="A4" s="6" t="s">
        <v>7</v>
      </c>
      <c r="B4" s="1"/>
      <c r="C4" s="1"/>
      <c r="D4" s="7" t="s">
        <v>8</v>
      </c>
      <c r="F4" s="6" t="s">
        <v>7</v>
      </c>
      <c r="G4" s="1"/>
      <c r="H4" s="1"/>
      <c r="I4" s="7" t="s">
        <v>8</v>
      </c>
    </row>
    <row r="5" spans="1:9" ht="17.5" thickTop="1" x14ac:dyDescent="0.45">
      <c r="A5" s="70">
        <v>150</v>
      </c>
      <c r="B5" s="62">
        <v>87</v>
      </c>
      <c r="C5" s="62">
        <v>96</v>
      </c>
      <c r="D5" s="62">
        <v>188</v>
      </c>
      <c r="E5" s="74">
        <v>188</v>
      </c>
      <c r="F5" s="73">
        <v>153</v>
      </c>
      <c r="G5" s="75">
        <v>76</v>
      </c>
      <c r="H5" s="75">
        <v>17</v>
      </c>
      <c r="I5" s="75">
        <v>95</v>
      </c>
    </row>
    <row r="6" spans="1:9" x14ac:dyDescent="0.45">
      <c r="A6" s="66">
        <v>148</v>
      </c>
      <c r="B6" s="59">
        <v>147</v>
      </c>
      <c r="C6" s="59">
        <v>172</v>
      </c>
      <c r="D6" s="59">
        <v>323</v>
      </c>
      <c r="E6" s="67">
        <v>511</v>
      </c>
      <c r="F6" s="71">
        <v>151</v>
      </c>
      <c r="G6" s="72">
        <v>1</v>
      </c>
      <c r="H6" s="72">
        <v>0</v>
      </c>
      <c r="I6" s="72">
        <v>1</v>
      </c>
    </row>
    <row r="7" spans="1:9" x14ac:dyDescent="0.45">
      <c r="A7" s="66">
        <v>147</v>
      </c>
      <c r="B7" s="59">
        <v>40</v>
      </c>
      <c r="C7" s="59">
        <v>44</v>
      </c>
      <c r="D7" s="59">
        <v>87</v>
      </c>
      <c r="E7" s="67">
        <v>598</v>
      </c>
      <c r="F7" s="71">
        <v>150</v>
      </c>
      <c r="G7" s="72">
        <v>2</v>
      </c>
      <c r="H7" s="72">
        <v>0</v>
      </c>
      <c r="I7" s="72">
        <v>2</v>
      </c>
    </row>
    <row r="8" spans="1:9" x14ac:dyDescent="0.45">
      <c r="A8" s="66">
        <v>146</v>
      </c>
      <c r="B8" s="59">
        <v>175</v>
      </c>
      <c r="C8" s="59">
        <v>213</v>
      </c>
      <c r="D8" s="59">
        <v>399</v>
      </c>
      <c r="E8" s="67">
        <v>997</v>
      </c>
      <c r="F8" s="71">
        <v>149</v>
      </c>
      <c r="G8" s="72">
        <v>849</v>
      </c>
      <c r="H8" s="72">
        <v>234</v>
      </c>
      <c r="I8" s="72">
        <v>1102</v>
      </c>
    </row>
    <row r="9" spans="1:9" x14ac:dyDescent="0.45">
      <c r="A9" s="66">
        <v>145</v>
      </c>
      <c r="B9" s="59">
        <v>121</v>
      </c>
      <c r="C9" s="59">
        <v>143</v>
      </c>
      <c r="D9" s="59">
        <v>278</v>
      </c>
      <c r="E9" s="67">
        <v>1275</v>
      </c>
      <c r="F9" s="71">
        <v>148</v>
      </c>
      <c r="G9" s="72">
        <v>1</v>
      </c>
      <c r="H9" s="72">
        <v>0</v>
      </c>
      <c r="I9" s="72">
        <v>1</v>
      </c>
    </row>
    <row r="10" spans="1:9" x14ac:dyDescent="0.45">
      <c r="A10" s="66">
        <v>144</v>
      </c>
      <c r="B10" s="59">
        <v>212</v>
      </c>
      <c r="C10" s="59">
        <v>266</v>
      </c>
      <c r="D10" s="59">
        <v>488</v>
      </c>
      <c r="E10" s="67">
        <v>1763</v>
      </c>
      <c r="F10" s="71">
        <v>147</v>
      </c>
      <c r="G10" s="72">
        <v>103</v>
      </c>
      <c r="H10" s="72">
        <v>35</v>
      </c>
      <c r="I10" s="72">
        <v>141</v>
      </c>
    </row>
    <row r="11" spans="1:9" x14ac:dyDescent="0.45">
      <c r="A11" s="66">
        <v>143</v>
      </c>
      <c r="B11" s="59">
        <v>227</v>
      </c>
      <c r="C11" s="59">
        <v>287</v>
      </c>
      <c r="D11" s="59">
        <v>530</v>
      </c>
      <c r="E11" s="67">
        <v>2293</v>
      </c>
      <c r="F11" s="71">
        <v>146</v>
      </c>
      <c r="G11" s="72">
        <v>1309</v>
      </c>
      <c r="H11" s="72">
        <v>453</v>
      </c>
      <c r="I11" s="72">
        <v>1794</v>
      </c>
    </row>
    <row r="12" spans="1:9" x14ac:dyDescent="0.45">
      <c r="A12" s="66">
        <v>142</v>
      </c>
      <c r="B12" s="59">
        <v>234</v>
      </c>
      <c r="C12" s="59">
        <v>293</v>
      </c>
      <c r="D12" s="59">
        <v>538</v>
      </c>
      <c r="E12" s="67">
        <v>2831</v>
      </c>
      <c r="F12" s="71">
        <v>144</v>
      </c>
      <c r="G12" s="72">
        <v>9</v>
      </c>
      <c r="H12" s="72">
        <v>3</v>
      </c>
      <c r="I12" s="72">
        <v>12</v>
      </c>
    </row>
    <row r="13" spans="1:9" x14ac:dyDescent="0.45">
      <c r="A13" s="66">
        <v>141</v>
      </c>
      <c r="B13" s="59">
        <v>309</v>
      </c>
      <c r="C13" s="59">
        <v>401</v>
      </c>
      <c r="D13" s="59">
        <v>724</v>
      </c>
      <c r="E13" s="67">
        <v>3555</v>
      </c>
      <c r="F13" s="71">
        <v>143</v>
      </c>
      <c r="G13" s="72">
        <v>1976</v>
      </c>
      <c r="H13" s="72">
        <v>857</v>
      </c>
      <c r="I13" s="72">
        <v>2891</v>
      </c>
    </row>
    <row r="14" spans="1:9" x14ac:dyDescent="0.45">
      <c r="A14" s="66">
        <v>140</v>
      </c>
      <c r="B14" s="59">
        <v>300</v>
      </c>
      <c r="C14" s="59">
        <v>343</v>
      </c>
      <c r="D14" s="59">
        <v>662</v>
      </c>
      <c r="E14" s="67">
        <v>4217</v>
      </c>
      <c r="F14" s="71">
        <v>141</v>
      </c>
      <c r="G14" s="72">
        <v>30</v>
      </c>
      <c r="H14" s="72">
        <v>8</v>
      </c>
      <c r="I14" s="72">
        <v>38</v>
      </c>
    </row>
    <row r="15" spans="1:9" x14ac:dyDescent="0.45">
      <c r="A15" s="66">
        <v>139</v>
      </c>
      <c r="B15" s="59">
        <v>395</v>
      </c>
      <c r="C15" s="59">
        <v>526</v>
      </c>
      <c r="D15" s="59">
        <v>941</v>
      </c>
      <c r="E15" s="67">
        <v>5158</v>
      </c>
      <c r="F15" s="71">
        <v>140</v>
      </c>
      <c r="G15" s="72">
        <v>334</v>
      </c>
      <c r="H15" s="72">
        <v>164</v>
      </c>
      <c r="I15" s="72">
        <v>511</v>
      </c>
    </row>
    <row r="16" spans="1:9" x14ac:dyDescent="0.45">
      <c r="A16" s="66">
        <v>138</v>
      </c>
      <c r="B16" s="59">
        <v>861</v>
      </c>
      <c r="C16" s="59">
        <v>1060</v>
      </c>
      <c r="D16" s="59">
        <v>1971</v>
      </c>
      <c r="E16" s="67">
        <v>7129</v>
      </c>
      <c r="F16" s="71">
        <v>139</v>
      </c>
      <c r="G16" s="72">
        <v>2275</v>
      </c>
      <c r="H16" s="72">
        <v>1130</v>
      </c>
      <c r="I16" s="72">
        <v>3468</v>
      </c>
    </row>
    <row r="17" spans="1:9" x14ac:dyDescent="0.45">
      <c r="A17" s="66">
        <v>137</v>
      </c>
      <c r="B17" s="59">
        <v>460</v>
      </c>
      <c r="C17" s="59">
        <v>581</v>
      </c>
      <c r="D17" s="59">
        <v>1072</v>
      </c>
      <c r="E17" s="67">
        <v>8201</v>
      </c>
      <c r="F17" s="71">
        <v>138</v>
      </c>
      <c r="G17" s="72">
        <v>5</v>
      </c>
      <c r="H17" s="72">
        <v>5</v>
      </c>
      <c r="I17" s="72">
        <v>10</v>
      </c>
    </row>
    <row r="18" spans="1:9" x14ac:dyDescent="0.45">
      <c r="A18" s="66">
        <v>136</v>
      </c>
      <c r="B18" s="59">
        <v>522</v>
      </c>
      <c r="C18" s="59">
        <v>688</v>
      </c>
      <c r="D18" s="59">
        <v>1242</v>
      </c>
      <c r="E18" s="67">
        <v>9443</v>
      </c>
      <c r="F18" s="71">
        <v>137</v>
      </c>
      <c r="G18" s="72">
        <v>627</v>
      </c>
      <c r="H18" s="72">
        <v>355</v>
      </c>
      <c r="I18" s="72">
        <v>1002</v>
      </c>
    </row>
    <row r="19" spans="1:9" x14ac:dyDescent="0.45">
      <c r="A19" s="66">
        <v>135</v>
      </c>
      <c r="B19" s="59">
        <v>572</v>
      </c>
      <c r="C19" s="59">
        <v>682</v>
      </c>
      <c r="D19" s="59">
        <v>1292</v>
      </c>
      <c r="E19" s="67">
        <v>10735</v>
      </c>
      <c r="F19" s="71">
        <v>136</v>
      </c>
      <c r="G19" s="72">
        <v>2468</v>
      </c>
      <c r="H19" s="72">
        <v>1486</v>
      </c>
      <c r="I19" s="72">
        <v>4022</v>
      </c>
    </row>
    <row r="20" spans="1:9" x14ac:dyDescent="0.45">
      <c r="A20" s="66">
        <v>134</v>
      </c>
      <c r="B20" s="59">
        <v>600</v>
      </c>
      <c r="C20" s="59">
        <v>746</v>
      </c>
      <c r="D20" s="59">
        <v>1375</v>
      </c>
      <c r="E20" s="67">
        <v>12110</v>
      </c>
      <c r="F20" s="71">
        <v>135</v>
      </c>
      <c r="G20" s="72">
        <v>13</v>
      </c>
      <c r="H20" s="72">
        <v>4</v>
      </c>
      <c r="I20" s="72">
        <v>18</v>
      </c>
    </row>
    <row r="21" spans="1:9" x14ac:dyDescent="0.45">
      <c r="A21" s="66">
        <v>133</v>
      </c>
      <c r="B21" s="59">
        <v>685</v>
      </c>
      <c r="C21" s="59">
        <v>819</v>
      </c>
      <c r="D21" s="59">
        <v>1551</v>
      </c>
      <c r="E21" s="67">
        <v>13661</v>
      </c>
      <c r="F21" s="71">
        <v>134</v>
      </c>
      <c r="G21" s="72">
        <v>113</v>
      </c>
      <c r="H21" s="72">
        <v>69</v>
      </c>
      <c r="I21" s="72">
        <v>187</v>
      </c>
    </row>
    <row r="22" spans="1:9" x14ac:dyDescent="0.45">
      <c r="A22" s="66">
        <v>132</v>
      </c>
      <c r="B22" s="59">
        <v>705</v>
      </c>
      <c r="C22" s="59">
        <v>810</v>
      </c>
      <c r="D22" s="59">
        <v>1567</v>
      </c>
      <c r="E22" s="67">
        <v>15228</v>
      </c>
      <c r="F22" s="71">
        <v>133</v>
      </c>
      <c r="G22" s="72">
        <v>864</v>
      </c>
      <c r="H22" s="72">
        <v>540</v>
      </c>
      <c r="I22" s="72">
        <v>1439</v>
      </c>
    </row>
    <row r="23" spans="1:9" x14ac:dyDescent="0.45">
      <c r="A23" s="66">
        <v>131</v>
      </c>
      <c r="B23" s="59">
        <v>766</v>
      </c>
      <c r="C23" s="59">
        <v>963</v>
      </c>
      <c r="D23" s="59">
        <v>1768</v>
      </c>
      <c r="E23" s="67">
        <v>16996</v>
      </c>
      <c r="F23" s="71">
        <v>132</v>
      </c>
      <c r="G23" s="72">
        <v>2613</v>
      </c>
      <c r="H23" s="72">
        <v>1764</v>
      </c>
      <c r="I23" s="72">
        <v>4474</v>
      </c>
    </row>
    <row r="24" spans="1:9" x14ac:dyDescent="0.45">
      <c r="A24" s="66">
        <v>130</v>
      </c>
      <c r="B24" s="59">
        <v>750</v>
      </c>
      <c r="C24" s="59">
        <v>1008</v>
      </c>
      <c r="D24" s="59">
        <v>1806</v>
      </c>
      <c r="E24" s="67">
        <v>18802</v>
      </c>
      <c r="F24" s="71">
        <v>131</v>
      </c>
      <c r="G24" s="72">
        <v>207</v>
      </c>
      <c r="H24" s="72">
        <v>137</v>
      </c>
      <c r="I24" s="72">
        <v>352</v>
      </c>
    </row>
    <row r="25" spans="1:9" x14ac:dyDescent="0.45">
      <c r="A25" s="66">
        <v>129</v>
      </c>
      <c r="B25" s="59">
        <v>853</v>
      </c>
      <c r="C25" s="59">
        <v>1001</v>
      </c>
      <c r="D25" s="59">
        <v>1895</v>
      </c>
      <c r="E25" s="67">
        <v>20697</v>
      </c>
      <c r="F25" s="71">
        <v>130</v>
      </c>
      <c r="G25" s="72">
        <v>1201</v>
      </c>
      <c r="H25" s="72">
        <v>824</v>
      </c>
      <c r="I25" s="72">
        <v>2069</v>
      </c>
    </row>
    <row r="26" spans="1:9" x14ac:dyDescent="0.45">
      <c r="A26" s="66">
        <v>128</v>
      </c>
      <c r="B26" s="59">
        <v>892</v>
      </c>
      <c r="C26" s="59">
        <v>1096</v>
      </c>
      <c r="D26" s="59">
        <v>2043</v>
      </c>
      <c r="E26" s="67">
        <v>22740</v>
      </c>
      <c r="F26" s="71">
        <v>129</v>
      </c>
      <c r="G26" s="72">
        <v>2356</v>
      </c>
      <c r="H26" s="72">
        <v>1844</v>
      </c>
      <c r="I26" s="72">
        <v>4310</v>
      </c>
    </row>
    <row r="27" spans="1:9" x14ac:dyDescent="0.45">
      <c r="A27" s="66">
        <v>127</v>
      </c>
      <c r="B27" s="59">
        <v>858</v>
      </c>
      <c r="C27" s="59">
        <v>1149</v>
      </c>
      <c r="D27" s="59">
        <v>2060</v>
      </c>
      <c r="E27" s="67">
        <v>24800</v>
      </c>
      <c r="F27" s="71">
        <v>128</v>
      </c>
      <c r="G27" s="72">
        <v>69</v>
      </c>
      <c r="H27" s="72">
        <v>48</v>
      </c>
      <c r="I27" s="72">
        <v>120</v>
      </c>
    </row>
    <row r="28" spans="1:9" x14ac:dyDescent="0.45">
      <c r="A28" s="66">
        <v>126</v>
      </c>
      <c r="B28" s="59">
        <v>990</v>
      </c>
      <c r="C28" s="59">
        <v>1201</v>
      </c>
      <c r="D28" s="59">
        <v>2249</v>
      </c>
      <c r="E28" s="67">
        <v>27049</v>
      </c>
      <c r="F28" s="71">
        <v>127</v>
      </c>
      <c r="G28" s="72">
        <v>1873</v>
      </c>
      <c r="H28" s="72">
        <v>1472</v>
      </c>
      <c r="I28" s="72">
        <v>3416</v>
      </c>
    </row>
    <row r="29" spans="1:9" x14ac:dyDescent="0.45">
      <c r="A29" s="66">
        <v>125</v>
      </c>
      <c r="B29" s="59">
        <v>1027</v>
      </c>
      <c r="C29" s="59">
        <v>1265</v>
      </c>
      <c r="D29" s="59">
        <v>2349</v>
      </c>
      <c r="E29" s="67">
        <v>29398</v>
      </c>
      <c r="F29" s="71">
        <v>126</v>
      </c>
      <c r="G29" s="72">
        <v>1872</v>
      </c>
      <c r="H29" s="72">
        <v>1562</v>
      </c>
      <c r="I29" s="72">
        <v>3515</v>
      </c>
    </row>
    <row r="30" spans="1:9" x14ac:dyDescent="0.45">
      <c r="A30" s="66">
        <v>124</v>
      </c>
      <c r="B30" s="59">
        <v>979</v>
      </c>
      <c r="C30" s="59">
        <v>1282</v>
      </c>
      <c r="D30" s="59">
        <v>2312</v>
      </c>
      <c r="E30" s="67">
        <v>31710</v>
      </c>
      <c r="F30" s="71">
        <v>125</v>
      </c>
      <c r="G30" s="72">
        <v>151</v>
      </c>
      <c r="H30" s="72">
        <v>113</v>
      </c>
      <c r="I30" s="72">
        <v>269</v>
      </c>
    </row>
    <row r="31" spans="1:9" x14ac:dyDescent="0.45">
      <c r="A31" s="66">
        <v>123</v>
      </c>
      <c r="B31" s="59">
        <v>1025</v>
      </c>
      <c r="C31" s="59">
        <v>1282</v>
      </c>
      <c r="D31" s="59">
        <v>2374</v>
      </c>
      <c r="E31" s="67">
        <v>34084</v>
      </c>
      <c r="F31" s="71">
        <v>124</v>
      </c>
      <c r="G31" s="72">
        <v>630</v>
      </c>
      <c r="H31" s="72">
        <v>550</v>
      </c>
      <c r="I31" s="72">
        <v>1212</v>
      </c>
    </row>
    <row r="32" spans="1:9" x14ac:dyDescent="0.45">
      <c r="A32" s="66">
        <v>122</v>
      </c>
      <c r="B32" s="59">
        <v>1128</v>
      </c>
      <c r="C32" s="59">
        <v>1348</v>
      </c>
      <c r="D32" s="59">
        <v>2545</v>
      </c>
      <c r="E32" s="67">
        <v>36629</v>
      </c>
      <c r="F32" s="71">
        <v>123</v>
      </c>
      <c r="G32" s="72">
        <v>1575</v>
      </c>
      <c r="H32" s="72">
        <v>1471</v>
      </c>
      <c r="I32" s="72">
        <v>3110</v>
      </c>
    </row>
    <row r="33" spans="1:9" x14ac:dyDescent="0.45">
      <c r="A33" s="66">
        <v>121</v>
      </c>
      <c r="B33" s="59">
        <v>1091</v>
      </c>
      <c r="C33" s="59">
        <v>1453</v>
      </c>
      <c r="D33" s="59">
        <v>2613</v>
      </c>
      <c r="E33" s="67">
        <v>39242</v>
      </c>
      <c r="F33" s="71">
        <v>122</v>
      </c>
      <c r="G33" s="72">
        <v>1610</v>
      </c>
      <c r="H33" s="72">
        <v>1368</v>
      </c>
      <c r="I33" s="72">
        <v>3034</v>
      </c>
    </row>
    <row r="34" spans="1:9" x14ac:dyDescent="0.45">
      <c r="A34" s="66">
        <v>120</v>
      </c>
      <c r="B34" s="59">
        <v>1218</v>
      </c>
      <c r="C34" s="59">
        <v>1479</v>
      </c>
      <c r="D34" s="59">
        <v>2762</v>
      </c>
      <c r="E34" s="67">
        <v>42004</v>
      </c>
      <c r="F34" s="71">
        <v>121</v>
      </c>
      <c r="G34" s="72">
        <v>1051</v>
      </c>
      <c r="H34" s="72">
        <v>923</v>
      </c>
      <c r="I34" s="72">
        <v>2026</v>
      </c>
    </row>
    <row r="35" spans="1:9" x14ac:dyDescent="0.45">
      <c r="A35" s="66">
        <v>119</v>
      </c>
      <c r="B35" s="59">
        <v>1185</v>
      </c>
      <c r="C35" s="59">
        <v>1485</v>
      </c>
      <c r="D35" s="59">
        <v>2743</v>
      </c>
      <c r="E35" s="67">
        <v>44747</v>
      </c>
      <c r="F35" s="71">
        <v>120</v>
      </c>
      <c r="G35" s="72">
        <v>1384</v>
      </c>
      <c r="H35" s="72">
        <v>1385</v>
      </c>
      <c r="I35" s="72">
        <v>2822</v>
      </c>
    </row>
    <row r="36" spans="1:9" x14ac:dyDescent="0.45">
      <c r="A36" s="66">
        <v>118</v>
      </c>
      <c r="B36" s="59">
        <v>1253</v>
      </c>
      <c r="C36" s="59">
        <v>1476</v>
      </c>
      <c r="D36" s="59">
        <v>2797</v>
      </c>
      <c r="E36" s="67">
        <v>47544</v>
      </c>
      <c r="F36" s="71">
        <v>119</v>
      </c>
      <c r="G36" s="72">
        <v>854</v>
      </c>
      <c r="H36" s="72">
        <v>787</v>
      </c>
      <c r="I36" s="72">
        <v>1679</v>
      </c>
    </row>
    <row r="37" spans="1:9" x14ac:dyDescent="0.45">
      <c r="A37" s="66">
        <v>117</v>
      </c>
      <c r="B37" s="59">
        <v>1338</v>
      </c>
      <c r="C37" s="59">
        <v>1585</v>
      </c>
      <c r="D37" s="59">
        <v>3002</v>
      </c>
      <c r="E37" s="67">
        <v>50546</v>
      </c>
      <c r="F37" s="71">
        <v>118</v>
      </c>
      <c r="G37" s="72">
        <v>602</v>
      </c>
      <c r="H37" s="72">
        <v>630</v>
      </c>
      <c r="I37" s="72">
        <v>1264</v>
      </c>
    </row>
    <row r="38" spans="1:9" x14ac:dyDescent="0.45">
      <c r="A38" s="66">
        <v>116</v>
      </c>
      <c r="B38" s="59">
        <v>1383</v>
      </c>
      <c r="C38" s="59">
        <v>1621</v>
      </c>
      <c r="D38" s="59">
        <v>3089</v>
      </c>
      <c r="E38" s="67">
        <v>53635</v>
      </c>
      <c r="F38" s="71">
        <v>117</v>
      </c>
      <c r="G38" s="72">
        <v>1188</v>
      </c>
      <c r="H38" s="72">
        <v>1179</v>
      </c>
      <c r="I38" s="72">
        <v>2417</v>
      </c>
    </row>
    <row r="39" spans="1:9" x14ac:dyDescent="0.45">
      <c r="A39" s="66">
        <v>115</v>
      </c>
      <c r="B39" s="59">
        <v>1322</v>
      </c>
      <c r="C39" s="59">
        <v>1664</v>
      </c>
      <c r="D39" s="59">
        <v>3063</v>
      </c>
      <c r="E39" s="67">
        <v>56698</v>
      </c>
      <c r="F39" s="71">
        <v>116</v>
      </c>
      <c r="G39" s="72">
        <v>1717</v>
      </c>
      <c r="H39" s="72">
        <v>1679</v>
      </c>
      <c r="I39" s="72">
        <v>3483</v>
      </c>
    </row>
    <row r="40" spans="1:9" x14ac:dyDescent="0.45">
      <c r="A40" s="66">
        <v>114</v>
      </c>
      <c r="B40" s="59">
        <v>1396</v>
      </c>
      <c r="C40" s="59">
        <v>1656</v>
      </c>
      <c r="D40" s="59">
        <v>3131</v>
      </c>
      <c r="E40" s="67">
        <v>59829</v>
      </c>
      <c r="F40" s="71">
        <v>115</v>
      </c>
      <c r="G40" s="72">
        <v>985</v>
      </c>
      <c r="H40" s="72">
        <v>954</v>
      </c>
      <c r="I40" s="72">
        <v>1993</v>
      </c>
    </row>
    <row r="41" spans="1:9" x14ac:dyDescent="0.45">
      <c r="A41" s="66">
        <v>113</v>
      </c>
      <c r="B41" s="59">
        <v>1417</v>
      </c>
      <c r="C41" s="59">
        <v>1676</v>
      </c>
      <c r="D41" s="59">
        <v>3185</v>
      </c>
      <c r="E41" s="67">
        <v>63014</v>
      </c>
      <c r="F41" s="71">
        <v>114</v>
      </c>
      <c r="G41" s="72">
        <v>1182</v>
      </c>
      <c r="H41" s="72">
        <v>1173</v>
      </c>
      <c r="I41" s="72">
        <v>2403</v>
      </c>
    </row>
    <row r="42" spans="1:9" x14ac:dyDescent="0.45">
      <c r="A42" s="66">
        <v>112</v>
      </c>
      <c r="B42" s="59">
        <v>2867</v>
      </c>
      <c r="C42" s="59">
        <v>3367</v>
      </c>
      <c r="D42" s="59">
        <v>6435</v>
      </c>
      <c r="E42" s="67">
        <v>69449</v>
      </c>
      <c r="F42" s="71">
        <v>113</v>
      </c>
      <c r="G42" s="72">
        <v>759</v>
      </c>
      <c r="H42" s="72">
        <v>810</v>
      </c>
      <c r="I42" s="72">
        <v>1614</v>
      </c>
    </row>
    <row r="43" spans="1:9" x14ac:dyDescent="0.45">
      <c r="A43" s="66">
        <v>111</v>
      </c>
      <c r="B43" s="59">
        <v>1385</v>
      </c>
      <c r="C43" s="59">
        <v>1733</v>
      </c>
      <c r="D43" s="59">
        <v>3194</v>
      </c>
      <c r="E43" s="67">
        <v>72643</v>
      </c>
      <c r="F43" s="71">
        <v>112</v>
      </c>
      <c r="G43" s="72">
        <v>786</v>
      </c>
      <c r="H43" s="72">
        <v>876</v>
      </c>
      <c r="I43" s="72">
        <v>1708</v>
      </c>
    </row>
    <row r="44" spans="1:9" x14ac:dyDescent="0.45">
      <c r="A44" s="66">
        <v>110</v>
      </c>
      <c r="B44" s="59">
        <v>1457</v>
      </c>
      <c r="C44" s="59">
        <v>1758</v>
      </c>
      <c r="D44" s="59">
        <v>3304</v>
      </c>
      <c r="E44" s="67">
        <v>75947</v>
      </c>
      <c r="F44" s="71">
        <v>111</v>
      </c>
      <c r="G44" s="72">
        <v>1933</v>
      </c>
      <c r="H44" s="72">
        <v>2055</v>
      </c>
      <c r="I44" s="72">
        <v>4084</v>
      </c>
    </row>
    <row r="45" spans="1:9" x14ac:dyDescent="0.45">
      <c r="A45" s="66">
        <v>109</v>
      </c>
      <c r="B45" s="59">
        <v>1506</v>
      </c>
      <c r="C45" s="59">
        <v>1869</v>
      </c>
      <c r="D45" s="59">
        <v>3487</v>
      </c>
      <c r="E45" s="67">
        <v>79434</v>
      </c>
      <c r="F45" s="71">
        <v>110</v>
      </c>
      <c r="G45" s="72">
        <v>773</v>
      </c>
      <c r="H45" s="72">
        <v>885</v>
      </c>
      <c r="I45" s="72">
        <v>1705</v>
      </c>
    </row>
    <row r="46" spans="1:9" x14ac:dyDescent="0.45">
      <c r="A46" s="66">
        <v>108</v>
      </c>
      <c r="B46" s="59">
        <v>1492</v>
      </c>
      <c r="C46" s="59">
        <v>1805</v>
      </c>
      <c r="D46" s="59">
        <v>3407</v>
      </c>
      <c r="E46" s="67">
        <v>82841</v>
      </c>
      <c r="F46" s="71">
        <v>109</v>
      </c>
      <c r="G46" s="72">
        <v>1002</v>
      </c>
      <c r="H46" s="72">
        <v>1200</v>
      </c>
      <c r="I46" s="72">
        <v>2265</v>
      </c>
    </row>
    <row r="47" spans="1:9" x14ac:dyDescent="0.45">
      <c r="A47" s="66">
        <v>107</v>
      </c>
      <c r="B47" s="59">
        <v>1473</v>
      </c>
      <c r="C47" s="59">
        <v>1838</v>
      </c>
      <c r="D47" s="59">
        <v>3401</v>
      </c>
      <c r="E47" s="67">
        <v>86242</v>
      </c>
      <c r="F47" s="71">
        <v>108</v>
      </c>
      <c r="G47" s="72">
        <v>994</v>
      </c>
      <c r="H47" s="72">
        <v>1007</v>
      </c>
      <c r="I47" s="72">
        <v>2055</v>
      </c>
    </row>
    <row r="48" spans="1:9" x14ac:dyDescent="0.45">
      <c r="A48" s="66">
        <v>106</v>
      </c>
      <c r="B48" s="59">
        <v>1543</v>
      </c>
      <c r="C48" s="59">
        <v>1822</v>
      </c>
      <c r="D48" s="59">
        <v>3461</v>
      </c>
      <c r="E48" s="67">
        <v>89703</v>
      </c>
      <c r="F48" s="71">
        <v>107</v>
      </c>
      <c r="G48" s="72">
        <v>803</v>
      </c>
      <c r="H48" s="72">
        <v>845</v>
      </c>
      <c r="I48" s="72">
        <v>1688</v>
      </c>
    </row>
    <row r="49" spans="1:9" x14ac:dyDescent="0.45">
      <c r="A49" s="66">
        <v>105</v>
      </c>
      <c r="B49" s="59">
        <v>1516</v>
      </c>
      <c r="C49" s="59">
        <v>1801</v>
      </c>
      <c r="D49" s="59">
        <v>3431</v>
      </c>
      <c r="E49" s="67">
        <v>93134</v>
      </c>
      <c r="F49" s="71">
        <v>106</v>
      </c>
      <c r="G49" s="72">
        <v>2108</v>
      </c>
      <c r="H49" s="72">
        <v>2315</v>
      </c>
      <c r="I49" s="72">
        <v>4524</v>
      </c>
    </row>
    <row r="50" spans="1:9" x14ac:dyDescent="0.45">
      <c r="A50" s="66">
        <v>104</v>
      </c>
      <c r="B50" s="59">
        <v>1539</v>
      </c>
      <c r="C50" s="59">
        <v>1778</v>
      </c>
      <c r="D50" s="59">
        <v>3435</v>
      </c>
      <c r="E50" s="67">
        <v>96569</v>
      </c>
      <c r="F50" s="71">
        <v>105</v>
      </c>
      <c r="G50" s="72">
        <v>790</v>
      </c>
      <c r="H50" s="72">
        <v>958</v>
      </c>
      <c r="I50" s="72">
        <v>1801</v>
      </c>
    </row>
    <row r="51" spans="1:9" x14ac:dyDescent="0.45">
      <c r="A51" s="66">
        <v>103</v>
      </c>
      <c r="B51" s="59">
        <v>1605</v>
      </c>
      <c r="C51" s="59">
        <v>1846</v>
      </c>
      <c r="D51" s="59">
        <v>3577</v>
      </c>
      <c r="E51" s="67">
        <v>100146</v>
      </c>
      <c r="F51" s="71">
        <v>104</v>
      </c>
      <c r="G51" s="72">
        <v>960</v>
      </c>
      <c r="H51" s="72">
        <v>1078</v>
      </c>
      <c r="I51" s="72">
        <v>2091</v>
      </c>
    </row>
    <row r="52" spans="1:9" x14ac:dyDescent="0.45">
      <c r="A52" s="66">
        <v>102</v>
      </c>
      <c r="B52" s="59">
        <v>1491</v>
      </c>
      <c r="C52" s="59">
        <v>1781</v>
      </c>
      <c r="D52" s="59">
        <v>3379</v>
      </c>
      <c r="E52" s="67">
        <v>103525</v>
      </c>
      <c r="F52" s="71">
        <v>103</v>
      </c>
      <c r="G52" s="72">
        <v>1068</v>
      </c>
      <c r="H52" s="72">
        <v>1275</v>
      </c>
      <c r="I52" s="72">
        <v>2421</v>
      </c>
    </row>
    <row r="53" spans="1:9" x14ac:dyDescent="0.45">
      <c r="A53" s="66">
        <v>101</v>
      </c>
      <c r="B53" s="59">
        <v>1514</v>
      </c>
      <c r="C53" s="59">
        <v>1772</v>
      </c>
      <c r="D53" s="59">
        <v>3417</v>
      </c>
      <c r="E53" s="67">
        <v>106942</v>
      </c>
      <c r="F53" s="71">
        <v>102</v>
      </c>
      <c r="G53" s="72">
        <v>865</v>
      </c>
      <c r="H53" s="72">
        <v>1001</v>
      </c>
      <c r="I53" s="72">
        <v>1927</v>
      </c>
    </row>
    <row r="54" spans="1:9" x14ac:dyDescent="0.45">
      <c r="A54" s="66">
        <v>100</v>
      </c>
      <c r="B54" s="59">
        <v>1572</v>
      </c>
      <c r="C54" s="59">
        <v>1825</v>
      </c>
      <c r="D54" s="59">
        <v>3504</v>
      </c>
      <c r="E54" s="67">
        <v>110446</v>
      </c>
      <c r="F54" s="71">
        <v>101</v>
      </c>
      <c r="G54" s="72">
        <v>2073</v>
      </c>
      <c r="H54" s="72">
        <v>2479</v>
      </c>
      <c r="I54" s="72">
        <v>4674</v>
      </c>
    </row>
    <row r="55" spans="1:9" x14ac:dyDescent="0.45">
      <c r="A55" s="66">
        <v>99</v>
      </c>
      <c r="B55" s="59">
        <v>1562</v>
      </c>
      <c r="C55" s="59">
        <v>1798</v>
      </c>
      <c r="D55" s="59">
        <v>3477</v>
      </c>
      <c r="E55" s="67">
        <v>113923</v>
      </c>
      <c r="F55" s="71">
        <v>100</v>
      </c>
      <c r="G55" s="72">
        <v>999</v>
      </c>
      <c r="H55" s="72">
        <v>1203</v>
      </c>
      <c r="I55" s="72">
        <v>2275</v>
      </c>
    </row>
    <row r="56" spans="1:9" x14ac:dyDescent="0.45">
      <c r="A56" s="66">
        <v>98</v>
      </c>
      <c r="B56" s="59">
        <v>1615</v>
      </c>
      <c r="C56" s="59">
        <v>1776</v>
      </c>
      <c r="D56" s="59">
        <v>3505</v>
      </c>
      <c r="E56" s="67">
        <v>117428</v>
      </c>
      <c r="F56" s="71">
        <v>99</v>
      </c>
      <c r="G56" s="72">
        <v>958</v>
      </c>
      <c r="H56" s="72">
        <v>1165</v>
      </c>
      <c r="I56" s="72">
        <v>2182</v>
      </c>
    </row>
    <row r="57" spans="1:9" x14ac:dyDescent="0.45">
      <c r="A57" s="66">
        <v>97</v>
      </c>
      <c r="B57" s="59">
        <v>1592</v>
      </c>
      <c r="C57" s="59">
        <v>1781</v>
      </c>
      <c r="D57" s="59">
        <v>3487</v>
      </c>
      <c r="E57" s="67">
        <v>120915</v>
      </c>
      <c r="F57" s="71">
        <v>98</v>
      </c>
      <c r="G57" s="72">
        <v>1196</v>
      </c>
      <c r="H57" s="72">
        <v>1401</v>
      </c>
      <c r="I57" s="72">
        <v>2664</v>
      </c>
    </row>
    <row r="58" spans="1:9" x14ac:dyDescent="0.45">
      <c r="A58" s="66">
        <v>96</v>
      </c>
      <c r="B58" s="59">
        <v>1521</v>
      </c>
      <c r="C58" s="59">
        <v>1761</v>
      </c>
      <c r="D58" s="59">
        <v>3418</v>
      </c>
      <c r="E58" s="67">
        <v>124333</v>
      </c>
      <c r="F58" s="71">
        <v>97</v>
      </c>
      <c r="G58" s="72">
        <v>1138</v>
      </c>
      <c r="H58" s="72">
        <v>1312</v>
      </c>
      <c r="I58" s="72">
        <v>2529</v>
      </c>
    </row>
    <row r="59" spans="1:9" x14ac:dyDescent="0.45">
      <c r="A59" s="66">
        <v>95</v>
      </c>
      <c r="B59" s="59">
        <v>1594</v>
      </c>
      <c r="C59" s="59">
        <v>1803</v>
      </c>
      <c r="D59" s="59">
        <v>3511</v>
      </c>
      <c r="E59" s="67">
        <v>127844</v>
      </c>
      <c r="F59" s="71">
        <v>96</v>
      </c>
      <c r="G59" s="72">
        <v>957</v>
      </c>
      <c r="H59" s="72">
        <v>1228</v>
      </c>
      <c r="I59" s="72">
        <v>2256</v>
      </c>
    </row>
    <row r="60" spans="1:9" x14ac:dyDescent="0.45">
      <c r="A60" s="66">
        <v>94</v>
      </c>
      <c r="B60" s="59">
        <v>1613</v>
      </c>
      <c r="C60" s="59">
        <v>1744</v>
      </c>
      <c r="D60" s="59">
        <v>3485</v>
      </c>
      <c r="E60" s="67">
        <v>131329</v>
      </c>
      <c r="F60" s="71">
        <v>95</v>
      </c>
      <c r="G60" s="72">
        <v>2396</v>
      </c>
      <c r="H60" s="72">
        <v>3047</v>
      </c>
      <c r="I60" s="72">
        <v>5593</v>
      </c>
    </row>
    <row r="61" spans="1:9" x14ac:dyDescent="0.45">
      <c r="A61" s="66">
        <v>93</v>
      </c>
      <c r="B61" s="59">
        <v>1580</v>
      </c>
      <c r="C61" s="59">
        <v>1754</v>
      </c>
      <c r="D61" s="59">
        <v>3446</v>
      </c>
      <c r="E61" s="67">
        <v>134775</v>
      </c>
      <c r="F61" s="71">
        <v>94</v>
      </c>
      <c r="G61" s="72">
        <v>1009</v>
      </c>
      <c r="H61" s="72">
        <v>1325</v>
      </c>
      <c r="I61" s="72">
        <v>2402</v>
      </c>
    </row>
    <row r="62" spans="1:9" x14ac:dyDescent="0.45">
      <c r="A62" s="66">
        <v>92</v>
      </c>
      <c r="B62" s="59">
        <v>1568</v>
      </c>
      <c r="C62" s="59">
        <v>1689</v>
      </c>
      <c r="D62" s="59">
        <v>3367</v>
      </c>
      <c r="E62" s="67">
        <v>138142</v>
      </c>
      <c r="F62" s="71">
        <v>93</v>
      </c>
      <c r="G62" s="72">
        <v>1294</v>
      </c>
      <c r="H62" s="72">
        <v>1531</v>
      </c>
      <c r="I62" s="72">
        <v>2899</v>
      </c>
    </row>
    <row r="63" spans="1:9" x14ac:dyDescent="0.45">
      <c r="A63" s="66">
        <v>91</v>
      </c>
      <c r="B63" s="59">
        <v>1581</v>
      </c>
      <c r="C63" s="59">
        <v>1712</v>
      </c>
      <c r="D63" s="59">
        <v>3424</v>
      </c>
      <c r="E63" s="67">
        <v>141566</v>
      </c>
      <c r="F63" s="71">
        <v>92</v>
      </c>
      <c r="G63" s="72">
        <v>1391</v>
      </c>
      <c r="H63" s="72">
        <v>1676</v>
      </c>
      <c r="I63" s="72">
        <v>3159</v>
      </c>
    </row>
    <row r="64" spans="1:9" x14ac:dyDescent="0.45">
      <c r="A64" s="66">
        <v>90</v>
      </c>
      <c r="B64" s="59">
        <v>1583</v>
      </c>
      <c r="C64" s="59">
        <v>1619</v>
      </c>
      <c r="D64" s="59">
        <v>3347</v>
      </c>
      <c r="E64" s="67">
        <v>144913</v>
      </c>
      <c r="F64" s="71">
        <v>91</v>
      </c>
      <c r="G64" s="72">
        <v>1240</v>
      </c>
      <c r="H64" s="72">
        <v>1548</v>
      </c>
      <c r="I64" s="72">
        <v>2867</v>
      </c>
    </row>
    <row r="65" spans="1:9" x14ac:dyDescent="0.45">
      <c r="A65" s="66">
        <v>89</v>
      </c>
      <c r="B65" s="59">
        <v>1566</v>
      </c>
      <c r="C65" s="59">
        <v>1620</v>
      </c>
      <c r="D65" s="59">
        <v>3333</v>
      </c>
      <c r="E65" s="67">
        <v>148246</v>
      </c>
      <c r="F65" s="71">
        <v>90</v>
      </c>
      <c r="G65" s="72">
        <v>2965</v>
      </c>
      <c r="H65" s="72">
        <v>3759</v>
      </c>
      <c r="I65" s="72">
        <v>6932</v>
      </c>
    </row>
    <row r="66" spans="1:9" x14ac:dyDescent="0.45">
      <c r="A66" s="66">
        <v>88</v>
      </c>
      <c r="B66" s="59">
        <v>1567</v>
      </c>
      <c r="C66" s="59">
        <v>1517</v>
      </c>
      <c r="D66" s="59">
        <v>3206</v>
      </c>
      <c r="E66" s="67">
        <v>151452</v>
      </c>
      <c r="F66" s="71">
        <v>89</v>
      </c>
      <c r="G66" s="72">
        <v>1417</v>
      </c>
      <c r="H66" s="72">
        <v>1859</v>
      </c>
      <c r="I66" s="72">
        <v>3393</v>
      </c>
    </row>
    <row r="67" spans="1:9" x14ac:dyDescent="0.45">
      <c r="A67" s="66">
        <v>87</v>
      </c>
      <c r="B67" s="59">
        <v>1588</v>
      </c>
      <c r="C67" s="59">
        <v>1569</v>
      </c>
      <c r="D67" s="59">
        <v>3312</v>
      </c>
      <c r="E67" s="67">
        <v>154764</v>
      </c>
      <c r="F67" s="71">
        <v>88</v>
      </c>
      <c r="G67" s="72">
        <v>1783</v>
      </c>
      <c r="H67" s="72">
        <v>2081</v>
      </c>
      <c r="I67" s="72">
        <v>4015</v>
      </c>
    </row>
    <row r="68" spans="1:9" x14ac:dyDescent="0.45">
      <c r="A68" s="66">
        <v>86</v>
      </c>
      <c r="B68" s="59">
        <v>3240</v>
      </c>
      <c r="C68" s="59">
        <v>2977</v>
      </c>
      <c r="D68" s="59">
        <v>6544</v>
      </c>
      <c r="E68" s="67">
        <v>161308</v>
      </c>
      <c r="F68" s="71">
        <v>87</v>
      </c>
      <c r="G68" s="72">
        <v>1896</v>
      </c>
      <c r="H68" s="72">
        <v>2163</v>
      </c>
      <c r="I68" s="72">
        <v>4214</v>
      </c>
    </row>
    <row r="69" spans="1:9" x14ac:dyDescent="0.45">
      <c r="A69" s="66">
        <v>85</v>
      </c>
      <c r="B69" s="59">
        <v>1672</v>
      </c>
      <c r="C69" s="59">
        <v>1473</v>
      </c>
      <c r="D69" s="59">
        <v>3331</v>
      </c>
      <c r="E69" s="67">
        <v>164639</v>
      </c>
      <c r="F69" s="71">
        <v>86</v>
      </c>
      <c r="G69" s="72">
        <v>1768</v>
      </c>
      <c r="H69" s="72">
        <v>2177</v>
      </c>
      <c r="I69" s="72">
        <v>4083</v>
      </c>
    </row>
    <row r="70" spans="1:9" x14ac:dyDescent="0.45">
      <c r="A70" s="66">
        <v>84</v>
      </c>
      <c r="B70" s="59">
        <v>1741</v>
      </c>
      <c r="C70" s="59">
        <v>1414</v>
      </c>
      <c r="D70" s="59">
        <v>3374</v>
      </c>
      <c r="E70" s="67">
        <v>168013</v>
      </c>
      <c r="F70" s="71">
        <v>85</v>
      </c>
      <c r="G70" s="72">
        <v>4798</v>
      </c>
      <c r="H70" s="72">
        <v>5246</v>
      </c>
      <c r="I70" s="72">
        <v>10434</v>
      </c>
    </row>
    <row r="71" spans="1:9" x14ac:dyDescent="0.45">
      <c r="A71" s="66">
        <v>83</v>
      </c>
      <c r="B71" s="59">
        <v>1800</v>
      </c>
      <c r="C71" s="59">
        <v>1454</v>
      </c>
      <c r="D71" s="59">
        <v>3442</v>
      </c>
      <c r="E71" s="67">
        <v>171455</v>
      </c>
      <c r="F71" s="71">
        <v>84</v>
      </c>
      <c r="G71" s="72">
        <v>2504</v>
      </c>
      <c r="H71" s="72">
        <v>2678</v>
      </c>
      <c r="I71" s="72">
        <v>5396</v>
      </c>
    </row>
    <row r="72" spans="1:9" x14ac:dyDescent="0.45">
      <c r="A72" s="66">
        <v>82</v>
      </c>
      <c r="B72" s="59">
        <v>1684</v>
      </c>
      <c r="C72" s="59">
        <v>1378</v>
      </c>
      <c r="D72" s="59">
        <v>3238</v>
      </c>
      <c r="E72" s="67">
        <v>174693</v>
      </c>
      <c r="F72" s="71">
        <v>83</v>
      </c>
      <c r="G72" s="72">
        <v>2279</v>
      </c>
      <c r="H72" s="72">
        <v>2599</v>
      </c>
      <c r="I72" s="72">
        <v>5104</v>
      </c>
    </row>
    <row r="73" spans="1:9" x14ac:dyDescent="0.45">
      <c r="A73" s="66">
        <v>81</v>
      </c>
      <c r="B73" s="59">
        <v>1844</v>
      </c>
      <c r="C73" s="59">
        <v>1360</v>
      </c>
      <c r="D73" s="59">
        <v>3431</v>
      </c>
      <c r="E73" s="67">
        <v>178124</v>
      </c>
      <c r="F73" s="71">
        <v>82</v>
      </c>
      <c r="G73" s="72">
        <v>7030</v>
      </c>
      <c r="H73" s="72">
        <v>5509</v>
      </c>
      <c r="I73" s="72">
        <v>13284</v>
      </c>
    </row>
    <row r="74" spans="1:9" x14ac:dyDescent="0.45">
      <c r="A74" s="66">
        <v>80</v>
      </c>
      <c r="B74" s="59">
        <v>1793</v>
      </c>
      <c r="C74" s="59">
        <v>1289</v>
      </c>
      <c r="D74" s="59">
        <v>3292</v>
      </c>
      <c r="E74" s="67">
        <v>181416</v>
      </c>
      <c r="F74" s="71">
        <v>81</v>
      </c>
      <c r="G74" s="72">
        <v>2933</v>
      </c>
      <c r="H74" s="72">
        <v>2911</v>
      </c>
      <c r="I74" s="72">
        <v>6117</v>
      </c>
    </row>
    <row r="75" spans="1:9" x14ac:dyDescent="0.45">
      <c r="A75" s="66">
        <v>79</v>
      </c>
      <c r="B75" s="59">
        <v>1765</v>
      </c>
      <c r="C75" s="59">
        <v>1251</v>
      </c>
      <c r="D75" s="59">
        <v>3220</v>
      </c>
      <c r="E75" s="67">
        <v>184636</v>
      </c>
      <c r="F75" s="71">
        <v>80</v>
      </c>
      <c r="G75" s="72">
        <v>5226</v>
      </c>
      <c r="H75" s="72">
        <v>5509</v>
      </c>
      <c r="I75" s="72">
        <v>11321</v>
      </c>
    </row>
    <row r="76" spans="1:9" x14ac:dyDescent="0.45">
      <c r="A76" s="66">
        <v>78</v>
      </c>
      <c r="B76" s="59">
        <v>1868</v>
      </c>
      <c r="C76" s="59">
        <v>1290</v>
      </c>
      <c r="D76" s="59">
        <v>3377</v>
      </c>
      <c r="E76" s="67">
        <v>188013</v>
      </c>
      <c r="F76" s="71">
        <v>79</v>
      </c>
      <c r="G76" s="72">
        <v>1923</v>
      </c>
      <c r="H76" s="72">
        <v>1958</v>
      </c>
      <c r="I76" s="72">
        <v>4064</v>
      </c>
    </row>
    <row r="77" spans="1:9" x14ac:dyDescent="0.45">
      <c r="A77" s="66">
        <v>77</v>
      </c>
      <c r="B77" s="59">
        <v>1699</v>
      </c>
      <c r="C77" s="59">
        <v>1109</v>
      </c>
      <c r="D77" s="59">
        <v>2981</v>
      </c>
      <c r="E77" s="67">
        <v>190994</v>
      </c>
      <c r="F77" s="71">
        <v>78</v>
      </c>
      <c r="G77" s="72">
        <v>1181</v>
      </c>
      <c r="H77" s="72">
        <v>1376</v>
      </c>
      <c r="I77" s="72">
        <v>2673</v>
      </c>
    </row>
    <row r="78" spans="1:9" x14ac:dyDescent="0.45">
      <c r="A78" s="66">
        <v>76</v>
      </c>
      <c r="B78" s="59">
        <v>1889</v>
      </c>
      <c r="C78" s="59">
        <v>1149</v>
      </c>
      <c r="D78" s="59">
        <v>3267</v>
      </c>
      <c r="E78" s="67">
        <v>194261</v>
      </c>
      <c r="F78" s="71">
        <v>77</v>
      </c>
      <c r="G78" s="72">
        <v>3725</v>
      </c>
      <c r="H78" s="72">
        <v>3784</v>
      </c>
      <c r="I78" s="72">
        <v>7962</v>
      </c>
    </row>
    <row r="79" spans="1:9" x14ac:dyDescent="0.45">
      <c r="A79" s="66">
        <v>75</v>
      </c>
      <c r="B79" s="59">
        <v>2750</v>
      </c>
      <c r="C79" s="59">
        <v>1469</v>
      </c>
      <c r="D79" s="59">
        <v>4624</v>
      </c>
      <c r="E79" s="67">
        <v>198885</v>
      </c>
      <c r="F79" s="71">
        <v>76</v>
      </c>
      <c r="G79" s="72">
        <v>889</v>
      </c>
      <c r="H79" s="72">
        <v>999</v>
      </c>
      <c r="I79" s="72">
        <v>1965</v>
      </c>
    </row>
    <row r="80" spans="1:9" x14ac:dyDescent="0.45">
      <c r="A80" s="66">
        <v>74</v>
      </c>
      <c r="B80" s="59">
        <v>4510</v>
      </c>
      <c r="C80" s="59">
        <v>1707</v>
      </c>
      <c r="D80" s="59">
        <v>6925</v>
      </c>
      <c r="E80" s="67">
        <v>205810</v>
      </c>
      <c r="F80" s="71">
        <v>75</v>
      </c>
      <c r="G80" s="72">
        <v>1361</v>
      </c>
      <c r="H80" s="72">
        <v>1397</v>
      </c>
      <c r="I80" s="72">
        <v>2873</v>
      </c>
    </row>
    <row r="81" spans="1:9" x14ac:dyDescent="0.45">
      <c r="A81" s="66">
        <v>73</v>
      </c>
      <c r="B81" s="59">
        <v>1675</v>
      </c>
      <c r="C81" s="59">
        <v>887</v>
      </c>
      <c r="D81" s="59">
        <v>2794</v>
      </c>
      <c r="E81" s="67">
        <v>208604</v>
      </c>
      <c r="F81" s="71">
        <v>74</v>
      </c>
      <c r="G81" s="72">
        <v>522</v>
      </c>
      <c r="H81" s="72">
        <v>521</v>
      </c>
      <c r="I81" s="72">
        <v>1096</v>
      </c>
    </row>
    <row r="82" spans="1:9" x14ac:dyDescent="0.45">
      <c r="A82" s="66">
        <v>72</v>
      </c>
      <c r="B82" s="59">
        <v>1650</v>
      </c>
      <c r="C82" s="59">
        <v>842</v>
      </c>
      <c r="D82" s="59">
        <v>2716</v>
      </c>
      <c r="E82" s="67">
        <v>211320</v>
      </c>
      <c r="F82" s="71">
        <v>73</v>
      </c>
      <c r="G82" s="72">
        <v>263</v>
      </c>
      <c r="H82" s="72">
        <v>234</v>
      </c>
      <c r="I82" s="72">
        <v>521</v>
      </c>
    </row>
    <row r="83" spans="1:9" x14ac:dyDescent="0.45">
      <c r="A83" s="66">
        <v>71</v>
      </c>
      <c r="B83" s="59">
        <v>1441</v>
      </c>
      <c r="C83" s="59">
        <v>728</v>
      </c>
      <c r="D83" s="59">
        <v>2379</v>
      </c>
      <c r="E83" s="67">
        <v>213699</v>
      </c>
      <c r="F83" s="71">
        <v>72</v>
      </c>
      <c r="G83" s="72">
        <v>228</v>
      </c>
      <c r="H83" s="72">
        <v>214</v>
      </c>
      <c r="I83" s="72">
        <v>467</v>
      </c>
    </row>
    <row r="84" spans="1:9" x14ac:dyDescent="0.45">
      <c r="A84" s="66">
        <v>70</v>
      </c>
      <c r="B84" s="59">
        <v>881</v>
      </c>
      <c r="C84" s="59">
        <v>497</v>
      </c>
      <c r="D84" s="59">
        <v>1477</v>
      </c>
      <c r="E84" s="67">
        <v>215176</v>
      </c>
      <c r="F84" s="71">
        <v>71</v>
      </c>
      <c r="G84" s="72">
        <v>218</v>
      </c>
      <c r="H84" s="72">
        <v>199</v>
      </c>
      <c r="I84" s="72">
        <v>434</v>
      </c>
    </row>
    <row r="85" spans="1:9" x14ac:dyDescent="0.45">
      <c r="A85" s="66">
        <v>69</v>
      </c>
      <c r="B85" s="59">
        <v>862</v>
      </c>
      <c r="C85" s="59">
        <v>398</v>
      </c>
      <c r="D85" s="59">
        <v>1353</v>
      </c>
      <c r="E85" s="67">
        <v>216529</v>
      </c>
      <c r="F85" s="71">
        <v>70</v>
      </c>
      <c r="G85" s="72">
        <v>113</v>
      </c>
      <c r="H85" s="72">
        <v>99</v>
      </c>
      <c r="I85" s="72">
        <v>223</v>
      </c>
    </row>
    <row r="86" spans="1:9" x14ac:dyDescent="0.45">
      <c r="A86" s="66">
        <v>68</v>
      </c>
      <c r="B86" s="59">
        <v>639</v>
      </c>
      <c r="C86" s="59">
        <v>305</v>
      </c>
      <c r="D86" s="59">
        <v>1024</v>
      </c>
      <c r="E86" s="67">
        <v>217553</v>
      </c>
      <c r="F86" s="71">
        <v>69</v>
      </c>
      <c r="G86" s="72">
        <v>1122</v>
      </c>
      <c r="H86" s="72">
        <v>605</v>
      </c>
      <c r="I86" s="72">
        <v>1941</v>
      </c>
    </row>
    <row r="87" spans="1:9" x14ac:dyDescent="0.45">
      <c r="A87" s="66">
        <v>67</v>
      </c>
      <c r="B87" s="59">
        <v>523</v>
      </c>
      <c r="C87" s="59">
        <v>236</v>
      </c>
      <c r="D87" s="59">
        <v>812</v>
      </c>
      <c r="E87" s="67">
        <v>218365</v>
      </c>
      <c r="F87" s="71"/>
      <c r="G87" s="72"/>
      <c r="H87" s="72"/>
      <c r="I87" s="72"/>
    </row>
    <row r="88" spans="1:9" x14ac:dyDescent="0.45">
      <c r="A88" s="66">
        <v>66</v>
      </c>
      <c r="B88" s="59">
        <v>407</v>
      </c>
      <c r="C88" s="59">
        <v>205</v>
      </c>
      <c r="D88" s="59">
        <v>665</v>
      </c>
      <c r="E88" s="67">
        <v>219030</v>
      </c>
      <c r="F88" s="71"/>
      <c r="G88" s="72"/>
      <c r="H88" s="72"/>
      <c r="I88" s="72"/>
    </row>
    <row r="89" spans="1:9" x14ac:dyDescent="0.45">
      <c r="A89" s="66">
        <v>65</v>
      </c>
      <c r="B89" s="59">
        <v>327</v>
      </c>
      <c r="C89" s="59">
        <v>166</v>
      </c>
      <c r="D89" s="59">
        <v>537</v>
      </c>
      <c r="E89" s="67">
        <v>219567</v>
      </c>
      <c r="F89" s="71"/>
      <c r="G89" s="72"/>
      <c r="H89" s="72"/>
      <c r="I89" s="72"/>
    </row>
    <row r="90" spans="1:9" x14ac:dyDescent="0.45">
      <c r="A90" s="66">
        <v>64</v>
      </c>
      <c r="B90" s="59">
        <v>285</v>
      </c>
      <c r="C90" s="59">
        <v>123</v>
      </c>
      <c r="D90" s="59">
        <v>455</v>
      </c>
      <c r="E90" s="67">
        <v>220022</v>
      </c>
      <c r="F90" s="71"/>
      <c r="G90" s="72"/>
      <c r="H90" s="72"/>
      <c r="I90" s="72"/>
    </row>
    <row r="91" spans="1:9" x14ac:dyDescent="0.45">
      <c r="A91" s="66">
        <v>63</v>
      </c>
      <c r="B91" s="59">
        <v>227</v>
      </c>
      <c r="C91" s="59">
        <v>97</v>
      </c>
      <c r="D91" s="59">
        <v>358</v>
      </c>
      <c r="E91" s="67">
        <v>220380</v>
      </c>
      <c r="F91" s="71"/>
      <c r="G91" s="72"/>
      <c r="H91" s="72"/>
      <c r="I91" s="72"/>
    </row>
    <row r="92" spans="1:9" x14ac:dyDescent="0.45">
      <c r="A92" s="66">
        <v>62</v>
      </c>
      <c r="B92" s="59">
        <v>131</v>
      </c>
      <c r="C92" s="59">
        <v>81</v>
      </c>
      <c r="D92" s="59">
        <v>232</v>
      </c>
      <c r="E92" s="67">
        <v>220612</v>
      </c>
      <c r="F92" s="71"/>
      <c r="G92" s="72"/>
      <c r="H92" s="72"/>
      <c r="I92" s="72"/>
    </row>
    <row r="93" spans="1:9" x14ac:dyDescent="0.45">
      <c r="A93" s="66">
        <v>61</v>
      </c>
      <c r="B93" s="59">
        <v>106</v>
      </c>
      <c r="C93" s="59">
        <v>49</v>
      </c>
      <c r="D93" s="59">
        <v>167</v>
      </c>
      <c r="E93" s="67">
        <v>220779</v>
      </c>
      <c r="F93" s="71"/>
      <c r="G93" s="72"/>
      <c r="H93" s="72"/>
      <c r="I93" s="72"/>
    </row>
    <row r="94" spans="1:9" x14ac:dyDescent="0.45">
      <c r="A94" s="66">
        <v>60</v>
      </c>
      <c r="B94" s="59">
        <v>151</v>
      </c>
      <c r="C94" s="59">
        <v>70</v>
      </c>
      <c r="D94" s="59">
        <v>250</v>
      </c>
      <c r="E94" s="67">
        <v>221029</v>
      </c>
      <c r="F94" s="69"/>
      <c r="G94" s="59"/>
      <c r="H94" s="59"/>
      <c r="I94" s="59"/>
    </row>
    <row r="95" spans="1:9" x14ac:dyDescent="0.45">
      <c r="A95" s="64">
        <v>59</v>
      </c>
      <c r="B95" s="65">
        <v>15</v>
      </c>
      <c r="C95" s="65">
        <v>9</v>
      </c>
      <c r="D95" s="65">
        <v>25</v>
      </c>
      <c r="E95" s="68">
        <v>221054</v>
      </c>
      <c r="F95" s="66"/>
      <c r="G95" s="59"/>
      <c r="H95" s="59"/>
      <c r="I95" s="59"/>
    </row>
    <row r="96" spans="1:9" x14ac:dyDescent="0.45">
      <c r="A96" s="64">
        <v>58</v>
      </c>
      <c r="B96" s="65">
        <v>63</v>
      </c>
      <c r="C96" s="65">
        <v>32</v>
      </c>
      <c r="D96" s="65">
        <v>102</v>
      </c>
      <c r="E96" s="68">
        <v>221156</v>
      </c>
      <c r="F96" s="66"/>
      <c r="G96" s="59"/>
      <c r="H96" s="59"/>
      <c r="I96" s="59"/>
    </row>
    <row r="97" spans="1:9" x14ac:dyDescent="0.45">
      <c r="A97" s="64">
        <v>57</v>
      </c>
      <c r="B97" s="65">
        <v>6</v>
      </c>
      <c r="C97" s="65">
        <v>1</v>
      </c>
      <c r="D97" s="65">
        <v>8</v>
      </c>
      <c r="E97" s="68">
        <v>221164</v>
      </c>
      <c r="F97" s="66"/>
      <c r="G97" s="59"/>
      <c r="H97" s="59"/>
      <c r="I97" s="59"/>
    </row>
    <row r="98" spans="1:9" x14ac:dyDescent="0.45">
      <c r="A98" s="64">
        <v>56</v>
      </c>
      <c r="B98" s="65">
        <v>58</v>
      </c>
      <c r="C98" s="65">
        <v>21</v>
      </c>
      <c r="D98" s="65">
        <v>91</v>
      </c>
      <c r="E98" s="68">
        <v>221255</v>
      </c>
      <c r="F98" s="66"/>
      <c r="G98" s="59"/>
      <c r="H98" s="59"/>
      <c r="I98" s="59"/>
    </row>
    <row r="99" spans="1:9" x14ac:dyDescent="0.45">
      <c r="A99" s="64">
        <v>54</v>
      </c>
      <c r="B99" s="65">
        <v>925</v>
      </c>
      <c r="C99" s="65">
        <v>345</v>
      </c>
      <c r="D99" s="65">
        <v>1487</v>
      </c>
      <c r="E99" s="68">
        <v>222742</v>
      </c>
      <c r="F99" s="66"/>
      <c r="G99" s="59"/>
      <c r="H99" s="59"/>
      <c r="I99" s="59"/>
    </row>
    <row r="100" spans="1:9" x14ac:dyDescent="0.45">
      <c r="A100" s="9"/>
      <c r="D100" s="10"/>
      <c r="F100" s="9"/>
      <c r="I100" s="10"/>
    </row>
    <row r="101" spans="1:9" x14ac:dyDescent="0.45">
      <c r="A101" s="9"/>
      <c r="D101" s="10"/>
      <c r="F101" s="9"/>
      <c r="I101" s="10"/>
    </row>
    <row r="102" spans="1:9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S225"/>
  <sheetViews>
    <sheetView topLeftCell="A165" workbookViewId="0">
      <selection activeCell="A177" sqref="A177:S225"/>
    </sheetView>
  </sheetViews>
  <sheetFormatPr defaultRowHeight="17" x14ac:dyDescent="0.45"/>
  <sheetData>
    <row r="1" spans="1:19" x14ac:dyDescent="0.45">
      <c r="A1" s="15"/>
    </row>
    <row r="2" spans="1:19" ht="17.5" thickBot="1" x14ac:dyDescent="0.5"/>
    <row r="3" spans="1:19" x14ac:dyDescent="0.45">
      <c r="A3" s="47" t="s">
        <v>10</v>
      </c>
      <c r="B3" s="48"/>
      <c r="C3" s="48"/>
      <c r="D3" s="49"/>
      <c r="F3" s="47" t="s">
        <v>11</v>
      </c>
      <c r="G3" s="48"/>
      <c r="H3" s="48"/>
      <c r="I3" s="49"/>
      <c r="K3" s="47" t="s">
        <v>12</v>
      </c>
      <c r="L3" s="48"/>
      <c r="M3" s="48"/>
      <c r="N3" s="49"/>
      <c r="P3" s="47" t="s">
        <v>13</v>
      </c>
      <c r="Q3" s="48"/>
      <c r="R3" s="48"/>
      <c r="S3" s="49"/>
    </row>
    <row r="4" spans="1:19" ht="17.5" thickBot="1" x14ac:dyDescent="0.5">
      <c r="A4" s="6" t="s">
        <v>7</v>
      </c>
      <c r="B4" s="1"/>
      <c r="C4" s="1"/>
      <c r="D4" s="7" t="s">
        <v>8</v>
      </c>
      <c r="F4" s="6" t="s">
        <v>7</v>
      </c>
      <c r="G4" s="1"/>
      <c r="H4" s="1"/>
      <c r="I4" s="7" t="s">
        <v>8</v>
      </c>
      <c r="K4" s="6" t="s">
        <v>7</v>
      </c>
      <c r="L4" s="1"/>
      <c r="M4" s="1"/>
      <c r="N4" s="7" t="s">
        <v>8</v>
      </c>
      <c r="P4" s="6" t="s">
        <v>7</v>
      </c>
      <c r="Q4" s="1"/>
      <c r="R4" s="1"/>
      <c r="S4" s="7" t="s">
        <v>8</v>
      </c>
    </row>
    <row r="5" spans="1:19" ht="17.5" thickTop="1" x14ac:dyDescent="0.45">
      <c r="A5" s="79">
        <v>71</v>
      </c>
      <c r="B5" s="62">
        <v>200</v>
      </c>
      <c r="C5" s="62">
        <v>351</v>
      </c>
      <c r="D5" s="62">
        <v>556</v>
      </c>
      <c r="E5" s="74">
        <v>556</v>
      </c>
      <c r="F5" s="79">
        <v>77</v>
      </c>
      <c r="G5" s="62">
        <v>62</v>
      </c>
      <c r="H5" s="62">
        <v>81</v>
      </c>
      <c r="I5" s="62">
        <v>144</v>
      </c>
      <c r="J5" s="74">
        <v>144</v>
      </c>
      <c r="K5" s="79">
        <v>71</v>
      </c>
      <c r="L5" s="62">
        <v>173</v>
      </c>
      <c r="M5" s="62">
        <v>120</v>
      </c>
      <c r="N5" s="62">
        <v>297</v>
      </c>
      <c r="O5" s="74">
        <v>297</v>
      </c>
      <c r="P5" s="79">
        <v>75</v>
      </c>
      <c r="Q5" s="62">
        <v>58</v>
      </c>
      <c r="R5" s="62">
        <v>47</v>
      </c>
      <c r="S5" s="62">
        <v>108</v>
      </c>
    </row>
    <row r="6" spans="1:19" x14ac:dyDescent="0.45">
      <c r="A6" s="76">
        <v>69</v>
      </c>
      <c r="B6" s="59">
        <v>298</v>
      </c>
      <c r="C6" s="59">
        <v>631</v>
      </c>
      <c r="D6" s="59">
        <v>941</v>
      </c>
      <c r="E6" s="67">
        <v>1497</v>
      </c>
      <c r="F6" s="76">
        <v>75</v>
      </c>
      <c r="G6" s="59">
        <v>53</v>
      </c>
      <c r="H6" s="59">
        <v>89</v>
      </c>
      <c r="I6" s="59">
        <v>143</v>
      </c>
      <c r="J6" s="67">
        <v>287</v>
      </c>
      <c r="K6" s="76">
        <v>69</v>
      </c>
      <c r="L6" s="59">
        <v>109</v>
      </c>
      <c r="M6" s="59">
        <v>91</v>
      </c>
      <c r="N6" s="59">
        <v>201</v>
      </c>
      <c r="O6" s="67">
        <v>498</v>
      </c>
      <c r="P6" s="76">
        <v>74</v>
      </c>
      <c r="Q6" s="59">
        <v>32</v>
      </c>
      <c r="R6" s="59">
        <v>38</v>
      </c>
      <c r="S6" s="59">
        <v>70</v>
      </c>
    </row>
    <row r="7" spans="1:19" x14ac:dyDescent="0.45">
      <c r="A7" s="76">
        <v>68</v>
      </c>
      <c r="B7" s="59">
        <v>24</v>
      </c>
      <c r="C7" s="59">
        <v>74</v>
      </c>
      <c r="D7" s="59">
        <v>98</v>
      </c>
      <c r="E7" s="67">
        <v>1595</v>
      </c>
      <c r="F7" s="76">
        <v>74</v>
      </c>
      <c r="G7" s="59">
        <v>41</v>
      </c>
      <c r="H7" s="59">
        <v>73</v>
      </c>
      <c r="I7" s="59">
        <v>114</v>
      </c>
      <c r="J7" s="67">
        <v>401</v>
      </c>
      <c r="K7" s="76">
        <v>68</v>
      </c>
      <c r="L7" s="59">
        <v>171</v>
      </c>
      <c r="M7" s="59">
        <v>148</v>
      </c>
      <c r="N7" s="59">
        <v>322</v>
      </c>
      <c r="O7" s="67">
        <v>820</v>
      </c>
      <c r="P7" s="76">
        <v>73</v>
      </c>
      <c r="Q7" s="59">
        <v>63</v>
      </c>
      <c r="R7" s="59">
        <v>92</v>
      </c>
      <c r="S7" s="59">
        <v>155</v>
      </c>
    </row>
    <row r="8" spans="1:19" x14ac:dyDescent="0.45">
      <c r="A8" s="76">
        <v>67</v>
      </c>
      <c r="B8" s="59">
        <v>200</v>
      </c>
      <c r="C8" s="59">
        <v>423</v>
      </c>
      <c r="D8" s="59">
        <v>629</v>
      </c>
      <c r="E8" s="67">
        <v>2224</v>
      </c>
      <c r="F8" s="76">
        <v>73</v>
      </c>
      <c r="G8" s="59">
        <v>30</v>
      </c>
      <c r="H8" s="59">
        <v>78</v>
      </c>
      <c r="I8" s="59">
        <v>109</v>
      </c>
      <c r="J8" s="67">
        <v>510</v>
      </c>
      <c r="K8" s="76">
        <v>67</v>
      </c>
      <c r="L8" s="59">
        <v>189</v>
      </c>
      <c r="M8" s="59">
        <v>232</v>
      </c>
      <c r="N8" s="59">
        <v>427</v>
      </c>
      <c r="O8" s="67">
        <v>1247</v>
      </c>
      <c r="P8" s="76">
        <v>72</v>
      </c>
      <c r="Q8" s="59">
        <v>13</v>
      </c>
      <c r="R8" s="59">
        <v>23</v>
      </c>
      <c r="S8" s="59">
        <v>36</v>
      </c>
    </row>
    <row r="9" spans="1:19" x14ac:dyDescent="0.45">
      <c r="A9" s="76">
        <v>66</v>
      </c>
      <c r="B9" s="59">
        <v>218</v>
      </c>
      <c r="C9" s="59">
        <v>548</v>
      </c>
      <c r="D9" s="59">
        <v>774</v>
      </c>
      <c r="E9" s="67">
        <v>2998</v>
      </c>
      <c r="F9" s="76">
        <v>72</v>
      </c>
      <c r="G9" s="59">
        <v>64</v>
      </c>
      <c r="H9" s="59">
        <v>127</v>
      </c>
      <c r="I9" s="59">
        <v>191</v>
      </c>
      <c r="J9" s="67">
        <v>701</v>
      </c>
      <c r="K9" s="76">
        <v>66</v>
      </c>
      <c r="L9" s="59">
        <v>125</v>
      </c>
      <c r="M9" s="59">
        <v>138</v>
      </c>
      <c r="N9" s="59">
        <v>263</v>
      </c>
      <c r="O9" s="67">
        <v>1510</v>
      </c>
      <c r="P9" s="76">
        <v>71</v>
      </c>
      <c r="Q9" s="59">
        <v>77</v>
      </c>
      <c r="R9" s="59">
        <v>88</v>
      </c>
      <c r="S9" s="59">
        <v>166</v>
      </c>
    </row>
    <row r="10" spans="1:19" x14ac:dyDescent="0.45">
      <c r="A10" s="76">
        <v>65</v>
      </c>
      <c r="B10" s="59">
        <v>96</v>
      </c>
      <c r="C10" s="59">
        <v>252</v>
      </c>
      <c r="D10" s="59">
        <v>350</v>
      </c>
      <c r="E10" s="67">
        <v>3348</v>
      </c>
      <c r="F10" s="76">
        <v>71</v>
      </c>
      <c r="G10" s="59">
        <v>37</v>
      </c>
      <c r="H10" s="59">
        <v>86</v>
      </c>
      <c r="I10" s="59">
        <v>123</v>
      </c>
      <c r="J10" s="67">
        <v>824</v>
      </c>
      <c r="K10" s="76">
        <v>65</v>
      </c>
      <c r="L10" s="59">
        <v>129</v>
      </c>
      <c r="M10" s="59">
        <v>126</v>
      </c>
      <c r="N10" s="59">
        <v>259</v>
      </c>
      <c r="O10" s="67">
        <v>1769</v>
      </c>
      <c r="P10" s="76">
        <v>70</v>
      </c>
      <c r="Q10" s="59">
        <v>57</v>
      </c>
      <c r="R10" s="59">
        <v>80</v>
      </c>
      <c r="S10" s="59">
        <v>137</v>
      </c>
    </row>
    <row r="11" spans="1:19" x14ac:dyDescent="0.45">
      <c r="A11" s="76">
        <v>64</v>
      </c>
      <c r="B11" s="59">
        <v>328</v>
      </c>
      <c r="C11" s="59">
        <v>733</v>
      </c>
      <c r="D11" s="59">
        <v>1069</v>
      </c>
      <c r="E11" s="67">
        <v>4417</v>
      </c>
      <c r="F11" s="76">
        <v>70</v>
      </c>
      <c r="G11" s="59">
        <v>81</v>
      </c>
      <c r="H11" s="59">
        <v>177</v>
      </c>
      <c r="I11" s="59">
        <v>259</v>
      </c>
      <c r="J11" s="67">
        <v>1083</v>
      </c>
      <c r="K11" s="76">
        <v>64</v>
      </c>
      <c r="L11" s="59">
        <v>186</v>
      </c>
      <c r="M11" s="59">
        <v>199</v>
      </c>
      <c r="N11" s="59">
        <v>390</v>
      </c>
      <c r="O11" s="67">
        <v>2159</v>
      </c>
      <c r="P11" s="76">
        <v>69</v>
      </c>
      <c r="Q11" s="59">
        <v>63</v>
      </c>
      <c r="R11" s="59">
        <v>61</v>
      </c>
      <c r="S11" s="59">
        <v>125</v>
      </c>
    </row>
    <row r="12" spans="1:19" x14ac:dyDescent="0.45">
      <c r="A12" s="76">
        <v>63</v>
      </c>
      <c r="B12" s="59">
        <v>241</v>
      </c>
      <c r="C12" s="59">
        <v>622</v>
      </c>
      <c r="D12" s="59">
        <v>868</v>
      </c>
      <c r="E12" s="67">
        <v>5285</v>
      </c>
      <c r="F12" s="76">
        <v>69</v>
      </c>
      <c r="G12" s="59">
        <v>63</v>
      </c>
      <c r="H12" s="59">
        <v>147</v>
      </c>
      <c r="I12" s="59">
        <v>215</v>
      </c>
      <c r="J12" s="67">
        <v>1298</v>
      </c>
      <c r="K12" s="76">
        <v>63</v>
      </c>
      <c r="L12" s="59">
        <v>127</v>
      </c>
      <c r="M12" s="59">
        <v>173</v>
      </c>
      <c r="N12" s="59">
        <v>303</v>
      </c>
      <c r="O12" s="67">
        <v>2462</v>
      </c>
      <c r="P12" s="76">
        <v>68</v>
      </c>
      <c r="Q12" s="59">
        <v>110</v>
      </c>
      <c r="R12" s="59">
        <v>132</v>
      </c>
      <c r="S12" s="59">
        <v>242</v>
      </c>
    </row>
    <row r="13" spans="1:19" x14ac:dyDescent="0.45">
      <c r="A13" s="76">
        <v>62</v>
      </c>
      <c r="B13" s="59">
        <v>239</v>
      </c>
      <c r="C13" s="59">
        <v>581</v>
      </c>
      <c r="D13" s="59">
        <v>826</v>
      </c>
      <c r="E13" s="67">
        <v>6111</v>
      </c>
      <c r="F13" s="76">
        <v>68</v>
      </c>
      <c r="G13" s="59">
        <v>147</v>
      </c>
      <c r="H13" s="59">
        <v>396</v>
      </c>
      <c r="I13" s="59">
        <v>545</v>
      </c>
      <c r="J13" s="67">
        <v>1843</v>
      </c>
      <c r="K13" s="76">
        <v>62</v>
      </c>
      <c r="L13" s="59">
        <v>374</v>
      </c>
      <c r="M13" s="59">
        <v>411</v>
      </c>
      <c r="N13" s="59">
        <v>794</v>
      </c>
      <c r="O13" s="67">
        <v>3256</v>
      </c>
      <c r="P13" s="76">
        <v>67</v>
      </c>
      <c r="Q13" s="59">
        <v>62</v>
      </c>
      <c r="R13" s="59">
        <v>75</v>
      </c>
      <c r="S13" s="59">
        <v>138</v>
      </c>
    </row>
    <row r="14" spans="1:19" x14ac:dyDescent="0.45">
      <c r="A14" s="76">
        <v>61</v>
      </c>
      <c r="B14" s="59">
        <v>730</v>
      </c>
      <c r="C14" s="59">
        <v>1831</v>
      </c>
      <c r="D14" s="59">
        <v>2589</v>
      </c>
      <c r="E14" s="67">
        <v>8700</v>
      </c>
      <c r="F14" s="76">
        <v>67</v>
      </c>
      <c r="G14" s="59">
        <v>81</v>
      </c>
      <c r="H14" s="59">
        <v>198</v>
      </c>
      <c r="I14" s="59">
        <v>281</v>
      </c>
      <c r="J14" s="67">
        <v>2124</v>
      </c>
      <c r="K14" s="76">
        <v>61</v>
      </c>
      <c r="L14" s="59">
        <v>175</v>
      </c>
      <c r="M14" s="59">
        <v>201</v>
      </c>
      <c r="N14" s="59">
        <v>382</v>
      </c>
      <c r="O14" s="67">
        <v>3638</v>
      </c>
      <c r="P14" s="76">
        <v>66</v>
      </c>
      <c r="Q14" s="59">
        <v>204</v>
      </c>
      <c r="R14" s="59">
        <v>252</v>
      </c>
      <c r="S14" s="59">
        <v>458</v>
      </c>
    </row>
    <row r="15" spans="1:19" x14ac:dyDescent="0.45">
      <c r="A15" s="76">
        <v>60</v>
      </c>
      <c r="B15" s="59">
        <v>379</v>
      </c>
      <c r="C15" s="59">
        <v>929</v>
      </c>
      <c r="D15" s="59">
        <v>1322</v>
      </c>
      <c r="E15" s="67">
        <v>10022</v>
      </c>
      <c r="F15" s="76">
        <v>66</v>
      </c>
      <c r="G15" s="59">
        <v>98</v>
      </c>
      <c r="H15" s="59">
        <v>255</v>
      </c>
      <c r="I15" s="59">
        <v>359</v>
      </c>
      <c r="J15" s="67">
        <v>2483</v>
      </c>
      <c r="K15" s="76">
        <v>60</v>
      </c>
      <c r="L15" s="59">
        <v>210</v>
      </c>
      <c r="M15" s="59">
        <v>230</v>
      </c>
      <c r="N15" s="59">
        <v>445</v>
      </c>
      <c r="O15" s="67">
        <v>4083</v>
      </c>
      <c r="P15" s="76">
        <v>65</v>
      </c>
      <c r="Q15" s="59">
        <v>84</v>
      </c>
      <c r="R15" s="59">
        <v>105</v>
      </c>
      <c r="S15" s="59">
        <v>189</v>
      </c>
    </row>
    <row r="16" spans="1:19" x14ac:dyDescent="0.45">
      <c r="A16" s="76">
        <v>59</v>
      </c>
      <c r="B16" s="59">
        <v>437</v>
      </c>
      <c r="C16" s="59">
        <v>1095</v>
      </c>
      <c r="D16" s="59">
        <v>1542</v>
      </c>
      <c r="E16" s="67">
        <v>11564</v>
      </c>
      <c r="F16" s="76">
        <v>65</v>
      </c>
      <c r="G16" s="59">
        <v>97</v>
      </c>
      <c r="H16" s="59">
        <v>253</v>
      </c>
      <c r="I16" s="59">
        <v>352</v>
      </c>
      <c r="J16" s="67">
        <v>2835</v>
      </c>
      <c r="K16" s="76">
        <v>59</v>
      </c>
      <c r="L16" s="59">
        <v>190</v>
      </c>
      <c r="M16" s="59">
        <v>224</v>
      </c>
      <c r="N16" s="59">
        <v>417</v>
      </c>
      <c r="O16" s="67">
        <v>4500</v>
      </c>
      <c r="P16" s="76">
        <v>64</v>
      </c>
      <c r="Q16" s="59">
        <v>110</v>
      </c>
      <c r="R16" s="59">
        <v>153</v>
      </c>
      <c r="S16" s="59">
        <v>265</v>
      </c>
    </row>
    <row r="17" spans="1:19" x14ac:dyDescent="0.45">
      <c r="A17" s="76">
        <v>58</v>
      </c>
      <c r="B17" s="59">
        <v>418</v>
      </c>
      <c r="C17" s="59">
        <v>929</v>
      </c>
      <c r="D17" s="59">
        <v>1361</v>
      </c>
      <c r="E17" s="67">
        <v>12925</v>
      </c>
      <c r="F17" s="76">
        <v>64</v>
      </c>
      <c r="G17" s="59">
        <v>97</v>
      </c>
      <c r="H17" s="59">
        <v>249</v>
      </c>
      <c r="I17" s="59">
        <v>348</v>
      </c>
      <c r="J17" s="67">
        <v>3183</v>
      </c>
      <c r="K17" s="76">
        <v>58</v>
      </c>
      <c r="L17" s="59">
        <v>226</v>
      </c>
      <c r="M17" s="59">
        <v>277</v>
      </c>
      <c r="N17" s="59">
        <v>506</v>
      </c>
      <c r="O17" s="67">
        <v>5006</v>
      </c>
      <c r="P17" s="76">
        <v>63</v>
      </c>
      <c r="Q17" s="59">
        <v>104</v>
      </c>
      <c r="R17" s="59">
        <v>118</v>
      </c>
      <c r="S17" s="59">
        <v>223</v>
      </c>
    </row>
    <row r="18" spans="1:19" x14ac:dyDescent="0.45">
      <c r="A18" s="76">
        <v>57</v>
      </c>
      <c r="B18" s="59">
        <v>534</v>
      </c>
      <c r="C18" s="59">
        <v>1215</v>
      </c>
      <c r="D18" s="59">
        <v>1769</v>
      </c>
      <c r="E18" s="67">
        <v>14694</v>
      </c>
      <c r="F18" s="76">
        <v>63</v>
      </c>
      <c r="G18" s="59">
        <v>128</v>
      </c>
      <c r="H18" s="59">
        <v>331</v>
      </c>
      <c r="I18" s="59">
        <v>464</v>
      </c>
      <c r="J18" s="67">
        <v>3647</v>
      </c>
      <c r="K18" s="76">
        <v>57</v>
      </c>
      <c r="L18" s="59">
        <v>183</v>
      </c>
      <c r="M18" s="59">
        <v>274</v>
      </c>
      <c r="N18" s="59">
        <v>464</v>
      </c>
      <c r="O18" s="67">
        <v>5470</v>
      </c>
      <c r="P18" s="76">
        <v>62</v>
      </c>
      <c r="Q18" s="59">
        <v>123</v>
      </c>
      <c r="R18" s="59">
        <v>149</v>
      </c>
      <c r="S18" s="59">
        <v>276</v>
      </c>
    </row>
    <row r="19" spans="1:19" x14ac:dyDescent="0.45">
      <c r="A19" s="76">
        <v>56</v>
      </c>
      <c r="B19" s="59">
        <v>466</v>
      </c>
      <c r="C19" s="59">
        <v>1045</v>
      </c>
      <c r="D19" s="59">
        <v>1524</v>
      </c>
      <c r="E19" s="67">
        <v>16218</v>
      </c>
      <c r="F19" s="76">
        <v>62</v>
      </c>
      <c r="G19" s="59">
        <v>118</v>
      </c>
      <c r="H19" s="59">
        <v>303</v>
      </c>
      <c r="I19" s="59">
        <v>425</v>
      </c>
      <c r="J19" s="67">
        <v>4072</v>
      </c>
      <c r="K19" s="76">
        <v>56</v>
      </c>
      <c r="L19" s="59">
        <v>478</v>
      </c>
      <c r="M19" s="59">
        <v>557</v>
      </c>
      <c r="N19" s="59">
        <v>1049</v>
      </c>
      <c r="O19" s="67">
        <v>6519</v>
      </c>
      <c r="P19" s="76">
        <v>61</v>
      </c>
      <c r="Q19" s="59">
        <v>138</v>
      </c>
      <c r="R19" s="59">
        <v>168</v>
      </c>
      <c r="S19" s="59">
        <v>309</v>
      </c>
    </row>
    <row r="20" spans="1:19" x14ac:dyDescent="0.45">
      <c r="A20" s="76">
        <v>55</v>
      </c>
      <c r="B20" s="59">
        <v>504</v>
      </c>
      <c r="C20" s="59">
        <v>1094</v>
      </c>
      <c r="D20" s="59">
        <v>1614</v>
      </c>
      <c r="E20" s="67">
        <v>17832</v>
      </c>
      <c r="F20" s="76">
        <v>61</v>
      </c>
      <c r="G20" s="59">
        <v>138</v>
      </c>
      <c r="H20" s="59">
        <v>364</v>
      </c>
      <c r="I20" s="59">
        <v>504</v>
      </c>
      <c r="J20" s="67">
        <v>4576</v>
      </c>
      <c r="K20" s="76">
        <v>55</v>
      </c>
      <c r="L20" s="59">
        <v>206</v>
      </c>
      <c r="M20" s="59">
        <v>251</v>
      </c>
      <c r="N20" s="59">
        <v>461</v>
      </c>
      <c r="O20" s="67">
        <v>6980</v>
      </c>
      <c r="P20" s="76">
        <v>60</v>
      </c>
      <c r="Q20" s="59">
        <v>116</v>
      </c>
      <c r="R20" s="59">
        <v>137</v>
      </c>
      <c r="S20" s="59">
        <v>254</v>
      </c>
    </row>
    <row r="21" spans="1:19" x14ac:dyDescent="0.45">
      <c r="A21" s="76">
        <v>54</v>
      </c>
      <c r="B21" s="59">
        <v>483</v>
      </c>
      <c r="C21" s="59">
        <v>1239</v>
      </c>
      <c r="D21" s="59">
        <v>1733</v>
      </c>
      <c r="E21" s="67">
        <v>19565</v>
      </c>
      <c r="F21" s="76">
        <v>60</v>
      </c>
      <c r="G21" s="59">
        <v>145</v>
      </c>
      <c r="H21" s="59">
        <v>420</v>
      </c>
      <c r="I21" s="59">
        <v>567</v>
      </c>
      <c r="J21" s="67">
        <v>5143</v>
      </c>
      <c r="K21" s="76">
        <v>54</v>
      </c>
      <c r="L21" s="59">
        <v>255</v>
      </c>
      <c r="M21" s="59">
        <v>313</v>
      </c>
      <c r="N21" s="59">
        <v>574</v>
      </c>
      <c r="O21" s="67">
        <v>7554</v>
      </c>
      <c r="P21" s="76">
        <v>59</v>
      </c>
      <c r="Q21" s="59">
        <v>158</v>
      </c>
      <c r="R21" s="59">
        <v>202</v>
      </c>
      <c r="S21" s="59">
        <v>361</v>
      </c>
    </row>
    <row r="22" spans="1:19" x14ac:dyDescent="0.45">
      <c r="A22" s="76">
        <v>53</v>
      </c>
      <c r="B22" s="59">
        <v>992</v>
      </c>
      <c r="C22" s="59">
        <v>2365</v>
      </c>
      <c r="D22" s="59">
        <v>3396</v>
      </c>
      <c r="E22" s="67">
        <v>22961</v>
      </c>
      <c r="F22" s="76">
        <v>59</v>
      </c>
      <c r="G22" s="59">
        <v>172</v>
      </c>
      <c r="H22" s="59">
        <v>432</v>
      </c>
      <c r="I22" s="59">
        <v>610</v>
      </c>
      <c r="J22" s="67">
        <v>5753</v>
      </c>
      <c r="K22" s="76">
        <v>53</v>
      </c>
      <c r="L22" s="59">
        <v>201</v>
      </c>
      <c r="M22" s="59">
        <v>304</v>
      </c>
      <c r="N22" s="59">
        <v>511</v>
      </c>
      <c r="O22" s="67">
        <v>8065</v>
      </c>
      <c r="P22" s="76">
        <v>58</v>
      </c>
      <c r="Q22" s="59">
        <v>132</v>
      </c>
      <c r="R22" s="59">
        <v>175</v>
      </c>
      <c r="S22" s="59">
        <v>308</v>
      </c>
    </row>
    <row r="23" spans="1:19" x14ac:dyDescent="0.45">
      <c r="A23" s="76">
        <v>52</v>
      </c>
      <c r="B23" s="59">
        <v>457</v>
      </c>
      <c r="C23" s="59">
        <v>1046</v>
      </c>
      <c r="D23" s="59">
        <v>1516</v>
      </c>
      <c r="E23" s="67">
        <v>24477</v>
      </c>
      <c r="F23" s="76">
        <v>58</v>
      </c>
      <c r="G23" s="59">
        <v>191</v>
      </c>
      <c r="H23" s="59">
        <v>477</v>
      </c>
      <c r="I23" s="59">
        <v>674</v>
      </c>
      <c r="J23" s="67">
        <v>6427</v>
      </c>
      <c r="K23" s="76">
        <v>52</v>
      </c>
      <c r="L23" s="59">
        <v>243</v>
      </c>
      <c r="M23" s="59">
        <v>308</v>
      </c>
      <c r="N23" s="59">
        <v>556</v>
      </c>
      <c r="O23" s="67">
        <v>8621</v>
      </c>
      <c r="P23" s="76">
        <v>57</v>
      </c>
      <c r="Q23" s="59">
        <v>173</v>
      </c>
      <c r="R23" s="59">
        <v>190</v>
      </c>
      <c r="S23" s="59">
        <v>366</v>
      </c>
    </row>
    <row r="24" spans="1:19" x14ac:dyDescent="0.45">
      <c r="A24" s="76">
        <v>51</v>
      </c>
      <c r="B24" s="59">
        <v>508</v>
      </c>
      <c r="C24" s="59">
        <v>1066</v>
      </c>
      <c r="D24" s="59">
        <v>1589</v>
      </c>
      <c r="E24" s="67">
        <v>26066</v>
      </c>
      <c r="F24" s="76">
        <v>57</v>
      </c>
      <c r="G24" s="59">
        <v>173</v>
      </c>
      <c r="H24" s="59">
        <v>412</v>
      </c>
      <c r="I24" s="59">
        <v>595</v>
      </c>
      <c r="J24" s="67">
        <v>7022</v>
      </c>
      <c r="K24" s="76">
        <v>51</v>
      </c>
      <c r="L24" s="59">
        <v>451</v>
      </c>
      <c r="M24" s="59">
        <v>602</v>
      </c>
      <c r="N24" s="59">
        <v>1063</v>
      </c>
      <c r="O24" s="67">
        <v>9684</v>
      </c>
      <c r="P24" s="76">
        <v>56</v>
      </c>
      <c r="Q24" s="59">
        <v>334</v>
      </c>
      <c r="R24" s="59">
        <v>379</v>
      </c>
      <c r="S24" s="59">
        <v>718</v>
      </c>
    </row>
    <row r="25" spans="1:19" x14ac:dyDescent="0.45">
      <c r="A25" s="76">
        <v>50</v>
      </c>
      <c r="B25" s="59">
        <v>444</v>
      </c>
      <c r="C25" s="59">
        <v>947</v>
      </c>
      <c r="D25" s="59">
        <v>1411</v>
      </c>
      <c r="E25" s="67">
        <v>27477</v>
      </c>
      <c r="F25" s="76">
        <v>56</v>
      </c>
      <c r="G25" s="59">
        <v>409</v>
      </c>
      <c r="H25" s="59">
        <v>1015</v>
      </c>
      <c r="I25" s="59">
        <v>1438</v>
      </c>
      <c r="J25" s="67">
        <v>8460</v>
      </c>
      <c r="K25" s="76">
        <v>50</v>
      </c>
      <c r="L25" s="59">
        <v>247</v>
      </c>
      <c r="M25" s="59">
        <v>344</v>
      </c>
      <c r="N25" s="59">
        <v>595</v>
      </c>
      <c r="O25" s="67">
        <v>10279</v>
      </c>
      <c r="P25" s="76">
        <v>55</v>
      </c>
      <c r="Q25" s="59">
        <v>181</v>
      </c>
      <c r="R25" s="59">
        <v>216</v>
      </c>
      <c r="S25" s="59">
        <v>398</v>
      </c>
    </row>
    <row r="26" spans="1:19" x14ac:dyDescent="0.45">
      <c r="A26" s="76">
        <v>49</v>
      </c>
      <c r="B26" s="59">
        <v>428</v>
      </c>
      <c r="C26" s="59">
        <v>918</v>
      </c>
      <c r="D26" s="59">
        <v>1354</v>
      </c>
      <c r="E26" s="67">
        <v>28831</v>
      </c>
      <c r="F26" s="76">
        <v>55</v>
      </c>
      <c r="G26" s="59">
        <v>212</v>
      </c>
      <c r="H26" s="59">
        <v>450</v>
      </c>
      <c r="I26" s="59">
        <v>667</v>
      </c>
      <c r="J26" s="67">
        <v>9127</v>
      </c>
      <c r="K26" s="76">
        <v>49</v>
      </c>
      <c r="L26" s="59">
        <v>218</v>
      </c>
      <c r="M26" s="59">
        <v>300</v>
      </c>
      <c r="N26" s="59">
        <v>525</v>
      </c>
      <c r="O26" s="67">
        <v>10804</v>
      </c>
      <c r="P26" s="76">
        <v>54</v>
      </c>
      <c r="Q26" s="59">
        <v>184</v>
      </c>
      <c r="R26" s="59">
        <v>219</v>
      </c>
      <c r="S26" s="59">
        <v>406</v>
      </c>
    </row>
    <row r="27" spans="1:19" x14ac:dyDescent="0.45">
      <c r="A27" s="76">
        <v>48</v>
      </c>
      <c r="B27" s="59">
        <v>458</v>
      </c>
      <c r="C27" s="59">
        <v>958</v>
      </c>
      <c r="D27" s="59">
        <v>1430</v>
      </c>
      <c r="E27" s="67">
        <v>30261</v>
      </c>
      <c r="F27" s="76">
        <v>54</v>
      </c>
      <c r="G27" s="59">
        <v>226</v>
      </c>
      <c r="H27" s="59">
        <v>506</v>
      </c>
      <c r="I27" s="59">
        <v>740</v>
      </c>
      <c r="J27" s="67">
        <v>9867</v>
      </c>
      <c r="K27" s="76">
        <v>48</v>
      </c>
      <c r="L27" s="59">
        <v>195</v>
      </c>
      <c r="M27" s="59">
        <v>289</v>
      </c>
      <c r="N27" s="59">
        <v>492</v>
      </c>
      <c r="O27" s="67">
        <v>11296</v>
      </c>
      <c r="P27" s="76">
        <v>53</v>
      </c>
      <c r="Q27" s="59">
        <v>183</v>
      </c>
      <c r="R27" s="59">
        <v>238</v>
      </c>
      <c r="S27" s="59">
        <v>426</v>
      </c>
    </row>
    <row r="28" spans="1:19" x14ac:dyDescent="0.45">
      <c r="A28" s="76">
        <v>47</v>
      </c>
      <c r="B28" s="59">
        <v>389</v>
      </c>
      <c r="C28" s="59">
        <v>743</v>
      </c>
      <c r="D28" s="59">
        <v>1142</v>
      </c>
      <c r="E28" s="67">
        <v>31403</v>
      </c>
      <c r="F28" s="76">
        <v>53</v>
      </c>
      <c r="G28" s="59">
        <v>222</v>
      </c>
      <c r="H28" s="59">
        <v>528</v>
      </c>
      <c r="I28" s="59">
        <v>758</v>
      </c>
      <c r="J28" s="67">
        <v>10625</v>
      </c>
      <c r="K28" s="76">
        <v>47</v>
      </c>
      <c r="L28" s="59">
        <v>244</v>
      </c>
      <c r="M28" s="59">
        <v>326</v>
      </c>
      <c r="N28" s="59">
        <v>577</v>
      </c>
      <c r="O28" s="67">
        <v>11873</v>
      </c>
      <c r="P28" s="76">
        <v>52</v>
      </c>
      <c r="Q28" s="59">
        <v>198</v>
      </c>
      <c r="R28" s="59">
        <v>265</v>
      </c>
      <c r="S28" s="59">
        <v>467</v>
      </c>
    </row>
    <row r="29" spans="1:19" x14ac:dyDescent="0.45">
      <c r="A29" s="76">
        <v>46</v>
      </c>
      <c r="B29" s="59">
        <v>748</v>
      </c>
      <c r="C29" s="59">
        <v>1383</v>
      </c>
      <c r="D29" s="59">
        <v>2161</v>
      </c>
      <c r="E29" s="67">
        <v>33564</v>
      </c>
      <c r="F29" s="76">
        <v>52</v>
      </c>
      <c r="G29" s="59">
        <v>237</v>
      </c>
      <c r="H29" s="59">
        <v>534</v>
      </c>
      <c r="I29" s="59">
        <v>778</v>
      </c>
      <c r="J29" s="67">
        <v>11403</v>
      </c>
      <c r="K29" s="76">
        <v>46</v>
      </c>
      <c r="L29" s="59">
        <v>204</v>
      </c>
      <c r="M29" s="59">
        <v>263</v>
      </c>
      <c r="N29" s="59">
        <v>472</v>
      </c>
      <c r="O29" s="67">
        <v>12345</v>
      </c>
      <c r="P29" s="76">
        <v>51</v>
      </c>
      <c r="Q29" s="59">
        <v>194</v>
      </c>
      <c r="R29" s="59">
        <v>246</v>
      </c>
      <c r="S29" s="59">
        <v>444</v>
      </c>
    </row>
    <row r="30" spans="1:19" x14ac:dyDescent="0.45">
      <c r="A30" s="76">
        <v>45</v>
      </c>
      <c r="B30" s="59">
        <v>415</v>
      </c>
      <c r="C30" s="59">
        <v>639</v>
      </c>
      <c r="D30" s="59">
        <v>1065</v>
      </c>
      <c r="E30" s="67">
        <v>34629</v>
      </c>
      <c r="F30" s="76">
        <v>51</v>
      </c>
      <c r="G30" s="59">
        <v>241</v>
      </c>
      <c r="H30" s="59">
        <v>526</v>
      </c>
      <c r="I30" s="59">
        <v>775</v>
      </c>
      <c r="J30" s="67">
        <v>12178</v>
      </c>
      <c r="K30" s="76">
        <v>45</v>
      </c>
      <c r="L30" s="59">
        <v>440</v>
      </c>
      <c r="M30" s="59">
        <v>528</v>
      </c>
      <c r="N30" s="59">
        <v>976</v>
      </c>
      <c r="O30" s="67">
        <v>13321</v>
      </c>
      <c r="P30" s="76">
        <v>50</v>
      </c>
      <c r="Q30" s="59">
        <v>231</v>
      </c>
      <c r="R30" s="59">
        <v>274</v>
      </c>
      <c r="S30" s="59">
        <v>507</v>
      </c>
    </row>
    <row r="31" spans="1:19" x14ac:dyDescent="0.45">
      <c r="A31" s="76">
        <v>44</v>
      </c>
      <c r="B31" s="59">
        <v>381</v>
      </c>
      <c r="C31" s="59">
        <v>586</v>
      </c>
      <c r="D31" s="59">
        <v>978</v>
      </c>
      <c r="E31" s="67">
        <v>35607</v>
      </c>
      <c r="F31" s="76">
        <v>50</v>
      </c>
      <c r="G31" s="59">
        <v>244</v>
      </c>
      <c r="H31" s="59">
        <v>484</v>
      </c>
      <c r="I31" s="59">
        <v>737</v>
      </c>
      <c r="J31" s="67">
        <v>12915</v>
      </c>
      <c r="K31" s="76">
        <v>44</v>
      </c>
      <c r="L31" s="59">
        <v>248</v>
      </c>
      <c r="M31" s="59">
        <v>256</v>
      </c>
      <c r="N31" s="59">
        <v>513</v>
      </c>
      <c r="O31" s="67">
        <v>13834</v>
      </c>
      <c r="P31" s="76">
        <v>49</v>
      </c>
      <c r="Q31" s="59">
        <v>236</v>
      </c>
      <c r="R31" s="59">
        <v>267</v>
      </c>
      <c r="S31" s="59">
        <v>508</v>
      </c>
    </row>
    <row r="32" spans="1:19" x14ac:dyDescent="0.45">
      <c r="A32" s="76">
        <v>43</v>
      </c>
      <c r="B32" s="59">
        <v>373</v>
      </c>
      <c r="C32" s="59">
        <v>562</v>
      </c>
      <c r="D32" s="59">
        <v>948</v>
      </c>
      <c r="E32" s="67">
        <v>36555</v>
      </c>
      <c r="F32" s="76">
        <v>49</v>
      </c>
      <c r="G32" s="59">
        <v>316</v>
      </c>
      <c r="H32" s="59">
        <v>537</v>
      </c>
      <c r="I32" s="59">
        <v>862</v>
      </c>
      <c r="J32" s="67">
        <v>13777</v>
      </c>
      <c r="K32" s="76">
        <v>43</v>
      </c>
      <c r="L32" s="59">
        <v>213</v>
      </c>
      <c r="M32" s="59">
        <v>248</v>
      </c>
      <c r="N32" s="59">
        <v>468</v>
      </c>
      <c r="O32" s="67">
        <v>14302</v>
      </c>
      <c r="P32" s="76">
        <v>48</v>
      </c>
      <c r="Q32" s="59">
        <v>248</v>
      </c>
      <c r="R32" s="59">
        <v>284</v>
      </c>
      <c r="S32" s="59">
        <v>540</v>
      </c>
    </row>
    <row r="33" spans="1:19" x14ac:dyDescent="0.45">
      <c r="A33" s="76">
        <v>42</v>
      </c>
      <c r="B33" s="59">
        <v>384</v>
      </c>
      <c r="C33" s="59">
        <v>611</v>
      </c>
      <c r="D33" s="59">
        <v>1008</v>
      </c>
      <c r="E33" s="67">
        <v>37563</v>
      </c>
      <c r="F33" s="76">
        <v>48</v>
      </c>
      <c r="G33" s="59">
        <v>318</v>
      </c>
      <c r="H33" s="59">
        <v>486</v>
      </c>
      <c r="I33" s="59">
        <v>813</v>
      </c>
      <c r="J33" s="67">
        <v>14590</v>
      </c>
      <c r="K33" s="76">
        <v>42</v>
      </c>
      <c r="L33" s="59">
        <v>205</v>
      </c>
      <c r="M33" s="59">
        <v>201</v>
      </c>
      <c r="N33" s="59">
        <v>409</v>
      </c>
      <c r="O33" s="67">
        <v>14711</v>
      </c>
      <c r="P33" s="76">
        <v>47</v>
      </c>
      <c r="Q33" s="59">
        <v>524</v>
      </c>
      <c r="R33" s="59">
        <v>555</v>
      </c>
      <c r="S33" s="59">
        <v>1089</v>
      </c>
    </row>
    <row r="34" spans="1:19" x14ac:dyDescent="0.45">
      <c r="A34" s="76">
        <v>41</v>
      </c>
      <c r="B34" s="59">
        <v>381</v>
      </c>
      <c r="C34" s="59">
        <v>499</v>
      </c>
      <c r="D34" s="59">
        <v>892</v>
      </c>
      <c r="E34" s="67">
        <v>38455</v>
      </c>
      <c r="F34" s="76">
        <v>47</v>
      </c>
      <c r="G34" s="59">
        <v>296</v>
      </c>
      <c r="H34" s="59">
        <v>547</v>
      </c>
      <c r="I34" s="59">
        <v>849</v>
      </c>
      <c r="J34" s="67">
        <v>15439</v>
      </c>
      <c r="K34" s="76">
        <v>41</v>
      </c>
      <c r="L34" s="59">
        <v>251</v>
      </c>
      <c r="M34" s="59">
        <v>235</v>
      </c>
      <c r="N34" s="59">
        <v>494</v>
      </c>
      <c r="O34" s="67">
        <v>15205</v>
      </c>
      <c r="P34" s="76">
        <v>46</v>
      </c>
      <c r="Q34" s="59">
        <v>288</v>
      </c>
      <c r="R34" s="59">
        <v>267</v>
      </c>
      <c r="S34" s="59">
        <v>560</v>
      </c>
    </row>
    <row r="35" spans="1:19" x14ac:dyDescent="0.45">
      <c r="A35" s="76">
        <v>40</v>
      </c>
      <c r="B35" s="59">
        <v>1791</v>
      </c>
      <c r="C35" s="59">
        <v>1352</v>
      </c>
      <c r="D35" s="59">
        <v>3204</v>
      </c>
      <c r="E35" s="67">
        <v>41659</v>
      </c>
      <c r="F35" s="76">
        <v>46</v>
      </c>
      <c r="G35" s="59">
        <v>320</v>
      </c>
      <c r="H35" s="59">
        <v>545</v>
      </c>
      <c r="I35" s="59">
        <v>871</v>
      </c>
      <c r="J35" s="67">
        <v>16310</v>
      </c>
      <c r="K35" s="76">
        <v>40</v>
      </c>
      <c r="L35" s="59">
        <v>670</v>
      </c>
      <c r="M35" s="59">
        <v>527</v>
      </c>
      <c r="N35" s="59">
        <v>1216</v>
      </c>
      <c r="O35" s="67">
        <v>16421</v>
      </c>
      <c r="P35" s="76">
        <v>45</v>
      </c>
      <c r="Q35" s="59">
        <v>271</v>
      </c>
      <c r="R35" s="59">
        <v>237</v>
      </c>
      <c r="S35" s="59">
        <v>509</v>
      </c>
    </row>
    <row r="36" spans="1:19" x14ac:dyDescent="0.45">
      <c r="A36" s="76">
        <v>39</v>
      </c>
      <c r="B36" s="59">
        <v>350</v>
      </c>
      <c r="C36" s="59">
        <v>427</v>
      </c>
      <c r="D36" s="59">
        <v>784</v>
      </c>
      <c r="E36" s="67">
        <v>42443</v>
      </c>
      <c r="F36" s="76">
        <v>45</v>
      </c>
      <c r="G36" s="59">
        <v>678</v>
      </c>
      <c r="H36" s="59">
        <v>993</v>
      </c>
      <c r="I36" s="59">
        <v>1686</v>
      </c>
      <c r="J36" s="67">
        <v>17996</v>
      </c>
      <c r="K36" s="76">
        <v>39</v>
      </c>
      <c r="L36" s="59">
        <v>343</v>
      </c>
      <c r="M36" s="59">
        <v>249</v>
      </c>
      <c r="N36" s="59">
        <v>598</v>
      </c>
      <c r="O36" s="67">
        <v>17019</v>
      </c>
      <c r="P36" s="76">
        <v>44</v>
      </c>
      <c r="Q36" s="59">
        <v>311</v>
      </c>
      <c r="R36" s="59">
        <v>256</v>
      </c>
      <c r="S36" s="59">
        <v>573</v>
      </c>
    </row>
    <row r="37" spans="1:19" x14ac:dyDescent="0.45">
      <c r="A37" s="76">
        <v>38</v>
      </c>
      <c r="B37" s="59">
        <v>766</v>
      </c>
      <c r="C37" s="59">
        <v>833</v>
      </c>
      <c r="D37" s="59">
        <v>1620</v>
      </c>
      <c r="E37" s="67">
        <v>44063</v>
      </c>
      <c r="F37" s="76">
        <v>44</v>
      </c>
      <c r="G37" s="59">
        <v>752</v>
      </c>
      <c r="H37" s="59">
        <v>809</v>
      </c>
      <c r="I37" s="59">
        <v>1581</v>
      </c>
      <c r="J37" s="67">
        <v>19577</v>
      </c>
      <c r="K37" s="76">
        <v>38</v>
      </c>
      <c r="L37" s="59">
        <v>180</v>
      </c>
      <c r="M37" s="59">
        <v>163</v>
      </c>
      <c r="N37" s="59">
        <v>345</v>
      </c>
      <c r="O37" s="67">
        <v>17364</v>
      </c>
      <c r="P37" s="76">
        <v>43</v>
      </c>
      <c r="Q37" s="59">
        <v>270</v>
      </c>
      <c r="R37" s="59">
        <v>288</v>
      </c>
      <c r="S37" s="59">
        <v>564</v>
      </c>
    </row>
    <row r="38" spans="1:19" x14ac:dyDescent="0.45">
      <c r="A38" s="76">
        <v>37</v>
      </c>
      <c r="B38" s="59">
        <v>338</v>
      </c>
      <c r="C38" s="59">
        <v>371</v>
      </c>
      <c r="D38" s="59">
        <v>717</v>
      </c>
      <c r="E38" s="67">
        <v>44780</v>
      </c>
      <c r="F38" s="76">
        <v>43</v>
      </c>
      <c r="G38" s="59">
        <v>380</v>
      </c>
      <c r="H38" s="59">
        <v>464</v>
      </c>
      <c r="I38" s="59">
        <v>850</v>
      </c>
      <c r="J38" s="67">
        <v>20427</v>
      </c>
      <c r="K38" s="76">
        <v>37</v>
      </c>
      <c r="L38" s="59">
        <v>805</v>
      </c>
      <c r="M38" s="59">
        <v>360</v>
      </c>
      <c r="N38" s="59">
        <v>1188</v>
      </c>
      <c r="O38" s="67">
        <v>18552</v>
      </c>
      <c r="P38" s="76">
        <v>42</v>
      </c>
      <c r="Q38" s="59">
        <v>361</v>
      </c>
      <c r="R38" s="59">
        <v>263</v>
      </c>
      <c r="S38" s="59">
        <v>630</v>
      </c>
    </row>
    <row r="39" spans="1:19" x14ac:dyDescent="0.45">
      <c r="A39" s="76">
        <v>36</v>
      </c>
      <c r="B39" s="59">
        <v>349</v>
      </c>
      <c r="C39" s="59">
        <v>368</v>
      </c>
      <c r="D39" s="59">
        <v>733</v>
      </c>
      <c r="E39" s="67">
        <v>45513</v>
      </c>
      <c r="F39" s="76">
        <v>42</v>
      </c>
      <c r="G39" s="59">
        <v>403</v>
      </c>
      <c r="H39" s="59">
        <v>480</v>
      </c>
      <c r="I39" s="59">
        <v>895</v>
      </c>
      <c r="J39" s="67">
        <v>21322</v>
      </c>
      <c r="K39" s="76">
        <v>36</v>
      </c>
      <c r="L39" s="59">
        <v>128</v>
      </c>
      <c r="M39" s="59">
        <v>103</v>
      </c>
      <c r="N39" s="59">
        <v>233</v>
      </c>
      <c r="O39" s="67">
        <v>18785</v>
      </c>
      <c r="P39" s="76">
        <v>41</v>
      </c>
      <c r="Q39" s="59">
        <v>248</v>
      </c>
      <c r="R39" s="59">
        <v>265</v>
      </c>
      <c r="S39" s="59">
        <v>527</v>
      </c>
    </row>
    <row r="40" spans="1:19" x14ac:dyDescent="0.45">
      <c r="A40" s="76">
        <v>35</v>
      </c>
      <c r="B40" s="59">
        <v>1290</v>
      </c>
      <c r="C40" s="59">
        <v>1060</v>
      </c>
      <c r="D40" s="59">
        <v>2398</v>
      </c>
      <c r="E40" s="67">
        <v>47911</v>
      </c>
      <c r="F40" s="76">
        <v>41</v>
      </c>
      <c r="G40" s="59">
        <v>439</v>
      </c>
      <c r="H40" s="59">
        <v>468</v>
      </c>
      <c r="I40" s="59">
        <v>923</v>
      </c>
      <c r="J40" s="67">
        <v>22245</v>
      </c>
      <c r="K40" s="76">
        <v>35</v>
      </c>
      <c r="L40" s="59">
        <v>168</v>
      </c>
      <c r="M40" s="59">
        <v>116</v>
      </c>
      <c r="N40" s="59">
        <v>288</v>
      </c>
      <c r="O40" s="67">
        <v>19073</v>
      </c>
      <c r="P40" s="76">
        <v>40</v>
      </c>
      <c r="Q40" s="59">
        <v>650</v>
      </c>
      <c r="R40" s="59">
        <v>351</v>
      </c>
      <c r="S40" s="59">
        <v>1017</v>
      </c>
    </row>
    <row r="41" spans="1:19" x14ac:dyDescent="0.45">
      <c r="A41" s="76">
        <v>34</v>
      </c>
      <c r="B41" s="59">
        <v>437</v>
      </c>
      <c r="C41" s="59">
        <v>379</v>
      </c>
      <c r="D41" s="59">
        <v>825</v>
      </c>
      <c r="E41" s="67">
        <v>48736</v>
      </c>
      <c r="F41" s="76">
        <v>40</v>
      </c>
      <c r="G41" s="59">
        <v>435</v>
      </c>
      <c r="H41" s="59">
        <v>461</v>
      </c>
      <c r="I41" s="59">
        <v>903</v>
      </c>
      <c r="J41" s="67">
        <v>23148</v>
      </c>
      <c r="K41" s="76">
        <v>34</v>
      </c>
      <c r="L41" s="59">
        <v>281</v>
      </c>
      <c r="M41" s="59">
        <v>176</v>
      </c>
      <c r="N41" s="59">
        <v>463</v>
      </c>
      <c r="O41" s="67">
        <v>19536</v>
      </c>
      <c r="P41" s="76">
        <v>39</v>
      </c>
      <c r="Q41" s="59">
        <v>268</v>
      </c>
      <c r="R41" s="59">
        <v>218</v>
      </c>
      <c r="S41" s="59">
        <v>496</v>
      </c>
    </row>
    <row r="42" spans="1:19" x14ac:dyDescent="0.45">
      <c r="A42" s="76">
        <v>33</v>
      </c>
      <c r="B42" s="59">
        <v>295</v>
      </c>
      <c r="C42" s="59">
        <v>289</v>
      </c>
      <c r="D42" s="59">
        <v>597</v>
      </c>
      <c r="E42" s="67">
        <v>49333</v>
      </c>
      <c r="F42" s="76">
        <v>39</v>
      </c>
      <c r="G42" s="59">
        <v>278</v>
      </c>
      <c r="H42" s="59">
        <v>339</v>
      </c>
      <c r="I42" s="59">
        <v>627</v>
      </c>
      <c r="J42" s="67">
        <v>23775</v>
      </c>
      <c r="K42" s="76">
        <v>33</v>
      </c>
      <c r="L42" s="59">
        <v>105</v>
      </c>
      <c r="M42" s="59">
        <v>61</v>
      </c>
      <c r="N42" s="59">
        <v>168</v>
      </c>
      <c r="O42" s="67">
        <v>19704</v>
      </c>
      <c r="P42" s="76">
        <v>38</v>
      </c>
      <c r="Q42" s="59">
        <v>302</v>
      </c>
      <c r="R42" s="59">
        <v>199</v>
      </c>
      <c r="S42" s="59">
        <v>508</v>
      </c>
    </row>
    <row r="43" spans="1:19" x14ac:dyDescent="0.45">
      <c r="A43" s="76">
        <v>32</v>
      </c>
      <c r="B43" s="59">
        <v>203</v>
      </c>
      <c r="C43" s="59">
        <v>167</v>
      </c>
      <c r="D43" s="59">
        <v>381</v>
      </c>
      <c r="E43" s="67">
        <v>49714</v>
      </c>
      <c r="F43" s="76">
        <v>38</v>
      </c>
      <c r="G43" s="59">
        <v>1312</v>
      </c>
      <c r="H43" s="59">
        <v>852</v>
      </c>
      <c r="I43" s="59">
        <v>2216</v>
      </c>
      <c r="J43" s="67">
        <v>25991</v>
      </c>
      <c r="K43" s="76">
        <v>32</v>
      </c>
      <c r="L43" s="59">
        <v>46</v>
      </c>
      <c r="M43" s="59">
        <v>32</v>
      </c>
      <c r="N43" s="59">
        <v>82</v>
      </c>
      <c r="O43" s="67">
        <v>19786</v>
      </c>
      <c r="P43" s="76">
        <v>37</v>
      </c>
      <c r="Q43" s="59">
        <v>514</v>
      </c>
      <c r="R43" s="59">
        <v>378</v>
      </c>
      <c r="S43" s="59">
        <v>902</v>
      </c>
    </row>
    <row r="44" spans="1:19" x14ac:dyDescent="0.45">
      <c r="A44" s="76">
        <v>31</v>
      </c>
      <c r="B44" s="59">
        <v>302</v>
      </c>
      <c r="C44" s="59">
        <v>261</v>
      </c>
      <c r="D44" s="59">
        <v>572</v>
      </c>
      <c r="E44" s="67">
        <v>50286</v>
      </c>
      <c r="F44" s="76">
        <v>37</v>
      </c>
      <c r="G44" s="59">
        <v>345</v>
      </c>
      <c r="H44" s="59">
        <v>274</v>
      </c>
      <c r="I44" s="59">
        <v>629</v>
      </c>
      <c r="J44" s="67">
        <v>26620</v>
      </c>
      <c r="K44" s="76">
        <v>31</v>
      </c>
      <c r="L44" s="59">
        <v>30</v>
      </c>
      <c r="M44" s="59">
        <v>22</v>
      </c>
      <c r="N44" s="59">
        <v>52</v>
      </c>
      <c r="O44" s="67">
        <v>19838</v>
      </c>
      <c r="P44" s="76">
        <v>36</v>
      </c>
      <c r="Q44" s="59">
        <v>90</v>
      </c>
      <c r="R44" s="59">
        <v>58</v>
      </c>
      <c r="S44" s="59">
        <v>151</v>
      </c>
    </row>
    <row r="45" spans="1:19" x14ac:dyDescent="0.45">
      <c r="A45" s="76">
        <v>30</v>
      </c>
      <c r="B45" s="59">
        <v>63</v>
      </c>
      <c r="C45" s="59">
        <v>47</v>
      </c>
      <c r="D45" s="59">
        <v>111</v>
      </c>
      <c r="E45" s="67">
        <v>50397</v>
      </c>
      <c r="F45" s="76">
        <v>36</v>
      </c>
      <c r="G45" s="59">
        <v>220</v>
      </c>
      <c r="H45" s="59">
        <v>174</v>
      </c>
      <c r="I45" s="59">
        <v>402</v>
      </c>
      <c r="J45" s="67">
        <v>27022</v>
      </c>
      <c r="K45" s="76">
        <v>30</v>
      </c>
      <c r="L45" s="59">
        <v>42</v>
      </c>
      <c r="M45" s="59">
        <v>22</v>
      </c>
      <c r="N45" s="59">
        <v>68</v>
      </c>
      <c r="O45" s="67">
        <v>19906</v>
      </c>
      <c r="P45" s="76">
        <v>35</v>
      </c>
      <c r="Q45" s="59">
        <v>91</v>
      </c>
      <c r="R45" s="59">
        <v>70</v>
      </c>
      <c r="S45" s="59">
        <v>164</v>
      </c>
    </row>
    <row r="46" spans="1:19" x14ac:dyDescent="0.45">
      <c r="A46" s="76">
        <v>29</v>
      </c>
      <c r="B46" s="59">
        <v>103</v>
      </c>
      <c r="C46" s="59">
        <v>77</v>
      </c>
      <c r="D46" s="59">
        <v>183</v>
      </c>
      <c r="E46" s="67">
        <v>50580</v>
      </c>
      <c r="F46" s="76">
        <v>35</v>
      </c>
      <c r="G46" s="59">
        <v>131</v>
      </c>
      <c r="H46" s="59">
        <v>123</v>
      </c>
      <c r="I46" s="59">
        <v>259</v>
      </c>
      <c r="J46" s="67">
        <v>27281</v>
      </c>
      <c r="K46" s="76">
        <v>29</v>
      </c>
      <c r="L46" s="59">
        <v>10</v>
      </c>
      <c r="M46" s="59">
        <v>7</v>
      </c>
      <c r="N46" s="59">
        <v>17</v>
      </c>
      <c r="O46" s="67">
        <v>19923</v>
      </c>
      <c r="P46" s="80">
        <v>34</v>
      </c>
      <c r="Q46" s="59">
        <v>61</v>
      </c>
      <c r="R46" s="59">
        <v>59</v>
      </c>
      <c r="S46" s="59">
        <v>121</v>
      </c>
    </row>
    <row r="47" spans="1:19" x14ac:dyDescent="0.45">
      <c r="A47" s="76">
        <v>27</v>
      </c>
      <c r="B47" s="59">
        <v>33</v>
      </c>
      <c r="C47" s="59">
        <v>20</v>
      </c>
      <c r="D47" s="59">
        <v>53</v>
      </c>
      <c r="E47" s="77">
        <v>50633</v>
      </c>
      <c r="F47" s="76">
        <v>34</v>
      </c>
      <c r="G47" s="59">
        <v>97</v>
      </c>
      <c r="H47" s="59">
        <v>90</v>
      </c>
      <c r="I47" s="59">
        <v>191</v>
      </c>
      <c r="J47" s="67">
        <v>27472</v>
      </c>
      <c r="K47" s="76"/>
      <c r="L47" s="59"/>
      <c r="M47" s="59"/>
      <c r="N47" s="59"/>
      <c r="O47" s="67"/>
      <c r="P47" s="80">
        <v>33</v>
      </c>
      <c r="Q47" s="59">
        <v>17</v>
      </c>
      <c r="R47" s="59">
        <v>17</v>
      </c>
      <c r="S47" s="59">
        <v>34</v>
      </c>
    </row>
    <row r="48" spans="1:19" x14ac:dyDescent="0.45">
      <c r="A48" s="81"/>
      <c r="B48" s="65"/>
      <c r="C48" s="65"/>
      <c r="D48" s="65"/>
      <c r="E48" s="78"/>
      <c r="F48" s="76">
        <v>33</v>
      </c>
      <c r="G48" s="59">
        <v>94</v>
      </c>
      <c r="H48" s="59">
        <v>81</v>
      </c>
      <c r="I48" s="59">
        <v>177</v>
      </c>
      <c r="J48" s="67">
        <v>27649</v>
      </c>
      <c r="K48" s="76"/>
      <c r="L48" s="59"/>
      <c r="M48" s="59"/>
      <c r="N48" s="59"/>
      <c r="O48" s="67"/>
      <c r="P48" s="80">
        <v>32</v>
      </c>
      <c r="Q48" s="59">
        <v>36</v>
      </c>
      <c r="R48" s="59">
        <v>34</v>
      </c>
      <c r="S48" s="59">
        <v>70</v>
      </c>
    </row>
    <row r="49" spans="1:19" x14ac:dyDescent="0.45">
      <c r="A49" s="81"/>
      <c r="B49" s="65"/>
      <c r="C49" s="65"/>
      <c r="D49" s="65"/>
      <c r="E49" s="78"/>
      <c r="F49" s="76">
        <v>31</v>
      </c>
      <c r="G49" s="59">
        <v>70</v>
      </c>
      <c r="H49" s="59">
        <v>22</v>
      </c>
      <c r="I49" s="59">
        <v>94</v>
      </c>
      <c r="J49" s="67">
        <v>27743</v>
      </c>
      <c r="K49" s="76"/>
      <c r="L49" s="59"/>
      <c r="M49" s="59"/>
      <c r="N49" s="59"/>
      <c r="O49" s="67"/>
      <c r="P49" s="80">
        <v>30</v>
      </c>
      <c r="Q49" s="59">
        <v>11</v>
      </c>
      <c r="R49" s="59">
        <v>8</v>
      </c>
      <c r="S49" s="59">
        <v>19</v>
      </c>
    </row>
    <row r="50" spans="1:19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19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19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19" ht="17.5" thickBot="1" x14ac:dyDescent="0.5"/>
    <row r="62" spans="1:19" x14ac:dyDescent="0.45">
      <c r="A62" s="47" t="s">
        <v>14</v>
      </c>
      <c r="B62" s="48"/>
      <c r="C62" s="48"/>
      <c r="D62" s="49"/>
      <c r="F62" s="47" t="s">
        <v>15</v>
      </c>
      <c r="G62" s="48"/>
      <c r="H62" s="48"/>
      <c r="I62" s="49"/>
      <c r="K62" s="47" t="s">
        <v>16</v>
      </c>
      <c r="L62" s="48"/>
      <c r="M62" s="48"/>
      <c r="N62" s="49"/>
      <c r="P62" s="47" t="s">
        <v>59</v>
      </c>
      <c r="Q62" s="48"/>
      <c r="R62" s="48"/>
      <c r="S62" s="49"/>
    </row>
    <row r="63" spans="1:19" ht="17.5" thickBot="1" x14ac:dyDescent="0.5">
      <c r="A63" s="6" t="s">
        <v>7</v>
      </c>
      <c r="B63" s="1"/>
      <c r="C63" s="1"/>
      <c r="D63" s="7" t="s">
        <v>8</v>
      </c>
      <c r="F63" s="6" t="s">
        <v>7</v>
      </c>
      <c r="G63" s="1"/>
      <c r="H63" s="1"/>
      <c r="I63" s="7" t="s">
        <v>8</v>
      </c>
      <c r="K63" s="6" t="s">
        <v>7</v>
      </c>
      <c r="L63" s="1"/>
      <c r="M63" s="1"/>
      <c r="N63" s="7" t="s">
        <v>8</v>
      </c>
      <c r="P63" s="6" t="s">
        <v>7</v>
      </c>
      <c r="Q63" s="1"/>
      <c r="R63" s="1"/>
      <c r="S63" s="7" t="s">
        <v>8</v>
      </c>
    </row>
    <row r="64" spans="1:19" ht="17.5" thickTop="1" x14ac:dyDescent="0.45">
      <c r="A64" s="70">
        <v>74</v>
      </c>
      <c r="B64" s="62">
        <v>70</v>
      </c>
      <c r="C64" s="62">
        <v>26</v>
      </c>
      <c r="D64" s="62">
        <v>97</v>
      </c>
      <c r="E64" s="74">
        <v>97</v>
      </c>
      <c r="F64" s="70">
        <v>77</v>
      </c>
      <c r="G64" s="62">
        <v>101</v>
      </c>
      <c r="H64" s="62">
        <v>44</v>
      </c>
      <c r="I64" s="62">
        <v>146</v>
      </c>
      <c r="J64" s="74">
        <v>146</v>
      </c>
      <c r="K64" s="70">
        <v>76</v>
      </c>
      <c r="L64" s="62">
        <v>79</v>
      </c>
      <c r="M64" s="62">
        <v>23</v>
      </c>
      <c r="N64" s="62">
        <v>102</v>
      </c>
      <c r="O64" s="74">
        <v>102</v>
      </c>
      <c r="P64" s="70">
        <v>75</v>
      </c>
      <c r="Q64" s="62">
        <v>133</v>
      </c>
      <c r="R64" s="62">
        <v>118</v>
      </c>
      <c r="S64" s="62">
        <v>254</v>
      </c>
    </row>
    <row r="65" spans="1:19" x14ac:dyDescent="0.45">
      <c r="A65" s="66">
        <v>72</v>
      </c>
      <c r="B65" s="59">
        <v>81</v>
      </c>
      <c r="C65" s="59">
        <v>42</v>
      </c>
      <c r="D65" s="59">
        <v>125</v>
      </c>
      <c r="E65" s="67">
        <v>222</v>
      </c>
      <c r="F65" s="66">
        <v>75</v>
      </c>
      <c r="G65" s="59">
        <v>74</v>
      </c>
      <c r="H65" s="59">
        <v>32</v>
      </c>
      <c r="I65" s="59">
        <v>106</v>
      </c>
      <c r="J65" s="67">
        <v>252</v>
      </c>
      <c r="K65" s="66">
        <v>74</v>
      </c>
      <c r="L65" s="59">
        <v>105</v>
      </c>
      <c r="M65" s="59">
        <v>56</v>
      </c>
      <c r="N65" s="59">
        <v>166</v>
      </c>
      <c r="O65" s="67">
        <v>268</v>
      </c>
      <c r="P65" s="66">
        <v>74</v>
      </c>
      <c r="Q65" s="59">
        <v>66</v>
      </c>
      <c r="R65" s="59">
        <v>68</v>
      </c>
      <c r="S65" s="59">
        <v>136</v>
      </c>
    </row>
    <row r="66" spans="1:19" x14ac:dyDescent="0.45">
      <c r="A66" s="66">
        <v>71</v>
      </c>
      <c r="B66" s="59">
        <v>77</v>
      </c>
      <c r="C66" s="59">
        <v>53</v>
      </c>
      <c r="D66" s="59">
        <v>132</v>
      </c>
      <c r="E66" s="67">
        <v>354</v>
      </c>
      <c r="F66" s="66">
        <v>74</v>
      </c>
      <c r="G66" s="59">
        <v>75</v>
      </c>
      <c r="H66" s="59">
        <v>19</v>
      </c>
      <c r="I66" s="59">
        <v>95</v>
      </c>
      <c r="J66" s="67">
        <v>347</v>
      </c>
      <c r="K66" s="66">
        <v>73</v>
      </c>
      <c r="L66" s="59">
        <v>3</v>
      </c>
      <c r="M66" s="59">
        <v>5</v>
      </c>
      <c r="N66" s="59">
        <v>8</v>
      </c>
      <c r="O66" s="67">
        <v>276</v>
      </c>
      <c r="P66" s="66">
        <v>73</v>
      </c>
      <c r="Q66" s="59">
        <v>138</v>
      </c>
      <c r="R66" s="59">
        <v>167</v>
      </c>
      <c r="S66" s="59">
        <v>305</v>
      </c>
    </row>
    <row r="67" spans="1:19" x14ac:dyDescent="0.45">
      <c r="A67" s="66">
        <v>70</v>
      </c>
      <c r="B67" s="59">
        <v>37</v>
      </c>
      <c r="C67" s="59">
        <v>27</v>
      </c>
      <c r="D67" s="59">
        <v>64</v>
      </c>
      <c r="E67" s="67">
        <v>418</v>
      </c>
      <c r="F67" s="66">
        <v>73</v>
      </c>
      <c r="G67" s="59">
        <v>23</v>
      </c>
      <c r="H67" s="59">
        <v>17</v>
      </c>
      <c r="I67" s="59">
        <v>40</v>
      </c>
      <c r="J67" s="67">
        <v>387</v>
      </c>
      <c r="K67" s="66">
        <v>72</v>
      </c>
      <c r="L67" s="59">
        <v>63</v>
      </c>
      <c r="M67" s="59">
        <v>28</v>
      </c>
      <c r="N67" s="59">
        <v>92</v>
      </c>
      <c r="O67" s="67">
        <v>368</v>
      </c>
      <c r="P67" s="66">
        <v>72</v>
      </c>
      <c r="Q67" s="59">
        <v>17</v>
      </c>
      <c r="R67" s="59">
        <v>20</v>
      </c>
      <c r="S67" s="59">
        <v>37</v>
      </c>
    </row>
    <row r="68" spans="1:19" x14ac:dyDescent="0.45">
      <c r="A68" s="66">
        <v>69</v>
      </c>
      <c r="B68" s="59">
        <v>49</v>
      </c>
      <c r="C68" s="59">
        <v>31</v>
      </c>
      <c r="D68" s="59">
        <v>80</v>
      </c>
      <c r="E68" s="67">
        <v>498</v>
      </c>
      <c r="F68" s="66">
        <v>72</v>
      </c>
      <c r="G68" s="59">
        <v>72</v>
      </c>
      <c r="H68" s="59">
        <v>46</v>
      </c>
      <c r="I68" s="59">
        <v>118</v>
      </c>
      <c r="J68" s="67">
        <v>505</v>
      </c>
      <c r="K68" s="66">
        <v>71</v>
      </c>
      <c r="L68" s="59">
        <v>75</v>
      </c>
      <c r="M68" s="59">
        <v>27</v>
      </c>
      <c r="N68" s="59">
        <v>104</v>
      </c>
      <c r="O68" s="67">
        <v>472</v>
      </c>
      <c r="P68" s="66">
        <v>71</v>
      </c>
      <c r="Q68" s="59">
        <v>98</v>
      </c>
      <c r="R68" s="59">
        <v>103</v>
      </c>
      <c r="S68" s="59">
        <v>202</v>
      </c>
    </row>
    <row r="69" spans="1:19" x14ac:dyDescent="0.45">
      <c r="A69" s="66">
        <v>68</v>
      </c>
      <c r="B69" s="59">
        <v>49</v>
      </c>
      <c r="C69" s="59">
        <v>48</v>
      </c>
      <c r="D69" s="59">
        <v>97</v>
      </c>
      <c r="E69" s="67">
        <v>595</v>
      </c>
      <c r="F69" s="66">
        <v>71</v>
      </c>
      <c r="G69" s="59">
        <v>42</v>
      </c>
      <c r="H69" s="59">
        <v>29</v>
      </c>
      <c r="I69" s="59">
        <v>72</v>
      </c>
      <c r="J69" s="67">
        <v>577</v>
      </c>
      <c r="K69" s="66">
        <v>70</v>
      </c>
      <c r="L69" s="59">
        <v>23</v>
      </c>
      <c r="M69" s="59">
        <v>19</v>
      </c>
      <c r="N69" s="59">
        <v>42</v>
      </c>
      <c r="O69" s="67">
        <v>514</v>
      </c>
      <c r="P69" s="66">
        <v>70</v>
      </c>
      <c r="Q69" s="59">
        <v>115</v>
      </c>
      <c r="R69" s="59">
        <v>146</v>
      </c>
      <c r="S69" s="59">
        <v>263</v>
      </c>
    </row>
    <row r="70" spans="1:19" x14ac:dyDescent="0.45">
      <c r="A70" s="66">
        <v>67</v>
      </c>
      <c r="B70" s="59">
        <v>117</v>
      </c>
      <c r="C70" s="59">
        <v>60</v>
      </c>
      <c r="D70" s="59">
        <v>180</v>
      </c>
      <c r="E70" s="67">
        <v>775</v>
      </c>
      <c r="F70" s="66">
        <v>70</v>
      </c>
      <c r="G70" s="59">
        <v>125</v>
      </c>
      <c r="H70" s="59">
        <v>88</v>
      </c>
      <c r="I70" s="59">
        <v>214</v>
      </c>
      <c r="J70" s="67">
        <v>791</v>
      </c>
      <c r="K70" s="66">
        <v>69</v>
      </c>
      <c r="L70" s="59">
        <v>75</v>
      </c>
      <c r="M70" s="59">
        <v>31</v>
      </c>
      <c r="N70" s="59">
        <v>106</v>
      </c>
      <c r="O70" s="67">
        <v>620</v>
      </c>
      <c r="P70" s="66">
        <v>69</v>
      </c>
      <c r="Q70" s="59">
        <v>48</v>
      </c>
      <c r="R70" s="59">
        <v>73</v>
      </c>
      <c r="S70" s="59">
        <v>121</v>
      </c>
    </row>
    <row r="71" spans="1:19" x14ac:dyDescent="0.45">
      <c r="A71" s="66">
        <v>66</v>
      </c>
      <c r="B71" s="59">
        <v>47</v>
      </c>
      <c r="C71" s="59">
        <v>51</v>
      </c>
      <c r="D71" s="59">
        <v>98</v>
      </c>
      <c r="E71" s="67">
        <v>873</v>
      </c>
      <c r="F71" s="66">
        <v>69</v>
      </c>
      <c r="G71" s="59">
        <v>57</v>
      </c>
      <c r="H71" s="59">
        <v>34</v>
      </c>
      <c r="I71" s="59">
        <v>91</v>
      </c>
      <c r="J71" s="67">
        <v>882</v>
      </c>
      <c r="K71" s="66">
        <v>68</v>
      </c>
      <c r="L71" s="59">
        <v>58</v>
      </c>
      <c r="M71" s="59">
        <v>33</v>
      </c>
      <c r="N71" s="59">
        <v>91</v>
      </c>
      <c r="O71" s="67">
        <v>711</v>
      </c>
      <c r="P71" s="66">
        <v>68</v>
      </c>
      <c r="Q71" s="59">
        <v>122</v>
      </c>
      <c r="R71" s="59">
        <v>184</v>
      </c>
      <c r="S71" s="59">
        <v>307</v>
      </c>
    </row>
    <row r="72" spans="1:19" x14ac:dyDescent="0.45">
      <c r="A72" s="66">
        <v>65</v>
      </c>
      <c r="B72" s="59">
        <v>51</v>
      </c>
      <c r="C72" s="59">
        <v>49</v>
      </c>
      <c r="D72" s="59">
        <v>100</v>
      </c>
      <c r="E72" s="67">
        <v>973</v>
      </c>
      <c r="F72" s="66">
        <v>68</v>
      </c>
      <c r="G72" s="59">
        <v>78</v>
      </c>
      <c r="H72" s="59">
        <v>36</v>
      </c>
      <c r="I72" s="59">
        <v>114</v>
      </c>
      <c r="J72" s="67">
        <v>996</v>
      </c>
      <c r="K72" s="66">
        <v>67</v>
      </c>
      <c r="L72" s="59">
        <v>62</v>
      </c>
      <c r="M72" s="59">
        <v>22</v>
      </c>
      <c r="N72" s="59">
        <v>85</v>
      </c>
      <c r="O72" s="67">
        <v>796</v>
      </c>
      <c r="P72" s="66">
        <v>67</v>
      </c>
      <c r="Q72" s="59">
        <v>194</v>
      </c>
      <c r="R72" s="59">
        <v>298</v>
      </c>
      <c r="S72" s="59">
        <v>495</v>
      </c>
    </row>
    <row r="73" spans="1:19" x14ac:dyDescent="0.45">
      <c r="A73" s="66">
        <v>64</v>
      </c>
      <c r="B73" s="59">
        <v>60</v>
      </c>
      <c r="C73" s="59">
        <v>54</v>
      </c>
      <c r="D73" s="59">
        <v>114</v>
      </c>
      <c r="E73" s="67">
        <v>1087</v>
      </c>
      <c r="F73" s="66">
        <v>67</v>
      </c>
      <c r="G73" s="59">
        <v>72</v>
      </c>
      <c r="H73" s="59">
        <v>46</v>
      </c>
      <c r="I73" s="59">
        <v>119</v>
      </c>
      <c r="J73" s="67">
        <v>1115</v>
      </c>
      <c r="K73" s="66">
        <v>66</v>
      </c>
      <c r="L73" s="59">
        <v>117</v>
      </c>
      <c r="M73" s="59">
        <v>70</v>
      </c>
      <c r="N73" s="59">
        <v>190</v>
      </c>
      <c r="O73" s="67">
        <v>986</v>
      </c>
      <c r="P73" s="66">
        <v>66</v>
      </c>
      <c r="Q73" s="59">
        <v>117</v>
      </c>
      <c r="R73" s="59">
        <v>212</v>
      </c>
      <c r="S73" s="59">
        <v>337</v>
      </c>
    </row>
    <row r="74" spans="1:19" x14ac:dyDescent="0.45">
      <c r="A74" s="66">
        <v>63</v>
      </c>
      <c r="B74" s="59">
        <v>43</v>
      </c>
      <c r="C74" s="59">
        <v>50</v>
      </c>
      <c r="D74" s="59">
        <v>93</v>
      </c>
      <c r="E74" s="67">
        <v>1180</v>
      </c>
      <c r="F74" s="66">
        <v>66</v>
      </c>
      <c r="G74" s="59">
        <v>66</v>
      </c>
      <c r="H74" s="59">
        <v>44</v>
      </c>
      <c r="I74" s="59">
        <v>112</v>
      </c>
      <c r="J74" s="67">
        <v>1227</v>
      </c>
      <c r="K74" s="66">
        <v>65</v>
      </c>
      <c r="L74" s="59">
        <v>75</v>
      </c>
      <c r="M74" s="59">
        <v>51</v>
      </c>
      <c r="N74" s="59">
        <v>130</v>
      </c>
      <c r="O74" s="67">
        <v>1116</v>
      </c>
      <c r="P74" s="66">
        <v>65</v>
      </c>
      <c r="Q74" s="59">
        <v>84</v>
      </c>
      <c r="R74" s="59">
        <v>172</v>
      </c>
      <c r="S74" s="59">
        <v>258</v>
      </c>
    </row>
    <row r="75" spans="1:19" x14ac:dyDescent="0.45">
      <c r="A75" s="66">
        <v>62</v>
      </c>
      <c r="B75" s="59">
        <v>133</v>
      </c>
      <c r="C75" s="59">
        <v>125</v>
      </c>
      <c r="D75" s="59">
        <v>264</v>
      </c>
      <c r="E75" s="67">
        <v>1444</v>
      </c>
      <c r="F75" s="66">
        <v>65</v>
      </c>
      <c r="G75" s="59">
        <v>106</v>
      </c>
      <c r="H75" s="59">
        <v>51</v>
      </c>
      <c r="I75" s="59">
        <v>158</v>
      </c>
      <c r="J75" s="67">
        <v>1385</v>
      </c>
      <c r="K75" s="66">
        <v>64</v>
      </c>
      <c r="L75" s="59">
        <v>79</v>
      </c>
      <c r="M75" s="59">
        <v>50</v>
      </c>
      <c r="N75" s="59">
        <v>132</v>
      </c>
      <c r="O75" s="67">
        <v>1248</v>
      </c>
      <c r="P75" s="66">
        <v>64</v>
      </c>
      <c r="Q75" s="59">
        <v>102</v>
      </c>
      <c r="R75" s="59">
        <v>205</v>
      </c>
      <c r="S75" s="59">
        <v>309</v>
      </c>
    </row>
    <row r="76" spans="1:19" x14ac:dyDescent="0.45">
      <c r="A76" s="66">
        <v>61</v>
      </c>
      <c r="B76" s="59">
        <v>78</v>
      </c>
      <c r="C76" s="59">
        <v>83</v>
      </c>
      <c r="D76" s="59">
        <v>162</v>
      </c>
      <c r="E76" s="67">
        <v>1606</v>
      </c>
      <c r="F76" s="66">
        <v>64</v>
      </c>
      <c r="G76" s="59">
        <v>77</v>
      </c>
      <c r="H76" s="59">
        <v>51</v>
      </c>
      <c r="I76" s="59">
        <v>129</v>
      </c>
      <c r="J76" s="67">
        <v>1514</v>
      </c>
      <c r="K76" s="66">
        <v>63</v>
      </c>
      <c r="L76" s="59">
        <v>73</v>
      </c>
      <c r="M76" s="59">
        <v>38</v>
      </c>
      <c r="N76" s="59">
        <v>113</v>
      </c>
      <c r="O76" s="67">
        <v>1361</v>
      </c>
      <c r="P76" s="66">
        <v>63</v>
      </c>
      <c r="Q76" s="59">
        <v>113</v>
      </c>
      <c r="R76" s="59">
        <v>236</v>
      </c>
      <c r="S76" s="59">
        <v>352</v>
      </c>
    </row>
    <row r="77" spans="1:19" x14ac:dyDescent="0.45">
      <c r="A77" s="66">
        <v>60</v>
      </c>
      <c r="B77" s="59">
        <v>61</v>
      </c>
      <c r="C77" s="59">
        <v>66</v>
      </c>
      <c r="D77" s="59">
        <v>128</v>
      </c>
      <c r="E77" s="67">
        <v>1734</v>
      </c>
      <c r="F77" s="66">
        <v>63</v>
      </c>
      <c r="G77" s="59">
        <v>157</v>
      </c>
      <c r="H77" s="59">
        <v>136</v>
      </c>
      <c r="I77" s="59">
        <v>294</v>
      </c>
      <c r="J77" s="67">
        <v>1808</v>
      </c>
      <c r="K77" s="66">
        <v>62</v>
      </c>
      <c r="L77" s="59">
        <v>95</v>
      </c>
      <c r="M77" s="59">
        <v>49</v>
      </c>
      <c r="N77" s="59">
        <v>145</v>
      </c>
      <c r="O77" s="67">
        <v>1506</v>
      </c>
      <c r="P77" s="66">
        <v>62</v>
      </c>
      <c r="Q77" s="59">
        <v>120</v>
      </c>
      <c r="R77" s="59">
        <v>180</v>
      </c>
      <c r="S77" s="59">
        <v>302</v>
      </c>
    </row>
    <row r="78" spans="1:19" x14ac:dyDescent="0.45">
      <c r="A78" s="66">
        <v>59</v>
      </c>
      <c r="B78" s="59">
        <v>60</v>
      </c>
      <c r="C78" s="59">
        <v>58</v>
      </c>
      <c r="D78" s="59">
        <v>119</v>
      </c>
      <c r="E78" s="67">
        <v>1853</v>
      </c>
      <c r="F78" s="66">
        <v>62</v>
      </c>
      <c r="G78" s="59">
        <v>81</v>
      </c>
      <c r="H78" s="59">
        <v>57</v>
      </c>
      <c r="I78" s="59">
        <v>138</v>
      </c>
      <c r="J78" s="67">
        <v>1946</v>
      </c>
      <c r="K78" s="66">
        <v>61</v>
      </c>
      <c r="L78" s="59">
        <v>89</v>
      </c>
      <c r="M78" s="59">
        <v>51</v>
      </c>
      <c r="N78" s="59">
        <v>141</v>
      </c>
      <c r="O78" s="67">
        <v>1647</v>
      </c>
      <c r="P78" s="66">
        <v>61</v>
      </c>
      <c r="Q78" s="59">
        <v>151</v>
      </c>
      <c r="R78" s="59">
        <v>266</v>
      </c>
      <c r="S78" s="59">
        <v>420</v>
      </c>
    </row>
    <row r="79" spans="1:19" x14ac:dyDescent="0.45">
      <c r="A79" s="66">
        <v>58</v>
      </c>
      <c r="B79" s="59">
        <v>142</v>
      </c>
      <c r="C79" s="59">
        <v>134</v>
      </c>
      <c r="D79" s="59">
        <v>278</v>
      </c>
      <c r="E79" s="67">
        <v>2131</v>
      </c>
      <c r="F79" s="66">
        <v>61</v>
      </c>
      <c r="G79" s="59">
        <v>103</v>
      </c>
      <c r="H79" s="59">
        <v>104</v>
      </c>
      <c r="I79" s="59">
        <v>212</v>
      </c>
      <c r="J79" s="67">
        <v>2158</v>
      </c>
      <c r="K79" s="66">
        <v>60</v>
      </c>
      <c r="L79" s="59">
        <v>70</v>
      </c>
      <c r="M79" s="59">
        <v>55</v>
      </c>
      <c r="N79" s="59">
        <v>128</v>
      </c>
      <c r="O79" s="67">
        <v>1775</v>
      </c>
      <c r="P79" s="66">
        <v>60</v>
      </c>
      <c r="Q79" s="59">
        <v>137</v>
      </c>
      <c r="R79" s="59">
        <v>271</v>
      </c>
      <c r="S79" s="59">
        <v>413</v>
      </c>
    </row>
    <row r="80" spans="1:19" x14ac:dyDescent="0.45">
      <c r="A80" s="66">
        <v>57</v>
      </c>
      <c r="B80" s="59">
        <v>54</v>
      </c>
      <c r="C80" s="59">
        <v>75</v>
      </c>
      <c r="D80" s="59">
        <v>129</v>
      </c>
      <c r="E80" s="67">
        <v>2260</v>
      </c>
      <c r="F80" s="66">
        <v>60</v>
      </c>
      <c r="G80" s="59">
        <v>92</v>
      </c>
      <c r="H80" s="59">
        <v>93</v>
      </c>
      <c r="I80" s="59">
        <v>186</v>
      </c>
      <c r="J80" s="67">
        <v>2344</v>
      </c>
      <c r="K80" s="66">
        <v>59</v>
      </c>
      <c r="L80" s="59">
        <v>103</v>
      </c>
      <c r="M80" s="59">
        <v>69</v>
      </c>
      <c r="N80" s="59">
        <v>174</v>
      </c>
      <c r="O80" s="67">
        <v>1949</v>
      </c>
      <c r="P80" s="66">
        <v>59</v>
      </c>
      <c r="Q80" s="59">
        <v>266</v>
      </c>
      <c r="R80" s="59">
        <v>569</v>
      </c>
      <c r="S80" s="59">
        <v>840</v>
      </c>
    </row>
    <row r="81" spans="1:19" x14ac:dyDescent="0.45">
      <c r="A81" s="66">
        <v>56</v>
      </c>
      <c r="B81" s="59">
        <v>66</v>
      </c>
      <c r="C81" s="59">
        <v>92</v>
      </c>
      <c r="D81" s="59">
        <v>160</v>
      </c>
      <c r="E81" s="67">
        <v>2420</v>
      </c>
      <c r="F81" s="66">
        <v>59</v>
      </c>
      <c r="G81" s="59">
        <v>99</v>
      </c>
      <c r="H81" s="59">
        <v>74</v>
      </c>
      <c r="I81" s="59">
        <v>176</v>
      </c>
      <c r="J81" s="67">
        <v>2520</v>
      </c>
      <c r="K81" s="66">
        <v>58</v>
      </c>
      <c r="L81" s="59">
        <v>92</v>
      </c>
      <c r="M81" s="59">
        <v>57</v>
      </c>
      <c r="N81" s="59">
        <v>151</v>
      </c>
      <c r="O81" s="67">
        <v>2100</v>
      </c>
      <c r="P81" s="66">
        <v>58</v>
      </c>
      <c r="Q81" s="59">
        <v>146</v>
      </c>
      <c r="R81" s="59">
        <v>253</v>
      </c>
      <c r="S81" s="59">
        <v>402</v>
      </c>
    </row>
    <row r="82" spans="1:19" x14ac:dyDescent="0.45">
      <c r="A82" s="66">
        <v>55</v>
      </c>
      <c r="B82" s="59">
        <v>72</v>
      </c>
      <c r="C82" s="59">
        <v>76</v>
      </c>
      <c r="D82" s="59">
        <v>149</v>
      </c>
      <c r="E82" s="67">
        <v>2569</v>
      </c>
      <c r="F82" s="66">
        <v>58</v>
      </c>
      <c r="G82" s="59">
        <v>114</v>
      </c>
      <c r="H82" s="59">
        <v>89</v>
      </c>
      <c r="I82" s="59">
        <v>203</v>
      </c>
      <c r="J82" s="67">
        <v>2723</v>
      </c>
      <c r="K82" s="66">
        <v>57</v>
      </c>
      <c r="L82" s="59">
        <v>183</v>
      </c>
      <c r="M82" s="59">
        <v>149</v>
      </c>
      <c r="N82" s="59">
        <v>341</v>
      </c>
      <c r="O82" s="67">
        <v>2441</v>
      </c>
      <c r="P82" s="66">
        <v>57</v>
      </c>
      <c r="Q82" s="59">
        <v>160</v>
      </c>
      <c r="R82" s="59">
        <v>279</v>
      </c>
      <c r="S82" s="59">
        <v>439</v>
      </c>
    </row>
    <row r="83" spans="1:19" x14ac:dyDescent="0.45">
      <c r="A83" s="66">
        <v>54</v>
      </c>
      <c r="B83" s="59">
        <v>157</v>
      </c>
      <c r="C83" s="59">
        <v>181</v>
      </c>
      <c r="D83" s="59">
        <v>339</v>
      </c>
      <c r="E83" s="67">
        <v>2908</v>
      </c>
      <c r="F83" s="66">
        <v>57</v>
      </c>
      <c r="G83" s="59">
        <v>102</v>
      </c>
      <c r="H83" s="59">
        <v>90</v>
      </c>
      <c r="I83" s="59">
        <v>194</v>
      </c>
      <c r="J83" s="67">
        <v>2917</v>
      </c>
      <c r="K83" s="66">
        <v>56</v>
      </c>
      <c r="L83" s="59">
        <v>109</v>
      </c>
      <c r="M83" s="59">
        <v>62</v>
      </c>
      <c r="N83" s="59">
        <v>174</v>
      </c>
      <c r="O83" s="67">
        <v>2615</v>
      </c>
      <c r="P83" s="66">
        <v>56</v>
      </c>
      <c r="Q83" s="59">
        <v>184</v>
      </c>
      <c r="R83" s="59">
        <v>333</v>
      </c>
      <c r="S83" s="59">
        <v>520</v>
      </c>
    </row>
    <row r="84" spans="1:19" x14ac:dyDescent="0.45">
      <c r="A84" s="66">
        <v>53</v>
      </c>
      <c r="B84" s="59">
        <v>91</v>
      </c>
      <c r="C84" s="59">
        <v>95</v>
      </c>
      <c r="D84" s="59">
        <v>187</v>
      </c>
      <c r="E84" s="67">
        <v>3095</v>
      </c>
      <c r="F84" s="66">
        <v>56</v>
      </c>
      <c r="G84" s="59">
        <v>125</v>
      </c>
      <c r="H84" s="59">
        <v>124</v>
      </c>
      <c r="I84" s="59">
        <v>254</v>
      </c>
      <c r="J84" s="67">
        <v>3171</v>
      </c>
      <c r="K84" s="66">
        <v>55</v>
      </c>
      <c r="L84" s="59">
        <v>127</v>
      </c>
      <c r="M84" s="59">
        <v>87</v>
      </c>
      <c r="N84" s="59">
        <v>216</v>
      </c>
      <c r="O84" s="67">
        <v>2831</v>
      </c>
      <c r="P84" s="66">
        <v>55</v>
      </c>
      <c r="Q84" s="59">
        <v>175</v>
      </c>
      <c r="R84" s="59">
        <v>328</v>
      </c>
      <c r="S84" s="59">
        <v>512</v>
      </c>
    </row>
    <row r="85" spans="1:19" x14ac:dyDescent="0.45">
      <c r="A85" s="66">
        <v>52</v>
      </c>
      <c r="B85" s="59">
        <v>86</v>
      </c>
      <c r="C85" s="59">
        <v>81</v>
      </c>
      <c r="D85" s="59">
        <v>167</v>
      </c>
      <c r="E85" s="67">
        <v>3262</v>
      </c>
      <c r="F85" s="66">
        <v>55</v>
      </c>
      <c r="G85" s="59">
        <v>257</v>
      </c>
      <c r="H85" s="59">
        <v>268</v>
      </c>
      <c r="I85" s="59">
        <v>531</v>
      </c>
      <c r="J85" s="67">
        <v>3702</v>
      </c>
      <c r="K85" s="66">
        <v>54</v>
      </c>
      <c r="L85" s="59">
        <v>135</v>
      </c>
      <c r="M85" s="59">
        <v>72</v>
      </c>
      <c r="N85" s="59">
        <v>214</v>
      </c>
      <c r="O85" s="67">
        <v>3045</v>
      </c>
      <c r="P85" s="66">
        <v>54</v>
      </c>
      <c r="Q85" s="59">
        <v>187</v>
      </c>
      <c r="R85" s="59">
        <v>374</v>
      </c>
      <c r="S85" s="59">
        <v>568</v>
      </c>
    </row>
    <row r="86" spans="1:19" x14ac:dyDescent="0.45">
      <c r="A86" s="66">
        <v>51</v>
      </c>
      <c r="B86" s="59">
        <v>88</v>
      </c>
      <c r="C86" s="59">
        <v>100</v>
      </c>
      <c r="D86" s="59">
        <v>192</v>
      </c>
      <c r="E86" s="67">
        <v>3454</v>
      </c>
      <c r="F86" s="66">
        <v>54</v>
      </c>
      <c r="G86" s="59">
        <v>156</v>
      </c>
      <c r="H86" s="59">
        <v>146</v>
      </c>
      <c r="I86" s="59">
        <v>305</v>
      </c>
      <c r="J86" s="67">
        <v>4007</v>
      </c>
      <c r="K86" s="66">
        <v>53</v>
      </c>
      <c r="L86" s="59">
        <v>138</v>
      </c>
      <c r="M86" s="59">
        <v>80</v>
      </c>
      <c r="N86" s="59">
        <v>220</v>
      </c>
      <c r="O86" s="67">
        <v>3265</v>
      </c>
      <c r="P86" s="66">
        <v>53</v>
      </c>
      <c r="Q86" s="59">
        <v>180</v>
      </c>
      <c r="R86" s="59">
        <v>334</v>
      </c>
      <c r="S86" s="59">
        <v>518</v>
      </c>
    </row>
    <row r="87" spans="1:19" x14ac:dyDescent="0.45">
      <c r="A87" s="66">
        <v>50</v>
      </c>
      <c r="B87" s="59">
        <v>93</v>
      </c>
      <c r="C87" s="59">
        <v>123</v>
      </c>
      <c r="D87" s="59">
        <v>218</v>
      </c>
      <c r="E87" s="67">
        <v>3672</v>
      </c>
      <c r="F87" s="66">
        <v>53</v>
      </c>
      <c r="G87" s="59">
        <v>144</v>
      </c>
      <c r="H87" s="59">
        <v>132</v>
      </c>
      <c r="I87" s="59">
        <v>276</v>
      </c>
      <c r="J87" s="67">
        <v>4283</v>
      </c>
      <c r="K87" s="66">
        <v>52</v>
      </c>
      <c r="L87" s="59">
        <v>140</v>
      </c>
      <c r="M87" s="59">
        <v>110</v>
      </c>
      <c r="N87" s="59">
        <v>254</v>
      </c>
      <c r="O87" s="67">
        <v>3519</v>
      </c>
      <c r="P87" s="66">
        <v>52</v>
      </c>
      <c r="Q87" s="59">
        <v>444</v>
      </c>
      <c r="R87" s="59">
        <v>713</v>
      </c>
      <c r="S87" s="59">
        <v>1169</v>
      </c>
    </row>
    <row r="88" spans="1:19" x14ac:dyDescent="0.45">
      <c r="A88" s="66">
        <v>49</v>
      </c>
      <c r="B88" s="59">
        <v>182</v>
      </c>
      <c r="C88" s="59">
        <v>237</v>
      </c>
      <c r="D88" s="59">
        <v>426</v>
      </c>
      <c r="E88" s="67">
        <v>4098</v>
      </c>
      <c r="F88" s="66">
        <v>52</v>
      </c>
      <c r="G88" s="59">
        <v>161</v>
      </c>
      <c r="H88" s="59">
        <v>178</v>
      </c>
      <c r="I88" s="59">
        <v>342</v>
      </c>
      <c r="J88" s="67">
        <v>4625</v>
      </c>
      <c r="K88" s="66">
        <v>51</v>
      </c>
      <c r="L88" s="59">
        <v>135</v>
      </c>
      <c r="M88" s="59">
        <v>107</v>
      </c>
      <c r="N88" s="59">
        <v>248</v>
      </c>
      <c r="O88" s="67">
        <v>3767</v>
      </c>
      <c r="P88" s="66">
        <v>51</v>
      </c>
      <c r="Q88" s="59">
        <v>195</v>
      </c>
      <c r="R88" s="59">
        <v>361</v>
      </c>
      <c r="S88" s="59">
        <v>561</v>
      </c>
    </row>
    <row r="89" spans="1:19" x14ac:dyDescent="0.45">
      <c r="A89" s="66">
        <v>48</v>
      </c>
      <c r="B89" s="59">
        <v>88</v>
      </c>
      <c r="C89" s="59">
        <v>145</v>
      </c>
      <c r="D89" s="59">
        <v>236</v>
      </c>
      <c r="E89" s="67">
        <v>4334</v>
      </c>
      <c r="F89" s="66">
        <v>51</v>
      </c>
      <c r="G89" s="59">
        <v>183</v>
      </c>
      <c r="H89" s="59">
        <v>197</v>
      </c>
      <c r="I89" s="59">
        <v>387</v>
      </c>
      <c r="J89" s="67">
        <v>5012</v>
      </c>
      <c r="K89" s="66">
        <v>50</v>
      </c>
      <c r="L89" s="59">
        <v>195</v>
      </c>
      <c r="M89" s="59">
        <v>112</v>
      </c>
      <c r="N89" s="59">
        <v>310</v>
      </c>
      <c r="O89" s="67">
        <v>4077</v>
      </c>
      <c r="P89" s="66">
        <v>50</v>
      </c>
      <c r="Q89" s="59">
        <v>240</v>
      </c>
      <c r="R89" s="59">
        <v>405</v>
      </c>
      <c r="S89" s="59">
        <v>651</v>
      </c>
    </row>
    <row r="90" spans="1:19" x14ac:dyDescent="0.45">
      <c r="A90" s="66">
        <v>47</v>
      </c>
      <c r="B90" s="59">
        <v>111</v>
      </c>
      <c r="C90" s="59">
        <v>123</v>
      </c>
      <c r="D90" s="59">
        <v>234</v>
      </c>
      <c r="E90" s="67">
        <v>4568</v>
      </c>
      <c r="F90" s="66">
        <v>50</v>
      </c>
      <c r="G90" s="59">
        <v>167</v>
      </c>
      <c r="H90" s="59">
        <v>176</v>
      </c>
      <c r="I90" s="59">
        <v>347</v>
      </c>
      <c r="J90" s="67">
        <v>5359</v>
      </c>
      <c r="K90" s="66">
        <v>49</v>
      </c>
      <c r="L90" s="59">
        <v>335</v>
      </c>
      <c r="M90" s="59">
        <v>208</v>
      </c>
      <c r="N90" s="59">
        <v>550</v>
      </c>
      <c r="O90" s="67">
        <v>4627</v>
      </c>
      <c r="P90" s="66">
        <v>49</v>
      </c>
      <c r="Q90" s="59">
        <v>260</v>
      </c>
      <c r="R90" s="59">
        <v>393</v>
      </c>
      <c r="S90" s="59">
        <v>661</v>
      </c>
    </row>
    <row r="91" spans="1:19" x14ac:dyDescent="0.45">
      <c r="A91" s="66">
        <v>46</v>
      </c>
      <c r="B91" s="59">
        <v>130</v>
      </c>
      <c r="C91" s="59">
        <v>125</v>
      </c>
      <c r="D91" s="59">
        <v>261</v>
      </c>
      <c r="E91" s="67">
        <v>4829</v>
      </c>
      <c r="F91" s="66">
        <v>49</v>
      </c>
      <c r="G91" s="59">
        <v>211</v>
      </c>
      <c r="H91" s="59">
        <v>222</v>
      </c>
      <c r="I91" s="59">
        <v>437</v>
      </c>
      <c r="J91" s="67">
        <v>5796</v>
      </c>
      <c r="K91" s="66">
        <v>48</v>
      </c>
      <c r="L91" s="59">
        <v>175</v>
      </c>
      <c r="M91" s="59">
        <v>105</v>
      </c>
      <c r="N91" s="59">
        <v>286</v>
      </c>
      <c r="O91" s="67">
        <v>4913</v>
      </c>
      <c r="P91" s="66">
        <v>48</v>
      </c>
      <c r="Q91" s="59">
        <v>260</v>
      </c>
      <c r="R91" s="59">
        <v>395</v>
      </c>
      <c r="S91" s="59">
        <v>664</v>
      </c>
    </row>
    <row r="92" spans="1:19" x14ac:dyDescent="0.45">
      <c r="A92" s="66">
        <v>45</v>
      </c>
      <c r="B92" s="59">
        <v>283</v>
      </c>
      <c r="C92" s="59">
        <v>243</v>
      </c>
      <c r="D92" s="59">
        <v>534</v>
      </c>
      <c r="E92" s="67">
        <v>5363</v>
      </c>
      <c r="F92" s="66">
        <v>48</v>
      </c>
      <c r="G92" s="59">
        <v>427</v>
      </c>
      <c r="H92" s="59">
        <v>417</v>
      </c>
      <c r="I92" s="59">
        <v>853</v>
      </c>
      <c r="J92" s="67">
        <v>6649</v>
      </c>
      <c r="K92" s="66">
        <v>47</v>
      </c>
      <c r="L92" s="59">
        <v>179</v>
      </c>
      <c r="M92" s="59">
        <v>118</v>
      </c>
      <c r="N92" s="59">
        <v>301</v>
      </c>
      <c r="O92" s="67">
        <v>5214</v>
      </c>
      <c r="P92" s="66">
        <v>47</v>
      </c>
      <c r="Q92" s="59">
        <v>304</v>
      </c>
      <c r="R92" s="59">
        <v>415</v>
      </c>
      <c r="S92" s="59">
        <v>729</v>
      </c>
    </row>
    <row r="93" spans="1:19" x14ac:dyDescent="0.45">
      <c r="A93" s="66">
        <v>44</v>
      </c>
      <c r="B93" s="59">
        <v>119</v>
      </c>
      <c r="C93" s="59">
        <v>157</v>
      </c>
      <c r="D93" s="59">
        <v>277</v>
      </c>
      <c r="E93" s="67">
        <v>5640</v>
      </c>
      <c r="F93" s="66">
        <v>47</v>
      </c>
      <c r="G93" s="59">
        <v>202</v>
      </c>
      <c r="H93" s="59">
        <v>231</v>
      </c>
      <c r="I93" s="59">
        <v>436</v>
      </c>
      <c r="J93" s="67">
        <v>7085</v>
      </c>
      <c r="K93" s="66">
        <v>46</v>
      </c>
      <c r="L93" s="59">
        <v>197</v>
      </c>
      <c r="M93" s="59">
        <v>122</v>
      </c>
      <c r="N93" s="59">
        <v>324</v>
      </c>
      <c r="O93" s="67">
        <v>5538</v>
      </c>
      <c r="P93" s="66">
        <v>46</v>
      </c>
      <c r="Q93" s="59">
        <v>385</v>
      </c>
      <c r="R93" s="59">
        <v>464</v>
      </c>
      <c r="S93" s="59">
        <v>856</v>
      </c>
    </row>
    <row r="94" spans="1:19" x14ac:dyDescent="0.45">
      <c r="A94" s="66">
        <v>43</v>
      </c>
      <c r="B94" s="59">
        <v>133</v>
      </c>
      <c r="C94" s="59">
        <v>125</v>
      </c>
      <c r="D94" s="59">
        <v>259</v>
      </c>
      <c r="E94" s="67">
        <v>5899</v>
      </c>
      <c r="F94" s="66">
        <v>46</v>
      </c>
      <c r="G94" s="59">
        <v>226</v>
      </c>
      <c r="H94" s="59">
        <v>224</v>
      </c>
      <c r="I94" s="59">
        <v>455</v>
      </c>
      <c r="J94" s="67">
        <v>7540</v>
      </c>
      <c r="K94" s="66">
        <v>45</v>
      </c>
      <c r="L94" s="59">
        <v>208</v>
      </c>
      <c r="M94" s="59">
        <v>101</v>
      </c>
      <c r="N94" s="59">
        <v>312</v>
      </c>
      <c r="O94" s="67">
        <v>5850</v>
      </c>
      <c r="P94" s="66">
        <v>45</v>
      </c>
      <c r="Q94" s="59">
        <v>1380</v>
      </c>
      <c r="R94" s="59">
        <v>1289</v>
      </c>
      <c r="S94" s="59">
        <v>2718</v>
      </c>
    </row>
    <row r="95" spans="1:19" x14ac:dyDescent="0.45">
      <c r="A95" s="66">
        <v>42</v>
      </c>
      <c r="B95" s="59">
        <v>173</v>
      </c>
      <c r="C95" s="59">
        <v>164</v>
      </c>
      <c r="D95" s="59">
        <v>344</v>
      </c>
      <c r="E95" s="67">
        <v>6243</v>
      </c>
      <c r="F95" s="66">
        <v>45</v>
      </c>
      <c r="G95" s="59">
        <v>260</v>
      </c>
      <c r="H95" s="59">
        <v>243</v>
      </c>
      <c r="I95" s="59">
        <v>510</v>
      </c>
      <c r="J95" s="67">
        <v>8050</v>
      </c>
      <c r="K95" s="66">
        <v>44</v>
      </c>
      <c r="L95" s="59">
        <v>216</v>
      </c>
      <c r="M95" s="59">
        <v>122</v>
      </c>
      <c r="N95" s="59">
        <v>340</v>
      </c>
      <c r="O95" s="67">
        <v>6190</v>
      </c>
      <c r="P95" s="66">
        <v>44</v>
      </c>
      <c r="Q95" s="59">
        <v>380</v>
      </c>
      <c r="R95" s="59">
        <v>466</v>
      </c>
      <c r="S95" s="59">
        <v>856</v>
      </c>
    </row>
    <row r="96" spans="1:19" x14ac:dyDescent="0.45">
      <c r="A96" s="66">
        <v>41</v>
      </c>
      <c r="B96" s="59">
        <v>658</v>
      </c>
      <c r="C96" s="59">
        <v>427</v>
      </c>
      <c r="D96" s="59">
        <v>1095</v>
      </c>
      <c r="E96" s="67">
        <v>7338</v>
      </c>
      <c r="F96" s="66">
        <v>44</v>
      </c>
      <c r="G96" s="59">
        <v>223</v>
      </c>
      <c r="H96" s="59">
        <v>207</v>
      </c>
      <c r="I96" s="59">
        <v>433</v>
      </c>
      <c r="J96" s="67">
        <v>8483</v>
      </c>
      <c r="K96" s="66">
        <v>43</v>
      </c>
      <c r="L96" s="59">
        <v>206</v>
      </c>
      <c r="M96" s="59">
        <v>95</v>
      </c>
      <c r="N96" s="59">
        <v>304</v>
      </c>
      <c r="O96" s="67">
        <v>6494</v>
      </c>
      <c r="P96" s="66">
        <v>43</v>
      </c>
      <c r="Q96" s="59">
        <v>339</v>
      </c>
      <c r="R96" s="59">
        <v>408</v>
      </c>
      <c r="S96" s="59">
        <v>761</v>
      </c>
    </row>
    <row r="97" spans="1:19" x14ac:dyDescent="0.45">
      <c r="A97" s="66">
        <v>40</v>
      </c>
      <c r="B97" s="59">
        <v>138</v>
      </c>
      <c r="C97" s="59">
        <v>97</v>
      </c>
      <c r="D97" s="59">
        <v>237</v>
      </c>
      <c r="E97" s="67">
        <v>7575</v>
      </c>
      <c r="F97" s="66">
        <v>43</v>
      </c>
      <c r="G97" s="59">
        <v>462</v>
      </c>
      <c r="H97" s="59">
        <v>328</v>
      </c>
      <c r="I97" s="59">
        <v>804</v>
      </c>
      <c r="J97" s="67">
        <v>9287</v>
      </c>
      <c r="K97" s="66">
        <v>42</v>
      </c>
      <c r="L97" s="59">
        <v>701</v>
      </c>
      <c r="M97" s="59">
        <v>232</v>
      </c>
      <c r="N97" s="59">
        <v>948</v>
      </c>
      <c r="O97" s="67">
        <v>7442</v>
      </c>
      <c r="P97" s="66">
        <v>42</v>
      </c>
      <c r="Q97" s="59">
        <v>331</v>
      </c>
      <c r="R97" s="59">
        <v>454</v>
      </c>
      <c r="S97" s="59">
        <v>797</v>
      </c>
    </row>
    <row r="98" spans="1:19" x14ac:dyDescent="0.45">
      <c r="A98" s="66">
        <v>39</v>
      </c>
      <c r="B98" s="59">
        <v>139</v>
      </c>
      <c r="C98" s="59">
        <v>111</v>
      </c>
      <c r="D98" s="59">
        <v>253</v>
      </c>
      <c r="E98" s="67">
        <v>7828</v>
      </c>
      <c r="F98" s="66">
        <v>42</v>
      </c>
      <c r="G98" s="59">
        <v>233</v>
      </c>
      <c r="H98" s="59">
        <v>191</v>
      </c>
      <c r="I98" s="59">
        <v>426</v>
      </c>
      <c r="J98" s="67">
        <v>9713</v>
      </c>
      <c r="K98" s="66">
        <v>41</v>
      </c>
      <c r="L98" s="59">
        <v>627</v>
      </c>
      <c r="M98" s="59">
        <v>256</v>
      </c>
      <c r="N98" s="59">
        <v>892</v>
      </c>
      <c r="O98" s="67">
        <v>8334</v>
      </c>
      <c r="P98" s="66">
        <v>41</v>
      </c>
      <c r="Q98" s="59">
        <v>727</v>
      </c>
      <c r="R98" s="59">
        <v>624</v>
      </c>
      <c r="S98" s="59">
        <v>1371</v>
      </c>
    </row>
    <row r="99" spans="1:19" x14ac:dyDescent="0.45">
      <c r="A99" s="66">
        <v>38</v>
      </c>
      <c r="B99" s="59">
        <v>70</v>
      </c>
      <c r="C99" s="59">
        <v>56</v>
      </c>
      <c r="D99" s="59">
        <v>128</v>
      </c>
      <c r="E99" s="67">
        <v>7956</v>
      </c>
      <c r="F99" s="66">
        <v>41</v>
      </c>
      <c r="G99" s="59">
        <v>281</v>
      </c>
      <c r="H99" s="59">
        <v>222</v>
      </c>
      <c r="I99" s="59">
        <v>510</v>
      </c>
      <c r="J99" s="67">
        <v>10223</v>
      </c>
      <c r="K99" s="66">
        <v>40</v>
      </c>
      <c r="L99" s="59">
        <v>321</v>
      </c>
      <c r="M99" s="59">
        <v>145</v>
      </c>
      <c r="N99" s="59">
        <v>475</v>
      </c>
      <c r="O99" s="67">
        <v>8809</v>
      </c>
      <c r="P99" s="66">
        <v>40</v>
      </c>
      <c r="Q99" s="59">
        <v>359</v>
      </c>
      <c r="R99" s="59">
        <v>399</v>
      </c>
      <c r="S99" s="59">
        <v>767</v>
      </c>
    </row>
    <row r="100" spans="1:19" x14ac:dyDescent="0.45">
      <c r="A100" s="66">
        <v>37</v>
      </c>
      <c r="B100" s="59">
        <v>214</v>
      </c>
      <c r="C100" s="59">
        <v>133</v>
      </c>
      <c r="D100" s="59">
        <v>356</v>
      </c>
      <c r="E100" s="67">
        <v>8312</v>
      </c>
      <c r="F100" s="66">
        <v>40</v>
      </c>
      <c r="G100" s="59">
        <v>487</v>
      </c>
      <c r="H100" s="59">
        <v>363</v>
      </c>
      <c r="I100" s="59">
        <v>861</v>
      </c>
      <c r="J100" s="67">
        <v>11084</v>
      </c>
      <c r="K100" s="66">
        <v>39</v>
      </c>
      <c r="L100" s="59">
        <v>146</v>
      </c>
      <c r="M100" s="59">
        <v>52</v>
      </c>
      <c r="N100" s="59">
        <v>202</v>
      </c>
      <c r="O100" s="67">
        <v>9011</v>
      </c>
      <c r="P100" s="66">
        <v>39</v>
      </c>
      <c r="Q100" s="59">
        <v>470</v>
      </c>
      <c r="R100" s="59">
        <v>404</v>
      </c>
      <c r="S100" s="59">
        <v>881</v>
      </c>
    </row>
    <row r="101" spans="1:19" x14ac:dyDescent="0.45">
      <c r="A101" s="66">
        <v>36</v>
      </c>
      <c r="B101" s="59">
        <v>59</v>
      </c>
      <c r="C101" s="59">
        <v>64</v>
      </c>
      <c r="D101" s="59">
        <v>124</v>
      </c>
      <c r="E101" s="67">
        <v>8436</v>
      </c>
      <c r="F101" s="66">
        <v>39</v>
      </c>
      <c r="G101" s="59">
        <v>669</v>
      </c>
      <c r="H101" s="59">
        <v>281</v>
      </c>
      <c r="I101" s="59">
        <v>970</v>
      </c>
      <c r="J101" s="67">
        <v>12054</v>
      </c>
      <c r="K101" s="66">
        <v>38</v>
      </c>
      <c r="L101" s="59">
        <v>114</v>
      </c>
      <c r="M101" s="59">
        <v>57</v>
      </c>
      <c r="N101" s="59">
        <v>173</v>
      </c>
      <c r="O101" s="67">
        <v>9184</v>
      </c>
      <c r="P101" s="66">
        <v>38</v>
      </c>
      <c r="Q101" s="59">
        <v>254</v>
      </c>
      <c r="R101" s="59">
        <v>288</v>
      </c>
      <c r="S101" s="59">
        <v>549</v>
      </c>
    </row>
    <row r="102" spans="1:19" x14ac:dyDescent="0.45">
      <c r="A102" s="66">
        <v>35</v>
      </c>
      <c r="B102" s="59">
        <v>46</v>
      </c>
      <c r="C102" s="59">
        <v>30</v>
      </c>
      <c r="D102" s="59">
        <v>77</v>
      </c>
      <c r="E102" s="67">
        <v>8513</v>
      </c>
      <c r="F102" s="66">
        <v>38</v>
      </c>
      <c r="G102" s="59">
        <v>82</v>
      </c>
      <c r="H102" s="59">
        <v>64</v>
      </c>
      <c r="I102" s="59">
        <v>148</v>
      </c>
      <c r="J102" s="67">
        <v>12202</v>
      </c>
      <c r="K102" s="66">
        <v>37</v>
      </c>
      <c r="L102" s="59">
        <v>81</v>
      </c>
      <c r="M102" s="59">
        <v>32</v>
      </c>
      <c r="N102" s="59">
        <v>115</v>
      </c>
      <c r="O102" s="67">
        <v>9299</v>
      </c>
      <c r="P102" s="66">
        <v>37</v>
      </c>
      <c r="Q102" s="59">
        <v>508</v>
      </c>
      <c r="R102" s="59">
        <v>489</v>
      </c>
      <c r="S102" s="59">
        <v>1010</v>
      </c>
    </row>
    <row r="103" spans="1:19" x14ac:dyDescent="0.45">
      <c r="A103" s="66">
        <v>33</v>
      </c>
      <c r="B103" s="59">
        <v>15</v>
      </c>
      <c r="C103" s="59">
        <v>14</v>
      </c>
      <c r="D103" s="59">
        <v>29</v>
      </c>
      <c r="E103" s="67">
        <v>8542</v>
      </c>
      <c r="F103" s="66">
        <v>37</v>
      </c>
      <c r="G103" s="59">
        <v>113</v>
      </c>
      <c r="H103" s="59">
        <v>96</v>
      </c>
      <c r="I103" s="59">
        <v>215</v>
      </c>
      <c r="J103" s="67">
        <v>12417</v>
      </c>
      <c r="K103" s="66">
        <v>36</v>
      </c>
      <c r="L103" s="59">
        <v>83</v>
      </c>
      <c r="M103" s="59">
        <v>33</v>
      </c>
      <c r="N103" s="59">
        <v>119</v>
      </c>
      <c r="O103" s="67">
        <v>9418</v>
      </c>
      <c r="P103" s="66">
        <v>36</v>
      </c>
      <c r="Q103" s="59">
        <v>154</v>
      </c>
      <c r="R103" s="59">
        <v>158</v>
      </c>
      <c r="S103" s="59">
        <v>317</v>
      </c>
    </row>
    <row r="104" spans="1:19" x14ac:dyDescent="0.45">
      <c r="A104" s="66"/>
      <c r="B104" s="59"/>
      <c r="C104" s="59"/>
      <c r="D104" s="59"/>
      <c r="E104" s="67"/>
      <c r="F104" s="66">
        <v>36</v>
      </c>
      <c r="G104" s="59">
        <v>45</v>
      </c>
      <c r="H104" s="59">
        <v>35</v>
      </c>
      <c r="I104" s="59">
        <v>81</v>
      </c>
      <c r="J104" s="67">
        <v>12498</v>
      </c>
      <c r="K104" s="66">
        <v>35</v>
      </c>
      <c r="L104" s="59">
        <v>48</v>
      </c>
      <c r="M104" s="59">
        <v>24</v>
      </c>
      <c r="N104" s="59">
        <v>73</v>
      </c>
      <c r="O104" s="67">
        <v>9491</v>
      </c>
      <c r="P104" s="66">
        <v>35</v>
      </c>
      <c r="Q104" s="59">
        <v>85</v>
      </c>
      <c r="R104" s="59">
        <v>74</v>
      </c>
      <c r="S104" s="59">
        <v>160</v>
      </c>
    </row>
    <row r="105" spans="1:19" x14ac:dyDescent="0.45">
      <c r="A105" s="66"/>
      <c r="B105" s="59"/>
      <c r="C105" s="59"/>
      <c r="D105" s="59"/>
      <c r="E105" s="67"/>
      <c r="F105" s="66">
        <v>35</v>
      </c>
      <c r="G105" s="59">
        <v>41</v>
      </c>
      <c r="H105" s="59">
        <v>18</v>
      </c>
      <c r="I105" s="59">
        <v>59</v>
      </c>
      <c r="J105" s="67">
        <v>12557</v>
      </c>
      <c r="K105" s="66">
        <v>34</v>
      </c>
      <c r="L105" s="59">
        <v>25</v>
      </c>
      <c r="M105" s="59">
        <v>9</v>
      </c>
      <c r="N105" s="59">
        <v>34</v>
      </c>
      <c r="O105" s="67">
        <v>9525</v>
      </c>
      <c r="P105" s="66">
        <v>34</v>
      </c>
      <c r="Q105" s="59">
        <v>82</v>
      </c>
      <c r="R105" s="59">
        <v>63</v>
      </c>
      <c r="S105" s="59">
        <v>145</v>
      </c>
    </row>
    <row r="106" spans="1:19" x14ac:dyDescent="0.45">
      <c r="A106" s="66"/>
      <c r="B106" s="59"/>
      <c r="C106" s="59"/>
      <c r="D106" s="59"/>
      <c r="E106" s="67"/>
      <c r="F106" s="66">
        <v>34</v>
      </c>
      <c r="G106" s="59">
        <v>46</v>
      </c>
      <c r="H106" s="59">
        <v>38</v>
      </c>
      <c r="I106" s="59">
        <v>85</v>
      </c>
      <c r="J106" s="67">
        <v>12642</v>
      </c>
      <c r="K106" s="69">
        <v>33</v>
      </c>
      <c r="L106" s="59">
        <v>33</v>
      </c>
      <c r="M106" s="59">
        <v>12</v>
      </c>
      <c r="N106" s="59">
        <v>45</v>
      </c>
      <c r="O106" s="67">
        <v>9570</v>
      </c>
      <c r="P106" s="66">
        <v>33</v>
      </c>
      <c r="Q106" s="59">
        <v>71</v>
      </c>
      <c r="R106" s="59">
        <v>49</v>
      </c>
      <c r="S106" s="59">
        <v>123</v>
      </c>
    </row>
    <row r="107" spans="1:19" x14ac:dyDescent="0.45">
      <c r="A107" s="66"/>
      <c r="B107" s="59"/>
      <c r="C107" s="59"/>
      <c r="D107" s="59"/>
      <c r="E107" s="67"/>
      <c r="F107" s="66">
        <v>33</v>
      </c>
      <c r="G107" s="59">
        <v>8</v>
      </c>
      <c r="H107" s="59">
        <v>8</v>
      </c>
      <c r="I107" s="59">
        <v>18</v>
      </c>
      <c r="J107" s="67">
        <v>12660</v>
      </c>
      <c r="K107" s="69">
        <v>32</v>
      </c>
      <c r="L107" s="59">
        <v>6</v>
      </c>
      <c r="M107" s="59">
        <v>6</v>
      </c>
      <c r="N107" s="59">
        <v>12</v>
      </c>
      <c r="O107" s="67">
        <v>9582</v>
      </c>
      <c r="P107" s="66">
        <v>31</v>
      </c>
      <c r="Q107" s="59">
        <v>33</v>
      </c>
      <c r="R107" s="59">
        <v>20</v>
      </c>
      <c r="S107" s="59">
        <v>54</v>
      </c>
    </row>
    <row r="108" spans="1:19" x14ac:dyDescent="0.45">
      <c r="A108" s="6"/>
      <c r="B108" s="1"/>
      <c r="C108" s="1"/>
      <c r="D108" s="7"/>
      <c r="F108" s="6"/>
      <c r="G108" s="1"/>
      <c r="H108" s="1"/>
      <c r="I108" s="7"/>
      <c r="K108" s="6"/>
      <c r="L108" s="1"/>
      <c r="M108" s="1"/>
      <c r="N108" s="7"/>
      <c r="P108" s="6"/>
      <c r="Q108" s="1"/>
      <c r="R108" s="1"/>
      <c r="S108" s="7"/>
    </row>
    <row r="109" spans="1:19" x14ac:dyDescent="0.45">
      <c r="A109" s="6"/>
      <c r="B109" s="1"/>
      <c r="C109" s="1"/>
      <c r="D109" s="7"/>
      <c r="F109" s="6"/>
      <c r="G109" s="1"/>
      <c r="H109" s="1"/>
      <c r="I109" s="7"/>
      <c r="K109" s="6"/>
      <c r="L109" s="1"/>
      <c r="M109" s="1"/>
      <c r="N109" s="7"/>
      <c r="P109" s="6"/>
      <c r="Q109" s="1"/>
      <c r="R109" s="1"/>
      <c r="S109" s="7"/>
    </row>
    <row r="110" spans="1:19" x14ac:dyDescent="0.45">
      <c r="A110" s="6"/>
      <c r="B110" s="1"/>
      <c r="C110" s="1"/>
      <c r="D110" s="7"/>
      <c r="F110" s="6"/>
      <c r="G110" s="1"/>
      <c r="H110" s="1"/>
      <c r="I110" s="7"/>
      <c r="K110" s="6"/>
      <c r="L110" s="1"/>
      <c r="M110" s="1"/>
      <c r="N110" s="7"/>
      <c r="P110" s="6"/>
      <c r="Q110" s="1"/>
      <c r="R110" s="1"/>
      <c r="S110" s="7"/>
    </row>
    <row r="111" spans="1:19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8" spans="1:4" ht="17.5" thickBot="1" x14ac:dyDescent="0.5"/>
    <row r="119" spans="1:4" x14ac:dyDescent="0.45">
      <c r="A119" s="47" t="s">
        <v>17</v>
      </c>
      <c r="B119" s="48"/>
      <c r="C119" s="48"/>
      <c r="D119" s="49"/>
    </row>
    <row r="120" spans="1:4" ht="17.5" thickBot="1" x14ac:dyDescent="0.5">
      <c r="A120" s="6" t="s">
        <v>7</v>
      </c>
      <c r="B120" s="1"/>
      <c r="C120" s="1"/>
      <c r="D120" s="7" t="s">
        <v>8</v>
      </c>
    </row>
    <row r="121" spans="1:4" ht="17.5" thickTop="1" x14ac:dyDescent="0.45">
      <c r="A121" s="70">
        <v>73</v>
      </c>
      <c r="B121" s="62">
        <v>173</v>
      </c>
      <c r="C121" s="62">
        <v>256</v>
      </c>
      <c r="D121" s="62">
        <v>435</v>
      </c>
    </row>
    <row r="122" spans="1:4" x14ac:dyDescent="0.45">
      <c r="A122" s="66">
        <v>71</v>
      </c>
      <c r="B122" s="59">
        <v>164</v>
      </c>
      <c r="C122" s="59">
        <v>374</v>
      </c>
      <c r="D122" s="59">
        <v>543</v>
      </c>
    </row>
    <row r="123" spans="1:4" x14ac:dyDescent="0.45">
      <c r="A123" s="66">
        <v>70</v>
      </c>
      <c r="B123" s="59">
        <v>189</v>
      </c>
      <c r="C123" s="59">
        <v>419</v>
      </c>
      <c r="D123" s="59">
        <v>611</v>
      </c>
    </row>
    <row r="124" spans="1:4" x14ac:dyDescent="0.45">
      <c r="A124" s="66">
        <v>69</v>
      </c>
      <c r="B124" s="59">
        <v>212</v>
      </c>
      <c r="C124" s="59">
        <v>381</v>
      </c>
      <c r="D124" s="59">
        <v>599</v>
      </c>
    </row>
    <row r="125" spans="1:4" x14ac:dyDescent="0.45">
      <c r="A125" s="66">
        <v>68</v>
      </c>
      <c r="B125" s="59">
        <v>118</v>
      </c>
      <c r="C125" s="59">
        <v>203</v>
      </c>
      <c r="D125" s="59">
        <v>323</v>
      </c>
    </row>
    <row r="126" spans="1:4" x14ac:dyDescent="0.45">
      <c r="A126" s="66">
        <v>67</v>
      </c>
      <c r="B126" s="59">
        <v>174</v>
      </c>
      <c r="C126" s="59">
        <v>404</v>
      </c>
      <c r="D126" s="59">
        <v>580</v>
      </c>
    </row>
    <row r="127" spans="1:4" x14ac:dyDescent="0.45">
      <c r="A127" s="66">
        <v>66</v>
      </c>
      <c r="B127" s="59">
        <v>182</v>
      </c>
      <c r="C127" s="59">
        <v>352</v>
      </c>
      <c r="D127" s="59">
        <v>541</v>
      </c>
    </row>
    <row r="128" spans="1:4" x14ac:dyDescent="0.45">
      <c r="A128" s="66">
        <v>65</v>
      </c>
      <c r="B128" s="59">
        <v>367</v>
      </c>
      <c r="C128" s="59">
        <v>847</v>
      </c>
      <c r="D128" s="59">
        <v>1224</v>
      </c>
    </row>
    <row r="129" spans="1:4" x14ac:dyDescent="0.45">
      <c r="A129" s="66">
        <v>64</v>
      </c>
      <c r="B129" s="59">
        <v>174</v>
      </c>
      <c r="C129" s="59">
        <v>358</v>
      </c>
      <c r="D129" s="59">
        <v>535</v>
      </c>
    </row>
    <row r="130" spans="1:4" x14ac:dyDescent="0.45">
      <c r="A130" s="66">
        <v>63</v>
      </c>
      <c r="B130" s="59">
        <v>210</v>
      </c>
      <c r="C130" s="59">
        <v>413</v>
      </c>
      <c r="D130" s="59">
        <v>625</v>
      </c>
    </row>
    <row r="131" spans="1:4" x14ac:dyDescent="0.45">
      <c r="A131" s="66">
        <v>62</v>
      </c>
      <c r="B131" s="59">
        <v>249</v>
      </c>
      <c r="C131" s="59">
        <v>539</v>
      </c>
      <c r="D131" s="59">
        <v>789</v>
      </c>
    </row>
    <row r="132" spans="1:4" x14ac:dyDescent="0.45">
      <c r="A132" s="66">
        <v>61</v>
      </c>
      <c r="B132" s="59">
        <v>161</v>
      </c>
      <c r="C132" s="59">
        <v>381</v>
      </c>
      <c r="D132" s="59">
        <v>544</v>
      </c>
    </row>
    <row r="133" spans="1:4" x14ac:dyDescent="0.45">
      <c r="A133" s="66">
        <v>60</v>
      </c>
      <c r="B133" s="59">
        <v>234</v>
      </c>
      <c r="C133" s="59">
        <v>564</v>
      </c>
      <c r="D133" s="59">
        <v>804</v>
      </c>
    </row>
    <row r="134" spans="1:4" x14ac:dyDescent="0.45">
      <c r="A134" s="66">
        <v>59</v>
      </c>
      <c r="B134" s="59">
        <v>482</v>
      </c>
      <c r="C134" s="59">
        <v>1084</v>
      </c>
      <c r="D134" s="59">
        <v>1581</v>
      </c>
    </row>
    <row r="135" spans="1:4" x14ac:dyDescent="0.45">
      <c r="A135" s="66">
        <v>58</v>
      </c>
      <c r="B135" s="59">
        <v>250</v>
      </c>
      <c r="C135" s="59">
        <v>733</v>
      </c>
      <c r="D135" s="59">
        <v>991</v>
      </c>
    </row>
    <row r="136" spans="1:4" x14ac:dyDescent="0.45">
      <c r="A136" s="66">
        <v>57</v>
      </c>
      <c r="B136" s="59">
        <v>224</v>
      </c>
      <c r="C136" s="59">
        <v>604</v>
      </c>
      <c r="D136" s="59">
        <v>841</v>
      </c>
    </row>
    <row r="137" spans="1:4" x14ac:dyDescent="0.45">
      <c r="A137" s="66">
        <v>56</v>
      </c>
      <c r="B137" s="59">
        <v>277</v>
      </c>
      <c r="C137" s="59">
        <v>630</v>
      </c>
      <c r="D137" s="59">
        <v>913</v>
      </c>
    </row>
    <row r="138" spans="1:4" x14ac:dyDescent="0.45">
      <c r="A138" s="66">
        <v>55</v>
      </c>
      <c r="B138" s="59">
        <v>267</v>
      </c>
      <c r="C138" s="59">
        <v>748</v>
      </c>
      <c r="D138" s="59">
        <v>1023</v>
      </c>
    </row>
    <row r="139" spans="1:4" x14ac:dyDescent="0.45">
      <c r="A139" s="66">
        <v>54</v>
      </c>
      <c r="B139" s="59">
        <v>587</v>
      </c>
      <c r="C139" s="59">
        <v>1412</v>
      </c>
      <c r="D139" s="59">
        <v>2016</v>
      </c>
    </row>
    <row r="140" spans="1:4" x14ac:dyDescent="0.45">
      <c r="A140" s="66">
        <v>53</v>
      </c>
      <c r="B140" s="59">
        <v>320</v>
      </c>
      <c r="C140" s="59">
        <v>838</v>
      </c>
      <c r="D140" s="59">
        <v>1171</v>
      </c>
    </row>
    <row r="141" spans="1:4" x14ac:dyDescent="0.45">
      <c r="A141" s="66">
        <v>52</v>
      </c>
      <c r="B141" s="59">
        <v>281</v>
      </c>
      <c r="C141" s="59">
        <v>775</v>
      </c>
      <c r="D141" s="59">
        <v>1063</v>
      </c>
    </row>
    <row r="142" spans="1:4" x14ac:dyDescent="0.45">
      <c r="A142" s="66">
        <v>51</v>
      </c>
      <c r="B142" s="59">
        <v>356</v>
      </c>
      <c r="C142" s="59">
        <v>897</v>
      </c>
      <c r="D142" s="59">
        <v>1268</v>
      </c>
    </row>
    <row r="143" spans="1:4" x14ac:dyDescent="0.45">
      <c r="A143" s="66">
        <v>50</v>
      </c>
      <c r="B143" s="59">
        <v>329</v>
      </c>
      <c r="C143" s="59">
        <v>793</v>
      </c>
      <c r="D143" s="59">
        <v>1136</v>
      </c>
    </row>
    <row r="144" spans="1:4" x14ac:dyDescent="0.45">
      <c r="A144" s="66">
        <v>49</v>
      </c>
      <c r="B144" s="59">
        <v>327</v>
      </c>
      <c r="C144" s="59">
        <v>799</v>
      </c>
      <c r="D144" s="59">
        <v>1140</v>
      </c>
    </row>
    <row r="145" spans="1:4" x14ac:dyDescent="0.45">
      <c r="A145" s="66">
        <v>48</v>
      </c>
      <c r="B145" s="59">
        <v>719</v>
      </c>
      <c r="C145" s="59">
        <v>1660</v>
      </c>
      <c r="D145" s="59">
        <v>2406</v>
      </c>
    </row>
    <row r="146" spans="1:4" x14ac:dyDescent="0.45">
      <c r="A146" s="66">
        <v>47</v>
      </c>
      <c r="B146" s="59">
        <v>361</v>
      </c>
      <c r="C146" s="59">
        <v>844</v>
      </c>
      <c r="D146" s="59">
        <v>1214</v>
      </c>
    </row>
    <row r="147" spans="1:4" x14ac:dyDescent="0.45">
      <c r="A147" s="66">
        <v>46</v>
      </c>
      <c r="B147" s="59">
        <v>340</v>
      </c>
      <c r="C147" s="59">
        <v>802</v>
      </c>
      <c r="D147" s="59">
        <v>1157</v>
      </c>
    </row>
    <row r="148" spans="1:4" x14ac:dyDescent="0.45">
      <c r="A148" s="66">
        <v>45</v>
      </c>
      <c r="B148" s="59">
        <v>412</v>
      </c>
      <c r="C148" s="59">
        <v>803</v>
      </c>
      <c r="D148" s="59">
        <v>1224</v>
      </c>
    </row>
    <row r="149" spans="1:4" x14ac:dyDescent="0.45">
      <c r="A149" s="66">
        <v>44</v>
      </c>
      <c r="B149" s="59">
        <v>465</v>
      </c>
      <c r="C149" s="59">
        <v>865</v>
      </c>
      <c r="D149" s="59">
        <v>1345</v>
      </c>
    </row>
    <row r="150" spans="1:4" x14ac:dyDescent="0.45">
      <c r="A150" s="66">
        <v>43</v>
      </c>
      <c r="B150" s="59">
        <v>821</v>
      </c>
      <c r="C150" s="59">
        <v>1466</v>
      </c>
      <c r="D150" s="59">
        <v>2312</v>
      </c>
    </row>
    <row r="151" spans="1:4" x14ac:dyDescent="0.45">
      <c r="A151" s="66">
        <v>42</v>
      </c>
      <c r="B151" s="59">
        <v>520</v>
      </c>
      <c r="C151" s="59">
        <v>754</v>
      </c>
      <c r="D151" s="59">
        <v>1300</v>
      </c>
    </row>
    <row r="152" spans="1:4" x14ac:dyDescent="0.45">
      <c r="A152" s="66">
        <v>41</v>
      </c>
      <c r="B152" s="59">
        <v>612</v>
      </c>
      <c r="C152" s="59">
        <v>791</v>
      </c>
      <c r="D152" s="59">
        <v>1415</v>
      </c>
    </row>
    <row r="153" spans="1:4" x14ac:dyDescent="0.45">
      <c r="A153" s="66">
        <v>40</v>
      </c>
      <c r="B153" s="59">
        <v>1443</v>
      </c>
      <c r="C153" s="59">
        <v>1305</v>
      </c>
      <c r="D153" s="59">
        <v>2792</v>
      </c>
    </row>
    <row r="154" spans="1:4" x14ac:dyDescent="0.45">
      <c r="A154" s="66">
        <v>39</v>
      </c>
      <c r="B154" s="59">
        <v>396</v>
      </c>
      <c r="C154" s="59">
        <v>516</v>
      </c>
      <c r="D154" s="59">
        <v>919</v>
      </c>
    </row>
    <row r="155" spans="1:4" x14ac:dyDescent="0.45">
      <c r="A155" s="66">
        <v>38</v>
      </c>
      <c r="B155" s="59">
        <v>519</v>
      </c>
      <c r="C155" s="59">
        <v>611</v>
      </c>
      <c r="D155" s="59">
        <v>1151</v>
      </c>
    </row>
    <row r="156" spans="1:4" x14ac:dyDescent="0.45">
      <c r="A156" s="66">
        <v>37</v>
      </c>
      <c r="B156" s="59">
        <v>1330</v>
      </c>
      <c r="C156" s="59">
        <v>1447</v>
      </c>
      <c r="D156" s="59">
        <v>2820</v>
      </c>
    </row>
    <row r="157" spans="1:4" x14ac:dyDescent="0.45">
      <c r="A157" s="66">
        <v>36</v>
      </c>
      <c r="B157" s="59">
        <v>214</v>
      </c>
      <c r="C157" s="59">
        <v>253</v>
      </c>
      <c r="D157" s="59">
        <v>478</v>
      </c>
    </row>
    <row r="158" spans="1:4" x14ac:dyDescent="0.45">
      <c r="A158" s="66">
        <v>35</v>
      </c>
      <c r="B158" s="59">
        <v>210</v>
      </c>
      <c r="C158" s="59">
        <v>170</v>
      </c>
      <c r="D158" s="59">
        <v>386</v>
      </c>
    </row>
    <row r="159" spans="1:4" x14ac:dyDescent="0.45">
      <c r="A159" s="66">
        <v>34</v>
      </c>
      <c r="B159" s="59">
        <v>136</v>
      </c>
      <c r="C159" s="59">
        <v>156</v>
      </c>
      <c r="D159" s="59">
        <v>293</v>
      </c>
    </row>
    <row r="160" spans="1:4" x14ac:dyDescent="0.45">
      <c r="A160" s="66">
        <v>33</v>
      </c>
      <c r="B160" s="59">
        <v>68</v>
      </c>
      <c r="C160" s="59">
        <v>76</v>
      </c>
      <c r="D160" s="59">
        <v>144</v>
      </c>
    </row>
    <row r="161" spans="1:19" x14ac:dyDescent="0.45">
      <c r="A161" s="66">
        <v>32</v>
      </c>
      <c r="B161" s="59">
        <v>99</v>
      </c>
      <c r="C161" s="59">
        <v>89</v>
      </c>
      <c r="D161" s="59">
        <v>191</v>
      </c>
    </row>
    <row r="162" spans="1:19" x14ac:dyDescent="0.45">
      <c r="A162" s="66">
        <v>31</v>
      </c>
      <c r="B162" s="59">
        <v>32</v>
      </c>
      <c r="C162" s="59">
        <v>27</v>
      </c>
      <c r="D162" s="59">
        <v>60</v>
      </c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7" t="s">
        <v>58</v>
      </c>
      <c r="B175" s="48"/>
      <c r="C175" s="48"/>
      <c r="D175" s="49"/>
      <c r="F175" s="47" t="s">
        <v>18</v>
      </c>
      <c r="G175" s="48"/>
      <c r="H175" s="48"/>
      <c r="I175" s="49"/>
      <c r="K175" s="47" t="s">
        <v>19</v>
      </c>
      <c r="L175" s="48"/>
      <c r="M175" s="48"/>
      <c r="N175" s="49"/>
      <c r="P175" s="47" t="s">
        <v>20</v>
      </c>
      <c r="Q175" s="48"/>
      <c r="R175" s="48"/>
      <c r="S175" s="49"/>
    </row>
    <row r="176" spans="1:19" ht="17.5" thickBot="1" x14ac:dyDescent="0.5">
      <c r="A176" s="6" t="s">
        <v>7</v>
      </c>
      <c r="B176" s="1"/>
      <c r="C176" s="1"/>
      <c r="D176" s="7" t="s">
        <v>8</v>
      </c>
      <c r="F176" s="6" t="s">
        <v>7</v>
      </c>
      <c r="G176" s="1"/>
      <c r="H176" s="1"/>
      <c r="I176" s="7" t="s">
        <v>8</v>
      </c>
      <c r="K176" s="6" t="s">
        <v>7</v>
      </c>
      <c r="L176" s="1"/>
      <c r="M176" s="1"/>
      <c r="N176" s="7" t="s">
        <v>8</v>
      </c>
      <c r="P176" s="6" t="s">
        <v>7</v>
      </c>
      <c r="Q176" s="1"/>
      <c r="R176" s="1"/>
      <c r="S176" s="7" t="s">
        <v>8</v>
      </c>
    </row>
    <row r="177" spans="1:19" ht="17.5" thickTop="1" x14ac:dyDescent="0.45">
      <c r="A177" s="70">
        <v>80</v>
      </c>
      <c r="B177" s="62">
        <v>216</v>
      </c>
      <c r="C177" s="62">
        <v>17</v>
      </c>
      <c r="D177" s="62">
        <v>237</v>
      </c>
      <c r="E177" s="74">
        <v>237</v>
      </c>
      <c r="F177" s="70">
        <v>88</v>
      </c>
      <c r="G177" s="62">
        <v>39</v>
      </c>
      <c r="H177" s="62">
        <v>8</v>
      </c>
      <c r="I177" s="62">
        <v>47</v>
      </c>
      <c r="J177" s="74">
        <v>47</v>
      </c>
      <c r="K177" s="70">
        <v>75</v>
      </c>
      <c r="L177" s="62">
        <v>255</v>
      </c>
      <c r="M177" s="62">
        <v>167</v>
      </c>
      <c r="N177" s="62">
        <v>426</v>
      </c>
      <c r="O177" s="74">
        <v>426</v>
      </c>
      <c r="P177" s="70">
        <v>84</v>
      </c>
      <c r="Q177" s="62">
        <v>55</v>
      </c>
      <c r="R177" s="62">
        <v>29</v>
      </c>
      <c r="S177" s="62">
        <v>86</v>
      </c>
    </row>
    <row r="178" spans="1:19" x14ac:dyDescent="0.45">
      <c r="A178" s="66">
        <v>78</v>
      </c>
      <c r="B178" s="59">
        <v>115</v>
      </c>
      <c r="C178" s="59">
        <v>7</v>
      </c>
      <c r="D178" s="59">
        <v>123</v>
      </c>
      <c r="E178" s="67">
        <v>360</v>
      </c>
      <c r="F178" s="66">
        <v>86</v>
      </c>
      <c r="G178" s="59">
        <v>6</v>
      </c>
      <c r="H178" s="59">
        <v>4</v>
      </c>
      <c r="I178" s="59">
        <v>10</v>
      </c>
      <c r="J178" s="67">
        <v>57</v>
      </c>
      <c r="K178" s="66">
        <v>73</v>
      </c>
      <c r="L178" s="59">
        <v>335</v>
      </c>
      <c r="M178" s="59">
        <v>301</v>
      </c>
      <c r="N178" s="59">
        <v>645</v>
      </c>
      <c r="O178" s="67">
        <v>1071</v>
      </c>
      <c r="P178" s="66">
        <v>82</v>
      </c>
      <c r="Q178" s="59">
        <v>34</v>
      </c>
      <c r="R178" s="59">
        <v>21</v>
      </c>
      <c r="S178" s="59">
        <v>55</v>
      </c>
    </row>
    <row r="179" spans="1:19" x14ac:dyDescent="0.45">
      <c r="A179" s="66">
        <v>77</v>
      </c>
      <c r="B179" s="59">
        <v>214</v>
      </c>
      <c r="C179" s="59">
        <v>27</v>
      </c>
      <c r="D179" s="59">
        <v>243</v>
      </c>
      <c r="E179" s="67">
        <v>603</v>
      </c>
      <c r="F179" s="66">
        <v>85</v>
      </c>
      <c r="G179" s="59">
        <v>68</v>
      </c>
      <c r="H179" s="59">
        <v>29</v>
      </c>
      <c r="I179" s="59">
        <v>99</v>
      </c>
      <c r="J179" s="67">
        <v>156</v>
      </c>
      <c r="K179" s="66">
        <v>72</v>
      </c>
      <c r="L179" s="59">
        <v>268</v>
      </c>
      <c r="M179" s="59">
        <v>165</v>
      </c>
      <c r="N179" s="59">
        <v>437</v>
      </c>
      <c r="O179" s="67">
        <v>1508</v>
      </c>
      <c r="P179" s="66">
        <v>81</v>
      </c>
      <c r="Q179" s="59">
        <v>149</v>
      </c>
      <c r="R179" s="59">
        <v>69</v>
      </c>
      <c r="S179" s="59">
        <v>220</v>
      </c>
    </row>
    <row r="180" spans="1:19" x14ac:dyDescent="0.45">
      <c r="A180" s="66">
        <v>76</v>
      </c>
      <c r="B180" s="59">
        <v>23</v>
      </c>
      <c r="C180" s="59">
        <v>1</v>
      </c>
      <c r="D180" s="59">
        <v>25</v>
      </c>
      <c r="E180" s="67">
        <v>628</v>
      </c>
      <c r="F180" s="66">
        <v>83</v>
      </c>
      <c r="G180" s="59">
        <v>5</v>
      </c>
      <c r="H180" s="59">
        <v>1</v>
      </c>
      <c r="I180" s="59">
        <v>6</v>
      </c>
      <c r="J180" s="67">
        <v>162</v>
      </c>
      <c r="K180" s="66">
        <v>71</v>
      </c>
      <c r="L180" s="59">
        <v>205</v>
      </c>
      <c r="M180" s="59">
        <v>196</v>
      </c>
      <c r="N180" s="59">
        <v>406</v>
      </c>
      <c r="O180" s="67">
        <v>1914</v>
      </c>
      <c r="P180" s="66">
        <v>79</v>
      </c>
      <c r="Q180" s="59">
        <v>14</v>
      </c>
      <c r="R180" s="59">
        <v>4</v>
      </c>
      <c r="S180" s="59">
        <v>18</v>
      </c>
    </row>
    <row r="181" spans="1:19" x14ac:dyDescent="0.45">
      <c r="A181" s="66">
        <v>75</v>
      </c>
      <c r="B181" s="59">
        <v>148</v>
      </c>
      <c r="C181" s="59">
        <v>28</v>
      </c>
      <c r="D181" s="59">
        <v>178</v>
      </c>
      <c r="E181" s="67">
        <v>806</v>
      </c>
      <c r="F181" s="66">
        <v>82</v>
      </c>
      <c r="G181" s="59">
        <v>48</v>
      </c>
      <c r="H181" s="59">
        <v>21</v>
      </c>
      <c r="I181" s="59">
        <v>70</v>
      </c>
      <c r="J181" s="67">
        <v>232</v>
      </c>
      <c r="K181" s="66">
        <v>70</v>
      </c>
      <c r="L181" s="59">
        <v>548</v>
      </c>
      <c r="M181" s="59">
        <v>502</v>
      </c>
      <c r="N181" s="59">
        <v>1058</v>
      </c>
      <c r="O181" s="67">
        <v>2972</v>
      </c>
      <c r="P181" s="66">
        <v>78</v>
      </c>
      <c r="Q181" s="59">
        <v>132</v>
      </c>
      <c r="R181" s="59">
        <v>53</v>
      </c>
      <c r="S181" s="59">
        <v>190</v>
      </c>
    </row>
    <row r="182" spans="1:19" x14ac:dyDescent="0.45">
      <c r="A182" s="66">
        <v>74</v>
      </c>
      <c r="B182" s="59">
        <v>199</v>
      </c>
      <c r="C182" s="59">
        <v>36</v>
      </c>
      <c r="D182" s="59">
        <v>236</v>
      </c>
      <c r="E182" s="67">
        <v>1042</v>
      </c>
      <c r="F182" s="66">
        <v>81</v>
      </c>
      <c r="G182" s="59">
        <v>85</v>
      </c>
      <c r="H182" s="59">
        <v>37</v>
      </c>
      <c r="I182" s="59">
        <v>123</v>
      </c>
      <c r="J182" s="67">
        <v>355</v>
      </c>
      <c r="K182" s="66">
        <v>69</v>
      </c>
      <c r="L182" s="59">
        <v>232</v>
      </c>
      <c r="M182" s="59">
        <v>220</v>
      </c>
      <c r="N182" s="59">
        <v>456</v>
      </c>
      <c r="O182" s="67">
        <v>3428</v>
      </c>
      <c r="P182" s="66">
        <v>77</v>
      </c>
      <c r="Q182" s="59">
        <v>206</v>
      </c>
      <c r="R182" s="59">
        <v>108</v>
      </c>
      <c r="S182" s="59">
        <v>317</v>
      </c>
    </row>
    <row r="183" spans="1:19" x14ac:dyDescent="0.45">
      <c r="A183" s="66">
        <v>73</v>
      </c>
      <c r="B183" s="59">
        <v>73</v>
      </c>
      <c r="C183" s="59">
        <v>10</v>
      </c>
      <c r="D183" s="59">
        <v>84</v>
      </c>
      <c r="E183" s="67">
        <v>1126</v>
      </c>
      <c r="F183" s="66">
        <v>80</v>
      </c>
      <c r="G183" s="59">
        <v>32</v>
      </c>
      <c r="H183" s="59">
        <v>9</v>
      </c>
      <c r="I183" s="59">
        <v>41</v>
      </c>
      <c r="J183" s="67">
        <v>396</v>
      </c>
      <c r="K183" s="66">
        <v>68</v>
      </c>
      <c r="L183" s="59">
        <v>518</v>
      </c>
      <c r="M183" s="59">
        <v>418</v>
      </c>
      <c r="N183" s="59">
        <v>947</v>
      </c>
      <c r="O183" s="67">
        <v>4375</v>
      </c>
      <c r="P183" s="66">
        <v>76</v>
      </c>
      <c r="Q183" s="59">
        <v>61</v>
      </c>
      <c r="R183" s="59">
        <v>23</v>
      </c>
      <c r="S183" s="59">
        <v>84</v>
      </c>
    </row>
    <row r="184" spans="1:19" x14ac:dyDescent="0.45">
      <c r="A184" s="66">
        <v>72</v>
      </c>
      <c r="B184" s="59">
        <v>223</v>
      </c>
      <c r="C184" s="59">
        <v>30</v>
      </c>
      <c r="D184" s="59">
        <v>255</v>
      </c>
      <c r="E184" s="67">
        <v>1381</v>
      </c>
      <c r="F184" s="66">
        <v>79</v>
      </c>
      <c r="G184" s="59">
        <v>103</v>
      </c>
      <c r="H184" s="59">
        <v>43</v>
      </c>
      <c r="I184" s="59">
        <v>146</v>
      </c>
      <c r="J184" s="67">
        <v>542</v>
      </c>
      <c r="K184" s="66">
        <v>67</v>
      </c>
      <c r="L184" s="59">
        <v>847</v>
      </c>
      <c r="M184" s="59">
        <v>804</v>
      </c>
      <c r="N184" s="59">
        <v>1672</v>
      </c>
      <c r="O184" s="67">
        <v>6047</v>
      </c>
      <c r="P184" s="66">
        <v>75</v>
      </c>
      <c r="Q184" s="59">
        <v>220</v>
      </c>
      <c r="R184" s="59">
        <v>116</v>
      </c>
      <c r="S184" s="59">
        <v>339</v>
      </c>
    </row>
    <row r="185" spans="1:19" x14ac:dyDescent="0.45">
      <c r="A185" s="66">
        <v>71</v>
      </c>
      <c r="B185" s="59">
        <v>184</v>
      </c>
      <c r="C185" s="59">
        <v>40</v>
      </c>
      <c r="D185" s="59">
        <v>227</v>
      </c>
      <c r="E185" s="67">
        <v>1608</v>
      </c>
      <c r="F185" s="66">
        <v>78</v>
      </c>
      <c r="G185" s="59">
        <v>112</v>
      </c>
      <c r="H185" s="59">
        <v>50</v>
      </c>
      <c r="I185" s="59">
        <v>166</v>
      </c>
      <c r="J185" s="67">
        <v>708</v>
      </c>
      <c r="K185" s="66">
        <v>66</v>
      </c>
      <c r="L185" s="59">
        <v>608</v>
      </c>
      <c r="M185" s="59">
        <v>603</v>
      </c>
      <c r="N185" s="59">
        <v>1227</v>
      </c>
      <c r="O185" s="67">
        <v>7274</v>
      </c>
      <c r="P185" s="66">
        <v>74</v>
      </c>
      <c r="Q185" s="59">
        <v>197</v>
      </c>
      <c r="R185" s="59">
        <v>101</v>
      </c>
      <c r="S185" s="59">
        <v>298</v>
      </c>
    </row>
    <row r="186" spans="1:19" x14ac:dyDescent="0.45">
      <c r="A186" s="66">
        <v>70</v>
      </c>
      <c r="B186" s="59">
        <v>151</v>
      </c>
      <c r="C186" s="59">
        <v>22</v>
      </c>
      <c r="D186" s="59">
        <v>176</v>
      </c>
      <c r="E186" s="67">
        <v>1784</v>
      </c>
      <c r="F186" s="66">
        <v>77</v>
      </c>
      <c r="G186" s="59">
        <v>77</v>
      </c>
      <c r="H186" s="59">
        <v>36</v>
      </c>
      <c r="I186" s="59">
        <v>114</v>
      </c>
      <c r="J186" s="67">
        <v>822</v>
      </c>
      <c r="K186" s="66">
        <v>65</v>
      </c>
      <c r="L186" s="59">
        <v>383</v>
      </c>
      <c r="M186" s="59">
        <v>429</v>
      </c>
      <c r="N186" s="59">
        <v>822</v>
      </c>
      <c r="O186" s="67">
        <v>8096</v>
      </c>
      <c r="P186" s="66">
        <v>73</v>
      </c>
      <c r="Q186" s="59">
        <v>140</v>
      </c>
      <c r="R186" s="59">
        <v>103</v>
      </c>
      <c r="S186" s="59">
        <v>244</v>
      </c>
    </row>
    <row r="187" spans="1:19" x14ac:dyDescent="0.45">
      <c r="A187" s="66">
        <v>69</v>
      </c>
      <c r="B187" s="59">
        <v>293</v>
      </c>
      <c r="C187" s="59">
        <v>57</v>
      </c>
      <c r="D187" s="59">
        <v>353</v>
      </c>
      <c r="E187" s="67">
        <v>2137</v>
      </c>
      <c r="F187" s="66">
        <v>75</v>
      </c>
      <c r="G187" s="59">
        <v>174</v>
      </c>
      <c r="H187" s="59">
        <v>88</v>
      </c>
      <c r="I187" s="59">
        <v>267</v>
      </c>
      <c r="J187" s="67">
        <v>1089</v>
      </c>
      <c r="K187" s="66">
        <v>64</v>
      </c>
      <c r="L187" s="59">
        <v>543</v>
      </c>
      <c r="M187" s="59">
        <v>543</v>
      </c>
      <c r="N187" s="59">
        <v>1094</v>
      </c>
      <c r="O187" s="67">
        <v>9190</v>
      </c>
      <c r="P187" s="66">
        <v>72</v>
      </c>
      <c r="Q187" s="59">
        <v>268</v>
      </c>
      <c r="R187" s="59">
        <v>154</v>
      </c>
      <c r="S187" s="59">
        <v>428</v>
      </c>
    </row>
    <row r="188" spans="1:19" x14ac:dyDescent="0.45">
      <c r="A188" s="66">
        <v>68</v>
      </c>
      <c r="B188" s="59">
        <v>199</v>
      </c>
      <c r="C188" s="59">
        <v>46</v>
      </c>
      <c r="D188" s="59">
        <v>247</v>
      </c>
      <c r="E188" s="67">
        <v>2384</v>
      </c>
      <c r="F188" s="66">
        <v>74</v>
      </c>
      <c r="G188" s="59">
        <v>150</v>
      </c>
      <c r="H188" s="59">
        <v>80</v>
      </c>
      <c r="I188" s="59">
        <v>230</v>
      </c>
      <c r="J188" s="67">
        <v>1319</v>
      </c>
      <c r="K188" s="66">
        <v>63</v>
      </c>
      <c r="L188" s="59">
        <v>577</v>
      </c>
      <c r="M188" s="59">
        <v>625</v>
      </c>
      <c r="N188" s="59">
        <v>1212</v>
      </c>
      <c r="O188" s="67">
        <v>10402</v>
      </c>
      <c r="P188" s="66">
        <v>71</v>
      </c>
      <c r="Q188" s="59">
        <v>201</v>
      </c>
      <c r="R188" s="59">
        <v>128</v>
      </c>
      <c r="S188" s="59">
        <v>333</v>
      </c>
    </row>
    <row r="189" spans="1:19" x14ac:dyDescent="0.45">
      <c r="A189" s="66">
        <v>67</v>
      </c>
      <c r="B189" s="59">
        <v>237</v>
      </c>
      <c r="C189" s="59">
        <v>44</v>
      </c>
      <c r="D189" s="59">
        <v>283</v>
      </c>
      <c r="E189" s="67">
        <v>2667</v>
      </c>
      <c r="F189" s="66">
        <v>73</v>
      </c>
      <c r="G189" s="59">
        <v>183</v>
      </c>
      <c r="H189" s="59">
        <v>92</v>
      </c>
      <c r="I189" s="59">
        <v>276</v>
      </c>
      <c r="J189" s="67">
        <v>1595</v>
      </c>
      <c r="K189" s="66">
        <v>62</v>
      </c>
      <c r="L189" s="59">
        <v>498</v>
      </c>
      <c r="M189" s="59">
        <v>567</v>
      </c>
      <c r="N189" s="59">
        <v>1076</v>
      </c>
      <c r="O189" s="67">
        <v>11478</v>
      </c>
      <c r="P189" s="66">
        <v>70</v>
      </c>
      <c r="Q189" s="59">
        <v>287</v>
      </c>
      <c r="R189" s="59">
        <v>153</v>
      </c>
      <c r="S189" s="59">
        <v>445</v>
      </c>
    </row>
    <row r="190" spans="1:19" x14ac:dyDescent="0.45">
      <c r="A190" s="66">
        <v>66</v>
      </c>
      <c r="B190" s="59">
        <v>326</v>
      </c>
      <c r="C190" s="59">
        <v>87</v>
      </c>
      <c r="D190" s="59">
        <v>416</v>
      </c>
      <c r="E190" s="67">
        <v>3083</v>
      </c>
      <c r="F190" s="66">
        <v>72</v>
      </c>
      <c r="G190" s="59">
        <v>212</v>
      </c>
      <c r="H190" s="59">
        <v>129</v>
      </c>
      <c r="I190" s="59">
        <v>343</v>
      </c>
      <c r="J190" s="67">
        <v>1938</v>
      </c>
      <c r="K190" s="66">
        <v>61</v>
      </c>
      <c r="L190" s="59">
        <v>622</v>
      </c>
      <c r="M190" s="59">
        <v>756</v>
      </c>
      <c r="N190" s="59">
        <v>1398</v>
      </c>
      <c r="O190" s="67">
        <v>12876</v>
      </c>
      <c r="P190" s="66">
        <v>69</v>
      </c>
      <c r="Q190" s="59">
        <v>312</v>
      </c>
      <c r="R190" s="59">
        <v>194</v>
      </c>
      <c r="S190" s="59">
        <v>509</v>
      </c>
    </row>
    <row r="191" spans="1:19" x14ac:dyDescent="0.45">
      <c r="A191" s="66">
        <v>65</v>
      </c>
      <c r="B191" s="59">
        <v>256</v>
      </c>
      <c r="C191" s="59">
        <v>75</v>
      </c>
      <c r="D191" s="59">
        <v>336</v>
      </c>
      <c r="E191" s="67">
        <v>3419</v>
      </c>
      <c r="F191" s="66">
        <v>71</v>
      </c>
      <c r="G191" s="59">
        <v>215</v>
      </c>
      <c r="H191" s="59">
        <v>119</v>
      </c>
      <c r="I191" s="59">
        <v>340</v>
      </c>
      <c r="J191" s="67">
        <v>2278</v>
      </c>
      <c r="K191" s="66">
        <v>60</v>
      </c>
      <c r="L191" s="59">
        <v>600</v>
      </c>
      <c r="M191" s="59">
        <v>718</v>
      </c>
      <c r="N191" s="59">
        <v>1328</v>
      </c>
      <c r="O191" s="67">
        <v>14204</v>
      </c>
      <c r="P191" s="66">
        <v>68</v>
      </c>
      <c r="Q191" s="59">
        <v>251</v>
      </c>
      <c r="R191" s="59">
        <v>169</v>
      </c>
      <c r="S191" s="59">
        <v>426</v>
      </c>
    </row>
    <row r="192" spans="1:19" x14ac:dyDescent="0.45">
      <c r="A192" s="66">
        <v>64</v>
      </c>
      <c r="B192" s="59">
        <v>330</v>
      </c>
      <c r="C192" s="59">
        <v>84</v>
      </c>
      <c r="D192" s="59">
        <v>418</v>
      </c>
      <c r="E192" s="67">
        <v>3837</v>
      </c>
      <c r="F192" s="66">
        <v>70</v>
      </c>
      <c r="G192" s="59">
        <v>252</v>
      </c>
      <c r="H192" s="59">
        <v>171</v>
      </c>
      <c r="I192" s="59">
        <v>427</v>
      </c>
      <c r="J192" s="67">
        <v>2705</v>
      </c>
      <c r="K192" s="66">
        <v>59</v>
      </c>
      <c r="L192" s="59">
        <v>623</v>
      </c>
      <c r="M192" s="59">
        <v>771</v>
      </c>
      <c r="N192" s="59">
        <v>1411</v>
      </c>
      <c r="O192" s="67">
        <v>15615</v>
      </c>
      <c r="P192" s="66">
        <v>67</v>
      </c>
      <c r="Q192" s="59">
        <v>371</v>
      </c>
      <c r="R192" s="59">
        <v>241</v>
      </c>
      <c r="S192" s="59">
        <v>615</v>
      </c>
    </row>
    <row r="193" spans="1:19" x14ac:dyDescent="0.45">
      <c r="A193" s="66">
        <v>63</v>
      </c>
      <c r="B193" s="59">
        <v>347</v>
      </c>
      <c r="C193" s="59">
        <v>96</v>
      </c>
      <c r="D193" s="59">
        <v>448</v>
      </c>
      <c r="E193" s="67">
        <v>4285</v>
      </c>
      <c r="F193" s="66">
        <v>68</v>
      </c>
      <c r="G193" s="59">
        <v>268</v>
      </c>
      <c r="H193" s="59">
        <v>165</v>
      </c>
      <c r="I193" s="59">
        <v>437</v>
      </c>
      <c r="J193" s="67">
        <v>3142</v>
      </c>
      <c r="K193" s="66">
        <v>58</v>
      </c>
      <c r="L193" s="59">
        <v>695</v>
      </c>
      <c r="M193" s="59">
        <v>840</v>
      </c>
      <c r="N193" s="59">
        <v>1557</v>
      </c>
      <c r="O193" s="67">
        <v>17172</v>
      </c>
      <c r="P193" s="66">
        <v>66</v>
      </c>
      <c r="Q193" s="59">
        <v>354</v>
      </c>
      <c r="R193" s="59">
        <v>222</v>
      </c>
      <c r="S193" s="59">
        <v>585</v>
      </c>
    </row>
    <row r="194" spans="1:19" x14ac:dyDescent="0.45">
      <c r="A194" s="66">
        <v>62</v>
      </c>
      <c r="B194" s="59">
        <v>320</v>
      </c>
      <c r="C194" s="59">
        <v>85</v>
      </c>
      <c r="D194" s="59">
        <v>411</v>
      </c>
      <c r="E194" s="67">
        <v>4696</v>
      </c>
      <c r="F194" s="66">
        <v>67</v>
      </c>
      <c r="G194" s="59">
        <v>308</v>
      </c>
      <c r="H194" s="59">
        <v>214</v>
      </c>
      <c r="I194" s="59">
        <v>525</v>
      </c>
      <c r="J194" s="67">
        <v>3667</v>
      </c>
      <c r="K194" s="66">
        <v>57</v>
      </c>
      <c r="L194" s="59">
        <v>615</v>
      </c>
      <c r="M194" s="59">
        <v>848</v>
      </c>
      <c r="N194" s="59">
        <v>1485</v>
      </c>
      <c r="O194" s="67">
        <v>18657</v>
      </c>
      <c r="P194" s="66">
        <v>65</v>
      </c>
      <c r="Q194" s="59">
        <v>402</v>
      </c>
      <c r="R194" s="59">
        <v>233</v>
      </c>
      <c r="S194" s="59">
        <v>643</v>
      </c>
    </row>
    <row r="195" spans="1:19" x14ac:dyDescent="0.45">
      <c r="A195" s="66">
        <v>61</v>
      </c>
      <c r="B195" s="59">
        <v>438</v>
      </c>
      <c r="C195" s="59">
        <v>140</v>
      </c>
      <c r="D195" s="59">
        <v>586</v>
      </c>
      <c r="E195" s="67">
        <v>5282</v>
      </c>
      <c r="F195" s="66">
        <v>66</v>
      </c>
      <c r="G195" s="59">
        <v>354</v>
      </c>
      <c r="H195" s="59">
        <v>279</v>
      </c>
      <c r="I195" s="59">
        <v>640</v>
      </c>
      <c r="J195" s="67">
        <v>4307</v>
      </c>
      <c r="K195" s="66">
        <v>56</v>
      </c>
      <c r="L195" s="59">
        <v>1588</v>
      </c>
      <c r="M195" s="59">
        <v>2038</v>
      </c>
      <c r="N195" s="59">
        <v>3660</v>
      </c>
      <c r="O195" s="67">
        <v>22317</v>
      </c>
      <c r="P195" s="66">
        <v>64</v>
      </c>
      <c r="Q195" s="59">
        <v>480</v>
      </c>
      <c r="R195" s="59">
        <v>313</v>
      </c>
      <c r="S195" s="59">
        <v>800</v>
      </c>
    </row>
    <row r="196" spans="1:19" x14ac:dyDescent="0.45">
      <c r="A196" s="66">
        <v>60</v>
      </c>
      <c r="B196" s="59">
        <v>404</v>
      </c>
      <c r="C196" s="59">
        <v>126</v>
      </c>
      <c r="D196" s="59">
        <v>536</v>
      </c>
      <c r="E196" s="67">
        <v>5818</v>
      </c>
      <c r="F196" s="66">
        <v>65</v>
      </c>
      <c r="G196" s="59">
        <v>359</v>
      </c>
      <c r="H196" s="59">
        <v>267</v>
      </c>
      <c r="I196" s="59">
        <v>632</v>
      </c>
      <c r="J196" s="67">
        <v>4939</v>
      </c>
      <c r="K196" s="66">
        <v>55</v>
      </c>
      <c r="L196" s="59">
        <v>860</v>
      </c>
      <c r="M196" s="59">
        <v>1152</v>
      </c>
      <c r="N196" s="59">
        <v>2029</v>
      </c>
      <c r="O196" s="67">
        <v>24346</v>
      </c>
      <c r="P196" s="66">
        <v>62</v>
      </c>
      <c r="Q196" s="59">
        <v>423</v>
      </c>
      <c r="R196" s="59">
        <v>265</v>
      </c>
      <c r="S196" s="59">
        <v>697</v>
      </c>
    </row>
    <row r="197" spans="1:19" x14ac:dyDescent="0.45">
      <c r="A197" s="66">
        <v>59</v>
      </c>
      <c r="B197" s="59">
        <v>451</v>
      </c>
      <c r="C197" s="59">
        <v>126</v>
      </c>
      <c r="D197" s="59">
        <v>579</v>
      </c>
      <c r="E197" s="67">
        <v>6397</v>
      </c>
      <c r="F197" s="66">
        <v>64</v>
      </c>
      <c r="G197" s="59">
        <v>438</v>
      </c>
      <c r="H197" s="59">
        <v>319</v>
      </c>
      <c r="I197" s="59">
        <v>762</v>
      </c>
      <c r="J197" s="67">
        <v>5701</v>
      </c>
      <c r="K197" s="66">
        <v>54</v>
      </c>
      <c r="L197" s="59">
        <v>821</v>
      </c>
      <c r="M197" s="59">
        <v>1170</v>
      </c>
      <c r="N197" s="59">
        <v>2010</v>
      </c>
      <c r="O197" s="67">
        <v>26356</v>
      </c>
      <c r="P197" s="66">
        <v>61</v>
      </c>
      <c r="Q197" s="59">
        <v>530</v>
      </c>
      <c r="R197" s="59">
        <v>365</v>
      </c>
      <c r="S197" s="59">
        <v>908</v>
      </c>
    </row>
    <row r="198" spans="1:19" x14ac:dyDescent="0.45">
      <c r="A198" s="66">
        <v>58</v>
      </c>
      <c r="B198" s="59">
        <v>486</v>
      </c>
      <c r="C198" s="59">
        <v>180</v>
      </c>
      <c r="D198" s="59">
        <v>674</v>
      </c>
      <c r="E198" s="67">
        <v>7071</v>
      </c>
      <c r="F198" s="66">
        <v>63</v>
      </c>
      <c r="G198" s="59">
        <v>460</v>
      </c>
      <c r="H198" s="59">
        <v>309</v>
      </c>
      <c r="I198" s="59">
        <v>785</v>
      </c>
      <c r="J198" s="67">
        <v>6486</v>
      </c>
      <c r="K198" s="66">
        <v>53</v>
      </c>
      <c r="L198" s="59">
        <v>856</v>
      </c>
      <c r="M198" s="59">
        <v>1126</v>
      </c>
      <c r="N198" s="59">
        <v>2000</v>
      </c>
      <c r="O198" s="67">
        <v>28356</v>
      </c>
      <c r="P198" s="66">
        <v>60</v>
      </c>
      <c r="Q198" s="59">
        <v>506</v>
      </c>
      <c r="R198" s="59">
        <v>364</v>
      </c>
      <c r="S198" s="59">
        <v>877</v>
      </c>
    </row>
    <row r="199" spans="1:19" x14ac:dyDescent="0.45">
      <c r="A199" s="66">
        <v>57</v>
      </c>
      <c r="B199" s="59">
        <v>488</v>
      </c>
      <c r="C199" s="59">
        <v>172</v>
      </c>
      <c r="D199" s="59">
        <v>666</v>
      </c>
      <c r="E199" s="67">
        <v>7737</v>
      </c>
      <c r="F199" s="66">
        <v>61</v>
      </c>
      <c r="G199" s="59">
        <v>460</v>
      </c>
      <c r="H199" s="59">
        <v>342</v>
      </c>
      <c r="I199" s="59">
        <v>808</v>
      </c>
      <c r="J199" s="67">
        <v>7294</v>
      </c>
      <c r="K199" s="66">
        <v>52</v>
      </c>
      <c r="L199" s="59">
        <v>903</v>
      </c>
      <c r="M199" s="59">
        <v>1372</v>
      </c>
      <c r="N199" s="59">
        <v>2295</v>
      </c>
      <c r="O199" s="67">
        <v>30651</v>
      </c>
      <c r="P199" s="66">
        <v>59</v>
      </c>
      <c r="Q199" s="59">
        <v>507</v>
      </c>
      <c r="R199" s="59">
        <v>406</v>
      </c>
      <c r="S199" s="59">
        <v>920</v>
      </c>
    </row>
    <row r="200" spans="1:19" x14ac:dyDescent="0.45">
      <c r="A200" s="66">
        <v>56</v>
      </c>
      <c r="B200" s="59">
        <v>591</v>
      </c>
      <c r="C200" s="59">
        <v>210</v>
      </c>
      <c r="D200" s="59">
        <v>816</v>
      </c>
      <c r="E200" s="67">
        <v>8553</v>
      </c>
      <c r="F200" s="66">
        <v>60</v>
      </c>
      <c r="G200" s="59">
        <v>579</v>
      </c>
      <c r="H200" s="59">
        <v>392</v>
      </c>
      <c r="I200" s="59">
        <v>983</v>
      </c>
      <c r="J200" s="67">
        <v>8277</v>
      </c>
      <c r="K200" s="66">
        <v>51</v>
      </c>
      <c r="L200" s="59">
        <v>946</v>
      </c>
      <c r="M200" s="59">
        <v>1251</v>
      </c>
      <c r="N200" s="59">
        <v>2215</v>
      </c>
      <c r="O200" s="67">
        <v>32866</v>
      </c>
      <c r="P200" s="66">
        <v>58</v>
      </c>
      <c r="Q200" s="59">
        <v>601</v>
      </c>
      <c r="R200" s="59">
        <v>460</v>
      </c>
      <c r="S200" s="59">
        <v>1075</v>
      </c>
    </row>
    <row r="201" spans="1:19" x14ac:dyDescent="0.45">
      <c r="A201" s="66">
        <v>55</v>
      </c>
      <c r="B201" s="59">
        <v>1254</v>
      </c>
      <c r="C201" s="59">
        <v>412</v>
      </c>
      <c r="D201" s="59">
        <v>1682</v>
      </c>
      <c r="E201" s="67">
        <v>10235</v>
      </c>
      <c r="F201" s="66">
        <v>59</v>
      </c>
      <c r="G201" s="59">
        <v>516</v>
      </c>
      <c r="H201" s="59">
        <v>418</v>
      </c>
      <c r="I201" s="59">
        <v>954</v>
      </c>
      <c r="J201" s="67">
        <v>9231</v>
      </c>
      <c r="K201" s="66">
        <v>50</v>
      </c>
      <c r="L201" s="59">
        <v>1046</v>
      </c>
      <c r="M201" s="59">
        <v>1342</v>
      </c>
      <c r="N201" s="59">
        <v>2406</v>
      </c>
      <c r="O201" s="67">
        <v>35272</v>
      </c>
      <c r="P201" s="66">
        <v>57</v>
      </c>
      <c r="Q201" s="59">
        <v>633</v>
      </c>
      <c r="R201" s="59">
        <v>428</v>
      </c>
      <c r="S201" s="59">
        <v>1079</v>
      </c>
    </row>
    <row r="202" spans="1:19" x14ac:dyDescent="0.45">
      <c r="A202" s="66">
        <v>54</v>
      </c>
      <c r="B202" s="59">
        <v>719</v>
      </c>
      <c r="C202" s="59">
        <v>232</v>
      </c>
      <c r="D202" s="59">
        <v>960</v>
      </c>
      <c r="E202" s="67">
        <v>11195</v>
      </c>
      <c r="F202" s="66">
        <v>58</v>
      </c>
      <c r="G202" s="59">
        <v>653</v>
      </c>
      <c r="H202" s="59">
        <v>518</v>
      </c>
      <c r="I202" s="59">
        <v>1184</v>
      </c>
      <c r="J202" s="67">
        <v>10415</v>
      </c>
      <c r="K202" s="66">
        <v>49</v>
      </c>
      <c r="L202" s="59">
        <v>1159</v>
      </c>
      <c r="M202" s="59">
        <v>1490</v>
      </c>
      <c r="N202" s="59">
        <v>2671</v>
      </c>
      <c r="O202" s="67">
        <v>37943</v>
      </c>
      <c r="P202" s="66">
        <v>56</v>
      </c>
      <c r="Q202" s="59">
        <v>721</v>
      </c>
      <c r="R202" s="59">
        <v>560</v>
      </c>
      <c r="S202" s="59">
        <v>1295</v>
      </c>
    </row>
    <row r="203" spans="1:19" x14ac:dyDescent="0.45">
      <c r="A203" s="66">
        <v>53</v>
      </c>
      <c r="B203" s="59">
        <v>778</v>
      </c>
      <c r="C203" s="59">
        <v>244</v>
      </c>
      <c r="D203" s="59">
        <v>1032</v>
      </c>
      <c r="E203" s="67">
        <v>12227</v>
      </c>
      <c r="F203" s="66">
        <v>57</v>
      </c>
      <c r="G203" s="59">
        <v>717</v>
      </c>
      <c r="H203" s="59">
        <v>626</v>
      </c>
      <c r="I203" s="59">
        <v>1356</v>
      </c>
      <c r="J203" s="67">
        <v>11771</v>
      </c>
      <c r="K203" s="66">
        <v>48</v>
      </c>
      <c r="L203" s="59">
        <v>1005</v>
      </c>
      <c r="M203" s="59">
        <v>1347</v>
      </c>
      <c r="N203" s="59">
        <v>2375</v>
      </c>
      <c r="O203" s="67">
        <v>40318</v>
      </c>
      <c r="P203" s="66">
        <v>55</v>
      </c>
      <c r="Q203" s="59">
        <v>775</v>
      </c>
      <c r="R203" s="59">
        <v>586</v>
      </c>
      <c r="S203" s="59">
        <v>1373</v>
      </c>
    </row>
    <row r="204" spans="1:19" x14ac:dyDescent="0.45">
      <c r="A204" s="66">
        <v>52</v>
      </c>
      <c r="B204" s="59">
        <v>851</v>
      </c>
      <c r="C204" s="59">
        <v>289</v>
      </c>
      <c r="D204" s="59">
        <v>1156</v>
      </c>
      <c r="E204" s="67">
        <v>13383</v>
      </c>
      <c r="F204" s="66">
        <v>56</v>
      </c>
      <c r="G204" s="59">
        <v>732</v>
      </c>
      <c r="H204" s="59">
        <v>659</v>
      </c>
      <c r="I204" s="59">
        <v>1411</v>
      </c>
      <c r="J204" s="67">
        <v>13182</v>
      </c>
      <c r="K204" s="66">
        <v>47</v>
      </c>
      <c r="L204" s="59">
        <v>1174</v>
      </c>
      <c r="M204" s="59">
        <v>1547</v>
      </c>
      <c r="N204" s="59">
        <v>2756</v>
      </c>
      <c r="O204" s="67">
        <v>43074</v>
      </c>
      <c r="P204" s="66">
        <v>54</v>
      </c>
      <c r="Q204" s="59">
        <v>826</v>
      </c>
      <c r="R204" s="59">
        <v>562</v>
      </c>
      <c r="S204" s="59">
        <v>1404</v>
      </c>
    </row>
    <row r="205" spans="1:19" x14ac:dyDescent="0.45">
      <c r="A205" s="66">
        <v>51</v>
      </c>
      <c r="B205" s="59">
        <v>910</v>
      </c>
      <c r="C205" s="59">
        <v>305</v>
      </c>
      <c r="D205" s="59">
        <v>1231</v>
      </c>
      <c r="E205" s="67">
        <v>14614</v>
      </c>
      <c r="F205" s="66">
        <v>54</v>
      </c>
      <c r="G205" s="59">
        <v>790</v>
      </c>
      <c r="H205" s="59">
        <v>680</v>
      </c>
      <c r="I205" s="59">
        <v>1478</v>
      </c>
      <c r="J205" s="67">
        <v>14660</v>
      </c>
      <c r="K205" s="66">
        <v>46</v>
      </c>
      <c r="L205" s="59">
        <v>1168</v>
      </c>
      <c r="M205" s="59">
        <v>1390</v>
      </c>
      <c r="N205" s="59">
        <v>2586</v>
      </c>
      <c r="O205" s="67">
        <v>45660</v>
      </c>
      <c r="P205" s="66">
        <v>53</v>
      </c>
      <c r="Q205" s="59">
        <v>944</v>
      </c>
      <c r="R205" s="59">
        <v>677</v>
      </c>
      <c r="S205" s="59">
        <v>1645</v>
      </c>
    </row>
    <row r="206" spans="1:19" x14ac:dyDescent="0.45">
      <c r="A206" s="66">
        <v>50</v>
      </c>
      <c r="B206" s="59">
        <v>932</v>
      </c>
      <c r="C206" s="59">
        <v>352</v>
      </c>
      <c r="D206" s="59">
        <v>1295</v>
      </c>
      <c r="E206" s="67">
        <v>15909</v>
      </c>
      <c r="F206" s="66">
        <v>53</v>
      </c>
      <c r="G206" s="59">
        <v>882</v>
      </c>
      <c r="H206" s="59">
        <v>816</v>
      </c>
      <c r="I206" s="59">
        <v>1708</v>
      </c>
      <c r="J206" s="67">
        <v>16368</v>
      </c>
      <c r="K206" s="66">
        <v>45</v>
      </c>
      <c r="L206" s="59">
        <v>1164</v>
      </c>
      <c r="M206" s="59">
        <v>1470</v>
      </c>
      <c r="N206" s="59">
        <v>2664</v>
      </c>
      <c r="O206" s="67">
        <v>48324</v>
      </c>
      <c r="P206" s="66">
        <v>52</v>
      </c>
      <c r="Q206" s="59">
        <v>971</v>
      </c>
      <c r="R206" s="59">
        <v>718</v>
      </c>
      <c r="S206" s="59">
        <v>1705</v>
      </c>
    </row>
    <row r="207" spans="1:19" x14ac:dyDescent="0.45">
      <c r="A207" s="66">
        <v>49</v>
      </c>
      <c r="B207" s="59">
        <v>970</v>
      </c>
      <c r="C207" s="59">
        <v>360</v>
      </c>
      <c r="D207" s="59">
        <v>1344</v>
      </c>
      <c r="E207" s="67">
        <v>17253</v>
      </c>
      <c r="F207" s="66">
        <v>52</v>
      </c>
      <c r="G207" s="59">
        <v>936</v>
      </c>
      <c r="H207" s="59">
        <v>824</v>
      </c>
      <c r="I207" s="59">
        <v>1786</v>
      </c>
      <c r="J207" s="67">
        <v>18154</v>
      </c>
      <c r="K207" s="66">
        <v>44</v>
      </c>
      <c r="L207" s="59">
        <v>2335</v>
      </c>
      <c r="M207" s="59">
        <v>2627</v>
      </c>
      <c r="N207" s="59">
        <v>5026</v>
      </c>
      <c r="O207" s="67">
        <v>53350</v>
      </c>
      <c r="P207" s="66">
        <v>51</v>
      </c>
      <c r="Q207" s="59">
        <v>1080</v>
      </c>
      <c r="R207" s="59">
        <v>806</v>
      </c>
      <c r="S207" s="59">
        <v>1911</v>
      </c>
    </row>
    <row r="208" spans="1:19" x14ac:dyDescent="0.45">
      <c r="A208" s="66">
        <v>48</v>
      </c>
      <c r="B208" s="59">
        <v>1082</v>
      </c>
      <c r="C208" s="59">
        <v>355</v>
      </c>
      <c r="D208" s="59">
        <v>1452</v>
      </c>
      <c r="E208" s="67">
        <v>18705</v>
      </c>
      <c r="F208" s="66">
        <v>51</v>
      </c>
      <c r="G208" s="59">
        <v>1018</v>
      </c>
      <c r="H208" s="59">
        <v>958</v>
      </c>
      <c r="I208" s="59">
        <v>1997</v>
      </c>
      <c r="J208" s="67">
        <v>20151</v>
      </c>
      <c r="K208" s="66">
        <v>43</v>
      </c>
      <c r="L208" s="59">
        <v>1398</v>
      </c>
      <c r="M208" s="59">
        <v>1331</v>
      </c>
      <c r="N208" s="59">
        <v>2755</v>
      </c>
      <c r="O208" s="67">
        <v>56105</v>
      </c>
      <c r="P208" s="66">
        <v>50</v>
      </c>
      <c r="Q208" s="59">
        <v>1127</v>
      </c>
      <c r="R208" s="59">
        <v>866</v>
      </c>
      <c r="S208" s="59">
        <v>2012</v>
      </c>
    </row>
    <row r="209" spans="1:19" x14ac:dyDescent="0.45">
      <c r="A209" s="66">
        <v>47</v>
      </c>
      <c r="B209" s="59">
        <v>1126</v>
      </c>
      <c r="C209" s="59">
        <v>337</v>
      </c>
      <c r="D209" s="59">
        <v>1491</v>
      </c>
      <c r="E209" s="67">
        <v>20196</v>
      </c>
      <c r="F209" s="66">
        <v>50</v>
      </c>
      <c r="G209" s="59">
        <v>1092</v>
      </c>
      <c r="H209" s="59">
        <v>1053</v>
      </c>
      <c r="I209" s="59">
        <v>2171</v>
      </c>
      <c r="J209" s="67">
        <v>22322</v>
      </c>
      <c r="K209" s="66">
        <v>42</v>
      </c>
      <c r="L209" s="59">
        <v>1064</v>
      </c>
      <c r="M209" s="59">
        <v>1035</v>
      </c>
      <c r="N209" s="59">
        <v>2128</v>
      </c>
      <c r="O209" s="67">
        <v>58233</v>
      </c>
      <c r="P209" s="66">
        <v>49</v>
      </c>
      <c r="Q209" s="59">
        <v>1306</v>
      </c>
      <c r="R209" s="59">
        <v>893</v>
      </c>
      <c r="S209" s="59">
        <v>2235</v>
      </c>
    </row>
    <row r="210" spans="1:19" x14ac:dyDescent="0.45">
      <c r="A210" s="66">
        <v>46</v>
      </c>
      <c r="B210" s="59">
        <v>1102</v>
      </c>
      <c r="C210" s="59">
        <v>371</v>
      </c>
      <c r="D210" s="59">
        <v>1487</v>
      </c>
      <c r="E210" s="67">
        <v>21683</v>
      </c>
      <c r="F210" s="66">
        <v>49</v>
      </c>
      <c r="G210" s="59">
        <v>1184</v>
      </c>
      <c r="H210" s="59">
        <v>1063</v>
      </c>
      <c r="I210" s="59">
        <v>2264</v>
      </c>
      <c r="J210" s="67">
        <v>24586</v>
      </c>
      <c r="K210" s="66">
        <v>41</v>
      </c>
      <c r="L210" s="59">
        <v>1287</v>
      </c>
      <c r="M210" s="59">
        <v>1075</v>
      </c>
      <c r="N210" s="59">
        <v>2389</v>
      </c>
      <c r="O210" s="67">
        <v>60622</v>
      </c>
      <c r="P210" s="66">
        <v>48</v>
      </c>
      <c r="Q210" s="59">
        <v>1296</v>
      </c>
      <c r="R210" s="59">
        <v>966</v>
      </c>
      <c r="S210" s="59">
        <v>2288</v>
      </c>
    </row>
    <row r="211" spans="1:19" x14ac:dyDescent="0.45">
      <c r="A211" s="66">
        <v>45</v>
      </c>
      <c r="B211" s="59">
        <v>1164</v>
      </c>
      <c r="C211" s="59">
        <v>392</v>
      </c>
      <c r="D211" s="59">
        <v>1575</v>
      </c>
      <c r="E211" s="67">
        <v>23258</v>
      </c>
      <c r="F211" s="66">
        <v>47</v>
      </c>
      <c r="G211" s="59">
        <v>1324</v>
      </c>
      <c r="H211" s="59">
        <v>1064</v>
      </c>
      <c r="I211" s="59">
        <v>2419</v>
      </c>
      <c r="J211" s="67">
        <v>27005</v>
      </c>
      <c r="K211" s="66">
        <v>40</v>
      </c>
      <c r="L211" s="59">
        <v>1289</v>
      </c>
      <c r="M211" s="59">
        <v>1068</v>
      </c>
      <c r="N211" s="59">
        <v>2386</v>
      </c>
      <c r="O211" s="67">
        <v>63008</v>
      </c>
      <c r="P211" s="66">
        <v>47</v>
      </c>
      <c r="Q211" s="59">
        <v>1504</v>
      </c>
      <c r="R211" s="59">
        <v>971</v>
      </c>
      <c r="S211" s="59">
        <v>2505</v>
      </c>
    </row>
    <row r="212" spans="1:19" x14ac:dyDescent="0.45">
      <c r="A212" s="66">
        <v>44</v>
      </c>
      <c r="B212" s="59">
        <v>1110</v>
      </c>
      <c r="C212" s="59">
        <v>321</v>
      </c>
      <c r="D212" s="59">
        <v>1451</v>
      </c>
      <c r="E212" s="67">
        <v>24709</v>
      </c>
      <c r="F212" s="66">
        <v>46</v>
      </c>
      <c r="G212" s="59">
        <v>1262</v>
      </c>
      <c r="H212" s="59">
        <v>1168</v>
      </c>
      <c r="I212" s="59">
        <v>2444</v>
      </c>
      <c r="J212" s="67">
        <v>29449</v>
      </c>
      <c r="K212" s="66">
        <v>39</v>
      </c>
      <c r="L212" s="59">
        <v>1731</v>
      </c>
      <c r="M212" s="59">
        <v>1172</v>
      </c>
      <c r="N212" s="59">
        <v>2953</v>
      </c>
      <c r="O212" s="67">
        <v>65961</v>
      </c>
      <c r="P212" s="66">
        <v>46</v>
      </c>
      <c r="Q212" s="59">
        <v>1420</v>
      </c>
      <c r="R212" s="59">
        <v>1035</v>
      </c>
      <c r="S212" s="59">
        <v>2489</v>
      </c>
    </row>
    <row r="213" spans="1:19" x14ac:dyDescent="0.45">
      <c r="A213" s="66">
        <v>43</v>
      </c>
      <c r="B213" s="59">
        <v>1392</v>
      </c>
      <c r="C213" s="59">
        <v>395</v>
      </c>
      <c r="D213" s="59">
        <v>1810</v>
      </c>
      <c r="E213" s="67">
        <v>26519</v>
      </c>
      <c r="F213" s="66">
        <v>45</v>
      </c>
      <c r="G213" s="59">
        <v>2330</v>
      </c>
      <c r="H213" s="59">
        <v>1362</v>
      </c>
      <c r="I213" s="59">
        <v>3733</v>
      </c>
      <c r="J213" s="67">
        <v>33182</v>
      </c>
      <c r="K213" s="66">
        <v>38</v>
      </c>
      <c r="L213" s="59">
        <v>2270</v>
      </c>
      <c r="M213" s="59">
        <v>1149</v>
      </c>
      <c r="N213" s="59">
        <v>3472</v>
      </c>
      <c r="O213" s="67">
        <v>69433</v>
      </c>
      <c r="P213" s="66">
        <v>44</v>
      </c>
      <c r="Q213" s="59">
        <v>2923</v>
      </c>
      <c r="R213" s="59">
        <v>1350</v>
      </c>
      <c r="S213" s="59">
        <v>4329</v>
      </c>
    </row>
    <row r="214" spans="1:19" x14ac:dyDescent="0.45">
      <c r="A214" s="66">
        <v>42</v>
      </c>
      <c r="B214" s="59">
        <v>1152</v>
      </c>
      <c r="C214" s="59">
        <v>341</v>
      </c>
      <c r="D214" s="59">
        <v>1503</v>
      </c>
      <c r="E214" s="67">
        <v>28022</v>
      </c>
      <c r="F214" s="66">
        <v>44</v>
      </c>
      <c r="G214" s="59">
        <v>1517</v>
      </c>
      <c r="H214" s="59">
        <v>1202</v>
      </c>
      <c r="I214" s="59">
        <v>2746</v>
      </c>
      <c r="J214" s="67">
        <v>35928</v>
      </c>
      <c r="K214" s="66">
        <v>37</v>
      </c>
      <c r="L214" s="59">
        <v>617</v>
      </c>
      <c r="M214" s="59">
        <v>532</v>
      </c>
      <c r="N214" s="59">
        <v>1168</v>
      </c>
      <c r="O214" s="67">
        <v>70601</v>
      </c>
      <c r="P214" s="66">
        <v>43</v>
      </c>
      <c r="Q214" s="59">
        <v>1468</v>
      </c>
      <c r="R214" s="59">
        <v>1007</v>
      </c>
      <c r="S214" s="59">
        <v>2496</v>
      </c>
    </row>
    <row r="215" spans="1:19" x14ac:dyDescent="0.45">
      <c r="A215" s="66">
        <v>41</v>
      </c>
      <c r="B215" s="59">
        <v>799</v>
      </c>
      <c r="C215" s="59">
        <v>268</v>
      </c>
      <c r="D215" s="59">
        <v>1082</v>
      </c>
      <c r="E215" s="67">
        <v>29104</v>
      </c>
      <c r="F215" s="66">
        <v>43</v>
      </c>
      <c r="G215" s="59">
        <v>1401</v>
      </c>
      <c r="H215" s="59">
        <v>1150</v>
      </c>
      <c r="I215" s="59">
        <v>2577</v>
      </c>
      <c r="J215" s="67">
        <v>38505</v>
      </c>
      <c r="K215" s="66">
        <v>36</v>
      </c>
      <c r="L215" s="59">
        <v>686</v>
      </c>
      <c r="M215" s="59">
        <v>439</v>
      </c>
      <c r="N215" s="59">
        <v>1141</v>
      </c>
      <c r="O215" s="67">
        <v>71742</v>
      </c>
      <c r="P215" s="66">
        <v>42</v>
      </c>
      <c r="Q215" s="59">
        <v>1649</v>
      </c>
      <c r="R215" s="59">
        <v>1100</v>
      </c>
      <c r="S215" s="59">
        <v>2785</v>
      </c>
    </row>
    <row r="216" spans="1:19" x14ac:dyDescent="0.45">
      <c r="A216" s="66">
        <v>40</v>
      </c>
      <c r="B216" s="59">
        <v>2292</v>
      </c>
      <c r="C216" s="59">
        <v>457</v>
      </c>
      <c r="D216" s="59">
        <v>2784</v>
      </c>
      <c r="E216" s="67">
        <v>31888</v>
      </c>
      <c r="F216" s="66">
        <v>42</v>
      </c>
      <c r="G216" s="59">
        <v>1208</v>
      </c>
      <c r="H216" s="59">
        <v>942</v>
      </c>
      <c r="I216" s="59">
        <v>2181</v>
      </c>
      <c r="J216" s="67">
        <v>40686</v>
      </c>
      <c r="K216" s="66">
        <v>35</v>
      </c>
      <c r="L216" s="59">
        <v>584</v>
      </c>
      <c r="M216" s="59">
        <v>391</v>
      </c>
      <c r="N216" s="59">
        <v>992</v>
      </c>
      <c r="O216" s="67">
        <v>72734</v>
      </c>
      <c r="P216" s="66">
        <v>41</v>
      </c>
      <c r="Q216" s="59">
        <v>1200</v>
      </c>
      <c r="R216" s="59">
        <v>750</v>
      </c>
      <c r="S216" s="59">
        <v>1983</v>
      </c>
    </row>
    <row r="217" spans="1:19" x14ac:dyDescent="0.45">
      <c r="A217" s="66">
        <v>39</v>
      </c>
      <c r="B217" s="59">
        <v>664</v>
      </c>
      <c r="C217" s="59">
        <v>175</v>
      </c>
      <c r="D217" s="59">
        <v>854</v>
      </c>
      <c r="E217" s="67">
        <v>32742</v>
      </c>
      <c r="F217" s="66">
        <v>41</v>
      </c>
      <c r="G217" s="59">
        <v>1183</v>
      </c>
      <c r="H217" s="59">
        <v>940</v>
      </c>
      <c r="I217" s="59">
        <v>2143</v>
      </c>
      <c r="J217" s="67">
        <v>42829</v>
      </c>
      <c r="K217" s="66">
        <v>34</v>
      </c>
      <c r="L217" s="59">
        <v>574</v>
      </c>
      <c r="M217" s="59">
        <v>319</v>
      </c>
      <c r="N217" s="59">
        <v>903</v>
      </c>
      <c r="O217" s="67">
        <v>73637</v>
      </c>
      <c r="P217" s="66">
        <v>40</v>
      </c>
      <c r="Q217" s="59">
        <v>2290</v>
      </c>
      <c r="R217" s="59">
        <v>1265</v>
      </c>
      <c r="S217" s="59">
        <v>3591</v>
      </c>
    </row>
    <row r="218" spans="1:19" x14ac:dyDescent="0.45">
      <c r="A218" s="66">
        <v>38</v>
      </c>
      <c r="B218" s="59">
        <v>640</v>
      </c>
      <c r="C218" s="59">
        <v>158</v>
      </c>
      <c r="D218" s="59">
        <v>809</v>
      </c>
      <c r="E218" s="67">
        <v>33551</v>
      </c>
      <c r="F218" s="66">
        <v>39</v>
      </c>
      <c r="G218" s="59">
        <v>905</v>
      </c>
      <c r="H218" s="59">
        <v>646</v>
      </c>
      <c r="I218" s="59">
        <v>1571</v>
      </c>
      <c r="J218" s="67">
        <v>44400</v>
      </c>
      <c r="K218" s="66">
        <v>33</v>
      </c>
      <c r="L218" s="59">
        <v>644</v>
      </c>
      <c r="M218" s="59">
        <v>352</v>
      </c>
      <c r="N218" s="59">
        <v>1006</v>
      </c>
      <c r="O218" s="67">
        <v>74643</v>
      </c>
      <c r="P218" s="66">
        <v>39</v>
      </c>
      <c r="Q218" s="59">
        <v>936</v>
      </c>
      <c r="R218" s="59">
        <v>598</v>
      </c>
      <c r="S218" s="59">
        <v>1543</v>
      </c>
    </row>
    <row r="219" spans="1:19" x14ac:dyDescent="0.45">
      <c r="A219" s="66">
        <v>37</v>
      </c>
      <c r="B219" s="59">
        <v>343</v>
      </c>
      <c r="C219" s="59">
        <v>94</v>
      </c>
      <c r="D219" s="59">
        <v>440</v>
      </c>
      <c r="E219" s="67">
        <v>33991</v>
      </c>
      <c r="F219" s="66">
        <v>38</v>
      </c>
      <c r="G219" s="59">
        <v>1326</v>
      </c>
      <c r="H219" s="59">
        <v>792</v>
      </c>
      <c r="I219" s="59">
        <v>2157</v>
      </c>
      <c r="J219" s="67">
        <v>46557</v>
      </c>
      <c r="K219" s="66">
        <v>32</v>
      </c>
      <c r="L219" s="59">
        <v>116</v>
      </c>
      <c r="M219" s="59">
        <v>66</v>
      </c>
      <c r="N219" s="59">
        <v>184</v>
      </c>
      <c r="O219" s="67">
        <v>74827</v>
      </c>
      <c r="P219" s="66">
        <v>38</v>
      </c>
      <c r="Q219" s="59">
        <v>929</v>
      </c>
      <c r="R219" s="59">
        <v>572</v>
      </c>
      <c r="S219" s="59">
        <v>1519</v>
      </c>
    </row>
    <row r="220" spans="1:19" x14ac:dyDescent="0.45">
      <c r="A220" s="66">
        <v>36</v>
      </c>
      <c r="B220" s="59">
        <v>295</v>
      </c>
      <c r="C220" s="59">
        <v>75</v>
      </c>
      <c r="D220" s="59">
        <v>376</v>
      </c>
      <c r="E220" s="67">
        <v>34367</v>
      </c>
      <c r="F220" s="66">
        <v>37</v>
      </c>
      <c r="G220" s="59">
        <v>442</v>
      </c>
      <c r="H220" s="59">
        <v>417</v>
      </c>
      <c r="I220" s="59">
        <v>871</v>
      </c>
      <c r="J220" s="67">
        <v>47428</v>
      </c>
      <c r="K220" s="66">
        <v>31</v>
      </c>
      <c r="L220" s="59">
        <v>169</v>
      </c>
      <c r="M220" s="59">
        <v>89</v>
      </c>
      <c r="N220" s="59">
        <v>262</v>
      </c>
      <c r="O220" s="67">
        <v>75089</v>
      </c>
      <c r="P220" s="66">
        <v>37</v>
      </c>
      <c r="Q220" s="59">
        <v>534</v>
      </c>
      <c r="R220" s="59">
        <v>354</v>
      </c>
      <c r="S220" s="59">
        <v>901</v>
      </c>
    </row>
    <row r="221" spans="1:19" x14ac:dyDescent="0.45">
      <c r="A221" s="66">
        <v>35</v>
      </c>
      <c r="B221" s="59">
        <v>241</v>
      </c>
      <c r="C221" s="59">
        <v>63</v>
      </c>
      <c r="D221" s="59">
        <v>307</v>
      </c>
      <c r="E221" s="67">
        <v>34674</v>
      </c>
      <c r="F221" s="66">
        <v>36</v>
      </c>
      <c r="G221" s="59">
        <v>516</v>
      </c>
      <c r="H221" s="59">
        <v>301</v>
      </c>
      <c r="I221" s="59">
        <v>826</v>
      </c>
      <c r="J221" s="67">
        <v>48254</v>
      </c>
      <c r="K221" s="66">
        <v>29</v>
      </c>
      <c r="L221" s="59">
        <v>55</v>
      </c>
      <c r="M221" s="59">
        <v>29</v>
      </c>
      <c r="N221" s="59">
        <v>86</v>
      </c>
      <c r="O221" s="67">
        <v>75175</v>
      </c>
      <c r="P221" s="66">
        <v>36</v>
      </c>
      <c r="Q221" s="59">
        <v>431</v>
      </c>
      <c r="R221" s="59">
        <v>261</v>
      </c>
      <c r="S221" s="59">
        <v>701</v>
      </c>
    </row>
    <row r="222" spans="1:19" x14ac:dyDescent="0.45">
      <c r="A222" s="66">
        <v>34</v>
      </c>
      <c r="B222" s="59">
        <v>58</v>
      </c>
      <c r="C222" s="59">
        <v>11</v>
      </c>
      <c r="D222" s="59">
        <v>74</v>
      </c>
      <c r="E222" s="67">
        <v>34748</v>
      </c>
      <c r="F222" s="66">
        <v>35</v>
      </c>
      <c r="G222" s="59">
        <v>312</v>
      </c>
      <c r="H222" s="59">
        <v>271</v>
      </c>
      <c r="I222" s="59">
        <v>596</v>
      </c>
      <c r="J222" s="67">
        <v>48850</v>
      </c>
      <c r="K222" s="66"/>
      <c r="L222" s="59"/>
      <c r="M222" s="59"/>
      <c r="N222" s="59"/>
      <c r="O222" s="67"/>
      <c r="P222" s="66">
        <v>35</v>
      </c>
      <c r="Q222" s="59">
        <v>328</v>
      </c>
      <c r="R222" s="59">
        <v>220</v>
      </c>
      <c r="S222" s="59">
        <v>556</v>
      </c>
    </row>
    <row r="223" spans="1:19" x14ac:dyDescent="0.45">
      <c r="A223" s="66">
        <v>33</v>
      </c>
      <c r="B223" s="59">
        <v>126</v>
      </c>
      <c r="C223" s="59">
        <v>23</v>
      </c>
      <c r="D223" s="59">
        <v>150</v>
      </c>
      <c r="E223" s="67">
        <v>34898</v>
      </c>
      <c r="F223" s="66">
        <v>34</v>
      </c>
      <c r="G223" s="59">
        <v>160</v>
      </c>
      <c r="H223" s="59">
        <v>95</v>
      </c>
      <c r="I223" s="59">
        <v>258</v>
      </c>
      <c r="J223" s="67">
        <v>49108</v>
      </c>
      <c r="K223" s="69"/>
      <c r="L223" s="59"/>
      <c r="M223" s="59"/>
      <c r="N223" s="59"/>
      <c r="O223" s="67"/>
      <c r="P223" s="66">
        <v>34</v>
      </c>
      <c r="Q223" s="59">
        <v>105</v>
      </c>
      <c r="R223" s="59">
        <v>48</v>
      </c>
      <c r="S223" s="59">
        <v>156</v>
      </c>
    </row>
    <row r="224" spans="1:19" x14ac:dyDescent="0.45">
      <c r="A224" s="66">
        <v>31</v>
      </c>
      <c r="B224" s="59">
        <v>30</v>
      </c>
      <c r="C224" s="59">
        <v>11</v>
      </c>
      <c r="D224" s="59">
        <v>41</v>
      </c>
      <c r="E224" s="67">
        <v>34939</v>
      </c>
      <c r="F224" s="66">
        <v>32</v>
      </c>
      <c r="G224" s="59">
        <v>215</v>
      </c>
      <c r="H224" s="59">
        <v>143</v>
      </c>
      <c r="I224" s="59">
        <v>358</v>
      </c>
      <c r="J224" s="67">
        <v>49466</v>
      </c>
      <c r="K224" s="69"/>
      <c r="L224" s="59"/>
      <c r="M224" s="59"/>
      <c r="N224" s="59"/>
      <c r="O224" s="67"/>
      <c r="P224" s="66">
        <v>33</v>
      </c>
      <c r="Q224" s="59">
        <v>177</v>
      </c>
      <c r="R224" s="59">
        <v>96</v>
      </c>
      <c r="S224" s="59">
        <v>278</v>
      </c>
    </row>
    <row r="225" spans="1:19" x14ac:dyDescent="0.45">
      <c r="A225" s="66"/>
      <c r="B225" s="59"/>
      <c r="C225" s="59"/>
      <c r="D225" s="59"/>
      <c r="E225" s="67"/>
      <c r="F225" s="66">
        <v>30</v>
      </c>
      <c r="G225" s="59">
        <v>60</v>
      </c>
      <c r="H225" s="59">
        <v>35</v>
      </c>
      <c r="I225" s="59">
        <v>97</v>
      </c>
      <c r="J225" s="67">
        <v>49563</v>
      </c>
      <c r="K225" s="86"/>
      <c r="L225" s="83"/>
      <c r="M225" s="83"/>
      <c r="N225" s="83"/>
      <c r="O225" s="84"/>
      <c r="P225" s="85">
        <v>31</v>
      </c>
      <c r="Q225" s="82">
        <v>52</v>
      </c>
      <c r="R225" s="82">
        <v>21</v>
      </c>
      <c r="S225" s="82">
        <v>75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Normal="100" workbookViewId="0">
      <selection activeCell="C6" sqref="C6:J107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67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기능'!D4</f>
        <v>48.03</v>
      </c>
      <c r="I3" s="21" t="s">
        <v>107</v>
      </c>
      <c r="J3" s="93">
        <f>'통계 및 응시자 수 입력 기능'!C4</f>
        <v>222742</v>
      </c>
      <c r="K3" s="31"/>
      <c r="L3" s="5"/>
    </row>
    <row r="4" spans="1:17" ht="25" customHeight="1" thickBot="1" x14ac:dyDescent="0.5">
      <c r="A4" s="5"/>
      <c r="B4" s="30"/>
      <c r="C4" s="94" t="s">
        <v>108</v>
      </c>
      <c r="D4" s="95" t="s">
        <v>109</v>
      </c>
      <c r="E4" s="96"/>
      <c r="F4" s="97"/>
      <c r="G4" s="98" t="s">
        <v>110</v>
      </c>
      <c r="H4" s="99" t="str">
        <f>'통계 및 응시자 수 입력 기능'!E4</f>
        <v>20.77</v>
      </c>
      <c r="I4" s="37"/>
      <c r="J4" s="38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2" t="s">
        <v>117</v>
      </c>
      <c r="I6" s="102" t="s">
        <v>118</v>
      </c>
      <c r="J6" s="103" t="s">
        <v>119</v>
      </c>
      <c r="K6" s="31"/>
      <c r="L6" s="3" t="s">
        <v>66</v>
      </c>
      <c r="M6" s="3"/>
      <c r="N6" s="4"/>
    </row>
    <row r="7" spans="1:17" ht="25" customHeight="1" x14ac:dyDescent="0.45">
      <c r="A7" s="5"/>
      <c r="B7" s="30"/>
      <c r="C7" s="104">
        <v>100</v>
      </c>
      <c r="D7" s="105">
        <f>ROUND(20*(C7-$H$3)/$H$4+100,0)</f>
        <v>150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99.96</v>
      </c>
      <c r="G7" s="107">
        <f>_xlfn.IFNA(VLOOKUP(D7,'인원 입력 기능(국수)'!$A$5:$D$103,4,FALSE),0)</f>
        <v>188</v>
      </c>
      <c r="H7" s="108">
        <f>G7/$J$3</f>
        <v>8.4402582359860282E-4</v>
      </c>
      <c r="I7" s="109">
        <f>G7</f>
        <v>188</v>
      </c>
      <c r="J7" s="110">
        <f>I7/$J$3</f>
        <v>8.4402582359860282E-4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136</v>
      </c>
    </row>
    <row r="8" spans="1:17" ht="25" customHeight="1" x14ac:dyDescent="0.45">
      <c r="A8" s="5"/>
      <c r="B8" s="30"/>
      <c r="C8" s="111">
        <v>99</v>
      </c>
      <c r="D8" s="112" t="s">
        <v>57</v>
      </c>
      <c r="E8" s="112"/>
      <c r="F8" s="113"/>
      <c r="G8" s="114"/>
      <c r="H8" s="115"/>
      <c r="I8" s="116"/>
      <c r="J8" s="117"/>
      <c r="K8" s="31"/>
      <c r="L8" s="20"/>
      <c r="N8" s="1"/>
      <c r="P8" s="1">
        <v>2</v>
      </c>
      <c r="Q8" s="1">
        <f>'표점등급&amp;절평인원 입력 기능'!C5</f>
        <v>127</v>
      </c>
    </row>
    <row r="9" spans="1:17" ht="25" customHeight="1" x14ac:dyDescent="0.45">
      <c r="A9" s="5"/>
      <c r="B9" s="30"/>
      <c r="C9" s="111">
        <v>98</v>
      </c>
      <c r="D9" s="105">
        <f>ROUND(20*(C9-$H$3)/$H$4+100,0)</f>
        <v>148</v>
      </c>
      <c r="E9" s="105">
        <f t="shared" si="0"/>
        <v>1</v>
      </c>
      <c r="F9" s="106">
        <f>IF(I8=0,ROUND(100*(1-(I7+I9)/2/$J$3),2),ROUND(100*(1-(I8+I9)/2/$J$3),2))</f>
        <v>99.84</v>
      </c>
      <c r="G9" s="107">
        <f>_xlfn.IFNA(VLOOKUP(D9,'인원 입력 기능(국수)'!$A$5:$D$103,4,FALSE),0)</f>
        <v>323</v>
      </c>
      <c r="H9" s="108">
        <f>G9/$J$3</f>
        <v>1.4501081969273868E-3</v>
      </c>
      <c r="I9" s="118">
        <f>SUM($G$7:G9)</f>
        <v>511</v>
      </c>
      <c r="J9" s="110">
        <f>I9/$J$3</f>
        <v>2.2941340205259895E-3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116</v>
      </c>
    </row>
    <row r="10" spans="1:17" ht="25" customHeight="1" x14ac:dyDescent="0.45">
      <c r="A10" s="5"/>
      <c r="B10" s="30"/>
      <c r="C10" s="111">
        <v>97</v>
      </c>
      <c r="D10" s="105">
        <f t="shared" ref="D10:D73" si="2">ROUND(20*(C10-$H$3)/$H$4+100,0)</f>
        <v>147</v>
      </c>
      <c r="E10" s="105">
        <f t="shared" si="0"/>
        <v>1</v>
      </c>
      <c r="F10" s="106">
        <f t="shared" ref="F10:F73" si="3">IF(I9=0,ROUND(100*(1-(I8+I10)/2/$J$3),2),ROUND(100*(1-(I9+I10)/2/$J$3),2))</f>
        <v>99.75</v>
      </c>
      <c r="G10" s="107">
        <f>IF(D10=D9,"",_xlfn.IFNA(VLOOKUP(D10,'인원 입력 기능(국수)'!$A$5:$D$103,4,FALSE),0))</f>
        <v>87</v>
      </c>
      <c r="H10" s="108">
        <f t="shared" ref="H10:H73" si="4">G10/$J$3</f>
        <v>3.9058641836743857E-4</v>
      </c>
      <c r="I10" s="118">
        <f>SUM($G$7:G10)</f>
        <v>598</v>
      </c>
      <c r="J10" s="110">
        <f t="shared" ref="J10:J73" si="5">I10/$J$3</f>
        <v>2.6847204388934284E-3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106</v>
      </c>
    </row>
    <row r="11" spans="1:17" ht="25" customHeight="1" x14ac:dyDescent="0.45">
      <c r="A11" s="5"/>
      <c r="B11" s="30"/>
      <c r="C11" s="111">
        <v>96</v>
      </c>
      <c r="D11" s="105">
        <f t="shared" si="2"/>
        <v>146</v>
      </c>
      <c r="E11" s="105">
        <f t="shared" si="0"/>
        <v>1</v>
      </c>
      <c r="F11" s="106">
        <f t="shared" si="3"/>
        <v>99.64</v>
      </c>
      <c r="G11" s="107">
        <f>IF(D11=D10,"",_xlfn.IFNA(VLOOKUP(D11,'인원 입력 기능(국수)'!$A$5:$D$103,4,FALSE),0))</f>
        <v>399</v>
      </c>
      <c r="H11" s="108">
        <f t="shared" si="4"/>
        <v>1.7913101256161836E-3</v>
      </c>
      <c r="I11" s="118">
        <f>SUM($G$7:G11)</f>
        <v>997</v>
      </c>
      <c r="J11" s="110">
        <f t="shared" si="5"/>
        <v>4.4760305645096124E-3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93</v>
      </c>
    </row>
    <row r="12" spans="1:17" ht="25" customHeight="1" x14ac:dyDescent="0.45">
      <c r="A12" s="5"/>
      <c r="B12" s="30"/>
      <c r="C12" s="111">
        <v>95</v>
      </c>
      <c r="D12" s="105">
        <f t="shared" si="2"/>
        <v>145</v>
      </c>
      <c r="E12" s="105">
        <f t="shared" si="0"/>
        <v>1</v>
      </c>
      <c r="F12" s="106">
        <f t="shared" si="3"/>
        <v>99.49</v>
      </c>
      <c r="G12" s="107">
        <f>IF(D12=D11,"",_xlfn.IFNA(VLOOKUP(D12,'인원 입력 기능(국수)'!$A$5:$D$103,4,FALSE),0))</f>
        <v>278</v>
      </c>
      <c r="H12" s="108">
        <f t="shared" si="4"/>
        <v>1.2480807391511254E-3</v>
      </c>
      <c r="I12" s="118">
        <f>SUM($G$7:G12)</f>
        <v>1275</v>
      </c>
      <c r="J12" s="110">
        <f t="shared" si="5"/>
        <v>5.7241113036607377E-3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82</v>
      </c>
    </row>
    <row r="13" spans="1:17" ht="25" customHeight="1" x14ac:dyDescent="0.45">
      <c r="A13" s="5"/>
      <c r="B13" s="30"/>
      <c r="C13" s="111">
        <v>94</v>
      </c>
      <c r="D13" s="105">
        <f t="shared" si="2"/>
        <v>144</v>
      </c>
      <c r="E13" s="105">
        <f t="shared" si="0"/>
        <v>1</v>
      </c>
      <c r="F13" s="106">
        <f t="shared" si="3"/>
        <v>99.32</v>
      </c>
      <c r="G13" s="107">
        <f>IF(D13=D12,"",_xlfn.IFNA(VLOOKUP(D13,'인원 입력 기능(국수)'!$A$5:$D$103,4,FALSE),0))</f>
        <v>488</v>
      </c>
      <c r="H13" s="108">
        <f t="shared" si="4"/>
        <v>2.1908755421070117E-3</v>
      </c>
      <c r="I13" s="118">
        <f>SUM($G$7:G13)</f>
        <v>1763</v>
      </c>
      <c r="J13" s="110">
        <f t="shared" si="5"/>
        <v>7.9149868457677498E-3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75</v>
      </c>
    </row>
    <row r="14" spans="1:17" ht="25" customHeight="1" x14ac:dyDescent="0.45">
      <c r="A14" s="5"/>
      <c r="B14" s="30"/>
      <c r="C14" s="111">
        <v>93</v>
      </c>
      <c r="D14" s="105">
        <f t="shared" si="2"/>
        <v>143</v>
      </c>
      <c r="E14" s="105">
        <f t="shared" si="0"/>
        <v>1</v>
      </c>
      <c r="F14" s="106">
        <f t="shared" si="3"/>
        <v>99.09</v>
      </c>
      <c r="G14" s="107">
        <f>IF(D14=D13,"",_xlfn.IFNA(VLOOKUP(D14,'인원 입력 기능(국수)'!$A$5:$D$103,4,FALSE),0))</f>
        <v>530</v>
      </c>
      <c r="H14" s="108">
        <f t="shared" si="4"/>
        <v>2.3794345026981888E-3</v>
      </c>
      <c r="I14" s="118">
        <f>SUM($G$7:G14)</f>
        <v>2293</v>
      </c>
      <c r="J14" s="110">
        <f t="shared" si="5"/>
        <v>1.0294421348465938E-2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30"/>
      <c r="C15" s="111">
        <v>92</v>
      </c>
      <c r="D15" s="105">
        <f t="shared" si="2"/>
        <v>142</v>
      </c>
      <c r="E15" s="105">
        <f t="shared" si="0"/>
        <v>1</v>
      </c>
      <c r="F15" s="106">
        <f t="shared" si="3"/>
        <v>98.85</v>
      </c>
      <c r="G15" s="107">
        <f>IF(D15=D14,"",_xlfn.IFNA(VLOOKUP(D15,'인원 입력 기능(국수)'!$A$5:$D$103,4,FALSE),0))</f>
        <v>538</v>
      </c>
      <c r="H15" s="108">
        <f t="shared" si="4"/>
        <v>2.4153504951917467E-3</v>
      </c>
      <c r="I15" s="118">
        <f>SUM($G$7:G15)</f>
        <v>2831</v>
      </c>
      <c r="J15" s="110">
        <f t="shared" si="5"/>
        <v>1.2709771843657685E-2</v>
      </c>
      <c r="K15" s="31"/>
      <c r="L15" s="20" t="str">
        <f t="shared" si="1"/>
        <v/>
      </c>
      <c r="N15" s="1"/>
      <c r="P15" s="1">
        <v>9</v>
      </c>
      <c r="Q15" s="1"/>
    </row>
    <row r="16" spans="1:17" ht="25" customHeight="1" x14ac:dyDescent="0.45">
      <c r="A16" s="5"/>
      <c r="B16" s="30"/>
      <c r="C16" s="119">
        <v>91</v>
      </c>
      <c r="D16" s="105">
        <f t="shared" si="2"/>
        <v>141</v>
      </c>
      <c r="E16" s="120">
        <f t="shared" si="0"/>
        <v>1</v>
      </c>
      <c r="F16" s="106">
        <f t="shared" si="3"/>
        <v>98.57</v>
      </c>
      <c r="G16" s="107">
        <f>IF(D16=D15,"",_xlfn.IFNA(VLOOKUP(D16,'인원 입력 기능(국수)'!$A$5:$D$103,4,FALSE),0))</f>
        <v>724</v>
      </c>
      <c r="H16" s="108">
        <f t="shared" si="4"/>
        <v>3.2503973206669599E-3</v>
      </c>
      <c r="I16" s="121">
        <f>SUM($G$7:G16)</f>
        <v>3555</v>
      </c>
      <c r="J16" s="110">
        <f t="shared" si="5"/>
        <v>1.5960169164324644E-2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119">
        <v>90</v>
      </c>
      <c r="D17" s="105">
        <f t="shared" si="2"/>
        <v>140</v>
      </c>
      <c r="E17" s="120">
        <f t="shared" si="0"/>
        <v>1</v>
      </c>
      <c r="F17" s="106">
        <f t="shared" si="3"/>
        <v>98.26</v>
      </c>
      <c r="G17" s="107">
        <f>IF(D17=D16,"",_xlfn.IFNA(VLOOKUP(D17,'인원 입력 기능(국수)'!$A$5:$D$103,4,FALSE),0))</f>
        <v>662</v>
      </c>
      <c r="H17" s="108">
        <f t="shared" si="4"/>
        <v>2.972048378841889E-3</v>
      </c>
      <c r="I17" s="121">
        <f>SUM($G$7:G17)</f>
        <v>4217</v>
      </c>
      <c r="J17" s="110">
        <f t="shared" si="5"/>
        <v>1.8932217543166534E-2</v>
      </c>
      <c r="K17" s="31"/>
      <c r="L17" s="20" t="str">
        <f t="shared" si="1"/>
        <v/>
      </c>
      <c r="N17" s="1"/>
      <c r="Q17" s="1">
        <f>Q7*H3*H4*J3*IFERROR(IF(J107=1, 1, 0), 0)</f>
        <v>30219697060.987202</v>
      </c>
    </row>
    <row r="18" spans="1:17" ht="25" customHeight="1" x14ac:dyDescent="0.45">
      <c r="A18" s="5"/>
      <c r="B18" s="30"/>
      <c r="C18" s="119">
        <v>89</v>
      </c>
      <c r="D18" s="105">
        <f t="shared" si="2"/>
        <v>139</v>
      </c>
      <c r="E18" s="120">
        <f t="shared" si="0"/>
        <v>1</v>
      </c>
      <c r="F18" s="106">
        <f t="shared" si="3"/>
        <v>97.9</v>
      </c>
      <c r="G18" s="107">
        <f>IF(D18=D17,"",_xlfn.IFNA(VLOOKUP(D18,'인원 입력 기능(국수)'!$A$5:$D$103,4,FALSE),0))</f>
        <v>941</v>
      </c>
      <c r="H18" s="108">
        <f t="shared" si="4"/>
        <v>4.2246186170547088E-3</v>
      </c>
      <c r="I18" s="121">
        <f>SUM($G$7:G18)</f>
        <v>5158</v>
      </c>
      <c r="J18" s="110">
        <f t="shared" si="5"/>
        <v>2.3156836160221243E-2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119">
        <v>88</v>
      </c>
      <c r="D19" s="122">
        <f t="shared" si="2"/>
        <v>138</v>
      </c>
      <c r="E19" s="123">
        <f t="shared" si="0"/>
        <v>1</v>
      </c>
      <c r="F19" s="124">
        <f t="shared" si="3"/>
        <v>97.24</v>
      </c>
      <c r="G19" s="125">
        <f>IF(D19=D18,"",_xlfn.IFNA(VLOOKUP(D19,'인원 입력 기능(국수)'!$A$5:$D$103,4,FALSE),0))</f>
        <v>1971</v>
      </c>
      <c r="H19" s="126">
        <f t="shared" si="4"/>
        <v>8.8488026506002466E-3</v>
      </c>
      <c r="I19" s="127">
        <f>SUM($G$7:G19)</f>
        <v>7129</v>
      </c>
      <c r="J19" s="128">
        <f t="shared" si="5"/>
        <v>3.2005638810821489E-2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119">
        <v>87</v>
      </c>
      <c r="D20" s="129"/>
      <c r="E20" s="130"/>
      <c r="F20" s="131"/>
      <c r="G20" s="132"/>
      <c r="H20" s="133"/>
      <c r="I20" s="134"/>
      <c r="J20" s="135"/>
      <c r="K20" s="31"/>
      <c r="L20" s="20" t="str">
        <f t="shared" si="1"/>
        <v>경고</v>
      </c>
      <c r="N20" s="1"/>
    </row>
    <row r="21" spans="1:17" ht="25" customHeight="1" x14ac:dyDescent="0.45">
      <c r="A21" s="5"/>
      <c r="B21" s="30"/>
      <c r="C21" s="119">
        <v>86</v>
      </c>
      <c r="D21" s="105">
        <f t="shared" si="2"/>
        <v>137</v>
      </c>
      <c r="E21" s="120">
        <f t="shared" si="0"/>
        <v>1</v>
      </c>
      <c r="F21" s="106">
        <f t="shared" si="3"/>
        <v>96.56</v>
      </c>
      <c r="G21" s="107">
        <f>IF(D21=D20,"",_xlfn.IFNA(VLOOKUP(D21,'인원 입력 기능(국수)'!$A$5:$D$103,4,FALSE),0))</f>
        <v>1072</v>
      </c>
      <c r="H21" s="108">
        <f t="shared" si="4"/>
        <v>4.812742994136714E-3</v>
      </c>
      <c r="I21" s="121">
        <f>SUM($G$7:G21)</f>
        <v>8201</v>
      </c>
      <c r="J21" s="110">
        <f t="shared" si="5"/>
        <v>3.6818381804958202E-2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119">
        <v>85</v>
      </c>
      <c r="D22" s="105">
        <f t="shared" si="2"/>
        <v>136</v>
      </c>
      <c r="E22" s="120">
        <f t="shared" si="0"/>
        <v>1</v>
      </c>
      <c r="F22" s="106">
        <f t="shared" si="3"/>
        <v>96.04</v>
      </c>
      <c r="G22" s="107">
        <f>IF(D22=D21,"",_xlfn.IFNA(VLOOKUP(D22,'인원 입력 기능(국수)'!$A$5:$D$103,4,FALSE),0))</f>
        <v>1242</v>
      </c>
      <c r="H22" s="108">
        <f t="shared" si="4"/>
        <v>5.5759578346248123E-3</v>
      </c>
      <c r="I22" s="121">
        <f>SUM($G$7:G22)</f>
        <v>9443</v>
      </c>
      <c r="J22" s="110">
        <f t="shared" si="5"/>
        <v>4.2394339639583015E-2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119">
        <v>84</v>
      </c>
      <c r="D23" s="105">
        <f t="shared" si="2"/>
        <v>135</v>
      </c>
      <c r="E23" s="120">
        <f t="shared" si="0"/>
        <v>2</v>
      </c>
      <c r="F23" s="106">
        <f t="shared" si="3"/>
        <v>95.47</v>
      </c>
      <c r="G23" s="107">
        <f>IF(D23=D22,"",_xlfn.IFNA(VLOOKUP(D23,'인원 입력 기능(국수)'!$A$5:$D$103,4,FALSE),0))</f>
        <v>1292</v>
      </c>
      <c r="H23" s="108">
        <f t="shared" si="4"/>
        <v>5.8004327877095472E-3</v>
      </c>
      <c r="I23" s="121">
        <f>SUM($G$7:G23)</f>
        <v>10735</v>
      </c>
      <c r="J23" s="110">
        <f t="shared" si="5"/>
        <v>4.8194772427292559E-2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119">
        <v>83</v>
      </c>
      <c r="D24" s="105">
        <f t="shared" si="2"/>
        <v>134</v>
      </c>
      <c r="E24" s="120">
        <f t="shared" si="0"/>
        <v>2</v>
      </c>
      <c r="F24" s="106">
        <f t="shared" si="3"/>
        <v>94.87</v>
      </c>
      <c r="G24" s="107">
        <f>IF(D24=D23,"",_xlfn.IFNA(VLOOKUP(D24,'인원 입력 기능(국수)'!$A$5:$D$103,4,FALSE),0))</f>
        <v>1375</v>
      </c>
      <c r="H24" s="108">
        <f t="shared" si="4"/>
        <v>6.1730612098302075E-3</v>
      </c>
      <c r="I24" s="121">
        <f>SUM($G$7:G24)</f>
        <v>12110</v>
      </c>
      <c r="J24" s="110">
        <f t="shared" si="5"/>
        <v>5.4367833637122769E-2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119">
        <v>82</v>
      </c>
      <c r="D25" s="105">
        <f t="shared" si="2"/>
        <v>133</v>
      </c>
      <c r="E25" s="120">
        <f t="shared" si="0"/>
        <v>2</v>
      </c>
      <c r="F25" s="106">
        <f t="shared" si="3"/>
        <v>94.22</v>
      </c>
      <c r="G25" s="107">
        <f>IF(D25=D24,"",_xlfn.IFNA(VLOOKUP(D25,'인원 입력 기능(국수)'!$A$5:$D$103,4,FALSE),0))</f>
        <v>1551</v>
      </c>
      <c r="H25" s="108">
        <f t="shared" si="4"/>
        <v>6.9632130446884736E-3</v>
      </c>
      <c r="I25" s="121">
        <f>SUM($G$7:G25)</f>
        <v>13661</v>
      </c>
      <c r="J25" s="110">
        <f t="shared" si="5"/>
        <v>6.1331046681811247E-2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119">
        <v>81</v>
      </c>
      <c r="D26" s="105">
        <f t="shared" si="2"/>
        <v>132</v>
      </c>
      <c r="E26" s="120">
        <f t="shared" si="0"/>
        <v>2</v>
      </c>
      <c r="F26" s="106">
        <f t="shared" si="3"/>
        <v>93.52</v>
      </c>
      <c r="G26" s="107">
        <f>IF(D26=D25,"",_xlfn.IFNA(VLOOKUP(D26,'인원 입력 기능(국수)'!$A$5:$D$103,4,FALSE),0))</f>
        <v>1567</v>
      </c>
      <c r="H26" s="108">
        <f t="shared" si="4"/>
        <v>7.0350450296755886E-3</v>
      </c>
      <c r="I26" s="121">
        <f>SUM($G$7:G26)</f>
        <v>15228</v>
      </c>
      <c r="J26" s="110">
        <f t="shared" si="5"/>
        <v>6.8366091711486832E-2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119">
        <v>80</v>
      </c>
      <c r="D27" s="105">
        <f t="shared" si="2"/>
        <v>131</v>
      </c>
      <c r="E27" s="120">
        <f t="shared" si="0"/>
        <v>2</v>
      </c>
      <c r="F27" s="106">
        <f t="shared" si="3"/>
        <v>92.77</v>
      </c>
      <c r="G27" s="107">
        <f>IF(D27=D26,"",_xlfn.IFNA(VLOOKUP(D27,'인원 입력 기능(국수)'!$A$5:$D$103,4,FALSE),0))</f>
        <v>1768</v>
      </c>
      <c r="H27" s="108">
        <f t="shared" si="4"/>
        <v>7.937434341076223E-3</v>
      </c>
      <c r="I27" s="121">
        <f>SUM($G$7:G27)</f>
        <v>16996</v>
      </c>
      <c r="J27" s="110">
        <f t="shared" si="5"/>
        <v>7.6303526052563062E-2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119">
        <v>79</v>
      </c>
      <c r="D28" s="105">
        <f t="shared" si="2"/>
        <v>130</v>
      </c>
      <c r="E28" s="120">
        <f t="shared" si="0"/>
        <v>2</v>
      </c>
      <c r="F28" s="106">
        <f t="shared" si="3"/>
        <v>91.96</v>
      </c>
      <c r="G28" s="107">
        <f>IF(D28=D27,"",_xlfn.IFNA(VLOOKUP(D28,'인원 입력 기능(국수)'!$A$5:$D$103,4,FALSE),0))</f>
        <v>1806</v>
      </c>
      <c r="H28" s="108">
        <f t="shared" si="4"/>
        <v>8.1080353054206206E-3</v>
      </c>
      <c r="I28" s="121">
        <f>SUM($G$7:G28)</f>
        <v>18802</v>
      </c>
      <c r="J28" s="110">
        <f t="shared" si="5"/>
        <v>8.441156135798368E-2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119">
        <v>78</v>
      </c>
      <c r="D29" s="105">
        <f t="shared" si="2"/>
        <v>129</v>
      </c>
      <c r="E29" s="120">
        <f t="shared" si="0"/>
        <v>2</v>
      </c>
      <c r="F29" s="106">
        <f t="shared" si="3"/>
        <v>91.13</v>
      </c>
      <c r="G29" s="107">
        <f>IF(D29=D28,"",_xlfn.IFNA(VLOOKUP(D29,'인원 입력 기능(국수)'!$A$5:$D$103,4,FALSE),0))</f>
        <v>1895</v>
      </c>
      <c r="H29" s="108">
        <f t="shared" si="4"/>
        <v>8.5076007219114496E-3</v>
      </c>
      <c r="I29" s="121">
        <f>SUM($G$7:G29)</f>
        <v>20697</v>
      </c>
      <c r="J29" s="110">
        <f t="shared" si="5"/>
        <v>9.2919162079895132E-2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119">
        <v>77</v>
      </c>
      <c r="D30" s="105">
        <f t="shared" si="2"/>
        <v>128</v>
      </c>
      <c r="E30" s="120">
        <f t="shared" si="0"/>
        <v>2</v>
      </c>
      <c r="F30" s="106">
        <f t="shared" si="3"/>
        <v>90.25</v>
      </c>
      <c r="G30" s="107">
        <f>IF(D30=D29,"",_xlfn.IFNA(VLOOKUP(D30,'인원 입력 기능(국수)'!$A$5:$D$103,4,FALSE),0))</f>
        <v>2043</v>
      </c>
      <c r="H30" s="108">
        <f t="shared" si="4"/>
        <v>9.1720465830422634E-3</v>
      </c>
      <c r="I30" s="121">
        <f>SUM($G$7:G30)</f>
        <v>22740</v>
      </c>
      <c r="J30" s="110">
        <f t="shared" si="5"/>
        <v>0.10209120866293739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119">
        <v>76</v>
      </c>
      <c r="D31" s="105">
        <f t="shared" si="2"/>
        <v>127</v>
      </c>
      <c r="E31" s="120">
        <f t="shared" si="0"/>
        <v>2</v>
      </c>
      <c r="F31" s="106">
        <f t="shared" si="3"/>
        <v>89.33</v>
      </c>
      <c r="G31" s="107">
        <f>IF(D31=D30,"",_xlfn.IFNA(VLOOKUP(D31,'인원 입력 기능(국수)'!$A$5:$D$103,4,FALSE),0))</f>
        <v>2060</v>
      </c>
      <c r="H31" s="108">
        <f t="shared" si="4"/>
        <v>9.2483680670910739E-3</v>
      </c>
      <c r="I31" s="121">
        <f>SUM($G$7:G31)</f>
        <v>24800</v>
      </c>
      <c r="J31" s="110">
        <f t="shared" si="5"/>
        <v>0.11133957673002846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119">
        <v>75</v>
      </c>
      <c r="D32" s="105">
        <f t="shared" si="2"/>
        <v>126</v>
      </c>
      <c r="E32" s="120">
        <f t="shared" si="0"/>
        <v>3</v>
      </c>
      <c r="F32" s="106">
        <f t="shared" si="3"/>
        <v>88.36</v>
      </c>
      <c r="G32" s="107">
        <f>IF(D32=D31,"",_xlfn.IFNA(VLOOKUP(D32,'인원 입력 기능(국수)'!$A$5:$D$103,4,FALSE),0))</f>
        <v>2249</v>
      </c>
      <c r="H32" s="108">
        <f t="shared" si="4"/>
        <v>1.0096883389751371E-2</v>
      </c>
      <c r="I32" s="121">
        <f>SUM($G$7:G32)</f>
        <v>27049</v>
      </c>
      <c r="J32" s="110">
        <f t="shared" si="5"/>
        <v>0.12143646011977983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119">
        <v>74</v>
      </c>
      <c r="D33" s="105">
        <f t="shared" si="2"/>
        <v>125</v>
      </c>
      <c r="E33" s="120">
        <f t="shared" si="0"/>
        <v>3</v>
      </c>
      <c r="F33" s="106">
        <f t="shared" si="3"/>
        <v>87.33</v>
      </c>
      <c r="G33" s="107">
        <f>IF(D33=D32,"",_xlfn.IFNA(VLOOKUP(D33,'인원 입력 기능(국수)'!$A$5:$D$103,4,FALSE),0))</f>
        <v>2349</v>
      </c>
      <c r="H33" s="108">
        <f t="shared" si="4"/>
        <v>1.0545833295920841E-2</v>
      </c>
      <c r="I33" s="121">
        <f>SUM($G$7:G33)</f>
        <v>29398</v>
      </c>
      <c r="J33" s="110">
        <f t="shared" si="5"/>
        <v>0.13198229341570067</v>
      </c>
      <c r="K33" s="31"/>
      <c r="L33" s="20" t="str">
        <f t="shared" si="1"/>
        <v/>
      </c>
      <c r="N33" s="1"/>
    </row>
    <row r="34" spans="1:14" ht="25" customHeight="1" x14ac:dyDescent="0.45">
      <c r="A34" s="5"/>
      <c r="B34" s="30"/>
      <c r="C34" s="119">
        <v>73</v>
      </c>
      <c r="D34" s="105">
        <f t="shared" si="2"/>
        <v>124</v>
      </c>
      <c r="E34" s="120">
        <f t="shared" si="0"/>
        <v>3</v>
      </c>
      <c r="F34" s="106">
        <f t="shared" si="3"/>
        <v>86.28</v>
      </c>
      <c r="G34" s="107">
        <f>IF(D34=D33,"",_xlfn.IFNA(VLOOKUP(D34,'인원 입력 기능(국수)'!$A$5:$D$103,4,FALSE),0))</f>
        <v>2312</v>
      </c>
      <c r="H34" s="108">
        <f t="shared" si="4"/>
        <v>1.0379721830638138E-2</v>
      </c>
      <c r="I34" s="121">
        <f>SUM($G$7:G34)</f>
        <v>31710</v>
      </c>
      <c r="J34" s="110">
        <f t="shared" si="5"/>
        <v>0.14236201524633882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119">
        <v>72</v>
      </c>
      <c r="D35" s="105">
        <f t="shared" si="2"/>
        <v>123</v>
      </c>
      <c r="E35" s="120">
        <f t="shared" si="0"/>
        <v>3</v>
      </c>
      <c r="F35" s="106">
        <f t="shared" si="3"/>
        <v>85.23</v>
      </c>
      <c r="G35" s="107">
        <f>IF(D35=D34,"",_xlfn.IFNA(VLOOKUP(D35,'인원 입력 기능(국수)'!$A$5:$D$103,4,FALSE),0))</f>
        <v>2374</v>
      </c>
      <c r="H35" s="108">
        <f t="shared" si="4"/>
        <v>1.0658070772463208E-2</v>
      </c>
      <c r="I35" s="121">
        <f>SUM($G$7:G35)</f>
        <v>34084</v>
      </c>
      <c r="J35" s="110">
        <f t="shared" si="5"/>
        <v>0.15302008601880202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119">
        <v>71</v>
      </c>
      <c r="D36" s="105">
        <f t="shared" si="2"/>
        <v>122</v>
      </c>
      <c r="E36" s="120">
        <f t="shared" si="0"/>
        <v>3</v>
      </c>
      <c r="F36" s="106">
        <f t="shared" si="3"/>
        <v>84.13</v>
      </c>
      <c r="G36" s="107">
        <f>IF(D36=D35,"",_xlfn.IFNA(VLOOKUP(D36,'인원 입력 기능(국수)'!$A$5:$D$103,4,FALSE),0))</f>
        <v>2545</v>
      </c>
      <c r="H36" s="108">
        <f t="shared" si="4"/>
        <v>1.1425775112013002E-2</v>
      </c>
      <c r="I36" s="121">
        <f>SUM($G$7:G36)</f>
        <v>36629</v>
      </c>
      <c r="J36" s="110">
        <f t="shared" si="5"/>
        <v>0.16444586113081502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119">
        <v>70</v>
      </c>
      <c r="D37" s="105">
        <f t="shared" si="2"/>
        <v>121</v>
      </c>
      <c r="E37" s="120">
        <f t="shared" si="0"/>
        <v>3</v>
      </c>
      <c r="F37" s="106">
        <f t="shared" si="3"/>
        <v>82.97</v>
      </c>
      <c r="G37" s="107">
        <f>IF(D37=D36,"",_xlfn.IFNA(VLOOKUP(D37,'인원 입력 기능(국수)'!$A$5:$D$103,4,FALSE),0))</f>
        <v>2613</v>
      </c>
      <c r="H37" s="108">
        <f t="shared" si="4"/>
        <v>1.173106104820824E-2</v>
      </c>
      <c r="I37" s="121">
        <f>SUM($G$7:G37)</f>
        <v>39242</v>
      </c>
      <c r="J37" s="110">
        <f t="shared" si="5"/>
        <v>0.17617692217902325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119">
        <v>69</v>
      </c>
      <c r="D38" s="105">
        <f t="shared" si="2"/>
        <v>120</v>
      </c>
      <c r="E38" s="120">
        <f t="shared" si="0"/>
        <v>3</v>
      </c>
      <c r="F38" s="106">
        <f t="shared" si="3"/>
        <v>81.760000000000005</v>
      </c>
      <c r="G38" s="107">
        <f>IF(D38=D37,"",_xlfn.IFNA(VLOOKUP(D38,'인원 입력 기능(국수)'!$A$5:$D$103,4,FALSE),0))</f>
        <v>2762</v>
      </c>
      <c r="H38" s="108">
        <f t="shared" si="4"/>
        <v>1.2399996408400751E-2</v>
      </c>
      <c r="I38" s="121">
        <f>SUM($G$7:G38)</f>
        <v>42004</v>
      </c>
      <c r="J38" s="110">
        <f t="shared" si="5"/>
        <v>0.18857691858742401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119">
        <v>68</v>
      </c>
      <c r="D39" s="105">
        <f t="shared" si="2"/>
        <v>119</v>
      </c>
      <c r="E39" s="120">
        <f t="shared" ref="E39:E70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106">
        <f t="shared" si="3"/>
        <v>80.53</v>
      </c>
      <c r="G39" s="107">
        <f>IF(D39=D38,"",_xlfn.IFNA(VLOOKUP(D39,'인원 입력 기능(국수)'!$A$5:$D$103,4,FALSE),0))</f>
        <v>2743</v>
      </c>
      <c r="H39" s="108">
        <f t="shared" si="4"/>
        <v>1.2314695926228551E-2</v>
      </c>
      <c r="I39" s="121">
        <f>SUM($G$7:G39)</f>
        <v>44747</v>
      </c>
      <c r="J39" s="110">
        <f t="shared" si="5"/>
        <v>0.20089161451365256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119">
        <v>67</v>
      </c>
      <c r="D40" s="105">
        <f t="shared" si="2"/>
        <v>118</v>
      </c>
      <c r="E40" s="120">
        <f t="shared" si="6"/>
        <v>3</v>
      </c>
      <c r="F40" s="106">
        <f t="shared" si="3"/>
        <v>79.28</v>
      </c>
      <c r="G40" s="107">
        <f>IF(D40=D39,"",_xlfn.IFNA(VLOOKUP(D40,'인원 입력 기능(국수)'!$A$5:$D$103,4,FALSE),0))</f>
        <v>2797</v>
      </c>
      <c r="H40" s="108">
        <f t="shared" si="4"/>
        <v>1.2557128875560064E-2</v>
      </c>
      <c r="I40" s="121">
        <f>SUM($G$7:G40)</f>
        <v>47544</v>
      </c>
      <c r="J40" s="110">
        <f t="shared" si="5"/>
        <v>0.21344874338921263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119">
        <v>66</v>
      </c>
      <c r="D41" s="105">
        <f t="shared" si="2"/>
        <v>117</v>
      </c>
      <c r="E41" s="120">
        <f t="shared" si="6"/>
        <v>3</v>
      </c>
      <c r="F41" s="106">
        <f t="shared" si="3"/>
        <v>77.98</v>
      </c>
      <c r="G41" s="107">
        <f>IF(D41=D40,"",_xlfn.IFNA(VLOOKUP(D41,'인원 입력 기능(국수)'!$A$5:$D$103,4,FALSE),0))</f>
        <v>3002</v>
      </c>
      <c r="H41" s="108">
        <f t="shared" si="4"/>
        <v>1.3477476183207477E-2</v>
      </c>
      <c r="I41" s="121">
        <f>SUM($G$7:G41)</f>
        <v>50546</v>
      </c>
      <c r="J41" s="110">
        <f t="shared" si="5"/>
        <v>0.2269262195724201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119">
        <v>65</v>
      </c>
      <c r="D42" s="105">
        <f t="shared" si="2"/>
        <v>116</v>
      </c>
      <c r="E42" s="120">
        <f t="shared" si="6"/>
        <v>3</v>
      </c>
      <c r="F42" s="106">
        <f t="shared" si="3"/>
        <v>76.61</v>
      </c>
      <c r="G42" s="107">
        <f>IF(D42=D41,"",_xlfn.IFNA(VLOOKUP(D42,'인원 입력 기능(국수)'!$A$5:$D$103,4,FALSE),0))</f>
        <v>3089</v>
      </c>
      <c r="H42" s="108">
        <f t="shared" si="4"/>
        <v>1.3868062601574917E-2</v>
      </c>
      <c r="I42" s="121">
        <f>SUM($G$7:G42)</f>
        <v>53635</v>
      </c>
      <c r="J42" s="110">
        <f t="shared" si="5"/>
        <v>0.24079428217399504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119">
        <v>64</v>
      </c>
      <c r="D43" s="105">
        <f t="shared" si="2"/>
        <v>115</v>
      </c>
      <c r="E43" s="120">
        <f t="shared" si="6"/>
        <v>4</v>
      </c>
      <c r="F43" s="106">
        <f t="shared" si="3"/>
        <v>75.23</v>
      </c>
      <c r="G43" s="107">
        <f>IF(D43=D42,"",_xlfn.IFNA(VLOOKUP(D43,'인원 입력 기능(국수)'!$A$5:$D$103,4,FALSE),0))</f>
        <v>3063</v>
      </c>
      <c r="H43" s="108">
        <f t="shared" si="4"/>
        <v>1.3751335625970855E-2</v>
      </c>
      <c r="I43" s="121">
        <f>SUM($G$7:G43)</f>
        <v>56698</v>
      </c>
      <c r="J43" s="110">
        <f t="shared" si="5"/>
        <v>0.25454561779996587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119">
        <v>63</v>
      </c>
      <c r="D44" s="105">
        <f t="shared" si="2"/>
        <v>114</v>
      </c>
      <c r="E44" s="120">
        <f t="shared" si="6"/>
        <v>4</v>
      </c>
      <c r="F44" s="106">
        <f t="shared" si="3"/>
        <v>73.84</v>
      </c>
      <c r="G44" s="107">
        <f>IF(D44=D43,"",_xlfn.IFNA(VLOOKUP(D44,'인원 입력 기능(국수)'!$A$5:$D$103,4,FALSE),0))</f>
        <v>3131</v>
      </c>
      <c r="H44" s="108">
        <f t="shared" si="4"/>
        <v>1.4056621562166093E-2</v>
      </c>
      <c r="I44" s="121">
        <f>SUM($G$7:G44)</f>
        <v>59829</v>
      </c>
      <c r="J44" s="110">
        <f t="shared" si="5"/>
        <v>0.26860223936213196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119">
        <v>62</v>
      </c>
      <c r="D45" s="105">
        <f t="shared" si="2"/>
        <v>113</v>
      </c>
      <c r="E45" s="120">
        <f t="shared" si="6"/>
        <v>4</v>
      </c>
      <c r="F45" s="106">
        <f t="shared" si="3"/>
        <v>72.42</v>
      </c>
      <c r="G45" s="107">
        <f>IF(D45=D44,"",_xlfn.IFNA(VLOOKUP(D45,'인원 입력 기능(국수)'!$A$5:$D$103,4,FALSE),0))</f>
        <v>3185</v>
      </c>
      <c r="H45" s="108">
        <f t="shared" si="4"/>
        <v>1.4299054511497607E-2</v>
      </c>
      <c r="I45" s="121">
        <f>SUM($G$7:G45)</f>
        <v>63014</v>
      </c>
      <c r="J45" s="110">
        <f t="shared" si="5"/>
        <v>0.28290129387362956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119">
        <v>61</v>
      </c>
      <c r="D46" s="122">
        <f t="shared" si="2"/>
        <v>112</v>
      </c>
      <c r="E46" s="123">
        <f t="shared" si="6"/>
        <v>4</v>
      </c>
      <c r="F46" s="124">
        <f t="shared" si="3"/>
        <v>70.27</v>
      </c>
      <c r="G46" s="125">
        <f>IF(D46=D45,"",_xlfn.IFNA(VLOOKUP(D46,'인원 입력 기능(국수)'!$A$5:$D$103,4,FALSE),0))</f>
        <v>6435</v>
      </c>
      <c r="H46" s="126">
        <f t="shared" si="4"/>
        <v>2.8889926462005368E-2</v>
      </c>
      <c r="I46" s="127">
        <f>SUM($G$7:G46)</f>
        <v>69449</v>
      </c>
      <c r="J46" s="128">
        <f t="shared" si="5"/>
        <v>0.31179122033563494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119">
        <v>60</v>
      </c>
      <c r="D47" s="129"/>
      <c r="E47" s="130"/>
      <c r="F47" s="131"/>
      <c r="G47" s="132"/>
      <c r="H47" s="133"/>
      <c r="I47" s="134"/>
      <c r="J47" s="135"/>
      <c r="K47" s="31"/>
      <c r="L47" s="20" t="str">
        <f t="shared" si="7"/>
        <v>경고</v>
      </c>
      <c r="N47" s="1"/>
    </row>
    <row r="48" spans="1:14" ht="25" customHeight="1" x14ac:dyDescent="0.45">
      <c r="A48" s="5"/>
      <c r="B48" s="30"/>
      <c r="C48" s="119">
        <v>59</v>
      </c>
      <c r="D48" s="105">
        <f t="shared" si="2"/>
        <v>111</v>
      </c>
      <c r="E48" s="120">
        <f t="shared" si="6"/>
        <v>4</v>
      </c>
      <c r="F48" s="106">
        <f t="shared" si="3"/>
        <v>68.099999999999994</v>
      </c>
      <c r="G48" s="107">
        <f>IF(D48=D47,"",_xlfn.IFNA(VLOOKUP(D48,'인원 입력 기능(국수)'!$A$5:$D$103,4,FALSE),0))</f>
        <v>3194</v>
      </c>
      <c r="H48" s="108">
        <f t="shared" si="4"/>
        <v>1.433946000305286E-2</v>
      </c>
      <c r="I48" s="121">
        <f>SUM($G$7:G48)</f>
        <v>72643</v>
      </c>
      <c r="J48" s="110">
        <f t="shared" si="5"/>
        <v>0.32613068033868781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119">
        <v>58</v>
      </c>
      <c r="D49" s="105">
        <f t="shared" si="2"/>
        <v>110</v>
      </c>
      <c r="E49" s="120">
        <f t="shared" si="6"/>
        <v>4</v>
      </c>
      <c r="F49" s="106">
        <f t="shared" si="3"/>
        <v>66.650000000000006</v>
      </c>
      <c r="G49" s="107">
        <f>IF(D49=D48,"",_xlfn.IFNA(VLOOKUP(D49,'인원 입력 기능(국수)'!$A$5:$D$103,4,FALSE),0))</f>
        <v>3304</v>
      </c>
      <c r="H49" s="108">
        <f t="shared" si="4"/>
        <v>1.4833304899839276E-2</v>
      </c>
      <c r="I49" s="121">
        <f>SUM($G$7:G49)</f>
        <v>75947</v>
      </c>
      <c r="J49" s="110">
        <f t="shared" si="5"/>
        <v>0.34096398523852711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119">
        <v>57</v>
      </c>
      <c r="D50" s="105">
        <f t="shared" si="2"/>
        <v>109</v>
      </c>
      <c r="E50" s="120">
        <f t="shared" si="6"/>
        <v>4</v>
      </c>
      <c r="F50" s="106">
        <f t="shared" si="3"/>
        <v>65.12</v>
      </c>
      <c r="G50" s="107">
        <f>IF(D50=D49,"",_xlfn.IFNA(VLOOKUP(D50,'인원 입력 기능(국수)'!$A$5:$D$103,4,FALSE),0))</f>
        <v>3487</v>
      </c>
      <c r="H50" s="108">
        <f t="shared" si="4"/>
        <v>1.5654883228129406E-2</v>
      </c>
      <c r="I50" s="121">
        <f>SUM($G$7:G50)</f>
        <v>79434</v>
      </c>
      <c r="J50" s="110">
        <f t="shared" si="5"/>
        <v>0.35661886846665647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119">
        <v>56</v>
      </c>
      <c r="D51" s="105">
        <f t="shared" si="2"/>
        <v>108</v>
      </c>
      <c r="E51" s="120">
        <f t="shared" si="6"/>
        <v>4</v>
      </c>
      <c r="F51" s="106">
        <f t="shared" si="3"/>
        <v>63.57</v>
      </c>
      <c r="G51" s="107">
        <f>IF(D51=D50,"",_xlfn.IFNA(VLOOKUP(D51,'인원 입력 기능(국수)'!$A$5:$D$103,4,FALSE),0))</f>
        <v>3407</v>
      </c>
      <c r="H51" s="108">
        <f t="shared" si="4"/>
        <v>1.529572330319383E-2</v>
      </c>
      <c r="I51" s="121">
        <f>SUM($G$7:G51)</f>
        <v>82841</v>
      </c>
      <c r="J51" s="110">
        <f t="shared" si="5"/>
        <v>0.37191459176985031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119">
        <v>55</v>
      </c>
      <c r="D52" s="105">
        <f t="shared" si="2"/>
        <v>107</v>
      </c>
      <c r="E52" s="120">
        <f t="shared" si="6"/>
        <v>4</v>
      </c>
      <c r="F52" s="106">
        <f t="shared" si="3"/>
        <v>62.05</v>
      </c>
      <c r="G52" s="107">
        <f>IF(D52=D51,"",_xlfn.IFNA(VLOOKUP(D52,'인원 입력 기능(국수)'!$A$5:$D$103,4,FALSE),0))</f>
        <v>3401</v>
      </c>
      <c r="H52" s="108">
        <f t="shared" si="4"/>
        <v>1.5268786308823662E-2</v>
      </c>
      <c r="I52" s="121">
        <f>SUM($G$7:G52)</f>
        <v>86242</v>
      </c>
      <c r="J52" s="110">
        <f t="shared" si="5"/>
        <v>0.38718337807867398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119">
        <v>54</v>
      </c>
      <c r="D53" s="105">
        <f t="shared" si="2"/>
        <v>106</v>
      </c>
      <c r="E53" s="120">
        <f t="shared" si="6"/>
        <v>4</v>
      </c>
      <c r="F53" s="106">
        <f t="shared" si="3"/>
        <v>60.5</v>
      </c>
      <c r="G53" s="107">
        <f>IF(D53=D52,"",_xlfn.IFNA(VLOOKUP(D53,'인원 입력 기능(국수)'!$A$5:$D$103,4,FALSE),0))</f>
        <v>3461</v>
      </c>
      <c r="H53" s="108">
        <f t="shared" si="4"/>
        <v>1.5538156252525344E-2</v>
      </c>
      <c r="I53" s="121">
        <f>SUM($G$7:G53)</f>
        <v>89703</v>
      </c>
      <c r="J53" s="110">
        <f t="shared" si="5"/>
        <v>0.40272153433119934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119">
        <v>53</v>
      </c>
      <c r="D54" s="105">
        <f t="shared" si="2"/>
        <v>105</v>
      </c>
      <c r="E54" s="120">
        <f t="shared" si="6"/>
        <v>5</v>
      </c>
      <c r="F54" s="106">
        <f t="shared" si="3"/>
        <v>58.96</v>
      </c>
      <c r="G54" s="107">
        <f>IF(D54=D53,"",_xlfn.IFNA(VLOOKUP(D54,'인원 입력 기능(국수)'!$A$5:$D$103,4,FALSE),0))</f>
        <v>3431</v>
      </c>
      <c r="H54" s="108">
        <f t="shared" si="4"/>
        <v>1.5403471280674503E-2</v>
      </c>
      <c r="I54" s="121">
        <f>SUM($G$7:G54)</f>
        <v>93134</v>
      </c>
      <c r="J54" s="110">
        <f t="shared" si="5"/>
        <v>0.41812500561187382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119">
        <v>52</v>
      </c>
      <c r="D55" s="105">
        <f t="shared" si="2"/>
        <v>104</v>
      </c>
      <c r="E55" s="120">
        <f t="shared" si="6"/>
        <v>5</v>
      </c>
      <c r="F55" s="106">
        <f t="shared" si="3"/>
        <v>57.42</v>
      </c>
      <c r="G55" s="107">
        <f>IF(D55=D54,"",_xlfn.IFNA(VLOOKUP(D55,'인원 입력 기능(국수)'!$A$5:$D$103,4,FALSE),0))</f>
        <v>3435</v>
      </c>
      <c r="H55" s="108">
        <f t="shared" si="4"/>
        <v>1.5421429276921281E-2</v>
      </c>
      <c r="I55" s="121">
        <f>SUM($G$7:G55)</f>
        <v>96569</v>
      </c>
      <c r="J55" s="110">
        <f t="shared" si="5"/>
        <v>0.43354643488879513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119">
        <v>51</v>
      </c>
      <c r="D56" s="105">
        <f t="shared" si="2"/>
        <v>103</v>
      </c>
      <c r="E56" s="120">
        <f t="shared" si="6"/>
        <v>5</v>
      </c>
      <c r="F56" s="106">
        <f t="shared" si="3"/>
        <v>55.84</v>
      </c>
      <c r="G56" s="107">
        <f>IF(D56=D55,"",_xlfn.IFNA(VLOOKUP(D56,'인원 입력 기능(국수)'!$A$5:$D$103,4,FALSE),0))</f>
        <v>3577</v>
      </c>
      <c r="H56" s="108">
        <f t="shared" si="4"/>
        <v>1.6058938143681929E-2</v>
      </c>
      <c r="I56" s="121">
        <f>SUM($G$7:G56)</f>
        <v>100146</v>
      </c>
      <c r="J56" s="110">
        <f t="shared" si="5"/>
        <v>0.44960537303247705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119">
        <v>50</v>
      </c>
      <c r="D57" s="105">
        <f t="shared" si="2"/>
        <v>102</v>
      </c>
      <c r="E57" s="120">
        <f t="shared" si="6"/>
        <v>5</v>
      </c>
      <c r="F57" s="106">
        <f t="shared" si="3"/>
        <v>54.28</v>
      </c>
      <c r="G57" s="107">
        <f>IF(D57=D56,"",_xlfn.IFNA(VLOOKUP(D57,'인원 입력 기능(국수)'!$A$5:$D$103,4,FALSE),0))</f>
        <v>3379</v>
      </c>
      <c r="H57" s="108">
        <f t="shared" si="4"/>
        <v>1.5170017329466379E-2</v>
      </c>
      <c r="I57" s="121">
        <f>SUM($G$7:G57)</f>
        <v>103525</v>
      </c>
      <c r="J57" s="110">
        <f t="shared" si="5"/>
        <v>0.46477539036194343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119">
        <v>49</v>
      </c>
      <c r="D58" s="105">
        <f t="shared" si="2"/>
        <v>101</v>
      </c>
      <c r="E58" s="120">
        <f t="shared" si="6"/>
        <v>5</v>
      </c>
      <c r="F58" s="106">
        <f t="shared" si="3"/>
        <v>52.76</v>
      </c>
      <c r="G58" s="107">
        <f>IF(D58=D57,"",_xlfn.IFNA(VLOOKUP(D58,'인원 입력 기능(국수)'!$A$5:$D$103,4,FALSE),0))</f>
        <v>3417</v>
      </c>
      <c r="H58" s="108">
        <f t="shared" si="4"/>
        <v>1.5340618293810776E-2</v>
      </c>
      <c r="I58" s="121">
        <f>SUM($G$7:G58)</f>
        <v>106942</v>
      </c>
      <c r="J58" s="110">
        <f t="shared" si="5"/>
        <v>0.48011600865575421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119">
        <v>48</v>
      </c>
      <c r="D59" s="105">
        <f t="shared" si="2"/>
        <v>100</v>
      </c>
      <c r="E59" s="120">
        <f t="shared" si="6"/>
        <v>5</v>
      </c>
      <c r="F59" s="106">
        <f t="shared" si="3"/>
        <v>51.2</v>
      </c>
      <c r="G59" s="107">
        <f>IF(D59=D58,"",_xlfn.IFNA(VLOOKUP(D59,'인원 입력 기능(국수)'!$A$5:$D$103,4,FALSE),0))</f>
        <v>3504</v>
      </c>
      <c r="H59" s="108">
        <f t="shared" si="4"/>
        <v>1.5731204712178214E-2</v>
      </c>
      <c r="I59" s="121">
        <f>SUM($G$7:G59)</f>
        <v>110446</v>
      </c>
      <c r="J59" s="110">
        <f t="shared" si="5"/>
        <v>0.49584721336793242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119">
        <v>47</v>
      </c>
      <c r="D60" s="105">
        <f t="shared" si="2"/>
        <v>99</v>
      </c>
      <c r="E60" s="120">
        <f t="shared" si="6"/>
        <v>5</v>
      </c>
      <c r="F60" s="106">
        <f t="shared" si="3"/>
        <v>49.63</v>
      </c>
      <c r="G60" s="107">
        <f>IF(D60=D59,"",_xlfn.IFNA(VLOOKUP(D60,'인원 입력 기능(국수)'!$A$5:$D$103,4,FALSE),0))</f>
        <v>3477</v>
      </c>
      <c r="H60" s="108">
        <f t="shared" si="4"/>
        <v>1.5609988237512458E-2</v>
      </c>
      <c r="I60" s="121">
        <f>SUM($G$7:G60)</f>
        <v>113923</v>
      </c>
      <c r="J60" s="110">
        <f t="shared" si="5"/>
        <v>0.51145720160544483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119">
        <v>46</v>
      </c>
      <c r="D61" s="105">
        <f t="shared" si="2"/>
        <v>98</v>
      </c>
      <c r="E61" s="120">
        <f t="shared" si="6"/>
        <v>5</v>
      </c>
      <c r="F61" s="106">
        <f t="shared" si="3"/>
        <v>48.07</v>
      </c>
      <c r="G61" s="107">
        <f>IF(D61=D60,"",_xlfn.IFNA(VLOOKUP(D61,'인원 입력 기능(국수)'!$A$5:$D$103,4,FALSE),0))</f>
        <v>3505</v>
      </c>
      <c r="H61" s="108">
        <f t="shared" si="4"/>
        <v>1.5735694211239909E-2</v>
      </c>
      <c r="I61" s="121">
        <f>SUM($G$7:G61)</f>
        <v>117428</v>
      </c>
      <c r="J61" s="110">
        <f t="shared" si="5"/>
        <v>0.52719289581668483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119">
        <v>45</v>
      </c>
      <c r="D62" s="105">
        <f t="shared" si="2"/>
        <v>97</v>
      </c>
      <c r="E62" s="120">
        <f t="shared" si="6"/>
        <v>5</v>
      </c>
      <c r="F62" s="106">
        <f t="shared" si="3"/>
        <v>46.5</v>
      </c>
      <c r="G62" s="107">
        <f>IF(D62=D61,"",_xlfn.IFNA(VLOOKUP(D62,'인원 입력 기능(국수)'!$A$5:$D$103,4,FALSE),0))</f>
        <v>3487</v>
      </c>
      <c r="H62" s="108">
        <f t="shared" si="4"/>
        <v>1.5654883228129406E-2</v>
      </c>
      <c r="I62" s="121">
        <f>SUM($G$7:G62)</f>
        <v>120915</v>
      </c>
      <c r="J62" s="110">
        <f t="shared" si="5"/>
        <v>0.54284777904481418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119">
        <v>44</v>
      </c>
      <c r="D63" s="105">
        <f t="shared" si="2"/>
        <v>96</v>
      </c>
      <c r="E63" s="120">
        <f t="shared" si="6"/>
        <v>5</v>
      </c>
      <c r="F63" s="106">
        <f t="shared" si="3"/>
        <v>44.95</v>
      </c>
      <c r="G63" s="107">
        <f>IF(D63=D62,"",_xlfn.IFNA(VLOOKUP(D63,'인원 입력 기능(국수)'!$A$5:$D$103,4,FALSE),0))</f>
        <v>3418</v>
      </c>
      <c r="H63" s="108">
        <f t="shared" si="4"/>
        <v>1.5345107792872471E-2</v>
      </c>
      <c r="I63" s="121">
        <f>SUM($G$7:G63)</f>
        <v>124333</v>
      </c>
      <c r="J63" s="110">
        <f t="shared" si="5"/>
        <v>0.55819288683768664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119">
        <v>43</v>
      </c>
      <c r="D64" s="105">
        <f t="shared" si="2"/>
        <v>95</v>
      </c>
      <c r="E64" s="120">
        <f t="shared" si="6"/>
        <v>5</v>
      </c>
      <c r="F64" s="106">
        <f t="shared" si="3"/>
        <v>43.39</v>
      </c>
      <c r="G64" s="107">
        <f>IF(D64=D63,"",_xlfn.IFNA(VLOOKUP(D64,'인원 입력 기능(국수)'!$A$5:$D$103,4,FALSE),0))</f>
        <v>3511</v>
      </c>
      <c r="H64" s="108">
        <f t="shared" si="4"/>
        <v>1.5762631205610077E-2</v>
      </c>
      <c r="I64" s="121">
        <f>SUM($G$7:G64)</f>
        <v>127844</v>
      </c>
      <c r="J64" s="110">
        <f t="shared" si="5"/>
        <v>0.5739555180432967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119">
        <v>42</v>
      </c>
      <c r="D65" s="105">
        <f t="shared" si="2"/>
        <v>94</v>
      </c>
      <c r="E65" s="120">
        <f t="shared" si="6"/>
        <v>5</v>
      </c>
      <c r="F65" s="106">
        <f t="shared" si="3"/>
        <v>41.82</v>
      </c>
      <c r="G65" s="107">
        <f>IF(D65=D64,"",_xlfn.IFNA(VLOOKUP(D65,'인원 입력 기능(국수)'!$A$5:$D$103,4,FALSE),0))</f>
        <v>3485</v>
      </c>
      <c r="H65" s="108">
        <f t="shared" si="4"/>
        <v>1.5645904230006016E-2</v>
      </c>
      <c r="I65" s="121">
        <f>SUM($G$7:G65)</f>
        <v>131329</v>
      </c>
      <c r="J65" s="110">
        <f t="shared" si="5"/>
        <v>0.5896014222733027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119">
        <v>41</v>
      </c>
      <c r="D66" s="105">
        <f t="shared" si="2"/>
        <v>93</v>
      </c>
      <c r="E66" s="120">
        <f t="shared" si="6"/>
        <v>5</v>
      </c>
      <c r="F66" s="106">
        <f t="shared" si="3"/>
        <v>40.270000000000003</v>
      </c>
      <c r="G66" s="107">
        <f>IF(D66=D65,"",_xlfn.IFNA(VLOOKUP(D66,'인원 입력 기능(국수)'!$A$5:$D$103,4,FALSE),0))</f>
        <v>3446</v>
      </c>
      <c r="H66" s="108">
        <f t="shared" si="4"/>
        <v>1.5470813766599922E-2</v>
      </c>
      <c r="I66" s="121">
        <f>SUM($G$7:G66)</f>
        <v>134775</v>
      </c>
      <c r="J66" s="110">
        <f t="shared" si="5"/>
        <v>0.60507223603990268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119">
        <v>40</v>
      </c>
      <c r="D67" s="105">
        <f t="shared" si="2"/>
        <v>92</v>
      </c>
      <c r="E67" s="120">
        <f t="shared" si="6"/>
        <v>6</v>
      </c>
      <c r="F67" s="106">
        <f t="shared" si="3"/>
        <v>38.74</v>
      </c>
      <c r="G67" s="107">
        <f>IF(D67=D66,"",_xlfn.IFNA(VLOOKUP(D67,'인원 입력 기능(국수)'!$A$5:$D$103,4,FALSE),0))</f>
        <v>3367</v>
      </c>
      <c r="H67" s="108">
        <f t="shared" si="4"/>
        <v>1.5116143340726041E-2</v>
      </c>
      <c r="I67" s="121">
        <f>SUM($G$7:G67)</f>
        <v>138142</v>
      </c>
      <c r="J67" s="110">
        <f t="shared" si="5"/>
        <v>0.62018837938062876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119">
        <v>39</v>
      </c>
      <c r="D68" s="105">
        <f t="shared" si="2"/>
        <v>91</v>
      </c>
      <c r="E68" s="120">
        <f t="shared" si="6"/>
        <v>6</v>
      </c>
      <c r="F68" s="106">
        <f t="shared" si="3"/>
        <v>37.21</v>
      </c>
      <c r="G68" s="107">
        <f>IF(D68=D67,"",_xlfn.IFNA(VLOOKUP(D68,'인원 입력 기능(국수)'!$A$5:$D$103,4,FALSE),0))</f>
        <v>3424</v>
      </c>
      <c r="H68" s="108">
        <f t="shared" si="4"/>
        <v>1.5372044787242639E-2</v>
      </c>
      <c r="I68" s="121">
        <f>SUM($G$7:G68)</f>
        <v>141566</v>
      </c>
      <c r="J68" s="110">
        <f t="shared" si="5"/>
        <v>0.6355604241678714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119">
        <v>38</v>
      </c>
      <c r="D69" s="105">
        <f t="shared" si="2"/>
        <v>90</v>
      </c>
      <c r="E69" s="120">
        <f t="shared" si="6"/>
        <v>6</v>
      </c>
      <c r="F69" s="106">
        <f t="shared" si="3"/>
        <v>35.69</v>
      </c>
      <c r="G69" s="107">
        <f>IF(D69=D68,"",_xlfn.IFNA(VLOOKUP(D69,'인원 입력 기능(국수)'!$A$5:$D$103,4,FALSE),0))</f>
        <v>3347</v>
      </c>
      <c r="H69" s="108">
        <f t="shared" si="4"/>
        <v>1.5026353359492147E-2</v>
      </c>
      <c r="I69" s="121">
        <f>SUM($G$7:G69)</f>
        <v>144913</v>
      </c>
      <c r="J69" s="110">
        <f t="shared" si="5"/>
        <v>0.65058677752736349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119">
        <v>37</v>
      </c>
      <c r="D70" s="105">
        <f t="shared" si="2"/>
        <v>89</v>
      </c>
      <c r="E70" s="120">
        <f t="shared" si="6"/>
        <v>6</v>
      </c>
      <c r="F70" s="106">
        <f t="shared" si="3"/>
        <v>34.19</v>
      </c>
      <c r="G70" s="107">
        <f>IF(D70=D69,"",_xlfn.IFNA(VLOOKUP(D70,'인원 입력 기능(국수)'!$A$5:$D$103,4,FALSE),0))</f>
        <v>3333</v>
      </c>
      <c r="H70" s="108">
        <f t="shared" si="4"/>
        <v>1.4963500372628422E-2</v>
      </c>
      <c r="I70" s="121">
        <f>SUM($G$7:G70)</f>
        <v>148246</v>
      </c>
      <c r="J70" s="110">
        <f t="shared" si="5"/>
        <v>0.66555027789999188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119">
        <v>36</v>
      </c>
      <c r="D71" s="105">
        <f t="shared" si="2"/>
        <v>88</v>
      </c>
      <c r="E71" s="120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106">
        <f t="shared" si="3"/>
        <v>32.729999999999997</v>
      </c>
      <c r="G71" s="107">
        <f>IF(D71=D70,"",_xlfn.IFNA(VLOOKUP(D71,'인원 입력 기능(국수)'!$A$5:$D$103,4,FALSE),0))</f>
        <v>3206</v>
      </c>
      <c r="H71" s="108">
        <f t="shared" si="4"/>
        <v>1.4393333991793196E-2</v>
      </c>
      <c r="I71" s="121">
        <f>SUM($G$7:G71)</f>
        <v>151452</v>
      </c>
      <c r="J71" s="110">
        <f t="shared" si="5"/>
        <v>0.67994361189178509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119">
        <v>35</v>
      </c>
      <c r="D72" s="105">
        <f t="shared" si="2"/>
        <v>87</v>
      </c>
      <c r="E72" s="120">
        <f t="shared" si="8"/>
        <v>6</v>
      </c>
      <c r="F72" s="106">
        <f t="shared" si="3"/>
        <v>31.26</v>
      </c>
      <c r="G72" s="107">
        <f>IF(D72=D71,"",_xlfn.IFNA(VLOOKUP(D72,'인원 입력 기능(국수)'!$A$5:$D$103,4,FALSE),0))</f>
        <v>3312</v>
      </c>
      <c r="H72" s="108">
        <f t="shared" si="4"/>
        <v>1.4869220892332833E-2</v>
      </c>
      <c r="I72" s="121">
        <f>SUM($G$7:G72)</f>
        <v>154764</v>
      </c>
      <c r="J72" s="110">
        <f t="shared" si="5"/>
        <v>0.69481283278411798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119">
        <v>34</v>
      </c>
      <c r="D73" s="122">
        <f t="shared" si="2"/>
        <v>86</v>
      </c>
      <c r="E73" s="123">
        <f t="shared" si="8"/>
        <v>6</v>
      </c>
      <c r="F73" s="124">
        <f t="shared" si="3"/>
        <v>29.05</v>
      </c>
      <c r="G73" s="125">
        <f>IF(D73=D72,"",_xlfn.IFNA(VLOOKUP(D73,'인원 입력 기능(국수)'!$A$5:$D$103,4,FALSE),0))</f>
        <v>6544</v>
      </c>
      <c r="H73" s="126">
        <f t="shared" si="4"/>
        <v>2.9379281859730093E-2</v>
      </c>
      <c r="I73" s="127">
        <f>SUM($G$7:G73)</f>
        <v>161308</v>
      </c>
      <c r="J73" s="128">
        <f t="shared" si="5"/>
        <v>0.72419211464384803</v>
      </c>
      <c r="K73" s="31"/>
      <c r="L73" s="20" t="str">
        <f t="shared" ref="L73:L105" si="9">IF(ABS((C73-$H$3)/$H$4*20+100-D73)&gt;0.49, "경고", "")</f>
        <v>경고</v>
      </c>
      <c r="N73" s="1"/>
    </row>
    <row r="74" spans="1:14" ht="25" customHeight="1" x14ac:dyDescent="0.45">
      <c r="A74" s="5"/>
      <c r="B74" s="30"/>
      <c r="C74" s="119">
        <v>33</v>
      </c>
      <c r="D74" s="129"/>
      <c r="E74" s="130"/>
      <c r="F74" s="131"/>
      <c r="G74" s="132"/>
      <c r="H74" s="133"/>
      <c r="I74" s="134"/>
      <c r="J74" s="135"/>
      <c r="K74" s="31"/>
      <c r="L74" s="20" t="str">
        <f t="shared" si="9"/>
        <v>경고</v>
      </c>
      <c r="N74" s="1"/>
    </row>
    <row r="75" spans="1:14" ht="25" customHeight="1" x14ac:dyDescent="0.45">
      <c r="A75" s="5"/>
      <c r="B75" s="30"/>
      <c r="C75" s="119">
        <v>32</v>
      </c>
      <c r="D75" s="105">
        <f t="shared" ref="D75:D105" si="10">ROUND(20*(C75-$H$3)/$H$4+100,0)</f>
        <v>85</v>
      </c>
      <c r="E75" s="120">
        <f t="shared" si="8"/>
        <v>6</v>
      </c>
      <c r="F75" s="106">
        <f t="shared" ref="F75:F105" si="11">IF(I74=0,ROUND(100*(1-(I73+I75)/2/$J$3),2),ROUND(100*(1-(I74+I75)/2/$J$3),2))</f>
        <v>26.83</v>
      </c>
      <c r="G75" s="107">
        <f>IF(D75=D74,"",_xlfn.IFNA(VLOOKUP(D75,'인원 입력 기능(국수)'!$A$5:$D$103,4,FALSE),0))</f>
        <v>3331</v>
      </c>
      <c r="H75" s="108">
        <f t="shared" ref="H75:H105" si="12">G75/$J$3</f>
        <v>1.4954521374505033E-2</v>
      </c>
      <c r="I75" s="121">
        <f>SUM($G$7:G75)</f>
        <v>164639</v>
      </c>
      <c r="J75" s="110">
        <f t="shared" ref="J75:J105" si="13">I75/$J$3</f>
        <v>0.73914663601835306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119">
        <v>31</v>
      </c>
      <c r="D76" s="105">
        <f t="shared" si="10"/>
        <v>84</v>
      </c>
      <c r="E76" s="120">
        <f t="shared" si="8"/>
        <v>6</v>
      </c>
      <c r="F76" s="106">
        <f t="shared" si="11"/>
        <v>25.33</v>
      </c>
      <c r="G76" s="107">
        <f>IF(D76=D75,"",_xlfn.IFNA(VLOOKUP(D76,'인원 입력 기능(국수)'!$A$5:$D$103,4,FALSE),0))</f>
        <v>3374</v>
      </c>
      <c r="H76" s="108">
        <f t="shared" si="12"/>
        <v>1.5147569834157904E-2</v>
      </c>
      <c r="I76" s="121">
        <f>SUM($G$7:G76)</f>
        <v>168013</v>
      </c>
      <c r="J76" s="110">
        <f t="shared" si="13"/>
        <v>0.75429420585251095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119">
        <v>30</v>
      </c>
      <c r="D77" s="105">
        <f t="shared" si="10"/>
        <v>83</v>
      </c>
      <c r="E77" s="120">
        <f t="shared" si="8"/>
        <v>6</v>
      </c>
      <c r="F77" s="106">
        <f t="shared" si="11"/>
        <v>23.8</v>
      </c>
      <c r="G77" s="107">
        <f>IF(D77=D76,"",_xlfn.IFNA(VLOOKUP(D77,'인원 입력 기능(국수)'!$A$5:$D$103,4,FALSE),0))</f>
        <v>3442</v>
      </c>
      <c r="H77" s="108">
        <f t="shared" si="12"/>
        <v>1.5452855770353144E-2</v>
      </c>
      <c r="I77" s="121">
        <f>SUM($G$7:G77)</f>
        <v>171455</v>
      </c>
      <c r="J77" s="110">
        <f t="shared" si="13"/>
        <v>0.7697470616228641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119">
        <v>29</v>
      </c>
      <c r="D78" s="105">
        <f t="shared" si="10"/>
        <v>82</v>
      </c>
      <c r="E78" s="120">
        <f t="shared" si="8"/>
        <v>6</v>
      </c>
      <c r="F78" s="106">
        <f t="shared" si="11"/>
        <v>22.3</v>
      </c>
      <c r="G78" s="107">
        <f>IF(D78=D77,"",_xlfn.IFNA(VLOOKUP(D78,'인원 입력 기능(국수)'!$A$5:$D$103,4,FALSE),0))</f>
        <v>3238</v>
      </c>
      <c r="H78" s="108">
        <f t="shared" si="12"/>
        <v>1.4536997961767426E-2</v>
      </c>
      <c r="I78" s="121">
        <f>SUM($G$7:G78)</f>
        <v>174693</v>
      </c>
      <c r="J78" s="110">
        <f t="shared" si="13"/>
        <v>0.78428405958463154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119">
        <v>28</v>
      </c>
      <c r="D79" s="105">
        <f t="shared" si="10"/>
        <v>81</v>
      </c>
      <c r="E79" s="120">
        <f t="shared" si="8"/>
        <v>7</v>
      </c>
      <c r="F79" s="106">
        <f t="shared" si="11"/>
        <v>20.8</v>
      </c>
      <c r="G79" s="107">
        <f>IF(D79=D78,"",_xlfn.IFNA(VLOOKUP(D79,'인원 입력 기능(국수)'!$A$5:$D$103,4,FALSE),0))</f>
        <v>3431</v>
      </c>
      <c r="H79" s="108">
        <f t="shared" si="12"/>
        <v>1.5403471280674503E-2</v>
      </c>
      <c r="I79" s="121">
        <f>SUM($G$7:G79)</f>
        <v>178124</v>
      </c>
      <c r="J79" s="110">
        <f t="shared" si="13"/>
        <v>0.79968753086530608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119">
        <v>27</v>
      </c>
      <c r="D80" s="105">
        <f t="shared" si="10"/>
        <v>80</v>
      </c>
      <c r="E80" s="120">
        <f t="shared" si="8"/>
        <v>7</v>
      </c>
      <c r="F80" s="106">
        <f t="shared" si="11"/>
        <v>19.29</v>
      </c>
      <c r="G80" s="107">
        <f>IF(D80=D79,"",_xlfn.IFNA(VLOOKUP(D80,'인원 입력 기능(국수)'!$A$5:$D$103,4,FALSE),0))</f>
        <v>3292</v>
      </c>
      <c r="H80" s="108">
        <f t="shared" si="12"/>
        <v>1.4779430911098939E-2</v>
      </c>
      <c r="I80" s="121">
        <f>SUM($G$7:G80)</f>
        <v>181416</v>
      </c>
      <c r="J80" s="110">
        <f t="shared" si="13"/>
        <v>0.81446696177640499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119">
        <v>26</v>
      </c>
      <c r="D81" s="105">
        <f t="shared" si="10"/>
        <v>79</v>
      </c>
      <c r="E81" s="120">
        <f t="shared" si="8"/>
        <v>7</v>
      </c>
      <c r="F81" s="106">
        <f t="shared" si="11"/>
        <v>17.829999999999998</v>
      </c>
      <c r="G81" s="107">
        <f>IF(D81=D80,"",_xlfn.IFNA(VLOOKUP(D81,'인원 입력 기능(국수)'!$A$5:$D$103,4,FALSE),0))</f>
        <v>3220</v>
      </c>
      <c r="H81" s="108">
        <f t="shared" si="12"/>
        <v>1.4456186978656922E-2</v>
      </c>
      <c r="I81" s="121">
        <f>SUM($G$7:G81)</f>
        <v>184636</v>
      </c>
      <c r="J81" s="110">
        <f t="shared" si="13"/>
        <v>0.8289231487550619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119">
        <v>25</v>
      </c>
      <c r="D82" s="105">
        <f t="shared" si="10"/>
        <v>78</v>
      </c>
      <c r="E82" s="120">
        <f t="shared" si="8"/>
        <v>7</v>
      </c>
      <c r="F82" s="106">
        <f t="shared" si="11"/>
        <v>16.350000000000001</v>
      </c>
      <c r="G82" s="107">
        <f>IF(D82=D81,"",_xlfn.IFNA(VLOOKUP(D82,'인원 입력 기능(국수)'!$A$5:$D$103,4,FALSE),0))</f>
        <v>3377</v>
      </c>
      <c r="H82" s="108">
        <f t="shared" si="12"/>
        <v>1.5161038331342989E-2</v>
      </c>
      <c r="I82" s="121">
        <f>SUM($G$7:G82)</f>
        <v>188013</v>
      </c>
      <c r="J82" s="110">
        <f t="shared" si="13"/>
        <v>0.84408418708640487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119">
        <v>24</v>
      </c>
      <c r="D83" s="105">
        <f t="shared" si="10"/>
        <v>77</v>
      </c>
      <c r="E83" s="120">
        <f t="shared" si="8"/>
        <v>7</v>
      </c>
      <c r="F83" s="106">
        <f t="shared" si="11"/>
        <v>14.92</v>
      </c>
      <c r="G83" s="107">
        <f>IF(D83=D82,"",_xlfn.IFNA(VLOOKUP(D83,'인원 입력 기능(국수)'!$A$5:$D$103,4,FALSE),0))</f>
        <v>2981</v>
      </c>
      <c r="H83" s="108">
        <f t="shared" si="12"/>
        <v>1.3383196702911888E-2</v>
      </c>
      <c r="I83" s="121">
        <f>SUM($G$7:G83)</f>
        <v>190994</v>
      </c>
      <c r="J83" s="110">
        <f t="shared" si="13"/>
        <v>0.85746738378931675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119">
        <v>23</v>
      </c>
      <c r="D84" s="105">
        <f t="shared" si="10"/>
        <v>76</v>
      </c>
      <c r="E84" s="120">
        <f t="shared" si="8"/>
        <v>7</v>
      </c>
      <c r="F84" s="106">
        <f t="shared" si="11"/>
        <v>13.52</v>
      </c>
      <c r="G84" s="107">
        <f>IF(D84=D83,"",_xlfn.IFNA(VLOOKUP(D84,'인원 입력 기능(국수)'!$A$5:$D$103,4,FALSE),0))</f>
        <v>3267</v>
      </c>
      <c r="H84" s="108">
        <f t="shared" si="12"/>
        <v>1.4667193434556572E-2</v>
      </c>
      <c r="I84" s="121">
        <f>SUM($G$7:G84)</f>
        <v>194261</v>
      </c>
      <c r="J84" s="110">
        <f t="shared" si="13"/>
        <v>0.87213457722387333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119">
        <v>22</v>
      </c>
      <c r="D85" s="105">
        <f t="shared" si="10"/>
        <v>75</v>
      </c>
      <c r="E85" s="120">
        <f t="shared" si="8"/>
        <v>7</v>
      </c>
      <c r="F85" s="106">
        <f t="shared" si="11"/>
        <v>11.75</v>
      </c>
      <c r="G85" s="107">
        <f>IF(D85=D84,"",_xlfn.IFNA(VLOOKUP(D85,'인원 입력 기능(국수)'!$A$5:$D$103,4,FALSE),0))</f>
        <v>4624</v>
      </c>
      <c r="H85" s="108">
        <f t="shared" si="12"/>
        <v>2.0759443661276276E-2</v>
      </c>
      <c r="I85" s="121">
        <f>SUM($G$7:G85)</f>
        <v>198885</v>
      </c>
      <c r="J85" s="110">
        <f t="shared" si="13"/>
        <v>0.89289402088514969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119">
        <v>21</v>
      </c>
      <c r="D86" s="105">
        <f t="shared" si="10"/>
        <v>74</v>
      </c>
      <c r="E86" s="120">
        <f t="shared" si="8"/>
        <v>8</v>
      </c>
      <c r="F86" s="106">
        <f t="shared" si="11"/>
        <v>9.16</v>
      </c>
      <c r="G86" s="107">
        <f>IF(D86=D85,"",_xlfn.IFNA(VLOOKUP(D86,'인원 입력 기능(국수)'!$A$5:$D$103,4,FALSE),0))</f>
        <v>6925</v>
      </c>
      <c r="H86" s="108">
        <f t="shared" si="12"/>
        <v>3.1089781002235771E-2</v>
      </c>
      <c r="I86" s="121">
        <f>SUM($G$7:G86)</f>
        <v>205810</v>
      </c>
      <c r="J86" s="110">
        <f t="shared" si="13"/>
        <v>0.92398380188738538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119">
        <v>20</v>
      </c>
      <c r="D87" s="105">
        <f t="shared" si="10"/>
        <v>73</v>
      </c>
      <c r="E87" s="120">
        <f t="shared" si="8"/>
        <v>8</v>
      </c>
      <c r="F87" s="106">
        <f t="shared" si="11"/>
        <v>6.97</v>
      </c>
      <c r="G87" s="107">
        <f>IF(D87=D86,"",_xlfn.IFNA(VLOOKUP(D87,'인원 입력 기능(국수)'!$A$5:$D$103,4,FALSE),0))</f>
        <v>2794</v>
      </c>
      <c r="H87" s="108">
        <f t="shared" si="12"/>
        <v>1.2543660378374981E-2</v>
      </c>
      <c r="I87" s="121">
        <f>SUM($G$7:G87)</f>
        <v>208604</v>
      </c>
      <c r="J87" s="110">
        <f t="shared" si="13"/>
        <v>0.93652746226576034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119">
        <v>19</v>
      </c>
      <c r="D88" s="105">
        <f t="shared" si="10"/>
        <v>72</v>
      </c>
      <c r="E88" s="120">
        <f t="shared" si="8"/>
        <v>8</v>
      </c>
      <c r="F88" s="106">
        <f t="shared" si="11"/>
        <v>5.74</v>
      </c>
      <c r="G88" s="107">
        <f>IF(D88=D87,"",_xlfn.IFNA(VLOOKUP(D88,'인원 입력 기능(국수)'!$A$5:$D$103,4,FALSE),0))</f>
        <v>2716</v>
      </c>
      <c r="H88" s="108">
        <f t="shared" si="12"/>
        <v>1.2193479451562794E-2</v>
      </c>
      <c r="I88" s="121">
        <f>SUM($G$7:G88)</f>
        <v>211320</v>
      </c>
      <c r="J88" s="110">
        <f t="shared" si="13"/>
        <v>0.94872094171732313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119">
        <v>18</v>
      </c>
      <c r="D89" s="105">
        <f t="shared" si="10"/>
        <v>71</v>
      </c>
      <c r="E89" s="120">
        <f t="shared" si="8"/>
        <v>8</v>
      </c>
      <c r="F89" s="106">
        <f t="shared" si="11"/>
        <v>4.59</v>
      </c>
      <c r="G89" s="107">
        <f>IF(D89=D88,"",_xlfn.IFNA(VLOOKUP(D89,'인원 입력 기능(국수)'!$A$5:$D$103,4,FALSE),0))</f>
        <v>2379</v>
      </c>
      <c r="H89" s="108">
        <f t="shared" si="12"/>
        <v>1.0680518267771682E-2</v>
      </c>
      <c r="I89" s="121">
        <f>SUM($G$7:G89)</f>
        <v>213699</v>
      </c>
      <c r="J89" s="110">
        <f t="shared" si="13"/>
        <v>0.95940145998509485</v>
      </c>
      <c r="K89" s="31"/>
      <c r="L89" s="20" t="str">
        <f t="shared" si="9"/>
        <v/>
      </c>
      <c r="N89" s="1"/>
    </row>
    <row r="90" spans="1:14" ht="25" customHeight="1" x14ac:dyDescent="0.45">
      <c r="A90" s="5"/>
      <c r="B90" s="30"/>
      <c r="C90" s="119">
        <v>17</v>
      </c>
      <c r="D90" s="105">
        <f t="shared" si="10"/>
        <v>70</v>
      </c>
      <c r="E90" s="120">
        <f t="shared" si="8"/>
        <v>8</v>
      </c>
      <c r="F90" s="106">
        <f t="shared" si="11"/>
        <v>3.73</v>
      </c>
      <c r="G90" s="107">
        <f>IF(D90=D89,"",_xlfn.IFNA(VLOOKUP(D90,'인원 입력 기능(국수)'!$A$5:$D$103,4,FALSE),0))</f>
        <v>1477</v>
      </c>
      <c r="H90" s="108">
        <f t="shared" si="12"/>
        <v>6.6309901141230658E-3</v>
      </c>
      <c r="I90" s="121">
        <f>SUM($G$7:G90)</f>
        <v>215176</v>
      </c>
      <c r="J90" s="110">
        <f t="shared" si="13"/>
        <v>0.9660324500992179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119">
        <v>16</v>
      </c>
      <c r="D91" s="105">
        <f t="shared" si="10"/>
        <v>69</v>
      </c>
      <c r="E91" s="120">
        <f t="shared" si="8"/>
        <v>9</v>
      </c>
      <c r="F91" s="106">
        <f t="shared" si="11"/>
        <v>3.09</v>
      </c>
      <c r="G91" s="107">
        <f>IF(D91=D90,"",_xlfn.IFNA(VLOOKUP(D91,'인원 입력 기능(국수)'!$A$5:$D$103,4,FALSE),0))</f>
        <v>1353</v>
      </c>
      <c r="H91" s="108">
        <f t="shared" si="12"/>
        <v>6.074292230472924E-3</v>
      </c>
      <c r="I91" s="121">
        <f>SUM($G$7:G91)</f>
        <v>216529</v>
      </c>
      <c r="J91" s="110">
        <f t="shared" si="13"/>
        <v>0.97210674232969085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119">
        <v>15</v>
      </c>
      <c r="D92" s="105">
        <f t="shared" si="10"/>
        <v>68</v>
      </c>
      <c r="E92" s="120">
        <f t="shared" si="8"/>
        <v>9</v>
      </c>
      <c r="F92" s="106">
        <f t="shared" si="11"/>
        <v>2.56</v>
      </c>
      <c r="G92" s="107">
        <f>IF(D92=D91,"",_xlfn.IFNA(VLOOKUP(D92,'인원 입력 기능(국수)'!$A$5:$D$103,4,FALSE),0))</f>
        <v>1024</v>
      </c>
      <c r="H92" s="108">
        <f t="shared" si="12"/>
        <v>4.5972470391753692E-3</v>
      </c>
      <c r="I92" s="121">
        <f>SUM($G$7:G92)</f>
        <v>217553</v>
      </c>
      <c r="J92" s="110">
        <f t="shared" si="13"/>
        <v>0.97670398936886627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119">
        <v>14</v>
      </c>
      <c r="D93" s="105">
        <f t="shared" si="10"/>
        <v>67</v>
      </c>
      <c r="E93" s="120">
        <f t="shared" si="8"/>
        <v>9</v>
      </c>
      <c r="F93" s="106">
        <f t="shared" si="11"/>
        <v>2.15</v>
      </c>
      <c r="G93" s="107">
        <f>IF(D93=D92,"",_xlfn.IFNA(VLOOKUP(D93,'인원 입력 기능(국수)'!$A$5:$D$103,4,FALSE),0))</f>
        <v>812</v>
      </c>
      <c r="H93" s="108">
        <f t="shared" si="12"/>
        <v>3.6454732380960934E-3</v>
      </c>
      <c r="I93" s="121">
        <f>SUM($G$7:G93)</f>
        <v>218365</v>
      </c>
      <c r="J93" s="110">
        <f t="shared" si="13"/>
        <v>0.98034946260696232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119">
        <v>13</v>
      </c>
      <c r="D94" s="105">
        <f t="shared" si="10"/>
        <v>66</v>
      </c>
      <c r="E94" s="120">
        <f t="shared" si="8"/>
        <v>9</v>
      </c>
      <c r="F94" s="106">
        <f t="shared" si="11"/>
        <v>1.82</v>
      </c>
      <c r="G94" s="107">
        <f>IF(D94=D93,"",_xlfn.IFNA(VLOOKUP(D94,'인원 입력 기능(국수)'!$A$5:$D$103,4,FALSE),0))</f>
        <v>665</v>
      </c>
      <c r="H94" s="108">
        <f t="shared" si="12"/>
        <v>2.9855168760269729E-3</v>
      </c>
      <c r="I94" s="121">
        <f>SUM($G$7:G94)</f>
        <v>219030</v>
      </c>
      <c r="J94" s="110">
        <f t="shared" si="13"/>
        <v>0.98333497948298931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119">
        <v>12</v>
      </c>
      <c r="D95" s="105">
        <f t="shared" si="10"/>
        <v>65</v>
      </c>
      <c r="E95" s="120">
        <f t="shared" si="8"/>
        <v>9</v>
      </c>
      <c r="F95" s="106">
        <f t="shared" si="11"/>
        <v>1.55</v>
      </c>
      <c r="G95" s="107">
        <f>IF(D95=D94,"",_xlfn.IFNA(VLOOKUP(D95,'인원 입력 기능(국수)'!$A$5:$D$103,4,FALSE),0))</f>
        <v>537</v>
      </c>
      <c r="H95" s="108">
        <f t="shared" si="12"/>
        <v>2.4108609961300516E-3</v>
      </c>
      <c r="I95" s="121">
        <f>SUM($G$7:G95)</f>
        <v>219567</v>
      </c>
      <c r="J95" s="110">
        <f t="shared" si="13"/>
        <v>0.9857458404791194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119">
        <v>11</v>
      </c>
      <c r="D96" s="105">
        <f t="shared" si="10"/>
        <v>64</v>
      </c>
      <c r="E96" s="120">
        <f t="shared" si="8"/>
        <v>9</v>
      </c>
      <c r="F96" s="106">
        <f t="shared" si="11"/>
        <v>1.32</v>
      </c>
      <c r="G96" s="107">
        <f>IF(D96=D95,"",_xlfn.IFNA(VLOOKUP(D96,'인원 입력 기능(국수)'!$A$5:$D$103,4,FALSE),0))</f>
        <v>455</v>
      </c>
      <c r="H96" s="108">
        <f t="shared" si="12"/>
        <v>2.0427220730710868E-3</v>
      </c>
      <c r="I96" s="121">
        <f>SUM($G$7:G96)</f>
        <v>220022</v>
      </c>
      <c r="J96" s="110">
        <f t="shared" si="13"/>
        <v>0.98778856255219039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119">
        <v>10</v>
      </c>
      <c r="D97" s="105">
        <f t="shared" si="10"/>
        <v>63</v>
      </c>
      <c r="E97" s="120">
        <f t="shared" si="8"/>
        <v>9</v>
      </c>
      <c r="F97" s="106">
        <f t="shared" si="11"/>
        <v>1.1399999999999999</v>
      </c>
      <c r="G97" s="107">
        <f>IF(D97=D96,"",_xlfn.IFNA(VLOOKUP(D97,'인원 입력 기능(국수)'!$A$5:$D$103,4,FALSE),0))</f>
        <v>358</v>
      </c>
      <c r="H97" s="108">
        <f t="shared" si="12"/>
        <v>1.6072406640867012E-3</v>
      </c>
      <c r="I97" s="121">
        <f>SUM($G$7:G97)</f>
        <v>220380</v>
      </c>
      <c r="J97" s="110">
        <f t="shared" si="13"/>
        <v>0.98939580321627718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119">
        <v>9</v>
      </c>
      <c r="D98" s="105">
        <f t="shared" si="10"/>
        <v>62</v>
      </c>
      <c r="E98" s="120">
        <f t="shared" si="8"/>
        <v>9</v>
      </c>
      <c r="F98" s="106">
        <f t="shared" si="11"/>
        <v>1.01</v>
      </c>
      <c r="G98" s="107">
        <f>IF(D98=D97,"",_xlfn.IFNA(VLOOKUP(D98,'인원 입력 기능(국수)'!$A$5:$D$103,4,FALSE),0))</f>
        <v>232</v>
      </c>
      <c r="H98" s="108">
        <f t="shared" si="12"/>
        <v>1.0415637823131694E-3</v>
      </c>
      <c r="I98" s="121">
        <f>SUM($G$7:G98)</f>
        <v>220612</v>
      </c>
      <c r="J98" s="110">
        <f t="shared" si="13"/>
        <v>0.99043736699859031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119">
        <v>8</v>
      </c>
      <c r="D99" s="105">
        <f t="shared" si="10"/>
        <v>61</v>
      </c>
      <c r="E99" s="120">
        <f t="shared" si="8"/>
        <v>9</v>
      </c>
      <c r="F99" s="106">
        <f t="shared" si="11"/>
        <v>0.92</v>
      </c>
      <c r="G99" s="107">
        <f>IF(D99=D98,"",_xlfn.IFNA(VLOOKUP(D99,'인원 입력 기능(국수)'!$A$5:$D$103,4,FALSE),0))</f>
        <v>167</v>
      </c>
      <c r="H99" s="108">
        <f t="shared" si="12"/>
        <v>7.497463433030143E-4</v>
      </c>
      <c r="I99" s="121">
        <f>SUM($G$7:G99)</f>
        <v>220779</v>
      </c>
      <c r="J99" s="110">
        <f t="shared" si="13"/>
        <v>0.99118711334189336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119">
        <v>7</v>
      </c>
      <c r="D100" s="122">
        <f t="shared" si="10"/>
        <v>60</v>
      </c>
      <c r="E100" s="123">
        <f t="shared" si="8"/>
        <v>9</v>
      </c>
      <c r="F100" s="124">
        <f t="shared" si="11"/>
        <v>0.83</v>
      </c>
      <c r="G100" s="125">
        <f>IF(D100=D99,"",_xlfn.IFNA(VLOOKUP(D100,'인원 입력 기능(국수)'!$A$5:$D$103,4,FALSE),0))</f>
        <v>250</v>
      </c>
      <c r="H100" s="126">
        <f t="shared" si="12"/>
        <v>1.1223747654236741E-3</v>
      </c>
      <c r="I100" s="127">
        <f>SUM($G$7:G100)</f>
        <v>221029</v>
      </c>
      <c r="J100" s="128">
        <f t="shared" si="13"/>
        <v>0.99230948810731701</v>
      </c>
      <c r="K100" s="31"/>
      <c r="L100" s="20" t="str">
        <f t="shared" si="9"/>
        <v>경고</v>
      </c>
      <c r="N100" s="1"/>
    </row>
    <row r="101" spans="1:14" ht="25" customHeight="1" x14ac:dyDescent="0.45">
      <c r="A101" s="5"/>
      <c r="B101" s="30"/>
      <c r="C101" s="111">
        <v>6</v>
      </c>
      <c r="D101" s="129"/>
      <c r="E101" s="130"/>
      <c r="F101" s="131"/>
      <c r="G101" s="132"/>
      <c r="H101" s="133"/>
      <c r="I101" s="134"/>
      <c r="J101" s="135"/>
      <c r="K101" s="31"/>
      <c r="L101" s="20" t="str">
        <f t="shared" si="9"/>
        <v>경고</v>
      </c>
      <c r="N101" s="1"/>
    </row>
    <row r="102" spans="1:14" ht="25" customHeight="1" x14ac:dyDescent="0.45">
      <c r="A102" s="5"/>
      <c r="B102" s="30"/>
      <c r="C102" s="111">
        <v>5</v>
      </c>
      <c r="D102" s="105">
        <f t="shared" si="10"/>
        <v>59</v>
      </c>
      <c r="E102" s="105">
        <f t="shared" si="8"/>
        <v>9</v>
      </c>
      <c r="F102" s="106">
        <f t="shared" si="11"/>
        <v>0.76</v>
      </c>
      <c r="G102" s="107">
        <f>IF(D102=D101,"",_xlfn.IFNA(VLOOKUP(D102,'인원 입력 기능(국수)'!$A$5:$D$103,4,FALSE),0))</f>
        <v>25</v>
      </c>
      <c r="H102" s="108">
        <f t="shared" si="12"/>
        <v>1.1223747654236741E-4</v>
      </c>
      <c r="I102" s="118">
        <f>SUM($G$7:G102)</f>
        <v>221054</v>
      </c>
      <c r="J102" s="110">
        <f t="shared" si="13"/>
        <v>0.99242172558385933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111">
        <v>4</v>
      </c>
      <c r="D103" s="105">
        <f t="shared" si="10"/>
        <v>58</v>
      </c>
      <c r="E103" s="105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106">
        <f t="shared" si="11"/>
        <v>0.73</v>
      </c>
      <c r="G103" s="107">
        <f>IF(D103=D102,"",_xlfn.IFNA(VLOOKUP(D103,'인원 입력 기능(국수)'!$A$5:$D$103,4,FALSE),0))</f>
        <v>102</v>
      </c>
      <c r="H103" s="108">
        <f t="shared" si="12"/>
        <v>4.5792890429285899E-4</v>
      </c>
      <c r="I103" s="118">
        <f>SUM($G$7:G103)</f>
        <v>221156</v>
      </c>
      <c r="J103" s="110">
        <f t="shared" si="13"/>
        <v>0.99287965448815219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111">
        <v>3</v>
      </c>
      <c r="D104" s="105">
        <f t="shared" si="10"/>
        <v>57</v>
      </c>
      <c r="E104" s="105">
        <f t="shared" si="14"/>
        <v>9</v>
      </c>
      <c r="F104" s="106">
        <f t="shared" si="11"/>
        <v>0.71</v>
      </c>
      <c r="G104" s="107">
        <f>IF(D104=D103,"",_xlfn.IFNA(VLOOKUP(D104,'인원 입력 기능(국수)'!$A$5:$D$103,4,FALSE),0))</f>
        <v>8</v>
      </c>
      <c r="H104" s="108">
        <f t="shared" si="12"/>
        <v>3.5915992493557572E-5</v>
      </c>
      <c r="I104" s="118">
        <f>SUM($G$7:G104)</f>
        <v>221164</v>
      </c>
      <c r="J104" s="110">
        <f t="shared" si="13"/>
        <v>0.99291557048064572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111">
        <v>2</v>
      </c>
      <c r="D105" s="105">
        <f t="shared" si="10"/>
        <v>56</v>
      </c>
      <c r="E105" s="105">
        <f t="shared" si="14"/>
        <v>9</v>
      </c>
      <c r="F105" s="106">
        <f t="shared" si="11"/>
        <v>0.69</v>
      </c>
      <c r="G105" s="107">
        <f>IF(D105=D104,"",_xlfn.IFNA(VLOOKUP(D105,'인원 입력 기능(국수)'!$A$5:$D$103,4,FALSE),0))</f>
        <v>91</v>
      </c>
      <c r="H105" s="108">
        <f t="shared" si="12"/>
        <v>4.0854441461421736E-4</v>
      </c>
      <c r="I105" s="118">
        <f>SUM($G$7:G105)</f>
        <v>221255</v>
      </c>
      <c r="J105" s="110">
        <f t="shared" si="13"/>
        <v>0.99332411489525996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111">
        <v>1</v>
      </c>
      <c r="D106" s="112" t="s">
        <v>57</v>
      </c>
      <c r="E106" s="112"/>
      <c r="F106" s="113"/>
      <c r="G106" s="114"/>
      <c r="H106" s="115"/>
      <c r="I106" s="136"/>
      <c r="J106" s="117"/>
      <c r="K106" s="31"/>
      <c r="L106" s="20"/>
    </row>
    <row r="107" spans="1:14" ht="25" customHeight="1" thickBot="1" x14ac:dyDescent="0.5">
      <c r="A107" s="5"/>
      <c r="B107" s="30"/>
      <c r="C107" s="137">
        <v>0</v>
      </c>
      <c r="D107" s="138">
        <f>ROUND(20*(C107-$H$3)/$H$4+100,0)</f>
        <v>54</v>
      </c>
      <c r="E107" s="13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139">
        <f>IF(I105=0,ROUND(100*(1-(I104+I107)/2/$J$3),2),ROUND(100*(1-(I105+I107)/2/$J$3),2))</f>
        <v>0.33</v>
      </c>
      <c r="G107" s="140">
        <f>_xlfn.IFNA(VLOOKUP(D107,'인원 입력 기능(국수)'!$A$5:$D$103,4,FALSE),0)</f>
        <v>1487</v>
      </c>
      <c r="H107" s="141">
        <f>G107/$J$3</f>
        <v>6.675885104740013E-3</v>
      </c>
      <c r="I107" s="142">
        <f>SUM($G$7:G107)</f>
        <v>222742</v>
      </c>
      <c r="J107" s="14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0">
    <mergeCell ref="D3:F3"/>
    <mergeCell ref="D4:F4"/>
    <mergeCell ref="D19:D20"/>
    <mergeCell ref="E19:E20"/>
    <mergeCell ref="F19:F20"/>
    <mergeCell ref="G19:G20"/>
    <mergeCell ref="H19:H20"/>
    <mergeCell ref="I19:I20"/>
    <mergeCell ref="J19:J20"/>
    <mergeCell ref="D46:D47"/>
    <mergeCell ref="E46:E47"/>
    <mergeCell ref="F46:F47"/>
    <mergeCell ref="G46:G47"/>
    <mergeCell ref="H46:H47"/>
    <mergeCell ref="I46:I47"/>
    <mergeCell ref="J46:J47"/>
    <mergeCell ref="I73:I74"/>
    <mergeCell ref="J73:J74"/>
    <mergeCell ref="D100:D101"/>
    <mergeCell ref="E100:E101"/>
    <mergeCell ref="F100:F101"/>
    <mergeCell ref="G100:G101"/>
    <mergeCell ref="H100:H101"/>
    <mergeCell ref="I100:I101"/>
    <mergeCell ref="J100:J101"/>
    <mergeCell ref="D73:D74"/>
    <mergeCell ref="E73:E74"/>
    <mergeCell ref="F73:F74"/>
    <mergeCell ref="G73:G74"/>
    <mergeCell ref="H73:H74"/>
  </mergeCells>
  <phoneticPr fontId="1" type="noConversion"/>
  <conditionalFormatting sqref="C7:C106">
    <cfRule type="expression" dxfId="61" priority="2">
      <formula>OR(AND($D7=0,OR($D6=$Q$7:$Q$14)),AND($D8&gt;0,OR($D7=$Q$7:$Q$14)))</formula>
    </cfRule>
  </conditionalFormatting>
  <conditionalFormatting sqref="D7:J19 D21:J46 D48:J73 D75:J100 D102:J107">
    <cfRule type="expression" dxfId="60" priority="3">
      <formula>OR($D7=$Q$7:$Q$14)</formula>
    </cfRule>
  </conditionalFormatting>
  <conditionalFormatting sqref="D7:D19 D21:D46 D48:D73 D75:D100 D102:D106">
    <cfRule type="expression" dxfId="59" priority="1">
      <formula>$D7=$D8</formula>
    </cfRule>
  </conditionalFormatting>
  <conditionalFormatting sqref="C107">
    <cfRule type="expression" dxfId="58" priority="7">
      <formula>OR(AND($D107=0,OR($D106=$Q$7:$Q$14)),AND($D109&gt;0,OR($D107=$Q$7:$Q$14)))</formula>
    </cfRule>
  </conditionalFormatting>
  <conditionalFormatting sqref="D107">
    <cfRule type="expression" dxfId="57" priority="9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topLeftCell="A35" zoomScaleNormal="100" workbookViewId="0">
      <selection activeCell="C6" sqref="C6:J107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5" t="s">
        <v>67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기능'!D5</f>
        <v>37.36</v>
      </c>
      <c r="I3" s="21" t="s">
        <v>107</v>
      </c>
      <c r="J3" s="93">
        <f>'통계 및 응시자 수 입력 기능'!C5</f>
        <v>220597</v>
      </c>
      <c r="K3" s="31"/>
      <c r="L3" s="5"/>
    </row>
    <row r="4" spans="1:17" ht="25" customHeight="1" thickBot="1" x14ac:dyDescent="0.5">
      <c r="A4" s="5"/>
      <c r="B4" s="30"/>
      <c r="C4" s="94" t="s">
        <v>108</v>
      </c>
      <c r="D4" s="95" t="s">
        <v>111</v>
      </c>
      <c r="E4" s="96"/>
      <c r="F4" s="97"/>
      <c r="G4" s="98" t="s">
        <v>110</v>
      </c>
      <c r="H4" s="99" t="str">
        <f>'통계 및 응시자 수 입력 기능'!E5</f>
        <v>23.81</v>
      </c>
      <c r="I4" s="37"/>
      <c r="J4" s="38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9"/>
      <c r="H5" s="20"/>
      <c r="I5" s="20"/>
      <c r="J5" s="20"/>
      <c r="K5" s="31"/>
      <c r="L5" s="5"/>
    </row>
    <row r="6" spans="1:17" ht="25" customHeight="1" thickBot="1" x14ac:dyDescent="0.5">
      <c r="A6" s="5"/>
      <c r="B6" s="30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2" t="s">
        <v>117</v>
      </c>
      <c r="I6" s="102" t="s">
        <v>118</v>
      </c>
      <c r="J6" s="103" t="s">
        <v>119</v>
      </c>
      <c r="K6" s="31"/>
      <c r="L6" s="3" t="s">
        <v>66</v>
      </c>
      <c r="M6" s="3"/>
      <c r="N6" s="4"/>
    </row>
    <row r="7" spans="1:17" ht="25" customHeight="1" x14ac:dyDescent="0.45">
      <c r="A7" s="5"/>
      <c r="B7" s="30"/>
      <c r="C7" s="104">
        <v>100</v>
      </c>
      <c r="D7" s="105">
        <f>ROUND(20*(C7-$H$3)/$H$4+100,0)</f>
        <v>153</v>
      </c>
      <c r="E7" s="105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99.98</v>
      </c>
      <c r="G7" s="107">
        <f>_xlfn.IFNA(VLOOKUP(D7,'인원 입력 기능(국수)'!$F$5:$I$103,4,FALSE),0)</f>
        <v>95</v>
      </c>
      <c r="H7" s="108">
        <f>G7/$J$3</f>
        <v>4.3064955552432719E-4</v>
      </c>
      <c r="I7" s="109">
        <f>G7</f>
        <v>95</v>
      </c>
      <c r="J7" s="110">
        <f>I7/$J$3</f>
        <v>4.3064955552432719E-4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139</v>
      </c>
    </row>
    <row r="8" spans="1:17" ht="25" customHeight="1" x14ac:dyDescent="0.45">
      <c r="A8" s="5"/>
      <c r="B8" s="30"/>
      <c r="C8" s="111">
        <v>99</v>
      </c>
      <c r="D8" s="112" t="s">
        <v>57</v>
      </c>
      <c r="E8" s="112"/>
      <c r="F8" s="113"/>
      <c r="G8" s="114"/>
      <c r="H8" s="115"/>
      <c r="I8" s="116"/>
      <c r="J8" s="117"/>
      <c r="K8" s="31"/>
      <c r="L8" s="20"/>
      <c r="N8" s="1"/>
      <c r="P8" s="1">
        <v>2</v>
      </c>
      <c r="Q8" s="1">
        <f>'표점등급&amp;절평인원 입력 기능'!C14</f>
        <v>129</v>
      </c>
    </row>
    <row r="9" spans="1:17" ht="25" customHeight="1" x14ac:dyDescent="0.45">
      <c r="A9" s="5"/>
      <c r="B9" s="30"/>
      <c r="C9" s="111">
        <v>98</v>
      </c>
      <c r="D9" s="105">
        <f t="shared" ref="D9:D40" si="1">ROUND(20*(C9-$H$3)/$H$4+100,0)</f>
        <v>151</v>
      </c>
      <c r="E9" s="105">
        <f t="shared" si="0"/>
        <v>1</v>
      </c>
      <c r="F9" s="106">
        <f>IF(I8=0,ROUND(100*(1-(I7+I9)/2/$J$3),2),ROUND(100*(1-(I8+I9)/2/$J$3),2))</f>
        <v>99.96</v>
      </c>
      <c r="G9" s="107">
        <f>_xlfn.IFNA(VLOOKUP(D9,'인원 입력 기능(국수)'!$F$5:$I$103,4,FALSE),0)</f>
        <v>1</v>
      </c>
      <c r="H9" s="108">
        <f>G9/$J$3</f>
        <v>4.533153216045549E-6</v>
      </c>
      <c r="I9" s="118">
        <f>SUM($G$7:G9)</f>
        <v>96</v>
      </c>
      <c r="J9" s="110">
        <f>I9/$J$3</f>
        <v>4.351827087403727E-4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117</v>
      </c>
    </row>
    <row r="10" spans="1:17" ht="25" customHeight="1" x14ac:dyDescent="0.45">
      <c r="A10" s="5"/>
      <c r="B10" s="30"/>
      <c r="C10" s="111">
        <v>97</v>
      </c>
      <c r="D10" s="105">
        <f t="shared" si="1"/>
        <v>150</v>
      </c>
      <c r="E10" s="105">
        <f t="shared" si="0"/>
        <v>1</v>
      </c>
      <c r="F10" s="106">
        <f t="shared" ref="F10:F73" si="3">IF(I9=0,ROUND(100*(1-(I8+I10)/2/$J$3),2),ROUND(100*(1-(I9+I10)/2/$J$3),2))</f>
        <v>99.96</v>
      </c>
      <c r="G10" s="107">
        <f>IF(D10=D9,"",_xlfn.IFNA(VLOOKUP(D10,'인원 입력 기능(국수)'!$F$5:$I$103,4,FALSE),0))</f>
        <v>2</v>
      </c>
      <c r="H10" s="108">
        <f t="shared" ref="H10:H73" si="4">G10/$J$3</f>
        <v>9.0663064320910979E-6</v>
      </c>
      <c r="I10" s="118">
        <f>SUM($G$7:G10)</f>
        <v>98</v>
      </c>
      <c r="J10" s="110">
        <f t="shared" ref="J10:J73" si="5">I10/$J$3</f>
        <v>4.4424901517246384E-4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102</v>
      </c>
    </row>
    <row r="11" spans="1:17" ht="25" customHeight="1" x14ac:dyDescent="0.45">
      <c r="A11" s="5"/>
      <c r="B11" s="30"/>
      <c r="C11" s="111">
        <v>96</v>
      </c>
      <c r="D11" s="105">
        <f t="shared" si="1"/>
        <v>149</v>
      </c>
      <c r="E11" s="105">
        <f t="shared" si="0"/>
        <v>1</v>
      </c>
      <c r="F11" s="106">
        <f t="shared" si="3"/>
        <v>99.71</v>
      </c>
      <c r="G11" s="107">
        <f>IF(D11=D10,"",_xlfn.IFNA(VLOOKUP(D11,'인원 입력 기능(국수)'!$F$5:$I$103,4,FALSE),0))</f>
        <v>1102</v>
      </c>
      <c r="H11" s="108">
        <f t="shared" si="4"/>
        <v>4.995534844082195E-3</v>
      </c>
      <c r="I11" s="118">
        <f>SUM($G$7:G11)</f>
        <v>1200</v>
      </c>
      <c r="J11" s="110">
        <f t="shared" si="5"/>
        <v>5.4397838592546589E-3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89</v>
      </c>
    </row>
    <row r="12" spans="1:17" ht="25" customHeight="1" x14ac:dyDescent="0.45">
      <c r="A12" s="5"/>
      <c r="B12" s="30"/>
      <c r="C12" s="111">
        <v>95</v>
      </c>
      <c r="D12" s="122">
        <f t="shared" si="1"/>
        <v>148</v>
      </c>
      <c r="E12" s="122">
        <f t="shared" si="0"/>
        <v>1</v>
      </c>
      <c r="F12" s="124">
        <f t="shared" si="3"/>
        <v>99.46</v>
      </c>
      <c r="G12" s="125">
        <f>IF(D12=D11,"",_xlfn.IFNA(VLOOKUP(D12,'인원 입력 기능(국수)'!$F$5:$I$103,4,FALSE),0))</f>
        <v>1</v>
      </c>
      <c r="H12" s="126">
        <f t="shared" si="4"/>
        <v>4.533153216045549E-6</v>
      </c>
      <c r="I12" s="144">
        <f>SUM($G$7:G12)</f>
        <v>1201</v>
      </c>
      <c r="J12" s="128">
        <f t="shared" si="5"/>
        <v>5.4443170124707048E-3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111">
        <v>94</v>
      </c>
      <c r="D13" s="129"/>
      <c r="E13" s="129"/>
      <c r="F13" s="131"/>
      <c r="G13" s="132"/>
      <c r="H13" s="133"/>
      <c r="I13" s="145"/>
      <c r="J13" s="135"/>
      <c r="K13" s="31"/>
      <c r="L13" s="20" t="str">
        <f t="shared" si="2"/>
        <v>경고</v>
      </c>
      <c r="N13" s="1"/>
      <c r="P13" s="1">
        <v>7</v>
      </c>
      <c r="Q13" s="1">
        <f>'표점등급&amp;절평인원 입력 기능'!C19</f>
        <v>80</v>
      </c>
    </row>
    <row r="14" spans="1:17" ht="25" customHeight="1" x14ac:dyDescent="0.45">
      <c r="A14" s="5"/>
      <c r="B14" s="30"/>
      <c r="C14" s="111">
        <v>93</v>
      </c>
      <c r="D14" s="105">
        <f t="shared" si="1"/>
        <v>147</v>
      </c>
      <c r="E14" s="105">
        <f t="shared" si="0"/>
        <v>1</v>
      </c>
      <c r="F14" s="106">
        <f t="shared" si="3"/>
        <v>99.42</v>
      </c>
      <c r="G14" s="107">
        <f>IF(D14=D13,"",_xlfn.IFNA(VLOOKUP(D14,'인원 입력 기능(국수)'!$F$5:$I$103,4,FALSE),0))</f>
        <v>141</v>
      </c>
      <c r="H14" s="108">
        <f t="shared" si="4"/>
        <v>6.3917460346242245E-4</v>
      </c>
      <c r="I14" s="118">
        <f>SUM($G$7:G14)</f>
        <v>1342</v>
      </c>
      <c r="J14" s="110">
        <f t="shared" si="5"/>
        <v>6.0834916159331273E-3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76</v>
      </c>
    </row>
    <row r="15" spans="1:17" ht="25" customHeight="1" x14ac:dyDescent="0.45">
      <c r="A15" s="5"/>
      <c r="B15" s="30"/>
      <c r="C15" s="111">
        <v>92</v>
      </c>
      <c r="D15" s="105">
        <f t="shared" si="1"/>
        <v>146</v>
      </c>
      <c r="E15" s="105">
        <f t="shared" si="0"/>
        <v>1</v>
      </c>
      <c r="F15" s="106">
        <f t="shared" si="3"/>
        <v>98.99</v>
      </c>
      <c r="G15" s="107">
        <f>IF(D15=D14,"",_xlfn.IFNA(VLOOKUP(D15,'인원 입력 기능(국수)'!$F$5:$I$103,4,FALSE),0))</f>
        <v>1794</v>
      </c>
      <c r="H15" s="108">
        <f t="shared" si="4"/>
        <v>8.1324768695857155E-3</v>
      </c>
      <c r="I15" s="118">
        <f>SUM($G$7:G15)</f>
        <v>3136</v>
      </c>
      <c r="J15" s="110">
        <f t="shared" si="5"/>
        <v>1.4215968485518843E-2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111">
        <v>91</v>
      </c>
      <c r="D16" s="105">
        <f t="shared" si="1"/>
        <v>145</v>
      </c>
      <c r="E16" s="105">
        <f t="shared" si="0"/>
        <v>1</v>
      </c>
      <c r="F16" s="106">
        <f t="shared" si="3"/>
        <v>98.58</v>
      </c>
      <c r="G16" s="107">
        <f>IF(D16=D15,"",_xlfn.IFNA(VLOOKUP(D16,'인원 입력 기능(국수)'!$F$5:$I$103,4,FALSE),0))</f>
        <v>0</v>
      </c>
      <c r="H16" s="108">
        <f t="shared" si="4"/>
        <v>0</v>
      </c>
      <c r="I16" s="118">
        <f>SUM($G$7:G16)</f>
        <v>3136</v>
      </c>
      <c r="J16" s="110">
        <f t="shared" si="5"/>
        <v>1.4215968485518843E-2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111">
        <v>90</v>
      </c>
      <c r="D17" s="105">
        <f t="shared" si="1"/>
        <v>144</v>
      </c>
      <c r="E17" s="105">
        <f t="shared" si="0"/>
        <v>1</v>
      </c>
      <c r="F17" s="106">
        <f t="shared" si="3"/>
        <v>98.58</v>
      </c>
      <c r="G17" s="107">
        <f>IF(D17=D16,"",_xlfn.IFNA(VLOOKUP(D17,'인원 입력 기능(국수)'!$F$5:$I$103,4,FALSE),0))</f>
        <v>12</v>
      </c>
      <c r="H17" s="108">
        <f t="shared" si="4"/>
        <v>5.4397838592546588E-5</v>
      </c>
      <c r="I17" s="118">
        <f>SUM($G$7:G17)</f>
        <v>3148</v>
      </c>
      <c r="J17" s="110">
        <f t="shared" si="5"/>
        <v>1.4270366324111388E-2</v>
      </c>
      <c r="K17" s="31"/>
      <c r="L17" s="20" t="str">
        <f t="shared" si="2"/>
        <v/>
      </c>
      <c r="N17" s="1"/>
      <c r="Q17" s="1">
        <f>Q7*H3*H4*J3*IFERROR(IF(J107=1, 1, 0), 0)</f>
        <v>27275998958.5928</v>
      </c>
    </row>
    <row r="18" spans="1:17" ht="25" customHeight="1" x14ac:dyDescent="0.45">
      <c r="A18" s="5"/>
      <c r="B18" s="30"/>
      <c r="C18" s="111">
        <v>89</v>
      </c>
      <c r="D18" s="122">
        <f t="shared" si="1"/>
        <v>143</v>
      </c>
      <c r="E18" s="122">
        <f t="shared" si="0"/>
        <v>1</v>
      </c>
      <c r="F18" s="124">
        <f t="shared" si="3"/>
        <v>97.92</v>
      </c>
      <c r="G18" s="125">
        <f>IF(D18=D17,"",_xlfn.IFNA(VLOOKUP(D18,'인원 입력 기능(국수)'!$F$5:$I$103,4,FALSE),0))</f>
        <v>2891</v>
      </c>
      <c r="H18" s="126">
        <f t="shared" si="4"/>
        <v>1.3105345947587683E-2</v>
      </c>
      <c r="I18" s="144">
        <f>SUM($G$7:G18)</f>
        <v>6039</v>
      </c>
      <c r="J18" s="128">
        <f t="shared" si="5"/>
        <v>2.7375712271699069E-2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111">
        <v>88</v>
      </c>
      <c r="D19" s="129"/>
      <c r="E19" s="129"/>
      <c r="F19" s="131"/>
      <c r="G19" s="132"/>
      <c r="H19" s="133"/>
      <c r="I19" s="145"/>
      <c r="J19" s="135"/>
      <c r="K19" s="31"/>
      <c r="L19" s="20" t="str">
        <f t="shared" si="2"/>
        <v>경고</v>
      </c>
      <c r="N19" s="1"/>
    </row>
    <row r="20" spans="1:17" ht="25" customHeight="1" x14ac:dyDescent="0.45">
      <c r="A20" s="5"/>
      <c r="B20" s="30"/>
      <c r="C20" s="111">
        <v>87</v>
      </c>
      <c r="D20" s="105">
        <f t="shared" si="1"/>
        <v>142</v>
      </c>
      <c r="E20" s="120">
        <f t="shared" si="0"/>
        <v>1</v>
      </c>
      <c r="F20" s="106">
        <f t="shared" si="3"/>
        <v>97.26</v>
      </c>
      <c r="G20" s="107">
        <f>IF(D20=D19,"",_xlfn.IFNA(VLOOKUP(D20,'인원 입력 기능(국수)'!$F$5:$I$103,4,FALSE),0))</f>
        <v>0</v>
      </c>
      <c r="H20" s="108">
        <f t="shared" si="4"/>
        <v>0</v>
      </c>
      <c r="I20" s="118">
        <f>SUM($G$7:G20)</f>
        <v>6039</v>
      </c>
      <c r="J20" s="110">
        <f t="shared" si="5"/>
        <v>2.7375712271699069E-2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111">
        <v>86</v>
      </c>
      <c r="D21" s="105">
        <f t="shared" si="1"/>
        <v>141</v>
      </c>
      <c r="E21" s="120">
        <f t="shared" si="0"/>
        <v>1</v>
      </c>
      <c r="F21" s="106">
        <f t="shared" si="3"/>
        <v>97.25</v>
      </c>
      <c r="G21" s="107">
        <f>IF(D21=D20,"",_xlfn.IFNA(VLOOKUP(D21,'인원 입력 기능(국수)'!$F$5:$I$103,4,FALSE),0))</f>
        <v>38</v>
      </c>
      <c r="H21" s="108">
        <f t="shared" si="4"/>
        <v>1.7225982220973087E-4</v>
      </c>
      <c r="I21" s="118">
        <f>SUM($G$7:G21)</f>
        <v>6077</v>
      </c>
      <c r="J21" s="110">
        <f t="shared" si="5"/>
        <v>2.7547972093908801E-2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111">
        <v>85</v>
      </c>
      <c r="D22" s="105">
        <f t="shared" si="1"/>
        <v>140</v>
      </c>
      <c r="E22" s="120">
        <f t="shared" si="0"/>
        <v>1</v>
      </c>
      <c r="F22" s="106">
        <f t="shared" si="3"/>
        <v>97.13</v>
      </c>
      <c r="G22" s="107">
        <f>IF(D22=D21,"",_xlfn.IFNA(VLOOKUP(D22,'인원 입력 기능(국수)'!$F$5:$I$103,4,FALSE),0))</f>
        <v>511</v>
      </c>
      <c r="H22" s="108">
        <f t="shared" si="4"/>
        <v>2.3164412933992756E-3</v>
      </c>
      <c r="I22" s="118">
        <f>SUM($G$7:G22)</f>
        <v>6588</v>
      </c>
      <c r="J22" s="110">
        <f t="shared" si="5"/>
        <v>2.9864413387308077E-2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111">
        <v>84</v>
      </c>
      <c r="D23" s="105">
        <f t="shared" si="1"/>
        <v>139</v>
      </c>
      <c r="E23" s="120">
        <f t="shared" si="0"/>
        <v>1</v>
      </c>
      <c r="F23" s="106">
        <f t="shared" si="3"/>
        <v>96.23</v>
      </c>
      <c r="G23" s="107">
        <f>IF(D23=D22,"",_xlfn.IFNA(VLOOKUP(D23,'인원 입력 기능(국수)'!$F$5:$I$103,4,FALSE),0))</f>
        <v>3468</v>
      </c>
      <c r="H23" s="108">
        <f t="shared" si="4"/>
        <v>1.5720975353245965E-2</v>
      </c>
      <c r="I23" s="118">
        <f>SUM($G$7:G23)</f>
        <v>10056</v>
      </c>
      <c r="J23" s="110">
        <f t="shared" si="5"/>
        <v>4.5585388740554039E-2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119">
        <v>83</v>
      </c>
      <c r="D24" s="120">
        <f t="shared" si="1"/>
        <v>138</v>
      </c>
      <c r="E24" s="120">
        <f t="shared" si="0"/>
        <v>2</v>
      </c>
      <c r="F24" s="106">
        <f t="shared" si="3"/>
        <v>95.44</v>
      </c>
      <c r="G24" s="107">
        <f>IF(D24=D23,"",_xlfn.IFNA(VLOOKUP(D24,'인원 입력 기능(국수)'!$F$5:$I$103,4,FALSE),0))</f>
        <v>10</v>
      </c>
      <c r="H24" s="108">
        <f t="shared" si="4"/>
        <v>4.533153216045549E-5</v>
      </c>
      <c r="I24" s="121">
        <f>SUM($G$7:G24)</f>
        <v>10066</v>
      </c>
      <c r="J24" s="110">
        <f t="shared" si="5"/>
        <v>4.5630720272714496E-2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119">
        <v>82</v>
      </c>
      <c r="D25" s="123">
        <f t="shared" si="1"/>
        <v>137</v>
      </c>
      <c r="E25" s="123">
        <f t="shared" si="0"/>
        <v>2</v>
      </c>
      <c r="F25" s="124">
        <f t="shared" si="3"/>
        <v>95.21</v>
      </c>
      <c r="G25" s="125">
        <f>IF(D25=D24,"",_xlfn.IFNA(VLOOKUP(D25,'인원 입력 기능(국수)'!$F$5:$I$103,4,FALSE),0))</f>
        <v>1002</v>
      </c>
      <c r="H25" s="126">
        <f t="shared" si="4"/>
        <v>4.5422195224776403E-3</v>
      </c>
      <c r="I25" s="127">
        <f>SUM($G$7:G25)</f>
        <v>11068</v>
      </c>
      <c r="J25" s="128">
        <f t="shared" si="5"/>
        <v>5.0172939795192141E-2</v>
      </c>
      <c r="K25" s="31"/>
      <c r="L25" s="20" t="str">
        <f t="shared" si="2"/>
        <v>경고</v>
      </c>
      <c r="N25" s="1"/>
    </row>
    <row r="26" spans="1:17" ht="25" customHeight="1" x14ac:dyDescent="0.45">
      <c r="A26" s="5"/>
      <c r="B26" s="30"/>
      <c r="C26" s="119">
        <v>81</v>
      </c>
      <c r="D26" s="130"/>
      <c r="E26" s="130"/>
      <c r="F26" s="131"/>
      <c r="G26" s="132"/>
      <c r="H26" s="133"/>
      <c r="I26" s="134"/>
      <c r="J26" s="135"/>
      <c r="K26" s="31"/>
      <c r="L26" s="20" t="str">
        <f t="shared" si="2"/>
        <v>경고</v>
      </c>
      <c r="N26" s="1"/>
    </row>
    <row r="27" spans="1:17" ht="25" customHeight="1" x14ac:dyDescent="0.45">
      <c r="A27" s="5"/>
      <c r="B27" s="30"/>
      <c r="C27" s="119">
        <v>80</v>
      </c>
      <c r="D27" s="120">
        <f t="shared" si="1"/>
        <v>136</v>
      </c>
      <c r="E27" s="120">
        <f t="shared" si="0"/>
        <v>2</v>
      </c>
      <c r="F27" s="106">
        <f t="shared" si="3"/>
        <v>94.07</v>
      </c>
      <c r="G27" s="107">
        <f>IF(D27=D26,"",_xlfn.IFNA(VLOOKUP(D27,'인원 입력 기능(국수)'!$F$5:$I$103,4,FALSE),0))</f>
        <v>4022</v>
      </c>
      <c r="H27" s="108">
        <f t="shared" si="4"/>
        <v>1.8232342234935198E-2</v>
      </c>
      <c r="I27" s="121">
        <f>SUM($G$7:G27)</f>
        <v>15090</v>
      </c>
      <c r="J27" s="110">
        <f t="shared" si="5"/>
        <v>6.8405282030127343E-2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119">
        <v>79</v>
      </c>
      <c r="D28" s="120">
        <f t="shared" si="1"/>
        <v>135</v>
      </c>
      <c r="E28" s="120">
        <f t="shared" si="0"/>
        <v>2</v>
      </c>
      <c r="F28" s="106">
        <f t="shared" si="3"/>
        <v>93.16</v>
      </c>
      <c r="G28" s="107">
        <f>IF(D28=D27,"",_xlfn.IFNA(VLOOKUP(D28,'인원 입력 기능(국수)'!$F$5:$I$103,4,FALSE),0))</f>
        <v>18</v>
      </c>
      <c r="H28" s="108">
        <f t="shared" si="4"/>
        <v>8.1596757888819881E-5</v>
      </c>
      <c r="I28" s="121">
        <f>SUM($G$7:G28)</f>
        <v>15108</v>
      </c>
      <c r="J28" s="110">
        <f t="shared" si="5"/>
        <v>6.8486878788016153E-2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119">
        <v>78</v>
      </c>
      <c r="D29" s="120">
        <f t="shared" si="1"/>
        <v>134</v>
      </c>
      <c r="E29" s="120">
        <f t="shared" si="0"/>
        <v>2</v>
      </c>
      <c r="F29" s="106">
        <f t="shared" si="3"/>
        <v>93.11</v>
      </c>
      <c r="G29" s="107">
        <f>IF(D29=D28,"",_xlfn.IFNA(VLOOKUP(D29,'인원 입력 기능(국수)'!$F$5:$I$103,4,FALSE),0))</f>
        <v>187</v>
      </c>
      <c r="H29" s="108">
        <f t="shared" si="4"/>
        <v>8.4769965140051766E-4</v>
      </c>
      <c r="I29" s="121">
        <f>SUM($G$7:G29)</f>
        <v>15295</v>
      </c>
      <c r="J29" s="110">
        <f t="shared" si="5"/>
        <v>6.9334578439416678E-2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119">
        <v>77</v>
      </c>
      <c r="D30" s="120">
        <f t="shared" si="1"/>
        <v>133</v>
      </c>
      <c r="E30" s="120">
        <f t="shared" si="0"/>
        <v>2</v>
      </c>
      <c r="F30" s="106">
        <f t="shared" si="3"/>
        <v>92.74</v>
      </c>
      <c r="G30" s="107">
        <f>IF(D30=D29,"",_xlfn.IFNA(VLOOKUP(D30,'인원 입력 기능(국수)'!$F$5:$I$103,4,FALSE),0))</f>
        <v>1439</v>
      </c>
      <c r="H30" s="108">
        <f t="shared" si="4"/>
        <v>6.5232074778895453E-3</v>
      </c>
      <c r="I30" s="121">
        <f>SUM($G$7:G30)</f>
        <v>16734</v>
      </c>
      <c r="J30" s="110">
        <f t="shared" si="5"/>
        <v>7.5857785917306214E-2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119">
        <v>76</v>
      </c>
      <c r="D31" s="123">
        <f t="shared" si="1"/>
        <v>132</v>
      </c>
      <c r="E31" s="123">
        <f t="shared" si="0"/>
        <v>2</v>
      </c>
      <c r="F31" s="124">
        <f t="shared" si="3"/>
        <v>91.4</v>
      </c>
      <c r="G31" s="125">
        <f>IF(D31=D30,"",_xlfn.IFNA(VLOOKUP(D31,'인원 입력 기능(국수)'!$F$5:$I$103,4,FALSE),0))</f>
        <v>4474</v>
      </c>
      <c r="H31" s="126">
        <f t="shared" si="4"/>
        <v>2.0281327488587787E-2</v>
      </c>
      <c r="I31" s="127">
        <f>SUM($G$7:G31)</f>
        <v>21208</v>
      </c>
      <c r="J31" s="128">
        <f t="shared" si="5"/>
        <v>9.6139113405894011E-2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119">
        <v>75</v>
      </c>
      <c r="D32" s="130"/>
      <c r="E32" s="130"/>
      <c r="F32" s="131"/>
      <c r="G32" s="132"/>
      <c r="H32" s="133"/>
      <c r="I32" s="134"/>
      <c r="J32" s="135"/>
      <c r="K32" s="31"/>
      <c r="L32" s="20" t="str">
        <f t="shared" si="2"/>
        <v>경고</v>
      </c>
      <c r="N32" s="1"/>
    </row>
    <row r="33" spans="1:14" ht="25" customHeight="1" x14ac:dyDescent="0.45">
      <c r="A33" s="5"/>
      <c r="B33" s="30"/>
      <c r="C33" s="119">
        <v>74</v>
      </c>
      <c r="D33" s="120">
        <f t="shared" si="1"/>
        <v>131</v>
      </c>
      <c r="E33" s="120">
        <f t="shared" si="0"/>
        <v>2</v>
      </c>
      <c r="F33" s="106">
        <f t="shared" si="3"/>
        <v>90.31</v>
      </c>
      <c r="G33" s="107">
        <f>IF(D33=D32,"",_xlfn.IFNA(VLOOKUP(D33,'인원 입력 기능(국수)'!$F$5:$I$103,4,FALSE),0))</f>
        <v>352</v>
      </c>
      <c r="H33" s="108">
        <f t="shared" si="4"/>
        <v>1.5956699320480332E-3</v>
      </c>
      <c r="I33" s="121">
        <f>SUM($G$7:G33)</f>
        <v>21560</v>
      </c>
      <c r="J33" s="110">
        <f t="shared" si="5"/>
        <v>9.7734783337942041E-2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119">
        <v>73</v>
      </c>
      <c r="D34" s="120">
        <f t="shared" si="1"/>
        <v>130</v>
      </c>
      <c r="E34" s="120">
        <f t="shared" si="0"/>
        <v>2</v>
      </c>
      <c r="F34" s="106">
        <f t="shared" si="3"/>
        <v>89.76</v>
      </c>
      <c r="G34" s="107">
        <f>IF(D34=D33,"",_xlfn.IFNA(VLOOKUP(D34,'인원 입력 기능(국수)'!$F$5:$I$103,4,FALSE),0))</f>
        <v>2069</v>
      </c>
      <c r="H34" s="108">
        <f t="shared" si="4"/>
        <v>9.379094003998242E-3</v>
      </c>
      <c r="I34" s="121">
        <f>SUM($G$7:G34)</f>
        <v>23629</v>
      </c>
      <c r="J34" s="110">
        <f t="shared" si="5"/>
        <v>0.10711387734194028</v>
      </c>
      <c r="K34" s="31"/>
      <c r="L34" s="20" t="str">
        <f t="shared" si="2"/>
        <v/>
      </c>
      <c r="N34" s="1"/>
    </row>
    <row r="35" spans="1:14" ht="25" customHeight="1" x14ac:dyDescent="0.45">
      <c r="A35" s="5"/>
      <c r="B35" s="30"/>
      <c r="C35" s="119">
        <v>72</v>
      </c>
      <c r="D35" s="120">
        <f t="shared" si="1"/>
        <v>129</v>
      </c>
      <c r="E35" s="120">
        <f t="shared" si="0"/>
        <v>2</v>
      </c>
      <c r="F35" s="106">
        <f t="shared" si="3"/>
        <v>88.31</v>
      </c>
      <c r="G35" s="107">
        <f>IF(D35=D34,"",_xlfn.IFNA(VLOOKUP(D35,'인원 입력 기능(국수)'!$F$5:$I$103,4,FALSE),0))</f>
        <v>4310</v>
      </c>
      <c r="H35" s="108">
        <f t="shared" si="4"/>
        <v>1.9537890361156315E-2</v>
      </c>
      <c r="I35" s="121">
        <f>SUM($G$7:G35)</f>
        <v>27939</v>
      </c>
      <c r="J35" s="110">
        <f t="shared" si="5"/>
        <v>0.12665176770309661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119">
        <v>71</v>
      </c>
      <c r="D36" s="120">
        <f t="shared" si="1"/>
        <v>128</v>
      </c>
      <c r="E36" s="120">
        <f t="shared" si="0"/>
        <v>3</v>
      </c>
      <c r="F36" s="106">
        <f t="shared" si="3"/>
        <v>87.31</v>
      </c>
      <c r="G36" s="107">
        <f>IF(D36=D35,"",_xlfn.IFNA(VLOOKUP(D36,'인원 입력 기능(국수)'!$F$5:$I$103,4,FALSE),0))</f>
        <v>120</v>
      </c>
      <c r="H36" s="108">
        <f t="shared" si="4"/>
        <v>5.4397838592546593E-4</v>
      </c>
      <c r="I36" s="121">
        <f>SUM($G$7:G36)</f>
        <v>28059</v>
      </c>
      <c r="J36" s="110">
        <f t="shared" si="5"/>
        <v>0.12719574608902207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119">
        <v>70</v>
      </c>
      <c r="D37" s="123">
        <f t="shared" si="1"/>
        <v>127</v>
      </c>
      <c r="E37" s="123">
        <f t="shared" si="0"/>
        <v>3</v>
      </c>
      <c r="F37" s="124">
        <f t="shared" si="3"/>
        <v>86.51</v>
      </c>
      <c r="G37" s="125">
        <f>IF(D37=D36,"",_xlfn.IFNA(VLOOKUP(D37,'인원 입력 기능(국수)'!$F$5:$I$103,4,FALSE),0))</f>
        <v>3416</v>
      </c>
      <c r="H37" s="126">
        <f t="shared" si="4"/>
        <v>1.5485251386011596E-2</v>
      </c>
      <c r="I37" s="127">
        <f>SUM($G$7:G37)</f>
        <v>31475</v>
      </c>
      <c r="J37" s="128">
        <f t="shared" si="5"/>
        <v>0.14268099747503366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119">
        <v>69</v>
      </c>
      <c r="D38" s="130"/>
      <c r="E38" s="130"/>
      <c r="F38" s="131"/>
      <c r="G38" s="132"/>
      <c r="H38" s="133"/>
      <c r="I38" s="134"/>
      <c r="J38" s="135"/>
      <c r="K38" s="31"/>
      <c r="L38" s="20" t="str">
        <f t="shared" si="2"/>
        <v>경고</v>
      </c>
      <c r="N38" s="1"/>
    </row>
    <row r="39" spans="1:14" ht="25" customHeight="1" x14ac:dyDescent="0.45">
      <c r="A39" s="5"/>
      <c r="B39" s="30"/>
      <c r="C39" s="119">
        <v>68</v>
      </c>
      <c r="D39" s="120">
        <f t="shared" si="1"/>
        <v>126</v>
      </c>
      <c r="E39" s="120">
        <f t="shared" si="0"/>
        <v>3</v>
      </c>
      <c r="F39" s="106">
        <f t="shared" si="3"/>
        <v>84.94</v>
      </c>
      <c r="G39" s="107">
        <f>IF(D39=D38,"",_xlfn.IFNA(VLOOKUP(D39,'인원 입력 기능(국수)'!$F$5:$I$103,4,FALSE),0))</f>
        <v>3515</v>
      </c>
      <c r="H39" s="108">
        <f t="shared" si="4"/>
        <v>1.5934033554400106E-2</v>
      </c>
      <c r="I39" s="121">
        <f>SUM($G$7:G39)</f>
        <v>34990</v>
      </c>
      <c r="J39" s="110">
        <f t="shared" si="5"/>
        <v>0.15861503102943375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119">
        <v>67</v>
      </c>
      <c r="D40" s="120">
        <f t="shared" si="1"/>
        <v>125</v>
      </c>
      <c r="E40" s="120">
        <f t="shared" si="0"/>
        <v>3</v>
      </c>
      <c r="F40" s="106">
        <f t="shared" si="3"/>
        <v>84.08</v>
      </c>
      <c r="G40" s="107">
        <f>IF(D40=D39,"",_xlfn.IFNA(VLOOKUP(D40,'인원 입력 기능(국수)'!$F$5:$I$103,4,FALSE),0))</f>
        <v>269</v>
      </c>
      <c r="H40" s="108">
        <f t="shared" si="4"/>
        <v>1.2194182151162526E-3</v>
      </c>
      <c r="I40" s="121">
        <f>SUM($G$7:G40)</f>
        <v>35259</v>
      </c>
      <c r="J40" s="110">
        <f t="shared" si="5"/>
        <v>0.15983444924455001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119">
        <v>66</v>
      </c>
      <c r="D41" s="120">
        <f t="shared" ref="D41:D72" si="6">ROUND(20*(C41-$H$3)/$H$4+100,0)</f>
        <v>124</v>
      </c>
      <c r="E41" s="120">
        <f t="shared" si="0"/>
        <v>3</v>
      </c>
      <c r="F41" s="106">
        <f t="shared" si="3"/>
        <v>83.74</v>
      </c>
      <c r="G41" s="107">
        <f>IF(D41=D40,"",_xlfn.IFNA(VLOOKUP(D41,'인원 입력 기능(국수)'!$F$5:$I$103,4,FALSE),0))</f>
        <v>1212</v>
      </c>
      <c r="H41" s="108">
        <f t="shared" si="4"/>
        <v>5.4941816978472053E-3</v>
      </c>
      <c r="I41" s="121">
        <f>SUM($G$7:G41)</f>
        <v>36471</v>
      </c>
      <c r="J41" s="110">
        <f t="shared" si="5"/>
        <v>0.16532863094239722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119">
        <v>65</v>
      </c>
      <c r="D42" s="120">
        <f t="shared" si="6"/>
        <v>123</v>
      </c>
      <c r="E42" s="120">
        <f t="shared" si="0"/>
        <v>3</v>
      </c>
      <c r="F42" s="106">
        <f t="shared" si="3"/>
        <v>82.76</v>
      </c>
      <c r="G42" s="107">
        <f>IF(D42=D41,"",_xlfn.IFNA(VLOOKUP(D42,'인원 입력 기능(국수)'!$F$5:$I$103,4,FALSE),0))</f>
        <v>3110</v>
      </c>
      <c r="H42" s="108">
        <f t="shared" si="4"/>
        <v>1.4098106501901658E-2</v>
      </c>
      <c r="I42" s="121">
        <f>SUM($G$7:G42)</f>
        <v>39581</v>
      </c>
      <c r="J42" s="110">
        <f t="shared" si="5"/>
        <v>0.17942673744429888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119">
        <v>64</v>
      </c>
      <c r="D43" s="123">
        <f t="shared" si="6"/>
        <v>122</v>
      </c>
      <c r="E43" s="123">
        <f t="shared" si="0"/>
        <v>3</v>
      </c>
      <c r="F43" s="124">
        <f t="shared" si="3"/>
        <v>81.37</v>
      </c>
      <c r="G43" s="125">
        <f>IF(D43=D42,"",_xlfn.IFNA(VLOOKUP(D43,'인원 입력 기능(국수)'!$F$5:$I$103,4,FALSE),0))</f>
        <v>3034</v>
      </c>
      <c r="H43" s="126">
        <f t="shared" si="4"/>
        <v>1.3753586857482196E-2</v>
      </c>
      <c r="I43" s="127">
        <f>SUM($G$7:G43)</f>
        <v>42615</v>
      </c>
      <c r="J43" s="128">
        <f t="shared" si="5"/>
        <v>0.19318032430178109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119">
        <v>63</v>
      </c>
      <c r="D44" s="130"/>
      <c r="E44" s="130"/>
      <c r="F44" s="131"/>
      <c r="G44" s="132"/>
      <c r="H44" s="133"/>
      <c r="I44" s="134"/>
      <c r="J44" s="135"/>
      <c r="K44" s="31"/>
      <c r="L44" s="20" t="str">
        <f t="shared" si="7"/>
        <v>경고</v>
      </c>
      <c r="N44" s="1"/>
    </row>
    <row r="45" spans="1:14" ht="25" customHeight="1" x14ac:dyDescent="0.45">
      <c r="A45" s="5"/>
      <c r="B45" s="30"/>
      <c r="C45" s="119">
        <v>62</v>
      </c>
      <c r="D45" s="120">
        <f t="shared" si="6"/>
        <v>121</v>
      </c>
      <c r="E45" s="120">
        <f t="shared" si="0"/>
        <v>3</v>
      </c>
      <c r="F45" s="106">
        <f t="shared" si="3"/>
        <v>80.22</v>
      </c>
      <c r="G45" s="107">
        <f>IF(D45=D44,"",_xlfn.IFNA(VLOOKUP(D45,'인원 입력 기능(국수)'!$F$5:$I$103,4,FALSE),0))</f>
        <v>2026</v>
      </c>
      <c r="H45" s="108">
        <f t="shared" si="4"/>
        <v>9.1841684157082833E-3</v>
      </c>
      <c r="I45" s="121">
        <f>SUM($G$7:G45)</f>
        <v>44641</v>
      </c>
      <c r="J45" s="110">
        <f t="shared" si="5"/>
        <v>0.20236449271748935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119">
        <v>61</v>
      </c>
      <c r="D46" s="120">
        <f t="shared" si="6"/>
        <v>120</v>
      </c>
      <c r="E46" s="120">
        <f t="shared" si="0"/>
        <v>3</v>
      </c>
      <c r="F46" s="106">
        <f t="shared" si="3"/>
        <v>79.12</v>
      </c>
      <c r="G46" s="107">
        <f>IF(D46=D45,"",_xlfn.IFNA(VLOOKUP(D46,'인원 입력 기능(국수)'!$F$5:$I$103,4,FALSE),0))</f>
        <v>2822</v>
      </c>
      <c r="H46" s="108">
        <f t="shared" si="4"/>
        <v>1.279255837568054E-2</v>
      </c>
      <c r="I46" s="121">
        <f>SUM($G$7:G46)</f>
        <v>47463</v>
      </c>
      <c r="J46" s="110">
        <f t="shared" si="5"/>
        <v>0.2151570510931699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119">
        <v>60</v>
      </c>
      <c r="D47" s="120">
        <f t="shared" si="6"/>
        <v>119</v>
      </c>
      <c r="E47" s="120">
        <f t="shared" si="0"/>
        <v>3</v>
      </c>
      <c r="F47" s="106">
        <f t="shared" si="3"/>
        <v>78.099999999999994</v>
      </c>
      <c r="G47" s="107">
        <f>IF(D47=D46,"",_xlfn.IFNA(VLOOKUP(D47,'인원 입력 기능(국수)'!$F$5:$I$103,4,FALSE),0))</f>
        <v>1679</v>
      </c>
      <c r="H47" s="108">
        <f t="shared" si="4"/>
        <v>7.6111642497404767E-3</v>
      </c>
      <c r="I47" s="121">
        <f>SUM($G$7:G47)</f>
        <v>49142</v>
      </c>
      <c r="J47" s="110">
        <f t="shared" si="5"/>
        <v>0.22276821534291039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119">
        <v>59</v>
      </c>
      <c r="D48" s="120">
        <f t="shared" si="6"/>
        <v>118</v>
      </c>
      <c r="E48" s="120">
        <f t="shared" si="0"/>
        <v>3</v>
      </c>
      <c r="F48" s="106">
        <f t="shared" si="3"/>
        <v>77.44</v>
      </c>
      <c r="G48" s="107">
        <f>IF(D48=D47,"",_xlfn.IFNA(VLOOKUP(D48,'인원 입력 기능(국수)'!$F$5:$I$103,4,FALSE),0))</f>
        <v>1264</v>
      </c>
      <c r="H48" s="108">
        <f t="shared" si="4"/>
        <v>5.7299056650815744E-3</v>
      </c>
      <c r="I48" s="121">
        <f>SUM($G$7:G48)</f>
        <v>50406</v>
      </c>
      <c r="J48" s="110">
        <f t="shared" si="5"/>
        <v>0.22849812100799194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119">
        <v>58</v>
      </c>
      <c r="D49" s="120">
        <f t="shared" si="6"/>
        <v>117</v>
      </c>
      <c r="E49" s="120">
        <f t="shared" si="0"/>
        <v>3</v>
      </c>
      <c r="F49" s="106">
        <f t="shared" si="3"/>
        <v>76.599999999999994</v>
      </c>
      <c r="G49" s="107">
        <f>IF(D49=D48,"",_xlfn.IFNA(VLOOKUP(D49,'인원 입력 기능(국수)'!$F$5:$I$103,4,FALSE),0))</f>
        <v>2417</v>
      </c>
      <c r="H49" s="108">
        <f t="shared" si="4"/>
        <v>1.0956631323182092E-2</v>
      </c>
      <c r="I49" s="121">
        <f>SUM($G$7:G49)</f>
        <v>52823</v>
      </c>
      <c r="J49" s="110">
        <f t="shared" si="5"/>
        <v>0.23945475233117405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119">
        <v>57</v>
      </c>
      <c r="D50" s="123">
        <f t="shared" si="6"/>
        <v>116</v>
      </c>
      <c r="E50" s="123">
        <f t="shared" si="0"/>
        <v>4</v>
      </c>
      <c r="F50" s="124">
        <f t="shared" si="3"/>
        <v>75.27</v>
      </c>
      <c r="G50" s="125">
        <f>IF(D50=D49,"",_xlfn.IFNA(VLOOKUP(D50,'인원 입력 기능(국수)'!$F$5:$I$103,4,FALSE),0))</f>
        <v>3483</v>
      </c>
      <c r="H50" s="126">
        <f t="shared" si="4"/>
        <v>1.5788972651486648E-2</v>
      </c>
      <c r="I50" s="127">
        <f>SUM($G$7:G50)</f>
        <v>56306</v>
      </c>
      <c r="J50" s="128">
        <f t="shared" si="5"/>
        <v>0.25524372498266068</v>
      </c>
      <c r="K50" s="31"/>
      <c r="L50" s="20" t="str">
        <f t="shared" si="7"/>
        <v>경고</v>
      </c>
      <c r="N50" s="1"/>
    </row>
    <row r="51" spans="1:14" ht="25" customHeight="1" x14ac:dyDescent="0.45">
      <c r="A51" s="5"/>
      <c r="B51" s="30"/>
      <c r="C51" s="119">
        <v>56</v>
      </c>
      <c r="D51" s="130"/>
      <c r="E51" s="130"/>
      <c r="F51" s="131"/>
      <c r="G51" s="132"/>
      <c r="H51" s="133"/>
      <c r="I51" s="134"/>
      <c r="J51" s="135"/>
      <c r="K51" s="31"/>
      <c r="L51" s="20" t="str">
        <f t="shared" si="7"/>
        <v>경고</v>
      </c>
      <c r="N51" s="1"/>
    </row>
    <row r="52" spans="1:14" ht="25" customHeight="1" x14ac:dyDescent="0.45">
      <c r="A52" s="5"/>
      <c r="B52" s="30"/>
      <c r="C52" s="119">
        <v>55</v>
      </c>
      <c r="D52" s="120">
        <f t="shared" si="6"/>
        <v>115</v>
      </c>
      <c r="E52" s="120">
        <f t="shared" si="0"/>
        <v>4</v>
      </c>
      <c r="F52" s="106">
        <f t="shared" si="3"/>
        <v>74.02</v>
      </c>
      <c r="G52" s="107">
        <f>IF(D52=D51,"",_xlfn.IFNA(VLOOKUP(D52,'인원 입력 기능(국수)'!$F$5:$I$103,4,FALSE),0))</f>
        <v>1993</v>
      </c>
      <c r="H52" s="108">
        <f t="shared" si="4"/>
        <v>9.03457435957878E-3</v>
      </c>
      <c r="I52" s="121">
        <f>SUM($G$7:G52)</f>
        <v>58299</v>
      </c>
      <c r="J52" s="110">
        <f t="shared" si="5"/>
        <v>0.26427829934223945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119">
        <v>54</v>
      </c>
      <c r="D53" s="120">
        <f t="shared" si="6"/>
        <v>114</v>
      </c>
      <c r="E53" s="120">
        <f t="shared" si="0"/>
        <v>4</v>
      </c>
      <c r="F53" s="106">
        <f t="shared" si="3"/>
        <v>73.03</v>
      </c>
      <c r="G53" s="107">
        <f>IF(D53=D52,"",_xlfn.IFNA(VLOOKUP(D53,'인원 입력 기능(국수)'!$F$5:$I$103,4,FALSE),0))</f>
        <v>2403</v>
      </c>
      <c r="H53" s="108">
        <f t="shared" si="4"/>
        <v>1.0893167178157455E-2</v>
      </c>
      <c r="I53" s="121">
        <f>SUM($G$7:G53)</f>
        <v>60702</v>
      </c>
      <c r="J53" s="110">
        <f t="shared" si="5"/>
        <v>0.27517146652039692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119">
        <v>53</v>
      </c>
      <c r="D54" s="120">
        <f t="shared" si="6"/>
        <v>113</v>
      </c>
      <c r="E54" s="120">
        <f t="shared" si="0"/>
        <v>4</v>
      </c>
      <c r="F54" s="106">
        <f t="shared" si="3"/>
        <v>72.12</v>
      </c>
      <c r="G54" s="107">
        <f>IF(D54=D53,"",_xlfn.IFNA(VLOOKUP(D54,'인원 입력 기능(국수)'!$F$5:$I$103,4,FALSE),0))</f>
        <v>1614</v>
      </c>
      <c r="H54" s="108">
        <f t="shared" si="4"/>
        <v>7.3165092906975161E-3</v>
      </c>
      <c r="I54" s="121">
        <f>SUM($G$7:G54)</f>
        <v>62316</v>
      </c>
      <c r="J54" s="110">
        <f t="shared" si="5"/>
        <v>0.28248797581109442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119">
        <v>52</v>
      </c>
      <c r="D55" s="120">
        <f t="shared" si="6"/>
        <v>112</v>
      </c>
      <c r="E55" s="120">
        <f t="shared" si="0"/>
        <v>4</v>
      </c>
      <c r="F55" s="106">
        <f t="shared" si="3"/>
        <v>71.36</v>
      </c>
      <c r="G55" s="107">
        <f>IF(D55=D54,"",_xlfn.IFNA(VLOOKUP(D55,'인원 입력 기능(국수)'!$F$5:$I$103,4,FALSE),0))</f>
        <v>1708</v>
      </c>
      <c r="H55" s="108">
        <f t="shared" si="4"/>
        <v>7.7426256930057981E-3</v>
      </c>
      <c r="I55" s="121">
        <f>SUM($G$7:G55)</f>
        <v>64024</v>
      </c>
      <c r="J55" s="110">
        <f t="shared" si="5"/>
        <v>0.29023060150410024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119">
        <v>51</v>
      </c>
      <c r="D56" s="123">
        <f t="shared" si="6"/>
        <v>111</v>
      </c>
      <c r="E56" s="123">
        <f t="shared" si="0"/>
        <v>4</v>
      </c>
      <c r="F56" s="124">
        <f t="shared" si="3"/>
        <v>70.05</v>
      </c>
      <c r="G56" s="125">
        <f>IF(D56=D55,"",_xlfn.IFNA(VLOOKUP(D56,'인원 입력 기능(국수)'!$F$5:$I$103,4,FALSE),0))</f>
        <v>4084</v>
      </c>
      <c r="H56" s="126">
        <f t="shared" si="4"/>
        <v>1.8513397734330021E-2</v>
      </c>
      <c r="I56" s="127">
        <f>SUM($G$7:G56)</f>
        <v>68108</v>
      </c>
      <c r="J56" s="128">
        <f t="shared" si="5"/>
        <v>0.30874399923843027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119">
        <v>50</v>
      </c>
      <c r="D57" s="130"/>
      <c r="E57" s="130"/>
      <c r="F57" s="131"/>
      <c r="G57" s="132"/>
      <c r="H57" s="133"/>
      <c r="I57" s="134"/>
      <c r="J57" s="135"/>
      <c r="K57" s="31"/>
      <c r="L57" s="20" t="str">
        <f t="shared" si="7"/>
        <v>경고</v>
      </c>
      <c r="N57" s="1"/>
    </row>
    <row r="58" spans="1:14" ht="25" customHeight="1" x14ac:dyDescent="0.45">
      <c r="A58" s="5"/>
      <c r="B58" s="30"/>
      <c r="C58" s="119">
        <v>49</v>
      </c>
      <c r="D58" s="120">
        <f t="shared" si="6"/>
        <v>110</v>
      </c>
      <c r="E58" s="120">
        <f t="shared" si="0"/>
        <v>4</v>
      </c>
      <c r="F58" s="106">
        <f t="shared" si="3"/>
        <v>68.739999999999995</v>
      </c>
      <c r="G58" s="107">
        <f>IF(D58=D57,"",_xlfn.IFNA(VLOOKUP(D58,'인원 입력 기능(국수)'!$F$5:$I$103,4,FALSE),0))</f>
        <v>1705</v>
      </c>
      <c r="H58" s="108">
        <f t="shared" si="4"/>
        <v>7.7290262333576613E-3</v>
      </c>
      <c r="I58" s="121">
        <f>SUM($G$7:G58)</f>
        <v>69813</v>
      </c>
      <c r="J58" s="110">
        <f t="shared" si="5"/>
        <v>0.31647302547178791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119">
        <v>48</v>
      </c>
      <c r="D59" s="120">
        <f t="shared" si="6"/>
        <v>109</v>
      </c>
      <c r="E59" s="120">
        <f t="shared" si="0"/>
        <v>4</v>
      </c>
      <c r="F59" s="106">
        <f t="shared" si="3"/>
        <v>67.84</v>
      </c>
      <c r="G59" s="107">
        <f>IF(D59=D58,"",_xlfn.IFNA(VLOOKUP(D59,'인원 입력 기능(국수)'!$F$5:$I$103,4,FALSE),0))</f>
        <v>2265</v>
      </c>
      <c r="H59" s="108">
        <f t="shared" si="4"/>
        <v>1.0267592034343168E-2</v>
      </c>
      <c r="I59" s="121">
        <f>SUM($G$7:G59)</f>
        <v>72078</v>
      </c>
      <c r="J59" s="110">
        <f t="shared" si="5"/>
        <v>0.32674061750613109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119">
        <v>47</v>
      </c>
      <c r="D60" s="120">
        <f t="shared" si="6"/>
        <v>108</v>
      </c>
      <c r="E60" s="120">
        <f t="shared" si="0"/>
        <v>4</v>
      </c>
      <c r="F60" s="106">
        <f t="shared" si="3"/>
        <v>66.86</v>
      </c>
      <c r="G60" s="107">
        <f>IF(D60=D59,"",_xlfn.IFNA(VLOOKUP(D60,'인원 입력 기능(국수)'!$F$5:$I$103,4,FALSE),0))</f>
        <v>2055</v>
      </c>
      <c r="H60" s="108">
        <f t="shared" si="4"/>
        <v>9.3156298589736029E-3</v>
      </c>
      <c r="I60" s="121">
        <f>SUM($G$7:G60)</f>
        <v>74133</v>
      </c>
      <c r="J60" s="110">
        <f t="shared" si="5"/>
        <v>0.3360562473651047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119">
        <v>46</v>
      </c>
      <c r="D61" s="120">
        <f t="shared" si="6"/>
        <v>107</v>
      </c>
      <c r="E61" s="120">
        <f t="shared" si="0"/>
        <v>4</v>
      </c>
      <c r="F61" s="106">
        <f t="shared" si="3"/>
        <v>66.010000000000005</v>
      </c>
      <c r="G61" s="107">
        <f>IF(D61=D60,"",_xlfn.IFNA(VLOOKUP(D61,'인원 입력 기능(국수)'!$F$5:$I$103,4,FALSE),0))</f>
        <v>1688</v>
      </c>
      <c r="H61" s="108">
        <f t="shared" si="4"/>
        <v>7.6519626286848871E-3</v>
      </c>
      <c r="I61" s="121">
        <f>SUM($G$7:G61)</f>
        <v>75821</v>
      </c>
      <c r="J61" s="110">
        <f t="shared" si="5"/>
        <v>0.34370820999378959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119">
        <v>45</v>
      </c>
      <c r="D62" s="123">
        <f t="shared" si="6"/>
        <v>106</v>
      </c>
      <c r="E62" s="123">
        <f t="shared" si="0"/>
        <v>4</v>
      </c>
      <c r="F62" s="124">
        <f t="shared" si="3"/>
        <v>64.599999999999994</v>
      </c>
      <c r="G62" s="125">
        <f>IF(D62=D61,"",_xlfn.IFNA(VLOOKUP(D62,'인원 입력 기능(국수)'!$F$5:$I$103,4,FALSE),0))</f>
        <v>4524</v>
      </c>
      <c r="H62" s="126">
        <f t="shared" si="4"/>
        <v>2.0507985149390066E-2</v>
      </c>
      <c r="I62" s="127">
        <f>SUM($G$7:G62)</f>
        <v>80345</v>
      </c>
      <c r="J62" s="128">
        <f t="shared" si="5"/>
        <v>0.36421619514317966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119">
        <v>44</v>
      </c>
      <c r="D63" s="130"/>
      <c r="E63" s="130"/>
      <c r="F63" s="131"/>
      <c r="G63" s="132"/>
      <c r="H63" s="133"/>
      <c r="I63" s="134"/>
      <c r="J63" s="135"/>
      <c r="K63" s="31"/>
      <c r="L63" s="20" t="str">
        <f t="shared" si="7"/>
        <v>경고</v>
      </c>
      <c r="N63" s="1"/>
    </row>
    <row r="64" spans="1:14" ht="25" customHeight="1" x14ac:dyDescent="0.45">
      <c r="A64" s="5"/>
      <c r="B64" s="30"/>
      <c r="C64" s="119">
        <v>43</v>
      </c>
      <c r="D64" s="120">
        <f t="shared" si="6"/>
        <v>105</v>
      </c>
      <c r="E64" s="120">
        <f t="shared" si="0"/>
        <v>4</v>
      </c>
      <c r="F64" s="106">
        <f t="shared" si="3"/>
        <v>63.17</v>
      </c>
      <c r="G64" s="107">
        <f>IF(D64=D63,"",_xlfn.IFNA(VLOOKUP(D64,'인원 입력 기능(국수)'!$F$5:$I$103,4,FALSE),0))</f>
        <v>1801</v>
      </c>
      <c r="H64" s="108">
        <f t="shared" si="4"/>
        <v>8.1642089420980342E-3</v>
      </c>
      <c r="I64" s="121">
        <f>SUM($G$7:G64)</f>
        <v>82146</v>
      </c>
      <c r="J64" s="110">
        <f t="shared" si="5"/>
        <v>0.37238040408527767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119">
        <v>42</v>
      </c>
      <c r="D65" s="120">
        <f t="shared" si="6"/>
        <v>104</v>
      </c>
      <c r="E65" s="120">
        <f t="shared" si="0"/>
        <v>4</v>
      </c>
      <c r="F65" s="106">
        <f t="shared" si="3"/>
        <v>62.29</v>
      </c>
      <c r="G65" s="107">
        <f>IF(D65=D64,"",_xlfn.IFNA(VLOOKUP(D65,'인원 입력 기능(국수)'!$F$5:$I$103,4,FALSE),0))</f>
        <v>2091</v>
      </c>
      <c r="H65" s="108">
        <f t="shared" si="4"/>
        <v>9.478823374751243E-3</v>
      </c>
      <c r="I65" s="121">
        <f>SUM($G$7:G65)</f>
        <v>84237</v>
      </c>
      <c r="J65" s="110">
        <f t="shared" si="5"/>
        <v>0.38185922746002893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119">
        <v>41</v>
      </c>
      <c r="D66" s="120">
        <f t="shared" si="6"/>
        <v>103</v>
      </c>
      <c r="E66" s="120">
        <f t="shared" si="0"/>
        <v>4</v>
      </c>
      <c r="F66" s="106">
        <f t="shared" si="3"/>
        <v>61.27</v>
      </c>
      <c r="G66" s="107">
        <f>IF(D66=D65,"",_xlfn.IFNA(VLOOKUP(D66,'인원 입력 기능(국수)'!$F$5:$I$103,4,FALSE),0))</f>
        <v>2421</v>
      </c>
      <c r="H66" s="108">
        <f t="shared" si="4"/>
        <v>1.0974763936046274E-2</v>
      </c>
      <c r="I66" s="121">
        <f>SUM($G$7:G66)</f>
        <v>86658</v>
      </c>
      <c r="J66" s="110">
        <f t="shared" si="5"/>
        <v>0.39283399139607522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119">
        <v>40</v>
      </c>
      <c r="D67" s="120">
        <f t="shared" si="6"/>
        <v>102</v>
      </c>
      <c r="E67" s="120">
        <f t="shared" si="0"/>
        <v>4</v>
      </c>
      <c r="F67" s="106">
        <f t="shared" si="3"/>
        <v>60.28</v>
      </c>
      <c r="G67" s="107">
        <f>IF(D67=D66,"",_xlfn.IFNA(VLOOKUP(D67,'인원 입력 기능(국수)'!$F$5:$I$103,4,FALSE),0))</f>
        <v>1927</v>
      </c>
      <c r="H67" s="108">
        <f t="shared" si="4"/>
        <v>8.7353862473197735E-3</v>
      </c>
      <c r="I67" s="121">
        <f>SUM($G$7:G67)</f>
        <v>88585</v>
      </c>
      <c r="J67" s="110">
        <f t="shared" si="5"/>
        <v>0.40156937764339495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119">
        <v>39</v>
      </c>
      <c r="D68" s="123">
        <f t="shared" si="6"/>
        <v>101</v>
      </c>
      <c r="E68" s="123">
        <f t="shared" si="0"/>
        <v>5</v>
      </c>
      <c r="F68" s="124">
        <f t="shared" si="3"/>
        <v>58.78</v>
      </c>
      <c r="G68" s="125">
        <f>IF(D68=D67,"",_xlfn.IFNA(VLOOKUP(D68,'인원 입력 기능(국수)'!$F$5:$I$103,4,FALSE),0))</f>
        <v>4674</v>
      </c>
      <c r="H68" s="126">
        <f t="shared" si="4"/>
        <v>2.1187958131796896E-2</v>
      </c>
      <c r="I68" s="127">
        <f>SUM($G$7:G68)</f>
        <v>93259</v>
      </c>
      <c r="J68" s="128">
        <f t="shared" si="5"/>
        <v>0.42275733577519187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119">
        <v>38</v>
      </c>
      <c r="D69" s="130"/>
      <c r="E69" s="130"/>
      <c r="F69" s="131"/>
      <c r="G69" s="132"/>
      <c r="H69" s="133"/>
      <c r="I69" s="134"/>
      <c r="J69" s="135"/>
      <c r="K69" s="31"/>
      <c r="L69" s="20" t="str">
        <f t="shared" si="7"/>
        <v>경고</v>
      </c>
      <c r="N69" s="1"/>
    </row>
    <row r="70" spans="1:14" ht="25" customHeight="1" x14ac:dyDescent="0.45">
      <c r="A70" s="5"/>
      <c r="B70" s="30"/>
      <c r="C70" s="119">
        <v>37</v>
      </c>
      <c r="D70" s="120">
        <f t="shared" si="6"/>
        <v>100</v>
      </c>
      <c r="E70" s="120">
        <f t="shared" si="0"/>
        <v>5</v>
      </c>
      <c r="F70" s="106">
        <f t="shared" si="3"/>
        <v>57.21</v>
      </c>
      <c r="G70" s="107">
        <f>IF(D70=D69,"",_xlfn.IFNA(VLOOKUP(D70,'인원 입력 기능(국수)'!$F$5:$I$103,4,FALSE),0))</f>
        <v>2275</v>
      </c>
      <c r="H70" s="108">
        <f t="shared" si="4"/>
        <v>1.0312923566503623E-2</v>
      </c>
      <c r="I70" s="121">
        <f>SUM($G$7:G70)</f>
        <v>95534</v>
      </c>
      <c r="J70" s="110">
        <f t="shared" si="5"/>
        <v>0.43307025934169546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119">
        <v>36</v>
      </c>
      <c r="D71" s="120">
        <f t="shared" si="6"/>
        <v>99</v>
      </c>
      <c r="E71" s="120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106">
        <f t="shared" si="3"/>
        <v>56.2</v>
      </c>
      <c r="G71" s="107">
        <f>IF(D71=D70,"",_xlfn.IFNA(VLOOKUP(D71,'인원 입력 기능(국수)'!$F$5:$I$103,4,FALSE),0))</f>
        <v>2182</v>
      </c>
      <c r="H71" s="108">
        <f t="shared" si="4"/>
        <v>9.891340317411389E-3</v>
      </c>
      <c r="I71" s="121">
        <f>SUM($G$7:G71)</f>
        <v>97716</v>
      </c>
      <c r="J71" s="110">
        <f t="shared" si="5"/>
        <v>0.44296159965910686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119">
        <v>35</v>
      </c>
      <c r="D72" s="120">
        <f t="shared" si="6"/>
        <v>98</v>
      </c>
      <c r="E72" s="120">
        <f t="shared" si="8"/>
        <v>5</v>
      </c>
      <c r="F72" s="106">
        <f t="shared" si="3"/>
        <v>55.1</v>
      </c>
      <c r="G72" s="107">
        <f>IF(D72=D71,"",_xlfn.IFNA(VLOOKUP(D72,'인원 입력 기능(국수)'!$F$5:$I$103,4,FALSE),0))</f>
        <v>2664</v>
      </c>
      <c r="H72" s="108">
        <f t="shared" si="4"/>
        <v>1.2076320167545344E-2</v>
      </c>
      <c r="I72" s="121">
        <f>SUM($G$7:G72)</f>
        <v>100380</v>
      </c>
      <c r="J72" s="110">
        <f t="shared" si="5"/>
        <v>0.4550379198266522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119">
        <v>34</v>
      </c>
      <c r="D73" s="120">
        <f t="shared" ref="D73:D104" si="9">ROUND(20*(C73-$H$3)/$H$4+100,0)</f>
        <v>97</v>
      </c>
      <c r="E73" s="120">
        <f t="shared" si="8"/>
        <v>5</v>
      </c>
      <c r="F73" s="106">
        <f t="shared" si="3"/>
        <v>53.92</v>
      </c>
      <c r="G73" s="107">
        <f>IF(D73=D72,"",_xlfn.IFNA(VLOOKUP(D73,'인원 입력 기능(국수)'!$F$5:$I$103,4,FALSE),0))</f>
        <v>2529</v>
      </c>
      <c r="H73" s="108">
        <f t="shared" si="4"/>
        <v>1.1464344483379194E-2</v>
      </c>
      <c r="I73" s="121">
        <f>SUM($G$7:G73)</f>
        <v>102909</v>
      </c>
      <c r="J73" s="110">
        <f t="shared" si="5"/>
        <v>0.46650226431003139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119">
        <v>33</v>
      </c>
      <c r="D74" s="120">
        <f t="shared" si="9"/>
        <v>96</v>
      </c>
      <c r="E74" s="120">
        <f t="shared" si="8"/>
        <v>5</v>
      </c>
      <c r="F74" s="106">
        <f t="shared" ref="F74:F105" si="11">IF(I73=0,ROUND(100*(1-(I72+I74)/2/$J$3),2),ROUND(100*(1-(I73+I74)/2/$J$3),2))</f>
        <v>52.84</v>
      </c>
      <c r="G74" s="107">
        <f>IF(D74=D73,"",_xlfn.IFNA(VLOOKUP(D74,'인원 입력 기능(국수)'!$F$5:$I$103,4,FALSE),0))</f>
        <v>2256</v>
      </c>
      <c r="H74" s="108">
        <f t="shared" ref="H74:H105" si="12">G74/$J$3</f>
        <v>1.0226793655398759E-2</v>
      </c>
      <c r="I74" s="121">
        <f>SUM($G$7:G74)</f>
        <v>105165</v>
      </c>
      <c r="J74" s="110">
        <f t="shared" ref="J74:J105" si="13">I74/$J$3</f>
        <v>0.47672905796543019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119">
        <v>32</v>
      </c>
      <c r="D75" s="123">
        <f t="shared" si="9"/>
        <v>95</v>
      </c>
      <c r="E75" s="123">
        <f t="shared" si="8"/>
        <v>5</v>
      </c>
      <c r="F75" s="124">
        <f t="shared" si="11"/>
        <v>51.06</v>
      </c>
      <c r="G75" s="125">
        <f>IF(D75=D74,"",_xlfn.IFNA(VLOOKUP(D75,'인원 입력 기능(국수)'!$F$5:$I$103,4,FALSE),0))</f>
        <v>5593</v>
      </c>
      <c r="H75" s="126">
        <f t="shared" si="12"/>
        <v>2.5353925937342755E-2</v>
      </c>
      <c r="I75" s="127">
        <f>SUM($G$7:G75)</f>
        <v>110758</v>
      </c>
      <c r="J75" s="128">
        <f t="shared" si="13"/>
        <v>0.50208298390277295</v>
      </c>
      <c r="K75" s="31"/>
      <c r="L75" s="20" t="str">
        <f t="shared" si="10"/>
        <v>경고</v>
      </c>
      <c r="N75" s="1"/>
    </row>
    <row r="76" spans="1:14" ht="25" customHeight="1" x14ac:dyDescent="0.45">
      <c r="A76" s="5"/>
      <c r="B76" s="30"/>
      <c r="C76" s="119">
        <v>31</v>
      </c>
      <c r="D76" s="130"/>
      <c r="E76" s="130"/>
      <c r="F76" s="131"/>
      <c r="G76" s="132"/>
      <c r="H76" s="133"/>
      <c r="I76" s="134"/>
      <c r="J76" s="135"/>
      <c r="K76" s="31"/>
      <c r="L76" s="20" t="str">
        <f t="shared" si="10"/>
        <v>경고</v>
      </c>
      <c r="N76" s="1"/>
    </row>
    <row r="77" spans="1:14" ht="25" customHeight="1" x14ac:dyDescent="0.45">
      <c r="A77" s="5"/>
      <c r="B77" s="30"/>
      <c r="C77" s="119">
        <v>30</v>
      </c>
      <c r="D77" s="120">
        <f t="shared" si="9"/>
        <v>94</v>
      </c>
      <c r="E77" s="120">
        <f t="shared" si="8"/>
        <v>5</v>
      </c>
      <c r="F77" s="106">
        <f t="shared" si="11"/>
        <v>49.25</v>
      </c>
      <c r="G77" s="107">
        <f>IF(D77=D76,"",_xlfn.IFNA(VLOOKUP(D77,'인원 입력 기능(국수)'!$F$5:$I$103,4,FALSE),0))</f>
        <v>2402</v>
      </c>
      <c r="H77" s="108">
        <f t="shared" si="12"/>
        <v>1.088863402494141E-2</v>
      </c>
      <c r="I77" s="121">
        <f>SUM($G$7:G77)</f>
        <v>113160</v>
      </c>
      <c r="J77" s="110">
        <f t="shared" si="13"/>
        <v>0.51297161792771429</v>
      </c>
      <c r="K77" s="31"/>
      <c r="L77" s="20" t="str">
        <f t="shared" si="10"/>
        <v/>
      </c>
      <c r="N77" s="1"/>
    </row>
    <row r="78" spans="1:14" ht="25" customHeight="1" x14ac:dyDescent="0.45">
      <c r="A78" s="5"/>
      <c r="B78" s="30"/>
      <c r="C78" s="119">
        <v>29</v>
      </c>
      <c r="D78" s="120">
        <f t="shared" si="9"/>
        <v>93</v>
      </c>
      <c r="E78" s="120">
        <f t="shared" si="8"/>
        <v>5</v>
      </c>
      <c r="F78" s="106">
        <f t="shared" si="11"/>
        <v>48.05</v>
      </c>
      <c r="G78" s="107">
        <f>IF(D78=D77,"",_xlfn.IFNA(VLOOKUP(D78,'인원 입력 기능(국수)'!$F$5:$I$103,4,FALSE),0))</f>
        <v>2899</v>
      </c>
      <c r="H78" s="108">
        <f t="shared" si="12"/>
        <v>1.3141611173316047E-2</v>
      </c>
      <c r="I78" s="121">
        <f>SUM($G$7:G78)</f>
        <v>116059</v>
      </c>
      <c r="J78" s="110">
        <f t="shared" si="13"/>
        <v>0.52611322910103042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119">
        <v>28</v>
      </c>
      <c r="D79" s="120">
        <f t="shared" si="9"/>
        <v>92</v>
      </c>
      <c r="E79" s="120">
        <f t="shared" si="8"/>
        <v>5</v>
      </c>
      <c r="F79" s="106">
        <f t="shared" si="11"/>
        <v>46.67</v>
      </c>
      <c r="G79" s="107">
        <f>IF(D79=D78,"",_xlfn.IFNA(VLOOKUP(D79,'인원 입력 기능(국수)'!$F$5:$I$103,4,FALSE),0))</f>
        <v>3159</v>
      </c>
      <c r="H79" s="108">
        <f t="shared" si="12"/>
        <v>1.4320231009487889E-2</v>
      </c>
      <c r="I79" s="121">
        <f>SUM($G$7:G79)</f>
        <v>119218</v>
      </c>
      <c r="J79" s="110">
        <f t="shared" si="13"/>
        <v>0.54043346011051829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119">
        <v>27</v>
      </c>
      <c r="D80" s="120">
        <f t="shared" si="9"/>
        <v>91</v>
      </c>
      <c r="E80" s="120">
        <f t="shared" si="8"/>
        <v>5</v>
      </c>
      <c r="F80" s="106">
        <f t="shared" si="11"/>
        <v>45.31</v>
      </c>
      <c r="G80" s="107">
        <f>IF(D80=D79,"",_xlfn.IFNA(VLOOKUP(D80,'인원 입력 기능(국수)'!$F$5:$I$103,4,FALSE),0))</f>
        <v>2867</v>
      </c>
      <c r="H80" s="108">
        <f t="shared" si="12"/>
        <v>1.299655027040259E-2</v>
      </c>
      <c r="I80" s="121">
        <f>SUM($G$7:G80)</f>
        <v>122085</v>
      </c>
      <c r="J80" s="110">
        <f t="shared" si="13"/>
        <v>0.55343001038092088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119">
        <v>26</v>
      </c>
      <c r="D81" s="123">
        <f t="shared" si="9"/>
        <v>90</v>
      </c>
      <c r="E81" s="123">
        <f t="shared" si="8"/>
        <v>5</v>
      </c>
      <c r="F81" s="124">
        <f t="shared" si="11"/>
        <v>43.09</v>
      </c>
      <c r="G81" s="125">
        <f>IF(D81=D80,"",_xlfn.IFNA(VLOOKUP(D81,'인원 입력 기능(국수)'!$F$5:$I$103,4,FALSE),0))</f>
        <v>6932</v>
      </c>
      <c r="H81" s="126">
        <f t="shared" si="12"/>
        <v>3.1423818093627744E-2</v>
      </c>
      <c r="I81" s="127">
        <f>SUM($G$7:G81)</f>
        <v>129017</v>
      </c>
      <c r="J81" s="128">
        <f t="shared" si="13"/>
        <v>0.58485382847454859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119">
        <v>25</v>
      </c>
      <c r="D82" s="130"/>
      <c r="E82" s="130"/>
      <c r="F82" s="131"/>
      <c r="G82" s="132"/>
      <c r="H82" s="133"/>
      <c r="I82" s="134"/>
      <c r="J82" s="135"/>
      <c r="K82" s="31"/>
      <c r="L82" s="20" t="str">
        <f t="shared" si="10"/>
        <v>경고</v>
      </c>
      <c r="N82" s="1"/>
    </row>
    <row r="83" spans="1:14" ht="25" customHeight="1" x14ac:dyDescent="0.45">
      <c r="A83" s="5"/>
      <c r="B83" s="30"/>
      <c r="C83" s="119">
        <v>24</v>
      </c>
      <c r="D83" s="120">
        <f t="shared" si="9"/>
        <v>89</v>
      </c>
      <c r="E83" s="120">
        <f t="shared" si="8"/>
        <v>5</v>
      </c>
      <c r="F83" s="106">
        <f t="shared" si="11"/>
        <v>40.75</v>
      </c>
      <c r="G83" s="107">
        <f>IF(D83=D82,"",_xlfn.IFNA(VLOOKUP(D83,'인원 입력 기능(국수)'!$F$5:$I$103,4,FALSE),0))</f>
        <v>3393</v>
      </c>
      <c r="H83" s="108">
        <f t="shared" si="12"/>
        <v>1.5380988862042548E-2</v>
      </c>
      <c r="I83" s="121">
        <f>SUM($G$7:G83)</f>
        <v>132410</v>
      </c>
      <c r="J83" s="110">
        <f t="shared" si="13"/>
        <v>0.60023481733659112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119">
        <v>23</v>
      </c>
      <c r="D84" s="120">
        <f t="shared" si="9"/>
        <v>88</v>
      </c>
      <c r="E84" s="120">
        <f t="shared" si="8"/>
        <v>6</v>
      </c>
      <c r="F84" s="106">
        <f t="shared" si="11"/>
        <v>39.07</v>
      </c>
      <c r="G84" s="107">
        <f>IF(D84=D83,"",_xlfn.IFNA(VLOOKUP(D84,'인원 입력 기능(국수)'!$F$5:$I$103,4,FALSE),0))</f>
        <v>4015</v>
      </c>
      <c r="H84" s="108">
        <f t="shared" si="12"/>
        <v>1.820061016242288E-2</v>
      </c>
      <c r="I84" s="121">
        <f>SUM($G$7:G84)</f>
        <v>136425</v>
      </c>
      <c r="J84" s="110">
        <f t="shared" si="13"/>
        <v>0.61843542749901403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119">
        <v>22</v>
      </c>
      <c r="D85" s="120">
        <f t="shared" si="9"/>
        <v>87</v>
      </c>
      <c r="E85" s="120">
        <f t="shared" si="8"/>
        <v>6</v>
      </c>
      <c r="F85" s="106">
        <f t="shared" si="11"/>
        <v>37.200000000000003</v>
      </c>
      <c r="G85" s="107">
        <f>IF(D85=D84,"",_xlfn.IFNA(VLOOKUP(D85,'인원 입력 기능(국수)'!$F$5:$I$103,4,FALSE),0))</f>
        <v>4214</v>
      </c>
      <c r="H85" s="108">
        <f t="shared" si="12"/>
        <v>1.9102707652415944E-2</v>
      </c>
      <c r="I85" s="121">
        <f>SUM($G$7:G85)</f>
        <v>140639</v>
      </c>
      <c r="J85" s="110">
        <f t="shared" si="13"/>
        <v>0.63753813515142999</v>
      </c>
      <c r="K85" s="31"/>
      <c r="L85" s="20" t="str">
        <f t="shared" si="10"/>
        <v/>
      </c>
      <c r="N85" s="1"/>
    </row>
    <row r="86" spans="1:14" ht="25" customHeight="1" x14ac:dyDescent="0.45">
      <c r="A86" s="5"/>
      <c r="B86" s="30"/>
      <c r="C86" s="119">
        <v>21</v>
      </c>
      <c r="D86" s="120">
        <f t="shared" si="9"/>
        <v>86</v>
      </c>
      <c r="E86" s="120">
        <f t="shared" si="8"/>
        <v>6</v>
      </c>
      <c r="F86" s="106">
        <f t="shared" si="11"/>
        <v>35.32</v>
      </c>
      <c r="G86" s="107">
        <f>IF(D86=D85,"",_xlfn.IFNA(VLOOKUP(D86,'인원 입력 기능(국수)'!$F$5:$I$103,4,FALSE),0))</f>
        <v>4083</v>
      </c>
      <c r="H86" s="108">
        <f t="shared" si="12"/>
        <v>1.8508864581113976E-2</v>
      </c>
      <c r="I86" s="121">
        <f>SUM($G$7:G86)</f>
        <v>144722</v>
      </c>
      <c r="J86" s="110">
        <f t="shared" si="13"/>
        <v>0.65604699973254399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119">
        <v>20</v>
      </c>
      <c r="D87" s="123">
        <f t="shared" si="9"/>
        <v>85</v>
      </c>
      <c r="E87" s="123">
        <f t="shared" si="8"/>
        <v>6</v>
      </c>
      <c r="F87" s="124">
        <f t="shared" si="11"/>
        <v>32.03</v>
      </c>
      <c r="G87" s="125">
        <f>IF(D87=D86,"",_xlfn.IFNA(VLOOKUP(D87,'인원 입력 기능(국수)'!$F$5:$I$103,4,FALSE),0))</f>
        <v>10434</v>
      </c>
      <c r="H87" s="126">
        <f t="shared" si="12"/>
        <v>4.7298920656219261E-2</v>
      </c>
      <c r="I87" s="127">
        <f>SUM($G$7:G87)</f>
        <v>155156</v>
      </c>
      <c r="J87" s="128">
        <f t="shared" si="13"/>
        <v>0.7033459203887632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119">
        <v>19</v>
      </c>
      <c r="D88" s="130"/>
      <c r="E88" s="130"/>
      <c r="F88" s="131"/>
      <c r="G88" s="132"/>
      <c r="H88" s="133"/>
      <c r="I88" s="134"/>
      <c r="J88" s="135"/>
      <c r="K88" s="31"/>
      <c r="L88" s="20" t="str">
        <f t="shared" si="10"/>
        <v>경고</v>
      </c>
      <c r="N88" s="1"/>
    </row>
    <row r="89" spans="1:14" ht="25" customHeight="1" x14ac:dyDescent="0.45">
      <c r="A89" s="5"/>
      <c r="B89" s="30"/>
      <c r="C89" s="119">
        <v>18</v>
      </c>
      <c r="D89" s="120">
        <f t="shared" si="9"/>
        <v>84</v>
      </c>
      <c r="E89" s="120">
        <f t="shared" si="8"/>
        <v>6</v>
      </c>
      <c r="F89" s="106">
        <f t="shared" si="11"/>
        <v>28.44</v>
      </c>
      <c r="G89" s="107">
        <f>IF(D89=D88,"",_xlfn.IFNA(VLOOKUP(D89,'인원 입력 기능(국수)'!$F$5:$I$103,4,FALSE),0))</f>
        <v>5396</v>
      </c>
      <c r="H89" s="108">
        <f t="shared" si="12"/>
        <v>2.4460894753781784E-2</v>
      </c>
      <c r="I89" s="121">
        <f>SUM($G$7:G89)</f>
        <v>160552</v>
      </c>
      <c r="J89" s="110">
        <f t="shared" si="13"/>
        <v>0.72780681514254497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119">
        <v>17</v>
      </c>
      <c r="D90" s="120">
        <f t="shared" si="9"/>
        <v>83</v>
      </c>
      <c r="E90" s="120">
        <f t="shared" si="8"/>
        <v>6</v>
      </c>
      <c r="F90" s="106">
        <f t="shared" si="11"/>
        <v>26.06</v>
      </c>
      <c r="G90" s="107">
        <f>IF(D90=D89,"",_xlfn.IFNA(VLOOKUP(D90,'인원 입력 기능(국수)'!$F$5:$I$103,4,FALSE),0))</f>
        <v>5104</v>
      </c>
      <c r="H90" s="108">
        <f t="shared" si="12"/>
        <v>2.3137214014696483E-2</v>
      </c>
      <c r="I90" s="121">
        <f>SUM($G$7:G90)</f>
        <v>165656</v>
      </c>
      <c r="J90" s="110">
        <f t="shared" si="13"/>
        <v>0.75094402915724145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119">
        <v>16</v>
      </c>
      <c r="D91" s="120">
        <f t="shared" si="9"/>
        <v>82</v>
      </c>
      <c r="E91" s="120">
        <f t="shared" si="8"/>
        <v>6</v>
      </c>
      <c r="F91" s="106">
        <f t="shared" si="11"/>
        <v>21.89</v>
      </c>
      <c r="G91" s="107">
        <f>IF(D91=D90,"",_xlfn.IFNA(VLOOKUP(D91,'인원 입력 기능(국수)'!$F$5:$I$103,4,FALSE),0))</f>
        <v>13284</v>
      </c>
      <c r="H91" s="108">
        <f t="shared" si="12"/>
        <v>6.0218407321949073E-2</v>
      </c>
      <c r="I91" s="121">
        <f>SUM($G$7:G91)</f>
        <v>178940</v>
      </c>
      <c r="J91" s="110">
        <f t="shared" si="13"/>
        <v>0.81116243647919051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119">
        <v>15</v>
      </c>
      <c r="D92" s="120">
        <f t="shared" si="9"/>
        <v>81</v>
      </c>
      <c r="E92" s="120">
        <f t="shared" si="8"/>
        <v>7</v>
      </c>
      <c r="F92" s="106">
        <f t="shared" si="11"/>
        <v>17.5</v>
      </c>
      <c r="G92" s="107">
        <f>IF(D92=D91,"",_xlfn.IFNA(VLOOKUP(D92,'인원 입력 기능(국수)'!$F$5:$I$103,4,FALSE),0))</f>
        <v>6117</v>
      </c>
      <c r="H92" s="108">
        <f t="shared" si="12"/>
        <v>2.7729298222550623E-2</v>
      </c>
      <c r="I92" s="121">
        <f>SUM($G$7:G92)</f>
        <v>185057</v>
      </c>
      <c r="J92" s="110">
        <f t="shared" si="13"/>
        <v>0.83889173470174117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119">
        <v>14</v>
      </c>
      <c r="D93" s="123">
        <f t="shared" si="9"/>
        <v>80</v>
      </c>
      <c r="E93" s="123">
        <f t="shared" si="8"/>
        <v>7</v>
      </c>
      <c r="F93" s="124">
        <f t="shared" si="11"/>
        <v>13.54</v>
      </c>
      <c r="G93" s="125">
        <f>IF(D93=D92,"",_xlfn.IFNA(VLOOKUP(D93,'인원 입력 기능(국수)'!$F$5:$I$103,4,FALSE),0))</f>
        <v>11321</v>
      </c>
      <c r="H93" s="126">
        <f t="shared" si="12"/>
        <v>5.1319827558851665E-2</v>
      </c>
      <c r="I93" s="127">
        <f>SUM($G$7:G93)</f>
        <v>196378</v>
      </c>
      <c r="J93" s="128">
        <f t="shared" si="13"/>
        <v>0.89021156226059284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119">
        <v>13</v>
      </c>
      <c r="D94" s="130"/>
      <c r="E94" s="130"/>
      <c r="F94" s="131"/>
      <c r="G94" s="132"/>
      <c r="H94" s="133"/>
      <c r="I94" s="134"/>
      <c r="J94" s="135"/>
      <c r="K94" s="31"/>
      <c r="L94" s="20" t="str">
        <f t="shared" si="10"/>
        <v>경고</v>
      </c>
      <c r="N94" s="1"/>
    </row>
    <row r="95" spans="1:14" ht="25" customHeight="1" x14ac:dyDescent="0.45">
      <c r="A95" s="5"/>
      <c r="B95" s="30"/>
      <c r="C95" s="119">
        <v>12</v>
      </c>
      <c r="D95" s="120">
        <f t="shared" si="9"/>
        <v>79</v>
      </c>
      <c r="E95" s="120">
        <f t="shared" si="8"/>
        <v>8</v>
      </c>
      <c r="F95" s="106">
        <f t="shared" si="11"/>
        <v>10.06</v>
      </c>
      <c r="G95" s="107">
        <f>IF(D95=D94,"",_xlfn.IFNA(VLOOKUP(D95,'인원 입력 기능(국수)'!$F$5:$I$103,4,FALSE),0))</f>
        <v>4064</v>
      </c>
      <c r="H95" s="108">
        <f t="shared" si="12"/>
        <v>1.842273467000911E-2</v>
      </c>
      <c r="I95" s="121">
        <f>SUM($G$7:G95)</f>
        <v>200442</v>
      </c>
      <c r="J95" s="110">
        <f t="shared" si="13"/>
        <v>0.90863429693060194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119">
        <v>11</v>
      </c>
      <c r="D96" s="120">
        <f t="shared" si="9"/>
        <v>78</v>
      </c>
      <c r="E96" s="120">
        <f t="shared" si="8"/>
        <v>8</v>
      </c>
      <c r="F96" s="106">
        <f t="shared" si="11"/>
        <v>8.5299999999999994</v>
      </c>
      <c r="G96" s="107">
        <f>IF(D96=D95,"",_xlfn.IFNA(VLOOKUP(D96,'인원 입력 기능(국수)'!$F$5:$I$103,4,FALSE),0))</f>
        <v>2673</v>
      </c>
      <c r="H96" s="108">
        <f t="shared" si="12"/>
        <v>1.2117118546489752E-2</v>
      </c>
      <c r="I96" s="121">
        <f>SUM($G$7:G96)</f>
        <v>203115</v>
      </c>
      <c r="J96" s="110">
        <f t="shared" si="13"/>
        <v>0.92075141547709172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119">
        <v>10</v>
      </c>
      <c r="D97" s="120">
        <f t="shared" si="9"/>
        <v>77</v>
      </c>
      <c r="E97" s="120">
        <f t="shared" si="8"/>
        <v>8</v>
      </c>
      <c r="F97" s="106">
        <f t="shared" si="11"/>
        <v>6.12</v>
      </c>
      <c r="G97" s="107">
        <f>IF(D97=D96,"",_xlfn.IFNA(VLOOKUP(D97,'인원 입력 기능(국수)'!$F$5:$I$103,4,FALSE),0))</f>
        <v>7962</v>
      </c>
      <c r="H97" s="108">
        <f t="shared" si="12"/>
        <v>3.6092965906154663E-2</v>
      </c>
      <c r="I97" s="121">
        <f>SUM($G$7:G97)</f>
        <v>211077</v>
      </c>
      <c r="J97" s="110">
        <f t="shared" si="13"/>
        <v>0.95684438138324635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119">
        <v>9</v>
      </c>
      <c r="D98" s="120">
        <f t="shared" si="9"/>
        <v>76</v>
      </c>
      <c r="E98" s="120">
        <f t="shared" si="8"/>
        <v>8</v>
      </c>
      <c r="F98" s="106">
        <f t="shared" si="11"/>
        <v>3.87</v>
      </c>
      <c r="G98" s="107">
        <f>IF(D98=D97,"",_xlfn.IFNA(VLOOKUP(D98,'인원 입력 기능(국수)'!$F$5:$I$103,4,FALSE),0))</f>
        <v>1965</v>
      </c>
      <c r="H98" s="108">
        <f t="shared" si="12"/>
        <v>8.9076460695295036E-3</v>
      </c>
      <c r="I98" s="121">
        <f>SUM($G$7:G98)</f>
        <v>213042</v>
      </c>
      <c r="J98" s="110">
        <f t="shared" si="13"/>
        <v>0.96575202745277589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119">
        <v>8</v>
      </c>
      <c r="D99" s="120">
        <f t="shared" si="9"/>
        <v>75</v>
      </c>
      <c r="E99" s="120">
        <f t="shared" si="8"/>
        <v>9</v>
      </c>
      <c r="F99" s="106">
        <f t="shared" si="11"/>
        <v>2.77</v>
      </c>
      <c r="G99" s="107">
        <f>IF(D99=D98,"",_xlfn.IFNA(VLOOKUP(D99,'인원 입력 기능(국수)'!$F$5:$I$103,4,FALSE),0))</f>
        <v>2873</v>
      </c>
      <c r="H99" s="108">
        <f t="shared" si="12"/>
        <v>1.3023749189698862E-2</v>
      </c>
      <c r="I99" s="121">
        <f>SUM($G$7:G99)</f>
        <v>215915</v>
      </c>
      <c r="J99" s="110">
        <f t="shared" si="13"/>
        <v>0.97877577664247473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119">
        <v>7</v>
      </c>
      <c r="D100" s="123">
        <f t="shared" si="9"/>
        <v>74</v>
      </c>
      <c r="E100" s="123">
        <f t="shared" si="8"/>
        <v>9</v>
      </c>
      <c r="F100" s="124">
        <f t="shared" si="11"/>
        <v>1.87</v>
      </c>
      <c r="G100" s="125">
        <f>IF(D100=D99,"",_xlfn.IFNA(VLOOKUP(D100,'인원 입력 기능(국수)'!$F$5:$I$103,4,FALSE),0))</f>
        <v>1096</v>
      </c>
      <c r="H100" s="126">
        <f t="shared" si="12"/>
        <v>4.9683359247859223E-3</v>
      </c>
      <c r="I100" s="127">
        <f>SUM($G$7:G100)</f>
        <v>217011</v>
      </c>
      <c r="J100" s="128">
        <f t="shared" si="13"/>
        <v>0.98374411256726069</v>
      </c>
      <c r="K100" s="31"/>
      <c r="L100" s="20" t="str">
        <f t="shared" si="10"/>
        <v>경고</v>
      </c>
      <c r="N100" s="1"/>
    </row>
    <row r="101" spans="1:14" ht="25" customHeight="1" x14ac:dyDescent="0.45">
      <c r="A101" s="5"/>
      <c r="B101" s="30"/>
      <c r="C101" s="111">
        <v>6</v>
      </c>
      <c r="D101" s="130"/>
      <c r="E101" s="130"/>
      <c r="F101" s="131"/>
      <c r="G101" s="132"/>
      <c r="H101" s="133"/>
      <c r="I101" s="134"/>
      <c r="J101" s="135"/>
      <c r="K101" s="31"/>
      <c r="L101" s="20" t="str">
        <f t="shared" si="10"/>
        <v>경고</v>
      </c>
      <c r="N101" s="1"/>
    </row>
    <row r="102" spans="1:14" ht="25" customHeight="1" x14ac:dyDescent="0.45">
      <c r="A102" s="5"/>
      <c r="B102" s="30"/>
      <c r="C102" s="111">
        <v>5</v>
      </c>
      <c r="D102" s="105">
        <f t="shared" si="9"/>
        <v>73</v>
      </c>
      <c r="E102" s="120">
        <f t="shared" si="8"/>
        <v>9</v>
      </c>
      <c r="F102" s="106">
        <f t="shared" si="11"/>
        <v>1.51</v>
      </c>
      <c r="G102" s="107">
        <f>IF(D102=D101,"",_xlfn.IFNA(VLOOKUP(D102,'인원 입력 기능(국수)'!$F$5:$I$103,4,FALSE),0))</f>
        <v>521</v>
      </c>
      <c r="H102" s="108">
        <f t="shared" si="12"/>
        <v>2.3617728255597311E-3</v>
      </c>
      <c r="I102" s="118">
        <f>SUM($G$7:G102)</f>
        <v>217532</v>
      </c>
      <c r="J102" s="110">
        <f t="shared" si="13"/>
        <v>0.9861058853928204</v>
      </c>
      <c r="K102" s="31"/>
      <c r="L102" s="20" t="str">
        <f t="shared" si="10"/>
        <v/>
      </c>
      <c r="N102" s="1"/>
    </row>
    <row r="103" spans="1:14" ht="25" customHeight="1" x14ac:dyDescent="0.45">
      <c r="A103" s="5"/>
      <c r="B103" s="30"/>
      <c r="C103" s="111">
        <v>4</v>
      </c>
      <c r="D103" s="105">
        <f t="shared" si="9"/>
        <v>72</v>
      </c>
      <c r="E103" s="120">
        <f t="shared" si="8"/>
        <v>9</v>
      </c>
      <c r="F103" s="106">
        <f t="shared" si="11"/>
        <v>1.28</v>
      </c>
      <c r="G103" s="107">
        <f>IF(D103=D102,"",_xlfn.IFNA(VLOOKUP(D103,'인원 입력 기능(국수)'!$F$5:$I$103,4,FALSE),0))</f>
        <v>467</v>
      </c>
      <c r="H103" s="108">
        <f t="shared" si="12"/>
        <v>2.1169825518932714E-3</v>
      </c>
      <c r="I103" s="118">
        <f>SUM($G$7:G103)</f>
        <v>217999</v>
      </c>
      <c r="J103" s="110">
        <f t="shared" si="13"/>
        <v>0.9882228679447137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111">
        <v>3</v>
      </c>
      <c r="D104" s="105">
        <f t="shared" si="9"/>
        <v>71</v>
      </c>
      <c r="E104" s="105">
        <f t="shared" si="8"/>
        <v>9</v>
      </c>
      <c r="F104" s="106">
        <f t="shared" si="11"/>
        <v>1.08</v>
      </c>
      <c r="G104" s="107">
        <f>IF(D104=D103,"",_xlfn.IFNA(VLOOKUP(D104,'인원 입력 기능(국수)'!$F$5:$I$103,4,FALSE),0))</f>
        <v>434</v>
      </c>
      <c r="H104" s="108">
        <f t="shared" si="12"/>
        <v>1.9673884957637682E-3</v>
      </c>
      <c r="I104" s="118">
        <f>SUM($G$7:G104)</f>
        <v>218433</v>
      </c>
      <c r="J104" s="110">
        <f t="shared" si="13"/>
        <v>0.99019025644047742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111">
        <v>2</v>
      </c>
      <c r="D105" s="105">
        <f t="shared" ref="D105" si="14">ROUND(20*(C105-$H$3)/$H$4+100,0)</f>
        <v>70</v>
      </c>
      <c r="E105" s="105">
        <f t="shared" si="8"/>
        <v>9</v>
      </c>
      <c r="F105" s="106">
        <f t="shared" si="11"/>
        <v>0.93</v>
      </c>
      <c r="G105" s="107">
        <f>IF(D105=D104,"",_xlfn.IFNA(VLOOKUP(D105,'인원 입력 기능(국수)'!$F$5:$I$103,4,FALSE),0))</f>
        <v>223</v>
      </c>
      <c r="H105" s="108">
        <f t="shared" si="12"/>
        <v>1.0108931671781575E-3</v>
      </c>
      <c r="I105" s="118">
        <f>SUM($G$7:G105)</f>
        <v>218656</v>
      </c>
      <c r="J105" s="110">
        <f t="shared" si="13"/>
        <v>0.9912011496076556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111">
        <v>1</v>
      </c>
      <c r="D106" s="112" t="s">
        <v>57</v>
      </c>
      <c r="E106" s="112"/>
      <c r="F106" s="113"/>
      <c r="G106" s="114"/>
      <c r="H106" s="115"/>
      <c r="I106" s="136"/>
      <c r="J106" s="117"/>
      <c r="K106" s="31"/>
      <c r="L106" s="20"/>
    </row>
    <row r="107" spans="1:14" ht="25" customHeight="1" thickBot="1" x14ac:dyDescent="0.5">
      <c r="A107" s="5"/>
      <c r="B107" s="30"/>
      <c r="C107" s="137">
        <v>0</v>
      </c>
      <c r="D107" s="138">
        <f>ROUND(20*(C107-$H$3)/$H$4+100,0)</f>
        <v>69</v>
      </c>
      <c r="E107" s="138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139">
        <f>IF(I105=0,ROUND(100*(1-(I104+I107)/2/$J$3),2),ROUND(100*(1-(I105+I107)/2/$J$3),2))</f>
        <v>0.44</v>
      </c>
      <c r="G107" s="140">
        <f>_xlfn.IFNA(VLOOKUP(D107,'인원 입력 기능(국수)'!$F$5:$I$103,4,FALSE),0)</f>
        <v>1941</v>
      </c>
      <c r="H107" s="141">
        <f>G107/$J$3</f>
        <v>8.7988503923444109E-3</v>
      </c>
      <c r="I107" s="142">
        <f>SUM($G$7:G107)</f>
        <v>220597</v>
      </c>
      <c r="J107" s="143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107">
    <mergeCell ref="D3:F3"/>
    <mergeCell ref="D4:F4"/>
    <mergeCell ref="D12:D13"/>
    <mergeCell ref="E12:E13"/>
    <mergeCell ref="F12:F13"/>
    <mergeCell ref="G12:G13"/>
    <mergeCell ref="H12:H13"/>
    <mergeCell ref="I12:I13"/>
    <mergeCell ref="J12:J13"/>
    <mergeCell ref="D18:D19"/>
    <mergeCell ref="E18:E19"/>
    <mergeCell ref="F18:F19"/>
    <mergeCell ref="G18:G19"/>
    <mergeCell ref="H18:H19"/>
    <mergeCell ref="I18:I19"/>
    <mergeCell ref="J18:J19"/>
    <mergeCell ref="I25:I26"/>
    <mergeCell ref="J25:J26"/>
    <mergeCell ref="D31:D32"/>
    <mergeCell ref="E31:E32"/>
    <mergeCell ref="F31:F32"/>
    <mergeCell ref="G31:G32"/>
    <mergeCell ref="H31:H32"/>
    <mergeCell ref="I31:I32"/>
    <mergeCell ref="J31:J32"/>
    <mergeCell ref="D25:D26"/>
    <mergeCell ref="E25:E26"/>
    <mergeCell ref="F25:F26"/>
    <mergeCell ref="G25:G26"/>
    <mergeCell ref="H25:H26"/>
    <mergeCell ref="I37:I38"/>
    <mergeCell ref="J37:J38"/>
    <mergeCell ref="D43:D44"/>
    <mergeCell ref="E43:E44"/>
    <mergeCell ref="F43:F44"/>
    <mergeCell ref="G43:G44"/>
    <mergeCell ref="H43:H44"/>
    <mergeCell ref="I43:I44"/>
    <mergeCell ref="J43:J44"/>
    <mergeCell ref="D37:D38"/>
    <mergeCell ref="E37:E38"/>
    <mergeCell ref="F37:F38"/>
    <mergeCell ref="G37:G38"/>
    <mergeCell ref="H37:H38"/>
    <mergeCell ref="I50:I51"/>
    <mergeCell ref="J50:J51"/>
    <mergeCell ref="D56:D57"/>
    <mergeCell ref="E56:E57"/>
    <mergeCell ref="F56:F57"/>
    <mergeCell ref="G56:G57"/>
    <mergeCell ref="H56:H57"/>
    <mergeCell ref="I56:I57"/>
    <mergeCell ref="J56:J57"/>
    <mergeCell ref="D50:D51"/>
    <mergeCell ref="E50:E51"/>
    <mergeCell ref="F50:F51"/>
    <mergeCell ref="G50:G51"/>
    <mergeCell ref="H50:H51"/>
    <mergeCell ref="I62:I63"/>
    <mergeCell ref="J62:J63"/>
    <mergeCell ref="D68:D69"/>
    <mergeCell ref="E68:E69"/>
    <mergeCell ref="F68:F69"/>
    <mergeCell ref="G68:G69"/>
    <mergeCell ref="H68:H69"/>
    <mergeCell ref="I68:I69"/>
    <mergeCell ref="J68:J69"/>
    <mergeCell ref="D62:D63"/>
    <mergeCell ref="E62:E63"/>
    <mergeCell ref="F62:F63"/>
    <mergeCell ref="G62:G63"/>
    <mergeCell ref="H62:H63"/>
    <mergeCell ref="I75:I76"/>
    <mergeCell ref="J75:J76"/>
    <mergeCell ref="D81:D82"/>
    <mergeCell ref="E81:E82"/>
    <mergeCell ref="F81:F82"/>
    <mergeCell ref="G81:G82"/>
    <mergeCell ref="H81:H82"/>
    <mergeCell ref="I81:I82"/>
    <mergeCell ref="J81:J82"/>
    <mergeCell ref="D75:D76"/>
    <mergeCell ref="E75:E76"/>
    <mergeCell ref="F75:F76"/>
    <mergeCell ref="G75:G76"/>
    <mergeCell ref="H75:H76"/>
    <mergeCell ref="I100:I101"/>
    <mergeCell ref="J100:J101"/>
    <mergeCell ref="D100:D101"/>
    <mergeCell ref="E100:E101"/>
    <mergeCell ref="F100:F101"/>
    <mergeCell ref="G100:G101"/>
    <mergeCell ref="H100:H101"/>
    <mergeCell ref="I87:I88"/>
    <mergeCell ref="J87:J88"/>
    <mergeCell ref="D93:D94"/>
    <mergeCell ref="E93:E94"/>
    <mergeCell ref="F93:F94"/>
    <mergeCell ref="G93:G94"/>
    <mergeCell ref="H93:H94"/>
    <mergeCell ref="I93:I94"/>
    <mergeCell ref="J93:J94"/>
    <mergeCell ref="D87:D88"/>
    <mergeCell ref="E87:E88"/>
    <mergeCell ref="F87:F88"/>
    <mergeCell ref="G87:G88"/>
    <mergeCell ref="H87:H88"/>
  </mergeCells>
  <phoneticPr fontId="1" type="noConversion"/>
  <conditionalFormatting sqref="D7:G12 I7:J12 D14:G18 I14:J18 D20:G25 I20:J25 D27:G31 I27:J31 D33:G37 I33:J37 D39:G43 I39:J43 D45:G50 I45:J50 D52:G56 I52:J56 D58:G62 I58:J62 D64:G68 I64:J68 D70:G75 I70:J75 D77:G81 I77:J81 D83:G87 I83:J87 D89:G93 I89:J93 D95:G100 I95:J100 D102:G107 I102:J107">
    <cfRule type="expression" dxfId="56" priority="4">
      <formula>OR($D7=$Q$7:$Q$14)</formula>
    </cfRule>
  </conditionalFormatting>
  <conditionalFormatting sqref="C7:C106">
    <cfRule type="expression" dxfId="55" priority="3">
      <formula>OR(AND($D7=0,OR($D6=$Q$7:$Q$14)),AND($D8&gt;0,OR($D7=$Q$7:$Q$14)))</formula>
    </cfRule>
  </conditionalFormatting>
  <conditionalFormatting sqref="D7:D12 D14:D18 D20:D25 D27:D31 D33:D37 D39:D43 D45:D50 D52:D56 D58:D62 D64:D68 D70:D75 D77:D81 D83:D87 D89:D93 D95:D100 D102:D106">
    <cfRule type="expression" dxfId="54" priority="2">
      <formula>$D7=$D8</formula>
    </cfRule>
  </conditionalFormatting>
  <conditionalFormatting sqref="H7:H12 H14:H18 H20:H25 H27:H31 H33:H37 H39:H43 H45:H50 H52:H56 H58:H62 H64:H68 H70:H75 H77:H81 H83:H87 H89:H93 H95:H100 H102:H107">
    <cfRule type="expression" dxfId="53" priority="1">
      <formula>OR($D7=$Q$7:$Q$14)</formula>
    </cfRule>
  </conditionalFormatting>
  <conditionalFormatting sqref="C107">
    <cfRule type="expression" dxfId="52" priority="11">
      <formula>OR(AND($D107=0,OR($D106=$Q$7:$Q$14)),AND($D109&gt;0,OR($D107=$Q$7:$Q$14)))</formula>
    </cfRule>
  </conditionalFormatting>
  <conditionalFormatting sqref="D107">
    <cfRule type="expression" dxfId="51" priority="13">
      <formula>$D107=$D109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Normal="100" workbookViewId="0">
      <selection activeCell="J15" sqref="J15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68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기능'!D6</f>
        <v>56.95</v>
      </c>
      <c r="I3" s="21" t="s">
        <v>107</v>
      </c>
      <c r="J3" s="93">
        <f>'통계 및 응시자 수 입력 기능'!C6</f>
        <v>217982</v>
      </c>
      <c r="K3" s="31"/>
    </row>
    <row r="4" spans="1:12" ht="25" customHeight="1" thickBot="1" x14ac:dyDescent="0.5">
      <c r="A4" s="5"/>
      <c r="B4" s="30"/>
      <c r="C4" s="94" t="s">
        <v>108</v>
      </c>
      <c r="D4" s="95" t="s">
        <v>120</v>
      </c>
      <c r="E4" s="96"/>
      <c r="F4" s="97"/>
      <c r="G4" s="98" t="s">
        <v>110</v>
      </c>
      <c r="H4" s="99" t="str">
        <f>'통계 및 응시자 수 입력 기능'!E6</f>
        <v>23.98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100" t="s">
        <v>122</v>
      </c>
      <c r="D6" s="146" t="s">
        <v>123</v>
      </c>
      <c r="E6" s="147" t="s">
        <v>124</v>
      </c>
      <c r="F6" s="101" t="s">
        <v>125</v>
      </c>
      <c r="G6" s="101" t="s">
        <v>126</v>
      </c>
      <c r="H6" s="103" t="s">
        <v>127</v>
      </c>
      <c r="I6" s="20"/>
      <c r="J6" s="20"/>
      <c r="K6" s="31"/>
      <c r="L6" s="5"/>
    </row>
    <row r="7" spans="1:12" ht="25" customHeight="1" x14ac:dyDescent="0.45">
      <c r="A7" s="5"/>
      <c r="B7" s="30"/>
      <c r="C7" s="148">
        <v>1</v>
      </c>
      <c r="D7" s="149">
        <v>90</v>
      </c>
      <c r="E7" s="150">
        <f>'표점등급&amp;절평인원 입력 기능'!D22</f>
        <v>20558</v>
      </c>
      <c r="F7" s="151">
        <f>E7/$J$3</f>
        <v>9.4310539402335969E-2</v>
      </c>
      <c r="G7" s="152">
        <f>SUM($E$7:E7)</f>
        <v>20558</v>
      </c>
      <c r="H7" s="153">
        <f>G7/$J$3</f>
        <v>9.4310539402335969E-2</v>
      </c>
      <c r="I7" s="20"/>
      <c r="J7" s="20"/>
      <c r="K7" s="31"/>
      <c r="L7" s="5"/>
    </row>
    <row r="8" spans="1:12" ht="25" customHeight="1" x14ac:dyDescent="0.45">
      <c r="A8" s="5"/>
      <c r="B8" s="30"/>
      <c r="C8" s="154">
        <v>2</v>
      </c>
      <c r="D8" s="155">
        <v>80</v>
      </c>
      <c r="E8" s="156">
        <f>'표점등급&amp;절평인원 입력 기능'!D23</f>
        <v>23077</v>
      </c>
      <c r="F8" s="157">
        <f t="shared" ref="F8:F15" si="0">E8/$J$3</f>
        <v>0.10586653943903625</v>
      </c>
      <c r="G8" s="158">
        <f>SUM($E$7:E8)</f>
        <v>43635</v>
      </c>
      <c r="H8" s="159">
        <f t="shared" ref="H8:H15" si="1">G8/$J$3</f>
        <v>0.20017707884137223</v>
      </c>
      <c r="I8" s="20"/>
      <c r="J8" s="20"/>
      <c r="K8" s="31"/>
      <c r="L8" s="5"/>
    </row>
    <row r="9" spans="1:12" ht="25" customHeight="1" x14ac:dyDescent="0.45">
      <c r="A9" s="5"/>
      <c r="B9" s="30"/>
      <c r="C9" s="154">
        <v>3</v>
      </c>
      <c r="D9" s="155">
        <v>70</v>
      </c>
      <c r="E9" s="156">
        <f>'표점등급&amp;절평인원 입력 기능'!D24</f>
        <v>30550</v>
      </c>
      <c r="F9" s="157">
        <f t="shared" si="0"/>
        <v>0.14014918663008871</v>
      </c>
      <c r="G9" s="158">
        <f>SUM($E$7:E9)</f>
        <v>74185</v>
      </c>
      <c r="H9" s="159">
        <f t="shared" si="1"/>
        <v>0.34032626547146094</v>
      </c>
      <c r="I9" s="20"/>
      <c r="J9" s="20"/>
      <c r="K9" s="31"/>
      <c r="L9" s="5"/>
    </row>
    <row r="10" spans="1:12" ht="25" customHeight="1" x14ac:dyDescent="0.45">
      <c r="A10" s="5"/>
      <c r="B10" s="30"/>
      <c r="C10" s="154">
        <v>4</v>
      </c>
      <c r="D10" s="155">
        <v>60</v>
      </c>
      <c r="E10" s="156">
        <f>'표점등급&amp;절평인원 입력 기능'!D25</f>
        <v>33147</v>
      </c>
      <c r="F10" s="157">
        <f t="shared" si="0"/>
        <v>0.15206301437733391</v>
      </c>
      <c r="G10" s="158">
        <f>SUM($E$7:E10)</f>
        <v>107332</v>
      </c>
      <c r="H10" s="159">
        <f t="shared" si="1"/>
        <v>0.49238927984879488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54">
        <v>5</v>
      </c>
      <c r="D11" s="155">
        <v>50</v>
      </c>
      <c r="E11" s="156">
        <f>'표점등급&amp;절평인원 입력 기능'!D26</f>
        <v>28969</v>
      </c>
      <c r="F11" s="157">
        <f t="shared" si="0"/>
        <v>0.13289629418942847</v>
      </c>
      <c r="G11" s="158">
        <f>SUM($E$7:E11)</f>
        <v>136301</v>
      </c>
      <c r="H11" s="159">
        <f t="shared" si="1"/>
        <v>0.62528557403822338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54">
        <v>6</v>
      </c>
      <c r="D12" s="155">
        <v>40</v>
      </c>
      <c r="E12" s="156">
        <f>'표점등급&amp;절평인원 입력 기능'!D27</f>
        <v>22959</v>
      </c>
      <c r="F12" s="157">
        <f t="shared" si="0"/>
        <v>0.10532521033846831</v>
      </c>
      <c r="G12" s="158">
        <f>SUM($E$7:E12)</f>
        <v>159260</v>
      </c>
      <c r="H12" s="159">
        <f t="shared" si="1"/>
        <v>0.73061078437669169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54">
        <v>7</v>
      </c>
      <c r="D13" s="155">
        <v>30</v>
      </c>
      <c r="E13" s="156">
        <f>'표점등급&amp;절평인원 입력 기능'!D28</f>
        <v>19880</v>
      </c>
      <c r="F13" s="157">
        <f t="shared" si="0"/>
        <v>9.1200190841445622E-2</v>
      </c>
      <c r="G13" s="158">
        <f>SUM($E$7:E13)</f>
        <v>179140</v>
      </c>
      <c r="H13" s="159">
        <f t="shared" si="1"/>
        <v>0.82181097521813729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54">
        <v>8</v>
      </c>
      <c r="D14" s="155">
        <v>20</v>
      </c>
      <c r="E14" s="156">
        <f>'표점등급&amp;절평인원 입력 기능'!D29</f>
        <v>26289</v>
      </c>
      <c r="F14" s="157">
        <f t="shared" si="0"/>
        <v>0.12060170105788551</v>
      </c>
      <c r="G14" s="158">
        <f>SUM($E$7:E14)</f>
        <v>205429</v>
      </c>
      <c r="H14" s="159">
        <f t="shared" si="1"/>
        <v>0.94241267627602276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60">
        <v>9</v>
      </c>
      <c r="D15" s="161">
        <v>0</v>
      </c>
      <c r="E15" s="162">
        <f>'표점등급&amp;절평인원 입력 기능'!D30</f>
        <v>12553</v>
      </c>
      <c r="F15" s="163">
        <f t="shared" si="0"/>
        <v>5.7587323723977207E-2</v>
      </c>
      <c r="G15" s="164">
        <f>SUM($E$7:E15)</f>
        <v>217982</v>
      </c>
      <c r="H15" s="165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Normal="100" workbookViewId="0">
      <selection activeCell="J15" sqref="J15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68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기능'!D7</f>
        <v>27.21</v>
      </c>
      <c r="I3" s="21" t="s">
        <v>107</v>
      </c>
      <c r="J3" s="93">
        <f>'통계 및 응시자 수 입력 기능'!C7</f>
        <v>216407</v>
      </c>
      <c r="K3" s="31"/>
    </row>
    <row r="4" spans="1:12" ht="25" customHeight="1" thickBot="1" x14ac:dyDescent="0.5">
      <c r="A4" s="5"/>
      <c r="B4" s="30"/>
      <c r="C4" s="94" t="s">
        <v>108</v>
      </c>
      <c r="D4" s="95" t="s">
        <v>121</v>
      </c>
      <c r="E4" s="96"/>
      <c r="F4" s="97"/>
      <c r="G4" s="98" t="s">
        <v>110</v>
      </c>
      <c r="H4" s="99" t="str">
        <f>'통계 및 응시자 수 입력 기능'!E7</f>
        <v>11.84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20"/>
      <c r="H5" s="20"/>
      <c r="I5" s="20"/>
      <c r="J5" s="20"/>
      <c r="K5" s="31"/>
    </row>
    <row r="6" spans="1:12" ht="25" customHeight="1" thickBot="1" x14ac:dyDescent="0.5">
      <c r="A6" s="5"/>
      <c r="B6" s="30"/>
      <c r="C6" s="100" t="s">
        <v>122</v>
      </c>
      <c r="D6" s="146" t="s">
        <v>123</v>
      </c>
      <c r="E6" s="147" t="s">
        <v>124</v>
      </c>
      <c r="F6" s="101" t="s">
        <v>125</v>
      </c>
      <c r="G6" s="101" t="s">
        <v>126</v>
      </c>
      <c r="H6" s="103" t="s">
        <v>127</v>
      </c>
      <c r="I6" s="20"/>
      <c r="J6" s="20"/>
      <c r="K6" s="31"/>
      <c r="L6" s="5"/>
    </row>
    <row r="7" spans="1:12" ht="25" customHeight="1" x14ac:dyDescent="0.45">
      <c r="A7" s="5"/>
      <c r="B7" s="30"/>
      <c r="C7" s="166">
        <v>1</v>
      </c>
      <c r="D7" s="167">
        <v>40</v>
      </c>
      <c r="E7" s="150">
        <f>'표점등급&amp;절평인원 입력 기능'!D31</f>
        <v>36326</v>
      </c>
      <c r="F7" s="151">
        <f>E7/$J$3</f>
        <v>0.1678596348546951</v>
      </c>
      <c r="G7" s="152">
        <f>SUM($E$7:E7)</f>
        <v>36326</v>
      </c>
      <c r="H7" s="153">
        <f>G7/$J$3</f>
        <v>0.1678596348546951</v>
      </c>
      <c r="I7" s="20"/>
      <c r="J7" s="20"/>
      <c r="K7" s="31"/>
      <c r="L7" s="5"/>
    </row>
    <row r="8" spans="1:12" ht="25" customHeight="1" x14ac:dyDescent="0.45">
      <c r="A8" s="5"/>
      <c r="B8" s="30"/>
      <c r="C8" s="168">
        <v>2</v>
      </c>
      <c r="D8" s="169">
        <v>35</v>
      </c>
      <c r="E8" s="156">
        <f>'표점등급&amp;절평인원 입력 기능'!D32</f>
        <v>29289</v>
      </c>
      <c r="F8" s="157">
        <f t="shared" ref="F8:F15" si="0">E8/$J$3</f>
        <v>0.135342202424136</v>
      </c>
      <c r="G8" s="158">
        <f>SUM($E$7:E8)</f>
        <v>65615</v>
      </c>
      <c r="H8" s="159">
        <f t="shared" ref="H8:H15" si="1">G8/$J$3</f>
        <v>0.3032018372788311</v>
      </c>
      <c r="I8" s="20"/>
      <c r="J8" s="20"/>
      <c r="K8" s="31"/>
      <c r="L8" s="5"/>
    </row>
    <row r="9" spans="1:12" ht="25" customHeight="1" x14ac:dyDescent="0.45">
      <c r="A9" s="5"/>
      <c r="B9" s="30"/>
      <c r="C9" s="168">
        <v>3</v>
      </c>
      <c r="D9" s="169">
        <v>30</v>
      </c>
      <c r="E9" s="156">
        <f>'표점등급&amp;절평인원 입력 기능'!D33</f>
        <v>32946</v>
      </c>
      <c r="F9" s="157">
        <f t="shared" si="0"/>
        <v>0.15224091642137269</v>
      </c>
      <c r="G9" s="158">
        <f>SUM($E$7:E9)</f>
        <v>98561</v>
      </c>
      <c r="H9" s="159">
        <f t="shared" si="1"/>
        <v>0.45544275370020376</v>
      </c>
      <c r="I9" s="20"/>
      <c r="J9" s="20"/>
      <c r="K9" s="31"/>
      <c r="L9" s="5"/>
    </row>
    <row r="10" spans="1:12" ht="25" customHeight="1" x14ac:dyDescent="0.45">
      <c r="A10" s="5"/>
      <c r="B10" s="30"/>
      <c r="C10" s="168">
        <v>4</v>
      </c>
      <c r="D10" s="169">
        <v>25</v>
      </c>
      <c r="E10" s="156">
        <f>'표점등급&amp;절평인원 입력 기능'!D34</f>
        <v>30338</v>
      </c>
      <c r="F10" s="157">
        <f t="shared" si="0"/>
        <v>0.14018955024560203</v>
      </c>
      <c r="G10" s="158">
        <f>SUM($E$7:E10)</f>
        <v>128899</v>
      </c>
      <c r="H10" s="159">
        <f t="shared" si="1"/>
        <v>0.5956323039458058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68">
        <v>5</v>
      </c>
      <c r="D11" s="169">
        <v>20</v>
      </c>
      <c r="E11" s="156">
        <f>'표점등급&amp;절평인원 입력 기능'!D35</f>
        <v>24586</v>
      </c>
      <c r="F11" s="157">
        <f t="shared" si="0"/>
        <v>0.11361000337327351</v>
      </c>
      <c r="G11" s="158">
        <f>SUM($E$7:E11)</f>
        <v>153485</v>
      </c>
      <c r="H11" s="159">
        <f t="shared" si="1"/>
        <v>0.70924230731907933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68">
        <v>6</v>
      </c>
      <c r="D12" s="169">
        <v>15</v>
      </c>
      <c r="E12" s="156">
        <f>'표점등급&amp;절평인원 입력 기능'!D36</f>
        <v>20254</v>
      </c>
      <c r="F12" s="157">
        <f t="shared" si="0"/>
        <v>9.3592166611985744E-2</v>
      </c>
      <c r="G12" s="158">
        <f>SUM($E$7:E12)</f>
        <v>173739</v>
      </c>
      <c r="H12" s="159">
        <f t="shared" si="1"/>
        <v>0.80283447393106511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68">
        <v>7</v>
      </c>
      <c r="D13" s="169">
        <v>10</v>
      </c>
      <c r="E13" s="156">
        <f>'표점등급&amp;절평인원 입력 기능'!D37</f>
        <v>27533</v>
      </c>
      <c r="F13" s="157">
        <f t="shared" si="0"/>
        <v>0.12722786231498981</v>
      </c>
      <c r="G13" s="158">
        <f>SUM($E$7:E13)</f>
        <v>201272</v>
      </c>
      <c r="H13" s="159">
        <f t="shared" si="1"/>
        <v>0.93006233624605483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68">
        <v>8</v>
      </c>
      <c r="D14" s="169">
        <v>5</v>
      </c>
      <c r="E14" s="156">
        <f>'표점등급&amp;절평인원 입력 기능'!D38</f>
        <v>12583</v>
      </c>
      <c r="F14" s="157">
        <f t="shared" si="0"/>
        <v>5.8145069244525359E-2</v>
      </c>
      <c r="G14" s="158">
        <f>SUM($E$7:E14)</f>
        <v>213855</v>
      </c>
      <c r="H14" s="159">
        <f t="shared" si="1"/>
        <v>0.98820740549058028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70">
        <v>9</v>
      </c>
      <c r="D15" s="171">
        <v>0</v>
      </c>
      <c r="E15" s="162">
        <f>'표점등급&amp;절평인원 입력 기능'!D39</f>
        <v>2552</v>
      </c>
      <c r="F15" s="163">
        <f t="shared" si="0"/>
        <v>1.1792594509419751E-2</v>
      </c>
      <c r="G15" s="164">
        <f>SUM($E$7:E15)</f>
        <v>216407</v>
      </c>
      <c r="H15" s="165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2">
    <mergeCell ref="D3:F3"/>
    <mergeCell ref="D4:F4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기능'!D8</f>
        <v>26.06</v>
      </c>
      <c r="I3" s="21" t="s">
        <v>107</v>
      </c>
      <c r="J3" s="93">
        <f>'통계 및 응시자 수 입력 기능'!C8</f>
        <v>50633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128</v>
      </c>
      <c r="E4" s="96"/>
      <c r="F4" s="97"/>
      <c r="G4" s="98" t="s">
        <v>110</v>
      </c>
      <c r="H4" s="99" t="str">
        <f>'통계 및 응시자 수 입력 기능'!E8</f>
        <v>11.32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71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99.45</v>
      </c>
      <c r="G7" s="107">
        <f>_xlfn.IFNA(VLOOKUP(D7,'인원 입력 기능(사과탐)'!$A$5:$D$59,4,FALSE),0)</f>
        <v>556</v>
      </c>
      <c r="H7" s="108">
        <f>G7/$J$3</f>
        <v>1.0980980783283628E-2</v>
      </c>
      <c r="I7" s="109">
        <f>G7</f>
        <v>556</v>
      </c>
      <c r="J7" s="110">
        <f>I7/$J$3</f>
        <v>1.0980980783283628E-2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67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기능'!C41</f>
        <v>62</v>
      </c>
    </row>
    <row r="9" spans="1:17" s="22" customFormat="1" ht="25" customHeight="1" x14ac:dyDescent="0.45">
      <c r="A9" s="20"/>
      <c r="B9" s="35"/>
      <c r="C9" s="104">
        <v>48</v>
      </c>
      <c r="D9" s="122">
        <f>ROUND(10*(C9-$H$3)/$H$4+50,0)</f>
        <v>69</v>
      </c>
      <c r="E9" s="122">
        <f t="shared" si="0"/>
        <v>1</v>
      </c>
      <c r="F9" s="124">
        <f>IF(I8=0,ROUND(100*(1-(I7+I9)/2/$J$3),2),ROUND(100*(1-(I8+I9)/2/$J$3),2))</f>
        <v>97.97</v>
      </c>
      <c r="G9" s="125">
        <f>_xlfn.IFNA(VLOOKUP(D9,'인원 입력 기능(사과탐)'!$A$5:$D$59,4,FALSE),0)</f>
        <v>941</v>
      </c>
      <c r="H9" s="126">
        <f t="shared" ref="H9:H55" si="1">G9/$J$3</f>
        <v>1.8584717476744415E-2</v>
      </c>
      <c r="I9" s="144">
        <f>SUM($G$7:G9)</f>
        <v>1497</v>
      </c>
      <c r="J9" s="128">
        <f>I9/$J$3</f>
        <v>2.9565698260028046E-2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58</v>
      </c>
    </row>
    <row r="10" spans="1:17" s="22" customFormat="1" ht="25" customHeight="1" x14ac:dyDescent="0.45">
      <c r="A10" s="20"/>
      <c r="B10" s="35"/>
      <c r="C10" s="111">
        <v>47</v>
      </c>
      <c r="D10" s="129"/>
      <c r="E10" s="129"/>
      <c r="F10" s="131"/>
      <c r="G10" s="132"/>
      <c r="H10" s="133"/>
      <c r="I10" s="145"/>
      <c r="J10" s="135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기능'!C43</f>
        <v>53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ref="D11:D55" si="3">ROUND(10*(C11-$H$3)/$H$4+50,0)</f>
        <v>68</v>
      </c>
      <c r="E11" s="105">
        <f t="shared" si="0"/>
        <v>1</v>
      </c>
      <c r="F11" s="106">
        <f t="shared" ref="F11:F55" si="4">IF(I10=0,ROUND(100*(1-(I9+I11)/2/$J$3),2),ROUND(100*(1-(I10+I11)/2/$J$3),2))</f>
        <v>96.95</v>
      </c>
      <c r="G11" s="107">
        <f>IF(D11=D10,"",_xlfn.IFNA(VLOOKUP(D11,'인원 입력 기능(사과탐)'!$A$5:$D$59,4,FALSE),0))</f>
        <v>98</v>
      </c>
      <c r="H11" s="108">
        <f t="shared" si="1"/>
        <v>1.9354966128809275E-3</v>
      </c>
      <c r="I11" s="118">
        <f>SUM($G$7:G11)</f>
        <v>1595</v>
      </c>
      <c r="J11" s="110">
        <f t="shared" ref="J11:J55" si="5">I11/$J$3</f>
        <v>3.1501194872908971E-2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47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67</v>
      </c>
      <c r="E12" s="105">
        <f t="shared" si="0"/>
        <v>1</v>
      </c>
      <c r="F12" s="106">
        <f t="shared" si="4"/>
        <v>96.23</v>
      </c>
      <c r="G12" s="107">
        <f>IF(D12=D11,"",_xlfn.IFNA(VLOOKUP(D12,'인원 입력 기능(사과탐)'!$A$5:$D$59,4,FALSE),0))</f>
        <v>629</v>
      </c>
      <c r="H12" s="108">
        <f t="shared" si="1"/>
        <v>1.2422728260225545E-2</v>
      </c>
      <c r="I12" s="118">
        <f>SUM($G$7:G12)</f>
        <v>2224</v>
      </c>
      <c r="J12" s="110">
        <f t="shared" si="5"/>
        <v>4.3923923133134514E-2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40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66</v>
      </c>
      <c r="E13" s="105">
        <f t="shared" si="0"/>
        <v>2</v>
      </c>
      <c r="F13" s="106">
        <f t="shared" si="4"/>
        <v>94.84</v>
      </c>
      <c r="G13" s="107">
        <f>IF(D13=D12,"",_xlfn.IFNA(VLOOKUP(D13,'인원 입력 기능(사과탐)'!$A$5:$D$59,4,FALSE),0))</f>
        <v>774</v>
      </c>
      <c r="H13" s="108">
        <f t="shared" si="1"/>
        <v>1.5286473248671814E-2</v>
      </c>
      <c r="I13" s="118">
        <f>SUM($G$7:G13)</f>
        <v>2998</v>
      </c>
      <c r="J13" s="110">
        <f t="shared" si="5"/>
        <v>5.9210396381806335E-2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기능'!C46</f>
        <v>36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65</v>
      </c>
      <c r="E14" s="105">
        <f t="shared" si="0"/>
        <v>2</v>
      </c>
      <c r="F14" s="106">
        <f t="shared" si="4"/>
        <v>93.73</v>
      </c>
      <c r="G14" s="107">
        <f>IF(D14=D13,"",_xlfn.IFNA(VLOOKUP(D14,'인원 입력 기능(사과탐)'!$A$5:$D$59,4,FALSE),0))</f>
        <v>350</v>
      </c>
      <c r="H14" s="108">
        <f t="shared" si="1"/>
        <v>6.9124879031461691E-3</v>
      </c>
      <c r="I14" s="118">
        <f>SUM($G$7:G14)</f>
        <v>3348</v>
      </c>
      <c r="J14" s="110">
        <f t="shared" si="5"/>
        <v>6.6122884284952499E-2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34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64</v>
      </c>
      <c r="E15" s="105">
        <f t="shared" si="0"/>
        <v>2</v>
      </c>
      <c r="F15" s="106">
        <f t="shared" si="4"/>
        <v>92.33</v>
      </c>
      <c r="G15" s="107">
        <f>IF(D15=D14,"",_xlfn.IFNA(VLOOKUP(D15,'인원 입력 기능(사과탐)'!$A$5:$D$59,4,FALSE),0))</f>
        <v>1069</v>
      </c>
      <c r="H15" s="108">
        <f t="shared" si="1"/>
        <v>2.1112713052752159E-2</v>
      </c>
      <c r="I15" s="118">
        <f>SUM($G$7:G15)</f>
        <v>4417</v>
      </c>
      <c r="J15" s="110">
        <f t="shared" si="5"/>
        <v>8.7235597337704654E-2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63</v>
      </c>
      <c r="E16" s="105">
        <f t="shared" si="0"/>
        <v>2</v>
      </c>
      <c r="F16" s="106">
        <f t="shared" si="4"/>
        <v>90.42</v>
      </c>
      <c r="G16" s="107">
        <f>IF(D16=D15,"",_xlfn.IFNA(VLOOKUP(D16,'인원 입력 기능(사과탐)'!$A$5:$D$59,4,FALSE),0))</f>
        <v>868</v>
      </c>
      <c r="H16" s="108">
        <f t="shared" si="1"/>
        <v>1.7142969999802499E-2</v>
      </c>
      <c r="I16" s="118">
        <f>SUM($G$7:G16)</f>
        <v>5285</v>
      </c>
      <c r="J16" s="110">
        <f t="shared" si="5"/>
        <v>0.10437856733750715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62</v>
      </c>
      <c r="E17" s="105">
        <f t="shared" si="0"/>
        <v>2</v>
      </c>
      <c r="F17" s="106">
        <f t="shared" si="4"/>
        <v>88.75</v>
      </c>
      <c r="G17" s="107">
        <f>IF(D17=D16,"",_xlfn.IFNA(VLOOKUP(D17,'인원 입력 기능(사과탐)'!$A$5:$D$59,4,FALSE),0))</f>
        <v>826</v>
      </c>
      <c r="H17" s="108">
        <f t="shared" si="1"/>
        <v>1.6313471451424959E-2</v>
      </c>
      <c r="I17" s="118">
        <f>SUM($G$7:G17)</f>
        <v>6111</v>
      </c>
      <c r="J17" s="110">
        <f t="shared" si="5"/>
        <v>0.12069203878893212</v>
      </c>
      <c r="K17" s="36"/>
      <c r="L17" s="20" t="str">
        <f t="shared" si="2"/>
        <v/>
      </c>
      <c r="N17" s="24"/>
      <c r="Q17" s="24">
        <f>Q7*H3*H4*J3*IFERROR(IF(J57=1, 1, 0), 0)</f>
        <v>1000758531.0712</v>
      </c>
    </row>
    <row r="18" spans="1:17" s="22" customFormat="1" ht="25" customHeight="1" x14ac:dyDescent="0.45">
      <c r="A18" s="20"/>
      <c r="B18" s="35"/>
      <c r="C18" s="111">
        <v>39</v>
      </c>
      <c r="D18" s="122">
        <f t="shared" si="3"/>
        <v>61</v>
      </c>
      <c r="E18" s="122">
        <f t="shared" si="0"/>
        <v>3</v>
      </c>
      <c r="F18" s="124">
        <f t="shared" si="4"/>
        <v>85.37</v>
      </c>
      <c r="G18" s="125">
        <f>IF(D18=D17,"",_xlfn.IFNA(VLOOKUP(D18,'인원 입력 기능(사과탐)'!$A$5:$D$59,4,FALSE),0))</f>
        <v>2589</v>
      </c>
      <c r="H18" s="126">
        <f t="shared" si="1"/>
        <v>5.113266051784409E-2</v>
      </c>
      <c r="I18" s="144">
        <f>SUM($G$7:G18)</f>
        <v>8700</v>
      </c>
      <c r="J18" s="128">
        <f t="shared" si="5"/>
        <v>0.17182469930677621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29"/>
      <c r="E19" s="129"/>
      <c r="F19" s="131"/>
      <c r="G19" s="132"/>
      <c r="H19" s="133"/>
      <c r="I19" s="145"/>
      <c r="J19" s="135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60</v>
      </c>
      <c r="E20" s="105">
        <f t="shared" si="0"/>
        <v>3</v>
      </c>
      <c r="F20" s="106">
        <f t="shared" si="4"/>
        <v>81.510000000000005</v>
      </c>
      <c r="G20" s="107">
        <f>IF(D20=D19,"",_xlfn.IFNA(VLOOKUP(D20,'인원 입력 기능(사과탐)'!$A$5:$D$59,4,FALSE),0))</f>
        <v>1322</v>
      </c>
      <c r="H20" s="108">
        <f t="shared" si="1"/>
        <v>2.610945430845496E-2</v>
      </c>
      <c r="I20" s="118">
        <f>SUM($G$7:G20)</f>
        <v>10022</v>
      </c>
      <c r="J20" s="110">
        <f t="shared" si="5"/>
        <v>0.19793415361523117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59</v>
      </c>
      <c r="E21" s="120">
        <f t="shared" si="0"/>
        <v>3</v>
      </c>
      <c r="F21" s="106">
        <f t="shared" si="4"/>
        <v>78.680000000000007</v>
      </c>
      <c r="G21" s="107">
        <f>IF(D21=D20,"",_xlfn.IFNA(VLOOKUP(D21,'인원 입력 기능(사과탐)'!$A$5:$D$59,4,FALSE),0))</f>
        <v>1542</v>
      </c>
      <c r="H21" s="108">
        <f t="shared" si="1"/>
        <v>3.0454446704718266E-2</v>
      </c>
      <c r="I21" s="118">
        <f>SUM($G$7:G21)</f>
        <v>11564</v>
      </c>
      <c r="J21" s="110">
        <f t="shared" si="5"/>
        <v>0.22838860031994945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58</v>
      </c>
      <c r="E22" s="120">
        <f t="shared" si="0"/>
        <v>3</v>
      </c>
      <c r="F22" s="106">
        <f t="shared" si="4"/>
        <v>75.819999999999993</v>
      </c>
      <c r="G22" s="107">
        <f>IF(D22=D21,"",_xlfn.IFNA(VLOOKUP(D22,'인원 입력 기능(사과탐)'!$A$5:$D$59,4,FALSE),0))</f>
        <v>1361</v>
      </c>
      <c r="H22" s="108">
        <f t="shared" si="1"/>
        <v>2.6879702960519818E-2</v>
      </c>
      <c r="I22" s="118">
        <f>SUM($G$7:G22)</f>
        <v>12925</v>
      </c>
      <c r="J22" s="110">
        <f t="shared" si="5"/>
        <v>0.25526830328046923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57</v>
      </c>
      <c r="E23" s="120">
        <f t="shared" si="0"/>
        <v>4</v>
      </c>
      <c r="F23" s="106">
        <f t="shared" si="4"/>
        <v>72.73</v>
      </c>
      <c r="G23" s="107">
        <f>IF(D23=D22,"",_xlfn.IFNA(VLOOKUP(D23,'인원 입력 기능(사과탐)'!$A$5:$D$59,4,FALSE),0))</f>
        <v>1769</v>
      </c>
      <c r="H23" s="108">
        <f t="shared" si="1"/>
        <v>3.4937688859044497E-2</v>
      </c>
      <c r="I23" s="118">
        <f>SUM($G$7:G23)</f>
        <v>14694</v>
      </c>
      <c r="J23" s="110">
        <f t="shared" si="5"/>
        <v>0.29020599213951376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56</v>
      </c>
      <c r="E24" s="120">
        <f t="shared" si="0"/>
        <v>4</v>
      </c>
      <c r="F24" s="106">
        <f t="shared" si="4"/>
        <v>69.47</v>
      </c>
      <c r="G24" s="107">
        <f>IF(D24=D23,"",_xlfn.IFNA(VLOOKUP(D24,'인원 입력 기능(사과탐)'!$A$5:$D$59,4,FALSE),0))</f>
        <v>1524</v>
      </c>
      <c r="H24" s="108">
        <f t="shared" si="1"/>
        <v>3.0098947326842179E-2</v>
      </c>
      <c r="I24" s="118">
        <f>SUM($G$7:G24)</f>
        <v>16218</v>
      </c>
      <c r="J24" s="110">
        <f t="shared" si="5"/>
        <v>0.32030493946635591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55</v>
      </c>
      <c r="E25" s="120">
        <f t="shared" si="0"/>
        <v>4</v>
      </c>
      <c r="F25" s="106">
        <f t="shared" si="4"/>
        <v>66.38</v>
      </c>
      <c r="G25" s="107">
        <f>IF(D25=D24,"",_xlfn.IFNA(VLOOKUP(D25,'인원 입력 기능(사과탐)'!$A$5:$D$59,4,FALSE),0))</f>
        <v>1614</v>
      </c>
      <c r="H25" s="108">
        <f t="shared" si="1"/>
        <v>3.187644421622262E-2</v>
      </c>
      <c r="I25" s="118">
        <f>SUM($G$7:G25)</f>
        <v>17832</v>
      </c>
      <c r="J25" s="110">
        <f t="shared" si="5"/>
        <v>0.35218138368257856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54</v>
      </c>
      <c r="E26" s="120">
        <f t="shared" si="0"/>
        <v>4</v>
      </c>
      <c r="F26" s="106">
        <f t="shared" si="4"/>
        <v>63.07</v>
      </c>
      <c r="G26" s="107">
        <f>IF(D26=D25,"",_xlfn.IFNA(VLOOKUP(D26,'인원 입력 기능(사과탐)'!$A$5:$D$59,4,FALSE),0))</f>
        <v>1733</v>
      </c>
      <c r="H26" s="108">
        <f t="shared" si="1"/>
        <v>3.4226690103292316E-2</v>
      </c>
      <c r="I26" s="118">
        <f>SUM($G$7:G26)</f>
        <v>19565</v>
      </c>
      <c r="J26" s="110">
        <f t="shared" si="5"/>
        <v>0.38640807378587089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3">
        <f t="shared" si="3"/>
        <v>53</v>
      </c>
      <c r="E27" s="123">
        <f t="shared" si="0"/>
        <v>4</v>
      </c>
      <c r="F27" s="124">
        <f t="shared" si="4"/>
        <v>58.01</v>
      </c>
      <c r="G27" s="125">
        <f>IF(D27=D26,"",_xlfn.IFNA(VLOOKUP(D27,'인원 입력 기능(사과탐)'!$A$5:$D$59,4,FALSE),0))</f>
        <v>3396</v>
      </c>
      <c r="H27" s="126">
        <f t="shared" si="1"/>
        <v>6.7070882625955411E-2</v>
      </c>
      <c r="I27" s="144">
        <f>SUM($G$7:G27)</f>
        <v>22961</v>
      </c>
      <c r="J27" s="128">
        <f t="shared" si="5"/>
        <v>0.45347895641182628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30"/>
      <c r="E28" s="130"/>
      <c r="F28" s="131"/>
      <c r="G28" s="132"/>
      <c r="H28" s="133"/>
      <c r="I28" s="145"/>
      <c r="J28" s="135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52</v>
      </c>
      <c r="E29" s="120">
        <f t="shared" si="0"/>
        <v>5</v>
      </c>
      <c r="F29" s="106">
        <f t="shared" si="4"/>
        <v>53.16</v>
      </c>
      <c r="G29" s="107">
        <f>IF(D29=D28,"",_xlfn.IFNA(VLOOKUP(D29,'인원 입력 기능(사과탐)'!$A$5:$D$59,4,FALSE),0))</f>
        <v>1516</v>
      </c>
      <c r="H29" s="108">
        <f t="shared" si="1"/>
        <v>2.9940947603341695E-2</v>
      </c>
      <c r="I29" s="118">
        <f>SUM($G$7:G29)</f>
        <v>24477</v>
      </c>
      <c r="J29" s="110">
        <f t="shared" si="5"/>
        <v>0.48341990401516799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51</v>
      </c>
      <c r="E30" s="120">
        <f t="shared" si="0"/>
        <v>5</v>
      </c>
      <c r="F30" s="106">
        <f t="shared" si="4"/>
        <v>50.09</v>
      </c>
      <c r="G30" s="107">
        <f>IF(D30=D29,"",_xlfn.IFNA(VLOOKUP(D30,'인원 입력 기능(사과탐)'!$A$5:$D$59,4,FALSE),0))</f>
        <v>1589</v>
      </c>
      <c r="H30" s="108">
        <f t="shared" si="1"/>
        <v>3.1382695080283608E-2</v>
      </c>
      <c r="I30" s="118">
        <f>SUM($G$7:G30)</f>
        <v>26066</v>
      </c>
      <c r="J30" s="110">
        <f t="shared" si="5"/>
        <v>0.51480259909545156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50</v>
      </c>
      <c r="E31" s="120">
        <f t="shared" si="0"/>
        <v>5</v>
      </c>
      <c r="F31" s="106">
        <f t="shared" si="4"/>
        <v>47.13</v>
      </c>
      <c r="G31" s="107">
        <f>IF(D31=D30,"",_xlfn.IFNA(VLOOKUP(D31,'인원 입력 기능(사과탐)'!$A$5:$D$59,4,FALSE),0))</f>
        <v>1411</v>
      </c>
      <c r="H31" s="108">
        <f t="shared" si="1"/>
        <v>2.7867201232397842E-2</v>
      </c>
      <c r="I31" s="118">
        <f>SUM($G$7:G31)</f>
        <v>27477</v>
      </c>
      <c r="J31" s="110">
        <f t="shared" si="5"/>
        <v>0.54266980032784939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49</v>
      </c>
      <c r="E32" s="120">
        <f t="shared" si="0"/>
        <v>5</v>
      </c>
      <c r="F32" s="106">
        <f t="shared" si="4"/>
        <v>44.4</v>
      </c>
      <c r="G32" s="107">
        <f>IF(D32=D31,"",_xlfn.IFNA(VLOOKUP(D32,'인원 입력 기능(사과탐)'!$A$5:$D$59,4,FALSE),0))</f>
        <v>1354</v>
      </c>
      <c r="H32" s="108">
        <f t="shared" si="1"/>
        <v>2.6741453202456897E-2</v>
      </c>
      <c r="I32" s="118">
        <f>SUM($G$7:G32)</f>
        <v>28831</v>
      </c>
      <c r="J32" s="110">
        <f t="shared" si="5"/>
        <v>0.5694112535303063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48</v>
      </c>
      <c r="E33" s="120">
        <f t="shared" si="0"/>
        <v>5</v>
      </c>
      <c r="F33" s="106">
        <f t="shared" si="4"/>
        <v>41.65</v>
      </c>
      <c r="G33" s="107">
        <f>IF(D33=D32,"",_xlfn.IFNA(VLOOKUP(D33,'인원 입력 기능(사과탐)'!$A$5:$D$59,4,FALSE),0))</f>
        <v>1430</v>
      </c>
      <c r="H33" s="108">
        <f t="shared" si="1"/>
        <v>2.8242450575711491E-2</v>
      </c>
      <c r="I33" s="118">
        <f>SUM($G$7:G33)</f>
        <v>30261</v>
      </c>
      <c r="J33" s="110">
        <f t="shared" si="5"/>
        <v>0.59765370410601781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47</v>
      </c>
      <c r="E34" s="120">
        <f t="shared" si="0"/>
        <v>5</v>
      </c>
      <c r="F34" s="106">
        <f t="shared" si="4"/>
        <v>39.11</v>
      </c>
      <c r="G34" s="107">
        <f>IF(D34=D33,"",_xlfn.IFNA(VLOOKUP(D34,'인원 입력 기능(사과탐)'!$A$5:$D$59,4,FALSE),0))</f>
        <v>1142</v>
      </c>
      <c r="H34" s="108">
        <f t="shared" si="1"/>
        <v>2.2554460529694072E-2</v>
      </c>
      <c r="I34" s="118">
        <f>SUM($G$7:G34)</f>
        <v>31403</v>
      </c>
      <c r="J34" s="110">
        <f t="shared" si="5"/>
        <v>0.62020816463571193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3">
        <f t="shared" si="3"/>
        <v>46</v>
      </c>
      <c r="E35" s="123">
        <f t="shared" si="0"/>
        <v>6</v>
      </c>
      <c r="F35" s="124">
        <f t="shared" si="4"/>
        <v>35.85</v>
      </c>
      <c r="G35" s="125">
        <f>IF(D35=D34,"",_xlfn.IFNA(VLOOKUP(D35,'인원 입력 기능(사과탐)'!$A$5:$D$59,4,FALSE),0))</f>
        <v>2161</v>
      </c>
      <c r="H35" s="126">
        <f t="shared" si="1"/>
        <v>4.2679675310568203E-2</v>
      </c>
      <c r="I35" s="144">
        <f>SUM($G$7:G35)</f>
        <v>33564</v>
      </c>
      <c r="J35" s="128">
        <f t="shared" si="5"/>
        <v>0.66288783994628009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30"/>
      <c r="E36" s="130"/>
      <c r="F36" s="131"/>
      <c r="G36" s="132"/>
      <c r="H36" s="133"/>
      <c r="I36" s="145"/>
      <c r="J36" s="135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45</v>
      </c>
      <c r="E37" s="120">
        <f t="shared" si="0"/>
        <v>6</v>
      </c>
      <c r="F37" s="106">
        <f t="shared" si="4"/>
        <v>32.659999999999997</v>
      </c>
      <c r="G37" s="107">
        <f>IF(D37=D36,"",_xlfn.IFNA(VLOOKUP(D37,'인원 입력 기능(사과탐)'!$A$5:$D$59,4,FALSE),0))</f>
        <v>1065</v>
      </c>
      <c r="H37" s="108">
        <f t="shared" si="1"/>
        <v>2.1033713191001915E-2</v>
      </c>
      <c r="I37" s="118">
        <f>SUM($G$7:G37)</f>
        <v>34629</v>
      </c>
      <c r="J37" s="110">
        <f t="shared" si="5"/>
        <v>0.68392155313728198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44</v>
      </c>
      <c r="E38" s="120">
        <f t="shared" si="0"/>
        <v>6</v>
      </c>
      <c r="F38" s="106">
        <f t="shared" si="4"/>
        <v>30.64</v>
      </c>
      <c r="G38" s="107">
        <f>IF(D38=D37,"",_xlfn.IFNA(VLOOKUP(D38,'인원 입력 기능(사과탐)'!$A$5:$D$59,4,FALSE),0))</f>
        <v>978</v>
      </c>
      <c r="H38" s="108">
        <f t="shared" si="1"/>
        <v>1.9315466197934155E-2</v>
      </c>
      <c r="I38" s="118">
        <f>SUM($G$7:G38)</f>
        <v>35607</v>
      </c>
      <c r="J38" s="110">
        <f t="shared" si="5"/>
        <v>0.70323701933521621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43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6">
        <f t="shared" si="4"/>
        <v>28.74</v>
      </c>
      <c r="G39" s="107">
        <f>IF(D39=D38,"",_xlfn.IFNA(VLOOKUP(D39,'인원 입력 기능(사과탐)'!$A$5:$D$59,4,FALSE),0))</f>
        <v>948</v>
      </c>
      <c r="H39" s="108">
        <f t="shared" si="1"/>
        <v>1.872296723480734E-2</v>
      </c>
      <c r="I39" s="118">
        <f>SUM($G$7:G39)</f>
        <v>36555</v>
      </c>
      <c r="J39" s="110">
        <f t="shared" si="5"/>
        <v>0.72195998657002347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42</v>
      </c>
      <c r="E40" s="120">
        <f t="shared" si="6"/>
        <v>6</v>
      </c>
      <c r="F40" s="106">
        <f t="shared" si="4"/>
        <v>26.81</v>
      </c>
      <c r="G40" s="107">
        <f>IF(D40=D39,"",_xlfn.IFNA(VLOOKUP(D40,'인원 입력 기능(사과탐)'!$A$5:$D$59,4,FALSE),0))</f>
        <v>1008</v>
      </c>
      <c r="H40" s="108">
        <f t="shared" si="1"/>
        <v>1.990796516106097E-2</v>
      </c>
      <c r="I40" s="118">
        <f>SUM($G$7:G40)</f>
        <v>37563</v>
      </c>
      <c r="J40" s="110">
        <f t="shared" si="5"/>
        <v>0.74186795173108444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41</v>
      </c>
      <c r="E41" s="120">
        <f t="shared" si="6"/>
        <v>6</v>
      </c>
      <c r="F41" s="106">
        <f t="shared" si="4"/>
        <v>24.93</v>
      </c>
      <c r="G41" s="107">
        <f>IF(D41=D40,"",_xlfn.IFNA(VLOOKUP(D41,'인원 입력 기능(사과탐)'!$A$5:$D$59,4,FALSE),0))</f>
        <v>892</v>
      </c>
      <c r="H41" s="108">
        <f t="shared" si="1"/>
        <v>1.7616969170303951E-2</v>
      </c>
      <c r="I41" s="118">
        <f>SUM($G$7:G41)</f>
        <v>38455</v>
      </c>
      <c r="J41" s="110">
        <f t="shared" si="5"/>
        <v>0.75948492090138842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40</v>
      </c>
      <c r="E42" s="120">
        <f t="shared" si="6"/>
        <v>6</v>
      </c>
      <c r="F42" s="106">
        <f t="shared" si="4"/>
        <v>20.89</v>
      </c>
      <c r="G42" s="107">
        <f>IF(D42=D41,"",_xlfn.IFNA(VLOOKUP(D42,'인원 입력 기능(사과탐)'!$A$5:$D$59,4,FALSE),0))</f>
        <v>3204</v>
      </c>
      <c r="H42" s="108">
        <f t="shared" si="1"/>
        <v>6.3278889261943791E-2</v>
      </c>
      <c r="I42" s="118">
        <f>SUM($G$7:G42)</f>
        <v>41659</v>
      </c>
      <c r="J42" s="110">
        <f t="shared" si="5"/>
        <v>0.82276381016333222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39</v>
      </c>
      <c r="E43" s="120">
        <f t="shared" si="6"/>
        <v>7</v>
      </c>
      <c r="F43" s="106">
        <f t="shared" si="4"/>
        <v>16.95</v>
      </c>
      <c r="G43" s="107">
        <f>IF(D43=D42,"",_xlfn.IFNA(VLOOKUP(D43,'인원 입력 기능(사과탐)'!$A$5:$D$59,4,FALSE),0))</f>
        <v>784</v>
      </c>
      <c r="H43" s="108">
        <f t="shared" si="1"/>
        <v>1.548397290304742E-2</v>
      </c>
      <c r="I43" s="118">
        <f>SUM($G$7:G43)</f>
        <v>42443</v>
      </c>
      <c r="J43" s="110">
        <f t="shared" si="5"/>
        <v>0.83824778306637959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3">
        <f t="shared" si="3"/>
        <v>38</v>
      </c>
      <c r="E44" s="123">
        <f t="shared" si="6"/>
        <v>7</v>
      </c>
      <c r="F44" s="124">
        <f t="shared" si="4"/>
        <v>14.58</v>
      </c>
      <c r="G44" s="125">
        <f>IF(D44=D43,"",_xlfn.IFNA(VLOOKUP(D44,'인원 입력 기능(사과탐)'!$A$5:$D$59,4,FALSE),0))</f>
        <v>1620</v>
      </c>
      <c r="H44" s="126">
        <f t="shared" si="1"/>
        <v>3.1994944008847982E-2</v>
      </c>
      <c r="I44" s="144">
        <f>SUM($G$7:G44)</f>
        <v>44063</v>
      </c>
      <c r="J44" s="128">
        <f t="shared" si="5"/>
        <v>0.87024272707522765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30"/>
      <c r="E45" s="130"/>
      <c r="F45" s="131"/>
      <c r="G45" s="132"/>
      <c r="H45" s="133"/>
      <c r="I45" s="145"/>
      <c r="J45" s="135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37</v>
      </c>
      <c r="E46" s="120">
        <f t="shared" si="6"/>
        <v>7</v>
      </c>
      <c r="F46" s="106">
        <f t="shared" si="4"/>
        <v>12.27</v>
      </c>
      <c r="G46" s="107">
        <f>IF(D46=D45,"",_xlfn.IFNA(VLOOKUP(D46,'인원 입력 기능(사과탐)'!$A$5:$D$59,4,FALSE),0))</f>
        <v>717</v>
      </c>
      <c r="H46" s="108">
        <f t="shared" si="1"/>
        <v>1.4160725218730867E-2</v>
      </c>
      <c r="I46" s="118">
        <f>SUM($G$7:G46)</f>
        <v>44780</v>
      </c>
      <c r="J46" s="110">
        <f t="shared" si="5"/>
        <v>0.88440345229395845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36</v>
      </c>
      <c r="E47" s="120">
        <f t="shared" si="6"/>
        <v>7</v>
      </c>
      <c r="F47" s="106">
        <f t="shared" si="4"/>
        <v>10.84</v>
      </c>
      <c r="G47" s="107">
        <f>IF(D47=D46,"",_xlfn.IFNA(VLOOKUP(D47,'인원 입력 기능(사과탐)'!$A$5:$D$59,4,FALSE),0))</f>
        <v>733</v>
      </c>
      <c r="H47" s="108">
        <f t="shared" si="1"/>
        <v>1.4476724665731836E-2</v>
      </c>
      <c r="I47" s="118">
        <f>SUM($G$7:G47)</f>
        <v>45513</v>
      </c>
      <c r="J47" s="110">
        <f t="shared" si="5"/>
        <v>0.89888017695969036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35</v>
      </c>
      <c r="E48" s="120">
        <f t="shared" si="6"/>
        <v>8</v>
      </c>
      <c r="F48" s="106">
        <f t="shared" si="4"/>
        <v>7.74</v>
      </c>
      <c r="G48" s="107">
        <f>IF(D48=D47,"",_xlfn.IFNA(VLOOKUP(D48,'인원 입력 기능(사과탐)'!$A$5:$D$59,4,FALSE),0))</f>
        <v>2398</v>
      </c>
      <c r="H48" s="108">
        <f t="shared" si="1"/>
        <v>4.736041711927004E-2</v>
      </c>
      <c r="I48" s="118">
        <f>SUM($G$7:G48)</f>
        <v>47911</v>
      </c>
      <c r="J48" s="110">
        <f t="shared" si="5"/>
        <v>0.94624059407896033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34</v>
      </c>
      <c r="E49" s="120">
        <f t="shared" si="6"/>
        <v>8</v>
      </c>
      <c r="F49" s="106">
        <f t="shared" si="4"/>
        <v>4.5599999999999996</v>
      </c>
      <c r="G49" s="107">
        <f>IF(D49=D48,"",_xlfn.IFNA(VLOOKUP(D49,'인원 입력 기능(사과탐)'!$A$5:$D$59,4,FALSE),0))</f>
        <v>825</v>
      </c>
      <c r="H49" s="108">
        <f t="shared" si="1"/>
        <v>1.62937214859874E-2</v>
      </c>
      <c r="I49" s="118">
        <f>SUM($G$7:G49)</f>
        <v>48736</v>
      </c>
      <c r="J49" s="110">
        <f t="shared" si="5"/>
        <v>0.96253431556494773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33</v>
      </c>
      <c r="E50" s="120">
        <f t="shared" si="6"/>
        <v>9</v>
      </c>
      <c r="F50" s="106">
        <f t="shared" si="4"/>
        <v>3.16</v>
      </c>
      <c r="G50" s="107">
        <f>IF(D50=D49,"",_xlfn.IFNA(VLOOKUP(D50,'인원 입력 기능(사과탐)'!$A$5:$D$59,4,FALSE),0))</f>
        <v>597</v>
      </c>
      <c r="H50" s="108">
        <f t="shared" si="1"/>
        <v>1.1790729366223609E-2</v>
      </c>
      <c r="I50" s="118">
        <f>SUM($G$7:G50)</f>
        <v>49333</v>
      </c>
      <c r="J50" s="110">
        <f t="shared" si="5"/>
        <v>0.97432504493117134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32</v>
      </c>
      <c r="E51" s="120">
        <f t="shared" si="6"/>
        <v>9</v>
      </c>
      <c r="F51" s="106">
        <f t="shared" si="4"/>
        <v>2.19</v>
      </c>
      <c r="G51" s="107">
        <f>IF(D51=D50,"",_xlfn.IFNA(VLOOKUP(D51,'인원 입력 기능(사과탐)'!$A$5:$D$59,4,FALSE),0))</f>
        <v>381</v>
      </c>
      <c r="H51" s="108">
        <f t="shared" si="1"/>
        <v>7.5247368317105448E-3</v>
      </c>
      <c r="I51" s="118">
        <f>SUM($G$7:G51)</f>
        <v>49714</v>
      </c>
      <c r="J51" s="110">
        <f t="shared" si="5"/>
        <v>0.98184978176288196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3">
        <f t="shared" si="3"/>
        <v>31</v>
      </c>
      <c r="E52" s="123">
        <f t="shared" si="6"/>
        <v>9</v>
      </c>
      <c r="F52" s="124">
        <f t="shared" si="4"/>
        <v>1.25</v>
      </c>
      <c r="G52" s="125">
        <f>IF(D52=D51,"",_xlfn.IFNA(VLOOKUP(D52,'인원 입력 기능(사과탐)'!$A$5:$D$59,4,FALSE),0))</f>
        <v>572</v>
      </c>
      <c r="H52" s="126">
        <f t="shared" si="1"/>
        <v>1.1296980230284597E-2</v>
      </c>
      <c r="I52" s="144">
        <f>SUM($G$7:G52)</f>
        <v>50286</v>
      </c>
      <c r="J52" s="128">
        <f t="shared" si="5"/>
        <v>0.99314676199316654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30"/>
      <c r="E53" s="130"/>
      <c r="F53" s="131"/>
      <c r="G53" s="132"/>
      <c r="H53" s="133"/>
      <c r="I53" s="145"/>
      <c r="J53" s="135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30</v>
      </c>
      <c r="E54" s="105">
        <f t="shared" si="6"/>
        <v>9</v>
      </c>
      <c r="F54" s="106">
        <f t="shared" si="4"/>
        <v>0.57999999999999996</v>
      </c>
      <c r="G54" s="107">
        <f>IF(D54=D53,"",_xlfn.IFNA(VLOOKUP(D54,'인원 입력 기능(사과탐)'!$A$5:$D$59,4,FALSE),0))</f>
        <v>111</v>
      </c>
      <c r="H54" s="108">
        <f t="shared" si="1"/>
        <v>2.1922461635692139E-3</v>
      </c>
      <c r="I54" s="118">
        <f>SUM($G$7:G54)</f>
        <v>50397</v>
      </c>
      <c r="J54" s="110">
        <f t="shared" si="5"/>
        <v>0.99533900815673571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29</v>
      </c>
      <c r="E55" s="105">
        <f t="shared" si="6"/>
        <v>9</v>
      </c>
      <c r="F55" s="106">
        <f t="shared" si="4"/>
        <v>0.28999999999999998</v>
      </c>
      <c r="G55" s="107">
        <f>IF(D55=D54,"",_xlfn.IFNA(VLOOKUP(D55,'인원 입력 기능(사과탐)'!$A$5:$D$59,4,FALSE),0))</f>
        <v>183</v>
      </c>
      <c r="H55" s="108">
        <f t="shared" si="1"/>
        <v>3.6142436750735687E-3</v>
      </c>
      <c r="I55" s="118">
        <f>SUM($G$7:G55)</f>
        <v>50580</v>
      </c>
      <c r="J55" s="110">
        <f t="shared" si="5"/>
        <v>0.99895325183180927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27</v>
      </c>
      <c r="E57" s="176">
        <f t="shared" si="6"/>
        <v>9</v>
      </c>
      <c r="F57" s="139">
        <f>IF(I55=0,ROUND(100*(1-(I54+I57)/2/$J$3),2),ROUND(100*(1-(I55+I57)/2/$J$3),2))</f>
        <v>0.05</v>
      </c>
      <c r="G57" s="177">
        <f>_xlfn.IFNA(VLOOKUP(D57,'인원 입력 기능(사과탐)'!$A$5:$D$59,4,FALSE),0)</f>
        <v>53</v>
      </c>
      <c r="H57" s="141">
        <f>G57/$J$3</f>
        <v>1.0467481681907056E-3</v>
      </c>
      <c r="I57" s="142">
        <f>SUM($G$7:G57)</f>
        <v>50633</v>
      </c>
      <c r="J57" s="178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4">
    <mergeCell ref="D3:F3"/>
    <mergeCell ref="D4:F4"/>
    <mergeCell ref="D9:D10"/>
    <mergeCell ref="E9:E10"/>
    <mergeCell ref="F9:F10"/>
    <mergeCell ref="G9:G10"/>
    <mergeCell ref="H9:H10"/>
    <mergeCell ref="I9:I10"/>
    <mergeCell ref="J9:J10"/>
    <mergeCell ref="D18:D19"/>
    <mergeCell ref="E18:E19"/>
    <mergeCell ref="F18:F19"/>
    <mergeCell ref="G18:G19"/>
    <mergeCell ref="H18:H19"/>
    <mergeCell ref="I18:I19"/>
    <mergeCell ref="J18:J19"/>
    <mergeCell ref="I27:I28"/>
    <mergeCell ref="J27:J28"/>
    <mergeCell ref="D35:D36"/>
    <mergeCell ref="E35:E36"/>
    <mergeCell ref="F35:F36"/>
    <mergeCell ref="G35:G36"/>
    <mergeCell ref="H35:H36"/>
    <mergeCell ref="I35:I36"/>
    <mergeCell ref="J35:J36"/>
    <mergeCell ref="D27:D28"/>
    <mergeCell ref="E27:E28"/>
    <mergeCell ref="F27:F28"/>
    <mergeCell ref="G27:G28"/>
    <mergeCell ref="H27:H28"/>
    <mergeCell ref="I44:I45"/>
    <mergeCell ref="J44:J45"/>
    <mergeCell ref="D52:D53"/>
    <mergeCell ref="E52:E53"/>
    <mergeCell ref="F52:F53"/>
    <mergeCell ref="G52:G53"/>
    <mergeCell ref="H52:H53"/>
    <mergeCell ref="I52:I53"/>
    <mergeCell ref="J52:J53"/>
    <mergeCell ref="D44:D45"/>
    <mergeCell ref="E44:E45"/>
    <mergeCell ref="F44:F45"/>
    <mergeCell ref="G44:G45"/>
    <mergeCell ref="H44:H45"/>
  </mergeCells>
  <phoneticPr fontId="1" type="noConversion"/>
  <conditionalFormatting sqref="D7:J9 D11:J18 D20:J27 D29:J35 D37:J44 D46:J52 D54:J57">
    <cfRule type="expression" dxfId="50" priority="3">
      <formula>OR($D7=$Q$7:$Q$14)</formula>
    </cfRule>
  </conditionalFormatting>
  <conditionalFormatting sqref="C7:C57">
    <cfRule type="expression" dxfId="49" priority="2">
      <formula>OR(AND($D7=0,OR($D6=$Q$7:$Q$14)),AND($D8&gt;0,OR($D7=$Q$7:$Q$14)))</formula>
    </cfRule>
  </conditionalFormatting>
  <conditionalFormatting sqref="D7:D9 D11:D18 D20:D27 D29:D35 D37:D44 D46:D52 D54:D57">
    <cfRule type="expression" dxfId="48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topLeftCell="A11"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기능'!D9</f>
        <v>20.95</v>
      </c>
      <c r="I3" s="21" t="s">
        <v>107</v>
      </c>
      <c r="J3" s="93">
        <f>'통계 및 응시자 수 입력 기능'!C9</f>
        <v>27743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140</v>
      </c>
      <c r="E4" s="96"/>
      <c r="F4" s="97"/>
      <c r="G4" s="98" t="s">
        <v>110</v>
      </c>
      <c r="H4" s="99" t="str">
        <f>'통계 및 응시자 수 입력 기능'!E9</f>
        <v>10.87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77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99.74</v>
      </c>
      <c r="G7" s="107">
        <f>_xlfn.IFNA(VLOOKUP(D7,'인원 입력 기능(사과탐)'!$F$5:$I$59,4,FALSE),0)</f>
        <v>144</v>
      </c>
      <c r="H7" s="108">
        <f>G7/$J$3</f>
        <v>5.1904985041271671E-3</v>
      </c>
      <c r="I7" s="109">
        <f>G7</f>
        <v>144</v>
      </c>
      <c r="J7" s="110">
        <f>I7/$J$3</f>
        <v>5.1904985041271671E-3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69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75</v>
      </c>
      <c r="E9" s="105">
        <f t="shared" si="0"/>
        <v>1</v>
      </c>
      <c r="F9" s="106">
        <f>IF(I8=0,ROUND(100*(1-(I7+I9)/2/$J$3),2),ROUND(100*(1-(I8+I9)/2/$J$3),2))</f>
        <v>99.22</v>
      </c>
      <c r="G9" s="107">
        <f>_xlfn.IFNA(VLOOKUP(D9,'인원 입력 기능(사과탐)'!$F$5:$I$59,4,FALSE),0)</f>
        <v>143</v>
      </c>
      <c r="H9" s="108">
        <f t="shared" ref="H9:H54" si="1">G9/$J$3</f>
        <v>5.1544533756262842E-3</v>
      </c>
      <c r="I9" s="118">
        <f>SUM($G$7:G9)</f>
        <v>287</v>
      </c>
      <c r="J9" s="110">
        <f>I9/$J$3</f>
        <v>1.0344951879753452E-2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58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4" si="3">ROUND(10*(C10-$H$3)/$H$4+50,0)</f>
        <v>74</v>
      </c>
      <c r="E10" s="105">
        <f t="shared" si="0"/>
        <v>1</v>
      </c>
      <c r="F10" s="106">
        <f t="shared" ref="F10:F54" si="4">IF(I9=0,ROUND(100*(1-(I8+I10)/2/$J$3),2),ROUND(100*(1-(I9+I10)/2/$J$3),2))</f>
        <v>98.76</v>
      </c>
      <c r="G10" s="107">
        <f>IF(D10=D9,"",_xlfn.IFNA(VLOOKUP(D10,'인원 입력 기능(사과탐)'!$F$5:$I$59,4,FALSE),0))</f>
        <v>114</v>
      </c>
      <c r="H10" s="108">
        <f t="shared" si="1"/>
        <v>4.1091446491006737E-3</v>
      </c>
      <c r="I10" s="118">
        <f>SUM($G$7:G10)</f>
        <v>401</v>
      </c>
      <c r="J10" s="110">
        <f t="shared" ref="J10:J54" si="5">I10/$J$3</f>
        <v>1.4454096528854125E-2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52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73</v>
      </c>
      <c r="E11" s="105">
        <f t="shared" si="0"/>
        <v>1</v>
      </c>
      <c r="F11" s="106">
        <f t="shared" si="4"/>
        <v>98.36</v>
      </c>
      <c r="G11" s="107">
        <f>IF(D11=D10,"",_xlfn.IFNA(VLOOKUP(D11,'인원 입력 기능(사과탐)'!$F$5:$I$59,4,FALSE),0))</f>
        <v>109</v>
      </c>
      <c r="H11" s="108">
        <f t="shared" si="1"/>
        <v>3.9289190065962586E-3</v>
      </c>
      <c r="I11" s="118">
        <f>SUM($G$7:G11)</f>
        <v>510</v>
      </c>
      <c r="J11" s="110">
        <f t="shared" si="5"/>
        <v>1.8383015535450384E-2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72</v>
      </c>
      <c r="E12" s="105">
        <f t="shared" si="0"/>
        <v>1</v>
      </c>
      <c r="F12" s="106">
        <f t="shared" si="4"/>
        <v>97.82</v>
      </c>
      <c r="G12" s="107">
        <f>IF(D12=D11,"",_xlfn.IFNA(VLOOKUP(D12,'인원 입력 기능(사과탐)'!$F$5:$I$59,4,FALSE),0))</f>
        <v>191</v>
      </c>
      <c r="H12" s="108">
        <f t="shared" si="1"/>
        <v>6.8846195436686733E-3</v>
      </c>
      <c r="I12" s="118">
        <f>SUM($G$7:G12)</f>
        <v>701</v>
      </c>
      <c r="J12" s="110">
        <f t="shared" si="5"/>
        <v>2.5267635079119059E-2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41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71</v>
      </c>
      <c r="E13" s="105">
        <f t="shared" si="0"/>
        <v>1</v>
      </c>
      <c r="F13" s="106">
        <f t="shared" si="4"/>
        <v>97.25</v>
      </c>
      <c r="G13" s="107">
        <f>IF(D13=D12,"",_xlfn.IFNA(VLOOKUP(D13,'인원 입력 기능(사과탐)'!$F$5:$I$59,4,FALSE),0))</f>
        <v>123</v>
      </c>
      <c r="H13" s="108">
        <f t="shared" si="1"/>
        <v>4.433550805608622E-3</v>
      </c>
      <c r="I13" s="118">
        <f>SUM($G$7:G13)</f>
        <v>824</v>
      </c>
      <c r="J13" s="110">
        <f t="shared" si="5"/>
        <v>2.9701185884727678E-2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38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70</v>
      </c>
      <c r="E14" s="105">
        <f t="shared" si="0"/>
        <v>1</v>
      </c>
      <c r="F14" s="106">
        <f t="shared" si="4"/>
        <v>96.56</v>
      </c>
      <c r="G14" s="107">
        <f>IF(D14=D13,"",_xlfn.IFNA(VLOOKUP(D14,'인원 입력 기능(사과탐)'!$F$5:$I$59,4,FALSE),0))</f>
        <v>259</v>
      </c>
      <c r="H14" s="108">
        <f t="shared" si="1"/>
        <v>9.3356882817287237E-3</v>
      </c>
      <c r="I14" s="118">
        <f>SUM($G$7:G14)</f>
        <v>1083</v>
      </c>
      <c r="J14" s="110">
        <f t="shared" si="5"/>
        <v>3.9036874166456403E-2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36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69</v>
      </c>
      <c r="E15" s="105">
        <f t="shared" si="0"/>
        <v>1</v>
      </c>
      <c r="F15" s="106">
        <f t="shared" si="4"/>
        <v>95.71</v>
      </c>
      <c r="G15" s="107">
        <f>IF(D15=D14,"",_xlfn.IFNA(VLOOKUP(D15,'인원 입력 기능(사과탐)'!$F$5:$I$59,4,FALSE),0))</f>
        <v>215</v>
      </c>
      <c r="H15" s="108">
        <f t="shared" si="1"/>
        <v>7.7497026276898678E-3</v>
      </c>
      <c r="I15" s="118">
        <f>SUM($G$7:G15)</f>
        <v>1298</v>
      </c>
      <c r="J15" s="110">
        <f t="shared" si="5"/>
        <v>4.6786576794146273E-2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22">
        <f t="shared" si="3"/>
        <v>68</v>
      </c>
      <c r="E16" s="122">
        <f t="shared" si="0"/>
        <v>2</v>
      </c>
      <c r="F16" s="124">
        <f t="shared" si="4"/>
        <v>94.34</v>
      </c>
      <c r="G16" s="125">
        <f>IF(D16=D15,"",_xlfn.IFNA(VLOOKUP(D16,'인원 입력 기능(사과탐)'!$F$5:$I$59,4,FALSE),0))</f>
        <v>545</v>
      </c>
      <c r="H16" s="126">
        <f t="shared" si="1"/>
        <v>1.9644595032981292E-2</v>
      </c>
      <c r="I16" s="144">
        <f>SUM($G$7:G16)</f>
        <v>1843</v>
      </c>
      <c r="J16" s="128">
        <f t="shared" si="5"/>
        <v>6.6431171827127558E-2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29"/>
      <c r="E17" s="129"/>
      <c r="F17" s="131"/>
      <c r="G17" s="132"/>
      <c r="H17" s="133"/>
      <c r="I17" s="145"/>
      <c r="J17" s="135"/>
      <c r="K17" s="36"/>
      <c r="L17" s="20" t="str">
        <f t="shared" si="2"/>
        <v>경고</v>
      </c>
      <c r="N17" s="24"/>
      <c r="Q17" s="24">
        <f>Q7*H3*H4*J3*IFERROR(IF(J57=1, 1, 0), 0)</f>
        <v>435929323.97549999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67</v>
      </c>
      <c r="E18" s="105">
        <f t="shared" si="0"/>
        <v>2</v>
      </c>
      <c r="F18" s="106">
        <f t="shared" si="4"/>
        <v>92.85</v>
      </c>
      <c r="G18" s="107">
        <f>IF(D18=D17,"",_xlfn.IFNA(VLOOKUP(D18,'인원 입력 기능(사과탐)'!$F$5:$I$59,4,FALSE),0))</f>
        <v>281</v>
      </c>
      <c r="H18" s="108">
        <f t="shared" si="1"/>
        <v>1.0128681108748153E-2</v>
      </c>
      <c r="I18" s="118">
        <f>SUM($G$7:G18)</f>
        <v>2124</v>
      </c>
      <c r="J18" s="110">
        <f t="shared" si="5"/>
        <v>7.6559852935875722E-2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66</v>
      </c>
      <c r="E19" s="105">
        <f t="shared" si="0"/>
        <v>2</v>
      </c>
      <c r="F19" s="106">
        <f t="shared" si="4"/>
        <v>91.7</v>
      </c>
      <c r="G19" s="107">
        <f>IF(D19=D18,"",_xlfn.IFNA(VLOOKUP(D19,'인원 입력 기능(사과탐)'!$F$5:$I$59,4,FALSE),0))</f>
        <v>359</v>
      </c>
      <c r="H19" s="108">
        <f t="shared" si="1"/>
        <v>1.2940201131817035E-2</v>
      </c>
      <c r="I19" s="118">
        <f>SUM($G$7:G19)</f>
        <v>2483</v>
      </c>
      <c r="J19" s="110">
        <f t="shared" si="5"/>
        <v>8.950005406769275E-2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65</v>
      </c>
      <c r="E20" s="105">
        <f t="shared" si="0"/>
        <v>2</v>
      </c>
      <c r="F20" s="106">
        <f t="shared" si="4"/>
        <v>90.42</v>
      </c>
      <c r="G20" s="107">
        <f>IF(D20=D19,"",_xlfn.IFNA(VLOOKUP(D20,'인원 입력 기능(사과탐)'!$F$5:$I$59,4,FALSE),0))</f>
        <v>352</v>
      </c>
      <c r="H20" s="108">
        <f t="shared" si="1"/>
        <v>1.2687885232310854E-2</v>
      </c>
      <c r="I20" s="118">
        <f>SUM($G$7:G20)</f>
        <v>2835</v>
      </c>
      <c r="J20" s="110">
        <f t="shared" si="5"/>
        <v>0.10218793930000361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64</v>
      </c>
      <c r="E21" s="120">
        <f t="shared" si="0"/>
        <v>2</v>
      </c>
      <c r="F21" s="106">
        <f t="shared" si="4"/>
        <v>89.15</v>
      </c>
      <c r="G21" s="107">
        <f>IF(D21=D20,"",_xlfn.IFNA(VLOOKUP(D21,'인원 입력 기능(사과탐)'!$F$5:$I$59,4,FALSE),0))</f>
        <v>348</v>
      </c>
      <c r="H21" s="108">
        <f t="shared" si="1"/>
        <v>1.2543704718307321E-2</v>
      </c>
      <c r="I21" s="118">
        <f>SUM($G$7:G21)</f>
        <v>3183</v>
      </c>
      <c r="J21" s="110">
        <f t="shared" si="5"/>
        <v>0.11473164401831093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63</v>
      </c>
      <c r="E22" s="120">
        <f t="shared" si="0"/>
        <v>3</v>
      </c>
      <c r="F22" s="106">
        <f t="shared" si="4"/>
        <v>87.69</v>
      </c>
      <c r="G22" s="107">
        <f>IF(D22=D21,"",_xlfn.IFNA(VLOOKUP(D22,'인원 입력 기능(사과탐)'!$F$5:$I$59,4,FALSE),0))</f>
        <v>464</v>
      </c>
      <c r="H22" s="108">
        <f t="shared" si="1"/>
        <v>1.6724939624409761E-2</v>
      </c>
      <c r="I22" s="118">
        <f>SUM($G$7:G22)</f>
        <v>3647</v>
      </c>
      <c r="J22" s="110">
        <f t="shared" si="5"/>
        <v>0.1314565836427207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62</v>
      </c>
      <c r="E23" s="120">
        <f t="shared" si="0"/>
        <v>3</v>
      </c>
      <c r="F23" s="106">
        <f t="shared" si="4"/>
        <v>86.09</v>
      </c>
      <c r="G23" s="107">
        <f>IF(D23=D22,"",_xlfn.IFNA(VLOOKUP(D23,'인원 입력 기능(사과탐)'!$F$5:$I$59,4,FALSE),0))</f>
        <v>425</v>
      </c>
      <c r="H23" s="108">
        <f t="shared" si="1"/>
        <v>1.531917961287532E-2</v>
      </c>
      <c r="I23" s="118">
        <f>SUM($G$7:G23)</f>
        <v>4072</v>
      </c>
      <c r="J23" s="110">
        <f t="shared" si="5"/>
        <v>0.14677576325559599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61</v>
      </c>
      <c r="E24" s="120">
        <f t="shared" si="0"/>
        <v>3</v>
      </c>
      <c r="F24" s="106">
        <f t="shared" si="4"/>
        <v>84.41</v>
      </c>
      <c r="G24" s="107">
        <f>IF(D24=D23,"",_xlfn.IFNA(VLOOKUP(D24,'인원 입력 기능(사과탐)'!$F$5:$I$59,4,FALSE),0))</f>
        <v>504</v>
      </c>
      <c r="H24" s="108">
        <f t="shared" si="1"/>
        <v>1.8166744764445086E-2</v>
      </c>
      <c r="I24" s="118">
        <f>SUM($G$7:G24)</f>
        <v>4576</v>
      </c>
      <c r="J24" s="110">
        <f t="shared" si="5"/>
        <v>0.1649425080200411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60</v>
      </c>
      <c r="E25" s="120">
        <f t="shared" si="0"/>
        <v>3</v>
      </c>
      <c r="F25" s="106">
        <f t="shared" si="4"/>
        <v>82.48</v>
      </c>
      <c r="G25" s="107">
        <f>IF(D25=D24,"",_xlfn.IFNA(VLOOKUP(D25,'인원 입력 기능(사과탐)'!$F$5:$I$59,4,FALSE),0))</f>
        <v>567</v>
      </c>
      <c r="H25" s="108">
        <f t="shared" si="1"/>
        <v>2.043758786000072E-2</v>
      </c>
      <c r="I25" s="118">
        <f>SUM($G$7:G25)</f>
        <v>5143</v>
      </c>
      <c r="J25" s="110">
        <f t="shared" si="5"/>
        <v>0.18538009588004181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59</v>
      </c>
      <c r="E26" s="120">
        <f t="shared" si="0"/>
        <v>3</v>
      </c>
      <c r="F26" s="106">
        <f t="shared" si="4"/>
        <v>80.36</v>
      </c>
      <c r="G26" s="107">
        <f>IF(D26=D25,"",_xlfn.IFNA(VLOOKUP(D26,'인원 입력 기능(사과탐)'!$F$5:$I$59,4,FALSE),0))</f>
        <v>610</v>
      </c>
      <c r="H26" s="108">
        <f t="shared" si="1"/>
        <v>2.1987528385538694E-2</v>
      </c>
      <c r="I26" s="118">
        <f>SUM($G$7:G26)</f>
        <v>5753</v>
      </c>
      <c r="J26" s="110">
        <f t="shared" si="5"/>
        <v>0.2073676242655805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58</v>
      </c>
      <c r="E27" s="120">
        <f t="shared" si="0"/>
        <v>3</v>
      </c>
      <c r="F27" s="106">
        <f t="shared" si="4"/>
        <v>78.05</v>
      </c>
      <c r="G27" s="107">
        <f>IF(D27=D26,"",_xlfn.IFNA(VLOOKUP(D27,'인원 입력 기능(사과탐)'!$F$5:$I$59,4,FALSE),0))</f>
        <v>674</v>
      </c>
      <c r="H27" s="108">
        <f t="shared" si="1"/>
        <v>2.4294416609595214E-2</v>
      </c>
      <c r="I27" s="118">
        <f>SUM($G$7:G27)</f>
        <v>6427</v>
      </c>
      <c r="J27" s="110">
        <f t="shared" si="5"/>
        <v>0.23166204087517572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57</v>
      </c>
      <c r="E28" s="120">
        <f t="shared" si="0"/>
        <v>4</v>
      </c>
      <c r="F28" s="106">
        <f t="shared" si="4"/>
        <v>75.760000000000005</v>
      </c>
      <c r="G28" s="107">
        <f>IF(D28=D27,"",_xlfn.IFNA(VLOOKUP(D28,'인원 입력 기능(사과탐)'!$F$5:$I$59,4,FALSE),0))</f>
        <v>595</v>
      </c>
      <c r="H28" s="108">
        <f t="shared" si="1"/>
        <v>2.1446851458025447E-2</v>
      </c>
      <c r="I28" s="118">
        <f>SUM($G$7:G28)</f>
        <v>7022</v>
      </c>
      <c r="J28" s="110">
        <f t="shared" si="5"/>
        <v>0.25310889233320116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3">
        <f t="shared" si="3"/>
        <v>56</v>
      </c>
      <c r="E29" s="123">
        <f t="shared" si="0"/>
        <v>4</v>
      </c>
      <c r="F29" s="124">
        <f t="shared" si="4"/>
        <v>72.099999999999994</v>
      </c>
      <c r="G29" s="125">
        <f>IF(D29=D28,"",_xlfn.IFNA(VLOOKUP(D29,'인원 입력 기능(사과탐)'!$F$5:$I$59,4,FALSE),0))</f>
        <v>1438</v>
      </c>
      <c r="H29" s="126">
        <f t="shared" si="1"/>
        <v>5.1832894784269903E-2</v>
      </c>
      <c r="I29" s="144">
        <f>SUM($G$7:G29)</f>
        <v>8460</v>
      </c>
      <c r="J29" s="128">
        <f t="shared" si="5"/>
        <v>0.30494178711747105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30"/>
      <c r="E30" s="130"/>
      <c r="F30" s="131"/>
      <c r="G30" s="132"/>
      <c r="H30" s="133"/>
      <c r="I30" s="145"/>
      <c r="J30" s="135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55</v>
      </c>
      <c r="E31" s="120">
        <f t="shared" si="0"/>
        <v>4</v>
      </c>
      <c r="F31" s="106">
        <f t="shared" si="4"/>
        <v>68.3</v>
      </c>
      <c r="G31" s="107">
        <f>IF(D31=D30,"",_xlfn.IFNA(VLOOKUP(D31,'인원 입력 기능(사과탐)'!$F$5:$I$59,4,FALSE),0))</f>
        <v>667</v>
      </c>
      <c r="H31" s="108">
        <f t="shared" si="1"/>
        <v>2.4042100710089033E-2</v>
      </c>
      <c r="I31" s="118">
        <f>SUM($G$7:G31)</f>
        <v>9127</v>
      </c>
      <c r="J31" s="110">
        <f t="shared" si="5"/>
        <v>0.32898388782756011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54</v>
      </c>
      <c r="E32" s="120">
        <f t="shared" si="0"/>
        <v>4</v>
      </c>
      <c r="F32" s="106">
        <f t="shared" si="4"/>
        <v>65.77</v>
      </c>
      <c r="G32" s="107">
        <f>IF(D32=D31,"",_xlfn.IFNA(VLOOKUP(D32,'인원 입력 기능(사과탐)'!$F$5:$I$59,4,FALSE),0))</f>
        <v>740</v>
      </c>
      <c r="H32" s="108">
        <f t="shared" si="1"/>
        <v>2.6673395090653498E-2</v>
      </c>
      <c r="I32" s="118">
        <f>SUM($G$7:G32)</f>
        <v>9867</v>
      </c>
      <c r="J32" s="110">
        <f t="shared" si="5"/>
        <v>0.35565728291821358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53</v>
      </c>
      <c r="E33" s="120">
        <f t="shared" si="0"/>
        <v>4</v>
      </c>
      <c r="F33" s="106">
        <f t="shared" si="4"/>
        <v>63.07</v>
      </c>
      <c r="G33" s="107">
        <f>IF(D33=D32,"",_xlfn.IFNA(VLOOKUP(D33,'인원 입력 기능(사과탐)'!$F$5:$I$59,4,FALSE),0))</f>
        <v>758</v>
      </c>
      <c r="H33" s="108">
        <f t="shared" si="1"/>
        <v>2.7322207403669394E-2</v>
      </c>
      <c r="I33" s="118">
        <f>SUM($G$7:G33)</f>
        <v>10625</v>
      </c>
      <c r="J33" s="110">
        <f t="shared" si="5"/>
        <v>0.382979490321883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52</v>
      </c>
      <c r="E34" s="120">
        <f t="shared" si="0"/>
        <v>4</v>
      </c>
      <c r="F34" s="106">
        <f t="shared" si="4"/>
        <v>60.3</v>
      </c>
      <c r="G34" s="107">
        <f>IF(D34=D33,"",_xlfn.IFNA(VLOOKUP(D34,'인원 입력 기능(사과탐)'!$F$5:$I$59,4,FALSE),0))</f>
        <v>778</v>
      </c>
      <c r="H34" s="108">
        <f t="shared" si="1"/>
        <v>2.8043109973687055E-2</v>
      </c>
      <c r="I34" s="118">
        <f>SUM($G$7:G34)</f>
        <v>11403</v>
      </c>
      <c r="J34" s="110">
        <f t="shared" si="5"/>
        <v>0.41102260029557003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51</v>
      </c>
      <c r="E35" s="120">
        <f t="shared" si="0"/>
        <v>5</v>
      </c>
      <c r="F35" s="106">
        <f t="shared" si="4"/>
        <v>57.5</v>
      </c>
      <c r="G35" s="107">
        <f>IF(D35=D34,"",_xlfn.IFNA(VLOOKUP(D35,'인원 입력 기능(사과탐)'!$F$5:$I$59,4,FALSE),0))</f>
        <v>775</v>
      </c>
      <c r="H35" s="108">
        <f t="shared" si="1"/>
        <v>2.7934974588184405E-2</v>
      </c>
      <c r="I35" s="118">
        <f>SUM($G$7:G35)</f>
        <v>12178</v>
      </c>
      <c r="J35" s="110">
        <f t="shared" si="5"/>
        <v>0.43895757488375448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50</v>
      </c>
      <c r="E36" s="120">
        <f t="shared" si="0"/>
        <v>5</v>
      </c>
      <c r="F36" s="106">
        <f t="shared" si="4"/>
        <v>54.78</v>
      </c>
      <c r="G36" s="107">
        <f>IF(D36=D35,"",_xlfn.IFNA(VLOOKUP(D36,'인원 입력 기능(사과탐)'!$F$5:$I$59,4,FALSE),0))</f>
        <v>737</v>
      </c>
      <c r="H36" s="108">
        <f t="shared" si="1"/>
        <v>2.6565259705150848E-2</v>
      </c>
      <c r="I36" s="118">
        <f>SUM($G$7:G36)</f>
        <v>12915</v>
      </c>
      <c r="J36" s="110">
        <f t="shared" si="5"/>
        <v>0.46552283458890531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49</v>
      </c>
      <c r="E37" s="120">
        <f t="shared" si="0"/>
        <v>5</v>
      </c>
      <c r="F37" s="106">
        <f t="shared" si="4"/>
        <v>51.89</v>
      </c>
      <c r="G37" s="107">
        <f>IF(D37=D36,"",_xlfn.IFNA(VLOOKUP(D37,'인원 입력 기능(사과탐)'!$F$5:$I$59,4,FALSE),0))</f>
        <v>862</v>
      </c>
      <c r="H37" s="108">
        <f t="shared" si="1"/>
        <v>3.1070900767761239E-2</v>
      </c>
      <c r="I37" s="118">
        <f>SUM($G$7:G37)</f>
        <v>13777</v>
      </c>
      <c r="J37" s="110">
        <f t="shared" si="5"/>
        <v>0.49659373535666657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48</v>
      </c>
      <c r="E38" s="120">
        <f t="shared" si="0"/>
        <v>5</v>
      </c>
      <c r="F38" s="106">
        <f t="shared" si="4"/>
        <v>48.88</v>
      </c>
      <c r="G38" s="107">
        <f>IF(D38=D37,"",_xlfn.IFNA(VLOOKUP(D38,'인원 입력 기능(사과탐)'!$F$5:$I$59,4,FALSE),0))</f>
        <v>813</v>
      </c>
      <c r="H38" s="108">
        <f t="shared" si="1"/>
        <v>2.9304689471217966E-2</v>
      </c>
      <c r="I38" s="118">
        <f>SUM($G$7:G38)</f>
        <v>14590</v>
      </c>
      <c r="J38" s="110">
        <f t="shared" si="5"/>
        <v>0.52589842482788451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47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45.88</v>
      </c>
      <c r="G39" s="107">
        <f>IF(D39=D38,"",_xlfn.IFNA(VLOOKUP(D39,'인원 입력 기능(사과탐)'!$F$5:$I$59,4,FALSE),0))</f>
        <v>849</v>
      </c>
      <c r="H39" s="108">
        <f t="shared" si="1"/>
        <v>3.0602314097249755E-2</v>
      </c>
      <c r="I39" s="118">
        <f>SUM($G$7:G39)</f>
        <v>15439</v>
      </c>
      <c r="J39" s="110">
        <f t="shared" si="5"/>
        <v>0.5565007389251343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46</v>
      </c>
      <c r="E40" s="120">
        <f t="shared" si="6"/>
        <v>5</v>
      </c>
      <c r="F40" s="106">
        <f t="shared" si="4"/>
        <v>42.78</v>
      </c>
      <c r="G40" s="107">
        <f>IF(D40=D39,"",_xlfn.IFNA(VLOOKUP(D40,'인원 입력 기능(사과탐)'!$F$5:$I$59,4,FALSE),0))</f>
        <v>871</v>
      </c>
      <c r="H40" s="108">
        <f t="shared" si="1"/>
        <v>3.1395306924269187E-2</v>
      </c>
      <c r="I40" s="118">
        <f>SUM($G$7:G40)</f>
        <v>16310</v>
      </c>
      <c r="J40" s="110">
        <f t="shared" si="5"/>
        <v>0.58789604584940347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3">
        <f t="shared" si="3"/>
        <v>45</v>
      </c>
      <c r="E41" s="123">
        <f t="shared" si="6"/>
        <v>5</v>
      </c>
      <c r="F41" s="124">
        <f t="shared" si="4"/>
        <v>38.17</v>
      </c>
      <c r="G41" s="125">
        <f>IF(D41=D40,"",_xlfn.IFNA(VLOOKUP(D41,'인원 입력 기능(사과탐)'!$F$5:$I$59,4,FALSE),0))</f>
        <v>1686</v>
      </c>
      <c r="H41" s="126">
        <f t="shared" si="1"/>
        <v>6.0772086652488913E-2</v>
      </c>
      <c r="I41" s="144">
        <f>SUM($G$7:G41)</f>
        <v>17996</v>
      </c>
      <c r="J41" s="128">
        <f t="shared" si="5"/>
        <v>0.64866813250189237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30"/>
      <c r="E42" s="130"/>
      <c r="F42" s="131"/>
      <c r="G42" s="132"/>
      <c r="H42" s="133"/>
      <c r="I42" s="145"/>
      <c r="J42" s="135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44</v>
      </c>
      <c r="E43" s="120">
        <f t="shared" si="6"/>
        <v>6</v>
      </c>
      <c r="F43" s="106">
        <f t="shared" si="4"/>
        <v>32.28</v>
      </c>
      <c r="G43" s="107">
        <f>IF(D43=D42,"",_xlfn.IFNA(VLOOKUP(D43,'인원 입력 기능(사과탐)'!$F$5:$I$59,4,FALSE),0))</f>
        <v>1581</v>
      </c>
      <c r="H43" s="108">
        <f t="shared" si="1"/>
        <v>5.6987348159896187E-2</v>
      </c>
      <c r="I43" s="118">
        <f>SUM($G$7:G43)</f>
        <v>19577</v>
      </c>
      <c r="J43" s="110">
        <f t="shared" si="5"/>
        <v>0.70565548066178851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43</v>
      </c>
      <c r="E44" s="120">
        <f t="shared" si="6"/>
        <v>6</v>
      </c>
      <c r="F44" s="106">
        <f t="shared" si="4"/>
        <v>27.9</v>
      </c>
      <c r="G44" s="107">
        <f>IF(D44=D43,"",_xlfn.IFNA(VLOOKUP(D44,'인원 입력 기능(사과탐)'!$F$5:$I$59,4,FALSE),0))</f>
        <v>850</v>
      </c>
      <c r="H44" s="108">
        <f t="shared" si="1"/>
        <v>3.0638359225750641E-2</v>
      </c>
      <c r="I44" s="118">
        <f>SUM($G$7:G44)</f>
        <v>20427</v>
      </c>
      <c r="J44" s="110">
        <f t="shared" si="5"/>
        <v>0.73629383988753916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42</v>
      </c>
      <c r="E45" s="120">
        <f t="shared" si="6"/>
        <v>6</v>
      </c>
      <c r="F45" s="106">
        <f t="shared" si="4"/>
        <v>24.76</v>
      </c>
      <c r="G45" s="107">
        <f>IF(D45=D44,"",_xlfn.IFNA(VLOOKUP(D45,'인원 입력 기능(사과탐)'!$F$5:$I$59,4,FALSE),0))</f>
        <v>895</v>
      </c>
      <c r="H45" s="108">
        <f t="shared" si="1"/>
        <v>3.2260390008290382E-2</v>
      </c>
      <c r="I45" s="118">
        <f>SUM($G$7:G45)</f>
        <v>21322</v>
      </c>
      <c r="J45" s="110">
        <f t="shared" si="5"/>
        <v>0.76855422989582955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41</v>
      </c>
      <c r="E46" s="120">
        <f t="shared" si="6"/>
        <v>6</v>
      </c>
      <c r="F46" s="106">
        <f t="shared" si="4"/>
        <v>21.48</v>
      </c>
      <c r="G46" s="107">
        <f>IF(D46=D45,"",_xlfn.IFNA(VLOOKUP(D46,'인원 입력 기능(사과탐)'!$F$5:$I$59,4,FALSE),0))</f>
        <v>923</v>
      </c>
      <c r="H46" s="108">
        <f t="shared" si="1"/>
        <v>3.3269653606315105E-2</v>
      </c>
      <c r="I46" s="118">
        <f>SUM($G$7:G46)</f>
        <v>22245</v>
      </c>
      <c r="J46" s="110">
        <f t="shared" si="5"/>
        <v>0.80182388350214473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40</v>
      </c>
      <c r="E47" s="120">
        <f t="shared" si="6"/>
        <v>7</v>
      </c>
      <c r="F47" s="106">
        <f t="shared" si="4"/>
        <v>18.190000000000001</v>
      </c>
      <c r="G47" s="107">
        <f>IF(D47=D46,"",_xlfn.IFNA(VLOOKUP(D47,'인원 입력 기능(사과탐)'!$F$5:$I$59,4,FALSE),0))</f>
        <v>903</v>
      </c>
      <c r="H47" s="108">
        <f t="shared" si="1"/>
        <v>3.2548751036297445E-2</v>
      </c>
      <c r="I47" s="118">
        <f>SUM($G$7:G47)</f>
        <v>23148</v>
      </c>
      <c r="J47" s="110">
        <f t="shared" si="5"/>
        <v>0.83437263453844213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39</v>
      </c>
      <c r="E48" s="120">
        <f t="shared" si="6"/>
        <v>7</v>
      </c>
      <c r="F48" s="106">
        <f t="shared" si="4"/>
        <v>15.43</v>
      </c>
      <c r="G48" s="107">
        <f>IF(D48=D47,"",_xlfn.IFNA(VLOOKUP(D48,'인원 입력 기능(사과탐)'!$F$5:$I$59,4,FALSE),0))</f>
        <v>627</v>
      </c>
      <c r="H48" s="108">
        <f t="shared" si="1"/>
        <v>2.2600295570053709E-2</v>
      </c>
      <c r="I48" s="118">
        <f>SUM($G$7:G48)</f>
        <v>23775</v>
      </c>
      <c r="J48" s="110">
        <f t="shared" si="5"/>
        <v>0.85697293010849585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38</v>
      </c>
      <c r="E49" s="120">
        <f t="shared" si="6"/>
        <v>7</v>
      </c>
      <c r="F49" s="106">
        <f t="shared" si="4"/>
        <v>10.31</v>
      </c>
      <c r="G49" s="107">
        <f>IF(D49=D48,"",_xlfn.IFNA(VLOOKUP(D49,'인원 입력 기능(사과탐)'!$F$5:$I$59,4,FALSE),0))</f>
        <v>2216</v>
      </c>
      <c r="H49" s="108">
        <f t="shared" si="1"/>
        <v>7.9876004757956962E-2</v>
      </c>
      <c r="I49" s="118">
        <f>SUM($G$7:G49)</f>
        <v>25991</v>
      </c>
      <c r="J49" s="110">
        <f t="shared" si="5"/>
        <v>0.93684893486645282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37</v>
      </c>
      <c r="E50" s="120">
        <f t="shared" si="6"/>
        <v>8</v>
      </c>
      <c r="F50" s="106">
        <f t="shared" si="4"/>
        <v>5.18</v>
      </c>
      <c r="G50" s="107">
        <f>IF(D50=D49,"",_xlfn.IFNA(VLOOKUP(D50,'인원 입력 기능(사과탐)'!$F$5:$I$59,4,FALSE),0))</f>
        <v>629</v>
      </c>
      <c r="H50" s="108">
        <f t="shared" si="1"/>
        <v>2.2672385827055472E-2</v>
      </c>
      <c r="I50" s="118">
        <f>SUM($G$7:G50)</f>
        <v>26620</v>
      </c>
      <c r="J50" s="110">
        <f t="shared" si="5"/>
        <v>0.95952132069350826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36</v>
      </c>
      <c r="E51" s="120">
        <f t="shared" si="6"/>
        <v>8</v>
      </c>
      <c r="F51" s="106">
        <f t="shared" si="4"/>
        <v>3.32</v>
      </c>
      <c r="G51" s="107">
        <f>IF(D51=D50,"",_xlfn.IFNA(VLOOKUP(D51,'인원 입력 기능(사과탐)'!$F$5:$I$59,4,FALSE),0))</f>
        <v>402</v>
      </c>
      <c r="H51" s="108">
        <f t="shared" si="1"/>
        <v>1.4490141657355009E-2</v>
      </c>
      <c r="I51" s="118">
        <f>SUM($G$7:G51)</f>
        <v>27022</v>
      </c>
      <c r="J51" s="110">
        <f t="shared" si="5"/>
        <v>0.97401146235086333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35</v>
      </c>
      <c r="E52" s="120">
        <f t="shared" si="6"/>
        <v>9</v>
      </c>
      <c r="F52" s="106">
        <f t="shared" si="4"/>
        <v>2.13</v>
      </c>
      <c r="G52" s="107">
        <f>IF(D52=D51,"",_xlfn.IFNA(VLOOKUP(D52,'인원 입력 기능(사과탐)'!$F$5:$I$59,4,FALSE),0))</f>
        <v>259</v>
      </c>
      <c r="H52" s="108">
        <f t="shared" si="1"/>
        <v>9.3356882817287237E-3</v>
      </c>
      <c r="I52" s="118">
        <f>SUM($G$7:G52)</f>
        <v>27281</v>
      </c>
      <c r="J52" s="110">
        <f t="shared" si="5"/>
        <v>0.98334715063259204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34</v>
      </c>
      <c r="E53" s="105">
        <f t="shared" si="6"/>
        <v>9</v>
      </c>
      <c r="F53" s="106">
        <f t="shared" si="4"/>
        <v>1.32</v>
      </c>
      <c r="G53" s="107">
        <f>IF(D53=D52,"",_xlfn.IFNA(VLOOKUP(D53,'인원 입력 기능(사과탐)'!$F$5:$I$59,4,FALSE),0))</f>
        <v>191</v>
      </c>
      <c r="H53" s="108">
        <f t="shared" si="1"/>
        <v>6.8846195436686733E-3</v>
      </c>
      <c r="I53" s="118">
        <f>SUM($G$7:G53)</f>
        <v>27472</v>
      </c>
      <c r="J53" s="110">
        <f t="shared" si="5"/>
        <v>0.99023177017626063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22">
        <f t="shared" si="3"/>
        <v>33</v>
      </c>
      <c r="E54" s="122">
        <f t="shared" si="6"/>
        <v>9</v>
      </c>
      <c r="F54" s="124">
        <f t="shared" si="4"/>
        <v>0.66</v>
      </c>
      <c r="G54" s="125">
        <f>IF(D54=D53,"",_xlfn.IFNA(VLOOKUP(D54,'인원 입력 기능(사과탐)'!$F$5:$I$59,4,FALSE),0))</f>
        <v>177</v>
      </c>
      <c r="H54" s="126">
        <f t="shared" si="1"/>
        <v>6.3799877446563099E-3</v>
      </c>
      <c r="I54" s="144">
        <f>SUM($G$7:G54)</f>
        <v>27649</v>
      </c>
      <c r="J54" s="128">
        <f t="shared" si="5"/>
        <v>0.99661175792091694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29"/>
      <c r="E55" s="129"/>
      <c r="F55" s="131"/>
      <c r="G55" s="132"/>
      <c r="H55" s="133"/>
      <c r="I55" s="145"/>
      <c r="J55" s="135"/>
      <c r="K55" s="36"/>
      <c r="L55" s="20" t="str">
        <f t="shared" si="2"/>
        <v>경고</v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31</v>
      </c>
      <c r="E57" s="176">
        <f t="shared" si="6"/>
        <v>9</v>
      </c>
      <c r="F57" s="139">
        <f>IF(I55=0,ROUND(100*(1-(I54+I57)/2/$J$3),2),ROUND(100*(1-(I55+I57)/2/$J$3),2))</f>
        <v>0.17</v>
      </c>
      <c r="G57" s="177">
        <f>_xlfn.IFNA(VLOOKUP(D57,'인원 입력 기능(사과탐)'!$F$5:$I$59,4,FALSE),0)</f>
        <v>94</v>
      </c>
      <c r="H57" s="141">
        <f>G57/$J$3</f>
        <v>3.3882420790830119E-3</v>
      </c>
      <c r="I57" s="142">
        <f>SUM($G$7:G57)</f>
        <v>27743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0">
    <mergeCell ref="D3:F3"/>
    <mergeCell ref="D4:F4"/>
    <mergeCell ref="D16:D17"/>
    <mergeCell ref="E16:E17"/>
    <mergeCell ref="F16:F17"/>
    <mergeCell ref="G16:G17"/>
    <mergeCell ref="H16:H17"/>
    <mergeCell ref="I16:I17"/>
    <mergeCell ref="J16:J17"/>
    <mergeCell ref="D29:D30"/>
    <mergeCell ref="E29:E30"/>
    <mergeCell ref="F29:F30"/>
    <mergeCell ref="G29:G30"/>
    <mergeCell ref="H29:H30"/>
    <mergeCell ref="I29:I30"/>
    <mergeCell ref="J29:J30"/>
    <mergeCell ref="I41:I42"/>
    <mergeCell ref="J41:J42"/>
    <mergeCell ref="D54:D55"/>
    <mergeCell ref="E54:E55"/>
    <mergeCell ref="F54:F55"/>
    <mergeCell ref="G54:G55"/>
    <mergeCell ref="H54:H55"/>
    <mergeCell ref="I54:I55"/>
    <mergeCell ref="J54:J55"/>
    <mergeCell ref="D41:D42"/>
    <mergeCell ref="E41:E42"/>
    <mergeCell ref="F41:F42"/>
    <mergeCell ref="G41:G42"/>
    <mergeCell ref="H41:H42"/>
  </mergeCells>
  <phoneticPr fontId="1" type="noConversion"/>
  <conditionalFormatting sqref="D7:G16 I7:J16 D18:G29 I18:J29 D31:G41 I31:J41 D43:G54 I43:J54 D56:G57 I56:J57">
    <cfRule type="expression" dxfId="47" priority="4">
      <formula>OR($D7=$Q$7:$Q$14)</formula>
    </cfRule>
  </conditionalFormatting>
  <conditionalFormatting sqref="C7:C57">
    <cfRule type="expression" dxfId="46" priority="3">
      <formula>OR(AND($D7=0,OR($D6=$Q$7:$Q$14)),AND($D8&gt;0,OR($D7=$Q$7:$Q$14)))</formula>
    </cfRule>
  </conditionalFormatting>
  <conditionalFormatting sqref="D7:D16 D18:D29 D31:D41 D43:D54 D56:D57">
    <cfRule type="expression" dxfId="45" priority="2">
      <formula>$D7=$D8</formula>
    </cfRule>
  </conditionalFormatting>
  <conditionalFormatting sqref="H7:H16 H18:H29 H31:H41 H43:H54 H56:H57">
    <cfRule type="expression" dxfId="4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기능'!D10</f>
        <v>25.35</v>
      </c>
      <c r="I3" s="21" t="s">
        <v>107</v>
      </c>
      <c r="J3" s="93">
        <f>'통계 및 응시자 수 입력 기능'!C10</f>
        <v>19923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139</v>
      </c>
      <c r="E4" s="96"/>
      <c r="F4" s="97"/>
      <c r="G4" s="98" t="s">
        <v>110</v>
      </c>
      <c r="H4" s="99" t="str">
        <f>'통계 및 응시자 수 입력 기능'!E10</f>
        <v>11.83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71</v>
      </c>
      <c r="E7" s="105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99.25</v>
      </c>
      <c r="G7" s="107">
        <f>_xlfn.IFNA(VLOOKUP(D7,'인원 입력 기능(사과탐)'!$K$5:$N$59,4,FALSE),0)</f>
        <v>297</v>
      </c>
      <c r="H7" s="108">
        <f>G7/$J$3</f>
        <v>1.4907393464839632E-2</v>
      </c>
      <c r="I7" s="109">
        <f>G7</f>
        <v>297</v>
      </c>
      <c r="J7" s="110">
        <f>I7/$J$3</f>
        <v>1.4907393464839632E-2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68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69</v>
      </c>
      <c r="E9" s="105">
        <f t="shared" si="0"/>
        <v>1</v>
      </c>
      <c r="F9" s="106">
        <f>IF(I8=0,ROUND(100*(1-(I7+I9)/2/$J$3),2),ROUND(100*(1-(I8+I9)/2/$J$3),2))</f>
        <v>98</v>
      </c>
      <c r="G9" s="107">
        <f>_xlfn.IFNA(VLOOKUP(D9,'인원 입력 기능(사과탐)'!$K$5:$N$59,4,FALSE),0)</f>
        <v>201</v>
      </c>
      <c r="H9" s="108">
        <f t="shared" ref="H9:H55" si="1">G9/$J$3</f>
        <v>1.0088842041861166E-2</v>
      </c>
      <c r="I9" s="118">
        <f>SUM($G$7:G9)</f>
        <v>498</v>
      </c>
      <c r="J9" s="110">
        <f>I9/$J$3</f>
        <v>2.4996235506700798E-2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68</v>
      </c>
      <c r="E10" s="105">
        <f t="shared" si="0"/>
        <v>1</v>
      </c>
      <c r="F10" s="106">
        <f t="shared" ref="F10:F55" si="4">IF(I9=0,ROUND(100*(1-(I8+I10)/2/$J$3),2),ROUND(100*(1-(I9+I10)/2/$J$3),2))</f>
        <v>96.69</v>
      </c>
      <c r="G10" s="107">
        <f>IF(D10=D9,"",_xlfn.IFNA(VLOOKUP(D10,'인원 입력 기능(사과탐)'!$K$5:$N$59,4,FALSE),0))</f>
        <v>322</v>
      </c>
      <c r="H10" s="108">
        <f t="shared" si="1"/>
        <v>1.6162224564573609E-2</v>
      </c>
      <c r="I10" s="118">
        <f>SUM($G$7:G10)</f>
        <v>820</v>
      </c>
      <c r="J10" s="110">
        <f t="shared" ref="J10:J55" si="5">I10/$J$3</f>
        <v>4.1158460071274404E-2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53</v>
      </c>
    </row>
    <row r="11" spans="1:17" s="22" customFormat="1" ht="25" customHeight="1" x14ac:dyDescent="0.45">
      <c r="A11" s="20"/>
      <c r="B11" s="35"/>
      <c r="C11" s="104">
        <v>46</v>
      </c>
      <c r="D11" s="122">
        <f t="shared" si="3"/>
        <v>67</v>
      </c>
      <c r="E11" s="122">
        <f t="shared" si="0"/>
        <v>2</v>
      </c>
      <c r="F11" s="124">
        <f t="shared" si="4"/>
        <v>94.81</v>
      </c>
      <c r="G11" s="125">
        <f>IF(D11=D10,"",_xlfn.IFNA(VLOOKUP(D11,'인원 입력 기능(사과탐)'!$K$5:$N$59,4,FALSE),0))</f>
        <v>427</v>
      </c>
      <c r="H11" s="126">
        <f t="shared" si="1"/>
        <v>2.1432515183456308E-2</v>
      </c>
      <c r="I11" s="144">
        <f>SUM($G$7:G11)</f>
        <v>1247</v>
      </c>
      <c r="J11" s="128">
        <f t="shared" si="5"/>
        <v>6.2590975254730716E-2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기능'!C62</f>
        <v>46</v>
      </c>
    </row>
    <row r="12" spans="1:17" s="22" customFormat="1" ht="25" customHeight="1" x14ac:dyDescent="0.45">
      <c r="A12" s="20"/>
      <c r="B12" s="35"/>
      <c r="C12" s="111">
        <v>45</v>
      </c>
      <c r="D12" s="129"/>
      <c r="E12" s="129"/>
      <c r="F12" s="131"/>
      <c r="G12" s="132"/>
      <c r="H12" s="133"/>
      <c r="I12" s="145"/>
      <c r="J12" s="135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기능'!C63</f>
        <v>40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66</v>
      </c>
      <c r="E13" s="105">
        <f t="shared" si="0"/>
        <v>2</v>
      </c>
      <c r="F13" s="106">
        <f t="shared" si="4"/>
        <v>93.08</v>
      </c>
      <c r="G13" s="107">
        <f>IF(D13=D12,"",_xlfn.IFNA(VLOOKUP(D13,'인원 입력 기능(사과탐)'!$K$5:$N$59,4,FALSE),0))</f>
        <v>263</v>
      </c>
      <c r="H13" s="108">
        <f t="shared" si="1"/>
        <v>1.3200823169201426E-2</v>
      </c>
      <c r="I13" s="118">
        <f>SUM($G$7:G13)</f>
        <v>1510</v>
      </c>
      <c r="J13" s="110">
        <f t="shared" si="5"/>
        <v>7.5791798423932133E-2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37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65</v>
      </c>
      <c r="E14" s="105">
        <f t="shared" si="0"/>
        <v>2</v>
      </c>
      <c r="F14" s="106">
        <f t="shared" si="4"/>
        <v>91.77</v>
      </c>
      <c r="G14" s="107">
        <f>IF(D14=D13,"",_xlfn.IFNA(VLOOKUP(D14,'인원 입력 기능(사과탐)'!$K$5:$N$59,4,FALSE),0))</f>
        <v>259</v>
      </c>
      <c r="H14" s="108">
        <f t="shared" si="1"/>
        <v>1.3000050193243989E-2</v>
      </c>
      <c r="I14" s="118">
        <f>SUM($G$7:G14)</f>
        <v>1769</v>
      </c>
      <c r="J14" s="110">
        <f t="shared" si="5"/>
        <v>8.8791848617176122E-2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34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64</v>
      </c>
      <c r="E15" s="105">
        <f t="shared" si="0"/>
        <v>2</v>
      </c>
      <c r="F15" s="106">
        <f t="shared" si="4"/>
        <v>90.14</v>
      </c>
      <c r="G15" s="107">
        <f>IF(D15=D14,"",_xlfn.IFNA(VLOOKUP(D15,'인원 입력 기능(사과탐)'!$K$5:$N$59,4,FALSE),0))</f>
        <v>390</v>
      </c>
      <c r="H15" s="108">
        <f t="shared" si="1"/>
        <v>1.9575365155850021E-2</v>
      </c>
      <c r="I15" s="118">
        <f>SUM($G$7:G15)</f>
        <v>2159</v>
      </c>
      <c r="J15" s="110">
        <f t="shared" si="5"/>
        <v>0.10836721377302615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63</v>
      </c>
      <c r="E16" s="105">
        <f t="shared" si="0"/>
        <v>2</v>
      </c>
      <c r="F16" s="106">
        <f t="shared" si="4"/>
        <v>88.4</v>
      </c>
      <c r="G16" s="107">
        <f>IF(D16=D15,"",_xlfn.IFNA(VLOOKUP(D16,'인원 입력 기능(사과탐)'!$K$5:$N$59,4,FALSE),0))</f>
        <v>303</v>
      </c>
      <c r="H16" s="108">
        <f t="shared" si="1"/>
        <v>1.5208552928775787E-2</v>
      </c>
      <c r="I16" s="118">
        <f>SUM($G$7:G16)</f>
        <v>2462</v>
      </c>
      <c r="J16" s="110">
        <f t="shared" si="5"/>
        <v>0.12357576670180194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22">
        <f t="shared" si="3"/>
        <v>62</v>
      </c>
      <c r="E17" s="122">
        <f t="shared" si="0"/>
        <v>3</v>
      </c>
      <c r="F17" s="124">
        <f t="shared" si="4"/>
        <v>85.65</v>
      </c>
      <c r="G17" s="125">
        <f>IF(D17=D16,"",_xlfn.IFNA(VLOOKUP(D17,'인원 입력 기능(사과탐)'!$K$5:$N$59,4,FALSE),0))</f>
        <v>794</v>
      </c>
      <c r="H17" s="126">
        <f t="shared" si="1"/>
        <v>3.9853435727551074E-2</v>
      </c>
      <c r="I17" s="144">
        <f>SUM($G$7:G17)</f>
        <v>3256</v>
      </c>
      <c r="J17" s="128">
        <f t="shared" si="5"/>
        <v>0.16342920242935302</v>
      </c>
      <c r="K17" s="36"/>
      <c r="L17" s="20" t="str">
        <f t="shared" si="2"/>
        <v/>
      </c>
      <c r="N17" s="24"/>
      <c r="Q17" s="24">
        <f>Q7*H3*H4*J3*IFERROR(IF(J57=1, 1, 0), 0)</f>
        <v>406280853.34200007</v>
      </c>
    </row>
    <row r="18" spans="1:17" s="22" customFormat="1" ht="25" customHeight="1" x14ac:dyDescent="0.45">
      <c r="A18" s="20"/>
      <c r="B18" s="35"/>
      <c r="C18" s="111">
        <v>39</v>
      </c>
      <c r="D18" s="129"/>
      <c r="E18" s="129"/>
      <c r="F18" s="131"/>
      <c r="G18" s="132"/>
      <c r="H18" s="133"/>
      <c r="I18" s="145"/>
      <c r="J18" s="13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61</v>
      </c>
      <c r="E19" s="105">
        <f t="shared" si="0"/>
        <v>3</v>
      </c>
      <c r="F19" s="106">
        <f t="shared" si="4"/>
        <v>82.7</v>
      </c>
      <c r="G19" s="107">
        <f>IF(D19=D18,"",_xlfn.IFNA(VLOOKUP(D19,'인원 입력 기능(사과탐)'!$K$5:$N$59,4,FALSE),0))</f>
        <v>382</v>
      </c>
      <c r="H19" s="108">
        <f t="shared" si="1"/>
        <v>1.9173819203935152E-2</v>
      </c>
      <c r="I19" s="118">
        <f>SUM($G$7:G19)</f>
        <v>3638</v>
      </c>
      <c r="J19" s="110">
        <f t="shared" si="5"/>
        <v>0.18260302163328815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60</v>
      </c>
      <c r="E20" s="105">
        <f t="shared" si="0"/>
        <v>3</v>
      </c>
      <c r="F20" s="106">
        <f t="shared" si="4"/>
        <v>80.62</v>
      </c>
      <c r="G20" s="107">
        <f>IF(D20=D19,"",_xlfn.IFNA(VLOOKUP(D20,'인원 입력 기능(사과탐)'!$K$5:$N$59,4,FALSE),0))</f>
        <v>445</v>
      </c>
      <c r="H20" s="108">
        <f t="shared" si="1"/>
        <v>2.2335993575264768E-2</v>
      </c>
      <c r="I20" s="118">
        <f>SUM($G$7:G20)</f>
        <v>4083</v>
      </c>
      <c r="J20" s="110">
        <f t="shared" si="5"/>
        <v>0.20493901520855293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59</v>
      </c>
      <c r="E21" s="120">
        <f t="shared" si="0"/>
        <v>3</v>
      </c>
      <c r="F21" s="106">
        <f t="shared" si="4"/>
        <v>78.459999999999994</v>
      </c>
      <c r="G21" s="107">
        <f>IF(D21=D20,"",_xlfn.IFNA(VLOOKUP(D21,'인원 입력 기능(사과탐)'!$K$5:$N$59,4,FALSE),0))</f>
        <v>417</v>
      </c>
      <c r="H21" s="108">
        <f t="shared" si="1"/>
        <v>2.0930582743562718E-2</v>
      </c>
      <c r="I21" s="118">
        <f>SUM($G$7:G21)</f>
        <v>4500</v>
      </c>
      <c r="J21" s="110">
        <f t="shared" si="5"/>
        <v>0.22586959795211564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58</v>
      </c>
      <c r="E22" s="120">
        <f t="shared" si="0"/>
        <v>3</v>
      </c>
      <c r="F22" s="106">
        <f t="shared" si="4"/>
        <v>76.14</v>
      </c>
      <c r="G22" s="107">
        <f>IF(D22=D21,"",_xlfn.IFNA(VLOOKUP(D22,'인원 입력 기능(사과탐)'!$K$5:$N$59,4,FALSE),0))</f>
        <v>506</v>
      </c>
      <c r="H22" s="108">
        <f t="shared" si="1"/>
        <v>2.5397781458615671E-2</v>
      </c>
      <c r="I22" s="118">
        <f>SUM($G$7:G22)</f>
        <v>5006</v>
      </c>
      <c r="J22" s="110">
        <f t="shared" si="5"/>
        <v>0.2512673794107313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57</v>
      </c>
      <c r="E23" s="120">
        <f t="shared" si="0"/>
        <v>4</v>
      </c>
      <c r="F23" s="106">
        <f t="shared" si="4"/>
        <v>73.709999999999994</v>
      </c>
      <c r="G23" s="107">
        <f>IF(D23=D22,"",_xlfn.IFNA(VLOOKUP(D23,'인원 입력 기능(사과탐)'!$K$5:$N$59,4,FALSE),0))</f>
        <v>464</v>
      </c>
      <c r="H23" s="108">
        <f t="shared" si="1"/>
        <v>2.3289665211062592E-2</v>
      </c>
      <c r="I23" s="118">
        <f>SUM($G$7:G23)</f>
        <v>5470</v>
      </c>
      <c r="J23" s="110">
        <f t="shared" si="5"/>
        <v>0.27455704462179392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3">
        <f t="shared" si="3"/>
        <v>56</v>
      </c>
      <c r="E24" s="123">
        <f t="shared" si="0"/>
        <v>4</v>
      </c>
      <c r="F24" s="124">
        <f t="shared" si="4"/>
        <v>69.91</v>
      </c>
      <c r="G24" s="125">
        <f>IF(D24=D23,"",_xlfn.IFNA(VLOOKUP(D24,'인원 입력 기능(사과탐)'!$K$5:$N$59,4,FALSE),0))</f>
        <v>1049</v>
      </c>
      <c r="H24" s="126">
        <f t="shared" si="1"/>
        <v>5.2652712944837622E-2</v>
      </c>
      <c r="I24" s="144">
        <f>SUM($G$7:G24)</f>
        <v>6519</v>
      </c>
      <c r="J24" s="128">
        <f t="shared" si="5"/>
        <v>0.32720975756663151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30"/>
      <c r="E25" s="130"/>
      <c r="F25" s="131"/>
      <c r="G25" s="132"/>
      <c r="H25" s="133"/>
      <c r="I25" s="145"/>
      <c r="J25" s="135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55</v>
      </c>
      <c r="E26" s="120">
        <f t="shared" si="0"/>
        <v>4</v>
      </c>
      <c r="F26" s="106">
        <f t="shared" si="4"/>
        <v>66.12</v>
      </c>
      <c r="G26" s="107">
        <f>IF(D26=D25,"",_xlfn.IFNA(VLOOKUP(D26,'인원 입력 기능(사과탐)'!$K$5:$N$59,4,FALSE),0))</f>
        <v>461</v>
      </c>
      <c r="H26" s="108">
        <f t="shared" si="1"/>
        <v>2.3139085479094514E-2</v>
      </c>
      <c r="I26" s="118">
        <f>SUM($G$7:G26)</f>
        <v>6980</v>
      </c>
      <c r="J26" s="110">
        <f t="shared" si="5"/>
        <v>0.35034884304572605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54</v>
      </c>
      <c r="E27" s="120">
        <f t="shared" si="0"/>
        <v>4</v>
      </c>
      <c r="F27" s="106">
        <f t="shared" si="4"/>
        <v>63.52</v>
      </c>
      <c r="G27" s="107">
        <f>IF(D27=D26,"",_xlfn.IFNA(VLOOKUP(D27,'인원 입력 기능(사과탐)'!$K$5:$N$59,4,FALSE),0))</f>
        <v>574</v>
      </c>
      <c r="H27" s="108">
        <f t="shared" si="1"/>
        <v>2.8810922049892086E-2</v>
      </c>
      <c r="I27" s="118">
        <f>SUM($G$7:G27)</f>
        <v>7554</v>
      </c>
      <c r="J27" s="110">
        <f t="shared" si="5"/>
        <v>0.37915976509561811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53</v>
      </c>
      <c r="E28" s="120">
        <f t="shared" si="0"/>
        <v>4</v>
      </c>
      <c r="F28" s="106">
        <f t="shared" si="4"/>
        <v>60.8</v>
      </c>
      <c r="G28" s="107">
        <f>IF(D28=D27,"",_xlfn.IFNA(VLOOKUP(D28,'인원 입력 기능(사과탐)'!$K$5:$N$59,4,FALSE),0))</f>
        <v>511</v>
      </c>
      <c r="H28" s="108">
        <f t="shared" si="1"/>
        <v>2.5648747678562466E-2</v>
      </c>
      <c r="I28" s="118">
        <f>SUM($G$7:G28)</f>
        <v>8065</v>
      </c>
      <c r="J28" s="110">
        <f t="shared" si="5"/>
        <v>0.40480851277418062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52</v>
      </c>
      <c r="E29" s="120">
        <f t="shared" si="0"/>
        <v>5</v>
      </c>
      <c r="F29" s="106">
        <f t="shared" si="4"/>
        <v>58.12</v>
      </c>
      <c r="G29" s="107">
        <f>IF(D29=D28,"",_xlfn.IFNA(VLOOKUP(D29,'인원 입력 기능(사과탐)'!$K$5:$N$59,4,FALSE),0))</f>
        <v>556</v>
      </c>
      <c r="H29" s="108">
        <f t="shared" si="1"/>
        <v>2.7907443658083623E-2</v>
      </c>
      <c r="I29" s="118">
        <f>SUM($G$7:G29)</f>
        <v>8621</v>
      </c>
      <c r="J29" s="110">
        <f t="shared" si="5"/>
        <v>0.43271595643226424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3">
        <f t="shared" si="3"/>
        <v>51</v>
      </c>
      <c r="E30" s="123">
        <f t="shared" si="0"/>
        <v>5</v>
      </c>
      <c r="F30" s="124">
        <f t="shared" si="4"/>
        <v>54.06</v>
      </c>
      <c r="G30" s="125">
        <f>IF(D30=D29,"",_xlfn.IFNA(VLOOKUP(D30,'인원 입력 기능(사과탐)'!$K$5:$N$59,4,FALSE),0))</f>
        <v>1063</v>
      </c>
      <c r="H30" s="126">
        <f t="shared" si="1"/>
        <v>5.3355418360688654E-2</v>
      </c>
      <c r="I30" s="144">
        <f>SUM($G$7:G30)</f>
        <v>9684</v>
      </c>
      <c r="J30" s="128">
        <f t="shared" si="5"/>
        <v>0.48607137479295287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30"/>
      <c r="E31" s="130"/>
      <c r="F31" s="131"/>
      <c r="G31" s="132"/>
      <c r="H31" s="133"/>
      <c r="I31" s="145"/>
      <c r="J31" s="135"/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50</v>
      </c>
      <c r="E32" s="120">
        <f t="shared" si="0"/>
        <v>5</v>
      </c>
      <c r="F32" s="106">
        <f t="shared" si="4"/>
        <v>49.9</v>
      </c>
      <c r="G32" s="107">
        <f>IF(D32=D31,"",_xlfn.IFNA(VLOOKUP(D32,'인원 입력 기능(사과탐)'!$K$5:$N$59,4,FALSE),0))</f>
        <v>595</v>
      </c>
      <c r="H32" s="108">
        <f t="shared" si="1"/>
        <v>2.9864980173668624E-2</v>
      </c>
      <c r="I32" s="118">
        <f>SUM($G$7:G32)</f>
        <v>10279</v>
      </c>
      <c r="J32" s="110">
        <f t="shared" si="5"/>
        <v>0.51593635496662149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49</v>
      </c>
      <c r="E33" s="120">
        <f t="shared" si="0"/>
        <v>5</v>
      </c>
      <c r="F33" s="106">
        <f t="shared" si="4"/>
        <v>47.09</v>
      </c>
      <c r="G33" s="107">
        <f>IF(D33=D32,"",_xlfn.IFNA(VLOOKUP(D33,'인원 입력 기능(사과탐)'!$K$5:$N$59,4,FALSE),0))</f>
        <v>525</v>
      </c>
      <c r="H33" s="108">
        <f t="shared" si="1"/>
        <v>2.6351453094413491E-2</v>
      </c>
      <c r="I33" s="118">
        <f>SUM($G$7:G33)</f>
        <v>10804</v>
      </c>
      <c r="J33" s="110">
        <f t="shared" si="5"/>
        <v>0.54228780806103494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48</v>
      </c>
      <c r="E34" s="120">
        <f t="shared" si="0"/>
        <v>5</v>
      </c>
      <c r="F34" s="106">
        <f t="shared" si="4"/>
        <v>44.54</v>
      </c>
      <c r="G34" s="107">
        <f>IF(D34=D33,"",_xlfn.IFNA(VLOOKUP(D34,'인원 입력 기능(사과탐)'!$K$5:$N$59,4,FALSE),0))</f>
        <v>492</v>
      </c>
      <c r="H34" s="108">
        <f t="shared" si="1"/>
        <v>2.4695076042764642E-2</v>
      </c>
      <c r="I34" s="118">
        <f>SUM($G$7:G34)</f>
        <v>11296</v>
      </c>
      <c r="J34" s="110">
        <f t="shared" si="5"/>
        <v>0.5669828841037996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47</v>
      </c>
      <c r="E35" s="120">
        <f t="shared" si="0"/>
        <v>5</v>
      </c>
      <c r="F35" s="106">
        <f t="shared" si="4"/>
        <v>41.85</v>
      </c>
      <c r="G35" s="107">
        <f>IF(D35=D34,"",_xlfn.IFNA(VLOOKUP(D35,'인원 입력 기능(사과탐)'!$K$5:$N$59,4,FALSE),0))</f>
        <v>577</v>
      </c>
      <c r="H35" s="108">
        <f t="shared" si="1"/>
        <v>2.8961501781860161E-2</v>
      </c>
      <c r="I35" s="118">
        <f>SUM($G$7:G35)</f>
        <v>11873</v>
      </c>
      <c r="J35" s="110">
        <f t="shared" si="5"/>
        <v>0.59594438588565979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46</v>
      </c>
      <c r="E36" s="120">
        <f t="shared" si="0"/>
        <v>5</v>
      </c>
      <c r="F36" s="106">
        <f t="shared" si="4"/>
        <v>39.22</v>
      </c>
      <c r="G36" s="107">
        <f>IF(D36=D35,"",_xlfn.IFNA(VLOOKUP(D36,'인원 입력 기능(사과탐)'!$K$5:$N$59,4,FALSE),0))</f>
        <v>472</v>
      </c>
      <c r="H36" s="108">
        <f t="shared" si="1"/>
        <v>2.3691211162977462E-2</v>
      </c>
      <c r="I36" s="118">
        <f>SUM($G$7:G36)</f>
        <v>12345</v>
      </c>
      <c r="J36" s="110">
        <f t="shared" si="5"/>
        <v>0.61963559704863724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3">
        <f t="shared" si="3"/>
        <v>45</v>
      </c>
      <c r="E37" s="123">
        <f t="shared" si="0"/>
        <v>6</v>
      </c>
      <c r="F37" s="124">
        <f t="shared" si="4"/>
        <v>35.590000000000003</v>
      </c>
      <c r="G37" s="125">
        <f>IF(D37=D36,"",_xlfn.IFNA(VLOOKUP(D37,'인원 입력 기능(사과탐)'!$K$5:$N$59,4,FALSE),0))</f>
        <v>976</v>
      </c>
      <c r="H37" s="126">
        <f t="shared" si="1"/>
        <v>4.8988606133614415E-2</v>
      </c>
      <c r="I37" s="144">
        <f>SUM($G$7:G37)</f>
        <v>13321</v>
      </c>
      <c r="J37" s="128">
        <f t="shared" si="5"/>
        <v>0.66862420318225169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30"/>
      <c r="E38" s="130"/>
      <c r="F38" s="131"/>
      <c r="G38" s="132"/>
      <c r="H38" s="133"/>
      <c r="I38" s="145"/>
      <c r="J38" s="135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44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6">
        <f t="shared" si="4"/>
        <v>31.85</v>
      </c>
      <c r="G39" s="107">
        <f>IF(D39=D38,"",_xlfn.IFNA(VLOOKUP(D39,'인원 입력 기능(사과탐)'!$K$5:$N$59,4,FALSE),0))</f>
        <v>513</v>
      </c>
      <c r="H39" s="108">
        <f t="shared" si="1"/>
        <v>2.5749134166541184E-2</v>
      </c>
      <c r="I39" s="118">
        <f>SUM($G$7:G39)</f>
        <v>13834</v>
      </c>
      <c r="J39" s="110">
        <f t="shared" si="5"/>
        <v>0.69437333734879281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43</v>
      </c>
      <c r="E40" s="120">
        <f t="shared" si="6"/>
        <v>6</v>
      </c>
      <c r="F40" s="106">
        <f t="shared" si="4"/>
        <v>29.39</v>
      </c>
      <c r="G40" s="107">
        <f>IF(D40=D39,"",_xlfn.IFNA(VLOOKUP(D40,'인원 입력 기능(사과탐)'!$K$5:$N$59,4,FALSE),0))</f>
        <v>468</v>
      </c>
      <c r="H40" s="108">
        <f t="shared" si="1"/>
        <v>2.3490438187020027E-2</v>
      </c>
      <c r="I40" s="118">
        <f>SUM($G$7:G40)</f>
        <v>14302</v>
      </c>
      <c r="J40" s="110">
        <f t="shared" si="5"/>
        <v>0.71786377553581293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42</v>
      </c>
      <c r="E41" s="120">
        <f t="shared" si="6"/>
        <v>6</v>
      </c>
      <c r="F41" s="106">
        <f t="shared" si="4"/>
        <v>27.19</v>
      </c>
      <c r="G41" s="107">
        <f>IF(D41=D40,"",_xlfn.IFNA(VLOOKUP(D41,'인원 입력 기능(사과탐)'!$K$5:$N$59,4,FALSE),0))</f>
        <v>409</v>
      </c>
      <c r="H41" s="108">
        <f t="shared" si="1"/>
        <v>2.0529036791647845E-2</v>
      </c>
      <c r="I41" s="118">
        <f>SUM($G$7:G41)</f>
        <v>14711</v>
      </c>
      <c r="J41" s="110">
        <f t="shared" si="5"/>
        <v>0.73839281232746068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41</v>
      </c>
      <c r="E42" s="120">
        <f t="shared" si="6"/>
        <v>6</v>
      </c>
      <c r="F42" s="106">
        <f t="shared" si="4"/>
        <v>24.92</v>
      </c>
      <c r="G42" s="107">
        <f>IF(D42=D41,"",_xlfn.IFNA(VLOOKUP(D42,'인원 입력 기능(사과탐)'!$K$5:$N$59,4,FALSE),0))</f>
        <v>494</v>
      </c>
      <c r="H42" s="108">
        <f t="shared" si="1"/>
        <v>2.4795462530743363E-2</v>
      </c>
      <c r="I42" s="118">
        <f>SUM($G$7:G42)</f>
        <v>15205</v>
      </c>
      <c r="J42" s="110">
        <f t="shared" si="5"/>
        <v>0.76318827485820406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3">
        <f t="shared" si="3"/>
        <v>40</v>
      </c>
      <c r="E43" s="123">
        <f t="shared" si="6"/>
        <v>6</v>
      </c>
      <c r="F43" s="124">
        <f t="shared" si="4"/>
        <v>20.63</v>
      </c>
      <c r="G43" s="125">
        <f>IF(D43=D42,"",_xlfn.IFNA(VLOOKUP(D43,'인원 입력 기능(사과탐)'!$K$5:$N$59,4,FALSE),0))</f>
        <v>1216</v>
      </c>
      <c r="H43" s="126">
        <f t="shared" si="1"/>
        <v>6.1034984691060584E-2</v>
      </c>
      <c r="I43" s="144">
        <f>SUM($G$7:G43)</f>
        <v>16421</v>
      </c>
      <c r="J43" s="128">
        <f t="shared" si="5"/>
        <v>0.82422325954926468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30"/>
      <c r="E44" s="130"/>
      <c r="F44" s="131"/>
      <c r="G44" s="132"/>
      <c r="H44" s="133"/>
      <c r="I44" s="145"/>
      <c r="J44" s="135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39</v>
      </c>
      <c r="E45" s="120">
        <f t="shared" si="6"/>
        <v>7</v>
      </c>
      <c r="F45" s="106">
        <f t="shared" si="4"/>
        <v>16.079999999999998</v>
      </c>
      <c r="G45" s="107">
        <f>IF(D45=D44,"",_xlfn.IFNA(VLOOKUP(D45,'인원 입력 기능(사과탐)'!$K$5:$N$59,4,FALSE),0))</f>
        <v>598</v>
      </c>
      <c r="H45" s="108">
        <f t="shared" si="1"/>
        <v>3.0015559905636702E-2</v>
      </c>
      <c r="I45" s="118">
        <f>SUM($G$7:G45)</f>
        <v>17019</v>
      </c>
      <c r="J45" s="110">
        <f t="shared" si="5"/>
        <v>0.85423881945490132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38</v>
      </c>
      <c r="E46" s="120">
        <f t="shared" si="6"/>
        <v>7</v>
      </c>
      <c r="F46" s="106">
        <f t="shared" si="4"/>
        <v>13.71</v>
      </c>
      <c r="G46" s="107">
        <f>IF(D46=D45,"",_xlfn.IFNA(VLOOKUP(D46,'인원 입력 기능(사과탐)'!$K$5:$N$59,4,FALSE),0))</f>
        <v>345</v>
      </c>
      <c r="H46" s="108">
        <f t="shared" si="1"/>
        <v>1.7316669176328865E-2</v>
      </c>
      <c r="I46" s="118">
        <f>SUM($G$7:G46)</f>
        <v>17364</v>
      </c>
      <c r="J46" s="110">
        <f t="shared" si="5"/>
        <v>0.87155548863123022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37</v>
      </c>
      <c r="E47" s="120">
        <f t="shared" si="6"/>
        <v>7</v>
      </c>
      <c r="F47" s="106">
        <f t="shared" si="4"/>
        <v>9.86</v>
      </c>
      <c r="G47" s="107">
        <f>IF(D47=D46,"",_xlfn.IFNA(VLOOKUP(D47,'인원 입력 기능(사과탐)'!$K$5:$N$59,4,FALSE),0))</f>
        <v>1188</v>
      </c>
      <c r="H47" s="108">
        <f t="shared" si="1"/>
        <v>5.9629573859358527E-2</v>
      </c>
      <c r="I47" s="118">
        <f>SUM($G$7:G47)</f>
        <v>18552</v>
      </c>
      <c r="J47" s="110">
        <f t="shared" si="5"/>
        <v>0.93118506249058874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36</v>
      </c>
      <c r="E48" s="120">
        <f t="shared" si="6"/>
        <v>8</v>
      </c>
      <c r="F48" s="106">
        <f t="shared" si="4"/>
        <v>6.3</v>
      </c>
      <c r="G48" s="107">
        <f>IF(D48=D47,"",_xlfn.IFNA(VLOOKUP(D48,'인원 입력 기능(사과탐)'!$K$5:$N$59,4,FALSE),0))</f>
        <v>233</v>
      </c>
      <c r="H48" s="108">
        <f t="shared" si="1"/>
        <v>1.1695025849520655E-2</v>
      </c>
      <c r="I48" s="118">
        <f>SUM($G$7:G48)</f>
        <v>18785</v>
      </c>
      <c r="J48" s="110">
        <f t="shared" si="5"/>
        <v>0.94288008834010939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35</v>
      </c>
      <c r="E49" s="120">
        <f t="shared" si="6"/>
        <v>8</v>
      </c>
      <c r="F49" s="106">
        <f t="shared" si="4"/>
        <v>4.99</v>
      </c>
      <c r="G49" s="107">
        <f>IF(D49=D48,"",_xlfn.IFNA(VLOOKUP(D49,'인원 입력 기능(사과탐)'!$K$5:$N$59,4,FALSE),0))</f>
        <v>288</v>
      </c>
      <c r="H49" s="108">
        <f t="shared" si="1"/>
        <v>1.4455654268935402E-2</v>
      </c>
      <c r="I49" s="118">
        <f>SUM($G$7:G49)</f>
        <v>19073</v>
      </c>
      <c r="J49" s="110">
        <f t="shared" si="5"/>
        <v>0.95733574260904486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3">
        <f t="shared" si="3"/>
        <v>34</v>
      </c>
      <c r="E50" s="123">
        <f t="shared" si="6"/>
        <v>8</v>
      </c>
      <c r="F50" s="124">
        <f t="shared" si="4"/>
        <v>3.1</v>
      </c>
      <c r="G50" s="125">
        <f>IF(D50=D49,"",_xlfn.IFNA(VLOOKUP(D50,'인원 입력 기능(사과탐)'!$K$5:$N$59,4,FALSE),0))</f>
        <v>463</v>
      </c>
      <c r="H50" s="126">
        <f t="shared" si="1"/>
        <v>2.3239471967073232E-2</v>
      </c>
      <c r="I50" s="144">
        <f>SUM($G$7:G50)</f>
        <v>19536</v>
      </c>
      <c r="J50" s="128">
        <f t="shared" si="5"/>
        <v>0.98057521457611807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30"/>
      <c r="E51" s="130"/>
      <c r="F51" s="131"/>
      <c r="G51" s="132"/>
      <c r="H51" s="133"/>
      <c r="I51" s="145"/>
      <c r="J51" s="135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33</v>
      </c>
      <c r="E52" s="120">
        <f t="shared" si="6"/>
        <v>9</v>
      </c>
      <c r="F52" s="106">
        <f t="shared" si="4"/>
        <v>1.52</v>
      </c>
      <c r="G52" s="107">
        <f>IF(D52=D51,"",_xlfn.IFNA(VLOOKUP(D52,'인원 입력 기능(사과탐)'!$K$5:$N$59,4,FALSE),0))</f>
        <v>168</v>
      </c>
      <c r="H52" s="108">
        <f t="shared" si="1"/>
        <v>8.4324649902123173E-3</v>
      </c>
      <c r="I52" s="118">
        <f>SUM($G$7:G52)</f>
        <v>19704</v>
      </c>
      <c r="J52" s="110">
        <f t="shared" si="5"/>
        <v>0.9890076795663304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32</v>
      </c>
      <c r="E53" s="105">
        <f t="shared" si="6"/>
        <v>9</v>
      </c>
      <c r="F53" s="106">
        <f t="shared" si="4"/>
        <v>0.89</v>
      </c>
      <c r="G53" s="107">
        <f>IF(D53=D52,"",_xlfn.IFNA(VLOOKUP(D53,'인원 입력 기능(사과탐)'!$K$5:$N$59,4,FALSE),0))</f>
        <v>82</v>
      </c>
      <c r="H53" s="108">
        <f t="shared" si="1"/>
        <v>4.1158460071274404E-3</v>
      </c>
      <c r="I53" s="118">
        <f>SUM($G$7:G53)</f>
        <v>19786</v>
      </c>
      <c r="J53" s="110">
        <f t="shared" si="5"/>
        <v>0.99312352557345784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31</v>
      </c>
      <c r="E54" s="105">
        <f t="shared" si="6"/>
        <v>9</v>
      </c>
      <c r="F54" s="106">
        <f t="shared" si="4"/>
        <v>0.56000000000000005</v>
      </c>
      <c r="G54" s="107">
        <f>IF(D54=D53,"",_xlfn.IFNA(VLOOKUP(D54,'인원 입력 기능(사과탐)'!$K$5:$N$59,4,FALSE),0))</f>
        <v>52</v>
      </c>
      <c r="H54" s="108">
        <f t="shared" si="1"/>
        <v>2.6100486874466697E-3</v>
      </c>
      <c r="I54" s="118">
        <f>SUM($G$7:G54)</f>
        <v>19838</v>
      </c>
      <c r="J54" s="110">
        <f t="shared" si="5"/>
        <v>0.99573357426090447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30</v>
      </c>
      <c r="E55" s="105">
        <f t="shared" si="6"/>
        <v>9</v>
      </c>
      <c r="F55" s="106">
        <f t="shared" si="4"/>
        <v>0.26</v>
      </c>
      <c r="G55" s="107">
        <f>IF(D55=D54,"",_xlfn.IFNA(VLOOKUP(D55,'인원 입력 기능(사과탐)'!$K$5:$N$59,4,FALSE),0))</f>
        <v>68</v>
      </c>
      <c r="H55" s="108">
        <f t="shared" si="1"/>
        <v>3.4131405912764144E-3</v>
      </c>
      <c r="I55" s="118">
        <f>SUM($G$7:G55)</f>
        <v>19906</v>
      </c>
      <c r="J55" s="110">
        <f t="shared" si="5"/>
        <v>0.99914671485218087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29</v>
      </c>
      <c r="E57" s="176">
        <f t="shared" si="6"/>
        <v>9</v>
      </c>
      <c r="F57" s="139">
        <f>IF(I55=0,ROUND(100*(1-(I54+I57)/2/$J$3),2),ROUND(100*(1-(I55+I57)/2/$J$3),2))</f>
        <v>0.04</v>
      </c>
      <c r="G57" s="177">
        <f>_xlfn.IFNA(VLOOKUP(D57,'인원 입력 기능(사과탐)'!$K$5:$N$59,4,FALSE),0)</f>
        <v>17</v>
      </c>
      <c r="H57" s="141">
        <f>G57/$J$3</f>
        <v>8.532851478191036E-4</v>
      </c>
      <c r="I57" s="142">
        <f>SUM($G$7:G57)</f>
        <v>19923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D3:F3"/>
    <mergeCell ref="D4:F4"/>
    <mergeCell ref="D11:D12"/>
    <mergeCell ref="E11:E12"/>
    <mergeCell ref="F11:F12"/>
    <mergeCell ref="G11:G12"/>
    <mergeCell ref="H11:H12"/>
    <mergeCell ref="I11:I12"/>
    <mergeCell ref="J11:J12"/>
    <mergeCell ref="D17:D18"/>
    <mergeCell ref="E17:E18"/>
    <mergeCell ref="F17:F18"/>
    <mergeCell ref="G17:G18"/>
    <mergeCell ref="H17:H18"/>
    <mergeCell ref="I17:I18"/>
    <mergeCell ref="J17:J18"/>
    <mergeCell ref="I24:I25"/>
    <mergeCell ref="J24:J25"/>
    <mergeCell ref="D30:D31"/>
    <mergeCell ref="E30:E31"/>
    <mergeCell ref="F30:F31"/>
    <mergeCell ref="G30:G31"/>
    <mergeCell ref="H30:H31"/>
    <mergeCell ref="I30:I31"/>
    <mergeCell ref="J30:J31"/>
    <mergeCell ref="D24:D25"/>
    <mergeCell ref="E24:E25"/>
    <mergeCell ref="F24:F25"/>
    <mergeCell ref="G24:G25"/>
    <mergeCell ref="H24:H25"/>
    <mergeCell ref="I37:I38"/>
    <mergeCell ref="J37:J38"/>
    <mergeCell ref="D43:D44"/>
    <mergeCell ref="E43:E44"/>
    <mergeCell ref="F43:F44"/>
    <mergeCell ref="G43:G44"/>
    <mergeCell ref="H43:H44"/>
    <mergeCell ref="I43:I44"/>
    <mergeCell ref="J43:J44"/>
    <mergeCell ref="D37:D38"/>
    <mergeCell ref="E37:E38"/>
    <mergeCell ref="F37:F38"/>
    <mergeCell ref="G37:G38"/>
    <mergeCell ref="H37:H38"/>
    <mergeCell ref="I50:I51"/>
    <mergeCell ref="J50:J51"/>
    <mergeCell ref="D50:D51"/>
    <mergeCell ref="E50:E51"/>
    <mergeCell ref="F50:F51"/>
    <mergeCell ref="G50:G51"/>
    <mergeCell ref="H50:H51"/>
  </mergeCells>
  <phoneticPr fontId="1" type="noConversion"/>
  <conditionalFormatting sqref="D7:G11 I7:J11 D13:G17 I13:J17 D19:G24 I19:J24 D26:G30 I26:J30 D32:G37 I32:J37 D39:G43 I39:J43 D45:G50 I45:J50 D52:G57 I52:J57">
    <cfRule type="expression" dxfId="43" priority="4">
      <formula>OR($D7=$Q$7:$Q$14)</formula>
    </cfRule>
  </conditionalFormatting>
  <conditionalFormatting sqref="C7:C57">
    <cfRule type="expression" dxfId="42" priority="3">
      <formula>OR(AND($D7=0,OR($D6=$Q$7:$Q$14)),AND($D8&gt;0,OR($D7=$Q$7:$Q$14)))</formula>
    </cfRule>
  </conditionalFormatting>
  <conditionalFormatting sqref="D7:D11 D13:D17 D19:D24 D26:D30 D32:D37 D39:D43 D45:D50 D52:D57">
    <cfRule type="expression" dxfId="41" priority="2">
      <formula>$D7=$D8</formula>
    </cfRule>
  </conditionalFormatting>
  <conditionalFormatting sqref="H7:H11 H13:H17 H19:H24 H26:H30 H32:H37 H39:H43 H45:H50 H52:H57">
    <cfRule type="expression" dxfId="4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기능'!D11</f>
        <v>21.84</v>
      </c>
      <c r="I3" s="21" t="s">
        <v>107</v>
      </c>
      <c r="J3" s="93">
        <f>'통계 및 응시자 수 입력 기능'!C11</f>
        <v>16534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138</v>
      </c>
      <c r="E4" s="96"/>
      <c r="F4" s="97"/>
      <c r="G4" s="98" t="s">
        <v>110</v>
      </c>
      <c r="H4" s="99" t="str">
        <f>'통계 및 응시자 수 입력 기능'!E11</f>
        <v>11.06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75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99.67</v>
      </c>
      <c r="G7" s="107">
        <f>_xlfn.IFNA(VLOOKUP(D7,'인원 입력 기능(사과탐)'!$P$5:$S$59,4,FALSE),0)</f>
        <v>108</v>
      </c>
      <c r="H7" s="108">
        <f>G7/$J$3</f>
        <v>6.5319946776339665E-3</v>
      </c>
      <c r="I7" s="109">
        <f>G7</f>
        <v>108</v>
      </c>
      <c r="J7" s="110">
        <f>I7/$J$3</f>
        <v>6.5319946776339665E-3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70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기능'!C68</f>
        <v>65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74</v>
      </c>
      <c r="E9" s="105">
        <f t="shared" si="0"/>
        <v>1</v>
      </c>
      <c r="F9" s="106">
        <f>IF(I8=0,ROUND(100*(1-(I7+I9)/2/$J$3),2),ROUND(100*(1-(I8+I9)/2/$J$3),2))</f>
        <v>99.14</v>
      </c>
      <c r="G9" s="107">
        <f>_xlfn.IFNA(VLOOKUP(D9,'인원 입력 기능(사과탐)'!$P$5:$S$59,4,FALSE),0)</f>
        <v>70</v>
      </c>
      <c r="H9" s="108">
        <f t="shared" ref="H9:H55" si="1">G9/$J$3</f>
        <v>4.2337002540220152E-3</v>
      </c>
      <c r="I9" s="118">
        <f>SUM($G$7:G9)</f>
        <v>178</v>
      </c>
      <c r="J9" s="110">
        <f>I9/$J$3</f>
        <v>1.0765694931655981E-2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73</v>
      </c>
      <c r="E10" s="105">
        <f t="shared" si="0"/>
        <v>1</v>
      </c>
      <c r="F10" s="106">
        <f t="shared" ref="F10:F55" si="4">IF(I9=0,ROUND(100*(1-(I8+I10)/2/$J$3),2),ROUND(100*(1-(I9+I10)/2/$J$3),2))</f>
        <v>98.45</v>
      </c>
      <c r="G10" s="107">
        <f>IF(D10=D9,"",_xlfn.IFNA(VLOOKUP(D10,'인원 입력 기능(사과탐)'!$P$5:$S$59,4,FALSE),0))</f>
        <v>155</v>
      </c>
      <c r="H10" s="108">
        <f t="shared" si="1"/>
        <v>9.3746219910487479E-3</v>
      </c>
      <c r="I10" s="118">
        <f>SUM($G$7:G10)</f>
        <v>333</v>
      </c>
      <c r="J10" s="110">
        <f t="shared" ref="J10:J55" si="5">I10/$J$3</f>
        <v>2.014031692270473E-2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51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72</v>
      </c>
      <c r="E11" s="105">
        <f t="shared" si="0"/>
        <v>1</v>
      </c>
      <c r="F11" s="106">
        <f t="shared" si="4"/>
        <v>97.88</v>
      </c>
      <c r="G11" s="107">
        <f>IF(D11=D10,"",_xlfn.IFNA(VLOOKUP(D11,'인원 입력 기능(사과탐)'!$P$5:$S$59,4,FALSE),0))</f>
        <v>36</v>
      </c>
      <c r="H11" s="108">
        <f t="shared" si="1"/>
        <v>2.177331559211322E-3</v>
      </c>
      <c r="I11" s="118">
        <f>SUM($G$7:G11)</f>
        <v>369</v>
      </c>
      <c r="J11" s="110">
        <f t="shared" si="5"/>
        <v>2.2317648481916051E-2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71</v>
      </c>
      <c r="E12" s="105">
        <f t="shared" si="0"/>
        <v>1</v>
      </c>
      <c r="F12" s="106">
        <f t="shared" si="4"/>
        <v>97.27</v>
      </c>
      <c r="G12" s="107">
        <f>IF(D12=D11,"",_xlfn.IFNA(VLOOKUP(D12,'인원 입력 기능(사과탐)'!$P$5:$S$59,4,FALSE),0))</f>
        <v>166</v>
      </c>
      <c r="H12" s="108">
        <f t="shared" si="1"/>
        <v>1.0039917745252208E-2</v>
      </c>
      <c r="I12" s="118">
        <f>SUM($G$7:G12)</f>
        <v>535</v>
      </c>
      <c r="J12" s="110">
        <f t="shared" si="5"/>
        <v>3.2357566227168261E-2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70</v>
      </c>
      <c r="E13" s="105">
        <f t="shared" si="0"/>
        <v>1</v>
      </c>
      <c r="F13" s="106">
        <f t="shared" si="4"/>
        <v>96.35</v>
      </c>
      <c r="G13" s="107">
        <f>IF(D13=D12,"",_xlfn.IFNA(VLOOKUP(D13,'인원 입력 기능(사과탐)'!$P$5:$S$59,4,FALSE),0))</f>
        <v>137</v>
      </c>
      <c r="H13" s="108">
        <f t="shared" si="1"/>
        <v>8.2859562114430876E-3</v>
      </c>
      <c r="I13" s="118">
        <f>SUM($G$7:G13)</f>
        <v>672</v>
      </c>
      <c r="J13" s="110">
        <f t="shared" si="5"/>
        <v>4.0643522438611343E-2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38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69</v>
      </c>
      <c r="E14" s="105">
        <f t="shared" si="0"/>
        <v>2</v>
      </c>
      <c r="F14" s="106">
        <f t="shared" si="4"/>
        <v>95.56</v>
      </c>
      <c r="G14" s="107">
        <f>IF(D14=D13,"",_xlfn.IFNA(VLOOKUP(D14,'인원 입력 기능(사과탐)'!$P$5:$S$59,4,FALSE),0))</f>
        <v>125</v>
      </c>
      <c r="H14" s="108">
        <f t="shared" si="1"/>
        <v>7.5601790250393128E-3</v>
      </c>
      <c r="I14" s="118">
        <f>SUM($G$7:G14)</f>
        <v>797</v>
      </c>
      <c r="J14" s="110">
        <f t="shared" si="5"/>
        <v>4.8203701463650661E-2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37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68</v>
      </c>
      <c r="E15" s="105">
        <f t="shared" si="0"/>
        <v>2</v>
      </c>
      <c r="F15" s="106">
        <f t="shared" si="4"/>
        <v>94.45</v>
      </c>
      <c r="G15" s="107">
        <f>IF(D15=D14,"",_xlfn.IFNA(VLOOKUP(D15,'인원 입력 기능(사과탐)'!$P$5:$S$59,4,FALSE),0))</f>
        <v>242</v>
      </c>
      <c r="H15" s="108">
        <f t="shared" si="1"/>
        <v>1.463650659247611E-2</v>
      </c>
      <c r="I15" s="118">
        <f>SUM($G$7:G15)</f>
        <v>1039</v>
      </c>
      <c r="J15" s="110">
        <f t="shared" si="5"/>
        <v>6.2840208056126765E-2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67</v>
      </c>
      <c r="E16" s="105">
        <f t="shared" si="0"/>
        <v>2</v>
      </c>
      <c r="F16" s="106">
        <f t="shared" si="4"/>
        <v>93.3</v>
      </c>
      <c r="G16" s="107">
        <f>IF(D16=D15,"",_xlfn.IFNA(VLOOKUP(D16,'인원 입력 기능(사과탐)'!$P$5:$S$59,4,FALSE),0))</f>
        <v>138</v>
      </c>
      <c r="H16" s="108">
        <f t="shared" si="1"/>
        <v>8.3464376436434007E-3</v>
      </c>
      <c r="I16" s="118">
        <f>SUM($G$7:G16)</f>
        <v>1177</v>
      </c>
      <c r="J16" s="110">
        <f t="shared" si="5"/>
        <v>7.1186645699770165E-2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22">
        <f t="shared" si="3"/>
        <v>66</v>
      </c>
      <c r="E17" s="122">
        <f t="shared" si="0"/>
        <v>2</v>
      </c>
      <c r="F17" s="124">
        <f t="shared" si="4"/>
        <v>91.5</v>
      </c>
      <c r="G17" s="125">
        <f>IF(D17=D16,"",_xlfn.IFNA(VLOOKUP(D17,'인원 입력 기능(사과탐)'!$P$5:$S$59,4,FALSE),0))</f>
        <v>458</v>
      </c>
      <c r="H17" s="126">
        <f t="shared" si="1"/>
        <v>2.7700495947744042E-2</v>
      </c>
      <c r="I17" s="144">
        <f>SUM($G$7:G17)</f>
        <v>1635</v>
      </c>
      <c r="J17" s="128">
        <f t="shared" si="5"/>
        <v>9.8887141647514207E-2</v>
      </c>
      <c r="K17" s="36"/>
      <c r="L17" s="20" t="str">
        <f t="shared" si="2"/>
        <v/>
      </c>
      <c r="N17" s="24"/>
      <c r="Q17" s="24">
        <f>Q7*H3*H4*J3*IFERROR(IF(J57=1, 1, 0), 0)</f>
        <v>279565601.95200002</v>
      </c>
    </row>
    <row r="18" spans="1:17" s="22" customFormat="1" ht="25" customHeight="1" x14ac:dyDescent="0.45">
      <c r="A18" s="20"/>
      <c r="B18" s="35"/>
      <c r="C18" s="111">
        <v>39</v>
      </c>
      <c r="D18" s="129"/>
      <c r="E18" s="129"/>
      <c r="F18" s="131"/>
      <c r="G18" s="132"/>
      <c r="H18" s="133"/>
      <c r="I18" s="145"/>
      <c r="J18" s="135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65</v>
      </c>
      <c r="E19" s="105">
        <f t="shared" si="0"/>
        <v>2</v>
      </c>
      <c r="F19" s="106">
        <f t="shared" si="4"/>
        <v>89.54</v>
      </c>
      <c r="G19" s="107">
        <f>IF(D19=D18,"",_xlfn.IFNA(VLOOKUP(D19,'인원 입력 기능(사과탐)'!$P$5:$S$59,4,FALSE),0))</f>
        <v>189</v>
      </c>
      <c r="H19" s="108">
        <f t="shared" si="1"/>
        <v>1.1430990685859441E-2</v>
      </c>
      <c r="I19" s="118">
        <f>SUM($G$7:G19)</f>
        <v>1824</v>
      </c>
      <c r="J19" s="110">
        <f t="shared" si="5"/>
        <v>0.11031813233337365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64</v>
      </c>
      <c r="E20" s="105">
        <f t="shared" si="0"/>
        <v>3</v>
      </c>
      <c r="F20" s="106">
        <f t="shared" si="4"/>
        <v>88.17</v>
      </c>
      <c r="G20" s="107">
        <f>IF(D20=D19,"",_xlfn.IFNA(VLOOKUP(D20,'인원 입력 기능(사과탐)'!$P$5:$S$59,4,FALSE),0))</f>
        <v>265</v>
      </c>
      <c r="H20" s="108">
        <f t="shared" si="1"/>
        <v>1.6027579533083345E-2</v>
      </c>
      <c r="I20" s="118">
        <f>SUM($G$7:G20)</f>
        <v>2089</v>
      </c>
      <c r="J20" s="110">
        <f t="shared" si="5"/>
        <v>0.12634571186645699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63</v>
      </c>
      <c r="E21" s="120">
        <f t="shared" si="0"/>
        <v>3</v>
      </c>
      <c r="F21" s="106">
        <f t="shared" si="4"/>
        <v>86.69</v>
      </c>
      <c r="G21" s="107">
        <f>IF(D21=D20,"",_xlfn.IFNA(VLOOKUP(D21,'인원 입력 기능(사과탐)'!$P$5:$S$59,4,FALSE),0))</f>
        <v>223</v>
      </c>
      <c r="H21" s="108">
        <f t="shared" si="1"/>
        <v>1.3487359380670133E-2</v>
      </c>
      <c r="I21" s="118">
        <f>SUM($G$7:G21)</f>
        <v>2312</v>
      </c>
      <c r="J21" s="110">
        <f t="shared" si="5"/>
        <v>0.13983307124712713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62</v>
      </c>
      <c r="E22" s="120">
        <f t="shared" si="0"/>
        <v>3</v>
      </c>
      <c r="F22" s="106">
        <f t="shared" si="4"/>
        <v>85.18</v>
      </c>
      <c r="G22" s="107">
        <f>IF(D22=D21,"",_xlfn.IFNA(VLOOKUP(D22,'인원 입력 기능(사과탐)'!$P$5:$S$59,4,FALSE),0))</f>
        <v>276</v>
      </c>
      <c r="H22" s="108">
        <f t="shared" si="1"/>
        <v>1.6692875287286801E-2</v>
      </c>
      <c r="I22" s="118">
        <f>SUM($G$7:G22)</f>
        <v>2588</v>
      </c>
      <c r="J22" s="110">
        <f t="shared" si="5"/>
        <v>0.15652594653441393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61</v>
      </c>
      <c r="E23" s="120">
        <f t="shared" si="0"/>
        <v>3</v>
      </c>
      <c r="F23" s="106">
        <f t="shared" si="4"/>
        <v>83.41</v>
      </c>
      <c r="G23" s="107">
        <f>IF(D23=D22,"",_xlfn.IFNA(VLOOKUP(D23,'인원 입력 기능(사과탐)'!$P$5:$S$59,4,FALSE),0))</f>
        <v>309</v>
      </c>
      <c r="H23" s="108">
        <f t="shared" si="1"/>
        <v>1.8688762549897181E-2</v>
      </c>
      <c r="I23" s="118">
        <f>SUM($G$7:G23)</f>
        <v>2897</v>
      </c>
      <c r="J23" s="110">
        <f t="shared" si="5"/>
        <v>0.17521470908431111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60</v>
      </c>
      <c r="E24" s="120">
        <f t="shared" si="0"/>
        <v>3</v>
      </c>
      <c r="F24" s="106">
        <f t="shared" si="4"/>
        <v>81.709999999999994</v>
      </c>
      <c r="G24" s="107">
        <f>IF(D24=D23,"",_xlfn.IFNA(VLOOKUP(D24,'인원 입력 기능(사과탐)'!$P$5:$S$59,4,FALSE),0))</f>
        <v>254</v>
      </c>
      <c r="H24" s="108">
        <f t="shared" si="1"/>
        <v>1.5362283778879883E-2</v>
      </c>
      <c r="I24" s="118">
        <f>SUM($G$7:G24)</f>
        <v>3151</v>
      </c>
      <c r="J24" s="110">
        <f t="shared" si="5"/>
        <v>0.19057699286319099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59</v>
      </c>
      <c r="E25" s="120">
        <f t="shared" si="0"/>
        <v>3</v>
      </c>
      <c r="F25" s="106">
        <f t="shared" si="4"/>
        <v>79.849999999999994</v>
      </c>
      <c r="G25" s="107">
        <f>IF(D25=D24,"",_xlfn.IFNA(VLOOKUP(D25,'인원 입력 기능(사과탐)'!$P$5:$S$59,4,FALSE),0))</f>
        <v>361</v>
      </c>
      <c r="H25" s="108">
        <f t="shared" si="1"/>
        <v>2.1833797024313536E-2</v>
      </c>
      <c r="I25" s="118">
        <f>SUM($G$7:G25)</f>
        <v>3512</v>
      </c>
      <c r="J25" s="110">
        <f t="shared" si="5"/>
        <v>0.21241078988750453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58</v>
      </c>
      <c r="E26" s="120">
        <f t="shared" si="0"/>
        <v>3</v>
      </c>
      <c r="F26" s="106">
        <f t="shared" si="4"/>
        <v>77.83</v>
      </c>
      <c r="G26" s="107">
        <f>IF(D26=D25,"",_xlfn.IFNA(VLOOKUP(D26,'인원 입력 기능(사과탐)'!$P$5:$S$59,4,FALSE),0))</f>
        <v>308</v>
      </c>
      <c r="H26" s="108">
        <f t="shared" si="1"/>
        <v>1.8628281117696866E-2</v>
      </c>
      <c r="I26" s="118">
        <f>SUM($G$7:G26)</f>
        <v>3820</v>
      </c>
      <c r="J26" s="110">
        <f t="shared" si="5"/>
        <v>0.23103907100520141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57</v>
      </c>
      <c r="E27" s="120">
        <f t="shared" si="0"/>
        <v>4</v>
      </c>
      <c r="F27" s="106">
        <f t="shared" si="4"/>
        <v>75.790000000000006</v>
      </c>
      <c r="G27" s="107">
        <f>IF(D27=D26,"",_xlfn.IFNA(VLOOKUP(D27,'인원 입력 기능(사과탐)'!$P$5:$S$59,4,FALSE),0))</f>
        <v>366</v>
      </c>
      <c r="H27" s="108">
        <f t="shared" si="1"/>
        <v>2.2136204185315107E-2</v>
      </c>
      <c r="I27" s="118">
        <f>SUM($G$7:G27)</f>
        <v>4186</v>
      </c>
      <c r="J27" s="110">
        <f t="shared" si="5"/>
        <v>0.25317527519051652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3">
        <f t="shared" si="3"/>
        <v>56</v>
      </c>
      <c r="E28" s="123">
        <f t="shared" si="0"/>
        <v>4</v>
      </c>
      <c r="F28" s="124">
        <f t="shared" si="4"/>
        <v>72.510000000000005</v>
      </c>
      <c r="G28" s="125">
        <f>IF(D28=D27,"",_xlfn.IFNA(VLOOKUP(D28,'인원 입력 기능(사과탐)'!$P$5:$S$59,4,FALSE),0))</f>
        <v>718</v>
      </c>
      <c r="H28" s="126">
        <f t="shared" si="1"/>
        <v>4.3425668319825812E-2</v>
      </c>
      <c r="I28" s="144">
        <f>SUM($G$7:G28)</f>
        <v>4904</v>
      </c>
      <c r="J28" s="128">
        <f t="shared" si="5"/>
        <v>0.29660094351034233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30"/>
      <c r="E29" s="130"/>
      <c r="F29" s="131"/>
      <c r="G29" s="132"/>
      <c r="H29" s="133"/>
      <c r="I29" s="145"/>
      <c r="J29" s="135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55</v>
      </c>
      <c r="E30" s="120">
        <f t="shared" si="0"/>
        <v>4</v>
      </c>
      <c r="F30" s="106">
        <f t="shared" si="4"/>
        <v>69.14</v>
      </c>
      <c r="G30" s="107">
        <f>IF(D30=D29,"",_xlfn.IFNA(VLOOKUP(D30,'인원 입력 기능(사과탐)'!$P$5:$S$59,4,FALSE),0))</f>
        <v>398</v>
      </c>
      <c r="H30" s="108">
        <f t="shared" si="1"/>
        <v>2.4071610015725171E-2</v>
      </c>
      <c r="I30" s="118">
        <f>SUM($G$7:G30)</f>
        <v>5302</v>
      </c>
      <c r="J30" s="110">
        <f t="shared" si="5"/>
        <v>0.32067255352606749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54</v>
      </c>
      <c r="E31" s="120">
        <f t="shared" si="0"/>
        <v>4</v>
      </c>
      <c r="F31" s="106">
        <f t="shared" si="4"/>
        <v>66.7</v>
      </c>
      <c r="G31" s="107">
        <f>IF(D31=D30,"",_xlfn.IFNA(VLOOKUP(D31,'인원 입력 기능(사과탐)'!$P$5:$S$59,4,FALSE),0))</f>
        <v>406</v>
      </c>
      <c r="H31" s="108">
        <f t="shared" si="1"/>
        <v>2.4555461473327687E-2</v>
      </c>
      <c r="I31" s="118">
        <f>SUM($G$7:G31)</f>
        <v>5708</v>
      </c>
      <c r="J31" s="110">
        <f t="shared" si="5"/>
        <v>0.34522801499939521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53</v>
      </c>
      <c r="E32" s="120">
        <f t="shared" si="0"/>
        <v>4</v>
      </c>
      <c r="F32" s="106">
        <f t="shared" si="4"/>
        <v>64.19</v>
      </c>
      <c r="G32" s="107">
        <f>IF(D32=D31,"",_xlfn.IFNA(VLOOKUP(D32,'인원 입력 기능(사과탐)'!$P$5:$S$59,4,FALSE),0))</f>
        <v>426</v>
      </c>
      <c r="H32" s="108">
        <f t="shared" si="1"/>
        <v>2.5765090117333977E-2</v>
      </c>
      <c r="I32" s="118">
        <f>SUM($G$7:G32)</f>
        <v>6134</v>
      </c>
      <c r="J32" s="110">
        <f t="shared" si="5"/>
        <v>0.37099310511672917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52</v>
      </c>
      <c r="E33" s="120">
        <f t="shared" si="0"/>
        <v>4</v>
      </c>
      <c r="F33" s="106">
        <f t="shared" si="4"/>
        <v>61.49</v>
      </c>
      <c r="G33" s="107">
        <f>IF(D33=D32,"",_xlfn.IFNA(VLOOKUP(D33,'인원 입력 기능(사과탐)'!$P$5:$S$59,4,FALSE),0))</f>
        <v>467</v>
      </c>
      <c r="H33" s="108">
        <f t="shared" si="1"/>
        <v>2.8244828837546872E-2</v>
      </c>
      <c r="I33" s="118">
        <f>SUM($G$7:G33)</f>
        <v>6601</v>
      </c>
      <c r="J33" s="110">
        <f t="shared" si="5"/>
        <v>0.39923793395427604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51</v>
      </c>
      <c r="E34" s="120">
        <f t="shared" si="0"/>
        <v>4</v>
      </c>
      <c r="F34" s="106">
        <f t="shared" si="4"/>
        <v>58.73</v>
      </c>
      <c r="G34" s="107">
        <f>IF(D34=D33,"",_xlfn.IFNA(VLOOKUP(D34,'인원 입력 기능(사과탐)'!$P$5:$S$59,4,FALSE),0))</f>
        <v>444</v>
      </c>
      <c r="H34" s="108">
        <f t="shared" si="1"/>
        <v>2.6853755896939641E-2</v>
      </c>
      <c r="I34" s="118">
        <f>SUM($G$7:G34)</f>
        <v>7045</v>
      </c>
      <c r="J34" s="110">
        <f t="shared" si="5"/>
        <v>0.42609168985121565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50</v>
      </c>
      <c r="E35" s="120">
        <f t="shared" si="0"/>
        <v>5</v>
      </c>
      <c r="F35" s="106">
        <f t="shared" si="4"/>
        <v>55.86</v>
      </c>
      <c r="G35" s="107">
        <f>IF(D35=D34,"",_xlfn.IFNA(VLOOKUP(D35,'인원 입력 기능(사과탐)'!$P$5:$S$59,4,FALSE),0))</f>
        <v>507</v>
      </c>
      <c r="H35" s="108">
        <f t="shared" si="1"/>
        <v>3.0664086125559452E-2</v>
      </c>
      <c r="I35" s="118">
        <f>SUM($G$7:G35)</f>
        <v>7552</v>
      </c>
      <c r="J35" s="110">
        <f t="shared" si="5"/>
        <v>0.45675577597677514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49</v>
      </c>
      <c r="E36" s="120">
        <f t="shared" si="0"/>
        <v>5</v>
      </c>
      <c r="F36" s="106">
        <f t="shared" si="4"/>
        <v>52.79</v>
      </c>
      <c r="G36" s="107">
        <f>IF(D36=D35,"",_xlfn.IFNA(VLOOKUP(D36,'인원 입력 기능(사과탐)'!$P$5:$S$59,4,FALSE),0))</f>
        <v>508</v>
      </c>
      <c r="H36" s="108">
        <f t="shared" si="1"/>
        <v>3.0724567557759767E-2</v>
      </c>
      <c r="I36" s="118">
        <f>SUM($G$7:G36)</f>
        <v>8060</v>
      </c>
      <c r="J36" s="110">
        <f t="shared" si="5"/>
        <v>0.4874803435345349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48</v>
      </c>
      <c r="E37" s="120">
        <f t="shared" si="0"/>
        <v>5</v>
      </c>
      <c r="F37" s="106">
        <f t="shared" si="4"/>
        <v>49.62</v>
      </c>
      <c r="G37" s="107">
        <f>IF(D37=D36,"",_xlfn.IFNA(VLOOKUP(D37,'인원 입력 기능(사과탐)'!$P$5:$S$59,4,FALSE),0))</f>
        <v>540</v>
      </c>
      <c r="H37" s="108">
        <f t="shared" si="1"/>
        <v>3.2659973388169831E-2</v>
      </c>
      <c r="I37" s="118">
        <f>SUM($G$7:G37)</f>
        <v>8600</v>
      </c>
      <c r="J37" s="110">
        <f t="shared" si="5"/>
        <v>0.52014031692270468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3">
        <f t="shared" si="3"/>
        <v>47</v>
      </c>
      <c r="E38" s="123">
        <f t="shared" si="0"/>
        <v>5</v>
      </c>
      <c r="F38" s="124">
        <f t="shared" si="4"/>
        <v>44.69</v>
      </c>
      <c r="G38" s="125">
        <f>IF(D38=D37,"",_xlfn.IFNA(VLOOKUP(D38,'인원 입력 기능(사과탐)'!$P$5:$S$59,4,FALSE),0))</f>
        <v>1089</v>
      </c>
      <c r="H38" s="126">
        <f t="shared" si="1"/>
        <v>6.58642796661425E-2</v>
      </c>
      <c r="I38" s="144">
        <f>SUM($G$7:G38)</f>
        <v>9689</v>
      </c>
      <c r="J38" s="128">
        <f t="shared" si="5"/>
        <v>0.58600459658884718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30"/>
      <c r="E39" s="130"/>
      <c r="F39" s="131"/>
      <c r="G39" s="132"/>
      <c r="H39" s="133"/>
      <c r="I39" s="145"/>
      <c r="J39" s="135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46</v>
      </c>
      <c r="E40" s="120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5</v>
      </c>
      <c r="F40" s="106">
        <f t="shared" si="4"/>
        <v>39.71</v>
      </c>
      <c r="G40" s="107">
        <f>IF(D40=D39,"",_xlfn.IFNA(VLOOKUP(D40,'인원 입력 기능(사과탐)'!$P$5:$S$59,4,FALSE),0))</f>
        <v>560</v>
      </c>
      <c r="H40" s="108">
        <f t="shared" si="1"/>
        <v>3.3869602032176122E-2</v>
      </c>
      <c r="I40" s="118">
        <f>SUM($G$7:G40)</f>
        <v>10249</v>
      </c>
      <c r="J40" s="110">
        <f t="shared" si="5"/>
        <v>0.61987419862102333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45</v>
      </c>
      <c r="E41" s="120">
        <f t="shared" si="6"/>
        <v>6</v>
      </c>
      <c r="F41" s="106">
        <f t="shared" si="4"/>
        <v>36.47</v>
      </c>
      <c r="G41" s="107">
        <f>IF(D41=D40,"",_xlfn.IFNA(VLOOKUP(D41,'인원 입력 기능(사과탐)'!$P$5:$S$59,4,FALSE),0))</f>
        <v>509</v>
      </c>
      <c r="H41" s="108">
        <f t="shared" si="1"/>
        <v>3.0785048989960082E-2</v>
      </c>
      <c r="I41" s="118">
        <f>SUM($G$7:G41)</f>
        <v>10758</v>
      </c>
      <c r="J41" s="110">
        <f t="shared" si="5"/>
        <v>0.65065924761098348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44</v>
      </c>
      <c r="E42" s="120">
        <f t="shared" si="6"/>
        <v>6</v>
      </c>
      <c r="F42" s="106">
        <f t="shared" si="4"/>
        <v>33.200000000000003</v>
      </c>
      <c r="G42" s="107">
        <f>IF(D42=D41,"",_xlfn.IFNA(VLOOKUP(D42,'인원 입력 기능(사과탐)'!$P$5:$S$59,4,FALSE),0))</f>
        <v>573</v>
      </c>
      <c r="H42" s="108">
        <f t="shared" si="1"/>
        <v>3.4655860650780211E-2</v>
      </c>
      <c r="I42" s="118">
        <f>SUM($G$7:G42)</f>
        <v>11331</v>
      </c>
      <c r="J42" s="110">
        <f t="shared" si="5"/>
        <v>0.68531510826176367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43</v>
      </c>
      <c r="E43" s="120">
        <f t="shared" si="6"/>
        <v>6</v>
      </c>
      <c r="F43" s="106">
        <f t="shared" si="4"/>
        <v>29.76</v>
      </c>
      <c r="G43" s="107">
        <f>IF(D43=D42,"",_xlfn.IFNA(VLOOKUP(D43,'인원 입력 기능(사과탐)'!$P$5:$S$59,4,FALSE),0))</f>
        <v>564</v>
      </c>
      <c r="H43" s="108">
        <f t="shared" si="1"/>
        <v>3.4111527760977381E-2</v>
      </c>
      <c r="I43" s="118">
        <f>SUM($G$7:G43)</f>
        <v>11895</v>
      </c>
      <c r="J43" s="110">
        <f t="shared" si="5"/>
        <v>0.71942663602274104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42</v>
      </c>
      <c r="E44" s="120">
        <f t="shared" si="6"/>
        <v>6</v>
      </c>
      <c r="F44" s="106">
        <f t="shared" si="4"/>
        <v>26.15</v>
      </c>
      <c r="G44" s="107">
        <f>IF(D44=D43,"",_xlfn.IFNA(VLOOKUP(D44,'인원 입력 기능(사과탐)'!$P$5:$S$59,4,FALSE),0))</f>
        <v>630</v>
      </c>
      <c r="H44" s="108">
        <f t="shared" si="1"/>
        <v>3.810330228619814E-2</v>
      </c>
      <c r="I44" s="118">
        <f>SUM($G$7:G44)</f>
        <v>12525</v>
      </c>
      <c r="J44" s="110">
        <f t="shared" si="5"/>
        <v>0.75752993830893911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41</v>
      </c>
      <c r="E45" s="120">
        <f t="shared" si="6"/>
        <v>6</v>
      </c>
      <c r="F45" s="106">
        <f t="shared" si="4"/>
        <v>22.65</v>
      </c>
      <c r="G45" s="107">
        <f>IF(D45=D44,"",_xlfn.IFNA(VLOOKUP(D45,'인원 입력 기능(사과탐)'!$P$5:$S$59,4,FALSE),0))</f>
        <v>527</v>
      </c>
      <c r="H45" s="108">
        <f t="shared" si="1"/>
        <v>3.1873714769565742E-2</v>
      </c>
      <c r="I45" s="118">
        <f>SUM($G$7:G45)</f>
        <v>13052</v>
      </c>
      <c r="J45" s="110">
        <f t="shared" si="5"/>
        <v>0.78940365307850491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40</v>
      </c>
      <c r="E46" s="120">
        <f t="shared" si="6"/>
        <v>7</v>
      </c>
      <c r="F46" s="106">
        <f t="shared" si="4"/>
        <v>17.98</v>
      </c>
      <c r="G46" s="107">
        <f>IF(D46=D45,"",_xlfn.IFNA(VLOOKUP(D46,'인원 입력 기능(사과탐)'!$P$5:$S$59,4,FALSE),0))</f>
        <v>1017</v>
      </c>
      <c r="H46" s="108">
        <f t="shared" si="1"/>
        <v>6.1509616547719852E-2</v>
      </c>
      <c r="I46" s="118">
        <f>SUM($G$7:G46)</f>
        <v>14069</v>
      </c>
      <c r="J46" s="110">
        <f t="shared" si="5"/>
        <v>0.85091326962622471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39</v>
      </c>
      <c r="E47" s="120">
        <f t="shared" si="6"/>
        <v>7</v>
      </c>
      <c r="F47" s="106">
        <f t="shared" si="4"/>
        <v>13.41</v>
      </c>
      <c r="G47" s="107">
        <f>IF(D47=D46,"",_xlfn.IFNA(VLOOKUP(D47,'인원 입력 기능(사과탐)'!$P$5:$S$59,4,FALSE),0))</f>
        <v>496</v>
      </c>
      <c r="H47" s="108">
        <f t="shared" si="1"/>
        <v>2.9998790371355995E-2</v>
      </c>
      <c r="I47" s="118">
        <f>SUM($G$7:G47)</f>
        <v>14565</v>
      </c>
      <c r="J47" s="110">
        <f t="shared" si="5"/>
        <v>0.88091205999758071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38</v>
      </c>
      <c r="E48" s="120">
        <f t="shared" si="6"/>
        <v>7</v>
      </c>
      <c r="F48" s="106">
        <f t="shared" si="4"/>
        <v>10.37</v>
      </c>
      <c r="G48" s="107">
        <f>IF(D48=D47,"",_xlfn.IFNA(VLOOKUP(D48,'인원 입력 기능(사과탐)'!$P$5:$S$59,4,FALSE),0))</f>
        <v>508</v>
      </c>
      <c r="H48" s="108">
        <f t="shared" si="1"/>
        <v>3.0724567557759767E-2</v>
      </c>
      <c r="I48" s="118">
        <f>SUM($G$7:G48)</f>
        <v>15073</v>
      </c>
      <c r="J48" s="110">
        <f t="shared" si="5"/>
        <v>0.91163662755534047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3">
        <f t="shared" si="3"/>
        <v>37</v>
      </c>
      <c r="E49" s="123">
        <f t="shared" si="6"/>
        <v>8</v>
      </c>
      <c r="F49" s="124">
        <f t="shared" si="4"/>
        <v>6.11</v>
      </c>
      <c r="G49" s="125">
        <f>IF(D49=D48,"",_xlfn.IFNA(VLOOKUP(D49,'인원 입력 기능(사과탐)'!$P$5:$S$59,4,FALSE),0))</f>
        <v>902</v>
      </c>
      <c r="H49" s="126">
        <f t="shared" si="1"/>
        <v>5.4554251844683682E-2</v>
      </c>
      <c r="I49" s="144">
        <f>SUM($G$7:G49)</f>
        <v>15975</v>
      </c>
      <c r="J49" s="128">
        <f t="shared" si="5"/>
        <v>0.96619087940002424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30"/>
      <c r="E50" s="130"/>
      <c r="F50" s="131"/>
      <c r="G50" s="132"/>
      <c r="H50" s="133"/>
      <c r="I50" s="145"/>
      <c r="J50" s="135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36</v>
      </c>
      <c r="E51" s="120">
        <f t="shared" si="6"/>
        <v>9</v>
      </c>
      <c r="F51" s="106">
        <f t="shared" si="4"/>
        <v>2.92</v>
      </c>
      <c r="G51" s="107">
        <f>IF(D51=D50,"",_xlfn.IFNA(VLOOKUP(D51,'인원 입력 기능(사과탐)'!$P$5:$S$59,4,FALSE),0))</f>
        <v>151</v>
      </c>
      <c r="H51" s="108">
        <f t="shared" si="1"/>
        <v>9.1326962622474903E-3</v>
      </c>
      <c r="I51" s="118">
        <f>SUM($G$7:G51)</f>
        <v>16126</v>
      </c>
      <c r="J51" s="110">
        <f t="shared" si="5"/>
        <v>0.97532357566227168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35</v>
      </c>
      <c r="E52" s="120">
        <f t="shared" si="6"/>
        <v>9</v>
      </c>
      <c r="F52" s="106">
        <f t="shared" si="4"/>
        <v>1.97</v>
      </c>
      <c r="G52" s="107">
        <f>IF(D52=D51,"",_xlfn.IFNA(VLOOKUP(D52,'인원 입력 기능(사과탐)'!$P$5:$S$59,4,FALSE),0))</f>
        <v>164</v>
      </c>
      <c r="H52" s="108">
        <f t="shared" si="1"/>
        <v>9.9189548808515781E-3</v>
      </c>
      <c r="I52" s="118">
        <f>SUM($G$7:G52)</f>
        <v>16290</v>
      </c>
      <c r="J52" s="110">
        <f t="shared" si="5"/>
        <v>0.98524253054312327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34</v>
      </c>
      <c r="E53" s="105">
        <f t="shared" si="6"/>
        <v>9</v>
      </c>
      <c r="F53" s="106">
        <f t="shared" si="4"/>
        <v>1.1100000000000001</v>
      </c>
      <c r="G53" s="107">
        <f>IF(D53=D52,"",_xlfn.IFNA(VLOOKUP(D53,'인원 입력 기능(사과탐)'!$P$5:$S$59,4,FALSE),0))</f>
        <v>121</v>
      </c>
      <c r="H53" s="108">
        <f t="shared" si="1"/>
        <v>7.3182532962380552E-3</v>
      </c>
      <c r="I53" s="118">
        <f>SUM($G$7:G53)</f>
        <v>16411</v>
      </c>
      <c r="J53" s="110">
        <f t="shared" si="5"/>
        <v>0.9925607838393613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33</v>
      </c>
      <c r="E54" s="105">
        <f t="shared" si="6"/>
        <v>9</v>
      </c>
      <c r="F54" s="106">
        <f t="shared" si="4"/>
        <v>0.64</v>
      </c>
      <c r="G54" s="107">
        <f>IF(D54=D53,"",_xlfn.IFNA(VLOOKUP(D54,'인원 입력 기능(사과탐)'!$P$5:$S$59,4,FALSE),0))</f>
        <v>34</v>
      </c>
      <c r="H54" s="108">
        <f t="shared" si="1"/>
        <v>2.0563686948106932E-3</v>
      </c>
      <c r="I54" s="118">
        <f>SUM($G$7:G54)</f>
        <v>16445</v>
      </c>
      <c r="J54" s="110">
        <f t="shared" si="5"/>
        <v>0.99461715253417204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32</v>
      </c>
      <c r="E55" s="105">
        <f t="shared" si="6"/>
        <v>9</v>
      </c>
      <c r="F55" s="106">
        <f t="shared" si="4"/>
        <v>0.33</v>
      </c>
      <c r="G55" s="107">
        <f>IF(D55=D54,"",_xlfn.IFNA(VLOOKUP(D55,'인원 입력 기능(사과탐)'!$P$5:$S$59,4,FALSE),0))</f>
        <v>70</v>
      </c>
      <c r="H55" s="108">
        <f t="shared" si="1"/>
        <v>4.2337002540220152E-3</v>
      </c>
      <c r="I55" s="118">
        <f>SUM($G$7:G55)</f>
        <v>16515</v>
      </c>
      <c r="J55" s="110">
        <f t="shared" si="5"/>
        <v>0.99885085278819408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30</v>
      </c>
      <c r="E57" s="176">
        <f t="shared" si="6"/>
        <v>9</v>
      </c>
      <c r="F57" s="139">
        <f>IF(I55=0,ROUND(100*(1-(I54+I57)/2/$J$3),2),ROUND(100*(1-(I55+I57)/2/$J$3),2))</f>
        <v>0.06</v>
      </c>
      <c r="G57" s="177">
        <f>_xlfn.IFNA(VLOOKUP(D57,'인원 입력 기능(사과탐)'!$P$5:$S$59,4,FALSE),0)</f>
        <v>19</v>
      </c>
      <c r="H57" s="141">
        <f>G57/$J$3</f>
        <v>1.1491472118059756E-3</v>
      </c>
      <c r="I57" s="142">
        <f>SUM($G$7:G57)</f>
        <v>16534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0">
    <mergeCell ref="D3:F3"/>
    <mergeCell ref="D4:F4"/>
    <mergeCell ref="D17:D18"/>
    <mergeCell ref="E17:E18"/>
    <mergeCell ref="F17:F18"/>
    <mergeCell ref="G17:G18"/>
    <mergeCell ref="H17:H18"/>
    <mergeCell ref="I17:I18"/>
    <mergeCell ref="J17:J18"/>
    <mergeCell ref="D28:D29"/>
    <mergeCell ref="E28:E29"/>
    <mergeCell ref="F28:F29"/>
    <mergeCell ref="G28:G29"/>
    <mergeCell ref="H28:H29"/>
    <mergeCell ref="I28:I29"/>
    <mergeCell ref="J28:J29"/>
    <mergeCell ref="I38:I39"/>
    <mergeCell ref="J38:J39"/>
    <mergeCell ref="D49:D50"/>
    <mergeCell ref="E49:E50"/>
    <mergeCell ref="F49:F50"/>
    <mergeCell ref="G49:G50"/>
    <mergeCell ref="H49:H50"/>
    <mergeCell ref="I49:I50"/>
    <mergeCell ref="J49:J50"/>
    <mergeCell ref="D38:D39"/>
    <mergeCell ref="E38:E39"/>
    <mergeCell ref="F38:F39"/>
    <mergeCell ref="G38:G39"/>
    <mergeCell ref="H38:H39"/>
  </mergeCells>
  <phoneticPr fontId="1" type="noConversion"/>
  <conditionalFormatting sqref="D7:G17 I7:J17 D19:G28 I19:J28 D30:G38 I30:J38 D40:G49 I40:J49 D51:G57 I51:J57">
    <cfRule type="expression" dxfId="39" priority="4">
      <formula>OR($D7=$Q$7:$Q$14)</formula>
    </cfRule>
  </conditionalFormatting>
  <conditionalFormatting sqref="C7:C57">
    <cfRule type="expression" dxfId="38" priority="3">
      <formula>OR(AND($D7=0,OR($D6=$Q$7:$Q$14)),AND($D8&gt;0,OR($D7=$Q$7:$Q$14)))</formula>
    </cfRule>
  </conditionalFormatting>
  <conditionalFormatting sqref="D7:D17 D19:D28 D30:D38 D40:D49 D51:D57">
    <cfRule type="expression" dxfId="37" priority="2">
      <formula>$D7=$D8</formula>
    </cfRule>
  </conditionalFormatting>
  <conditionalFormatting sqref="H7:H17 H19:H28 H30:H38 H40:H49 H51:H57">
    <cfRule type="expression" dxfId="3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기능'!D12</f>
        <v>20.66</v>
      </c>
      <c r="I3" s="21" t="s">
        <v>107</v>
      </c>
      <c r="J3" s="93">
        <f>'통계 및 응시자 수 입력 기능'!C12</f>
        <v>8542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137</v>
      </c>
      <c r="E4" s="96"/>
      <c r="F4" s="97"/>
      <c r="G4" s="98" t="s">
        <v>110</v>
      </c>
      <c r="H4" s="99" t="str">
        <f>'통계 및 응시자 수 입력 기능'!E12</f>
        <v>12.28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74</v>
      </c>
      <c r="E7" s="105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99.43</v>
      </c>
      <c r="G7" s="107">
        <f>_xlfn.IFNA(VLOOKUP(D7,'인원 입력 기능(사과탐)'!$A$64:$D$116,4,FALSE),0)</f>
        <v>97</v>
      </c>
      <c r="H7" s="108">
        <f>G7/$J$3</f>
        <v>1.1355654413486302E-2</v>
      </c>
      <c r="I7" s="109">
        <f>G7</f>
        <v>97</v>
      </c>
      <c r="J7" s="110">
        <f>I7/$J$3</f>
        <v>1.1355654413486302E-2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71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72</v>
      </c>
      <c r="E9" s="105">
        <f t="shared" si="0"/>
        <v>1</v>
      </c>
      <c r="F9" s="106">
        <f>IF(I8=0,ROUND(100*(1-(I7+I9)/2/$J$3),2),ROUND(100*(1-(I8+I9)/2/$J$3),2))</f>
        <v>98.13</v>
      </c>
      <c r="G9" s="107">
        <f>_xlfn.IFNA(VLOOKUP(D9,'인원 입력 기능(사과탐)'!$A$64:$D$116,4,FALSE),0)</f>
        <v>125</v>
      </c>
      <c r="H9" s="108">
        <f t="shared" ref="H9:H55" si="1">G9/$J$3</f>
        <v>1.4633575275111214E-2</v>
      </c>
      <c r="I9" s="118">
        <f>SUM($G$7:G9)</f>
        <v>222</v>
      </c>
      <c r="J9" s="110">
        <f>I9/$J$3</f>
        <v>2.5989229688597518E-2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111">
        <v>47</v>
      </c>
      <c r="D10" s="122">
        <f t="shared" ref="D10:D55" si="3">ROUND(10*(C10-$H$3)/$H$4+50,0)</f>
        <v>71</v>
      </c>
      <c r="E10" s="122">
        <f t="shared" si="0"/>
        <v>1</v>
      </c>
      <c r="F10" s="124">
        <f t="shared" ref="F10:F55" si="4">IF(I9=0,ROUND(100*(1-(I8+I10)/2/$J$3),2),ROUND(100*(1-(I9+I10)/2/$J$3),2))</f>
        <v>96.63</v>
      </c>
      <c r="G10" s="125">
        <f>IF(D10=D9,"",_xlfn.IFNA(VLOOKUP(D10,'인원 입력 기능(사과탐)'!$A$64:$D$116,4,FALSE),0))</f>
        <v>132</v>
      </c>
      <c r="H10" s="126">
        <f t="shared" si="1"/>
        <v>1.5453055490517443E-2</v>
      </c>
      <c r="I10" s="144">
        <f>SUM($G$7:G10)</f>
        <v>354</v>
      </c>
      <c r="J10" s="128">
        <f t="shared" ref="J10:J55" si="5">I10/$J$3</f>
        <v>4.1442285179114961E-2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51</v>
      </c>
    </row>
    <row r="11" spans="1:17" s="22" customFormat="1" ht="25" customHeight="1" x14ac:dyDescent="0.45">
      <c r="A11" s="20"/>
      <c r="B11" s="35"/>
      <c r="C11" s="104">
        <v>46</v>
      </c>
      <c r="D11" s="129"/>
      <c r="E11" s="129"/>
      <c r="F11" s="131"/>
      <c r="G11" s="132"/>
      <c r="H11" s="133"/>
      <c r="I11" s="145"/>
      <c r="J11" s="135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70</v>
      </c>
      <c r="E12" s="105">
        <f t="shared" si="0"/>
        <v>2</v>
      </c>
      <c r="F12" s="106">
        <f t="shared" si="4"/>
        <v>95.48</v>
      </c>
      <c r="G12" s="107">
        <f>IF(D12=D11,"",_xlfn.IFNA(VLOOKUP(D12,'인원 입력 기능(사과탐)'!$A$64:$D$116,4,FALSE),0))</f>
        <v>64</v>
      </c>
      <c r="H12" s="108">
        <f t="shared" si="1"/>
        <v>7.4923905408569424E-3</v>
      </c>
      <c r="I12" s="118">
        <f>SUM($G$7:G12)</f>
        <v>418</v>
      </c>
      <c r="J12" s="110">
        <f t="shared" si="5"/>
        <v>4.8934675719971905E-2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41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69</v>
      </c>
      <c r="E13" s="105">
        <f t="shared" si="0"/>
        <v>2</v>
      </c>
      <c r="F13" s="106">
        <f t="shared" si="4"/>
        <v>94.64</v>
      </c>
      <c r="G13" s="107">
        <f>IF(D13=D12,"",_xlfn.IFNA(VLOOKUP(D13,'인원 입력 기능(사과탐)'!$A$64:$D$116,4,FALSE),0))</f>
        <v>80</v>
      </c>
      <c r="H13" s="108">
        <f t="shared" si="1"/>
        <v>9.3654881760711784E-3</v>
      </c>
      <c r="I13" s="118">
        <f>SUM($G$7:G13)</f>
        <v>498</v>
      </c>
      <c r="J13" s="110">
        <f t="shared" si="5"/>
        <v>5.8300163896043082E-2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39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68</v>
      </c>
      <c r="E14" s="105">
        <f t="shared" si="0"/>
        <v>2</v>
      </c>
      <c r="F14" s="106">
        <f t="shared" si="4"/>
        <v>93.6</v>
      </c>
      <c r="G14" s="107">
        <f>IF(D14=D13,"",_xlfn.IFNA(VLOOKUP(D14,'인원 입력 기능(사과탐)'!$A$64:$D$116,4,FALSE),0))</f>
        <v>97</v>
      </c>
      <c r="H14" s="108">
        <f t="shared" si="1"/>
        <v>1.1355654413486302E-2</v>
      </c>
      <c r="I14" s="118">
        <f>SUM($G$7:G14)</f>
        <v>595</v>
      </c>
      <c r="J14" s="110">
        <f t="shared" si="5"/>
        <v>6.9655818309529383E-2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기능'!C83</f>
        <v>37</v>
      </c>
    </row>
    <row r="15" spans="1:17" s="22" customFormat="1" ht="25" customHeight="1" x14ac:dyDescent="0.45">
      <c r="A15" s="20"/>
      <c r="B15" s="35"/>
      <c r="C15" s="104">
        <v>42</v>
      </c>
      <c r="D15" s="122">
        <f t="shared" si="3"/>
        <v>67</v>
      </c>
      <c r="E15" s="122">
        <f t="shared" si="0"/>
        <v>2</v>
      </c>
      <c r="F15" s="124">
        <f t="shared" si="4"/>
        <v>91.98</v>
      </c>
      <c r="G15" s="125">
        <f>IF(D15=D14,"",_xlfn.IFNA(VLOOKUP(D15,'인원 입력 기능(사과탐)'!$A$64:$D$116,4,FALSE),0))</f>
        <v>180</v>
      </c>
      <c r="H15" s="126">
        <f t="shared" si="1"/>
        <v>2.1072348396160151E-2</v>
      </c>
      <c r="I15" s="144">
        <f>SUM($G$7:G15)</f>
        <v>775</v>
      </c>
      <c r="J15" s="128">
        <f t="shared" si="5"/>
        <v>9.0728166705689534E-2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29"/>
      <c r="E16" s="129"/>
      <c r="F16" s="131"/>
      <c r="G16" s="132"/>
      <c r="H16" s="133"/>
      <c r="I16" s="145"/>
      <c r="J16" s="135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66</v>
      </c>
      <c r="E17" s="105">
        <f t="shared" si="0"/>
        <v>2</v>
      </c>
      <c r="F17" s="106">
        <f t="shared" si="4"/>
        <v>90.35</v>
      </c>
      <c r="G17" s="107">
        <f>IF(D17=D16,"",_xlfn.IFNA(VLOOKUP(D17,'인원 입력 기능(사과탐)'!$A$64:$D$116,4,FALSE),0))</f>
        <v>98</v>
      </c>
      <c r="H17" s="108">
        <f t="shared" si="1"/>
        <v>1.1472723015687194E-2</v>
      </c>
      <c r="I17" s="118">
        <f>SUM($G$7:G17)</f>
        <v>873</v>
      </c>
      <c r="J17" s="110">
        <f t="shared" si="5"/>
        <v>0.10220088972137673</v>
      </c>
      <c r="K17" s="36"/>
      <c r="L17" s="20" t="str">
        <f t="shared" si="2"/>
        <v/>
      </c>
      <c r="N17" s="24"/>
      <c r="Q17" s="24">
        <f>Q7*H3*H4*J3*IFERROR(IF(J57=1, 1, 0), 0)</f>
        <v>153867394.51359999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65</v>
      </c>
      <c r="E18" s="105">
        <f t="shared" si="0"/>
        <v>2</v>
      </c>
      <c r="F18" s="106">
        <f t="shared" si="4"/>
        <v>89.19</v>
      </c>
      <c r="G18" s="107">
        <f>IF(D18=D17,"",_xlfn.IFNA(VLOOKUP(D18,'인원 입력 기능(사과탐)'!$A$64:$D$116,4,FALSE),0))</f>
        <v>100</v>
      </c>
      <c r="H18" s="108">
        <f t="shared" si="1"/>
        <v>1.1706860220088973E-2</v>
      </c>
      <c r="I18" s="118">
        <f>SUM($G$7:G18)</f>
        <v>973</v>
      </c>
      <c r="J18" s="110">
        <f t="shared" si="5"/>
        <v>0.1139077499414657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64</v>
      </c>
      <c r="E19" s="105">
        <f t="shared" si="0"/>
        <v>3</v>
      </c>
      <c r="F19" s="106">
        <f t="shared" si="4"/>
        <v>87.94</v>
      </c>
      <c r="G19" s="107">
        <f>IF(D19=D18,"",_xlfn.IFNA(VLOOKUP(D19,'인원 입력 기능(사과탐)'!$A$64:$D$116,4,FALSE),0))</f>
        <v>114</v>
      </c>
      <c r="H19" s="108">
        <f t="shared" si="1"/>
        <v>1.3345820650901428E-2</v>
      </c>
      <c r="I19" s="118">
        <f>SUM($G$7:G19)</f>
        <v>1087</v>
      </c>
      <c r="J19" s="110">
        <f t="shared" si="5"/>
        <v>0.12725357059236714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63</v>
      </c>
      <c r="E20" s="105">
        <f t="shared" si="0"/>
        <v>3</v>
      </c>
      <c r="F20" s="106">
        <f t="shared" si="4"/>
        <v>86.73</v>
      </c>
      <c r="G20" s="107">
        <f>IF(D20=D19,"",_xlfn.IFNA(VLOOKUP(D20,'인원 입력 기능(사과탐)'!$A$64:$D$116,4,FALSE),0))</f>
        <v>93</v>
      </c>
      <c r="H20" s="108">
        <f t="shared" si="1"/>
        <v>1.0887380004682744E-2</v>
      </c>
      <c r="I20" s="118">
        <f>SUM($G$7:G20)</f>
        <v>1180</v>
      </c>
      <c r="J20" s="110">
        <f t="shared" si="5"/>
        <v>0.13814095059704987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3">
        <f t="shared" si="3"/>
        <v>62</v>
      </c>
      <c r="E21" s="123">
        <f t="shared" si="0"/>
        <v>3</v>
      </c>
      <c r="F21" s="124">
        <f t="shared" si="4"/>
        <v>84.64</v>
      </c>
      <c r="G21" s="125">
        <f>IF(D21=D20,"",_xlfn.IFNA(VLOOKUP(D21,'인원 입력 기능(사과탐)'!$A$64:$D$116,4,FALSE),0))</f>
        <v>264</v>
      </c>
      <c r="H21" s="126">
        <f t="shared" si="1"/>
        <v>3.0906110981034886E-2</v>
      </c>
      <c r="I21" s="144">
        <f>SUM($G$7:G21)</f>
        <v>1444</v>
      </c>
      <c r="J21" s="128">
        <f t="shared" si="5"/>
        <v>0.16904706157808475</v>
      </c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30"/>
      <c r="E22" s="130"/>
      <c r="F22" s="131"/>
      <c r="G22" s="132"/>
      <c r="H22" s="133"/>
      <c r="I22" s="145"/>
      <c r="J22" s="135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61</v>
      </c>
      <c r="E23" s="120">
        <f t="shared" si="0"/>
        <v>3</v>
      </c>
      <c r="F23" s="106">
        <f t="shared" si="4"/>
        <v>82.15</v>
      </c>
      <c r="G23" s="107">
        <f>IF(D23=D22,"",_xlfn.IFNA(VLOOKUP(D23,'인원 입력 기능(사과탐)'!$A$64:$D$116,4,FALSE),0))</f>
        <v>162</v>
      </c>
      <c r="H23" s="108">
        <f t="shared" si="1"/>
        <v>1.8965113556544136E-2</v>
      </c>
      <c r="I23" s="118">
        <f>SUM($G$7:G23)</f>
        <v>1606</v>
      </c>
      <c r="J23" s="110">
        <f t="shared" si="5"/>
        <v>0.18801217513462889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60</v>
      </c>
      <c r="E24" s="120">
        <f t="shared" si="0"/>
        <v>3</v>
      </c>
      <c r="F24" s="106">
        <f t="shared" si="4"/>
        <v>80.45</v>
      </c>
      <c r="G24" s="107">
        <f>IF(D24=D23,"",_xlfn.IFNA(VLOOKUP(D24,'인원 입력 기능(사과탐)'!$A$64:$D$116,4,FALSE),0))</f>
        <v>128</v>
      </c>
      <c r="H24" s="108">
        <f t="shared" si="1"/>
        <v>1.4984781081713885E-2</v>
      </c>
      <c r="I24" s="118">
        <f>SUM($G$7:G24)</f>
        <v>1734</v>
      </c>
      <c r="J24" s="110">
        <f t="shared" si="5"/>
        <v>0.20299695621634278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59</v>
      </c>
      <c r="E25" s="120">
        <f t="shared" si="0"/>
        <v>3</v>
      </c>
      <c r="F25" s="106">
        <f t="shared" si="4"/>
        <v>79</v>
      </c>
      <c r="G25" s="107">
        <f>IF(D25=D24,"",_xlfn.IFNA(VLOOKUP(D25,'인원 입력 기능(사과탐)'!$A$64:$D$116,4,FALSE),0))</f>
        <v>119</v>
      </c>
      <c r="H25" s="108">
        <f t="shared" si="1"/>
        <v>1.3931163661905877E-2</v>
      </c>
      <c r="I25" s="118">
        <f>SUM($G$7:G25)</f>
        <v>1853</v>
      </c>
      <c r="J25" s="110">
        <f t="shared" si="5"/>
        <v>0.21692811987824864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3">
        <f t="shared" si="3"/>
        <v>58</v>
      </c>
      <c r="E26" s="123">
        <f t="shared" si="0"/>
        <v>3</v>
      </c>
      <c r="F26" s="124">
        <f t="shared" si="4"/>
        <v>76.680000000000007</v>
      </c>
      <c r="G26" s="125">
        <f>IF(D26=D25,"",_xlfn.IFNA(VLOOKUP(D26,'인원 입력 기능(사과탐)'!$A$64:$D$116,4,FALSE),0))</f>
        <v>278</v>
      </c>
      <c r="H26" s="126">
        <f t="shared" si="1"/>
        <v>3.2545071411847343E-2</v>
      </c>
      <c r="I26" s="144">
        <f>SUM($G$7:G26)</f>
        <v>2131</v>
      </c>
      <c r="J26" s="128">
        <f t="shared" si="5"/>
        <v>0.24947319129009599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30"/>
      <c r="E27" s="130"/>
      <c r="F27" s="131"/>
      <c r="G27" s="132"/>
      <c r="H27" s="133"/>
      <c r="I27" s="145"/>
      <c r="J27" s="135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57</v>
      </c>
      <c r="E28" s="120">
        <f t="shared" si="0"/>
        <v>4</v>
      </c>
      <c r="F28" s="106">
        <f t="shared" si="4"/>
        <v>74.3</v>
      </c>
      <c r="G28" s="107">
        <f>IF(D28=D27,"",_xlfn.IFNA(VLOOKUP(D28,'인원 입력 기능(사과탐)'!$A$64:$D$116,4,FALSE),0))</f>
        <v>129</v>
      </c>
      <c r="H28" s="108">
        <f t="shared" si="1"/>
        <v>1.5101849683914774E-2</v>
      </c>
      <c r="I28" s="118">
        <f>SUM($G$7:G28)</f>
        <v>2260</v>
      </c>
      <c r="J28" s="110">
        <f t="shared" si="5"/>
        <v>0.26457504097401074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56</v>
      </c>
      <c r="E29" s="120">
        <f t="shared" si="0"/>
        <v>4</v>
      </c>
      <c r="F29" s="106">
        <f t="shared" si="4"/>
        <v>72.61</v>
      </c>
      <c r="G29" s="107">
        <f>IF(D29=D28,"",_xlfn.IFNA(VLOOKUP(D29,'인원 입력 기능(사과탐)'!$A$64:$D$116,4,FALSE),0))</f>
        <v>160</v>
      </c>
      <c r="H29" s="108">
        <f t="shared" si="1"/>
        <v>1.8730976352142357E-2</v>
      </c>
      <c r="I29" s="118">
        <f>SUM($G$7:G29)</f>
        <v>2420</v>
      </c>
      <c r="J29" s="110">
        <f t="shared" si="5"/>
        <v>0.28330601732615313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55</v>
      </c>
      <c r="E30" s="120">
        <f t="shared" si="0"/>
        <v>4</v>
      </c>
      <c r="F30" s="106">
        <f t="shared" si="4"/>
        <v>70.8</v>
      </c>
      <c r="G30" s="107">
        <f>IF(D30=D29,"",_xlfn.IFNA(VLOOKUP(D30,'인원 입력 기능(사과탐)'!$A$64:$D$116,4,FALSE),0))</f>
        <v>149</v>
      </c>
      <c r="H30" s="108">
        <f t="shared" si="1"/>
        <v>1.744322172793257E-2</v>
      </c>
      <c r="I30" s="118">
        <f>SUM($G$7:G30)</f>
        <v>2569</v>
      </c>
      <c r="J30" s="110">
        <f t="shared" si="5"/>
        <v>0.30074923905408568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3">
        <f t="shared" si="3"/>
        <v>54</v>
      </c>
      <c r="E31" s="123">
        <f t="shared" si="0"/>
        <v>4</v>
      </c>
      <c r="F31" s="124">
        <f t="shared" si="4"/>
        <v>67.94</v>
      </c>
      <c r="G31" s="125">
        <f>IF(D31=D30,"",_xlfn.IFNA(VLOOKUP(D31,'인원 입력 기능(사과탐)'!$A$64:$D$116,4,FALSE),0))</f>
        <v>339</v>
      </c>
      <c r="H31" s="126">
        <f t="shared" si="1"/>
        <v>3.9686256146101613E-2</v>
      </c>
      <c r="I31" s="144">
        <f>SUM($G$7:G31)</f>
        <v>2908</v>
      </c>
      <c r="J31" s="128">
        <f t="shared" si="5"/>
        <v>0.34043549520018729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30"/>
      <c r="E32" s="130"/>
      <c r="F32" s="131"/>
      <c r="G32" s="132"/>
      <c r="H32" s="133"/>
      <c r="I32" s="145"/>
      <c r="J32" s="135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53</v>
      </c>
      <c r="E33" s="120">
        <f t="shared" si="0"/>
        <v>4</v>
      </c>
      <c r="F33" s="106">
        <f t="shared" si="4"/>
        <v>64.86</v>
      </c>
      <c r="G33" s="107">
        <f>IF(D33=D32,"",_xlfn.IFNA(VLOOKUP(D33,'인원 입력 기능(사과탐)'!$A$64:$D$116,4,FALSE),0))</f>
        <v>187</v>
      </c>
      <c r="H33" s="108">
        <f t="shared" si="1"/>
        <v>2.1891828611566379E-2</v>
      </c>
      <c r="I33" s="118">
        <f>SUM($G$7:G33)</f>
        <v>3095</v>
      </c>
      <c r="J33" s="110">
        <f t="shared" si="5"/>
        <v>0.3623273238117537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52</v>
      </c>
      <c r="E34" s="120">
        <f t="shared" si="0"/>
        <v>4</v>
      </c>
      <c r="F34" s="106">
        <f t="shared" si="4"/>
        <v>62.79</v>
      </c>
      <c r="G34" s="107">
        <f>IF(D34=D33,"",_xlfn.IFNA(VLOOKUP(D34,'인원 입력 기능(사과탐)'!$A$64:$D$116,4,FALSE),0))</f>
        <v>167</v>
      </c>
      <c r="H34" s="108">
        <f t="shared" si="1"/>
        <v>1.9550456567548582E-2</v>
      </c>
      <c r="I34" s="118">
        <f>SUM($G$7:G34)</f>
        <v>3262</v>
      </c>
      <c r="J34" s="110">
        <f t="shared" si="5"/>
        <v>0.38187778037930226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51</v>
      </c>
      <c r="E35" s="120">
        <f t="shared" si="0"/>
        <v>4</v>
      </c>
      <c r="F35" s="106">
        <f t="shared" si="4"/>
        <v>60.69</v>
      </c>
      <c r="G35" s="107">
        <f>IF(D35=D34,"",_xlfn.IFNA(VLOOKUP(D35,'인원 입력 기능(사과탐)'!$A$64:$D$116,4,FALSE),0))</f>
        <v>192</v>
      </c>
      <c r="H35" s="108">
        <f t="shared" si="1"/>
        <v>2.2477171622570825E-2</v>
      </c>
      <c r="I35" s="118">
        <f>SUM($G$7:G35)</f>
        <v>3454</v>
      </c>
      <c r="J35" s="110">
        <f t="shared" si="5"/>
        <v>0.4043549520018731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50</v>
      </c>
      <c r="E36" s="120">
        <f t="shared" si="0"/>
        <v>5</v>
      </c>
      <c r="F36" s="106">
        <f t="shared" si="4"/>
        <v>58.29</v>
      </c>
      <c r="G36" s="107">
        <f>IF(D36=D35,"",_xlfn.IFNA(VLOOKUP(D36,'인원 입력 기능(사과탐)'!$A$64:$D$116,4,FALSE),0))</f>
        <v>218</v>
      </c>
      <c r="H36" s="108">
        <f t="shared" si="1"/>
        <v>2.552095527979396E-2</v>
      </c>
      <c r="I36" s="118">
        <f>SUM($G$7:G36)</f>
        <v>3672</v>
      </c>
      <c r="J36" s="110">
        <f t="shared" si="5"/>
        <v>0.42987590728166708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3">
        <f t="shared" si="3"/>
        <v>49</v>
      </c>
      <c r="E37" s="123">
        <f t="shared" si="0"/>
        <v>5</v>
      </c>
      <c r="F37" s="124">
        <f t="shared" si="4"/>
        <v>54.52</v>
      </c>
      <c r="G37" s="125">
        <f>IF(D37=D36,"",_xlfn.IFNA(VLOOKUP(D37,'인원 입력 기능(사과탐)'!$A$64:$D$116,4,FALSE),0))</f>
        <v>426</v>
      </c>
      <c r="H37" s="126">
        <f t="shared" si="1"/>
        <v>4.9871224537579022E-2</v>
      </c>
      <c r="I37" s="144">
        <f>SUM($G$7:G37)</f>
        <v>4098</v>
      </c>
      <c r="J37" s="128">
        <f t="shared" si="5"/>
        <v>0.47974713181924605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30"/>
      <c r="E38" s="130"/>
      <c r="F38" s="131"/>
      <c r="G38" s="132"/>
      <c r="H38" s="133"/>
      <c r="I38" s="145"/>
      <c r="J38" s="135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48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50.64</v>
      </c>
      <c r="G39" s="107">
        <f>IF(D39=D38,"",_xlfn.IFNA(VLOOKUP(D39,'인원 입력 기능(사과탐)'!$A$64:$D$116,4,FALSE),0))</f>
        <v>236</v>
      </c>
      <c r="H39" s="108">
        <f t="shared" si="1"/>
        <v>2.7628190119409975E-2</v>
      </c>
      <c r="I39" s="118">
        <f>SUM($G$7:G39)</f>
        <v>4334</v>
      </c>
      <c r="J39" s="110">
        <f t="shared" si="5"/>
        <v>0.50737532193865609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47</v>
      </c>
      <c r="E40" s="120">
        <f t="shared" si="6"/>
        <v>5</v>
      </c>
      <c r="F40" s="106">
        <f t="shared" si="4"/>
        <v>47.89</v>
      </c>
      <c r="G40" s="107">
        <f>IF(D40=D39,"",_xlfn.IFNA(VLOOKUP(D40,'인원 입력 기능(사과탐)'!$A$64:$D$116,4,FALSE),0))</f>
        <v>234</v>
      </c>
      <c r="H40" s="108">
        <f t="shared" si="1"/>
        <v>2.7394052915008196E-2</v>
      </c>
      <c r="I40" s="118">
        <f>SUM($G$7:G40)</f>
        <v>4568</v>
      </c>
      <c r="J40" s="110">
        <f t="shared" si="5"/>
        <v>0.53476937485366427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46</v>
      </c>
      <c r="E41" s="120">
        <f t="shared" si="6"/>
        <v>5</v>
      </c>
      <c r="F41" s="106">
        <f t="shared" si="4"/>
        <v>45</v>
      </c>
      <c r="G41" s="107">
        <f>IF(D41=D40,"",_xlfn.IFNA(VLOOKUP(D41,'인원 입력 기능(사과탐)'!$A$64:$D$116,4,FALSE),0))</f>
        <v>261</v>
      </c>
      <c r="H41" s="108">
        <f t="shared" si="1"/>
        <v>3.0554905174432219E-2</v>
      </c>
      <c r="I41" s="118">
        <f>SUM($G$7:G41)</f>
        <v>4829</v>
      </c>
      <c r="J41" s="110">
        <f t="shared" si="5"/>
        <v>0.56532428002809643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3">
        <f t="shared" si="3"/>
        <v>45</v>
      </c>
      <c r="E42" s="123">
        <f t="shared" si="6"/>
        <v>5</v>
      </c>
      <c r="F42" s="124">
        <f t="shared" si="4"/>
        <v>40.340000000000003</v>
      </c>
      <c r="G42" s="125">
        <f>IF(D42=D41,"",_xlfn.IFNA(VLOOKUP(D42,'인원 입력 기능(사과탐)'!$A$64:$D$116,4,FALSE),0))</f>
        <v>534</v>
      </c>
      <c r="H42" s="126">
        <f t="shared" si="1"/>
        <v>6.2514633575275105E-2</v>
      </c>
      <c r="I42" s="144">
        <f>SUM($G$7:G42)</f>
        <v>5363</v>
      </c>
      <c r="J42" s="128">
        <f t="shared" si="5"/>
        <v>0.62783891360337163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30"/>
      <c r="E43" s="130"/>
      <c r="F43" s="131"/>
      <c r="G43" s="132"/>
      <c r="H43" s="133"/>
      <c r="I43" s="145"/>
      <c r="J43" s="135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44</v>
      </c>
      <c r="E44" s="120">
        <f t="shared" si="6"/>
        <v>6</v>
      </c>
      <c r="F44" s="106">
        <f t="shared" si="4"/>
        <v>35.590000000000003</v>
      </c>
      <c r="G44" s="107">
        <f>IF(D44=D43,"",_xlfn.IFNA(VLOOKUP(D44,'인원 입력 기능(사과탐)'!$A$64:$D$116,4,FALSE),0))</f>
        <v>277</v>
      </c>
      <c r="H44" s="108">
        <f t="shared" si="1"/>
        <v>3.2428002809646451E-2</v>
      </c>
      <c r="I44" s="118">
        <f>SUM($G$7:G44)</f>
        <v>5640</v>
      </c>
      <c r="J44" s="110">
        <f t="shared" si="5"/>
        <v>0.66026691641301805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43</v>
      </c>
      <c r="E45" s="120">
        <f t="shared" si="6"/>
        <v>6</v>
      </c>
      <c r="F45" s="106">
        <f t="shared" si="4"/>
        <v>32.46</v>
      </c>
      <c r="G45" s="107">
        <f>IF(D45=D44,"",_xlfn.IFNA(VLOOKUP(D45,'인원 입력 기능(사과탐)'!$A$64:$D$116,4,FALSE),0))</f>
        <v>259</v>
      </c>
      <c r="H45" s="108">
        <f t="shared" si="1"/>
        <v>3.0320767970030436E-2</v>
      </c>
      <c r="I45" s="118">
        <f>SUM($G$7:G45)</f>
        <v>5899</v>
      </c>
      <c r="J45" s="110">
        <f t="shared" si="5"/>
        <v>0.69058768438304852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42</v>
      </c>
      <c r="E46" s="120">
        <f t="shared" si="6"/>
        <v>6</v>
      </c>
      <c r="F46" s="106">
        <f t="shared" si="4"/>
        <v>28.93</v>
      </c>
      <c r="G46" s="107">
        <f>IF(D46=D45,"",_xlfn.IFNA(VLOOKUP(D46,'인원 입력 기능(사과탐)'!$A$64:$D$116,4,FALSE),0))</f>
        <v>344</v>
      </c>
      <c r="H46" s="108">
        <f t="shared" si="1"/>
        <v>4.0271599157106062E-2</v>
      </c>
      <c r="I46" s="118">
        <f>SUM($G$7:G46)</f>
        <v>6243</v>
      </c>
      <c r="J46" s="110">
        <f t="shared" si="5"/>
        <v>0.7308592835401545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3">
        <f t="shared" si="3"/>
        <v>41</v>
      </c>
      <c r="E47" s="123">
        <f t="shared" si="6"/>
        <v>6</v>
      </c>
      <c r="F47" s="124">
        <f t="shared" si="4"/>
        <v>20.5</v>
      </c>
      <c r="G47" s="125">
        <f>IF(D47=D46,"",_xlfn.IFNA(VLOOKUP(D47,'인원 입력 기능(사과탐)'!$A$64:$D$116,4,FALSE),0))</f>
        <v>1095</v>
      </c>
      <c r="H47" s="126">
        <f t="shared" si="1"/>
        <v>0.12819011940997424</v>
      </c>
      <c r="I47" s="144">
        <f>SUM($G$7:G47)</f>
        <v>7338</v>
      </c>
      <c r="J47" s="128">
        <f t="shared" si="5"/>
        <v>0.85904940295012877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30"/>
      <c r="E48" s="130"/>
      <c r="F48" s="131"/>
      <c r="G48" s="132"/>
      <c r="H48" s="133"/>
      <c r="I48" s="145"/>
      <c r="J48" s="135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40</v>
      </c>
      <c r="E49" s="120">
        <f t="shared" si="6"/>
        <v>7</v>
      </c>
      <c r="F49" s="106">
        <f t="shared" si="4"/>
        <v>12.71</v>
      </c>
      <c r="G49" s="107">
        <f>IF(D49=D48,"",_xlfn.IFNA(VLOOKUP(D49,'인원 입력 기능(사과탐)'!$A$64:$D$116,4,FALSE),0))</f>
        <v>237</v>
      </c>
      <c r="H49" s="108">
        <f t="shared" si="1"/>
        <v>2.7745258721610863E-2</v>
      </c>
      <c r="I49" s="118">
        <f>SUM($G$7:G49)</f>
        <v>7575</v>
      </c>
      <c r="J49" s="110">
        <f t="shared" si="5"/>
        <v>0.88679466167173959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39</v>
      </c>
      <c r="E50" s="120">
        <f t="shared" si="6"/>
        <v>7</v>
      </c>
      <c r="F50" s="106">
        <f t="shared" si="4"/>
        <v>9.84</v>
      </c>
      <c r="G50" s="107">
        <f>IF(D50=D49,"",_xlfn.IFNA(VLOOKUP(D50,'인원 입력 기능(사과탐)'!$A$64:$D$116,4,FALSE),0))</f>
        <v>253</v>
      </c>
      <c r="H50" s="108">
        <f t="shared" si="1"/>
        <v>2.9618356356825099E-2</v>
      </c>
      <c r="I50" s="118">
        <f>SUM($G$7:G50)</f>
        <v>7828</v>
      </c>
      <c r="J50" s="110">
        <f t="shared" si="5"/>
        <v>0.91641301802856479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38</v>
      </c>
      <c r="E51" s="120">
        <f t="shared" si="6"/>
        <v>8</v>
      </c>
      <c r="F51" s="106">
        <f t="shared" si="4"/>
        <v>7.61</v>
      </c>
      <c r="G51" s="107">
        <f>IF(D51=D50,"",_xlfn.IFNA(VLOOKUP(D51,'인원 입력 기능(사과탐)'!$A$64:$D$116,4,FALSE),0))</f>
        <v>128</v>
      </c>
      <c r="H51" s="108">
        <f t="shared" si="1"/>
        <v>1.4984781081713885E-2</v>
      </c>
      <c r="I51" s="118">
        <f>SUM($G$7:G51)</f>
        <v>7956</v>
      </c>
      <c r="J51" s="110">
        <f t="shared" si="5"/>
        <v>0.93139779911027865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37</v>
      </c>
      <c r="E52" s="120">
        <f t="shared" si="6"/>
        <v>8</v>
      </c>
      <c r="F52" s="106">
        <f t="shared" si="4"/>
        <v>4.78</v>
      </c>
      <c r="G52" s="107">
        <f>IF(D52=D51,"",_xlfn.IFNA(VLOOKUP(D52,'인원 입력 기능(사과탐)'!$A$64:$D$116,4,FALSE),0))</f>
        <v>356</v>
      </c>
      <c r="H52" s="108">
        <f t="shared" si="1"/>
        <v>4.1676422383516744E-2</v>
      </c>
      <c r="I52" s="118">
        <f>SUM($G$7:G52)</f>
        <v>8312</v>
      </c>
      <c r="J52" s="110">
        <f t="shared" si="5"/>
        <v>0.97307422149379541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22">
        <f t="shared" si="3"/>
        <v>36</v>
      </c>
      <c r="E53" s="122">
        <f t="shared" si="6"/>
        <v>9</v>
      </c>
      <c r="F53" s="124">
        <f t="shared" si="4"/>
        <v>1.97</v>
      </c>
      <c r="G53" s="125">
        <f>IF(D53=D52,"",_xlfn.IFNA(VLOOKUP(D53,'인원 입력 기능(사과탐)'!$A$64:$D$116,4,FALSE),0))</f>
        <v>124</v>
      </c>
      <c r="H53" s="126">
        <f t="shared" si="1"/>
        <v>1.4516506672910325E-2</v>
      </c>
      <c r="I53" s="144">
        <f>SUM($G$7:G53)</f>
        <v>8436</v>
      </c>
      <c r="J53" s="128">
        <f t="shared" si="5"/>
        <v>0.98759072816670568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29"/>
      <c r="E54" s="129"/>
      <c r="F54" s="131"/>
      <c r="G54" s="132"/>
      <c r="H54" s="133"/>
      <c r="I54" s="145"/>
      <c r="J54" s="135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35</v>
      </c>
      <c r="E55" s="105">
        <f t="shared" si="6"/>
        <v>9</v>
      </c>
      <c r="F55" s="106">
        <f t="shared" si="4"/>
        <v>0.79</v>
      </c>
      <c r="G55" s="107">
        <f>IF(D55=D54,"",_xlfn.IFNA(VLOOKUP(D55,'인원 입력 기능(사과탐)'!$A$64:$D$116,4,FALSE),0))</f>
        <v>77</v>
      </c>
      <c r="H55" s="108">
        <f t="shared" si="1"/>
        <v>9.0142823694685081E-3</v>
      </c>
      <c r="I55" s="118">
        <f>SUM($G$7:G55)</f>
        <v>8513</v>
      </c>
      <c r="J55" s="110">
        <f t="shared" si="5"/>
        <v>0.99660501053617423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33</v>
      </c>
      <c r="E57" s="176">
        <f t="shared" si="6"/>
        <v>9</v>
      </c>
      <c r="F57" s="139">
        <f>IF(I55=0,ROUND(100*(1-(I54+I57)/2/$J$3),2),ROUND(100*(1-(I55+I57)/2/$J$3),2))</f>
        <v>0.17</v>
      </c>
      <c r="G57" s="177">
        <f>_xlfn.IFNA(VLOOKUP(D57,'인원 입력 기능(사과탐)'!$A$64:$D$116,4,FALSE),0)</f>
        <v>29</v>
      </c>
      <c r="H57" s="141">
        <f>G57/$J$3</f>
        <v>3.3949894638258017E-3</v>
      </c>
      <c r="I57" s="142">
        <f>SUM($G$7:G57)</f>
        <v>8542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5">
    <mergeCell ref="D3:F3"/>
    <mergeCell ref="D4:F4"/>
    <mergeCell ref="D10:D11"/>
    <mergeCell ref="E10:E11"/>
    <mergeCell ref="F10:F11"/>
    <mergeCell ref="G10:G11"/>
    <mergeCell ref="H10:H11"/>
    <mergeCell ref="I10:I11"/>
    <mergeCell ref="J10:J11"/>
    <mergeCell ref="D15:D16"/>
    <mergeCell ref="E15:E16"/>
    <mergeCell ref="F15:F16"/>
    <mergeCell ref="G15:G16"/>
    <mergeCell ref="H15:H16"/>
    <mergeCell ref="I15:I16"/>
    <mergeCell ref="J15:J16"/>
    <mergeCell ref="I21:I22"/>
    <mergeCell ref="J21:J22"/>
    <mergeCell ref="D26:D27"/>
    <mergeCell ref="E26:E27"/>
    <mergeCell ref="F26:F27"/>
    <mergeCell ref="G26:G27"/>
    <mergeCell ref="H26:H27"/>
    <mergeCell ref="I26:I27"/>
    <mergeCell ref="J26:J27"/>
    <mergeCell ref="D21:D22"/>
    <mergeCell ref="E21:E22"/>
    <mergeCell ref="F21:F22"/>
    <mergeCell ref="G21:G22"/>
    <mergeCell ref="H21:H22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42:I43"/>
    <mergeCell ref="J42:J43"/>
    <mergeCell ref="D47:D48"/>
    <mergeCell ref="E47:E48"/>
    <mergeCell ref="F47:F48"/>
    <mergeCell ref="G47:G48"/>
    <mergeCell ref="H47:H48"/>
    <mergeCell ref="I47:I48"/>
    <mergeCell ref="J47:J48"/>
    <mergeCell ref="D42:D43"/>
    <mergeCell ref="E42:E43"/>
    <mergeCell ref="F42:F43"/>
    <mergeCell ref="G42:G43"/>
    <mergeCell ref="H42:H43"/>
    <mergeCell ref="I53:I54"/>
    <mergeCell ref="J53:J54"/>
    <mergeCell ref="D53:D54"/>
    <mergeCell ref="E53:E54"/>
    <mergeCell ref="F53:F54"/>
    <mergeCell ref="G53:G54"/>
    <mergeCell ref="H53:H54"/>
  </mergeCells>
  <phoneticPr fontId="1" type="noConversion"/>
  <conditionalFormatting sqref="D7:G10 I7:J10 D12:G15 I12:J15 D17:G21 I17:J21 D23:G26 I23:J26 D28:G31 I28:J31 D33:G37 I33:J37 D39:G42 I39:J42 D44:G47 I44:J47 D49:G53 I49:J53 D55:G57 I55:J57">
    <cfRule type="expression" dxfId="35" priority="4">
      <formula>OR($D7=$Q$7:$Q$14)</formula>
    </cfRule>
  </conditionalFormatting>
  <conditionalFormatting sqref="C7:C57">
    <cfRule type="expression" dxfId="34" priority="3">
      <formula>OR(AND($D7=0,OR($D6=$Q$7:$Q$14)),AND($D8&gt;0,OR($D7=$Q$7:$Q$14)))</formula>
    </cfRule>
  </conditionalFormatting>
  <conditionalFormatting sqref="D7:D10 D12:D15 D17:D21 D23:D26 D28:D31 D33:D37 D39:D42 D44:D47 D49:D53 D55:D57">
    <cfRule type="expression" dxfId="33" priority="2">
      <formula>$D7=$D8</formula>
    </cfRule>
  </conditionalFormatting>
  <conditionalFormatting sqref="H7:H10 H12:H15 H17:H21 H23:H26 H28:H31 H33:H37 H39:H42 H44:H47 H49:H53 H55:H57">
    <cfRule type="expression" dxfId="3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기능'!D13</f>
        <v>19.78</v>
      </c>
      <c r="I3" s="21" t="s">
        <v>107</v>
      </c>
      <c r="J3" s="93">
        <f>'통계 및 응시자 수 입력 기능'!C13</f>
        <v>12660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136</v>
      </c>
      <c r="E4" s="96"/>
      <c r="F4" s="97"/>
      <c r="G4" s="98" t="s">
        <v>110</v>
      </c>
      <c r="H4" s="99" t="str">
        <f>'통계 및 응시자 수 입력 기능'!E13</f>
        <v>11.33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77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99.42</v>
      </c>
      <c r="G7" s="107">
        <f>_xlfn.IFNA(VLOOKUP(D7,'인원 입력 기능(사과탐)'!$F$64:$I$116,4,FALSE),0)</f>
        <v>146</v>
      </c>
      <c r="H7" s="108">
        <f>G7/$J$3</f>
        <v>1.1532385466034755E-2</v>
      </c>
      <c r="I7" s="109">
        <f>G7</f>
        <v>146</v>
      </c>
      <c r="J7" s="110">
        <f>I7/$J$3</f>
        <v>1.1532385466034755E-2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71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기능'!C86</f>
        <v>64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75</v>
      </c>
      <c r="E9" s="105">
        <f t="shared" si="0"/>
        <v>1</v>
      </c>
      <c r="F9" s="106">
        <f>IF(I8=0,ROUND(100*(1-(I7+I9)/2/$J$3),2),ROUND(100*(1-(I8+I9)/2/$J$3),2))</f>
        <v>98.43</v>
      </c>
      <c r="G9" s="107">
        <f>_xlfn.IFNA(VLOOKUP(D9,'인원 입력 기능(사과탐)'!$F$64:$I$116,4,FALSE),0)</f>
        <v>106</v>
      </c>
      <c r="H9" s="108">
        <f t="shared" ref="H9:H55" si="1">G9/$J$3</f>
        <v>8.3728278041074241E-3</v>
      </c>
      <c r="I9" s="118">
        <f>SUM($G$7:G9)</f>
        <v>252</v>
      </c>
      <c r="J9" s="110">
        <f>I9/$J$3</f>
        <v>1.9905213270142181E-2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57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74</v>
      </c>
      <c r="E10" s="105">
        <f t="shared" si="0"/>
        <v>1</v>
      </c>
      <c r="F10" s="106">
        <f t="shared" ref="F10:F55" si="4">IF(I9=0,ROUND(100*(1-(I8+I10)/2/$J$3),2),ROUND(100*(1-(I9+I10)/2/$J$3),2))</f>
        <v>97.63</v>
      </c>
      <c r="G10" s="107">
        <f>IF(D10=D9,"",_xlfn.IFNA(VLOOKUP(D10,'인원 입력 기능(사과탐)'!$F$64:$I$116,4,FALSE),0))</f>
        <v>95</v>
      </c>
      <c r="H10" s="108">
        <f t="shared" si="1"/>
        <v>7.5039494470774092E-3</v>
      </c>
      <c r="I10" s="118">
        <f>SUM($G$7:G10)</f>
        <v>347</v>
      </c>
      <c r="J10" s="110">
        <f t="shared" ref="J10:J55" si="5">I10/$J$3</f>
        <v>2.740916271721959E-2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50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73</v>
      </c>
      <c r="E11" s="105">
        <f t="shared" si="0"/>
        <v>1</v>
      </c>
      <c r="F11" s="106">
        <f t="shared" si="4"/>
        <v>97.1</v>
      </c>
      <c r="G11" s="107">
        <f>IF(D11=D10,"",_xlfn.IFNA(VLOOKUP(D11,'인원 입력 기능(사과탐)'!$F$64:$I$116,4,FALSE),0))</f>
        <v>40</v>
      </c>
      <c r="H11" s="108">
        <f t="shared" si="1"/>
        <v>3.1595576619273301E-3</v>
      </c>
      <c r="I11" s="118">
        <f>SUM($G$7:G11)</f>
        <v>387</v>
      </c>
      <c r="J11" s="110">
        <f t="shared" si="5"/>
        <v>3.0568720379146919E-2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72</v>
      </c>
      <c r="E12" s="105">
        <f t="shared" si="0"/>
        <v>1</v>
      </c>
      <c r="F12" s="106">
        <f t="shared" si="4"/>
        <v>96.48</v>
      </c>
      <c r="G12" s="107">
        <f>IF(D12=D11,"",_xlfn.IFNA(VLOOKUP(D12,'인원 입력 기능(사과탐)'!$F$64:$I$116,4,FALSE),0))</f>
        <v>118</v>
      </c>
      <c r="H12" s="108">
        <f t="shared" si="1"/>
        <v>9.3206951026856243E-3</v>
      </c>
      <c r="I12" s="118">
        <f>SUM($G$7:G12)</f>
        <v>505</v>
      </c>
      <c r="J12" s="110">
        <f t="shared" si="5"/>
        <v>3.9889415481832544E-2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41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71</v>
      </c>
      <c r="E13" s="105">
        <f t="shared" si="0"/>
        <v>1</v>
      </c>
      <c r="F13" s="106">
        <f t="shared" si="4"/>
        <v>95.73</v>
      </c>
      <c r="G13" s="107">
        <f>IF(D13=D12,"",_xlfn.IFNA(VLOOKUP(D13,'인원 입력 기능(사과탐)'!$F$64:$I$116,4,FALSE),0))</f>
        <v>72</v>
      </c>
      <c r="H13" s="108">
        <f t="shared" si="1"/>
        <v>5.6872037914691941E-3</v>
      </c>
      <c r="I13" s="118">
        <f>SUM($G$7:G13)</f>
        <v>577</v>
      </c>
      <c r="J13" s="110">
        <f t="shared" si="5"/>
        <v>4.5576619273301741E-2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39</v>
      </c>
    </row>
    <row r="14" spans="1:17" s="22" customFormat="1" ht="25" customHeight="1" x14ac:dyDescent="0.45">
      <c r="A14" s="20"/>
      <c r="B14" s="35"/>
      <c r="C14" s="111">
        <v>43</v>
      </c>
      <c r="D14" s="122">
        <f t="shared" si="3"/>
        <v>70</v>
      </c>
      <c r="E14" s="122">
        <f t="shared" si="0"/>
        <v>2</v>
      </c>
      <c r="F14" s="124">
        <f t="shared" si="4"/>
        <v>94.6</v>
      </c>
      <c r="G14" s="125">
        <f>IF(D14=D13,"",_xlfn.IFNA(VLOOKUP(D14,'인원 입력 기능(사과탐)'!$F$64:$I$116,4,FALSE),0))</f>
        <v>214</v>
      </c>
      <c r="H14" s="126">
        <f t="shared" si="1"/>
        <v>1.6903633491311215E-2</v>
      </c>
      <c r="I14" s="144">
        <f>SUM($G$7:G14)</f>
        <v>791</v>
      </c>
      <c r="J14" s="128">
        <f t="shared" si="5"/>
        <v>6.2480252764612956E-2</v>
      </c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5"/>
      <c r="C15" s="104">
        <v>42</v>
      </c>
      <c r="D15" s="129"/>
      <c r="E15" s="129"/>
      <c r="F15" s="131"/>
      <c r="G15" s="132"/>
      <c r="H15" s="133"/>
      <c r="I15" s="145"/>
      <c r="J15" s="135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69</v>
      </c>
      <c r="E16" s="105">
        <f t="shared" si="0"/>
        <v>2</v>
      </c>
      <c r="F16" s="106">
        <f t="shared" si="4"/>
        <v>93.39</v>
      </c>
      <c r="G16" s="107">
        <f>IF(D16=D15,"",_xlfn.IFNA(VLOOKUP(D16,'인원 입력 기능(사과탐)'!$F$64:$I$116,4,FALSE),0))</f>
        <v>91</v>
      </c>
      <c r="H16" s="108">
        <f t="shared" si="1"/>
        <v>7.1879936808846761E-3</v>
      </c>
      <c r="I16" s="118">
        <f>SUM($G$7:G16)</f>
        <v>882</v>
      </c>
      <c r="J16" s="110">
        <f t="shared" si="5"/>
        <v>6.9668246445497628E-2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68</v>
      </c>
      <c r="E17" s="105">
        <f t="shared" si="0"/>
        <v>2</v>
      </c>
      <c r="F17" s="106">
        <f t="shared" si="4"/>
        <v>92.58</v>
      </c>
      <c r="G17" s="107">
        <f>IF(D17=D16,"",_xlfn.IFNA(VLOOKUP(D17,'인원 입력 기능(사과탐)'!$F$64:$I$116,4,FALSE),0))</f>
        <v>114</v>
      </c>
      <c r="H17" s="108">
        <f t="shared" si="1"/>
        <v>9.0047393364928903E-3</v>
      </c>
      <c r="I17" s="118">
        <f>SUM($G$7:G17)</f>
        <v>996</v>
      </c>
      <c r="J17" s="110">
        <f t="shared" si="5"/>
        <v>7.8672985781990515E-2</v>
      </c>
      <c r="K17" s="36"/>
      <c r="L17" s="20" t="str">
        <f t="shared" si="2"/>
        <v/>
      </c>
      <c r="N17" s="24"/>
      <c r="Q17" s="24">
        <f>Q7*H3*H4*J3*IFERROR(IF(J57=1, 1, 0), 0)</f>
        <v>201441177.56400001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67</v>
      </c>
      <c r="E18" s="105">
        <f t="shared" si="0"/>
        <v>2</v>
      </c>
      <c r="F18" s="106">
        <f t="shared" si="4"/>
        <v>91.66</v>
      </c>
      <c r="G18" s="107">
        <f>IF(D18=D17,"",_xlfn.IFNA(VLOOKUP(D18,'인원 입력 기능(사과탐)'!$F$64:$I$116,4,FALSE),0))</f>
        <v>119</v>
      </c>
      <c r="H18" s="108">
        <f t="shared" si="1"/>
        <v>9.3996840442338078E-3</v>
      </c>
      <c r="I18" s="118">
        <f>SUM($G$7:G18)</f>
        <v>1115</v>
      </c>
      <c r="J18" s="110">
        <f t="shared" si="5"/>
        <v>8.8072669826224331E-2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66</v>
      </c>
      <c r="E19" s="105">
        <f t="shared" si="0"/>
        <v>2</v>
      </c>
      <c r="F19" s="106">
        <f t="shared" si="4"/>
        <v>90.75</v>
      </c>
      <c r="G19" s="107">
        <f>IF(D19=D18,"",_xlfn.IFNA(VLOOKUP(D19,'인원 입력 기능(사과탐)'!$F$64:$I$116,4,FALSE),0))</f>
        <v>112</v>
      </c>
      <c r="H19" s="108">
        <f t="shared" si="1"/>
        <v>8.846761453396525E-3</v>
      </c>
      <c r="I19" s="118">
        <f>SUM($G$7:G19)</f>
        <v>1227</v>
      </c>
      <c r="J19" s="110">
        <f t="shared" si="5"/>
        <v>9.6919431279620855E-2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65</v>
      </c>
      <c r="E20" s="105">
        <f t="shared" si="0"/>
        <v>2</v>
      </c>
      <c r="F20" s="106">
        <f t="shared" si="4"/>
        <v>89.68</v>
      </c>
      <c r="G20" s="107">
        <f>IF(D20=D19,"",_xlfn.IFNA(VLOOKUP(D20,'인원 입력 기능(사과탐)'!$F$64:$I$116,4,FALSE),0))</f>
        <v>158</v>
      </c>
      <c r="H20" s="108">
        <f t="shared" si="1"/>
        <v>1.2480252764612954E-2</v>
      </c>
      <c r="I20" s="118">
        <f>SUM($G$7:G20)</f>
        <v>1385</v>
      </c>
      <c r="J20" s="110">
        <f t="shared" si="5"/>
        <v>0.10939968404423381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64</v>
      </c>
      <c r="E21" s="120">
        <f t="shared" si="0"/>
        <v>2</v>
      </c>
      <c r="F21" s="106">
        <f t="shared" si="4"/>
        <v>88.55</v>
      </c>
      <c r="G21" s="107">
        <f>IF(D21=D20,"",_xlfn.IFNA(VLOOKUP(D21,'인원 입력 기능(사과탐)'!$F$64:$I$116,4,FALSE),0))</f>
        <v>129</v>
      </c>
      <c r="H21" s="108">
        <f t="shared" si="1"/>
        <v>1.0189573459715639E-2</v>
      </c>
      <c r="I21" s="118">
        <f>SUM($G$7:G21)</f>
        <v>1514</v>
      </c>
      <c r="J21" s="110">
        <f t="shared" si="5"/>
        <v>0.11958925750394944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3">
        <f t="shared" si="3"/>
        <v>63</v>
      </c>
      <c r="E22" s="123">
        <f t="shared" si="0"/>
        <v>3</v>
      </c>
      <c r="F22" s="124">
        <f t="shared" si="4"/>
        <v>86.88</v>
      </c>
      <c r="G22" s="125">
        <f>IF(D22=D21,"",_xlfn.IFNA(VLOOKUP(D22,'인원 입력 기능(사과탐)'!$F$64:$I$116,4,FALSE),0))</f>
        <v>294</v>
      </c>
      <c r="H22" s="126">
        <f t="shared" si="1"/>
        <v>2.3222748815165877E-2</v>
      </c>
      <c r="I22" s="144">
        <f>SUM($G$7:G22)</f>
        <v>1808</v>
      </c>
      <c r="J22" s="128">
        <f t="shared" si="5"/>
        <v>0.14281200631911534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30"/>
      <c r="E23" s="130"/>
      <c r="F23" s="131"/>
      <c r="G23" s="132"/>
      <c r="H23" s="133"/>
      <c r="I23" s="145"/>
      <c r="J23" s="135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62</v>
      </c>
      <c r="E24" s="120">
        <f t="shared" si="0"/>
        <v>3</v>
      </c>
      <c r="F24" s="106">
        <f t="shared" si="4"/>
        <v>85.17</v>
      </c>
      <c r="G24" s="107">
        <f>IF(D24=D23,"",_xlfn.IFNA(VLOOKUP(D24,'인원 입력 기능(사과탐)'!$F$64:$I$116,4,FALSE),0))</f>
        <v>138</v>
      </c>
      <c r="H24" s="108">
        <f t="shared" si="1"/>
        <v>1.0900473933649289E-2</v>
      </c>
      <c r="I24" s="118">
        <f>SUM($G$7:G24)</f>
        <v>1946</v>
      </c>
      <c r="J24" s="110">
        <f t="shared" si="5"/>
        <v>0.1537124802527646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61</v>
      </c>
      <c r="E25" s="120">
        <f t="shared" si="0"/>
        <v>3</v>
      </c>
      <c r="F25" s="106">
        <f t="shared" si="4"/>
        <v>83.79</v>
      </c>
      <c r="G25" s="107">
        <f>IF(D25=D24,"",_xlfn.IFNA(VLOOKUP(D25,'인원 입력 기능(사과탐)'!$F$64:$I$116,4,FALSE),0))</f>
        <v>212</v>
      </c>
      <c r="H25" s="108">
        <f t="shared" si="1"/>
        <v>1.6745655608214848E-2</v>
      </c>
      <c r="I25" s="118">
        <f>SUM($G$7:G25)</f>
        <v>2158</v>
      </c>
      <c r="J25" s="110">
        <f t="shared" si="5"/>
        <v>0.17045813586097947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60</v>
      </c>
      <c r="E26" s="120">
        <f t="shared" si="0"/>
        <v>3</v>
      </c>
      <c r="F26" s="106">
        <f t="shared" si="4"/>
        <v>82.22</v>
      </c>
      <c r="G26" s="107">
        <f>IF(D26=D25,"",_xlfn.IFNA(VLOOKUP(D26,'인원 입력 기능(사과탐)'!$F$64:$I$116,4,FALSE),0))</f>
        <v>186</v>
      </c>
      <c r="H26" s="108">
        <f t="shared" si="1"/>
        <v>1.4691943127962086E-2</v>
      </c>
      <c r="I26" s="118">
        <f>SUM($G$7:G26)</f>
        <v>2344</v>
      </c>
      <c r="J26" s="110">
        <f t="shared" si="5"/>
        <v>0.18515007898894154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59</v>
      </c>
      <c r="E27" s="120">
        <f t="shared" si="0"/>
        <v>3</v>
      </c>
      <c r="F27" s="106">
        <f t="shared" si="4"/>
        <v>80.790000000000006</v>
      </c>
      <c r="G27" s="107">
        <f>IF(D27=D26,"",_xlfn.IFNA(VLOOKUP(D27,'인원 입력 기능(사과탐)'!$F$64:$I$116,4,FALSE),0))</f>
        <v>176</v>
      </c>
      <c r="H27" s="108">
        <f t="shared" si="1"/>
        <v>1.3902053712480253E-2</v>
      </c>
      <c r="I27" s="118">
        <f>SUM($G$7:G27)</f>
        <v>2520</v>
      </c>
      <c r="J27" s="110">
        <f t="shared" si="5"/>
        <v>0.1990521327014218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58</v>
      </c>
      <c r="E28" s="120">
        <f t="shared" si="0"/>
        <v>3</v>
      </c>
      <c r="F28" s="106">
        <f t="shared" si="4"/>
        <v>79.290000000000006</v>
      </c>
      <c r="G28" s="107">
        <f>IF(D28=D27,"",_xlfn.IFNA(VLOOKUP(D28,'인원 입력 기능(사과탐)'!$F$64:$I$116,4,FALSE),0))</f>
        <v>203</v>
      </c>
      <c r="H28" s="108">
        <f t="shared" si="1"/>
        <v>1.6034755134281202E-2</v>
      </c>
      <c r="I28" s="118">
        <f>SUM($G$7:G28)</f>
        <v>2723</v>
      </c>
      <c r="J28" s="110">
        <f t="shared" si="5"/>
        <v>0.21508688783570301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57</v>
      </c>
      <c r="E29" s="120">
        <f t="shared" si="0"/>
        <v>3</v>
      </c>
      <c r="F29" s="106">
        <f t="shared" si="4"/>
        <v>77.73</v>
      </c>
      <c r="G29" s="107">
        <f>IF(D29=D28,"",_xlfn.IFNA(VLOOKUP(D29,'인원 입력 기능(사과탐)'!$F$64:$I$116,4,FALSE),0))</f>
        <v>194</v>
      </c>
      <c r="H29" s="108">
        <f t="shared" si="1"/>
        <v>1.5323854660347551E-2</v>
      </c>
      <c r="I29" s="118">
        <f>SUM($G$7:G29)</f>
        <v>2917</v>
      </c>
      <c r="J29" s="110">
        <f t="shared" si="5"/>
        <v>0.23041074249605056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56</v>
      </c>
      <c r="E30" s="120">
        <f t="shared" si="0"/>
        <v>4</v>
      </c>
      <c r="F30" s="106">
        <f t="shared" si="4"/>
        <v>75.959999999999994</v>
      </c>
      <c r="G30" s="107">
        <f>IF(D30=D29,"",_xlfn.IFNA(VLOOKUP(D30,'인원 입력 기능(사과탐)'!$F$64:$I$116,4,FALSE),0))</f>
        <v>254</v>
      </c>
      <c r="H30" s="108">
        <f t="shared" si="1"/>
        <v>2.0063191153238548E-2</v>
      </c>
      <c r="I30" s="118">
        <f>SUM($G$7:G30)</f>
        <v>3171</v>
      </c>
      <c r="J30" s="110">
        <f t="shared" si="5"/>
        <v>0.2504739336492891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3">
        <f t="shared" si="3"/>
        <v>55</v>
      </c>
      <c r="E31" s="123">
        <f t="shared" si="0"/>
        <v>4</v>
      </c>
      <c r="F31" s="124">
        <f t="shared" si="4"/>
        <v>72.86</v>
      </c>
      <c r="G31" s="125">
        <f>IF(D31=D30,"",_xlfn.IFNA(VLOOKUP(D31,'인원 입력 기능(사과탐)'!$F$64:$I$116,4,FALSE),0))</f>
        <v>531</v>
      </c>
      <c r="H31" s="126">
        <f t="shared" si="1"/>
        <v>4.1943127962085311E-2</v>
      </c>
      <c r="I31" s="144">
        <f>SUM($G$7:G31)</f>
        <v>3702</v>
      </c>
      <c r="J31" s="128">
        <f t="shared" si="5"/>
        <v>0.29241706161137443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30"/>
      <c r="E32" s="130"/>
      <c r="F32" s="131"/>
      <c r="G32" s="132"/>
      <c r="H32" s="133"/>
      <c r="I32" s="145"/>
      <c r="J32" s="135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54</v>
      </c>
      <c r="E33" s="120">
        <f t="shared" si="0"/>
        <v>4</v>
      </c>
      <c r="F33" s="106">
        <f t="shared" si="4"/>
        <v>69.55</v>
      </c>
      <c r="G33" s="107">
        <f>IF(D33=D32,"",_xlfn.IFNA(VLOOKUP(D33,'인원 입력 기능(사과탐)'!$F$64:$I$116,4,FALSE),0))</f>
        <v>305</v>
      </c>
      <c r="H33" s="108">
        <f t="shared" si="1"/>
        <v>2.4091627172195894E-2</v>
      </c>
      <c r="I33" s="118">
        <f>SUM($G$7:G33)</f>
        <v>4007</v>
      </c>
      <c r="J33" s="110">
        <f t="shared" si="5"/>
        <v>0.3165086887835703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53</v>
      </c>
      <c r="E34" s="120">
        <f t="shared" si="0"/>
        <v>4</v>
      </c>
      <c r="F34" s="106">
        <f t="shared" si="4"/>
        <v>67.260000000000005</v>
      </c>
      <c r="G34" s="107">
        <f>IF(D34=D33,"",_xlfn.IFNA(VLOOKUP(D34,'인원 입력 기능(사과탐)'!$F$64:$I$116,4,FALSE),0))</f>
        <v>276</v>
      </c>
      <c r="H34" s="108">
        <f t="shared" si="1"/>
        <v>2.1800947867298578E-2</v>
      </c>
      <c r="I34" s="118">
        <f>SUM($G$7:G34)</f>
        <v>4283</v>
      </c>
      <c r="J34" s="110">
        <f t="shared" si="5"/>
        <v>0.33830963665086888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52</v>
      </c>
      <c r="E35" s="120">
        <f t="shared" si="0"/>
        <v>4</v>
      </c>
      <c r="F35" s="106">
        <f t="shared" si="4"/>
        <v>64.819999999999993</v>
      </c>
      <c r="G35" s="107">
        <f>IF(D35=D34,"",_xlfn.IFNA(VLOOKUP(D35,'인원 입력 기능(사과탐)'!$F$64:$I$116,4,FALSE),0))</f>
        <v>342</v>
      </c>
      <c r="H35" s="108">
        <f t="shared" si="1"/>
        <v>2.7014218009478674E-2</v>
      </c>
      <c r="I35" s="118">
        <f>SUM($G$7:G35)</f>
        <v>4625</v>
      </c>
      <c r="J35" s="110">
        <f t="shared" si="5"/>
        <v>0.36532385466034756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51</v>
      </c>
      <c r="E36" s="120">
        <f t="shared" si="0"/>
        <v>4</v>
      </c>
      <c r="F36" s="106">
        <f t="shared" si="4"/>
        <v>61.94</v>
      </c>
      <c r="G36" s="107">
        <f>IF(D36=D35,"",_xlfn.IFNA(VLOOKUP(D36,'인원 입력 기능(사과탐)'!$F$64:$I$116,4,FALSE),0))</f>
        <v>387</v>
      </c>
      <c r="H36" s="108">
        <f t="shared" si="1"/>
        <v>3.0568720379146919E-2</v>
      </c>
      <c r="I36" s="118">
        <f>SUM($G$7:G36)</f>
        <v>5012</v>
      </c>
      <c r="J36" s="110">
        <f t="shared" si="5"/>
        <v>0.39589257503949449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50</v>
      </c>
      <c r="E37" s="120">
        <f t="shared" si="0"/>
        <v>4</v>
      </c>
      <c r="F37" s="106">
        <f t="shared" si="4"/>
        <v>59.04</v>
      </c>
      <c r="G37" s="107">
        <f>IF(D37=D36,"",_xlfn.IFNA(VLOOKUP(D37,'인원 입력 기능(사과탐)'!$F$64:$I$116,4,FALSE),0))</f>
        <v>347</v>
      </c>
      <c r="H37" s="108">
        <f t="shared" si="1"/>
        <v>2.740916271721959E-2</v>
      </c>
      <c r="I37" s="118">
        <f>SUM($G$7:G37)</f>
        <v>5359</v>
      </c>
      <c r="J37" s="110">
        <f t="shared" si="5"/>
        <v>0.42330173775671404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49</v>
      </c>
      <c r="E38" s="120">
        <f t="shared" si="0"/>
        <v>5</v>
      </c>
      <c r="F38" s="106">
        <f t="shared" si="4"/>
        <v>55.94</v>
      </c>
      <c r="G38" s="107">
        <f>IF(D38=D37,"",_xlfn.IFNA(VLOOKUP(D38,'인원 입력 기능(사과탐)'!$F$64:$I$116,4,FALSE),0))</f>
        <v>437</v>
      </c>
      <c r="H38" s="108">
        <f t="shared" si="1"/>
        <v>3.451816745655608E-2</v>
      </c>
      <c r="I38" s="118">
        <f>SUM($G$7:G38)</f>
        <v>5796</v>
      </c>
      <c r="J38" s="110">
        <f t="shared" si="5"/>
        <v>0.45781990521327015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3">
        <f t="shared" si="3"/>
        <v>48</v>
      </c>
      <c r="E39" s="123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24">
        <f t="shared" si="4"/>
        <v>50.85</v>
      </c>
      <c r="G39" s="125">
        <f>IF(D39=D38,"",_xlfn.IFNA(VLOOKUP(D39,'인원 입력 기능(사과탐)'!$F$64:$I$116,4,FALSE),0))</f>
        <v>853</v>
      </c>
      <c r="H39" s="126">
        <f t="shared" si="1"/>
        <v>6.7377567140600322E-2</v>
      </c>
      <c r="I39" s="144">
        <f>SUM($G$7:G39)</f>
        <v>6649</v>
      </c>
      <c r="J39" s="128">
        <f t="shared" si="5"/>
        <v>0.52519747235387049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30"/>
      <c r="E40" s="130"/>
      <c r="F40" s="131"/>
      <c r="G40" s="132"/>
      <c r="H40" s="133"/>
      <c r="I40" s="145"/>
      <c r="J40" s="135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47</v>
      </c>
      <c r="E41" s="120">
        <f t="shared" si="6"/>
        <v>5</v>
      </c>
      <c r="F41" s="106">
        <f t="shared" si="4"/>
        <v>45.76</v>
      </c>
      <c r="G41" s="107">
        <f>IF(D41=D40,"",_xlfn.IFNA(VLOOKUP(D41,'인원 입력 기능(사과탐)'!$F$64:$I$116,4,FALSE),0))</f>
        <v>436</v>
      </c>
      <c r="H41" s="108">
        <f t="shared" si="1"/>
        <v>3.4439178515007898E-2</v>
      </c>
      <c r="I41" s="118">
        <f>SUM($G$7:G41)</f>
        <v>7085</v>
      </c>
      <c r="J41" s="110">
        <f t="shared" si="5"/>
        <v>0.55963665086887837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46</v>
      </c>
      <c r="E42" s="120">
        <f t="shared" si="6"/>
        <v>5</v>
      </c>
      <c r="F42" s="106">
        <f t="shared" si="4"/>
        <v>42.24</v>
      </c>
      <c r="G42" s="107">
        <f>IF(D42=D41,"",_xlfn.IFNA(VLOOKUP(D42,'인원 입력 기능(사과탐)'!$F$64:$I$116,4,FALSE),0))</f>
        <v>455</v>
      </c>
      <c r="H42" s="108">
        <f t="shared" si="1"/>
        <v>3.5939968404423379E-2</v>
      </c>
      <c r="I42" s="118">
        <f>SUM($G$7:G42)</f>
        <v>7540</v>
      </c>
      <c r="J42" s="110">
        <f t="shared" si="5"/>
        <v>0.59557661927330174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45</v>
      </c>
      <c r="E43" s="120">
        <f t="shared" si="6"/>
        <v>5</v>
      </c>
      <c r="F43" s="106">
        <f t="shared" si="4"/>
        <v>38.43</v>
      </c>
      <c r="G43" s="107">
        <f>IF(D43=D42,"",_xlfn.IFNA(VLOOKUP(D43,'인원 입력 기능(사과탐)'!$F$64:$I$116,4,FALSE),0))</f>
        <v>510</v>
      </c>
      <c r="H43" s="108">
        <f t="shared" si="1"/>
        <v>4.0284360189573459E-2</v>
      </c>
      <c r="I43" s="118">
        <f>SUM($G$7:G43)</f>
        <v>8050</v>
      </c>
      <c r="J43" s="110">
        <f t="shared" si="5"/>
        <v>0.63586097946287523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44</v>
      </c>
      <c r="E44" s="120">
        <f t="shared" si="6"/>
        <v>6</v>
      </c>
      <c r="F44" s="106">
        <f t="shared" si="4"/>
        <v>34.700000000000003</v>
      </c>
      <c r="G44" s="107">
        <f>IF(D44=D43,"",_xlfn.IFNA(VLOOKUP(D44,'인원 입력 기능(사과탐)'!$F$64:$I$116,4,FALSE),0))</f>
        <v>433</v>
      </c>
      <c r="H44" s="108">
        <f t="shared" si="1"/>
        <v>3.4202211690363346E-2</v>
      </c>
      <c r="I44" s="118">
        <f>SUM($G$7:G44)</f>
        <v>8483</v>
      </c>
      <c r="J44" s="110">
        <f t="shared" si="5"/>
        <v>0.67006319115323854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43</v>
      </c>
      <c r="E45" s="120">
        <f t="shared" si="6"/>
        <v>6</v>
      </c>
      <c r="F45" s="106">
        <f t="shared" si="4"/>
        <v>29.82</v>
      </c>
      <c r="G45" s="107">
        <f>IF(D45=D44,"",_xlfn.IFNA(VLOOKUP(D45,'인원 입력 기능(사과탐)'!$F$64:$I$116,4,FALSE),0))</f>
        <v>804</v>
      </c>
      <c r="H45" s="108">
        <f t="shared" si="1"/>
        <v>6.350710900473934E-2</v>
      </c>
      <c r="I45" s="118">
        <f>SUM($G$7:G45)</f>
        <v>9287</v>
      </c>
      <c r="J45" s="110">
        <f t="shared" si="5"/>
        <v>0.73357030015797786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42</v>
      </c>
      <c r="E46" s="120">
        <f t="shared" si="6"/>
        <v>6</v>
      </c>
      <c r="F46" s="106">
        <f t="shared" si="4"/>
        <v>24.96</v>
      </c>
      <c r="G46" s="107">
        <f>IF(D46=D45,"",_xlfn.IFNA(VLOOKUP(D46,'인원 입력 기능(사과탐)'!$F$64:$I$116,4,FALSE),0))</f>
        <v>426</v>
      </c>
      <c r="H46" s="108">
        <f t="shared" si="1"/>
        <v>3.3649289099526067E-2</v>
      </c>
      <c r="I46" s="118">
        <f>SUM($G$7:G46)</f>
        <v>9713</v>
      </c>
      <c r="J46" s="110">
        <f t="shared" si="5"/>
        <v>0.767219589257504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41</v>
      </c>
      <c r="E47" s="120">
        <f t="shared" si="6"/>
        <v>6</v>
      </c>
      <c r="F47" s="106">
        <f t="shared" si="4"/>
        <v>21.26</v>
      </c>
      <c r="G47" s="107">
        <f>IF(D47=D46,"",_xlfn.IFNA(VLOOKUP(D47,'인원 입력 기능(사과탐)'!$F$64:$I$116,4,FALSE),0))</f>
        <v>510</v>
      </c>
      <c r="H47" s="108">
        <f t="shared" si="1"/>
        <v>4.0284360189573459E-2</v>
      </c>
      <c r="I47" s="118">
        <f>SUM($G$7:G47)</f>
        <v>10223</v>
      </c>
      <c r="J47" s="110">
        <f t="shared" si="5"/>
        <v>0.80750394944707737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3">
        <f t="shared" si="3"/>
        <v>40</v>
      </c>
      <c r="E48" s="123">
        <f t="shared" si="6"/>
        <v>7</v>
      </c>
      <c r="F48" s="124">
        <f t="shared" si="4"/>
        <v>15.85</v>
      </c>
      <c r="G48" s="125">
        <f>IF(D48=D47,"",_xlfn.IFNA(VLOOKUP(D48,'인원 입력 기능(사과탐)'!$F$64:$I$116,4,FALSE),0))</f>
        <v>861</v>
      </c>
      <c r="H48" s="126">
        <f t="shared" si="1"/>
        <v>6.8009478672985776E-2</v>
      </c>
      <c r="I48" s="144">
        <f>SUM($G$7:G48)</f>
        <v>11084</v>
      </c>
      <c r="J48" s="128">
        <f t="shared" si="5"/>
        <v>0.87551342812006316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30"/>
      <c r="E49" s="130"/>
      <c r="F49" s="131"/>
      <c r="G49" s="132"/>
      <c r="H49" s="133"/>
      <c r="I49" s="145"/>
      <c r="J49" s="135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39</v>
      </c>
      <c r="E50" s="120">
        <f t="shared" si="6"/>
        <v>7</v>
      </c>
      <c r="F50" s="106">
        <f t="shared" si="4"/>
        <v>8.6199999999999992</v>
      </c>
      <c r="G50" s="107">
        <f>IF(D50=D49,"",_xlfn.IFNA(VLOOKUP(D50,'인원 입력 기능(사과탐)'!$F$64:$I$116,4,FALSE),0))</f>
        <v>970</v>
      </c>
      <c r="H50" s="108">
        <f t="shared" si="1"/>
        <v>7.6619273301737761E-2</v>
      </c>
      <c r="I50" s="118">
        <f>SUM($G$7:G50)</f>
        <v>12054</v>
      </c>
      <c r="J50" s="110">
        <f t="shared" si="5"/>
        <v>0.95213270142180095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38</v>
      </c>
      <c r="E51" s="120">
        <f t="shared" si="6"/>
        <v>8</v>
      </c>
      <c r="F51" s="106">
        <f t="shared" si="4"/>
        <v>4.2</v>
      </c>
      <c r="G51" s="107">
        <f>IF(D51=D50,"",_xlfn.IFNA(VLOOKUP(D51,'인원 입력 기능(사과탐)'!$F$64:$I$116,4,FALSE),0))</f>
        <v>148</v>
      </c>
      <c r="H51" s="108">
        <f t="shared" si="1"/>
        <v>1.1690363349131122E-2</v>
      </c>
      <c r="I51" s="118">
        <f>SUM($G$7:G51)</f>
        <v>12202</v>
      </c>
      <c r="J51" s="110">
        <f t="shared" si="5"/>
        <v>0.96382306477093205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37</v>
      </c>
      <c r="E52" s="120">
        <f t="shared" si="6"/>
        <v>9</v>
      </c>
      <c r="F52" s="106">
        <f t="shared" si="4"/>
        <v>2.77</v>
      </c>
      <c r="G52" s="107">
        <f>IF(D52=D51,"",_xlfn.IFNA(VLOOKUP(D52,'인원 입력 기능(사과탐)'!$F$64:$I$116,4,FALSE),0))</f>
        <v>215</v>
      </c>
      <c r="H52" s="108">
        <f t="shared" si="1"/>
        <v>1.69826224328594E-2</v>
      </c>
      <c r="I52" s="118">
        <f>SUM($G$7:G52)</f>
        <v>12417</v>
      </c>
      <c r="J52" s="110">
        <f t="shared" si="5"/>
        <v>0.98080568720379147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36</v>
      </c>
      <c r="E53" s="105">
        <f t="shared" si="6"/>
        <v>9</v>
      </c>
      <c r="F53" s="106">
        <f t="shared" si="4"/>
        <v>1.6</v>
      </c>
      <c r="G53" s="107">
        <f>IF(D53=D52,"",_xlfn.IFNA(VLOOKUP(D53,'인원 입력 기능(사과탐)'!$F$64:$I$116,4,FALSE),0))</f>
        <v>81</v>
      </c>
      <c r="H53" s="108">
        <f t="shared" si="1"/>
        <v>6.3981042654028437E-3</v>
      </c>
      <c r="I53" s="118">
        <f>SUM($G$7:G53)</f>
        <v>12498</v>
      </c>
      <c r="J53" s="110">
        <f t="shared" si="5"/>
        <v>0.98720379146919435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35</v>
      </c>
      <c r="E54" s="105">
        <f t="shared" si="6"/>
        <v>9</v>
      </c>
      <c r="F54" s="106">
        <f t="shared" si="4"/>
        <v>1.05</v>
      </c>
      <c r="G54" s="107">
        <f>IF(D54=D53,"",_xlfn.IFNA(VLOOKUP(D54,'인원 입력 기능(사과탐)'!$F$64:$I$116,4,FALSE),0))</f>
        <v>59</v>
      </c>
      <c r="H54" s="108">
        <f t="shared" si="1"/>
        <v>4.6603475513428121E-3</v>
      </c>
      <c r="I54" s="118">
        <f>SUM($G$7:G54)</f>
        <v>12557</v>
      </c>
      <c r="J54" s="110">
        <f t="shared" si="5"/>
        <v>0.99186413902053716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34</v>
      </c>
      <c r="E55" s="105">
        <f t="shared" si="6"/>
        <v>9</v>
      </c>
      <c r="F55" s="106">
        <f t="shared" si="4"/>
        <v>0.48</v>
      </c>
      <c r="G55" s="107">
        <f>IF(D55=D54,"",_xlfn.IFNA(VLOOKUP(D55,'인원 입력 기능(사과탐)'!$F$64:$I$116,4,FALSE),0))</f>
        <v>85</v>
      </c>
      <c r="H55" s="108">
        <f t="shared" si="1"/>
        <v>6.7140600315955768E-3</v>
      </c>
      <c r="I55" s="118">
        <f>SUM($G$7:G55)</f>
        <v>12642</v>
      </c>
      <c r="J55" s="110">
        <f t="shared" si="5"/>
        <v>0.99857819905213274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33</v>
      </c>
      <c r="E57" s="176">
        <f t="shared" si="6"/>
        <v>9</v>
      </c>
      <c r="F57" s="139">
        <f>IF(I55=0,ROUND(100*(1-(I54+I57)/2/$J$3),2),ROUND(100*(1-(I55+I57)/2/$J$3),2))</f>
        <v>7.0000000000000007E-2</v>
      </c>
      <c r="G57" s="177">
        <f>_xlfn.IFNA(VLOOKUP(D57,'인원 입력 기능(사과탐)'!$F$64:$I$116,4,FALSE),0)</f>
        <v>18</v>
      </c>
      <c r="H57" s="141">
        <f>G57/$J$3</f>
        <v>1.4218009478672985E-3</v>
      </c>
      <c r="I57" s="142">
        <f>SUM($G$7:G57)</f>
        <v>12660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7">
    <mergeCell ref="D3:F3"/>
    <mergeCell ref="D4:F4"/>
    <mergeCell ref="D14:D15"/>
    <mergeCell ref="E14:E15"/>
    <mergeCell ref="F14:F15"/>
    <mergeCell ref="G14:G15"/>
    <mergeCell ref="H14:H15"/>
    <mergeCell ref="I14:I15"/>
    <mergeCell ref="J14:J15"/>
    <mergeCell ref="D22:D23"/>
    <mergeCell ref="E22:E23"/>
    <mergeCell ref="F22:F23"/>
    <mergeCell ref="G22:G23"/>
    <mergeCell ref="H22:H23"/>
    <mergeCell ref="I22:I23"/>
    <mergeCell ref="J22:J23"/>
    <mergeCell ref="I31:I32"/>
    <mergeCell ref="J31:J32"/>
    <mergeCell ref="D39:D40"/>
    <mergeCell ref="E39:E40"/>
    <mergeCell ref="F39:F40"/>
    <mergeCell ref="G39:G40"/>
    <mergeCell ref="H39:H40"/>
    <mergeCell ref="I39:I40"/>
    <mergeCell ref="J39:J40"/>
    <mergeCell ref="D31:D32"/>
    <mergeCell ref="E31:E32"/>
    <mergeCell ref="F31:F32"/>
    <mergeCell ref="G31:G32"/>
    <mergeCell ref="H31:H32"/>
    <mergeCell ref="I48:I49"/>
    <mergeCell ref="J48:J49"/>
    <mergeCell ref="D48:D49"/>
    <mergeCell ref="E48:E49"/>
    <mergeCell ref="F48:F49"/>
    <mergeCell ref="G48:G49"/>
    <mergeCell ref="H48:H49"/>
  </mergeCells>
  <phoneticPr fontId="1" type="noConversion"/>
  <conditionalFormatting sqref="D7:G14 I7:J14 D16:G22 I16:J22 D24:G31 I24:J31 D33:G39 I33:J39 D41:G48 I41:J48 D50:G57 I50:J57">
    <cfRule type="expression" dxfId="31" priority="4">
      <formula>OR($D7=$Q$7:$Q$14)</formula>
    </cfRule>
  </conditionalFormatting>
  <conditionalFormatting sqref="C7:C57">
    <cfRule type="expression" dxfId="30" priority="3">
      <formula>OR(AND($D7=0,OR($D6=$Q$7:$Q$14)),AND($D8&gt;0,OR($D7=$Q$7:$Q$14)))</formula>
    </cfRule>
  </conditionalFormatting>
  <conditionalFormatting sqref="D7:D14 D16:D22 D24:D31 D33:D39 D41:D48 D50:D57">
    <cfRule type="expression" dxfId="29" priority="2">
      <formula>$D7=$D8</formula>
    </cfRule>
  </conditionalFormatting>
  <conditionalFormatting sqref="H7:H14 H16:H22 H24:H31 H33:H39 H41:H48 H50:H57">
    <cfRule type="expression" dxfId="2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기능'!D14</f>
        <v>20.59</v>
      </c>
      <c r="I3" s="21" t="s">
        <v>107</v>
      </c>
      <c r="J3" s="93">
        <f>'통계 및 응시자 수 입력 기능'!C14</f>
        <v>9582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135</v>
      </c>
      <c r="E4" s="96"/>
      <c r="F4" s="97"/>
      <c r="G4" s="98" t="s">
        <v>110</v>
      </c>
      <c r="H4" s="99" t="str">
        <f>'통계 및 응시자 수 입력 기능'!E14</f>
        <v>11.22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76</v>
      </c>
      <c r="E7" s="105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99.47</v>
      </c>
      <c r="G7" s="107">
        <f>_xlfn.IFNA(VLOOKUP(D7,'인원 입력 기능(사과탐)'!$K$64:$N$116,4,FALSE),0)</f>
        <v>102</v>
      </c>
      <c r="H7" s="108">
        <f>G7/$J$3</f>
        <v>1.0644959298685034E-2</v>
      </c>
      <c r="I7" s="109">
        <f>G7</f>
        <v>102</v>
      </c>
      <c r="J7" s="110">
        <f>I7/$J$3</f>
        <v>1.0644959298685034E-2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71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기능'!C95</f>
        <v>65</v>
      </c>
    </row>
    <row r="9" spans="1:17" s="22" customFormat="1" ht="25" customHeight="1" x14ac:dyDescent="0.45">
      <c r="A9" s="20"/>
      <c r="B9" s="35"/>
      <c r="C9" s="104">
        <v>48</v>
      </c>
      <c r="D9" s="122">
        <f>ROUND(10*(C9-$H$3)/$H$4+50,0)</f>
        <v>74</v>
      </c>
      <c r="E9" s="122">
        <f t="shared" si="0"/>
        <v>1</v>
      </c>
      <c r="F9" s="124">
        <f>IF(I8=0,ROUND(100*(1-(I7+I9)/2/$J$3),2),ROUND(100*(1-(I8+I9)/2/$J$3),2))</f>
        <v>98.07</v>
      </c>
      <c r="G9" s="125">
        <f>_xlfn.IFNA(VLOOKUP(D9,'인원 입력 기능(사과탐)'!$K$64:$N$116,4,FALSE),0)</f>
        <v>166</v>
      </c>
      <c r="H9" s="126">
        <f t="shared" ref="H9:H55" si="1">G9/$J$3</f>
        <v>1.7324149446879565E-2</v>
      </c>
      <c r="I9" s="144">
        <f>SUM($G$7:G9)</f>
        <v>268</v>
      </c>
      <c r="J9" s="128">
        <f>I9/$J$3</f>
        <v>2.7969108745564599E-2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57</v>
      </c>
    </row>
    <row r="10" spans="1:17" s="22" customFormat="1" ht="25" customHeight="1" x14ac:dyDescent="0.45">
      <c r="A10" s="20"/>
      <c r="B10" s="35"/>
      <c r="C10" s="111">
        <v>47</v>
      </c>
      <c r="D10" s="129"/>
      <c r="E10" s="129"/>
      <c r="F10" s="131"/>
      <c r="G10" s="132"/>
      <c r="H10" s="133"/>
      <c r="I10" s="145"/>
      <c r="J10" s="135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기능'!C97</f>
        <v>50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ref="D11:D55" si="3">ROUND(10*(C11-$H$3)/$H$4+50,0)</f>
        <v>73</v>
      </c>
      <c r="E11" s="105">
        <f t="shared" si="0"/>
        <v>1</v>
      </c>
      <c r="F11" s="106">
        <f t="shared" ref="F11:F55" si="4">IF(I10=0,ROUND(100*(1-(I9+I11)/2/$J$3),2),ROUND(100*(1-(I10+I11)/2/$J$3),2))</f>
        <v>97.16</v>
      </c>
      <c r="G11" s="107">
        <f>IF(D11=D10,"",_xlfn.IFNA(VLOOKUP(D11,'인원 입력 기능(사과탐)'!$K$64:$N$116,4,FALSE),0))</f>
        <v>8</v>
      </c>
      <c r="H11" s="108">
        <f t="shared" si="1"/>
        <v>8.3489876852431638E-4</v>
      </c>
      <c r="I11" s="118">
        <f>SUM($G$7:G11)</f>
        <v>276</v>
      </c>
      <c r="J11" s="110">
        <f t="shared" ref="J11:J55" si="5">I11/$J$3</f>
        <v>2.8804007514088917E-2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72</v>
      </c>
      <c r="E12" s="105">
        <f t="shared" si="0"/>
        <v>1</v>
      </c>
      <c r="F12" s="106">
        <f t="shared" si="4"/>
        <v>96.64</v>
      </c>
      <c r="G12" s="107">
        <f>IF(D12=D11,"",_xlfn.IFNA(VLOOKUP(D12,'인원 입력 기능(사과탐)'!$K$64:$N$116,4,FALSE),0))</f>
        <v>92</v>
      </c>
      <c r="H12" s="108">
        <f t="shared" si="1"/>
        <v>9.6013358380296395E-3</v>
      </c>
      <c r="I12" s="118">
        <f>SUM($G$7:G12)</f>
        <v>368</v>
      </c>
      <c r="J12" s="110">
        <f t="shared" si="5"/>
        <v>3.8405343352118558E-2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42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71</v>
      </c>
      <c r="E13" s="105">
        <f t="shared" si="0"/>
        <v>1</v>
      </c>
      <c r="F13" s="106">
        <f t="shared" si="4"/>
        <v>95.62</v>
      </c>
      <c r="G13" s="107">
        <f>IF(D13=D12,"",_xlfn.IFNA(VLOOKUP(D13,'인원 입력 기능(사과탐)'!$K$64:$N$116,4,FALSE),0))</f>
        <v>104</v>
      </c>
      <c r="H13" s="108">
        <f t="shared" si="1"/>
        <v>1.0853683990816114E-2</v>
      </c>
      <c r="I13" s="118">
        <f>SUM($G$7:G13)</f>
        <v>472</v>
      </c>
      <c r="J13" s="110">
        <f t="shared" si="5"/>
        <v>4.9259027342934671E-2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기능'!C100</f>
        <v>40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70</v>
      </c>
      <c r="E14" s="105">
        <f t="shared" si="0"/>
        <v>2</v>
      </c>
      <c r="F14" s="106">
        <f t="shared" si="4"/>
        <v>94.85</v>
      </c>
      <c r="G14" s="107">
        <f>IF(D14=D13,"",_xlfn.IFNA(VLOOKUP(D14,'인원 입력 기능(사과탐)'!$K$64:$N$116,4,FALSE),0))</f>
        <v>42</v>
      </c>
      <c r="H14" s="108">
        <f t="shared" si="1"/>
        <v>4.3832185347526609E-3</v>
      </c>
      <c r="I14" s="118">
        <f>SUM($G$7:G14)</f>
        <v>514</v>
      </c>
      <c r="J14" s="110">
        <f t="shared" si="5"/>
        <v>5.3642245877687331E-2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37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69</v>
      </c>
      <c r="E15" s="105">
        <f t="shared" si="0"/>
        <v>2</v>
      </c>
      <c r="F15" s="106">
        <f t="shared" si="4"/>
        <v>94.08</v>
      </c>
      <c r="G15" s="107">
        <f>IF(D15=D14,"",_xlfn.IFNA(VLOOKUP(D15,'인원 입력 기능(사과탐)'!$K$64:$N$116,4,FALSE),0))</f>
        <v>106</v>
      </c>
      <c r="H15" s="108">
        <f t="shared" si="1"/>
        <v>1.1062408682947193E-2</v>
      </c>
      <c r="I15" s="118">
        <f>SUM($G$7:G15)</f>
        <v>620</v>
      </c>
      <c r="J15" s="110">
        <f t="shared" si="5"/>
        <v>6.4704654560634525E-2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68</v>
      </c>
      <c r="E16" s="105">
        <f t="shared" si="0"/>
        <v>2</v>
      </c>
      <c r="F16" s="106">
        <f t="shared" si="4"/>
        <v>93.05</v>
      </c>
      <c r="G16" s="107">
        <f>IF(D16=D15,"",_xlfn.IFNA(VLOOKUP(D16,'인원 입력 기능(사과탐)'!$K$64:$N$116,4,FALSE),0))</f>
        <v>91</v>
      </c>
      <c r="H16" s="108">
        <f t="shared" si="1"/>
        <v>9.4969734919640985E-3</v>
      </c>
      <c r="I16" s="118">
        <f>SUM($G$7:G16)</f>
        <v>711</v>
      </c>
      <c r="J16" s="110">
        <f t="shared" si="5"/>
        <v>7.4201628052598625E-2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67</v>
      </c>
      <c r="E17" s="105">
        <f t="shared" si="0"/>
        <v>2</v>
      </c>
      <c r="F17" s="106">
        <f t="shared" si="4"/>
        <v>92.14</v>
      </c>
      <c r="G17" s="107">
        <f>IF(D17=D16,"",_xlfn.IFNA(VLOOKUP(D17,'인원 입력 기능(사과탐)'!$K$64:$N$116,4,FALSE),0))</f>
        <v>85</v>
      </c>
      <c r="H17" s="108">
        <f t="shared" si="1"/>
        <v>8.8707994155708628E-3</v>
      </c>
      <c r="I17" s="118">
        <f>SUM($G$7:G17)</f>
        <v>796</v>
      </c>
      <c r="J17" s="110">
        <f t="shared" si="5"/>
        <v>8.307242746816948E-2</v>
      </c>
      <c r="K17" s="36"/>
      <c r="L17" s="20" t="str">
        <f t="shared" si="2"/>
        <v/>
      </c>
      <c r="N17" s="24"/>
      <c r="Q17" s="24">
        <f>Q7*H3*H4*J3*IFERROR(IF(J57=1, 1, 0), 0)</f>
        <v>157167852.37560001</v>
      </c>
    </row>
    <row r="18" spans="1:17" s="22" customFormat="1" ht="25" customHeight="1" x14ac:dyDescent="0.45">
      <c r="A18" s="20"/>
      <c r="B18" s="35"/>
      <c r="C18" s="111">
        <v>39</v>
      </c>
      <c r="D18" s="122">
        <f t="shared" si="3"/>
        <v>66</v>
      </c>
      <c r="E18" s="122">
        <f t="shared" si="0"/>
        <v>2</v>
      </c>
      <c r="F18" s="124">
        <f t="shared" si="4"/>
        <v>90.7</v>
      </c>
      <c r="G18" s="125">
        <f>IF(D18=D17,"",_xlfn.IFNA(VLOOKUP(D18,'인원 입력 기능(사과탐)'!$K$64:$N$116,4,FALSE),0))</f>
        <v>190</v>
      </c>
      <c r="H18" s="126">
        <f t="shared" si="1"/>
        <v>1.9828845752452515E-2</v>
      </c>
      <c r="I18" s="144">
        <f>SUM($G$7:G18)</f>
        <v>986</v>
      </c>
      <c r="J18" s="128">
        <f t="shared" si="5"/>
        <v>0.10290127322062199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29"/>
      <c r="E19" s="129"/>
      <c r="F19" s="131"/>
      <c r="G19" s="132"/>
      <c r="H19" s="133"/>
      <c r="I19" s="145"/>
      <c r="J19" s="135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65</v>
      </c>
      <c r="E20" s="105">
        <f t="shared" si="0"/>
        <v>2</v>
      </c>
      <c r="F20" s="106">
        <f t="shared" si="4"/>
        <v>89.03</v>
      </c>
      <c r="G20" s="107">
        <f>IF(D20=D19,"",_xlfn.IFNA(VLOOKUP(D20,'인원 입력 기능(사과탐)'!$K$64:$N$116,4,FALSE),0))</f>
        <v>130</v>
      </c>
      <c r="H20" s="108">
        <f t="shared" si="1"/>
        <v>1.3567104988520142E-2</v>
      </c>
      <c r="I20" s="118">
        <f>SUM($G$7:G20)</f>
        <v>1116</v>
      </c>
      <c r="J20" s="110">
        <f t="shared" si="5"/>
        <v>0.11646837820914215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64</v>
      </c>
      <c r="E21" s="120">
        <f t="shared" si="0"/>
        <v>3</v>
      </c>
      <c r="F21" s="106">
        <f t="shared" si="4"/>
        <v>87.66</v>
      </c>
      <c r="G21" s="107">
        <f>IF(D21=D20,"",_xlfn.IFNA(VLOOKUP(D21,'인원 입력 기능(사과탐)'!$K$64:$N$116,4,FALSE),0))</f>
        <v>132</v>
      </c>
      <c r="H21" s="108">
        <f t="shared" si="1"/>
        <v>1.3775829680651221E-2</v>
      </c>
      <c r="I21" s="118">
        <f>SUM($G$7:G21)</f>
        <v>1248</v>
      </c>
      <c r="J21" s="110">
        <f t="shared" si="5"/>
        <v>0.13024420788979335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63</v>
      </c>
      <c r="E22" s="120">
        <f t="shared" si="0"/>
        <v>3</v>
      </c>
      <c r="F22" s="106">
        <f t="shared" si="4"/>
        <v>86.39</v>
      </c>
      <c r="G22" s="107">
        <f>IF(D22=D21,"",_xlfn.IFNA(VLOOKUP(D22,'인원 입력 기능(사과탐)'!$K$64:$N$116,4,FALSE),0))</f>
        <v>113</v>
      </c>
      <c r="H22" s="108">
        <f t="shared" si="1"/>
        <v>1.179294510540597E-2</v>
      </c>
      <c r="I22" s="118">
        <f>SUM($G$7:G22)</f>
        <v>1361</v>
      </c>
      <c r="J22" s="110">
        <f t="shared" si="5"/>
        <v>0.14203715299519934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62</v>
      </c>
      <c r="E23" s="120">
        <f t="shared" si="0"/>
        <v>3</v>
      </c>
      <c r="F23" s="106">
        <f t="shared" si="4"/>
        <v>85.04</v>
      </c>
      <c r="G23" s="107">
        <f>IF(D23=D22,"",_xlfn.IFNA(VLOOKUP(D23,'인원 입력 기능(사과탐)'!$K$64:$N$116,4,FALSE),0))</f>
        <v>145</v>
      </c>
      <c r="H23" s="108">
        <f t="shared" si="1"/>
        <v>1.5132540179503235E-2</v>
      </c>
      <c r="I23" s="118">
        <f>SUM($G$7:G23)</f>
        <v>1506</v>
      </c>
      <c r="J23" s="110">
        <f t="shared" si="5"/>
        <v>0.15716969317470256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61</v>
      </c>
      <c r="E24" s="120">
        <f t="shared" si="0"/>
        <v>3</v>
      </c>
      <c r="F24" s="106">
        <f t="shared" si="4"/>
        <v>83.55</v>
      </c>
      <c r="G24" s="107">
        <f>IF(D24=D23,"",_xlfn.IFNA(VLOOKUP(D24,'인원 입력 기능(사과탐)'!$K$64:$N$116,4,FALSE),0))</f>
        <v>141</v>
      </c>
      <c r="H24" s="108">
        <f t="shared" si="1"/>
        <v>1.4715090795241076E-2</v>
      </c>
      <c r="I24" s="118">
        <f>SUM($G$7:G24)</f>
        <v>1647</v>
      </c>
      <c r="J24" s="110">
        <f t="shared" si="5"/>
        <v>0.17188478396994364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60</v>
      </c>
      <c r="E25" s="120">
        <f t="shared" si="0"/>
        <v>3</v>
      </c>
      <c r="F25" s="106">
        <f t="shared" si="4"/>
        <v>82.14</v>
      </c>
      <c r="G25" s="107">
        <f>IF(D25=D24,"",_xlfn.IFNA(VLOOKUP(D25,'인원 입력 기능(사과탐)'!$K$64:$N$116,4,FALSE),0))</f>
        <v>128</v>
      </c>
      <c r="H25" s="108">
        <f t="shared" si="1"/>
        <v>1.3358380296389062E-2</v>
      </c>
      <c r="I25" s="118">
        <f>SUM($G$7:G25)</f>
        <v>1775</v>
      </c>
      <c r="J25" s="110">
        <f t="shared" si="5"/>
        <v>0.18524316426633269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59</v>
      </c>
      <c r="E26" s="120">
        <f t="shared" si="0"/>
        <v>3</v>
      </c>
      <c r="F26" s="106">
        <f t="shared" si="4"/>
        <v>80.569999999999993</v>
      </c>
      <c r="G26" s="107">
        <f>IF(D26=D25,"",_xlfn.IFNA(VLOOKUP(D26,'인원 입력 기능(사과탐)'!$K$64:$N$116,4,FALSE),0))</f>
        <v>174</v>
      </c>
      <c r="H26" s="108">
        <f t="shared" si="1"/>
        <v>1.8159048215403883E-2</v>
      </c>
      <c r="I26" s="118">
        <f>SUM($G$7:G26)</f>
        <v>1949</v>
      </c>
      <c r="J26" s="110">
        <f t="shared" si="5"/>
        <v>0.20340221248173659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58</v>
      </c>
      <c r="E27" s="120">
        <f t="shared" si="0"/>
        <v>3</v>
      </c>
      <c r="F27" s="106">
        <f t="shared" si="4"/>
        <v>78.87</v>
      </c>
      <c r="G27" s="107">
        <f>IF(D27=D26,"",_xlfn.IFNA(VLOOKUP(D27,'인원 입력 기능(사과탐)'!$K$64:$N$116,4,FALSE),0))</f>
        <v>151</v>
      </c>
      <c r="H27" s="108">
        <f t="shared" si="1"/>
        <v>1.5758714255896474E-2</v>
      </c>
      <c r="I27" s="118">
        <f>SUM($G$7:G27)</f>
        <v>2100</v>
      </c>
      <c r="J27" s="110">
        <f t="shared" si="5"/>
        <v>0.21916092673763307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3">
        <f t="shared" si="3"/>
        <v>57</v>
      </c>
      <c r="E28" s="123">
        <f t="shared" si="0"/>
        <v>3</v>
      </c>
      <c r="F28" s="124">
        <f t="shared" si="4"/>
        <v>76.3</v>
      </c>
      <c r="G28" s="125">
        <f>IF(D28=D27,"",_xlfn.IFNA(VLOOKUP(D28,'인원 입력 기능(사과탐)'!$K$64:$N$116,4,FALSE),0))</f>
        <v>341</v>
      </c>
      <c r="H28" s="126">
        <f t="shared" si="1"/>
        <v>3.5587560008348985E-2</v>
      </c>
      <c r="I28" s="144">
        <f>SUM($G$7:G28)</f>
        <v>2441</v>
      </c>
      <c r="J28" s="128">
        <f t="shared" si="5"/>
        <v>0.25474848674598205</v>
      </c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30"/>
      <c r="E29" s="130"/>
      <c r="F29" s="131"/>
      <c r="G29" s="132"/>
      <c r="H29" s="133"/>
      <c r="I29" s="145"/>
      <c r="J29" s="135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56</v>
      </c>
      <c r="E30" s="120">
        <f t="shared" si="0"/>
        <v>4</v>
      </c>
      <c r="F30" s="106">
        <f t="shared" si="4"/>
        <v>73.62</v>
      </c>
      <c r="G30" s="107">
        <f>IF(D30=D29,"",_xlfn.IFNA(VLOOKUP(D30,'인원 입력 기능(사과탐)'!$K$64:$N$116,4,FALSE),0))</f>
        <v>174</v>
      </c>
      <c r="H30" s="108">
        <f t="shared" si="1"/>
        <v>1.8159048215403883E-2</v>
      </c>
      <c r="I30" s="118">
        <f>SUM($G$7:G30)</f>
        <v>2615</v>
      </c>
      <c r="J30" s="110">
        <f t="shared" si="5"/>
        <v>0.27290753496138592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55</v>
      </c>
      <c r="E31" s="120">
        <f t="shared" si="0"/>
        <v>4</v>
      </c>
      <c r="F31" s="106">
        <f t="shared" si="4"/>
        <v>71.58</v>
      </c>
      <c r="G31" s="107">
        <f>IF(D31=D30,"",_xlfn.IFNA(VLOOKUP(D31,'인원 입력 기능(사과탐)'!$K$64:$N$116,4,FALSE),0))</f>
        <v>216</v>
      </c>
      <c r="H31" s="108">
        <f t="shared" si="1"/>
        <v>2.2542266750156543E-2</v>
      </c>
      <c r="I31" s="118">
        <f>SUM($G$7:G31)</f>
        <v>2831</v>
      </c>
      <c r="J31" s="110">
        <f t="shared" si="5"/>
        <v>0.29544980171154245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54</v>
      </c>
      <c r="E32" s="120">
        <f t="shared" si="0"/>
        <v>4</v>
      </c>
      <c r="F32" s="106">
        <f t="shared" si="4"/>
        <v>69.34</v>
      </c>
      <c r="G32" s="107">
        <f>IF(D32=D31,"",_xlfn.IFNA(VLOOKUP(D32,'인원 입력 기능(사과탐)'!$K$64:$N$116,4,FALSE),0))</f>
        <v>214</v>
      </c>
      <c r="H32" s="108">
        <f t="shared" si="1"/>
        <v>2.2333542058025464E-2</v>
      </c>
      <c r="I32" s="118">
        <f>SUM($G$7:G32)</f>
        <v>3045</v>
      </c>
      <c r="J32" s="110">
        <f t="shared" si="5"/>
        <v>0.31778334376956796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53</v>
      </c>
      <c r="E33" s="120">
        <f t="shared" si="0"/>
        <v>4</v>
      </c>
      <c r="F33" s="106">
        <f t="shared" si="4"/>
        <v>67.069999999999993</v>
      </c>
      <c r="G33" s="107">
        <f>IF(D33=D32,"",_xlfn.IFNA(VLOOKUP(D33,'인원 입력 기능(사과탐)'!$K$64:$N$116,4,FALSE),0))</f>
        <v>220</v>
      </c>
      <c r="H33" s="108">
        <f t="shared" si="1"/>
        <v>2.2959716134418703E-2</v>
      </c>
      <c r="I33" s="118">
        <f>SUM($G$7:G33)</f>
        <v>3265</v>
      </c>
      <c r="J33" s="110">
        <f t="shared" si="5"/>
        <v>0.34074305990398662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52</v>
      </c>
      <c r="E34" s="120">
        <f t="shared" si="0"/>
        <v>4</v>
      </c>
      <c r="F34" s="106">
        <f t="shared" si="4"/>
        <v>64.599999999999994</v>
      </c>
      <c r="G34" s="107">
        <f>IF(D34=D33,"",_xlfn.IFNA(VLOOKUP(D34,'인원 입력 기능(사과탐)'!$K$64:$N$116,4,FALSE),0))</f>
        <v>254</v>
      </c>
      <c r="H34" s="108">
        <f t="shared" si="1"/>
        <v>2.6508035900647046E-2</v>
      </c>
      <c r="I34" s="118">
        <f>SUM($G$7:G34)</f>
        <v>3519</v>
      </c>
      <c r="J34" s="110">
        <f t="shared" si="5"/>
        <v>0.36725109580463366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51</v>
      </c>
      <c r="E35" s="120">
        <f t="shared" si="0"/>
        <v>4</v>
      </c>
      <c r="F35" s="106">
        <f t="shared" si="4"/>
        <v>61.98</v>
      </c>
      <c r="G35" s="107">
        <f>IF(D35=D34,"",_xlfn.IFNA(VLOOKUP(D35,'인원 입력 기능(사과탐)'!$K$64:$N$116,4,FALSE),0))</f>
        <v>248</v>
      </c>
      <c r="H35" s="108">
        <f t="shared" si="1"/>
        <v>2.588186182425381E-2</v>
      </c>
      <c r="I35" s="118">
        <f>SUM($G$7:G35)</f>
        <v>3767</v>
      </c>
      <c r="J35" s="110">
        <f t="shared" si="5"/>
        <v>0.3931329576288875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50</v>
      </c>
      <c r="E36" s="120">
        <f t="shared" si="0"/>
        <v>4</v>
      </c>
      <c r="F36" s="106">
        <f t="shared" si="4"/>
        <v>59.07</v>
      </c>
      <c r="G36" s="107">
        <f>IF(D36=D35,"",_xlfn.IFNA(VLOOKUP(D36,'인원 입력 기능(사과탐)'!$K$64:$N$116,4,FALSE),0))</f>
        <v>310</v>
      </c>
      <c r="H36" s="108">
        <f t="shared" si="1"/>
        <v>3.2352327280317263E-2</v>
      </c>
      <c r="I36" s="118">
        <f>SUM($G$7:G36)</f>
        <v>4077</v>
      </c>
      <c r="J36" s="110">
        <f t="shared" si="5"/>
        <v>0.42548528490920479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3">
        <f t="shared" si="3"/>
        <v>49</v>
      </c>
      <c r="E37" s="123">
        <f t="shared" si="0"/>
        <v>5</v>
      </c>
      <c r="F37" s="124">
        <f t="shared" si="4"/>
        <v>54.58</v>
      </c>
      <c r="G37" s="125">
        <f>IF(D37=D36,"",_xlfn.IFNA(VLOOKUP(D37,'인원 입력 기능(사과탐)'!$K$64:$N$116,4,FALSE),0))</f>
        <v>550</v>
      </c>
      <c r="H37" s="126">
        <f t="shared" si="1"/>
        <v>5.7399290336046752E-2</v>
      </c>
      <c r="I37" s="144">
        <f>SUM($G$7:G37)</f>
        <v>4627</v>
      </c>
      <c r="J37" s="128">
        <f t="shared" si="5"/>
        <v>0.48288457524525152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30"/>
      <c r="E38" s="130"/>
      <c r="F38" s="131"/>
      <c r="G38" s="132"/>
      <c r="H38" s="133"/>
      <c r="I38" s="145"/>
      <c r="J38" s="135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48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50.22</v>
      </c>
      <c r="G39" s="107">
        <f>IF(D39=D38,"",_xlfn.IFNA(VLOOKUP(D39,'인원 입력 기능(사과탐)'!$K$64:$N$116,4,FALSE),0))</f>
        <v>286</v>
      </c>
      <c r="H39" s="108">
        <f t="shared" si="1"/>
        <v>2.9847630974744313E-2</v>
      </c>
      <c r="I39" s="118">
        <f>SUM($G$7:G39)</f>
        <v>4913</v>
      </c>
      <c r="J39" s="110">
        <f t="shared" si="5"/>
        <v>0.51273220621999582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47</v>
      </c>
      <c r="E40" s="120">
        <f t="shared" si="6"/>
        <v>5</v>
      </c>
      <c r="F40" s="106">
        <f t="shared" si="4"/>
        <v>47.16</v>
      </c>
      <c r="G40" s="107">
        <f>IF(D40=D39,"",_xlfn.IFNA(VLOOKUP(D40,'인원 입력 기능(사과탐)'!$K$64:$N$116,4,FALSE),0))</f>
        <v>301</v>
      </c>
      <c r="H40" s="108">
        <f t="shared" si="1"/>
        <v>3.1413066165727407E-2</v>
      </c>
      <c r="I40" s="118">
        <f>SUM($G$7:G40)</f>
        <v>5214</v>
      </c>
      <c r="J40" s="110">
        <f t="shared" si="5"/>
        <v>0.54414527238572319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46</v>
      </c>
      <c r="E41" s="120">
        <f t="shared" si="6"/>
        <v>5</v>
      </c>
      <c r="F41" s="106">
        <f t="shared" si="4"/>
        <v>43.89</v>
      </c>
      <c r="G41" s="107">
        <f>IF(D41=D40,"",_xlfn.IFNA(VLOOKUP(D41,'인원 입력 기능(사과탐)'!$K$64:$N$116,4,FALSE),0))</f>
        <v>324</v>
      </c>
      <c r="H41" s="108">
        <f t="shared" si="1"/>
        <v>3.3813400125234816E-2</v>
      </c>
      <c r="I41" s="118">
        <f>SUM($G$7:G41)</f>
        <v>5538</v>
      </c>
      <c r="J41" s="110">
        <f t="shared" si="5"/>
        <v>0.577958672510958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45</v>
      </c>
      <c r="E42" s="120">
        <f t="shared" si="6"/>
        <v>5</v>
      </c>
      <c r="F42" s="106">
        <f t="shared" si="4"/>
        <v>40.58</v>
      </c>
      <c r="G42" s="107">
        <f>IF(D42=D41,"",_xlfn.IFNA(VLOOKUP(D42,'인원 입력 기능(사과탐)'!$K$64:$N$116,4,FALSE),0))</f>
        <v>312</v>
      </c>
      <c r="H42" s="108">
        <f t="shared" si="1"/>
        <v>3.2561051972448338E-2</v>
      </c>
      <c r="I42" s="118">
        <f>SUM($G$7:G42)</f>
        <v>5850</v>
      </c>
      <c r="J42" s="110">
        <f t="shared" si="5"/>
        <v>0.61051972448340641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44</v>
      </c>
      <c r="E43" s="120">
        <f t="shared" si="6"/>
        <v>6</v>
      </c>
      <c r="F43" s="106">
        <f t="shared" si="4"/>
        <v>37.17</v>
      </c>
      <c r="G43" s="107">
        <f>IF(D43=D42,"",_xlfn.IFNA(VLOOKUP(D43,'인원 입력 기능(사과탐)'!$K$64:$N$116,4,FALSE),0))</f>
        <v>340</v>
      </c>
      <c r="H43" s="108">
        <f t="shared" si="1"/>
        <v>3.5483197662283451E-2</v>
      </c>
      <c r="I43" s="118">
        <f>SUM($G$7:G43)</f>
        <v>6190</v>
      </c>
      <c r="J43" s="110">
        <f t="shared" si="5"/>
        <v>0.64600292214568988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43</v>
      </c>
      <c r="E44" s="120">
        <f t="shared" si="6"/>
        <v>6</v>
      </c>
      <c r="F44" s="106">
        <f t="shared" si="4"/>
        <v>33.81</v>
      </c>
      <c r="G44" s="107">
        <f>IF(D44=D43,"",_xlfn.IFNA(VLOOKUP(D44,'인원 입력 기능(사과탐)'!$K$64:$N$116,4,FALSE),0))</f>
        <v>304</v>
      </c>
      <c r="H44" s="108">
        <f t="shared" si="1"/>
        <v>3.1726153203924023E-2</v>
      </c>
      <c r="I44" s="118">
        <f>SUM($G$7:G44)</f>
        <v>6494</v>
      </c>
      <c r="J44" s="110">
        <f t="shared" si="5"/>
        <v>0.67772907534961391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42</v>
      </c>
      <c r="E45" s="120">
        <f t="shared" si="6"/>
        <v>6</v>
      </c>
      <c r="F45" s="106">
        <f t="shared" si="4"/>
        <v>27.28</v>
      </c>
      <c r="G45" s="107">
        <f>IF(D45=D44,"",_xlfn.IFNA(VLOOKUP(D45,'인원 입력 기능(사과탐)'!$K$64:$N$116,4,FALSE),0))</f>
        <v>948</v>
      </c>
      <c r="H45" s="108">
        <f t="shared" si="1"/>
        <v>9.8935504070131491E-2</v>
      </c>
      <c r="I45" s="118">
        <f>SUM($G$7:G45)</f>
        <v>7442</v>
      </c>
      <c r="J45" s="110">
        <f t="shared" si="5"/>
        <v>0.77666457941974532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3">
        <f t="shared" si="3"/>
        <v>41</v>
      </c>
      <c r="E46" s="123">
        <f t="shared" si="6"/>
        <v>7</v>
      </c>
      <c r="F46" s="124">
        <f t="shared" si="4"/>
        <v>17.68</v>
      </c>
      <c r="G46" s="125">
        <f>IF(D46=D45,"",_xlfn.IFNA(VLOOKUP(D46,'인원 입력 기능(사과탐)'!$K$64:$N$116,4,FALSE),0))</f>
        <v>892</v>
      </c>
      <c r="H46" s="126">
        <f t="shared" si="1"/>
        <v>9.3091212690461278E-2</v>
      </c>
      <c r="I46" s="144">
        <f>SUM($G$7:G46)</f>
        <v>8334</v>
      </c>
      <c r="J46" s="128">
        <f t="shared" si="5"/>
        <v>0.86975579211020659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30"/>
      <c r="E47" s="130"/>
      <c r="F47" s="131"/>
      <c r="G47" s="132"/>
      <c r="H47" s="133"/>
      <c r="I47" s="145"/>
      <c r="J47" s="135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40</v>
      </c>
      <c r="E48" s="120">
        <f t="shared" si="6"/>
        <v>7</v>
      </c>
      <c r="F48" s="106">
        <f t="shared" si="4"/>
        <v>10.55</v>
      </c>
      <c r="G48" s="107">
        <f>IF(D48=D47,"",_xlfn.IFNA(VLOOKUP(D48,'인원 입력 기능(사과탐)'!$K$64:$N$116,4,FALSE),0))</f>
        <v>475</v>
      </c>
      <c r="H48" s="108">
        <f t="shared" si="1"/>
        <v>4.9572114381131287E-2</v>
      </c>
      <c r="I48" s="118">
        <f>SUM($G$7:G48)</f>
        <v>8809</v>
      </c>
      <c r="J48" s="110">
        <f t="shared" si="5"/>
        <v>0.91932790649133789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39</v>
      </c>
      <c r="E49" s="120">
        <f t="shared" si="6"/>
        <v>8</v>
      </c>
      <c r="F49" s="106">
        <f t="shared" si="4"/>
        <v>7.01</v>
      </c>
      <c r="G49" s="107">
        <f>IF(D49=D48,"",_xlfn.IFNA(VLOOKUP(D49,'인원 입력 기능(사과탐)'!$K$64:$N$116,4,FALSE),0))</f>
        <v>202</v>
      </c>
      <c r="H49" s="108">
        <f t="shared" si="1"/>
        <v>2.1081193905238989E-2</v>
      </c>
      <c r="I49" s="118">
        <f>SUM($G$7:G49)</f>
        <v>9011</v>
      </c>
      <c r="J49" s="110">
        <f t="shared" si="5"/>
        <v>0.94040910039657688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38</v>
      </c>
      <c r="E50" s="120">
        <f t="shared" si="6"/>
        <v>8</v>
      </c>
      <c r="F50" s="106">
        <f t="shared" si="4"/>
        <v>5.0599999999999996</v>
      </c>
      <c r="G50" s="107">
        <f>IF(D50=D49,"",_xlfn.IFNA(VLOOKUP(D50,'인원 입력 기능(사과탐)'!$K$64:$N$116,4,FALSE),0))</f>
        <v>173</v>
      </c>
      <c r="H50" s="108">
        <f t="shared" si="1"/>
        <v>1.8054685869338342E-2</v>
      </c>
      <c r="I50" s="118">
        <f>SUM($G$7:G50)</f>
        <v>9184</v>
      </c>
      <c r="J50" s="110">
        <f t="shared" si="5"/>
        <v>0.95846378626591522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37</v>
      </c>
      <c r="E51" s="120">
        <f t="shared" si="6"/>
        <v>8</v>
      </c>
      <c r="F51" s="106">
        <f t="shared" si="4"/>
        <v>3.55</v>
      </c>
      <c r="G51" s="107">
        <f>IF(D51=D50,"",_xlfn.IFNA(VLOOKUP(D51,'인원 입력 기능(사과탐)'!$K$64:$N$116,4,FALSE),0))</f>
        <v>115</v>
      </c>
      <c r="H51" s="108">
        <f t="shared" si="1"/>
        <v>1.2001669797537048E-2</v>
      </c>
      <c r="I51" s="118">
        <f>SUM($G$7:G51)</f>
        <v>9299</v>
      </c>
      <c r="J51" s="110">
        <f t="shared" si="5"/>
        <v>0.97046545606345236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36</v>
      </c>
      <c r="E52" s="120">
        <f t="shared" si="6"/>
        <v>9</v>
      </c>
      <c r="F52" s="106">
        <f t="shared" si="4"/>
        <v>2.33</v>
      </c>
      <c r="G52" s="107">
        <f>IF(D52=D51,"",_xlfn.IFNA(VLOOKUP(D52,'인원 입력 기능(사과탐)'!$K$64:$N$116,4,FALSE),0))</f>
        <v>119</v>
      </c>
      <c r="H52" s="108">
        <f t="shared" si="1"/>
        <v>1.2419119181799207E-2</v>
      </c>
      <c r="I52" s="118">
        <f>SUM($G$7:G52)</f>
        <v>9418</v>
      </c>
      <c r="J52" s="110">
        <f t="shared" si="5"/>
        <v>0.98288457524525152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35</v>
      </c>
      <c r="E53" s="105">
        <f t="shared" si="6"/>
        <v>9</v>
      </c>
      <c r="F53" s="106">
        <f t="shared" si="4"/>
        <v>1.33</v>
      </c>
      <c r="G53" s="107">
        <f>IF(D53=D52,"",_xlfn.IFNA(VLOOKUP(D53,'인원 입력 기능(사과탐)'!$K$64:$N$116,4,FALSE),0))</f>
        <v>73</v>
      </c>
      <c r="H53" s="108">
        <f t="shared" si="1"/>
        <v>7.6184512627843872E-3</v>
      </c>
      <c r="I53" s="118">
        <f>SUM($G$7:G53)</f>
        <v>9491</v>
      </c>
      <c r="J53" s="110">
        <f t="shared" si="5"/>
        <v>0.9905030265080359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34</v>
      </c>
      <c r="E54" s="105">
        <f t="shared" si="6"/>
        <v>9</v>
      </c>
      <c r="F54" s="106">
        <f t="shared" si="4"/>
        <v>0.77</v>
      </c>
      <c r="G54" s="107">
        <f>IF(D54=D53,"",_xlfn.IFNA(VLOOKUP(D54,'인원 입력 기능(사과탐)'!$K$64:$N$116,4,FALSE),0))</f>
        <v>34</v>
      </c>
      <c r="H54" s="108">
        <f t="shared" si="1"/>
        <v>3.548319766228345E-3</v>
      </c>
      <c r="I54" s="118">
        <f>SUM($G$7:G54)</f>
        <v>9525</v>
      </c>
      <c r="J54" s="110">
        <f t="shared" si="5"/>
        <v>0.99405134627426428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33</v>
      </c>
      <c r="E55" s="105">
        <f t="shared" si="6"/>
        <v>9</v>
      </c>
      <c r="F55" s="106">
        <f t="shared" si="4"/>
        <v>0.36</v>
      </c>
      <c r="G55" s="107">
        <f>IF(D55=D54,"",_xlfn.IFNA(VLOOKUP(D55,'인원 입력 기능(사과탐)'!$K$64:$N$116,4,FALSE),0))</f>
        <v>45</v>
      </c>
      <c r="H55" s="108">
        <f t="shared" si="1"/>
        <v>4.6963055729492796E-3</v>
      </c>
      <c r="I55" s="118">
        <f>SUM($G$7:G55)</f>
        <v>9570</v>
      </c>
      <c r="J55" s="110">
        <f t="shared" si="5"/>
        <v>0.99874765184721348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32</v>
      </c>
      <c r="E57" s="176">
        <f t="shared" si="6"/>
        <v>9</v>
      </c>
      <c r="F57" s="139">
        <f>IF(I55=0,ROUND(100*(1-(I54+I57)/2/$J$3),2),ROUND(100*(1-(I55+I57)/2/$J$3),2))</f>
        <v>0.06</v>
      </c>
      <c r="G57" s="177">
        <f>_xlfn.IFNA(VLOOKUP(D57,'인원 입력 기능(사과탐)'!$K$64:$N$116,4,FALSE),0)</f>
        <v>12</v>
      </c>
      <c r="H57" s="141">
        <f>G57/$J$3</f>
        <v>1.2523481527864746E-3</v>
      </c>
      <c r="I57" s="142">
        <f>SUM($G$7:G57)</f>
        <v>9582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7">
    <mergeCell ref="D3:F3"/>
    <mergeCell ref="D4:F4"/>
    <mergeCell ref="D9:D10"/>
    <mergeCell ref="E9:E10"/>
    <mergeCell ref="F9:F10"/>
    <mergeCell ref="G9:G10"/>
    <mergeCell ref="H9:H10"/>
    <mergeCell ref="I9:I10"/>
    <mergeCell ref="J9:J10"/>
    <mergeCell ref="D18:D19"/>
    <mergeCell ref="E18:E19"/>
    <mergeCell ref="F18:F19"/>
    <mergeCell ref="G18:G19"/>
    <mergeCell ref="H18:H19"/>
    <mergeCell ref="I18:I19"/>
    <mergeCell ref="J18:J19"/>
    <mergeCell ref="I28:I29"/>
    <mergeCell ref="J28:J29"/>
    <mergeCell ref="D37:D38"/>
    <mergeCell ref="E37:E38"/>
    <mergeCell ref="F37:F38"/>
    <mergeCell ref="G37:G38"/>
    <mergeCell ref="H37:H38"/>
    <mergeCell ref="I37:I38"/>
    <mergeCell ref="J37:J38"/>
    <mergeCell ref="D28:D29"/>
    <mergeCell ref="E28:E29"/>
    <mergeCell ref="F28:F29"/>
    <mergeCell ref="G28:G29"/>
    <mergeCell ref="H28:H29"/>
    <mergeCell ref="I46:I47"/>
    <mergeCell ref="J46:J47"/>
    <mergeCell ref="D46:D47"/>
    <mergeCell ref="E46:E47"/>
    <mergeCell ref="F46:F47"/>
    <mergeCell ref="G46:G47"/>
    <mergeCell ref="H46:H47"/>
  </mergeCells>
  <phoneticPr fontId="1" type="noConversion"/>
  <conditionalFormatting sqref="D7:G9 I7:J9 D11:G18 I11:J18 D20:G28 I20:J28 D30:G37 I30:J37 D39:G46 I39:J46 D48:G57 I48:J57">
    <cfRule type="expression" dxfId="27" priority="4">
      <formula>OR($D7=$Q$7:$Q$14)</formula>
    </cfRule>
  </conditionalFormatting>
  <conditionalFormatting sqref="C7:C57">
    <cfRule type="expression" dxfId="26" priority="3">
      <formula>OR(AND($D7=0,OR($D6=$Q$7:$Q$14)),AND($D8&gt;0,OR($D7=$Q$7:$Q$14)))</formula>
    </cfRule>
  </conditionalFormatting>
  <conditionalFormatting sqref="D7:D9 D11:D18 D20:D28 D30:D37 D39:D46 D48:D57">
    <cfRule type="expression" dxfId="25" priority="2">
      <formula>$D7=$D8</formula>
    </cfRule>
  </conditionalFormatting>
  <conditionalFormatting sqref="H7:H9 H11:H18 H20:H28 H30:H37 H39:H46 H48:H57">
    <cfRule type="expression" dxfId="2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기능'!D15</f>
        <v>21.21</v>
      </c>
      <c r="I3" s="21" t="s">
        <v>107</v>
      </c>
      <c r="J3" s="93">
        <f>'통계 및 응시자 수 입력 기능'!C15</f>
        <v>24110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134</v>
      </c>
      <c r="E4" s="96"/>
      <c r="F4" s="97"/>
      <c r="G4" s="98" t="s">
        <v>110</v>
      </c>
      <c r="H4" s="99" t="str">
        <f>'통계 및 응시자 수 입력 기능'!E15</f>
        <v>11.36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75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99.47</v>
      </c>
      <c r="G7" s="107">
        <f>_xlfn.IFNA(VLOOKUP(D7,'인원 입력 기능(사과탐)'!$P$64:$S$116,4,FALSE),0)</f>
        <v>254</v>
      </c>
      <c r="H7" s="108">
        <f>G7/$J$3</f>
        <v>1.0535047698050602E-2</v>
      </c>
      <c r="I7" s="109">
        <f>G7</f>
        <v>254</v>
      </c>
      <c r="J7" s="110">
        <f>I7/$J$3</f>
        <v>1.0535047698050602E-2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70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기능'!C104</f>
        <v>65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74</v>
      </c>
      <c r="E9" s="105">
        <f t="shared" si="0"/>
        <v>1</v>
      </c>
      <c r="F9" s="106">
        <f>IF(I8=0,ROUND(100*(1-(I7+I9)/2/$J$3),2),ROUND(100*(1-(I8+I9)/2/$J$3),2))</f>
        <v>98.66</v>
      </c>
      <c r="G9" s="107">
        <f>_xlfn.IFNA(VLOOKUP(D9,'인원 입력 기능(사과탐)'!$P$64:$S$116,4,FALSE),0)</f>
        <v>136</v>
      </c>
      <c r="H9" s="108">
        <f t="shared" ref="H9:H55" si="1">G9/$J$3</f>
        <v>5.6408129406885109E-3</v>
      </c>
      <c r="I9" s="118">
        <f>SUM($G$7:G9)</f>
        <v>390</v>
      </c>
      <c r="J9" s="110">
        <f>I9/$J$3</f>
        <v>1.6175860638739114E-2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58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73</v>
      </c>
      <c r="E10" s="105">
        <f t="shared" si="0"/>
        <v>1</v>
      </c>
      <c r="F10" s="106">
        <f t="shared" ref="F10:F55" si="4">IF(I9=0,ROUND(100*(1-(I8+I10)/2/$J$3),2),ROUND(100*(1-(I9+I10)/2/$J$3),2))</f>
        <v>97.75</v>
      </c>
      <c r="G10" s="107">
        <f>IF(D10=D9,"",_xlfn.IFNA(VLOOKUP(D10,'인원 입력 기능(사과탐)'!$P$64:$S$116,4,FALSE),0))</f>
        <v>305</v>
      </c>
      <c r="H10" s="108">
        <f t="shared" si="1"/>
        <v>1.2650352550808793E-2</v>
      </c>
      <c r="I10" s="118">
        <f>SUM($G$7:G10)</f>
        <v>695</v>
      </c>
      <c r="J10" s="110">
        <f t="shared" ref="J10:J55" si="5">I10/$J$3</f>
        <v>2.8826213189547905E-2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기능'!C106</f>
        <v>51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72</v>
      </c>
      <c r="E11" s="105">
        <f t="shared" si="0"/>
        <v>1</v>
      </c>
      <c r="F11" s="106">
        <f t="shared" si="4"/>
        <v>97.04</v>
      </c>
      <c r="G11" s="107">
        <f>IF(D11=D10,"",_xlfn.IFNA(VLOOKUP(D11,'인원 입력 기능(사과탐)'!$P$64:$S$116,4,FALSE),0))</f>
        <v>37</v>
      </c>
      <c r="H11" s="108">
        <f t="shared" si="1"/>
        <v>1.5346329323931978E-3</v>
      </c>
      <c r="I11" s="118">
        <f>SUM($G$7:G11)</f>
        <v>732</v>
      </c>
      <c r="J11" s="110">
        <f t="shared" si="5"/>
        <v>3.0360846121941103E-2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71</v>
      </c>
      <c r="E12" s="105">
        <f t="shared" si="0"/>
        <v>1</v>
      </c>
      <c r="F12" s="106">
        <f t="shared" si="4"/>
        <v>96.55</v>
      </c>
      <c r="G12" s="107">
        <f>IF(D12=D11,"",_xlfn.IFNA(VLOOKUP(D12,'인원 입력 기능(사과탐)'!$P$64:$S$116,4,FALSE),0))</f>
        <v>202</v>
      </c>
      <c r="H12" s="108">
        <f t="shared" si="1"/>
        <v>8.3782662795520539E-3</v>
      </c>
      <c r="I12" s="118">
        <f>SUM($G$7:G12)</f>
        <v>934</v>
      </c>
      <c r="J12" s="110">
        <f t="shared" si="5"/>
        <v>3.8739112401493157E-2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42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70</v>
      </c>
      <c r="E13" s="105">
        <f t="shared" si="0"/>
        <v>1</v>
      </c>
      <c r="F13" s="106">
        <f t="shared" si="4"/>
        <v>95.58</v>
      </c>
      <c r="G13" s="107">
        <f>IF(D13=D12,"",_xlfn.IFNA(VLOOKUP(D13,'인원 입력 기능(사과탐)'!$P$64:$S$116,4,FALSE),0))</f>
        <v>263</v>
      </c>
      <c r="H13" s="108">
        <f t="shared" si="1"/>
        <v>1.0908336789713811E-2</v>
      </c>
      <c r="I13" s="118">
        <f>SUM($G$7:G13)</f>
        <v>1197</v>
      </c>
      <c r="J13" s="110">
        <f t="shared" si="5"/>
        <v>4.964744919120697E-2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39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69</v>
      </c>
      <c r="E14" s="105">
        <f t="shared" si="0"/>
        <v>2</v>
      </c>
      <c r="F14" s="106">
        <f t="shared" si="4"/>
        <v>94.78</v>
      </c>
      <c r="G14" s="107">
        <f>IF(D14=D13,"",_xlfn.IFNA(VLOOKUP(D14,'인원 입력 기능(사과탐)'!$P$64:$S$116,4,FALSE),0))</f>
        <v>121</v>
      </c>
      <c r="H14" s="108">
        <f t="shared" si="1"/>
        <v>5.0186644545831601E-3</v>
      </c>
      <c r="I14" s="118">
        <f>SUM($G$7:G14)</f>
        <v>1318</v>
      </c>
      <c r="J14" s="110">
        <f t="shared" si="5"/>
        <v>5.4666113645790132E-2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기능'!C110</f>
        <v>37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68</v>
      </c>
      <c r="E15" s="105">
        <f t="shared" si="0"/>
        <v>2</v>
      </c>
      <c r="F15" s="106">
        <f t="shared" si="4"/>
        <v>93.9</v>
      </c>
      <c r="G15" s="107">
        <f>IF(D15=D14,"",_xlfn.IFNA(VLOOKUP(D15,'인원 입력 기능(사과탐)'!$P$64:$S$116,4,FALSE),0))</f>
        <v>307</v>
      </c>
      <c r="H15" s="108">
        <f t="shared" si="1"/>
        <v>1.2733305682289506E-2</v>
      </c>
      <c r="I15" s="118">
        <f>SUM($G$7:G15)</f>
        <v>1625</v>
      </c>
      <c r="J15" s="110">
        <f t="shared" si="5"/>
        <v>6.7399419328079635E-2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22">
        <f t="shared" si="3"/>
        <v>67</v>
      </c>
      <c r="E16" s="122">
        <f t="shared" si="0"/>
        <v>2</v>
      </c>
      <c r="F16" s="124">
        <f t="shared" si="4"/>
        <v>92.23</v>
      </c>
      <c r="G16" s="125">
        <f>IF(D16=D15,"",_xlfn.IFNA(VLOOKUP(D16,'인원 입력 기능(사과탐)'!$P$64:$S$116,4,FALSE),0))</f>
        <v>495</v>
      </c>
      <c r="H16" s="126">
        <f t="shared" si="1"/>
        <v>2.0530900041476566E-2</v>
      </c>
      <c r="I16" s="144">
        <f>SUM($G$7:G16)</f>
        <v>2120</v>
      </c>
      <c r="J16" s="128">
        <f t="shared" si="5"/>
        <v>8.7930319369556198E-2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29"/>
      <c r="E17" s="129"/>
      <c r="F17" s="131"/>
      <c r="G17" s="132"/>
      <c r="H17" s="133"/>
      <c r="I17" s="145"/>
      <c r="J17" s="135"/>
      <c r="K17" s="36"/>
      <c r="L17" s="20" t="str">
        <f t="shared" si="2"/>
        <v>경고</v>
      </c>
      <c r="N17" s="24"/>
      <c r="Q17" s="24">
        <f>Q7*H3*H4*J3*IFERROR(IF(J57=1, 1, 0), 0)</f>
        <v>406643889.12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66</v>
      </c>
      <c r="E18" s="105">
        <f t="shared" si="0"/>
        <v>2</v>
      </c>
      <c r="F18" s="106">
        <f t="shared" si="4"/>
        <v>90.51</v>
      </c>
      <c r="G18" s="107">
        <f>IF(D18=D17,"",_xlfn.IFNA(VLOOKUP(D18,'인원 입력 기능(사과탐)'!$P$64:$S$116,4,FALSE),0))</f>
        <v>337</v>
      </c>
      <c r="H18" s="108">
        <f t="shared" si="1"/>
        <v>1.3977602654500208E-2</v>
      </c>
      <c r="I18" s="118">
        <f>SUM($G$7:G18)</f>
        <v>2457</v>
      </c>
      <c r="J18" s="110">
        <f t="shared" si="5"/>
        <v>0.10190792202405641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65</v>
      </c>
      <c r="E19" s="105">
        <f t="shared" si="0"/>
        <v>2</v>
      </c>
      <c r="F19" s="106">
        <f t="shared" si="4"/>
        <v>89.27</v>
      </c>
      <c r="G19" s="107">
        <f>IF(D19=D18,"",_xlfn.IFNA(VLOOKUP(D19,'인원 입력 기능(사과탐)'!$P$64:$S$116,4,FALSE),0))</f>
        <v>258</v>
      </c>
      <c r="H19" s="108">
        <f t="shared" si="1"/>
        <v>1.0700953961012028E-2</v>
      </c>
      <c r="I19" s="118">
        <f>SUM($G$7:G19)</f>
        <v>2715</v>
      </c>
      <c r="J19" s="110">
        <f t="shared" si="5"/>
        <v>0.11260887598506844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64</v>
      </c>
      <c r="E20" s="105">
        <f t="shared" si="0"/>
        <v>3</v>
      </c>
      <c r="F20" s="106">
        <f t="shared" si="4"/>
        <v>88.1</v>
      </c>
      <c r="G20" s="107">
        <f>IF(D20=D19,"",_xlfn.IFNA(VLOOKUP(D20,'인원 입력 기능(사과탐)'!$P$64:$S$116,4,FALSE),0))</f>
        <v>309</v>
      </c>
      <c r="H20" s="108">
        <f t="shared" si="1"/>
        <v>1.281625881377022E-2</v>
      </c>
      <c r="I20" s="118">
        <f>SUM($G$7:G20)</f>
        <v>3024</v>
      </c>
      <c r="J20" s="110">
        <f t="shared" si="5"/>
        <v>0.12542513479883866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63</v>
      </c>
      <c r="E21" s="120">
        <f t="shared" si="0"/>
        <v>3</v>
      </c>
      <c r="F21" s="106">
        <f t="shared" si="4"/>
        <v>86.73</v>
      </c>
      <c r="G21" s="107">
        <f>IF(D21=D20,"",_xlfn.IFNA(VLOOKUP(D21,'인원 입력 기능(사과탐)'!$P$64:$S$116,4,FALSE),0))</f>
        <v>352</v>
      </c>
      <c r="H21" s="108">
        <f t="shared" si="1"/>
        <v>1.4599751140605558E-2</v>
      </c>
      <c r="I21" s="118">
        <f>SUM($G$7:G21)</f>
        <v>3376</v>
      </c>
      <c r="J21" s="110">
        <f t="shared" si="5"/>
        <v>0.1400248859394442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62</v>
      </c>
      <c r="E22" s="120">
        <f t="shared" si="0"/>
        <v>3</v>
      </c>
      <c r="F22" s="106">
        <f t="shared" si="4"/>
        <v>85.37</v>
      </c>
      <c r="G22" s="107">
        <f>IF(D22=D21,"",_xlfn.IFNA(VLOOKUP(D22,'인원 입력 기능(사과탐)'!$P$64:$S$116,4,FALSE),0))</f>
        <v>302</v>
      </c>
      <c r="H22" s="108">
        <f t="shared" si="1"/>
        <v>1.2525922853587723E-2</v>
      </c>
      <c r="I22" s="118">
        <f>SUM($G$7:G22)</f>
        <v>3678</v>
      </c>
      <c r="J22" s="110">
        <f t="shared" si="5"/>
        <v>0.15255080879303193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61</v>
      </c>
      <c r="E23" s="120">
        <f t="shared" si="0"/>
        <v>3</v>
      </c>
      <c r="F23" s="106">
        <f t="shared" si="4"/>
        <v>83.87</v>
      </c>
      <c r="G23" s="107">
        <f>IF(D23=D22,"",_xlfn.IFNA(VLOOKUP(D23,'인원 입력 기능(사과탐)'!$P$64:$S$116,4,FALSE),0))</f>
        <v>420</v>
      </c>
      <c r="H23" s="108">
        <f t="shared" si="1"/>
        <v>1.7420157610949814E-2</v>
      </c>
      <c r="I23" s="118">
        <f>SUM($G$7:G23)</f>
        <v>4098</v>
      </c>
      <c r="J23" s="110">
        <f t="shared" si="5"/>
        <v>0.16997096640398174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60</v>
      </c>
      <c r="E24" s="120">
        <f t="shared" si="0"/>
        <v>3</v>
      </c>
      <c r="F24" s="106">
        <f t="shared" si="4"/>
        <v>82.15</v>
      </c>
      <c r="G24" s="107">
        <f>IF(D24=D23,"",_xlfn.IFNA(VLOOKUP(D24,'인원 입력 기능(사과탐)'!$P$64:$S$116,4,FALSE),0))</f>
        <v>413</v>
      </c>
      <c r="H24" s="108">
        <f t="shared" si="1"/>
        <v>1.7129821650767315E-2</v>
      </c>
      <c r="I24" s="118">
        <f>SUM($G$7:G24)</f>
        <v>4511</v>
      </c>
      <c r="J24" s="110">
        <f t="shared" si="5"/>
        <v>0.18710078805474906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3">
        <f t="shared" si="3"/>
        <v>59</v>
      </c>
      <c r="E25" s="123">
        <f t="shared" si="0"/>
        <v>3</v>
      </c>
      <c r="F25" s="124">
        <f t="shared" si="4"/>
        <v>79.55</v>
      </c>
      <c r="G25" s="125">
        <f>IF(D25=D24,"",_xlfn.IFNA(VLOOKUP(D25,'인원 입력 기능(사과탐)'!$P$64:$S$116,4,FALSE),0))</f>
        <v>840</v>
      </c>
      <c r="H25" s="126">
        <f t="shared" si="1"/>
        <v>3.4840315221899627E-2</v>
      </c>
      <c r="I25" s="144">
        <f>SUM($G$7:G25)</f>
        <v>5351</v>
      </c>
      <c r="J25" s="128">
        <f t="shared" si="5"/>
        <v>0.2219411032766487</v>
      </c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30"/>
      <c r="E26" s="130"/>
      <c r="F26" s="131"/>
      <c r="G26" s="132"/>
      <c r="H26" s="133"/>
      <c r="I26" s="145"/>
      <c r="J26" s="135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58</v>
      </c>
      <c r="E27" s="120">
        <f t="shared" si="0"/>
        <v>3</v>
      </c>
      <c r="F27" s="106">
        <f t="shared" si="4"/>
        <v>76.97</v>
      </c>
      <c r="G27" s="107">
        <f>IF(D27=D26,"",_xlfn.IFNA(VLOOKUP(D27,'인원 입력 기능(사과탐)'!$P$64:$S$116,4,FALSE),0))</f>
        <v>402</v>
      </c>
      <c r="H27" s="108">
        <f t="shared" si="1"/>
        <v>1.6673579427623392E-2</v>
      </c>
      <c r="I27" s="118">
        <f>SUM($G$7:G27)</f>
        <v>5753</v>
      </c>
      <c r="J27" s="110">
        <f t="shared" si="5"/>
        <v>0.23861468270427208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57</v>
      </c>
      <c r="E28" s="120">
        <f t="shared" si="0"/>
        <v>4</v>
      </c>
      <c r="F28" s="106">
        <f t="shared" si="4"/>
        <v>75.23</v>
      </c>
      <c r="G28" s="107">
        <f>IF(D28=D27,"",_xlfn.IFNA(VLOOKUP(D28,'인원 입력 기능(사과탐)'!$P$64:$S$116,4,FALSE),0))</f>
        <v>439</v>
      </c>
      <c r="H28" s="108">
        <f t="shared" si="1"/>
        <v>1.8208212360016591E-2</v>
      </c>
      <c r="I28" s="118">
        <f>SUM($G$7:G28)</f>
        <v>6192</v>
      </c>
      <c r="J28" s="110">
        <f t="shared" si="5"/>
        <v>0.25682289506428868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56</v>
      </c>
      <c r="E29" s="120">
        <f t="shared" si="0"/>
        <v>4</v>
      </c>
      <c r="F29" s="106">
        <f t="shared" si="4"/>
        <v>73.239999999999995</v>
      </c>
      <c r="G29" s="107">
        <f>IF(D29=D28,"",_xlfn.IFNA(VLOOKUP(D29,'인원 입력 기능(사과탐)'!$P$64:$S$116,4,FALSE),0))</f>
        <v>520</v>
      </c>
      <c r="H29" s="108">
        <f t="shared" si="1"/>
        <v>2.1567814184985483E-2</v>
      </c>
      <c r="I29" s="118">
        <f>SUM($G$7:G29)</f>
        <v>6712</v>
      </c>
      <c r="J29" s="110">
        <f t="shared" si="5"/>
        <v>0.27839070924927417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55</v>
      </c>
      <c r="E30" s="120">
        <f t="shared" si="0"/>
        <v>4</v>
      </c>
      <c r="F30" s="106">
        <f t="shared" si="4"/>
        <v>71.099999999999994</v>
      </c>
      <c r="G30" s="107">
        <f>IF(D30=D29,"",_xlfn.IFNA(VLOOKUP(D30,'인원 입력 기능(사과탐)'!$P$64:$S$116,4,FALSE),0))</f>
        <v>512</v>
      </c>
      <c r="H30" s="108">
        <f t="shared" si="1"/>
        <v>2.1236001659062628E-2</v>
      </c>
      <c r="I30" s="118">
        <f>SUM($G$7:G30)</f>
        <v>7224</v>
      </c>
      <c r="J30" s="110">
        <f t="shared" si="5"/>
        <v>0.29962671090833681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54</v>
      </c>
      <c r="E31" s="120">
        <f t="shared" si="0"/>
        <v>4</v>
      </c>
      <c r="F31" s="106">
        <f t="shared" si="4"/>
        <v>68.86</v>
      </c>
      <c r="G31" s="107">
        <f>IF(D31=D30,"",_xlfn.IFNA(VLOOKUP(D31,'인원 입력 기능(사과탐)'!$P$64:$S$116,4,FALSE),0))</f>
        <v>568</v>
      </c>
      <c r="H31" s="108">
        <f t="shared" si="1"/>
        <v>2.3558689340522604E-2</v>
      </c>
      <c r="I31" s="118">
        <f>SUM($G$7:G31)</f>
        <v>7792</v>
      </c>
      <c r="J31" s="110">
        <f t="shared" si="5"/>
        <v>0.32318540024885939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53</v>
      </c>
      <c r="E32" s="120">
        <f t="shared" si="0"/>
        <v>4</v>
      </c>
      <c r="F32" s="106">
        <f t="shared" si="4"/>
        <v>66.61</v>
      </c>
      <c r="G32" s="107">
        <f>IF(D32=D31,"",_xlfn.IFNA(VLOOKUP(D32,'인원 입력 기능(사과탐)'!$P$64:$S$116,4,FALSE),0))</f>
        <v>518</v>
      </c>
      <c r="H32" s="108">
        <f t="shared" si="1"/>
        <v>2.1484861053504771E-2</v>
      </c>
      <c r="I32" s="118">
        <f>SUM($G$7:G32)</f>
        <v>8310</v>
      </c>
      <c r="J32" s="110">
        <f t="shared" si="5"/>
        <v>0.34467026130236417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3">
        <f t="shared" si="3"/>
        <v>52</v>
      </c>
      <c r="E33" s="123">
        <f t="shared" si="0"/>
        <v>4</v>
      </c>
      <c r="F33" s="124">
        <f t="shared" si="4"/>
        <v>63.11</v>
      </c>
      <c r="G33" s="125">
        <f>IF(D33=D32,"",_xlfn.IFNA(VLOOKUP(D33,'인원 입력 기능(사과탐)'!$P$64:$S$116,4,FALSE),0))</f>
        <v>1169</v>
      </c>
      <c r="H33" s="126">
        <f t="shared" si="1"/>
        <v>4.8486105350476982E-2</v>
      </c>
      <c r="I33" s="144">
        <f>SUM($G$7:G33)</f>
        <v>9479</v>
      </c>
      <c r="J33" s="128">
        <f t="shared" si="5"/>
        <v>0.39315636665284115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30"/>
      <c r="E34" s="130"/>
      <c r="F34" s="131"/>
      <c r="G34" s="132"/>
      <c r="H34" s="133"/>
      <c r="I34" s="145"/>
      <c r="J34" s="135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51</v>
      </c>
      <c r="E35" s="120">
        <f t="shared" si="0"/>
        <v>4</v>
      </c>
      <c r="F35" s="106">
        <f t="shared" si="4"/>
        <v>59.52</v>
      </c>
      <c r="G35" s="107">
        <f>IF(D35=D34,"",_xlfn.IFNA(VLOOKUP(D35,'인원 입력 기능(사과탐)'!$P$64:$S$116,4,FALSE),0))</f>
        <v>561</v>
      </c>
      <c r="H35" s="108">
        <f t="shared" si="1"/>
        <v>2.3268353380340109E-2</v>
      </c>
      <c r="I35" s="118">
        <f>SUM($G$7:G35)</f>
        <v>10040</v>
      </c>
      <c r="J35" s="110">
        <f t="shared" si="5"/>
        <v>0.41642472003318126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50</v>
      </c>
      <c r="E36" s="120">
        <f t="shared" si="0"/>
        <v>5</v>
      </c>
      <c r="F36" s="106">
        <f t="shared" si="4"/>
        <v>57.01</v>
      </c>
      <c r="G36" s="107">
        <f>IF(D36=D35,"",_xlfn.IFNA(VLOOKUP(D36,'인원 입력 기능(사과탐)'!$P$64:$S$116,4,FALSE),0))</f>
        <v>651</v>
      </c>
      <c r="H36" s="108">
        <f t="shared" si="1"/>
        <v>2.7001244296972211E-2</v>
      </c>
      <c r="I36" s="118">
        <f>SUM($G$7:G36)</f>
        <v>10691</v>
      </c>
      <c r="J36" s="110">
        <f t="shared" si="5"/>
        <v>0.44342596433015347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49</v>
      </c>
      <c r="E37" s="120">
        <f t="shared" si="0"/>
        <v>5</v>
      </c>
      <c r="F37" s="106">
        <f t="shared" si="4"/>
        <v>54.29</v>
      </c>
      <c r="G37" s="107">
        <f>IF(D37=D36,"",_xlfn.IFNA(VLOOKUP(D37,'인원 입력 기능(사과탐)'!$P$64:$S$116,4,FALSE),0))</f>
        <v>661</v>
      </c>
      <c r="H37" s="108">
        <f t="shared" si="1"/>
        <v>2.7416009954375778E-2</v>
      </c>
      <c r="I37" s="118">
        <f>SUM($G$7:G37)</f>
        <v>11352</v>
      </c>
      <c r="J37" s="110">
        <f t="shared" si="5"/>
        <v>0.47084197428452923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48</v>
      </c>
      <c r="E38" s="120">
        <f t="shared" si="0"/>
        <v>5</v>
      </c>
      <c r="F38" s="106">
        <f t="shared" si="4"/>
        <v>51.54</v>
      </c>
      <c r="G38" s="107">
        <f>IF(D38=D37,"",_xlfn.IFNA(VLOOKUP(D38,'인원 입력 기능(사과탐)'!$P$64:$S$116,4,FALSE),0))</f>
        <v>664</v>
      </c>
      <c r="H38" s="108">
        <f t="shared" si="1"/>
        <v>2.7540439651596849E-2</v>
      </c>
      <c r="I38" s="118">
        <f>SUM($G$7:G38)</f>
        <v>12016</v>
      </c>
      <c r="J38" s="110">
        <f t="shared" si="5"/>
        <v>0.49838241393612609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47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48.65</v>
      </c>
      <c r="G39" s="107">
        <f>IF(D39=D38,"",_xlfn.IFNA(VLOOKUP(D39,'인원 입력 기능(사과탐)'!$P$64:$S$116,4,FALSE),0))</f>
        <v>729</v>
      </c>
      <c r="H39" s="108">
        <f t="shared" si="1"/>
        <v>3.0236416424720032E-2</v>
      </c>
      <c r="I39" s="118">
        <f>SUM($G$7:G39)</f>
        <v>12745</v>
      </c>
      <c r="J39" s="110">
        <f t="shared" si="5"/>
        <v>0.52861883036084611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46</v>
      </c>
      <c r="E40" s="120">
        <f t="shared" si="6"/>
        <v>5</v>
      </c>
      <c r="F40" s="106">
        <f t="shared" si="4"/>
        <v>45.36</v>
      </c>
      <c r="G40" s="107">
        <f>IF(D40=D39,"",_xlfn.IFNA(VLOOKUP(D40,'인원 입력 기능(사과탐)'!$P$64:$S$116,4,FALSE),0))</f>
        <v>856</v>
      </c>
      <c r="H40" s="108">
        <f t="shared" si="1"/>
        <v>3.5503940273745337E-2</v>
      </c>
      <c r="I40" s="118">
        <f>SUM($G$7:G40)</f>
        <v>13601</v>
      </c>
      <c r="J40" s="110">
        <f t="shared" si="5"/>
        <v>0.56412277063459149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3">
        <f t="shared" si="3"/>
        <v>45</v>
      </c>
      <c r="E41" s="123">
        <f t="shared" si="6"/>
        <v>5</v>
      </c>
      <c r="F41" s="124">
        <f t="shared" si="4"/>
        <v>37.950000000000003</v>
      </c>
      <c r="G41" s="125">
        <f>IF(D41=D40,"",_xlfn.IFNA(VLOOKUP(D41,'인원 입력 기능(사과탐)'!$P$64:$S$116,4,FALSE),0))</f>
        <v>2718</v>
      </c>
      <c r="H41" s="126">
        <f t="shared" si="1"/>
        <v>0.11273330568228951</v>
      </c>
      <c r="I41" s="144">
        <f>SUM($G$7:G41)</f>
        <v>16319</v>
      </c>
      <c r="J41" s="128">
        <f t="shared" si="5"/>
        <v>0.67685607631688094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30"/>
      <c r="E42" s="130"/>
      <c r="F42" s="131"/>
      <c r="G42" s="132"/>
      <c r="H42" s="133"/>
      <c r="I42" s="145"/>
      <c r="J42" s="135"/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44</v>
      </c>
      <c r="E43" s="120">
        <f t="shared" si="6"/>
        <v>6</v>
      </c>
      <c r="F43" s="106">
        <f t="shared" si="4"/>
        <v>30.54</v>
      </c>
      <c r="G43" s="107">
        <f>IF(D43=D42,"",_xlfn.IFNA(VLOOKUP(D43,'인원 입력 기능(사과탐)'!$P$64:$S$116,4,FALSE),0))</f>
        <v>856</v>
      </c>
      <c r="H43" s="108">
        <f t="shared" si="1"/>
        <v>3.5503940273745337E-2</v>
      </c>
      <c r="I43" s="118">
        <f>SUM($G$7:G43)</f>
        <v>17175</v>
      </c>
      <c r="J43" s="110">
        <f t="shared" si="5"/>
        <v>0.71236001659062631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43</v>
      </c>
      <c r="E44" s="120">
        <f t="shared" si="6"/>
        <v>6</v>
      </c>
      <c r="F44" s="106">
        <f t="shared" si="4"/>
        <v>27.19</v>
      </c>
      <c r="G44" s="107">
        <f>IF(D44=D43,"",_xlfn.IFNA(VLOOKUP(D44,'인원 입력 기능(사과탐)'!$P$64:$S$116,4,FALSE),0))</f>
        <v>761</v>
      </c>
      <c r="H44" s="108">
        <f t="shared" si="1"/>
        <v>3.1563666528411451E-2</v>
      </c>
      <c r="I44" s="118">
        <f>SUM($G$7:G44)</f>
        <v>17936</v>
      </c>
      <c r="J44" s="110">
        <f t="shared" si="5"/>
        <v>0.74392368311903778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42</v>
      </c>
      <c r="E45" s="120">
        <f t="shared" si="6"/>
        <v>6</v>
      </c>
      <c r="F45" s="106">
        <f t="shared" si="4"/>
        <v>23.95</v>
      </c>
      <c r="G45" s="107">
        <f>IF(D45=D44,"",_xlfn.IFNA(VLOOKUP(D45,'인원 입력 기능(사과탐)'!$P$64:$S$116,4,FALSE),0))</f>
        <v>797</v>
      </c>
      <c r="H45" s="108">
        <f t="shared" si="1"/>
        <v>3.3056822895064286E-2</v>
      </c>
      <c r="I45" s="118">
        <f>SUM($G$7:G45)</f>
        <v>18733</v>
      </c>
      <c r="J45" s="110">
        <f t="shared" si="5"/>
        <v>0.77698050601410207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41</v>
      </c>
      <c r="E46" s="120">
        <f t="shared" si="6"/>
        <v>7</v>
      </c>
      <c r="F46" s="106">
        <f t="shared" si="4"/>
        <v>19.46</v>
      </c>
      <c r="G46" s="107">
        <f>IF(D46=D45,"",_xlfn.IFNA(VLOOKUP(D46,'인원 입력 기능(사과탐)'!$P$64:$S$116,4,FALSE),0))</f>
        <v>1371</v>
      </c>
      <c r="H46" s="108">
        <f t="shared" si="1"/>
        <v>5.6864371630029033E-2</v>
      </c>
      <c r="I46" s="118">
        <f>SUM($G$7:G46)</f>
        <v>20104</v>
      </c>
      <c r="J46" s="110">
        <f t="shared" si="5"/>
        <v>0.83384487764413107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40</v>
      </c>
      <c r="E47" s="120">
        <f t="shared" si="6"/>
        <v>7</v>
      </c>
      <c r="F47" s="106">
        <f t="shared" si="4"/>
        <v>15.02</v>
      </c>
      <c r="G47" s="107">
        <f>IF(D47=D46,"",_xlfn.IFNA(VLOOKUP(D47,'인원 입력 기능(사과탐)'!$P$64:$S$116,4,FALSE),0))</f>
        <v>767</v>
      </c>
      <c r="H47" s="108">
        <f t="shared" si="1"/>
        <v>3.1812525922853586E-2</v>
      </c>
      <c r="I47" s="118">
        <f>SUM($G$7:G47)</f>
        <v>20871</v>
      </c>
      <c r="J47" s="110">
        <f t="shared" si="5"/>
        <v>0.86565740356698462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39</v>
      </c>
      <c r="E48" s="120">
        <f t="shared" si="6"/>
        <v>7</v>
      </c>
      <c r="F48" s="106">
        <f t="shared" si="4"/>
        <v>11.61</v>
      </c>
      <c r="G48" s="107">
        <f>IF(D48=D47,"",_xlfn.IFNA(VLOOKUP(D48,'인원 입력 기능(사과탐)'!$P$64:$S$116,4,FALSE),0))</f>
        <v>881</v>
      </c>
      <c r="H48" s="108">
        <f t="shared" si="1"/>
        <v>3.654085441725425E-2</v>
      </c>
      <c r="I48" s="118">
        <f>SUM($G$7:G48)</f>
        <v>21752</v>
      </c>
      <c r="J48" s="110">
        <f t="shared" si="5"/>
        <v>0.90219825798423892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38</v>
      </c>
      <c r="E49" s="120">
        <f t="shared" si="6"/>
        <v>8</v>
      </c>
      <c r="F49" s="106">
        <f t="shared" si="4"/>
        <v>8.64</v>
      </c>
      <c r="G49" s="107">
        <f>IF(D49=D48,"",_xlfn.IFNA(VLOOKUP(D49,'인원 입력 기능(사과탐)'!$P$64:$S$116,4,FALSE),0))</f>
        <v>549</v>
      </c>
      <c r="H49" s="108">
        <f t="shared" si="1"/>
        <v>2.2770634591455827E-2</v>
      </c>
      <c r="I49" s="118">
        <f>SUM($G$7:G49)</f>
        <v>22301</v>
      </c>
      <c r="J49" s="110">
        <f t="shared" si="5"/>
        <v>0.9249688925756947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3">
        <f t="shared" si="3"/>
        <v>37</v>
      </c>
      <c r="E50" s="123">
        <f t="shared" si="6"/>
        <v>8</v>
      </c>
      <c r="F50" s="124">
        <f t="shared" si="4"/>
        <v>5.41</v>
      </c>
      <c r="G50" s="125">
        <f>IF(D50=D49,"",_xlfn.IFNA(VLOOKUP(D50,'인원 입력 기능(사과탐)'!$P$64:$S$116,4,FALSE),0))</f>
        <v>1010</v>
      </c>
      <c r="H50" s="126">
        <f t="shared" si="1"/>
        <v>4.1891331397760266E-2</v>
      </c>
      <c r="I50" s="144">
        <f>SUM($G$7:G50)</f>
        <v>23311</v>
      </c>
      <c r="J50" s="128">
        <f t="shared" si="5"/>
        <v>0.96686022397345495</v>
      </c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73">
        <v>6</v>
      </c>
      <c r="D51" s="130"/>
      <c r="E51" s="130"/>
      <c r="F51" s="131"/>
      <c r="G51" s="132"/>
      <c r="H51" s="133"/>
      <c r="I51" s="145"/>
      <c r="J51" s="135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36</v>
      </c>
      <c r="E52" s="120">
        <f t="shared" si="6"/>
        <v>9</v>
      </c>
      <c r="F52" s="106">
        <f t="shared" si="4"/>
        <v>2.66</v>
      </c>
      <c r="G52" s="107">
        <f>IF(D52=D51,"",_xlfn.IFNA(VLOOKUP(D52,'인원 입력 기능(사과탐)'!$P$64:$S$116,4,FALSE),0))</f>
        <v>317</v>
      </c>
      <c r="H52" s="108">
        <f t="shared" si="1"/>
        <v>1.3148071339693073E-2</v>
      </c>
      <c r="I52" s="118">
        <f>SUM($G$7:G52)</f>
        <v>23628</v>
      </c>
      <c r="J52" s="110">
        <f t="shared" si="5"/>
        <v>0.98000829531314804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35</v>
      </c>
      <c r="E53" s="105">
        <f t="shared" si="6"/>
        <v>9</v>
      </c>
      <c r="F53" s="106">
        <f t="shared" si="4"/>
        <v>1.67</v>
      </c>
      <c r="G53" s="107">
        <f>IF(D53=D52,"",_xlfn.IFNA(VLOOKUP(D53,'인원 입력 기능(사과탐)'!$P$64:$S$116,4,FALSE),0))</f>
        <v>160</v>
      </c>
      <c r="H53" s="108">
        <f t="shared" si="1"/>
        <v>6.6362505184570713E-3</v>
      </c>
      <c r="I53" s="118">
        <f>SUM($G$7:G53)</f>
        <v>23788</v>
      </c>
      <c r="J53" s="110">
        <f t="shared" si="5"/>
        <v>0.9866445458316051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34</v>
      </c>
      <c r="E54" s="105">
        <f t="shared" si="6"/>
        <v>9</v>
      </c>
      <c r="F54" s="106">
        <f t="shared" si="4"/>
        <v>1.03</v>
      </c>
      <c r="G54" s="107">
        <f>IF(D54=D53,"",_xlfn.IFNA(VLOOKUP(D54,'인원 입력 기능(사과탐)'!$P$64:$S$116,4,FALSE),0))</f>
        <v>145</v>
      </c>
      <c r="H54" s="108">
        <f t="shared" si="1"/>
        <v>6.0141020323517215E-3</v>
      </c>
      <c r="I54" s="118">
        <f>SUM($G$7:G54)</f>
        <v>23933</v>
      </c>
      <c r="J54" s="110">
        <f t="shared" si="5"/>
        <v>0.99265864786395686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33</v>
      </c>
      <c r="E55" s="105">
        <f t="shared" si="6"/>
        <v>9</v>
      </c>
      <c r="F55" s="106">
        <f t="shared" si="4"/>
        <v>0.48</v>
      </c>
      <c r="G55" s="107">
        <f>IF(D55=D54,"",_xlfn.IFNA(VLOOKUP(D55,'인원 입력 기능(사과탐)'!$P$64:$S$116,4,FALSE),0))</f>
        <v>123</v>
      </c>
      <c r="H55" s="108">
        <f t="shared" si="1"/>
        <v>5.1016175860638738E-3</v>
      </c>
      <c r="I55" s="118">
        <f>SUM($G$7:G55)</f>
        <v>24056</v>
      </c>
      <c r="J55" s="110">
        <f t="shared" si="5"/>
        <v>0.99776026545002072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31</v>
      </c>
      <c r="E57" s="176">
        <f t="shared" si="6"/>
        <v>9</v>
      </c>
      <c r="F57" s="139">
        <f>IF(I55=0,ROUND(100*(1-(I54+I57)/2/$J$3),2),ROUND(100*(1-(I55+I57)/2/$J$3),2))</f>
        <v>0.11</v>
      </c>
      <c r="G57" s="177">
        <f>_xlfn.IFNA(VLOOKUP(D57,'인원 입력 기능(사과탐)'!$P$64:$S$116,4,FALSE),0)</f>
        <v>54</v>
      </c>
      <c r="H57" s="141">
        <f>G57/$J$3</f>
        <v>2.2397345499792615E-3</v>
      </c>
      <c r="I57" s="142">
        <f>SUM($G$7:G57)</f>
        <v>24110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7">
    <mergeCell ref="D3:F3"/>
    <mergeCell ref="D4:F4"/>
    <mergeCell ref="D16:D17"/>
    <mergeCell ref="E16:E17"/>
    <mergeCell ref="F16:F17"/>
    <mergeCell ref="G16:G17"/>
    <mergeCell ref="H16:H17"/>
    <mergeCell ref="I16:I17"/>
    <mergeCell ref="J16:J17"/>
    <mergeCell ref="D25:D26"/>
    <mergeCell ref="E25:E26"/>
    <mergeCell ref="F25:F26"/>
    <mergeCell ref="G25:G26"/>
    <mergeCell ref="H25:H26"/>
    <mergeCell ref="I25:I26"/>
    <mergeCell ref="J25:J26"/>
    <mergeCell ref="I33:I34"/>
    <mergeCell ref="J33:J34"/>
    <mergeCell ref="D41:D42"/>
    <mergeCell ref="E41:E42"/>
    <mergeCell ref="F41:F42"/>
    <mergeCell ref="G41:G42"/>
    <mergeCell ref="H41:H42"/>
    <mergeCell ref="I41:I42"/>
    <mergeCell ref="J41:J42"/>
    <mergeCell ref="D33:D34"/>
    <mergeCell ref="E33:E34"/>
    <mergeCell ref="F33:F34"/>
    <mergeCell ref="G33:G34"/>
    <mergeCell ref="H33:H34"/>
    <mergeCell ref="I50:I51"/>
    <mergeCell ref="J50:J51"/>
    <mergeCell ref="D50:D51"/>
    <mergeCell ref="E50:E51"/>
    <mergeCell ref="F50:F51"/>
    <mergeCell ref="G50:G51"/>
    <mergeCell ref="H50:H51"/>
  </mergeCells>
  <phoneticPr fontId="1" type="noConversion"/>
  <conditionalFormatting sqref="D7:G16 I7:J16 D18:G25 I18:J25 D27:G33 I27:J33 D35:G41 I35:J41 D43:G50 I43:J50 D52:G57 I52:J57">
    <cfRule type="expression" dxfId="23" priority="4">
      <formula>OR($D7=$Q$7:$Q$14)</formula>
    </cfRule>
  </conditionalFormatting>
  <conditionalFormatting sqref="C7:C57">
    <cfRule type="expression" dxfId="22" priority="3">
      <formula>OR(AND($D7=0,OR($D6=$Q$7:$Q$14)),AND($D8&gt;0,OR($D7=$Q$7:$Q$14)))</formula>
    </cfRule>
  </conditionalFormatting>
  <conditionalFormatting sqref="D7:D16 D18:D25 D27:D33 D35:D41 D43:D50 D52:D57">
    <cfRule type="expression" dxfId="21" priority="2">
      <formula>$D7=$D8</formula>
    </cfRule>
  </conditionalFormatting>
  <conditionalFormatting sqref="H7:H16 H18:H25 H27:H33 H35:H41 H43:H50 H52:H57">
    <cfRule type="expression" dxfId="2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기능'!D16</f>
        <v>22.80</v>
      </c>
      <c r="I3" s="21" t="s">
        <v>107</v>
      </c>
      <c r="J3" s="93">
        <f>'통계 및 응시자 수 입력 기능'!C16</f>
        <v>42903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133</v>
      </c>
      <c r="E4" s="96"/>
      <c r="F4" s="97"/>
      <c r="G4" s="98" t="s">
        <v>110</v>
      </c>
      <c r="H4" s="99" t="str">
        <f>'통계 및 응시자 수 입력 기능'!E16</f>
        <v>11.81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73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99.49</v>
      </c>
      <c r="G7" s="107">
        <f>_xlfn.IFNA(VLOOKUP(D7,'인원 입력 기능(사과탐)'!$A$121:$D$172,4,FALSE),0)</f>
        <v>435</v>
      </c>
      <c r="H7" s="108">
        <f>G7/$J$3</f>
        <v>1.0139151108314103E-2</v>
      </c>
      <c r="I7" s="109">
        <f>G7</f>
        <v>435</v>
      </c>
      <c r="J7" s="110">
        <f>I7/$J$3</f>
        <v>1.0139151108314103E-2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69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기능'!C113</f>
        <v>65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71</v>
      </c>
      <c r="E9" s="105">
        <f t="shared" si="0"/>
        <v>1</v>
      </c>
      <c r="F9" s="106">
        <f>IF(I8=0,ROUND(100*(1-(I7+I9)/2/$J$3),2),ROUND(100*(1-(I8+I9)/2/$J$3),2))</f>
        <v>98.35</v>
      </c>
      <c r="G9" s="107">
        <f>_xlfn.IFNA(VLOOKUP(D9,'인원 입력 기능(사과탐)'!$A$121:$D$172,4,FALSE),0)</f>
        <v>543</v>
      </c>
      <c r="H9" s="108">
        <f t="shared" ref="H9:H55" si="1">G9/$J$3</f>
        <v>1.2656457590378296E-2</v>
      </c>
      <c r="I9" s="118">
        <f>SUM($G$7:G9)</f>
        <v>978</v>
      </c>
      <c r="J9" s="110">
        <f>I9/$J$3</f>
        <v>2.2795608698692398E-2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58</v>
      </c>
    </row>
    <row r="10" spans="1:17" s="22" customFormat="1" ht="25" customHeight="1" x14ac:dyDescent="0.45">
      <c r="A10" s="20"/>
      <c r="B10" s="35"/>
      <c r="C10" s="111">
        <v>47</v>
      </c>
      <c r="D10" s="122">
        <f t="shared" ref="D10:D55" si="3">ROUND(10*(C10-$H$3)/$H$4+50,0)</f>
        <v>70</v>
      </c>
      <c r="E10" s="122">
        <f t="shared" si="0"/>
        <v>1</v>
      </c>
      <c r="F10" s="124">
        <f t="shared" ref="F10:F55" si="4">IF(I9=0,ROUND(100*(1-(I8+I10)/2/$J$3),2),ROUND(100*(1-(I9+I10)/2/$J$3),2))</f>
        <v>97.01</v>
      </c>
      <c r="G10" s="125">
        <f>IF(D10=D9,"",_xlfn.IFNA(VLOOKUP(D10,'인원 입력 기능(사과탐)'!$A$121:$D$172,4,FALSE),0))</f>
        <v>611</v>
      </c>
      <c r="H10" s="126">
        <f t="shared" si="1"/>
        <v>1.4241428338344637E-2</v>
      </c>
      <c r="I10" s="144">
        <f>SUM($G$7:G10)</f>
        <v>1589</v>
      </c>
      <c r="J10" s="128">
        <f t="shared" ref="J10:J55" si="5">I10/$J$3</f>
        <v>3.7037037037037035E-2</v>
      </c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기능'!C115</f>
        <v>52</v>
      </c>
    </row>
    <row r="11" spans="1:17" s="22" customFormat="1" ht="25" customHeight="1" x14ac:dyDescent="0.45">
      <c r="A11" s="20"/>
      <c r="B11" s="35"/>
      <c r="C11" s="104">
        <v>46</v>
      </c>
      <c r="D11" s="129"/>
      <c r="E11" s="129"/>
      <c r="F11" s="131"/>
      <c r="G11" s="132"/>
      <c r="H11" s="133"/>
      <c r="I11" s="145"/>
      <c r="J11" s="135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69</v>
      </c>
      <c r="E12" s="105">
        <f t="shared" si="0"/>
        <v>1</v>
      </c>
      <c r="F12" s="106">
        <f t="shared" si="4"/>
        <v>95.6</v>
      </c>
      <c r="G12" s="107">
        <f>IF(D12=D11,"",_xlfn.IFNA(VLOOKUP(D12,'인원 입력 기능(사과탐)'!$A$121:$D$172,4,FALSE),0))</f>
        <v>599</v>
      </c>
      <c r="H12" s="108">
        <f t="shared" si="1"/>
        <v>1.3961727618115283E-2</v>
      </c>
      <c r="I12" s="118">
        <f>SUM($G$7:G12)</f>
        <v>2188</v>
      </c>
      <c r="J12" s="110">
        <f t="shared" si="5"/>
        <v>5.0998764655152323E-2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41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68</v>
      </c>
      <c r="E13" s="105">
        <f t="shared" si="0"/>
        <v>2</v>
      </c>
      <c r="F13" s="106">
        <f t="shared" si="4"/>
        <v>94.52</v>
      </c>
      <c r="G13" s="107">
        <f>IF(D13=D12,"",_xlfn.IFNA(VLOOKUP(D13,'인원 입력 기능(사과탐)'!$A$121:$D$172,4,FALSE),0))</f>
        <v>323</v>
      </c>
      <c r="H13" s="108">
        <f t="shared" si="1"/>
        <v>7.5286110528401274E-3</v>
      </c>
      <c r="I13" s="118">
        <f>SUM($G$7:G13)</f>
        <v>2511</v>
      </c>
      <c r="J13" s="110">
        <f t="shared" si="5"/>
        <v>5.8527375707992449E-2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기능'!C118</f>
        <v>38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67</v>
      </c>
      <c r="E14" s="105">
        <f t="shared" si="0"/>
        <v>2</v>
      </c>
      <c r="F14" s="106">
        <f t="shared" si="4"/>
        <v>93.47</v>
      </c>
      <c r="G14" s="107">
        <f>IF(D14=D13,"",_xlfn.IFNA(VLOOKUP(D14,'인원 입력 기능(사과탐)'!$A$121:$D$172,4,FALSE),0))</f>
        <v>580</v>
      </c>
      <c r="H14" s="108">
        <f t="shared" si="1"/>
        <v>1.3518868144418805E-2</v>
      </c>
      <c r="I14" s="118">
        <f>SUM($G$7:G14)</f>
        <v>3091</v>
      </c>
      <c r="J14" s="110">
        <f t="shared" si="5"/>
        <v>7.2046243852411249E-2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37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66</v>
      </c>
      <c r="E15" s="105">
        <f t="shared" si="0"/>
        <v>2</v>
      </c>
      <c r="F15" s="106">
        <f t="shared" si="4"/>
        <v>92.16</v>
      </c>
      <c r="G15" s="107">
        <f>IF(D15=D14,"",_xlfn.IFNA(VLOOKUP(D15,'인원 입력 기능(사과탐)'!$A$121:$D$172,4,FALSE),0))</f>
        <v>541</v>
      </c>
      <c r="H15" s="108">
        <f t="shared" si="1"/>
        <v>1.2609840803673403E-2</v>
      </c>
      <c r="I15" s="118">
        <f>SUM($G$7:G15)</f>
        <v>3632</v>
      </c>
      <c r="J15" s="110">
        <f t="shared" si="5"/>
        <v>8.4656084656084651E-2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22">
        <f t="shared" si="3"/>
        <v>65</v>
      </c>
      <c r="E16" s="122">
        <f t="shared" si="0"/>
        <v>2</v>
      </c>
      <c r="F16" s="124">
        <f t="shared" si="4"/>
        <v>90.11</v>
      </c>
      <c r="G16" s="125">
        <f>IF(D16=D15,"",_xlfn.IFNA(VLOOKUP(D16,'인원 입력 기능(사과탐)'!$A$121:$D$172,4,FALSE),0))</f>
        <v>1224</v>
      </c>
      <c r="H16" s="126">
        <f t="shared" si="1"/>
        <v>2.852947346339417E-2</v>
      </c>
      <c r="I16" s="144">
        <f>SUM($G$7:G16)</f>
        <v>4856</v>
      </c>
      <c r="J16" s="128">
        <f t="shared" si="5"/>
        <v>0.11318555811947882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29"/>
      <c r="E17" s="129"/>
      <c r="F17" s="131"/>
      <c r="G17" s="132"/>
      <c r="H17" s="133"/>
      <c r="I17" s="145"/>
      <c r="J17" s="135"/>
      <c r="K17" s="36"/>
      <c r="L17" s="20" t="str">
        <f t="shared" si="2"/>
        <v>경고</v>
      </c>
      <c r="N17" s="24"/>
      <c r="Q17" s="24">
        <f>Q7*H3*H4*J3*IFERROR(IF(J57=1, 1, 0), 0)</f>
        <v>797115945.27600014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64</v>
      </c>
      <c r="E18" s="105">
        <f t="shared" si="0"/>
        <v>3</v>
      </c>
      <c r="F18" s="106">
        <f t="shared" si="4"/>
        <v>88.06</v>
      </c>
      <c r="G18" s="107">
        <f>IF(D18=D17,"",_xlfn.IFNA(VLOOKUP(D18,'인원 입력 기능(사과탐)'!$A$121:$D$172,4,FALSE),0))</f>
        <v>535</v>
      </c>
      <c r="H18" s="108">
        <f t="shared" si="1"/>
        <v>1.2469990443558725E-2</v>
      </c>
      <c r="I18" s="118">
        <f>SUM($G$7:G18)</f>
        <v>5391</v>
      </c>
      <c r="J18" s="110">
        <f t="shared" si="5"/>
        <v>0.12565554856303754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63</v>
      </c>
      <c r="E19" s="105">
        <f t="shared" si="0"/>
        <v>3</v>
      </c>
      <c r="F19" s="106">
        <f t="shared" si="4"/>
        <v>86.71</v>
      </c>
      <c r="G19" s="107">
        <f>IF(D19=D18,"",_xlfn.IFNA(VLOOKUP(D19,'인원 입력 기능(사과탐)'!$A$121:$D$172,4,FALSE),0))</f>
        <v>625</v>
      </c>
      <c r="H19" s="108">
        <f t="shared" si="1"/>
        <v>1.4567745845278885E-2</v>
      </c>
      <c r="I19" s="118">
        <f>SUM($G$7:G19)</f>
        <v>6016</v>
      </c>
      <c r="J19" s="110">
        <f t="shared" si="5"/>
        <v>0.14022329440831643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62</v>
      </c>
      <c r="E20" s="105">
        <f t="shared" si="0"/>
        <v>3</v>
      </c>
      <c r="F20" s="106">
        <f t="shared" si="4"/>
        <v>85.06</v>
      </c>
      <c r="G20" s="107">
        <f>IF(D20=D19,"",_xlfn.IFNA(VLOOKUP(D20,'인원 입력 기능(사과탐)'!$A$121:$D$172,4,FALSE),0))</f>
        <v>789</v>
      </c>
      <c r="H20" s="108">
        <f t="shared" si="1"/>
        <v>1.8390322355080063E-2</v>
      </c>
      <c r="I20" s="118">
        <f>SUM($G$7:G20)</f>
        <v>6805</v>
      </c>
      <c r="J20" s="110">
        <f t="shared" si="5"/>
        <v>0.1586136167633965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61</v>
      </c>
      <c r="E21" s="120">
        <f t="shared" si="0"/>
        <v>3</v>
      </c>
      <c r="F21" s="106">
        <f t="shared" si="4"/>
        <v>83.5</v>
      </c>
      <c r="G21" s="107">
        <f>IF(D21=D20,"",_xlfn.IFNA(VLOOKUP(D21,'인원 입력 기능(사과탐)'!$A$121:$D$172,4,FALSE),0))</f>
        <v>544</v>
      </c>
      <c r="H21" s="108">
        <f t="shared" si="1"/>
        <v>1.2679765983730742E-2</v>
      </c>
      <c r="I21" s="118">
        <f>SUM($G$7:G21)</f>
        <v>7349</v>
      </c>
      <c r="J21" s="110">
        <f t="shared" si="5"/>
        <v>0.17129338274712724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60</v>
      </c>
      <c r="E22" s="120">
        <f t="shared" si="0"/>
        <v>3</v>
      </c>
      <c r="F22" s="106">
        <f t="shared" si="4"/>
        <v>81.93</v>
      </c>
      <c r="G22" s="107">
        <f>IF(D22=D21,"",_xlfn.IFNA(VLOOKUP(D22,'인원 입력 기능(사과탐)'!$A$121:$D$172,4,FALSE),0))</f>
        <v>804</v>
      </c>
      <c r="H22" s="108">
        <f t="shared" si="1"/>
        <v>1.8739948255366758E-2</v>
      </c>
      <c r="I22" s="118">
        <f>SUM($G$7:G22)</f>
        <v>8153</v>
      </c>
      <c r="J22" s="110">
        <f t="shared" si="5"/>
        <v>0.190033331002494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3">
        <f t="shared" si="3"/>
        <v>59</v>
      </c>
      <c r="E23" s="123">
        <f t="shared" si="0"/>
        <v>3</v>
      </c>
      <c r="F23" s="124">
        <f t="shared" si="4"/>
        <v>79.150000000000006</v>
      </c>
      <c r="G23" s="125">
        <f>IF(D23=D22,"",_xlfn.IFNA(VLOOKUP(D23,'인원 입력 기능(사과탐)'!$A$121:$D$172,4,FALSE),0))</f>
        <v>1581</v>
      </c>
      <c r="H23" s="126">
        <f t="shared" si="1"/>
        <v>3.6850569890217469E-2</v>
      </c>
      <c r="I23" s="144">
        <f>SUM($G$7:G23)</f>
        <v>9734</v>
      </c>
      <c r="J23" s="128">
        <f t="shared" si="5"/>
        <v>0.22688390089271146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30"/>
      <c r="E24" s="130"/>
      <c r="F24" s="131"/>
      <c r="G24" s="132"/>
      <c r="H24" s="133"/>
      <c r="I24" s="145"/>
      <c r="J24" s="135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58</v>
      </c>
      <c r="E25" s="120">
        <f t="shared" si="0"/>
        <v>3</v>
      </c>
      <c r="F25" s="106">
        <f t="shared" si="4"/>
        <v>76.16</v>
      </c>
      <c r="G25" s="107">
        <f>IF(D25=D24,"",_xlfn.IFNA(VLOOKUP(D25,'인원 입력 기능(사과탐)'!$A$121:$D$172,4,FALSE),0))</f>
        <v>991</v>
      </c>
      <c r="H25" s="108">
        <f t="shared" si="1"/>
        <v>2.3098617812274201E-2</v>
      </c>
      <c r="I25" s="118">
        <f>SUM($G$7:G25)</f>
        <v>10725</v>
      </c>
      <c r="J25" s="110">
        <f t="shared" si="5"/>
        <v>0.24998251870498567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57</v>
      </c>
      <c r="E26" s="120">
        <f t="shared" si="0"/>
        <v>4</v>
      </c>
      <c r="F26" s="106">
        <f t="shared" si="4"/>
        <v>74.02</v>
      </c>
      <c r="G26" s="107">
        <f>IF(D26=D25,"",_xlfn.IFNA(VLOOKUP(D26,'인원 입력 기능(사과탐)'!$A$121:$D$172,4,FALSE),0))</f>
        <v>841</v>
      </c>
      <c r="H26" s="108">
        <f t="shared" si="1"/>
        <v>1.9602358809407267E-2</v>
      </c>
      <c r="I26" s="118">
        <f>SUM($G$7:G26)</f>
        <v>11566</v>
      </c>
      <c r="J26" s="110">
        <f t="shared" si="5"/>
        <v>0.26958487751439292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56</v>
      </c>
      <c r="E27" s="120">
        <f t="shared" si="0"/>
        <v>4</v>
      </c>
      <c r="F27" s="106">
        <f t="shared" si="4"/>
        <v>71.98</v>
      </c>
      <c r="G27" s="107">
        <f>IF(D27=D26,"",_xlfn.IFNA(VLOOKUP(D27,'인원 입력 기능(사과탐)'!$A$121:$D$172,4,FALSE),0))</f>
        <v>913</v>
      </c>
      <c r="H27" s="108">
        <f t="shared" si="1"/>
        <v>2.1280563130783393E-2</v>
      </c>
      <c r="I27" s="118">
        <f>SUM($G$7:G27)</f>
        <v>12479</v>
      </c>
      <c r="J27" s="110">
        <f t="shared" si="5"/>
        <v>0.29086544064517633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55</v>
      </c>
      <c r="E28" s="120">
        <f t="shared" si="0"/>
        <v>4</v>
      </c>
      <c r="F28" s="106">
        <f t="shared" si="4"/>
        <v>69.72</v>
      </c>
      <c r="G28" s="107">
        <f>IF(D28=D27,"",_xlfn.IFNA(VLOOKUP(D28,'인원 입력 기능(사과탐)'!$A$121:$D$172,4,FALSE),0))</f>
        <v>1023</v>
      </c>
      <c r="H28" s="108">
        <f t="shared" si="1"/>
        <v>2.3844486399552479E-2</v>
      </c>
      <c r="I28" s="118">
        <f>SUM($G$7:G28)</f>
        <v>13502</v>
      </c>
      <c r="J28" s="110">
        <f t="shared" si="5"/>
        <v>0.31470992704472883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3">
        <f t="shared" si="3"/>
        <v>54</v>
      </c>
      <c r="E29" s="123">
        <f t="shared" si="0"/>
        <v>4</v>
      </c>
      <c r="F29" s="124">
        <f t="shared" si="4"/>
        <v>66.180000000000007</v>
      </c>
      <c r="G29" s="125">
        <f>IF(D29=D28,"",_xlfn.IFNA(VLOOKUP(D29,'인원 입력 기능(사과탐)'!$A$121:$D$172,4,FALSE),0))</f>
        <v>2016</v>
      </c>
      <c r="H29" s="126">
        <f t="shared" si="1"/>
        <v>4.6989720998531569E-2</v>
      </c>
      <c r="I29" s="144">
        <f>SUM($G$7:G29)</f>
        <v>15518</v>
      </c>
      <c r="J29" s="128">
        <f t="shared" si="5"/>
        <v>0.36169964804326038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30"/>
      <c r="E30" s="130"/>
      <c r="F30" s="131"/>
      <c r="G30" s="132"/>
      <c r="H30" s="133"/>
      <c r="I30" s="145"/>
      <c r="J30" s="135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53</v>
      </c>
      <c r="E31" s="120">
        <f t="shared" si="0"/>
        <v>4</v>
      </c>
      <c r="F31" s="106">
        <f t="shared" si="4"/>
        <v>62.47</v>
      </c>
      <c r="G31" s="107">
        <f>IF(D31=D30,"",_xlfn.IFNA(VLOOKUP(D31,'인원 입력 기능(사과탐)'!$A$121:$D$172,4,FALSE),0))</f>
        <v>1171</v>
      </c>
      <c r="H31" s="108">
        <f t="shared" si="1"/>
        <v>2.7294128615714518E-2</v>
      </c>
      <c r="I31" s="118">
        <f>SUM($G$7:G31)</f>
        <v>16689</v>
      </c>
      <c r="J31" s="110">
        <f t="shared" si="5"/>
        <v>0.38899377665897489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52</v>
      </c>
      <c r="E32" s="120">
        <f t="shared" si="0"/>
        <v>4</v>
      </c>
      <c r="F32" s="106">
        <f t="shared" si="4"/>
        <v>59.86</v>
      </c>
      <c r="G32" s="107">
        <f>IF(D32=D31,"",_xlfn.IFNA(VLOOKUP(D32,'인원 입력 기능(사과탐)'!$A$121:$D$172,4,FALSE),0))</f>
        <v>1063</v>
      </c>
      <c r="H32" s="108">
        <f t="shared" si="1"/>
        <v>2.4776822133650327E-2</v>
      </c>
      <c r="I32" s="118">
        <f>SUM($G$7:G32)</f>
        <v>17752</v>
      </c>
      <c r="J32" s="110">
        <f t="shared" si="5"/>
        <v>0.41377059879262523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51</v>
      </c>
      <c r="E33" s="120">
        <f t="shared" si="0"/>
        <v>5</v>
      </c>
      <c r="F33" s="106">
        <f t="shared" si="4"/>
        <v>57.15</v>
      </c>
      <c r="G33" s="107">
        <f>IF(D33=D32,"",_xlfn.IFNA(VLOOKUP(D33,'인원 입력 기능(사과탐)'!$A$121:$D$172,4,FALSE),0))</f>
        <v>1268</v>
      </c>
      <c r="H33" s="108">
        <f t="shared" si="1"/>
        <v>2.9555042770901801E-2</v>
      </c>
      <c r="I33" s="118">
        <f>SUM($G$7:G33)</f>
        <v>19020</v>
      </c>
      <c r="J33" s="110">
        <f t="shared" si="5"/>
        <v>0.44332564156352705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50</v>
      </c>
      <c r="E34" s="120">
        <f t="shared" si="0"/>
        <v>5</v>
      </c>
      <c r="F34" s="106">
        <f t="shared" si="4"/>
        <v>54.34</v>
      </c>
      <c r="G34" s="107">
        <f>IF(D34=D33,"",_xlfn.IFNA(VLOOKUP(D34,'인원 입력 기능(사과탐)'!$A$121:$D$172,4,FALSE),0))</f>
        <v>1136</v>
      </c>
      <c r="H34" s="108">
        <f t="shared" si="1"/>
        <v>2.6478334848378901E-2</v>
      </c>
      <c r="I34" s="118">
        <f>SUM($G$7:G34)</f>
        <v>20156</v>
      </c>
      <c r="J34" s="110">
        <f t="shared" si="5"/>
        <v>0.46980397641190591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49</v>
      </c>
      <c r="E35" s="120">
        <f t="shared" si="0"/>
        <v>5</v>
      </c>
      <c r="F35" s="106">
        <f t="shared" si="4"/>
        <v>51.69</v>
      </c>
      <c r="G35" s="107">
        <f>IF(D35=D34,"",_xlfn.IFNA(VLOOKUP(D35,'인원 입력 기능(사과탐)'!$A$121:$D$172,4,FALSE),0))</f>
        <v>1140</v>
      </c>
      <c r="H35" s="108">
        <f t="shared" si="1"/>
        <v>2.6571568421788688E-2</v>
      </c>
      <c r="I35" s="118">
        <f>SUM($G$7:G35)</f>
        <v>21296</v>
      </c>
      <c r="J35" s="110">
        <f t="shared" si="5"/>
        <v>0.49637554483369462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3">
        <f t="shared" si="3"/>
        <v>48</v>
      </c>
      <c r="E36" s="123">
        <f t="shared" si="0"/>
        <v>5</v>
      </c>
      <c r="F36" s="124">
        <f t="shared" si="4"/>
        <v>47.56</v>
      </c>
      <c r="G36" s="125">
        <f>IF(D36=D35,"",_xlfn.IFNA(VLOOKUP(D36,'인원 입력 기능(사과탐)'!$A$121:$D$172,4,FALSE),0))</f>
        <v>2406</v>
      </c>
      <c r="H36" s="126">
        <f t="shared" si="1"/>
        <v>5.6079994405985593E-2</v>
      </c>
      <c r="I36" s="144">
        <f>SUM($G$7:G36)</f>
        <v>23702</v>
      </c>
      <c r="J36" s="128">
        <f t="shared" si="5"/>
        <v>0.55245553923968016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30"/>
      <c r="E37" s="130"/>
      <c r="F37" s="131"/>
      <c r="G37" s="132"/>
      <c r="H37" s="133"/>
      <c r="I37" s="145"/>
      <c r="J37" s="135"/>
      <c r="K37" s="36"/>
      <c r="L37" s="20" t="str">
        <f t="shared" si="2"/>
        <v>경고</v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47</v>
      </c>
      <c r="E38" s="120">
        <f t="shared" si="0"/>
        <v>5</v>
      </c>
      <c r="F38" s="106">
        <f t="shared" si="4"/>
        <v>43.34</v>
      </c>
      <c r="G38" s="107">
        <f>IF(D38=D37,"",_xlfn.IFNA(VLOOKUP(D38,'인원 입력 기능(사과탐)'!$A$121:$D$172,4,FALSE),0))</f>
        <v>1214</v>
      </c>
      <c r="H38" s="108">
        <f t="shared" si="1"/>
        <v>2.8296389529869705E-2</v>
      </c>
      <c r="I38" s="118">
        <f>SUM($G$7:G38)</f>
        <v>24916</v>
      </c>
      <c r="J38" s="110">
        <f t="shared" si="5"/>
        <v>0.58075192876954995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46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40.58</v>
      </c>
      <c r="G39" s="107">
        <f>IF(D39=D38,"",_xlfn.IFNA(VLOOKUP(D39,'인원 입력 기능(사과탐)'!$A$121:$D$172,4,FALSE),0))</f>
        <v>1157</v>
      </c>
      <c r="H39" s="108">
        <f t="shared" si="1"/>
        <v>2.6967811108780271E-2</v>
      </c>
      <c r="I39" s="118">
        <f>SUM($G$7:G39)</f>
        <v>26073</v>
      </c>
      <c r="J39" s="110">
        <f t="shared" si="5"/>
        <v>0.60771973987833017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45</v>
      </c>
      <c r="E40" s="120">
        <f t="shared" si="6"/>
        <v>6</v>
      </c>
      <c r="F40" s="106">
        <f t="shared" si="4"/>
        <v>37.799999999999997</v>
      </c>
      <c r="G40" s="107">
        <f>IF(D40=D39,"",_xlfn.IFNA(VLOOKUP(D40,'인원 입력 기능(사과탐)'!$A$121:$D$172,4,FALSE),0))</f>
        <v>1224</v>
      </c>
      <c r="H40" s="108">
        <f t="shared" si="1"/>
        <v>2.852947346339417E-2</v>
      </c>
      <c r="I40" s="118">
        <f>SUM($G$7:G40)</f>
        <v>27297</v>
      </c>
      <c r="J40" s="110">
        <f t="shared" si="5"/>
        <v>0.63624921334172435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44</v>
      </c>
      <c r="E41" s="120">
        <f t="shared" si="6"/>
        <v>6</v>
      </c>
      <c r="F41" s="106">
        <f t="shared" si="4"/>
        <v>34.81</v>
      </c>
      <c r="G41" s="107">
        <f>IF(D41=D40,"",_xlfn.IFNA(VLOOKUP(D41,'인원 입력 기능(사과탐)'!$A$121:$D$172,4,FALSE),0))</f>
        <v>1345</v>
      </c>
      <c r="H41" s="108">
        <f t="shared" si="1"/>
        <v>3.1349789059040158E-2</v>
      </c>
      <c r="I41" s="118">
        <f>SUM($G$7:G41)</f>
        <v>28642</v>
      </c>
      <c r="J41" s="110">
        <f t="shared" si="5"/>
        <v>0.66759900240076453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3">
        <f t="shared" si="3"/>
        <v>43</v>
      </c>
      <c r="E42" s="123">
        <f t="shared" si="6"/>
        <v>6</v>
      </c>
      <c r="F42" s="124">
        <f t="shared" si="4"/>
        <v>30.55</v>
      </c>
      <c r="G42" s="125">
        <f>IF(D42=D41,"",_xlfn.IFNA(VLOOKUP(D42,'인원 입력 기능(사과탐)'!$A$121:$D$172,4,FALSE),0))</f>
        <v>2312</v>
      </c>
      <c r="H42" s="126">
        <f t="shared" si="1"/>
        <v>5.3889005430855653E-2</v>
      </c>
      <c r="I42" s="144">
        <f>SUM($G$7:G42)</f>
        <v>30954</v>
      </c>
      <c r="J42" s="128">
        <f t="shared" si="5"/>
        <v>0.72148800783162015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30"/>
      <c r="E43" s="130"/>
      <c r="F43" s="131"/>
      <c r="G43" s="132"/>
      <c r="H43" s="133"/>
      <c r="I43" s="145"/>
      <c r="J43" s="135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42</v>
      </c>
      <c r="E44" s="120">
        <f t="shared" si="6"/>
        <v>6</v>
      </c>
      <c r="F44" s="106">
        <f t="shared" si="4"/>
        <v>26.34</v>
      </c>
      <c r="G44" s="107">
        <f>IF(D44=D43,"",_xlfn.IFNA(VLOOKUP(D44,'인원 입력 기능(사과탐)'!$A$121:$D$172,4,FALSE),0))</f>
        <v>1300</v>
      </c>
      <c r="H44" s="108">
        <f t="shared" si="1"/>
        <v>3.0300911358180079E-2</v>
      </c>
      <c r="I44" s="118">
        <f>SUM($G$7:G44)</f>
        <v>32254</v>
      </c>
      <c r="J44" s="110">
        <f t="shared" si="5"/>
        <v>0.75178891918980029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41</v>
      </c>
      <c r="E45" s="120">
        <f t="shared" si="6"/>
        <v>6</v>
      </c>
      <c r="F45" s="106">
        <f t="shared" si="4"/>
        <v>23.17</v>
      </c>
      <c r="G45" s="107">
        <f>IF(D45=D44,"",_xlfn.IFNA(VLOOKUP(D45,'인원 입력 기능(사과탐)'!$A$121:$D$172,4,FALSE),0))</f>
        <v>1415</v>
      </c>
      <c r="H45" s="108">
        <f t="shared" si="1"/>
        <v>3.2981376593711392E-2</v>
      </c>
      <c r="I45" s="118">
        <f>SUM($G$7:G45)</f>
        <v>33669</v>
      </c>
      <c r="J45" s="110">
        <f t="shared" si="5"/>
        <v>0.78477029578351165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40</v>
      </c>
      <c r="E46" s="120">
        <f t="shared" si="6"/>
        <v>7</v>
      </c>
      <c r="F46" s="106">
        <f t="shared" si="4"/>
        <v>18.27</v>
      </c>
      <c r="G46" s="107">
        <f>IF(D46=D45,"",_xlfn.IFNA(VLOOKUP(D46,'인원 입력 기능(사과탐)'!$A$121:$D$172,4,FALSE),0))</f>
        <v>2792</v>
      </c>
      <c r="H46" s="108">
        <f t="shared" si="1"/>
        <v>6.5077034240029835E-2</v>
      </c>
      <c r="I46" s="118">
        <f>SUM($G$7:G46)</f>
        <v>36461</v>
      </c>
      <c r="J46" s="110">
        <f t="shared" si="5"/>
        <v>0.84984733002354151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39</v>
      </c>
      <c r="E47" s="120">
        <f t="shared" si="6"/>
        <v>7</v>
      </c>
      <c r="F47" s="106">
        <f t="shared" si="4"/>
        <v>13.94</v>
      </c>
      <c r="G47" s="107">
        <f>IF(D47=D46,"",_xlfn.IFNA(VLOOKUP(D47,'인원 입력 기능(사과탐)'!$A$121:$D$172,4,FALSE),0))</f>
        <v>919</v>
      </c>
      <c r="H47" s="108">
        <f t="shared" si="1"/>
        <v>2.1420413490898071E-2</v>
      </c>
      <c r="I47" s="118">
        <f>SUM($G$7:G47)</f>
        <v>37380</v>
      </c>
      <c r="J47" s="110">
        <f t="shared" si="5"/>
        <v>0.87126774351443959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38</v>
      </c>
      <c r="E48" s="120">
        <f t="shared" si="6"/>
        <v>7</v>
      </c>
      <c r="F48" s="106">
        <f t="shared" si="4"/>
        <v>11.53</v>
      </c>
      <c r="G48" s="107">
        <f>IF(D48=D47,"",_xlfn.IFNA(VLOOKUP(D48,'인원 입력 기능(사과탐)'!$A$121:$D$172,4,FALSE),0))</f>
        <v>1151</v>
      </c>
      <c r="H48" s="108">
        <f t="shared" si="1"/>
        <v>2.6827960748665596E-2</v>
      </c>
      <c r="I48" s="118">
        <f>SUM($G$7:G48)</f>
        <v>38531</v>
      </c>
      <c r="J48" s="110">
        <f t="shared" si="5"/>
        <v>0.89809570426310514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3">
        <f t="shared" si="3"/>
        <v>37</v>
      </c>
      <c r="E49" s="123">
        <f t="shared" si="6"/>
        <v>8</v>
      </c>
      <c r="F49" s="124">
        <f t="shared" si="4"/>
        <v>6.9</v>
      </c>
      <c r="G49" s="125">
        <f>IF(D49=D48,"",_xlfn.IFNA(VLOOKUP(D49,'인원 입력 기능(사과탐)'!$A$121:$D$172,4,FALSE),0))</f>
        <v>2820</v>
      </c>
      <c r="H49" s="126">
        <f t="shared" si="1"/>
        <v>6.5729669253898323E-2</v>
      </c>
      <c r="I49" s="144">
        <f>SUM($G$7:G49)</f>
        <v>41351</v>
      </c>
      <c r="J49" s="128">
        <f t="shared" si="5"/>
        <v>0.96382537351700348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30"/>
      <c r="E50" s="130"/>
      <c r="F50" s="131"/>
      <c r="G50" s="132"/>
      <c r="H50" s="133"/>
      <c r="I50" s="145"/>
      <c r="J50" s="135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36</v>
      </c>
      <c r="E51" s="120">
        <f t="shared" si="6"/>
        <v>9</v>
      </c>
      <c r="F51" s="106">
        <f t="shared" si="4"/>
        <v>3.06</v>
      </c>
      <c r="G51" s="107">
        <f>IF(D51=D50,"",_xlfn.IFNA(VLOOKUP(D51,'인원 입력 기능(사과탐)'!$A$121:$D$172,4,FALSE),0))</f>
        <v>478</v>
      </c>
      <c r="H51" s="108">
        <f t="shared" si="1"/>
        <v>1.1141412022469292E-2</v>
      </c>
      <c r="I51" s="118">
        <f>SUM($G$7:G51)</f>
        <v>41829</v>
      </c>
      <c r="J51" s="110">
        <f t="shared" si="5"/>
        <v>0.9749667855394728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35</v>
      </c>
      <c r="E52" s="120">
        <f t="shared" si="6"/>
        <v>9</v>
      </c>
      <c r="F52" s="106">
        <f t="shared" si="4"/>
        <v>2.0499999999999998</v>
      </c>
      <c r="G52" s="107">
        <f>IF(D52=D51,"",_xlfn.IFNA(VLOOKUP(D52,'인원 입력 기능(사과탐)'!$A$121:$D$172,4,FALSE),0))</f>
        <v>386</v>
      </c>
      <c r="H52" s="108">
        <f t="shared" si="1"/>
        <v>8.99703983404424E-3</v>
      </c>
      <c r="I52" s="118">
        <f>SUM($G$7:G52)</f>
        <v>42215</v>
      </c>
      <c r="J52" s="110">
        <f t="shared" si="5"/>
        <v>0.98396382537351701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34</v>
      </c>
      <c r="E53" s="105">
        <f t="shared" si="6"/>
        <v>9</v>
      </c>
      <c r="F53" s="106">
        <f t="shared" si="4"/>
        <v>1.26</v>
      </c>
      <c r="G53" s="107">
        <f>IF(D53=D52,"",_xlfn.IFNA(VLOOKUP(D53,'인원 입력 기능(사과탐)'!$A$121:$D$172,4,FALSE),0))</f>
        <v>293</v>
      </c>
      <c r="H53" s="108">
        <f t="shared" si="1"/>
        <v>6.8293592522667415E-3</v>
      </c>
      <c r="I53" s="118">
        <f>SUM($G$7:G53)</f>
        <v>42508</v>
      </c>
      <c r="J53" s="110">
        <f t="shared" si="5"/>
        <v>0.9907931846257837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33</v>
      </c>
      <c r="E54" s="105">
        <f t="shared" si="6"/>
        <v>9</v>
      </c>
      <c r="F54" s="106">
        <f t="shared" si="4"/>
        <v>0.75</v>
      </c>
      <c r="G54" s="107">
        <f>IF(D54=D53,"",_xlfn.IFNA(VLOOKUP(D54,'인원 입력 기능(사과탐)'!$A$121:$D$172,4,FALSE),0))</f>
        <v>144</v>
      </c>
      <c r="H54" s="108">
        <f t="shared" si="1"/>
        <v>3.356408642752255E-3</v>
      </c>
      <c r="I54" s="118">
        <f>SUM($G$7:G54)</f>
        <v>42652</v>
      </c>
      <c r="J54" s="110">
        <f t="shared" si="5"/>
        <v>0.99414959326853602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32</v>
      </c>
      <c r="E55" s="105">
        <f t="shared" si="6"/>
        <v>9</v>
      </c>
      <c r="F55" s="106">
        <f t="shared" si="4"/>
        <v>0.36</v>
      </c>
      <c r="G55" s="107">
        <f>IF(D55=D54,"",_xlfn.IFNA(VLOOKUP(D55,'인원 입력 기능(사과탐)'!$A$121:$D$172,4,FALSE),0))</f>
        <v>191</v>
      </c>
      <c r="H55" s="108">
        <f t="shared" si="1"/>
        <v>4.4519031303172276E-3</v>
      </c>
      <c r="I55" s="118">
        <f>SUM($G$7:G55)</f>
        <v>42843</v>
      </c>
      <c r="J55" s="110">
        <f t="shared" si="5"/>
        <v>0.99860149639885321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31</v>
      </c>
      <c r="E57" s="176">
        <f t="shared" si="6"/>
        <v>9</v>
      </c>
      <c r="F57" s="139">
        <f>IF(I55=0,ROUND(100*(1-(I54+I57)/2/$J$3),2),ROUND(100*(1-(I55+I57)/2/$J$3),2))</f>
        <v>7.0000000000000007E-2</v>
      </c>
      <c r="G57" s="177">
        <f>_xlfn.IFNA(VLOOKUP(D57,'인원 입력 기능(사과탐)'!$A$121:$D$172,4,FALSE),0)</f>
        <v>60</v>
      </c>
      <c r="H57" s="141">
        <f>G57/$J$3</f>
        <v>1.3985036011467729E-3</v>
      </c>
      <c r="I57" s="142">
        <f>SUM($G$7:G57)</f>
        <v>42903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1">
    <mergeCell ref="D3:F3"/>
    <mergeCell ref="D4:F4"/>
    <mergeCell ref="D10:D11"/>
    <mergeCell ref="E10:E11"/>
    <mergeCell ref="F10:F11"/>
    <mergeCell ref="G10:G11"/>
    <mergeCell ref="H10:H11"/>
    <mergeCell ref="I10:I11"/>
    <mergeCell ref="J10:J11"/>
    <mergeCell ref="D16:D17"/>
    <mergeCell ref="E16:E17"/>
    <mergeCell ref="F16:F17"/>
    <mergeCell ref="G16:G17"/>
    <mergeCell ref="H16:H17"/>
    <mergeCell ref="I16:I17"/>
    <mergeCell ref="J16:J17"/>
    <mergeCell ref="I23:I24"/>
    <mergeCell ref="J23:J24"/>
    <mergeCell ref="D29:D30"/>
    <mergeCell ref="E29:E30"/>
    <mergeCell ref="F29:F30"/>
    <mergeCell ref="G29:G30"/>
    <mergeCell ref="H29:H30"/>
    <mergeCell ref="I29:I30"/>
    <mergeCell ref="J29:J30"/>
    <mergeCell ref="D23:D24"/>
    <mergeCell ref="E23:E24"/>
    <mergeCell ref="F23:F24"/>
    <mergeCell ref="G23:G24"/>
    <mergeCell ref="H23:H24"/>
    <mergeCell ref="I36:I37"/>
    <mergeCell ref="J36:J37"/>
    <mergeCell ref="D42:D43"/>
    <mergeCell ref="E42:E43"/>
    <mergeCell ref="F42:F43"/>
    <mergeCell ref="G42:G43"/>
    <mergeCell ref="H42:H43"/>
    <mergeCell ref="I42:I43"/>
    <mergeCell ref="J42:J43"/>
    <mergeCell ref="D36:D37"/>
    <mergeCell ref="E36:E37"/>
    <mergeCell ref="F36:F37"/>
    <mergeCell ref="G36:G37"/>
    <mergeCell ref="H36:H37"/>
    <mergeCell ref="I49:I50"/>
    <mergeCell ref="J49:J50"/>
    <mergeCell ref="D49:D50"/>
    <mergeCell ref="E49:E50"/>
    <mergeCell ref="F49:F50"/>
    <mergeCell ref="G49:G50"/>
    <mergeCell ref="H49:H50"/>
  </mergeCells>
  <phoneticPr fontId="1" type="noConversion"/>
  <conditionalFormatting sqref="D7:G10 I7:J10 D12:G16 I12:J16 D18:G23 I18:J23 D25:G29 I25:J29 D31:G36 I31:J36 D38:G42 I38:J42 D44:G49 I44:J49 D51:G57 I51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10 D12:D16 D18:D23 D25:D29 D31:D36 D38:D42 D44:D49 D51:D57">
    <cfRule type="expression" dxfId="17" priority="2">
      <formula>$D7=$D8</formula>
    </cfRule>
  </conditionalFormatting>
  <conditionalFormatting sqref="H7:H10 H12:H16 H18:H23 H25:H29 H31:H36 H38:H42 H44:H49 H51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기능'!D17</f>
        <v>19.44</v>
      </c>
      <c r="I3" s="21" t="s">
        <v>107</v>
      </c>
      <c r="J3" s="93">
        <f>'통계 및 응시자 수 입력 기능'!C17</f>
        <v>34939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132</v>
      </c>
      <c r="E4" s="96"/>
      <c r="F4" s="97"/>
      <c r="G4" s="98" t="s">
        <v>110</v>
      </c>
      <c r="H4" s="99" t="str">
        <f>'통계 및 응시자 수 입력 기능'!E17</f>
        <v>10.12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80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99.66</v>
      </c>
      <c r="G7" s="107">
        <f>_xlfn.IFNA(VLOOKUP(D7,'인원 입력 기능(사과탐)'!$A$177:$D$231,4,FALSE),0)</f>
        <v>237</v>
      </c>
      <c r="H7" s="108">
        <f>G7/$J$3</f>
        <v>6.7832508085520476E-3</v>
      </c>
      <c r="I7" s="109">
        <f>G7</f>
        <v>237</v>
      </c>
      <c r="J7" s="110">
        <f>I7/$J$3</f>
        <v>6.7832508085520476E-3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71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기능'!C122</f>
        <v>63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78</v>
      </c>
      <c r="E9" s="105">
        <f t="shared" si="0"/>
        <v>1</v>
      </c>
      <c r="F9" s="106">
        <f>IF(I8=0,ROUND(100*(1-(I7+I9)/2/$J$3),2),ROUND(100*(1-(I8+I9)/2/$J$3),2))</f>
        <v>99.15</v>
      </c>
      <c r="G9" s="107">
        <f>_xlfn.IFNA(VLOOKUP(D9,'인원 입력 기능(사과탐)'!$A$177:$D$231,4,FALSE),0)</f>
        <v>123</v>
      </c>
      <c r="H9" s="108">
        <f t="shared" ref="H9:H55" si="1">G9/$J$3</f>
        <v>3.5204213057042273E-3</v>
      </c>
      <c r="I9" s="118">
        <f>SUM($G$7:G9)</f>
        <v>360</v>
      </c>
      <c r="J9" s="110">
        <f>I9/$J$3</f>
        <v>1.0303672114256274E-2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56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77</v>
      </c>
      <c r="E10" s="105">
        <f t="shared" si="0"/>
        <v>1</v>
      </c>
      <c r="F10" s="106">
        <f t="shared" ref="F10:F55" si="4">IF(I9=0,ROUND(100*(1-(I8+I10)/2/$J$3),2),ROUND(100*(1-(I9+I10)/2/$J$3),2))</f>
        <v>98.62</v>
      </c>
      <c r="G10" s="107">
        <f>IF(D10=D9,"",_xlfn.IFNA(VLOOKUP(D10,'인원 입력 기능(사과탐)'!$A$177:$D$231,4,FALSE),0))</f>
        <v>243</v>
      </c>
      <c r="H10" s="108">
        <f t="shared" si="1"/>
        <v>6.9549786771229858E-3</v>
      </c>
      <c r="I10" s="118">
        <f>SUM($G$7:G10)</f>
        <v>603</v>
      </c>
      <c r="J10" s="110">
        <f t="shared" ref="J10:J55" si="5">I10/$J$3</f>
        <v>1.7258650791379261E-2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51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76</v>
      </c>
      <c r="E11" s="105">
        <f t="shared" si="0"/>
        <v>1</v>
      </c>
      <c r="F11" s="106">
        <f t="shared" si="4"/>
        <v>98.24</v>
      </c>
      <c r="G11" s="107">
        <f>IF(D11=D10,"",_xlfn.IFNA(VLOOKUP(D11,'인원 입력 기능(사과탐)'!$A$177:$D$231,4,FALSE),0))</f>
        <v>25</v>
      </c>
      <c r="H11" s="108">
        <f t="shared" si="1"/>
        <v>7.1553278571224131E-4</v>
      </c>
      <c r="I11" s="118">
        <f>SUM($G$7:G11)</f>
        <v>628</v>
      </c>
      <c r="J11" s="110">
        <f t="shared" si="5"/>
        <v>1.7974183577091501E-2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46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75</v>
      </c>
      <c r="E12" s="105">
        <f t="shared" si="0"/>
        <v>1</v>
      </c>
      <c r="F12" s="106">
        <f t="shared" si="4"/>
        <v>97.95</v>
      </c>
      <c r="G12" s="107">
        <f>IF(D12=D11,"",_xlfn.IFNA(VLOOKUP(D12,'인원 입력 기능(사과탐)'!$A$177:$D$231,4,FALSE),0))</f>
        <v>178</v>
      </c>
      <c r="H12" s="108">
        <f t="shared" si="1"/>
        <v>5.0945934342711587E-3</v>
      </c>
      <c r="I12" s="118">
        <f>SUM($G$7:G12)</f>
        <v>806</v>
      </c>
      <c r="J12" s="110">
        <f t="shared" si="5"/>
        <v>2.3068777011362659E-2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42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74</v>
      </c>
      <c r="E13" s="105">
        <f t="shared" si="0"/>
        <v>1</v>
      </c>
      <c r="F13" s="106">
        <f t="shared" si="4"/>
        <v>97.36</v>
      </c>
      <c r="G13" s="107">
        <f>IF(D13=D12,"",_xlfn.IFNA(VLOOKUP(D13,'인원 입력 기능(사과탐)'!$A$177:$D$231,4,FALSE),0))</f>
        <v>236</v>
      </c>
      <c r="H13" s="108">
        <f t="shared" si="1"/>
        <v>6.7546294971235583E-3</v>
      </c>
      <c r="I13" s="118">
        <f>SUM($G$7:G13)</f>
        <v>1042</v>
      </c>
      <c r="J13" s="110">
        <f t="shared" si="5"/>
        <v>2.9823406508486219E-2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기능'!C127</f>
        <v>40</v>
      </c>
    </row>
    <row r="14" spans="1:17" s="22" customFormat="1" ht="25" customHeight="1" x14ac:dyDescent="0.45">
      <c r="A14" s="20"/>
      <c r="B14" s="35"/>
      <c r="C14" s="119">
        <v>43</v>
      </c>
      <c r="D14" s="179">
        <f t="shared" si="3"/>
        <v>73</v>
      </c>
      <c r="E14" s="179">
        <f t="shared" si="0"/>
        <v>1</v>
      </c>
      <c r="F14" s="106">
        <f t="shared" si="4"/>
        <v>96.9</v>
      </c>
      <c r="G14" s="107">
        <f>IF(D14=D13,"",_xlfn.IFNA(VLOOKUP(D14,'인원 입력 기능(사과탐)'!$A$177:$D$231,4,FALSE),0))</f>
        <v>84</v>
      </c>
      <c r="H14" s="108">
        <f t="shared" si="1"/>
        <v>2.4041901599931308E-3</v>
      </c>
      <c r="I14" s="118">
        <f>SUM($G$7:G14)</f>
        <v>1126</v>
      </c>
      <c r="J14" s="110">
        <f t="shared" si="5"/>
        <v>3.2227596668479352E-2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38</v>
      </c>
    </row>
    <row r="15" spans="1:17" s="22" customFormat="1" ht="25" customHeight="1" x14ac:dyDescent="0.45">
      <c r="A15" s="20"/>
      <c r="B15" s="35"/>
      <c r="C15" s="104">
        <v>42</v>
      </c>
      <c r="D15" s="179">
        <f t="shared" ref="D15" si="6">ROUND(10*(C15-$H$3)/$H$4+50,0)</f>
        <v>72</v>
      </c>
      <c r="E15" s="179">
        <f t="shared" si="0"/>
        <v>1</v>
      </c>
      <c r="F15" s="106">
        <f t="shared" si="4"/>
        <v>96.41</v>
      </c>
      <c r="G15" s="107">
        <f>IF(D15=D14,"",_xlfn.IFNA(VLOOKUP(D15,'인원 입력 기능(사과탐)'!$A$177:$D$231,4,FALSE),0))</f>
        <v>255</v>
      </c>
      <c r="H15" s="108">
        <f t="shared" si="1"/>
        <v>7.2984344142648615E-3</v>
      </c>
      <c r="I15" s="118">
        <f>SUM($G$7:G15)</f>
        <v>1381</v>
      </c>
      <c r="J15" s="110">
        <f t="shared" si="5"/>
        <v>3.952603108274421E-2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71</v>
      </c>
      <c r="E16" s="105">
        <f t="shared" si="0"/>
        <v>1</v>
      </c>
      <c r="F16" s="106">
        <f t="shared" si="4"/>
        <v>95.72</v>
      </c>
      <c r="G16" s="107">
        <f>IF(D16=D15,"",_xlfn.IFNA(VLOOKUP(D16,'인원 입력 기능(사과탐)'!$A$177:$D$231,4,FALSE),0))</f>
        <v>227</v>
      </c>
      <c r="H16" s="108">
        <f t="shared" si="1"/>
        <v>6.4970376942671514E-3</v>
      </c>
      <c r="I16" s="118">
        <f>SUM($G$7:G16)</f>
        <v>1608</v>
      </c>
      <c r="J16" s="110">
        <f t="shared" si="5"/>
        <v>4.6023068777011365E-2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70</v>
      </c>
      <c r="E17" s="105">
        <f t="shared" si="0"/>
        <v>2</v>
      </c>
      <c r="F17" s="106">
        <f t="shared" si="4"/>
        <v>95.15</v>
      </c>
      <c r="G17" s="107">
        <f>IF(D17=D16,"",_xlfn.IFNA(VLOOKUP(D17,'인원 입력 기능(사과탐)'!$A$177:$D$231,4,FALSE),0))</f>
        <v>176</v>
      </c>
      <c r="H17" s="108">
        <f t="shared" si="1"/>
        <v>5.0373508114141792E-3</v>
      </c>
      <c r="I17" s="118">
        <f>SUM($G$7:G17)</f>
        <v>1784</v>
      </c>
      <c r="J17" s="110">
        <f t="shared" si="5"/>
        <v>5.106041958842554E-2</v>
      </c>
      <c r="K17" s="36"/>
      <c r="L17" s="20" t="str">
        <f t="shared" si="2"/>
        <v/>
      </c>
      <c r="N17" s="24"/>
      <c r="Q17" s="24">
        <f>Q7*H3*H4*J3*IFERROR(IF(J57=1, 1, 0), 0)</f>
        <v>488028958.24319994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69</v>
      </c>
      <c r="E18" s="105">
        <f t="shared" si="0"/>
        <v>2</v>
      </c>
      <c r="F18" s="106">
        <f t="shared" si="4"/>
        <v>94.39</v>
      </c>
      <c r="G18" s="107">
        <f>IF(D18=D17,"",_xlfn.IFNA(VLOOKUP(D18,'인원 입력 기능(사과탐)'!$A$177:$D$231,4,FALSE),0))</f>
        <v>353</v>
      </c>
      <c r="H18" s="108">
        <f t="shared" si="1"/>
        <v>1.0103322934256847E-2</v>
      </c>
      <c r="I18" s="118">
        <f>SUM($G$7:G18)</f>
        <v>2137</v>
      </c>
      <c r="J18" s="110">
        <f t="shared" si="5"/>
        <v>6.1163742522682391E-2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68</v>
      </c>
      <c r="E19" s="105">
        <f t="shared" si="0"/>
        <v>2</v>
      </c>
      <c r="F19" s="106">
        <f t="shared" si="4"/>
        <v>93.53</v>
      </c>
      <c r="G19" s="107">
        <f>IF(D19=D18,"",_xlfn.IFNA(VLOOKUP(D19,'인원 입력 기능(사과탐)'!$A$177:$D$231,4,FALSE),0))</f>
        <v>247</v>
      </c>
      <c r="H19" s="108">
        <f t="shared" si="1"/>
        <v>7.0694639228369447E-3</v>
      </c>
      <c r="I19" s="118">
        <f>SUM($G$7:G19)</f>
        <v>2384</v>
      </c>
      <c r="J19" s="110">
        <f t="shared" si="5"/>
        <v>6.8233206445519334E-2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67</v>
      </c>
      <c r="E20" s="105">
        <f t="shared" si="0"/>
        <v>2</v>
      </c>
      <c r="F20" s="106">
        <f t="shared" si="4"/>
        <v>92.77</v>
      </c>
      <c r="G20" s="107">
        <f>IF(D20=D19,"",_xlfn.IFNA(VLOOKUP(D20,'인원 입력 기능(사과탐)'!$A$177:$D$231,4,FALSE),0))</f>
        <v>283</v>
      </c>
      <c r="H20" s="108">
        <f t="shared" si="1"/>
        <v>8.0998311342625716E-3</v>
      </c>
      <c r="I20" s="118">
        <f>SUM($G$7:G20)</f>
        <v>2667</v>
      </c>
      <c r="J20" s="110">
        <f t="shared" si="5"/>
        <v>7.6333037579781909E-2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66</v>
      </c>
      <c r="E21" s="120">
        <f t="shared" si="0"/>
        <v>2</v>
      </c>
      <c r="F21" s="106">
        <f t="shared" si="4"/>
        <v>91.77</v>
      </c>
      <c r="G21" s="107">
        <f>IF(D21=D20,"",_xlfn.IFNA(VLOOKUP(D21,'인원 입력 기능(사과탐)'!$A$177:$D$231,4,FALSE),0))</f>
        <v>416</v>
      </c>
      <c r="H21" s="108">
        <f t="shared" si="1"/>
        <v>1.1906465554251696E-2</v>
      </c>
      <c r="I21" s="118">
        <f>SUM($G$7:G21)</f>
        <v>3083</v>
      </c>
      <c r="J21" s="110">
        <f t="shared" si="5"/>
        <v>8.8239503134033601E-2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65</v>
      </c>
      <c r="E22" s="120">
        <f t="shared" si="0"/>
        <v>2</v>
      </c>
      <c r="F22" s="106">
        <f t="shared" si="4"/>
        <v>90.7</v>
      </c>
      <c r="G22" s="107">
        <f>IF(D22=D21,"",_xlfn.IFNA(VLOOKUP(D22,'인원 입력 기능(사과탐)'!$A$177:$D$231,4,FALSE),0))</f>
        <v>336</v>
      </c>
      <c r="H22" s="108">
        <f t="shared" si="1"/>
        <v>9.6167606399725231E-3</v>
      </c>
      <c r="I22" s="118">
        <f>SUM($G$7:G22)</f>
        <v>3419</v>
      </c>
      <c r="J22" s="110">
        <f t="shared" si="5"/>
        <v>9.7856263774006122E-2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64</v>
      </c>
      <c r="E23" s="120">
        <f t="shared" si="0"/>
        <v>2</v>
      </c>
      <c r="F23" s="106">
        <f t="shared" si="4"/>
        <v>89.62</v>
      </c>
      <c r="G23" s="107">
        <f>IF(D23=D22,"",_xlfn.IFNA(VLOOKUP(D23,'인원 입력 기능(사과탐)'!$A$177:$D$231,4,FALSE),0))</f>
        <v>418</v>
      </c>
      <c r="H23" s="108">
        <f t="shared" si="1"/>
        <v>1.1963708177108675E-2</v>
      </c>
      <c r="I23" s="118">
        <f>SUM($G$7:G23)</f>
        <v>3837</v>
      </c>
      <c r="J23" s="110">
        <f t="shared" si="5"/>
        <v>0.1098199719511148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63</v>
      </c>
      <c r="E24" s="120">
        <f t="shared" si="0"/>
        <v>2</v>
      </c>
      <c r="F24" s="106">
        <f t="shared" si="4"/>
        <v>88.38</v>
      </c>
      <c r="G24" s="107">
        <f>IF(D24=D23,"",_xlfn.IFNA(VLOOKUP(D24,'인원 입력 기능(사과탐)'!$A$177:$D$231,4,FALSE),0))</f>
        <v>448</v>
      </c>
      <c r="H24" s="108">
        <f t="shared" si="1"/>
        <v>1.2822347519963365E-2</v>
      </c>
      <c r="I24" s="118">
        <f>SUM($G$7:G24)</f>
        <v>4285</v>
      </c>
      <c r="J24" s="110">
        <f t="shared" si="5"/>
        <v>0.12264231947107816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62</v>
      </c>
      <c r="E25" s="120">
        <f t="shared" si="0"/>
        <v>3</v>
      </c>
      <c r="F25" s="106">
        <f t="shared" si="4"/>
        <v>87.15</v>
      </c>
      <c r="G25" s="107">
        <f>IF(D25=D24,"",_xlfn.IFNA(VLOOKUP(D25,'인원 입력 기능(사과탐)'!$A$177:$D$231,4,FALSE),0))</f>
        <v>411</v>
      </c>
      <c r="H25" s="108">
        <f t="shared" si="1"/>
        <v>1.1763358997109247E-2</v>
      </c>
      <c r="I25" s="118">
        <f>SUM($G$7:G25)</f>
        <v>4696</v>
      </c>
      <c r="J25" s="110">
        <f t="shared" si="5"/>
        <v>0.13440567846818741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61</v>
      </c>
      <c r="E26" s="120">
        <f t="shared" si="0"/>
        <v>3</v>
      </c>
      <c r="F26" s="106">
        <f t="shared" si="4"/>
        <v>85.72</v>
      </c>
      <c r="G26" s="107">
        <f>IF(D26=D25,"",_xlfn.IFNA(VLOOKUP(D26,'인원 입력 기능(사과탐)'!$A$177:$D$231,4,FALSE),0))</f>
        <v>586</v>
      </c>
      <c r="H26" s="108">
        <f t="shared" si="1"/>
        <v>1.6772088497094936E-2</v>
      </c>
      <c r="I26" s="118">
        <f>SUM($G$7:G26)</f>
        <v>5282</v>
      </c>
      <c r="J26" s="110">
        <f t="shared" si="5"/>
        <v>0.15117776696528235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60</v>
      </c>
      <c r="E27" s="120">
        <f t="shared" si="0"/>
        <v>3</v>
      </c>
      <c r="F27" s="106">
        <f t="shared" si="4"/>
        <v>84.12</v>
      </c>
      <c r="G27" s="107">
        <f>IF(D27=D26,"",_xlfn.IFNA(VLOOKUP(D27,'인원 입력 기능(사과탐)'!$A$177:$D$231,4,FALSE),0))</f>
        <v>536</v>
      </c>
      <c r="H27" s="108">
        <f t="shared" si="1"/>
        <v>1.5341022925670455E-2</v>
      </c>
      <c r="I27" s="118">
        <f>SUM($G$7:G27)</f>
        <v>5818</v>
      </c>
      <c r="J27" s="110">
        <f t="shared" si="5"/>
        <v>0.16651878989095281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59</v>
      </c>
      <c r="E28" s="120">
        <f t="shared" si="0"/>
        <v>3</v>
      </c>
      <c r="F28" s="106">
        <f t="shared" si="4"/>
        <v>82.52</v>
      </c>
      <c r="G28" s="107">
        <f>IF(D28=D27,"",_xlfn.IFNA(VLOOKUP(D28,'인원 입력 기능(사과탐)'!$A$177:$D$231,4,FALSE),0))</f>
        <v>579</v>
      </c>
      <c r="H28" s="108">
        <f t="shared" si="1"/>
        <v>1.6571739317095508E-2</v>
      </c>
      <c r="I28" s="118">
        <f>SUM($G$7:G28)</f>
        <v>6397</v>
      </c>
      <c r="J28" s="110">
        <f t="shared" si="5"/>
        <v>0.1830905292080483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58</v>
      </c>
      <c r="E29" s="120">
        <f t="shared" si="0"/>
        <v>3</v>
      </c>
      <c r="F29" s="106">
        <f t="shared" si="4"/>
        <v>80.73</v>
      </c>
      <c r="G29" s="107">
        <f>IF(D29=D28,"",_xlfn.IFNA(VLOOKUP(D29,'인원 입력 기능(사과탐)'!$A$177:$D$231,4,FALSE),0))</f>
        <v>674</v>
      </c>
      <c r="H29" s="108">
        <f t="shared" si="1"/>
        <v>1.9290763902802027E-2</v>
      </c>
      <c r="I29" s="118">
        <f>SUM($G$7:G29)</f>
        <v>7071</v>
      </c>
      <c r="J29" s="110">
        <f t="shared" si="5"/>
        <v>0.20238129311085035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57</v>
      </c>
      <c r="E30" s="120">
        <f t="shared" si="0"/>
        <v>3</v>
      </c>
      <c r="F30" s="106">
        <f t="shared" si="4"/>
        <v>78.81</v>
      </c>
      <c r="G30" s="107">
        <f>IF(D30=D29,"",_xlfn.IFNA(VLOOKUP(D30,'인원 입력 기능(사과탐)'!$A$177:$D$231,4,FALSE),0))</f>
        <v>666</v>
      </c>
      <c r="H30" s="108">
        <f t="shared" si="1"/>
        <v>1.9061793411374109E-2</v>
      </c>
      <c r="I30" s="118">
        <f>SUM($G$7:G30)</f>
        <v>7737</v>
      </c>
      <c r="J30" s="110">
        <f t="shared" si="5"/>
        <v>0.22144308652222444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56</v>
      </c>
      <c r="E31" s="120">
        <f t="shared" si="0"/>
        <v>3</v>
      </c>
      <c r="F31" s="106">
        <f t="shared" si="4"/>
        <v>76.69</v>
      </c>
      <c r="G31" s="107">
        <f>IF(D31=D30,"",_xlfn.IFNA(VLOOKUP(D31,'인원 입력 기능(사과탐)'!$A$177:$D$231,4,FALSE),0))</f>
        <v>816</v>
      </c>
      <c r="H31" s="108">
        <f t="shared" si="1"/>
        <v>2.3354990125647557E-2</v>
      </c>
      <c r="I31" s="118">
        <f>SUM($G$7:G31)</f>
        <v>8553</v>
      </c>
      <c r="J31" s="110">
        <f t="shared" si="5"/>
        <v>0.24479807664787201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3">
        <f t="shared" si="3"/>
        <v>55</v>
      </c>
      <c r="E32" s="123">
        <f t="shared" si="0"/>
        <v>4</v>
      </c>
      <c r="F32" s="124">
        <f t="shared" si="4"/>
        <v>73.11</v>
      </c>
      <c r="G32" s="125">
        <f>IF(D32=D31,"",_xlfn.IFNA(VLOOKUP(D32,'인원 입력 기능(사과탐)'!$A$177:$D$231,4,FALSE),0))</f>
        <v>1682</v>
      </c>
      <c r="H32" s="126">
        <f t="shared" si="1"/>
        <v>4.8141045822719594E-2</v>
      </c>
      <c r="I32" s="144">
        <f>SUM($G$7:G32)</f>
        <v>10235</v>
      </c>
      <c r="J32" s="128">
        <f t="shared" si="5"/>
        <v>0.29293912247059162</v>
      </c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30"/>
      <c r="E33" s="130"/>
      <c r="F33" s="131"/>
      <c r="G33" s="132"/>
      <c r="H33" s="133"/>
      <c r="I33" s="145"/>
      <c r="J33" s="135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54</v>
      </c>
      <c r="E34" s="120">
        <f t="shared" si="0"/>
        <v>4</v>
      </c>
      <c r="F34" s="106">
        <f t="shared" si="4"/>
        <v>69.33</v>
      </c>
      <c r="G34" s="107">
        <f>IF(D34=D33,"",_xlfn.IFNA(VLOOKUP(D34,'인원 입력 기능(사과탐)'!$A$177:$D$231,4,FALSE),0))</f>
        <v>960</v>
      </c>
      <c r="H34" s="108">
        <f t="shared" si="1"/>
        <v>2.7476458971350069E-2</v>
      </c>
      <c r="I34" s="118">
        <f>SUM($G$7:G34)</f>
        <v>11195</v>
      </c>
      <c r="J34" s="110">
        <f t="shared" si="5"/>
        <v>0.32041558144194165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53</v>
      </c>
      <c r="E35" s="120">
        <f t="shared" si="0"/>
        <v>4</v>
      </c>
      <c r="F35" s="106">
        <f t="shared" si="4"/>
        <v>66.48</v>
      </c>
      <c r="G35" s="107">
        <f>IF(D35=D34,"",_xlfn.IFNA(VLOOKUP(D35,'인원 입력 기능(사과탐)'!$A$177:$D$231,4,FALSE),0))</f>
        <v>1032</v>
      </c>
      <c r="H35" s="108">
        <f t="shared" si="1"/>
        <v>2.9537193394201321E-2</v>
      </c>
      <c r="I35" s="118">
        <f>SUM($G$7:G35)</f>
        <v>12227</v>
      </c>
      <c r="J35" s="110">
        <f t="shared" si="5"/>
        <v>0.34995277483614301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52</v>
      </c>
      <c r="E36" s="120">
        <f t="shared" si="0"/>
        <v>4</v>
      </c>
      <c r="F36" s="106">
        <f t="shared" si="4"/>
        <v>63.35</v>
      </c>
      <c r="G36" s="107">
        <f>IF(D36=D35,"",_xlfn.IFNA(VLOOKUP(D36,'인원 입력 기능(사과탐)'!$A$177:$D$231,4,FALSE),0))</f>
        <v>1156</v>
      </c>
      <c r="H36" s="108">
        <f t="shared" si="1"/>
        <v>3.3086236011334036E-2</v>
      </c>
      <c r="I36" s="118">
        <f>SUM($G$7:G36)</f>
        <v>13383</v>
      </c>
      <c r="J36" s="110">
        <f t="shared" si="5"/>
        <v>0.38303901084747705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51</v>
      </c>
      <c r="E37" s="120">
        <f t="shared" si="0"/>
        <v>4</v>
      </c>
      <c r="F37" s="106">
        <f t="shared" si="4"/>
        <v>59.93</v>
      </c>
      <c r="G37" s="107">
        <f>IF(D37=D36,"",_xlfn.IFNA(VLOOKUP(D37,'인원 입력 기능(사과탐)'!$A$177:$D$231,4,FALSE),0))</f>
        <v>1231</v>
      </c>
      <c r="H37" s="108">
        <f t="shared" si="1"/>
        <v>3.5232834368470765E-2</v>
      </c>
      <c r="I37" s="118">
        <f>SUM($G$7:G37)</f>
        <v>14614</v>
      </c>
      <c r="J37" s="110">
        <f t="shared" si="5"/>
        <v>0.41827184521594779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50</v>
      </c>
      <c r="E38" s="120">
        <f t="shared" si="0"/>
        <v>5</v>
      </c>
      <c r="F38" s="106">
        <f t="shared" si="4"/>
        <v>56.32</v>
      </c>
      <c r="G38" s="107">
        <f>IF(D38=D37,"",_xlfn.IFNA(VLOOKUP(D38,'인원 입력 기능(사과탐)'!$A$177:$D$231,4,FALSE),0))</f>
        <v>1295</v>
      </c>
      <c r="H38" s="108">
        <f t="shared" si="1"/>
        <v>3.70645982998941E-2</v>
      </c>
      <c r="I38" s="118">
        <f>SUM($G$7:G38)</f>
        <v>15909</v>
      </c>
      <c r="J38" s="110">
        <f t="shared" si="5"/>
        <v>0.4553364435158419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49</v>
      </c>
      <c r="E39" s="120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06">
        <f t="shared" si="4"/>
        <v>52.54</v>
      </c>
      <c r="G39" s="107">
        <f>IF(D39=D38,"",_xlfn.IFNA(VLOOKUP(D39,'인원 입력 기능(사과탐)'!$A$177:$D$231,4,FALSE),0))</f>
        <v>1344</v>
      </c>
      <c r="H39" s="108">
        <f t="shared" si="1"/>
        <v>3.8467042559890093E-2</v>
      </c>
      <c r="I39" s="118">
        <f>SUM($G$7:G39)</f>
        <v>17253</v>
      </c>
      <c r="J39" s="110">
        <f t="shared" si="5"/>
        <v>0.49380348607573199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48</v>
      </c>
      <c r="E40" s="120">
        <f t="shared" si="7"/>
        <v>5</v>
      </c>
      <c r="F40" s="106">
        <f t="shared" si="4"/>
        <v>48.54</v>
      </c>
      <c r="G40" s="107">
        <f>IF(D40=D39,"",_xlfn.IFNA(VLOOKUP(D40,'인원 입력 기능(사과탐)'!$A$177:$D$231,4,FALSE),0))</f>
        <v>1452</v>
      </c>
      <c r="H40" s="108">
        <f t="shared" si="1"/>
        <v>4.1558144194166979E-2</v>
      </c>
      <c r="I40" s="118">
        <f>SUM($G$7:G40)</f>
        <v>18705</v>
      </c>
      <c r="J40" s="110">
        <f t="shared" si="5"/>
        <v>0.53536163026989891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47</v>
      </c>
      <c r="E41" s="120">
        <f t="shared" si="7"/>
        <v>5</v>
      </c>
      <c r="F41" s="106">
        <f t="shared" si="4"/>
        <v>44.33</v>
      </c>
      <c r="G41" s="107">
        <f>IF(D41=D40,"",_xlfn.IFNA(VLOOKUP(D41,'인원 입력 기능(사과탐)'!$A$177:$D$231,4,FALSE),0))</f>
        <v>1491</v>
      </c>
      <c r="H41" s="108">
        <f t="shared" si="1"/>
        <v>4.2674375339878071E-2</v>
      </c>
      <c r="I41" s="118">
        <f>SUM($G$7:G41)</f>
        <v>20196</v>
      </c>
      <c r="J41" s="110">
        <f t="shared" si="5"/>
        <v>0.57803600560977708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46</v>
      </c>
      <c r="E42" s="120">
        <f t="shared" si="7"/>
        <v>5</v>
      </c>
      <c r="F42" s="106">
        <f t="shared" si="4"/>
        <v>40.07</v>
      </c>
      <c r="G42" s="107">
        <f>IF(D42=D41,"",_xlfn.IFNA(VLOOKUP(D42,'인원 입력 기능(사과탐)'!$A$177:$D$231,4,FALSE),0))</f>
        <v>1487</v>
      </c>
      <c r="H42" s="108">
        <f t="shared" si="1"/>
        <v>4.2559890094164117E-2</v>
      </c>
      <c r="I42" s="118">
        <f>SUM($G$7:G42)</f>
        <v>21683</v>
      </c>
      <c r="J42" s="110">
        <f t="shared" si="5"/>
        <v>0.62059589570394114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45</v>
      </c>
      <c r="E43" s="120">
        <f t="shared" si="7"/>
        <v>6</v>
      </c>
      <c r="F43" s="106">
        <f t="shared" si="4"/>
        <v>35.69</v>
      </c>
      <c r="G43" s="107">
        <f>IF(D43=D42,"",_xlfn.IFNA(VLOOKUP(D43,'인원 입력 기능(사과탐)'!$A$177:$D$231,4,FALSE),0))</f>
        <v>1575</v>
      </c>
      <c r="H43" s="108">
        <f t="shared" si="1"/>
        <v>4.5078565499871201E-2</v>
      </c>
      <c r="I43" s="118">
        <f>SUM($G$7:G43)</f>
        <v>23258</v>
      </c>
      <c r="J43" s="110">
        <f t="shared" si="5"/>
        <v>0.66567446120381235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44</v>
      </c>
      <c r="E44" s="120">
        <f t="shared" si="7"/>
        <v>6</v>
      </c>
      <c r="F44" s="106">
        <f t="shared" si="4"/>
        <v>31.36</v>
      </c>
      <c r="G44" s="107">
        <f>IF(D44=D43,"",_xlfn.IFNA(VLOOKUP(D44,'인원 입력 기능(사과탐)'!$A$177:$D$231,4,FALSE),0))</f>
        <v>1451</v>
      </c>
      <c r="H44" s="108">
        <f t="shared" si="1"/>
        <v>4.1529522882738486E-2</v>
      </c>
      <c r="I44" s="118">
        <f>SUM($G$7:G44)</f>
        <v>24709</v>
      </c>
      <c r="J44" s="110">
        <f t="shared" si="5"/>
        <v>0.70720398408655083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43</v>
      </c>
      <c r="E45" s="120">
        <f t="shared" si="7"/>
        <v>6</v>
      </c>
      <c r="F45" s="106">
        <f t="shared" si="4"/>
        <v>26.69</v>
      </c>
      <c r="G45" s="107">
        <f>IF(D45=D44,"",_xlfn.IFNA(VLOOKUP(D45,'인원 입력 기능(사과탐)'!$A$177:$D$231,4,FALSE),0))</f>
        <v>1810</v>
      </c>
      <c r="H45" s="108">
        <f t="shared" si="1"/>
        <v>5.180457368556627E-2</v>
      </c>
      <c r="I45" s="118">
        <f>SUM($G$7:G45)</f>
        <v>26519</v>
      </c>
      <c r="J45" s="110">
        <f t="shared" si="5"/>
        <v>0.75900855777211707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42</v>
      </c>
      <c r="E46" s="120">
        <f t="shared" si="7"/>
        <v>6</v>
      </c>
      <c r="F46" s="106">
        <f t="shared" si="4"/>
        <v>21.95</v>
      </c>
      <c r="G46" s="107">
        <f>IF(D46=D45,"",_xlfn.IFNA(VLOOKUP(D46,'인원 입력 기능(사과탐)'!$A$177:$D$231,4,FALSE),0))</f>
        <v>1503</v>
      </c>
      <c r="H46" s="108">
        <f t="shared" si="1"/>
        <v>4.3017831077019952E-2</v>
      </c>
      <c r="I46" s="118">
        <f>SUM($G$7:G46)</f>
        <v>28022</v>
      </c>
      <c r="J46" s="110">
        <f t="shared" si="5"/>
        <v>0.80202638884913702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41</v>
      </c>
      <c r="E47" s="120">
        <f t="shared" si="7"/>
        <v>7</v>
      </c>
      <c r="F47" s="106">
        <f t="shared" si="4"/>
        <v>18.25</v>
      </c>
      <c r="G47" s="107">
        <f>IF(D47=D46,"",_xlfn.IFNA(VLOOKUP(D47,'인원 입력 기능(사과탐)'!$A$177:$D$231,4,FALSE),0))</f>
        <v>1082</v>
      </c>
      <c r="H47" s="108">
        <f t="shared" si="1"/>
        <v>3.0968258965625804E-2</v>
      </c>
      <c r="I47" s="118">
        <f>SUM($G$7:G47)</f>
        <v>29104</v>
      </c>
      <c r="J47" s="110">
        <f t="shared" si="5"/>
        <v>0.83299464781476285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40</v>
      </c>
      <c r="E48" s="120">
        <f t="shared" si="7"/>
        <v>7</v>
      </c>
      <c r="F48" s="106">
        <f t="shared" si="4"/>
        <v>12.72</v>
      </c>
      <c r="G48" s="107">
        <f>IF(D48=D47,"",_xlfn.IFNA(VLOOKUP(D48,'인원 입력 기능(사과탐)'!$A$177:$D$231,4,FALSE),0))</f>
        <v>2784</v>
      </c>
      <c r="H48" s="108">
        <f t="shared" si="1"/>
        <v>7.9681731016915197E-2</v>
      </c>
      <c r="I48" s="118">
        <f>SUM($G$7:G48)</f>
        <v>31888</v>
      </c>
      <c r="J48" s="110">
        <f t="shared" si="5"/>
        <v>0.91267637883167807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39</v>
      </c>
      <c r="E49" s="120">
        <f t="shared" si="7"/>
        <v>8</v>
      </c>
      <c r="F49" s="106">
        <f t="shared" si="4"/>
        <v>7.51</v>
      </c>
      <c r="G49" s="107">
        <f>IF(D49=D48,"",_xlfn.IFNA(VLOOKUP(D49,'인원 입력 기능(사과탐)'!$A$177:$D$231,4,FALSE),0))</f>
        <v>854</v>
      </c>
      <c r="H49" s="108">
        <f t="shared" si="1"/>
        <v>2.4442599959930165E-2</v>
      </c>
      <c r="I49" s="118">
        <f>SUM($G$7:G49)</f>
        <v>32742</v>
      </c>
      <c r="J49" s="110">
        <f t="shared" si="5"/>
        <v>0.93711897879160821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38</v>
      </c>
      <c r="E50" s="120">
        <f t="shared" si="7"/>
        <v>8</v>
      </c>
      <c r="F50" s="106">
        <f t="shared" si="4"/>
        <v>5.13</v>
      </c>
      <c r="G50" s="107">
        <f>IF(D50=D49,"",_xlfn.IFNA(VLOOKUP(D50,'인원 입력 기능(사과탐)'!$A$177:$D$231,4,FALSE),0))</f>
        <v>809</v>
      </c>
      <c r="H50" s="108">
        <f t="shared" si="1"/>
        <v>2.315464094564813E-2</v>
      </c>
      <c r="I50" s="118">
        <f>SUM($G$7:G50)</f>
        <v>33551</v>
      </c>
      <c r="J50" s="110">
        <f t="shared" si="5"/>
        <v>0.96027361973725633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37</v>
      </c>
      <c r="E51" s="120">
        <f t="shared" si="7"/>
        <v>9</v>
      </c>
      <c r="F51" s="106">
        <f t="shared" si="4"/>
        <v>3.34</v>
      </c>
      <c r="G51" s="107">
        <f>IF(D51=D50,"",_xlfn.IFNA(VLOOKUP(D51,'인원 입력 기능(사과탐)'!$A$177:$D$231,4,FALSE),0))</f>
        <v>440</v>
      </c>
      <c r="H51" s="108">
        <f t="shared" si="1"/>
        <v>1.2593377028535448E-2</v>
      </c>
      <c r="I51" s="118">
        <f>SUM($G$7:G51)</f>
        <v>33991</v>
      </c>
      <c r="J51" s="110">
        <f t="shared" si="5"/>
        <v>0.9728669967657918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36</v>
      </c>
      <c r="E52" s="120">
        <f t="shared" si="7"/>
        <v>9</v>
      </c>
      <c r="F52" s="106">
        <f t="shared" si="4"/>
        <v>2.1800000000000002</v>
      </c>
      <c r="G52" s="107">
        <f>IF(D52=D51,"",_xlfn.IFNA(VLOOKUP(D52,'인원 입력 기능(사과탐)'!$A$177:$D$231,4,FALSE),0))</f>
        <v>376</v>
      </c>
      <c r="H52" s="108">
        <f t="shared" si="1"/>
        <v>1.076161309711211E-2</v>
      </c>
      <c r="I52" s="118">
        <f>SUM($G$7:G52)</f>
        <v>34367</v>
      </c>
      <c r="J52" s="110">
        <f t="shared" si="5"/>
        <v>0.9836286098629039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73">
        <v>4</v>
      </c>
      <c r="D53" s="105">
        <f t="shared" si="3"/>
        <v>35</v>
      </c>
      <c r="E53" s="105">
        <f t="shared" si="7"/>
        <v>9</v>
      </c>
      <c r="F53" s="106">
        <f t="shared" si="4"/>
        <v>1.2</v>
      </c>
      <c r="G53" s="107">
        <f>IF(D53=D52,"",_xlfn.IFNA(VLOOKUP(D53,'인원 입력 기능(사과탐)'!$A$177:$D$231,4,FALSE),0))</f>
        <v>307</v>
      </c>
      <c r="H53" s="108">
        <f t="shared" si="1"/>
        <v>8.7867426085463229E-3</v>
      </c>
      <c r="I53" s="118">
        <f>SUM($G$7:G53)</f>
        <v>34674</v>
      </c>
      <c r="J53" s="110">
        <f t="shared" si="5"/>
        <v>0.9924153524714503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34</v>
      </c>
      <c r="E54" s="105">
        <f t="shared" si="7"/>
        <v>9</v>
      </c>
      <c r="F54" s="106">
        <f t="shared" si="4"/>
        <v>0.65</v>
      </c>
      <c r="G54" s="107">
        <f>IF(D54=D53,"",_xlfn.IFNA(VLOOKUP(D54,'인원 입력 기능(사과탐)'!$A$177:$D$231,4,FALSE),0))</f>
        <v>74</v>
      </c>
      <c r="H54" s="108">
        <f t="shared" si="1"/>
        <v>2.1179770457082346E-3</v>
      </c>
      <c r="I54" s="118">
        <f>SUM($G$7:G54)</f>
        <v>34748</v>
      </c>
      <c r="J54" s="110">
        <f t="shared" si="5"/>
        <v>0.99453332951715845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33</v>
      </c>
      <c r="E55" s="105">
        <f t="shared" si="7"/>
        <v>9</v>
      </c>
      <c r="F55" s="106">
        <f t="shared" si="4"/>
        <v>0.33</v>
      </c>
      <c r="G55" s="107">
        <f>IF(D55=D54,"",_xlfn.IFNA(VLOOKUP(D55,'인원 입력 기능(사과탐)'!$A$177:$D$231,4,FALSE),0))</f>
        <v>150</v>
      </c>
      <c r="H55" s="108">
        <f t="shared" si="1"/>
        <v>4.2931967142734477E-3</v>
      </c>
      <c r="I55" s="118">
        <f>SUM($G$7:G55)</f>
        <v>34898</v>
      </c>
      <c r="J55" s="110">
        <f t="shared" si="5"/>
        <v>0.99882652623143198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31</v>
      </c>
      <c r="E57" s="176">
        <f t="shared" si="7"/>
        <v>9</v>
      </c>
      <c r="F57" s="139">
        <f>IF(I55=0,ROUND(100*(1-(I54+I57)/2/$J$3),2),ROUND(100*(1-(I55+I57)/2/$J$3),2))</f>
        <v>0.06</v>
      </c>
      <c r="G57" s="177">
        <f>_xlfn.IFNA(VLOOKUP(D57,'인원 입력 기능(사과탐)'!$A$177:$D$231,4,FALSE),0)</f>
        <v>41</v>
      </c>
      <c r="H57" s="141">
        <f>G57/$J$3</f>
        <v>1.1734737685680757E-3</v>
      </c>
      <c r="I57" s="142">
        <f>SUM($G$7:G57)</f>
        <v>34939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9">
    <mergeCell ref="G32:G33"/>
    <mergeCell ref="H32:H33"/>
    <mergeCell ref="I32:I33"/>
    <mergeCell ref="J32:J33"/>
    <mergeCell ref="D3:F3"/>
    <mergeCell ref="D4:F4"/>
    <mergeCell ref="D32:D33"/>
    <mergeCell ref="E32:E33"/>
    <mergeCell ref="F32:F33"/>
  </mergeCells>
  <phoneticPr fontId="1" type="noConversion"/>
  <conditionalFormatting sqref="D7:G32 I7:J32 D34:G57 I34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32 D34:D57">
    <cfRule type="expression" dxfId="13" priority="2">
      <formula>$D7=$D8</formula>
    </cfRule>
  </conditionalFormatting>
  <conditionalFormatting sqref="H7:H32 H34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기능'!D18</f>
        <v>17.15</v>
      </c>
      <c r="I3" s="21" t="s">
        <v>107</v>
      </c>
      <c r="J3" s="93">
        <f>'통계 및 응시자 수 입력 기능'!C18</f>
        <v>49563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131</v>
      </c>
      <c r="E4" s="96"/>
      <c r="F4" s="97"/>
      <c r="G4" s="98" t="s">
        <v>110</v>
      </c>
      <c r="H4" s="99" t="str">
        <f>'통계 및 응시자 수 입력 기능'!E18</f>
        <v xml:space="preserve"> 8.61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88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99.95</v>
      </c>
      <c r="G7" s="107">
        <f>_xlfn.IFNA(VLOOKUP(D7,'인원 입력 기능(사과탐)'!$F$177:$I$231,4,FALSE),0)</f>
        <v>47</v>
      </c>
      <c r="H7" s="108">
        <f>G7/$J$3</f>
        <v>9.4828803744728934E-4</v>
      </c>
      <c r="I7" s="109">
        <f>G7</f>
        <v>47</v>
      </c>
      <c r="J7" s="110">
        <f>I7/$J$3</f>
        <v>9.4828803744728934E-4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71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기능'!C131</f>
        <v>64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86</v>
      </c>
      <c r="E9" s="105">
        <f t="shared" si="0"/>
        <v>1</v>
      </c>
      <c r="F9" s="106">
        <f>IF(I8=0,ROUND(100*(1-(I7+I9)/2/$J$3),2),ROUND(100*(1-(I8+I9)/2/$J$3),2))</f>
        <v>99.9</v>
      </c>
      <c r="G9" s="107">
        <f>_xlfn.IFNA(VLOOKUP(D9,'인원 입력 기능(사과탐)'!$F$177:$I$231,4,FALSE),0)</f>
        <v>10</v>
      </c>
      <c r="H9" s="108">
        <f t="shared" ref="H9:H55" si="1">G9/$J$3</f>
        <v>2.017634122228275E-4</v>
      </c>
      <c r="I9" s="118">
        <f>SUM($G$7:G9)</f>
        <v>57</v>
      </c>
      <c r="J9" s="110">
        <f>I9/$J$3</f>
        <v>1.1500514496701169E-3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57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85</v>
      </c>
      <c r="E10" s="105">
        <f t="shared" si="0"/>
        <v>1</v>
      </c>
      <c r="F10" s="106">
        <f t="shared" ref="F10:F55" si="4">IF(I9=0,ROUND(100*(1-(I8+I10)/2/$J$3),2),ROUND(100*(1-(I9+I10)/2/$J$3),2))</f>
        <v>99.79</v>
      </c>
      <c r="G10" s="107">
        <f>IF(D10=D9,"",_xlfn.IFNA(VLOOKUP(D10,'인원 입력 기능(사과탐)'!$F$177:$I$231,4,FALSE),0))</f>
        <v>99</v>
      </c>
      <c r="H10" s="108">
        <f t="shared" si="1"/>
        <v>1.9974577810059923E-3</v>
      </c>
      <c r="I10" s="118">
        <f>SUM($G$7:G10)</f>
        <v>156</v>
      </c>
      <c r="J10" s="110">
        <f t="shared" ref="J10:J55" si="5">I10/$J$3</f>
        <v>3.147509230676109E-3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51</v>
      </c>
    </row>
    <row r="11" spans="1:17" s="22" customFormat="1" ht="25" customHeight="1" x14ac:dyDescent="0.45">
      <c r="A11" s="20"/>
      <c r="B11" s="35"/>
      <c r="C11" s="104">
        <v>46</v>
      </c>
      <c r="D11" s="105">
        <v>83</v>
      </c>
      <c r="E11" s="105">
        <f t="shared" si="0"/>
        <v>1</v>
      </c>
      <c r="F11" s="106">
        <f t="shared" si="4"/>
        <v>99.68</v>
      </c>
      <c r="G11" s="107">
        <f>IF(D11=D10,"",_xlfn.IFNA(VLOOKUP(D11,'인원 입력 기능(사과탐)'!$F$177:$I$231,4,FALSE),0))</f>
        <v>6</v>
      </c>
      <c r="H11" s="108">
        <f t="shared" si="1"/>
        <v>1.2105804733369651E-4</v>
      </c>
      <c r="I11" s="118">
        <f>SUM($G$7:G11)</f>
        <v>162</v>
      </c>
      <c r="J11" s="110">
        <f t="shared" si="5"/>
        <v>3.2685672780098057E-3</v>
      </c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기능'!C134</f>
        <v>45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82</v>
      </c>
      <c r="E12" s="105">
        <f t="shared" si="0"/>
        <v>1</v>
      </c>
      <c r="F12" s="106">
        <f t="shared" si="4"/>
        <v>99.6</v>
      </c>
      <c r="G12" s="107">
        <f>IF(D12=D11,"",_xlfn.IFNA(VLOOKUP(D12,'인원 입력 기능(사과탐)'!$F$177:$I$231,4,FALSE),0))</f>
        <v>70</v>
      </c>
      <c r="H12" s="108">
        <f t="shared" si="1"/>
        <v>1.4123438855597925E-3</v>
      </c>
      <c r="I12" s="118">
        <f>SUM($G$7:G12)</f>
        <v>232</v>
      </c>
      <c r="J12" s="110">
        <f t="shared" si="5"/>
        <v>4.6809111635695982E-3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43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81</v>
      </c>
      <c r="E13" s="105">
        <f t="shared" si="0"/>
        <v>1</v>
      </c>
      <c r="F13" s="106">
        <f t="shared" si="4"/>
        <v>99.41</v>
      </c>
      <c r="G13" s="107">
        <f>IF(D13=D12,"",_xlfn.IFNA(VLOOKUP(D13,'인원 입력 기능(사과탐)'!$F$177:$I$231,4,FALSE),0))</f>
        <v>123</v>
      </c>
      <c r="H13" s="108">
        <f t="shared" si="1"/>
        <v>2.4816899703407782E-3</v>
      </c>
      <c r="I13" s="118">
        <f>SUM($G$7:G13)</f>
        <v>355</v>
      </c>
      <c r="J13" s="110">
        <f t="shared" si="5"/>
        <v>7.1626011339103769E-3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39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80</v>
      </c>
      <c r="E14" s="105">
        <f t="shared" si="0"/>
        <v>1</v>
      </c>
      <c r="F14" s="106">
        <f t="shared" si="4"/>
        <v>99.24</v>
      </c>
      <c r="G14" s="107">
        <f>IF(D14=D13,"",_xlfn.IFNA(VLOOKUP(D14,'인원 입력 기능(사과탐)'!$F$177:$I$231,4,FALSE),0))</f>
        <v>41</v>
      </c>
      <c r="H14" s="108">
        <f t="shared" si="1"/>
        <v>8.2722999011359275E-4</v>
      </c>
      <c r="I14" s="118">
        <f>SUM($G$7:G14)</f>
        <v>396</v>
      </c>
      <c r="J14" s="110">
        <f t="shared" si="5"/>
        <v>7.9898311240239692E-3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36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3"/>
        <v>79</v>
      </c>
      <c r="E15" s="105">
        <f t="shared" si="0"/>
        <v>1</v>
      </c>
      <c r="F15" s="106">
        <f t="shared" si="4"/>
        <v>99.05</v>
      </c>
      <c r="G15" s="107">
        <f>IF(D15=D14,"",_xlfn.IFNA(VLOOKUP(D15,'인원 입력 기능(사과탐)'!$F$177:$I$231,4,FALSE),0))</f>
        <v>146</v>
      </c>
      <c r="H15" s="108">
        <f t="shared" si="1"/>
        <v>2.9457458184532818E-3</v>
      </c>
      <c r="I15" s="118">
        <f>SUM($G$7:G15)</f>
        <v>542</v>
      </c>
      <c r="J15" s="110">
        <f t="shared" si="5"/>
        <v>1.0935576942477251E-2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3"/>
        <v>78</v>
      </c>
      <c r="E16" s="105">
        <f t="shared" si="0"/>
        <v>1</v>
      </c>
      <c r="F16" s="106">
        <f t="shared" si="4"/>
        <v>98.74</v>
      </c>
      <c r="G16" s="107">
        <f>IF(D16=D15,"",_xlfn.IFNA(VLOOKUP(D16,'인원 입력 기능(사과탐)'!$F$177:$I$231,4,FALSE),0))</f>
        <v>166</v>
      </c>
      <c r="H16" s="108">
        <f t="shared" si="1"/>
        <v>3.3492726428989367E-3</v>
      </c>
      <c r="I16" s="118">
        <f>SUM($G$7:G16)</f>
        <v>708</v>
      </c>
      <c r="J16" s="110">
        <f t="shared" si="5"/>
        <v>1.4284849585376187E-2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77</v>
      </c>
      <c r="E17" s="105">
        <f t="shared" si="0"/>
        <v>1</v>
      </c>
      <c r="F17" s="106">
        <f t="shared" si="4"/>
        <v>98.46</v>
      </c>
      <c r="G17" s="107">
        <f>IF(D17=D16,"",_xlfn.IFNA(VLOOKUP(D17,'인원 입력 기능(사과탐)'!$F$177:$I$231,4,FALSE),0))</f>
        <v>114</v>
      </c>
      <c r="H17" s="108">
        <f t="shared" si="1"/>
        <v>2.3001028993402338E-3</v>
      </c>
      <c r="I17" s="118">
        <f>SUM($G$7:G17)</f>
        <v>822</v>
      </c>
      <c r="J17" s="110">
        <f t="shared" si="5"/>
        <v>1.658495248471642E-2</v>
      </c>
      <c r="K17" s="36"/>
      <c r="L17" s="20" t="str">
        <f t="shared" si="2"/>
        <v/>
      </c>
      <c r="N17" s="24"/>
      <c r="Q17" s="24">
        <f>Q7*H3*H4*J3*IFERROR(IF(J57=1, 1, 0), 0)</f>
        <v>519616831.6394999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75</v>
      </c>
      <c r="E18" s="105">
        <f t="shared" si="0"/>
        <v>1</v>
      </c>
      <c r="F18" s="106">
        <f t="shared" si="4"/>
        <v>98.07</v>
      </c>
      <c r="G18" s="107">
        <f>IF(D18=D17,"",_xlfn.IFNA(VLOOKUP(D18,'인원 입력 기능(사과탐)'!$F$177:$I$231,4,FALSE),0))</f>
        <v>267</v>
      </c>
      <c r="H18" s="108">
        <f t="shared" si="1"/>
        <v>5.3870831063494943E-3</v>
      </c>
      <c r="I18" s="118">
        <f>SUM($G$7:G18)</f>
        <v>1089</v>
      </c>
      <c r="J18" s="110">
        <f t="shared" si="5"/>
        <v>2.1972035591065916E-2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74</v>
      </c>
      <c r="E19" s="105">
        <f t="shared" si="0"/>
        <v>1</v>
      </c>
      <c r="F19" s="106">
        <f t="shared" si="4"/>
        <v>97.57</v>
      </c>
      <c r="G19" s="107">
        <f>IF(D19=D18,"",_xlfn.IFNA(VLOOKUP(D19,'인원 입력 기능(사과탐)'!$F$177:$I$231,4,FALSE),0))</f>
        <v>230</v>
      </c>
      <c r="H19" s="108">
        <f t="shared" si="1"/>
        <v>4.6405584811250325E-3</v>
      </c>
      <c r="I19" s="118">
        <f>SUM($G$7:G19)</f>
        <v>1319</v>
      </c>
      <c r="J19" s="110">
        <f t="shared" si="5"/>
        <v>2.6612594072190947E-2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73</v>
      </c>
      <c r="E20" s="105">
        <f t="shared" si="0"/>
        <v>1</v>
      </c>
      <c r="F20" s="106">
        <f t="shared" si="4"/>
        <v>97.06</v>
      </c>
      <c r="G20" s="107">
        <f>IF(D20=D19,"",_xlfn.IFNA(VLOOKUP(D20,'인원 입력 기능(사과탐)'!$F$177:$I$231,4,FALSE),0))</f>
        <v>276</v>
      </c>
      <c r="H20" s="108">
        <f t="shared" si="1"/>
        <v>5.5686701773500396E-3</v>
      </c>
      <c r="I20" s="118">
        <f>SUM($G$7:G20)</f>
        <v>1595</v>
      </c>
      <c r="J20" s="110">
        <f t="shared" si="5"/>
        <v>3.2181264249540986E-2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72</v>
      </c>
      <c r="E21" s="120">
        <f t="shared" si="0"/>
        <v>1</v>
      </c>
      <c r="F21" s="106">
        <f t="shared" si="4"/>
        <v>96.44</v>
      </c>
      <c r="G21" s="107">
        <f>IF(D21=D20,"",_xlfn.IFNA(VLOOKUP(D21,'인원 입력 기능(사과탐)'!$F$177:$I$231,4,FALSE),0))</f>
        <v>343</v>
      </c>
      <c r="H21" s="108">
        <f t="shared" si="1"/>
        <v>6.9204850392429835E-3</v>
      </c>
      <c r="I21" s="118">
        <f>SUM($G$7:G21)</f>
        <v>1938</v>
      </c>
      <c r="J21" s="110">
        <f t="shared" si="5"/>
        <v>3.9101749288783974E-2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71</v>
      </c>
      <c r="E22" s="120">
        <f t="shared" si="0"/>
        <v>1</v>
      </c>
      <c r="F22" s="106">
        <f t="shared" si="4"/>
        <v>95.75</v>
      </c>
      <c r="G22" s="107">
        <f>IF(D22=D21,"",_xlfn.IFNA(VLOOKUP(D22,'인원 입력 기능(사과탐)'!$F$177:$I$231,4,FALSE),0))</f>
        <v>340</v>
      </c>
      <c r="H22" s="108">
        <f t="shared" si="1"/>
        <v>6.8599560155761354E-3</v>
      </c>
      <c r="I22" s="118">
        <f>SUM($G$7:G22)</f>
        <v>2278</v>
      </c>
      <c r="J22" s="110">
        <f t="shared" si="5"/>
        <v>4.5961705304360105E-2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70</v>
      </c>
      <c r="E23" s="120">
        <f t="shared" si="0"/>
        <v>2</v>
      </c>
      <c r="F23" s="106">
        <f t="shared" si="4"/>
        <v>94.97</v>
      </c>
      <c r="G23" s="107">
        <f>IF(D23=D22,"",_xlfn.IFNA(VLOOKUP(D23,'인원 입력 기능(사과탐)'!$F$177:$I$231,4,FALSE),0))</f>
        <v>427</v>
      </c>
      <c r="H23" s="108">
        <f t="shared" si="1"/>
        <v>8.6152977019147356E-3</v>
      </c>
      <c r="I23" s="118">
        <f>SUM($G$7:G23)</f>
        <v>2705</v>
      </c>
      <c r="J23" s="110">
        <f t="shared" si="5"/>
        <v>5.4577003006274841E-2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68</v>
      </c>
      <c r="E24" s="120">
        <f t="shared" si="0"/>
        <v>2</v>
      </c>
      <c r="F24" s="106">
        <f t="shared" si="4"/>
        <v>94.1</v>
      </c>
      <c r="G24" s="107">
        <f>IF(D24=D23,"",_xlfn.IFNA(VLOOKUP(D24,'인원 입력 기능(사과탐)'!$F$177:$I$231,4,FALSE),0))</f>
        <v>437</v>
      </c>
      <c r="H24" s="108">
        <f t="shared" si="1"/>
        <v>8.8170611141375616E-3</v>
      </c>
      <c r="I24" s="118">
        <f>SUM($G$7:G24)</f>
        <v>3142</v>
      </c>
      <c r="J24" s="110">
        <f t="shared" si="5"/>
        <v>6.3394064120412402E-2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67</v>
      </c>
      <c r="E25" s="120">
        <f t="shared" si="0"/>
        <v>2</v>
      </c>
      <c r="F25" s="106">
        <f t="shared" si="4"/>
        <v>93.13</v>
      </c>
      <c r="G25" s="107">
        <f>IF(D25=D24,"",_xlfn.IFNA(VLOOKUP(D25,'인원 입력 기능(사과탐)'!$F$177:$I$231,4,FALSE),0))</f>
        <v>525</v>
      </c>
      <c r="H25" s="108">
        <f t="shared" si="1"/>
        <v>1.0592579141698444E-2</v>
      </c>
      <c r="I25" s="118">
        <f>SUM($G$7:G25)</f>
        <v>3667</v>
      </c>
      <c r="J25" s="110">
        <f t="shared" si="5"/>
        <v>7.3986643262110852E-2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66</v>
      </c>
      <c r="E26" s="120">
        <f t="shared" si="0"/>
        <v>2</v>
      </c>
      <c r="F26" s="106">
        <f t="shared" si="4"/>
        <v>91.96</v>
      </c>
      <c r="G26" s="107">
        <f>IF(D26=D25,"",_xlfn.IFNA(VLOOKUP(D26,'인원 입력 기능(사과탐)'!$F$177:$I$231,4,FALSE),0))</f>
        <v>640</v>
      </c>
      <c r="H26" s="108">
        <f t="shared" si="1"/>
        <v>1.291285838226096E-2</v>
      </c>
      <c r="I26" s="118">
        <f>SUM($G$7:G26)</f>
        <v>4307</v>
      </c>
      <c r="J26" s="110">
        <f t="shared" si="5"/>
        <v>8.689950164437181E-2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3"/>
        <v>65</v>
      </c>
      <c r="E27" s="120">
        <f t="shared" si="0"/>
        <v>2</v>
      </c>
      <c r="F27" s="106">
        <f t="shared" si="4"/>
        <v>90.67</v>
      </c>
      <c r="G27" s="107">
        <f>IF(D27=D26,"",_xlfn.IFNA(VLOOKUP(D27,'인원 입력 기능(사과탐)'!$F$177:$I$231,4,FALSE),0))</f>
        <v>632</v>
      </c>
      <c r="H27" s="108">
        <f t="shared" si="1"/>
        <v>1.2751447652482699E-2</v>
      </c>
      <c r="I27" s="118">
        <f>SUM($G$7:G27)</f>
        <v>4939</v>
      </c>
      <c r="J27" s="110">
        <f t="shared" si="5"/>
        <v>9.9650949296854502E-2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3"/>
        <v>64</v>
      </c>
      <c r="E28" s="120">
        <f t="shared" si="0"/>
        <v>2</v>
      </c>
      <c r="F28" s="106">
        <f t="shared" si="4"/>
        <v>89.27</v>
      </c>
      <c r="G28" s="107">
        <f>IF(D28=D27,"",_xlfn.IFNA(VLOOKUP(D28,'인원 입력 기능(사과탐)'!$F$177:$I$231,4,FALSE),0))</f>
        <v>762</v>
      </c>
      <c r="H28" s="108">
        <f t="shared" si="1"/>
        <v>1.5374372011379457E-2</v>
      </c>
      <c r="I28" s="118">
        <f>SUM($G$7:G28)</f>
        <v>5701</v>
      </c>
      <c r="J28" s="110">
        <f t="shared" si="5"/>
        <v>0.11502532130823397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63</v>
      </c>
      <c r="E29" s="120">
        <f t="shared" si="0"/>
        <v>3</v>
      </c>
      <c r="F29" s="106">
        <f t="shared" si="4"/>
        <v>87.71</v>
      </c>
      <c r="G29" s="107">
        <f>IF(D29=D28,"",_xlfn.IFNA(VLOOKUP(D29,'인원 입력 기능(사과탐)'!$F$177:$I$231,4,FALSE),0))</f>
        <v>785</v>
      </c>
      <c r="H29" s="108">
        <f t="shared" si="1"/>
        <v>1.5838427859491959E-2</v>
      </c>
      <c r="I29" s="118">
        <f>SUM($G$7:G29)</f>
        <v>6486</v>
      </c>
      <c r="J29" s="110">
        <f t="shared" si="5"/>
        <v>0.13086374916772592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61</v>
      </c>
      <c r="E30" s="120">
        <f t="shared" si="0"/>
        <v>3</v>
      </c>
      <c r="F30" s="106">
        <f t="shared" si="4"/>
        <v>86.1</v>
      </c>
      <c r="G30" s="107">
        <f>IF(D30=D29,"",_xlfn.IFNA(VLOOKUP(D30,'인원 입력 기능(사과탐)'!$F$177:$I$231,4,FALSE),0))</f>
        <v>808</v>
      </c>
      <c r="H30" s="108">
        <f t="shared" si="1"/>
        <v>1.6302483707604464E-2</v>
      </c>
      <c r="I30" s="118">
        <f>SUM($G$7:G30)</f>
        <v>7294</v>
      </c>
      <c r="J30" s="110">
        <f t="shared" si="5"/>
        <v>0.1471662328753304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60</v>
      </c>
      <c r="E31" s="120">
        <f t="shared" si="0"/>
        <v>3</v>
      </c>
      <c r="F31" s="106">
        <f t="shared" si="4"/>
        <v>84.29</v>
      </c>
      <c r="G31" s="107">
        <f>IF(D31=D30,"",_xlfn.IFNA(VLOOKUP(D31,'인원 입력 기능(사과탐)'!$F$177:$I$231,4,FALSE),0))</f>
        <v>983</v>
      </c>
      <c r="H31" s="108">
        <f t="shared" si="1"/>
        <v>1.9833343421503946E-2</v>
      </c>
      <c r="I31" s="118">
        <f>SUM($G$7:G31)</f>
        <v>8277</v>
      </c>
      <c r="J31" s="110">
        <f t="shared" si="5"/>
        <v>0.16699957629683435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59</v>
      </c>
      <c r="E32" s="120">
        <f t="shared" si="0"/>
        <v>3</v>
      </c>
      <c r="F32" s="106">
        <f t="shared" si="4"/>
        <v>82.34</v>
      </c>
      <c r="G32" s="107">
        <f>IF(D32=D31,"",_xlfn.IFNA(VLOOKUP(D32,'인원 입력 기능(사과탐)'!$F$177:$I$231,4,FALSE),0))</f>
        <v>954</v>
      </c>
      <c r="H32" s="108">
        <f t="shared" si="1"/>
        <v>1.9248229526057745E-2</v>
      </c>
      <c r="I32" s="118">
        <f>SUM($G$7:G32)</f>
        <v>9231</v>
      </c>
      <c r="J32" s="110">
        <f t="shared" si="5"/>
        <v>0.18624780582289208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58</v>
      </c>
      <c r="E33" s="120">
        <f t="shared" si="0"/>
        <v>3</v>
      </c>
      <c r="F33" s="106">
        <f t="shared" si="4"/>
        <v>80.180000000000007</v>
      </c>
      <c r="G33" s="107">
        <f>IF(D33=D32,"",_xlfn.IFNA(VLOOKUP(D33,'인원 입력 기능(사과탐)'!$F$177:$I$231,4,FALSE),0))</f>
        <v>1184</v>
      </c>
      <c r="H33" s="108">
        <f t="shared" si="1"/>
        <v>2.3888788007182776E-2</v>
      </c>
      <c r="I33" s="118">
        <f>SUM($G$7:G33)</f>
        <v>10415</v>
      </c>
      <c r="J33" s="110">
        <f t="shared" si="5"/>
        <v>0.21013659383007485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57</v>
      </c>
      <c r="E34" s="120">
        <f t="shared" si="0"/>
        <v>3</v>
      </c>
      <c r="F34" s="106">
        <f t="shared" si="4"/>
        <v>77.62</v>
      </c>
      <c r="G34" s="107">
        <f>IF(D34=D33,"",_xlfn.IFNA(VLOOKUP(D34,'인원 입력 기능(사과탐)'!$F$177:$I$231,4,FALSE),0))</f>
        <v>1356</v>
      </c>
      <c r="H34" s="108">
        <f t="shared" si="1"/>
        <v>2.7359118697415412E-2</v>
      </c>
      <c r="I34" s="118">
        <f>SUM($G$7:G34)</f>
        <v>11771</v>
      </c>
      <c r="J34" s="110">
        <f t="shared" si="5"/>
        <v>0.23749571252749027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56</v>
      </c>
      <c r="E35" s="120">
        <f t="shared" si="0"/>
        <v>4</v>
      </c>
      <c r="F35" s="106">
        <f t="shared" si="4"/>
        <v>74.83</v>
      </c>
      <c r="G35" s="107">
        <f>IF(D35=D34,"",_xlfn.IFNA(VLOOKUP(D35,'인원 입력 기능(사과탐)'!$F$177:$I$231,4,FALSE),0))</f>
        <v>1411</v>
      </c>
      <c r="H35" s="108">
        <f t="shared" si="1"/>
        <v>2.8468817464640962E-2</v>
      </c>
      <c r="I35" s="118">
        <f>SUM($G$7:G35)</f>
        <v>13182</v>
      </c>
      <c r="J35" s="110">
        <f t="shared" si="5"/>
        <v>0.26596452999213122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54</v>
      </c>
      <c r="E36" s="120">
        <f t="shared" si="0"/>
        <v>4</v>
      </c>
      <c r="F36" s="106">
        <f t="shared" si="4"/>
        <v>71.91</v>
      </c>
      <c r="G36" s="107">
        <f>IF(D36=D35,"",_xlfn.IFNA(VLOOKUP(D36,'인원 입력 기능(사과탐)'!$F$177:$I$231,4,FALSE),0))</f>
        <v>1478</v>
      </c>
      <c r="H36" s="108">
        <f t="shared" si="1"/>
        <v>2.9820632326533907E-2</v>
      </c>
      <c r="I36" s="118">
        <f>SUM($G$7:G36)</f>
        <v>14660</v>
      </c>
      <c r="J36" s="110">
        <f t="shared" si="5"/>
        <v>0.29578516231866514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53</v>
      </c>
      <c r="E37" s="120">
        <f t="shared" si="0"/>
        <v>4</v>
      </c>
      <c r="F37" s="106">
        <f t="shared" si="4"/>
        <v>68.7</v>
      </c>
      <c r="G37" s="107">
        <f>IF(D37=D36,"",_xlfn.IFNA(VLOOKUP(D37,'인원 입력 기능(사과탐)'!$F$177:$I$231,4,FALSE),0))</f>
        <v>1708</v>
      </c>
      <c r="H37" s="108">
        <f t="shared" si="1"/>
        <v>3.4461190807658942E-2</v>
      </c>
      <c r="I37" s="118">
        <f>SUM($G$7:G37)</f>
        <v>16368</v>
      </c>
      <c r="J37" s="110">
        <f t="shared" si="5"/>
        <v>0.33024635312632405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52</v>
      </c>
      <c r="E38" s="120">
        <f t="shared" si="0"/>
        <v>4</v>
      </c>
      <c r="F38" s="106">
        <f t="shared" si="4"/>
        <v>65.17</v>
      </c>
      <c r="G38" s="107">
        <f>IF(D38=D37,"",_xlfn.IFNA(VLOOKUP(D38,'인원 입력 기능(사과탐)'!$F$177:$I$231,4,FALSE),0))</f>
        <v>1786</v>
      </c>
      <c r="H38" s="108">
        <f t="shared" si="1"/>
        <v>3.603494542299699E-2</v>
      </c>
      <c r="I38" s="118">
        <f>SUM($G$7:G38)</f>
        <v>18154</v>
      </c>
      <c r="J38" s="110">
        <f t="shared" si="5"/>
        <v>0.36628129854932107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51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106">
        <f t="shared" si="4"/>
        <v>61.36</v>
      </c>
      <c r="G39" s="107">
        <f>IF(D39=D38,"",_xlfn.IFNA(VLOOKUP(D39,'인원 입력 기능(사과탐)'!$F$177:$I$231,4,FALSE),0))</f>
        <v>1997</v>
      </c>
      <c r="H39" s="108">
        <f t="shared" si="1"/>
        <v>4.0292153420898653E-2</v>
      </c>
      <c r="I39" s="118">
        <f>SUM($G$7:G39)</f>
        <v>20151</v>
      </c>
      <c r="J39" s="110">
        <f t="shared" si="5"/>
        <v>0.40657345197021971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3"/>
        <v>50</v>
      </c>
      <c r="E40" s="120">
        <f t="shared" si="6"/>
        <v>5</v>
      </c>
      <c r="F40" s="106">
        <f t="shared" si="4"/>
        <v>57.15</v>
      </c>
      <c r="G40" s="107">
        <f>IF(D40=D39,"",_xlfn.IFNA(VLOOKUP(D40,'인원 입력 기능(사과탐)'!$F$177:$I$231,4,FALSE),0))</f>
        <v>2171</v>
      </c>
      <c r="H40" s="108">
        <f t="shared" si="1"/>
        <v>4.3802836793575856E-2</v>
      </c>
      <c r="I40" s="118">
        <f>SUM($G$7:G40)</f>
        <v>22322</v>
      </c>
      <c r="J40" s="110">
        <f t="shared" si="5"/>
        <v>0.4503762887637956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3"/>
        <v>49</v>
      </c>
      <c r="E41" s="120">
        <f t="shared" si="6"/>
        <v>5</v>
      </c>
      <c r="F41" s="106">
        <f t="shared" si="4"/>
        <v>52.68</v>
      </c>
      <c r="G41" s="107">
        <f>IF(D41=D40,"",_xlfn.IFNA(VLOOKUP(D41,'인원 입력 기능(사과탐)'!$F$177:$I$231,4,FALSE),0))</f>
        <v>2264</v>
      </c>
      <c r="H41" s="108">
        <f t="shared" si="1"/>
        <v>4.5679236527248146E-2</v>
      </c>
      <c r="I41" s="118">
        <f>SUM($G$7:G41)</f>
        <v>24586</v>
      </c>
      <c r="J41" s="110">
        <f t="shared" si="5"/>
        <v>0.49605552529104374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v>47</v>
      </c>
      <c r="E42" s="120">
        <f t="shared" si="6"/>
        <v>5</v>
      </c>
      <c r="F42" s="106">
        <f t="shared" si="4"/>
        <v>47.95</v>
      </c>
      <c r="G42" s="107">
        <f>IF(D42=D41,"",_xlfn.IFNA(VLOOKUP(D42,'인원 입력 기능(사과탐)'!$F$177:$I$231,4,FALSE),0))</f>
        <v>2419</v>
      </c>
      <c r="H42" s="108">
        <f t="shared" si="1"/>
        <v>4.8806569416701973E-2</v>
      </c>
      <c r="I42" s="118">
        <f>SUM($G$7:G42)</f>
        <v>27005</v>
      </c>
      <c r="J42" s="110">
        <f t="shared" si="5"/>
        <v>0.54486209470774571</v>
      </c>
      <c r="K42" s="36"/>
      <c r="L42" s="20" t="str">
        <f t="shared" si="2"/>
        <v>경고</v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46</v>
      </c>
      <c r="E43" s="120">
        <f t="shared" si="6"/>
        <v>5</v>
      </c>
      <c r="F43" s="106">
        <f t="shared" si="4"/>
        <v>43.05</v>
      </c>
      <c r="G43" s="107">
        <f>IF(D43=D42,"",_xlfn.IFNA(VLOOKUP(D43,'인원 입력 기능(사과탐)'!$F$177:$I$231,4,FALSE),0))</f>
        <v>2444</v>
      </c>
      <c r="H43" s="108">
        <f t="shared" si="1"/>
        <v>4.9310977947259041E-2</v>
      </c>
      <c r="I43" s="118">
        <f>SUM($G$7:G43)</f>
        <v>29449</v>
      </c>
      <c r="J43" s="110">
        <f t="shared" si="5"/>
        <v>0.59417307265500474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45</v>
      </c>
      <c r="E44" s="120">
        <f t="shared" si="6"/>
        <v>5</v>
      </c>
      <c r="F44" s="106">
        <f t="shared" si="4"/>
        <v>36.82</v>
      </c>
      <c r="G44" s="107">
        <f>IF(D44=D43,"",_xlfn.IFNA(VLOOKUP(D44,'인원 입력 기능(사과탐)'!$F$177:$I$231,4,FALSE),0))</f>
        <v>3733</v>
      </c>
      <c r="H44" s="108">
        <f t="shared" si="1"/>
        <v>7.5318281782781507E-2</v>
      </c>
      <c r="I44" s="118">
        <f>SUM($G$7:G44)</f>
        <v>33182</v>
      </c>
      <c r="J44" s="110">
        <f t="shared" si="5"/>
        <v>0.66949135443778629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44</v>
      </c>
      <c r="E45" s="120">
        <f t="shared" si="6"/>
        <v>6</v>
      </c>
      <c r="F45" s="106">
        <f t="shared" si="4"/>
        <v>30.28</v>
      </c>
      <c r="G45" s="107">
        <f>IF(D45=D44,"",_xlfn.IFNA(VLOOKUP(D45,'인원 입력 기능(사과탐)'!$F$177:$I$231,4,FALSE),0))</f>
        <v>2746</v>
      </c>
      <c r="H45" s="108">
        <f t="shared" si="1"/>
        <v>5.5404232996388435E-2</v>
      </c>
      <c r="I45" s="118">
        <f>SUM($G$7:G45)</f>
        <v>35928</v>
      </c>
      <c r="J45" s="110">
        <f t="shared" si="5"/>
        <v>0.7248955874341747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43</v>
      </c>
      <c r="E46" s="120">
        <f t="shared" si="6"/>
        <v>6</v>
      </c>
      <c r="F46" s="106">
        <f t="shared" si="4"/>
        <v>24.91</v>
      </c>
      <c r="G46" s="107">
        <f>IF(D46=D45,"",_xlfn.IFNA(VLOOKUP(D46,'인원 입력 기능(사과탐)'!$F$177:$I$231,4,FALSE),0))</f>
        <v>2577</v>
      </c>
      <c r="H46" s="108">
        <f t="shared" si="1"/>
        <v>5.1994431329822649E-2</v>
      </c>
      <c r="I46" s="118">
        <f>SUM($G$7:G46)</f>
        <v>38505</v>
      </c>
      <c r="J46" s="110">
        <f t="shared" si="5"/>
        <v>0.77689001876399733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42</v>
      </c>
      <c r="E47" s="120">
        <f t="shared" si="6"/>
        <v>7</v>
      </c>
      <c r="F47" s="106">
        <f t="shared" si="4"/>
        <v>20.11</v>
      </c>
      <c r="G47" s="107">
        <f>IF(D47=D46,"",_xlfn.IFNA(VLOOKUP(D47,'인원 입력 기능(사과탐)'!$F$177:$I$231,4,FALSE),0))</f>
        <v>2181</v>
      </c>
      <c r="H47" s="108">
        <f t="shared" si="1"/>
        <v>4.4004600205798682E-2</v>
      </c>
      <c r="I47" s="118">
        <f>SUM($G$7:G47)</f>
        <v>40686</v>
      </c>
      <c r="J47" s="110">
        <f t="shared" si="5"/>
        <v>0.82089461896979599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41</v>
      </c>
      <c r="E48" s="120">
        <f t="shared" si="6"/>
        <v>7</v>
      </c>
      <c r="F48" s="106">
        <f t="shared" si="4"/>
        <v>15.75</v>
      </c>
      <c r="G48" s="107">
        <f>IF(D48=D47,"",_xlfn.IFNA(VLOOKUP(D48,'인원 입력 기능(사과탐)'!$F$177:$I$231,4,FALSE),0))</f>
        <v>2143</v>
      </c>
      <c r="H48" s="108">
        <f t="shared" si="1"/>
        <v>4.3237899239351937E-2</v>
      </c>
      <c r="I48" s="118">
        <f>SUM($G$7:G48)</f>
        <v>42829</v>
      </c>
      <c r="J48" s="110">
        <f t="shared" si="5"/>
        <v>0.86413251820914794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39</v>
      </c>
      <c r="E49" s="120">
        <f t="shared" si="6"/>
        <v>7</v>
      </c>
      <c r="F49" s="106">
        <f t="shared" si="4"/>
        <v>12</v>
      </c>
      <c r="G49" s="107">
        <f>IF(D49=D48,"",_xlfn.IFNA(VLOOKUP(D49,'인원 입력 기능(사과탐)'!$F$177:$I$231,4,FALSE),0))</f>
        <v>1571</v>
      </c>
      <c r="H49" s="108">
        <f t="shared" si="1"/>
        <v>3.1697032060206201E-2</v>
      </c>
      <c r="I49" s="118">
        <f>SUM($G$7:G49)</f>
        <v>44400</v>
      </c>
      <c r="J49" s="110">
        <f t="shared" si="5"/>
        <v>0.89582955026935418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38</v>
      </c>
      <c r="E50" s="120">
        <f t="shared" si="6"/>
        <v>8</v>
      </c>
      <c r="F50" s="106">
        <f t="shared" si="4"/>
        <v>8.24</v>
      </c>
      <c r="G50" s="107">
        <f>IF(D50=D49,"",_xlfn.IFNA(VLOOKUP(D50,'인원 입력 기능(사과탐)'!$F$177:$I$231,4,FALSE),0))</f>
        <v>2157</v>
      </c>
      <c r="H50" s="108">
        <f t="shared" si="1"/>
        <v>4.3520368016463896E-2</v>
      </c>
      <c r="I50" s="118">
        <f>SUM($G$7:G50)</f>
        <v>46557</v>
      </c>
      <c r="J50" s="110">
        <f t="shared" si="5"/>
        <v>0.93934991828581804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37</v>
      </c>
      <c r="E51" s="120">
        <f t="shared" si="6"/>
        <v>8</v>
      </c>
      <c r="F51" s="106">
        <f t="shared" si="4"/>
        <v>5.19</v>
      </c>
      <c r="G51" s="107">
        <f>IF(D51=D50,"",_xlfn.IFNA(VLOOKUP(D51,'인원 입력 기능(사과탐)'!$F$177:$I$231,4,FALSE),0))</f>
        <v>871</v>
      </c>
      <c r="H51" s="108">
        <f t="shared" si="1"/>
        <v>1.7573593204608277E-2</v>
      </c>
      <c r="I51" s="118">
        <f>SUM($G$7:G51)</f>
        <v>47428</v>
      </c>
      <c r="J51" s="110">
        <f t="shared" si="5"/>
        <v>0.95692351149042632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3"/>
        <v>36</v>
      </c>
      <c r="E52" s="120">
        <f t="shared" si="6"/>
        <v>8</v>
      </c>
      <c r="F52" s="106">
        <f t="shared" si="4"/>
        <v>3.47</v>
      </c>
      <c r="G52" s="107">
        <f>IF(D52=D51,"",_xlfn.IFNA(VLOOKUP(D52,'인원 입력 기능(사과탐)'!$F$177:$I$231,4,FALSE),0))</f>
        <v>826</v>
      </c>
      <c r="H52" s="108">
        <f t="shared" si="1"/>
        <v>1.6665657849605553E-2</v>
      </c>
      <c r="I52" s="118">
        <f>SUM($G$7:G52)</f>
        <v>48254</v>
      </c>
      <c r="J52" s="110">
        <f t="shared" si="5"/>
        <v>0.97358916934003192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3"/>
        <v>35</v>
      </c>
      <c r="E53" s="105">
        <f t="shared" si="6"/>
        <v>9</v>
      </c>
      <c r="F53" s="106">
        <f t="shared" si="4"/>
        <v>2.04</v>
      </c>
      <c r="G53" s="107">
        <f>IF(D53=D52,"",_xlfn.IFNA(VLOOKUP(D53,'인원 입력 기능(사과탐)'!$F$177:$I$231,4,FALSE),0))</f>
        <v>596</v>
      </c>
      <c r="H53" s="108">
        <f t="shared" si="1"/>
        <v>1.202509936848052E-2</v>
      </c>
      <c r="I53" s="118">
        <f>SUM($G$7:G53)</f>
        <v>48850</v>
      </c>
      <c r="J53" s="110">
        <f t="shared" si="5"/>
        <v>0.98561426870851243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34</v>
      </c>
      <c r="E54" s="105">
        <f t="shared" si="6"/>
        <v>9</v>
      </c>
      <c r="F54" s="106">
        <f t="shared" si="4"/>
        <v>1.18</v>
      </c>
      <c r="G54" s="107">
        <f>IF(D54=D53,"",_xlfn.IFNA(VLOOKUP(D54,'인원 입력 기능(사과탐)'!$F$177:$I$231,4,FALSE),0))</f>
        <v>258</v>
      </c>
      <c r="H54" s="108">
        <f t="shared" si="1"/>
        <v>5.2054960353489499E-3</v>
      </c>
      <c r="I54" s="118">
        <f>SUM($G$7:G54)</f>
        <v>49108</v>
      </c>
      <c r="J54" s="110">
        <f t="shared" si="5"/>
        <v>0.99081976474386135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32</v>
      </c>
      <c r="E55" s="105">
        <f t="shared" si="6"/>
        <v>9</v>
      </c>
      <c r="F55" s="106">
        <f t="shared" si="4"/>
        <v>0.56000000000000005</v>
      </c>
      <c r="G55" s="107">
        <f>IF(D55=D54,"",_xlfn.IFNA(VLOOKUP(D55,'인원 입력 기능(사과탐)'!$F$177:$I$231,4,FALSE),0))</f>
        <v>358</v>
      </c>
      <c r="H55" s="108">
        <f t="shared" si="1"/>
        <v>7.2231301575772251E-3</v>
      </c>
      <c r="I55" s="118">
        <f>SUM($G$7:G55)</f>
        <v>49466</v>
      </c>
      <c r="J55" s="110">
        <f t="shared" si="5"/>
        <v>0.9980428949014386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30</v>
      </c>
      <c r="E57" s="176">
        <f t="shared" si="6"/>
        <v>9</v>
      </c>
      <c r="F57" s="139">
        <f>IF(I55=0,ROUND(100*(1-(I54+I57)/2/$J$3),2),ROUND(100*(1-(I55+I57)/2/$J$3),2))</f>
        <v>0.1</v>
      </c>
      <c r="G57" s="177">
        <f>_xlfn.IFNA(VLOOKUP(D57,'인원 입력 기능(사과탐)'!$F$177:$I$231,4,FALSE),0)</f>
        <v>97</v>
      </c>
      <c r="H57" s="141">
        <f>G57/$J$3</f>
        <v>1.957105098561427E-3</v>
      </c>
      <c r="I57" s="142">
        <f>SUM($G$7:G57)</f>
        <v>49563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57">
    <cfRule type="expression" dxfId="9" priority="2">
      <formula>$D7=$D8</formula>
    </cfRule>
  </conditionalFormatting>
  <conditionalFormatting sqref="H7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기능'!D19</f>
        <v>23.00</v>
      </c>
      <c r="I3" s="21" t="s">
        <v>107</v>
      </c>
      <c r="J3" s="93">
        <f>'통계 및 응시자 수 입력 기능'!C19</f>
        <v>75175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130</v>
      </c>
      <c r="E4" s="96"/>
      <c r="F4" s="97"/>
      <c r="G4" s="98" t="s">
        <v>110</v>
      </c>
      <c r="H4" s="99" t="str">
        <f>'통계 및 응시자 수 입력 기능'!E19</f>
        <v>10.88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75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99.72</v>
      </c>
      <c r="G7" s="107">
        <f>_xlfn.IFNA(VLOOKUP(D7,'인원 입력 기능(사과탐)'!$K$177:$N$231,4,FALSE),0)</f>
        <v>426</v>
      </c>
      <c r="H7" s="108">
        <f>G7/$J$3</f>
        <v>5.6667775191220487E-3</v>
      </c>
      <c r="I7" s="109">
        <f>G7</f>
        <v>426</v>
      </c>
      <c r="J7" s="110">
        <f>I7/$J$3</f>
        <v>5.6667775191220487E-3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69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기능'!C140</f>
        <v>64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73</v>
      </c>
      <c r="E9" s="105">
        <f t="shared" si="0"/>
        <v>1</v>
      </c>
      <c r="F9" s="106">
        <f>IF(I8=0,ROUND(100*(1-(I7+I9)/2/$J$3),2),ROUND(100*(1-(I8+I9)/2/$J$3),2))</f>
        <v>99</v>
      </c>
      <c r="G9" s="107">
        <f>_xlfn.IFNA(VLOOKUP(D9,'인원 입력 기능(사과탐)'!$K$177:$N$231,4,FALSE),0)</f>
        <v>645</v>
      </c>
      <c r="H9" s="108">
        <f t="shared" ref="H9:H55" si="1">G9/$J$3</f>
        <v>8.5799800465580309E-3</v>
      </c>
      <c r="I9" s="118">
        <f>SUM($G$7:G9)</f>
        <v>1071</v>
      </c>
      <c r="J9" s="110">
        <f>I9/$J$3</f>
        <v>1.424675756568008E-2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57</v>
      </c>
    </row>
    <row r="10" spans="1:17" s="22" customFormat="1" ht="25" customHeight="1" x14ac:dyDescent="0.45">
      <c r="A10" s="20"/>
      <c r="B10" s="35"/>
      <c r="C10" s="111">
        <v>47</v>
      </c>
      <c r="D10" s="105">
        <f t="shared" ref="D10:D55" si="3">ROUND(10*(C10-$H$3)/$H$4+50,0)</f>
        <v>72</v>
      </c>
      <c r="E10" s="105">
        <f t="shared" si="0"/>
        <v>1</v>
      </c>
      <c r="F10" s="106">
        <f t="shared" ref="F10:F55" si="4">IF(I9=0,ROUND(100*(1-(I8+I10)/2/$J$3),2),ROUND(100*(1-(I9+I10)/2/$J$3),2))</f>
        <v>98.28</v>
      </c>
      <c r="G10" s="107">
        <f>IF(D10=D9,"",_xlfn.IFNA(VLOOKUP(D10,'인원 입력 기능(사과탐)'!$K$177:$N$231,4,FALSE),0))</f>
        <v>437</v>
      </c>
      <c r="H10" s="108">
        <f t="shared" si="1"/>
        <v>5.8131027602261387E-3</v>
      </c>
      <c r="I10" s="118">
        <f>SUM($G$7:G10)</f>
        <v>1508</v>
      </c>
      <c r="J10" s="110">
        <f t="shared" ref="J10:J55" si="5">I10/$J$3</f>
        <v>2.0059860325906217E-2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52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si="3"/>
        <v>71</v>
      </c>
      <c r="E11" s="105">
        <f t="shared" si="0"/>
        <v>1</v>
      </c>
      <c r="F11" s="106">
        <f t="shared" si="4"/>
        <v>97.72</v>
      </c>
      <c r="G11" s="107">
        <f>IF(D11=D10,"",_xlfn.IFNA(VLOOKUP(D11,'인원 입력 기능(사과탐)'!$K$177:$N$231,4,FALSE),0))</f>
        <v>406</v>
      </c>
      <c r="H11" s="108">
        <f t="shared" si="1"/>
        <v>5.4007316262055204E-3</v>
      </c>
      <c r="I11" s="118">
        <f>SUM($G$7:G11)</f>
        <v>1914</v>
      </c>
      <c r="J11" s="110">
        <f t="shared" si="5"/>
        <v>2.5460591952111738E-2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3"/>
        <v>70</v>
      </c>
      <c r="E12" s="105">
        <f t="shared" si="0"/>
        <v>1</v>
      </c>
      <c r="F12" s="106">
        <f t="shared" si="4"/>
        <v>96.75</v>
      </c>
      <c r="G12" s="107">
        <f>IF(D12=D11,"",_xlfn.IFNA(VLOOKUP(D12,'인원 입력 기능(사과탐)'!$K$177:$N$231,4,FALSE),0))</f>
        <v>1058</v>
      </c>
      <c r="H12" s="108">
        <f t="shared" si="1"/>
        <v>1.4073827735284336E-2</v>
      </c>
      <c r="I12" s="118">
        <f>SUM($G$7:G12)</f>
        <v>2972</v>
      </c>
      <c r="J12" s="110">
        <f t="shared" si="5"/>
        <v>3.9534419687396079E-2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42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3"/>
        <v>69</v>
      </c>
      <c r="E13" s="105">
        <f t="shared" si="0"/>
        <v>1</v>
      </c>
      <c r="F13" s="106">
        <f t="shared" si="4"/>
        <v>95.74</v>
      </c>
      <c r="G13" s="107">
        <f>IF(D13=D12,"",_xlfn.IFNA(VLOOKUP(D13,'인원 입력 기능(사과탐)'!$K$177:$N$231,4,FALSE),0))</f>
        <v>456</v>
      </c>
      <c r="H13" s="108">
        <f t="shared" si="1"/>
        <v>6.0658463584968405E-3</v>
      </c>
      <c r="I13" s="118">
        <f>SUM($G$7:G13)</f>
        <v>3428</v>
      </c>
      <c r="J13" s="110">
        <f t="shared" si="5"/>
        <v>4.5600266045892915E-2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3"/>
        <v>68</v>
      </c>
      <c r="E14" s="105">
        <f t="shared" si="0"/>
        <v>2</v>
      </c>
      <c r="F14" s="106">
        <f t="shared" si="4"/>
        <v>94.81</v>
      </c>
      <c r="G14" s="107">
        <f>IF(D14=D13,"",_xlfn.IFNA(VLOOKUP(D14,'인원 입력 기능(사과탐)'!$K$177:$N$231,4,FALSE),0))</f>
        <v>947</v>
      </c>
      <c r="H14" s="108">
        <f t="shared" si="1"/>
        <v>1.2597273029597605E-2</v>
      </c>
      <c r="I14" s="118">
        <f>SUM($G$7:G14)</f>
        <v>4375</v>
      </c>
      <c r="J14" s="110">
        <f t="shared" si="5"/>
        <v>5.8197539075490523E-2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35</v>
      </c>
    </row>
    <row r="15" spans="1:17" s="22" customFormat="1" ht="25" customHeight="1" x14ac:dyDescent="0.45">
      <c r="A15" s="20"/>
      <c r="B15" s="35"/>
      <c r="C15" s="104">
        <v>42</v>
      </c>
      <c r="D15" s="122">
        <f t="shared" si="3"/>
        <v>67</v>
      </c>
      <c r="E15" s="122">
        <f t="shared" si="0"/>
        <v>2</v>
      </c>
      <c r="F15" s="124">
        <f t="shared" si="4"/>
        <v>93.07</v>
      </c>
      <c r="G15" s="125">
        <f>IF(D15=D14,"",_xlfn.IFNA(VLOOKUP(D15,'인원 입력 기능(사과탐)'!$K$177:$N$231,4,FALSE),0))</f>
        <v>1672</v>
      </c>
      <c r="H15" s="126">
        <f t="shared" si="1"/>
        <v>2.2241436647821751E-2</v>
      </c>
      <c r="I15" s="144">
        <f>SUM($G$7:G15)</f>
        <v>6047</v>
      </c>
      <c r="J15" s="128">
        <f t="shared" si="5"/>
        <v>8.0438975723312267E-2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29"/>
      <c r="E16" s="129"/>
      <c r="F16" s="131"/>
      <c r="G16" s="132"/>
      <c r="H16" s="133"/>
      <c r="I16" s="145"/>
      <c r="J16" s="135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3"/>
        <v>66</v>
      </c>
      <c r="E17" s="105">
        <f t="shared" si="0"/>
        <v>2</v>
      </c>
      <c r="F17" s="106">
        <f t="shared" si="4"/>
        <v>91.14</v>
      </c>
      <c r="G17" s="107">
        <f>IF(D17=D16,"",_xlfn.IFNA(VLOOKUP(D17,'인원 입력 기능(사과탐)'!$K$177:$N$231,4,FALSE),0))</f>
        <v>1227</v>
      </c>
      <c r="H17" s="108">
        <f t="shared" si="1"/>
        <v>1.6321915530428999E-2</v>
      </c>
      <c r="I17" s="118">
        <f>SUM($G$7:G17)</f>
        <v>7274</v>
      </c>
      <c r="J17" s="110">
        <f t="shared" si="5"/>
        <v>9.6760891253741266E-2</v>
      </c>
      <c r="K17" s="36"/>
      <c r="L17" s="20" t="str">
        <f t="shared" si="2"/>
        <v/>
      </c>
      <c r="N17" s="24"/>
      <c r="Q17" s="24">
        <f>Q7*H3*H4*J3*IFERROR(IF(J57=1, 1, 0), 0)</f>
        <v>1298013648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3"/>
        <v>65</v>
      </c>
      <c r="E18" s="105">
        <f t="shared" si="0"/>
        <v>2</v>
      </c>
      <c r="F18" s="106">
        <f t="shared" si="4"/>
        <v>89.78</v>
      </c>
      <c r="G18" s="107">
        <f>IF(D18=D17,"",_xlfn.IFNA(VLOOKUP(D18,'인원 입력 기능(사과탐)'!$K$177:$N$231,4,FALSE),0))</f>
        <v>822</v>
      </c>
      <c r="H18" s="108">
        <f t="shared" si="1"/>
        <v>1.0934486198869305E-2</v>
      </c>
      <c r="I18" s="118">
        <f>SUM($G$7:G18)</f>
        <v>8096</v>
      </c>
      <c r="J18" s="110">
        <f t="shared" si="5"/>
        <v>0.10769537745261057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3"/>
        <v>64</v>
      </c>
      <c r="E19" s="105">
        <f t="shared" si="0"/>
        <v>2</v>
      </c>
      <c r="F19" s="106">
        <f t="shared" si="4"/>
        <v>88.5</v>
      </c>
      <c r="G19" s="107">
        <f>IF(D19=D18,"",_xlfn.IFNA(VLOOKUP(D19,'인원 입력 기능(사과탐)'!$K$177:$N$231,4,FALSE),0))</f>
        <v>1094</v>
      </c>
      <c r="H19" s="108">
        <f t="shared" si="1"/>
        <v>1.4552710342534088E-2</v>
      </c>
      <c r="I19" s="118">
        <f>SUM($G$7:G19)</f>
        <v>9190</v>
      </c>
      <c r="J19" s="110">
        <f t="shared" si="5"/>
        <v>0.12224808779514466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3"/>
        <v>63</v>
      </c>
      <c r="E20" s="105">
        <f t="shared" si="0"/>
        <v>3</v>
      </c>
      <c r="F20" s="106">
        <f t="shared" si="4"/>
        <v>86.97</v>
      </c>
      <c r="G20" s="107">
        <f>IF(D20=D19,"",_xlfn.IFNA(VLOOKUP(D20,'인원 입력 기능(사과탐)'!$K$177:$N$231,4,FALSE),0))</f>
        <v>1212</v>
      </c>
      <c r="H20" s="108">
        <f t="shared" si="1"/>
        <v>1.6122381110741602E-2</v>
      </c>
      <c r="I20" s="118">
        <f>SUM($G$7:G20)</f>
        <v>10402</v>
      </c>
      <c r="J20" s="110">
        <f t="shared" si="5"/>
        <v>0.13837046890588628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3"/>
        <v>62</v>
      </c>
      <c r="E21" s="120">
        <f t="shared" si="0"/>
        <v>3</v>
      </c>
      <c r="F21" s="106">
        <f t="shared" si="4"/>
        <v>85.45</v>
      </c>
      <c r="G21" s="107">
        <f>IF(D21=D20,"",_xlfn.IFNA(VLOOKUP(D21,'인원 입력 기능(사과탐)'!$K$177:$N$231,4,FALSE),0))</f>
        <v>1076</v>
      </c>
      <c r="H21" s="108">
        <f t="shared" si="1"/>
        <v>1.4313269038909213E-2</v>
      </c>
      <c r="I21" s="118">
        <f>SUM($G$7:G21)</f>
        <v>11478</v>
      </c>
      <c r="J21" s="110">
        <f t="shared" si="5"/>
        <v>0.15268373794479548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3"/>
        <v>61</v>
      </c>
      <c r="E22" s="120">
        <f t="shared" si="0"/>
        <v>3</v>
      </c>
      <c r="F22" s="106">
        <f t="shared" si="4"/>
        <v>83.8</v>
      </c>
      <c r="G22" s="107">
        <f>IF(D22=D21,"",_xlfn.IFNA(VLOOKUP(D22,'인원 입력 기능(사과탐)'!$K$177:$N$231,4,FALSE),0))</f>
        <v>1398</v>
      </c>
      <c r="H22" s="108">
        <f t="shared" si="1"/>
        <v>1.8596607914865313E-2</v>
      </c>
      <c r="I22" s="118">
        <f>SUM($G$7:G22)</f>
        <v>12876</v>
      </c>
      <c r="J22" s="110">
        <f t="shared" si="5"/>
        <v>0.17128034585966079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3"/>
        <v>60</v>
      </c>
      <c r="E23" s="120">
        <f t="shared" si="0"/>
        <v>3</v>
      </c>
      <c r="F23" s="106">
        <f t="shared" si="4"/>
        <v>81.99</v>
      </c>
      <c r="G23" s="107">
        <f>IF(D23=D22,"",_xlfn.IFNA(VLOOKUP(D23,'인원 입력 기능(사과탐)'!$K$177:$N$231,4,FALSE),0))</f>
        <v>1328</v>
      </c>
      <c r="H23" s="108">
        <f t="shared" si="1"/>
        <v>1.7665447289657465E-2</v>
      </c>
      <c r="I23" s="118">
        <f>SUM($G$7:G23)</f>
        <v>14204</v>
      </c>
      <c r="J23" s="110">
        <f t="shared" si="5"/>
        <v>0.18894579314931825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3"/>
        <v>59</v>
      </c>
      <c r="E24" s="120">
        <f t="shared" si="0"/>
        <v>3</v>
      </c>
      <c r="F24" s="106">
        <f t="shared" si="4"/>
        <v>80.17</v>
      </c>
      <c r="G24" s="107">
        <f>IF(D24=D23,"",_xlfn.IFNA(VLOOKUP(D24,'인원 입력 기능(사과탐)'!$K$177:$N$231,4,FALSE),0))</f>
        <v>1411</v>
      </c>
      <c r="H24" s="108">
        <f t="shared" si="1"/>
        <v>1.8769537745261057E-2</v>
      </c>
      <c r="I24" s="118">
        <f>SUM($G$7:G24)</f>
        <v>15615</v>
      </c>
      <c r="J24" s="110">
        <f t="shared" si="5"/>
        <v>0.2077153308945793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3"/>
        <v>58</v>
      </c>
      <c r="E25" s="120">
        <f t="shared" si="0"/>
        <v>3</v>
      </c>
      <c r="F25" s="106">
        <f t="shared" si="4"/>
        <v>78.19</v>
      </c>
      <c r="G25" s="107">
        <f>IF(D25=D24,"",_xlfn.IFNA(VLOOKUP(D25,'인원 입력 기능(사과탐)'!$K$177:$N$231,4,FALSE),0))</f>
        <v>1557</v>
      </c>
      <c r="H25" s="108">
        <f t="shared" si="1"/>
        <v>2.0711672763551712E-2</v>
      </c>
      <c r="I25" s="118">
        <f>SUM($G$7:G25)</f>
        <v>17172</v>
      </c>
      <c r="J25" s="110">
        <f t="shared" si="5"/>
        <v>0.22842700365813104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3"/>
        <v>57</v>
      </c>
      <c r="E26" s="120">
        <f t="shared" si="0"/>
        <v>3</v>
      </c>
      <c r="F26" s="106">
        <f t="shared" si="4"/>
        <v>76.17</v>
      </c>
      <c r="G26" s="107">
        <f>IF(D26=D25,"",_xlfn.IFNA(VLOOKUP(D26,'인원 입력 기능(사과탐)'!$K$177:$N$231,4,FALSE),0))</f>
        <v>1485</v>
      </c>
      <c r="H26" s="108">
        <f t="shared" si="1"/>
        <v>1.9753907549052211E-2</v>
      </c>
      <c r="I26" s="118">
        <f>SUM($G$7:G26)</f>
        <v>18657</v>
      </c>
      <c r="J26" s="110">
        <f t="shared" si="5"/>
        <v>0.24818091120718325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3">
        <f t="shared" si="3"/>
        <v>56</v>
      </c>
      <c r="E27" s="123">
        <f t="shared" si="0"/>
        <v>4</v>
      </c>
      <c r="F27" s="124">
        <f t="shared" si="4"/>
        <v>72.75</v>
      </c>
      <c r="G27" s="125">
        <f>IF(D27=D26,"",_xlfn.IFNA(VLOOKUP(D27,'인원 입력 기능(사과탐)'!$K$177:$N$231,4,FALSE),0))</f>
        <v>3660</v>
      </c>
      <c r="H27" s="126">
        <f t="shared" si="1"/>
        <v>4.8686398403724643E-2</v>
      </c>
      <c r="I27" s="144">
        <f>SUM($G$7:G27)</f>
        <v>22317</v>
      </c>
      <c r="J27" s="128">
        <f t="shared" si="5"/>
        <v>0.2968673096109079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30"/>
      <c r="E28" s="130"/>
      <c r="F28" s="131"/>
      <c r="G28" s="132"/>
      <c r="H28" s="133"/>
      <c r="I28" s="145"/>
      <c r="J28" s="135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3"/>
        <v>55</v>
      </c>
      <c r="E29" s="120">
        <f t="shared" si="0"/>
        <v>4</v>
      </c>
      <c r="F29" s="106">
        <f t="shared" si="4"/>
        <v>68.959999999999994</v>
      </c>
      <c r="G29" s="107">
        <f>IF(D29=D28,"",_xlfn.IFNA(VLOOKUP(D29,'인원 입력 기능(사과탐)'!$K$177:$N$231,4,FALSE),0))</f>
        <v>2029</v>
      </c>
      <c r="H29" s="108">
        <f t="shared" si="1"/>
        <v>2.6990355836381777E-2</v>
      </c>
      <c r="I29" s="118">
        <f>SUM($G$7:G29)</f>
        <v>24346</v>
      </c>
      <c r="J29" s="110">
        <f t="shared" si="5"/>
        <v>0.32385766544728967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3"/>
        <v>54</v>
      </c>
      <c r="E30" s="120">
        <f t="shared" si="0"/>
        <v>4</v>
      </c>
      <c r="F30" s="106">
        <f t="shared" si="4"/>
        <v>66.28</v>
      </c>
      <c r="G30" s="107">
        <f>IF(D30=D29,"",_xlfn.IFNA(VLOOKUP(D30,'인원 입력 기능(사과탐)'!$K$177:$N$231,4,FALSE),0))</f>
        <v>2010</v>
      </c>
      <c r="H30" s="108">
        <f t="shared" si="1"/>
        <v>2.6737612238111073E-2</v>
      </c>
      <c r="I30" s="118">
        <f>SUM($G$7:G30)</f>
        <v>26356</v>
      </c>
      <c r="J30" s="110">
        <f t="shared" si="5"/>
        <v>0.35059527768540072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3"/>
        <v>53</v>
      </c>
      <c r="E31" s="120">
        <f t="shared" si="0"/>
        <v>4</v>
      </c>
      <c r="F31" s="106">
        <f t="shared" si="4"/>
        <v>63.61</v>
      </c>
      <c r="G31" s="107">
        <f>IF(D31=D30,"",_xlfn.IFNA(VLOOKUP(D31,'인원 입력 기능(사과탐)'!$K$177:$N$231,4,FALSE),0))</f>
        <v>2000</v>
      </c>
      <c r="H31" s="108">
        <f t="shared" si="1"/>
        <v>2.6604589291652811E-2</v>
      </c>
      <c r="I31" s="118">
        <f>SUM($G$7:G31)</f>
        <v>28356</v>
      </c>
      <c r="J31" s="110">
        <f t="shared" si="5"/>
        <v>0.37719986697705354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3"/>
        <v>52</v>
      </c>
      <c r="E32" s="120">
        <f t="shared" si="0"/>
        <v>4</v>
      </c>
      <c r="F32" s="106">
        <f t="shared" si="4"/>
        <v>60.75</v>
      </c>
      <c r="G32" s="107">
        <f>IF(D32=D31,"",_xlfn.IFNA(VLOOKUP(D32,'인원 입력 기능(사과탐)'!$K$177:$N$231,4,FALSE),0))</f>
        <v>2295</v>
      </c>
      <c r="H32" s="108">
        <f t="shared" si="1"/>
        <v>3.0528766212171599E-2</v>
      </c>
      <c r="I32" s="118">
        <f>SUM($G$7:G32)</f>
        <v>30651</v>
      </c>
      <c r="J32" s="110">
        <f t="shared" si="5"/>
        <v>0.40772863318922514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3"/>
        <v>51</v>
      </c>
      <c r="E33" s="120">
        <f t="shared" si="0"/>
        <v>5</v>
      </c>
      <c r="F33" s="106">
        <f t="shared" si="4"/>
        <v>57.75</v>
      </c>
      <c r="G33" s="107">
        <f>IF(D33=D32,"",_xlfn.IFNA(VLOOKUP(D33,'인원 입력 기능(사과탐)'!$K$177:$N$231,4,FALSE),0))</f>
        <v>2215</v>
      </c>
      <c r="H33" s="108">
        <f t="shared" si="1"/>
        <v>2.9464582640505489E-2</v>
      </c>
      <c r="I33" s="118">
        <f>SUM($G$7:G33)</f>
        <v>32866</v>
      </c>
      <c r="J33" s="110">
        <f t="shared" si="5"/>
        <v>0.43719321582973064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3"/>
        <v>50</v>
      </c>
      <c r="E34" s="120">
        <f t="shared" si="0"/>
        <v>5</v>
      </c>
      <c r="F34" s="106">
        <f t="shared" si="4"/>
        <v>54.68</v>
      </c>
      <c r="G34" s="107">
        <f>IF(D34=D33,"",_xlfn.IFNA(VLOOKUP(D34,'인원 입력 기능(사과탐)'!$K$177:$N$231,4,FALSE),0))</f>
        <v>2406</v>
      </c>
      <c r="H34" s="108">
        <f t="shared" si="1"/>
        <v>3.2005320917858328E-2</v>
      </c>
      <c r="I34" s="118">
        <f>SUM($G$7:G34)</f>
        <v>35272</v>
      </c>
      <c r="J34" s="110">
        <f t="shared" si="5"/>
        <v>0.46919853674758893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3"/>
        <v>49</v>
      </c>
      <c r="E35" s="120">
        <f t="shared" si="0"/>
        <v>5</v>
      </c>
      <c r="F35" s="106">
        <f t="shared" si="4"/>
        <v>51.3</v>
      </c>
      <c r="G35" s="107">
        <f>IF(D35=D34,"",_xlfn.IFNA(VLOOKUP(D35,'인원 입력 기능(사과탐)'!$K$177:$N$231,4,FALSE),0))</f>
        <v>2671</v>
      </c>
      <c r="H35" s="108">
        <f t="shared" si="1"/>
        <v>3.5530428999002328E-2</v>
      </c>
      <c r="I35" s="118">
        <f>SUM($G$7:G35)</f>
        <v>37943</v>
      </c>
      <c r="J35" s="110">
        <f t="shared" si="5"/>
        <v>0.50472896574659132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3"/>
        <v>48</v>
      </c>
      <c r="E36" s="120">
        <f t="shared" si="0"/>
        <v>5</v>
      </c>
      <c r="F36" s="106">
        <f t="shared" si="4"/>
        <v>47.95</v>
      </c>
      <c r="G36" s="107">
        <f>IF(D36=D35,"",_xlfn.IFNA(VLOOKUP(D36,'인원 입력 기능(사과탐)'!$K$177:$N$231,4,FALSE),0))</f>
        <v>2375</v>
      </c>
      <c r="H36" s="108">
        <f t="shared" si="1"/>
        <v>3.1592949783837712E-2</v>
      </c>
      <c r="I36" s="118">
        <f>SUM($G$7:G36)</f>
        <v>40318</v>
      </c>
      <c r="J36" s="110">
        <f t="shared" si="5"/>
        <v>0.53632191553042896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3"/>
        <v>47</v>
      </c>
      <c r="E37" s="120">
        <f t="shared" si="0"/>
        <v>5</v>
      </c>
      <c r="F37" s="106">
        <f t="shared" si="4"/>
        <v>44.53</v>
      </c>
      <c r="G37" s="107">
        <f>IF(D37=D36,"",_xlfn.IFNA(VLOOKUP(D37,'인원 입력 기능(사과탐)'!$K$177:$N$231,4,FALSE),0))</f>
        <v>2756</v>
      </c>
      <c r="H37" s="108">
        <f t="shared" si="1"/>
        <v>3.6661124043897569E-2</v>
      </c>
      <c r="I37" s="118">
        <f>SUM($G$7:G37)</f>
        <v>43074</v>
      </c>
      <c r="J37" s="110">
        <f t="shared" si="5"/>
        <v>0.57298303957432661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3"/>
        <v>46</v>
      </c>
      <c r="E38" s="120">
        <f t="shared" si="0"/>
        <v>5</v>
      </c>
      <c r="F38" s="106">
        <f t="shared" si="4"/>
        <v>40.98</v>
      </c>
      <c r="G38" s="107">
        <f>IF(D38=D37,"",_xlfn.IFNA(VLOOKUP(D38,'인원 입력 기능(사과탐)'!$K$177:$N$231,4,FALSE),0))</f>
        <v>2586</v>
      </c>
      <c r="H38" s="108">
        <f t="shared" si="1"/>
        <v>3.4399733954107087E-2</v>
      </c>
      <c r="I38" s="118">
        <f>SUM($G$7:G38)</f>
        <v>45660</v>
      </c>
      <c r="J38" s="110">
        <f t="shared" si="5"/>
        <v>0.60738277352843362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3"/>
        <v>45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106">
        <f t="shared" si="4"/>
        <v>37.49</v>
      </c>
      <c r="G39" s="107">
        <f>IF(D39=D38,"",_xlfn.IFNA(VLOOKUP(D39,'인원 입력 기능(사과탐)'!$K$177:$N$231,4,FALSE),0))</f>
        <v>2664</v>
      </c>
      <c r="H39" s="108">
        <f t="shared" si="1"/>
        <v>3.5437312936481544E-2</v>
      </c>
      <c r="I39" s="118">
        <f>SUM($G$7:G39)</f>
        <v>48324</v>
      </c>
      <c r="J39" s="110">
        <f t="shared" si="5"/>
        <v>0.64282008646491517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3">
        <f t="shared" si="3"/>
        <v>44</v>
      </c>
      <c r="E40" s="123">
        <f t="shared" si="6"/>
        <v>6</v>
      </c>
      <c r="F40" s="124">
        <f t="shared" si="4"/>
        <v>32.380000000000003</v>
      </c>
      <c r="G40" s="125">
        <f>IF(D40=D39,"",_xlfn.IFNA(VLOOKUP(D40,'인원 입력 기능(사과탐)'!$K$177:$N$231,4,FALSE),0))</f>
        <v>5026</v>
      </c>
      <c r="H40" s="126">
        <f t="shared" si="1"/>
        <v>6.6857332889923515E-2</v>
      </c>
      <c r="I40" s="144">
        <f>SUM($G$7:G40)</f>
        <v>53350</v>
      </c>
      <c r="J40" s="128">
        <f t="shared" si="5"/>
        <v>0.70967741935483875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30"/>
      <c r="E41" s="130"/>
      <c r="F41" s="131"/>
      <c r="G41" s="132"/>
      <c r="H41" s="133"/>
      <c r="I41" s="145"/>
      <c r="J41" s="135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3"/>
        <v>43</v>
      </c>
      <c r="E42" s="120">
        <f t="shared" si="6"/>
        <v>6</v>
      </c>
      <c r="F42" s="106">
        <f t="shared" si="4"/>
        <v>27.2</v>
      </c>
      <c r="G42" s="107">
        <f>IF(D42=D41,"",_xlfn.IFNA(VLOOKUP(D42,'인원 입력 기능(사과탐)'!$K$177:$N$231,4,FALSE),0))</f>
        <v>2755</v>
      </c>
      <c r="H42" s="108">
        <f t="shared" si="1"/>
        <v>3.6647821749251748E-2</v>
      </c>
      <c r="I42" s="118">
        <f>SUM($G$7:G42)</f>
        <v>56105</v>
      </c>
      <c r="J42" s="110">
        <f t="shared" si="5"/>
        <v>0.74632524110409049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3"/>
        <v>42</v>
      </c>
      <c r="E43" s="120">
        <f t="shared" si="6"/>
        <v>6</v>
      </c>
      <c r="F43" s="106">
        <f t="shared" si="4"/>
        <v>23.95</v>
      </c>
      <c r="G43" s="107">
        <f>IF(D43=D42,"",_xlfn.IFNA(VLOOKUP(D43,'인원 입력 기능(사과탐)'!$K$177:$N$231,4,FALSE),0))</f>
        <v>2128</v>
      </c>
      <c r="H43" s="108">
        <f t="shared" si="1"/>
        <v>2.8307283006318591E-2</v>
      </c>
      <c r="I43" s="118">
        <f>SUM($G$7:G43)</f>
        <v>58233</v>
      </c>
      <c r="J43" s="110">
        <f t="shared" si="5"/>
        <v>0.77463252411040906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3"/>
        <v>41</v>
      </c>
      <c r="E44" s="120">
        <f t="shared" si="6"/>
        <v>7</v>
      </c>
      <c r="F44" s="106">
        <f t="shared" si="4"/>
        <v>20.95</v>
      </c>
      <c r="G44" s="107">
        <f>IF(D44=D43,"",_xlfn.IFNA(VLOOKUP(D44,'인원 입력 기능(사과탐)'!$K$177:$N$231,4,FALSE),0))</f>
        <v>2389</v>
      </c>
      <c r="H44" s="108">
        <f t="shared" si="1"/>
        <v>3.1779181908879281E-2</v>
      </c>
      <c r="I44" s="118">
        <f>SUM($G$7:G44)</f>
        <v>60622</v>
      </c>
      <c r="J44" s="110">
        <f t="shared" si="5"/>
        <v>0.80641170601928835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3"/>
        <v>40</v>
      </c>
      <c r="E45" s="120">
        <f t="shared" si="6"/>
        <v>7</v>
      </c>
      <c r="F45" s="106">
        <f t="shared" si="4"/>
        <v>17.77</v>
      </c>
      <c r="G45" s="107">
        <f>IF(D45=D44,"",_xlfn.IFNA(VLOOKUP(D45,'인원 입력 기능(사과탐)'!$K$177:$N$231,4,FALSE),0))</f>
        <v>2386</v>
      </c>
      <c r="H45" s="108">
        <f t="shared" si="1"/>
        <v>3.1739275024941803E-2</v>
      </c>
      <c r="I45" s="118">
        <f>SUM($G$7:G45)</f>
        <v>63008</v>
      </c>
      <c r="J45" s="110">
        <f t="shared" si="5"/>
        <v>0.83815098104423014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3"/>
        <v>39</v>
      </c>
      <c r="E46" s="120">
        <f t="shared" si="6"/>
        <v>7</v>
      </c>
      <c r="F46" s="106">
        <f t="shared" si="4"/>
        <v>14.22</v>
      </c>
      <c r="G46" s="107">
        <f>IF(D46=D45,"",_xlfn.IFNA(VLOOKUP(D46,'인원 입력 기능(사과탐)'!$K$177:$N$231,4,FALSE),0))</f>
        <v>2953</v>
      </c>
      <c r="H46" s="108">
        <f t="shared" si="1"/>
        <v>3.9281676089125375E-2</v>
      </c>
      <c r="I46" s="118">
        <f>SUM($G$7:G46)</f>
        <v>65961</v>
      </c>
      <c r="J46" s="110">
        <f t="shared" si="5"/>
        <v>0.8774326571333555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3"/>
        <v>38</v>
      </c>
      <c r="E47" s="120">
        <f t="shared" si="6"/>
        <v>7</v>
      </c>
      <c r="F47" s="106">
        <f t="shared" si="4"/>
        <v>9.9499999999999993</v>
      </c>
      <c r="G47" s="107">
        <f>IF(D47=D46,"",_xlfn.IFNA(VLOOKUP(D47,'인원 입력 기능(사과탐)'!$K$177:$N$231,4,FALSE),0))</f>
        <v>3472</v>
      </c>
      <c r="H47" s="108">
        <f t="shared" si="1"/>
        <v>4.6185567010309278E-2</v>
      </c>
      <c r="I47" s="118">
        <f>SUM($G$7:G47)</f>
        <v>69433</v>
      </c>
      <c r="J47" s="110">
        <f t="shared" si="5"/>
        <v>0.92361822414366479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3"/>
        <v>37</v>
      </c>
      <c r="E48" s="120">
        <f t="shared" si="6"/>
        <v>8</v>
      </c>
      <c r="F48" s="106">
        <f t="shared" si="4"/>
        <v>6.86</v>
      </c>
      <c r="G48" s="107">
        <f>IF(D48=D47,"",_xlfn.IFNA(VLOOKUP(D48,'인원 입력 기능(사과탐)'!$K$177:$N$231,4,FALSE),0))</f>
        <v>1168</v>
      </c>
      <c r="H48" s="108">
        <f t="shared" si="1"/>
        <v>1.5537080146325242E-2</v>
      </c>
      <c r="I48" s="118">
        <f>SUM($G$7:G48)</f>
        <v>70601</v>
      </c>
      <c r="J48" s="110">
        <f t="shared" si="5"/>
        <v>0.93915530428999006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3"/>
        <v>36</v>
      </c>
      <c r="E49" s="120">
        <f t="shared" si="6"/>
        <v>8</v>
      </c>
      <c r="F49" s="106">
        <f t="shared" si="4"/>
        <v>5.33</v>
      </c>
      <c r="G49" s="107">
        <f>IF(D49=D48,"",_xlfn.IFNA(VLOOKUP(D49,'인원 입력 기능(사과탐)'!$K$177:$N$231,4,FALSE),0))</f>
        <v>1141</v>
      </c>
      <c r="H49" s="108">
        <f t="shared" si="1"/>
        <v>1.5177918190887927E-2</v>
      </c>
      <c r="I49" s="118">
        <f>SUM($G$7:G49)</f>
        <v>71742</v>
      </c>
      <c r="J49" s="110">
        <f t="shared" si="5"/>
        <v>0.95433322248087793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3"/>
        <v>35</v>
      </c>
      <c r="E50" s="120">
        <f t="shared" si="6"/>
        <v>8</v>
      </c>
      <c r="F50" s="106">
        <f t="shared" si="4"/>
        <v>3.91</v>
      </c>
      <c r="G50" s="107">
        <f>IF(D50=D49,"",_xlfn.IFNA(VLOOKUP(D50,'인원 입력 기능(사과탐)'!$K$177:$N$231,4,FALSE),0))</f>
        <v>992</v>
      </c>
      <c r="H50" s="108">
        <f t="shared" si="1"/>
        <v>1.3195876288659794E-2</v>
      </c>
      <c r="I50" s="118">
        <f>SUM($G$7:G50)</f>
        <v>72734</v>
      </c>
      <c r="J50" s="110">
        <f t="shared" si="5"/>
        <v>0.96752909876953774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3"/>
        <v>34</v>
      </c>
      <c r="E51" s="120">
        <f t="shared" si="6"/>
        <v>9</v>
      </c>
      <c r="F51" s="106">
        <f t="shared" si="4"/>
        <v>2.65</v>
      </c>
      <c r="G51" s="107">
        <f>IF(D51=D50,"",_xlfn.IFNA(VLOOKUP(D51,'인원 입력 기능(사과탐)'!$K$177:$N$231,4,FALSE),0))</f>
        <v>903</v>
      </c>
      <c r="H51" s="108">
        <f t="shared" si="1"/>
        <v>1.2011972065181243E-2</v>
      </c>
      <c r="I51" s="118">
        <f>SUM($G$7:G51)</f>
        <v>73637</v>
      </c>
      <c r="J51" s="110">
        <f t="shared" si="5"/>
        <v>0.97954107083471897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3">
        <f t="shared" si="3"/>
        <v>33</v>
      </c>
      <c r="E52" s="123">
        <f t="shared" si="6"/>
        <v>9</v>
      </c>
      <c r="F52" s="124">
        <f t="shared" si="4"/>
        <v>1.38</v>
      </c>
      <c r="G52" s="125">
        <f>IF(D52=D51,"",_xlfn.IFNA(VLOOKUP(D52,'인원 입력 기능(사과탐)'!$K$177:$N$231,4,FALSE),0))</f>
        <v>1006</v>
      </c>
      <c r="H52" s="126">
        <f t="shared" si="1"/>
        <v>1.3382108413701363E-2</v>
      </c>
      <c r="I52" s="144">
        <f>SUM($G$7:G52)</f>
        <v>74643</v>
      </c>
      <c r="J52" s="128">
        <f t="shared" si="5"/>
        <v>0.99292317924842033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30"/>
      <c r="E53" s="130"/>
      <c r="F53" s="131"/>
      <c r="G53" s="132"/>
      <c r="H53" s="133"/>
      <c r="I53" s="145"/>
      <c r="J53" s="135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3"/>
        <v>32</v>
      </c>
      <c r="E54" s="105">
        <f t="shared" si="6"/>
        <v>9</v>
      </c>
      <c r="F54" s="106">
        <f t="shared" si="4"/>
        <v>0.59</v>
      </c>
      <c r="G54" s="107">
        <f>IF(D54=D53,"",_xlfn.IFNA(VLOOKUP(D54,'인원 입력 기능(사과탐)'!$K$177:$N$231,4,FALSE),0))</f>
        <v>184</v>
      </c>
      <c r="H54" s="108">
        <f t="shared" si="1"/>
        <v>2.4476222148320584E-3</v>
      </c>
      <c r="I54" s="118">
        <f>SUM($G$7:G54)</f>
        <v>74827</v>
      </c>
      <c r="J54" s="110">
        <f t="shared" si="5"/>
        <v>0.99537080146325241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3"/>
        <v>31</v>
      </c>
      <c r="E55" s="105">
        <f t="shared" si="6"/>
        <v>9</v>
      </c>
      <c r="F55" s="106">
        <f t="shared" si="4"/>
        <v>0.28999999999999998</v>
      </c>
      <c r="G55" s="107">
        <f>IF(D55=D54,"",_xlfn.IFNA(VLOOKUP(D55,'인원 입력 기능(사과탐)'!$K$177:$N$231,4,FALSE),0))</f>
        <v>262</v>
      </c>
      <c r="H55" s="108">
        <f t="shared" si="1"/>
        <v>3.4852011972065183E-3</v>
      </c>
      <c r="I55" s="118">
        <f>SUM($G$7:G55)</f>
        <v>75089</v>
      </c>
      <c r="J55" s="110">
        <f t="shared" si="5"/>
        <v>0.99885600266045893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29</v>
      </c>
      <c r="E57" s="176">
        <f t="shared" si="6"/>
        <v>9</v>
      </c>
      <c r="F57" s="139">
        <f>IF(I55=0,ROUND(100*(1-(I54+I57)/2/$J$3),2),ROUND(100*(1-(I55+I57)/2/$J$3),2))</f>
        <v>0.06</v>
      </c>
      <c r="G57" s="177">
        <f>_xlfn.IFNA(VLOOKUP(D57,'인원 입력 기능(사과탐)'!$K$177:$N$231,4,FALSE),0)</f>
        <v>86</v>
      </c>
      <c r="H57" s="141">
        <f>G57/$J$3</f>
        <v>1.1439973395410709E-3</v>
      </c>
      <c r="I57" s="142">
        <f>SUM($G$7:G57)</f>
        <v>75175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0">
    <mergeCell ref="D3:F3"/>
    <mergeCell ref="D4:F4"/>
    <mergeCell ref="D15:D16"/>
    <mergeCell ref="E15:E16"/>
    <mergeCell ref="F15:F16"/>
    <mergeCell ref="G15:G16"/>
    <mergeCell ref="H15:H16"/>
    <mergeCell ref="I15:I16"/>
    <mergeCell ref="J15:J16"/>
    <mergeCell ref="D27:D28"/>
    <mergeCell ref="E27:E28"/>
    <mergeCell ref="F27:F28"/>
    <mergeCell ref="G27:G28"/>
    <mergeCell ref="H27:H28"/>
    <mergeCell ref="I27:I28"/>
    <mergeCell ref="J27:J28"/>
    <mergeCell ref="I40:I41"/>
    <mergeCell ref="J40:J41"/>
    <mergeCell ref="D52:D53"/>
    <mergeCell ref="E52:E53"/>
    <mergeCell ref="F52:F53"/>
    <mergeCell ref="G52:G53"/>
    <mergeCell ref="H52:H53"/>
    <mergeCell ref="I52:I53"/>
    <mergeCell ref="J52:J53"/>
    <mergeCell ref="D40:D41"/>
    <mergeCell ref="E40:E41"/>
    <mergeCell ref="F40:F41"/>
    <mergeCell ref="G40:G41"/>
    <mergeCell ref="H40:H41"/>
  </mergeCells>
  <phoneticPr fontId="1" type="noConversion"/>
  <conditionalFormatting sqref="D7:G15 I7:J15 D17:G27 I17:J27 D29:G40 I29:J40 D42:G52 I42:J52 D54:G57 I54:J57">
    <cfRule type="expression" dxfId="7" priority="5">
      <formula>OR($D7=$Q$7:$Q$14)</formula>
    </cfRule>
  </conditionalFormatting>
  <conditionalFormatting sqref="C7:C57">
    <cfRule type="expression" dxfId="6" priority="4">
      <formula>OR(AND($D7=0,OR($D6=$Q$7:$Q$14)),AND($D8&gt;0,OR($D7=$Q$7:$Q$14)))</formula>
    </cfRule>
  </conditionalFormatting>
  <conditionalFormatting sqref="D7:D15 D17:D27 D29:D40 D42:D52 D54:D57">
    <cfRule type="expression" dxfId="5" priority="2">
      <formula>$D7=$D8</formula>
    </cfRule>
  </conditionalFormatting>
  <conditionalFormatting sqref="H7:H15 H17:H27 H29:H40 H42:H52 H54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topLeftCell="A40" zoomScaleNormal="100" workbookViewId="0">
      <selection activeCell="I12" sqref="I12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6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88" t="s">
        <v>105</v>
      </c>
      <c r="D3" s="89" t="s">
        <v>70</v>
      </c>
      <c r="E3" s="90"/>
      <c r="F3" s="91"/>
      <c r="G3" s="88" t="s">
        <v>106</v>
      </c>
      <c r="H3" s="92" t="str">
        <f>'통계 및 응시자 수 입력 기능'!D20</f>
        <v>18.21</v>
      </c>
      <c r="I3" s="21" t="s">
        <v>107</v>
      </c>
      <c r="J3" s="93">
        <f>'통계 및 응시자 수 입력 기능'!C20</f>
        <v>53966</v>
      </c>
      <c r="K3" s="36"/>
      <c r="L3" s="20"/>
    </row>
    <row r="4" spans="1:17" s="22" customFormat="1" ht="25" customHeight="1" thickBot="1" x14ac:dyDescent="0.5">
      <c r="A4" s="20"/>
      <c r="B4" s="35"/>
      <c r="C4" s="94" t="s">
        <v>108</v>
      </c>
      <c r="D4" s="95" t="s">
        <v>129</v>
      </c>
      <c r="E4" s="96"/>
      <c r="F4" s="97"/>
      <c r="G4" s="98" t="s">
        <v>110</v>
      </c>
      <c r="H4" s="99" t="str">
        <f>'통계 및 응시자 수 입력 기능'!E20</f>
        <v xml:space="preserve"> 9.44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9"/>
      <c r="H5" s="20"/>
      <c r="I5" s="20"/>
      <c r="J5" s="20"/>
      <c r="K5" s="36"/>
      <c r="L5" s="20"/>
    </row>
    <row r="6" spans="1:17" s="22" customFormat="1" ht="25" customHeight="1" thickBot="1" x14ac:dyDescent="0.5">
      <c r="A6" s="20"/>
      <c r="B6" s="35"/>
      <c r="C6" s="100" t="s">
        <v>112</v>
      </c>
      <c r="D6" s="101" t="s">
        <v>113</v>
      </c>
      <c r="E6" s="101" t="s">
        <v>114</v>
      </c>
      <c r="F6" s="101" t="s">
        <v>115</v>
      </c>
      <c r="G6" s="101" t="s">
        <v>116</v>
      </c>
      <c r="H6" s="101" t="s">
        <v>117</v>
      </c>
      <c r="I6" s="102" t="s">
        <v>118</v>
      </c>
      <c r="J6" s="103" t="s">
        <v>119</v>
      </c>
      <c r="K6" s="36"/>
      <c r="L6" s="19" t="s">
        <v>65</v>
      </c>
      <c r="M6" s="19"/>
      <c r="N6" s="23"/>
    </row>
    <row r="7" spans="1:17" s="22" customFormat="1" ht="25" customHeight="1" x14ac:dyDescent="0.45">
      <c r="A7" s="20"/>
      <c r="B7" s="35"/>
      <c r="C7" s="104">
        <v>50</v>
      </c>
      <c r="D7" s="105">
        <f>ROUND(10*(C7-$H$3)/$H$4+50,0)</f>
        <v>84</v>
      </c>
      <c r="E7" s="105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106">
        <f>ROUND(100*(1-(0+I7)/2/$J$3),2)</f>
        <v>99.92</v>
      </c>
      <c r="G7" s="107">
        <f>_xlfn.IFNA(VLOOKUP(D7,'인원 입력 기능(사과탐)'!$P$177:$S$231,4,FALSE),0)</f>
        <v>86</v>
      </c>
      <c r="H7" s="108">
        <f>G7/$J$3</f>
        <v>1.5935959678315976E-3</v>
      </c>
      <c r="I7" s="109">
        <f>G7</f>
        <v>86</v>
      </c>
      <c r="J7" s="110">
        <f>I7/$J$3</f>
        <v>1.5935959678315976E-3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72</v>
      </c>
    </row>
    <row r="8" spans="1:17" s="22" customFormat="1" ht="25" customHeight="1" x14ac:dyDescent="0.45">
      <c r="A8" s="20"/>
      <c r="B8" s="35"/>
      <c r="C8" s="111">
        <v>49</v>
      </c>
      <c r="D8" s="112" t="s">
        <v>57</v>
      </c>
      <c r="E8" s="112"/>
      <c r="F8" s="113"/>
      <c r="G8" s="114"/>
      <c r="H8" s="172"/>
      <c r="I8" s="116"/>
      <c r="J8" s="117"/>
      <c r="K8" s="36"/>
      <c r="L8" s="20"/>
      <c r="N8" s="24"/>
      <c r="P8" s="24">
        <v>2</v>
      </c>
      <c r="Q8" s="24">
        <f>'표점등급&amp;절평인원 입력 기능'!C149</f>
        <v>64</v>
      </c>
    </row>
    <row r="9" spans="1:17" s="22" customFormat="1" ht="25" customHeight="1" x14ac:dyDescent="0.45">
      <c r="A9" s="20"/>
      <c r="B9" s="35"/>
      <c r="C9" s="104">
        <v>48</v>
      </c>
      <c r="D9" s="105">
        <f>ROUND(10*(C9-$H$3)/$H$4+50,0)</f>
        <v>82</v>
      </c>
      <c r="E9" s="105">
        <f t="shared" si="0"/>
        <v>1</v>
      </c>
      <c r="F9" s="106">
        <f>IF(I8=0,ROUND(100*(1-(I7+I9)/2/$J$3),2),ROUND(100*(1-(I8+I9)/2/$J$3),2))</f>
        <v>99.79</v>
      </c>
      <c r="G9" s="107">
        <f>_xlfn.IFNA(VLOOKUP(D9,'인원 입력 기능(사과탐)'!$P$177:$S$231,4,FALSE),0)</f>
        <v>55</v>
      </c>
      <c r="H9" s="108">
        <f t="shared" ref="H9:H55" si="1">G9/$J$3</f>
        <v>1.0191602119853241E-3</v>
      </c>
      <c r="I9" s="118">
        <f>SUM($G$7:G9)</f>
        <v>141</v>
      </c>
      <c r="J9" s="110">
        <f>I9/$J$3</f>
        <v>2.6127561798169217E-3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56</v>
      </c>
    </row>
    <row r="10" spans="1:17" s="22" customFormat="1" ht="25" customHeight="1" x14ac:dyDescent="0.45">
      <c r="A10" s="20"/>
      <c r="B10" s="35"/>
      <c r="C10" s="111">
        <v>47</v>
      </c>
      <c r="D10" s="105">
        <v>81</v>
      </c>
      <c r="E10" s="105">
        <f t="shared" si="0"/>
        <v>1</v>
      </c>
      <c r="F10" s="106">
        <f t="shared" ref="F10:F55" si="3">IF(I9=0,ROUND(100*(1-(I8+I10)/2/$J$3),2),ROUND(100*(1-(I9+I10)/2/$J$3),2))</f>
        <v>99.53</v>
      </c>
      <c r="G10" s="107">
        <f>IF(D10=D9,"",_xlfn.IFNA(VLOOKUP(D10,'인원 입력 기능(사과탐)'!$P$177:$S$231,4,FALSE),0))</f>
        <v>220</v>
      </c>
      <c r="H10" s="108">
        <f t="shared" si="1"/>
        <v>4.0766408479412965E-3</v>
      </c>
      <c r="I10" s="118">
        <f>SUM($G$7:G10)</f>
        <v>361</v>
      </c>
      <c r="J10" s="110">
        <f t="shared" ref="J10:J55" si="4">I10/$J$3</f>
        <v>6.6893970277582182E-3</v>
      </c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기능'!C151</f>
        <v>50</v>
      </c>
    </row>
    <row r="11" spans="1:17" s="22" customFormat="1" ht="25" customHeight="1" x14ac:dyDescent="0.45">
      <c r="A11" s="20"/>
      <c r="B11" s="35"/>
      <c r="C11" s="104">
        <v>46</v>
      </c>
      <c r="D11" s="105">
        <f t="shared" ref="D11:D55" si="5">ROUND(10*(C11-$H$3)/$H$4+50,0)</f>
        <v>79</v>
      </c>
      <c r="E11" s="105">
        <f t="shared" si="0"/>
        <v>1</v>
      </c>
      <c r="F11" s="106">
        <f t="shared" si="3"/>
        <v>99.31</v>
      </c>
      <c r="G11" s="107">
        <f>IF(D11=D10,"",_xlfn.IFNA(VLOOKUP(D11,'인원 입력 기능(사과탐)'!$P$177:$S$231,4,FALSE),0))</f>
        <v>18</v>
      </c>
      <c r="H11" s="108">
        <f t="shared" si="1"/>
        <v>3.3354334210428788E-4</v>
      </c>
      <c r="I11" s="118">
        <f>SUM($G$7:G11)</f>
        <v>379</v>
      </c>
      <c r="J11" s="110">
        <f t="shared" si="4"/>
        <v>7.0229403698625062E-3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46</v>
      </c>
    </row>
    <row r="12" spans="1:17" s="22" customFormat="1" ht="25" customHeight="1" x14ac:dyDescent="0.45">
      <c r="A12" s="20"/>
      <c r="B12" s="35"/>
      <c r="C12" s="111">
        <v>45</v>
      </c>
      <c r="D12" s="105">
        <f t="shared" si="5"/>
        <v>78</v>
      </c>
      <c r="E12" s="105">
        <f t="shared" si="0"/>
        <v>1</v>
      </c>
      <c r="F12" s="106">
        <f t="shared" si="3"/>
        <v>99.12</v>
      </c>
      <c r="G12" s="107">
        <f>IF(D12=D11,"",_xlfn.IFNA(VLOOKUP(D12,'인원 입력 기능(사과탐)'!$P$177:$S$231,4,FALSE),0))</f>
        <v>190</v>
      </c>
      <c r="H12" s="108">
        <f t="shared" si="1"/>
        <v>3.5207352777674832E-3</v>
      </c>
      <c r="I12" s="118">
        <f>SUM($G$7:G12)</f>
        <v>569</v>
      </c>
      <c r="J12" s="110">
        <f t="shared" si="4"/>
        <v>1.0543675647629988E-2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기능'!C153</f>
        <v>42</v>
      </c>
    </row>
    <row r="13" spans="1:17" s="22" customFormat="1" ht="25" customHeight="1" x14ac:dyDescent="0.45">
      <c r="A13" s="20"/>
      <c r="B13" s="35"/>
      <c r="C13" s="104">
        <v>44</v>
      </c>
      <c r="D13" s="105">
        <f t="shared" si="5"/>
        <v>77</v>
      </c>
      <c r="E13" s="105">
        <f t="shared" si="0"/>
        <v>1</v>
      </c>
      <c r="F13" s="106">
        <f t="shared" si="3"/>
        <v>98.65</v>
      </c>
      <c r="G13" s="107">
        <f>IF(D13=D12,"",_xlfn.IFNA(VLOOKUP(D13,'인원 입력 기능(사과탐)'!$P$177:$S$231,4,FALSE),0))</f>
        <v>317</v>
      </c>
      <c r="H13" s="108">
        <f t="shared" si="1"/>
        <v>5.8740688581699592E-3</v>
      </c>
      <c r="I13" s="118">
        <f>SUM($G$7:G13)</f>
        <v>886</v>
      </c>
      <c r="J13" s="110">
        <f t="shared" si="4"/>
        <v>1.6417744505799949E-2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40</v>
      </c>
    </row>
    <row r="14" spans="1:17" s="22" customFormat="1" ht="25" customHeight="1" x14ac:dyDescent="0.45">
      <c r="A14" s="20"/>
      <c r="B14" s="35"/>
      <c r="C14" s="111">
        <v>43</v>
      </c>
      <c r="D14" s="105">
        <f t="shared" si="5"/>
        <v>76</v>
      </c>
      <c r="E14" s="105">
        <f t="shared" si="0"/>
        <v>1</v>
      </c>
      <c r="F14" s="106">
        <f t="shared" si="3"/>
        <v>98.28</v>
      </c>
      <c r="G14" s="107">
        <f>IF(D14=D13,"",_xlfn.IFNA(VLOOKUP(D14,'인원 입력 기능(사과탐)'!$P$177:$S$231,4,FALSE),0))</f>
        <v>84</v>
      </c>
      <c r="H14" s="108">
        <f t="shared" si="1"/>
        <v>1.5565355964866768E-3</v>
      </c>
      <c r="I14" s="118">
        <f>SUM($G$7:G14)</f>
        <v>970</v>
      </c>
      <c r="J14" s="110">
        <f t="shared" si="4"/>
        <v>1.7974280102286626E-2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37</v>
      </c>
    </row>
    <row r="15" spans="1:17" s="22" customFormat="1" ht="25" customHeight="1" x14ac:dyDescent="0.45">
      <c r="A15" s="20"/>
      <c r="B15" s="35"/>
      <c r="C15" s="104">
        <v>42</v>
      </c>
      <c r="D15" s="105">
        <f t="shared" si="5"/>
        <v>75</v>
      </c>
      <c r="E15" s="105">
        <f t="shared" si="0"/>
        <v>1</v>
      </c>
      <c r="F15" s="106">
        <f t="shared" si="3"/>
        <v>97.89</v>
      </c>
      <c r="G15" s="107">
        <f>IF(D15=D14,"",_xlfn.IFNA(VLOOKUP(D15,'인원 입력 기능(사과탐)'!$P$177:$S$231,4,FALSE),0))</f>
        <v>339</v>
      </c>
      <c r="H15" s="108">
        <f t="shared" si="1"/>
        <v>6.2817329429640887E-3</v>
      </c>
      <c r="I15" s="118">
        <f>SUM($G$7:G15)</f>
        <v>1309</v>
      </c>
      <c r="J15" s="110">
        <f t="shared" si="4"/>
        <v>2.4256013045250713E-2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111">
        <v>41</v>
      </c>
      <c r="D16" s="105">
        <f t="shared" si="5"/>
        <v>74</v>
      </c>
      <c r="E16" s="105">
        <f t="shared" si="0"/>
        <v>1</v>
      </c>
      <c r="F16" s="106">
        <f t="shared" si="3"/>
        <v>97.3</v>
      </c>
      <c r="G16" s="107">
        <f>IF(D16=D15,"",_xlfn.IFNA(VLOOKUP(D16,'인원 입력 기능(사과탐)'!$P$177:$S$231,4,FALSE),0))</f>
        <v>298</v>
      </c>
      <c r="H16" s="108">
        <f t="shared" si="1"/>
        <v>5.5219953303932102E-3</v>
      </c>
      <c r="I16" s="118">
        <f>SUM($G$7:G16)</f>
        <v>1607</v>
      </c>
      <c r="J16" s="110">
        <f t="shared" si="4"/>
        <v>2.9778008375643924E-2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104">
        <v>40</v>
      </c>
      <c r="D17" s="105">
        <f t="shared" si="5"/>
        <v>73</v>
      </c>
      <c r="E17" s="105">
        <f t="shared" si="0"/>
        <v>1</v>
      </c>
      <c r="F17" s="106">
        <f t="shared" si="3"/>
        <v>96.8</v>
      </c>
      <c r="G17" s="107">
        <f>IF(D17=D16,"",_xlfn.IFNA(VLOOKUP(D17,'인원 입력 기능(사과탐)'!$P$177:$S$231,4,FALSE),0))</f>
        <v>244</v>
      </c>
      <c r="H17" s="108">
        <f t="shared" si="1"/>
        <v>4.5213653040803471E-3</v>
      </c>
      <c r="I17" s="118">
        <f>SUM($G$7:G17)</f>
        <v>1851</v>
      </c>
      <c r="J17" s="110">
        <f t="shared" si="4"/>
        <v>3.4299373679724271E-2</v>
      </c>
      <c r="K17" s="36"/>
      <c r="L17" s="20" t="str">
        <f t="shared" si="2"/>
        <v/>
      </c>
      <c r="N17" s="24"/>
      <c r="Q17" s="24">
        <f>Q7*H3*H4*J3*IFERROR(IF(J57=1, 1, 0), 0)</f>
        <v>667935714.12480009</v>
      </c>
    </row>
    <row r="18" spans="1:17" s="22" customFormat="1" ht="25" customHeight="1" x14ac:dyDescent="0.45">
      <c r="A18" s="20"/>
      <c r="B18" s="35"/>
      <c r="C18" s="111">
        <v>39</v>
      </c>
      <c r="D18" s="105">
        <f t="shared" si="5"/>
        <v>72</v>
      </c>
      <c r="E18" s="105">
        <f t="shared" si="0"/>
        <v>1</v>
      </c>
      <c r="F18" s="106">
        <f t="shared" si="3"/>
        <v>96.17</v>
      </c>
      <c r="G18" s="107">
        <f>IF(D18=D17,"",_xlfn.IFNA(VLOOKUP(D18,'인원 입력 기능(사과탐)'!$P$177:$S$231,4,FALSE),0))</f>
        <v>428</v>
      </c>
      <c r="H18" s="108">
        <f t="shared" si="1"/>
        <v>7.9309194678130676E-3</v>
      </c>
      <c r="I18" s="118">
        <f>SUM($G$7:G18)</f>
        <v>2279</v>
      </c>
      <c r="J18" s="110">
        <f t="shared" si="4"/>
        <v>4.2230293147537339E-2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104">
        <v>38</v>
      </c>
      <c r="D19" s="105">
        <f t="shared" si="5"/>
        <v>71</v>
      </c>
      <c r="E19" s="105">
        <f t="shared" si="0"/>
        <v>2</v>
      </c>
      <c r="F19" s="106">
        <f t="shared" si="3"/>
        <v>95.47</v>
      </c>
      <c r="G19" s="107">
        <f>IF(D19=D18,"",_xlfn.IFNA(VLOOKUP(D19,'인원 입력 기능(사과탐)'!$P$177:$S$231,4,FALSE),0))</f>
        <v>333</v>
      </c>
      <c r="H19" s="108">
        <f t="shared" si="1"/>
        <v>6.170551828929326E-3</v>
      </c>
      <c r="I19" s="118">
        <f>SUM($G$7:G19)</f>
        <v>2612</v>
      </c>
      <c r="J19" s="110">
        <f t="shared" si="4"/>
        <v>4.8400844976466663E-2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111">
        <v>37</v>
      </c>
      <c r="D20" s="105">
        <f t="shared" si="5"/>
        <v>70</v>
      </c>
      <c r="E20" s="105">
        <f t="shared" si="0"/>
        <v>2</v>
      </c>
      <c r="F20" s="106">
        <f t="shared" si="3"/>
        <v>94.75</v>
      </c>
      <c r="G20" s="107">
        <f>IF(D20=D19,"",_xlfn.IFNA(VLOOKUP(D20,'인원 입력 기능(사과탐)'!$P$177:$S$231,4,FALSE),0))</f>
        <v>445</v>
      </c>
      <c r="H20" s="108">
        <f t="shared" si="1"/>
        <v>8.2459326242448946E-3</v>
      </c>
      <c r="I20" s="118">
        <f>SUM($G$7:G20)</f>
        <v>3057</v>
      </c>
      <c r="J20" s="110">
        <f t="shared" si="4"/>
        <v>5.6646777600711559E-2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73">
        <v>36</v>
      </c>
      <c r="D21" s="120">
        <f t="shared" si="5"/>
        <v>69</v>
      </c>
      <c r="E21" s="120">
        <f t="shared" si="0"/>
        <v>2</v>
      </c>
      <c r="F21" s="106">
        <f t="shared" si="3"/>
        <v>93.86</v>
      </c>
      <c r="G21" s="107">
        <f>IF(D21=D20,"",_xlfn.IFNA(VLOOKUP(D21,'인원 입력 기능(사과탐)'!$P$177:$S$231,4,FALSE),0))</f>
        <v>509</v>
      </c>
      <c r="H21" s="108">
        <f t="shared" si="1"/>
        <v>9.4318645072823636E-3</v>
      </c>
      <c r="I21" s="118">
        <f>SUM($G$7:G21)</f>
        <v>3566</v>
      </c>
      <c r="J21" s="110">
        <f t="shared" si="4"/>
        <v>6.6078642107993926E-2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119">
        <v>35</v>
      </c>
      <c r="D22" s="120">
        <f t="shared" si="5"/>
        <v>68</v>
      </c>
      <c r="E22" s="120">
        <f t="shared" si="0"/>
        <v>2</v>
      </c>
      <c r="F22" s="106">
        <f t="shared" si="3"/>
        <v>93</v>
      </c>
      <c r="G22" s="107">
        <f>IF(D22=D21,"",_xlfn.IFNA(VLOOKUP(D22,'인원 입력 기능(사과탐)'!$P$177:$S$231,4,FALSE),0))</f>
        <v>426</v>
      </c>
      <c r="H22" s="108">
        <f t="shared" si="1"/>
        <v>7.8938590964681473E-3</v>
      </c>
      <c r="I22" s="118">
        <f>SUM($G$7:G22)</f>
        <v>3992</v>
      </c>
      <c r="J22" s="110">
        <f t="shared" si="4"/>
        <v>7.3972501204462068E-2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73">
        <v>34</v>
      </c>
      <c r="D23" s="120">
        <f t="shared" si="5"/>
        <v>67</v>
      </c>
      <c r="E23" s="120">
        <f t="shared" si="0"/>
        <v>2</v>
      </c>
      <c r="F23" s="106">
        <f t="shared" si="3"/>
        <v>92.03</v>
      </c>
      <c r="G23" s="107">
        <f>IF(D23=D22,"",_xlfn.IFNA(VLOOKUP(D23,'인원 입력 기능(사과탐)'!$P$177:$S$231,4,FALSE),0))</f>
        <v>615</v>
      </c>
      <c r="H23" s="108">
        <f t="shared" si="1"/>
        <v>1.1396064188563169E-2</v>
      </c>
      <c r="I23" s="118">
        <f>SUM($G$7:G23)</f>
        <v>4607</v>
      </c>
      <c r="J23" s="110">
        <f t="shared" si="4"/>
        <v>8.5368565393025245E-2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119">
        <v>33</v>
      </c>
      <c r="D24" s="120">
        <f t="shared" si="5"/>
        <v>66</v>
      </c>
      <c r="E24" s="120">
        <f t="shared" si="0"/>
        <v>2</v>
      </c>
      <c r="F24" s="106">
        <f t="shared" si="3"/>
        <v>90.92</v>
      </c>
      <c r="G24" s="107">
        <f>IF(D24=D23,"",_xlfn.IFNA(VLOOKUP(D24,'인원 입력 기능(사과탐)'!$P$177:$S$231,4,FALSE),0))</f>
        <v>585</v>
      </c>
      <c r="H24" s="108">
        <f t="shared" si="1"/>
        <v>1.0840158618389356E-2</v>
      </c>
      <c r="I24" s="118">
        <f>SUM($G$7:G24)</f>
        <v>5192</v>
      </c>
      <c r="J24" s="110">
        <f t="shared" si="4"/>
        <v>9.6208724011414601E-2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73">
        <v>32</v>
      </c>
      <c r="D25" s="120">
        <f t="shared" si="5"/>
        <v>65</v>
      </c>
      <c r="E25" s="120">
        <f t="shared" si="0"/>
        <v>2</v>
      </c>
      <c r="F25" s="106">
        <f t="shared" si="3"/>
        <v>89.78</v>
      </c>
      <c r="G25" s="107">
        <f>IF(D25=D24,"",_xlfn.IFNA(VLOOKUP(D25,'인원 입력 기능(사과탐)'!$P$177:$S$231,4,FALSE),0))</f>
        <v>643</v>
      </c>
      <c r="H25" s="108">
        <f t="shared" si="1"/>
        <v>1.1914909387392062E-2</v>
      </c>
      <c r="I25" s="118">
        <f>SUM($G$7:G25)</f>
        <v>5835</v>
      </c>
      <c r="J25" s="110">
        <f t="shared" si="4"/>
        <v>0.10812363339880665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119">
        <v>31</v>
      </c>
      <c r="D26" s="120">
        <f t="shared" si="5"/>
        <v>64</v>
      </c>
      <c r="E26" s="120">
        <f t="shared" si="0"/>
        <v>2</v>
      </c>
      <c r="F26" s="106">
        <f t="shared" si="3"/>
        <v>88.45</v>
      </c>
      <c r="G26" s="107">
        <f>IF(D26=D25,"",_xlfn.IFNA(VLOOKUP(D26,'인원 입력 기능(사과탐)'!$P$177:$S$231,4,FALSE),0))</f>
        <v>800</v>
      </c>
      <c r="H26" s="108">
        <f t="shared" si="1"/>
        <v>1.4824148537968351E-2</v>
      </c>
      <c r="I26" s="118">
        <f>SUM($G$7:G26)</f>
        <v>6635</v>
      </c>
      <c r="J26" s="110">
        <f t="shared" si="4"/>
        <v>0.12294778193677501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73">
        <v>30</v>
      </c>
      <c r="D27" s="120">
        <f t="shared" si="5"/>
        <v>62</v>
      </c>
      <c r="E27" s="120">
        <f t="shared" si="0"/>
        <v>3</v>
      </c>
      <c r="F27" s="106">
        <f t="shared" si="3"/>
        <v>87.06</v>
      </c>
      <c r="G27" s="107">
        <f>IF(D27=D26,"",_xlfn.IFNA(VLOOKUP(D27,'인원 입력 기능(사과탐)'!$P$177:$S$231,4,FALSE),0))</f>
        <v>697</v>
      </c>
      <c r="H27" s="108">
        <f t="shared" si="1"/>
        <v>1.2915539413704925E-2</v>
      </c>
      <c r="I27" s="118">
        <f>SUM($G$7:G27)</f>
        <v>7332</v>
      </c>
      <c r="J27" s="110">
        <f t="shared" si="4"/>
        <v>0.13586332135047993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119">
        <v>29</v>
      </c>
      <c r="D28" s="120">
        <f t="shared" si="5"/>
        <v>61</v>
      </c>
      <c r="E28" s="120">
        <f t="shared" si="0"/>
        <v>3</v>
      </c>
      <c r="F28" s="106">
        <f t="shared" si="3"/>
        <v>85.57</v>
      </c>
      <c r="G28" s="107">
        <f>IF(D28=D27,"",_xlfn.IFNA(VLOOKUP(D28,'인원 입력 기능(사과탐)'!$P$177:$S$231,4,FALSE),0))</f>
        <v>908</v>
      </c>
      <c r="H28" s="108">
        <f t="shared" si="1"/>
        <v>1.6825408590594077E-2</v>
      </c>
      <c r="I28" s="118">
        <f>SUM($G$7:G28)</f>
        <v>8240</v>
      </c>
      <c r="J28" s="110">
        <f t="shared" si="4"/>
        <v>0.15268872994107402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73">
        <v>28</v>
      </c>
      <c r="D29" s="120">
        <f t="shared" si="5"/>
        <v>60</v>
      </c>
      <c r="E29" s="120">
        <f t="shared" si="0"/>
        <v>3</v>
      </c>
      <c r="F29" s="106">
        <f t="shared" si="3"/>
        <v>83.92</v>
      </c>
      <c r="G29" s="107">
        <f>IF(D29=D28,"",_xlfn.IFNA(VLOOKUP(D29,'인원 입력 기능(사과탐)'!$P$177:$S$231,4,FALSE),0))</f>
        <v>877</v>
      </c>
      <c r="H29" s="108">
        <f t="shared" si="1"/>
        <v>1.6250972834747805E-2</v>
      </c>
      <c r="I29" s="118">
        <f>SUM($G$7:G29)</f>
        <v>9117</v>
      </c>
      <c r="J29" s="110">
        <f t="shared" si="4"/>
        <v>0.16893970277582182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119">
        <v>27</v>
      </c>
      <c r="D30" s="120">
        <f t="shared" si="5"/>
        <v>59</v>
      </c>
      <c r="E30" s="120">
        <f t="shared" si="0"/>
        <v>3</v>
      </c>
      <c r="F30" s="106">
        <f t="shared" si="3"/>
        <v>82.25</v>
      </c>
      <c r="G30" s="107">
        <f>IF(D30=D29,"",_xlfn.IFNA(VLOOKUP(D30,'인원 입력 기능(사과탐)'!$P$177:$S$231,4,FALSE),0))</f>
        <v>920</v>
      </c>
      <c r="H30" s="108">
        <f t="shared" si="1"/>
        <v>1.7047770818663602E-2</v>
      </c>
      <c r="I30" s="118">
        <f>SUM($G$7:G30)</f>
        <v>10037</v>
      </c>
      <c r="J30" s="110">
        <f t="shared" si="4"/>
        <v>0.18598747359448542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73">
        <v>26</v>
      </c>
      <c r="D31" s="120">
        <f t="shared" si="5"/>
        <v>58</v>
      </c>
      <c r="E31" s="120">
        <f t="shared" si="0"/>
        <v>3</v>
      </c>
      <c r="F31" s="106">
        <f t="shared" si="3"/>
        <v>80.41</v>
      </c>
      <c r="G31" s="107">
        <f>IF(D31=D30,"",_xlfn.IFNA(VLOOKUP(D31,'인원 입력 기능(사과탐)'!$P$177:$S$231,4,FALSE),0))</f>
        <v>1075</v>
      </c>
      <c r="H31" s="108">
        <f t="shared" si="1"/>
        <v>1.9919949597894972E-2</v>
      </c>
      <c r="I31" s="118">
        <f>SUM($G$7:G31)</f>
        <v>11112</v>
      </c>
      <c r="J31" s="110">
        <f t="shared" si="4"/>
        <v>0.2059074231923804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119">
        <v>25</v>
      </c>
      <c r="D32" s="120">
        <f t="shared" si="5"/>
        <v>57</v>
      </c>
      <c r="E32" s="120">
        <f t="shared" si="0"/>
        <v>3</v>
      </c>
      <c r="F32" s="106">
        <f t="shared" si="3"/>
        <v>78.41</v>
      </c>
      <c r="G32" s="107">
        <f>IF(D32=D31,"",_xlfn.IFNA(VLOOKUP(D32,'인원 입력 기능(사과탐)'!$P$177:$S$231,4,FALSE),0))</f>
        <v>1079</v>
      </c>
      <c r="H32" s="108">
        <f t="shared" si="1"/>
        <v>1.9994070340584813E-2</v>
      </c>
      <c r="I32" s="118">
        <f>SUM($G$7:G32)</f>
        <v>12191</v>
      </c>
      <c r="J32" s="110">
        <f t="shared" si="4"/>
        <v>0.22590149353296521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73">
        <v>24</v>
      </c>
      <c r="D33" s="120">
        <f t="shared" si="5"/>
        <v>56</v>
      </c>
      <c r="E33" s="120">
        <f t="shared" si="0"/>
        <v>3</v>
      </c>
      <c r="F33" s="106">
        <f t="shared" si="3"/>
        <v>76.209999999999994</v>
      </c>
      <c r="G33" s="107">
        <f>IF(D33=D32,"",_xlfn.IFNA(VLOOKUP(D33,'인원 입력 기능(사과탐)'!$P$177:$S$231,4,FALSE),0))</f>
        <v>1295</v>
      </c>
      <c r="H33" s="108">
        <f t="shared" si="1"/>
        <v>2.3996590445836269E-2</v>
      </c>
      <c r="I33" s="118">
        <f>SUM($G$7:G33)</f>
        <v>13486</v>
      </c>
      <c r="J33" s="110">
        <f t="shared" si="4"/>
        <v>0.24989808397880148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119">
        <v>23</v>
      </c>
      <c r="D34" s="120">
        <f t="shared" si="5"/>
        <v>55</v>
      </c>
      <c r="E34" s="120">
        <f t="shared" si="0"/>
        <v>4</v>
      </c>
      <c r="F34" s="106">
        <f t="shared" si="3"/>
        <v>73.739999999999995</v>
      </c>
      <c r="G34" s="107">
        <f>IF(D34=D33,"",_xlfn.IFNA(VLOOKUP(D34,'인원 입력 기능(사과탐)'!$P$177:$S$231,4,FALSE),0))</f>
        <v>1373</v>
      </c>
      <c r="H34" s="108">
        <f t="shared" si="1"/>
        <v>2.544194492828818E-2</v>
      </c>
      <c r="I34" s="118">
        <f>SUM($G$7:G34)</f>
        <v>14859</v>
      </c>
      <c r="J34" s="110">
        <f t="shared" si="4"/>
        <v>0.27534002890708964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73">
        <v>22</v>
      </c>
      <c r="D35" s="120">
        <f t="shared" si="5"/>
        <v>54</v>
      </c>
      <c r="E35" s="120">
        <f t="shared" si="0"/>
        <v>4</v>
      </c>
      <c r="F35" s="106">
        <f t="shared" si="3"/>
        <v>71.17</v>
      </c>
      <c r="G35" s="107">
        <f>IF(D35=D34,"",_xlfn.IFNA(VLOOKUP(D35,'인원 입력 기능(사과탐)'!$P$177:$S$231,4,FALSE),0))</f>
        <v>1404</v>
      </c>
      <c r="H35" s="108">
        <f t="shared" si="1"/>
        <v>2.6016380684134456E-2</v>
      </c>
      <c r="I35" s="118">
        <f>SUM($G$7:G35)</f>
        <v>16263</v>
      </c>
      <c r="J35" s="110">
        <f t="shared" si="4"/>
        <v>0.30135640959122412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119">
        <v>21</v>
      </c>
      <c r="D36" s="120">
        <f t="shared" si="5"/>
        <v>53</v>
      </c>
      <c r="E36" s="120">
        <f t="shared" si="0"/>
        <v>4</v>
      </c>
      <c r="F36" s="106">
        <f t="shared" si="3"/>
        <v>68.34</v>
      </c>
      <c r="G36" s="107">
        <f>IF(D36=D35,"",_xlfn.IFNA(VLOOKUP(D36,'인원 입력 기능(사과탐)'!$P$177:$S$231,4,FALSE),0))</f>
        <v>1645</v>
      </c>
      <c r="H36" s="108">
        <f t="shared" si="1"/>
        <v>3.0482155431197422E-2</v>
      </c>
      <c r="I36" s="118">
        <f>SUM($G$7:G36)</f>
        <v>17908</v>
      </c>
      <c r="J36" s="110">
        <f t="shared" si="4"/>
        <v>0.33183856502242154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73">
        <v>20</v>
      </c>
      <c r="D37" s="120">
        <f t="shared" si="5"/>
        <v>52</v>
      </c>
      <c r="E37" s="120">
        <f t="shared" si="0"/>
        <v>4</v>
      </c>
      <c r="F37" s="106">
        <f t="shared" si="3"/>
        <v>65.239999999999995</v>
      </c>
      <c r="G37" s="107">
        <f>IF(D37=D36,"",_xlfn.IFNA(VLOOKUP(D37,'인원 입력 기능(사과탐)'!$P$177:$S$231,4,FALSE),0))</f>
        <v>1705</v>
      </c>
      <c r="H37" s="108">
        <f t="shared" si="1"/>
        <v>3.1593966571545049E-2</v>
      </c>
      <c r="I37" s="118">
        <f>SUM($G$7:G37)</f>
        <v>19613</v>
      </c>
      <c r="J37" s="110">
        <f t="shared" si="4"/>
        <v>0.36343253159396655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119">
        <v>19</v>
      </c>
      <c r="D38" s="120">
        <f t="shared" si="5"/>
        <v>51</v>
      </c>
      <c r="E38" s="120">
        <f t="shared" si="0"/>
        <v>4</v>
      </c>
      <c r="F38" s="106">
        <f t="shared" si="3"/>
        <v>61.89</v>
      </c>
      <c r="G38" s="107">
        <f>IF(D38=D37,"",_xlfn.IFNA(VLOOKUP(D38,'인원 입력 기능(사과탐)'!$P$177:$S$231,4,FALSE),0))</f>
        <v>1911</v>
      </c>
      <c r="H38" s="108">
        <f t="shared" si="1"/>
        <v>3.5411184820071898E-2</v>
      </c>
      <c r="I38" s="118">
        <f>SUM($G$7:G38)</f>
        <v>21524</v>
      </c>
      <c r="J38" s="110">
        <f t="shared" si="4"/>
        <v>0.39884371641403848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73">
        <v>18</v>
      </c>
      <c r="D39" s="120">
        <f t="shared" si="5"/>
        <v>50</v>
      </c>
      <c r="E39" s="120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4</v>
      </c>
      <c r="F39" s="106">
        <f t="shared" si="3"/>
        <v>58.25</v>
      </c>
      <c r="G39" s="107">
        <f>IF(D39=D38,"",_xlfn.IFNA(VLOOKUP(D39,'인원 입력 기능(사과탐)'!$P$177:$S$231,4,FALSE),0))</f>
        <v>2012</v>
      </c>
      <c r="H39" s="108">
        <f t="shared" si="1"/>
        <v>3.7282733572990404E-2</v>
      </c>
      <c r="I39" s="118">
        <f>SUM($G$7:G39)</f>
        <v>23536</v>
      </c>
      <c r="J39" s="110">
        <f t="shared" si="4"/>
        <v>0.43612644998702887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119">
        <v>17</v>
      </c>
      <c r="D40" s="120">
        <f t="shared" si="5"/>
        <v>49</v>
      </c>
      <c r="E40" s="120">
        <f t="shared" si="6"/>
        <v>5</v>
      </c>
      <c r="F40" s="106">
        <f t="shared" si="3"/>
        <v>54.32</v>
      </c>
      <c r="G40" s="107">
        <f>IF(D40=D39,"",_xlfn.IFNA(VLOOKUP(D40,'인원 입력 기능(사과탐)'!$P$177:$S$231,4,FALSE),0))</f>
        <v>2235</v>
      </c>
      <c r="H40" s="108">
        <f t="shared" si="1"/>
        <v>4.1414964977949081E-2</v>
      </c>
      <c r="I40" s="118">
        <f>SUM($G$7:G40)</f>
        <v>25771</v>
      </c>
      <c r="J40" s="110">
        <f t="shared" si="4"/>
        <v>0.47754141496497793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73">
        <v>16</v>
      </c>
      <c r="D41" s="120">
        <f t="shared" si="5"/>
        <v>48</v>
      </c>
      <c r="E41" s="120">
        <f t="shared" si="6"/>
        <v>5</v>
      </c>
      <c r="F41" s="106">
        <f t="shared" si="3"/>
        <v>50.13</v>
      </c>
      <c r="G41" s="107">
        <f>IF(D41=D40,"",_xlfn.IFNA(VLOOKUP(D41,'인원 입력 기능(사과탐)'!$P$177:$S$231,4,FALSE),0))</f>
        <v>2288</v>
      </c>
      <c r="H41" s="108">
        <f t="shared" si="1"/>
        <v>4.2397064818589479E-2</v>
      </c>
      <c r="I41" s="118">
        <f>SUM($G$7:G41)</f>
        <v>28059</v>
      </c>
      <c r="J41" s="110">
        <f t="shared" si="4"/>
        <v>0.51993847978356744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119">
        <v>15</v>
      </c>
      <c r="D42" s="120">
        <f t="shared" si="5"/>
        <v>47</v>
      </c>
      <c r="E42" s="120">
        <f t="shared" si="6"/>
        <v>5</v>
      </c>
      <c r="F42" s="106">
        <f t="shared" si="3"/>
        <v>45.69</v>
      </c>
      <c r="G42" s="107">
        <f>IF(D42=D41,"",_xlfn.IFNA(VLOOKUP(D42,'인원 입력 기능(사과탐)'!$P$177:$S$231,4,FALSE),0))</f>
        <v>2505</v>
      </c>
      <c r="H42" s="108">
        <f t="shared" si="1"/>
        <v>4.6418115109513394E-2</v>
      </c>
      <c r="I42" s="118">
        <f>SUM($G$7:G42)</f>
        <v>30564</v>
      </c>
      <c r="J42" s="110">
        <f t="shared" si="4"/>
        <v>0.56635659489308088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73">
        <v>14</v>
      </c>
      <c r="D43" s="120">
        <f t="shared" si="5"/>
        <v>46</v>
      </c>
      <c r="E43" s="120">
        <f t="shared" si="6"/>
        <v>5</v>
      </c>
      <c r="F43" s="106">
        <f t="shared" si="3"/>
        <v>41.06</v>
      </c>
      <c r="G43" s="107">
        <f>IF(D43=D42,"",_xlfn.IFNA(VLOOKUP(D43,'인원 입력 기능(사과탐)'!$P$177:$S$231,4,FALSE),0))</f>
        <v>2489</v>
      </c>
      <c r="H43" s="108">
        <f t="shared" si="1"/>
        <v>4.6121632138754032E-2</v>
      </c>
      <c r="I43" s="118">
        <f>SUM($G$7:G43)</f>
        <v>33053</v>
      </c>
      <c r="J43" s="110">
        <f t="shared" si="4"/>
        <v>0.61247822703183485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119">
        <v>13</v>
      </c>
      <c r="D44" s="120">
        <f t="shared" si="5"/>
        <v>44</v>
      </c>
      <c r="E44" s="120">
        <f t="shared" si="6"/>
        <v>6</v>
      </c>
      <c r="F44" s="106">
        <f t="shared" si="3"/>
        <v>34.74</v>
      </c>
      <c r="G44" s="107">
        <f>IF(D44=D43,"",_xlfn.IFNA(VLOOKUP(D44,'인원 입력 기능(사과탐)'!$P$177:$S$231,4,FALSE),0))</f>
        <v>4329</v>
      </c>
      <c r="H44" s="108">
        <f t="shared" si="1"/>
        <v>8.021717377608123E-2</v>
      </c>
      <c r="I44" s="118">
        <f>SUM($G$7:G44)</f>
        <v>37382</v>
      </c>
      <c r="J44" s="110">
        <f t="shared" si="4"/>
        <v>0.69269540080791614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73">
        <v>12</v>
      </c>
      <c r="D45" s="120">
        <f t="shared" si="5"/>
        <v>43</v>
      </c>
      <c r="E45" s="120">
        <f t="shared" si="6"/>
        <v>6</v>
      </c>
      <c r="F45" s="106">
        <f t="shared" si="3"/>
        <v>28.42</v>
      </c>
      <c r="G45" s="107">
        <f>IF(D45=D44,"",_xlfn.IFNA(VLOOKUP(D45,'인원 입력 기능(사과탐)'!$P$177:$S$231,4,FALSE),0))</f>
        <v>2496</v>
      </c>
      <c r="H45" s="108">
        <f t="shared" si="1"/>
        <v>4.6251343438461254E-2</v>
      </c>
      <c r="I45" s="118">
        <f>SUM($G$7:G45)</f>
        <v>39878</v>
      </c>
      <c r="J45" s="110">
        <f t="shared" si="4"/>
        <v>0.7389467442463773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119">
        <v>11</v>
      </c>
      <c r="D46" s="120">
        <f t="shared" si="5"/>
        <v>42</v>
      </c>
      <c r="E46" s="120">
        <f t="shared" si="6"/>
        <v>6</v>
      </c>
      <c r="F46" s="106">
        <f t="shared" si="3"/>
        <v>23.52</v>
      </c>
      <c r="G46" s="107">
        <f>IF(D46=D45,"",_xlfn.IFNA(VLOOKUP(D46,'인원 입력 기능(사과탐)'!$P$177:$S$231,4,FALSE),0))</f>
        <v>2785</v>
      </c>
      <c r="H46" s="108">
        <f t="shared" si="1"/>
        <v>5.1606567097802321E-2</v>
      </c>
      <c r="I46" s="118">
        <f>SUM($G$7:G46)</f>
        <v>42663</v>
      </c>
      <c r="J46" s="110">
        <f t="shared" si="4"/>
        <v>0.79055331134417972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73">
        <v>10</v>
      </c>
      <c r="D47" s="120">
        <f t="shared" si="5"/>
        <v>41</v>
      </c>
      <c r="E47" s="120">
        <f t="shared" si="6"/>
        <v>7</v>
      </c>
      <c r="F47" s="106">
        <f t="shared" si="3"/>
        <v>19.11</v>
      </c>
      <c r="G47" s="107">
        <f>IF(D47=D46,"",_xlfn.IFNA(VLOOKUP(D47,'인원 입력 기능(사과탐)'!$P$177:$S$231,4,FALSE),0))</f>
        <v>1983</v>
      </c>
      <c r="H47" s="108">
        <f t="shared" si="1"/>
        <v>3.674535818848905E-2</v>
      </c>
      <c r="I47" s="118">
        <f>SUM($G$7:G47)</f>
        <v>44646</v>
      </c>
      <c r="J47" s="110">
        <f t="shared" si="4"/>
        <v>0.82729866953266873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119">
        <v>9</v>
      </c>
      <c r="D48" s="120">
        <f t="shared" si="5"/>
        <v>40</v>
      </c>
      <c r="E48" s="120">
        <f t="shared" si="6"/>
        <v>7</v>
      </c>
      <c r="F48" s="106">
        <f t="shared" si="3"/>
        <v>13.94</v>
      </c>
      <c r="G48" s="107">
        <f>IF(D48=D47,"",_xlfn.IFNA(VLOOKUP(D48,'인원 입력 기능(사과탐)'!$P$177:$S$231,4,FALSE),0))</f>
        <v>3591</v>
      </c>
      <c r="H48" s="108">
        <f t="shared" si="1"/>
        <v>6.6541896749805429E-2</v>
      </c>
      <c r="I48" s="118">
        <f>SUM($G$7:G48)</f>
        <v>48237</v>
      </c>
      <c r="J48" s="110">
        <f t="shared" si="4"/>
        <v>0.8938405662824741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73">
        <v>8</v>
      </c>
      <c r="D49" s="120">
        <f t="shared" si="5"/>
        <v>39</v>
      </c>
      <c r="E49" s="120">
        <f t="shared" si="6"/>
        <v>8</v>
      </c>
      <c r="F49" s="106">
        <f t="shared" si="3"/>
        <v>9.19</v>
      </c>
      <c r="G49" s="107">
        <f>IF(D49=D48,"",_xlfn.IFNA(VLOOKUP(D49,'인원 입력 기능(사과탐)'!$P$177:$S$231,4,FALSE),0))</f>
        <v>1543</v>
      </c>
      <c r="H49" s="108">
        <f t="shared" si="1"/>
        <v>2.8592076492606457E-2</v>
      </c>
      <c r="I49" s="118">
        <f>SUM($G$7:G49)</f>
        <v>49780</v>
      </c>
      <c r="J49" s="110">
        <f t="shared" si="4"/>
        <v>0.92243264277508064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19">
        <v>7</v>
      </c>
      <c r="D50" s="120">
        <f t="shared" si="5"/>
        <v>38</v>
      </c>
      <c r="E50" s="120">
        <f t="shared" si="6"/>
        <v>8</v>
      </c>
      <c r="F50" s="106">
        <f t="shared" si="3"/>
        <v>6.35</v>
      </c>
      <c r="G50" s="107">
        <f>IF(D50=D49,"",_xlfn.IFNA(VLOOKUP(D50,'인원 입력 기능(사과탐)'!$P$177:$S$231,4,FALSE),0))</f>
        <v>1519</v>
      </c>
      <c r="H50" s="108">
        <f t="shared" si="1"/>
        <v>2.8147352036467406E-2</v>
      </c>
      <c r="I50" s="118">
        <f>SUM($G$7:G50)</f>
        <v>51299</v>
      </c>
      <c r="J50" s="110">
        <f t="shared" si="4"/>
        <v>0.95057999481154798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73">
        <v>6</v>
      </c>
      <c r="D51" s="120">
        <f t="shared" si="5"/>
        <v>37</v>
      </c>
      <c r="E51" s="120">
        <f t="shared" si="6"/>
        <v>8</v>
      </c>
      <c r="F51" s="106">
        <f t="shared" si="3"/>
        <v>4.1100000000000003</v>
      </c>
      <c r="G51" s="107">
        <f>IF(D51=D50,"",_xlfn.IFNA(VLOOKUP(D51,'인원 입력 기능(사과탐)'!$P$177:$S$231,4,FALSE),0))</f>
        <v>901</v>
      </c>
      <c r="H51" s="108">
        <f t="shared" si="1"/>
        <v>1.6695697290886855E-2</v>
      </c>
      <c r="I51" s="118">
        <f>SUM($G$7:G51)</f>
        <v>52200</v>
      </c>
      <c r="J51" s="110">
        <f t="shared" si="4"/>
        <v>0.96727569210243491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119">
        <v>5</v>
      </c>
      <c r="D52" s="120">
        <f t="shared" si="5"/>
        <v>36</v>
      </c>
      <c r="E52" s="120">
        <f t="shared" si="6"/>
        <v>9</v>
      </c>
      <c r="F52" s="106">
        <f t="shared" si="3"/>
        <v>2.62</v>
      </c>
      <c r="G52" s="107">
        <f>IF(D52=D51,"",_xlfn.IFNA(VLOOKUP(D52,'인원 입력 기능(사과탐)'!$P$177:$S$231,4,FALSE),0))</f>
        <v>701</v>
      </c>
      <c r="H52" s="108">
        <f t="shared" si="1"/>
        <v>1.2989660156394767E-2</v>
      </c>
      <c r="I52" s="118">
        <f>SUM($G$7:G52)</f>
        <v>52901</v>
      </c>
      <c r="J52" s="110">
        <f t="shared" si="4"/>
        <v>0.9802653522588296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4">
        <v>4</v>
      </c>
      <c r="D53" s="105">
        <f t="shared" si="5"/>
        <v>35</v>
      </c>
      <c r="E53" s="105">
        <f t="shared" si="6"/>
        <v>9</v>
      </c>
      <c r="F53" s="106">
        <f t="shared" si="3"/>
        <v>1.46</v>
      </c>
      <c r="G53" s="107">
        <f>IF(D53=D52,"",_xlfn.IFNA(VLOOKUP(D53,'인원 입력 기능(사과탐)'!$P$177:$S$231,4,FALSE),0))</f>
        <v>556</v>
      </c>
      <c r="H53" s="108">
        <f t="shared" si="1"/>
        <v>1.0302783233888004E-2</v>
      </c>
      <c r="I53" s="118">
        <f>SUM($G$7:G53)</f>
        <v>53457</v>
      </c>
      <c r="J53" s="110">
        <f t="shared" si="4"/>
        <v>0.99056813549271761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111">
        <v>3</v>
      </c>
      <c r="D54" s="105">
        <f t="shared" si="5"/>
        <v>34</v>
      </c>
      <c r="E54" s="105">
        <f t="shared" si="6"/>
        <v>9</v>
      </c>
      <c r="F54" s="106">
        <f t="shared" si="3"/>
        <v>0.8</v>
      </c>
      <c r="G54" s="107">
        <f>IF(D54=D53,"",_xlfn.IFNA(VLOOKUP(D54,'인원 입력 기능(사과탐)'!$P$177:$S$231,4,FALSE),0))</f>
        <v>156</v>
      </c>
      <c r="H54" s="108">
        <f t="shared" si="1"/>
        <v>2.8907089649038284E-3</v>
      </c>
      <c r="I54" s="118">
        <f>SUM($G$7:G54)</f>
        <v>53613</v>
      </c>
      <c r="J54" s="110">
        <f t="shared" si="4"/>
        <v>0.99345884445762145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104">
        <v>2</v>
      </c>
      <c r="D55" s="105">
        <f t="shared" si="5"/>
        <v>33</v>
      </c>
      <c r="E55" s="105">
        <f t="shared" si="6"/>
        <v>9</v>
      </c>
      <c r="F55" s="106">
        <f t="shared" si="3"/>
        <v>0.4</v>
      </c>
      <c r="G55" s="107">
        <f>IF(D55=D54,"",_xlfn.IFNA(VLOOKUP(D55,'인원 입력 기능(사과탐)'!$P$177:$S$231,4,FALSE),0))</f>
        <v>278</v>
      </c>
      <c r="H55" s="108">
        <f t="shared" si="1"/>
        <v>5.1513916169440019E-3</v>
      </c>
      <c r="I55" s="118">
        <f>SUM($G$7:G55)</f>
        <v>53891</v>
      </c>
      <c r="J55" s="110">
        <f t="shared" si="4"/>
        <v>0.99861023607456545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111">
        <v>1</v>
      </c>
      <c r="D56" s="112" t="s">
        <v>57</v>
      </c>
      <c r="E56" s="112"/>
      <c r="F56" s="113"/>
      <c r="G56" s="174"/>
      <c r="H56" s="172"/>
      <c r="I56" s="136"/>
      <c r="J56" s="117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75">
        <v>0</v>
      </c>
      <c r="D57" s="138">
        <f>ROUND(10*(C57-$H$3)/$H$4+50,0)</f>
        <v>31</v>
      </c>
      <c r="E57" s="176">
        <f t="shared" si="6"/>
        <v>9</v>
      </c>
      <c r="F57" s="139">
        <f>IF(I55=0,ROUND(100*(1-(I54+I57)/2/$J$3),2),ROUND(100*(1-(I55+I57)/2/$J$3),2))</f>
        <v>7.0000000000000007E-2</v>
      </c>
      <c r="G57" s="177">
        <f>_xlfn.IFNA(VLOOKUP(D57,'인원 입력 기능(사과탐)'!$P$177:$S$231,4,FALSE),0)</f>
        <v>75</v>
      </c>
      <c r="H57" s="141">
        <f>G57/$J$3</f>
        <v>1.3897639254345328E-3</v>
      </c>
      <c r="I57" s="142">
        <f>SUM($G$7:G57)</f>
        <v>53966</v>
      </c>
      <c r="J57" s="178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">
    <mergeCell ref="D3:F3"/>
    <mergeCell ref="D4:F4"/>
  </mergeCells>
  <phoneticPr fontId="1" type="noConversion"/>
  <conditionalFormatting sqref="D7:G57 I7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57">
    <cfRule type="expression" dxfId="1" priority="2">
      <formula>$D7=$D8</formula>
    </cfRule>
  </conditionalFormatting>
  <conditionalFormatting sqref="H7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M40"/>
  <sheetViews>
    <sheetView tabSelected="1" zoomScale="85" zoomScaleNormal="85" workbookViewId="0">
      <selection activeCell="J32" sqref="J32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69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ht="25" customHeight="1" x14ac:dyDescent="0.45">
      <c r="B4" s="30"/>
      <c r="C4" s="88" t="s">
        <v>105</v>
      </c>
      <c r="D4" s="180" t="s">
        <v>70</v>
      </c>
      <c r="E4" s="180"/>
      <c r="F4" s="180"/>
      <c r="G4" s="181"/>
      <c r="H4" s="19"/>
      <c r="I4" s="19"/>
      <c r="J4" s="19"/>
      <c r="K4" s="19"/>
      <c r="L4" s="20"/>
      <c r="M4" s="31"/>
    </row>
    <row r="5" spans="1:13" ht="25" customHeight="1" thickBot="1" x14ac:dyDescent="0.5">
      <c r="B5" s="30"/>
      <c r="C5" s="94" t="s">
        <v>141</v>
      </c>
      <c r="D5" s="182" t="s">
        <v>142</v>
      </c>
      <c r="E5" s="182"/>
      <c r="F5" s="182"/>
      <c r="G5" s="183"/>
      <c r="H5" s="19"/>
      <c r="I5" s="19"/>
      <c r="J5" s="19"/>
      <c r="K5" s="19"/>
      <c r="L5" s="20"/>
      <c r="M5" s="31"/>
    </row>
    <row r="6" spans="1:13" ht="25" customHeight="1" x14ac:dyDescent="0.45">
      <c r="B6" s="30"/>
      <c r="C6" s="19"/>
      <c r="D6" s="19"/>
      <c r="E6" s="19"/>
      <c r="F6" s="19"/>
      <c r="G6" s="19"/>
      <c r="H6" s="19"/>
      <c r="I6" s="19"/>
      <c r="J6" s="19"/>
      <c r="K6" s="19"/>
      <c r="L6" s="20"/>
      <c r="M6" s="31"/>
    </row>
    <row r="7" spans="1:13" ht="25" customHeight="1" thickBot="1" x14ac:dyDescent="0.5">
      <c r="B7" s="30"/>
      <c r="C7" s="19"/>
      <c r="D7" s="19"/>
      <c r="E7" s="19"/>
      <c r="F7" s="19"/>
      <c r="G7" s="19"/>
      <c r="H7" s="19"/>
      <c r="I7" s="19"/>
      <c r="J7" s="19"/>
      <c r="K7" s="19"/>
      <c r="L7" s="20"/>
      <c r="M7" s="31"/>
    </row>
    <row r="8" spans="1:13" s="26" customFormat="1" ht="25" customHeight="1" thickBot="1" x14ac:dyDescent="0.5">
      <c r="A8" s="25"/>
      <c r="B8" s="41"/>
      <c r="C8" s="184" t="s">
        <v>143</v>
      </c>
      <c r="D8" s="185" t="s">
        <v>144</v>
      </c>
      <c r="E8" s="186" t="s">
        <v>145</v>
      </c>
      <c r="F8" s="37"/>
      <c r="G8" s="37"/>
      <c r="H8" s="37"/>
      <c r="I8" s="37"/>
      <c r="J8" s="37"/>
      <c r="K8" s="37"/>
      <c r="L8" s="38"/>
      <c r="M8" s="42"/>
    </row>
    <row r="9" spans="1:13" s="26" customFormat="1" ht="25" customHeight="1" x14ac:dyDescent="0.45">
      <c r="A9" s="25"/>
      <c r="B9" s="41"/>
      <c r="C9" s="187" t="s">
        <v>146</v>
      </c>
      <c r="D9" s="188">
        <f>ROUNDUP((국어!$Q7-0.5-100)/20*국어!$H$4+국어!$H$3, 0)</f>
        <v>85</v>
      </c>
      <c r="E9" s="189">
        <f>ROUNDUP((수학!$Q7-0.5-100)/20*수학!$H$4+수학!$H$3, 0)</f>
        <v>84</v>
      </c>
      <c r="F9" s="37"/>
      <c r="G9" s="37"/>
      <c r="H9" s="37"/>
      <c r="I9" s="37"/>
      <c r="J9" s="37"/>
      <c r="K9" s="37"/>
      <c r="L9" s="38"/>
      <c r="M9" s="42"/>
    </row>
    <row r="10" spans="1:13" s="26" customFormat="1" ht="25" customHeight="1" x14ac:dyDescent="0.45">
      <c r="A10" s="25"/>
      <c r="B10" s="41"/>
      <c r="C10" s="190" t="s">
        <v>147</v>
      </c>
      <c r="D10" s="173">
        <f>ROUNDUP((국어!$Q8-0.5-100)/20*국어!$H$4+국어!$H$3, 0)</f>
        <v>76</v>
      </c>
      <c r="E10" s="191">
        <f>ROUNDUP((수학!$Q8-0.5-100)/20*수학!$H$4+수학!$H$3, 0)</f>
        <v>72</v>
      </c>
      <c r="F10" s="37"/>
      <c r="G10" s="37"/>
      <c r="H10" s="37"/>
      <c r="I10" s="37"/>
      <c r="J10" s="37"/>
      <c r="K10" s="37"/>
      <c r="L10" s="38"/>
      <c r="M10" s="42"/>
    </row>
    <row r="11" spans="1:13" s="26" customFormat="1" ht="25" customHeight="1" x14ac:dyDescent="0.45">
      <c r="A11" s="25"/>
      <c r="B11" s="41"/>
      <c r="C11" s="190" t="s">
        <v>148</v>
      </c>
      <c r="D11" s="173">
        <f>ROUNDUP((국어!$Q9-0.5-100)/20*국어!$H$4+국어!$H$3, 0)</f>
        <v>65</v>
      </c>
      <c r="E11" s="191">
        <f>ROUNDUP((수학!$Q9-0.5-100)/20*수학!$H$4+수학!$H$3, 0)</f>
        <v>58</v>
      </c>
      <c r="F11" s="37"/>
      <c r="G11" s="37"/>
      <c r="H11" s="37"/>
      <c r="I11" s="37"/>
      <c r="J11" s="37"/>
      <c r="K11" s="37"/>
      <c r="L11" s="38"/>
      <c r="M11" s="42"/>
    </row>
    <row r="12" spans="1:13" s="26" customFormat="1" ht="25" customHeight="1" x14ac:dyDescent="0.45">
      <c r="A12" s="25"/>
      <c r="B12" s="41"/>
      <c r="C12" s="190" t="s">
        <v>149</v>
      </c>
      <c r="D12" s="173">
        <f>ROUNDUP((국어!$Q10-0.5-100)/20*국어!$H$4+국어!$H$3, 0)</f>
        <v>54</v>
      </c>
      <c r="E12" s="191">
        <f>ROUNDUP((수학!$Q10-0.5-100)/20*수학!$H$4+수학!$H$3, 0)</f>
        <v>40</v>
      </c>
      <c r="F12" s="37"/>
      <c r="G12" s="37"/>
      <c r="H12" s="37"/>
      <c r="I12" s="37"/>
      <c r="J12" s="37"/>
      <c r="K12" s="37"/>
      <c r="L12" s="38"/>
      <c r="M12" s="42"/>
    </row>
    <row r="13" spans="1:13" s="26" customFormat="1" ht="25" customHeight="1" x14ac:dyDescent="0.45">
      <c r="A13" s="25"/>
      <c r="B13" s="41"/>
      <c r="C13" s="190" t="s">
        <v>150</v>
      </c>
      <c r="D13" s="173">
        <f>ROUNDUP((국어!$Q11-0.5-100)/20*국어!$H$4+국어!$H$3, 0)</f>
        <v>41</v>
      </c>
      <c r="E13" s="191">
        <f>ROUNDUP((수학!$Q11-0.5-100)/20*수학!$H$4+수학!$H$3, 0)</f>
        <v>24</v>
      </c>
      <c r="F13" s="37"/>
      <c r="G13" s="37"/>
      <c r="H13" s="37"/>
      <c r="I13" s="37"/>
      <c r="J13" s="37"/>
      <c r="K13" s="37"/>
      <c r="L13" s="38"/>
      <c r="M13" s="42"/>
    </row>
    <row r="14" spans="1:13" s="26" customFormat="1" ht="25" customHeight="1" x14ac:dyDescent="0.45">
      <c r="A14" s="25"/>
      <c r="B14" s="41"/>
      <c r="C14" s="190" t="s">
        <v>151</v>
      </c>
      <c r="D14" s="173">
        <f>ROUNDUP((국어!$Q12-0.5-100)/20*국어!$H$4+국어!$H$3, 0)</f>
        <v>29</v>
      </c>
      <c r="E14" s="191">
        <f>ROUNDUP((수학!$Q12-0.5-100)/20*수학!$H$4+수학!$H$3, 0)</f>
        <v>16</v>
      </c>
      <c r="F14" s="37"/>
      <c r="G14" s="37"/>
      <c r="H14" s="37"/>
      <c r="I14" s="37"/>
      <c r="J14" s="37"/>
      <c r="K14" s="37"/>
      <c r="L14" s="38"/>
      <c r="M14" s="42"/>
    </row>
    <row r="15" spans="1:13" s="26" customFormat="1" ht="25" customHeight="1" x14ac:dyDescent="0.45">
      <c r="A15" s="25"/>
      <c r="B15" s="41"/>
      <c r="C15" s="190" t="s">
        <v>152</v>
      </c>
      <c r="D15" s="173">
        <f>ROUNDUP((국어!$Q13-0.5-100)/20*국어!$H$4+국어!$H$3, 0)</f>
        <v>22</v>
      </c>
      <c r="E15" s="191">
        <f>ROUNDUP((수학!$Q13-0.5-100)/20*수학!$H$4+수학!$H$3, 0)</f>
        <v>13</v>
      </c>
      <c r="F15" s="37"/>
      <c r="G15" s="37"/>
      <c r="H15" s="37"/>
      <c r="I15" s="37"/>
      <c r="J15" s="37"/>
      <c r="K15" s="37"/>
      <c r="L15" s="38"/>
      <c r="M15" s="42"/>
    </row>
    <row r="16" spans="1:13" s="26" customFormat="1" ht="25" customHeight="1" thickBot="1" x14ac:dyDescent="0.5">
      <c r="A16" s="25"/>
      <c r="B16" s="41"/>
      <c r="C16" s="192" t="s">
        <v>153</v>
      </c>
      <c r="D16" s="193">
        <f>ROUNDUP((국어!$Q14-0.5-100)/20*국어!$H$4+국어!$H$3, 0)</f>
        <v>17</v>
      </c>
      <c r="E16" s="194">
        <f>ROUNDUP((수학!$Q14-0.5-100)/20*수학!$H$4+수학!$H$3, 0)</f>
        <v>9</v>
      </c>
      <c r="F16" s="37"/>
      <c r="G16" s="37"/>
      <c r="H16" s="37"/>
      <c r="I16" s="37"/>
      <c r="J16" s="37"/>
      <c r="K16" s="37"/>
      <c r="L16" s="38"/>
      <c r="M16" s="42"/>
    </row>
    <row r="17" spans="1:13" s="26" customFormat="1" ht="25" customHeight="1" x14ac:dyDescent="0.45">
      <c r="A17" s="25"/>
      <c r="B17" s="41"/>
      <c r="C17" s="37"/>
      <c r="D17" s="37"/>
      <c r="E17" s="37"/>
      <c r="F17" s="37"/>
      <c r="G17" s="37"/>
      <c r="H17" s="37"/>
      <c r="I17" s="37"/>
      <c r="J17" s="37"/>
      <c r="K17" s="37"/>
      <c r="L17" s="38"/>
      <c r="M17" s="42"/>
    </row>
    <row r="18" spans="1:13" s="26" customFormat="1" ht="25" customHeight="1" thickBot="1" x14ac:dyDescent="0.5">
      <c r="A18" s="25"/>
      <c r="B18" s="41"/>
      <c r="C18" s="37"/>
      <c r="D18" s="37"/>
      <c r="E18" s="37"/>
      <c r="F18" s="37"/>
      <c r="G18" s="37"/>
      <c r="H18" s="37"/>
      <c r="I18" s="37"/>
      <c r="J18" s="37"/>
      <c r="K18" s="37"/>
      <c r="L18" s="38"/>
      <c r="M18" s="42"/>
    </row>
    <row r="19" spans="1:13" s="26" customFormat="1" ht="25" customHeight="1" thickBot="1" x14ac:dyDescent="0.5">
      <c r="A19" s="25"/>
      <c r="B19" s="41"/>
      <c r="C19" s="195" t="s">
        <v>154</v>
      </c>
      <c r="D19" s="196" t="s">
        <v>155</v>
      </c>
      <c r="E19" s="197" t="s">
        <v>156</v>
      </c>
      <c r="F19" s="197" t="s">
        <v>157</v>
      </c>
      <c r="G19" s="197" t="s">
        <v>158</v>
      </c>
      <c r="H19" s="197" t="s">
        <v>159</v>
      </c>
      <c r="I19" s="197" t="s">
        <v>160</v>
      </c>
      <c r="J19" s="197" t="s">
        <v>161</v>
      </c>
      <c r="K19" s="197" t="s">
        <v>162</v>
      </c>
      <c r="L19" s="186" t="s">
        <v>163</v>
      </c>
      <c r="M19" s="42"/>
    </row>
    <row r="20" spans="1:13" s="26" customFormat="1" ht="25" customHeight="1" x14ac:dyDescent="0.45">
      <c r="A20" s="25"/>
      <c r="B20" s="41"/>
      <c r="C20" s="198" t="s">
        <v>146</v>
      </c>
      <c r="D20" s="173">
        <f>ROUNDUP(('생활과 윤리'!$Q7-0.5-50)/10*'생활과 윤리'!$H$4+'생활과 윤리'!$H$3, 0)</f>
        <v>45</v>
      </c>
      <c r="E20" s="120">
        <f>ROUNDUP(('윤리와 사상'!$Q7-0.5-50)/10*'윤리와 사상'!$H$4+'윤리와 사상'!$H$3, 0)</f>
        <v>42</v>
      </c>
      <c r="F20" s="120">
        <f>ROUNDUP((한국지리!$Q7-0.5-50)/10*한국지리!$H$4+한국지리!$H$3, 0)</f>
        <v>47</v>
      </c>
      <c r="G20" s="120">
        <f>ROUNDUP((세계지리!$Q7-0.5-50)/10*세계지리!$H$4+세계지리!$H$3, 0)</f>
        <v>44</v>
      </c>
      <c r="H20" s="120">
        <f>ROUNDUP((동아시아사!$Q7-0.5-50)/10*동아시아사!$H$4+동아시아사!$H$3, 0)</f>
        <v>46</v>
      </c>
      <c r="I20" s="120">
        <f>ROUNDUP((세계사!$Q7-0.5-50)/10*세계사!$H$4+세계사!$H$3, 0)</f>
        <v>44</v>
      </c>
      <c r="J20" s="120">
        <f>ROUNDUP((경제!$Q7-0.5-50)/10*경제!$H$4+경제!$H$3, 0)</f>
        <v>44</v>
      </c>
      <c r="K20" s="120">
        <f>ROUNDUP(('정치와 법'!$Q7-0.5-50)/10*'정치와 법'!$H$4+'정치와 법'!$H$3, 0)</f>
        <v>44</v>
      </c>
      <c r="L20" s="199">
        <f>ROUNDUP((사회∙문화!$Q7-0.5-50)/10*사회∙문화!$H$4+사회∙문화!$H$3, 0)</f>
        <v>45</v>
      </c>
      <c r="M20" s="42"/>
    </row>
    <row r="21" spans="1:13" s="26" customFormat="1" ht="25" customHeight="1" x14ac:dyDescent="0.45">
      <c r="A21" s="25"/>
      <c r="B21" s="41"/>
      <c r="C21" s="200" t="s">
        <v>147</v>
      </c>
      <c r="D21" s="119">
        <f>ROUNDUP(('생활과 윤리'!$Q8-0.5-50)/10*'생활과 윤리'!$H$4+'생활과 윤리'!$H$3, 0)</f>
        <v>40</v>
      </c>
      <c r="E21" s="201">
        <f>ROUNDUP(('윤리와 사상'!$Q8-0.5-50)/10*'윤리와 사상'!$H$4+'윤리와 사상'!$H$3, 0)</f>
        <v>36</v>
      </c>
      <c r="F21" s="201">
        <f>ROUNDUP((한국지리!$Q8-0.5-50)/10*한국지리!$H$4+한국지리!$H$3, 0)</f>
        <v>41</v>
      </c>
      <c r="G21" s="201">
        <f>ROUNDUP((세계지리!$Q8-0.5-50)/10*세계지리!$H$4+세계지리!$H$3, 0)</f>
        <v>38</v>
      </c>
      <c r="H21" s="201">
        <f>ROUNDUP((동아시아사!$Q8-0.5-50)/10*동아시아사!$H$4+동아시아사!$H$3, 0)</f>
        <v>39</v>
      </c>
      <c r="I21" s="201">
        <f>ROUNDUP((세계사!$Q8-0.5-50)/10*세계사!$H$4+세계사!$H$3, 0)</f>
        <v>36</v>
      </c>
      <c r="J21" s="201">
        <f>ROUNDUP((경제!$Q8-0.5-50)/10*경제!$H$4+경제!$H$3, 0)</f>
        <v>37</v>
      </c>
      <c r="K21" s="201">
        <f>ROUNDUP(('정치와 법'!$Q8-0.5-50)/10*'정치와 법'!$H$4+'정치와 법'!$H$3, 0)</f>
        <v>38</v>
      </c>
      <c r="L21" s="202">
        <f>ROUNDUP((사회∙문화!$Q8-0.5-50)/10*사회∙문화!$H$4+사회∙문화!$H$3, 0)</f>
        <v>40</v>
      </c>
      <c r="M21" s="42"/>
    </row>
    <row r="22" spans="1:13" s="26" customFormat="1" ht="25" customHeight="1" x14ac:dyDescent="0.45">
      <c r="A22" s="25"/>
      <c r="B22" s="41"/>
      <c r="C22" s="200" t="s">
        <v>148</v>
      </c>
      <c r="D22" s="119">
        <f>ROUNDUP(('생활과 윤리'!$Q9-0.5-50)/10*'생활과 윤리'!$H$4+'생활과 윤리'!$H$3, 0)</f>
        <v>35</v>
      </c>
      <c r="E22" s="201">
        <f>ROUNDUP(('윤리와 사상'!$Q9-0.5-50)/10*'윤리와 사상'!$H$4+'윤리와 사상'!$H$3, 0)</f>
        <v>30</v>
      </c>
      <c r="F22" s="201">
        <f>ROUNDUP((한국지리!$Q9-0.5-50)/10*한국지리!$H$4+한국지리!$H$3, 0)</f>
        <v>35</v>
      </c>
      <c r="G22" s="201">
        <f>ROUNDUP((세계지리!$Q9-0.5-50)/10*세계지리!$H$4+세계지리!$H$3, 0)</f>
        <v>31</v>
      </c>
      <c r="H22" s="201">
        <f>ROUNDUP((동아시아사!$Q9-0.5-50)/10*동아시아사!$H$4+동아시아사!$H$3, 0)</f>
        <v>30</v>
      </c>
      <c r="I22" s="201">
        <f>ROUNDUP((세계사!$Q9-0.5-50)/10*세계사!$H$4+세계사!$H$3, 0)</f>
        <v>28</v>
      </c>
      <c r="J22" s="201">
        <f>ROUNDUP((경제!$Q9-0.5-50)/10*경제!$H$4+경제!$H$3, 0)</f>
        <v>28</v>
      </c>
      <c r="K22" s="201">
        <f>ROUNDUP(('정치와 법'!$Q9-0.5-50)/10*'정치와 법'!$H$4+'정치와 법'!$H$3, 0)</f>
        <v>30</v>
      </c>
      <c r="L22" s="202">
        <f>ROUNDUP((사회∙문화!$Q9-0.5-50)/10*사회∙문화!$H$4+사회∙문화!$H$3, 0)</f>
        <v>32</v>
      </c>
      <c r="M22" s="42"/>
    </row>
    <row r="23" spans="1:13" s="26" customFormat="1" ht="25" customHeight="1" x14ac:dyDescent="0.45">
      <c r="A23" s="25"/>
      <c r="B23" s="41"/>
      <c r="C23" s="200" t="s">
        <v>149</v>
      </c>
      <c r="D23" s="119">
        <f>ROUNDUP(('생활과 윤리'!$Q10-0.5-50)/10*'생활과 윤리'!$H$4+'생활과 윤리'!$H$3, 0)</f>
        <v>29</v>
      </c>
      <c r="E23" s="201">
        <f>ROUNDUP(('윤리와 사상'!$Q10-0.5-50)/10*'윤리와 사상'!$H$4+'윤리와 사상'!$H$3, 0)</f>
        <v>23</v>
      </c>
      <c r="F23" s="201">
        <f>ROUNDUP((한국지리!$Q10-0.5-50)/10*한국지리!$H$4+한국지리!$H$3, 0)</f>
        <v>29</v>
      </c>
      <c r="G23" s="201">
        <f>ROUNDUP((세계지리!$Q10-0.5-50)/10*세계지리!$H$4+세계지리!$H$3, 0)</f>
        <v>23</v>
      </c>
      <c r="H23" s="201">
        <f>ROUNDUP((동아시아사!$Q10-0.5-50)/10*동아시아사!$H$4+동아시아사!$H$3, 0)</f>
        <v>22</v>
      </c>
      <c r="I23" s="201">
        <f>ROUNDUP((세계사!$Q10-0.5-50)/10*세계사!$H$4+세계사!$H$3, 0)</f>
        <v>20</v>
      </c>
      <c r="J23" s="201">
        <f>ROUNDUP((경제!$Q10-0.5-50)/10*경제!$H$4+경제!$H$3, 0)</f>
        <v>21</v>
      </c>
      <c r="K23" s="201">
        <f>ROUNDUP(('정치와 법'!$Q10-0.5-50)/10*'정치와 법'!$H$4+'정치와 법'!$H$3, 0)</f>
        <v>22</v>
      </c>
      <c r="L23" s="202">
        <f>ROUNDUP((사회∙문화!$Q10-0.5-50)/10*사회∙문화!$H$4+사회∙문화!$H$3, 0)</f>
        <v>25</v>
      </c>
      <c r="M23" s="42"/>
    </row>
    <row r="24" spans="1:13" s="26" customFormat="1" ht="25" customHeight="1" x14ac:dyDescent="0.45">
      <c r="A24" s="25"/>
      <c r="B24" s="41"/>
      <c r="C24" s="200" t="s">
        <v>150</v>
      </c>
      <c r="D24" s="119">
        <f>ROUNDUP(('생활과 윤리'!$Q11-0.5-50)/10*'생활과 윤리'!$H$4+'생활과 윤리'!$H$3, 0)</f>
        <v>23</v>
      </c>
      <c r="E24" s="201">
        <f>ROUNDUP(('윤리와 사상'!$Q11-0.5-50)/10*'윤리와 사상'!$H$4+'윤리와 사상'!$H$3, 0)</f>
        <v>15</v>
      </c>
      <c r="F24" s="201">
        <f>ROUNDUP((한국지리!$Q11-0.5-50)/10*한국지리!$H$4+한국지리!$H$3, 0)</f>
        <v>21</v>
      </c>
      <c r="G24" s="201">
        <f>ROUNDUP((세계지리!$Q11-0.5-50)/10*세계지리!$H$4+세계지리!$H$3, 0)</f>
        <v>17</v>
      </c>
      <c r="H24" s="201">
        <f>ROUNDUP((동아시아사!$Q11-0.5-50)/10*동아시아사!$H$4+동아시아사!$H$3, 0)</f>
        <v>14</v>
      </c>
      <c r="I24" s="201">
        <f>ROUNDUP((세계사!$Q11-0.5-50)/10*세계사!$H$4+세계사!$H$3, 0)</f>
        <v>14</v>
      </c>
      <c r="J24" s="201">
        <f>ROUNDUP((경제!$Q11-0.5-50)/10*경제!$H$4+경제!$H$3, 0)</f>
        <v>15</v>
      </c>
      <c r="K24" s="201">
        <f>ROUNDUP(('정치와 법'!$Q11-0.5-50)/10*'정치와 법'!$H$4+'정치와 법'!$H$3, 0)</f>
        <v>15</v>
      </c>
      <c r="L24" s="202">
        <f>ROUNDUP((사회∙문화!$Q11-0.5-50)/10*사회∙문화!$H$4+사회∙문화!$H$3, 0)</f>
        <v>18</v>
      </c>
      <c r="M24" s="42"/>
    </row>
    <row r="25" spans="1:13" s="26" customFormat="1" ht="25" customHeight="1" x14ac:dyDescent="0.45">
      <c r="A25" s="25"/>
      <c r="B25" s="41"/>
      <c r="C25" s="200" t="s">
        <v>151</v>
      </c>
      <c r="D25" s="119">
        <f>ROUNDUP(('생활과 윤리'!$Q12-0.5-50)/10*'생활과 윤리'!$H$4+'생활과 윤리'!$H$3, 0)</f>
        <v>15</v>
      </c>
      <c r="E25" s="201">
        <f>ROUNDUP(('윤리와 사상'!$Q12-0.5-50)/10*'윤리와 사상'!$H$4+'윤리와 사상'!$H$3, 0)</f>
        <v>11</v>
      </c>
      <c r="F25" s="201">
        <f>ROUNDUP((한국지리!$Q12-0.5-50)/10*한국지리!$H$4+한국지리!$H$3, 0)</f>
        <v>13</v>
      </c>
      <c r="G25" s="201">
        <f>ROUNDUP((세계지리!$Q12-0.5-50)/10*세계지리!$H$4+세계지리!$H$3, 0)</f>
        <v>12</v>
      </c>
      <c r="H25" s="201">
        <f>ROUNDUP((동아시아사!$Q12-0.5-50)/10*동아시아사!$H$4+동아시아사!$H$3, 0)</f>
        <v>9</v>
      </c>
      <c r="I25" s="201">
        <f>ROUNDUP((세계사!$Q12-0.5-50)/10*세계사!$H$4+세계사!$H$3, 0)</f>
        <v>10</v>
      </c>
      <c r="J25" s="201">
        <f>ROUNDUP((경제!$Q12-0.5-50)/10*경제!$H$4+경제!$H$3, 0)</f>
        <v>12</v>
      </c>
      <c r="K25" s="201">
        <f>ROUNDUP(('정치와 법'!$Q12-0.5-50)/10*'정치와 법'!$H$4+'정치와 법'!$H$3, 0)</f>
        <v>12</v>
      </c>
      <c r="L25" s="202">
        <f>ROUNDUP((사회∙문화!$Q12-0.5-50)/10*사회∙문화!$H$4+사회∙문화!$H$3, 0)</f>
        <v>12</v>
      </c>
      <c r="M25" s="42"/>
    </row>
    <row r="26" spans="1:13" s="26" customFormat="1" ht="25" customHeight="1" x14ac:dyDescent="0.45">
      <c r="A26" s="25"/>
      <c r="B26" s="41"/>
      <c r="C26" s="200" t="s">
        <v>152</v>
      </c>
      <c r="D26" s="119">
        <f>ROUNDUP(('생활과 윤리'!$Q13-0.5-50)/10*'생활과 윤리'!$H$4+'생활과 윤리'!$H$3, 0)</f>
        <v>10</v>
      </c>
      <c r="E26" s="201">
        <f>ROUNDUP(('윤리와 사상'!$Q13-0.5-50)/10*'윤리와 사상'!$H$4+'윤리와 사상'!$H$3, 0)</f>
        <v>8</v>
      </c>
      <c r="F26" s="201">
        <f>ROUNDUP((한국지리!$Q13-0.5-50)/10*한국지리!$H$4+한국지리!$H$3, 0)</f>
        <v>10</v>
      </c>
      <c r="G26" s="201">
        <f>ROUNDUP((세계지리!$Q13-0.5-50)/10*세계지리!$H$4+세계지리!$H$3, 0)</f>
        <v>9</v>
      </c>
      <c r="H26" s="201">
        <f>ROUNDUP((동아시아사!$Q13-0.5-50)/10*동아시아사!$H$4+동아시아사!$H$3, 0)</f>
        <v>7</v>
      </c>
      <c r="I26" s="201">
        <f>ROUNDUP((세계사!$Q13-0.5-50)/10*세계사!$H$4+세계사!$H$3, 0)</f>
        <v>7</v>
      </c>
      <c r="J26" s="201">
        <f>ROUNDUP((경제!$Q13-0.5-50)/10*경제!$H$4+경제!$H$3, 0)</f>
        <v>9</v>
      </c>
      <c r="K26" s="201">
        <f>ROUNDUP(('정치와 법'!$Q13-0.5-50)/10*'정치와 법'!$H$4+'정치와 법'!$H$3, 0)</f>
        <v>9</v>
      </c>
      <c r="L26" s="202">
        <f>ROUNDUP((사회∙문화!$Q13-0.5-50)/10*사회∙문화!$H$4+사회∙문화!$H$3, 0)</f>
        <v>9</v>
      </c>
      <c r="M26" s="42"/>
    </row>
    <row r="27" spans="1:13" s="26" customFormat="1" ht="25" customHeight="1" thickBot="1" x14ac:dyDescent="0.5">
      <c r="A27" s="25"/>
      <c r="B27" s="41"/>
      <c r="C27" s="203" t="s">
        <v>153</v>
      </c>
      <c r="D27" s="204">
        <f>ROUNDUP(('생활과 윤리'!$Q14-0.5-50)/10*'생활과 윤리'!$H$4+'생활과 윤리'!$H$3, 0)</f>
        <v>8</v>
      </c>
      <c r="E27" s="205">
        <f>ROUNDUP(('윤리와 사상'!$Q14-0.5-50)/10*'윤리와 사상'!$H$4+'윤리와 사상'!$H$3, 0)</f>
        <v>6</v>
      </c>
      <c r="F27" s="205">
        <f>ROUNDUP((한국지리!$Q14-0.5-50)/10*한국지리!$H$4+한국지리!$H$3, 0)</f>
        <v>6</v>
      </c>
      <c r="G27" s="205">
        <f>ROUNDUP((세계지리!$Q14-0.5-50)/10*세계지리!$H$4+세계지리!$H$3, 0)</f>
        <v>7</v>
      </c>
      <c r="H27" s="205">
        <f>ROUNDUP((동아시아사!$Q14-0.5-50)/10*동아시아사!$H$4+동아시아사!$H$3, 0)</f>
        <v>5</v>
      </c>
      <c r="I27" s="205">
        <f>ROUNDUP((세계사!$Q14-0.5-50)/10*세계사!$H$4+세계사!$H$3, 0)</f>
        <v>6</v>
      </c>
      <c r="J27" s="205">
        <f>ROUNDUP((경제!$Q14-0.5-50)/10*경제!$H$4+경제!$H$3, 0)</f>
        <v>6</v>
      </c>
      <c r="K27" s="205">
        <f>ROUNDUP(('정치와 법'!$Q14-0.5-50)/10*'정치와 법'!$H$4+'정치와 법'!$H$3, 0)</f>
        <v>6</v>
      </c>
      <c r="L27" s="206">
        <f>ROUNDUP((사회∙문화!$Q14-0.5-50)/10*사회∙문화!$H$4+사회∙문화!$H$3, 0)</f>
        <v>7</v>
      </c>
      <c r="M27" s="42"/>
    </row>
    <row r="28" spans="1:13" s="26" customFormat="1" ht="25" customHeight="1" x14ac:dyDescent="0.45">
      <c r="A28" s="25"/>
      <c r="B28" s="41"/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42"/>
    </row>
    <row r="29" spans="1:13" s="26" customFormat="1" ht="25" customHeight="1" thickBot="1" x14ac:dyDescent="0.5">
      <c r="A29" s="25"/>
      <c r="B29" s="41"/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42"/>
    </row>
    <row r="30" spans="1:13" s="26" customFormat="1" ht="25" customHeight="1" thickBot="1" x14ac:dyDescent="0.5">
      <c r="A30" s="25"/>
      <c r="B30" s="41"/>
      <c r="C30" s="184" t="s">
        <v>164</v>
      </c>
      <c r="D30" s="185" t="s">
        <v>165</v>
      </c>
      <c r="E30" s="197" t="s">
        <v>166</v>
      </c>
      <c r="F30" s="185" t="s">
        <v>167</v>
      </c>
      <c r="G30" s="186" t="s">
        <v>168</v>
      </c>
      <c r="H30" s="37"/>
      <c r="I30" s="37"/>
      <c r="J30" s="38"/>
      <c r="K30" s="38"/>
      <c r="L30" s="38"/>
      <c r="M30" s="42"/>
    </row>
    <row r="31" spans="1:13" s="26" customFormat="1" ht="25" customHeight="1" x14ac:dyDescent="0.45">
      <c r="A31" s="25"/>
      <c r="B31" s="41"/>
      <c r="C31" s="187" t="s">
        <v>146</v>
      </c>
      <c r="D31" s="207">
        <f>ROUNDUP((물리학Ⅰ!$Q7-0.5-50)/10*물리학Ⅰ!$H$4+물리학Ⅰ!$H$3, 0)</f>
        <v>41</v>
      </c>
      <c r="E31" s="207">
        <f>ROUNDUP((화학Ⅰ!$Q7-0.5-50)/10*화학Ⅰ!$H$4+화학Ⅰ!$H$3, 0)</f>
        <v>35</v>
      </c>
      <c r="F31" s="207">
        <f>ROUNDUP((생명과학Ⅰ!$Q7-0.5-50)/10*생명과학Ⅰ!$H$4+생명과학Ⅰ!$H$3, 0)</f>
        <v>44</v>
      </c>
      <c r="G31" s="189">
        <f>ROUNDUP((지구과학Ⅰ!$Q7-0.5-50)/10*지구과학Ⅰ!$H$4+지구과학Ⅰ!$H$3, 0)</f>
        <v>39</v>
      </c>
      <c r="H31" s="37"/>
      <c r="I31" s="37"/>
      <c r="J31" s="38"/>
      <c r="K31" s="38"/>
      <c r="L31" s="38"/>
      <c r="M31" s="42"/>
    </row>
    <row r="32" spans="1:13" s="26" customFormat="1" ht="25" customHeight="1" x14ac:dyDescent="0.45">
      <c r="A32" s="25"/>
      <c r="B32" s="41"/>
      <c r="C32" s="190" t="s">
        <v>147</v>
      </c>
      <c r="D32" s="208">
        <f>ROUNDUP((물리학Ⅰ!$Q8-0.5-50)/10*물리학Ⅰ!$H$4+물리학Ⅰ!$H$3, 0)</f>
        <v>33</v>
      </c>
      <c r="E32" s="208">
        <f>ROUNDUP((화학Ⅰ!$Q8-0.5-50)/10*화학Ⅰ!$H$4+화학Ⅰ!$H$3, 0)</f>
        <v>29</v>
      </c>
      <c r="F32" s="208">
        <f>ROUNDUP((생명과학Ⅰ!$Q8-0.5-50)/10*생명과학Ⅰ!$H$4+생명과학Ⅰ!$H$3, 0)</f>
        <v>38</v>
      </c>
      <c r="G32" s="191">
        <f>ROUNDUP((지구과학Ⅰ!$Q8-0.5-50)/10*지구과학Ⅰ!$H$4+지구과학Ⅰ!$H$3, 0)</f>
        <v>31</v>
      </c>
      <c r="H32" s="37"/>
      <c r="I32" s="37"/>
      <c r="J32" s="38"/>
      <c r="K32" s="38"/>
      <c r="L32" s="38"/>
      <c r="M32" s="42"/>
    </row>
    <row r="33" spans="1:13" s="26" customFormat="1" ht="25" customHeight="1" x14ac:dyDescent="0.45">
      <c r="A33" s="25"/>
      <c r="B33" s="41"/>
      <c r="C33" s="190" t="s">
        <v>148</v>
      </c>
      <c r="D33" s="208">
        <f>ROUNDUP((물리학Ⅰ!$Q9-0.5-50)/10*물리학Ⅰ!$H$4+물리학Ⅰ!$H$3, 0)</f>
        <v>26</v>
      </c>
      <c r="E33" s="208">
        <f>ROUNDUP((화학Ⅰ!$Q9-0.5-50)/10*화학Ⅰ!$H$4+화학Ⅰ!$H$3, 0)</f>
        <v>23</v>
      </c>
      <c r="F33" s="208">
        <f>ROUNDUP((생명과학Ⅰ!$Q9-0.5-50)/10*생명과학Ⅰ!$H$4+생명과학Ⅰ!$H$3, 0)</f>
        <v>31</v>
      </c>
      <c r="G33" s="191">
        <f>ROUNDUP((지구과학Ⅰ!$Q9-0.5-50)/10*지구과학Ⅰ!$H$4+지구과학Ⅰ!$H$3, 0)</f>
        <v>24</v>
      </c>
      <c r="H33" s="37"/>
      <c r="I33" s="37"/>
      <c r="J33" s="38"/>
      <c r="K33" s="38"/>
      <c r="L33" s="38"/>
      <c r="M33" s="42"/>
    </row>
    <row r="34" spans="1:13" s="26" customFormat="1" ht="25" customHeight="1" x14ac:dyDescent="0.45">
      <c r="A34" s="25"/>
      <c r="B34" s="41"/>
      <c r="C34" s="190" t="s">
        <v>149</v>
      </c>
      <c r="D34" s="208">
        <f>ROUNDUP((물리학Ⅰ!$Q10-0.5-50)/10*물리학Ⅰ!$H$4+물리학Ⅰ!$H$3, 0)</f>
        <v>20</v>
      </c>
      <c r="E34" s="208">
        <f>ROUNDUP((화학Ⅰ!$Q10-0.5-50)/10*화학Ⅰ!$H$4+화학Ⅰ!$H$3, 0)</f>
        <v>18</v>
      </c>
      <c r="F34" s="208">
        <f>ROUNDUP((생명과학Ⅰ!$Q10-0.5-50)/10*생명과학Ⅰ!$H$4+생명과학Ⅰ!$H$3, 0)</f>
        <v>25</v>
      </c>
      <c r="G34" s="191">
        <f>ROUNDUP((지구과학Ⅰ!$Q10-0.5-50)/10*지구과학Ⅰ!$H$4+지구과학Ⅰ!$H$3, 0)</f>
        <v>18</v>
      </c>
      <c r="H34" s="37"/>
      <c r="I34" s="37"/>
      <c r="J34" s="38"/>
      <c r="K34" s="38"/>
      <c r="L34" s="38"/>
      <c r="M34" s="42"/>
    </row>
    <row r="35" spans="1:13" s="26" customFormat="1" ht="25" customHeight="1" x14ac:dyDescent="0.45">
      <c r="A35" s="25"/>
      <c r="B35" s="41"/>
      <c r="C35" s="190" t="s">
        <v>150</v>
      </c>
      <c r="D35" s="208">
        <f>ROUNDUP((물리학Ⅰ!$Q11-0.5-50)/10*물리학Ⅰ!$H$4+물리학Ⅰ!$H$3, 0)</f>
        <v>15</v>
      </c>
      <c r="E35" s="208">
        <f>ROUNDUP((화학Ⅰ!$Q11-0.5-50)/10*화학Ⅰ!$H$4+화학Ⅰ!$H$3, 0)</f>
        <v>13</v>
      </c>
      <c r="F35" s="208">
        <f>ROUNDUP((생명과학Ⅰ!$Q11-0.5-50)/10*생명과학Ⅰ!$H$4+생명과학Ⅰ!$H$3, 0)</f>
        <v>19</v>
      </c>
      <c r="G35" s="191">
        <f>ROUNDUP((지구과학Ⅰ!$Q11-0.5-50)/10*지구과학Ⅰ!$H$4+지구과학Ⅰ!$H$3, 0)</f>
        <v>14</v>
      </c>
      <c r="H35" s="37"/>
      <c r="I35" s="37"/>
      <c r="J35" s="38"/>
      <c r="K35" s="38"/>
      <c r="L35" s="38"/>
      <c r="M35" s="42"/>
    </row>
    <row r="36" spans="1:13" s="26" customFormat="1" ht="25" customHeight="1" x14ac:dyDescent="0.45">
      <c r="A36" s="25"/>
      <c r="B36" s="41"/>
      <c r="C36" s="190" t="s">
        <v>151</v>
      </c>
      <c r="D36" s="208">
        <f>ROUNDUP((물리학Ⅰ!$Q12-0.5-50)/10*물리학Ⅰ!$H$4+물리학Ⅰ!$H$3, 0)</f>
        <v>11</v>
      </c>
      <c r="E36" s="208">
        <f>ROUNDUP((화학Ⅰ!$Q12-0.5-50)/10*화학Ⅰ!$H$4+화학Ⅰ!$H$3, 0)</f>
        <v>11</v>
      </c>
      <c r="F36" s="208">
        <f>ROUNDUP((생명과학Ⅰ!$Q12-0.5-50)/10*생명과학Ⅰ!$H$4+생명과학Ⅰ!$H$3, 0)</f>
        <v>14</v>
      </c>
      <c r="G36" s="191">
        <f>ROUNDUP((지구과학Ⅰ!$Q12-0.5-50)/10*지구과학Ⅰ!$H$4+지구과학Ⅰ!$H$3, 0)</f>
        <v>11</v>
      </c>
      <c r="H36" s="37"/>
      <c r="I36" s="37"/>
      <c r="J36" s="38"/>
      <c r="K36" s="38"/>
      <c r="L36" s="38"/>
      <c r="M36" s="42"/>
    </row>
    <row r="37" spans="1:13" s="26" customFormat="1" ht="25" customHeight="1" x14ac:dyDescent="0.45">
      <c r="A37" s="25"/>
      <c r="B37" s="41"/>
      <c r="C37" s="190" t="s">
        <v>152</v>
      </c>
      <c r="D37" s="208">
        <f>ROUNDUP((물리학Ⅰ!$Q13-0.5-50)/10*물리학Ⅰ!$H$4+물리학Ⅰ!$H$3, 0)</f>
        <v>9</v>
      </c>
      <c r="E37" s="208">
        <f>ROUNDUP((화학Ⅰ!$Q13-0.5-50)/10*화학Ⅰ!$H$4+화학Ⅰ!$H$3, 0)</f>
        <v>8</v>
      </c>
      <c r="F37" s="208">
        <f>ROUNDUP((생명과학Ⅰ!$Q13-0.5-50)/10*생명과학Ⅰ!$H$4+생명과학Ⅰ!$H$3, 0)</f>
        <v>10</v>
      </c>
      <c r="G37" s="191">
        <f>ROUNDUP((지구과학Ⅰ!$Q13-0.5-50)/10*지구과학Ⅰ!$H$4+지구과학Ⅰ!$H$3, 0)</f>
        <v>9</v>
      </c>
      <c r="H37" s="37"/>
      <c r="I37" s="37"/>
      <c r="J37" s="38"/>
      <c r="K37" s="38"/>
      <c r="L37" s="38"/>
      <c r="M37" s="42"/>
    </row>
    <row r="38" spans="1:13" s="26" customFormat="1" ht="25" customHeight="1" thickBot="1" x14ac:dyDescent="0.5">
      <c r="A38" s="25"/>
      <c r="B38" s="41"/>
      <c r="C38" s="192" t="s">
        <v>153</v>
      </c>
      <c r="D38" s="209">
        <f>ROUNDUP((물리학Ⅰ!$Q14-0.5-50)/10*물리학Ⅰ!$H$4+물리학Ⅰ!$H$3, 0)</f>
        <v>7</v>
      </c>
      <c r="E38" s="209">
        <f>ROUNDUP((화학Ⅰ!$Q14-0.5-50)/10*화학Ⅰ!$H$4+화학Ⅰ!$H$3, 0)</f>
        <v>5</v>
      </c>
      <c r="F38" s="209">
        <f>ROUNDUP((생명과학Ⅰ!$Q14-0.5-50)/10*생명과학Ⅰ!$H$4+생명과학Ⅰ!$H$3, 0)</f>
        <v>7</v>
      </c>
      <c r="G38" s="194">
        <f>ROUNDUP((지구과학Ⅰ!$Q14-0.5-50)/10*지구과학Ⅰ!$H$4+지구과학Ⅰ!$H$3, 0)</f>
        <v>6</v>
      </c>
      <c r="H38" s="37"/>
      <c r="I38" s="37"/>
      <c r="J38" s="38"/>
      <c r="K38" s="38"/>
      <c r="L38" s="38"/>
      <c r="M38" s="42"/>
    </row>
    <row r="39" spans="1:13" s="26" customFormat="1" ht="6" customHeight="1" x14ac:dyDescent="0.45">
      <c r="A39" s="25"/>
      <c r="B39" s="43"/>
      <c r="C39" s="44"/>
      <c r="D39" s="44"/>
      <c r="E39" s="44"/>
      <c r="F39" s="44"/>
      <c r="G39" s="44"/>
      <c r="H39" s="44"/>
      <c r="I39" s="44"/>
      <c r="J39" s="44"/>
      <c r="K39" s="44"/>
      <c r="L39" s="45"/>
      <c r="M39" s="46"/>
    </row>
    <row r="40" spans="1:13" x14ac:dyDescent="0.45">
      <c r="B40" s="5"/>
      <c r="C40" s="17"/>
      <c r="D40" s="3"/>
      <c r="E40" s="3"/>
      <c r="F40" s="3"/>
      <c r="G40" s="3"/>
      <c r="H40" s="3"/>
      <c r="I40" s="3"/>
      <c r="J40" s="3"/>
      <c r="K40" s="3"/>
      <c r="L40" s="5"/>
      <c r="M40" s="5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8B7C-F332-4B99-8CCF-D810A511DBE4}">
  <dimension ref="A1"/>
  <sheetViews>
    <sheetView workbookViewId="0"/>
  </sheetViews>
  <sheetFormatPr defaultRowHeight="17" x14ac:dyDescent="0.4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등급컷 모아보기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윤승혁</cp:lastModifiedBy>
  <dcterms:created xsi:type="dcterms:W3CDTF">2018-04-21T04:34:05Z</dcterms:created>
  <dcterms:modified xsi:type="dcterms:W3CDTF">2022-09-26T05:06:39Z</dcterms:modified>
</cp:coreProperties>
</file>