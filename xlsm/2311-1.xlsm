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1/"/>
    </mc:Choice>
  </mc:AlternateContent>
  <xr:revisionPtr revIDLastSave="203" documentId="13_ncr:1_{0148BDF7-E7C8-4851-8DC0-850B4759F037}" xr6:coauthVersionLast="47" xr6:coauthVersionMax="47" xr10:uidLastSave="{3FC7E171-4B56-4DCE-B3BA-3862C1C4A352}"/>
  <bookViews>
    <workbookView minimized="1" xWindow="0" yWindow="3460" windowWidth="7680" windowHeight="5880" firstSheet="1" activeTab="8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8" l="1"/>
  <c r="H4" i="68"/>
  <c r="H3" i="68"/>
  <c r="J3" i="69"/>
  <c r="H4" i="69"/>
  <c r="H3" i="69"/>
  <c r="E15" i="68" l="1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G13" i="68" l="1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Q8" i="5" l="1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2"/>
  <c r="L102" i="2" s="1"/>
  <c r="L107" i="2" l="1"/>
  <c r="L102" i="5"/>
  <c r="E102" i="2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D10" i="5"/>
  <c r="L10" i="5" s="1"/>
  <c r="D11" i="5"/>
  <c r="D12" i="5"/>
  <c r="D13" i="5"/>
  <c r="L13" i="5" s="1"/>
  <c r="L14" i="5"/>
  <c r="D15" i="5"/>
  <c r="D16" i="5"/>
  <c r="L16" i="5" s="1"/>
  <c r="D17" i="5"/>
  <c r="L17" i="5" s="1"/>
  <c r="D18" i="5"/>
  <c r="L18" i="5" s="1"/>
  <c r="D19" i="5"/>
  <c r="D20" i="5"/>
  <c r="L20" i="5" s="1"/>
  <c r="D21" i="5"/>
  <c r="L21" i="5" s="1"/>
  <c r="D22" i="5"/>
  <c r="L22" i="5" s="1"/>
  <c r="D23" i="5"/>
  <c r="L24" i="5"/>
  <c r="D25" i="5"/>
  <c r="L25" i="5" s="1"/>
  <c r="D26" i="5"/>
  <c r="L26" i="5" s="1"/>
  <c r="D27" i="5"/>
  <c r="D28" i="5"/>
  <c r="L28" i="5" s="1"/>
  <c r="D29" i="5"/>
  <c r="L29" i="5" s="1"/>
  <c r="D30" i="5"/>
  <c r="L30" i="5" s="1"/>
  <c r="D31" i="5"/>
  <c r="D32" i="5"/>
  <c r="L32" i="5" s="1"/>
  <c r="L33" i="5"/>
  <c r="D34" i="5"/>
  <c r="L34" i="5" s="1"/>
  <c r="D35" i="5"/>
  <c r="D36" i="5"/>
  <c r="L36" i="5" s="1"/>
  <c r="D37" i="5"/>
  <c r="L37" i="5" s="1"/>
  <c r="D38" i="5"/>
  <c r="L38" i="5" s="1"/>
  <c r="D39" i="5"/>
  <c r="D40" i="5"/>
  <c r="L40" i="5" s="1"/>
  <c r="D41" i="5"/>
  <c r="L41" i="5" s="1"/>
  <c r="D42" i="5"/>
  <c r="L42" i="5" s="1"/>
  <c r="D44" i="5"/>
  <c r="L44" i="5" s="1"/>
  <c r="D45" i="5"/>
  <c r="L45" i="5" s="1"/>
  <c r="D46" i="5"/>
  <c r="L46" i="5" s="1"/>
  <c r="D47" i="5"/>
  <c r="D48" i="5"/>
  <c r="L48" i="5" s="1"/>
  <c r="D49" i="5"/>
  <c r="L49" i="5" s="1"/>
  <c r="D50" i="5"/>
  <c r="L50" i="5" s="1"/>
  <c r="D51" i="5"/>
  <c r="D52" i="5"/>
  <c r="L52" i="5" s="1"/>
  <c r="L53" i="5"/>
  <c r="D54" i="5"/>
  <c r="L54" i="5" s="1"/>
  <c r="D55" i="5"/>
  <c r="D56" i="5"/>
  <c r="L56" i="5" s="1"/>
  <c r="D57" i="5"/>
  <c r="L57" i="5" s="1"/>
  <c r="D58" i="5"/>
  <c r="L58" i="5" s="1"/>
  <c r="D59" i="5"/>
  <c r="D60" i="5"/>
  <c r="L60" i="5" s="1"/>
  <c r="D61" i="5"/>
  <c r="L61" i="5" s="1"/>
  <c r="D62" i="5"/>
  <c r="L62" i="5" s="1"/>
  <c r="D64" i="5"/>
  <c r="L64" i="5" s="1"/>
  <c r="D65" i="5"/>
  <c r="L65" i="5" s="1"/>
  <c r="D66" i="5"/>
  <c r="L66" i="5" s="1"/>
  <c r="D67" i="5"/>
  <c r="D68" i="5"/>
  <c r="L68" i="5" s="1"/>
  <c r="D69" i="5"/>
  <c r="L69" i="5" s="1"/>
  <c r="D70" i="5"/>
  <c r="L70" i="5" s="1"/>
  <c r="D71" i="5"/>
  <c r="L72" i="5"/>
  <c r="D73" i="5"/>
  <c r="L73" i="5" s="1"/>
  <c r="D74" i="5"/>
  <c r="L74" i="5" s="1"/>
  <c r="D75" i="5"/>
  <c r="D76" i="5"/>
  <c r="L76" i="5" s="1"/>
  <c r="D77" i="5"/>
  <c r="L77" i="5" s="1"/>
  <c r="D78" i="5"/>
  <c r="L78" i="5" s="1"/>
  <c r="D79" i="5"/>
  <c r="D80" i="5"/>
  <c r="L80" i="5" s="1"/>
  <c r="D81" i="5"/>
  <c r="L81" i="5" s="1"/>
  <c r="L82" i="5"/>
  <c r="D83" i="5"/>
  <c r="D84" i="5"/>
  <c r="L84" i="5" s="1"/>
  <c r="D85" i="5"/>
  <c r="L85" i="5" s="1"/>
  <c r="D86" i="5"/>
  <c r="L86" i="5" s="1"/>
  <c r="D87" i="5"/>
  <c r="D88" i="5"/>
  <c r="L88" i="5" s="1"/>
  <c r="D89" i="5"/>
  <c r="L89" i="5" s="1"/>
  <c r="D90" i="5"/>
  <c r="L90" i="5" s="1"/>
  <c r="D91" i="5"/>
  <c r="L92" i="5"/>
  <c r="D93" i="5"/>
  <c r="L93" i="5" s="1"/>
  <c r="D94" i="5"/>
  <c r="L94" i="5" s="1"/>
  <c r="D95" i="5"/>
  <c r="D96" i="5"/>
  <c r="L96" i="5" s="1"/>
  <c r="D97" i="5"/>
  <c r="L97" i="5" s="1"/>
  <c r="D98" i="5"/>
  <c r="L98" i="5" s="1"/>
  <c r="D99" i="5"/>
  <c r="D100" i="5"/>
  <c r="L100" i="5" s="1"/>
  <c r="D101" i="5"/>
  <c r="L101" i="5" s="1"/>
  <c r="D103" i="5"/>
  <c r="D104" i="5"/>
  <c r="D105" i="5"/>
  <c r="L105" i="5" s="1"/>
  <c r="D9" i="5"/>
  <c r="D7" i="5"/>
  <c r="G12" i="5" l="1"/>
  <c r="H12" i="5" s="1"/>
  <c r="L12" i="5"/>
  <c r="G104" i="5"/>
  <c r="H104" i="5" s="1"/>
  <c r="L104" i="5"/>
  <c r="G99" i="5"/>
  <c r="H99" i="5" s="1"/>
  <c r="L99" i="5"/>
  <c r="G95" i="5"/>
  <c r="H95" i="5" s="1"/>
  <c r="L95" i="5"/>
  <c r="G91" i="5"/>
  <c r="H91" i="5" s="1"/>
  <c r="L91" i="5"/>
  <c r="G87" i="5"/>
  <c r="H87" i="5" s="1"/>
  <c r="L87" i="5"/>
  <c r="G83" i="5"/>
  <c r="H83" i="5" s="1"/>
  <c r="L83" i="5"/>
  <c r="G79" i="5"/>
  <c r="H79" i="5" s="1"/>
  <c r="L79" i="5"/>
  <c r="G75" i="5"/>
  <c r="H75" i="5" s="1"/>
  <c r="L75" i="5"/>
  <c r="G71" i="5"/>
  <c r="H71" i="5" s="1"/>
  <c r="L71" i="5"/>
  <c r="G67" i="5"/>
  <c r="H67" i="5" s="1"/>
  <c r="L67" i="5"/>
  <c r="L63" i="5"/>
  <c r="G59" i="5"/>
  <c r="H59" i="5" s="1"/>
  <c r="L59" i="5"/>
  <c r="G55" i="5"/>
  <c r="H55" i="5" s="1"/>
  <c r="L55" i="5"/>
  <c r="G51" i="5"/>
  <c r="H51" i="5" s="1"/>
  <c r="L51" i="5"/>
  <c r="G47" i="5"/>
  <c r="H47" i="5" s="1"/>
  <c r="L47" i="5"/>
  <c r="L43" i="5"/>
  <c r="G39" i="5"/>
  <c r="H39" i="5" s="1"/>
  <c r="L39" i="5"/>
  <c r="G35" i="5"/>
  <c r="H35" i="5" s="1"/>
  <c r="L35" i="5"/>
  <c r="G31" i="5"/>
  <c r="H31" i="5" s="1"/>
  <c r="L31" i="5"/>
  <c r="G27" i="5"/>
  <c r="H27" i="5" s="1"/>
  <c r="L27" i="5"/>
  <c r="G23" i="5"/>
  <c r="H23" i="5" s="1"/>
  <c r="L23" i="5"/>
  <c r="G19" i="5"/>
  <c r="H19" i="5" s="1"/>
  <c r="L19" i="5"/>
  <c r="G15" i="5"/>
  <c r="H15" i="5" s="1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6" i="5"/>
  <c r="H76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0" i="5"/>
  <c r="H20" i="5" s="1"/>
  <c r="G16" i="5"/>
  <c r="H16" i="5" s="1"/>
  <c r="G105" i="5"/>
  <c r="H105" i="5" s="1"/>
  <c r="G100" i="5"/>
  <c r="H100" i="5" s="1"/>
  <c r="G96" i="5"/>
  <c r="H96" i="5" s="1"/>
  <c r="G88" i="5"/>
  <c r="H88" i="5" s="1"/>
  <c r="G84" i="5"/>
  <c r="H84" i="5" s="1"/>
  <c r="G98" i="5"/>
  <c r="H98" i="5" s="1"/>
  <c r="G94" i="5"/>
  <c r="H94" i="5" s="1"/>
  <c r="G90" i="5"/>
  <c r="H90" i="5" s="1"/>
  <c r="G86" i="5"/>
  <c r="H86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0" i="5"/>
  <c r="H10" i="5" s="1"/>
  <c r="G101" i="5"/>
  <c r="H101" i="5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49" i="5"/>
  <c r="H49" i="5" s="1"/>
  <c r="G45" i="5"/>
  <c r="H45" i="5" s="1"/>
  <c r="G41" i="5"/>
  <c r="H41" i="5" s="1"/>
  <c r="G37" i="5"/>
  <c r="H37" i="5" s="1"/>
  <c r="G29" i="5"/>
  <c r="H29" i="5" s="1"/>
  <c r="G25" i="5"/>
  <c r="H25" i="5" s="1"/>
  <c r="G21" i="5"/>
  <c r="H21" i="5" s="1"/>
  <c r="G17" i="5"/>
  <c r="H17" i="5" s="1"/>
  <c r="G13" i="5"/>
  <c r="H13" i="5" s="1"/>
  <c r="E96" i="5"/>
  <c r="E84" i="5"/>
  <c r="E60" i="5"/>
  <c r="E48" i="5"/>
  <c r="E36" i="5"/>
  <c r="E12" i="5"/>
  <c r="E7" i="5"/>
  <c r="E103" i="5"/>
  <c r="E99" i="5"/>
  <c r="E95" i="5"/>
  <c r="E91" i="5"/>
  <c r="E87" i="5"/>
  <c r="E83" i="5"/>
  <c r="E79" i="5"/>
  <c r="E75" i="5"/>
  <c r="E71" i="5"/>
  <c r="E67" i="5"/>
  <c r="E59" i="5"/>
  <c r="E55" i="5"/>
  <c r="E51" i="5"/>
  <c r="E47" i="5"/>
  <c r="E39" i="5"/>
  <c r="E35" i="5"/>
  <c r="E31" i="5"/>
  <c r="E27" i="5"/>
  <c r="E23" i="5"/>
  <c r="E19" i="5"/>
  <c r="E15" i="5"/>
  <c r="E11" i="5"/>
  <c r="E104" i="5"/>
  <c r="E76" i="5"/>
  <c r="E64" i="5"/>
  <c r="E52" i="5"/>
  <c r="E40" i="5"/>
  <c r="E28" i="5"/>
  <c r="E16" i="5"/>
  <c r="E9" i="5"/>
  <c r="E98" i="5"/>
  <c r="E94" i="5"/>
  <c r="E90" i="5"/>
  <c r="E86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0" i="5"/>
  <c r="E100" i="5"/>
  <c r="E88" i="5"/>
  <c r="E80" i="5"/>
  <c r="E68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49" i="5"/>
  <c r="E45" i="5"/>
  <c r="E41" i="5"/>
  <c r="E37" i="5"/>
  <c r="E29" i="5"/>
  <c r="E25" i="5"/>
  <c r="E21" i="5"/>
  <c r="E17" i="5"/>
  <c r="E13" i="5"/>
  <c r="E107" i="5"/>
  <c r="D10" i="2"/>
  <c r="L10" i="2" s="1"/>
  <c r="L11" i="2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L21" i="2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L30" i="2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L40" i="2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L49" i="2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L59" i="2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L68" i="2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L78" i="2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L87" i="2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L97" i="2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9" i="2"/>
  <c r="H99" i="2" s="1"/>
  <c r="G95" i="2"/>
  <c r="H95" i="2" s="1"/>
  <c r="G91" i="2"/>
  <c r="H91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17" i="2"/>
  <c r="H17" i="2" s="1"/>
  <c r="G13" i="2"/>
  <c r="H13" i="2" s="1"/>
  <c r="G73" i="2"/>
  <c r="H73" i="2" s="1"/>
  <c r="G98" i="2"/>
  <c r="H98" i="2" s="1"/>
  <c r="G94" i="2"/>
  <c r="H94" i="2" s="1"/>
  <c r="G90" i="2"/>
  <c r="H90" i="2" s="1"/>
  <c r="G86" i="2"/>
  <c r="H86" i="2" s="1"/>
  <c r="G82" i="2"/>
  <c r="H82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26" i="2"/>
  <c r="H26" i="2" s="1"/>
  <c r="G22" i="2"/>
  <c r="H22" i="2" s="1"/>
  <c r="G18" i="2"/>
  <c r="H18" i="2" s="1"/>
  <c r="G14" i="2"/>
  <c r="H14" i="2" s="1"/>
  <c r="G10" i="2"/>
  <c r="H10" i="2" s="1"/>
  <c r="G101" i="2"/>
  <c r="H101" i="2" s="1"/>
  <c r="G102" i="2"/>
  <c r="H102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36" i="2"/>
  <c r="H36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02" i="2" l="1"/>
  <c r="J102" i="2" s="1"/>
  <c r="I14" i="2"/>
  <c r="J14" i="2" s="1"/>
  <c r="I27" i="2"/>
  <c r="J27" i="2" s="1"/>
  <c r="I107" i="5"/>
  <c r="J107" i="5" s="1"/>
  <c r="I105" i="5"/>
  <c r="J105" i="5" s="1"/>
  <c r="I104" i="5"/>
  <c r="J104" i="5" s="1"/>
  <c r="I103" i="5"/>
  <c r="J103" i="5" s="1"/>
  <c r="I101" i="5"/>
  <c r="J101" i="5" s="1"/>
  <c r="I100" i="5"/>
  <c r="J100" i="5" s="1"/>
  <c r="I99" i="5"/>
  <c r="J99" i="5" s="1"/>
  <c r="I98" i="5"/>
  <c r="J98" i="5" s="1"/>
  <c r="I97" i="5"/>
  <c r="J97" i="5" s="1"/>
  <c r="I96" i="5"/>
  <c r="J96" i="5" s="1"/>
  <c r="I95" i="5"/>
  <c r="J95" i="5" s="1"/>
  <c r="I94" i="5"/>
  <c r="J94" i="5" s="1"/>
  <c r="I93" i="5"/>
  <c r="J93" i="5" s="1"/>
  <c r="I91" i="5"/>
  <c r="J91" i="5" s="1"/>
  <c r="I90" i="5"/>
  <c r="J90" i="5" s="1"/>
  <c r="I89" i="5"/>
  <c r="J89" i="5" s="1"/>
  <c r="I88" i="5"/>
  <c r="J88" i="5" s="1"/>
  <c r="I87" i="5"/>
  <c r="J87" i="5" s="1"/>
  <c r="I86" i="5"/>
  <c r="J86" i="5" s="1"/>
  <c r="I85" i="5"/>
  <c r="J85" i="5" s="1"/>
  <c r="I84" i="5"/>
  <c r="J84" i="5" s="1"/>
  <c r="I83" i="5"/>
  <c r="J83" i="5" s="1"/>
  <c r="I81" i="5"/>
  <c r="J81" i="5" s="1"/>
  <c r="I80" i="5"/>
  <c r="J80" i="5" s="1"/>
  <c r="I79" i="5"/>
  <c r="J79" i="5" s="1"/>
  <c r="I78" i="5"/>
  <c r="J78" i="5" s="1"/>
  <c r="I77" i="5"/>
  <c r="J77" i="5" s="1"/>
  <c r="I76" i="5"/>
  <c r="J76" i="5" s="1"/>
  <c r="I75" i="5"/>
  <c r="J75" i="5" s="1"/>
  <c r="I74" i="5"/>
  <c r="J74" i="5" s="1"/>
  <c r="I73" i="5"/>
  <c r="J73" i="5" s="1"/>
  <c r="I71" i="5"/>
  <c r="J71" i="5" s="1"/>
  <c r="I70" i="5"/>
  <c r="J70" i="5" s="1"/>
  <c r="I69" i="5"/>
  <c r="J69" i="5" s="1"/>
  <c r="I68" i="5"/>
  <c r="J68" i="5" s="1"/>
  <c r="I67" i="5"/>
  <c r="J67" i="5" s="1"/>
  <c r="I66" i="5"/>
  <c r="J66" i="5" s="1"/>
  <c r="I65" i="5"/>
  <c r="J65" i="5" s="1"/>
  <c r="I64" i="5"/>
  <c r="J64" i="5" s="1"/>
  <c r="I62" i="5"/>
  <c r="J62" i="5" s="1"/>
  <c r="I61" i="5"/>
  <c r="J61" i="5" s="1"/>
  <c r="I60" i="5"/>
  <c r="J60" i="5" s="1"/>
  <c r="I59" i="5"/>
  <c r="J59" i="5" s="1"/>
  <c r="I58" i="5"/>
  <c r="J58" i="5" s="1"/>
  <c r="I57" i="5"/>
  <c r="J57" i="5" s="1"/>
  <c r="I56" i="5"/>
  <c r="J56" i="5" s="1"/>
  <c r="I55" i="5"/>
  <c r="J55" i="5" s="1"/>
  <c r="I54" i="5"/>
  <c r="J54" i="5" s="1"/>
  <c r="I52" i="5"/>
  <c r="J52" i="5" s="1"/>
  <c r="I51" i="5"/>
  <c r="J51" i="5" s="1"/>
  <c r="I50" i="5"/>
  <c r="J50" i="5" s="1"/>
  <c r="I49" i="5"/>
  <c r="J49" i="5" s="1"/>
  <c r="I48" i="5"/>
  <c r="J48" i="5" s="1"/>
  <c r="I47" i="5"/>
  <c r="J47" i="5" s="1"/>
  <c r="I46" i="5"/>
  <c r="J46" i="5" s="1"/>
  <c r="I45" i="5"/>
  <c r="J45" i="5" s="1"/>
  <c r="I44" i="5"/>
  <c r="J44" i="5" s="1"/>
  <c r="I42" i="5"/>
  <c r="J42" i="5" s="1"/>
  <c r="I41" i="5"/>
  <c r="J41" i="5" s="1"/>
  <c r="I40" i="5"/>
  <c r="J40" i="5" s="1"/>
  <c r="I39" i="5"/>
  <c r="J39" i="5" s="1"/>
  <c r="I38" i="5"/>
  <c r="J38" i="5" s="1"/>
  <c r="I37" i="5"/>
  <c r="J37" i="5" s="1"/>
  <c r="I36" i="5"/>
  <c r="J36" i="5" s="1"/>
  <c r="I35" i="5"/>
  <c r="J35" i="5" s="1"/>
  <c r="I34" i="5"/>
  <c r="J34" i="5" s="1"/>
  <c r="I32" i="5"/>
  <c r="J32" i="5" s="1"/>
  <c r="I31" i="5"/>
  <c r="J31" i="5" s="1"/>
  <c r="I30" i="5"/>
  <c r="J30" i="5" s="1"/>
  <c r="I29" i="5"/>
  <c r="J29" i="5" s="1"/>
  <c r="I28" i="5"/>
  <c r="J28" i="5" s="1"/>
  <c r="I27" i="5"/>
  <c r="J27" i="5" s="1"/>
  <c r="I26" i="5"/>
  <c r="J26" i="5" s="1"/>
  <c r="I25" i="5"/>
  <c r="J25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7" i="5"/>
  <c r="J17" i="5" s="1"/>
  <c r="I16" i="5"/>
  <c r="J16" i="5" s="1"/>
  <c r="I15" i="5"/>
  <c r="J15" i="5" s="1"/>
  <c r="I13" i="5"/>
  <c r="J13" i="5" s="1"/>
  <c r="I12" i="5"/>
  <c r="J12" i="5" s="1"/>
  <c r="I11" i="5"/>
  <c r="J11" i="5" s="1"/>
  <c r="I10" i="5"/>
  <c r="J10" i="5" s="1"/>
  <c r="I9" i="5"/>
  <c r="J9" i="5" s="1"/>
  <c r="I7" i="5"/>
  <c r="E7" i="2"/>
  <c r="I7" i="2"/>
  <c r="E9" i="2"/>
  <c r="I9" i="2"/>
  <c r="J9" i="2" s="1"/>
  <c r="E10" i="2"/>
  <c r="I10" i="2"/>
  <c r="J10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8" i="2"/>
  <c r="I18" i="2"/>
  <c r="J18" i="2" s="1"/>
  <c r="E19" i="2"/>
  <c r="I19" i="2"/>
  <c r="J19" i="2" s="1"/>
  <c r="E20" i="2"/>
  <c r="I20" i="2"/>
  <c r="J20" i="2" s="1"/>
  <c r="E22" i="2"/>
  <c r="I22" i="2"/>
  <c r="J22" i="2" s="1"/>
  <c r="E23" i="2"/>
  <c r="I23" i="2"/>
  <c r="J23" i="2" s="1"/>
  <c r="E24" i="2"/>
  <c r="I24" i="2"/>
  <c r="J24" i="2" s="1"/>
  <c r="E25" i="2"/>
  <c r="I25" i="2"/>
  <c r="J25" i="2" s="1"/>
  <c r="E26" i="2"/>
  <c r="I26" i="2"/>
  <c r="J26" i="2" s="1"/>
  <c r="E27" i="2"/>
  <c r="E28" i="2"/>
  <c r="I28" i="2"/>
  <c r="J28" i="2" s="1"/>
  <c r="E29" i="2"/>
  <c r="I29" i="2"/>
  <c r="J29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6" i="2"/>
  <c r="I36" i="2"/>
  <c r="J36" i="2" s="1"/>
  <c r="E37" i="2"/>
  <c r="I37" i="2"/>
  <c r="J37" i="2" s="1"/>
  <c r="E38" i="2"/>
  <c r="I38" i="2"/>
  <c r="J38" i="2" s="1"/>
  <c r="E39" i="2"/>
  <c r="I39" i="2"/>
  <c r="J39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5" i="2"/>
  <c r="I45" i="2"/>
  <c r="J45" i="2" s="1"/>
  <c r="E46" i="2"/>
  <c r="I46" i="2"/>
  <c r="J46" i="2" s="1"/>
  <c r="E47" i="2"/>
  <c r="I47" i="2"/>
  <c r="J47" i="2" s="1"/>
  <c r="E48" i="2"/>
  <c r="I48" i="2"/>
  <c r="J48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4" i="2"/>
  <c r="I54" i="2"/>
  <c r="J54" i="2" s="1"/>
  <c r="E55" i="2"/>
  <c r="I55" i="2"/>
  <c r="J55" i="2" s="1"/>
  <c r="E56" i="2"/>
  <c r="I56" i="2"/>
  <c r="J56" i="2" s="1"/>
  <c r="E57" i="2"/>
  <c r="I57" i="2"/>
  <c r="J57" i="2" s="1"/>
  <c r="E58" i="2"/>
  <c r="I58" i="2"/>
  <c r="J58" i="2" s="1"/>
  <c r="E60" i="2"/>
  <c r="I60" i="2"/>
  <c r="J60" i="2" s="1"/>
  <c r="E61" i="2"/>
  <c r="I61" i="2"/>
  <c r="J61" i="2" s="1"/>
  <c r="E62" i="2"/>
  <c r="I62" i="2"/>
  <c r="J62" i="2" s="1"/>
  <c r="E63" i="2"/>
  <c r="I63" i="2"/>
  <c r="J63" i="2" s="1"/>
  <c r="E64" i="2"/>
  <c r="I64" i="2"/>
  <c r="J64" i="2" s="1"/>
  <c r="E65" i="2"/>
  <c r="I65" i="2"/>
  <c r="J65" i="2" s="1"/>
  <c r="E66" i="2"/>
  <c r="I66" i="2"/>
  <c r="J66" i="2" s="1"/>
  <c r="E67" i="2"/>
  <c r="I67" i="2"/>
  <c r="J67" i="2" s="1"/>
  <c r="E69" i="2"/>
  <c r="I69" i="2"/>
  <c r="J69" i="2" s="1"/>
  <c r="E70" i="2"/>
  <c r="I70" i="2"/>
  <c r="J70" i="2" s="1"/>
  <c r="E71" i="2"/>
  <c r="I71" i="2"/>
  <c r="J71" i="2" s="1"/>
  <c r="E72" i="2"/>
  <c r="I72" i="2"/>
  <c r="J72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9" i="2"/>
  <c r="I79" i="2"/>
  <c r="J79" i="2" s="1"/>
  <c r="E80" i="2"/>
  <c r="I80" i="2"/>
  <c r="J80" i="2" s="1"/>
  <c r="E81" i="2"/>
  <c r="I81" i="2"/>
  <c r="J81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8" i="2"/>
  <c r="I88" i="2"/>
  <c r="J88" i="2" s="1"/>
  <c r="E89" i="2"/>
  <c r="I89" i="2"/>
  <c r="J89" i="2" s="1"/>
  <c r="E90" i="2"/>
  <c r="I90" i="2"/>
  <c r="J90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6" i="2"/>
  <c r="I96" i="2"/>
  <c r="J96" i="2" s="1"/>
  <c r="E98" i="2"/>
  <c r="I98" i="2"/>
  <c r="J98" i="2" s="1"/>
  <c r="E99" i="2"/>
  <c r="I99" i="2"/>
  <c r="J99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3" i="2"/>
  <c r="F19" i="2"/>
  <c r="F18" i="5"/>
  <c r="F22" i="5"/>
  <c r="F30" i="5"/>
  <c r="F38" i="5"/>
  <c r="F46" i="5"/>
  <c r="F54" i="5"/>
  <c r="F58" i="5"/>
  <c r="F62" i="5"/>
  <c r="F70" i="5"/>
  <c r="F74" i="5"/>
  <c r="F78" i="5"/>
  <c r="F86" i="5"/>
  <c r="F90" i="5"/>
  <c r="F94" i="5"/>
  <c r="F98" i="5"/>
  <c r="F26" i="5"/>
  <c r="F34" i="5"/>
  <c r="F42" i="5"/>
  <c r="F50" i="5"/>
  <c r="F66" i="5"/>
  <c r="F107" i="2"/>
  <c r="F104" i="2"/>
  <c r="F101" i="2"/>
  <c r="F99" i="2"/>
  <c r="F95" i="2"/>
  <c r="F93" i="2"/>
  <c r="F91" i="2"/>
  <c r="F89" i="2"/>
  <c r="F85" i="2"/>
  <c r="F83" i="2"/>
  <c r="F81" i="2"/>
  <c r="F79" i="2"/>
  <c r="F77" i="2"/>
  <c r="F75" i="2"/>
  <c r="F73" i="2"/>
  <c r="F71" i="2"/>
  <c r="F69" i="2"/>
  <c r="F67" i="2"/>
  <c r="F65" i="2"/>
  <c r="F63" i="2"/>
  <c r="F61" i="2"/>
  <c r="F57" i="2"/>
  <c r="F55" i="2"/>
  <c r="F53" i="2"/>
  <c r="F51" i="2"/>
  <c r="F47" i="2"/>
  <c r="F45" i="2"/>
  <c r="F43" i="2"/>
  <c r="F41" i="2"/>
  <c r="F39" i="2"/>
  <c r="F37" i="2"/>
  <c r="F35" i="2"/>
  <c r="F33" i="2"/>
  <c r="F31" i="2"/>
  <c r="F29" i="2"/>
  <c r="F12" i="2"/>
  <c r="F10" i="2"/>
  <c r="F104" i="5"/>
  <c r="F27" i="2"/>
  <c r="F14" i="2"/>
  <c r="F19" i="5"/>
  <c r="F23" i="5"/>
  <c r="F27" i="5"/>
  <c r="F31" i="5"/>
  <c r="F35" i="5"/>
  <c r="F39" i="5"/>
  <c r="F47" i="5"/>
  <c r="F51" i="5"/>
  <c r="F55" i="5"/>
  <c r="F59" i="5"/>
  <c r="F67" i="5"/>
  <c r="F71" i="5"/>
  <c r="F75" i="5"/>
  <c r="F79" i="5"/>
  <c r="F83" i="5"/>
  <c r="F87" i="5"/>
  <c r="F91" i="5"/>
  <c r="F95" i="5"/>
  <c r="F99" i="5"/>
  <c r="F103" i="5"/>
  <c r="F26" i="2"/>
  <c r="F24" i="2"/>
  <c r="F22" i="2"/>
  <c r="F20" i="2"/>
  <c r="F18" i="2"/>
  <c r="F16" i="2"/>
  <c r="F12" i="5"/>
  <c r="F16" i="5"/>
  <c r="F20" i="5"/>
  <c r="F28" i="5"/>
  <c r="F32" i="5"/>
  <c r="F36" i="5"/>
  <c r="F40" i="5"/>
  <c r="F44" i="5"/>
  <c r="F48" i="5"/>
  <c r="F52" i="5"/>
  <c r="F56" i="5"/>
  <c r="F60" i="5"/>
  <c r="F64" i="5"/>
  <c r="F68" i="5"/>
  <c r="F76" i="5"/>
  <c r="F80" i="5"/>
  <c r="F84" i="5"/>
  <c r="F88" i="5"/>
  <c r="F96" i="5"/>
  <c r="F100" i="5"/>
  <c r="F105" i="5"/>
  <c r="F105" i="2"/>
  <c r="F102" i="2"/>
  <c r="F100" i="2"/>
  <c r="F98" i="2"/>
  <c r="F96" i="2"/>
  <c r="F94" i="2"/>
  <c r="F92" i="2"/>
  <c r="F90" i="2"/>
  <c r="F88" i="2"/>
  <c r="F86" i="2"/>
  <c r="F84" i="2"/>
  <c r="F82" i="2"/>
  <c r="F80" i="2"/>
  <c r="F76" i="2"/>
  <c r="F74" i="2"/>
  <c r="F72" i="2"/>
  <c r="F70" i="2"/>
  <c r="F66" i="2"/>
  <c r="F64" i="2"/>
  <c r="F62" i="2"/>
  <c r="F60" i="2"/>
  <c r="F58" i="2"/>
  <c r="F56" i="2"/>
  <c r="F54" i="2"/>
  <c r="F52" i="2"/>
  <c r="F50" i="2"/>
  <c r="F48" i="2"/>
  <c r="F46" i="2"/>
  <c r="F44" i="2"/>
  <c r="F42" i="2"/>
  <c r="F38" i="2"/>
  <c r="F36" i="2"/>
  <c r="F34" i="2"/>
  <c r="F32" i="2"/>
  <c r="F13" i="5"/>
  <c r="F17" i="5"/>
  <c r="F21" i="5"/>
  <c r="F25" i="5"/>
  <c r="F29" i="5"/>
  <c r="F37" i="5"/>
  <c r="F41" i="5"/>
  <c r="F45" i="5"/>
  <c r="F49" i="5"/>
  <c r="F57" i="5"/>
  <c r="F61" i="5"/>
  <c r="F65" i="5"/>
  <c r="F69" i="5"/>
  <c r="F73" i="5"/>
  <c r="F77" i="5"/>
  <c r="F81" i="5"/>
  <c r="F85" i="5"/>
  <c r="F89" i="5"/>
  <c r="F93" i="5"/>
  <c r="F97" i="5"/>
  <c r="F101" i="5"/>
  <c r="F107" i="5"/>
  <c r="F28" i="2"/>
  <c r="F9" i="5"/>
  <c r="F15" i="2"/>
  <c r="F17" i="2"/>
  <c r="F15" i="5"/>
  <c r="F13" i="2"/>
  <c r="F10" i="5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<sst xmlns="http://schemas.openxmlformats.org/spreadsheetml/2006/main" count="182" uniqueCount="84">
  <si>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</si>
  <si>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</si>
  <si>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</si>
  <si>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</si>
  <si>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</si>
  <si>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</si>
  <si>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</si>
  <si>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</si>
  <si>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</si>
  <si>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</si>
  <si>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</si>
  <si>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</si>
  <si>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</si>
  <si>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</si>
  <si>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</si>
  <si>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</si>
  <si>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</si>
  <si>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</si>
  <si>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</si>
  <si>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</si>
  <si>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</si>
  <si>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</si>
  <si>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</si>
  <si>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</si>
  <si>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</si>
  <si>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</si>
  <si>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</si>
  <si>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</si>
  <si>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</si>
  <si>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</si>
  <si>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</si>
  <si>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</si>
  <si>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</si>
  <si>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</si>
  <si>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</si>
  <si>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</si>
  <si>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</si>
  <si>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</si>
  <si>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</si>
  <si>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</si>
  <si>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</si>
  <si>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</si>
  <si>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</si>
  <si>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</si>
  <si>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</si>
  <si>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</si>
  <si>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</si>
  <si>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</si>
  <si>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</si>
  <si>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</si>
  <si>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</si>
  <si>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</si>
  <si>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</si>
  <si>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</si>
  <si>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</si>
  <si>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</si>
  <si>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</si>
  <si>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</si>
  <si>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</si>
  <si>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</si>
  <si>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</si>
  <si>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</si>
  <si>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</si>
  <si>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</si>
  <si>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</si>
  <si>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</si>
  <si>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</si>
  <si>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</si>
  <si>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</si>
  <si>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t>2023학년도 11월 고1 전국연합학력평가</t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</si>
  <si>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</si>
  <si>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과학</t>
    </r>
    <r>
      <rPr>
        <sz val="12"/>
        <color theme="1"/>
        <rFont val="Microsoft Sans Serif"/>
        <family val="2"/>
      </rPr>
      <t>)</t>
    </r>
    <phoneticPr fontId="1" type="noConversion"/>
  </si>
  <si>
    <t>49.60</t>
  </si>
  <si>
    <t>22.34</t>
  </si>
  <si>
    <t>38.88</t>
  </si>
  <si>
    <t>22.29</t>
  </si>
  <si>
    <t>55.26</t>
  </si>
  <si>
    <t>22.60</t>
  </si>
  <si>
    <t>29.58</t>
  </si>
  <si>
    <t>12.93</t>
  </si>
  <si>
    <t>32.04</t>
  </si>
  <si>
    <t>12.09</t>
  </si>
  <si>
    <t>24.15</t>
  </si>
  <si>
    <t>12.28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</si>
</sst>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0_ "/>
    <numFmt numFmtId="177" formatCode="#,##0_ "/>
    <numFmt numFmtId="178" formatCode="0.00_);[Red]\(0.00\)"/>
    <numFmt numFmtId="180" formatCode="_-* #,##0_-;\-* #,##0_-;_-* &quot;-&quot;_-;_-@_-"/>
    <numFmt numFmtId="183" formatCode="0.00_ "/>
  </numFmts>
  <fonts count="4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60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5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180" fontId="2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>
      <alignment vertical="center"/>
    </xf>
    <xf numFmtId="0" fontId="0" fillId="0" borderId="34" xfId="0" applyBorder="1">
      <alignment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3" fontId="0" fillId="0" borderId="34" xfId="0" applyNumberFormat="1" applyBorder="1">
      <alignment vertical="center"/>
    </xf>
    <xf numFmtId="3" fontId="0" fillId="0" borderId="0" xfId="0" applyNumberFormat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5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3" fillId="6" borderId="39" xfId="0" applyFont="1" applyFill="1" applyBorder="1" applyAlignment="1">
      <alignment horizontal="center" vertical="center" wrapText="1"/>
    </xf>
    <xf numFmtId="0" fontId="43" fillId="6" borderId="39" xfId="0" applyFont="1" applyFill="1" applyBorder="1" applyAlignment="1">
      <alignment horizontal="center" vertical="center"/>
    </xf>
    <xf numFmtId="0" fontId="43" fillId="6" borderId="40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2" fillId="6" borderId="3" xfId="0" applyFont="1" applyFill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8" fontId="31" fillId="0" borderId="58" xfId="0" applyNumberFormat="1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0" fontId="31" fillId="0" borderId="58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7" fontId="2" fillId="0" borderId="6" xfId="34" applyNumberFormat="1" applyFont="1" applyBorder="1" applyAlignment="1">
      <alignment horizontal="center" vertical="center"/>
    </xf>
    <xf numFmtId="183" fontId="2" fillId="0" borderId="6" xfId="34" applyNumberFormat="1" applyFont="1" applyBorder="1" applyAlignment="1">
      <alignment horizontal="center" vertical="center"/>
    </xf>
    <xf numFmtId="177" fontId="33" fillId="0" borderId="58" xfId="1" applyNumberFormat="1" applyFont="1" applyBorder="1" applyAlignment="1">
      <alignment horizontal="center" vertical="center"/>
    </xf>
    <xf numFmtId="0" fontId="45" fillId="0" borderId="6" xfId="34" applyFont="1" applyBorder="1" applyAlignment="1">
      <alignment horizontal="center" vertical="center"/>
    </xf>
    <xf numFmtId="38" fontId="45" fillId="0" borderId="6" xfId="34" applyNumberFormat="1" applyFont="1" applyBorder="1" applyAlignment="1">
      <alignment horizontal="center" vertical="center"/>
    </xf>
    <xf numFmtId="38" fontId="44" fillId="0" borderId="57" xfId="45" applyNumberFormat="1" applyFont="1" applyBorder="1" applyAlignment="1">
      <alignment horizontal="center" vertical="center"/>
    </xf>
    <xf numFmtId="0" fontId="44" fillId="0" borderId="57" xfId="45" applyFont="1" applyBorder="1" applyAlignment="1">
      <alignment horizontal="center" vertical="center"/>
    </xf>
    <xf numFmtId="10" fontId="33" fillId="0" borderId="58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0" borderId="58" xfId="0" applyNumberFormat="1" applyFont="1" applyBorder="1" applyAlignment="1">
      <alignment horizontal="center" vertical="center"/>
    </xf>
    <xf numFmtId="177" fontId="31" fillId="0" borderId="8" xfId="0" applyNumberFormat="1" applyFont="1" applyBorder="1" applyAlignment="1">
      <alignment horizontal="center" vertical="center"/>
    </xf>
    <xf numFmtId="10" fontId="33" fillId="0" borderId="59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6" borderId="58" xfId="0" applyFont="1" applyFill="1" applyBorder="1" applyAlignment="1">
      <alignment horizontal="center" vertical="center"/>
    </xf>
    <xf numFmtId="177" fontId="31" fillId="6" borderId="58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</cellXfs>
  <cellStyles count="55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4" xr:uid="{F4B2AADD-E377-44B4-AE39-8C3B550E26E2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workbookViewId="0">
      <selection activeCell="C4" sqref="C4:E9"/>
    </sheetView>
  </sheetViews>
  <sheetFormatPr defaultRowHeight="17"/>
  <cols>
    <col min="2" max="5" width="12.58203125" style="1" customWidth="1"/>
  </cols>
  <sheetData>
    <row r="3" spans="2:5">
      <c r="C3" s="1" t="s">
        <v>1</v>
      </c>
      <c r="D3" s="1" t="s">
        <v>2</v>
      </c>
      <c r="E3" s="1" t="s">
        <v>0</v>
      </c>
    </row>
    <row r="4" spans="2:5">
      <c r="B4" s="1" t="s">
        <v>3</v>
      </c>
      <c r="C4" s="123">
        <v>337226</v>
      </c>
      <c r="D4" s="124" t="s">
        <v>72</v>
      </c>
      <c r="E4" s="124" t="s">
        <v>73</v>
      </c>
    </row>
    <row r="5" spans="2:5">
      <c r="B5" s="1" t="s">
        <v>17</v>
      </c>
      <c r="C5" s="123">
        <v>335869</v>
      </c>
      <c r="D5" s="124" t="s">
        <v>74</v>
      </c>
      <c r="E5" s="124" t="s">
        <v>75</v>
      </c>
    </row>
    <row r="6" spans="2:5">
      <c r="B6" s="1" t="s">
        <v>4</v>
      </c>
      <c r="C6" s="123">
        <v>333018</v>
      </c>
      <c r="D6" s="124" t="s">
        <v>76</v>
      </c>
      <c r="E6" s="124" t="s">
        <v>77</v>
      </c>
    </row>
    <row r="7" spans="2:5">
      <c r="B7" s="1" t="s">
        <v>5</v>
      </c>
      <c r="C7" s="123">
        <v>329662</v>
      </c>
      <c r="D7" s="124" t="s">
        <v>78</v>
      </c>
      <c r="E7" s="124" t="s">
        <v>79</v>
      </c>
    </row>
    <row r="8" spans="2:5">
      <c r="B8" s="1" t="s">
        <v>18</v>
      </c>
      <c r="C8" s="123">
        <v>329772</v>
      </c>
      <c r="D8" s="124" t="s">
        <v>80</v>
      </c>
      <c r="E8" s="124" t="s">
        <v>81</v>
      </c>
    </row>
    <row r="9" spans="2:5">
      <c r="B9" s="1" t="s">
        <v>19</v>
      </c>
      <c r="C9" s="123">
        <v>329201</v>
      </c>
      <c r="D9" s="124" t="s">
        <v>82</v>
      </c>
      <c r="E9" s="124" t="s">
        <v>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>
      <c r="C3" s="106" t="s">
        <v>32</v>
      </c>
      <c r="D3" s="106"/>
      <c r="E3" s="1"/>
      <c r="F3" s="1"/>
    </row>
    <row r="4" spans="1:6">
      <c r="A4" t="s">
        <v>20</v>
      </c>
      <c r="B4" s="1" t="s">
        <v>9</v>
      </c>
      <c r="C4" s="126">
        <v>134</v>
      </c>
      <c r="D4" s="127">
        <v>15005</v>
      </c>
      <c r="E4" s="1"/>
      <c r="F4" s="1"/>
    </row>
    <row r="5" spans="1:6">
      <c r="B5" s="1" t="s">
        <v>10</v>
      </c>
      <c r="C5" s="126">
        <v>127</v>
      </c>
      <c r="D5" s="127">
        <v>22854</v>
      </c>
      <c r="E5" s="1"/>
      <c r="F5" s="1"/>
    </row>
    <row r="6" spans="1:6">
      <c r="B6" s="1" t="s">
        <v>11</v>
      </c>
      <c r="C6" s="126">
        <v>117</v>
      </c>
      <c r="D6" s="127">
        <v>42268</v>
      </c>
      <c r="E6" s="1"/>
      <c r="F6" s="1"/>
    </row>
    <row r="7" spans="1:6">
      <c r="B7" s="1" t="s">
        <v>12</v>
      </c>
      <c r="C7" s="126">
        <v>106</v>
      </c>
      <c r="D7" s="127">
        <v>58371</v>
      </c>
      <c r="E7" s="1"/>
      <c r="F7" s="1"/>
    </row>
    <row r="8" spans="1:6">
      <c r="B8" s="1" t="s">
        <v>13</v>
      </c>
      <c r="C8" s="126">
        <v>92</v>
      </c>
      <c r="D8" s="127">
        <v>65737</v>
      </c>
      <c r="E8" s="1"/>
      <c r="F8" s="1"/>
    </row>
    <row r="9" spans="1:6">
      <c r="B9" s="1" t="s">
        <v>14</v>
      </c>
      <c r="C9" s="126">
        <v>82</v>
      </c>
      <c r="D9" s="127">
        <v>60238</v>
      </c>
      <c r="E9" s="1"/>
      <c r="F9" s="1"/>
    </row>
    <row r="10" spans="1:6">
      <c r="B10" s="1" t="s">
        <v>15</v>
      </c>
      <c r="C10" s="126">
        <v>74</v>
      </c>
      <c r="D10" s="127">
        <v>48772</v>
      </c>
      <c r="E10" s="1"/>
      <c r="F10" s="1"/>
    </row>
    <row r="11" spans="1:6">
      <c r="B11" s="1" t="s">
        <v>16</v>
      </c>
      <c r="C11" s="126">
        <v>71</v>
      </c>
      <c r="D11" s="127">
        <v>11210</v>
      </c>
      <c r="E11" s="1"/>
      <c r="F11" s="1"/>
    </row>
    <row r="12" spans="1:6">
      <c r="B12" s="1" t="s">
        <v>23</v>
      </c>
      <c r="C12" s="126">
        <v>56</v>
      </c>
      <c r="D12" s="127">
        <v>12771</v>
      </c>
    </row>
    <row r="13" spans="1:6">
      <c r="A13" t="s">
        <v>21</v>
      </c>
      <c r="B13" s="1" t="s">
        <v>24</v>
      </c>
      <c r="C13" s="126">
        <v>140</v>
      </c>
      <c r="D13" s="127">
        <v>15873</v>
      </c>
    </row>
    <row r="14" spans="1:6">
      <c r="B14" s="1" t="s">
        <v>25</v>
      </c>
      <c r="C14" s="126">
        <v>128</v>
      </c>
      <c r="D14" s="127">
        <v>22308</v>
      </c>
    </row>
    <row r="15" spans="1:6">
      <c r="B15" s="1" t="s">
        <v>26</v>
      </c>
      <c r="C15" s="126">
        <v>114</v>
      </c>
      <c r="D15" s="127">
        <v>46897</v>
      </c>
    </row>
    <row r="16" spans="1:6">
      <c r="B16" s="1" t="s">
        <v>27</v>
      </c>
      <c r="C16" s="126">
        <v>102</v>
      </c>
      <c r="D16" s="127">
        <v>53125</v>
      </c>
    </row>
    <row r="17" spans="1:4">
      <c r="B17" s="1" t="s">
        <v>28</v>
      </c>
      <c r="C17" s="126">
        <v>91</v>
      </c>
      <c r="D17" s="127">
        <v>66396</v>
      </c>
    </row>
    <row r="18" spans="1:4">
      <c r="B18" s="1" t="s">
        <v>29</v>
      </c>
      <c r="C18" s="126">
        <v>83</v>
      </c>
      <c r="D18" s="127">
        <v>54047</v>
      </c>
    </row>
    <row r="19" spans="1:4">
      <c r="B19" s="1" t="s">
        <v>30</v>
      </c>
      <c r="C19" s="126">
        <v>78</v>
      </c>
      <c r="D19" s="127">
        <v>44205</v>
      </c>
    </row>
    <row r="20" spans="1:4">
      <c r="B20" s="1" t="s">
        <v>31</v>
      </c>
      <c r="C20" s="126">
        <v>74</v>
      </c>
      <c r="D20" s="127">
        <v>22852</v>
      </c>
    </row>
    <row r="21" spans="1:4">
      <c r="B21" s="1" t="s">
        <v>22</v>
      </c>
      <c r="C21" s="126">
        <v>65</v>
      </c>
      <c r="D21" s="127">
        <v>10166</v>
      </c>
    </row>
    <row r="22" spans="1:4">
      <c r="A22" t="s">
        <v>33</v>
      </c>
      <c r="B22" s="1" t="s">
        <v>9</v>
      </c>
      <c r="C22" s="126">
        <v>90</v>
      </c>
      <c r="D22" s="127">
        <v>28180</v>
      </c>
    </row>
    <row r="23" spans="1:4">
      <c r="B23" s="1" t="s">
        <v>10</v>
      </c>
      <c r="C23" s="126">
        <v>80</v>
      </c>
      <c r="D23" s="127">
        <v>28015</v>
      </c>
    </row>
    <row r="24" spans="1:4">
      <c r="B24" s="1" t="s">
        <v>11</v>
      </c>
      <c r="C24" s="126">
        <v>70</v>
      </c>
      <c r="D24" s="127">
        <v>37123</v>
      </c>
    </row>
    <row r="25" spans="1:4">
      <c r="B25" s="1" t="s">
        <v>12</v>
      </c>
      <c r="C25" s="126">
        <v>60</v>
      </c>
      <c r="D25" s="127">
        <v>47879</v>
      </c>
    </row>
    <row r="26" spans="1:4">
      <c r="B26" s="1" t="s">
        <v>13</v>
      </c>
      <c r="C26" s="126">
        <v>50</v>
      </c>
      <c r="D26" s="127">
        <v>52345</v>
      </c>
    </row>
    <row r="27" spans="1:4">
      <c r="B27" s="1" t="s">
        <v>14</v>
      </c>
      <c r="C27" s="126">
        <v>40</v>
      </c>
      <c r="D27" s="127">
        <v>49913</v>
      </c>
    </row>
    <row r="28" spans="1:4">
      <c r="B28" s="1" t="s">
        <v>15</v>
      </c>
      <c r="C28" s="126">
        <v>30</v>
      </c>
      <c r="D28" s="127">
        <v>42847</v>
      </c>
    </row>
    <row r="29" spans="1:4">
      <c r="B29" s="1" t="s">
        <v>16</v>
      </c>
      <c r="C29" s="126">
        <v>20</v>
      </c>
      <c r="D29" s="127">
        <v>28085</v>
      </c>
    </row>
    <row r="30" spans="1:4">
      <c r="B30" s="1" t="s">
        <v>23</v>
      </c>
      <c r="C30" s="126">
        <v>0</v>
      </c>
      <c r="D30" s="127">
        <v>18631</v>
      </c>
    </row>
    <row r="31" spans="1:4">
      <c r="A31" t="s">
        <v>34</v>
      </c>
      <c r="B31" s="1" t="s">
        <v>9</v>
      </c>
      <c r="C31" s="126">
        <v>40</v>
      </c>
      <c r="D31" s="127">
        <v>88654</v>
      </c>
    </row>
    <row r="32" spans="1:4">
      <c r="B32" s="1" t="s">
        <v>25</v>
      </c>
      <c r="C32" s="126">
        <v>35</v>
      </c>
      <c r="D32" s="127">
        <v>46703</v>
      </c>
    </row>
    <row r="33" spans="1:4">
      <c r="B33" s="1" t="s">
        <v>26</v>
      </c>
      <c r="C33" s="126">
        <v>30</v>
      </c>
      <c r="D33" s="127">
        <v>44053</v>
      </c>
    </row>
    <row r="34" spans="1:4">
      <c r="B34" s="1" t="s">
        <v>27</v>
      </c>
      <c r="C34" s="126">
        <v>25</v>
      </c>
      <c r="D34" s="127">
        <v>37446</v>
      </c>
    </row>
    <row r="35" spans="1:4">
      <c r="B35" s="1" t="s">
        <v>28</v>
      </c>
      <c r="C35" s="126">
        <v>20</v>
      </c>
      <c r="D35" s="127">
        <v>29255</v>
      </c>
    </row>
    <row r="36" spans="1:4">
      <c r="B36" s="1" t="s">
        <v>29</v>
      </c>
      <c r="C36" s="126">
        <v>15</v>
      </c>
      <c r="D36" s="127">
        <v>23838</v>
      </c>
    </row>
    <row r="37" spans="1:4">
      <c r="B37" s="1" t="s">
        <v>30</v>
      </c>
      <c r="C37" s="126">
        <v>10</v>
      </c>
      <c r="D37" s="127">
        <v>24878</v>
      </c>
    </row>
    <row r="38" spans="1:4">
      <c r="B38" s="1" t="s">
        <v>31</v>
      </c>
      <c r="C38" s="126">
        <v>5</v>
      </c>
      <c r="D38" s="127">
        <v>31032</v>
      </c>
    </row>
    <row r="39" spans="1:4">
      <c r="B39" s="1" t="s">
        <v>22</v>
      </c>
      <c r="C39" s="126">
        <v>0</v>
      </c>
      <c r="D39" s="127">
        <v>3803</v>
      </c>
    </row>
    <row r="40" spans="1:4">
      <c r="A40" t="s">
        <v>35</v>
      </c>
      <c r="B40" s="1" t="s">
        <v>9</v>
      </c>
      <c r="C40" s="126">
        <v>40</v>
      </c>
      <c r="D40" s="127">
        <v>106383</v>
      </c>
    </row>
    <row r="41" spans="1:4">
      <c r="B41" s="1" t="s">
        <v>10</v>
      </c>
      <c r="C41" s="126">
        <v>35</v>
      </c>
      <c r="D41" s="127">
        <v>67519</v>
      </c>
    </row>
    <row r="42" spans="1:4">
      <c r="B42" s="1" t="s">
        <v>11</v>
      </c>
      <c r="C42" s="126">
        <v>30</v>
      </c>
      <c r="D42" s="127">
        <v>47157</v>
      </c>
    </row>
    <row r="43" spans="1:4">
      <c r="B43" s="1" t="s">
        <v>12</v>
      </c>
      <c r="C43" s="126">
        <v>25</v>
      </c>
      <c r="D43" s="127">
        <v>27386</v>
      </c>
    </row>
    <row r="44" spans="1:4">
      <c r="B44" s="1" t="s">
        <v>13</v>
      </c>
      <c r="C44" s="126">
        <v>20</v>
      </c>
      <c r="D44" s="127">
        <v>17299</v>
      </c>
    </row>
    <row r="45" spans="1:4">
      <c r="B45" s="1" t="s">
        <v>14</v>
      </c>
      <c r="C45" s="126">
        <v>15</v>
      </c>
      <c r="D45" s="127">
        <v>14749</v>
      </c>
    </row>
    <row r="46" spans="1:4">
      <c r="B46" s="1" t="s">
        <v>15</v>
      </c>
      <c r="C46" s="126">
        <v>10</v>
      </c>
      <c r="D46" s="127">
        <v>26821</v>
      </c>
    </row>
    <row r="47" spans="1:4">
      <c r="B47" s="1" t="s">
        <v>16</v>
      </c>
      <c r="C47" s="126">
        <v>5</v>
      </c>
      <c r="D47" s="127">
        <v>20100</v>
      </c>
    </row>
    <row r="48" spans="1:4">
      <c r="B48" s="1" t="s">
        <v>23</v>
      </c>
      <c r="C48" s="126">
        <v>0</v>
      </c>
      <c r="D48" s="127">
        <v>2358</v>
      </c>
    </row>
    <row r="49" spans="1:4">
      <c r="A49" t="s">
        <v>36</v>
      </c>
      <c r="B49" s="1" t="s">
        <v>9</v>
      </c>
      <c r="C49" s="126">
        <v>40</v>
      </c>
      <c r="D49" s="127">
        <v>48077</v>
      </c>
    </row>
    <row r="50" spans="1:4">
      <c r="B50" s="1" t="s">
        <v>25</v>
      </c>
      <c r="C50" s="126">
        <v>35</v>
      </c>
      <c r="D50" s="127">
        <v>30871</v>
      </c>
    </row>
    <row r="51" spans="1:4">
      <c r="B51" s="1" t="s">
        <v>26</v>
      </c>
      <c r="C51" s="126">
        <v>30</v>
      </c>
      <c r="D51" s="127">
        <v>33802</v>
      </c>
    </row>
    <row r="52" spans="1:4">
      <c r="B52" s="1" t="s">
        <v>27</v>
      </c>
      <c r="C52" s="126">
        <v>25</v>
      </c>
      <c r="D52" s="127">
        <v>36412</v>
      </c>
    </row>
    <row r="53" spans="1:4">
      <c r="B53" s="1" t="s">
        <v>28</v>
      </c>
      <c r="C53" s="126">
        <v>20</v>
      </c>
      <c r="D53" s="127">
        <v>41220</v>
      </c>
    </row>
    <row r="54" spans="1:4">
      <c r="B54" s="1" t="s">
        <v>29</v>
      </c>
      <c r="C54" s="126">
        <v>15</v>
      </c>
      <c r="D54" s="127">
        <v>45999</v>
      </c>
    </row>
    <row r="55" spans="1:4">
      <c r="B55" s="1" t="s">
        <v>30</v>
      </c>
      <c r="C55" s="126">
        <v>10</v>
      </c>
      <c r="D55" s="127">
        <v>57756</v>
      </c>
    </row>
    <row r="56" spans="1:4">
      <c r="B56" s="1" t="s">
        <v>31</v>
      </c>
      <c r="C56" s="126">
        <v>5</v>
      </c>
      <c r="D56" s="127">
        <v>30651</v>
      </c>
    </row>
    <row r="57" spans="1:4">
      <c r="B57" s="1" t="s">
        <v>22</v>
      </c>
      <c r="C57" s="126">
        <v>0</v>
      </c>
      <c r="D57" s="127">
        <v>4413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I93"/>
    </sheetView>
  </sheetViews>
  <sheetFormatPr defaultRowHeight="17"/>
  <sheetData>
    <row r="1" spans="1:16">
      <c r="A1" s="10"/>
    </row>
    <row r="2" spans="1:16" ht="17.5" thickBot="1"/>
    <row r="3" spans="1:16">
      <c r="A3" s="39" t="s">
        <v>8</v>
      </c>
      <c r="B3" s="40"/>
      <c r="C3" s="40"/>
      <c r="D3" s="41"/>
      <c r="F3" s="39" t="s">
        <v>17</v>
      </c>
      <c r="G3" s="40"/>
      <c r="H3" s="40"/>
      <c r="I3" s="41"/>
    </row>
    <row r="4" spans="1:16">
      <c r="A4" s="3" t="s">
        <v>6</v>
      </c>
      <c r="B4" s="1"/>
      <c r="C4" s="1"/>
      <c r="D4" s="4" t="s">
        <v>7</v>
      </c>
      <c r="E4" s="11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>
      <c r="A5" s="129">
        <v>145</v>
      </c>
      <c r="B5" s="128">
        <v>222</v>
      </c>
      <c r="C5" s="128">
        <v>237</v>
      </c>
      <c r="D5" s="128">
        <v>463</v>
      </c>
      <c r="E5" s="128">
        <v>463</v>
      </c>
      <c r="F5" s="129">
        <v>155</v>
      </c>
      <c r="G5" s="128">
        <v>1130</v>
      </c>
      <c r="H5" s="128">
        <v>522</v>
      </c>
      <c r="I5" s="128">
        <v>1691</v>
      </c>
      <c r="J5" s="13"/>
      <c r="L5" s="1"/>
      <c r="M5" s="1"/>
      <c r="O5" s="1"/>
      <c r="P5" s="1"/>
    </row>
    <row r="6" spans="1:16">
      <c r="A6" s="129">
        <v>143</v>
      </c>
      <c r="B6" s="128">
        <v>330</v>
      </c>
      <c r="C6" s="128">
        <v>373</v>
      </c>
      <c r="D6" s="128">
        <v>718</v>
      </c>
      <c r="E6" s="128">
        <v>1181</v>
      </c>
      <c r="F6" s="129">
        <v>153</v>
      </c>
      <c r="G6" s="128">
        <v>4</v>
      </c>
      <c r="H6" s="128">
        <v>0</v>
      </c>
      <c r="I6" s="128">
        <v>4</v>
      </c>
      <c r="J6" s="13"/>
      <c r="L6" s="1"/>
      <c r="M6" s="1"/>
      <c r="O6" s="1"/>
      <c r="P6" s="1"/>
    </row>
    <row r="7" spans="1:16">
      <c r="A7" s="129">
        <v>142</v>
      </c>
      <c r="B7" s="128">
        <v>545</v>
      </c>
      <c r="C7" s="128">
        <v>614</v>
      </c>
      <c r="D7" s="128">
        <v>1191</v>
      </c>
      <c r="E7" s="128">
        <v>2372</v>
      </c>
      <c r="F7" s="129">
        <v>152</v>
      </c>
      <c r="G7" s="128">
        <v>138</v>
      </c>
      <c r="H7" s="128">
        <v>55</v>
      </c>
      <c r="I7" s="128">
        <v>194</v>
      </c>
      <c r="J7" s="13"/>
      <c r="L7" s="1"/>
      <c r="M7" s="1"/>
      <c r="O7" s="1"/>
      <c r="P7" s="1"/>
    </row>
    <row r="8" spans="1:16">
      <c r="A8" s="129">
        <v>141</v>
      </c>
      <c r="B8" s="128">
        <v>502</v>
      </c>
      <c r="C8" s="128">
        <v>573</v>
      </c>
      <c r="D8" s="128">
        <v>1110</v>
      </c>
      <c r="E8" s="128">
        <v>3482</v>
      </c>
      <c r="F8" s="129">
        <v>151</v>
      </c>
      <c r="G8" s="128">
        <v>1542</v>
      </c>
      <c r="H8" s="128">
        <v>784</v>
      </c>
      <c r="I8" s="128">
        <v>2377</v>
      </c>
      <c r="J8" s="13"/>
      <c r="L8" s="1"/>
      <c r="M8" s="1"/>
      <c r="O8" s="1"/>
      <c r="P8" s="1"/>
    </row>
    <row r="9" spans="1:16">
      <c r="A9" s="129">
        <v>140</v>
      </c>
      <c r="B9" s="128">
        <v>426</v>
      </c>
      <c r="C9" s="128">
        <v>490</v>
      </c>
      <c r="D9" s="128">
        <v>938</v>
      </c>
      <c r="E9" s="128">
        <v>4420</v>
      </c>
      <c r="F9" s="129">
        <v>149</v>
      </c>
      <c r="G9" s="128">
        <v>386</v>
      </c>
      <c r="H9" s="128">
        <v>153</v>
      </c>
      <c r="I9" s="128">
        <v>559</v>
      </c>
      <c r="J9" s="13"/>
      <c r="L9" s="1"/>
      <c r="M9" s="1"/>
      <c r="O9" s="1"/>
      <c r="P9" s="1"/>
    </row>
    <row r="10" spans="1:16">
      <c r="A10" s="129">
        <v>139</v>
      </c>
      <c r="B10" s="128">
        <v>661</v>
      </c>
      <c r="C10" s="128">
        <v>781</v>
      </c>
      <c r="D10" s="128">
        <v>1479</v>
      </c>
      <c r="E10" s="128">
        <v>5899</v>
      </c>
      <c r="F10" s="129">
        <v>148</v>
      </c>
      <c r="G10" s="128">
        <v>1559</v>
      </c>
      <c r="H10" s="128">
        <v>917</v>
      </c>
      <c r="I10" s="128">
        <v>2539</v>
      </c>
      <c r="J10" s="13"/>
      <c r="L10" s="1"/>
      <c r="M10" s="1"/>
      <c r="O10" s="1"/>
      <c r="P10" s="1"/>
    </row>
    <row r="11" spans="1:16">
      <c r="A11" s="129">
        <v>138</v>
      </c>
      <c r="B11" s="128">
        <v>584</v>
      </c>
      <c r="C11" s="128">
        <v>665</v>
      </c>
      <c r="D11" s="128">
        <v>1287</v>
      </c>
      <c r="E11" s="128">
        <v>7186</v>
      </c>
      <c r="F11" s="129">
        <v>147</v>
      </c>
      <c r="G11" s="128">
        <v>5</v>
      </c>
      <c r="H11" s="128">
        <v>1</v>
      </c>
      <c r="I11" s="128">
        <v>6</v>
      </c>
      <c r="J11" s="13"/>
      <c r="L11" s="1"/>
      <c r="M11" s="1"/>
      <c r="O11" s="1"/>
      <c r="P11" s="1"/>
    </row>
    <row r="12" spans="1:16">
      <c r="A12" s="129">
        <v>137</v>
      </c>
      <c r="B12" s="128">
        <v>794</v>
      </c>
      <c r="C12" s="128">
        <v>881</v>
      </c>
      <c r="D12" s="128">
        <v>1726</v>
      </c>
      <c r="E12" s="128">
        <v>8912</v>
      </c>
      <c r="F12" s="129">
        <v>146</v>
      </c>
      <c r="G12" s="128">
        <v>44</v>
      </c>
      <c r="H12" s="128">
        <v>19</v>
      </c>
      <c r="I12" s="128">
        <v>65</v>
      </c>
      <c r="J12" s="13"/>
      <c r="L12" s="1"/>
      <c r="M12" s="1"/>
      <c r="O12" s="1"/>
      <c r="P12" s="1"/>
    </row>
    <row r="13" spans="1:16">
      <c r="A13" s="129">
        <v>136</v>
      </c>
      <c r="B13" s="128">
        <v>804</v>
      </c>
      <c r="C13" s="128">
        <v>961</v>
      </c>
      <c r="D13" s="128">
        <v>1826</v>
      </c>
      <c r="E13" s="128">
        <v>10738</v>
      </c>
      <c r="F13" s="129">
        <v>145</v>
      </c>
      <c r="G13" s="128">
        <v>508</v>
      </c>
      <c r="H13" s="128">
        <v>265</v>
      </c>
      <c r="I13" s="128">
        <v>793</v>
      </c>
      <c r="J13" s="13"/>
      <c r="L13" s="1"/>
      <c r="M13" s="1"/>
      <c r="O13" s="1"/>
      <c r="P13" s="1"/>
    </row>
    <row r="14" spans="1:16">
      <c r="A14" s="129">
        <v>135</v>
      </c>
      <c r="B14" s="128">
        <v>835</v>
      </c>
      <c r="C14" s="128">
        <v>1091</v>
      </c>
      <c r="D14" s="128">
        <v>1976</v>
      </c>
      <c r="E14" s="128">
        <v>12714</v>
      </c>
      <c r="F14" s="129">
        <v>144</v>
      </c>
      <c r="G14" s="128">
        <v>1777</v>
      </c>
      <c r="H14" s="128">
        <v>1040</v>
      </c>
      <c r="I14" s="128">
        <v>2898</v>
      </c>
      <c r="J14" s="13"/>
      <c r="L14" s="1"/>
      <c r="M14" s="1"/>
      <c r="O14" s="1"/>
      <c r="P14" s="1"/>
    </row>
    <row r="15" spans="1:16">
      <c r="A15" s="129">
        <v>134</v>
      </c>
      <c r="B15" s="128">
        <v>967</v>
      </c>
      <c r="C15" s="128">
        <v>1272</v>
      </c>
      <c r="D15" s="128">
        <v>2291</v>
      </c>
      <c r="E15" s="128">
        <v>15005</v>
      </c>
      <c r="F15" s="129">
        <v>143</v>
      </c>
      <c r="G15" s="128">
        <v>8</v>
      </c>
      <c r="H15" s="128">
        <v>1</v>
      </c>
      <c r="I15" s="128">
        <v>9</v>
      </c>
      <c r="J15" s="13"/>
      <c r="L15" s="1"/>
      <c r="M15" s="1"/>
      <c r="O15" s="1"/>
      <c r="P15" s="1"/>
    </row>
    <row r="16" spans="1:16">
      <c r="A16" s="129">
        <v>133</v>
      </c>
      <c r="B16" s="128">
        <v>2047</v>
      </c>
      <c r="C16" s="128">
        <v>2558</v>
      </c>
      <c r="D16" s="128">
        <v>4743</v>
      </c>
      <c r="E16" s="128">
        <v>19748</v>
      </c>
      <c r="F16" s="129">
        <v>142</v>
      </c>
      <c r="G16" s="128">
        <v>102</v>
      </c>
      <c r="H16" s="128">
        <v>44</v>
      </c>
      <c r="I16" s="128">
        <v>153</v>
      </c>
      <c r="J16" s="13"/>
      <c r="L16" s="1"/>
      <c r="M16" s="1"/>
      <c r="O16" s="1"/>
      <c r="P16" s="1"/>
    </row>
    <row r="17" spans="1:16">
      <c r="A17" s="129">
        <v>132</v>
      </c>
      <c r="B17" s="128">
        <v>1163</v>
      </c>
      <c r="C17" s="128">
        <v>1385</v>
      </c>
      <c r="D17" s="128">
        <v>2621</v>
      </c>
      <c r="E17" s="128">
        <v>22369</v>
      </c>
      <c r="F17" s="129">
        <v>141</v>
      </c>
      <c r="G17" s="128">
        <v>743</v>
      </c>
      <c r="H17" s="128">
        <v>536</v>
      </c>
      <c r="I17" s="128">
        <v>1308</v>
      </c>
      <c r="J17" s="13"/>
      <c r="L17" s="1"/>
      <c r="M17" s="1"/>
      <c r="O17" s="1"/>
      <c r="P17" s="1"/>
    </row>
    <row r="18" spans="1:16">
      <c r="A18" s="129">
        <v>131</v>
      </c>
      <c r="B18" s="128">
        <v>1161</v>
      </c>
      <c r="C18" s="128">
        <v>1513</v>
      </c>
      <c r="D18" s="128">
        <v>2776</v>
      </c>
      <c r="E18" s="128">
        <v>25145</v>
      </c>
      <c r="F18" s="129">
        <v>140</v>
      </c>
      <c r="G18" s="128">
        <v>1865</v>
      </c>
      <c r="H18" s="128">
        <v>1340</v>
      </c>
      <c r="I18" s="128">
        <v>3277</v>
      </c>
      <c r="J18" s="13"/>
      <c r="L18" s="1"/>
      <c r="M18" s="1"/>
      <c r="O18" s="1"/>
      <c r="P18" s="1"/>
    </row>
    <row r="19" spans="1:16">
      <c r="A19" s="129">
        <v>130</v>
      </c>
      <c r="B19" s="128">
        <v>1306</v>
      </c>
      <c r="C19" s="128">
        <v>1602</v>
      </c>
      <c r="D19" s="128">
        <v>3000</v>
      </c>
      <c r="E19" s="128">
        <v>28145</v>
      </c>
      <c r="F19" s="129">
        <v>139</v>
      </c>
      <c r="G19" s="128">
        <v>171</v>
      </c>
      <c r="H19" s="128">
        <v>105</v>
      </c>
      <c r="I19" s="128">
        <v>284</v>
      </c>
      <c r="J19" s="13"/>
      <c r="L19" s="1"/>
      <c r="M19" s="1"/>
      <c r="O19" s="1"/>
      <c r="P19" s="1"/>
    </row>
    <row r="20" spans="1:16">
      <c r="A20" s="129">
        <v>129</v>
      </c>
      <c r="B20" s="128">
        <v>1305</v>
      </c>
      <c r="C20" s="128">
        <v>1757</v>
      </c>
      <c r="D20" s="128">
        <v>3154</v>
      </c>
      <c r="E20" s="128">
        <v>31299</v>
      </c>
      <c r="F20" s="129">
        <v>138</v>
      </c>
      <c r="G20" s="128">
        <v>1069</v>
      </c>
      <c r="H20" s="128">
        <v>776</v>
      </c>
      <c r="I20" s="128">
        <v>1908</v>
      </c>
      <c r="J20" s="13"/>
      <c r="L20" s="1"/>
      <c r="M20" s="1"/>
      <c r="O20" s="1"/>
      <c r="P20" s="1"/>
    </row>
    <row r="21" spans="1:16">
      <c r="A21" s="129">
        <v>128</v>
      </c>
      <c r="B21" s="128">
        <v>1397</v>
      </c>
      <c r="C21" s="128">
        <v>1780</v>
      </c>
      <c r="D21" s="128">
        <v>3267</v>
      </c>
      <c r="E21" s="128">
        <v>34566</v>
      </c>
      <c r="F21" s="129">
        <v>137</v>
      </c>
      <c r="G21" s="128">
        <v>1928</v>
      </c>
      <c r="H21" s="128">
        <v>1394</v>
      </c>
      <c r="I21" s="128">
        <v>3397</v>
      </c>
      <c r="J21" s="13"/>
      <c r="L21" s="1"/>
      <c r="M21" s="1"/>
      <c r="O21" s="1"/>
      <c r="P21" s="1"/>
    </row>
    <row r="22" spans="1:16">
      <c r="A22" s="129">
        <v>127</v>
      </c>
      <c r="B22" s="128">
        <v>1384</v>
      </c>
      <c r="C22" s="128">
        <v>1816</v>
      </c>
      <c r="D22" s="128">
        <v>3293</v>
      </c>
      <c r="E22" s="128">
        <v>37859</v>
      </c>
      <c r="F22" s="129">
        <v>136</v>
      </c>
      <c r="G22" s="128">
        <v>45</v>
      </c>
      <c r="H22" s="128">
        <v>18</v>
      </c>
      <c r="I22" s="128">
        <v>65</v>
      </c>
      <c r="J22" s="13"/>
      <c r="L22" s="1"/>
      <c r="M22" s="1"/>
      <c r="O22" s="1"/>
      <c r="P22" s="1"/>
    </row>
    <row r="23" spans="1:16">
      <c r="A23" s="129">
        <v>126</v>
      </c>
      <c r="B23" s="128">
        <v>1492</v>
      </c>
      <c r="C23" s="128">
        <v>1900</v>
      </c>
      <c r="D23" s="128">
        <v>3492</v>
      </c>
      <c r="E23" s="128">
        <v>41351</v>
      </c>
      <c r="F23" s="129">
        <v>135</v>
      </c>
      <c r="G23" s="128">
        <v>351</v>
      </c>
      <c r="H23" s="128">
        <v>217</v>
      </c>
      <c r="I23" s="128">
        <v>583</v>
      </c>
      <c r="J23" s="13"/>
      <c r="L23" s="1"/>
      <c r="M23" s="1"/>
      <c r="O23" s="1"/>
      <c r="P23" s="1"/>
    </row>
    <row r="24" spans="1:16">
      <c r="A24" s="129">
        <v>125</v>
      </c>
      <c r="B24" s="128">
        <v>2999</v>
      </c>
      <c r="C24" s="128">
        <v>4001</v>
      </c>
      <c r="D24" s="128">
        <v>7184</v>
      </c>
      <c r="E24" s="128">
        <v>48535</v>
      </c>
      <c r="F24" s="129">
        <v>134</v>
      </c>
      <c r="G24" s="128">
        <v>1475</v>
      </c>
      <c r="H24" s="128">
        <v>1090</v>
      </c>
      <c r="I24" s="128">
        <v>2643</v>
      </c>
      <c r="J24" s="13"/>
      <c r="L24" s="1"/>
      <c r="M24" s="1"/>
      <c r="O24" s="1"/>
      <c r="P24" s="1"/>
    </row>
    <row r="25" spans="1:16">
      <c r="A25" s="129">
        <v>124</v>
      </c>
      <c r="B25" s="128">
        <v>1525</v>
      </c>
      <c r="C25" s="128">
        <v>1970</v>
      </c>
      <c r="D25" s="128">
        <v>3605</v>
      </c>
      <c r="E25" s="128">
        <v>52140</v>
      </c>
      <c r="F25" s="129">
        <v>133</v>
      </c>
      <c r="G25" s="128">
        <v>1854</v>
      </c>
      <c r="H25" s="128">
        <v>1532</v>
      </c>
      <c r="I25" s="128">
        <v>3474</v>
      </c>
      <c r="J25" s="13"/>
      <c r="L25" s="1"/>
      <c r="M25" s="1"/>
      <c r="O25" s="1"/>
      <c r="P25" s="1"/>
    </row>
    <row r="26" spans="1:16">
      <c r="A26" s="129">
        <v>123</v>
      </c>
      <c r="B26" s="128">
        <v>1593</v>
      </c>
      <c r="C26" s="128">
        <v>2141</v>
      </c>
      <c r="D26" s="128">
        <v>3841</v>
      </c>
      <c r="E26" s="128">
        <v>55981</v>
      </c>
      <c r="F26" s="129">
        <v>132</v>
      </c>
      <c r="G26" s="128">
        <v>685</v>
      </c>
      <c r="H26" s="128">
        <v>474</v>
      </c>
      <c r="I26" s="128">
        <v>1195</v>
      </c>
      <c r="J26" s="13"/>
      <c r="L26" s="1"/>
      <c r="M26" s="1"/>
      <c r="O26" s="1"/>
      <c r="P26" s="1"/>
    </row>
    <row r="27" spans="1:16">
      <c r="A27" s="129">
        <v>122</v>
      </c>
      <c r="B27" s="128">
        <v>1596</v>
      </c>
      <c r="C27" s="128">
        <v>2199</v>
      </c>
      <c r="D27" s="128">
        <v>3917</v>
      </c>
      <c r="E27" s="128">
        <v>59898</v>
      </c>
      <c r="F27" s="129">
        <v>131</v>
      </c>
      <c r="G27" s="128">
        <v>1803</v>
      </c>
      <c r="H27" s="128">
        <v>1461</v>
      </c>
      <c r="I27" s="128">
        <v>3367</v>
      </c>
      <c r="J27" s="13"/>
      <c r="L27" s="1"/>
      <c r="M27" s="1"/>
      <c r="O27" s="1"/>
      <c r="P27" s="1"/>
    </row>
    <row r="28" spans="1:16">
      <c r="A28" s="129">
        <v>121</v>
      </c>
      <c r="B28" s="128">
        <v>1654</v>
      </c>
      <c r="C28" s="128">
        <v>2129</v>
      </c>
      <c r="D28" s="128">
        <v>3926</v>
      </c>
      <c r="E28" s="128">
        <v>63824</v>
      </c>
      <c r="F28" s="129">
        <v>130</v>
      </c>
      <c r="G28" s="128">
        <v>1709</v>
      </c>
      <c r="H28" s="128">
        <v>1499</v>
      </c>
      <c r="I28" s="128">
        <v>3292</v>
      </c>
      <c r="J28" s="13"/>
      <c r="L28" s="1"/>
      <c r="M28" s="1"/>
      <c r="O28" s="1"/>
      <c r="P28" s="1"/>
    </row>
    <row r="29" spans="1:16">
      <c r="A29" s="129">
        <v>120</v>
      </c>
      <c r="B29" s="128">
        <v>1699</v>
      </c>
      <c r="C29" s="128">
        <v>2185</v>
      </c>
      <c r="D29" s="128">
        <v>4002</v>
      </c>
      <c r="E29" s="128">
        <v>67826</v>
      </c>
      <c r="F29" s="129">
        <v>129</v>
      </c>
      <c r="G29" s="128">
        <v>196</v>
      </c>
      <c r="H29" s="128">
        <v>135</v>
      </c>
      <c r="I29" s="128">
        <v>343</v>
      </c>
      <c r="J29" s="13"/>
      <c r="L29" s="1"/>
      <c r="M29" s="1"/>
      <c r="O29" s="1"/>
      <c r="P29" s="1"/>
    </row>
    <row r="30" spans="1:16">
      <c r="A30" s="129">
        <v>119</v>
      </c>
      <c r="B30" s="128">
        <v>1688</v>
      </c>
      <c r="C30" s="128">
        <v>2220</v>
      </c>
      <c r="D30" s="128">
        <v>4010</v>
      </c>
      <c r="E30" s="128">
        <v>71836</v>
      </c>
      <c r="F30" s="129">
        <v>128</v>
      </c>
      <c r="G30" s="128">
        <v>933</v>
      </c>
      <c r="H30" s="128">
        <v>760</v>
      </c>
      <c r="I30" s="128">
        <v>1757</v>
      </c>
      <c r="J30" s="13"/>
      <c r="L30" s="1"/>
      <c r="M30" s="1"/>
      <c r="O30" s="1"/>
      <c r="P30" s="1"/>
    </row>
    <row r="31" spans="1:16">
      <c r="A31" s="129">
        <v>118</v>
      </c>
      <c r="B31" s="128">
        <v>1815</v>
      </c>
      <c r="C31" s="128">
        <v>2182</v>
      </c>
      <c r="D31" s="128">
        <v>4142</v>
      </c>
      <c r="E31" s="128">
        <v>75978</v>
      </c>
      <c r="F31" s="129">
        <v>127</v>
      </c>
      <c r="G31" s="128">
        <v>2029</v>
      </c>
      <c r="H31" s="128">
        <v>1881</v>
      </c>
      <c r="I31" s="128">
        <v>4022</v>
      </c>
      <c r="J31" s="13"/>
      <c r="L31" s="1"/>
      <c r="M31" s="1"/>
      <c r="O31" s="1"/>
      <c r="P31" s="1"/>
    </row>
    <row r="32" spans="1:16">
      <c r="A32" s="129">
        <v>117</v>
      </c>
      <c r="B32" s="128">
        <v>1740</v>
      </c>
      <c r="C32" s="128">
        <v>2267</v>
      </c>
      <c r="D32" s="128">
        <v>4149</v>
      </c>
      <c r="E32" s="128">
        <v>80127</v>
      </c>
      <c r="F32" s="129">
        <v>126</v>
      </c>
      <c r="G32" s="128">
        <v>1348</v>
      </c>
      <c r="H32" s="128">
        <v>1286</v>
      </c>
      <c r="I32" s="128">
        <v>2706</v>
      </c>
      <c r="J32" s="13"/>
      <c r="L32" s="1"/>
      <c r="M32" s="1"/>
      <c r="O32" s="1"/>
      <c r="P32" s="1"/>
    </row>
    <row r="33" spans="1:16">
      <c r="A33" s="129">
        <v>116</v>
      </c>
      <c r="B33" s="128">
        <v>3634</v>
      </c>
      <c r="C33" s="128">
        <v>4735</v>
      </c>
      <c r="D33" s="128">
        <v>8615</v>
      </c>
      <c r="E33" s="128">
        <v>88742</v>
      </c>
      <c r="F33" s="129">
        <v>125</v>
      </c>
      <c r="G33" s="128">
        <v>378</v>
      </c>
      <c r="H33" s="128">
        <v>286</v>
      </c>
      <c r="I33" s="128">
        <v>682</v>
      </c>
      <c r="J33" s="13"/>
      <c r="L33" s="1"/>
      <c r="M33" s="1"/>
      <c r="O33" s="1"/>
      <c r="P33" s="1"/>
    </row>
    <row r="34" spans="1:16">
      <c r="A34" s="129">
        <v>115</v>
      </c>
      <c r="B34" s="128">
        <v>1829</v>
      </c>
      <c r="C34" s="128">
        <v>2436</v>
      </c>
      <c r="D34" s="128">
        <v>4404</v>
      </c>
      <c r="E34" s="128">
        <v>93146</v>
      </c>
      <c r="F34" s="129">
        <v>124</v>
      </c>
      <c r="G34" s="128">
        <v>1273</v>
      </c>
      <c r="H34" s="128">
        <v>1211</v>
      </c>
      <c r="I34" s="128">
        <v>2548</v>
      </c>
      <c r="J34" s="13"/>
      <c r="L34" s="1"/>
      <c r="M34" s="1"/>
      <c r="O34" s="1"/>
      <c r="P34" s="1"/>
    </row>
    <row r="35" spans="1:16">
      <c r="A35" s="129">
        <v>114</v>
      </c>
      <c r="B35" s="128">
        <v>1920</v>
      </c>
      <c r="C35" s="128">
        <v>2391</v>
      </c>
      <c r="D35" s="128">
        <v>4433</v>
      </c>
      <c r="E35" s="128">
        <v>97579</v>
      </c>
      <c r="F35" s="129">
        <v>123</v>
      </c>
      <c r="G35" s="128">
        <v>3226</v>
      </c>
      <c r="H35" s="128">
        <v>3137</v>
      </c>
      <c r="I35" s="128">
        <v>6537</v>
      </c>
      <c r="J35" s="13"/>
      <c r="L35" s="1"/>
      <c r="M35" s="1"/>
      <c r="O35" s="1"/>
      <c r="P35" s="1"/>
    </row>
    <row r="36" spans="1:16">
      <c r="A36" s="129">
        <v>113</v>
      </c>
      <c r="B36" s="128">
        <v>1919</v>
      </c>
      <c r="C36" s="128">
        <v>2424</v>
      </c>
      <c r="D36" s="128">
        <v>4470</v>
      </c>
      <c r="E36" s="128">
        <v>102049</v>
      </c>
      <c r="F36" s="129">
        <v>122</v>
      </c>
      <c r="G36" s="128">
        <v>681</v>
      </c>
      <c r="H36" s="128">
        <v>601</v>
      </c>
      <c r="I36" s="128">
        <v>1318</v>
      </c>
      <c r="J36" s="13"/>
      <c r="L36" s="1"/>
      <c r="M36" s="1"/>
      <c r="O36" s="1"/>
      <c r="P36" s="1"/>
    </row>
    <row r="37" spans="1:16">
      <c r="A37" s="129">
        <v>112</v>
      </c>
      <c r="B37" s="128">
        <v>1983</v>
      </c>
      <c r="C37" s="128">
        <v>2490</v>
      </c>
      <c r="D37" s="128">
        <v>4614</v>
      </c>
      <c r="E37" s="128">
        <v>106663</v>
      </c>
      <c r="F37" s="129">
        <v>121</v>
      </c>
      <c r="G37" s="128">
        <v>1739</v>
      </c>
      <c r="H37" s="128">
        <v>1685</v>
      </c>
      <c r="I37" s="128">
        <v>3513</v>
      </c>
      <c r="J37" s="13"/>
      <c r="L37" s="1"/>
      <c r="M37" s="1"/>
      <c r="O37" s="1"/>
      <c r="P37" s="1"/>
    </row>
    <row r="38" spans="1:16">
      <c r="A38" s="129">
        <v>111</v>
      </c>
      <c r="B38" s="128">
        <v>1880</v>
      </c>
      <c r="C38" s="128">
        <v>2463</v>
      </c>
      <c r="D38" s="128">
        <v>4492</v>
      </c>
      <c r="E38" s="128">
        <v>111155</v>
      </c>
      <c r="F38" s="129">
        <v>120</v>
      </c>
      <c r="G38" s="128">
        <v>1917</v>
      </c>
      <c r="H38" s="128">
        <v>1985</v>
      </c>
      <c r="I38" s="128">
        <v>4009</v>
      </c>
      <c r="J38" s="13"/>
      <c r="L38" s="1"/>
      <c r="M38" s="1"/>
      <c r="O38" s="1"/>
      <c r="P38" s="1"/>
    </row>
    <row r="39" spans="1:16">
      <c r="A39" s="129">
        <v>110</v>
      </c>
      <c r="B39" s="128">
        <v>1944</v>
      </c>
      <c r="C39" s="128">
        <v>2357</v>
      </c>
      <c r="D39" s="128">
        <v>4447</v>
      </c>
      <c r="E39" s="128">
        <v>115602</v>
      </c>
      <c r="F39" s="129">
        <v>119</v>
      </c>
      <c r="G39" s="128">
        <v>918</v>
      </c>
      <c r="H39" s="128">
        <v>888</v>
      </c>
      <c r="I39" s="128">
        <v>1852</v>
      </c>
      <c r="J39" s="13"/>
      <c r="L39" s="1"/>
      <c r="M39" s="1"/>
      <c r="O39" s="1"/>
      <c r="P39" s="1"/>
    </row>
    <row r="40" spans="1:16">
      <c r="A40" s="129">
        <v>109</v>
      </c>
      <c r="B40" s="128">
        <v>1915</v>
      </c>
      <c r="C40" s="128">
        <v>2417</v>
      </c>
      <c r="D40" s="128">
        <v>4451</v>
      </c>
      <c r="E40" s="128">
        <v>120053</v>
      </c>
      <c r="F40" s="129">
        <v>118</v>
      </c>
      <c r="G40" s="128">
        <v>1156</v>
      </c>
      <c r="H40" s="128">
        <v>1048</v>
      </c>
      <c r="I40" s="128">
        <v>2263</v>
      </c>
      <c r="J40" s="13"/>
      <c r="L40" s="1"/>
      <c r="M40" s="1"/>
      <c r="O40" s="1"/>
      <c r="P40" s="1"/>
    </row>
    <row r="41" spans="1:16">
      <c r="A41" s="129">
        <v>108</v>
      </c>
      <c r="B41" s="128">
        <v>3965</v>
      </c>
      <c r="C41" s="128">
        <v>4901</v>
      </c>
      <c r="D41" s="128">
        <v>9131</v>
      </c>
      <c r="E41" s="128">
        <v>129184</v>
      </c>
      <c r="F41" s="129">
        <v>117</v>
      </c>
      <c r="G41" s="128">
        <v>1899</v>
      </c>
      <c r="H41" s="128">
        <v>2080</v>
      </c>
      <c r="I41" s="128">
        <v>4086</v>
      </c>
      <c r="J41" s="13"/>
      <c r="L41" s="1"/>
      <c r="M41" s="1"/>
      <c r="O41" s="1"/>
      <c r="P41" s="1"/>
    </row>
    <row r="42" spans="1:16">
      <c r="A42" s="129">
        <v>107</v>
      </c>
      <c r="B42" s="128">
        <v>1981</v>
      </c>
      <c r="C42" s="128">
        <v>2469</v>
      </c>
      <c r="D42" s="128">
        <v>4600</v>
      </c>
      <c r="E42" s="128">
        <v>133784</v>
      </c>
      <c r="F42" s="129">
        <v>116</v>
      </c>
      <c r="G42" s="128">
        <v>1648</v>
      </c>
      <c r="H42" s="128">
        <v>1789</v>
      </c>
      <c r="I42" s="128">
        <v>3532</v>
      </c>
      <c r="J42" s="13"/>
      <c r="L42" s="1"/>
      <c r="M42" s="1"/>
      <c r="O42" s="1"/>
      <c r="P42" s="1"/>
    </row>
    <row r="43" spans="1:16">
      <c r="A43" s="129">
        <v>106</v>
      </c>
      <c r="B43" s="128">
        <v>2042</v>
      </c>
      <c r="C43" s="128">
        <v>2526</v>
      </c>
      <c r="D43" s="128">
        <v>4714</v>
      </c>
      <c r="E43" s="128">
        <v>138498</v>
      </c>
      <c r="F43" s="129">
        <v>115</v>
      </c>
      <c r="G43" s="128">
        <v>926</v>
      </c>
      <c r="H43" s="128">
        <v>940</v>
      </c>
      <c r="I43" s="128">
        <v>1914</v>
      </c>
      <c r="J43" s="13"/>
      <c r="L43" s="1"/>
      <c r="M43" s="1"/>
      <c r="O43" s="1"/>
      <c r="P43" s="1"/>
    </row>
    <row r="44" spans="1:16">
      <c r="A44" s="129">
        <v>105</v>
      </c>
      <c r="B44" s="128">
        <v>1967</v>
      </c>
      <c r="C44" s="128">
        <v>2425</v>
      </c>
      <c r="D44" s="128">
        <v>4543</v>
      </c>
      <c r="E44" s="128">
        <v>143041</v>
      </c>
      <c r="F44" s="129">
        <v>114</v>
      </c>
      <c r="G44" s="128">
        <v>3719</v>
      </c>
      <c r="H44" s="128">
        <v>3975</v>
      </c>
      <c r="I44" s="128">
        <v>7915</v>
      </c>
      <c r="J44" s="13"/>
      <c r="L44" s="1"/>
      <c r="M44" s="1"/>
      <c r="O44" s="1"/>
      <c r="P44" s="1"/>
    </row>
    <row r="45" spans="1:16">
      <c r="A45" s="129">
        <v>104</v>
      </c>
      <c r="B45" s="128">
        <v>1961</v>
      </c>
      <c r="C45" s="128">
        <v>2445</v>
      </c>
      <c r="D45" s="128">
        <v>4574</v>
      </c>
      <c r="E45" s="128">
        <v>147615</v>
      </c>
      <c r="F45" s="129">
        <v>113</v>
      </c>
      <c r="G45" s="128">
        <v>1314</v>
      </c>
      <c r="H45" s="128">
        <v>1440</v>
      </c>
      <c r="I45" s="128">
        <v>2843</v>
      </c>
      <c r="J45" s="13"/>
      <c r="L45" s="1"/>
      <c r="M45" s="1"/>
      <c r="O45" s="1"/>
      <c r="P45" s="1"/>
    </row>
    <row r="46" spans="1:16">
      <c r="A46" s="129">
        <v>103</v>
      </c>
      <c r="B46" s="128">
        <v>1964</v>
      </c>
      <c r="C46" s="128">
        <v>2404</v>
      </c>
      <c r="D46" s="128">
        <v>4498</v>
      </c>
      <c r="E46" s="128">
        <v>152113</v>
      </c>
      <c r="F46" s="129">
        <v>112</v>
      </c>
      <c r="G46" s="128">
        <v>1341</v>
      </c>
      <c r="H46" s="128">
        <v>1364</v>
      </c>
      <c r="I46" s="128">
        <v>2781</v>
      </c>
      <c r="J46" s="13"/>
      <c r="L46" s="1"/>
      <c r="M46" s="1"/>
      <c r="O46" s="1"/>
      <c r="P46" s="1"/>
    </row>
    <row r="47" spans="1:16">
      <c r="A47" s="129">
        <v>102</v>
      </c>
      <c r="B47" s="128">
        <v>1922</v>
      </c>
      <c r="C47" s="128">
        <v>2396</v>
      </c>
      <c r="D47" s="128">
        <v>4464</v>
      </c>
      <c r="E47" s="128">
        <v>156577</v>
      </c>
      <c r="F47" s="129">
        <v>111</v>
      </c>
      <c r="G47" s="128">
        <v>2120</v>
      </c>
      <c r="H47" s="128">
        <v>2302</v>
      </c>
      <c r="I47" s="128">
        <v>4551</v>
      </c>
      <c r="J47" s="13"/>
      <c r="L47" s="1"/>
      <c r="M47" s="1"/>
      <c r="O47" s="1"/>
      <c r="P47" s="1"/>
    </row>
    <row r="48" spans="1:16">
      <c r="A48" s="129">
        <v>101</v>
      </c>
      <c r="B48" s="128">
        <v>1954</v>
      </c>
      <c r="C48" s="128">
        <v>2388</v>
      </c>
      <c r="D48" s="128">
        <v>4469</v>
      </c>
      <c r="E48" s="128">
        <v>161046</v>
      </c>
      <c r="F48" s="129">
        <v>110</v>
      </c>
      <c r="G48" s="128">
        <v>1817</v>
      </c>
      <c r="H48" s="128">
        <v>2193</v>
      </c>
      <c r="I48" s="128">
        <v>4131</v>
      </c>
      <c r="J48" s="13"/>
      <c r="L48" s="1"/>
      <c r="M48" s="1"/>
      <c r="O48" s="1"/>
      <c r="P48" s="1"/>
    </row>
    <row r="49" spans="1:16">
      <c r="A49" s="129">
        <v>100</v>
      </c>
      <c r="B49" s="128">
        <v>1951</v>
      </c>
      <c r="C49" s="128">
        <v>2373</v>
      </c>
      <c r="D49" s="128">
        <v>4453</v>
      </c>
      <c r="E49" s="128">
        <v>165499</v>
      </c>
      <c r="F49" s="129">
        <v>109</v>
      </c>
      <c r="G49" s="128">
        <v>1346</v>
      </c>
      <c r="H49" s="128">
        <v>1437</v>
      </c>
      <c r="I49" s="128">
        <v>2850</v>
      </c>
      <c r="J49" s="13"/>
      <c r="L49" s="1"/>
      <c r="M49" s="1"/>
      <c r="O49" s="1"/>
      <c r="P49" s="1"/>
    </row>
    <row r="50" spans="1:16">
      <c r="A50" s="129">
        <v>99</v>
      </c>
      <c r="B50" s="128">
        <v>3854</v>
      </c>
      <c r="C50" s="128">
        <v>4732</v>
      </c>
      <c r="D50" s="128">
        <v>8851</v>
      </c>
      <c r="E50" s="128">
        <v>174350</v>
      </c>
      <c r="F50" s="129">
        <v>108</v>
      </c>
      <c r="G50" s="128">
        <v>1853</v>
      </c>
      <c r="H50" s="128">
        <v>2255</v>
      </c>
      <c r="I50" s="128">
        <v>4224</v>
      </c>
      <c r="J50" s="13"/>
      <c r="L50" s="1"/>
      <c r="M50" s="1"/>
      <c r="O50" s="1"/>
      <c r="P50" s="1"/>
    </row>
    <row r="51" spans="1:16">
      <c r="A51" s="129">
        <v>98</v>
      </c>
      <c r="B51" s="128">
        <v>1875</v>
      </c>
      <c r="C51" s="128">
        <v>2275</v>
      </c>
      <c r="D51" s="128">
        <v>4297</v>
      </c>
      <c r="E51" s="128">
        <v>178647</v>
      </c>
      <c r="F51" s="129">
        <v>107</v>
      </c>
      <c r="G51" s="128">
        <v>2135</v>
      </c>
      <c r="H51" s="128">
        <v>2723</v>
      </c>
      <c r="I51" s="128">
        <v>4968</v>
      </c>
      <c r="J51" s="13"/>
      <c r="L51" s="1"/>
      <c r="M51" s="1"/>
      <c r="O51" s="1"/>
      <c r="P51" s="1"/>
    </row>
    <row r="52" spans="1:16">
      <c r="A52" s="129">
        <v>97</v>
      </c>
      <c r="B52" s="128">
        <v>1872</v>
      </c>
      <c r="C52" s="128">
        <v>2354</v>
      </c>
      <c r="D52" s="128">
        <v>4363</v>
      </c>
      <c r="E52" s="128">
        <v>183010</v>
      </c>
      <c r="F52" s="129">
        <v>106</v>
      </c>
      <c r="G52" s="128">
        <v>1482</v>
      </c>
      <c r="H52" s="128">
        <v>1779</v>
      </c>
      <c r="I52" s="128">
        <v>3350</v>
      </c>
      <c r="J52" s="13"/>
      <c r="L52" s="1"/>
      <c r="M52" s="1"/>
      <c r="O52" s="1"/>
      <c r="P52" s="1"/>
    </row>
    <row r="53" spans="1:16">
      <c r="A53" s="129">
        <v>96</v>
      </c>
      <c r="B53" s="128">
        <v>1874</v>
      </c>
      <c r="C53" s="128">
        <v>2197</v>
      </c>
      <c r="D53" s="128">
        <v>4222</v>
      </c>
      <c r="E53" s="128">
        <v>187232</v>
      </c>
      <c r="F53" s="129">
        <v>105</v>
      </c>
      <c r="G53" s="128">
        <v>4091</v>
      </c>
      <c r="H53" s="128">
        <v>5103</v>
      </c>
      <c r="I53" s="128">
        <v>9456</v>
      </c>
      <c r="J53" s="13"/>
    </row>
    <row r="54" spans="1:16">
      <c r="A54" s="129">
        <v>95</v>
      </c>
      <c r="B54" s="128">
        <v>1849</v>
      </c>
      <c r="C54" s="128">
        <v>2267</v>
      </c>
      <c r="D54" s="128">
        <v>4261</v>
      </c>
      <c r="E54" s="128">
        <v>191493</v>
      </c>
      <c r="F54" s="129">
        <v>104</v>
      </c>
      <c r="G54" s="128">
        <v>1775</v>
      </c>
      <c r="H54" s="128">
        <v>2299</v>
      </c>
      <c r="I54" s="128">
        <v>4180</v>
      </c>
      <c r="J54" s="13"/>
    </row>
    <row r="55" spans="1:16">
      <c r="A55" s="129">
        <v>94</v>
      </c>
      <c r="B55" s="128">
        <v>1889</v>
      </c>
      <c r="C55" s="128">
        <v>2191</v>
      </c>
      <c r="D55" s="128">
        <v>4229</v>
      </c>
      <c r="E55" s="128">
        <v>195722</v>
      </c>
      <c r="F55" s="129">
        <v>103</v>
      </c>
      <c r="G55" s="128">
        <v>1777</v>
      </c>
      <c r="H55" s="128">
        <v>2117</v>
      </c>
      <c r="I55" s="128">
        <v>4022</v>
      </c>
      <c r="J55" s="13"/>
    </row>
    <row r="56" spans="1:16">
      <c r="A56" s="129">
        <v>93</v>
      </c>
      <c r="B56" s="128">
        <v>1960</v>
      </c>
      <c r="C56" s="128">
        <v>2207</v>
      </c>
      <c r="D56" s="128">
        <v>4300</v>
      </c>
      <c r="E56" s="128">
        <v>200022</v>
      </c>
      <c r="F56" s="129">
        <v>102</v>
      </c>
      <c r="G56" s="128">
        <v>2501</v>
      </c>
      <c r="H56" s="128">
        <v>3118</v>
      </c>
      <c r="I56" s="128">
        <v>5769</v>
      </c>
      <c r="J56" s="13"/>
    </row>
    <row r="57" spans="1:16">
      <c r="A57" s="129">
        <v>92</v>
      </c>
      <c r="B57" s="128">
        <v>1828</v>
      </c>
      <c r="C57" s="128">
        <v>2234</v>
      </c>
      <c r="D57" s="128">
        <v>4213</v>
      </c>
      <c r="E57" s="128">
        <v>204235</v>
      </c>
      <c r="F57" s="129">
        <v>101</v>
      </c>
      <c r="G57" s="128">
        <v>2120</v>
      </c>
      <c r="H57" s="128">
        <v>2675</v>
      </c>
      <c r="I57" s="128">
        <v>4927</v>
      </c>
      <c r="J57" s="13"/>
    </row>
    <row r="58" spans="1:16">
      <c r="A58" s="129">
        <v>91</v>
      </c>
      <c r="B58" s="128">
        <v>3856</v>
      </c>
      <c r="C58" s="128">
        <v>4341</v>
      </c>
      <c r="D58" s="128">
        <v>8522</v>
      </c>
      <c r="E58" s="128">
        <v>212757</v>
      </c>
      <c r="F58" s="129">
        <v>100</v>
      </c>
      <c r="G58" s="128">
        <v>1848</v>
      </c>
      <c r="H58" s="128">
        <v>2159</v>
      </c>
      <c r="I58" s="128">
        <v>4132</v>
      </c>
      <c r="J58" s="13"/>
    </row>
    <row r="59" spans="1:16">
      <c r="A59" s="129">
        <v>90</v>
      </c>
      <c r="B59" s="128">
        <v>1920</v>
      </c>
      <c r="C59" s="128">
        <v>2122</v>
      </c>
      <c r="D59" s="128">
        <v>4209</v>
      </c>
      <c r="E59" s="128">
        <v>216966</v>
      </c>
      <c r="F59" s="129">
        <v>99</v>
      </c>
      <c r="G59" s="128">
        <v>2493</v>
      </c>
      <c r="H59" s="128">
        <v>3221</v>
      </c>
      <c r="I59" s="128">
        <v>5902</v>
      </c>
      <c r="J59" s="13"/>
    </row>
    <row r="60" spans="1:16">
      <c r="A60" s="129">
        <v>89</v>
      </c>
      <c r="B60" s="128">
        <v>2025</v>
      </c>
      <c r="C60" s="128">
        <v>2273</v>
      </c>
      <c r="D60" s="128">
        <v>4471</v>
      </c>
      <c r="E60" s="128">
        <v>221437</v>
      </c>
      <c r="F60" s="129">
        <v>98</v>
      </c>
      <c r="G60" s="128">
        <v>2391</v>
      </c>
      <c r="H60" s="128">
        <v>3165</v>
      </c>
      <c r="I60" s="128">
        <v>5716</v>
      </c>
      <c r="J60" s="13"/>
    </row>
    <row r="61" spans="1:16">
      <c r="A61" s="129">
        <v>88</v>
      </c>
      <c r="B61" s="128">
        <v>2025</v>
      </c>
      <c r="C61" s="128">
        <v>2086</v>
      </c>
      <c r="D61" s="128">
        <v>4297</v>
      </c>
      <c r="E61" s="128">
        <v>225734</v>
      </c>
      <c r="F61" s="129">
        <v>97</v>
      </c>
      <c r="G61" s="128">
        <v>4416</v>
      </c>
      <c r="H61" s="128">
        <v>5713</v>
      </c>
      <c r="I61" s="128">
        <v>10441</v>
      </c>
      <c r="J61" s="13"/>
    </row>
    <row r="62" spans="1:16">
      <c r="A62" s="129">
        <v>87</v>
      </c>
      <c r="B62" s="128">
        <v>2140</v>
      </c>
      <c r="C62" s="128">
        <v>2213</v>
      </c>
      <c r="D62" s="128">
        <v>4538</v>
      </c>
      <c r="E62" s="128">
        <v>230272</v>
      </c>
      <c r="F62" s="129">
        <v>96</v>
      </c>
      <c r="G62" s="128">
        <v>2706</v>
      </c>
      <c r="H62" s="128">
        <v>3383</v>
      </c>
      <c r="I62" s="128">
        <v>6261</v>
      </c>
      <c r="J62" s="13"/>
    </row>
    <row r="63" spans="1:16">
      <c r="A63" s="129">
        <v>86</v>
      </c>
      <c r="B63" s="128">
        <v>2207</v>
      </c>
      <c r="C63" s="128">
        <v>2132</v>
      </c>
      <c r="D63" s="128">
        <v>4522</v>
      </c>
      <c r="E63" s="128">
        <v>234794</v>
      </c>
      <c r="F63" s="129">
        <v>95</v>
      </c>
      <c r="G63" s="128">
        <v>2057</v>
      </c>
      <c r="H63" s="128">
        <v>2460</v>
      </c>
      <c r="I63" s="128">
        <v>4655</v>
      </c>
      <c r="J63" s="13"/>
    </row>
    <row r="64" spans="1:16">
      <c r="A64" s="129">
        <v>85</v>
      </c>
      <c r="B64" s="128">
        <v>2429</v>
      </c>
      <c r="C64" s="128">
        <v>2255</v>
      </c>
      <c r="D64" s="128">
        <v>4932</v>
      </c>
      <c r="E64" s="128">
        <v>239726</v>
      </c>
      <c r="F64" s="129">
        <v>94</v>
      </c>
      <c r="G64" s="128">
        <v>2716</v>
      </c>
      <c r="H64" s="128">
        <v>3272</v>
      </c>
      <c r="I64" s="128">
        <v>6179</v>
      </c>
      <c r="J64" s="13"/>
    </row>
    <row r="65" spans="1:10">
      <c r="A65" s="129">
        <v>84</v>
      </c>
      <c r="B65" s="128">
        <v>2325</v>
      </c>
      <c r="C65" s="128">
        <v>2068</v>
      </c>
      <c r="D65" s="128">
        <v>4576</v>
      </c>
      <c r="E65" s="128">
        <v>244302</v>
      </c>
      <c r="F65" s="129">
        <v>93</v>
      </c>
      <c r="G65" s="128">
        <v>2823</v>
      </c>
      <c r="H65" s="128">
        <v>3531</v>
      </c>
      <c r="I65" s="128">
        <v>6560</v>
      </c>
      <c r="J65" s="13"/>
    </row>
    <row r="66" spans="1:10">
      <c r="A66" s="129">
        <v>83</v>
      </c>
      <c r="B66" s="128">
        <v>6079</v>
      </c>
      <c r="C66" s="128">
        <v>3701</v>
      </c>
      <c r="D66" s="128">
        <v>10497</v>
      </c>
      <c r="E66" s="128">
        <v>254799</v>
      </c>
      <c r="F66" s="129">
        <v>92</v>
      </c>
      <c r="G66" s="128">
        <v>2419</v>
      </c>
      <c r="H66" s="128">
        <v>2815</v>
      </c>
      <c r="I66" s="128">
        <v>5397</v>
      </c>
      <c r="J66" s="13"/>
    </row>
    <row r="67" spans="1:10">
      <c r="A67" s="129">
        <v>82</v>
      </c>
      <c r="B67" s="128">
        <v>5147</v>
      </c>
      <c r="C67" s="128">
        <v>4068</v>
      </c>
      <c r="D67" s="128">
        <v>9674</v>
      </c>
      <c r="E67" s="128">
        <v>264473</v>
      </c>
      <c r="F67" s="129">
        <v>91</v>
      </c>
      <c r="G67" s="128">
        <v>2686</v>
      </c>
      <c r="H67" s="128">
        <v>3310</v>
      </c>
      <c r="I67" s="128">
        <v>6226</v>
      </c>
      <c r="J67" s="13"/>
    </row>
    <row r="68" spans="1:10">
      <c r="A68" s="129">
        <v>81</v>
      </c>
      <c r="B68" s="128">
        <v>2600</v>
      </c>
      <c r="C68" s="128">
        <v>1991</v>
      </c>
      <c r="D68" s="128">
        <v>4822</v>
      </c>
      <c r="E68" s="128">
        <v>269295</v>
      </c>
      <c r="F68" s="129">
        <v>90</v>
      </c>
      <c r="G68" s="128">
        <v>2795</v>
      </c>
      <c r="H68" s="128">
        <v>3471</v>
      </c>
      <c r="I68" s="128">
        <v>6469</v>
      </c>
      <c r="J68" s="13"/>
    </row>
    <row r="69" spans="1:10">
      <c r="A69" s="129">
        <v>80</v>
      </c>
      <c r="B69" s="128">
        <v>2658</v>
      </c>
      <c r="C69" s="128">
        <v>1987</v>
      </c>
      <c r="D69" s="128">
        <v>4918</v>
      </c>
      <c r="E69" s="128">
        <v>274213</v>
      </c>
      <c r="F69" s="129">
        <v>89</v>
      </c>
      <c r="G69" s="128">
        <v>2393</v>
      </c>
      <c r="H69" s="128">
        <v>2822</v>
      </c>
      <c r="I69" s="128">
        <v>5404</v>
      </c>
      <c r="J69" s="13"/>
    </row>
    <row r="70" spans="1:10">
      <c r="A70" s="129">
        <v>79</v>
      </c>
      <c r="B70" s="128">
        <v>2765</v>
      </c>
      <c r="C70" s="128">
        <v>1872</v>
      </c>
      <c r="D70" s="128">
        <v>4900</v>
      </c>
      <c r="E70" s="128">
        <v>279113</v>
      </c>
      <c r="F70" s="129">
        <v>88</v>
      </c>
      <c r="G70" s="128">
        <v>5482</v>
      </c>
      <c r="H70" s="128">
        <v>6300</v>
      </c>
      <c r="I70" s="128">
        <v>12213</v>
      </c>
      <c r="J70" s="13"/>
    </row>
    <row r="71" spans="1:10">
      <c r="A71" s="129">
        <v>78</v>
      </c>
      <c r="B71" s="128">
        <v>2739</v>
      </c>
      <c r="C71" s="128">
        <v>1860</v>
      </c>
      <c r="D71" s="128">
        <v>4843</v>
      </c>
      <c r="E71" s="128">
        <v>283956</v>
      </c>
      <c r="F71" s="129">
        <v>87</v>
      </c>
      <c r="G71" s="128">
        <v>2572</v>
      </c>
      <c r="H71" s="128">
        <v>3030</v>
      </c>
      <c r="I71" s="128">
        <v>5801</v>
      </c>
      <c r="J71" s="13"/>
    </row>
    <row r="72" spans="1:10">
      <c r="A72" s="129">
        <v>77</v>
      </c>
      <c r="B72" s="128">
        <v>2683</v>
      </c>
      <c r="C72" s="128">
        <v>1717</v>
      </c>
      <c r="D72" s="128">
        <v>4687</v>
      </c>
      <c r="E72" s="128">
        <v>288643</v>
      </c>
      <c r="F72" s="129">
        <v>86</v>
      </c>
      <c r="G72" s="128">
        <v>2852</v>
      </c>
      <c r="H72" s="128">
        <v>2977</v>
      </c>
      <c r="I72" s="128">
        <v>6049</v>
      </c>
      <c r="J72" s="13"/>
    </row>
    <row r="73" spans="1:10">
      <c r="A73" s="129">
        <v>76</v>
      </c>
      <c r="B73" s="128">
        <v>2967</v>
      </c>
      <c r="C73" s="128">
        <v>1713</v>
      </c>
      <c r="D73" s="128">
        <v>4985</v>
      </c>
      <c r="E73" s="128">
        <v>293628</v>
      </c>
      <c r="F73" s="129">
        <v>85</v>
      </c>
      <c r="G73" s="128">
        <v>2638</v>
      </c>
      <c r="H73" s="128">
        <v>2971</v>
      </c>
      <c r="I73" s="128">
        <v>5841</v>
      </c>
      <c r="J73" s="13"/>
    </row>
    <row r="74" spans="1:10">
      <c r="A74" s="129">
        <v>75</v>
      </c>
      <c r="B74" s="128">
        <v>2476</v>
      </c>
      <c r="C74" s="128">
        <v>1382</v>
      </c>
      <c r="D74" s="128">
        <v>4091</v>
      </c>
      <c r="E74" s="128">
        <v>297719</v>
      </c>
      <c r="F74" s="129">
        <v>84</v>
      </c>
      <c r="G74" s="128">
        <v>2982</v>
      </c>
      <c r="H74" s="128">
        <v>2915</v>
      </c>
      <c r="I74" s="128">
        <v>6133</v>
      </c>
      <c r="J74" s="13"/>
    </row>
    <row r="75" spans="1:10">
      <c r="A75" s="129">
        <v>74</v>
      </c>
      <c r="B75" s="128">
        <v>9979</v>
      </c>
      <c r="C75" s="128">
        <v>4300</v>
      </c>
      <c r="D75" s="128">
        <v>15526</v>
      </c>
      <c r="E75" s="128">
        <v>313245</v>
      </c>
      <c r="F75" s="129">
        <v>83</v>
      </c>
      <c r="G75" s="128">
        <v>2965</v>
      </c>
      <c r="H75" s="128">
        <v>2939</v>
      </c>
      <c r="I75" s="128">
        <v>6137</v>
      </c>
      <c r="J75" s="13"/>
    </row>
    <row r="76" spans="1:10">
      <c r="A76" s="129">
        <v>73</v>
      </c>
      <c r="B76" s="128">
        <v>2093</v>
      </c>
      <c r="C76" s="128">
        <v>1011</v>
      </c>
      <c r="D76" s="128">
        <v>3314</v>
      </c>
      <c r="E76" s="128">
        <v>316559</v>
      </c>
      <c r="F76" s="129">
        <v>82</v>
      </c>
      <c r="G76" s="128">
        <v>3314</v>
      </c>
      <c r="H76" s="128">
        <v>3116</v>
      </c>
      <c r="I76" s="128">
        <v>6702</v>
      </c>
      <c r="J76" s="13"/>
    </row>
    <row r="77" spans="1:10">
      <c r="A77" s="129">
        <v>72</v>
      </c>
      <c r="B77" s="128">
        <v>3358</v>
      </c>
      <c r="C77" s="128">
        <v>1699</v>
      </c>
      <c r="D77" s="128">
        <v>5481</v>
      </c>
      <c r="E77" s="128">
        <v>322040</v>
      </c>
      <c r="F77" s="129">
        <v>81</v>
      </c>
      <c r="G77" s="128">
        <v>2931</v>
      </c>
      <c r="H77" s="128">
        <v>2792</v>
      </c>
      <c r="I77" s="128">
        <v>5972</v>
      </c>
      <c r="J77" s="13"/>
    </row>
    <row r="78" spans="1:10">
      <c r="A78" s="129">
        <v>71</v>
      </c>
      <c r="B78" s="128">
        <v>1507</v>
      </c>
      <c r="C78" s="128">
        <v>772</v>
      </c>
      <c r="D78" s="128">
        <v>2415</v>
      </c>
      <c r="E78" s="128">
        <v>324455</v>
      </c>
      <c r="F78" s="129">
        <v>80</v>
      </c>
      <c r="G78" s="128">
        <v>2708</v>
      </c>
      <c r="H78" s="128">
        <v>2807</v>
      </c>
      <c r="I78" s="128">
        <v>5751</v>
      </c>
      <c r="J78" s="13"/>
    </row>
    <row r="79" spans="1:10">
      <c r="A79" s="129">
        <v>70</v>
      </c>
      <c r="B79" s="128">
        <v>1339</v>
      </c>
      <c r="C79" s="128">
        <v>624</v>
      </c>
      <c r="D79" s="128">
        <v>2084</v>
      </c>
      <c r="E79" s="128">
        <v>326539</v>
      </c>
      <c r="F79" s="129">
        <v>79</v>
      </c>
      <c r="G79" s="128">
        <v>5412</v>
      </c>
      <c r="H79" s="128">
        <v>5213</v>
      </c>
      <c r="I79" s="128">
        <v>11171</v>
      </c>
      <c r="J79" s="13"/>
    </row>
    <row r="80" spans="1:10">
      <c r="A80" s="129">
        <v>69</v>
      </c>
      <c r="B80" s="128">
        <v>1018</v>
      </c>
      <c r="C80" s="128">
        <v>499</v>
      </c>
      <c r="D80" s="128">
        <v>1611</v>
      </c>
      <c r="E80" s="128">
        <v>328150</v>
      </c>
      <c r="F80" s="129">
        <v>78</v>
      </c>
      <c r="G80" s="128">
        <v>8268</v>
      </c>
      <c r="H80" s="128">
        <v>5432</v>
      </c>
      <c r="I80" s="128">
        <v>14609</v>
      </c>
      <c r="J80" s="13"/>
    </row>
    <row r="81" spans="1:10">
      <c r="A81" s="129">
        <v>68</v>
      </c>
      <c r="B81" s="128">
        <v>1150</v>
      </c>
      <c r="C81" s="128">
        <v>492</v>
      </c>
      <c r="D81" s="128">
        <v>1761</v>
      </c>
      <c r="E81" s="128">
        <v>329911</v>
      </c>
      <c r="F81" s="129">
        <v>77</v>
      </c>
      <c r="G81" s="128">
        <v>3193</v>
      </c>
      <c r="H81" s="128">
        <v>2564</v>
      </c>
      <c r="I81" s="128">
        <v>6067</v>
      </c>
      <c r="J81" s="13"/>
    </row>
    <row r="82" spans="1:10">
      <c r="A82" s="129">
        <v>67</v>
      </c>
      <c r="B82" s="128">
        <v>640</v>
      </c>
      <c r="C82" s="128">
        <v>287</v>
      </c>
      <c r="D82" s="128">
        <v>984</v>
      </c>
      <c r="E82" s="128">
        <v>330895</v>
      </c>
      <c r="F82" s="129">
        <v>76</v>
      </c>
      <c r="G82" s="128">
        <v>4753</v>
      </c>
      <c r="H82" s="128">
        <v>3359</v>
      </c>
      <c r="I82" s="128">
        <v>8648</v>
      </c>
      <c r="J82" s="13"/>
    </row>
    <row r="83" spans="1:10">
      <c r="A83" s="129">
        <v>66</v>
      </c>
      <c r="B83" s="128">
        <v>1260</v>
      </c>
      <c r="C83" s="128">
        <v>499</v>
      </c>
      <c r="D83" s="128">
        <v>1911</v>
      </c>
      <c r="E83" s="128">
        <v>332806</v>
      </c>
      <c r="F83" s="129">
        <v>75</v>
      </c>
      <c r="G83" s="128">
        <v>1328</v>
      </c>
      <c r="H83" s="128">
        <v>1200</v>
      </c>
      <c r="I83" s="128">
        <v>2652</v>
      </c>
      <c r="J83" s="13"/>
    </row>
    <row r="84" spans="1:10">
      <c r="A84" s="129">
        <v>65</v>
      </c>
      <c r="B84" s="128">
        <v>704</v>
      </c>
      <c r="C84" s="128">
        <v>358</v>
      </c>
      <c r="D84" s="128">
        <v>1141</v>
      </c>
      <c r="E84" s="128">
        <v>333947</v>
      </c>
      <c r="F84" s="129">
        <v>74</v>
      </c>
      <c r="G84" s="128">
        <v>3068</v>
      </c>
      <c r="H84" s="128">
        <v>2116</v>
      </c>
      <c r="I84" s="128">
        <v>5485</v>
      </c>
      <c r="J84" s="13"/>
    </row>
    <row r="85" spans="1:10">
      <c r="A85" s="129">
        <v>64</v>
      </c>
      <c r="B85" s="128">
        <v>181</v>
      </c>
      <c r="C85" s="128">
        <v>76</v>
      </c>
      <c r="D85" s="128">
        <v>272</v>
      </c>
      <c r="E85" s="128">
        <v>334219</v>
      </c>
      <c r="F85" s="129">
        <v>73</v>
      </c>
      <c r="G85" s="128">
        <v>1044</v>
      </c>
      <c r="H85" s="128">
        <v>834</v>
      </c>
      <c r="I85" s="128">
        <v>1993</v>
      </c>
      <c r="J85" s="13"/>
    </row>
    <row r="86" spans="1:10">
      <c r="A86" s="129">
        <v>63</v>
      </c>
      <c r="B86" s="128">
        <v>217</v>
      </c>
      <c r="C86" s="128">
        <v>91</v>
      </c>
      <c r="D86" s="128">
        <v>334</v>
      </c>
      <c r="E86" s="128">
        <v>334553</v>
      </c>
      <c r="F86" s="129">
        <v>72</v>
      </c>
      <c r="G86" s="128">
        <v>696</v>
      </c>
      <c r="H86" s="128">
        <v>539</v>
      </c>
      <c r="I86" s="128">
        <v>1309</v>
      </c>
      <c r="J86" s="13"/>
    </row>
    <row r="87" spans="1:10">
      <c r="A87" s="129">
        <v>62</v>
      </c>
      <c r="B87" s="128">
        <v>57</v>
      </c>
      <c r="C87" s="128">
        <v>25</v>
      </c>
      <c r="D87" s="128">
        <v>87</v>
      </c>
      <c r="E87" s="128">
        <v>334640</v>
      </c>
      <c r="F87" s="129">
        <v>71</v>
      </c>
      <c r="G87" s="128">
        <v>992</v>
      </c>
      <c r="H87" s="128">
        <v>644</v>
      </c>
      <c r="I87" s="128">
        <v>1719</v>
      </c>
      <c r="J87" s="13"/>
    </row>
    <row r="88" spans="1:10">
      <c r="A88" s="129">
        <v>61</v>
      </c>
      <c r="B88" s="128">
        <v>127</v>
      </c>
      <c r="C88" s="128">
        <v>59</v>
      </c>
      <c r="D88" s="128">
        <v>205</v>
      </c>
      <c r="E88" s="128">
        <v>334845</v>
      </c>
      <c r="F88" s="129">
        <v>70</v>
      </c>
      <c r="G88" s="128">
        <v>1063</v>
      </c>
      <c r="H88" s="128">
        <v>711</v>
      </c>
      <c r="I88" s="128">
        <v>1863</v>
      </c>
      <c r="J88" s="13"/>
    </row>
    <row r="89" spans="1:10">
      <c r="A89" s="129">
        <v>60</v>
      </c>
      <c r="B89" s="128">
        <v>20</v>
      </c>
      <c r="C89" s="128">
        <v>15</v>
      </c>
      <c r="D89" s="128">
        <v>38</v>
      </c>
      <c r="E89" s="128">
        <v>334883</v>
      </c>
      <c r="F89" s="129">
        <v>69</v>
      </c>
      <c r="G89" s="128">
        <v>333</v>
      </c>
      <c r="H89" s="128">
        <v>200</v>
      </c>
      <c r="I89" s="128">
        <v>560</v>
      </c>
      <c r="J89" s="13"/>
    </row>
    <row r="90" spans="1:10">
      <c r="A90" s="129">
        <v>59</v>
      </c>
      <c r="B90" s="128">
        <v>134</v>
      </c>
      <c r="C90" s="128">
        <v>67</v>
      </c>
      <c r="D90" s="128">
        <v>213</v>
      </c>
      <c r="E90" s="128">
        <v>335096</v>
      </c>
      <c r="F90" s="129">
        <v>68</v>
      </c>
      <c r="G90" s="128">
        <v>393</v>
      </c>
      <c r="H90" s="128">
        <v>232</v>
      </c>
      <c r="I90" s="128">
        <v>655</v>
      </c>
    </row>
    <row r="91" spans="1:10">
      <c r="A91" s="129">
        <v>58</v>
      </c>
      <c r="B91" s="128">
        <v>6</v>
      </c>
      <c r="C91" s="128">
        <v>4</v>
      </c>
      <c r="D91" s="128">
        <v>11</v>
      </c>
      <c r="E91" s="128">
        <v>335107</v>
      </c>
      <c r="F91" s="129">
        <v>67</v>
      </c>
      <c r="G91" s="128">
        <v>129</v>
      </c>
      <c r="H91" s="128">
        <v>82</v>
      </c>
      <c r="I91" s="128">
        <v>221</v>
      </c>
    </row>
    <row r="92" spans="1:10">
      <c r="A92" s="129">
        <v>57</v>
      </c>
      <c r="B92" s="128">
        <v>189</v>
      </c>
      <c r="C92" s="128">
        <v>69</v>
      </c>
      <c r="D92" s="128">
        <v>280</v>
      </c>
      <c r="E92" s="128">
        <v>335387</v>
      </c>
      <c r="F92" s="129">
        <v>65</v>
      </c>
      <c r="G92" s="128">
        <v>1220</v>
      </c>
      <c r="H92" s="128">
        <v>476</v>
      </c>
      <c r="I92" s="128">
        <v>1846</v>
      </c>
    </row>
    <row r="93" spans="1:10">
      <c r="A93" s="129">
        <v>56</v>
      </c>
      <c r="B93" s="128">
        <v>1197</v>
      </c>
      <c r="C93" s="128">
        <v>460</v>
      </c>
      <c r="D93" s="128">
        <v>1839</v>
      </c>
      <c r="E93" s="128">
        <v>337226</v>
      </c>
      <c r="F93" s="129"/>
      <c r="G93" s="128"/>
      <c r="H93" s="128"/>
      <c r="I93" s="128"/>
    </row>
    <row r="94" spans="1:10">
      <c r="A94" s="5"/>
      <c r="D94" s="6"/>
      <c r="E94" s="13"/>
      <c r="F94" s="5"/>
      <c r="I94" s="6"/>
    </row>
    <row r="95" spans="1:10">
      <c r="A95" s="5"/>
      <c r="D95" s="6"/>
      <c r="E95" s="13"/>
      <c r="F95" s="5"/>
      <c r="I95" s="6"/>
    </row>
    <row r="96" spans="1:10">
      <c r="A96" s="5"/>
      <c r="D96" s="6"/>
      <c r="E96" s="13"/>
      <c r="F96" s="5"/>
      <c r="I96" s="6"/>
    </row>
    <row r="97" spans="1:9">
      <c r="A97" s="5"/>
      <c r="D97" s="6"/>
      <c r="E97" s="13"/>
      <c r="F97" s="5"/>
      <c r="I97" s="6"/>
    </row>
    <row r="98" spans="1:9">
      <c r="A98" s="5"/>
      <c r="D98" s="6"/>
      <c r="E98" s="13"/>
      <c r="F98" s="5"/>
      <c r="I98" s="6"/>
    </row>
    <row r="99" spans="1:9">
      <c r="A99" s="5"/>
      <c r="D99" s="6"/>
      <c r="E99" s="13"/>
      <c r="F99" s="5"/>
      <c r="I99" s="6"/>
    </row>
    <row r="100" spans="1:9">
      <c r="A100" s="5"/>
      <c r="D100" s="12"/>
      <c r="E100" s="13"/>
      <c r="F100" s="5"/>
      <c r="I100" s="6"/>
    </row>
    <row r="101" spans="1:9">
      <c r="A101" s="5"/>
      <c r="D101" s="6"/>
      <c r="F101" s="5"/>
      <c r="I101" s="6"/>
    </row>
    <row r="102" spans="1:9" ht="17.5" thickBot="1">
      <c r="A102" s="7"/>
      <c r="B102" s="9"/>
      <c r="C102" s="9"/>
      <c r="D102" s="8"/>
      <c r="F102" s="7"/>
      <c r="G102" s="9"/>
      <c r="H102" s="9"/>
      <c r="I102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zoomScaleNormal="10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22"/>
    </row>
    <row r="2" spans="1:17" ht="6" customHeight="1" thickBot="1">
      <c r="A2" s="2"/>
      <c r="B2" s="24"/>
      <c r="C2" s="25"/>
      <c r="D2" s="25"/>
      <c r="E2" s="25"/>
      <c r="F2" s="25"/>
      <c r="G2" s="25"/>
      <c r="H2" s="25"/>
      <c r="I2" s="25"/>
      <c r="J2" s="25"/>
      <c r="K2" s="26"/>
      <c r="L2" s="22"/>
    </row>
    <row r="3" spans="1:17" s="16" customFormat="1" ht="25" customHeight="1" thickBot="1">
      <c r="A3" s="14"/>
      <c r="B3" s="27"/>
      <c r="C3" s="42" t="s">
        <v>41</v>
      </c>
      <c r="D3" s="107" t="s">
        <v>69</v>
      </c>
      <c r="E3" s="108"/>
      <c r="F3" s="109"/>
      <c r="G3" s="42" t="s">
        <v>42</v>
      </c>
      <c r="H3" s="43" t="str">
        <f>'통계 및 응시자 수 입력 기능'!D4</f>
        <v>49.60</v>
      </c>
      <c r="I3" s="15" t="s">
        <v>43</v>
      </c>
      <c r="J3" s="44">
        <f>'통계 및 응시자 수 입력 기능'!C4</f>
        <v>337226</v>
      </c>
      <c r="K3" s="28"/>
      <c r="L3" s="17"/>
    </row>
    <row r="4" spans="1:17" s="16" customFormat="1" ht="25" customHeight="1" thickBot="1">
      <c r="A4" s="14"/>
      <c r="B4" s="27"/>
      <c r="C4" s="45" t="s">
        <v>44</v>
      </c>
      <c r="D4" s="110" t="s">
        <v>45</v>
      </c>
      <c r="E4" s="111"/>
      <c r="F4" s="112"/>
      <c r="G4" s="46" t="s">
        <v>46</v>
      </c>
      <c r="H4" s="47" t="str">
        <f>'통계 및 응시자 수 입력 기능'!E4</f>
        <v>22.34</v>
      </c>
      <c r="I4" s="113"/>
      <c r="J4" s="114"/>
      <c r="K4" s="29"/>
      <c r="L4" s="19"/>
    </row>
    <row r="5" spans="1:17" s="16" customFormat="1" ht="25" customHeight="1" thickBot="1">
      <c r="A5" s="14"/>
      <c r="B5" s="27"/>
      <c r="C5" s="17"/>
      <c r="D5" s="17"/>
      <c r="E5" s="17"/>
      <c r="F5" s="104"/>
      <c r="G5" s="17"/>
      <c r="H5" s="14"/>
      <c r="I5" s="115"/>
      <c r="J5" s="115"/>
      <c r="K5" s="30"/>
      <c r="L5" s="17"/>
    </row>
    <row r="6" spans="1:17" s="16" customFormat="1" ht="25" customHeight="1" thickBot="1">
      <c r="A6" s="14"/>
      <c r="B6" s="27"/>
      <c r="C6" s="48" t="s">
        <v>48</v>
      </c>
      <c r="D6" s="49" t="s">
        <v>49</v>
      </c>
      <c r="E6" s="49" t="s">
        <v>50</v>
      </c>
      <c r="F6" s="49" t="s">
        <v>51</v>
      </c>
      <c r="G6" s="49" t="s">
        <v>52</v>
      </c>
      <c r="H6" s="50" t="s">
        <v>53</v>
      </c>
      <c r="I6" s="50" t="s">
        <v>54</v>
      </c>
      <c r="J6" s="51" t="s">
        <v>55</v>
      </c>
      <c r="K6" s="31"/>
      <c r="L6" s="23" t="s">
        <v>38</v>
      </c>
      <c r="M6" s="17"/>
      <c r="N6" s="18"/>
    </row>
    <row r="7" spans="1:17" s="16" customFormat="1" ht="25" customHeight="1">
      <c r="A7" s="14"/>
      <c r="B7" s="27"/>
      <c r="C7" s="52">
        <v>100</v>
      </c>
      <c r="D7" s="53">
        <f>ROUND(20*(C7-$H$3)/$H$4+100,0)</f>
        <v>145</v>
      </c>
      <c r="E7" s="53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4">
        <f>ROUND(100*(1-(0+I7)/2/$J$3),2)</f>
        <v>99.93</v>
      </c>
      <c r="G7" s="55">
        <f>_xlfn.IFNA(VLOOKUP(D7,'인원 입력 기능'!$A$5:$D$103,4,FALSE),0)</f>
        <v>463</v>
      </c>
      <c r="H7" s="56">
        <f>G7/$J$3</f>
        <v>1.3729664972451708E-3</v>
      </c>
      <c r="I7" s="57">
        <f>G7</f>
        <v>463</v>
      </c>
      <c r="J7" s="58">
        <f>I7/$J$3</f>
        <v>1.3729664972451708E-3</v>
      </c>
      <c r="K7" s="32"/>
      <c r="L7" s="20" t="str">
        <f>IF(ABS((C7-$H$3)/$H$4*20+100-D7)&gt;0.49, "경고", "")</f>
        <v/>
      </c>
      <c r="N7" s="19"/>
      <c r="P7" s="19">
        <v>1</v>
      </c>
      <c r="Q7" s="19">
        <f>'표점등급&amp;절평인원 입력기능'!C4</f>
        <v>134</v>
      </c>
    </row>
    <row r="8" spans="1:17" s="16" customFormat="1" ht="25" customHeight="1">
      <c r="A8" s="14"/>
      <c r="B8" s="27"/>
      <c r="C8" s="59">
        <v>99</v>
      </c>
      <c r="D8" s="60" t="s">
        <v>37</v>
      </c>
      <c r="E8" s="60"/>
      <c r="F8" s="61"/>
      <c r="G8" s="62"/>
      <c r="H8" s="63"/>
      <c r="I8" s="64"/>
      <c r="J8" s="65"/>
      <c r="K8" s="33"/>
      <c r="L8" s="17"/>
      <c r="N8" s="19"/>
      <c r="P8" s="19">
        <v>2</v>
      </c>
      <c r="Q8" s="19">
        <f>'표점등급&amp;절평인원 입력기능'!C5</f>
        <v>127</v>
      </c>
    </row>
    <row r="9" spans="1:17" s="16" customFormat="1" ht="25" customHeight="1">
      <c r="A9" s="14"/>
      <c r="B9" s="27"/>
      <c r="C9" s="59">
        <v>98</v>
      </c>
      <c r="D9" s="53">
        <f>ROUND(20*(C9-$H$3)/$H$4+100,0)</f>
        <v>143</v>
      </c>
      <c r="E9" s="53">
        <f t="shared" si="0"/>
        <v>1</v>
      </c>
      <c r="F9" s="54">
        <f>IF(I8=0,ROUND(100*(1-(I7+I9)/2/$J$3),2),ROUND(100*(1-(I8+I9)/2/$J$3),2))</f>
        <v>99.76</v>
      </c>
      <c r="G9" s="55">
        <f>_xlfn.IFNA(VLOOKUP(D9,'인원 입력 기능'!$A$5:$D$103,4,FALSE),0)</f>
        <v>718</v>
      </c>
      <c r="H9" s="56">
        <f>G9/$J$3</f>
        <v>2.1291359503715608E-3</v>
      </c>
      <c r="I9" s="66">
        <f>SUM($G$7:G9)</f>
        <v>1181</v>
      </c>
      <c r="J9" s="58">
        <f>I9/$J$3</f>
        <v>3.5021024476167319E-3</v>
      </c>
      <c r="K9" s="32"/>
      <c r="L9" s="20" t="str">
        <f t="shared" ref="L9:L40" si="1">IF(ABS((C9-$H$3)/$H$4*20+100-D9)&gt;0.49, "경고", "")</f>
        <v/>
      </c>
      <c r="N9" s="19"/>
      <c r="P9" s="19">
        <v>3</v>
      </c>
      <c r="Q9" s="19">
        <f>'표점등급&amp;절평인원 입력기능'!C6</f>
        <v>117</v>
      </c>
    </row>
    <row r="10" spans="1:17" s="16" customFormat="1" ht="25" customHeight="1">
      <c r="A10" s="14"/>
      <c r="B10" s="27"/>
      <c r="C10" s="59">
        <v>97</v>
      </c>
      <c r="D10" s="121">
        <f t="shared" ref="D10:D73" si="2">ROUND(20*(C10-$H$3)/$H$4+100,0)</f>
        <v>142</v>
      </c>
      <c r="E10" s="121">
        <f t="shared" si="0"/>
        <v>1</v>
      </c>
      <c r="F10" s="119">
        <f t="shared" ref="F10:F73" si="3">IF(I9=0,ROUND(100*(1-(I8+I10)/2/$J$3),2),ROUND(100*(1-(I9+I10)/2/$J$3),2))</f>
        <v>99.47</v>
      </c>
      <c r="G10" s="125">
        <f>IF(D10=D9,"",_xlfn.IFNA(VLOOKUP(D10,'인원 입력 기능'!$A$5:$D$103,4,FALSE),0))</f>
        <v>1191</v>
      </c>
      <c r="H10" s="130">
        <f t="shared" ref="H10:H73" si="4">G10/$J$3</f>
        <v>3.5317561516609039E-3</v>
      </c>
      <c r="I10" s="132">
        <f>SUM($G$7:G10)</f>
        <v>2372</v>
      </c>
      <c r="J10" s="134">
        <f t="shared" ref="J10:J73" si="5">I10/$J$3</f>
        <v>7.0338585992776358E-3</v>
      </c>
      <c r="K10" s="32"/>
      <c r="L10" s="20" t="str">
        <f t="shared" si="1"/>
        <v/>
      </c>
      <c r="N10" s="19"/>
      <c r="P10" s="19">
        <v>4</v>
      </c>
      <c r="Q10" s="19">
        <f>'표점등급&amp;절평인원 입력기능'!C7</f>
        <v>106</v>
      </c>
    </row>
    <row r="11" spans="1:17" s="16" customFormat="1" ht="25" customHeight="1">
      <c r="A11" s="14"/>
      <c r="B11" s="27"/>
      <c r="C11" s="59">
        <v>96</v>
      </c>
      <c r="D11" s="122"/>
      <c r="E11" s="122"/>
      <c r="F11" s="120"/>
      <c r="G11" s="118"/>
      <c r="H11" s="131"/>
      <c r="I11" s="133"/>
      <c r="J11" s="135"/>
      <c r="K11" s="32"/>
      <c r="L11" s="20" t="str">
        <f t="shared" si="1"/>
        <v>경고</v>
      </c>
      <c r="N11" s="19"/>
      <c r="P11" s="19">
        <v>5</v>
      </c>
      <c r="Q11" s="19">
        <f>'표점등급&amp;절평인원 입력기능'!C8</f>
        <v>92</v>
      </c>
    </row>
    <row r="12" spans="1:17" s="16" customFormat="1" ht="25" customHeight="1">
      <c r="A12" s="14"/>
      <c r="B12" s="27"/>
      <c r="C12" s="59">
        <v>95</v>
      </c>
      <c r="D12" s="53">
        <f t="shared" si="2"/>
        <v>141</v>
      </c>
      <c r="E12" s="53">
        <f t="shared" si="0"/>
        <v>1</v>
      </c>
      <c r="F12" s="54">
        <f t="shared" si="3"/>
        <v>99.13</v>
      </c>
      <c r="G12" s="55">
        <f>IF(D12=D11,"",_xlfn.IFNA(VLOOKUP(D12,'인원 입력 기능'!$A$5:$D$103,4,FALSE),0))</f>
        <v>1110</v>
      </c>
      <c r="H12" s="56">
        <f t="shared" si="4"/>
        <v>3.2915611489031096E-3</v>
      </c>
      <c r="I12" s="66">
        <f>SUM($G$7:G12)</f>
        <v>3482</v>
      </c>
      <c r="J12" s="58">
        <f t="shared" si="5"/>
        <v>1.0325419748180745E-2</v>
      </c>
      <c r="K12" s="32"/>
      <c r="L12" s="20" t="str">
        <f t="shared" si="1"/>
        <v/>
      </c>
      <c r="N12" s="19"/>
      <c r="P12" s="19">
        <v>6</v>
      </c>
      <c r="Q12" s="19">
        <f>'표점등급&amp;절평인원 입력기능'!C9</f>
        <v>82</v>
      </c>
    </row>
    <row r="13" spans="1:17" s="16" customFormat="1" ht="25" customHeight="1">
      <c r="A13" s="14"/>
      <c r="B13" s="27"/>
      <c r="C13" s="59">
        <v>94</v>
      </c>
      <c r="D13" s="53">
        <f t="shared" si="2"/>
        <v>140</v>
      </c>
      <c r="E13" s="53">
        <f t="shared" si="0"/>
        <v>1</v>
      </c>
      <c r="F13" s="54">
        <f t="shared" si="3"/>
        <v>98.83</v>
      </c>
      <c r="G13" s="55">
        <f>IF(D13=D12,"",_xlfn.IFNA(VLOOKUP(D13,'인원 입력 기능'!$A$5:$D$103,4,FALSE),0))</f>
        <v>938</v>
      </c>
      <c r="H13" s="56">
        <f t="shared" si="4"/>
        <v>2.7815174393433484E-3</v>
      </c>
      <c r="I13" s="66">
        <f>SUM($G$7:G13)</f>
        <v>4420</v>
      </c>
      <c r="J13" s="58">
        <f t="shared" si="5"/>
        <v>1.3106937187524094E-2</v>
      </c>
      <c r="K13" s="32"/>
      <c r="L13" s="20" t="str">
        <f t="shared" si="1"/>
        <v/>
      </c>
      <c r="N13" s="19"/>
      <c r="P13" s="19">
        <v>7</v>
      </c>
      <c r="Q13" s="19">
        <f>'표점등급&amp;절평인원 입력기능'!C10</f>
        <v>74</v>
      </c>
    </row>
    <row r="14" spans="1:17" s="16" customFormat="1" ht="25" customHeight="1">
      <c r="A14" s="14"/>
      <c r="B14" s="27"/>
      <c r="C14" s="59">
        <v>93</v>
      </c>
      <c r="D14" s="53">
        <f t="shared" si="2"/>
        <v>139</v>
      </c>
      <c r="E14" s="53">
        <f t="shared" si="0"/>
        <v>1</v>
      </c>
      <c r="F14" s="54">
        <f t="shared" si="3"/>
        <v>98.47</v>
      </c>
      <c r="G14" s="55">
        <f>IF(D14=D13,"",_xlfn.IFNA(VLOOKUP(D14,'인원 입력 기능'!$A$5:$D$103,4,FALSE),0))</f>
        <v>1479</v>
      </c>
      <c r="H14" s="56">
        <f t="shared" si="4"/>
        <v>4.3857828281330625E-3</v>
      </c>
      <c r="I14" s="66">
        <f>SUM($G$7:G14)</f>
        <v>5899</v>
      </c>
      <c r="J14" s="58">
        <f t="shared" si="5"/>
        <v>1.7492720015657156E-2</v>
      </c>
      <c r="K14" s="32"/>
      <c r="L14" s="20" t="str">
        <f t="shared" si="1"/>
        <v/>
      </c>
      <c r="N14" s="19"/>
      <c r="P14" s="19">
        <v>8</v>
      </c>
      <c r="Q14" s="19">
        <f>'표점등급&amp;절평인원 입력기능'!C11</f>
        <v>71</v>
      </c>
    </row>
    <row r="15" spans="1:17" s="16" customFormat="1" ht="25" customHeight="1">
      <c r="A15" s="14"/>
      <c r="B15" s="27"/>
      <c r="C15" s="59">
        <v>92</v>
      </c>
      <c r="D15" s="53">
        <f t="shared" si="2"/>
        <v>138</v>
      </c>
      <c r="E15" s="53">
        <f t="shared" si="0"/>
        <v>1</v>
      </c>
      <c r="F15" s="54">
        <f t="shared" si="3"/>
        <v>98.06</v>
      </c>
      <c r="G15" s="55">
        <f>IF(D15=D14,"",_xlfn.IFNA(VLOOKUP(D15,'인원 입력 기능'!$A$5:$D$103,4,FALSE),0))</f>
        <v>1287</v>
      </c>
      <c r="H15" s="56">
        <f t="shared" si="4"/>
        <v>3.8164317104849568E-3</v>
      </c>
      <c r="I15" s="66">
        <f>SUM($G$7:G15)</f>
        <v>7186</v>
      </c>
      <c r="J15" s="58">
        <f t="shared" si="5"/>
        <v>2.1309151726142114E-2</v>
      </c>
      <c r="K15" s="32"/>
      <c r="L15" s="20" t="str">
        <f t="shared" si="1"/>
        <v/>
      </c>
      <c r="N15" s="19"/>
      <c r="P15" s="19">
        <v>9</v>
      </c>
      <c r="Q15" s="19"/>
    </row>
    <row r="16" spans="1:17" s="16" customFormat="1" ht="25" customHeight="1">
      <c r="A16" s="14"/>
      <c r="B16" s="27"/>
      <c r="C16" s="67">
        <v>91</v>
      </c>
      <c r="D16" s="53">
        <f t="shared" si="2"/>
        <v>137</v>
      </c>
      <c r="E16" s="68">
        <f t="shared" si="0"/>
        <v>1</v>
      </c>
      <c r="F16" s="54">
        <f t="shared" si="3"/>
        <v>97.61</v>
      </c>
      <c r="G16" s="55">
        <f>IF(D16=D15,"",_xlfn.IFNA(VLOOKUP(D16,'인원 입력 기능'!$A$5:$D$103,4,FALSE),0))</f>
        <v>1726</v>
      </c>
      <c r="H16" s="56">
        <f t="shared" si="4"/>
        <v>5.1182293180241142E-3</v>
      </c>
      <c r="I16" s="69">
        <f>SUM($G$7:G16)</f>
        <v>8912</v>
      </c>
      <c r="J16" s="58">
        <f t="shared" si="5"/>
        <v>2.6427381044166226E-2</v>
      </c>
      <c r="K16" s="32"/>
      <c r="L16" s="20" t="str">
        <f t="shared" si="1"/>
        <v/>
      </c>
      <c r="N16" s="19"/>
    </row>
    <row r="17" spans="1:17" s="16" customFormat="1" ht="25" customHeight="1">
      <c r="A17" s="14"/>
      <c r="B17" s="27"/>
      <c r="C17" s="67">
        <v>90</v>
      </c>
      <c r="D17" s="53">
        <f t="shared" si="2"/>
        <v>136</v>
      </c>
      <c r="E17" s="68">
        <f t="shared" si="0"/>
        <v>1</v>
      </c>
      <c r="F17" s="54">
        <f t="shared" si="3"/>
        <v>97.09</v>
      </c>
      <c r="G17" s="55">
        <f>IF(D17=D16,"",_xlfn.IFNA(VLOOKUP(D17,'인원 입력 기능'!$A$5:$D$103,4,FALSE),0))</f>
        <v>1826</v>
      </c>
      <c r="H17" s="56">
        <f t="shared" si="4"/>
        <v>5.4147663584658357E-3</v>
      </c>
      <c r="I17" s="69">
        <f>SUM($G$7:G17)</f>
        <v>10738</v>
      </c>
      <c r="J17" s="58">
        <f t="shared" si="5"/>
        <v>3.1842147402632061E-2</v>
      </c>
      <c r="K17" s="32"/>
      <c r="L17" s="20" t="str">
        <f t="shared" si="1"/>
        <v/>
      </c>
      <c r="N17" s="19"/>
      <c r="Q17" s="16">
        <f>IF(H3*H4*J3*Q7=0, 0, 1)</f>
        <v>1</v>
      </c>
    </row>
    <row r="18" spans="1:17" s="16" customFormat="1" ht="25" customHeight="1">
      <c r="A18" s="14"/>
      <c r="B18" s="27"/>
      <c r="C18" s="67">
        <v>89</v>
      </c>
      <c r="D18" s="53">
        <f t="shared" si="2"/>
        <v>135</v>
      </c>
      <c r="E18" s="68">
        <f t="shared" si="0"/>
        <v>1</v>
      </c>
      <c r="F18" s="54">
        <f t="shared" si="3"/>
        <v>96.52</v>
      </c>
      <c r="G18" s="55">
        <f>IF(D18=D17,"",_xlfn.IFNA(VLOOKUP(D18,'인원 입력 기능'!$A$5:$D$103,4,FALSE),0))</f>
        <v>1976</v>
      </c>
      <c r="H18" s="56">
        <f t="shared" si="4"/>
        <v>5.8595719191284184E-3</v>
      </c>
      <c r="I18" s="69">
        <f>SUM($G$7:G18)</f>
        <v>12714</v>
      </c>
      <c r="J18" s="58">
        <f t="shared" si="5"/>
        <v>3.7701719321760481E-2</v>
      </c>
      <c r="K18" s="32"/>
      <c r="L18" s="20" t="str">
        <f t="shared" si="1"/>
        <v/>
      </c>
      <c r="N18" s="19"/>
    </row>
    <row r="19" spans="1:17" s="16" customFormat="1" ht="25" customHeight="1">
      <c r="A19" s="14"/>
      <c r="B19" s="27"/>
      <c r="C19" s="67">
        <v>88</v>
      </c>
      <c r="D19" s="53">
        <f t="shared" si="2"/>
        <v>134</v>
      </c>
      <c r="E19" s="68">
        <f t="shared" si="0"/>
        <v>1</v>
      </c>
      <c r="F19" s="54">
        <f t="shared" si="3"/>
        <v>95.89</v>
      </c>
      <c r="G19" s="55">
        <f>IF(D19=D18,"",_xlfn.IFNA(VLOOKUP(D19,'인원 입력 기능'!$A$5:$D$103,4,FALSE),0))</f>
        <v>2291</v>
      </c>
      <c r="H19" s="56">
        <f t="shared" si="4"/>
        <v>6.7936635965198415E-3</v>
      </c>
      <c r="I19" s="69">
        <f>SUM($G$7:G19)</f>
        <v>15005</v>
      </c>
      <c r="J19" s="58">
        <f t="shared" si="5"/>
        <v>4.449538291828032E-2</v>
      </c>
      <c r="K19" s="32"/>
      <c r="L19" s="20" t="str">
        <f t="shared" si="1"/>
        <v/>
      </c>
      <c r="N19" s="105"/>
    </row>
    <row r="20" spans="1:17" s="16" customFormat="1" ht="25" customHeight="1">
      <c r="A20" s="14"/>
      <c r="B20" s="27"/>
      <c r="C20" s="67">
        <v>87</v>
      </c>
      <c r="D20" s="121">
        <f t="shared" si="2"/>
        <v>133</v>
      </c>
      <c r="E20" s="137">
        <f t="shared" si="0"/>
        <v>2</v>
      </c>
      <c r="F20" s="119">
        <f t="shared" si="3"/>
        <v>94.85</v>
      </c>
      <c r="G20" s="125">
        <f>IF(D20=D19,"",_xlfn.IFNA(VLOOKUP(D20,'인원 입력 기능'!$A$5:$D$103,4,FALSE),0))</f>
        <v>4743</v>
      </c>
      <c r="H20" s="130">
        <f t="shared" si="4"/>
        <v>1.4064751828150854E-2</v>
      </c>
      <c r="I20" s="138">
        <f>SUM($G$7:G20)</f>
        <v>19748</v>
      </c>
      <c r="J20" s="134">
        <f t="shared" si="5"/>
        <v>5.8560134746431174E-2</v>
      </c>
      <c r="K20" s="32"/>
      <c r="L20" s="20" t="str">
        <f t="shared" si="1"/>
        <v/>
      </c>
      <c r="N20" s="105"/>
    </row>
    <row r="21" spans="1:17" s="16" customFormat="1" ht="25" customHeight="1">
      <c r="A21" s="14"/>
      <c r="B21" s="27"/>
      <c r="C21" s="67">
        <v>86</v>
      </c>
      <c r="D21" s="122"/>
      <c r="E21" s="136"/>
      <c r="F21" s="120"/>
      <c r="G21" s="118"/>
      <c r="H21" s="131"/>
      <c r="I21" s="139"/>
      <c r="J21" s="135"/>
      <c r="K21" s="32"/>
      <c r="L21" s="20" t="str">
        <f t="shared" si="1"/>
        <v>경고</v>
      </c>
      <c r="N21" s="19"/>
    </row>
    <row r="22" spans="1:17" s="16" customFormat="1" ht="25" customHeight="1">
      <c r="A22" s="14"/>
      <c r="B22" s="27"/>
      <c r="C22" s="67">
        <v>85</v>
      </c>
      <c r="D22" s="53">
        <f t="shared" si="2"/>
        <v>132</v>
      </c>
      <c r="E22" s="68">
        <f t="shared" si="0"/>
        <v>2</v>
      </c>
      <c r="F22" s="54">
        <f t="shared" si="3"/>
        <v>93.76</v>
      </c>
      <c r="G22" s="55">
        <f>IF(D22=D21,"",_xlfn.IFNA(VLOOKUP(D22,'인원 입력 기능'!$A$5:$D$103,4,FALSE),0))</f>
        <v>2621</v>
      </c>
      <c r="H22" s="56">
        <f t="shared" si="4"/>
        <v>7.7722358299775222E-3</v>
      </c>
      <c r="I22" s="69">
        <f>SUM($G$7:G22)</f>
        <v>22369</v>
      </c>
      <c r="J22" s="58">
        <f t="shared" si="5"/>
        <v>6.63323705764087E-2</v>
      </c>
      <c r="K22" s="32"/>
      <c r="L22" s="20" t="str">
        <f t="shared" si="1"/>
        <v/>
      </c>
      <c r="N22" s="19"/>
    </row>
    <row r="23" spans="1:17" s="16" customFormat="1" ht="25" customHeight="1">
      <c r="A23" s="14"/>
      <c r="B23" s="27"/>
      <c r="C23" s="67">
        <v>84</v>
      </c>
      <c r="D23" s="53">
        <f t="shared" si="2"/>
        <v>131</v>
      </c>
      <c r="E23" s="68">
        <f t="shared" si="0"/>
        <v>2</v>
      </c>
      <c r="F23" s="54">
        <f t="shared" si="3"/>
        <v>92.96</v>
      </c>
      <c r="G23" s="55">
        <f>IF(D23=D22,"",_xlfn.IFNA(VLOOKUP(D23,'인원 입력 기능'!$A$5:$D$103,4,FALSE),0))</f>
        <v>2776</v>
      </c>
      <c r="H23" s="56">
        <f t="shared" si="4"/>
        <v>8.2318682426621905E-3</v>
      </c>
      <c r="I23" s="69">
        <f>SUM($G$7:G23)</f>
        <v>25145</v>
      </c>
      <c r="J23" s="58">
        <f t="shared" si="5"/>
        <v>7.4564238819070885E-2</v>
      </c>
      <c r="K23" s="32"/>
      <c r="L23" s="20" t="str">
        <f t="shared" si="1"/>
        <v/>
      </c>
      <c r="N23" s="19"/>
    </row>
    <row r="24" spans="1:17" s="16" customFormat="1" ht="25" customHeight="1">
      <c r="A24" s="14"/>
      <c r="B24" s="27"/>
      <c r="C24" s="67">
        <v>83</v>
      </c>
      <c r="D24" s="53">
        <f t="shared" si="2"/>
        <v>130</v>
      </c>
      <c r="E24" s="68">
        <f t="shared" si="0"/>
        <v>2</v>
      </c>
      <c r="F24" s="54">
        <f t="shared" si="3"/>
        <v>92.1</v>
      </c>
      <c r="G24" s="55">
        <f>IF(D24=D23,"",_xlfn.IFNA(VLOOKUP(D24,'인원 입력 기능'!$A$5:$D$103,4,FALSE),0))</f>
        <v>3000</v>
      </c>
      <c r="H24" s="56">
        <f t="shared" si="4"/>
        <v>8.8961112132516472E-3</v>
      </c>
      <c r="I24" s="69">
        <f>SUM($G$7:G24)</f>
        <v>28145</v>
      </c>
      <c r="J24" s="58">
        <f t="shared" si="5"/>
        <v>8.3460350032322536E-2</v>
      </c>
      <c r="K24" s="32"/>
      <c r="L24" s="20" t="str">
        <f t="shared" si="1"/>
        <v/>
      </c>
      <c r="N24" s="19"/>
    </row>
    <row r="25" spans="1:17" s="16" customFormat="1" ht="25" customHeight="1">
      <c r="A25" s="14"/>
      <c r="B25" s="27"/>
      <c r="C25" s="67">
        <v>82</v>
      </c>
      <c r="D25" s="53">
        <f t="shared" si="2"/>
        <v>129</v>
      </c>
      <c r="E25" s="68">
        <f t="shared" si="0"/>
        <v>2</v>
      </c>
      <c r="F25" s="54">
        <f t="shared" si="3"/>
        <v>91.19</v>
      </c>
      <c r="G25" s="55">
        <f>IF(D25=D24,"",_xlfn.IFNA(VLOOKUP(D25,'인원 입력 기능'!$A$5:$D$103,4,FALSE),0))</f>
        <v>3154</v>
      </c>
      <c r="H25" s="56">
        <f t="shared" si="4"/>
        <v>9.3527782555318986E-3</v>
      </c>
      <c r="I25" s="69">
        <f>SUM($G$7:G25)</f>
        <v>31299</v>
      </c>
      <c r="J25" s="58">
        <f t="shared" si="5"/>
        <v>9.2813128287854429E-2</v>
      </c>
      <c r="K25" s="32"/>
      <c r="L25" s="20" t="str">
        <f t="shared" si="1"/>
        <v/>
      </c>
      <c r="N25" s="19"/>
    </row>
    <row r="26" spans="1:17" s="16" customFormat="1" ht="25" customHeight="1">
      <c r="A26" s="14"/>
      <c r="B26" s="27"/>
      <c r="C26" s="67">
        <v>81</v>
      </c>
      <c r="D26" s="53">
        <f t="shared" si="2"/>
        <v>128</v>
      </c>
      <c r="E26" s="68">
        <f t="shared" si="0"/>
        <v>2</v>
      </c>
      <c r="F26" s="54">
        <f t="shared" si="3"/>
        <v>90.23</v>
      </c>
      <c r="G26" s="55">
        <f>IF(D26=D25,"",_xlfn.IFNA(VLOOKUP(D26,'인원 입력 기능'!$A$5:$D$103,4,FALSE),0))</f>
        <v>3267</v>
      </c>
      <c r="H26" s="56">
        <f t="shared" si="4"/>
        <v>9.6878651112310438E-3</v>
      </c>
      <c r="I26" s="69">
        <f>SUM($G$7:G26)</f>
        <v>34566</v>
      </c>
      <c r="J26" s="58">
        <f t="shared" si="5"/>
        <v>0.10250099339908549</v>
      </c>
      <c r="K26" s="32"/>
      <c r="L26" s="20" t="str">
        <f t="shared" si="1"/>
        <v/>
      </c>
      <c r="N26" s="19"/>
    </row>
    <row r="27" spans="1:17" s="16" customFormat="1" ht="25" customHeight="1">
      <c r="A27" s="14"/>
      <c r="B27" s="27"/>
      <c r="C27" s="67">
        <v>80</v>
      </c>
      <c r="D27" s="53">
        <f t="shared" si="2"/>
        <v>127</v>
      </c>
      <c r="E27" s="68">
        <f t="shared" si="0"/>
        <v>2</v>
      </c>
      <c r="F27" s="54">
        <f t="shared" si="3"/>
        <v>89.26</v>
      </c>
      <c r="G27" s="55">
        <f>IF(D27=D26,"",_xlfn.IFNA(VLOOKUP(D27,'인원 입력 기능'!$A$5:$D$103,4,FALSE),0))</f>
        <v>3293</v>
      </c>
      <c r="H27" s="56">
        <f t="shared" si="4"/>
        <v>9.7649647417458914E-3</v>
      </c>
      <c r="I27" s="69">
        <f>SUM($G$7:G27)</f>
        <v>37859</v>
      </c>
      <c r="J27" s="58">
        <f t="shared" si="5"/>
        <v>0.11226595814083137</v>
      </c>
      <c r="K27" s="32"/>
      <c r="L27" s="20" t="str">
        <f t="shared" si="1"/>
        <v/>
      </c>
      <c r="N27" s="19"/>
    </row>
    <row r="28" spans="1:17" s="16" customFormat="1" ht="25" customHeight="1">
      <c r="A28" s="14"/>
      <c r="B28" s="27"/>
      <c r="C28" s="67">
        <v>79</v>
      </c>
      <c r="D28" s="53">
        <f t="shared" si="2"/>
        <v>126</v>
      </c>
      <c r="E28" s="68">
        <f t="shared" si="0"/>
        <v>3</v>
      </c>
      <c r="F28" s="54">
        <f t="shared" si="3"/>
        <v>88.26</v>
      </c>
      <c r="G28" s="55">
        <f>IF(D28=D27,"",_xlfn.IFNA(VLOOKUP(D28,'인원 입력 기능'!$A$5:$D$103,4,FALSE),0))</f>
        <v>3492</v>
      </c>
      <c r="H28" s="56">
        <f t="shared" si="4"/>
        <v>1.0355073452224917E-2</v>
      </c>
      <c r="I28" s="69">
        <f>SUM($G$7:G28)</f>
        <v>41351</v>
      </c>
      <c r="J28" s="58">
        <f t="shared" si="5"/>
        <v>0.12262103159305629</v>
      </c>
      <c r="K28" s="32"/>
      <c r="L28" s="20" t="str">
        <f t="shared" si="1"/>
        <v/>
      </c>
      <c r="N28" s="19"/>
    </row>
    <row r="29" spans="1:17" s="16" customFormat="1" ht="25" customHeight="1">
      <c r="A29" s="14"/>
      <c r="B29" s="27"/>
      <c r="C29" s="67">
        <v>78</v>
      </c>
      <c r="D29" s="121">
        <f t="shared" si="2"/>
        <v>125</v>
      </c>
      <c r="E29" s="137">
        <f t="shared" si="0"/>
        <v>3</v>
      </c>
      <c r="F29" s="119">
        <f t="shared" si="3"/>
        <v>86.67</v>
      </c>
      <c r="G29" s="125">
        <f>IF(D29=D28,"",_xlfn.IFNA(VLOOKUP(D29,'인원 입력 기능'!$A$5:$D$103,4,FALSE),0))</f>
        <v>7184</v>
      </c>
      <c r="H29" s="130">
        <f t="shared" si="4"/>
        <v>2.1303220985333278E-2</v>
      </c>
      <c r="I29" s="138">
        <f>SUM($G$7:G29)</f>
        <v>48535</v>
      </c>
      <c r="J29" s="134">
        <f t="shared" si="5"/>
        <v>0.14392425257838956</v>
      </c>
      <c r="K29" s="32"/>
      <c r="L29" s="20" t="str">
        <f t="shared" si="1"/>
        <v/>
      </c>
      <c r="N29" s="19"/>
    </row>
    <row r="30" spans="1:17" s="16" customFormat="1" ht="25" customHeight="1">
      <c r="A30" s="14"/>
      <c r="B30" s="27"/>
      <c r="C30" s="67">
        <v>77</v>
      </c>
      <c r="D30" s="122"/>
      <c r="E30" s="136"/>
      <c r="F30" s="120"/>
      <c r="G30" s="118"/>
      <c r="H30" s="131"/>
      <c r="I30" s="139"/>
      <c r="J30" s="135"/>
      <c r="K30" s="32"/>
      <c r="L30" s="20" t="str">
        <f t="shared" si="1"/>
        <v>경고</v>
      </c>
      <c r="N30" s="19"/>
    </row>
    <row r="31" spans="1:17" s="16" customFormat="1" ht="25" customHeight="1">
      <c r="A31" s="14"/>
      <c r="B31" s="27"/>
      <c r="C31" s="67">
        <v>76</v>
      </c>
      <c r="D31" s="53">
        <f t="shared" si="2"/>
        <v>124</v>
      </c>
      <c r="E31" s="68">
        <f t="shared" si="0"/>
        <v>3</v>
      </c>
      <c r="F31" s="54">
        <f t="shared" si="3"/>
        <v>85.07</v>
      </c>
      <c r="G31" s="55">
        <f>IF(D31=D30,"",_xlfn.IFNA(VLOOKUP(D31,'인원 입력 기능'!$A$5:$D$103,4,FALSE),0))</f>
        <v>3605</v>
      </c>
      <c r="H31" s="56">
        <f t="shared" si="4"/>
        <v>1.0690160307924064E-2</v>
      </c>
      <c r="I31" s="69">
        <f>SUM($G$7:G31)</f>
        <v>52140</v>
      </c>
      <c r="J31" s="58">
        <f t="shared" si="5"/>
        <v>0.15461441288631364</v>
      </c>
      <c r="K31" s="32"/>
      <c r="L31" s="20" t="str">
        <f t="shared" si="1"/>
        <v/>
      </c>
      <c r="N31" s="19"/>
    </row>
    <row r="32" spans="1:17" s="16" customFormat="1" ht="25" customHeight="1">
      <c r="A32" s="14"/>
      <c r="B32" s="27"/>
      <c r="C32" s="67">
        <v>75</v>
      </c>
      <c r="D32" s="53">
        <f t="shared" si="2"/>
        <v>123</v>
      </c>
      <c r="E32" s="68">
        <f t="shared" si="0"/>
        <v>3</v>
      </c>
      <c r="F32" s="54">
        <f t="shared" si="3"/>
        <v>83.97</v>
      </c>
      <c r="G32" s="55">
        <f>IF(D32=D31,"",_xlfn.IFNA(VLOOKUP(D32,'인원 입력 기능'!$A$5:$D$103,4,FALSE),0))</f>
        <v>3841</v>
      </c>
      <c r="H32" s="56">
        <f t="shared" si="4"/>
        <v>1.1389987723366525E-2</v>
      </c>
      <c r="I32" s="69">
        <f>SUM($G$7:G32)</f>
        <v>55981</v>
      </c>
      <c r="J32" s="58">
        <f t="shared" si="5"/>
        <v>0.16600440060968016</v>
      </c>
      <c r="K32" s="32"/>
      <c r="L32" s="20" t="str">
        <f t="shared" si="1"/>
        <v/>
      </c>
      <c r="N32" s="19"/>
    </row>
    <row r="33" spans="1:14" s="16" customFormat="1" ht="25" customHeight="1">
      <c r="A33" s="14"/>
      <c r="B33" s="27"/>
      <c r="C33" s="67">
        <v>74</v>
      </c>
      <c r="D33" s="53">
        <f t="shared" si="2"/>
        <v>122</v>
      </c>
      <c r="E33" s="68">
        <f t="shared" si="0"/>
        <v>3</v>
      </c>
      <c r="F33" s="54">
        <f t="shared" si="3"/>
        <v>82.82</v>
      </c>
      <c r="G33" s="55">
        <f>IF(D33=D32,"",_xlfn.IFNA(VLOOKUP(D33,'인원 입력 기능'!$A$5:$D$103,4,FALSE),0))</f>
        <v>3917</v>
      </c>
      <c r="H33" s="56">
        <f t="shared" si="4"/>
        <v>1.1615355874102234E-2</v>
      </c>
      <c r="I33" s="69">
        <f>SUM($G$7:G33)</f>
        <v>59898</v>
      </c>
      <c r="J33" s="58">
        <f t="shared" si="5"/>
        <v>0.17761975648378239</v>
      </c>
      <c r="K33" s="32"/>
      <c r="L33" s="20" t="str">
        <f t="shared" si="1"/>
        <v/>
      </c>
      <c r="N33" s="19"/>
    </row>
    <row r="34" spans="1:14" s="16" customFormat="1" ht="25" customHeight="1">
      <c r="A34" s="14"/>
      <c r="B34" s="27"/>
      <c r="C34" s="67">
        <v>73</v>
      </c>
      <c r="D34" s="53">
        <f t="shared" si="2"/>
        <v>121</v>
      </c>
      <c r="E34" s="68">
        <f t="shared" si="0"/>
        <v>3</v>
      </c>
      <c r="F34" s="54">
        <f t="shared" si="3"/>
        <v>81.66</v>
      </c>
      <c r="G34" s="55">
        <f>IF(D34=D33,"",_xlfn.IFNA(VLOOKUP(D34,'인원 입력 기능'!$A$5:$D$103,4,FALSE),0))</f>
        <v>3926</v>
      </c>
      <c r="H34" s="56">
        <f t="shared" si="4"/>
        <v>1.1642044207741989E-2</v>
      </c>
      <c r="I34" s="69">
        <f>SUM($G$7:G34)</f>
        <v>63824</v>
      </c>
      <c r="J34" s="58">
        <f t="shared" si="5"/>
        <v>0.18926180069152437</v>
      </c>
      <c r="K34" s="32"/>
      <c r="L34" s="20" t="str">
        <f t="shared" si="1"/>
        <v/>
      </c>
      <c r="N34" s="19"/>
    </row>
    <row r="35" spans="1:14" s="16" customFormat="1" ht="25" customHeight="1">
      <c r="A35" s="14"/>
      <c r="B35" s="27"/>
      <c r="C35" s="67">
        <v>72</v>
      </c>
      <c r="D35" s="53">
        <f t="shared" si="2"/>
        <v>120</v>
      </c>
      <c r="E35" s="68">
        <f t="shared" si="0"/>
        <v>3</v>
      </c>
      <c r="F35" s="54">
        <f t="shared" si="3"/>
        <v>80.48</v>
      </c>
      <c r="G35" s="55">
        <f>IF(D35=D34,"",_xlfn.IFNA(VLOOKUP(D35,'인원 입력 기능'!$A$5:$D$103,4,FALSE),0))</f>
        <v>4002</v>
      </c>
      <c r="H35" s="56">
        <f t="shared" si="4"/>
        <v>1.1867412358477698E-2</v>
      </c>
      <c r="I35" s="69">
        <f>SUM($G$7:G35)</f>
        <v>67826</v>
      </c>
      <c r="J35" s="58">
        <f t="shared" si="5"/>
        <v>0.20112921305000209</v>
      </c>
      <c r="K35" s="32"/>
      <c r="L35" s="20" t="str">
        <f t="shared" si="1"/>
        <v/>
      </c>
      <c r="N35" s="19"/>
    </row>
    <row r="36" spans="1:14" s="16" customFormat="1" ht="25" customHeight="1">
      <c r="A36" s="14"/>
      <c r="B36" s="27"/>
      <c r="C36" s="67">
        <v>71</v>
      </c>
      <c r="D36" s="53">
        <f t="shared" si="2"/>
        <v>119</v>
      </c>
      <c r="E36" s="68">
        <f t="shared" si="0"/>
        <v>3</v>
      </c>
      <c r="F36" s="54">
        <f t="shared" si="3"/>
        <v>79.290000000000006</v>
      </c>
      <c r="G36" s="55">
        <f>IF(D36=D35,"",_xlfn.IFNA(VLOOKUP(D36,'인원 입력 기능'!$A$5:$D$103,4,FALSE),0))</f>
        <v>4010</v>
      </c>
      <c r="H36" s="56">
        <f t="shared" si="4"/>
        <v>1.1891135321713035E-2</v>
      </c>
      <c r="I36" s="69">
        <f>SUM($G$7:G36)</f>
        <v>71836</v>
      </c>
      <c r="J36" s="58">
        <f t="shared" si="5"/>
        <v>0.2130203483717151</v>
      </c>
      <c r="K36" s="32"/>
      <c r="L36" s="20" t="str">
        <f t="shared" si="1"/>
        <v/>
      </c>
      <c r="N36" s="19"/>
    </row>
    <row r="37" spans="1:14" s="16" customFormat="1" ht="25" customHeight="1">
      <c r="A37" s="14"/>
      <c r="B37" s="27"/>
      <c r="C37" s="67">
        <v>70</v>
      </c>
      <c r="D37" s="53">
        <f t="shared" si="2"/>
        <v>118</v>
      </c>
      <c r="E37" s="68">
        <f t="shared" si="0"/>
        <v>3</v>
      </c>
      <c r="F37" s="54">
        <f t="shared" si="3"/>
        <v>78.08</v>
      </c>
      <c r="G37" s="55">
        <f>IF(D37=D36,"",_xlfn.IFNA(VLOOKUP(D37,'인원 입력 기능'!$A$5:$D$103,4,FALSE),0))</f>
        <v>4142</v>
      </c>
      <c r="H37" s="56">
        <f t="shared" si="4"/>
        <v>1.2282564215096107E-2</v>
      </c>
      <c r="I37" s="69">
        <f>SUM($G$7:G37)</f>
        <v>75978</v>
      </c>
      <c r="J37" s="58">
        <f t="shared" si="5"/>
        <v>0.2253029125868112</v>
      </c>
      <c r="K37" s="32"/>
      <c r="L37" s="20" t="str">
        <f t="shared" si="1"/>
        <v/>
      </c>
      <c r="N37" s="19"/>
    </row>
    <row r="38" spans="1:14" s="16" customFormat="1" ht="25" customHeight="1">
      <c r="A38" s="14"/>
      <c r="B38" s="27"/>
      <c r="C38" s="67">
        <v>69</v>
      </c>
      <c r="D38" s="53">
        <f t="shared" si="2"/>
        <v>117</v>
      </c>
      <c r="E38" s="68">
        <f t="shared" si="0"/>
        <v>3</v>
      </c>
      <c r="F38" s="54">
        <f t="shared" si="3"/>
        <v>76.849999999999994</v>
      </c>
      <c r="G38" s="55">
        <f>IF(D38=D37,"",_xlfn.IFNA(VLOOKUP(D38,'인원 입력 기능'!$A$5:$D$103,4,FALSE),0))</f>
        <v>4149</v>
      </c>
      <c r="H38" s="56">
        <f t="shared" si="4"/>
        <v>1.2303321807927028E-2</v>
      </c>
      <c r="I38" s="69">
        <f>SUM($G$7:G38)</f>
        <v>80127</v>
      </c>
      <c r="J38" s="58">
        <f t="shared" si="5"/>
        <v>0.23760623439473824</v>
      </c>
      <c r="K38" s="32"/>
      <c r="L38" s="20" t="str">
        <f t="shared" si="1"/>
        <v/>
      </c>
      <c r="N38" s="19"/>
    </row>
    <row r="39" spans="1:14" s="16" customFormat="1" ht="25" customHeight="1">
      <c r="A39" s="14"/>
      <c r="B39" s="27"/>
      <c r="C39" s="67">
        <v>68</v>
      </c>
      <c r="D39" s="121">
        <f t="shared" si="2"/>
        <v>116</v>
      </c>
      <c r="E39" s="137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119">
        <f t="shared" si="3"/>
        <v>74.959999999999994</v>
      </c>
      <c r="G39" s="125">
        <f>IF(D39=D38,"",_xlfn.IFNA(VLOOKUP(D39,'인원 입력 기능'!$A$5:$D$103,4,FALSE),0))</f>
        <v>8615</v>
      </c>
      <c r="H39" s="130">
        <f t="shared" si="4"/>
        <v>2.5546666034054314E-2</v>
      </c>
      <c r="I39" s="138">
        <f>SUM($G$7:G39)</f>
        <v>88742</v>
      </c>
      <c r="J39" s="134">
        <f t="shared" si="5"/>
        <v>0.26315290042879258</v>
      </c>
      <c r="K39" s="32"/>
      <c r="L39" s="20" t="str">
        <f t="shared" si="1"/>
        <v/>
      </c>
      <c r="N39" s="19"/>
    </row>
    <row r="40" spans="1:14" s="16" customFormat="1" ht="25" customHeight="1">
      <c r="A40" s="14"/>
      <c r="B40" s="27"/>
      <c r="C40" s="67">
        <v>67</v>
      </c>
      <c r="D40" s="122"/>
      <c r="E40" s="136"/>
      <c r="F40" s="120"/>
      <c r="G40" s="118"/>
      <c r="H40" s="131"/>
      <c r="I40" s="139"/>
      <c r="J40" s="135"/>
      <c r="K40" s="32"/>
      <c r="L40" s="20" t="str">
        <f t="shared" si="1"/>
        <v>경고</v>
      </c>
      <c r="N40" s="19"/>
    </row>
    <row r="41" spans="1:14" s="16" customFormat="1" ht="25" customHeight="1">
      <c r="A41" s="14"/>
      <c r="B41" s="27"/>
      <c r="C41" s="67">
        <v>66</v>
      </c>
      <c r="D41" s="53">
        <f t="shared" si="2"/>
        <v>115</v>
      </c>
      <c r="E41" s="68">
        <f t="shared" si="6"/>
        <v>4</v>
      </c>
      <c r="F41" s="54">
        <f t="shared" si="3"/>
        <v>73.03</v>
      </c>
      <c r="G41" s="55">
        <f>IF(D41=D40,"",_xlfn.IFNA(VLOOKUP(D41,'인원 입력 기능'!$A$5:$D$103,4,FALSE),0))</f>
        <v>4404</v>
      </c>
      <c r="H41" s="56">
        <f t="shared" si="4"/>
        <v>1.3059491261053418E-2</v>
      </c>
      <c r="I41" s="69">
        <f>SUM($G$7:G41)</f>
        <v>93146</v>
      </c>
      <c r="J41" s="58">
        <f t="shared" si="5"/>
        <v>0.27621239168984596</v>
      </c>
      <c r="K41" s="32"/>
      <c r="L41" s="20" t="str">
        <f t="shared" ref="L41:L72" si="7">IF(ABS((C41-$H$3)/$H$4*20+100-D41)&gt;0.49, "경고", "")</f>
        <v/>
      </c>
      <c r="N41" s="19"/>
    </row>
    <row r="42" spans="1:14" s="16" customFormat="1" ht="25" customHeight="1">
      <c r="A42" s="14"/>
      <c r="B42" s="27"/>
      <c r="C42" s="67">
        <v>65</v>
      </c>
      <c r="D42" s="53">
        <f t="shared" si="2"/>
        <v>114</v>
      </c>
      <c r="E42" s="68">
        <f t="shared" si="6"/>
        <v>4</v>
      </c>
      <c r="F42" s="54">
        <f t="shared" si="3"/>
        <v>71.72</v>
      </c>
      <c r="G42" s="55">
        <f>IF(D42=D41,"",_xlfn.IFNA(VLOOKUP(D42,'인원 입력 기능'!$A$5:$D$103,4,FALSE),0))</f>
        <v>4433</v>
      </c>
      <c r="H42" s="56">
        <f t="shared" si="4"/>
        <v>1.3145487002781517E-2</v>
      </c>
      <c r="I42" s="69">
        <f>SUM($G$7:G42)</f>
        <v>97579</v>
      </c>
      <c r="J42" s="58">
        <f t="shared" si="5"/>
        <v>0.28935787869262752</v>
      </c>
      <c r="K42" s="32"/>
      <c r="L42" s="20" t="str">
        <f t="shared" si="7"/>
        <v/>
      </c>
      <c r="N42" s="19"/>
    </row>
    <row r="43" spans="1:14" s="16" customFormat="1" ht="25" customHeight="1">
      <c r="A43" s="14"/>
      <c r="B43" s="27"/>
      <c r="C43" s="67">
        <v>64</v>
      </c>
      <c r="D43" s="53">
        <f t="shared" si="2"/>
        <v>113</v>
      </c>
      <c r="E43" s="68">
        <f t="shared" si="6"/>
        <v>4</v>
      </c>
      <c r="F43" s="54">
        <f t="shared" si="3"/>
        <v>70.400000000000006</v>
      </c>
      <c r="G43" s="55">
        <f>IF(D43=D42,"",_xlfn.IFNA(VLOOKUP(D43,'인원 입력 기능'!$A$5:$D$103,4,FALSE),0))</f>
        <v>4470</v>
      </c>
      <c r="H43" s="56">
        <f t="shared" si="4"/>
        <v>1.3255205707744954E-2</v>
      </c>
      <c r="I43" s="69">
        <f>SUM($G$7:G43)</f>
        <v>102049</v>
      </c>
      <c r="J43" s="58">
        <f t="shared" si="5"/>
        <v>0.30261308440037243</v>
      </c>
      <c r="K43" s="32"/>
      <c r="L43" s="20" t="str">
        <f t="shared" si="7"/>
        <v/>
      </c>
      <c r="N43" s="19"/>
    </row>
    <row r="44" spans="1:14" s="16" customFormat="1" ht="25" customHeight="1">
      <c r="A44" s="14"/>
      <c r="B44" s="27"/>
      <c r="C44" s="67">
        <v>63</v>
      </c>
      <c r="D44" s="53">
        <f t="shared" si="2"/>
        <v>112</v>
      </c>
      <c r="E44" s="68">
        <f t="shared" si="6"/>
        <v>4</v>
      </c>
      <c r="F44" s="54">
        <f t="shared" si="3"/>
        <v>69.05</v>
      </c>
      <c r="G44" s="55">
        <f>IF(D44=D43,"",_xlfn.IFNA(VLOOKUP(D44,'인원 입력 기능'!$A$5:$D$103,4,FALSE),0))</f>
        <v>4614</v>
      </c>
      <c r="H44" s="56">
        <f t="shared" si="4"/>
        <v>1.3682219045981034E-2</v>
      </c>
      <c r="I44" s="69">
        <f>SUM($G$7:G44)</f>
        <v>106663</v>
      </c>
      <c r="J44" s="58">
        <f t="shared" si="5"/>
        <v>0.31629530344635348</v>
      </c>
      <c r="K44" s="32"/>
      <c r="L44" s="20" t="str">
        <f t="shared" si="7"/>
        <v/>
      </c>
      <c r="N44" s="19"/>
    </row>
    <row r="45" spans="1:14" s="16" customFormat="1" ht="25" customHeight="1">
      <c r="A45" s="14"/>
      <c r="B45" s="27"/>
      <c r="C45" s="67">
        <v>62</v>
      </c>
      <c r="D45" s="53">
        <f t="shared" si="2"/>
        <v>111</v>
      </c>
      <c r="E45" s="68">
        <f t="shared" si="6"/>
        <v>4</v>
      </c>
      <c r="F45" s="54">
        <f t="shared" si="3"/>
        <v>67.7</v>
      </c>
      <c r="G45" s="55">
        <f>IF(D45=D44,"",_xlfn.IFNA(VLOOKUP(D45,'인원 입력 기능'!$A$5:$D$103,4,FALSE),0))</f>
        <v>4492</v>
      </c>
      <c r="H45" s="56">
        <f t="shared" si="4"/>
        <v>1.3320443856642133E-2</v>
      </c>
      <c r="I45" s="69">
        <f>SUM($G$7:G45)</f>
        <v>111155</v>
      </c>
      <c r="J45" s="58">
        <f t="shared" si="5"/>
        <v>0.32961574730299564</v>
      </c>
      <c r="K45" s="32"/>
      <c r="L45" s="20" t="str">
        <f t="shared" si="7"/>
        <v/>
      </c>
      <c r="N45" s="19"/>
    </row>
    <row r="46" spans="1:14" s="16" customFormat="1" ht="25" customHeight="1">
      <c r="A46" s="14"/>
      <c r="B46" s="27"/>
      <c r="C46" s="67">
        <v>61</v>
      </c>
      <c r="D46" s="53">
        <f t="shared" si="2"/>
        <v>110</v>
      </c>
      <c r="E46" s="68">
        <f t="shared" si="6"/>
        <v>4</v>
      </c>
      <c r="F46" s="54">
        <f t="shared" si="3"/>
        <v>66.38</v>
      </c>
      <c r="G46" s="55">
        <f>IF(D46=D45,"",_xlfn.IFNA(VLOOKUP(D46,'인원 입력 기능'!$A$5:$D$103,4,FALSE),0))</f>
        <v>4447</v>
      </c>
      <c r="H46" s="56">
        <f t="shared" si="4"/>
        <v>1.3187002188443358E-2</v>
      </c>
      <c r="I46" s="69">
        <f>SUM($G$7:G46)</f>
        <v>115602</v>
      </c>
      <c r="J46" s="58">
        <f t="shared" si="5"/>
        <v>0.34280274949143896</v>
      </c>
      <c r="K46" s="32"/>
      <c r="L46" s="20" t="str">
        <f t="shared" si="7"/>
        <v/>
      </c>
      <c r="N46" s="19"/>
    </row>
    <row r="47" spans="1:14" s="16" customFormat="1" ht="25" customHeight="1">
      <c r="A47" s="14"/>
      <c r="B47" s="27"/>
      <c r="C47" s="67">
        <v>60</v>
      </c>
      <c r="D47" s="53">
        <f t="shared" si="2"/>
        <v>109</v>
      </c>
      <c r="E47" s="68">
        <f t="shared" si="6"/>
        <v>4</v>
      </c>
      <c r="F47" s="54">
        <f t="shared" si="3"/>
        <v>65.06</v>
      </c>
      <c r="G47" s="55">
        <f>IF(D47=D46,"",_xlfn.IFNA(VLOOKUP(D47,'인원 입력 기능'!$A$5:$D$103,4,FALSE),0))</f>
        <v>4451</v>
      </c>
      <c r="H47" s="56">
        <f t="shared" si="4"/>
        <v>1.3198863670061027E-2</v>
      </c>
      <c r="I47" s="69">
        <f>SUM($G$7:G47)</f>
        <v>120053</v>
      </c>
      <c r="J47" s="58">
        <f t="shared" si="5"/>
        <v>0.35600161316150003</v>
      </c>
      <c r="K47" s="32"/>
      <c r="L47" s="20" t="str">
        <f t="shared" si="7"/>
        <v/>
      </c>
      <c r="N47" s="19"/>
    </row>
    <row r="48" spans="1:14" s="16" customFormat="1" ht="25" customHeight="1">
      <c r="A48" s="14"/>
      <c r="B48" s="27"/>
      <c r="C48" s="67">
        <v>59</v>
      </c>
      <c r="D48" s="121">
        <f t="shared" si="2"/>
        <v>108</v>
      </c>
      <c r="E48" s="137">
        <f t="shared" si="6"/>
        <v>4</v>
      </c>
      <c r="F48" s="119">
        <f t="shared" si="3"/>
        <v>63.05</v>
      </c>
      <c r="G48" s="125">
        <f>IF(D48=D47,"",_xlfn.IFNA(VLOOKUP(D48,'인원 입력 기능'!$A$5:$D$103,4,FALSE),0))</f>
        <v>9131</v>
      </c>
      <c r="H48" s="130">
        <f t="shared" si="4"/>
        <v>2.7076797162733597E-2</v>
      </c>
      <c r="I48" s="138">
        <f>SUM($G$7:G48)</f>
        <v>129184</v>
      </c>
      <c r="J48" s="134">
        <f t="shared" si="5"/>
        <v>0.38307841032423362</v>
      </c>
      <c r="K48" s="32"/>
      <c r="L48" s="20" t="str">
        <f t="shared" si="7"/>
        <v/>
      </c>
      <c r="N48" s="19"/>
    </row>
    <row r="49" spans="1:14" s="16" customFormat="1" ht="25" customHeight="1">
      <c r="A49" s="14"/>
      <c r="B49" s="27"/>
      <c r="C49" s="67">
        <v>58</v>
      </c>
      <c r="D49" s="122"/>
      <c r="E49" s="136"/>
      <c r="F49" s="120"/>
      <c r="G49" s="118"/>
      <c r="H49" s="131"/>
      <c r="I49" s="139"/>
      <c r="J49" s="135"/>
      <c r="K49" s="32"/>
      <c r="L49" s="20" t="str">
        <f t="shared" si="7"/>
        <v>경고</v>
      </c>
      <c r="N49" s="19"/>
    </row>
    <row r="50" spans="1:14" s="16" customFormat="1" ht="25" customHeight="1">
      <c r="A50" s="14"/>
      <c r="B50" s="27"/>
      <c r="C50" s="67">
        <v>57</v>
      </c>
      <c r="D50" s="53">
        <f t="shared" si="2"/>
        <v>107</v>
      </c>
      <c r="E50" s="68">
        <f t="shared" si="6"/>
        <v>4</v>
      </c>
      <c r="F50" s="54">
        <f t="shared" si="3"/>
        <v>61.01</v>
      </c>
      <c r="G50" s="55">
        <f>IF(D50=D49,"",_xlfn.IFNA(VLOOKUP(D50,'인원 입력 기능'!$A$5:$D$103,4,FALSE),0))</f>
        <v>4600</v>
      </c>
      <c r="H50" s="56">
        <f t="shared" si="4"/>
        <v>1.3640703860319193E-2</v>
      </c>
      <c r="I50" s="69">
        <f>SUM($G$7:G50)</f>
        <v>133784</v>
      </c>
      <c r="J50" s="58">
        <f t="shared" si="5"/>
        <v>0.3967191141845528</v>
      </c>
      <c r="K50" s="32"/>
      <c r="L50" s="20" t="str">
        <f t="shared" si="7"/>
        <v/>
      </c>
      <c r="N50" s="19"/>
    </row>
    <row r="51" spans="1:14" s="16" customFormat="1" ht="25" customHeight="1">
      <c r="A51" s="14"/>
      <c r="B51" s="27"/>
      <c r="C51" s="67">
        <v>56</v>
      </c>
      <c r="D51" s="53">
        <f t="shared" si="2"/>
        <v>106</v>
      </c>
      <c r="E51" s="68">
        <f t="shared" si="6"/>
        <v>4</v>
      </c>
      <c r="F51" s="54">
        <f t="shared" si="3"/>
        <v>59.63</v>
      </c>
      <c r="G51" s="55">
        <f>IF(D51=D50,"",_xlfn.IFNA(VLOOKUP(D51,'인원 입력 기능'!$A$5:$D$103,4,FALSE),0))</f>
        <v>4714</v>
      </c>
      <c r="H51" s="56">
        <f t="shared" si="4"/>
        <v>1.3978756086422755E-2</v>
      </c>
      <c r="I51" s="69">
        <f>SUM($G$7:G51)</f>
        <v>138498</v>
      </c>
      <c r="J51" s="58">
        <f t="shared" si="5"/>
        <v>0.41069787027097554</v>
      </c>
      <c r="K51" s="32"/>
      <c r="L51" s="20" t="str">
        <f t="shared" si="7"/>
        <v/>
      </c>
      <c r="N51" s="19"/>
    </row>
    <row r="52" spans="1:14" s="16" customFormat="1" ht="25" customHeight="1">
      <c r="A52" s="14"/>
      <c r="B52" s="27"/>
      <c r="C52" s="67">
        <v>55</v>
      </c>
      <c r="D52" s="53">
        <f t="shared" si="2"/>
        <v>105</v>
      </c>
      <c r="E52" s="68">
        <f t="shared" si="6"/>
        <v>5</v>
      </c>
      <c r="F52" s="54">
        <f t="shared" si="3"/>
        <v>58.26</v>
      </c>
      <c r="G52" s="55">
        <f>IF(D52=D51,"",_xlfn.IFNA(VLOOKUP(D52,'인원 입력 기능'!$A$5:$D$103,4,FALSE),0))</f>
        <v>4543</v>
      </c>
      <c r="H52" s="56">
        <f t="shared" si="4"/>
        <v>1.3471677747267411E-2</v>
      </c>
      <c r="I52" s="69">
        <f>SUM($G$7:G52)</f>
        <v>143041</v>
      </c>
      <c r="J52" s="58">
        <f t="shared" si="5"/>
        <v>0.42416954801824297</v>
      </c>
      <c r="K52" s="32"/>
      <c r="L52" s="20" t="str">
        <f t="shared" si="7"/>
        <v/>
      </c>
      <c r="N52" s="19"/>
    </row>
    <row r="53" spans="1:14" s="16" customFormat="1" ht="25" customHeight="1">
      <c r="A53" s="14"/>
      <c r="B53" s="27"/>
      <c r="C53" s="67">
        <v>54</v>
      </c>
      <c r="D53" s="53">
        <f t="shared" si="2"/>
        <v>104</v>
      </c>
      <c r="E53" s="68">
        <f t="shared" si="6"/>
        <v>5</v>
      </c>
      <c r="F53" s="54">
        <f t="shared" si="3"/>
        <v>56.9</v>
      </c>
      <c r="G53" s="55">
        <f>IF(D53=D52,"",_xlfn.IFNA(VLOOKUP(D53,'인원 입력 기능'!$A$5:$D$103,4,FALSE),0))</f>
        <v>4574</v>
      </c>
      <c r="H53" s="56">
        <f t="shared" si="4"/>
        <v>1.3563604229804346E-2</v>
      </c>
      <c r="I53" s="69">
        <f>SUM($G$7:G53)</f>
        <v>147615</v>
      </c>
      <c r="J53" s="58">
        <f t="shared" si="5"/>
        <v>0.43773315224804732</v>
      </c>
      <c r="K53" s="32"/>
      <c r="L53" s="20" t="str">
        <f t="shared" si="7"/>
        <v/>
      </c>
      <c r="N53" s="19"/>
    </row>
    <row r="54" spans="1:14" s="16" customFormat="1" ht="25" customHeight="1">
      <c r="A54" s="14"/>
      <c r="B54" s="27"/>
      <c r="C54" s="67">
        <v>53</v>
      </c>
      <c r="D54" s="53">
        <f t="shared" si="2"/>
        <v>103</v>
      </c>
      <c r="E54" s="68">
        <f t="shared" si="6"/>
        <v>5</v>
      </c>
      <c r="F54" s="54">
        <f t="shared" si="3"/>
        <v>55.56</v>
      </c>
      <c r="G54" s="55">
        <f>IF(D54=D53,"",_xlfn.IFNA(VLOOKUP(D54,'인원 입력 기능'!$A$5:$D$103,4,FALSE),0))</f>
        <v>4498</v>
      </c>
      <c r="H54" s="56">
        <f t="shared" si="4"/>
        <v>1.3338236079068637E-2</v>
      </c>
      <c r="I54" s="69">
        <f>SUM($G$7:G54)</f>
        <v>152113</v>
      </c>
      <c r="J54" s="58">
        <f t="shared" si="5"/>
        <v>0.45107138832711596</v>
      </c>
      <c r="K54" s="32"/>
      <c r="L54" s="20" t="str">
        <f t="shared" si="7"/>
        <v/>
      </c>
      <c r="N54" s="19"/>
    </row>
    <row r="55" spans="1:14" s="16" customFormat="1" ht="25" customHeight="1">
      <c r="A55" s="14"/>
      <c r="B55" s="27"/>
      <c r="C55" s="67">
        <v>52</v>
      </c>
      <c r="D55" s="53">
        <f t="shared" si="2"/>
        <v>102</v>
      </c>
      <c r="E55" s="68">
        <f t="shared" si="6"/>
        <v>5</v>
      </c>
      <c r="F55" s="54">
        <f t="shared" si="3"/>
        <v>54.23</v>
      </c>
      <c r="G55" s="55">
        <f>IF(D55=D54,"",_xlfn.IFNA(VLOOKUP(D55,'인원 입력 기능'!$A$5:$D$103,4,FALSE),0))</f>
        <v>4464</v>
      </c>
      <c r="H55" s="56">
        <f t="shared" si="4"/>
        <v>1.323741348531845E-2</v>
      </c>
      <c r="I55" s="69">
        <f>SUM($G$7:G55)</f>
        <v>156577</v>
      </c>
      <c r="J55" s="58">
        <f t="shared" si="5"/>
        <v>0.46430880181243439</v>
      </c>
      <c r="K55" s="32"/>
      <c r="L55" s="20" t="str">
        <f t="shared" si="7"/>
        <v/>
      </c>
      <c r="N55" s="19"/>
    </row>
    <row r="56" spans="1:14" s="16" customFormat="1" ht="25" customHeight="1">
      <c r="A56" s="14"/>
      <c r="B56" s="27"/>
      <c r="C56" s="67">
        <v>51</v>
      </c>
      <c r="D56" s="53">
        <f t="shared" si="2"/>
        <v>101</v>
      </c>
      <c r="E56" s="68">
        <f t="shared" si="6"/>
        <v>5</v>
      </c>
      <c r="F56" s="54">
        <f t="shared" si="3"/>
        <v>52.91</v>
      </c>
      <c r="G56" s="55">
        <f>IF(D56=D55,"",_xlfn.IFNA(VLOOKUP(D56,'인원 입력 기능'!$A$5:$D$103,4,FALSE),0))</f>
        <v>4469</v>
      </c>
      <c r="H56" s="56">
        <f t="shared" si="4"/>
        <v>1.3252240337340538E-2</v>
      </c>
      <c r="I56" s="69">
        <f>SUM($G$7:G56)</f>
        <v>161046</v>
      </c>
      <c r="J56" s="58">
        <f t="shared" si="5"/>
        <v>0.47756104214977491</v>
      </c>
      <c r="K56" s="32"/>
      <c r="L56" s="20" t="str">
        <f t="shared" si="7"/>
        <v/>
      </c>
      <c r="N56" s="19"/>
    </row>
    <row r="57" spans="1:14" s="16" customFormat="1" ht="25" customHeight="1">
      <c r="A57" s="14"/>
      <c r="B57" s="27"/>
      <c r="C57" s="67">
        <v>50</v>
      </c>
      <c r="D57" s="53">
        <f t="shared" si="2"/>
        <v>100</v>
      </c>
      <c r="E57" s="68">
        <f t="shared" si="6"/>
        <v>5</v>
      </c>
      <c r="F57" s="54">
        <f t="shared" si="3"/>
        <v>51.58</v>
      </c>
      <c r="G57" s="55">
        <f>IF(D57=D56,"",_xlfn.IFNA(VLOOKUP(D57,'인원 입력 기능'!$A$5:$D$103,4,FALSE),0))</f>
        <v>4453</v>
      </c>
      <c r="H57" s="56">
        <f t="shared" si="4"/>
        <v>1.3204794410869861E-2</v>
      </c>
      <c r="I57" s="69">
        <f>SUM($G$7:G57)</f>
        <v>165499</v>
      </c>
      <c r="J57" s="58">
        <f t="shared" si="5"/>
        <v>0.49076583656064476</v>
      </c>
      <c r="K57" s="32"/>
      <c r="L57" s="20" t="str">
        <f t="shared" si="7"/>
        <v/>
      </c>
      <c r="N57" s="19"/>
    </row>
    <row r="58" spans="1:14" s="16" customFormat="1" ht="25" customHeight="1">
      <c r="A58" s="14"/>
      <c r="B58" s="27"/>
      <c r="C58" s="67">
        <v>49</v>
      </c>
      <c r="D58" s="121">
        <f t="shared" si="2"/>
        <v>99</v>
      </c>
      <c r="E58" s="137">
        <f t="shared" si="6"/>
        <v>5</v>
      </c>
      <c r="F58" s="119">
        <f t="shared" si="3"/>
        <v>49.61</v>
      </c>
      <c r="G58" s="125">
        <f>IF(D58=D57,"",_xlfn.IFNA(VLOOKUP(D58,'인원 입력 기능'!$A$5:$D$103,4,FALSE),0))</f>
        <v>8851</v>
      </c>
      <c r="H58" s="130">
        <f t="shared" si="4"/>
        <v>2.6246493449496776E-2</v>
      </c>
      <c r="I58" s="138">
        <f>SUM($G$7:G58)</f>
        <v>174350</v>
      </c>
      <c r="J58" s="134">
        <f t="shared" si="5"/>
        <v>0.51701233001014157</v>
      </c>
      <c r="K58" s="32"/>
      <c r="L58" s="20" t="str">
        <f t="shared" si="7"/>
        <v/>
      </c>
      <c r="N58" s="19"/>
    </row>
    <row r="59" spans="1:14" s="16" customFormat="1" ht="25" customHeight="1">
      <c r="A59" s="14"/>
      <c r="B59" s="27"/>
      <c r="C59" s="67">
        <v>48</v>
      </c>
      <c r="D59" s="122"/>
      <c r="E59" s="136"/>
      <c r="F59" s="120"/>
      <c r="G59" s="118"/>
      <c r="H59" s="131"/>
      <c r="I59" s="139"/>
      <c r="J59" s="135"/>
      <c r="K59" s="32"/>
      <c r="L59" s="20" t="str">
        <f t="shared" si="7"/>
        <v>경고</v>
      </c>
      <c r="N59" s="19"/>
    </row>
    <row r="60" spans="1:14" s="16" customFormat="1" ht="25" customHeight="1">
      <c r="A60" s="14"/>
      <c r="B60" s="27"/>
      <c r="C60" s="67">
        <v>47</v>
      </c>
      <c r="D60" s="53">
        <f t="shared" si="2"/>
        <v>98</v>
      </c>
      <c r="E60" s="68">
        <f t="shared" si="6"/>
        <v>5</v>
      </c>
      <c r="F60" s="54">
        <f t="shared" si="3"/>
        <v>47.66</v>
      </c>
      <c r="G60" s="55">
        <f>IF(D60=D59,"",_xlfn.IFNA(VLOOKUP(D60,'인원 입력 기능'!$A$5:$D$103,4,FALSE),0))</f>
        <v>4297</v>
      </c>
      <c r="H60" s="56">
        <f t="shared" si="4"/>
        <v>1.2742196627780776E-2</v>
      </c>
      <c r="I60" s="69">
        <f>SUM($G$7:G60)</f>
        <v>178647</v>
      </c>
      <c r="J60" s="58">
        <f t="shared" si="5"/>
        <v>0.52975452663792233</v>
      </c>
      <c r="K60" s="32"/>
      <c r="L60" s="20" t="str">
        <f t="shared" si="7"/>
        <v/>
      </c>
      <c r="N60" s="19"/>
    </row>
    <row r="61" spans="1:14" s="16" customFormat="1" ht="25" customHeight="1">
      <c r="A61" s="14"/>
      <c r="B61" s="27"/>
      <c r="C61" s="67">
        <v>46</v>
      </c>
      <c r="D61" s="53">
        <f t="shared" si="2"/>
        <v>97</v>
      </c>
      <c r="E61" s="68">
        <f t="shared" si="6"/>
        <v>5</v>
      </c>
      <c r="F61" s="54">
        <f t="shared" si="3"/>
        <v>46.38</v>
      </c>
      <c r="G61" s="55">
        <f>IF(D61=D60,"",_xlfn.IFNA(VLOOKUP(D61,'인원 입력 기능'!$A$5:$D$103,4,FALSE),0))</f>
        <v>4363</v>
      </c>
      <c r="H61" s="56">
        <f t="shared" si="4"/>
        <v>1.2937911074472312E-2</v>
      </c>
      <c r="I61" s="69">
        <f>SUM($G$7:G61)</f>
        <v>183010</v>
      </c>
      <c r="J61" s="58">
        <f t="shared" si="5"/>
        <v>0.54269243771239462</v>
      </c>
      <c r="K61" s="32"/>
      <c r="L61" s="20" t="str">
        <f t="shared" si="7"/>
        <v/>
      </c>
      <c r="N61" s="19"/>
    </row>
    <row r="62" spans="1:14" s="16" customFormat="1" ht="25" customHeight="1">
      <c r="A62" s="14"/>
      <c r="B62" s="27"/>
      <c r="C62" s="67">
        <v>45</v>
      </c>
      <c r="D62" s="53">
        <f t="shared" si="2"/>
        <v>96</v>
      </c>
      <c r="E62" s="68">
        <f t="shared" si="6"/>
        <v>5</v>
      </c>
      <c r="F62" s="54">
        <f t="shared" si="3"/>
        <v>45.1</v>
      </c>
      <c r="G62" s="55">
        <f>IF(D62=D61,"",_xlfn.IFNA(VLOOKUP(D62,'인원 입력 기능'!$A$5:$D$103,4,FALSE),0))</f>
        <v>4222</v>
      </c>
      <c r="H62" s="56">
        <f t="shared" si="4"/>
        <v>1.2519793847449485E-2</v>
      </c>
      <c r="I62" s="69">
        <f>SUM($G$7:G62)</f>
        <v>187232</v>
      </c>
      <c r="J62" s="58">
        <f t="shared" si="5"/>
        <v>0.55521223155984412</v>
      </c>
      <c r="K62" s="32"/>
      <c r="L62" s="20" t="str">
        <f t="shared" si="7"/>
        <v/>
      </c>
      <c r="N62" s="19"/>
    </row>
    <row r="63" spans="1:14" s="16" customFormat="1" ht="25" customHeight="1">
      <c r="A63" s="14"/>
      <c r="B63" s="27"/>
      <c r="C63" s="67">
        <v>44</v>
      </c>
      <c r="D63" s="53">
        <f t="shared" si="2"/>
        <v>95</v>
      </c>
      <c r="E63" s="68">
        <f t="shared" si="6"/>
        <v>5</v>
      </c>
      <c r="F63" s="54">
        <f t="shared" si="3"/>
        <v>43.85</v>
      </c>
      <c r="G63" s="55">
        <f>IF(D63=D62,"",_xlfn.IFNA(VLOOKUP(D63,'인원 입력 기능'!$A$5:$D$103,4,FALSE),0))</f>
        <v>4261</v>
      </c>
      <c r="H63" s="56">
        <f t="shared" si="4"/>
        <v>1.2635443293221756E-2</v>
      </c>
      <c r="I63" s="69">
        <f>SUM($G$7:G63)</f>
        <v>191493</v>
      </c>
      <c r="J63" s="58">
        <f t="shared" si="5"/>
        <v>0.56784767485306586</v>
      </c>
      <c r="K63" s="32"/>
      <c r="L63" s="20" t="str">
        <f t="shared" si="7"/>
        <v/>
      </c>
      <c r="N63" s="19"/>
    </row>
    <row r="64" spans="1:14" s="16" customFormat="1" ht="25" customHeight="1">
      <c r="A64" s="14"/>
      <c r="B64" s="27"/>
      <c r="C64" s="67">
        <v>43</v>
      </c>
      <c r="D64" s="53">
        <f t="shared" si="2"/>
        <v>94</v>
      </c>
      <c r="E64" s="68">
        <f t="shared" si="6"/>
        <v>5</v>
      </c>
      <c r="F64" s="54">
        <f t="shared" si="3"/>
        <v>42.59</v>
      </c>
      <c r="G64" s="55">
        <f>IF(D64=D63,"",_xlfn.IFNA(VLOOKUP(D64,'인원 입력 기능'!$A$5:$D$103,4,FALSE),0))</f>
        <v>4229</v>
      </c>
      <c r="H64" s="56">
        <f t="shared" si="4"/>
        <v>1.2540551440280405E-2</v>
      </c>
      <c r="I64" s="69">
        <f>SUM($G$7:G64)</f>
        <v>195722</v>
      </c>
      <c r="J64" s="58">
        <f t="shared" si="5"/>
        <v>0.5803882262933463</v>
      </c>
      <c r="K64" s="32"/>
      <c r="L64" s="20" t="str">
        <f t="shared" si="7"/>
        <v/>
      </c>
      <c r="N64" s="19"/>
    </row>
    <row r="65" spans="1:14" s="16" customFormat="1" ht="25" customHeight="1">
      <c r="A65" s="14"/>
      <c r="B65" s="27"/>
      <c r="C65" s="67">
        <v>42</v>
      </c>
      <c r="D65" s="53">
        <f t="shared" si="2"/>
        <v>93</v>
      </c>
      <c r="E65" s="68">
        <f t="shared" si="6"/>
        <v>5</v>
      </c>
      <c r="F65" s="54">
        <f t="shared" si="3"/>
        <v>41.32</v>
      </c>
      <c r="G65" s="55">
        <f>IF(D65=D64,"",_xlfn.IFNA(VLOOKUP(D65,'인원 입력 기능'!$A$5:$D$103,4,FALSE),0))</f>
        <v>4300</v>
      </c>
      <c r="H65" s="56">
        <f t="shared" si="4"/>
        <v>1.2751092738994028E-2</v>
      </c>
      <c r="I65" s="69">
        <f>SUM($G$7:G65)</f>
        <v>200022</v>
      </c>
      <c r="J65" s="58">
        <f t="shared" si="5"/>
        <v>0.5931393190323403</v>
      </c>
      <c r="K65" s="32"/>
      <c r="L65" s="20" t="str">
        <f t="shared" si="7"/>
        <v/>
      </c>
      <c r="N65" s="19"/>
    </row>
    <row r="66" spans="1:14" s="16" customFormat="1" ht="25" customHeight="1">
      <c r="A66" s="14"/>
      <c r="B66" s="27"/>
      <c r="C66" s="67">
        <v>41</v>
      </c>
      <c r="D66" s="53">
        <f t="shared" si="2"/>
        <v>92</v>
      </c>
      <c r="E66" s="68">
        <f t="shared" si="6"/>
        <v>5</v>
      </c>
      <c r="F66" s="54">
        <f t="shared" si="3"/>
        <v>40.06</v>
      </c>
      <c r="G66" s="55">
        <f>IF(D66=D65,"",_xlfn.IFNA(VLOOKUP(D66,'인원 입력 기능'!$A$5:$D$103,4,FALSE),0))</f>
        <v>4213</v>
      </c>
      <c r="H66" s="56">
        <f t="shared" si="4"/>
        <v>1.249310551380973E-2</v>
      </c>
      <c r="I66" s="69">
        <f>SUM($G$7:G66)</f>
        <v>204235</v>
      </c>
      <c r="J66" s="58">
        <f t="shared" si="5"/>
        <v>0.60563242454615007</v>
      </c>
      <c r="K66" s="32"/>
      <c r="L66" s="20" t="str">
        <f t="shared" si="7"/>
        <v/>
      </c>
      <c r="N66" s="19"/>
    </row>
    <row r="67" spans="1:14" s="16" customFormat="1" ht="25" customHeight="1">
      <c r="A67" s="14"/>
      <c r="B67" s="27"/>
      <c r="C67" s="67">
        <v>40</v>
      </c>
      <c r="D67" s="121">
        <f t="shared" si="2"/>
        <v>91</v>
      </c>
      <c r="E67" s="137">
        <f t="shared" si="6"/>
        <v>6</v>
      </c>
      <c r="F67" s="119">
        <f t="shared" si="3"/>
        <v>38.17</v>
      </c>
      <c r="G67" s="125">
        <f>IF(D67=D66,"",_xlfn.IFNA(VLOOKUP(D67,'인원 입력 기능'!$A$5:$D$103,4,FALSE),0))</f>
        <v>8522</v>
      </c>
      <c r="H67" s="130">
        <f t="shared" si="4"/>
        <v>2.5270886586443511E-2</v>
      </c>
      <c r="I67" s="138">
        <f>SUM($G$7:G67)</f>
        <v>212757</v>
      </c>
      <c r="J67" s="134">
        <f t="shared" si="5"/>
        <v>0.63090331113259357</v>
      </c>
      <c r="K67" s="32"/>
      <c r="L67" s="20" t="str">
        <f t="shared" si="7"/>
        <v/>
      </c>
      <c r="N67" s="19"/>
    </row>
    <row r="68" spans="1:14" s="16" customFormat="1" ht="25" customHeight="1">
      <c r="A68" s="14"/>
      <c r="B68" s="27"/>
      <c r="C68" s="67">
        <v>39</v>
      </c>
      <c r="D68" s="122"/>
      <c r="E68" s="136"/>
      <c r="F68" s="120"/>
      <c r="G68" s="118"/>
      <c r="H68" s="131"/>
      <c r="I68" s="139"/>
      <c r="J68" s="135"/>
      <c r="K68" s="32"/>
      <c r="L68" s="20" t="str">
        <f t="shared" si="7"/>
        <v>경고</v>
      </c>
      <c r="N68" s="19"/>
    </row>
    <row r="69" spans="1:14" s="16" customFormat="1" ht="25" customHeight="1">
      <c r="A69" s="14"/>
      <c r="B69" s="27"/>
      <c r="C69" s="67">
        <v>38</v>
      </c>
      <c r="D69" s="53">
        <f t="shared" si="2"/>
        <v>90</v>
      </c>
      <c r="E69" s="68">
        <f t="shared" si="6"/>
        <v>6</v>
      </c>
      <c r="F69" s="54">
        <f t="shared" si="3"/>
        <v>36.29</v>
      </c>
      <c r="G69" s="55">
        <f>IF(D69=D68,"",_xlfn.IFNA(VLOOKUP(D69,'인원 입력 기능'!$A$5:$D$103,4,FALSE),0))</f>
        <v>4209</v>
      </c>
      <c r="H69" s="56">
        <f t="shared" si="4"/>
        <v>1.248124403219206E-2</v>
      </c>
      <c r="I69" s="69">
        <f>SUM($G$7:G69)</f>
        <v>216966</v>
      </c>
      <c r="J69" s="58">
        <f t="shared" si="5"/>
        <v>0.64338455516478565</v>
      </c>
      <c r="K69" s="32"/>
      <c r="L69" s="20" t="str">
        <f t="shared" si="7"/>
        <v/>
      </c>
      <c r="N69" s="19"/>
    </row>
    <row r="70" spans="1:14" s="16" customFormat="1" ht="25" customHeight="1">
      <c r="A70" s="14"/>
      <c r="B70" s="27"/>
      <c r="C70" s="67">
        <v>37</v>
      </c>
      <c r="D70" s="53">
        <f t="shared" si="2"/>
        <v>89</v>
      </c>
      <c r="E70" s="68">
        <f t="shared" si="6"/>
        <v>6</v>
      </c>
      <c r="F70" s="54">
        <f t="shared" si="3"/>
        <v>35</v>
      </c>
      <c r="G70" s="55">
        <f>IF(D70=D69,"",_xlfn.IFNA(VLOOKUP(D70,'인원 입력 기능'!$A$5:$D$103,4,FALSE),0))</f>
        <v>4471</v>
      </c>
      <c r="H70" s="56">
        <f t="shared" si="4"/>
        <v>1.3258171078149372E-2</v>
      </c>
      <c r="I70" s="69">
        <f>SUM($G$7:G70)</f>
        <v>221437</v>
      </c>
      <c r="J70" s="58">
        <f t="shared" si="5"/>
        <v>0.65664272624293496</v>
      </c>
      <c r="K70" s="32"/>
      <c r="L70" s="20" t="str">
        <f t="shared" si="7"/>
        <v/>
      </c>
      <c r="N70" s="19"/>
    </row>
    <row r="71" spans="1:14" s="16" customFormat="1" ht="25" customHeight="1">
      <c r="A71" s="14"/>
      <c r="B71" s="27"/>
      <c r="C71" s="67">
        <v>36</v>
      </c>
      <c r="D71" s="53">
        <f t="shared" si="2"/>
        <v>88</v>
      </c>
      <c r="E71" s="68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4">
        <f t="shared" si="3"/>
        <v>33.700000000000003</v>
      </c>
      <c r="G71" s="55">
        <f>IF(D71=D70,"",_xlfn.IFNA(VLOOKUP(D71,'인원 입력 기능'!$A$5:$D$103,4,FALSE),0))</f>
        <v>4297</v>
      </c>
      <c r="H71" s="56">
        <f t="shared" si="4"/>
        <v>1.2742196627780776E-2</v>
      </c>
      <c r="I71" s="69">
        <f>SUM($G$7:G71)</f>
        <v>225734</v>
      </c>
      <c r="J71" s="58">
        <f t="shared" si="5"/>
        <v>0.66938492287071583</v>
      </c>
      <c r="K71" s="32"/>
      <c r="L71" s="20" t="str">
        <f t="shared" si="7"/>
        <v/>
      </c>
      <c r="N71" s="19"/>
    </row>
    <row r="72" spans="1:14" s="16" customFormat="1" ht="25" customHeight="1">
      <c r="A72" s="14"/>
      <c r="B72" s="27"/>
      <c r="C72" s="67">
        <v>35</v>
      </c>
      <c r="D72" s="53">
        <f t="shared" si="2"/>
        <v>87</v>
      </c>
      <c r="E72" s="68">
        <f t="shared" si="8"/>
        <v>6</v>
      </c>
      <c r="F72" s="54">
        <f t="shared" si="3"/>
        <v>32.39</v>
      </c>
      <c r="G72" s="55">
        <f>IF(D72=D71,"",_xlfn.IFNA(VLOOKUP(D72,'인원 입력 기능'!$A$5:$D$103,4,FALSE),0))</f>
        <v>4538</v>
      </c>
      <c r="H72" s="56">
        <f t="shared" si="4"/>
        <v>1.3456850895245325E-2</v>
      </c>
      <c r="I72" s="69">
        <f>SUM($G$7:G72)</f>
        <v>230272</v>
      </c>
      <c r="J72" s="58">
        <f t="shared" si="5"/>
        <v>0.68284177376596111</v>
      </c>
      <c r="K72" s="32"/>
      <c r="L72" s="20" t="str">
        <f t="shared" si="7"/>
        <v/>
      </c>
      <c r="N72" s="19"/>
    </row>
    <row r="73" spans="1:14" s="16" customFormat="1" ht="25" customHeight="1">
      <c r="A73" s="14"/>
      <c r="B73" s="27"/>
      <c r="C73" s="67">
        <v>34</v>
      </c>
      <c r="D73" s="53">
        <f t="shared" si="2"/>
        <v>86</v>
      </c>
      <c r="E73" s="68">
        <f t="shared" si="8"/>
        <v>6</v>
      </c>
      <c r="F73" s="54">
        <f t="shared" si="3"/>
        <v>31.05</v>
      </c>
      <c r="G73" s="55">
        <f>IF(D73=D72,"",_xlfn.IFNA(VLOOKUP(D73,'인원 입력 기능'!$A$5:$D$103,4,FALSE),0))</f>
        <v>4522</v>
      </c>
      <c r="H73" s="56">
        <f t="shared" si="4"/>
        <v>1.3409404968774649E-2</v>
      </c>
      <c r="I73" s="69">
        <f>SUM($G$7:G73)</f>
        <v>234794</v>
      </c>
      <c r="J73" s="58">
        <f t="shared" si="5"/>
        <v>0.69625117873473574</v>
      </c>
      <c r="K73" s="32"/>
      <c r="L73" s="20" t="str">
        <f t="shared" ref="L73:L105" si="9">IF(ABS((C73-$H$3)/$H$4*20+100-D73)&gt;0.49, "경고", "")</f>
        <v/>
      </c>
      <c r="N73" s="19"/>
    </row>
    <row r="74" spans="1:14" s="16" customFormat="1" ht="25" customHeight="1">
      <c r="A74" s="14"/>
      <c r="B74" s="27"/>
      <c r="C74" s="67">
        <v>33</v>
      </c>
      <c r="D74" s="53">
        <f t="shared" ref="D74:D105" si="10">ROUND(20*(C74-$H$3)/$H$4+100,0)</f>
        <v>85</v>
      </c>
      <c r="E74" s="68">
        <f t="shared" si="8"/>
        <v>6</v>
      </c>
      <c r="F74" s="54">
        <f t="shared" ref="F74:F105" si="11">IF(I73=0,ROUND(100*(1-(I72+I74)/2/$J$3),2),ROUND(100*(1-(I73+I74)/2/$J$3),2))</f>
        <v>29.64</v>
      </c>
      <c r="G74" s="55">
        <f>IF(D74=D73,"",_xlfn.IFNA(VLOOKUP(D74,'인원 입력 기능'!$A$5:$D$103,4,FALSE),0))</f>
        <v>4932</v>
      </c>
      <c r="H74" s="56">
        <f t="shared" ref="H74:H105" si="12">G74/$J$3</f>
        <v>1.4625206834585708E-2</v>
      </c>
      <c r="I74" s="69">
        <f>SUM($G$7:G74)</f>
        <v>239726</v>
      </c>
      <c r="J74" s="58">
        <f t="shared" ref="J74:J105" si="13">I74/$J$3</f>
        <v>0.71087638556932142</v>
      </c>
      <c r="K74" s="32"/>
      <c r="L74" s="20" t="str">
        <f t="shared" si="9"/>
        <v/>
      </c>
      <c r="N74" s="19"/>
    </row>
    <row r="75" spans="1:14" s="16" customFormat="1" ht="25" customHeight="1">
      <c r="A75" s="14"/>
      <c r="B75" s="27"/>
      <c r="C75" s="67">
        <v>32</v>
      </c>
      <c r="D75" s="53">
        <f t="shared" si="10"/>
        <v>84</v>
      </c>
      <c r="E75" s="68">
        <f t="shared" si="8"/>
        <v>6</v>
      </c>
      <c r="F75" s="54">
        <f t="shared" si="11"/>
        <v>28.23</v>
      </c>
      <c r="G75" s="55">
        <f>IF(D75=D74,"",_xlfn.IFNA(VLOOKUP(D75,'인원 입력 기능'!$A$5:$D$103,4,FALSE),0))</f>
        <v>4576</v>
      </c>
      <c r="H75" s="56">
        <f t="shared" si="12"/>
        <v>1.356953497061318E-2</v>
      </c>
      <c r="I75" s="69">
        <f>SUM($G$7:G75)</f>
        <v>244302</v>
      </c>
      <c r="J75" s="58">
        <f t="shared" si="13"/>
        <v>0.72444592053993462</v>
      </c>
      <c r="K75" s="32"/>
      <c r="L75" s="20" t="str">
        <f t="shared" si="9"/>
        <v/>
      </c>
      <c r="N75" s="19"/>
    </row>
    <row r="76" spans="1:14" s="16" customFormat="1" ht="25" customHeight="1">
      <c r="A76" s="14"/>
      <c r="B76" s="27"/>
      <c r="C76" s="67">
        <v>31</v>
      </c>
      <c r="D76" s="53">
        <f t="shared" si="10"/>
        <v>83</v>
      </c>
      <c r="E76" s="68">
        <f t="shared" si="8"/>
        <v>6</v>
      </c>
      <c r="F76" s="54">
        <f t="shared" si="11"/>
        <v>26</v>
      </c>
      <c r="G76" s="55">
        <f>IF(D76=D75,"",_xlfn.IFNA(VLOOKUP(D76,'인원 입력 기능'!$A$5:$D$103,4,FALSE),0))</f>
        <v>10497</v>
      </c>
      <c r="H76" s="56">
        <f t="shared" si="12"/>
        <v>3.1127493135167515E-2</v>
      </c>
      <c r="I76" s="69">
        <f>SUM($G$7:G76)</f>
        <v>254799</v>
      </c>
      <c r="J76" s="58">
        <f t="shared" si="13"/>
        <v>0.75557341367510211</v>
      </c>
      <c r="K76" s="32"/>
      <c r="L76" s="20" t="str">
        <f t="shared" si="9"/>
        <v/>
      </c>
      <c r="N76" s="19"/>
    </row>
    <row r="77" spans="1:14" s="16" customFormat="1" ht="25" customHeight="1">
      <c r="A77" s="14"/>
      <c r="B77" s="27"/>
      <c r="C77" s="67">
        <v>30</v>
      </c>
      <c r="D77" s="121">
        <f t="shared" si="10"/>
        <v>82</v>
      </c>
      <c r="E77" s="137">
        <f t="shared" si="8"/>
        <v>6</v>
      </c>
      <c r="F77" s="119">
        <f t="shared" si="11"/>
        <v>23.01</v>
      </c>
      <c r="G77" s="125">
        <f>IF(D77=D76,"",_xlfn.IFNA(VLOOKUP(D77,'인원 입력 기능'!$A$5:$D$103,4,FALSE),0))</f>
        <v>9674</v>
      </c>
      <c r="H77" s="130">
        <f t="shared" si="12"/>
        <v>2.8686993292332146E-2</v>
      </c>
      <c r="I77" s="138">
        <f>SUM($G$7:G77)</f>
        <v>264473</v>
      </c>
      <c r="J77" s="134">
        <f t="shared" si="13"/>
        <v>0.78426040696743426</v>
      </c>
      <c r="K77" s="32"/>
      <c r="L77" s="20" t="str">
        <f t="shared" si="9"/>
        <v/>
      </c>
      <c r="N77" s="19"/>
    </row>
    <row r="78" spans="1:14" s="16" customFormat="1" ht="25" customHeight="1">
      <c r="A78" s="14"/>
      <c r="B78" s="27"/>
      <c r="C78" s="67">
        <v>29</v>
      </c>
      <c r="D78" s="122"/>
      <c r="E78" s="136"/>
      <c r="F78" s="120"/>
      <c r="G78" s="118"/>
      <c r="H78" s="131"/>
      <c r="I78" s="139"/>
      <c r="J78" s="135"/>
      <c r="K78" s="32"/>
      <c r="L78" s="20" t="str">
        <f t="shared" si="9"/>
        <v>경고</v>
      </c>
      <c r="N78" s="19"/>
    </row>
    <row r="79" spans="1:14" s="16" customFormat="1" ht="25" customHeight="1">
      <c r="A79" s="14"/>
      <c r="B79" s="27"/>
      <c r="C79" s="67">
        <v>28</v>
      </c>
      <c r="D79" s="53">
        <f t="shared" si="10"/>
        <v>81</v>
      </c>
      <c r="E79" s="68">
        <f t="shared" si="8"/>
        <v>7</v>
      </c>
      <c r="F79" s="54">
        <f t="shared" si="11"/>
        <v>20.86</v>
      </c>
      <c r="G79" s="55">
        <f>IF(D79=D78,"",_xlfn.IFNA(VLOOKUP(D79,'인원 입력 기능'!$A$5:$D$103,4,FALSE),0))</f>
        <v>4822</v>
      </c>
      <c r="H79" s="56">
        <f t="shared" si="12"/>
        <v>1.4299016090099814E-2</v>
      </c>
      <c r="I79" s="69">
        <f>SUM($G$7:G79)</f>
        <v>269295</v>
      </c>
      <c r="J79" s="58">
        <f t="shared" si="13"/>
        <v>0.79855942305753413</v>
      </c>
      <c r="K79" s="32"/>
      <c r="L79" s="20" t="str">
        <f t="shared" si="9"/>
        <v/>
      </c>
      <c r="N79" s="19"/>
    </row>
    <row r="80" spans="1:14" s="16" customFormat="1" ht="25" customHeight="1">
      <c r="A80" s="14"/>
      <c r="B80" s="27"/>
      <c r="C80" s="67">
        <v>27</v>
      </c>
      <c r="D80" s="53">
        <f t="shared" si="10"/>
        <v>80</v>
      </c>
      <c r="E80" s="68">
        <f t="shared" si="8"/>
        <v>7</v>
      </c>
      <c r="F80" s="54">
        <f t="shared" si="11"/>
        <v>19.41</v>
      </c>
      <c r="G80" s="55">
        <f>IF(D80=D79,"",_xlfn.IFNA(VLOOKUP(D80,'인원 입력 기능'!$A$5:$D$103,4,FALSE),0))</f>
        <v>4918</v>
      </c>
      <c r="H80" s="56">
        <f t="shared" si="12"/>
        <v>1.4583691648923867E-2</v>
      </c>
      <c r="I80" s="69">
        <f>SUM($G$7:G80)</f>
        <v>274213</v>
      </c>
      <c r="J80" s="58">
        <f t="shared" si="13"/>
        <v>0.81314311470645795</v>
      </c>
      <c r="K80" s="32"/>
      <c r="L80" s="20" t="str">
        <f t="shared" si="9"/>
        <v/>
      </c>
      <c r="N80" s="19"/>
    </row>
    <row r="81" spans="1:14" s="16" customFormat="1" ht="25" customHeight="1">
      <c r="A81" s="14"/>
      <c r="B81" s="27"/>
      <c r="C81" s="67">
        <v>26</v>
      </c>
      <c r="D81" s="53">
        <f t="shared" si="10"/>
        <v>79</v>
      </c>
      <c r="E81" s="68">
        <f t="shared" si="8"/>
        <v>7</v>
      </c>
      <c r="F81" s="54">
        <f t="shared" si="11"/>
        <v>17.96</v>
      </c>
      <c r="G81" s="55">
        <f>IF(D81=D80,"",_xlfn.IFNA(VLOOKUP(D81,'인원 입력 기능'!$A$5:$D$103,4,FALSE),0))</f>
        <v>4900</v>
      </c>
      <c r="H81" s="56">
        <f t="shared" si="12"/>
        <v>1.4530314981644357E-2</v>
      </c>
      <c r="I81" s="69">
        <f>SUM($G$7:G81)</f>
        <v>279113</v>
      </c>
      <c r="J81" s="58">
        <f t="shared" si="13"/>
        <v>0.82767342968810231</v>
      </c>
      <c r="K81" s="32"/>
      <c r="L81" s="20" t="str">
        <f t="shared" si="9"/>
        <v/>
      </c>
      <c r="N81" s="19"/>
    </row>
    <row r="82" spans="1:14" s="16" customFormat="1" ht="25" customHeight="1">
      <c r="A82" s="14"/>
      <c r="B82" s="27"/>
      <c r="C82" s="67">
        <v>25</v>
      </c>
      <c r="D82" s="53">
        <f t="shared" si="10"/>
        <v>78</v>
      </c>
      <c r="E82" s="68">
        <f t="shared" si="8"/>
        <v>7</v>
      </c>
      <c r="F82" s="54">
        <f t="shared" si="11"/>
        <v>16.510000000000002</v>
      </c>
      <c r="G82" s="55">
        <f>IF(D82=D81,"",_xlfn.IFNA(VLOOKUP(D82,'인원 입력 기능'!$A$5:$D$103,4,FALSE),0))</f>
        <v>4843</v>
      </c>
      <c r="H82" s="56">
        <f t="shared" si="12"/>
        <v>1.4361288868592576E-2</v>
      </c>
      <c r="I82" s="69">
        <f>SUM($G$7:G82)</f>
        <v>283956</v>
      </c>
      <c r="J82" s="58">
        <f t="shared" si="13"/>
        <v>0.84203471855669487</v>
      </c>
      <c r="K82" s="32"/>
      <c r="L82" s="20" t="str">
        <f t="shared" si="9"/>
        <v/>
      </c>
      <c r="N82" s="19"/>
    </row>
    <row r="83" spans="1:14" s="16" customFormat="1" ht="25" customHeight="1">
      <c r="A83" s="14"/>
      <c r="B83" s="27"/>
      <c r="C83" s="67">
        <v>24</v>
      </c>
      <c r="D83" s="53">
        <f t="shared" si="10"/>
        <v>77</v>
      </c>
      <c r="E83" s="68">
        <f t="shared" si="8"/>
        <v>7</v>
      </c>
      <c r="F83" s="54">
        <f t="shared" si="11"/>
        <v>15.1</v>
      </c>
      <c r="G83" s="55">
        <f>IF(D83=D82,"",_xlfn.IFNA(VLOOKUP(D83,'인원 입력 기능'!$A$5:$D$103,4,FALSE),0))</f>
        <v>4687</v>
      </c>
      <c r="H83" s="56">
        <f t="shared" si="12"/>
        <v>1.3898691085503491E-2</v>
      </c>
      <c r="I83" s="69">
        <f>SUM($G$7:G83)</f>
        <v>288643</v>
      </c>
      <c r="J83" s="58">
        <f t="shared" si="13"/>
        <v>0.85593340964219844</v>
      </c>
      <c r="K83" s="32"/>
      <c r="L83" s="20" t="str">
        <f t="shared" si="9"/>
        <v/>
      </c>
      <c r="N83" s="19"/>
    </row>
    <row r="84" spans="1:14" s="16" customFormat="1" ht="25" customHeight="1">
      <c r="A84" s="14"/>
      <c r="B84" s="27"/>
      <c r="C84" s="67">
        <v>23</v>
      </c>
      <c r="D84" s="53">
        <f t="shared" si="10"/>
        <v>76</v>
      </c>
      <c r="E84" s="68">
        <f t="shared" si="8"/>
        <v>7</v>
      </c>
      <c r="F84" s="54">
        <f t="shared" si="11"/>
        <v>13.67</v>
      </c>
      <c r="G84" s="55">
        <f>IF(D84=D83,"",_xlfn.IFNA(VLOOKUP(D84,'인원 입력 기능'!$A$5:$D$103,4,FALSE),0))</f>
        <v>4985</v>
      </c>
      <c r="H84" s="56">
        <f t="shared" si="12"/>
        <v>1.4782371466019821E-2</v>
      </c>
      <c r="I84" s="69">
        <f>SUM($G$7:G84)</f>
        <v>293628</v>
      </c>
      <c r="J84" s="58">
        <f t="shared" si="13"/>
        <v>0.87071578110821823</v>
      </c>
      <c r="K84" s="32"/>
      <c r="L84" s="20" t="str">
        <f t="shared" si="9"/>
        <v/>
      </c>
      <c r="N84" s="19"/>
    </row>
    <row r="85" spans="1:14" s="16" customFormat="1" ht="25" customHeight="1">
      <c r="A85" s="14"/>
      <c r="B85" s="27"/>
      <c r="C85" s="67">
        <v>22</v>
      </c>
      <c r="D85" s="53">
        <f t="shared" si="10"/>
        <v>75</v>
      </c>
      <c r="E85" s="68">
        <f t="shared" si="8"/>
        <v>7</v>
      </c>
      <c r="F85" s="54">
        <f t="shared" si="11"/>
        <v>12.32</v>
      </c>
      <c r="G85" s="55">
        <f>IF(D85=D84,"",_xlfn.IFNA(VLOOKUP(D85,'인원 입력 기능'!$A$5:$D$103,4,FALSE),0))</f>
        <v>4091</v>
      </c>
      <c r="H85" s="56">
        <f t="shared" si="12"/>
        <v>1.213133032447083E-2</v>
      </c>
      <c r="I85" s="69">
        <f>SUM($G$7:G85)</f>
        <v>297719</v>
      </c>
      <c r="J85" s="58">
        <f t="shared" si="13"/>
        <v>0.88284711143268901</v>
      </c>
      <c r="K85" s="32"/>
      <c r="L85" s="20" t="str">
        <f t="shared" si="9"/>
        <v/>
      </c>
      <c r="N85" s="19"/>
    </row>
    <row r="86" spans="1:14" s="16" customFormat="1" ht="25" customHeight="1">
      <c r="A86" s="14"/>
      <c r="B86" s="27"/>
      <c r="C86" s="67">
        <v>21</v>
      </c>
      <c r="D86" s="121">
        <f t="shared" si="10"/>
        <v>74</v>
      </c>
      <c r="E86" s="137">
        <f t="shared" si="8"/>
        <v>7</v>
      </c>
      <c r="F86" s="119">
        <f t="shared" si="11"/>
        <v>9.41</v>
      </c>
      <c r="G86" s="125">
        <f>IF(D86=D85,"",_xlfn.IFNA(VLOOKUP(D86,'인원 입력 기능'!$A$5:$D$103,4,FALSE),0))</f>
        <v>15526</v>
      </c>
      <c r="H86" s="130">
        <f t="shared" si="12"/>
        <v>4.6040340898981694E-2</v>
      </c>
      <c r="I86" s="138">
        <f>SUM($G$7:G86)</f>
        <v>313245</v>
      </c>
      <c r="J86" s="134">
        <f t="shared" si="13"/>
        <v>0.9288874523316708</v>
      </c>
      <c r="K86" s="32"/>
      <c r="L86" s="20" t="str">
        <f t="shared" si="9"/>
        <v/>
      </c>
      <c r="N86" s="19"/>
    </row>
    <row r="87" spans="1:14" s="16" customFormat="1" ht="25" customHeight="1">
      <c r="A87" s="14"/>
      <c r="B87" s="27"/>
      <c r="C87" s="67">
        <v>20</v>
      </c>
      <c r="D87" s="122"/>
      <c r="E87" s="136"/>
      <c r="F87" s="120"/>
      <c r="G87" s="118"/>
      <c r="H87" s="131"/>
      <c r="I87" s="139"/>
      <c r="J87" s="135"/>
      <c r="K87" s="32"/>
      <c r="L87" s="20" t="str">
        <f t="shared" si="9"/>
        <v>경고</v>
      </c>
      <c r="N87" s="19"/>
    </row>
    <row r="88" spans="1:14" s="16" customFormat="1" ht="25" customHeight="1">
      <c r="A88" s="14"/>
      <c r="B88" s="27"/>
      <c r="C88" s="67">
        <v>19</v>
      </c>
      <c r="D88" s="53">
        <f t="shared" si="10"/>
        <v>73</v>
      </c>
      <c r="E88" s="68">
        <f t="shared" si="8"/>
        <v>8</v>
      </c>
      <c r="F88" s="54">
        <f t="shared" si="11"/>
        <v>6.62</v>
      </c>
      <c r="G88" s="55">
        <f>IF(D88=D87,"",_xlfn.IFNA(VLOOKUP(D88,'인원 입력 기능'!$A$5:$D$103,4,FALSE),0))</f>
        <v>3314</v>
      </c>
      <c r="H88" s="56">
        <f t="shared" si="12"/>
        <v>9.8272375202386533E-3</v>
      </c>
      <c r="I88" s="69">
        <f>SUM($G$7:G88)</f>
        <v>316559</v>
      </c>
      <c r="J88" s="58">
        <f t="shared" si="13"/>
        <v>0.93871468985190942</v>
      </c>
      <c r="K88" s="32"/>
      <c r="L88" s="20" t="str">
        <f t="shared" si="9"/>
        <v/>
      </c>
      <c r="N88" s="19"/>
    </row>
    <row r="89" spans="1:14" s="16" customFormat="1" ht="25" customHeight="1">
      <c r="A89" s="14"/>
      <c r="B89" s="27"/>
      <c r="C89" s="67">
        <v>18</v>
      </c>
      <c r="D89" s="53">
        <f t="shared" si="10"/>
        <v>72</v>
      </c>
      <c r="E89" s="68">
        <f t="shared" si="8"/>
        <v>8</v>
      </c>
      <c r="F89" s="54">
        <f t="shared" si="11"/>
        <v>5.32</v>
      </c>
      <c r="G89" s="55">
        <f>IF(D89=D88,"",_xlfn.IFNA(VLOOKUP(D89,'인원 입력 기능'!$A$5:$D$103,4,FALSE),0))</f>
        <v>5481</v>
      </c>
      <c r="H89" s="56">
        <f t="shared" si="12"/>
        <v>1.625319518661076E-2</v>
      </c>
      <c r="I89" s="69">
        <f>SUM($G$7:G89)</f>
        <v>322040</v>
      </c>
      <c r="J89" s="58">
        <f t="shared" si="13"/>
        <v>0.95496788503852015</v>
      </c>
      <c r="K89" s="32"/>
      <c r="L89" s="20" t="str">
        <f t="shared" si="9"/>
        <v/>
      </c>
      <c r="N89" s="19"/>
    </row>
    <row r="90" spans="1:14" s="16" customFormat="1" ht="25" customHeight="1">
      <c r="A90" s="14"/>
      <c r="B90" s="27"/>
      <c r="C90" s="67">
        <v>17</v>
      </c>
      <c r="D90" s="53">
        <f t="shared" si="10"/>
        <v>71</v>
      </c>
      <c r="E90" s="68">
        <f t="shared" si="8"/>
        <v>8</v>
      </c>
      <c r="F90" s="54">
        <f t="shared" si="11"/>
        <v>4.1500000000000004</v>
      </c>
      <c r="G90" s="55">
        <f>IF(D90=D89,"",_xlfn.IFNA(VLOOKUP(D90,'인원 입력 기능'!$A$5:$D$103,4,FALSE),0))</f>
        <v>2415</v>
      </c>
      <c r="H90" s="56">
        <f t="shared" si="12"/>
        <v>7.1613695266675758E-3</v>
      </c>
      <c r="I90" s="69">
        <f>SUM($G$7:G90)</f>
        <v>324455</v>
      </c>
      <c r="J90" s="58">
        <f t="shared" si="13"/>
        <v>0.96212925456518772</v>
      </c>
      <c r="K90" s="32"/>
      <c r="L90" s="20" t="str">
        <f t="shared" si="9"/>
        <v/>
      </c>
      <c r="N90" s="19"/>
    </row>
    <row r="91" spans="1:14" s="16" customFormat="1" ht="25" customHeight="1">
      <c r="A91" s="14"/>
      <c r="B91" s="27"/>
      <c r="C91" s="67">
        <v>16</v>
      </c>
      <c r="D91" s="53">
        <f t="shared" si="10"/>
        <v>70</v>
      </c>
      <c r="E91" s="68">
        <f t="shared" si="8"/>
        <v>9</v>
      </c>
      <c r="F91" s="54">
        <f t="shared" si="11"/>
        <v>3.48</v>
      </c>
      <c r="G91" s="55">
        <f>IF(D91=D90,"",_xlfn.IFNA(VLOOKUP(D91,'인원 입력 기능'!$A$5:$D$103,4,FALSE),0))</f>
        <v>2084</v>
      </c>
      <c r="H91" s="56">
        <f t="shared" si="12"/>
        <v>6.1798319228054772E-3</v>
      </c>
      <c r="I91" s="69">
        <f>SUM($G$7:G91)</f>
        <v>326539</v>
      </c>
      <c r="J91" s="58">
        <f t="shared" si="13"/>
        <v>0.96830908648799319</v>
      </c>
      <c r="K91" s="32"/>
      <c r="L91" s="20" t="str">
        <f t="shared" si="9"/>
        <v/>
      </c>
      <c r="N91" s="19"/>
    </row>
    <row r="92" spans="1:14" s="16" customFormat="1" ht="25" customHeight="1">
      <c r="A92" s="14"/>
      <c r="B92" s="27"/>
      <c r="C92" s="67">
        <v>15</v>
      </c>
      <c r="D92" s="53">
        <f t="shared" si="10"/>
        <v>69</v>
      </c>
      <c r="E92" s="68">
        <f t="shared" si="8"/>
        <v>9</v>
      </c>
      <c r="F92" s="54">
        <f t="shared" si="11"/>
        <v>2.93</v>
      </c>
      <c r="G92" s="55">
        <f>IF(D92=D91,"",_xlfn.IFNA(VLOOKUP(D92,'인원 입력 기능'!$A$5:$D$103,4,FALSE),0))</f>
        <v>1611</v>
      </c>
      <c r="H92" s="56">
        <f t="shared" si="12"/>
        <v>4.777211721516135E-3</v>
      </c>
      <c r="I92" s="69">
        <f>SUM($G$7:G92)</f>
        <v>328150</v>
      </c>
      <c r="J92" s="58">
        <f t="shared" si="13"/>
        <v>0.97308629820950931</v>
      </c>
      <c r="K92" s="32"/>
      <c r="L92" s="20" t="str">
        <f t="shared" si="9"/>
        <v/>
      </c>
      <c r="N92" s="19"/>
    </row>
    <row r="93" spans="1:14" s="16" customFormat="1" ht="25" customHeight="1">
      <c r="A93" s="14"/>
      <c r="B93" s="27"/>
      <c r="C93" s="67">
        <v>14</v>
      </c>
      <c r="D93" s="53">
        <f t="shared" si="10"/>
        <v>68</v>
      </c>
      <c r="E93" s="68">
        <f t="shared" si="8"/>
        <v>9</v>
      </c>
      <c r="F93" s="54">
        <f t="shared" si="11"/>
        <v>2.4300000000000002</v>
      </c>
      <c r="G93" s="55">
        <f>IF(D93=D92,"",_xlfn.IFNA(VLOOKUP(D93,'인원 입력 기능'!$A$5:$D$103,4,FALSE),0))</f>
        <v>1761</v>
      </c>
      <c r="H93" s="56">
        <f t="shared" si="12"/>
        <v>5.2220172821787168E-3</v>
      </c>
      <c r="I93" s="69">
        <f>SUM($G$7:G93)</f>
        <v>329911</v>
      </c>
      <c r="J93" s="58">
        <f t="shared" si="13"/>
        <v>0.97830831549168806</v>
      </c>
      <c r="K93" s="32"/>
      <c r="L93" s="20" t="str">
        <f t="shared" si="9"/>
        <v/>
      </c>
      <c r="N93" s="19"/>
    </row>
    <row r="94" spans="1:14" s="16" customFormat="1" ht="25" customHeight="1">
      <c r="A94" s="14"/>
      <c r="B94" s="27"/>
      <c r="C94" s="67">
        <v>13</v>
      </c>
      <c r="D94" s="53">
        <f t="shared" si="10"/>
        <v>67</v>
      </c>
      <c r="E94" s="68">
        <f t="shared" si="8"/>
        <v>9</v>
      </c>
      <c r="F94" s="54">
        <f t="shared" si="11"/>
        <v>2.02</v>
      </c>
      <c r="G94" s="55">
        <f>IF(D94=D93,"",_xlfn.IFNA(VLOOKUP(D94,'인원 입력 기능'!$A$5:$D$103,4,FALSE),0))</f>
        <v>984</v>
      </c>
      <c r="H94" s="56">
        <f t="shared" si="12"/>
        <v>2.9179244779465401E-3</v>
      </c>
      <c r="I94" s="69">
        <f>SUM($G$7:G94)</f>
        <v>330895</v>
      </c>
      <c r="J94" s="58">
        <f t="shared" si="13"/>
        <v>0.98122623996963465</v>
      </c>
      <c r="K94" s="32"/>
      <c r="L94" s="20" t="str">
        <f t="shared" si="9"/>
        <v/>
      </c>
      <c r="N94" s="19"/>
    </row>
    <row r="95" spans="1:14" s="16" customFormat="1" ht="25" customHeight="1">
      <c r="A95" s="14"/>
      <c r="B95" s="27"/>
      <c r="C95" s="67">
        <v>12</v>
      </c>
      <c r="D95" s="53">
        <f t="shared" si="10"/>
        <v>66</v>
      </c>
      <c r="E95" s="68">
        <f t="shared" si="8"/>
        <v>9</v>
      </c>
      <c r="F95" s="54">
        <f t="shared" si="11"/>
        <v>1.59</v>
      </c>
      <c r="G95" s="55">
        <f>IF(D95=D94,"",_xlfn.IFNA(VLOOKUP(D95,'인원 입력 기능'!$A$5:$D$103,4,FALSE),0))</f>
        <v>1911</v>
      </c>
      <c r="H95" s="56">
        <f t="shared" si="12"/>
        <v>5.6668228428412995E-3</v>
      </c>
      <c r="I95" s="69">
        <f>SUM($G$7:G95)</f>
        <v>332806</v>
      </c>
      <c r="J95" s="58">
        <f t="shared" si="13"/>
        <v>0.98689306281247591</v>
      </c>
      <c r="K95" s="32"/>
      <c r="L95" s="20" t="str">
        <f t="shared" si="9"/>
        <v/>
      </c>
      <c r="N95" s="19"/>
    </row>
    <row r="96" spans="1:14" s="16" customFormat="1" ht="25" customHeight="1">
      <c r="A96" s="14"/>
      <c r="B96" s="27"/>
      <c r="C96" s="67">
        <v>11</v>
      </c>
      <c r="D96" s="121">
        <f t="shared" si="10"/>
        <v>65</v>
      </c>
      <c r="E96" s="137">
        <f t="shared" si="8"/>
        <v>9</v>
      </c>
      <c r="F96" s="119">
        <f t="shared" si="11"/>
        <v>1.1399999999999999</v>
      </c>
      <c r="G96" s="125">
        <f>IF(D96=D95,"",_xlfn.IFNA(VLOOKUP(D96,'인원 입력 기능'!$A$5:$D$103,4,FALSE),0))</f>
        <v>1141</v>
      </c>
      <c r="H96" s="130">
        <f t="shared" si="12"/>
        <v>3.3834876314400432E-3</v>
      </c>
      <c r="I96" s="138">
        <f>SUM($G$7:G96)</f>
        <v>333947</v>
      </c>
      <c r="J96" s="134">
        <f t="shared" si="13"/>
        <v>0.99027655044391594</v>
      </c>
      <c r="K96" s="32"/>
      <c r="L96" s="20" t="str">
        <f t="shared" si="9"/>
        <v/>
      </c>
      <c r="N96" s="19"/>
    </row>
    <row r="97" spans="1:14" s="16" customFormat="1" ht="25" customHeight="1">
      <c r="A97" s="14"/>
      <c r="B97" s="27"/>
      <c r="C97" s="67">
        <v>10</v>
      </c>
      <c r="D97" s="122"/>
      <c r="E97" s="136"/>
      <c r="F97" s="120"/>
      <c r="G97" s="118"/>
      <c r="H97" s="131"/>
      <c r="I97" s="139"/>
      <c r="J97" s="135"/>
      <c r="K97" s="32"/>
      <c r="L97" s="20" t="str">
        <f t="shared" si="9"/>
        <v>경고</v>
      </c>
      <c r="N97" s="19"/>
    </row>
    <row r="98" spans="1:14" s="16" customFormat="1" ht="25" customHeight="1">
      <c r="A98" s="14"/>
      <c r="B98" s="27"/>
      <c r="C98" s="67">
        <v>9</v>
      </c>
      <c r="D98" s="53">
        <f t="shared" si="10"/>
        <v>64</v>
      </c>
      <c r="E98" s="68">
        <f t="shared" si="8"/>
        <v>9</v>
      </c>
      <c r="F98" s="54">
        <f t="shared" si="11"/>
        <v>0.93</v>
      </c>
      <c r="G98" s="55">
        <f>IF(D98=D97,"",_xlfn.IFNA(VLOOKUP(D98,'인원 입력 기능'!$A$5:$D$103,4,FALSE),0))</f>
        <v>272</v>
      </c>
      <c r="H98" s="56">
        <f t="shared" si="12"/>
        <v>8.0658075000148268E-4</v>
      </c>
      <c r="I98" s="69">
        <f>SUM($G$7:G98)</f>
        <v>334219</v>
      </c>
      <c r="J98" s="58">
        <f t="shared" si="13"/>
        <v>0.99108313119391744</v>
      </c>
      <c r="K98" s="32"/>
      <c r="L98" s="20" t="str">
        <f t="shared" si="9"/>
        <v/>
      </c>
      <c r="N98" s="19"/>
    </row>
    <row r="99" spans="1:14" s="16" customFormat="1" ht="25" customHeight="1">
      <c r="A99" s="14"/>
      <c r="B99" s="27"/>
      <c r="C99" s="67">
        <v>8</v>
      </c>
      <c r="D99" s="53">
        <f t="shared" si="10"/>
        <v>63</v>
      </c>
      <c r="E99" s="68">
        <f t="shared" si="8"/>
        <v>9</v>
      </c>
      <c r="F99" s="54">
        <f t="shared" si="11"/>
        <v>0.84</v>
      </c>
      <c r="G99" s="55">
        <f>IF(D99=D98,"",_xlfn.IFNA(VLOOKUP(D99,'인원 입력 기능'!$A$5:$D$103,4,FALSE),0))</f>
        <v>334</v>
      </c>
      <c r="H99" s="56">
        <f t="shared" si="12"/>
        <v>9.9043371507535004E-4</v>
      </c>
      <c r="I99" s="69">
        <f>SUM($G$7:G99)</f>
        <v>334553</v>
      </c>
      <c r="J99" s="58">
        <f t="shared" si="13"/>
        <v>0.99207356490899279</v>
      </c>
      <c r="K99" s="32"/>
      <c r="L99" s="20" t="str">
        <f t="shared" si="9"/>
        <v/>
      </c>
      <c r="N99" s="19"/>
    </row>
    <row r="100" spans="1:14" s="16" customFormat="1" ht="25" customHeight="1">
      <c r="A100" s="14"/>
      <c r="B100" s="27"/>
      <c r="C100" s="67">
        <v>7</v>
      </c>
      <c r="D100" s="53">
        <f t="shared" si="10"/>
        <v>62</v>
      </c>
      <c r="E100" s="68">
        <f t="shared" si="8"/>
        <v>9</v>
      </c>
      <c r="F100" s="54">
        <f t="shared" si="11"/>
        <v>0.78</v>
      </c>
      <c r="G100" s="55">
        <f>IF(D100=D99,"",_xlfn.IFNA(VLOOKUP(D100,'인원 입력 기능'!$A$5:$D$103,4,FALSE),0))</f>
        <v>87</v>
      </c>
      <c r="H100" s="56">
        <f t="shared" si="12"/>
        <v>2.5798722518429774E-4</v>
      </c>
      <c r="I100" s="69">
        <f>SUM($G$7:G100)</f>
        <v>334640</v>
      </c>
      <c r="J100" s="58">
        <f t="shared" si="13"/>
        <v>0.99233155213417712</v>
      </c>
      <c r="K100" s="32"/>
      <c r="L100" s="20" t="str">
        <f t="shared" si="9"/>
        <v/>
      </c>
      <c r="N100" s="19"/>
    </row>
    <row r="101" spans="1:14" s="16" customFormat="1" ht="25" customHeight="1">
      <c r="A101" s="14"/>
      <c r="B101" s="27"/>
      <c r="C101" s="59">
        <v>6</v>
      </c>
      <c r="D101" s="53">
        <f t="shared" si="10"/>
        <v>61</v>
      </c>
      <c r="E101" s="53">
        <f t="shared" si="8"/>
        <v>9</v>
      </c>
      <c r="F101" s="54">
        <f t="shared" si="11"/>
        <v>0.74</v>
      </c>
      <c r="G101" s="55">
        <f>IF(D101=D100,"",_xlfn.IFNA(VLOOKUP(D101,'인원 입력 기능'!$A$5:$D$103,4,FALSE),0))</f>
        <v>205</v>
      </c>
      <c r="H101" s="56">
        <f t="shared" si="12"/>
        <v>6.0790093290552928E-4</v>
      </c>
      <c r="I101" s="66">
        <f>SUM($G$7:G101)</f>
        <v>334845</v>
      </c>
      <c r="J101" s="58">
        <f t="shared" si="13"/>
        <v>0.99293945306708264</v>
      </c>
      <c r="K101" s="32"/>
      <c r="L101" s="20" t="str">
        <f t="shared" si="9"/>
        <v/>
      </c>
      <c r="N101" s="19"/>
    </row>
    <row r="102" spans="1:14" s="16" customFormat="1" ht="25" customHeight="1">
      <c r="A102" s="14"/>
      <c r="B102" s="27"/>
      <c r="C102" s="59">
        <v>5</v>
      </c>
      <c r="D102" s="53">
        <f t="shared" si="10"/>
        <v>60</v>
      </c>
      <c r="E102" s="53">
        <f t="shared" si="8"/>
        <v>9</v>
      </c>
      <c r="F102" s="54">
        <f t="shared" si="11"/>
        <v>0.7</v>
      </c>
      <c r="G102" s="55">
        <f>IF(D102=D101,"",_xlfn.IFNA(VLOOKUP(D102,'인원 입력 기능'!$A$5:$D$103,4,FALSE),0))</f>
        <v>38</v>
      </c>
      <c r="H102" s="56">
        <f t="shared" si="12"/>
        <v>1.126840753678542E-4</v>
      </c>
      <c r="I102" s="66">
        <f>SUM($G$7:G102)</f>
        <v>334883</v>
      </c>
      <c r="J102" s="58">
        <f t="shared" si="13"/>
        <v>0.99305213714245044</v>
      </c>
      <c r="K102" s="32"/>
      <c r="L102" s="20" t="str">
        <f t="shared" si="9"/>
        <v/>
      </c>
      <c r="N102" s="19"/>
    </row>
    <row r="103" spans="1:14" s="16" customFormat="1" ht="25" customHeight="1">
      <c r="A103" s="14"/>
      <c r="B103" s="27"/>
      <c r="C103" s="59">
        <v>4</v>
      </c>
      <c r="D103" s="53">
        <f t="shared" si="10"/>
        <v>59</v>
      </c>
      <c r="E103" s="53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4">
        <f t="shared" si="11"/>
        <v>0.66</v>
      </c>
      <c r="G103" s="55">
        <f>IF(D103=D102,"",_xlfn.IFNA(VLOOKUP(D103,'인원 입력 기능'!$A$5:$D$103,4,FALSE),0))</f>
        <v>213</v>
      </c>
      <c r="H103" s="56">
        <f t="shared" si="12"/>
        <v>6.3162389614086691E-4</v>
      </c>
      <c r="I103" s="66">
        <f>SUM($G$7:G103)</f>
        <v>335096</v>
      </c>
      <c r="J103" s="58">
        <f t="shared" si="13"/>
        <v>0.99368376103859135</v>
      </c>
      <c r="K103" s="32"/>
      <c r="L103" s="20" t="str">
        <f t="shared" si="9"/>
        <v/>
      </c>
      <c r="N103" s="19"/>
    </row>
    <row r="104" spans="1:14" s="16" customFormat="1" ht="25" customHeight="1">
      <c r="A104" s="14"/>
      <c r="B104" s="27"/>
      <c r="C104" s="59">
        <v>3</v>
      </c>
      <c r="D104" s="53">
        <f t="shared" si="10"/>
        <v>58</v>
      </c>
      <c r="E104" s="53">
        <f t="shared" si="14"/>
        <v>9</v>
      </c>
      <c r="F104" s="54">
        <f t="shared" si="11"/>
        <v>0.63</v>
      </c>
      <c r="G104" s="55">
        <f>IF(D104=D103,"",_xlfn.IFNA(VLOOKUP(D104,'인원 입력 기능'!$A$5:$D$103,4,FALSE),0))</f>
        <v>11</v>
      </c>
      <c r="H104" s="56">
        <f t="shared" si="12"/>
        <v>3.261907444858937E-5</v>
      </c>
      <c r="I104" s="66">
        <f>SUM($G$7:G104)</f>
        <v>335107</v>
      </c>
      <c r="J104" s="58">
        <f t="shared" si="13"/>
        <v>0.99371638011303987</v>
      </c>
      <c r="K104" s="32"/>
      <c r="L104" s="20" t="str">
        <f t="shared" si="9"/>
        <v/>
      </c>
      <c r="N104" s="19"/>
    </row>
    <row r="105" spans="1:14" s="16" customFormat="1" ht="25" customHeight="1">
      <c r="A105" s="14"/>
      <c r="B105" s="27"/>
      <c r="C105" s="59">
        <v>2</v>
      </c>
      <c r="D105" s="53">
        <f t="shared" si="10"/>
        <v>57</v>
      </c>
      <c r="E105" s="53">
        <f t="shared" si="14"/>
        <v>9</v>
      </c>
      <c r="F105" s="54">
        <f t="shared" si="11"/>
        <v>0.59</v>
      </c>
      <c r="G105" s="55">
        <f>IF(D105=D104,"",_xlfn.IFNA(VLOOKUP(D105,'인원 입력 기능'!$A$5:$D$103,4,FALSE),0))</f>
        <v>280</v>
      </c>
      <c r="H105" s="56">
        <f t="shared" si="12"/>
        <v>8.3030371323682042E-4</v>
      </c>
      <c r="I105" s="66">
        <f>SUM($G$7:G105)</f>
        <v>335387</v>
      </c>
      <c r="J105" s="58">
        <f t="shared" si="13"/>
        <v>0.99454668382627676</v>
      </c>
      <c r="K105" s="32"/>
      <c r="L105" s="20" t="str">
        <f t="shared" si="9"/>
        <v/>
      </c>
      <c r="N105" s="19"/>
    </row>
    <row r="106" spans="1:14" s="16" customFormat="1" ht="25" customHeight="1">
      <c r="A106" s="14"/>
      <c r="B106" s="27"/>
      <c r="C106" s="59">
        <v>1</v>
      </c>
      <c r="D106" s="60" t="s">
        <v>37</v>
      </c>
      <c r="E106" s="60"/>
      <c r="F106" s="61"/>
      <c r="G106" s="62"/>
      <c r="H106" s="63"/>
      <c r="I106" s="70"/>
      <c r="J106" s="65"/>
      <c r="K106" s="33"/>
      <c r="L106" s="20"/>
    </row>
    <row r="107" spans="1:14" s="16" customFormat="1" ht="25" customHeight="1" thickBot="1">
      <c r="A107" s="14"/>
      <c r="B107" s="27"/>
      <c r="C107" s="71">
        <v>0</v>
      </c>
      <c r="D107" s="72">
        <f>ROUND(20*(C107-$H$3)/$H$4+100,0)</f>
        <v>56</v>
      </c>
      <c r="E107" s="72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3">
        <f>IF(I105=0,ROUND(100*(1-(I104+I107)/2/$J$3),2),ROUND(100*(1-(I105+I107)/2/$J$3),2))</f>
        <v>0.27</v>
      </c>
      <c r="G107" s="74">
        <f>_xlfn.IFNA(VLOOKUP(D107,'인원 입력 기능'!$A$5:$D$103,4,FALSE),0)</f>
        <v>1839</v>
      </c>
      <c r="H107" s="75">
        <f>G107/$J$3</f>
        <v>5.4533161737232595E-3</v>
      </c>
      <c r="I107" s="76">
        <f>SUM($G$7:G107)</f>
        <v>337226</v>
      </c>
      <c r="J107" s="77">
        <f>I107/$J$3</f>
        <v>1</v>
      </c>
      <c r="K107" s="37"/>
      <c r="L107" s="20" t="str">
        <f>IF(ABS((C107-$H$3)/$H$4*20+100-D107)&gt;0.49, "경고", "")</f>
        <v/>
      </c>
    </row>
    <row r="108" spans="1:14" s="2" customFormat="1" ht="6" customHeight="1">
      <c r="B108" s="34"/>
      <c r="C108" s="35"/>
      <c r="D108" s="35"/>
      <c r="E108" s="35"/>
      <c r="F108" s="35"/>
      <c r="G108" s="35"/>
      <c r="H108" s="35"/>
      <c r="I108" s="35"/>
      <c r="J108" s="35"/>
      <c r="K108" s="36"/>
      <c r="L108" s="22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22"/>
    </row>
  </sheetData>
  <mergeCells count="73">
    <mergeCell ref="I96:I97"/>
    <mergeCell ref="J96:J97"/>
    <mergeCell ref="D96:D97"/>
    <mergeCell ref="E96:E97"/>
    <mergeCell ref="F96:F97"/>
    <mergeCell ref="G96:G97"/>
    <mergeCell ref="H96:H97"/>
    <mergeCell ref="I77:I78"/>
    <mergeCell ref="J77:J78"/>
    <mergeCell ref="D86:D87"/>
    <mergeCell ref="E86:E87"/>
    <mergeCell ref="F86:F87"/>
    <mergeCell ref="G86:G87"/>
    <mergeCell ref="H86:H87"/>
    <mergeCell ref="I86:I87"/>
    <mergeCell ref="J86:J87"/>
    <mergeCell ref="D77:D78"/>
    <mergeCell ref="E77:E78"/>
    <mergeCell ref="F77:F78"/>
    <mergeCell ref="G77:G78"/>
    <mergeCell ref="H77:H78"/>
    <mergeCell ref="I58:I59"/>
    <mergeCell ref="J58:J59"/>
    <mergeCell ref="D67:D68"/>
    <mergeCell ref="E67:E68"/>
    <mergeCell ref="F67:F68"/>
    <mergeCell ref="G67:G68"/>
    <mergeCell ref="H67:H68"/>
    <mergeCell ref="I67:I68"/>
    <mergeCell ref="J67:J68"/>
    <mergeCell ref="D58:D59"/>
    <mergeCell ref="E58:E59"/>
    <mergeCell ref="F58:F59"/>
    <mergeCell ref="G58:G59"/>
    <mergeCell ref="H58:H59"/>
    <mergeCell ref="I39:I40"/>
    <mergeCell ref="J39:J40"/>
    <mergeCell ref="D48:D49"/>
    <mergeCell ref="E48:E49"/>
    <mergeCell ref="F48:F49"/>
    <mergeCell ref="G48:G49"/>
    <mergeCell ref="H48:H49"/>
    <mergeCell ref="I48:I49"/>
    <mergeCell ref="J48:J49"/>
    <mergeCell ref="D39:D40"/>
    <mergeCell ref="E39:E40"/>
    <mergeCell ref="F39:F40"/>
    <mergeCell ref="G39:G40"/>
    <mergeCell ref="H39:H40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20:D21"/>
    <mergeCell ref="E20:E21"/>
    <mergeCell ref="F20:F21"/>
    <mergeCell ref="G20:G21"/>
    <mergeCell ref="H20:H21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J10 D12:J20 D22:J29 D31:J39 D41:J48 D50:J58 D60:J67 D69:J77 D79:J86 D88:J96 D98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10 D12:D20 D22:D29 D31:D39 D41:D48 D50:D58 D60:D67 D69:D77 D79:D86 D88:D96 D98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zoomScale="70" zoomScaleNormal="70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7" s="16" customFormat="1" ht="25" customHeight="1" thickBot="1">
      <c r="A3" s="14"/>
      <c r="B3" s="27"/>
      <c r="C3" s="42" t="s">
        <v>41</v>
      </c>
      <c r="D3" s="107" t="s">
        <v>69</v>
      </c>
      <c r="E3" s="108"/>
      <c r="F3" s="109"/>
      <c r="G3" s="42" t="s">
        <v>42</v>
      </c>
      <c r="H3" s="43" t="str">
        <f>'통계 및 응시자 수 입력 기능'!D5</f>
        <v>38.88</v>
      </c>
      <c r="I3" s="15" t="s">
        <v>43</v>
      </c>
      <c r="J3" s="44">
        <f>'통계 및 응시자 수 입력 기능'!C5</f>
        <v>335869</v>
      </c>
      <c r="K3" s="28"/>
      <c r="L3" s="14"/>
    </row>
    <row r="4" spans="1:17" s="16" customFormat="1" ht="25" customHeight="1" thickBot="1">
      <c r="A4" s="14"/>
      <c r="B4" s="27"/>
      <c r="C4" s="45" t="s">
        <v>44</v>
      </c>
      <c r="D4" s="110" t="s">
        <v>47</v>
      </c>
      <c r="E4" s="111"/>
      <c r="F4" s="112"/>
      <c r="G4" s="46" t="s">
        <v>46</v>
      </c>
      <c r="H4" s="47" t="str">
        <f>'통계 및 응시자 수 입력 기능'!E5</f>
        <v>22.29</v>
      </c>
      <c r="I4" s="113"/>
      <c r="J4" s="114"/>
      <c r="K4" s="29"/>
      <c r="L4" s="14"/>
    </row>
    <row r="5" spans="1:17" s="16" customFormat="1" ht="25" customHeight="1" thickBot="1">
      <c r="A5" s="14"/>
      <c r="B5" s="27"/>
      <c r="C5" s="17"/>
      <c r="D5" s="17"/>
      <c r="E5" s="17"/>
      <c r="F5" s="103"/>
      <c r="G5" s="17"/>
      <c r="H5" s="14"/>
      <c r="I5" s="115"/>
      <c r="J5" s="115"/>
      <c r="K5" s="30"/>
      <c r="L5" s="14"/>
    </row>
    <row r="6" spans="1:17" s="16" customFormat="1" ht="25" customHeight="1" thickBot="1">
      <c r="A6" s="14"/>
      <c r="B6" s="27"/>
      <c r="C6" s="48" t="s">
        <v>48</v>
      </c>
      <c r="D6" s="49" t="s">
        <v>49</v>
      </c>
      <c r="E6" s="49" t="s">
        <v>50</v>
      </c>
      <c r="F6" s="49" t="s">
        <v>51</v>
      </c>
      <c r="G6" s="49" t="s">
        <v>52</v>
      </c>
      <c r="H6" s="50" t="s">
        <v>53</v>
      </c>
      <c r="I6" s="50" t="s">
        <v>54</v>
      </c>
      <c r="J6" s="51" t="s">
        <v>55</v>
      </c>
      <c r="K6" s="31"/>
      <c r="L6" s="23" t="s">
        <v>38</v>
      </c>
      <c r="M6" s="17"/>
      <c r="N6" s="18"/>
    </row>
    <row r="7" spans="1:17" s="16" customFormat="1" ht="25" customHeight="1">
      <c r="A7" s="14"/>
      <c r="B7" s="27"/>
      <c r="C7" s="52">
        <v>100</v>
      </c>
      <c r="D7" s="53">
        <f>ROUND(20*(C7-$H$3)/$H$4+100,0)</f>
        <v>155</v>
      </c>
      <c r="E7" s="53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4">
        <f>ROUND(100*(1-(0+I7)/2/$J$3),2)</f>
        <v>99.75</v>
      </c>
      <c r="G7" s="55">
        <f>_xlfn.IFNA(VLOOKUP(D7,'인원 입력 기능'!$F$5:$I$103,4,FALSE),0)</f>
        <v>1691</v>
      </c>
      <c r="H7" s="56">
        <f>G7/$J$3</f>
        <v>5.0347010292703404E-3</v>
      </c>
      <c r="I7" s="57">
        <f>G7</f>
        <v>1691</v>
      </c>
      <c r="J7" s="58">
        <f>I7/$J$3</f>
        <v>5.0347010292703404E-3</v>
      </c>
      <c r="K7" s="32"/>
      <c r="L7" s="20" t="str">
        <f>IF(ABS((C7-$H$3)/$H$4*20+100-D7)&gt;0.49, "경고", "")</f>
        <v/>
      </c>
      <c r="N7" s="19"/>
      <c r="P7" s="19">
        <v>1</v>
      </c>
      <c r="Q7" s="19">
        <f>'표점등급&amp;절평인원 입력기능'!C13</f>
        <v>140</v>
      </c>
    </row>
    <row r="8" spans="1:17" s="16" customFormat="1" ht="25" customHeight="1">
      <c r="A8" s="14"/>
      <c r="B8" s="27"/>
      <c r="C8" s="59">
        <v>99</v>
      </c>
      <c r="D8" s="60" t="s">
        <v>37</v>
      </c>
      <c r="E8" s="60"/>
      <c r="F8" s="61"/>
      <c r="G8" s="62"/>
      <c r="H8" s="63"/>
      <c r="I8" s="64"/>
      <c r="J8" s="65"/>
      <c r="K8" s="33"/>
      <c r="L8" s="20"/>
      <c r="N8" s="19"/>
      <c r="P8" s="19">
        <v>2</v>
      </c>
      <c r="Q8" s="19">
        <f>'표점등급&amp;절평인원 입력기능'!C14</f>
        <v>128</v>
      </c>
    </row>
    <row r="9" spans="1:17" s="16" customFormat="1" ht="25" customHeight="1">
      <c r="A9" s="14"/>
      <c r="B9" s="27"/>
      <c r="C9" s="59">
        <v>98</v>
      </c>
      <c r="D9" s="53">
        <f t="shared" ref="D9:D40" si="1">ROUND(20*(C9-$H$3)/$H$4+100,0)</f>
        <v>153</v>
      </c>
      <c r="E9" s="53">
        <f t="shared" si="0"/>
        <v>1</v>
      </c>
      <c r="F9" s="54">
        <f>IF(I8=0,ROUND(100*(1-(I7+I9)/2/$J$3),2),ROUND(100*(1-(I8+I9)/2/$J$3),2))</f>
        <v>99.5</v>
      </c>
      <c r="G9" s="55">
        <f>_xlfn.IFNA(VLOOKUP(D9,'인원 입력 기능'!$F$5:$I$103,4,FALSE),0)</f>
        <v>4</v>
      </c>
      <c r="H9" s="56">
        <f>G9/$J$3</f>
        <v>1.1909405154986021E-5</v>
      </c>
      <c r="I9" s="66">
        <f>SUM($G$7:G9)</f>
        <v>1695</v>
      </c>
      <c r="J9" s="58">
        <f>I9/$J$3</f>
        <v>5.0466104344253264E-3</v>
      </c>
      <c r="K9" s="32"/>
      <c r="L9" s="20" t="str">
        <f t="shared" ref="L9:L40" si="2">IF(ABS((C9-$H$3)/$H$4*20+100-D9)&gt;0.49, "경고", "")</f>
        <v/>
      </c>
      <c r="N9" s="19"/>
      <c r="P9" s="19">
        <v>3</v>
      </c>
      <c r="Q9" s="19">
        <f>'표점등급&amp;절평인원 입력기능'!C15</f>
        <v>114</v>
      </c>
    </row>
    <row r="10" spans="1:17" s="16" customFormat="1" ht="25" customHeight="1">
      <c r="A10" s="14"/>
      <c r="B10" s="27"/>
      <c r="C10" s="59">
        <v>97</v>
      </c>
      <c r="D10" s="53">
        <f t="shared" si="1"/>
        <v>152</v>
      </c>
      <c r="E10" s="53">
        <f t="shared" si="0"/>
        <v>1</v>
      </c>
      <c r="F10" s="54">
        <f t="shared" ref="F10:F73" si="3">IF(I9=0,ROUND(100*(1-(I8+I10)/2/$J$3),2),ROUND(100*(1-(I9+I10)/2/$J$3),2))</f>
        <v>99.47</v>
      </c>
      <c r="G10" s="55">
        <f>IF(D10=D9,"",_xlfn.IFNA(VLOOKUP(D10,'인원 입력 기능'!$F$5:$I$103,4,FALSE),0))</f>
        <v>194</v>
      </c>
      <c r="H10" s="56">
        <f t="shared" ref="H10:H73" si="4">G10/$J$3</f>
        <v>5.7760615001682203E-4</v>
      </c>
      <c r="I10" s="66">
        <f>SUM($G$7:G10)</f>
        <v>1889</v>
      </c>
      <c r="J10" s="58">
        <f t="shared" ref="J10:J73" si="5">I10/$J$3</f>
        <v>5.6242165844421488E-3</v>
      </c>
      <c r="K10" s="32"/>
      <c r="L10" s="20" t="str">
        <f t="shared" si="2"/>
        <v/>
      </c>
      <c r="N10" s="19"/>
      <c r="P10" s="19">
        <v>4</v>
      </c>
      <c r="Q10" s="19">
        <f>'표점등급&amp;절평인원 입력기능'!C16</f>
        <v>102</v>
      </c>
    </row>
    <row r="11" spans="1:17" s="16" customFormat="1" ht="25" customHeight="1">
      <c r="A11" s="14"/>
      <c r="B11" s="27"/>
      <c r="C11" s="59">
        <v>96</v>
      </c>
      <c r="D11" s="53">
        <f t="shared" si="1"/>
        <v>151</v>
      </c>
      <c r="E11" s="53">
        <f t="shared" si="0"/>
        <v>1</v>
      </c>
      <c r="F11" s="54">
        <f t="shared" si="3"/>
        <v>99.08</v>
      </c>
      <c r="G11" s="55">
        <f>IF(D11=D10,"",_xlfn.IFNA(VLOOKUP(D11,'인원 입력 기능'!$F$5:$I$103,4,FALSE),0))</f>
        <v>2377</v>
      </c>
      <c r="H11" s="56">
        <f t="shared" si="4"/>
        <v>7.0771640133504435E-3</v>
      </c>
      <c r="I11" s="66">
        <f>SUM($G$7:G11)</f>
        <v>4266</v>
      </c>
      <c r="J11" s="58">
        <f t="shared" si="5"/>
        <v>1.2701380597792591E-2</v>
      </c>
      <c r="K11" s="32"/>
      <c r="L11" s="20" t="str">
        <f t="shared" si="2"/>
        <v/>
      </c>
      <c r="N11" s="19"/>
      <c r="P11" s="19">
        <v>5</v>
      </c>
      <c r="Q11" s="19">
        <f>'표점등급&amp;절평인원 입력기능'!C17</f>
        <v>91</v>
      </c>
    </row>
    <row r="12" spans="1:17" s="16" customFormat="1" ht="25" customHeight="1">
      <c r="A12" s="14"/>
      <c r="B12" s="27"/>
      <c r="C12" s="59">
        <v>95</v>
      </c>
      <c r="D12" s="53">
        <f t="shared" si="1"/>
        <v>150</v>
      </c>
      <c r="E12" s="53">
        <f t="shared" si="0"/>
        <v>1</v>
      </c>
      <c r="F12" s="54">
        <f t="shared" si="3"/>
        <v>98.73</v>
      </c>
      <c r="G12" s="55">
        <f>IF(D12=D11,"",_xlfn.IFNA(VLOOKUP(D12,'인원 입력 기능'!$F$5:$I$103,4,FALSE),0))</f>
        <v>0</v>
      </c>
      <c r="H12" s="56">
        <f t="shared" si="4"/>
        <v>0</v>
      </c>
      <c r="I12" s="66">
        <f>SUM($G$7:G12)</f>
        <v>4266</v>
      </c>
      <c r="J12" s="58">
        <f t="shared" si="5"/>
        <v>1.2701380597792591E-2</v>
      </c>
      <c r="K12" s="32"/>
      <c r="L12" s="20" t="str">
        <f t="shared" si="2"/>
        <v/>
      </c>
      <c r="N12" s="19"/>
      <c r="P12" s="19">
        <v>6</v>
      </c>
      <c r="Q12" s="19">
        <f>'표점등급&amp;절평인원 입력기능'!C18</f>
        <v>83</v>
      </c>
    </row>
    <row r="13" spans="1:17" s="16" customFormat="1" ht="25" customHeight="1">
      <c r="A13" s="14"/>
      <c r="B13" s="27"/>
      <c r="C13" s="59">
        <v>94</v>
      </c>
      <c r="D13" s="121">
        <f t="shared" si="1"/>
        <v>149</v>
      </c>
      <c r="E13" s="121">
        <f t="shared" si="0"/>
        <v>1</v>
      </c>
      <c r="F13" s="119">
        <f t="shared" si="3"/>
        <v>98.65</v>
      </c>
      <c r="G13" s="125">
        <f>IF(D13=D12,"",_xlfn.IFNA(VLOOKUP(D13,'인원 입력 기능'!$F$5:$I$103,4,FALSE),0))</f>
        <v>559</v>
      </c>
      <c r="H13" s="130">
        <f t="shared" si="4"/>
        <v>1.6643393704092965E-3</v>
      </c>
      <c r="I13" s="132">
        <f>SUM($G$7:G13)</f>
        <v>4825</v>
      </c>
      <c r="J13" s="134">
        <f t="shared" si="5"/>
        <v>1.4365719968201887E-2</v>
      </c>
      <c r="K13" s="32"/>
      <c r="L13" s="20" t="str">
        <f t="shared" si="2"/>
        <v/>
      </c>
      <c r="N13" s="19"/>
      <c r="P13" s="19">
        <v>7</v>
      </c>
      <c r="Q13" s="19">
        <f>'표점등급&amp;절평인원 입력기능'!C19</f>
        <v>78</v>
      </c>
    </row>
    <row r="14" spans="1:17" s="16" customFormat="1" ht="25" customHeight="1">
      <c r="A14" s="14"/>
      <c r="B14" s="27"/>
      <c r="C14" s="59">
        <v>93</v>
      </c>
      <c r="D14" s="122"/>
      <c r="E14" s="122"/>
      <c r="F14" s="120"/>
      <c r="G14" s="118"/>
      <c r="H14" s="131"/>
      <c r="I14" s="133"/>
      <c r="J14" s="135"/>
      <c r="K14" s="32"/>
      <c r="L14" s="20" t="str">
        <f t="shared" si="2"/>
        <v>경고</v>
      </c>
      <c r="N14" s="19"/>
      <c r="P14" s="19">
        <v>8</v>
      </c>
      <c r="Q14" s="19">
        <f>'표점등급&amp;절평인원 입력기능'!C20</f>
        <v>74</v>
      </c>
    </row>
    <row r="15" spans="1:17" s="16" customFormat="1" ht="25" customHeight="1">
      <c r="A15" s="14"/>
      <c r="B15" s="27"/>
      <c r="C15" s="59">
        <v>92</v>
      </c>
      <c r="D15" s="53">
        <f t="shared" si="1"/>
        <v>148</v>
      </c>
      <c r="E15" s="53">
        <f t="shared" si="0"/>
        <v>1</v>
      </c>
      <c r="F15" s="54">
        <f t="shared" si="3"/>
        <v>98.19</v>
      </c>
      <c r="G15" s="55">
        <f>IF(D15=D14,"",_xlfn.IFNA(VLOOKUP(D15,'인원 입력 기능'!$F$5:$I$103,4,FALSE),0))</f>
        <v>2539</v>
      </c>
      <c r="H15" s="56">
        <f t="shared" si="4"/>
        <v>7.559494922127377E-3</v>
      </c>
      <c r="I15" s="66">
        <f>SUM($G$7:G15)</f>
        <v>7364</v>
      </c>
      <c r="J15" s="58">
        <f t="shared" si="5"/>
        <v>2.1925214890329264E-2</v>
      </c>
      <c r="K15" s="32"/>
      <c r="L15" s="20" t="str">
        <f t="shared" si="2"/>
        <v/>
      </c>
      <c r="N15" s="19"/>
      <c r="P15" s="19">
        <v>9</v>
      </c>
    </row>
    <row r="16" spans="1:17" s="16" customFormat="1" ht="25" customHeight="1">
      <c r="A16" s="14"/>
      <c r="B16" s="27"/>
      <c r="C16" s="59">
        <v>91</v>
      </c>
      <c r="D16" s="53">
        <f t="shared" si="1"/>
        <v>147</v>
      </c>
      <c r="E16" s="53">
        <f t="shared" si="0"/>
        <v>1</v>
      </c>
      <c r="F16" s="54">
        <f t="shared" si="3"/>
        <v>97.81</v>
      </c>
      <c r="G16" s="55">
        <f>IF(D16=D15,"",_xlfn.IFNA(VLOOKUP(D16,'인원 입력 기능'!$F$5:$I$103,4,FALSE),0))</f>
        <v>6</v>
      </c>
      <c r="H16" s="56">
        <f t="shared" si="4"/>
        <v>1.7864107732479032E-5</v>
      </c>
      <c r="I16" s="66">
        <f>SUM($G$7:G16)</f>
        <v>7370</v>
      </c>
      <c r="J16" s="58">
        <f t="shared" si="5"/>
        <v>2.1943078998061746E-2</v>
      </c>
      <c r="K16" s="32"/>
      <c r="L16" s="20" t="str">
        <f t="shared" si="2"/>
        <v/>
      </c>
      <c r="N16" s="19"/>
    </row>
    <row r="17" spans="1:17" s="16" customFormat="1" ht="25" customHeight="1">
      <c r="A17" s="14"/>
      <c r="B17" s="27"/>
      <c r="C17" s="59">
        <v>90</v>
      </c>
      <c r="D17" s="53">
        <f t="shared" si="1"/>
        <v>146</v>
      </c>
      <c r="E17" s="53">
        <f t="shared" si="0"/>
        <v>1</v>
      </c>
      <c r="F17" s="54">
        <f t="shared" si="3"/>
        <v>97.8</v>
      </c>
      <c r="G17" s="55">
        <f>IF(D17=D16,"",_xlfn.IFNA(VLOOKUP(D17,'인원 입력 기능'!$F$5:$I$103,4,FALSE),0))</f>
        <v>65</v>
      </c>
      <c r="H17" s="56">
        <f t="shared" si="4"/>
        <v>1.9352783376852284E-4</v>
      </c>
      <c r="I17" s="66">
        <f>SUM($G$7:G17)</f>
        <v>7435</v>
      </c>
      <c r="J17" s="58">
        <f t="shared" si="5"/>
        <v>2.2136606831830268E-2</v>
      </c>
      <c r="K17" s="32"/>
      <c r="L17" s="20" t="str">
        <f t="shared" si="2"/>
        <v/>
      </c>
      <c r="N17" s="19"/>
      <c r="Q17" s="16">
        <f>IF(H3*H4*J3*Q7=0, 0, 1)</f>
        <v>1</v>
      </c>
    </row>
    <row r="18" spans="1:17" s="16" customFormat="1" ht="25" customHeight="1">
      <c r="A18" s="14"/>
      <c r="B18" s="27"/>
      <c r="C18" s="59">
        <v>89</v>
      </c>
      <c r="D18" s="53">
        <f t="shared" si="1"/>
        <v>145</v>
      </c>
      <c r="E18" s="53">
        <f t="shared" si="0"/>
        <v>1</v>
      </c>
      <c r="F18" s="54">
        <f t="shared" si="3"/>
        <v>97.67</v>
      </c>
      <c r="G18" s="55">
        <f>IF(D18=D17,"",_xlfn.IFNA(VLOOKUP(D18,'인원 입력 기능'!$F$5:$I$103,4,FALSE),0))</f>
        <v>793</v>
      </c>
      <c r="H18" s="56">
        <f t="shared" si="4"/>
        <v>2.3610395719759788E-3</v>
      </c>
      <c r="I18" s="66">
        <f>SUM($G$7:G18)</f>
        <v>8228</v>
      </c>
      <c r="J18" s="58">
        <f t="shared" si="5"/>
        <v>2.4497646403806247E-2</v>
      </c>
      <c r="K18" s="32"/>
      <c r="L18" s="20" t="str">
        <f t="shared" si="2"/>
        <v/>
      </c>
      <c r="N18" s="19"/>
    </row>
    <row r="19" spans="1:17" s="16" customFormat="1" ht="25" customHeight="1">
      <c r="A19" s="14"/>
      <c r="B19" s="27"/>
      <c r="C19" s="59">
        <v>88</v>
      </c>
      <c r="D19" s="53">
        <f t="shared" si="1"/>
        <v>144</v>
      </c>
      <c r="E19" s="68">
        <f t="shared" si="0"/>
        <v>1</v>
      </c>
      <c r="F19" s="54">
        <f t="shared" si="3"/>
        <v>97.12</v>
      </c>
      <c r="G19" s="55">
        <f>IF(D19=D18,"",_xlfn.IFNA(VLOOKUP(D19,'인원 입력 기능'!$F$5:$I$103,4,FALSE),0))</f>
        <v>2898</v>
      </c>
      <c r="H19" s="56">
        <f t="shared" si="4"/>
        <v>8.6283640347873721E-3</v>
      </c>
      <c r="I19" s="66">
        <f>SUM($G$7:G19)</f>
        <v>11126</v>
      </c>
      <c r="J19" s="58">
        <f t="shared" si="5"/>
        <v>3.3126010438593617E-2</v>
      </c>
      <c r="K19" s="32"/>
      <c r="L19" s="20" t="str">
        <f t="shared" si="2"/>
        <v/>
      </c>
      <c r="N19" s="19"/>
    </row>
    <row r="20" spans="1:17" s="16" customFormat="1" ht="25" customHeight="1">
      <c r="A20" s="14"/>
      <c r="B20" s="27"/>
      <c r="C20" s="59">
        <v>87</v>
      </c>
      <c r="D20" s="53">
        <f t="shared" si="1"/>
        <v>143</v>
      </c>
      <c r="E20" s="68">
        <f t="shared" si="0"/>
        <v>1</v>
      </c>
      <c r="F20" s="54">
        <f t="shared" si="3"/>
        <v>96.69</v>
      </c>
      <c r="G20" s="55">
        <f>IF(D20=D19,"",_xlfn.IFNA(VLOOKUP(D20,'인원 입력 기능'!$F$5:$I$103,4,FALSE),0))</f>
        <v>9</v>
      </c>
      <c r="H20" s="56">
        <f t="shared" si="4"/>
        <v>2.6796161598718547E-5</v>
      </c>
      <c r="I20" s="66">
        <f>SUM($G$7:G20)</f>
        <v>11135</v>
      </c>
      <c r="J20" s="58">
        <f t="shared" si="5"/>
        <v>3.315280660019234E-2</v>
      </c>
      <c r="K20" s="32"/>
      <c r="L20" s="20" t="str">
        <f t="shared" si="2"/>
        <v/>
      </c>
      <c r="N20" s="19"/>
    </row>
    <row r="21" spans="1:17" s="16" customFormat="1" ht="25" customHeight="1">
      <c r="A21" s="14"/>
      <c r="B21" s="27"/>
      <c r="C21" s="59">
        <v>86</v>
      </c>
      <c r="D21" s="53">
        <f t="shared" si="1"/>
        <v>142</v>
      </c>
      <c r="E21" s="68">
        <f t="shared" si="0"/>
        <v>1</v>
      </c>
      <c r="F21" s="54">
        <f t="shared" si="3"/>
        <v>96.66</v>
      </c>
      <c r="G21" s="55">
        <f>IF(D21=D20,"",_xlfn.IFNA(VLOOKUP(D21,'인원 입력 기능'!$F$5:$I$103,4,FALSE),0))</f>
        <v>153</v>
      </c>
      <c r="H21" s="56">
        <f t="shared" si="4"/>
        <v>4.555347471782153E-4</v>
      </c>
      <c r="I21" s="66">
        <f>SUM($G$7:G21)</f>
        <v>11288</v>
      </c>
      <c r="J21" s="58">
        <f t="shared" si="5"/>
        <v>3.3608341347370549E-2</v>
      </c>
      <c r="K21" s="32"/>
      <c r="L21" s="20" t="str">
        <f t="shared" si="2"/>
        <v/>
      </c>
      <c r="N21" s="19"/>
    </row>
    <row r="22" spans="1:17" s="16" customFormat="1" ht="25" customHeight="1">
      <c r="A22" s="14"/>
      <c r="B22" s="27"/>
      <c r="C22" s="59">
        <v>85</v>
      </c>
      <c r="D22" s="53">
        <f t="shared" si="1"/>
        <v>141</v>
      </c>
      <c r="E22" s="68">
        <f t="shared" si="0"/>
        <v>1</v>
      </c>
      <c r="F22" s="54">
        <f t="shared" si="3"/>
        <v>96.44</v>
      </c>
      <c r="G22" s="55">
        <f>IF(D22=D21,"",_xlfn.IFNA(VLOOKUP(D22,'인원 입력 기능'!$F$5:$I$103,4,FALSE),0))</f>
        <v>1308</v>
      </c>
      <c r="H22" s="56">
        <f t="shared" si="4"/>
        <v>3.8943754856804289E-3</v>
      </c>
      <c r="I22" s="66">
        <f>SUM($G$7:G22)</f>
        <v>12596</v>
      </c>
      <c r="J22" s="58">
        <f t="shared" si="5"/>
        <v>3.7502716833050981E-2</v>
      </c>
      <c r="K22" s="32"/>
      <c r="L22" s="20" t="str">
        <f t="shared" si="2"/>
        <v/>
      </c>
      <c r="N22" s="19"/>
    </row>
    <row r="23" spans="1:17" s="16" customFormat="1" ht="25" customHeight="1">
      <c r="A23" s="14"/>
      <c r="B23" s="27"/>
      <c r="C23" s="59">
        <v>84</v>
      </c>
      <c r="D23" s="121">
        <f t="shared" si="1"/>
        <v>140</v>
      </c>
      <c r="E23" s="137">
        <f t="shared" si="0"/>
        <v>1</v>
      </c>
      <c r="F23" s="119">
        <f t="shared" si="3"/>
        <v>95.76</v>
      </c>
      <c r="G23" s="125">
        <f>IF(D23=D22,"",_xlfn.IFNA(VLOOKUP(D23,'인원 입력 기능'!$F$5:$I$103,4,FALSE),0))</f>
        <v>3277</v>
      </c>
      <c r="H23" s="130">
        <f t="shared" si="4"/>
        <v>9.7567801732222972E-3</v>
      </c>
      <c r="I23" s="132">
        <f>SUM($G$7:G23)</f>
        <v>15873</v>
      </c>
      <c r="J23" s="134">
        <f t="shared" si="5"/>
        <v>4.7259497006273278E-2</v>
      </c>
      <c r="K23" s="32"/>
      <c r="L23" s="20" t="str">
        <f t="shared" si="2"/>
        <v/>
      </c>
      <c r="N23" s="19"/>
    </row>
    <row r="24" spans="1:17" s="16" customFormat="1" ht="25" customHeight="1">
      <c r="A24" s="14"/>
      <c r="B24" s="27"/>
      <c r="C24" s="67">
        <v>83</v>
      </c>
      <c r="D24" s="122"/>
      <c r="E24" s="136"/>
      <c r="F24" s="120"/>
      <c r="G24" s="118"/>
      <c r="H24" s="131"/>
      <c r="I24" s="133"/>
      <c r="J24" s="135"/>
      <c r="K24" s="32"/>
      <c r="L24" s="20" t="str">
        <f t="shared" si="2"/>
        <v>경고</v>
      </c>
      <c r="N24" s="19"/>
    </row>
    <row r="25" spans="1:17" s="16" customFormat="1" ht="25" customHeight="1">
      <c r="A25" s="14"/>
      <c r="B25" s="27"/>
      <c r="C25" s="67">
        <v>82</v>
      </c>
      <c r="D25" s="68">
        <f t="shared" si="1"/>
        <v>139</v>
      </c>
      <c r="E25" s="68">
        <f t="shared" si="0"/>
        <v>2</v>
      </c>
      <c r="F25" s="54">
        <f t="shared" si="3"/>
        <v>95.23</v>
      </c>
      <c r="G25" s="55">
        <f>IF(D25=D24,"",_xlfn.IFNA(VLOOKUP(D25,'인원 입력 기능'!$F$5:$I$103,4,FALSE),0))</f>
        <v>284</v>
      </c>
      <c r="H25" s="56">
        <f t="shared" si="4"/>
        <v>8.4556776600400749E-4</v>
      </c>
      <c r="I25" s="69">
        <f>SUM($G$7:G25)</f>
        <v>16157</v>
      </c>
      <c r="J25" s="58">
        <f t="shared" si="5"/>
        <v>4.8105064772277287E-2</v>
      </c>
      <c r="K25" s="32"/>
      <c r="L25" s="20" t="str">
        <f t="shared" si="2"/>
        <v/>
      </c>
      <c r="N25" s="19"/>
    </row>
    <row r="26" spans="1:17" s="16" customFormat="1" ht="25" customHeight="1">
      <c r="A26" s="14"/>
      <c r="B26" s="27"/>
      <c r="C26" s="67">
        <v>81</v>
      </c>
      <c r="D26" s="68">
        <f t="shared" si="1"/>
        <v>138</v>
      </c>
      <c r="E26" s="68">
        <f t="shared" si="0"/>
        <v>2</v>
      </c>
      <c r="F26" s="54">
        <f t="shared" si="3"/>
        <v>94.91</v>
      </c>
      <c r="G26" s="55">
        <f>IF(D26=D25,"",_xlfn.IFNA(VLOOKUP(D26,'인원 입력 기능'!$F$5:$I$103,4,FALSE),0))</f>
        <v>1908</v>
      </c>
      <c r="H26" s="56">
        <f t="shared" si="4"/>
        <v>5.6807862589283321E-3</v>
      </c>
      <c r="I26" s="69">
        <f>SUM($G$7:G26)</f>
        <v>18065</v>
      </c>
      <c r="J26" s="58">
        <f t="shared" si="5"/>
        <v>5.3785851031205617E-2</v>
      </c>
      <c r="K26" s="32"/>
      <c r="L26" s="20" t="str">
        <f t="shared" si="2"/>
        <v/>
      </c>
      <c r="N26" s="19"/>
    </row>
    <row r="27" spans="1:17" s="16" customFormat="1" ht="25" customHeight="1">
      <c r="A27" s="14"/>
      <c r="B27" s="27"/>
      <c r="C27" s="67">
        <v>80</v>
      </c>
      <c r="D27" s="68">
        <f t="shared" si="1"/>
        <v>137</v>
      </c>
      <c r="E27" s="68">
        <f t="shared" si="0"/>
        <v>2</v>
      </c>
      <c r="F27" s="54">
        <f t="shared" si="3"/>
        <v>94.12</v>
      </c>
      <c r="G27" s="55">
        <f>IF(D27=D26,"",_xlfn.IFNA(VLOOKUP(D27,'인원 입력 기능'!$F$5:$I$103,4,FALSE),0))</f>
        <v>3397</v>
      </c>
      <c r="H27" s="56">
        <f t="shared" si="4"/>
        <v>1.0114062327871879E-2</v>
      </c>
      <c r="I27" s="69">
        <f>SUM($G$7:G27)</f>
        <v>21462</v>
      </c>
      <c r="J27" s="58">
        <f t="shared" si="5"/>
        <v>6.3899913359077493E-2</v>
      </c>
      <c r="K27" s="32"/>
      <c r="L27" s="20" t="str">
        <f t="shared" si="2"/>
        <v/>
      </c>
      <c r="N27" s="19"/>
    </row>
    <row r="28" spans="1:17" s="16" customFormat="1" ht="25" customHeight="1">
      <c r="A28" s="14"/>
      <c r="B28" s="27"/>
      <c r="C28" s="67">
        <v>79</v>
      </c>
      <c r="D28" s="68">
        <f t="shared" si="1"/>
        <v>136</v>
      </c>
      <c r="E28" s="68">
        <f t="shared" si="0"/>
        <v>2</v>
      </c>
      <c r="F28" s="54">
        <f t="shared" si="3"/>
        <v>93.6</v>
      </c>
      <c r="G28" s="55">
        <f>IF(D28=D27,"",_xlfn.IFNA(VLOOKUP(D28,'인원 입력 기능'!$F$5:$I$103,4,FALSE),0))</f>
        <v>65</v>
      </c>
      <c r="H28" s="56">
        <f t="shared" si="4"/>
        <v>1.9352783376852284E-4</v>
      </c>
      <c r="I28" s="69">
        <f>SUM($G$7:G28)</f>
        <v>21527</v>
      </c>
      <c r="J28" s="58">
        <f t="shared" si="5"/>
        <v>6.4093441192846018E-2</v>
      </c>
      <c r="K28" s="32"/>
      <c r="L28" s="20" t="str">
        <f t="shared" si="2"/>
        <v/>
      </c>
      <c r="N28" s="19"/>
    </row>
    <row r="29" spans="1:17" s="16" customFormat="1" ht="25" customHeight="1">
      <c r="A29" s="14"/>
      <c r="B29" s="27"/>
      <c r="C29" s="67">
        <v>78</v>
      </c>
      <c r="D29" s="68">
        <f t="shared" si="1"/>
        <v>135</v>
      </c>
      <c r="E29" s="68">
        <f t="shared" si="0"/>
        <v>2</v>
      </c>
      <c r="F29" s="54">
        <f t="shared" si="3"/>
        <v>93.5</v>
      </c>
      <c r="G29" s="55">
        <f>IF(D29=D28,"",_xlfn.IFNA(VLOOKUP(D29,'인원 입력 기능'!$F$5:$I$103,4,FALSE),0))</f>
        <v>583</v>
      </c>
      <c r="H29" s="56">
        <f t="shared" si="4"/>
        <v>1.7357958013392127E-3</v>
      </c>
      <c r="I29" s="69">
        <f>SUM($G$7:G29)</f>
        <v>22110</v>
      </c>
      <c r="J29" s="58">
        <f t="shared" si="5"/>
        <v>6.5829236994185233E-2</v>
      </c>
      <c r="K29" s="32"/>
      <c r="L29" s="20" t="str">
        <f t="shared" si="2"/>
        <v/>
      </c>
      <c r="N29" s="19"/>
    </row>
    <row r="30" spans="1:17" s="16" customFormat="1" ht="25" customHeight="1">
      <c r="A30" s="14"/>
      <c r="B30" s="27"/>
      <c r="C30" s="67">
        <v>77</v>
      </c>
      <c r="D30" s="68">
        <f t="shared" si="1"/>
        <v>134</v>
      </c>
      <c r="E30" s="68">
        <f t="shared" si="0"/>
        <v>2</v>
      </c>
      <c r="F30" s="54">
        <f t="shared" si="3"/>
        <v>93.02</v>
      </c>
      <c r="G30" s="55">
        <f>IF(D30=D29,"",_xlfn.IFNA(VLOOKUP(D30,'인원 입력 기능'!$F$5:$I$103,4,FALSE),0))</f>
        <v>2643</v>
      </c>
      <c r="H30" s="56">
        <f t="shared" si="4"/>
        <v>7.8691394561570139E-3</v>
      </c>
      <c r="I30" s="69">
        <f>SUM($G$7:G30)</f>
        <v>24753</v>
      </c>
      <c r="J30" s="58">
        <f t="shared" si="5"/>
        <v>7.3698376450342246E-2</v>
      </c>
      <c r="K30" s="32"/>
      <c r="L30" s="20" t="str">
        <f t="shared" si="2"/>
        <v/>
      </c>
      <c r="N30" s="19"/>
    </row>
    <row r="31" spans="1:17" s="16" customFormat="1" ht="25" customHeight="1">
      <c r="A31" s="14"/>
      <c r="B31" s="27"/>
      <c r="C31" s="67">
        <v>76</v>
      </c>
      <c r="D31" s="68">
        <f t="shared" si="1"/>
        <v>133</v>
      </c>
      <c r="E31" s="68">
        <f t="shared" si="0"/>
        <v>2</v>
      </c>
      <c r="F31" s="54">
        <f t="shared" si="3"/>
        <v>92.11</v>
      </c>
      <c r="G31" s="55">
        <f>IF(D31=D30,"",_xlfn.IFNA(VLOOKUP(D31,'인원 입력 기능'!$F$5:$I$103,4,FALSE),0))</f>
        <v>3474</v>
      </c>
      <c r="H31" s="56">
        <f t="shared" si="4"/>
        <v>1.034331837710536E-2</v>
      </c>
      <c r="I31" s="69">
        <f>SUM($G$7:G31)</f>
        <v>28227</v>
      </c>
      <c r="J31" s="58">
        <f t="shared" si="5"/>
        <v>8.4041694827447611E-2</v>
      </c>
      <c r="K31" s="32"/>
      <c r="L31" s="20" t="str">
        <f t="shared" si="2"/>
        <v/>
      </c>
      <c r="N31" s="19"/>
    </row>
    <row r="32" spans="1:17" s="16" customFormat="1" ht="25" customHeight="1">
      <c r="A32" s="14"/>
      <c r="B32" s="27"/>
      <c r="C32" s="67">
        <v>75</v>
      </c>
      <c r="D32" s="137">
        <f t="shared" si="1"/>
        <v>132</v>
      </c>
      <c r="E32" s="137">
        <f t="shared" si="0"/>
        <v>2</v>
      </c>
      <c r="F32" s="119">
        <f t="shared" si="3"/>
        <v>91.42</v>
      </c>
      <c r="G32" s="125">
        <f>IF(D32=D31,"",_xlfn.IFNA(VLOOKUP(D32,'인원 입력 기능'!$F$5:$I$103,4,FALSE),0))</f>
        <v>1195</v>
      </c>
      <c r="H32" s="130">
        <f t="shared" si="4"/>
        <v>3.5579347900520737E-3</v>
      </c>
      <c r="I32" s="138">
        <f>SUM($G$7:G32)</f>
        <v>29422</v>
      </c>
      <c r="J32" s="134">
        <f t="shared" si="5"/>
        <v>8.7599629617499675E-2</v>
      </c>
      <c r="K32" s="32"/>
      <c r="L32" s="20" t="str">
        <f t="shared" si="2"/>
        <v/>
      </c>
      <c r="N32" s="19"/>
    </row>
    <row r="33" spans="1:14" s="16" customFormat="1" ht="25" customHeight="1">
      <c r="A33" s="14"/>
      <c r="B33" s="27"/>
      <c r="C33" s="67">
        <v>74</v>
      </c>
      <c r="D33" s="136"/>
      <c r="E33" s="136"/>
      <c r="F33" s="120"/>
      <c r="G33" s="118"/>
      <c r="H33" s="131"/>
      <c r="I33" s="139"/>
      <c r="J33" s="135"/>
      <c r="K33" s="32"/>
      <c r="L33" s="20" t="str">
        <f t="shared" si="2"/>
        <v>경고</v>
      </c>
      <c r="N33" s="19"/>
    </row>
    <row r="34" spans="1:14" s="16" customFormat="1" ht="25" customHeight="1">
      <c r="A34" s="14"/>
      <c r="B34" s="27"/>
      <c r="C34" s="67">
        <v>73</v>
      </c>
      <c r="D34" s="68">
        <f t="shared" si="1"/>
        <v>131</v>
      </c>
      <c r="E34" s="68">
        <f t="shared" si="0"/>
        <v>2</v>
      </c>
      <c r="F34" s="54">
        <f t="shared" si="3"/>
        <v>90.74</v>
      </c>
      <c r="G34" s="55">
        <f>IF(D34=D33,"",_xlfn.IFNA(VLOOKUP(D34,'인원 입력 기능'!$F$5:$I$103,4,FALSE),0))</f>
        <v>3367</v>
      </c>
      <c r="H34" s="56">
        <f t="shared" si="4"/>
        <v>1.0024741789209483E-2</v>
      </c>
      <c r="I34" s="69">
        <f>SUM($G$7:G34)</f>
        <v>32789</v>
      </c>
      <c r="J34" s="58">
        <f t="shared" si="5"/>
        <v>9.7624371406709168E-2</v>
      </c>
      <c r="K34" s="32"/>
      <c r="L34" s="20" t="str">
        <f t="shared" si="2"/>
        <v/>
      </c>
      <c r="N34" s="19"/>
    </row>
    <row r="35" spans="1:14" s="16" customFormat="1" ht="25" customHeight="1">
      <c r="A35" s="14"/>
      <c r="B35" s="27"/>
      <c r="C35" s="67">
        <v>72</v>
      </c>
      <c r="D35" s="68">
        <f t="shared" si="1"/>
        <v>130</v>
      </c>
      <c r="E35" s="68">
        <f t="shared" si="0"/>
        <v>2</v>
      </c>
      <c r="F35" s="54">
        <f t="shared" si="3"/>
        <v>89.75</v>
      </c>
      <c r="G35" s="55">
        <f>IF(D35=D34,"",_xlfn.IFNA(VLOOKUP(D35,'인원 입력 기능'!$F$5:$I$103,4,FALSE),0))</f>
        <v>3292</v>
      </c>
      <c r="H35" s="56">
        <f t="shared" si="4"/>
        <v>9.8014404425534954E-3</v>
      </c>
      <c r="I35" s="69">
        <f>SUM($G$7:G35)</f>
        <v>36081</v>
      </c>
      <c r="J35" s="58">
        <f t="shared" si="5"/>
        <v>0.10742581184926266</v>
      </c>
      <c r="K35" s="32"/>
      <c r="L35" s="20" t="str">
        <f t="shared" si="2"/>
        <v/>
      </c>
      <c r="N35" s="19"/>
    </row>
    <row r="36" spans="1:14" s="16" customFormat="1" ht="25" customHeight="1">
      <c r="A36" s="14"/>
      <c r="B36" s="27"/>
      <c r="C36" s="67">
        <v>71</v>
      </c>
      <c r="D36" s="68">
        <f t="shared" si="1"/>
        <v>129</v>
      </c>
      <c r="E36" s="68">
        <f t="shared" si="0"/>
        <v>2</v>
      </c>
      <c r="F36" s="54">
        <f t="shared" si="3"/>
        <v>89.21</v>
      </c>
      <c r="G36" s="55">
        <f>IF(D36=D35,"",_xlfn.IFNA(VLOOKUP(D36,'인원 입력 기능'!$F$5:$I$103,4,FALSE),0))</f>
        <v>343</v>
      </c>
      <c r="H36" s="56">
        <f t="shared" si="4"/>
        <v>1.0212314920400513E-3</v>
      </c>
      <c r="I36" s="69">
        <f>SUM($G$7:G36)</f>
        <v>36424</v>
      </c>
      <c r="J36" s="58">
        <f t="shared" si="5"/>
        <v>0.10844704334130272</v>
      </c>
      <c r="K36" s="32"/>
      <c r="L36" s="20" t="str">
        <f t="shared" si="2"/>
        <v/>
      </c>
      <c r="N36" s="19"/>
    </row>
    <row r="37" spans="1:14" s="16" customFormat="1" ht="25" customHeight="1">
      <c r="A37" s="14"/>
      <c r="B37" s="27"/>
      <c r="C37" s="67">
        <v>70</v>
      </c>
      <c r="D37" s="68">
        <f t="shared" si="1"/>
        <v>128</v>
      </c>
      <c r="E37" s="68">
        <f t="shared" si="0"/>
        <v>2</v>
      </c>
      <c r="F37" s="54">
        <f t="shared" si="3"/>
        <v>88.89</v>
      </c>
      <c r="G37" s="55">
        <f>IF(D37=D36,"",_xlfn.IFNA(VLOOKUP(D37,'인원 입력 기능'!$F$5:$I$103,4,FALSE),0))</f>
        <v>1757</v>
      </c>
      <c r="H37" s="56">
        <f t="shared" si="4"/>
        <v>5.2312062143276099E-3</v>
      </c>
      <c r="I37" s="69">
        <f>SUM($G$7:G37)</f>
        <v>38181</v>
      </c>
      <c r="J37" s="58">
        <f t="shared" si="5"/>
        <v>0.11367824955563031</v>
      </c>
      <c r="K37" s="32"/>
      <c r="L37" s="20" t="str">
        <f t="shared" si="2"/>
        <v/>
      </c>
      <c r="N37" s="19"/>
    </row>
    <row r="38" spans="1:14" s="16" customFormat="1" ht="25" customHeight="1">
      <c r="A38" s="14"/>
      <c r="B38" s="27"/>
      <c r="C38" s="67">
        <v>69</v>
      </c>
      <c r="D38" s="68">
        <f t="shared" si="1"/>
        <v>127</v>
      </c>
      <c r="E38" s="68">
        <f t="shared" si="0"/>
        <v>3</v>
      </c>
      <c r="F38" s="54">
        <f t="shared" si="3"/>
        <v>88.03</v>
      </c>
      <c r="G38" s="55">
        <f>IF(D38=D37,"",_xlfn.IFNA(VLOOKUP(D38,'인원 입력 기능'!$F$5:$I$103,4,FALSE),0))</f>
        <v>4022</v>
      </c>
      <c r="H38" s="56">
        <f t="shared" si="4"/>
        <v>1.1974906883338444E-2</v>
      </c>
      <c r="I38" s="69">
        <f>SUM($G$7:G38)</f>
        <v>42203</v>
      </c>
      <c r="J38" s="58">
        <f t="shared" si="5"/>
        <v>0.12565315643896877</v>
      </c>
      <c r="K38" s="32"/>
      <c r="L38" s="20" t="str">
        <f t="shared" si="2"/>
        <v/>
      </c>
      <c r="N38" s="19"/>
    </row>
    <row r="39" spans="1:14" s="16" customFormat="1" ht="25" customHeight="1">
      <c r="A39" s="14"/>
      <c r="B39" s="27"/>
      <c r="C39" s="67">
        <v>68</v>
      </c>
      <c r="D39" s="68">
        <f t="shared" si="1"/>
        <v>126</v>
      </c>
      <c r="E39" s="68">
        <f t="shared" si="0"/>
        <v>3</v>
      </c>
      <c r="F39" s="54">
        <f t="shared" si="3"/>
        <v>87.03</v>
      </c>
      <c r="G39" s="55">
        <f>IF(D39=D38,"",_xlfn.IFNA(VLOOKUP(D39,'인원 입력 기능'!$F$5:$I$103,4,FALSE),0))</f>
        <v>2706</v>
      </c>
      <c r="H39" s="56">
        <f t="shared" si="4"/>
        <v>8.0567125873480441E-3</v>
      </c>
      <c r="I39" s="69">
        <f>SUM($G$7:G39)</f>
        <v>44909</v>
      </c>
      <c r="J39" s="58">
        <f t="shared" si="5"/>
        <v>0.13370986902631682</v>
      </c>
      <c r="K39" s="32"/>
      <c r="L39" s="20" t="str">
        <f t="shared" si="2"/>
        <v/>
      </c>
      <c r="N39" s="19"/>
    </row>
    <row r="40" spans="1:14" s="16" customFormat="1" ht="25" customHeight="1">
      <c r="A40" s="14"/>
      <c r="B40" s="27"/>
      <c r="C40" s="67">
        <v>67</v>
      </c>
      <c r="D40" s="68">
        <f t="shared" si="1"/>
        <v>125</v>
      </c>
      <c r="E40" s="68">
        <f t="shared" si="0"/>
        <v>3</v>
      </c>
      <c r="F40" s="54">
        <f t="shared" si="3"/>
        <v>86.53</v>
      </c>
      <c r="G40" s="55">
        <f>IF(D40=D39,"",_xlfn.IFNA(VLOOKUP(D40,'인원 입력 기능'!$F$5:$I$103,4,FALSE),0))</f>
        <v>682</v>
      </c>
      <c r="H40" s="56">
        <f t="shared" si="4"/>
        <v>2.0305535789251167E-3</v>
      </c>
      <c r="I40" s="69">
        <f>SUM($G$7:G40)</f>
        <v>45591</v>
      </c>
      <c r="J40" s="58">
        <f t="shared" si="5"/>
        <v>0.13574042260524191</v>
      </c>
      <c r="K40" s="32"/>
      <c r="L40" s="20" t="str">
        <f t="shared" si="2"/>
        <v/>
      </c>
      <c r="N40" s="19"/>
    </row>
    <row r="41" spans="1:14" s="16" customFormat="1" ht="25" customHeight="1">
      <c r="A41" s="14"/>
      <c r="B41" s="27"/>
      <c r="C41" s="67">
        <v>66</v>
      </c>
      <c r="D41" s="68">
        <f t="shared" ref="D41:D72" si="6">ROUND(20*(C41-$H$3)/$H$4+100,0)</f>
        <v>124</v>
      </c>
      <c r="E41" s="68">
        <f t="shared" si="0"/>
        <v>3</v>
      </c>
      <c r="F41" s="54">
        <f t="shared" si="3"/>
        <v>86.05</v>
      </c>
      <c r="G41" s="55">
        <f>IF(D41=D40,"",_xlfn.IFNA(VLOOKUP(D41,'인원 입력 기능'!$F$5:$I$103,4,FALSE),0))</f>
        <v>2548</v>
      </c>
      <c r="H41" s="56">
        <f t="shared" si="4"/>
        <v>7.5862910837260957E-3</v>
      </c>
      <c r="I41" s="69">
        <f>SUM($G$7:G41)</f>
        <v>48139</v>
      </c>
      <c r="J41" s="58">
        <f t="shared" si="5"/>
        <v>0.14332671368896802</v>
      </c>
      <c r="K41" s="32"/>
      <c r="L41" s="20" t="str">
        <f t="shared" ref="L41:L72" si="7">IF(ABS((C41-$H$3)/$H$4*20+100-D41)&gt;0.49, "경고", "")</f>
        <v/>
      </c>
      <c r="N41" s="19"/>
    </row>
    <row r="42" spans="1:14" s="16" customFormat="1" ht="25" customHeight="1">
      <c r="A42" s="14"/>
      <c r="B42" s="27"/>
      <c r="C42" s="67">
        <v>65</v>
      </c>
      <c r="D42" s="137">
        <f t="shared" si="6"/>
        <v>123</v>
      </c>
      <c r="E42" s="137">
        <f t="shared" si="0"/>
        <v>3</v>
      </c>
      <c r="F42" s="119">
        <f t="shared" si="3"/>
        <v>84.69</v>
      </c>
      <c r="G42" s="125">
        <f>IF(D42=D41,"",_xlfn.IFNA(VLOOKUP(D42,'인원 입력 기능'!$F$5:$I$103,4,FALSE),0))</f>
        <v>6537</v>
      </c>
      <c r="H42" s="130">
        <f t="shared" si="4"/>
        <v>1.9462945374535905E-2</v>
      </c>
      <c r="I42" s="138">
        <f>SUM($G$7:G42)</f>
        <v>54676</v>
      </c>
      <c r="J42" s="134">
        <f t="shared" si="5"/>
        <v>0.16278965906350393</v>
      </c>
      <c r="K42" s="32"/>
      <c r="L42" s="20" t="str">
        <f t="shared" si="7"/>
        <v/>
      </c>
      <c r="N42" s="19"/>
    </row>
    <row r="43" spans="1:14" s="16" customFormat="1" ht="25" customHeight="1">
      <c r="A43" s="14"/>
      <c r="B43" s="27"/>
      <c r="C43" s="67">
        <v>64</v>
      </c>
      <c r="D43" s="136"/>
      <c r="E43" s="136"/>
      <c r="F43" s="120"/>
      <c r="G43" s="118"/>
      <c r="H43" s="131"/>
      <c r="I43" s="139"/>
      <c r="J43" s="135"/>
      <c r="K43" s="32"/>
      <c r="L43" s="20" t="str">
        <f t="shared" si="7"/>
        <v>경고</v>
      </c>
      <c r="N43" s="19"/>
    </row>
    <row r="44" spans="1:14" s="16" customFormat="1" ht="25" customHeight="1">
      <c r="A44" s="14"/>
      <c r="B44" s="27"/>
      <c r="C44" s="67">
        <v>63</v>
      </c>
      <c r="D44" s="68">
        <f t="shared" si="6"/>
        <v>122</v>
      </c>
      <c r="E44" s="68">
        <f t="shared" si="0"/>
        <v>3</v>
      </c>
      <c r="F44" s="54">
        <f t="shared" si="3"/>
        <v>83.52</v>
      </c>
      <c r="G44" s="55">
        <f>IF(D44=D43,"",_xlfn.IFNA(VLOOKUP(D44,'인원 입력 기능'!$F$5:$I$103,4,FALSE),0))</f>
        <v>1318</v>
      </c>
      <c r="H44" s="56">
        <f t="shared" si="4"/>
        <v>3.9241489985678939E-3</v>
      </c>
      <c r="I44" s="69">
        <f>SUM($G$7:G44)</f>
        <v>55994</v>
      </c>
      <c r="J44" s="58">
        <f t="shared" si="5"/>
        <v>0.16671380806207181</v>
      </c>
      <c r="K44" s="32"/>
      <c r="L44" s="20" t="str">
        <f t="shared" si="7"/>
        <v/>
      </c>
      <c r="N44" s="19"/>
    </row>
    <row r="45" spans="1:14" s="16" customFormat="1" ht="25" customHeight="1">
      <c r="A45" s="14"/>
      <c r="B45" s="27"/>
      <c r="C45" s="67">
        <v>62</v>
      </c>
      <c r="D45" s="68">
        <f t="shared" si="6"/>
        <v>121</v>
      </c>
      <c r="E45" s="68">
        <f t="shared" si="0"/>
        <v>3</v>
      </c>
      <c r="F45" s="54">
        <f t="shared" si="3"/>
        <v>82.81</v>
      </c>
      <c r="G45" s="55">
        <f>IF(D45=D44,"",_xlfn.IFNA(VLOOKUP(D45,'인원 입력 기능'!$F$5:$I$103,4,FALSE),0))</f>
        <v>3513</v>
      </c>
      <c r="H45" s="56">
        <f t="shared" si="4"/>
        <v>1.0459435077366474E-2</v>
      </c>
      <c r="I45" s="69">
        <f>SUM($G$7:G45)</f>
        <v>59507</v>
      </c>
      <c r="J45" s="58">
        <f t="shared" si="5"/>
        <v>0.1771732431394383</v>
      </c>
      <c r="K45" s="32"/>
      <c r="L45" s="20" t="str">
        <f t="shared" si="7"/>
        <v/>
      </c>
      <c r="N45" s="19"/>
    </row>
    <row r="46" spans="1:14" s="16" customFormat="1" ht="25" customHeight="1">
      <c r="A46" s="14"/>
      <c r="B46" s="27"/>
      <c r="C46" s="67">
        <v>61</v>
      </c>
      <c r="D46" s="68">
        <f t="shared" si="6"/>
        <v>120</v>
      </c>
      <c r="E46" s="68">
        <f t="shared" si="0"/>
        <v>3</v>
      </c>
      <c r="F46" s="54">
        <f t="shared" si="3"/>
        <v>81.69</v>
      </c>
      <c r="G46" s="55">
        <f>IF(D46=D45,"",_xlfn.IFNA(VLOOKUP(D46,'인원 입력 기능'!$F$5:$I$103,4,FALSE),0))</f>
        <v>4009</v>
      </c>
      <c r="H46" s="56">
        <f t="shared" si="4"/>
        <v>1.193620131658474E-2</v>
      </c>
      <c r="I46" s="69">
        <f>SUM($G$7:G46)</f>
        <v>63516</v>
      </c>
      <c r="J46" s="58">
        <f t="shared" si="5"/>
        <v>0.18910944445602304</v>
      </c>
      <c r="K46" s="32"/>
      <c r="L46" s="20" t="str">
        <f t="shared" si="7"/>
        <v/>
      </c>
      <c r="N46" s="19"/>
    </row>
    <row r="47" spans="1:14" s="16" customFormat="1" ht="25" customHeight="1">
      <c r="A47" s="14"/>
      <c r="B47" s="27"/>
      <c r="C47" s="67">
        <v>60</v>
      </c>
      <c r="D47" s="68">
        <f t="shared" si="6"/>
        <v>119</v>
      </c>
      <c r="E47" s="68">
        <f t="shared" si="0"/>
        <v>3</v>
      </c>
      <c r="F47" s="54">
        <f t="shared" si="3"/>
        <v>80.81</v>
      </c>
      <c r="G47" s="55">
        <f>IF(D47=D46,"",_xlfn.IFNA(VLOOKUP(D47,'인원 입력 기능'!$F$5:$I$103,4,FALSE),0))</f>
        <v>1852</v>
      </c>
      <c r="H47" s="56">
        <f t="shared" si="4"/>
        <v>5.5140545867585281E-3</v>
      </c>
      <c r="I47" s="69">
        <f>SUM($G$7:G47)</f>
        <v>65368</v>
      </c>
      <c r="J47" s="58">
        <f t="shared" si="5"/>
        <v>0.19462349904278156</v>
      </c>
      <c r="K47" s="32"/>
      <c r="L47" s="20" t="str">
        <f t="shared" si="7"/>
        <v/>
      </c>
      <c r="N47" s="19"/>
    </row>
    <row r="48" spans="1:14" s="16" customFormat="1" ht="25" customHeight="1">
      <c r="A48" s="14"/>
      <c r="B48" s="27"/>
      <c r="C48" s="67">
        <v>59</v>
      </c>
      <c r="D48" s="68">
        <f t="shared" si="6"/>
        <v>118</v>
      </c>
      <c r="E48" s="68">
        <f t="shared" si="0"/>
        <v>3</v>
      </c>
      <c r="F48" s="54">
        <f t="shared" si="3"/>
        <v>80.2</v>
      </c>
      <c r="G48" s="55">
        <f>IF(D48=D47,"",_xlfn.IFNA(VLOOKUP(D48,'인원 입력 기능'!$F$5:$I$103,4,FALSE),0))</f>
        <v>2263</v>
      </c>
      <c r="H48" s="56">
        <f t="shared" si="4"/>
        <v>6.7377459664333412E-3</v>
      </c>
      <c r="I48" s="69">
        <f>SUM($G$7:G48)</f>
        <v>67631</v>
      </c>
      <c r="J48" s="58">
        <f t="shared" si="5"/>
        <v>0.2013612450092149</v>
      </c>
      <c r="K48" s="32"/>
      <c r="L48" s="20" t="str">
        <f t="shared" si="7"/>
        <v/>
      </c>
      <c r="N48" s="19"/>
    </row>
    <row r="49" spans="1:14" s="16" customFormat="1" ht="25" customHeight="1">
      <c r="A49" s="14"/>
      <c r="B49" s="27"/>
      <c r="C49" s="67">
        <v>58</v>
      </c>
      <c r="D49" s="68">
        <f t="shared" si="6"/>
        <v>117</v>
      </c>
      <c r="E49" s="68">
        <f t="shared" si="0"/>
        <v>3</v>
      </c>
      <c r="F49" s="54">
        <f t="shared" si="3"/>
        <v>79.260000000000005</v>
      </c>
      <c r="G49" s="55">
        <f>IF(D49=D48,"",_xlfn.IFNA(VLOOKUP(D49,'인원 입력 기능'!$F$5:$I$103,4,FALSE),0))</f>
        <v>4086</v>
      </c>
      <c r="H49" s="56">
        <f t="shared" si="4"/>
        <v>1.2165457365818221E-2</v>
      </c>
      <c r="I49" s="69">
        <f>SUM($G$7:G49)</f>
        <v>71717</v>
      </c>
      <c r="J49" s="58">
        <f t="shared" si="5"/>
        <v>0.21352670237503313</v>
      </c>
      <c r="K49" s="32"/>
      <c r="L49" s="20" t="str">
        <f t="shared" si="7"/>
        <v/>
      </c>
      <c r="N49" s="19"/>
    </row>
    <row r="50" spans="1:14" s="16" customFormat="1" ht="25" customHeight="1">
      <c r="A50" s="14"/>
      <c r="B50" s="27"/>
      <c r="C50" s="67">
        <v>57</v>
      </c>
      <c r="D50" s="68">
        <f t="shared" si="6"/>
        <v>116</v>
      </c>
      <c r="E50" s="68">
        <f t="shared" si="0"/>
        <v>3</v>
      </c>
      <c r="F50" s="54">
        <f t="shared" si="3"/>
        <v>78.12</v>
      </c>
      <c r="G50" s="55">
        <f>IF(D50=D49,"",_xlfn.IFNA(VLOOKUP(D50,'인원 입력 기능'!$F$5:$I$103,4,FALSE),0))</f>
        <v>3532</v>
      </c>
      <c r="H50" s="56">
        <f t="shared" si="4"/>
        <v>1.0516004751852657E-2</v>
      </c>
      <c r="I50" s="69">
        <f>SUM($G$7:G50)</f>
        <v>75249</v>
      </c>
      <c r="J50" s="58">
        <f t="shared" si="5"/>
        <v>0.22404270712688579</v>
      </c>
      <c r="K50" s="32"/>
      <c r="L50" s="20" t="str">
        <f t="shared" si="7"/>
        <v/>
      </c>
      <c r="N50" s="19"/>
    </row>
    <row r="51" spans="1:14" s="16" customFormat="1" ht="25" customHeight="1">
      <c r="A51" s="14"/>
      <c r="B51" s="27"/>
      <c r="C51" s="67">
        <v>56</v>
      </c>
      <c r="D51" s="68">
        <f t="shared" si="6"/>
        <v>115</v>
      </c>
      <c r="E51" s="68">
        <f t="shared" si="0"/>
        <v>3</v>
      </c>
      <c r="F51" s="54">
        <f t="shared" si="3"/>
        <v>77.31</v>
      </c>
      <c r="G51" s="55">
        <f>IF(D51=D50,"",_xlfn.IFNA(VLOOKUP(D51,'인원 입력 기능'!$F$5:$I$103,4,FALSE),0))</f>
        <v>1914</v>
      </c>
      <c r="H51" s="56">
        <f t="shared" si="4"/>
        <v>5.6986503666608115E-3</v>
      </c>
      <c r="I51" s="69">
        <f>SUM($G$7:G51)</f>
        <v>77163</v>
      </c>
      <c r="J51" s="58">
        <f t="shared" si="5"/>
        <v>0.2297413574935466</v>
      </c>
      <c r="K51" s="32"/>
      <c r="L51" s="20" t="str">
        <f t="shared" si="7"/>
        <v/>
      </c>
      <c r="N51" s="19"/>
    </row>
    <row r="52" spans="1:14" s="16" customFormat="1" ht="25" customHeight="1">
      <c r="A52" s="14"/>
      <c r="B52" s="27"/>
      <c r="C52" s="67">
        <v>55</v>
      </c>
      <c r="D52" s="137">
        <f t="shared" si="6"/>
        <v>114</v>
      </c>
      <c r="E52" s="137">
        <f t="shared" si="0"/>
        <v>3</v>
      </c>
      <c r="F52" s="119">
        <f t="shared" si="3"/>
        <v>75.849999999999994</v>
      </c>
      <c r="G52" s="125">
        <f>IF(D52=D51,"",_xlfn.IFNA(VLOOKUP(D52,'인원 입력 기능'!$F$5:$I$103,4,FALSE),0))</f>
        <v>7915</v>
      </c>
      <c r="H52" s="130">
        <f t="shared" si="4"/>
        <v>2.3565735450428591E-2</v>
      </c>
      <c r="I52" s="138">
        <f>SUM($G$7:G52)</f>
        <v>85078</v>
      </c>
      <c r="J52" s="134">
        <f t="shared" si="5"/>
        <v>0.25330709294397519</v>
      </c>
      <c r="K52" s="32"/>
      <c r="L52" s="20" t="str">
        <f t="shared" si="7"/>
        <v/>
      </c>
      <c r="N52" s="19"/>
    </row>
    <row r="53" spans="1:14" s="16" customFormat="1" ht="25" customHeight="1">
      <c r="A53" s="14"/>
      <c r="B53" s="27"/>
      <c r="C53" s="67">
        <v>54</v>
      </c>
      <c r="D53" s="136"/>
      <c r="E53" s="136"/>
      <c r="F53" s="120"/>
      <c r="G53" s="118"/>
      <c r="H53" s="131"/>
      <c r="I53" s="139"/>
      <c r="J53" s="135"/>
      <c r="K53" s="32"/>
      <c r="L53" s="20" t="str">
        <f t="shared" si="7"/>
        <v>경고</v>
      </c>
      <c r="N53" s="19"/>
    </row>
    <row r="54" spans="1:14" s="16" customFormat="1" ht="25" customHeight="1">
      <c r="A54" s="14"/>
      <c r="B54" s="27"/>
      <c r="C54" s="67">
        <v>53</v>
      </c>
      <c r="D54" s="68">
        <f t="shared" si="6"/>
        <v>113</v>
      </c>
      <c r="E54" s="68">
        <f t="shared" si="0"/>
        <v>4</v>
      </c>
      <c r="F54" s="54">
        <f t="shared" si="3"/>
        <v>74.25</v>
      </c>
      <c r="G54" s="55">
        <f>IF(D54=D53,"",_xlfn.IFNA(VLOOKUP(D54,'인원 입력 기능'!$F$5:$I$103,4,FALSE),0))</f>
        <v>2843</v>
      </c>
      <c r="H54" s="56">
        <f t="shared" si="4"/>
        <v>8.4646097139063139E-3</v>
      </c>
      <c r="I54" s="69">
        <f>SUM($G$7:G54)</f>
        <v>87921</v>
      </c>
      <c r="J54" s="58">
        <f t="shared" si="5"/>
        <v>0.26177170265788152</v>
      </c>
      <c r="K54" s="32"/>
      <c r="L54" s="20" t="str">
        <f t="shared" si="7"/>
        <v/>
      </c>
      <c r="N54" s="19"/>
    </row>
    <row r="55" spans="1:14" s="16" customFormat="1" ht="25" customHeight="1">
      <c r="A55" s="14"/>
      <c r="B55" s="27"/>
      <c r="C55" s="67">
        <v>52</v>
      </c>
      <c r="D55" s="68">
        <f t="shared" si="6"/>
        <v>112</v>
      </c>
      <c r="E55" s="68">
        <f t="shared" si="0"/>
        <v>4</v>
      </c>
      <c r="F55" s="54">
        <f t="shared" si="3"/>
        <v>73.41</v>
      </c>
      <c r="G55" s="55">
        <f>IF(D55=D54,"",_xlfn.IFNA(VLOOKUP(D55,'인원 입력 기능'!$F$5:$I$103,4,FALSE),0))</f>
        <v>2781</v>
      </c>
      <c r="H55" s="56">
        <f t="shared" si="4"/>
        <v>8.2800139340040314E-3</v>
      </c>
      <c r="I55" s="69">
        <f>SUM($G$7:G55)</f>
        <v>90702</v>
      </c>
      <c r="J55" s="58">
        <f t="shared" si="5"/>
        <v>0.27005171659188554</v>
      </c>
      <c r="K55" s="32"/>
      <c r="L55" s="20" t="str">
        <f t="shared" si="7"/>
        <v/>
      </c>
      <c r="N55" s="19"/>
    </row>
    <row r="56" spans="1:14" s="16" customFormat="1" ht="25" customHeight="1">
      <c r="A56" s="14"/>
      <c r="B56" s="27"/>
      <c r="C56" s="67">
        <v>51</v>
      </c>
      <c r="D56" s="68">
        <f t="shared" si="6"/>
        <v>111</v>
      </c>
      <c r="E56" s="68">
        <f t="shared" si="0"/>
        <v>4</v>
      </c>
      <c r="F56" s="54">
        <f t="shared" si="3"/>
        <v>72.319999999999993</v>
      </c>
      <c r="G56" s="55">
        <f>IF(D56=D55,"",_xlfn.IFNA(VLOOKUP(D56,'인원 입력 기능'!$F$5:$I$103,4,FALSE),0))</f>
        <v>4551</v>
      </c>
      <c r="H56" s="56">
        <f t="shared" si="4"/>
        <v>1.3549925715085346E-2</v>
      </c>
      <c r="I56" s="69">
        <f>SUM($G$7:G56)</f>
        <v>95253</v>
      </c>
      <c r="J56" s="58">
        <f t="shared" si="5"/>
        <v>0.28360164230697088</v>
      </c>
      <c r="K56" s="32"/>
      <c r="L56" s="20" t="str">
        <f t="shared" si="7"/>
        <v/>
      </c>
      <c r="N56" s="19"/>
    </row>
    <row r="57" spans="1:14" s="16" customFormat="1" ht="25" customHeight="1">
      <c r="A57" s="14"/>
      <c r="B57" s="27"/>
      <c r="C57" s="67">
        <v>50</v>
      </c>
      <c r="D57" s="68">
        <f t="shared" si="6"/>
        <v>110</v>
      </c>
      <c r="E57" s="68">
        <f t="shared" si="0"/>
        <v>4</v>
      </c>
      <c r="F57" s="54">
        <f t="shared" si="3"/>
        <v>71.02</v>
      </c>
      <c r="G57" s="55">
        <f>IF(D57=D56,"",_xlfn.IFNA(VLOOKUP(D57,'인원 입력 기능'!$F$5:$I$103,4,FALSE),0))</f>
        <v>4131</v>
      </c>
      <c r="H57" s="56">
        <f t="shared" si="4"/>
        <v>1.2299438173811813E-2</v>
      </c>
      <c r="I57" s="69">
        <f>SUM($G$7:G57)</f>
        <v>99384</v>
      </c>
      <c r="J57" s="58">
        <f t="shared" si="5"/>
        <v>0.29590108048078267</v>
      </c>
      <c r="K57" s="32"/>
      <c r="L57" s="20" t="str">
        <f t="shared" si="7"/>
        <v/>
      </c>
      <c r="N57" s="19"/>
    </row>
    <row r="58" spans="1:14" s="16" customFormat="1" ht="25" customHeight="1">
      <c r="A58" s="14"/>
      <c r="B58" s="27"/>
      <c r="C58" s="67">
        <v>49</v>
      </c>
      <c r="D58" s="68">
        <f t="shared" si="6"/>
        <v>109</v>
      </c>
      <c r="E58" s="68">
        <f t="shared" si="0"/>
        <v>4</v>
      </c>
      <c r="F58" s="54">
        <f t="shared" si="3"/>
        <v>69.989999999999995</v>
      </c>
      <c r="G58" s="55">
        <f>IF(D58=D57,"",_xlfn.IFNA(VLOOKUP(D58,'인원 입력 기능'!$F$5:$I$103,4,FALSE),0))</f>
        <v>2850</v>
      </c>
      <c r="H58" s="56">
        <f t="shared" si="4"/>
        <v>8.4854511729275401E-3</v>
      </c>
      <c r="I58" s="69">
        <f>SUM($G$7:G58)</f>
        <v>102234</v>
      </c>
      <c r="J58" s="58">
        <f t="shared" si="5"/>
        <v>0.30438653165371021</v>
      </c>
      <c r="K58" s="32"/>
      <c r="L58" s="20" t="str">
        <f t="shared" si="7"/>
        <v/>
      </c>
      <c r="N58" s="19"/>
    </row>
    <row r="59" spans="1:14" s="16" customFormat="1" ht="25" customHeight="1">
      <c r="A59" s="14"/>
      <c r="B59" s="27"/>
      <c r="C59" s="67">
        <v>48</v>
      </c>
      <c r="D59" s="68">
        <f t="shared" si="6"/>
        <v>108</v>
      </c>
      <c r="E59" s="68">
        <f t="shared" si="0"/>
        <v>4</v>
      </c>
      <c r="F59" s="54">
        <f t="shared" si="3"/>
        <v>68.930000000000007</v>
      </c>
      <c r="G59" s="55">
        <f>IF(D59=D58,"",_xlfn.IFNA(VLOOKUP(D59,'인원 입력 기능'!$F$5:$I$103,4,FALSE),0))</f>
        <v>4224</v>
      </c>
      <c r="H59" s="56">
        <f t="shared" si="4"/>
        <v>1.2576331843665238E-2</v>
      </c>
      <c r="I59" s="69">
        <f>SUM($G$7:G59)</f>
        <v>106458</v>
      </c>
      <c r="J59" s="58">
        <f t="shared" si="5"/>
        <v>0.31696286349737546</v>
      </c>
      <c r="K59" s="32"/>
      <c r="L59" s="20" t="str">
        <f t="shared" si="7"/>
        <v/>
      </c>
      <c r="N59" s="19"/>
    </row>
    <row r="60" spans="1:14" s="16" customFormat="1" ht="25" customHeight="1">
      <c r="A60" s="14"/>
      <c r="B60" s="27"/>
      <c r="C60" s="67">
        <v>47</v>
      </c>
      <c r="D60" s="68">
        <f t="shared" si="6"/>
        <v>107</v>
      </c>
      <c r="E60" s="68">
        <f t="shared" si="0"/>
        <v>4</v>
      </c>
      <c r="F60" s="54">
        <f t="shared" si="3"/>
        <v>67.56</v>
      </c>
      <c r="G60" s="55">
        <f>IF(D60=D59,"",_xlfn.IFNA(VLOOKUP(D60,'인원 입력 기능'!$F$5:$I$103,4,FALSE),0))</f>
        <v>4968</v>
      </c>
      <c r="H60" s="56">
        <f t="shared" si="4"/>
        <v>1.4791481202492638E-2</v>
      </c>
      <c r="I60" s="69">
        <f>SUM($G$7:G60)</f>
        <v>111426</v>
      </c>
      <c r="J60" s="58">
        <f t="shared" si="5"/>
        <v>0.33175434469986809</v>
      </c>
      <c r="K60" s="32"/>
      <c r="L60" s="20" t="str">
        <f t="shared" si="7"/>
        <v/>
      </c>
      <c r="N60" s="19"/>
    </row>
    <row r="61" spans="1:14" s="16" customFormat="1" ht="25" customHeight="1">
      <c r="A61" s="14"/>
      <c r="B61" s="27"/>
      <c r="C61" s="67">
        <v>46</v>
      </c>
      <c r="D61" s="68">
        <f t="shared" si="6"/>
        <v>106</v>
      </c>
      <c r="E61" s="68">
        <f t="shared" si="0"/>
        <v>4</v>
      </c>
      <c r="F61" s="54">
        <f t="shared" si="3"/>
        <v>66.33</v>
      </c>
      <c r="G61" s="55">
        <f>IF(D61=D60,"",_xlfn.IFNA(VLOOKUP(D61,'인원 입력 기능'!$F$5:$I$103,4,FALSE),0))</f>
        <v>3350</v>
      </c>
      <c r="H61" s="56">
        <f t="shared" si="4"/>
        <v>9.9741268173007928E-3</v>
      </c>
      <c r="I61" s="69">
        <f>SUM($G$7:G61)</f>
        <v>114776</v>
      </c>
      <c r="J61" s="58">
        <f t="shared" si="5"/>
        <v>0.3417284715171689</v>
      </c>
      <c r="K61" s="32"/>
      <c r="L61" s="20" t="str">
        <f t="shared" si="7"/>
        <v/>
      </c>
      <c r="N61" s="19"/>
    </row>
    <row r="62" spans="1:14" s="16" customFormat="1" ht="25" customHeight="1">
      <c r="A62" s="14"/>
      <c r="B62" s="27"/>
      <c r="C62" s="67">
        <v>45</v>
      </c>
      <c r="D62" s="137">
        <f t="shared" si="6"/>
        <v>105</v>
      </c>
      <c r="E62" s="137">
        <f t="shared" si="0"/>
        <v>4</v>
      </c>
      <c r="F62" s="119">
        <f t="shared" si="3"/>
        <v>64.42</v>
      </c>
      <c r="G62" s="125">
        <f>IF(D62=D61,"",_xlfn.IFNA(VLOOKUP(D62,'인원 입력 기능'!$F$5:$I$103,4,FALSE),0))</f>
        <v>9456</v>
      </c>
      <c r="H62" s="130">
        <f t="shared" si="4"/>
        <v>2.8153833786386955E-2</v>
      </c>
      <c r="I62" s="138">
        <f>SUM($G$7:G62)</f>
        <v>124232</v>
      </c>
      <c r="J62" s="134">
        <f t="shared" si="5"/>
        <v>0.36988230530355587</v>
      </c>
      <c r="K62" s="32"/>
      <c r="L62" s="20" t="str">
        <f t="shared" si="7"/>
        <v>경고</v>
      </c>
      <c r="N62" s="19"/>
    </row>
    <row r="63" spans="1:14" s="16" customFormat="1" ht="25" customHeight="1">
      <c r="A63" s="14"/>
      <c r="B63" s="27"/>
      <c r="C63" s="67">
        <v>44</v>
      </c>
      <c r="D63" s="136"/>
      <c r="E63" s="136"/>
      <c r="F63" s="120"/>
      <c r="G63" s="118"/>
      <c r="H63" s="131"/>
      <c r="I63" s="139"/>
      <c r="J63" s="135"/>
      <c r="K63" s="32"/>
      <c r="L63" s="20" t="str">
        <f t="shared" si="7"/>
        <v>경고</v>
      </c>
      <c r="N63" s="19"/>
    </row>
    <row r="64" spans="1:14" s="16" customFormat="1" ht="25" customHeight="1">
      <c r="A64" s="14"/>
      <c r="B64" s="27"/>
      <c r="C64" s="67">
        <v>43</v>
      </c>
      <c r="D64" s="68">
        <f t="shared" si="6"/>
        <v>104</v>
      </c>
      <c r="E64" s="68">
        <f t="shared" si="0"/>
        <v>4</v>
      </c>
      <c r="F64" s="54">
        <f t="shared" si="3"/>
        <v>62.39</v>
      </c>
      <c r="G64" s="55">
        <f>IF(D64=D63,"",_xlfn.IFNA(VLOOKUP(D64,'인원 입력 기능'!$F$5:$I$103,4,FALSE),0))</f>
        <v>4180</v>
      </c>
      <c r="H64" s="56">
        <f t="shared" si="4"/>
        <v>1.2445328386960393E-2</v>
      </c>
      <c r="I64" s="69">
        <f>SUM($G$7:G64)</f>
        <v>128412</v>
      </c>
      <c r="J64" s="58">
        <f t="shared" si="5"/>
        <v>0.38232763369051626</v>
      </c>
      <c r="K64" s="32"/>
      <c r="L64" s="20" t="str">
        <f t="shared" si="7"/>
        <v/>
      </c>
      <c r="N64" s="19"/>
    </row>
    <row r="65" spans="1:14" s="16" customFormat="1" ht="25" customHeight="1">
      <c r="A65" s="14"/>
      <c r="B65" s="27"/>
      <c r="C65" s="67">
        <v>42</v>
      </c>
      <c r="D65" s="68">
        <f t="shared" si="6"/>
        <v>103</v>
      </c>
      <c r="E65" s="68">
        <f t="shared" si="0"/>
        <v>4</v>
      </c>
      <c r="F65" s="54">
        <f t="shared" si="3"/>
        <v>61.17</v>
      </c>
      <c r="G65" s="55">
        <f>IF(D65=D64,"",_xlfn.IFNA(VLOOKUP(D65,'인원 입력 기능'!$F$5:$I$103,4,FALSE),0))</f>
        <v>4022</v>
      </c>
      <c r="H65" s="56">
        <f t="shared" si="4"/>
        <v>1.1974906883338444E-2</v>
      </c>
      <c r="I65" s="69">
        <f>SUM($G$7:G65)</f>
        <v>132434</v>
      </c>
      <c r="J65" s="58">
        <f t="shared" si="5"/>
        <v>0.39430254057385467</v>
      </c>
      <c r="K65" s="32"/>
      <c r="L65" s="20" t="str">
        <f t="shared" si="7"/>
        <v/>
      </c>
      <c r="N65" s="19"/>
    </row>
    <row r="66" spans="1:14" s="16" customFormat="1" ht="25" customHeight="1">
      <c r="A66" s="14"/>
      <c r="B66" s="27"/>
      <c r="C66" s="67">
        <v>41</v>
      </c>
      <c r="D66" s="68">
        <f t="shared" si="6"/>
        <v>102</v>
      </c>
      <c r="E66" s="68">
        <f t="shared" si="0"/>
        <v>4</v>
      </c>
      <c r="F66" s="54">
        <f t="shared" si="3"/>
        <v>59.71</v>
      </c>
      <c r="G66" s="55">
        <f>IF(D66=D65,"",_xlfn.IFNA(VLOOKUP(D66,'인원 입력 기능'!$F$5:$I$103,4,FALSE),0))</f>
        <v>5769</v>
      </c>
      <c r="H66" s="56">
        <f t="shared" si="4"/>
        <v>1.7176339584778589E-2</v>
      </c>
      <c r="I66" s="69">
        <f>SUM($G$7:G66)</f>
        <v>138203</v>
      </c>
      <c r="J66" s="58">
        <f t="shared" si="5"/>
        <v>0.41147888015863326</v>
      </c>
      <c r="K66" s="32"/>
      <c r="L66" s="20" t="str">
        <f t="shared" si="7"/>
        <v/>
      </c>
      <c r="N66" s="19"/>
    </row>
    <row r="67" spans="1:14" s="16" customFormat="1" ht="25" customHeight="1">
      <c r="A67" s="14"/>
      <c r="B67" s="27"/>
      <c r="C67" s="67">
        <v>40</v>
      </c>
      <c r="D67" s="68">
        <f t="shared" si="6"/>
        <v>101</v>
      </c>
      <c r="E67" s="68">
        <f t="shared" si="0"/>
        <v>5</v>
      </c>
      <c r="F67" s="54">
        <f t="shared" si="3"/>
        <v>58.12</v>
      </c>
      <c r="G67" s="55">
        <f>IF(D67=D66,"",_xlfn.IFNA(VLOOKUP(D67,'인원 입력 기능'!$F$5:$I$103,4,FALSE),0))</f>
        <v>4927</v>
      </c>
      <c r="H67" s="56">
        <f t="shared" si="4"/>
        <v>1.4669409799654032E-2</v>
      </c>
      <c r="I67" s="69">
        <f>SUM($G$7:G67)</f>
        <v>143130</v>
      </c>
      <c r="J67" s="58">
        <f t="shared" si="5"/>
        <v>0.4261482899582873</v>
      </c>
      <c r="K67" s="32"/>
      <c r="L67" s="20" t="str">
        <f t="shared" si="7"/>
        <v/>
      </c>
      <c r="N67" s="19"/>
    </row>
    <row r="68" spans="1:14" s="16" customFormat="1" ht="25" customHeight="1">
      <c r="A68" s="14"/>
      <c r="B68" s="27"/>
      <c r="C68" s="67">
        <v>39</v>
      </c>
      <c r="D68" s="68">
        <f t="shared" si="6"/>
        <v>100</v>
      </c>
      <c r="E68" s="68">
        <f t="shared" si="0"/>
        <v>5</v>
      </c>
      <c r="F68" s="54">
        <f t="shared" si="3"/>
        <v>56.77</v>
      </c>
      <c r="G68" s="55">
        <f>IF(D68=D67,"",_xlfn.IFNA(VLOOKUP(D68,'인원 입력 기능'!$F$5:$I$103,4,FALSE),0))</f>
        <v>4132</v>
      </c>
      <c r="H68" s="56">
        <f t="shared" si="4"/>
        <v>1.2302415525100561E-2</v>
      </c>
      <c r="I68" s="69">
        <f>SUM($G$7:G68)</f>
        <v>147262</v>
      </c>
      <c r="J68" s="58">
        <f t="shared" si="5"/>
        <v>0.43845070548338788</v>
      </c>
      <c r="K68" s="32"/>
      <c r="L68" s="20" t="str">
        <f t="shared" si="7"/>
        <v/>
      </c>
      <c r="N68" s="19"/>
    </row>
    <row r="69" spans="1:14" s="16" customFormat="1" ht="25" customHeight="1">
      <c r="A69" s="14"/>
      <c r="B69" s="27"/>
      <c r="C69" s="67">
        <v>38</v>
      </c>
      <c r="D69" s="68">
        <f t="shared" si="6"/>
        <v>99</v>
      </c>
      <c r="E69" s="68">
        <f t="shared" si="0"/>
        <v>5</v>
      </c>
      <c r="F69" s="54">
        <f t="shared" si="3"/>
        <v>55.28</v>
      </c>
      <c r="G69" s="55">
        <f>IF(D69=D68,"",_xlfn.IFNA(VLOOKUP(D69,'인원 입력 기능'!$F$5:$I$103,4,FALSE),0))</f>
        <v>5902</v>
      </c>
      <c r="H69" s="56">
        <f t="shared" si="4"/>
        <v>1.7572327306181874E-2</v>
      </c>
      <c r="I69" s="69">
        <f>SUM($G$7:G69)</f>
        <v>153164</v>
      </c>
      <c r="J69" s="58">
        <f t="shared" si="5"/>
        <v>0.45602303278956974</v>
      </c>
      <c r="K69" s="32"/>
      <c r="L69" s="20" t="str">
        <f t="shared" si="7"/>
        <v/>
      </c>
      <c r="N69" s="19"/>
    </row>
    <row r="70" spans="1:14" s="16" customFormat="1" ht="25" customHeight="1">
      <c r="A70" s="14"/>
      <c r="B70" s="27"/>
      <c r="C70" s="67">
        <v>37</v>
      </c>
      <c r="D70" s="68">
        <f t="shared" si="6"/>
        <v>98</v>
      </c>
      <c r="E70" s="68">
        <f t="shared" si="0"/>
        <v>5</v>
      </c>
      <c r="F70" s="54">
        <f t="shared" si="3"/>
        <v>53.55</v>
      </c>
      <c r="G70" s="55">
        <f>IF(D70=D69,"",_xlfn.IFNA(VLOOKUP(D70,'인원 입력 기능'!$F$5:$I$103,4,FALSE),0))</f>
        <v>5716</v>
      </c>
      <c r="H70" s="56">
        <f t="shared" si="4"/>
        <v>1.7018539966475024E-2</v>
      </c>
      <c r="I70" s="69">
        <f>SUM($G$7:G70)</f>
        <v>158880</v>
      </c>
      <c r="J70" s="58">
        <f t="shared" si="5"/>
        <v>0.47304157275604475</v>
      </c>
      <c r="K70" s="32"/>
      <c r="L70" s="20" t="str">
        <f t="shared" si="7"/>
        <v/>
      </c>
      <c r="N70" s="19"/>
    </row>
    <row r="71" spans="1:14" s="16" customFormat="1" ht="25" customHeight="1">
      <c r="A71" s="14"/>
      <c r="B71" s="27"/>
      <c r="C71" s="67">
        <v>36</v>
      </c>
      <c r="D71" s="137">
        <f t="shared" si="6"/>
        <v>97</v>
      </c>
      <c r="E71" s="137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119">
        <f t="shared" si="3"/>
        <v>51.14</v>
      </c>
      <c r="G71" s="125">
        <f>IF(D71=D70,"",_xlfn.IFNA(VLOOKUP(D71,'인원 입력 기능'!$F$5:$I$103,4,FALSE),0))</f>
        <v>10441</v>
      </c>
      <c r="H71" s="130">
        <f t="shared" si="4"/>
        <v>3.1086524805802263E-2</v>
      </c>
      <c r="I71" s="138">
        <f>SUM($G$7:G71)</f>
        <v>169321</v>
      </c>
      <c r="J71" s="134">
        <f t="shared" si="5"/>
        <v>0.50412809756184707</v>
      </c>
      <c r="K71" s="32"/>
      <c r="L71" s="20" t="str">
        <f t="shared" si="7"/>
        <v/>
      </c>
      <c r="N71" s="19"/>
    </row>
    <row r="72" spans="1:14" s="16" customFormat="1" ht="25" customHeight="1">
      <c r="A72" s="14"/>
      <c r="B72" s="27"/>
      <c r="C72" s="67">
        <v>35</v>
      </c>
      <c r="D72" s="136"/>
      <c r="E72" s="136"/>
      <c r="F72" s="120"/>
      <c r="G72" s="118"/>
      <c r="H72" s="131"/>
      <c r="I72" s="139"/>
      <c r="J72" s="135"/>
      <c r="K72" s="32"/>
      <c r="L72" s="20" t="str">
        <f t="shared" si="7"/>
        <v>경고</v>
      </c>
      <c r="N72" s="19"/>
    </row>
    <row r="73" spans="1:14" s="16" customFormat="1" ht="25" customHeight="1">
      <c r="A73" s="14"/>
      <c r="B73" s="27"/>
      <c r="C73" s="67">
        <v>34</v>
      </c>
      <c r="D73" s="68">
        <f t="shared" ref="D73:D104" si="9">ROUND(20*(C73-$H$3)/$H$4+100,0)</f>
        <v>96</v>
      </c>
      <c r="E73" s="68">
        <f t="shared" si="8"/>
        <v>5</v>
      </c>
      <c r="F73" s="54">
        <f t="shared" si="3"/>
        <v>48.66</v>
      </c>
      <c r="G73" s="55">
        <f>IF(D73=D72,"",_xlfn.IFNA(VLOOKUP(D73,'인원 입력 기능'!$F$5:$I$103,4,FALSE),0))</f>
        <v>6261</v>
      </c>
      <c r="H73" s="56">
        <f t="shared" si="4"/>
        <v>1.864119641884187E-2</v>
      </c>
      <c r="I73" s="69">
        <f>SUM($G$7:G73)</f>
        <v>175582</v>
      </c>
      <c r="J73" s="58">
        <f t="shared" si="5"/>
        <v>0.52276929398068894</v>
      </c>
      <c r="K73" s="32"/>
      <c r="L73" s="20" t="str">
        <f t="shared" ref="L73:L105" si="10">IF(ABS((C73-$H$3)/$H$4*20+100-D73)&gt;0.49, "경고", "")</f>
        <v/>
      </c>
      <c r="N73" s="19"/>
    </row>
    <row r="74" spans="1:14" s="16" customFormat="1" ht="25" customHeight="1">
      <c r="A74" s="14"/>
      <c r="B74" s="27"/>
      <c r="C74" s="67">
        <v>33</v>
      </c>
      <c r="D74" s="68">
        <f t="shared" si="9"/>
        <v>95</v>
      </c>
      <c r="E74" s="68">
        <f t="shared" si="8"/>
        <v>5</v>
      </c>
      <c r="F74" s="54">
        <f t="shared" ref="F74:F105" si="11">IF(I73=0,ROUND(100*(1-(I72+I74)/2/$J$3),2),ROUND(100*(1-(I73+I74)/2/$J$3),2))</f>
        <v>47.03</v>
      </c>
      <c r="G74" s="55">
        <f>IF(D74=D73,"",_xlfn.IFNA(VLOOKUP(D74,'인원 입력 기능'!$F$5:$I$103,4,FALSE),0))</f>
        <v>4655</v>
      </c>
      <c r="H74" s="56">
        <f t="shared" ref="H74:H105" si="12">G74/$J$3</f>
        <v>1.3859570249114982E-2</v>
      </c>
      <c r="I74" s="69">
        <f>SUM($G$7:G74)</f>
        <v>180237</v>
      </c>
      <c r="J74" s="58">
        <f t="shared" ref="J74:J105" si="13">I74/$J$3</f>
        <v>0.53662886422980394</v>
      </c>
      <c r="K74" s="32"/>
      <c r="L74" s="20" t="str">
        <f t="shared" si="10"/>
        <v/>
      </c>
      <c r="N74" s="19"/>
    </row>
    <row r="75" spans="1:14" s="16" customFormat="1" ht="25" customHeight="1">
      <c r="A75" s="14"/>
      <c r="B75" s="27"/>
      <c r="C75" s="67">
        <v>32</v>
      </c>
      <c r="D75" s="68">
        <f t="shared" si="9"/>
        <v>94</v>
      </c>
      <c r="E75" s="68">
        <f t="shared" si="8"/>
        <v>5</v>
      </c>
      <c r="F75" s="54">
        <f t="shared" si="11"/>
        <v>45.42</v>
      </c>
      <c r="G75" s="55">
        <f>IF(D75=D74,"",_xlfn.IFNA(VLOOKUP(D75,'인원 입력 기능'!$F$5:$I$103,4,FALSE),0))</f>
        <v>6179</v>
      </c>
      <c r="H75" s="56">
        <f t="shared" si="12"/>
        <v>1.8397053613164658E-2</v>
      </c>
      <c r="I75" s="69">
        <f>SUM($G$7:G75)</f>
        <v>186416</v>
      </c>
      <c r="J75" s="58">
        <f t="shared" si="13"/>
        <v>0.55502591784296851</v>
      </c>
      <c r="K75" s="32"/>
      <c r="L75" s="20" t="str">
        <f t="shared" si="10"/>
        <v/>
      </c>
      <c r="N75" s="19"/>
    </row>
    <row r="76" spans="1:14" s="16" customFormat="1" ht="25" customHeight="1">
      <c r="A76" s="14"/>
      <c r="B76" s="27"/>
      <c r="C76" s="67">
        <v>31</v>
      </c>
      <c r="D76" s="68">
        <f t="shared" si="9"/>
        <v>93</v>
      </c>
      <c r="E76" s="68">
        <f t="shared" si="8"/>
        <v>5</v>
      </c>
      <c r="F76" s="54">
        <f t="shared" si="11"/>
        <v>43.52</v>
      </c>
      <c r="G76" s="55">
        <f>IF(D76=D75,"",_xlfn.IFNA(VLOOKUP(D76,'인원 입력 기능'!$F$5:$I$103,4,FALSE),0))</f>
        <v>6560</v>
      </c>
      <c r="H76" s="56">
        <f t="shared" si="12"/>
        <v>1.9531424454177077E-2</v>
      </c>
      <c r="I76" s="69">
        <f>SUM($G$7:G76)</f>
        <v>192976</v>
      </c>
      <c r="J76" s="58">
        <f t="shared" si="13"/>
        <v>0.57455734229714561</v>
      </c>
      <c r="K76" s="32"/>
      <c r="L76" s="20" t="str">
        <f t="shared" si="10"/>
        <v/>
      </c>
      <c r="N76" s="19"/>
    </row>
    <row r="77" spans="1:14" s="16" customFormat="1" ht="25" customHeight="1">
      <c r="A77" s="14"/>
      <c r="B77" s="27"/>
      <c r="C77" s="67">
        <v>30</v>
      </c>
      <c r="D77" s="68">
        <f t="shared" si="9"/>
        <v>92</v>
      </c>
      <c r="E77" s="68">
        <f t="shared" si="8"/>
        <v>5</v>
      </c>
      <c r="F77" s="54">
        <f t="shared" si="11"/>
        <v>41.74</v>
      </c>
      <c r="G77" s="55">
        <f>IF(D77=D76,"",_xlfn.IFNA(VLOOKUP(D77,'인원 입력 기능'!$F$5:$I$103,4,FALSE),0))</f>
        <v>5397</v>
      </c>
      <c r="H77" s="56">
        <f t="shared" si="12"/>
        <v>1.606876490536489E-2</v>
      </c>
      <c r="I77" s="69">
        <f>SUM($G$7:G77)</f>
        <v>198373</v>
      </c>
      <c r="J77" s="58">
        <f t="shared" si="13"/>
        <v>0.59062610720251052</v>
      </c>
      <c r="K77" s="32"/>
      <c r="L77" s="20" t="str">
        <f t="shared" si="10"/>
        <v/>
      </c>
      <c r="N77" s="19"/>
    </row>
    <row r="78" spans="1:14" s="16" customFormat="1" ht="25" customHeight="1">
      <c r="A78" s="14"/>
      <c r="B78" s="27"/>
      <c r="C78" s="67">
        <v>29</v>
      </c>
      <c r="D78" s="68">
        <f t="shared" si="9"/>
        <v>91</v>
      </c>
      <c r="E78" s="68">
        <f t="shared" si="8"/>
        <v>5</v>
      </c>
      <c r="F78" s="54">
        <f t="shared" si="11"/>
        <v>40.01</v>
      </c>
      <c r="G78" s="55">
        <f>IF(D78=D77,"",_xlfn.IFNA(VLOOKUP(D78,'인원 입력 기능'!$F$5:$I$103,4,FALSE),0))</f>
        <v>6226</v>
      </c>
      <c r="H78" s="56">
        <f t="shared" si="12"/>
        <v>1.8536989123735741E-2</v>
      </c>
      <c r="I78" s="69">
        <f>SUM($G$7:G78)</f>
        <v>204599</v>
      </c>
      <c r="J78" s="58">
        <f t="shared" si="13"/>
        <v>0.60916309632624621</v>
      </c>
      <c r="K78" s="32"/>
      <c r="L78" s="20" t="str">
        <f t="shared" si="10"/>
        <v/>
      </c>
      <c r="N78" s="19"/>
    </row>
    <row r="79" spans="1:14" s="16" customFormat="1" ht="25" customHeight="1">
      <c r="A79" s="14"/>
      <c r="B79" s="27"/>
      <c r="C79" s="67">
        <v>28</v>
      </c>
      <c r="D79" s="68">
        <f t="shared" si="9"/>
        <v>90</v>
      </c>
      <c r="E79" s="68">
        <f t="shared" si="8"/>
        <v>6</v>
      </c>
      <c r="F79" s="54">
        <f t="shared" si="11"/>
        <v>38.119999999999997</v>
      </c>
      <c r="G79" s="55">
        <f>IF(D79=D78,"",_xlfn.IFNA(VLOOKUP(D79,'인원 입력 기능'!$F$5:$I$103,4,FALSE),0))</f>
        <v>6469</v>
      </c>
      <c r="H79" s="56">
        <f t="shared" si="12"/>
        <v>1.9260485486901142E-2</v>
      </c>
      <c r="I79" s="69">
        <f>SUM($G$7:G79)</f>
        <v>211068</v>
      </c>
      <c r="J79" s="58">
        <f t="shared" si="13"/>
        <v>0.62842358181314739</v>
      </c>
      <c r="K79" s="32"/>
      <c r="L79" s="20" t="str">
        <f t="shared" si="10"/>
        <v/>
      </c>
      <c r="N79" s="19"/>
    </row>
    <row r="80" spans="1:14" s="16" customFormat="1" ht="25" customHeight="1">
      <c r="A80" s="14"/>
      <c r="B80" s="27"/>
      <c r="C80" s="67">
        <v>27</v>
      </c>
      <c r="D80" s="68">
        <f t="shared" si="9"/>
        <v>89</v>
      </c>
      <c r="E80" s="68">
        <f t="shared" si="8"/>
        <v>6</v>
      </c>
      <c r="F80" s="54">
        <f t="shared" si="11"/>
        <v>36.35</v>
      </c>
      <c r="G80" s="55">
        <f>IF(D80=D79,"",_xlfn.IFNA(VLOOKUP(D80,'인원 입력 기능'!$F$5:$I$103,4,FALSE),0))</f>
        <v>5404</v>
      </c>
      <c r="H80" s="56">
        <f t="shared" si="12"/>
        <v>1.6089606364386114E-2</v>
      </c>
      <c r="I80" s="69">
        <f>SUM($G$7:G80)</f>
        <v>216472</v>
      </c>
      <c r="J80" s="58">
        <f t="shared" si="13"/>
        <v>0.64451318817753356</v>
      </c>
      <c r="K80" s="32"/>
      <c r="L80" s="20" t="str">
        <f t="shared" si="10"/>
        <v/>
      </c>
      <c r="N80" s="19"/>
    </row>
    <row r="81" spans="1:14" s="16" customFormat="1" ht="25" customHeight="1">
      <c r="A81" s="14"/>
      <c r="B81" s="27"/>
      <c r="C81" s="67">
        <v>26</v>
      </c>
      <c r="D81" s="137">
        <f t="shared" si="9"/>
        <v>88</v>
      </c>
      <c r="E81" s="137">
        <f t="shared" si="8"/>
        <v>6</v>
      </c>
      <c r="F81" s="119">
        <f t="shared" si="11"/>
        <v>33.729999999999997</v>
      </c>
      <c r="G81" s="125">
        <f>IF(D81=D80,"",_xlfn.IFNA(VLOOKUP(D81,'인원 입력 기능'!$F$5:$I$103,4,FALSE),0))</f>
        <v>12213</v>
      </c>
      <c r="H81" s="130">
        <f t="shared" si="12"/>
        <v>3.6362391289461067E-2</v>
      </c>
      <c r="I81" s="138">
        <f>SUM($G$7:G81)</f>
        <v>228685</v>
      </c>
      <c r="J81" s="134">
        <f t="shared" si="13"/>
        <v>0.68087557946699462</v>
      </c>
      <c r="K81" s="32"/>
      <c r="L81" s="20" t="str">
        <f t="shared" si="10"/>
        <v/>
      </c>
      <c r="N81" s="19"/>
    </row>
    <row r="82" spans="1:14" s="16" customFormat="1" ht="25" customHeight="1">
      <c r="A82" s="14"/>
      <c r="B82" s="27"/>
      <c r="C82" s="67">
        <v>25</v>
      </c>
      <c r="D82" s="136"/>
      <c r="E82" s="136"/>
      <c r="F82" s="120"/>
      <c r="G82" s="118"/>
      <c r="H82" s="131"/>
      <c r="I82" s="139"/>
      <c r="J82" s="135"/>
      <c r="K82" s="32"/>
      <c r="L82" s="20" t="str">
        <f t="shared" si="10"/>
        <v>경고</v>
      </c>
      <c r="N82" s="19"/>
    </row>
    <row r="83" spans="1:14" s="16" customFormat="1" ht="25" customHeight="1">
      <c r="A83" s="14"/>
      <c r="B83" s="27"/>
      <c r="C83" s="67">
        <v>24</v>
      </c>
      <c r="D83" s="68">
        <f t="shared" si="9"/>
        <v>87</v>
      </c>
      <c r="E83" s="68">
        <f t="shared" si="8"/>
        <v>6</v>
      </c>
      <c r="F83" s="54">
        <f t="shared" si="11"/>
        <v>31.05</v>
      </c>
      <c r="G83" s="55">
        <f>IF(D83=D82,"",_xlfn.IFNA(VLOOKUP(D83,'인원 입력 기능'!$F$5:$I$103,4,FALSE),0))</f>
        <v>5801</v>
      </c>
      <c r="H83" s="56">
        <f t="shared" si="12"/>
        <v>1.7271614826018477E-2</v>
      </c>
      <c r="I83" s="69">
        <f>SUM($G$7:G83)</f>
        <v>234486</v>
      </c>
      <c r="J83" s="58">
        <f t="shared" si="13"/>
        <v>0.69814719429301308</v>
      </c>
      <c r="K83" s="32"/>
      <c r="L83" s="20" t="str">
        <f t="shared" si="10"/>
        <v/>
      </c>
      <c r="N83" s="19"/>
    </row>
    <row r="84" spans="1:14" s="16" customFormat="1" ht="25" customHeight="1">
      <c r="A84" s="14"/>
      <c r="B84" s="27"/>
      <c r="C84" s="67">
        <v>23</v>
      </c>
      <c r="D84" s="68">
        <f t="shared" si="9"/>
        <v>86</v>
      </c>
      <c r="E84" s="68">
        <f t="shared" si="8"/>
        <v>6</v>
      </c>
      <c r="F84" s="54">
        <f t="shared" si="11"/>
        <v>29.28</v>
      </c>
      <c r="G84" s="55">
        <f>IF(D84=D83,"",_xlfn.IFNA(VLOOKUP(D84,'인원 입력 기능'!$F$5:$I$103,4,FALSE),0))</f>
        <v>6049</v>
      </c>
      <c r="H84" s="56">
        <f t="shared" si="12"/>
        <v>1.8009997945627611E-2</v>
      </c>
      <c r="I84" s="69">
        <f>SUM($G$7:G84)</f>
        <v>240535</v>
      </c>
      <c r="J84" s="58">
        <f t="shared" si="13"/>
        <v>0.71615719223864061</v>
      </c>
      <c r="K84" s="32"/>
      <c r="L84" s="20" t="str">
        <f t="shared" si="10"/>
        <v/>
      </c>
      <c r="N84" s="19"/>
    </row>
    <row r="85" spans="1:14" s="16" customFormat="1" ht="25" customHeight="1">
      <c r="A85" s="14"/>
      <c r="B85" s="27"/>
      <c r="C85" s="67">
        <v>22</v>
      </c>
      <c r="D85" s="68">
        <f t="shared" si="9"/>
        <v>85</v>
      </c>
      <c r="E85" s="68">
        <f t="shared" si="8"/>
        <v>6</v>
      </c>
      <c r="F85" s="54">
        <f t="shared" si="11"/>
        <v>27.51</v>
      </c>
      <c r="G85" s="55">
        <f>IF(D85=D84,"",_xlfn.IFNA(VLOOKUP(D85,'인원 입력 기능'!$F$5:$I$103,4,FALSE),0))</f>
        <v>5841</v>
      </c>
      <c r="H85" s="56">
        <f t="shared" si="12"/>
        <v>1.7390708877568339E-2</v>
      </c>
      <c r="I85" s="69">
        <f>SUM($G$7:G85)</f>
        <v>246376</v>
      </c>
      <c r="J85" s="58">
        <f t="shared" si="13"/>
        <v>0.73354790111620904</v>
      </c>
      <c r="K85" s="32"/>
      <c r="L85" s="20" t="str">
        <f t="shared" si="10"/>
        <v/>
      </c>
      <c r="N85" s="19"/>
    </row>
    <row r="86" spans="1:14" s="16" customFormat="1" ht="25" customHeight="1">
      <c r="A86" s="14"/>
      <c r="B86" s="27"/>
      <c r="C86" s="67">
        <v>21</v>
      </c>
      <c r="D86" s="68">
        <f t="shared" si="9"/>
        <v>84</v>
      </c>
      <c r="E86" s="68">
        <f t="shared" si="8"/>
        <v>6</v>
      </c>
      <c r="F86" s="54">
        <f t="shared" si="11"/>
        <v>25.73</v>
      </c>
      <c r="G86" s="55">
        <f>IF(D86=D85,"",_xlfn.IFNA(VLOOKUP(D86,'인원 입력 기능'!$F$5:$I$103,4,FALSE),0))</f>
        <v>6133</v>
      </c>
      <c r="H86" s="56">
        <f t="shared" si="12"/>
        <v>1.8260095453882318E-2</v>
      </c>
      <c r="I86" s="69">
        <f>SUM($G$7:G86)</f>
        <v>252509</v>
      </c>
      <c r="J86" s="58">
        <f t="shared" si="13"/>
        <v>0.75180799657009134</v>
      </c>
      <c r="K86" s="32"/>
      <c r="L86" s="20" t="str">
        <f t="shared" si="10"/>
        <v/>
      </c>
      <c r="N86" s="19"/>
    </row>
    <row r="87" spans="1:14" s="16" customFormat="1" ht="25" customHeight="1">
      <c r="A87" s="14"/>
      <c r="B87" s="27"/>
      <c r="C87" s="67">
        <v>20</v>
      </c>
      <c r="D87" s="68">
        <f t="shared" si="9"/>
        <v>83</v>
      </c>
      <c r="E87" s="68">
        <f t="shared" si="8"/>
        <v>6</v>
      </c>
      <c r="F87" s="54">
        <f t="shared" si="11"/>
        <v>23.91</v>
      </c>
      <c r="G87" s="55">
        <f>IF(D87=D86,"",_xlfn.IFNA(VLOOKUP(D87,'인원 입력 기능'!$F$5:$I$103,4,FALSE),0))</f>
        <v>6137</v>
      </c>
      <c r="H87" s="56">
        <f t="shared" si="12"/>
        <v>1.8272004859037305E-2</v>
      </c>
      <c r="I87" s="69">
        <f>SUM($G$7:G87)</f>
        <v>258646</v>
      </c>
      <c r="J87" s="58">
        <f t="shared" si="13"/>
        <v>0.77008000142912858</v>
      </c>
      <c r="K87" s="32"/>
      <c r="L87" s="20" t="str">
        <f t="shared" si="10"/>
        <v/>
      </c>
      <c r="N87" s="19"/>
    </row>
    <row r="88" spans="1:14" s="16" customFormat="1" ht="25" customHeight="1">
      <c r="A88" s="14"/>
      <c r="B88" s="27"/>
      <c r="C88" s="67">
        <v>19</v>
      </c>
      <c r="D88" s="68">
        <f t="shared" si="9"/>
        <v>82</v>
      </c>
      <c r="E88" s="68">
        <f t="shared" si="8"/>
        <v>7</v>
      </c>
      <c r="F88" s="54">
        <f t="shared" si="11"/>
        <v>21.99</v>
      </c>
      <c r="G88" s="55">
        <f>IF(D88=D87,"",_xlfn.IFNA(VLOOKUP(D88,'인원 입력 기능'!$F$5:$I$103,4,FALSE),0))</f>
        <v>6702</v>
      </c>
      <c r="H88" s="56">
        <f t="shared" si="12"/>
        <v>1.9954208337179077E-2</v>
      </c>
      <c r="I88" s="69">
        <f>SUM($G$7:G88)</f>
        <v>265348</v>
      </c>
      <c r="J88" s="58">
        <f t="shared" si="13"/>
        <v>0.79003420976630767</v>
      </c>
      <c r="K88" s="32"/>
      <c r="L88" s="20" t="str">
        <f t="shared" si="10"/>
        <v/>
      </c>
      <c r="N88" s="19"/>
    </row>
    <row r="89" spans="1:14" s="16" customFormat="1" ht="25" customHeight="1">
      <c r="A89" s="14"/>
      <c r="B89" s="27"/>
      <c r="C89" s="67">
        <v>18</v>
      </c>
      <c r="D89" s="68">
        <f t="shared" si="9"/>
        <v>81</v>
      </c>
      <c r="E89" s="68">
        <f t="shared" si="8"/>
        <v>7</v>
      </c>
      <c r="F89" s="54">
        <f t="shared" si="11"/>
        <v>20.11</v>
      </c>
      <c r="G89" s="55">
        <f>IF(D89=D88,"",_xlfn.IFNA(VLOOKUP(D89,'인원 입력 기능'!$F$5:$I$103,4,FALSE),0))</f>
        <v>5972</v>
      </c>
      <c r="H89" s="56">
        <f t="shared" si="12"/>
        <v>1.7780741896394128E-2</v>
      </c>
      <c r="I89" s="69">
        <f>SUM($G$7:G89)</f>
        <v>271320</v>
      </c>
      <c r="J89" s="58">
        <f t="shared" si="13"/>
        <v>0.80781495166270179</v>
      </c>
      <c r="K89" s="32"/>
      <c r="L89" s="20" t="str">
        <f t="shared" si="10"/>
        <v/>
      </c>
      <c r="N89" s="19"/>
    </row>
    <row r="90" spans="1:14" s="16" customFormat="1" ht="25" customHeight="1">
      <c r="A90" s="14"/>
      <c r="B90" s="27"/>
      <c r="C90" s="67">
        <v>17</v>
      </c>
      <c r="D90" s="68">
        <f t="shared" si="9"/>
        <v>80</v>
      </c>
      <c r="E90" s="68">
        <f t="shared" si="8"/>
        <v>7</v>
      </c>
      <c r="F90" s="54">
        <f t="shared" si="11"/>
        <v>18.36</v>
      </c>
      <c r="G90" s="55">
        <f>IF(D90=D89,"",_xlfn.IFNA(VLOOKUP(D90,'인원 입력 기능'!$F$5:$I$103,4,FALSE),0))</f>
        <v>5751</v>
      </c>
      <c r="H90" s="56">
        <f t="shared" si="12"/>
        <v>1.7122747261581153E-2</v>
      </c>
      <c r="I90" s="69">
        <f>SUM($G$7:G90)</f>
        <v>277071</v>
      </c>
      <c r="J90" s="58">
        <f t="shared" si="13"/>
        <v>0.82493769892428293</v>
      </c>
      <c r="K90" s="32"/>
      <c r="L90" s="20" t="str">
        <f t="shared" si="10"/>
        <v/>
      </c>
      <c r="N90" s="19"/>
    </row>
    <row r="91" spans="1:14" s="16" customFormat="1" ht="25" customHeight="1">
      <c r="A91" s="14"/>
      <c r="B91" s="27"/>
      <c r="C91" s="67">
        <v>16</v>
      </c>
      <c r="D91" s="137">
        <f t="shared" si="9"/>
        <v>79</v>
      </c>
      <c r="E91" s="137">
        <f t="shared" si="8"/>
        <v>7</v>
      </c>
      <c r="F91" s="119">
        <f t="shared" si="11"/>
        <v>15.84</v>
      </c>
      <c r="G91" s="125">
        <f>IF(D91=D90,"",_xlfn.IFNA(VLOOKUP(D91,'인원 입력 기능'!$F$5:$I$103,4,FALSE),0))</f>
        <v>11171</v>
      </c>
      <c r="H91" s="130">
        <f t="shared" si="12"/>
        <v>3.3259991246587212E-2</v>
      </c>
      <c r="I91" s="138">
        <f>SUM($G$7:G91)</f>
        <v>288242</v>
      </c>
      <c r="J91" s="134">
        <f t="shared" si="13"/>
        <v>0.85819769017087022</v>
      </c>
      <c r="K91" s="32"/>
      <c r="L91" s="20" t="str">
        <f t="shared" si="10"/>
        <v/>
      </c>
      <c r="N91" s="19"/>
    </row>
    <row r="92" spans="1:14" s="16" customFormat="1" ht="25" customHeight="1">
      <c r="A92" s="14"/>
      <c r="B92" s="27"/>
      <c r="C92" s="67">
        <v>15</v>
      </c>
      <c r="D92" s="136"/>
      <c r="E92" s="136"/>
      <c r="F92" s="120"/>
      <c r="G92" s="118"/>
      <c r="H92" s="131"/>
      <c r="I92" s="139"/>
      <c r="J92" s="135"/>
      <c r="K92" s="32"/>
      <c r="L92" s="20" t="str">
        <f t="shared" si="10"/>
        <v>경고</v>
      </c>
      <c r="N92" s="19"/>
    </row>
    <row r="93" spans="1:14" s="16" customFormat="1" ht="25" customHeight="1">
      <c r="A93" s="14"/>
      <c r="B93" s="27"/>
      <c r="C93" s="67">
        <v>14</v>
      </c>
      <c r="D93" s="68">
        <f t="shared" si="9"/>
        <v>78</v>
      </c>
      <c r="E93" s="68">
        <f t="shared" si="8"/>
        <v>7</v>
      </c>
      <c r="F93" s="54">
        <f t="shared" si="11"/>
        <v>12.01</v>
      </c>
      <c r="G93" s="55">
        <f>IF(D93=D92,"",_xlfn.IFNA(VLOOKUP(D93,'인원 입력 기능'!$F$5:$I$103,4,FALSE),0))</f>
        <v>14609</v>
      </c>
      <c r="H93" s="56">
        <f t="shared" si="12"/>
        <v>4.3496124977297698E-2</v>
      </c>
      <c r="I93" s="69">
        <f>SUM($G$7:G93)</f>
        <v>302851</v>
      </c>
      <c r="J93" s="58">
        <f t="shared" si="13"/>
        <v>0.90169381514816793</v>
      </c>
      <c r="K93" s="32"/>
      <c r="L93" s="20" t="str">
        <f t="shared" si="10"/>
        <v/>
      </c>
      <c r="N93" s="19"/>
    </row>
    <row r="94" spans="1:14" s="16" customFormat="1" ht="25" customHeight="1">
      <c r="A94" s="14"/>
      <c r="B94" s="27"/>
      <c r="C94" s="67">
        <v>13</v>
      </c>
      <c r="D94" s="68">
        <f t="shared" si="9"/>
        <v>77</v>
      </c>
      <c r="E94" s="68">
        <f t="shared" si="8"/>
        <v>8</v>
      </c>
      <c r="F94" s="54">
        <f t="shared" si="11"/>
        <v>8.93</v>
      </c>
      <c r="G94" s="55">
        <f>IF(D94=D93,"",_xlfn.IFNA(VLOOKUP(D94,'인원 입력 기능'!$F$5:$I$103,4,FALSE),0))</f>
        <v>6067</v>
      </c>
      <c r="H94" s="56">
        <f t="shared" si="12"/>
        <v>1.8063590268825046E-2</v>
      </c>
      <c r="I94" s="69">
        <f>SUM($G$7:G94)</f>
        <v>308918</v>
      </c>
      <c r="J94" s="58">
        <f t="shared" si="13"/>
        <v>0.91975740541699291</v>
      </c>
      <c r="K94" s="32"/>
      <c r="L94" s="20" t="str">
        <f t="shared" si="10"/>
        <v/>
      </c>
      <c r="N94" s="19"/>
    </row>
    <row r="95" spans="1:14" s="16" customFormat="1" ht="25" customHeight="1">
      <c r="A95" s="14"/>
      <c r="B95" s="27"/>
      <c r="C95" s="67">
        <v>12</v>
      </c>
      <c r="D95" s="68">
        <f t="shared" si="9"/>
        <v>76</v>
      </c>
      <c r="E95" s="68">
        <f t="shared" si="8"/>
        <v>8</v>
      </c>
      <c r="F95" s="54">
        <f t="shared" si="11"/>
        <v>6.74</v>
      </c>
      <c r="G95" s="55">
        <f>IF(D95=D94,"",_xlfn.IFNA(VLOOKUP(D95,'인원 입력 기능'!$F$5:$I$103,4,FALSE),0))</f>
        <v>8648</v>
      </c>
      <c r="H95" s="56">
        <f t="shared" si="12"/>
        <v>2.5748133945079778E-2</v>
      </c>
      <c r="I95" s="69">
        <f>SUM($G$7:G95)</f>
        <v>317566</v>
      </c>
      <c r="J95" s="58">
        <f t="shared" si="13"/>
        <v>0.94550553936207271</v>
      </c>
      <c r="K95" s="32"/>
      <c r="L95" s="20" t="str">
        <f t="shared" si="10"/>
        <v/>
      </c>
      <c r="N95" s="19"/>
    </row>
    <row r="96" spans="1:14" s="16" customFormat="1" ht="25" customHeight="1">
      <c r="A96" s="14"/>
      <c r="B96" s="27"/>
      <c r="C96" s="67">
        <v>11</v>
      </c>
      <c r="D96" s="68">
        <f t="shared" si="9"/>
        <v>75</v>
      </c>
      <c r="E96" s="68">
        <f t="shared" si="8"/>
        <v>8</v>
      </c>
      <c r="F96" s="54">
        <f t="shared" si="11"/>
        <v>5.05</v>
      </c>
      <c r="G96" s="55">
        <f>IF(D96=D95,"",_xlfn.IFNA(VLOOKUP(D96,'인원 입력 기능'!$F$5:$I$103,4,FALSE),0))</f>
        <v>2652</v>
      </c>
      <c r="H96" s="56">
        <f t="shared" si="12"/>
        <v>7.8959356177557317E-3</v>
      </c>
      <c r="I96" s="69">
        <f>SUM($G$7:G96)</f>
        <v>320218</v>
      </c>
      <c r="J96" s="58">
        <f t="shared" si="13"/>
        <v>0.95340147497982841</v>
      </c>
      <c r="K96" s="32"/>
      <c r="L96" s="20" t="str">
        <f t="shared" si="10"/>
        <v/>
      </c>
      <c r="N96" s="19"/>
    </row>
    <row r="97" spans="1:14" s="16" customFormat="1" ht="25" customHeight="1">
      <c r="A97" s="14"/>
      <c r="B97" s="27"/>
      <c r="C97" s="67">
        <v>10</v>
      </c>
      <c r="D97" s="68">
        <f t="shared" si="9"/>
        <v>74</v>
      </c>
      <c r="E97" s="68">
        <f t="shared" si="8"/>
        <v>8</v>
      </c>
      <c r="F97" s="54">
        <f t="shared" si="11"/>
        <v>3.84</v>
      </c>
      <c r="G97" s="55">
        <f>IF(D97=D96,"",_xlfn.IFNA(VLOOKUP(D97,'인원 입력 기능'!$F$5:$I$103,4,FALSE),0))</f>
        <v>5485</v>
      </c>
      <c r="H97" s="56">
        <f t="shared" si="12"/>
        <v>1.633077181877458E-2</v>
      </c>
      <c r="I97" s="69">
        <f>SUM($G$7:G97)</f>
        <v>325703</v>
      </c>
      <c r="J97" s="58">
        <f t="shared" si="13"/>
        <v>0.96973224679860304</v>
      </c>
      <c r="K97" s="32"/>
      <c r="L97" s="20" t="str">
        <f t="shared" si="10"/>
        <v/>
      </c>
      <c r="N97" s="19"/>
    </row>
    <row r="98" spans="1:14" s="16" customFormat="1" ht="25" customHeight="1">
      <c r="A98" s="14"/>
      <c r="B98" s="27"/>
      <c r="C98" s="67">
        <v>9</v>
      </c>
      <c r="D98" s="68">
        <f t="shared" si="9"/>
        <v>73</v>
      </c>
      <c r="E98" s="68">
        <f t="shared" si="8"/>
        <v>9</v>
      </c>
      <c r="F98" s="54">
        <f t="shared" si="11"/>
        <v>2.73</v>
      </c>
      <c r="G98" s="55">
        <f>IF(D98=D97,"",_xlfn.IFNA(VLOOKUP(D98,'인원 입력 기능'!$F$5:$I$103,4,FALSE),0))</f>
        <v>1993</v>
      </c>
      <c r="H98" s="56">
        <f t="shared" si="12"/>
        <v>5.9338611184717848E-3</v>
      </c>
      <c r="I98" s="69">
        <f>SUM($G$7:G98)</f>
        <v>327696</v>
      </c>
      <c r="J98" s="58">
        <f t="shared" si="13"/>
        <v>0.97566610791707487</v>
      </c>
      <c r="K98" s="32"/>
      <c r="L98" s="20" t="str">
        <f t="shared" si="10"/>
        <v/>
      </c>
      <c r="N98" s="19"/>
    </row>
    <row r="99" spans="1:14" s="16" customFormat="1" ht="25" customHeight="1">
      <c r="A99" s="14"/>
      <c r="B99" s="27"/>
      <c r="C99" s="67">
        <v>8</v>
      </c>
      <c r="D99" s="68">
        <f t="shared" si="9"/>
        <v>72</v>
      </c>
      <c r="E99" s="68">
        <f t="shared" si="8"/>
        <v>9</v>
      </c>
      <c r="F99" s="54">
        <f t="shared" si="11"/>
        <v>2.2400000000000002</v>
      </c>
      <c r="G99" s="55">
        <f>IF(D99=D98,"",_xlfn.IFNA(VLOOKUP(D99,'인원 입력 기능'!$F$5:$I$103,4,FALSE),0))</f>
        <v>1309</v>
      </c>
      <c r="H99" s="56">
        <f t="shared" si="12"/>
        <v>3.8973528369691756E-3</v>
      </c>
      <c r="I99" s="69">
        <f>SUM($G$7:G99)</f>
        <v>329005</v>
      </c>
      <c r="J99" s="58">
        <f t="shared" si="13"/>
        <v>0.97956346075404399</v>
      </c>
      <c r="K99" s="32"/>
      <c r="L99" s="20" t="str">
        <f t="shared" si="10"/>
        <v/>
      </c>
      <c r="N99" s="19"/>
    </row>
    <row r="100" spans="1:14" s="16" customFormat="1" ht="25" customHeight="1">
      <c r="A100" s="14"/>
      <c r="B100" s="27"/>
      <c r="C100" s="67">
        <v>7</v>
      </c>
      <c r="D100" s="68">
        <f t="shared" si="9"/>
        <v>71</v>
      </c>
      <c r="E100" s="68">
        <f t="shared" si="8"/>
        <v>9</v>
      </c>
      <c r="F100" s="54">
        <f t="shared" si="11"/>
        <v>1.79</v>
      </c>
      <c r="G100" s="55">
        <f>IF(D100=D99,"",_xlfn.IFNA(VLOOKUP(D100,'인원 입력 기능'!$F$5:$I$103,4,FALSE),0))</f>
        <v>1719</v>
      </c>
      <c r="H100" s="56">
        <f t="shared" si="12"/>
        <v>5.1180668653552424E-3</v>
      </c>
      <c r="I100" s="69">
        <f>SUM($G$7:G100)</f>
        <v>330724</v>
      </c>
      <c r="J100" s="58">
        <f t="shared" si="13"/>
        <v>0.9846815276193992</v>
      </c>
      <c r="K100" s="32"/>
      <c r="L100" s="20" t="str">
        <f t="shared" si="10"/>
        <v/>
      </c>
      <c r="N100" s="19"/>
    </row>
    <row r="101" spans="1:14" s="16" customFormat="1" ht="25" customHeight="1">
      <c r="A101" s="14"/>
      <c r="B101" s="27"/>
      <c r="C101" s="59">
        <v>6</v>
      </c>
      <c r="D101" s="121">
        <f t="shared" si="9"/>
        <v>70</v>
      </c>
      <c r="E101" s="137">
        <f t="shared" si="8"/>
        <v>9</v>
      </c>
      <c r="F101" s="119">
        <f t="shared" si="11"/>
        <v>1.25</v>
      </c>
      <c r="G101" s="125">
        <f>IF(D101=D100,"",_xlfn.IFNA(VLOOKUP(D101,'인원 입력 기능'!$F$5:$I$103,4,FALSE),0))</f>
        <v>1863</v>
      </c>
      <c r="H101" s="130">
        <f t="shared" si="12"/>
        <v>5.5468054509347393E-3</v>
      </c>
      <c r="I101" s="132">
        <f>SUM($G$7:G101)</f>
        <v>332587</v>
      </c>
      <c r="J101" s="134">
        <f t="shared" si="13"/>
        <v>0.99022833307033398</v>
      </c>
      <c r="K101" s="32"/>
      <c r="L101" s="20" t="str">
        <f t="shared" si="10"/>
        <v>경고</v>
      </c>
      <c r="N101" s="19"/>
    </row>
    <row r="102" spans="1:14" s="16" customFormat="1" ht="25" customHeight="1">
      <c r="A102" s="14"/>
      <c r="B102" s="27"/>
      <c r="C102" s="59">
        <v>5</v>
      </c>
      <c r="D102" s="122"/>
      <c r="E102" s="136"/>
      <c r="F102" s="120"/>
      <c r="G102" s="118"/>
      <c r="H102" s="131"/>
      <c r="I102" s="133"/>
      <c r="J102" s="135"/>
      <c r="K102" s="32"/>
      <c r="L102" s="20" t="str">
        <f t="shared" si="10"/>
        <v>경고</v>
      </c>
      <c r="N102" s="19"/>
    </row>
    <row r="103" spans="1:14" s="16" customFormat="1" ht="25" customHeight="1">
      <c r="A103" s="14"/>
      <c r="B103" s="27"/>
      <c r="C103" s="59">
        <v>4</v>
      </c>
      <c r="D103" s="53">
        <f t="shared" si="9"/>
        <v>69</v>
      </c>
      <c r="E103" s="68">
        <f t="shared" si="8"/>
        <v>9</v>
      </c>
      <c r="F103" s="54">
        <f t="shared" si="11"/>
        <v>0.89</v>
      </c>
      <c r="G103" s="55">
        <f>IF(D103=D102,"",_xlfn.IFNA(VLOOKUP(D103,'인원 입력 기능'!$F$5:$I$103,4,FALSE),0))</f>
        <v>560</v>
      </c>
      <c r="H103" s="56">
        <f t="shared" si="12"/>
        <v>1.667316721698043E-3</v>
      </c>
      <c r="I103" s="66">
        <f>SUM($G$7:G103)</f>
        <v>333147</v>
      </c>
      <c r="J103" s="58">
        <f t="shared" si="13"/>
        <v>0.99189564979203204</v>
      </c>
      <c r="K103" s="32"/>
      <c r="L103" s="20" t="str">
        <f t="shared" si="10"/>
        <v/>
      </c>
      <c r="N103" s="19"/>
    </row>
    <row r="104" spans="1:14" s="16" customFormat="1" ht="25" customHeight="1">
      <c r="A104" s="14"/>
      <c r="B104" s="27"/>
      <c r="C104" s="59">
        <v>3</v>
      </c>
      <c r="D104" s="53">
        <f t="shared" si="9"/>
        <v>68</v>
      </c>
      <c r="E104" s="53">
        <f t="shared" si="8"/>
        <v>9</v>
      </c>
      <c r="F104" s="54">
        <f t="shared" si="11"/>
        <v>0.71</v>
      </c>
      <c r="G104" s="55">
        <f>IF(D104=D103,"",_xlfn.IFNA(VLOOKUP(D104,'인원 입력 기능'!$F$5:$I$103,4,FALSE),0))</f>
        <v>655</v>
      </c>
      <c r="H104" s="56">
        <f t="shared" si="12"/>
        <v>1.9501650941289609E-3</v>
      </c>
      <c r="I104" s="66">
        <f>SUM($G$7:G104)</f>
        <v>333802</v>
      </c>
      <c r="J104" s="58">
        <f t="shared" si="13"/>
        <v>0.99384581488616097</v>
      </c>
      <c r="K104" s="32"/>
      <c r="L104" s="20" t="str">
        <f t="shared" si="10"/>
        <v/>
      </c>
      <c r="N104" s="19"/>
    </row>
    <row r="105" spans="1:14" s="16" customFormat="1" ht="25" customHeight="1">
      <c r="A105" s="14"/>
      <c r="B105" s="27"/>
      <c r="C105" s="59">
        <v>2</v>
      </c>
      <c r="D105" s="53">
        <f t="shared" ref="D105" si="14">ROUND(20*(C105-$H$3)/$H$4+100,0)</f>
        <v>67</v>
      </c>
      <c r="E105" s="53">
        <f t="shared" si="8"/>
        <v>9</v>
      </c>
      <c r="F105" s="54">
        <f t="shared" si="11"/>
        <v>0.57999999999999996</v>
      </c>
      <c r="G105" s="55">
        <f>IF(D105=D104,"",_xlfn.IFNA(VLOOKUP(D105,'인원 입력 기능'!$F$5:$I$103,4,FALSE),0))</f>
        <v>221</v>
      </c>
      <c r="H105" s="56">
        <f t="shared" si="12"/>
        <v>6.5799463481297765E-4</v>
      </c>
      <c r="I105" s="66">
        <f>SUM($G$7:G105)</f>
        <v>334023</v>
      </c>
      <c r="J105" s="58">
        <f t="shared" si="13"/>
        <v>0.99450380952097395</v>
      </c>
      <c r="K105" s="32"/>
      <c r="L105" s="20" t="str">
        <f t="shared" si="10"/>
        <v/>
      </c>
      <c r="N105" s="19"/>
    </row>
    <row r="106" spans="1:14" s="16" customFormat="1" ht="25" customHeight="1">
      <c r="A106" s="14"/>
      <c r="B106" s="27"/>
      <c r="C106" s="59">
        <v>1</v>
      </c>
      <c r="D106" s="60" t="s">
        <v>37</v>
      </c>
      <c r="E106" s="60"/>
      <c r="F106" s="61"/>
      <c r="G106" s="62"/>
      <c r="H106" s="63"/>
      <c r="I106" s="70"/>
      <c r="J106" s="65"/>
      <c r="K106" s="33"/>
      <c r="L106" s="20"/>
    </row>
    <row r="107" spans="1:14" s="16" customFormat="1" ht="25" customHeight="1" thickBot="1">
      <c r="A107" s="14"/>
      <c r="B107" s="27"/>
      <c r="C107" s="71">
        <v>0</v>
      </c>
      <c r="D107" s="72">
        <f>ROUND(20*(C107-$H$3)/$H$4+100,0)</f>
        <v>65</v>
      </c>
      <c r="E107" s="72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3">
        <f>IF(I105=0,ROUND(100*(1-(I104+I107)/2/$J$3),2),ROUND(100*(1-(I105+I107)/2/$J$3),2))</f>
        <v>0.27</v>
      </c>
      <c r="G107" s="74">
        <f>_xlfn.IFNA(VLOOKUP(D107,'인원 입력 기능'!$F$5:$I$103,4,FALSE),0)</f>
        <v>1846</v>
      </c>
      <c r="H107" s="75">
        <f>G107/$J$3</f>
        <v>5.4961904790260486E-3</v>
      </c>
      <c r="I107" s="76">
        <f>SUM($G$7:G107)</f>
        <v>335869</v>
      </c>
      <c r="J107" s="78">
        <f>I107/$J$3</f>
        <v>1</v>
      </c>
      <c r="K107" s="32"/>
      <c r="L107" s="20" t="str">
        <f>IF(ABS((C107-$H$3)/$H$4*20+100-D107)&gt;0.49, "경고", "")</f>
        <v/>
      </c>
    </row>
    <row r="108" spans="1:14" ht="6" customHeight="1">
      <c r="A108" s="2"/>
      <c r="B108" s="34"/>
      <c r="C108" s="35"/>
      <c r="D108" s="35"/>
      <c r="E108" s="35"/>
      <c r="F108" s="35"/>
      <c r="G108" s="35"/>
      <c r="H108" s="35"/>
      <c r="I108" s="35"/>
      <c r="J108" s="35"/>
      <c r="K108" s="36"/>
      <c r="L108" s="2"/>
    </row>
  </sheetData>
  <mergeCells count="73">
    <mergeCell ref="I101:I102"/>
    <mergeCell ref="J101:J102"/>
    <mergeCell ref="D101:D102"/>
    <mergeCell ref="E101:E102"/>
    <mergeCell ref="F101:F102"/>
    <mergeCell ref="G101:G102"/>
    <mergeCell ref="H101:H102"/>
    <mergeCell ref="I81:I82"/>
    <mergeCell ref="J81:J82"/>
    <mergeCell ref="D91:D92"/>
    <mergeCell ref="E91:E92"/>
    <mergeCell ref="F91:F92"/>
    <mergeCell ref="G91:G92"/>
    <mergeCell ref="H91:H92"/>
    <mergeCell ref="I91:I92"/>
    <mergeCell ref="J91:J92"/>
    <mergeCell ref="D81:D82"/>
    <mergeCell ref="E81:E82"/>
    <mergeCell ref="F81:F82"/>
    <mergeCell ref="G81:G82"/>
    <mergeCell ref="H81:H82"/>
    <mergeCell ref="I62:I63"/>
    <mergeCell ref="J62:J63"/>
    <mergeCell ref="D71:D72"/>
    <mergeCell ref="E71:E72"/>
    <mergeCell ref="F71:F72"/>
    <mergeCell ref="G71:G72"/>
    <mergeCell ref="H71:H72"/>
    <mergeCell ref="I71:I72"/>
    <mergeCell ref="J71:J72"/>
    <mergeCell ref="D62:D63"/>
    <mergeCell ref="E62:E63"/>
    <mergeCell ref="F62:F63"/>
    <mergeCell ref="G62:G63"/>
    <mergeCell ref="H62:H63"/>
    <mergeCell ref="I42:I43"/>
    <mergeCell ref="J42:J43"/>
    <mergeCell ref="D52:D53"/>
    <mergeCell ref="E52:E53"/>
    <mergeCell ref="F52:F53"/>
    <mergeCell ref="G52:G53"/>
    <mergeCell ref="H52:H53"/>
    <mergeCell ref="I52:I53"/>
    <mergeCell ref="J52:J53"/>
    <mergeCell ref="D42:D43"/>
    <mergeCell ref="E42:E43"/>
    <mergeCell ref="F42:F43"/>
    <mergeCell ref="G42:G43"/>
    <mergeCell ref="H42:H43"/>
    <mergeCell ref="I23:I24"/>
    <mergeCell ref="J23:J24"/>
    <mergeCell ref="D32:D33"/>
    <mergeCell ref="E32:E33"/>
    <mergeCell ref="F32:F33"/>
    <mergeCell ref="G32:G33"/>
    <mergeCell ref="H32:H33"/>
    <mergeCell ref="I32:I33"/>
    <mergeCell ref="J32:J33"/>
    <mergeCell ref="D23:D24"/>
    <mergeCell ref="E23:E24"/>
    <mergeCell ref="F23:F24"/>
    <mergeCell ref="G23:G24"/>
    <mergeCell ref="H23:H24"/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13 D15:J23 D25:J32 D34:J42 D44:J52 D54:J62 D64:J71 D73:J81 D83:J91 D93:J101 D103:J107">
    <cfRule type="expression" dxfId="1" priority="2">
      <formula>OR($D7=$Q$7:$Q$14)</formula>
    </cfRule>
  </conditionalFormatting>
  <conditionalFormatting sqref="D7:D13 D15:D23 D25:D32 D34:D42 D44:D52 D54:D62 D64:D71 D73:D81 D83:D91 D93:D101 D103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기능'!D6</f>
        <v>55.26</v>
      </c>
      <c r="I3" s="15" t="s">
        <v>58</v>
      </c>
      <c r="J3" s="44">
        <f>'통계 및 응시자 수 입력 기능'!C6</f>
        <v>333018</v>
      </c>
      <c r="K3" s="29"/>
    </row>
    <row r="4" spans="1:12" s="21" customFormat="1" ht="25" customHeight="1" thickBot="1">
      <c r="A4" s="20"/>
      <c r="B4" s="38"/>
      <c r="C4" s="45" t="s">
        <v>59</v>
      </c>
      <c r="D4" s="110" t="s">
        <v>60</v>
      </c>
      <c r="E4" s="111"/>
      <c r="F4" s="112"/>
      <c r="G4" s="46" t="s">
        <v>61</v>
      </c>
      <c r="H4" s="47" t="str">
        <f>'통계 및 응시자 수 입력 기능'!E6</f>
        <v>22.60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81">
        <v>1</v>
      </c>
      <c r="D7" s="82">
        <v>90</v>
      </c>
      <c r="E7" s="83">
        <f>'표점등급&amp;절평인원 입력기능'!D22</f>
        <v>28180</v>
      </c>
      <c r="F7" s="84">
        <f>E7/$J$3</f>
        <v>8.4620050567837168E-2</v>
      </c>
      <c r="G7" s="85">
        <f>SUM($E$7:E7)</f>
        <v>28180</v>
      </c>
      <c r="H7" s="86">
        <f>G7/$J$3</f>
        <v>8.4620050567837168E-2</v>
      </c>
      <c r="I7" s="14"/>
      <c r="J7" s="14"/>
      <c r="K7" s="29"/>
      <c r="L7" s="20"/>
    </row>
    <row r="8" spans="1:12" s="21" customFormat="1" ht="25" customHeight="1">
      <c r="A8" s="20"/>
      <c r="B8" s="38"/>
      <c r="C8" s="87">
        <v>2</v>
      </c>
      <c r="D8" s="88">
        <v>80</v>
      </c>
      <c r="E8" s="89">
        <f>'표점등급&amp;절평인원 입력기능'!D23</f>
        <v>28015</v>
      </c>
      <c r="F8" s="84">
        <f t="shared" ref="F8:F15" si="0">E8/$J$3</f>
        <v>8.4124581854434291E-2</v>
      </c>
      <c r="G8" s="90">
        <f>SUM($E$7:E8)</f>
        <v>56195</v>
      </c>
      <c r="H8" s="86">
        <f t="shared" ref="H8:H15" si="1">G8/$J$3</f>
        <v>0.16874463242227147</v>
      </c>
      <c r="I8" s="14"/>
      <c r="J8" s="14"/>
      <c r="K8" s="29"/>
      <c r="L8" s="20"/>
    </row>
    <row r="9" spans="1:12" s="21" customFormat="1" ht="25" customHeight="1">
      <c r="A9" s="20"/>
      <c r="B9" s="38"/>
      <c r="C9" s="87">
        <v>3</v>
      </c>
      <c r="D9" s="88">
        <v>70</v>
      </c>
      <c r="E9" s="89">
        <f>'표점등급&amp;절평인원 입력기능'!D24</f>
        <v>37123</v>
      </c>
      <c r="F9" s="84">
        <f t="shared" si="0"/>
        <v>0.11147445483427322</v>
      </c>
      <c r="G9" s="90">
        <f>SUM($E$7:E9)</f>
        <v>93318</v>
      </c>
      <c r="H9" s="86">
        <f t="shared" si="1"/>
        <v>0.28021908725654471</v>
      </c>
      <c r="I9" s="14"/>
      <c r="J9" s="14"/>
      <c r="K9" s="29"/>
      <c r="L9" s="20"/>
    </row>
    <row r="10" spans="1:12" s="21" customFormat="1" ht="25" customHeight="1">
      <c r="A10" s="20"/>
      <c r="B10" s="38"/>
      <c r="C10" s="87">
        <v>4</v>
      </c>
      <c r="D10" s="88">
        <v>60</v>
      </c>
      <c r="E10" s="89">
        <f>'표점등급&amp;절평인원 입력기능'!D25</f>
        <v>47879</v>
      </c>
      <c r="F10" s="84">
        <f t="shared" si="0"/>
        <v>0.14377300926676637</v>
      </c>
      <c r="G10" s="90">
        <f>SUM($E$7:E10)</f>
        <v>141197</v>
      </c>
      <c r="H10" s="86">
        <f t="shared" si="1"/>
        <v>0.42399209652331105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87">
        <v>5</v>
      </c>
      <c r="D11" s="88">
        <v>50</v>
      </c>
      <c r="E11" s="89">
        <f>'표점등급&amp;절평인원 입력기능'!D26</f>
        <v>52345</v>
      </c>
      <c r="F11" s="84">
        <f t="shared" si="0"/>
        <v>0.15718369577620428</v>
      </c>
      <c r="G11" s="90">
        <f>SUM($E$7:E11)</f>
        <v>193542</v>
      </c>
      <c r="H11" s="86">
        <f t="shared" si="1"/>
        <v>0.58117579229951533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87">
        <v>6</v>
      </c>
      <c r="D12" s="88">
        <v>40</v>
      </c>
      <c r="E12" s="89">
        <f>'표점등급&amp;절평인원 입력기능'!D27</f>
        <v>49913</v>
      </c>
      <c r="F12" s="84">
        <f t="shared" si="0"/>
        <v>0.14988078722471457</v>
      </c>
      <c r="G12" s="90">
        <f>SUM($E$7:E12)</f>
        <v>243455</v>
      </c>
      <c r="H12" s="86">
        <f t="shared" si="1"/>
        <v>0.73105657952422998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87">
        <v>7</v>
      </c>
      <c r="D13" s="88">
        <v>30</v>
      </c>
      <c r="E13" s="89">
        <f>'표점등급&amp;절평인원 입력기능'!D28</f>
        <v>42847</v>
      </c>
      <c r="F13" s="84">
        <f t="shared" si="0"/>
        <v>0.12866271492832218</v>
      </c>
      <c r="G13" s="90">
        <f>SUM($E$7:E13)</f>
        <v>286302</v>
      </c>
      <c r="H13" s="86">
        <f t="shared" si="1"/>
        <v>0.85971929445255213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87">
        <v>8</v>
      </c>
      <c r="D14" s="88">
        <v>20</v>
      </c>
      <c r="E14" s="89">
        <f>'표점등급&amp;절평인원 입력기능'!D29</f>
        <v>28085</v>
      </c>
      <c r="F14" s="84">
        <f t="shared" si="0"/>
        <v>8.4334780702544604E-2</v>
      </c>
      <c r="G14" s="90">
        <f>SUM($E$7:E14)</f>
        <v>314387</v>
      </c>
      <c r="H14" s="86">
        <f t="shared" si="1"/>
        <v>0.94405407515509676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91">
        <v>9</v>
      </c>
      <c r="D15" s="92">
        <v>0</v>
      </c>
      <c r="E15" s="93">
        <f>'표점등급&amp;절평인원 입력기능'!D30</f>
        <v>18631</v>
      </c>
      <c r="F15" s="94">
        <f t="shared" si="0"/>
        <v>5.594592484490328E-2</v>
      </c>
      <c r="G15" s="95">
        <f>SUM($E$7:E15)</f>
        <v>333018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기능'!D7</f>
        <v>29.58</v>
      </c>
      <c r="I3" s="15" t="s">
        <v>58</v>
      </c>
      <c r="J3" s="44">
        <f>'통계 및 응시자 수 입력 기능'!C7</f>
        <v>329662</v>
      </c>
      <c r="K3" s="29"/>
    </row>
    <row r="4" spans="1:12" s="21" customFormat="1" ht="25" customHeight="1" thickBot="1">
      <c r="A4" s="20"/>
      <c r="B4" s="38"/>
      <c r="C4" s="45" t="s">
        <v>59</v>
      </c>
      <c r="D4" s="110" t="s">
        <v>62</v>
      </c>
      <c r="E4" s="111"/>
      <c r="F4" s="112"/>
      <c r="G4" s="46" t="s">
        <v>61</v>
      </c>
      <c r="H4" s="47" t="str">
        <f>'통계 및 응시자 수 입력 기능'!E7</f>
        <v>12.93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입력기능'!D31</f>
        <v>88654</v>
      </c>
      <c r="F7" s="84">
        <f>E7/$J$3</f>
        <v>0.26892392814458443</v>
      </c>
      <c r="G7" s="85">
        <f>SUM($E$7:E7)</f>
        <v>88654</v>
      </c>
      <c r="H7" s="86">
        <f>G7/$J$3</f>
        <v>0.26892392814458443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입력기능'!D32</f>
        <v>46703</v>
      </c>
      <c r="F8" s="84">
        <f t="shared" ref="F8:F15" si="0">E8/$J$3</f>
        <v>0.14166934617881344</v>
      </c>
      <c r="G8" s="90">
        <f>SUM($E$7:E8)</f>
        <v>135357</v>
      </c>
      <c r="H8" s="86">
        <f t="shared" ref="H8:H15" si="1">G8/$J$3</f>
        <v>0.41059327432339793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입력기능'!D33</f>
        <v>44053</v>
      </c>
      <c r="F9" s="84">
        <f t="shared" si="0"/>
        <v>0.13363080973845939</v>
      </c>
      <c r="G9" s="90">
        <f>SUM($E$7:E9)</f>
        <v>179410</v>
      </c>
      <c r="H9" s="86">
        <f t="shared" si="1"/>
        <v>0.54422408406185729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입력기능'!D34</f>
        <v>37446</v>
      </c>
      <c r="F10" s="84">
        <f t="shared" si="0"/>
        <v>0.1135890700171691</v>
      </c>
      <c r="G10" s="90">
        <f>SUM($E$7:E10)</f>
        <v>216856</v>
      </c>
      <c r="H10" s="86">
        <f t="shared" si="1"/>
        <v>0.65781315407902641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입력기능'!D35</f>
        <v>29255</v>
      </c>
      <c r="F11" s="84">
        <f t="shared" si="0"/>
        <v>8.874240889153133E-2</v>
      </c>
      <c r="G11" s="90">
        <f>SUM($E$7:E11)</f>
        <v>246111</v>
      </c>
      <c r="H11" s="86">
        <f t="shared" si="1"/>
        <v>0.7465555629705577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입력기능'!D36</f>
        <v>23838</v>
      </c>
      <c r="F12" s="84">
        <f t="shared" si="0"/>
        <v>7.2310427043456638E-2</v>
      </c>
      <c r="G12" s="90">
        <f>SUM($E$7:E12)</f>
        <v>269949</v>
      </c>
      <c r="H12" s="86">
        <f t="shared" si="1"/>
        <v>0.81886599001401439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입력기능'!D37</f>
        <v>24878</v>
      </c>
      <c r="F13" s="84">
        <f t="shared" si="0"/>
        <v>7.5465173420048409E-2</v>
      </c>
      <c r="G13" s="90">
        <f>SUM($E$7:E13)</f>
        <v>294827</v>
      </c>
      <c r="H13" s="86">
        <f t="shared" si="1"/>
        <v>0.89433116343406271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입력기능'!D38</f>
        <v>31032</v>
      </c>
      <c r="F14" s="84">
        <f t="shared" si="0"/>
        <v>9.413277842153478E-2</v>
      </c>
      <c r="G14" s="90">
        <f>SUM($E$7:E14)</f>
        <v>325859</v>
      </c>
      <c r="H14" s="86">
        <f t="shared" si="1"/>
        <v>0.98846394185559761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입력기능'!D39</f>
        <v>3803</v>
      </c>
      <c r="F15" s="94">
        <f t="shared" si="0"/>
        <v>1.1536058144402448E-2</v>
      </c>
      <c r="G15" s="95">
        <f>SUM($E$7:E15)</f>
        <v>329662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기능'!D8</f>
        <v>32.04</v>
      </c>
      <c r="I3" s="15" t="s">
        <v>58</v>
      </c>
      <c r="J3" s="44">
        <f>'통계 및 응시자 수 입력 기능'!C8</f>
        <v>329772</v>
      </c>
      <c r="K3" s="29"/>
    </row>
    <row r="4" spans="1:12" s="21" customFormat="1" ht="25" customHeight="1" thickBot="1">
      <c r="A4" s="20"/>
      <c r="B4" s="38"/>
      <c r="C4" s="45" t="s">
        <v>59</v>
      </c>
      <c r="D4" s="117" t="s">
        <v>70</v>
      </c>
      <c r="E4" s="111"/>
      <c r="F4" s="112"/>
      <c r="G4" s="46" t="s">
        <v>61</v>
      </c>
      <c r="H4" s="47" t="str">
        <f>'통계 및 응시자 수 입력 기능'!E8</f>
        <v>12.09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입력기능'!D40</f>
        <v>106383</v>
      </c>
      <c r="F7" s="84">
        <f>E7/$J$3</f>
        <v>0.32259561151340926</v>
      </c>
      <c r="G7" s="85">
        <f>SUM($E$7:E7)</f>
        <v>106383</v>
      </c>
      <c r="H7" s="86">
        <f>G7/$J$3</f>
        <v>0.32259561151340926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입력기능'!D41</f>
        <v>67519</v>
      </c>
      <c r="F8" s="84">
        <f t="shared" ref="F8:F15" si="0">E8/$J$3</f>
        <v>0.20474449013257645</v>
      </c>
      <c r="G8" s="90">
        <f>SUM($E$7:E8)</f>
        <v>173902</v>
      </c>
      <c r="H8" s="86">
        <f t="shared" ref="H8:H15" si="1">G8/$J$3</f>
        <v>0.52734010164598566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입력기능'!D42</f>
        <v>47157</v>
      </c>
      <c r="F9" s="84">
        <f t="shared" si="0"/>
        <v>0.14299879917033587</v>
      </c>
      <c r="G9" s="90">
        <f>SUM($E$7:E9)</f>
        <v>221059</v>
      </c>
      <c r="H9" s="86">
        <f t="shared" si="1"/>
        <v>0.67033890081632153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입력기능'!D43</f>
        <v>27386</v>
      </c>
      <c r="F10" s="84">
        <f t="shared" si="0"/>
        <v>8.3045255509867424E-2</v>
      </c>
      <c r="G10" s="90">
        <f>SUM($E$7:E10)</f>
        <v>248445</v>
      </c>
      <c r="H10" s="86">
        <f t="shared" si="1"/>
        <v>0.75338415632618905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입력기능'!D44</f>
        <v>17299</v>
      </c>
      <c r="F11" s="84">
        <f t="shared" si="0"/>
        <v>5.2457455454071295E-2</v>
      </c>
      <c r="G11" s="90">
        <f>SUM($E$7:E11)</f>
        <v>265744</v>
      </c>
      <c r="H11" s="86">
        <f t="shared" si="1"/>
        <v>0.80584161178026026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입력기능'!D45</f>
        <v>14749</v>
      </c>
      <c r="F12" s="84">
        <f t="shared" si="0"/>
        <v>4.472484019261793E-2</v>
      </c>
      <c r="G12" s="90">
        <f>SUM($E$7:E12)</f>
        <v>280493</v>
      </c>
      <c r="H12" s="86">
        <f t="shared" si="1"/>
        <v>0.85056645197287828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입력기능'!D46</f>
        <v>26821</v>
      </c>
      <c r="F13" s="84">
        <f t="shared" si="0"/>
        <v>8.1331950559780694E-2</v>
      </c>
      <c r="G13" s="90">
        <f>SUM($E$7:E13)</f>
        <v>307314</v>
      </c>
      <c r="H13" s="86">
        <f t="shared" si="1"/>
        <v>0.93189840253265888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입력기능'!D47</f>
        <v>20100</v>
      </c>
      <c r="F14" s="84">
        <f t="shared" si="0"/>
        <v>6.0951202649103017E-2</v>
      </c>
      <c r="G14" s="90">
        <f>SUM($E$7:E14)</f>
        <v>327414</v>
      </c>
      <c r="H14" s="86">
        <f t="shared" si="1"/>
        <v>0.99284960518176191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입력기능'!D48</f>
        <v>2358</v>
      </c>
      <c r="F15" s="94">
        <f t="shared" si="0"/>
        <v>7.1503948182380555E-3</v>
      </c>
      <c r="G15" s="95">
        <f>SUM($E$7:E15)</f>
        <v>329772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tabSelected="1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1:12" s="21" customFormat="1" ht="25" customHeight="1" thickBot="1">
      <c r="A3" s="20"/>
      <c r="B3" s="38"/>
      <c r="C3" s="42" t="s">
        <v>56</v>
      </c>
      <c r="D3" s="107" t="s">
        <v>69</v>
      </c>
      <c r="E3" s="108"/>
      <c r="F3" s="109"/>
      <c r="G3" s="42" t="s">
        <v>57</v>
      </c>
      <c r="H3" s="43" t="str">
        <f>'통계 및 응시자 수 입력 기능'!D9</f>
        <v>24.15</v>
      </c>
      <c r="I3" s="15" t="s">
        <v>58</v>
      </c>
      <c r="J3" s="44">
        <f>'통계 및 응시자 수 입력 기능'!C9</f>
        <v>329201</v>
      </c>
      <c r="K3" s="29"/>
    </row>
    <row r="4" spans="1:12" s="21" customFormat="1" ht="25" customHeight="1" thickBot="1">
      <c r="A4" s="20"/>
      <c r="B4" s="38"/>
      <c r="C4" s="45" t="s">
        <v>59</v>
      </c>
      <c r="D4" s="117" t="s">
        <v>71</v>
      </c>
      <c r="E4" s="111"/>
      <c r="F4" s="112"/>
      <c r="G4" s="46" t="s">
        <v>61</v>
      </c>
      <c r="H4" s="47" t="str">
        <f>'통계 및 응시자 수 입력 기능'!E9</f>
        <v>12.28</v>
      </c>
      <c r="I4" s="113"/>
      <c r="J4" s="114"/>
      <c r="K4" s="29"/>
    </row>
    <row r="5" spans="1:12" s="21" customFormat="1" ht="25" customHeight="1" thickBot="1">
      <c r="A5" s="20"/>
      <c r="B5" s="38"/>
      <c r="C5" s="14"/>
      <c r="D5" s="14"/>
      <c r="E5" s="14"/>
      <c r="F5" s="14"/>
      <c r="G5" s="14"/>
      <c r="H5" s="14"/>
      <c r="I5" s="116"/>
      <c r="J5" s="116"/>
      <c r="K5" s="29"/>
    </row>
    <row r="6" spans="1:12" s="21" customFormat="1" ht="25" customHeight="1" thickBot="1">
      <c r="A6" s="20"/>
      <c r="B6" s="38"/>
      <c r="C6" s="48" t="s">
        <v>63</v>
      </c>
      <c r="D6" s="79" t="s">
        <v>64</v>
      </c>
      <c r="E6" s="80" t="s">
        <v>65</v>
      </c>
      <c r="F6" s="49" t="s">
        <v>66</v>
      </c>
      <c r="G6" s="49" t="s">
        <v>67</v>
      </c>
      <c r="H6" s="51" t="s">
        <v>68</v>
      </c>
      <c r="I6" s="14"/>
      <c r="J6" s="14"/>
      <c r="K6" s="29"/>
      <c r="L6" s="20"/>
    </row>
    <row r="7" spans="1:12" s="21" customFormat="1" ht="25" customHeight="1">
      <c r="A7" s="20"/>
      <c r="B7" s="38"/>
      <c r="C7" s="97">
        <v>1</v>
      </c>
      <c r="D7" s="98">
        <v>40</v>
      </c>
      <c r="E7" s="83">
        <f>'표점등급&amp;절평인원 입력기능'!D49</f>
        <v>48077</v>
      </c>
      <c r="F7" s="84">
        <f>E7/$J$3</f>
        <v>0.14604147618020602</v>
      </c>
      <c r="G7" s="85">
        <f>SUM($E$7:E7)</f>
        <v>48077</v>
      </c>
      <c r="H7" s="86">
        <f>G7/$J$3</f>
        <v>0.14604147618020602</v>
      </c>
      <c r="I7" s="14"/>
      <c r="J7" s="14"/>
      <c r="K7" s="29"/>
      <c r="L7" s="20"/>
    </row>
    <row r="8" spans="1:12" s="21" customFormat="1" ht="25" customHeight="1">
      <c r="A8" s="20"/>
      <c r="B8" s="38"/>
      <c r="C8" s="99">
        <v>2</v>
      </c>
      <c r="D8" s="100">
        <v>35</v>
      </c>
      <c r="E8" s="89">
        <f>'표점등급&amp;절평인원 입력기능'!D50</f>
        <v>30871</v>
      </c>
      <c r="F8" s="84">
        <f t="shared" ref="F8:F15" si="0">E8/$J$3</f>
        <v>9.3775535311253613E-2</v>
      </c>
      <c r="G8" s="90">
        <f>SUM($E$7:E8)</f>
        <v>78948</v>
      </c>
      <c r="H8" s="86">
        <f t="shared" ref="H8:H15" si="1">G8/$J$3</f>
        <v>0.23981701149145962</v>
      </c>
      <c r="I8" s="14"/>
      <c r="J8" s="14"/>
      <c r="K8" s="29"/>
      <c r="L8" s="20"/>
    </row>
    <row r="9" spans="1:12" s="21" customFormat="1" ht="25" customHeight="1">
      <c r="A9" s="20"/>
      <c r="B9" s="38"/>
      <c r="C9" s="99">
        <v>3</v>
      </c>
      <c r="D9" s="100">
        <v>30</v>
      </c>
      <c r="E9" s="89">
        <f>'표점등급&amp;절평인원 입력기능'!D51</f>
        <v>33802</v>
      </c>
      <c r="F9" s="84">
        <f t="shared" si="0"/>
        <v>0.10267891045288441</v>
      </c>
      <c r="G9" s="90">
        <f>SUM($E$7:E9)</f>
        <v>112750</v>
      </c>
      <c r="H9" s="86">
        <f t="shared" si="1"/>
        <v>0.34249592194434403</v>
      </c>
      <c r="I9" s="14"/>
      <c r="J9" s="14"/>
      <c r="K9" s="29"/>
      <c r="L9" s="20"/>
    </row>
    <row r="10" spans="1:12" s="21" customFormat="1" ht="25" customHeight="1">
      <c r="A10" s="20"/>
      <c r="B10" s="38"/>
      <c r="C10" s="99">
        <v>4</v>
      </c>
      <c r="D10" s="100">
        <v>25</v>
      </c>
      <c r="E10" s="89">
        <f>'표점등급&amp;절평인원 입력기능'!D52</f>
        <v>36412</v>
      </c>
      <c r="F10" s="84">
        <f t="shared" si="0"/>
        <v>0.11060719742649627</v>
      </c>
      <c r="G10" s="90">
        <f>SUM($E$7:E10)</f>
        <v>149162</v>
      </c>
      <c r="H10" s="86">
        <f t="shared" si="1"/>
        <v>0.4531031193708403</v>
      </c>
      <c r="I10" s="14"/>
      <c r="J10" s="14"/>
      <c r="K10" s="29"/>
      <c r="L10" s="20"/>
    </row>
    <row r="11" spans="1:12" s="21" customFormat="1" ht="25" customHeight="1">
      <c r="A11" s="20"/>
      <c r="B11" s="38"/>
      <c r="C11" s="99">
        <v>5</v>
      </c>
      <c r="D11" s="100">
        <v>20</v>
      </c>
      <c r="E11" s="89">
        <f>'표점등급&amp;절평인원 입력기능'!D53</f>
        <v>41220</v>
      </c>
      <c r="F11" s="84">
        <f t="shared" si="0"/>
        <v>0.12521225634187017</v>
      </c>
      <c r="G11" s="90">
        <f>SUM($E$7:E11)</f>
        <v>190382</v>
      </c>
      <c r="H11" s="86">
        <f t="shared" si="1"/>
        <v>0.57831537571271052</v>
      </c>
      <c r="I11" s="14"/>
      <c r="J11" s="14"/>
      <c r="K11" s="29"/>
      <c r="L11" s="20"/>
    </row>
    <row r="12" spans="1:12" s="21" customFormat="1" ht="25" customHeight="1">
      <c r="A12" s="20"/>
      <c r="B12" s="38"/>
      <c r="C12" s="99">
        <v>6</v>
      </c>
      <c r="D12" s="100">
        <v>15</v>
      </c>
      <c r="E12" s="89">
        <f>'표점등급&amp;절평인원 입력기능'!D54</f>
        <v>45999</v>
      </c>
      <c r="F12" s="84">
        <f t="shared" si="0"/>
        <v>0.13972922317975947</v>
      </c>
      <c r="G12" s="90">
        <f>SUM($E$7:E12)</f>
        <v>236381</v>
      </c>
      <c r="H12" s="86">
        <f t="shared" si="1"/>
        <v>0.71804459889246997</v>
      </c>
      <c r="I12" s="14"/>
      <c r="J12" s="14"/>
      <c r="K12" s="29"/>
      <c r="L12" s="20"/>
    </row>
    <row r="13" spans="1:12" s="21" customFormat="1" ht="25" customHeight="1">
      <c r="A13" s="20"/>
      <c r="B13" s="38"/>
      <c r="C13" s="99">
        <v>7</v>
      </c>
      <c r="D13" s="100">
        <v>10</v>
      </c>
      <c r="E13" s="89">
        <f>'표점등급&amp;절평인원 입력기능'!D55</f>
        <v>57756</v>
      </c>
      <c r="F13" s="84">
        <f t="shared" si="0"/>
        <v>0.17544296645514443</v>
      </c>
      <c r="G13" s="90">
        <f>SUM($E$7:E13)</f>
        <v>294137</v>
      </c>
      <c r="H13" s="86">
        <f t="shared" si="1"/>
        <v>0.89348756534761442</v>
      </c>
      <c r="I13" s="14"/>
      <c r="J13" s="14"/>
      <c r="K13" s="29"/>
      <c r="L13" s="20"/>
    </row>
    <row r="14" spans="1:12" s="21" customFormat="1" ht="25" customHeight="1">
      <c r="A14" s="20"/>
      <c r="B14" s="38"/>
      <c r="C14" s="99">
        <v>8</v>
      </c>
      <c r="D14" s="100">
        <v>5</v>
      </c>
      <c r="E14" s="89">
        <f>'표점등급&amp;절평인원 입력기능'!D56</f>
        <v>30651</v>
      </c>
      <c r="F14" s="84">
        <f t="shared" si="0"/>
        <v>9.3107250585508547E-2</v>
      </c>
      <c r="G14" s="90">
        <f>SUM($E$7:E14)</f>
        <v>324788</v>
      </c>
      <c r="H14" s="86">
        <f t="shared" si="1"/>
        <v>0.98659481593312293</v>
      </c>
      <c r="I14" s="14"/>
      <c r="J14" s="14"/>
      <c r="K14" s="29"/>
      <c r="L14" s="20"/>
    </row>
    <row r="15" spans="1:12" s="21" customFormat="1" ht="25" customHeight="1" thickBot="1">
      <c r="A15" s="20"/>
      <c r="B15" s="38"/>
      <c r="C15" s="101">
        <v>9</v>
      </c>
      <c r="D15" s="102">
        <v>0</v>
      </c>
      <c r="E15" s="93">
        <f>'표점등급&amp;절평인원 입력기능'!D57</f>
        <v>4413</v>
      </c>
      <c r="F15" s="94">
        <f t="shared" si="0"/>
        <v>1.3405184066877076E-2</v>
      </c>
      <c r="G15" s="95">
        <f>SUM($E$7:E15)</f>
        <v>329201</v>
      </c>
      <c r="H15" s="96">
        <f t="shared" si="1"/>
        <v>1</v>
      </c>
      <c r="I15" s="14"/>
      <c r="J15" s="14"/>
      <c r="K15" s="29"/>
      <c r="L15" s="20"/>
    </row>
    <row r="16" spans="1:12" ht="6" customHeight="1">
      <c r="A16" s="2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cp:lastPrinted>2022-05-21T13:19:13Z</cp:lastPrinted>
  <dcterms:created xsi:type="dcterms:W3CDTF">2018-04-21T04:34:05Z</dcterms:created>
  <dcterms:modified xsi:type="dcterms:W3CDTF">2024-02-07T00:47:02Z</dcterms:modified>
</cp:coreProperties>
</file>